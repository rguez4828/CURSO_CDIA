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la general" sheetId="1" state="visible" r:id="rId3"/>
    <sheet name="Hoja1" sheetId="2" state="visible" r:id="rId4"/>
    <sheet name="IMA" sheetId="3" state="visible" r:id="rId5"/>
    <sheet name="IMA LISTA" sheetId="4" state="visible" r:id="rId6"/>
    <sheet name="DEIMA" sheetId="5" state="visible" r:id="rId7"/>
    <sheet name="DEIMA LISTA" sheetId="6" state="visible" r:id="rId8"/>
    <sheet name="Hoja6" sheetId="7" state="visible" r:id="rId9"/>
    <sheet name="Hoja7" sheetId="8" state="visible" r:id="rId10"/>
  </sheets>
  <definedNames>
    <definedName function="false" hidden="false" name="Tabla_general" vbProcedure="false">'tabla general'!#ref!</definedName>
    <definedName function="false" hidden="false" localSheetId="3" name="_xlnm.Criteria" vbProcedure="false">'IMA LISTA'!$A$1:$A$2</definedName>
    <definedName function="false" hidden="false" localSheetId="3" name="_xlnm.Extract" vbProcedure="false">'IMA LISTA'!$A$4:$BJ$4</definedName>
    <definedName function="false" hidden="false" localSheetId="5" name="_xlnm.Criteria" vbProcedure="false">'DEIMA LISTA'!$A$1:$A$2</definedName>
    <definedName function="false" hidden="false" localSheetId="5" name="_xlnm.Extract" vbProcedure="false">'DEIMA LISTA'!$B$4:$BJ$4</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H1843" authorId="0">
      <text>
        <r>
          <rPr>
            <sz val="10"/>
            <rFont val="Arial"/>
            <family val="2"/>
          </rPr>
          <t xml:space="preserve">ramon:
</t>
        </r>
      </text>
    </comment>
  </commentList>
</comments>
</file>

<file path=xl/sharedStrings.xml><?xml version="1.0" encoding="utf-8"?>
<sst xmlns="http://schemas.openxmlformats.org/spreadsheetml/2006/main" count="8637" uniqueCount="3406">
  <si>
    <t xml:space="preserve">Nombre</t>
  </si>
  <si>
    <t xml:space="preserve">1er apell</t>
  </si>
  <si>
    <t xml:space="preserve">2do apell</t>
  </si>
  <si>
    <t xml:space="preserve">HC</t>
  </si>
  <si>
    <t xml:space="preserve">F ingreso</t>
  </si>
  <si>
    <t xml:space="preserve">F egreso</t>
  </si>
  <si>
    <t xml:space="preserve">Estadía</t>
  </si>
  <si>
    <t xml:space="preserve">Sexo</t>
  </si>
  <si>
    <t xml:space="preserve">Edad</t>
  </si>
  <si>
    <t xml:space="preserve">Raza</t>
  </si>
  <si>
    <t xml:space="preserve">H Fum</t>
  </si>
  <si>
    <t xml:space="preserve">HTA</t>
  </si>
  <si>
    <t xml:space="preserve">IMA ant</t>
  </si>
  <si>
    <t xml:space="preserve">Obes</t>
  </si>
  <si>
    <t xml:space="preserve">Disl</t>
  </si>
  <si>
    <t xml:space="preserve">DM</t>
  </si>
  <si>
    <t xml:space="preserve">IRC</t>
  </si>
  <si>
    <t xml:space="preserve">IECA</t>
  </si>
  <si>
    <t xml:space="preserve">Diag ing</t>
  </si>
  <si>
    <t xml:space="preserve">ECG ing</t>
  </si>
  <si>
    <t xml:space="preserve">Colest</t>
  </si>
  <si>
    <t xml:space="preserve">TG</t>
  </si>
  <si>
    <t xml:space="preserve">Glicemia</t>
  </si>
  <si>
    <t xml:space="preserve">Ac U</t>
  </si>
  <si>
    <t xml:space="preserve">Creat</t>
  </si>
  <si>
    <t xml:space="preserve">Hto</t>
  </si>
  <si>
    <t xml:space="preserve">Leuc</t>
  </si>
  <si>
    <t xml:space="preserve">FEVI </t>
  </si>
  <si>
    <t xml:space="preserve">Nitrat </t>
  </si>
  <si>
    <t xml:space="preserve">Hep</t>
  </si>
  <si>
    <t xml:space="preserve">ASA</t>
  </si>
  <si>
    <t xml:space="preserve">Betblolq</t>
  </si>
  <si>
    <t xml:space="preserve">AC</t>
  </si>
  <si>
    <t xml:space="preserve">Hipol</t>
  </si>
  <si>
    <t xml:space="preserve">Hipglic</t>
  </si>
  <si>
    <t xml:space="preserve">Digital</t>
  </si>
  <si>
    <t xml:space="preserve">Diureticos</t>
  </si>
  <si>
    <t xml:space="preserve">Aminas</t>
  </si>
  <si>
    <t xml:space="preserve">Antiarr</t>
  </si>
  <si>
    <t xml:space="preserve">Diag para coro</t>
  </si>
  <si>
    <t xml:space="preserve">Coro</t>
  </si>
  <si>
    <t xml:space="preserve">ACTP </t>
  </si>
  <si>
    <t xml:space="preserve">Arteria trat</t>
  </si>
  <si>
    <t xml:space="preserve">Seg trat</t>
  </si>
  <si>
    <t xml:space="preserve">Resultado de actp</t>
  </si>
  <si>
    <t xml:space="preserve">C de coro</t>
  </si>
  <si>
    <t xml:space="preserve">Complic en ACTP</t>
  </si>
  <si>
    <t xml:space="preserve">Tto Q</t>
  </si>
  <si>
    <t xml:space="preserve"> Tto med solo</t>
  </si>
  <si>
    <t xml:space="preserve">Complicac</t>
  </si>
  <si>
    <t xml:space="preserve">D egreso</t>
  </si>
  <si>
    <t xml:space="preserve">IMA sosp al alta</t>
  </si>
  <si>
    <t xml:space="preserve">Estado</t>
  </si>
  <si>
    <t xml:space="preserve">Loc IMA</t>
  </si>
  <si>
    <t xml:space="preserve">Tromb CG</t>
  </si>
  <si>
    <t xml:space="preserve">Tiempo  T</t>
  </si>
  <si>
    <t xml:space="preserve">Result de tromb</t>
  </si>
  <si>
    <t xml:space="preserve">Sala de egreso</t>
  </si>
  <si>
    <t xml:space="preserve">Necro</t>
  </si>
  <si>
    <t xml:space="preserve">CCP</t>
  </si>
  <si>
    <t xml:space="preserve">Descripcion </t>
  </si>
  <si>
    <t xml:space="preserve">Santos</t>
  </si>
  <si>
    <t xml:space="preserve">Duany</t>
  </si>
  <si>
    <t xml:space="preserve">Estevez</t>
  </si>
  <si>
    <t xml:space="preserve">APP HTA con HVI en Ecocardiografía. Ingresa con AIA con T negativas en cara anterior.</t>
  </si>
  <si>
    <t xml:space="preserve">Yojan</t>
  </si>
  <si>
    <t xml:space="preserve">García</t>
  </si>
  <si>
    <t xml:space="preserve">Rodas</t>
  </si>
  <si>
    <t xml:space="preserve">IMA anterior extenso trombolizado. Se decide por familiares trasladar al HHA.</t>
  </si>
  <si>
    <t xml:space="preserve">Rigoberto Giraldo</t>
  </si>
  <si>
    <t xml:space="preserve">Acosta</t>
  </si>
  <si>
    <t xml:space="preserve">Prado</t>
  </si>
  <si>
    <t xml:space="preserve">Egresado hacía un mes de Julio Trigo por AI c/cambios ECG. Ahora ingresa con AI. Se realiza coro en DA y CD, se realiza ACTP a DA y se deja para segundo momento CD.</t>
  </si>
  <si>
    <t xml:space="preserve">Julio Antonio</t>
  </si>
  <si>
    <t xml:space="preserve">Núñez</t>
  </si>
  <si>
    <t xml:space="preserve">Naranjo</t>
  </si>
  <si>
    <t xml:space="preserve">FA, ECV. Ingresa con angina inestable y se decide coro, con ACTP a CD con disección que se solapó con DES.</t>
  </si>
  <si>
    <t xml:space="preserve">Juan Moisés</t>
  </si>
  <si>
    <t xml:space="preserve">Pérez</t>
  </si>
  <si>
    <t xml:space="preserve">Cejas</t>
  </si>
  <si>
    <t xml:space="preserve">Fumador inveterado. En 16/08/2018 ingresa con IMA anterior extenso no trombolizado y se le indica prueba de perfusión miocárdica. Ahora ingresa con angina postIMA. Se niega a coronariografía.</t>
  </si>
  <si>
    <t xml:space="preserve">Ado Iván</t>
  </si>
  <si>
    <t xml:space="preserve">Cancio</t>
  </si>
  <si>
    <t xml:space="preserve">Carabeo</t>
  </si>
  <si>
    <t xml:space="preserve">DM, multivaso que ingresa con angina. Se realiza coro con enfermedad multivaso y se decide ACTPO a DA.</t>
  </si>
  <si>
    <t xml:space="preserve">Silvia</t>
  </si>
  <si>
    <t xml:space="preserve">Telefort</t>
  </si>
  <si>
    <t xml:space="preserve">Nequi</t>
  </si>
  <si>
    <t xml:space="preserve">APP IMA e HTA. Ingresa para coro pero no se pudo realizar por tortuosidad arterial. Se sugiere angioTAC.</t>
  </si>
  <si>
    <t xml:space="preserve">Eulalio</t>
  </si>
  <si>
    <t xml:space="preserve">Bazo</t>
  </si>
  <si>
    <t xml:space="preserve">Vázquez</t>
  </si>
  <si>
    <t xml:space="preserve">EPOC, CI, HTA. Ingresa con IMA anterior extenso STK. En la sala realiza reinfarto inferior y fallece.</t>
  </si>
  <si>
    <t xml:space="preserve">Omar</t>
  </si>
  <si>
    <t xml:space="preserve">González</t>
  </si>
  <si>
    <t xml:space="preserve">Hernández</t>
  </si>
  <si>
    <t xml:space="preserve">IMA a los 37 años, IMA en enero/18 no STQ. Ahora ingresa con angina y se decide coro. Tiene lesiones significativas en DA y CD. Se sugiere tratamiento Qx.</t>
  </si>
  <si>
    <t xml:space="preserve">Ania</t>
  </si>
  <si>
    <t xml:space="preserve">Pérez Borroto</t>
  </si>
  <si>
    <t xml:space="preserve">Rivero</t>
  </si>
  <si>
    <t xml:space="preserve">DM, HTA, fumadora. Ingresa con IMA inferior subagudo no trombolizado.</t>
  </si>
  <si>
    <t xml:space="preserve">María</t>
  </si>
  <si>
    <t xml:space="preserve">Brito</t>
  </si>
  <si>
    <t xml:space="preserve">DM, obesidad, ingresa con dolor precordial infra en toda la cara anterior. En sala se hace ECG y se ven cambios en toda la cara anterior de IMA.</t>
  </si>
  <si>
    <t xml:space="preserve">Reynaldo </t>
  </si>
  <si>
    <t xml:space="preserve">López-Chávez</t>
  </si>
  <si>
    <t xml:space="preserve">DM, HTA, fumador, comienza con disnea a esfuerzo hace una semana y ingresa con EAP y TV que revierte. Durante el ingreso realiza shock cardiogénico y fallece.</t>
  </si>
  <si>
    <t xml:space="preserve">Bárbara Alicia</t>
  </si>
  <si>
    <t xml:space="preserve">Roque</t>
  </si>
  <si>
    <t xml:space="preserve">López</t>
  </si>
  <si>
    <t xml:space="preserve">                                                                                                                                                                                        </t>
  </si>
  <si>
    <t xml:space="preserve">Cruz de la Caridad</t>
  </si>
  <si>
    <t xml:space="preserve">Ordaz</t>
  </si>
  <si>
    <t xml:space="preserve">Obesa, HTA, negra, DM-2 Hace una semana egresó del Fajardo por AI c/ cambios. Ahora ingresa nuevamente con el mismo diagnóstico. Se realiza coro sin lesiones significativas. Se concluye como angina vasospástica.</t>
  </si>
  <si>
    <t xml:space="preserve">Bruno Noel</t>
  </si>
  <si>
    <t xml:space="preserve">Alvarez</t>
  </si>
  <si>
    <t xml:space="preserve">ECV, HTA y HPB. Ingresa con mareo y molestias precordiales y BCRI intermitente. Se niega a realizarse coronariografía.</t>
  </si>
  <si>
    <t xml:space="preserve">Juan de Dios</t>
  </si>
  <si>
    <t xml:space="preserve">Díaz</t>
  </si>
  <si>
    <t xml:space="preserve">8.9</t>
  </si>
  <si>
    <t xml:space="preserve">Ingresa en enero 2018 con angina y se realiza ACTP a DA con disección. Se realiza coronariografía con pérdida luminal de 45% de stent en DA. No lesiones significativas.</t>
  </si>
  <si>
    <t xml:space="preserve">Octavio</t>
  </si>
  <si>
    <t xml:space="preserve">Hernandez</t>
  </si>
  <si>
    <t xml:space="preserve">Corrida</t>
  </si>
  <si>
    <t xml:space="preserve">CI, HTA, ingresa con FA con cambios electricos durante el evento. Se remite a Medicina porque continua tratamiento para BNB.</t>
  </si>
  <si>
    <t xml:space="preserve"> </t>
  </si>
  <si>
    <t xml:space="preserve">Norberto P</t>
  </si>
  <si>
    <t xml:space="preserve">Rodríguez</t>
  </si>
  <si>
    <t xml:space="preserve">Navarro</t>
  </si>
  <si>
    <t xml:space="preserve">DM, HTA, exfumador. Ingresa con IMA subagudo inferior no STK. Se realiza coronariografía y ACTP a CD.</t>
  </si>
  <si>
    <t xml:space="preserve">Ramón Augusto </t>
  </si>
  <si>
    <t xml:space="preserve">de la Rosa</t>
  </si>
  <si>
    <t xml:space="preserve">001347</t>
  </si>
  <si>
    <t xml:space="preserve">MP desde 16 años. Ingresa IMA inferior STQ que luego NTG EV por liegris dolores.</t>
  </si>
  <si>
    <t xml:space="preserve">Edelmira</t>
  </si>
  <si>
    <t xml:space="preserve">Cabezas</t>
  </si>
  <si>
    <t xml:space="preserve">CI, HTA, prueba ergometrica positiva y se lleva a a coro. En coro sin lesiones significativas.</t>
  </si>
  <si>
    <t xml:space="preserve">Juana María</t>
  </si>
  <si>
    <t xml:space="preserve">Echevarría</t>
  </si>
  <si>
    <t xml:space="preserve">Obsea, fumadora, HTA. Dolor hace 3 meses que ingresa con IMA subagudo no STQ.</t>
  </si>
  <si>
    <t xml:space="preserve">Jorge</t>
  </si>
  <si>
    <t xml:space="preserve">Casas</t>
  </si>
  <si>
    <t xml:space="preserve">Fumador inveterado, HTA, ingresa con angina con cambios.</t>
  </si>
  <si>
    <t xml:space="preserve">Oneida</t>
  </si>
  <si>
    <t xml:space="preserve">Hechevarria</t>
  </si>
  <si>
    <t xml:space="preserve">Santiago</t>
  </si>
  <si>
    <t xml:space="preserve">FA crónica, CI, despues de una noticia comenzo con cifras de TA elevadas y aumento de FC. Se egresó con emergencia HTA.</t>
  </si>
  <si>
    <t xml:space="preserve">Benito</t>
  </si>
  <si>
    <t xml:space="preserve">Palenzuela</t>
  </si>
  <si>
    <t xml:space="preserve">CI, HTA, DM-2. ingresa con FA y sintomas respiratorios, y al RS tiene infradesnivel en toda la cara anterior. Realiza AVE isquémico y fallece .</t>
  </si>
  <si>
    <t xml:space="preserve">Jesús</t>
  </si>
  <si>
    <t xml:space="preserve">Tto con atenolol y amiodarona. Llega con bradicardia sinusal extrema.</t>
  </si>
  <si>
    <t xml:space="preserve">Nilsa Reyes</t>
  </si>
  <si>
    <t xml:space="preserve">Martínez</t>
  </si>
  <si>
    <t xml:space="preserve">Leyva</t>
  </si>
  <si>
    <t xml:space="preserve">HTA y CI sin tratamiento. Ingresa con dolor precordial y bigeminismo en el ECG.</t>
  </si>
  <si>
    <t xml:space="preserve">Alexis</t>
  </si>
  <si>
    <t xml:space="preserve">Barrios</t>
  </si>
  <si>
    <t xml:space="preserve">Exbebedor, ingresado en agosto por MCP dilatada con FEVI en 20%. Ahora ingresa con descompensación de ICC.</t>
  </si>
  <si>
    <t xml:space="preserve">Esther</t>
  </si>
  <si>
    <t xml:space="preserve">Suárez</t>
  </si>
  <si>
    <t xml:space="preserve">León</t>
  </si>
  <si>
    <t xml:space="preserve">HT, CI. Ingresa por bronconeumonia en TIA y hace cuadro de EAP con T (-) en toda cara anterior.</t>
  </si>
  <si>
    <t xml:space="preserve">Pastor Braulio</t>
  </si>
  <si>
    <t xml:space="preserve">Gort</t>
  </si>
  <si>
    <t xml:space="preserve">Armas</t>
  </si>
  <si>
    <t xml:space="preserve">HTA, IMA hace 4 años. Ingresa con IMA inferior y shock durante el inicio de la trombolisis. Se decide ACTP primaria a CD 80% media.</t>
  </si>
  <si>
    <t xml:space="preserve">Leonides</t>
  </si>
  <si>
    <t xml:space="preserve">Ramírez</t>
  </si>
  <si>
    <t xml:space="preserve">Franco</t>
  </si>
  <si>
    <t xml:space="preserve">DM, HTA. CI que ingresa con angina de empeoramiento progresivo sin cambios electricos. Se realiza coro con enfermedad multivaso y se trata la 1Diagonal proximal.</t>
  </si>
  <si>
    <t xml:space="preserve">Ernesto</t>
  </si>
  <si>
    <t xml:space="preserve">Cruz</t>
  </si>
  <si>
    <t xml:space="preserve">Multivaso con TCI 80%. Ingresa con angina y cambios eléctricos.</t>
  </si>
  <si>
    <t xml:space="preserve"> Jesús</t>
  </si>
  <si>
    <t xml:space="preserve">Cardet</t>
  </si>
  <si>
    <t xml:space="preserve">HTA sin tto, fumador y bebedor habitual. Ingresa con dolor precordial importante y supra. Se diagnostica IMA no STK. Se realiza ACT a DA ostial como única lesión.</t>
  </si>
  <si>
    <t xml:space="preserve">Alejandro</t>
  </si>
  <si>
    <t xml:space="preserve">Méndez</t>
  </si>
  <si>
    <t xml:space="preserve">HTA, egresa el 4/9/2018 de nuestro servicio por AI c/cambios. Despues de l egreso continua con sintomas y se decide nuevamente ingreso. Se realiza coro y ACTP a DA y Cx.</t>
  </si>
  <si>
    <t xml:space="preserve">Jorge Luis</t>
  </si>
  <si>
    <t xml:space="preserve">Vilches</t>
  </si>
  <si>
    <t xml:space="preserve">Garrido</t>
  </si>
  <si>
    <t xml:space="preserve">Ingresa con angina empeoramiento progresivo sin cambios. Se lleva a coro, con arterias sin lesiones significativas.</t>
  </si>
  <si>
    <t xml:space="preserve">Lian</t>
  </si>
  <si>
    <t xml:space="preserve">Barreto</t>
  </si>
  <si>
    <t xml:space="preserve">Fumador y bebedor. Ingresa con emergencia HTA y ECG con signos de HVI con sobrecarga sistólica severa, sin dolor precordial.</t>
  </si>
  <si>
    <t xml:space="preserve">Carlos</t>
  </si>
  <si>
    <t xml:space="preserve">Gamboa</t>
  </si>
  <si>
    <t xml:space="preserve">Murguecia</t>
  </si>
  <si>
    <t xml:space="preserve">083893</t>
  </si>
  <si>
    <t xml:space="preserve">HTA, comienza con dolor precordial opresivo y ECG con T negativa en cara inerior y lateral</t>
  </si>
  <si>
    <t xml:space="preserve"> Dinorah</t>
  </si>
  <si>
    <t xml:space="preserve">Montes</t>
  </si>
  <si>
    <t xml:space="preserve">Blanco</t>
  </si>
  <si>
    <t xml:space="preserve">APP de CI, HTA y AVE. Tratamiento por arrimita. Ahora ingresa con FA con respuesta ventricular rápida.</t>
  </si>
  <si>
    <t xml:space="preserve">Sigfredo</t>
  </si>
  <si>
    <t xml:space="preserve">Sánchez</t>
  </si>
  <si>
    <t xml:space="preserve">Ruiz</t>
  </si>
  <si>
    <t xml:space="preserve">APP de MCP dilatada, HTA, DM, con coro negativa. Ahora ingresa con angina inestable.</t>
  </si>
  <si>
    <t xml:space="preserve">José Basilio</t>
  </si>
  <si>
    <t xml:space="preserve">del Valle</t>
  </si>
  <si>
    <t xml:space="preserve">Fumador y alcohólico. Ingresa con IMA anterior de más de 6 horas de evolución y se decide trombolizar porque seguía con dolor. En Eco ecos espontáneos. Se decide comenzar con warfarina y mandar pueba de viabilidad.</t>
  </si>
  <si>
    <t xml:space="preserve">Gertrudis</t>
  </si>
  <si>
    <t xml:space="preserve">Ponce</t>
  </si>
  <si>
    <t xml:space="preserve">HTA, tiene historia de síncopes con relajación de esfínteres. En observación se observa TRIN. </t>
  </si>
  <si>
    <t xml:space="preserve">Florentino</t>
  </si>
  <si>
    <t xml:space="preserve">Mamaytio</t>
  </si>
  <si>
    <t xml:space="preserve">IMA antiguo y MCP dilatada. Ingresa con descompensación de la ICC. Se traslada a Medicina por FA alta.</t>
  </si>
  <si>
    <t xml:space="preserve">Raúl Lorenzo</t>
  </si>
  <si>
    <t xml:space="preserve">Fernández</t>
  </si>
  <si>
    <t xml:space="preserve">HTA, DM. Hace un mes con dolor precordial. Se ingresa con angina inestable de empeoramiento progresivo.</t>
  </si>
  <si>
    <t xml:space="preserve">IMA a los 37 años, IMA en enero/18 no STQ. Ingreso hace menos de una semana con coro multivaso para tto QX. Ahora ingresa con angina en reposo. Se traslada al HHA.</t>
  </si>
  <si>
    <t xml:space="preserve">Radamés</t>
  </si>
  <si>
    <t xml:space="preserve">Valladares</t>
  </si>
  <si>
    <t xml:space="preserve">Fumador iveterado. Ingresa con IMA inferior. Trombolisis hasta la mitad por hipotensión y bradicardia.</t>
  </si>
  <si>
    <t xml:space="preserve">CI, HTA, ingresó hace poco con FA que revirtió y BNB. Ahora ingresa por síncope. Y soplo de estenosis aórtica. Se diagnostica SDA por melena e IRC. Se traslada a sala de Medicina.</t>
  </si>
  <si>
    <t xml:space="preserve">Miguel</t>
  </si>
  <si>
    <t xml:space="preserve">Moya</t>
  </si>
  <si>
    <t xml:space="preserve">HTA, alcoholico severo. Ingresa por intoxicacion con atenolol y BAV completo. Se implanta MP transitorio. Fallece en Parada.</t>
  </si>
  <si>
    <t xml:space="preserve">Raquel del Pilar</t>
  </si>
  <si>
    <t xml:space="preserve">Santiesteban</t>
  </si>
  <si>
    <t xml:space="preserve">Torres</t>
  </si>
  <si>
    <t xml:space="preserve">0.97318</t>
  </si>
  <si>
    <t xml:space="preserve">MP por enfermedad del nodo. CI. Ingresa con disnea y dolor precordial. Ritmo MP en ECG.</t>
  </si>
  <si>
    <t xml:space="preserve">Mario Sandalio</t>
  </si>
  <si>
    <t xml:space="preserve">Alpízar</t>
  </si>
  <si>
    <t xml:space="preserve">APP de salud. Ingresa con IM subagudo no trombolizado. Realiza FA paroxística.</t>
  </si>
  <si>
    <t xml:space="preserve">Ramón</t>
  </si>
  <si>
    <t xml:space="preserve">Mayol</t>
  </si>
  <si>
    <t xml:space="preserve">Fumador, operado por sangramiento digestivo, que acude con dolor precordial al policlinico y hospital donde le diagnowtican osteocondritis. Ayer dolor importante y llega tarde al CG con IMA anteroseptal no STK. Se le realiza coronariografía pero no se hace ACTP a DA porque no estaba tomando ASA escondido.</t>
  </si>
  <si>
    <t xml:space="preserve">Rubiselda</t>
  </si>
  <si>
    <t xml:space="preserve">Batista</t>
  </si>
  <si>
    <t xml:space="preserve">HTA, DM. Ingresa con ICC y FA paroxística.</t>
  </si>
  <si>
    <t xml:space="preserve">María Minerva</t>
  </si>
  <si>
    <t xml:space="preserve">Salermo</t>
  </si>
  <si>
    <t xml:space="preserve">Danza</t>
  </si>
  <si>
    <t xml:space="preserve">HTA, enfermedad inflamatoria intestinal. Ingresa con IMA trombolizado.</t>
  </si>
  <si>
    <t xml:space="preserve">Lucrecia</t>
  </si>
  <si>
    <t xml:space="preserve">Martín</t>
  </si>
  <si>
    <t xml:space="preserve">Zamedio</t>
  </si>
  <si>
    <t xml:space="preserve">0.01537</t>
  </si>
  <si>
    <t xml:space="preserve">HTA. Ingresa con angina inestable. Comienza a apagarse y fallece.</t>
  </si>
  <si>
    <t xml:space="preserve">Yuleisys</t>
  </si>
  <si>
    <t xml:space="preserve">Álvarez</t>
  </si>
  <si>
    <t xml:space="preserve">Robelijo</t>
  </si>
  <si>
    <t xml:space="preserve">APP de HTA, fumador, IMA anterio. Se realiza ganmagrafía que informa miocardio viable. Se decide coronariografía. Se hace ACTP a DA proximal.</t>
  </si>
  <si>
    <t xml:space="preserve">Silvio Rolando</t>
  </si>
  <si>
    <t xml:space="preserve">Ibarra</t>
  </si>
  <si>
    <t xml:space="preserve">CI, HTA. Ingresa con BAV completo y linfangitis. Se implanta MP transitorio y luego permanente.</t>
  </si>
  <si>
    <t xml:space="preserve">José Fulgencio</t>
  </si>
  <si>
    <t xml:space="preserve">Negrin</t>
  </si>
  <si>
    <t xml:space="preserve">Manso</t>
  </si>
  <si>
    <t xml:space="preserve">HTA, fumador. Ingresa con angina inestable.</t>
  </si>
  <si>
    <t xml:space="preserve">Alfredo</t>
  </si>
  <si>
    <t xml:space="preserve">Fuente</t>
  </si>
  <si>
    <t xml:space="preserve">Fuster</t>
  </si>
  <si>
    <t xml:space="preserve">HTA, CI, fumador. Ingresa frecuentemenete con angina. Ahora ingresa cona ngina inestable.</t>
  </si>
  <si>
    <t xml:space="preserve">Antonio</t>
  </si>
  <si>
    <t xml:space="preserve">Horta</t>
  </si>
  <si>
    <t xml:space="preserve">Mora</t>
  </si>
  <si>
    <t xml:space="preserve">HTA, DM, ingresa con angina empeorada. Se realiza coronariografía y ACTP a DA 95% proxima. Queda 1 diagonal 70% proximal.</t>
  </si>
  <si>
    <t xml:space="preserve">Mario O.</t>
  </si>
  <si>
    <t xml:space="preserve">Hernández </t>
  </si>
  <si>
    <t xml:space="preserve">HTA, Fumador, DM. Ingresa con IMA anterior extenso trombolizado. Se realiza coro con DA 90% media y 1Digonal 70% distal, se le pone dos stent.</t>
  </si>
  <si>
    <t xml:space="preserve">Mequi</t>
  </si>
  <si>
    <t xml:space="preserve">HTA, IMA antiguo. Múltiples ingresos por angina. Prueba de viabilidad positiva. Ingresa para coronariografía. No se realizo porque no habia material para abordaje radial.</t>
  </si>
  <si>
    <t xml:space="preserve">Pablo Jesús</t>
  </si>
  <si>
    <t xml:space="preserve">Semillón</t>
  </si>
  <si>
    <t xml:space="preserve">Puig</t>
  </si>
  <si>
    <t xml:space="preserve">HTA, fumador. Ingresa con IMA inferior trombolizado.</t>
  </si>
  <si>
    <t xml:space="preserve">Asunción</t>
  </si>
  <si>
    <t xml:space="preserve">Guzmán</t>
  </si>
  <si>
    <t xml:space="preserve">HTA, DM de debut, MCP dilatada posible intoxicación por citostáticos. Ingresa con insuficiciencia cardiaca y angina.</t>
  </si>
  <si>
    <t xml:space="preserve">Israel</t>
  </si>
  <si>
    <t xml:space="preserve">Fuentes</t>
  </si>
  <si>
    <t xml:space="preserve">Trujillo</t>
  </si>
  <si>
    <t xml:space="preserve">HTA, fumador inveterado, CI, EPOC, FEVI 42%. Ingresa con disnea a los mínimos esfuerzos.</t>
  </si>
  <si>
    <t xml:space="preserve">Rolando</t>
  </si>
  <si>
    <t xml:space="preserve">Pereira</t>
  </si>
  <si>
    <t xml:space="preserve">0.45093</t>
  </si>
  <si>
    <t xml:space="preserve">APP de salud. Ingresa con BNB extrahospitalaria.</t>
  </si>
  <si>
    <t xml:space="preserve">Esperanza</t>
  </si>
  <si>
    <t xml:space="preserve">Dueña</t>
  </si>
  <si>
    <t xml:space="preserve">Rufín</t>
  </si>
  <si>
    <t xml:space="preserve">HTA, DM-2, CI con coro en 2013 con enfermedad multivasoi incluyendo tronco que en ese momento se negó a operarse. Acude ahora con angina inestable con cambios eléctricos.</t>
  </si>
  <si>
    <t xml:space="preserve">Angel</t>
  </si>
  <si>
    <t xml:space="preserve">Arrieta</t>
  </si>
  <si>
    <t xml:space="preserve">Armenteros</t>
  </si>
  <si>
    <t xml:space="preserve">APP de Asma Bronquial. Ingresa con dolor precordial, hipertensivo y BCRD. </t>
  </si>
  <si>
    <t xml:space="preserve">Noda</t>
  </si>
  <si>
    <t xml:space="preserve">HTA, DM, hiperuricemia. Ingresa con angina inestable con cambios eléctricos. Se crealiza coronariografia con lesión en DA, CX y 1OM. Se decide tratamiento quirúrgico.</t>
  </si>
  <si>
    <t xml:space="preserve">Mario Israel</t>
  </si>
  <si>
    <t xml:space="preserve">Castro</t>
  </si>
  <si>
    <t xml:space="preserve">Valdés</t>
  </si>
  <si>
    <t xml:space="preserve">HTA, Fumador, enfermedad multivaso pendiente para tto Qx. Ingresa con angina sin cambios.</t>
  </si>
  <si>
    <t xml:space="preserve">Alberto Jose</t>
  </si>
  <si>
    <t xml:space="preserve">Llufrio</t>
  </si>
  <si>
    <t xml:space="preserve">Cabrera</t>
  </si>
  <si>
    <t xml:space="preserve">HTA, DM.2, IAP. FA cronica. Ingresa con angina.</t>
  </si>
  <si>
    <t xml:space="preserve">Juan Heriberto</t>
  </si>
  <si>
    <t xml:space="preserve">Hidalgo</t>
  </si>
  <si>
    <t xml:space="preserve">HTA, esteatosis hepática. Ingresa con angina de reciente comienzo sin cambios eléctricos.</t>
  </si>
  <si>
    <t xml:space="preserve">Zambrana</t>
  </si>
  <si>
    <t xml:space="preserve">Peña</t>
  </si>
  <si>
    <t xml:space="preserve">Fumador e HTA, ingresa con IMA lateral STQ.</t>
  </si>
  <si>
    <t xml:space="preserve">María Felicia</t>
  </si>
  <si>
    <t xml:space="preserve">Collazo</t>
  </si>
  <si>
    <t xml:space="preserve">Domínguez</t>
  </si>
  <si>
    <t xml:space="preserve">HTA, CI. Ingresa con BAV completo por timolol</t>
  </si>
  <si>
    <t xml:space="preserve">Jorge        </t>
  </si>
  <si>
    <t xml:space="preserve">Ojeda</t>
  </si>
  <si>
    <t xml:space="preserve">Arguelles</t>
  </si>
  <si>
    <t xml:space="preserve">HTA, CI, HPB con terazosina. Despues de tomado ese medicamento comienza con decaimiento y desmayo, y dolor precordial ligero. En ECG tiene BCRI:</t>
  </si>
  <si>
    <t xml:space="preserve">Villar</t>
  </si>
  <si>
    <t xml:space="preserve">Fraga</t>
  </si>
  <si>
    <t xml:space="preserve">0.37812</t>
  </si>
  <si>
    <t xml:space="preserve">HTA, DM-2, MP permanente. Ingresa con EAP despues de una infusión en su policlínico.</t>
  </si>
  <si>
    <t xml:space="preserve">Sara</t>
  </si>
  <si>
    <t xml:space="preserve">Rabí</t>
  </si>
  <si>
    <t xml:space="preserve">O`Farrill</t>
  </si>
  <si>
    <t xml:space="preserve">0.92354</t>
  </si>
  <si>
    <t xml:space="preserve">HTA, DM, ERC, CI, MPP permanente por BAV complñeto. Ingresa con ICC severa y toma de la conciencia.</t>
  </si>
  <si>
    <t xml:space="preserve">Guillermo</t>
  </si>
  <si>
    <t xml:space="preserve">Estrada</t>
  </si>
  <si>
    <t xml:space="preserve">Coello</t>
  </si>
  <si>
    <t xml:space="preserve">HTA, fumador inveterado, IRC. Prueba de viabilidad positiva. Ingresa con angina inestable sin cambios. Se realiza coronariografía y ACTP a DA, CX y CD. Quedan otras lesiones.</t>
  </si>
  <si>
    <t xml:space="preserve">Osmani</t>
  </si>
  <si>
    <t xml:space="preserve">HTA, Asma Bronquial. Ingresa con angina inestable.</t>
  </si>
  <si>
    <t xml:space="preserve">Ymerio</t>
  </si>
  <si>
    <t xml:space="preserve">Zamora</t>
  </si>
  <si>
    <t xml:space="preserve">CI, sospecha de neoplasia de vejiga. Ingresa con dolor precordial y signos de insuficiencia cardiaca. ECG con BCRI.</t>
  </si>
  <si>
    <t xml:space="preserve">Yanet</t>
  </si>
  <si>
    <t xml:space="preserve">Gutiérrez</t>
  </si>
  <si>
    <t xml:space="preserve">Retraso mental ligero por hipoxia neonatal. Parió hace 18 meses. DM gestional. Comienza con falta de aire que dicen que es neumonía, y la mandan al dermatólogo por piernas hinchadas. Al continuar con disnea se ingresa. FEVI en 30%. MCP dilatada.</t>
  </si>
  <si>
    <t xml:space="preserve">Gladys</t>
  </si>
  <si>
    <t xml:space="preserve">Ferrer</t>
  </si>
  <si>
    <t xml:space="preserve">Bisset</t>
  </si>
  <si>
    <t xml:space="preserve">HTA, CI. Hace tres meses viene presentando descompensación de TA a mínimos esfuerzos, acompañados de dolor precordial y disnea. En ECG hay T negativas nuevas en precordiales.</t>
  </si>
  <si>
    <t xml:space="preserve">Caridad</t>
  </si>
  <si>
    <t xml:space="preserve">Lacoste</t>
  </si>
  <si>
    <t xml:space="preserve">HTA, DM. Ingresa con IMA anteroseptal no trombolizado.</t>
  </si>
  <si>
    <t xml:space="preserve">Eliseo</t>
  </si>
  <si>
    <t xml:space="preserve">Figueroa</t>
  </si>
  <si>
    <t xml:space="preserve">HTA, Asma Bronquial, exfumador y bebedor. Ingresa con disnea e insuficiencia arterial periférica crónica. En ECG BRD+HVI+SSVI. Realiza sangramiento digestivo bajo que fue valorado por Proctologóa con fisura anal y hemorroides. Se traslada a Medicina.</t>
  </si>
  <si>
    <t xml:space="preserve">Ricardo</t>
  </si>
  <si>
    <t xml:space="preserve">Santallana</t>
  </si>
  <si>
    <t xml:space="preserve">Sano. Ingresa con BAV completo. Se implanta MPP.</t>
  </si>
  <si>
    <t xml:space="preserve">Beatriz</t>
  </si>
  <si>
    <t xml:space="preserve">Mederos</t>
  </si>
  <si>
    <t xml:space="preserve">Llanes</t>
  </si>
  <si>
    <t xml:space="preserve">HTA, IM en 2015. pendiente de vaibilidad. Ingresa con angina inestable sin cambios. Se realiza coro con 1Diag 70% (p) y CD 100% (p) sin poder abordar. Se decide tratamiento médico.</t>
  </si>
  <si>
    <t xml:space="preserve">Juan</t>
  </si>
  <si>
    <t xml:space="preserve">IM antiguo, HTA, DM2, ICC. Ingresa con emergencia hipertensiva y edema agudo del pulmón. Se traslada a Medicina.</t>
  </si>
  <si>
    <t xml:space="preserve">Pedro E.</t>
  </si>
  <si>
    <t xml:space="preserve">Lastre</t>
  </si>
  <si>
    <t xml:space="preserve">HTA, CI. Tratamiento con amiodarona. Realiza síncope con bradicardia sinusal.</t>
  </si>
  <si>
    <t xml:space="preserve">Gisela Caridad</t>
  </si>
  <si>
    <t xml:space="preserve">-</t>
  </si>
  <si>
    <t xml:space="preserve">HTA, DM-2. Historia de dolores lumbares y problemas al caminar. Ingresa con angina inestable con cambios eléctricos.</t>
  </si>
  <si>
    <t xml:space="preserve">Orlinda</t>
  </si>
  <si>
    <t xml:space="preserve">Labrada</t>
  </si>
  <si>
    <t xml:space="preserve">HTA, CI, DM2. ingresa con BAV completo. Se implanta MP permanente</t>
  </si>
  <si>
    <t xml:space="preserve">Adelfa Estebalina</t>
  </si>
  <si>
    <t xml:space="preserve">Piñera</t>
  </si>
  <si>
    <t xml:space="preserve">HTA. Hace un año con síncope. Ahora BAV 2:1 que alterna con completo. Se implanta MP permanente.</t>
  </si>
  <si>
    <t xml:space="preserve">Ingresa en enero 2018 con angina y se realiza ACTP a DA con disección. Se realiza coronariografía con pérdida luminal de 45% de stent en DA. No lesiones significativas. Se realiza perfusión que informa viabilidad. Se decide ACTP. No se realiza y se decide mejorar tto médico.</t>
  </si>
  <si>
    <t xml:space="preserve">Haydeé</t>
  </si>
  <si>
    <t xml:space="preserve">Ruz</t>
  </si>
  <si>
    <t xml:space="preserve">HTA, CI, Hernia hiatal, artritis reumatoidea. Ingresa con IMA anteroseptal trombolizado, con hipotensión. En la mañana hace PCR en asistolia y fallece.</t>
  </si>
  <si>
    <t xml:space="preserve">Enfermedad multivaso, DM-2, HTA, ICC. Ingresa con angina empeorada sin cambios. En sala hace EAP que llevó VM. Fallece en bajo gasto.</t>
  </si>
  <si>
    <t xml:space="preserve">Leopoldina</t>
  </si>
  <si>
    <t xml:space="preserve">Maldivea</t>
  </si>
  <si>
    <t xml:space="preserve">Enfermedad multivaso que desechó tto Qx en su momento, DM-2, HTA. Ingresa con angina empeorada sin cambios.</t>
  </si>
  <si>
    <t xml:space="preserve">Fabián</t>
  </si>
  <si>
    <t xml:space="preserve">Concepción</t>
  </si>
  <si>
    <t xml:space="preserve">HTA, DM, etílico. Ingresa con IMA anterior extenso no trombolizado. En el ingreso hace EAP.</t>
  </si>
  <si>
    <t xml:space="preserve">Guillermo </t>
  </si>
  <si>
    <t xml:space="preserve">Jardinez</t>
  </si>
  <si>
    <t xml:space="preserve">HTA, IM, DM-2, RMQ en 2014. MCP dilatada con función disminuida. Ingresa con edemas y ascitis.</t>
  </si>
  <si>
    <t xml:space="preserve">Margarita</t>
  </si>
  <si>
    <t xml:space="preserve">HTA, DM2. ingresa con IMA inferiorsubagudo, que realiza shock cardiogénico y fallece.</t>
  </si>
  <si>
    <t xml:space="preserve">Figueredo</t>
  </si>
  <si>
    <t xml:space="preserve">HTA, fumador. Ingresa con IMA inferolateral STQ.</t>
  </si>
  <si>
    <t xml:space="preserve">María Mercedes</t>
  </si>
  <si>
    <t xml:space="preserve">Azahares</t>
  </si>
  <si>
    <t xml:space="preserve">Gómez</t>
  </si>
  <si>
    <t xml:space="preserve">HTA, DM-2. Hace 23 días dolor precordial importante y pérdida de conocimiento. Luego continua con dolor precordial al esfuerzo y reposo. En ECG IMA anteroseptal crónico. Ingresa con angina postIMA.</t>
  </si>
  <si>
    <t xml:space="preserve">Gloria María</t>
  </si>
  <si>
    <t xml:space="preserve">Santa Rosa</t>
  </si>
  <si>
    <t xml:space="preserve">HTA, DM, dislipidemia, Parkinson. Ingresa con emergencia HTA.</t>
  </si>
  <si>
    <t xml:space="preserve">,</t>
  </si>
  <si>
    <t xml:space="preserve">Reynaldo</t>
  </si>
  <si>
    <t xml:space="preserve">HTA, fumador, ingresa con palpitaciones y síncopes. Us con trastornos del tiroides y eco con signos de lesión en DA. Se traslada a Medicina.</t>
  </si>
  <si>
    <t xml:space="preserve">Manuel</t>
  </si>
  <si>
    <t xml:space="preserve">Almiral</t>
  </si>
  <si>
    <t xml:space="preserve">Rosell</t>
  </si>
  <si>
    <t xml:space="preserve">HTA, exfumador, MCP dilatada con varios ingresos. Ahora descompensación de insufciencia cardiaca. Se traslada a Medicina</t>
  </si>
  <si>
    <t xml:space="preserve">Carmona</t>
  </si>
  <si>
    <t xml:space="preserve">0.70461</t>
  </si>
  <si>
    <t xml:space="preserve">HTA, IM antiguo con stent en CD, fumador. Ingresa con angina de empeoramiento progresivo. ECG con BRD</t>
  </si>
  <si>
    <t xml:space="preserve">Fidel Salvador</t>
  </si>
  <si>
    <t xml:space="preserve">Valdes</t>
  </si>
  <si>
    <t xml:space="preserve">HTA, linfoma en remsión, exfumador. Ingresa con IMA inferior trombolizado.</t>
  </si>
  <si>
    <t xml:space="preserve">Fumador, HTA, IMA hace 23 días. Ingresa con angina postIMA. Se realiza coro con Cx 90% media, donde se realiza ICP.</t>
  </si>
  <si>
    <t xml:space="preserve">Félix Andrés</t>
  </si>
  <si>
    <t xml:space="preserve">Cajigas</t>
  </si>
  <si>
    <t xml:space="preserve">Urgelles</t>
  </si>
  <si>
    <t xml:space="preserve">HTA, IM antiguo. Ingresa con angina inestable sin cambios.</t>
  </si>
  <si>
    <t xml:space="preserve">Juan Manuel</t>
  </si>
  <si>
    <t xml:space="preserve">Guerra</t>
  </si>
  <si>
    <t xml:space="preserve">Orgas</t>
  </si>
  <si>
    <t xml:space="preserve">HTA, CI. Refiere coro sin lesiones significativas. Ahora ingresa con angina sin cambios.</t>
  </si>
  <si>
    <t xml:space="preserve">Francisco</t>
  </si>
  <si>
    <t xml:space="preserve">Morales</t>
  </si>
  <si>
    <t xml:space="preserve">Rey</t>
  </si>
  <si>
    <t xml:space="preserve">HTA, fumador, tratamiento con atenolol. Ingresa con dolor torácico atípico y bradicardia con ECG con BAV 1er grado.</t>
  </si>
  <si>
    <t xml:space="preserve">Rafael Antonio</t>
  </si>
  <si>
    <t xml:space="preserve">Pedraza</t>
  </si>
  <si>
    <t xml:space="preserve">Machado</t>
  </si>
  <si>
    <t xml:space="preserve">Exfumador, HTA. Ingresa con angina inestable con cambios eléctrcios.</t>
  </si>
  <si>
    <t xml:space="preserve">HTA, enfermedad inflamatoria intestinal. IMA trombolizado hace menos de un mes. Ingresa con angina postIMA. Se realiza ACTP a CX don stent. Queda hematoma en el antebrazo izquierdo.</t>
  </si>
  <si>
    <t xml:space="preserve">Bárbara Margarita</t>
  </si>
  <si>
    <t xml:space="preserve">Delgado</t>
  </si>
  <si>
    <t xml:space="preserve">Exfumadora, HTA, IM antiguo. ACTP en DA en 2014. ahora ingresa con angina empeorada de esfuerzo.</t>
  </si>
  <si>
    <t xml:space="preserve">Pilar</t>
  </si>
  <si>
    <t xml:space="preserve">HTA, ICC, MCP. Ingresa con descompensación con shock cardiogénico y está apoyada con dobutamina. Fallece.</t>
  </si>
  <si>
    <t xml:space="preserve">Armando</t>
  </si>
  <si>
    <t xml:space="preserve">Collado</t>
  </si>
  <si>
    <t xml:space="preserve">Sorrer</t>
  </si>
  <si>
    <t xml:space="preserve">HTA, operado de aneurismo aortoabdominal hace 7 años. Ingresa con emergencia HTA. Se traslada a sala de Medicina por diarreas a terminar estudio.</t>
  </si>
  <si>
    <t xml:space="preserve">Ena Rosa</t>
  </si>
  <si>
    <t xml:space="preserve">Paneque</t>
  </si>
  <si>
    <t xml:space="preserve">Ramos</t>
  </si>
  <si>
    <t xml:space="preserve">HTA, exfumadora, CI, DM-2. Ingresa con bronconeumonia extrahospitalaria</t>
  </si>
  <si>
    <t xml:space="preserve">Tatiana</t>
  </si>
  <si>
    <t xml:space="preserve">HTA, fumadora, ingresa con emergencia HTA  y angina. En evolución en sala se diagnsotica por cambios ECG IMA anteroseptal. Se lleva a coco y se realiza ICP en DA media, con trombosis hiperaguda del stent. Se abre de nuevo el vaso. Realiza IM inferior.</t>
  </si>
  <si>
    <t xml:space="preserve">Arsenio Silvio</t>
  </si>
  <si>
    <t xml:space="preserve">Tamayo</t>
  </si>
  <si>
    <t xml:space="preserve">HTA. Ingresacon dolor de 4 días y al ECG necrosis cara inferior.</t>
  </si>
  <si>
    <t xml:space="preserve">Rafael</t>
  </si>
  <si>
    <t xml:space="preserve">HTA, CI. En junio de este año ingreso en Julio Trigo por AI. Ahora ingresó con AI sin cambios.</t>
  </si>
  <si>
    <t xml:space="preserve">Gilberto</t>
  </si>
  <si>
    <t xml:space="preserve">Aguiar</t>
  </si>
  <si>
    <t xml:space="preserve">Exfumador, IM antiguo, HTA. Se realiza ICP a TCI 90% (d) sin complicaciones. Única lesión</t>
  </si>
  <si>
    <t xml:space="preserve">Ana María</t>
  </si>
  <si>
    <t xml:space="preserve">Izquierdo</t>
  </si>
  <si>
    <t xml:space="preserve">Milián</t>
  </si>
  <si>
    <t xml:space="preserve">Fumadora inveterada. Ingresa con IMA inferior trombolizado.</t>
  </si>
  <si>
    <t xml:space="preserve">Jorge Maximiliano</t>
  </si>
  <si>
    <t xml:space="preserve">Ochoa</t>
  </si>
  <si>
    <t xml:space="preserve">0.18066</t>
  </si>
  <si>
    <t xml:space="preserve">HTA, estenosis aortica moderada, parkinsonismo. Ingresa con angina inestable sin cambios eléctricos.</t>
  </si>
  <si>
    <t xml:space="preserve">Víctor</t>
  </si>
  <si>
    <t xml:space="preserve">Márquez</t>
  </si>
  <si>
    <t xml:space="preserve">IRC, DM-2, HTA. Historia de su policlínico con PCR reanimada. Se traslada a sala de Medicina para estudio de IRC.</t>
  </si>
  <si>
    <t xml:space="preserve">Enrique</t>
  </si>
  <si>
    <t xml:space="preserve">Ortiz</t>
  </si>
  <si>
    <t xml:space="preserve">Rojas</t>
  </si>
  <si>
    <t xml:space="preserve">HTP. Dejó de tomar sildenafilo y comienza con falta de aire.</t>
  </si>
  <si>
    <t xml:space="preserve">Lucio D.</t>
  </si>
  <si>
    <t xml:space="preserve">Maura</t>
  </si>
  <si>
    <t xml:space="preserve">Rodriguez</t>
  </si>
  <si>
    <t xml:space="preserve">HTA, DM-2. ingresa con íctero verdínico y hepatomegalia.</t>
  </si>
  <si>
    <t xml:space="preserve">Pascual</t>
  </si>
  <si>
    <t xml:space="preserve">Fumador e HTA. Comienza con angina de reciente diagnóstico sin cambios.</t>
  </si>
  <si>
    <t xml:space="preserve">Yaneikys</t>
  </si>
  <si>
    <t xml:space="preserve">Lorenzo</t>
  </si>
  <si>
    <t xml:space="preserve">Conde</t>
  </si>
  <si>
    <t xml:space="preserve">APP de salud. Ingresa con angina y cambios de T</t>
  </si>
  <si>
    <t xml:space="preserve">Ramona</t>
  </si>
  <si>
    <t xml:space="preserve">Zayas</t>
  </si>
  <si>
    <t xml:space="preserve">HTA, CI. Ingresa con ICC y BNB</t>
  </si>
  <si>
    <t xml:space="preserve">Aleido</t>
  </si>
  <si>
    <t xml:space="preserve">Oliva</t>
  </si>
  <si>
    <t xml:space="preserve">Fumador, DM-2. Ingresa con IMA inferior con hipotensión q llevó apoyo con dobutamina y no se trombolizó.</t>
  </si>
  <si>
    <t xml:space="preserve">Síncopes vasovagales y epilepsia focal sin tratamiento. Ingresa con IMA inferior trombolizado. Se realiza coro e ICP a CD y 1OM distal</t>
  </si>
  <si>
    <t xml:space="preserve"> Elsa</t>
  </si>
  <si>
    <t xml:space="preserve">Miranda</t>
  </si>
  <si>
    <t xml:space="preserve">HTA refractaria. Ingresa para estabilización. En ingreso realiza varios eventos de síncope y lipotimia con FC en 30 lpm. Se decide implantación de MPP.</t>
  </si>
  <si>
    <t xml:space="preserve">Remberto</t>
  </si>
  <si>
    <t xml:space="preserve">Urribarrena</t>
  </si>
  <si>
    <t xml:space="preserve">Fumador, HTA, DM2. realiza PCR y se pone VMI. Fallece en PCR.</t>
  </si>
  <si>
    <t xml:space="preserve">Yaneidis</t>
  </si>
  <si>
    <t xml:space="preserve">Sarria</t>
  </si>
  <si>
    <t xml:space="preserve">HTA, VIH. Ingresa con dolor abdominal y tumoración en hipocondrio y flanco derecho.</t>
  </si>
  <si>
    <t xml:space="preserve">Pedro José</t>
  </si>
  <si>
    <t xml:space="preserve">IMA inferioir en 2009 con stent en DA y 2OM, quedando lesiones en Cx, CD y 1 diag. Ahoira ingres con IMA anterior extenso trombolizado. </t>
  </si>
  <si>
    <t xml:space="preserve">Pompa</t>
  </si>
  <si>
    <t xml:space="preserve">Fumador, HTA, DM2. Asma, ingresa con angina empeorada por falta de tratamiento. ECG con BCRI</t>
  </si>
  <si>
    <t xml:space="preserve">Luis Augusto</t>
  </si>
  <si>
    <t xml:space="preserve">Carrión</t>
  </si>
  <si>
    <t xml:space="preserve">HTA, IM antiguo, DM2, RMQ. Ingresa con angina empeorada. En ECG hay BCRD</t>
  </si>
  <si>
    <t xml:space="preserve">Alberto Liberato</t>
  </si>
  <si>
    <t xml:space="preserve">Bello</t>
  </si>
  <si>
    <t xml:space="preserve">Varona</t>
  </si>
  <si>
    <t xml:space="preserve">HTA, IM antiguo. Se realiza prueba ergometríca siendo de alto riesgo y se decide ingresar para coronariografía. En coro enfermedad multivaso con criterio Qx.</t>
  </si>
  <si>
    <t xml:space="preserve">Pablo</t>
  </si>
  <si>
    <t xml:space="preserve">Alcira</t>
  </si>
  <si>
    <t xml:space="preserve">Exfumador. Ingresa con dolor precordila y disnea.</t>
  </si>
  <si>
    <t xml:space="preserve">Campo</t>
  </si>
  <si>
    <t xml:space="preserve">Olga Lidia</t>
  </si>
  <si>
    <t xml:space="preserve">Croffet</t>
  </si>
  <si>
    <t xml:space="preserve">HTA, DM, ATI. Ingresa con cifras altas de TA y hemiparesia.</t>
  </si>
  <si>
    <t xml:space="preserve">Efumador, IMA anteroseptal no STQ que se realizó coro con lesión en DA 70% ostial, que se complicón con hematoma severo sitio de punción. Ahora ingresa para ACTP. Se ponen 2 stent en DA.</t>
  </si>
  <si>
    <t xml:space="preserve">Mariano Julián</t>
  </si>
  <si>
    <t xml:space="preserve">Trémol</t>
  </si>
  <si>
    <t xml:space="preserve">HTA, IAP con amputación. Ingresa con dolor precordial y BCRI intermitente.</t>
  </si>
  <si>
    <t xml:space="preserve">Lino Roberto</t>
  </si>
  <si>
    <t xml:space="preserve">Viera</t>
  </si>
  <si>
    <t xml:space="preserve">Alonso</t>
  </si>
  <si>
    <t xml:space="preserve">Fumador, ingresa con IMA anteroseptal trombolizado.</t>
  </si>
  <si>
    <t xml:space="preserve">Emilio</t>
  </si>
  <si>
    <t xml:space="preserve">Laguna</t>
  </si>
  <si>
    <t xml:space="preserve">HTA, CI, MCP dilatada, ingresa con descompensación de FA y FA crónica.</t>
  </si>
  <si>
    <t xml:space="preserve">Abdul Rahman</t>
  </si>
  <si>
    <t xml:space="preserve">Iddrisu</t>
  </si>
  <si>
    <t xml:space="preserve">HTA. Comienza con dolor precordial y supra en DI y AVL que mejora con el alivio del dolor. Se ingresa como angina vasoespástica. En eco MCP hipertrófica.</t>
  </si>
  <si>
    <t xml:space="preserve">Andrés</t>
  </si>
  <si>
    <t xml:space="preserve">Osorio</t>
  </si>
  <si>
    <t xml:space="preserve">HTA, fumador. Ingresa con emergencia HTA, angina de pecho.</t>
  </si>
  <si>
    <t xml:space="preserve">Anglada</t>
  </si>
  <si>
    <t xml:space="preserve">Barrera</t>
  </si>
  <si>
    <t xml:space="preserve">HTA, DM, IRC. Ingresa cn cifras elevadas de TA y cmabios eléctricos</t>
  </si>
  <si>
    <t xml:space="preserve">Maritza Consuelo</t>
  </si>
  <si>
    <t xml:space="preserve">Águila</t>
  </si>
  <si>
    <t xml:space="preserve">HTA, DM2, ingresa con angina. En ECG tiene BCRI</t>
  </si>
  <si>
    <t xml:space="preserve">Ana Alicia</t>
  </si>
  <si>
    <t xml:space="preserve">Jiménez</t>
  </si>
  <si>
    <t xml:space="preserve">HTA, enfermedad multivaso, estenosis aórtica severa, MPP VVI. Ingresa con emergencia HTA y angina.</t>
  </si>
  <si>
    <t xml:space="preserve">Mejores</t>
  </si>
  <si>
    <t xml:space="preserve">Fumador. Ingresa con angina inestable y FA con RVA.</t>
  </si>
  <si>
    <t xml:space="preserve">Marta</t>
  </si>
  <si>
    <t xml:space="preserve">HTA, CI, DM, hipotiroidea. Ingresa con emergencia hipertensiva y angina.</t>
  </si>
  <si>
    <t xml:space="preserve">Roberto Herminio</t>
  </si>
  <si>
    <t xml:space="preserve">Téllez</t>
  </si>
  <si>
    <t xml:space="preserve">Vega</t>
  </si>
  <si>
    <t xml:space="preserve">HTA. Acude con disnea. Al eco tiene vegetaciones en mitral. Se ingresa como endocarditis infecciosa. ECG en FA</t>
  </si>
  <si>
    <t xml:space="preserve">IMA inferioir en 2009 con stent en DA y 2OM. IMA anterior extenso trombolizado hace 15 días. Ingresa con angina postIMA. Se realiza ICP a DA proximal. Hematoma en sitio de punción.</t>
  </si>
  <si>
    <t xml:space="preserve">Arnoldo</t>
  </si>
  <si>
    <t xml:space="preserve">Rivera</t>
  </si>
  <si>
    <t xml:space="preserve">Ordoñez</t>
  </si>
  <si>
    <t xml:space="preserve">APP salud. Ingresa con fiebre de origen desconocido.</t>
  </si>
  <si>
    <t xml:space="preserve">Osvaldo</t>
  </si>
  <si>
    <t xml:space="preserve">Fernandez</t>
  </si>
  <si>
    <t xml:space="preserve">Fiallo</t>
  </si>
  <si>
    <t xml:space="preserve">Exfumador, CI. En octubre 2018 coro con enfermedad multivaso. Continua con síntomas y se realiza ACTP a DA y CD.</t>
  </si>
  <si>
    <t xml:space="preserve">Angel Leonardo</t>
  </si>
  <si>
    <t xml:space="preserve">Cubero</t>
  </si>
  <si>
    <t xml:space="preserve">Menéndez</t>
  </si>
  <si>
    <t xml:space="preserve">HTA, CI. En Canada hace un mes cuadro que interpretan como TEP. Ahora ingresa con disnea severa. En ECG FA. En ECG estenosis aórtica severa.</t>
  </si>
  <si>
    <t xml:space="preserve">Paes</t>
  </si>
  <si>
    <t xml:space="preserve">CI y HTA. Ingresa con angina empeorada y cambios de T.</t>
  </si>
  <si>
    <t xml:space="preserve">Ángela R. </t>
  </si>
  <si>
    <t xml:space="preserve">Fornaris</t>
  </si>
  <si>
    <t xml:space="preserve">CI, HTA. Ingresa con angina empeorada con cambios eléctricos.</t>
  </si>
  <si>
    <t xml:space="preserve">Pedro</t>
  </si>
  <si>
    <t xml:space="preserve">Damas</t>
  </si>
  <si>
    <t xml:space="preserve">HTA, DM, prancreatitis. Ingresa ahora con pancreatitis aguda.</t>
  </si>
  <si>
    <t xml:space="preserve">Luis Antonio</t>
  </si>
  <si>
    <t xml:space="preserve">Pacheco</t>
  </si>
  <si>
    <t xml:space="preserve">Pozo</t>
  </si>
  <si>
    <t xml:space="preserve">HTA, fumador, CI. Ingresa con dolor atípico y supra ST en ECG.</t>
  </si>
  <si>
    <t xml:space="preserve">Fidel</t>
  </si>
  <si>
    <t xml:space="preserve">Carvajal</t>
  </si>
  <si>
    <t xml:space="preserve">APP cáncer de cuerdas vocales. Ahora con disfagia. Ingresa con angina a los esfuerzos y necrosis en cara inferior. Comienza con vóm,itos frecuentes con resto de alimento. Se diagnostica síndrome pilórico por endoscopia y se traslada a Cirugía</t>
  </si>
  <si>
    <t xml:space="preserve">Elsi</t>
  </si>
  <si>
    <t xml:space="preserve">0.14104</t>
  </si>
  <si>
    <t xml:space="preserve">HTA, ICC, FA, EPOC. Ingresa con descompensación respiratoria</t>
  </si>
  <si>
    <t xml:space="preserve">Carlos Alberto</t>
  </si>
  <si>
    <t xml:space="preserve">Díaz </t>
  </si>
  <si>
    <t xml:space="preserve">Paira</t>
  </si>
  <si>
    <t xml:space="preserve">HPB. En enero cuadro de sudoración y síncope, con BCRI intermitente que interpretaron como IMA. Eco y ganmagrafía negativas de isquemia. Ingresa con síncope y BCI intermitente. Se implanta MPP.</t>
  </si>
  <si>
    <t xml:space="preserve">Mario</t>
  </si>
  <si>
    <t xml:space="preserve">Muñeca</t>
  </si>
  <si>
    <t xml:space="preserve">DM, HTA, IMA en junio, coronariografía con stent en CD y DA. Ingresa con dolor precordial y se lleva a revisar. Se ponde ICP a 1OM, quedando otras lesiones que no se pudieron abordar.</t>
  </si>
  <si>
    <t xml:space="preserve">Anay M</t>
  </si>
  <si>
    <t xml:space="preserve">Matos</t>
  </si>
  <si>
    <t xml:space="preserve">Durán</t>
  </si>
  <si>
    <t xml:space="preserve">HTA, FA cróinica con diltiazem y carvedilo, DM.2, hipotiroidea. Ingresa con FA bloqueada con bradicardia severa.</t>
  </si>
  <si>
    <t xml:space="preserve">Clara</t>
  </si>
  <si>
    <t xml:space="preserve">Corrales</t>
  </si>
  <si>
    <t xml:space="preserve">HTA. Ingresa con angina de reciente comienzo y cambios eléctricos.</t>
  </si>
  <si>
    <t xml:space="preserve">María Regla</t>
  </si>
  <si>
    <t xml:space="preserve">San Martín</t>
  </si>
  <si>
    <t xml:space="preserve">HTA. Ingresa con IMA inferior trombolizado y emergencia HTA.</t>
  </si>
  <si>
    <t xml:space="preserve">José M.</t>
  </si>
  <si>
    <t xml:space="preserve">Escobar</t>
  </si>
  <si>
    <t xml:space="preserve">Chávez</t>
  </si>
  <si>
    <t xml:space="preserve">APP de IM. Ahora ingresa con angina de empeoramiento progresivo, en ECG tiene BAV 1er grado, BRD y BFAI. Se realiza coronariografía con lesiones severas en DA y CD. Llega en shock cardiogénico. Se recupera.</t>
  </si>
  <si>
    <t xml:space="preserve">Ethel E.</t>
  </si>
  <si>
    <t xml:space="preserve">Castañeda Trujillo</t>
  </si>
  <si>
    <t xml:space="preserve">HTA, ingresa por síncope y FA severa.</t>
  </si>
  <si>
    <t xml:space="preserve">Yolanda</t>
  </si>
  <si>
    <t xml:space="preserve">Hdez</t>
  </si>
  <si>
    <t xml:space="preserve">Arias</t>
  </si>
  <si>
    <t xml:space="preserve">CI, HTA. Ingresa con angina inestable empeorada.</t>
  </si>
  <si>
    <t xml:space="preserve">André</t>
  </si>
  <si>
    <t xml:space="preserve">Bueno</t>
  </si>
  <si>
    <t xml:space="preserve">Betancourt</t>
  </si>
  <si>
    <t xml:space="preserve">HTA, DM, IM anterior este año, varios EAP. Ahora ingresa con EAP en emergencia HTA.</t>
  </si>
  <si>
    <t xml:space="preserve">Aida</t>
  </si>
  <si>
    <t xml:space="preserve">Solano</t>
  </si>
  <si>
    <t xml:space="preserve">HTA, CI, ingresa con angina de empeoramiento progresivo.                                                                                                                                                                                                 </t>
  </si>
  <si>
    <t xml:space="preserve">Arístides</t>
  </si>
  <si>
    <t xml:space="preserve">Rosende</t>
  </si>
  <si>
    <t xml:space="preserve">HTA. Comienza con dolor toracico, disnea y dolor en muslo. Tiene TVP en muslo derecho. Se diagnsotica TEP.</t>
  </si>
  <si>
    <t xml:space="preserve">Eloina</t>
  </si>
  <si>
    <t xml:space="preserve">Castillo</t>
  </si>
  <si>
    <t xml:space="preserve">HTA, CI. Ingresa con angina empeorada.</t>
  </si>
  <si>
    <t xml:space="preserve">Diosdado</t>
  </si>
  <si>
    <t xml:space="preserve">Herrera</t>
  </si>
  <si>
    <t xml:space="preserve">HTA y DM. Ingresa con angina empeorada y cambios eléctricos.</t>
  </si>
  <si>
    <t xml:space="preserve">Rosa María</t>
  </si>
  <si>
    <t xml:space="preserve">Bardanea</t>
  </si>
  <si>
    <t xml:space="preserve">Asma. Ingresa con emergencia HTA y dolor precordial.</t>
  </si>
  <si>
    <t xml:space="preserve">Exfumador, HTA, AB. Ingresa con IMA anterior extenso trombolizado que continuó con  dolor después de STQ.</t>
  </si>
  <si>
    <t xml:space="preserve">Orlando L.</t>
  </si>
  <si>
    <t xml:space="preserve">Pita</t>
  </si>
  <si>
    <t xml:space="preserve">Bodaño</t>
  </si>
  <si>
    <t xml:space="preserve">Fumador. Ingresa con IMA anterior extenso trombolizado.</t>
  </si>
  <si>
    <t xml:space="preserve">Olga L. </t>
  </si>
  <si>
    <t xml:space="preserve">Casañas</t>
  </si>
  <si>
    <t xml:space="preserve">Meriño</t>
  </si>
  <si>
    <t xml:space="preserve">HTA, DM2. ingresa con ICC y bronconeumonia.</t>
  </si>
  <si>
    <t xml:space="preserve">Magdalena</t>
  </si>
  <si>
    <t xml:space="preserve">Carrillo</t>
  </si>
  <si>
    <t xml:space="preserve">HTA, Fumadora, EPOC, CI. 2 stent. Ingresa con angina inestable sin cambios eléctricos.</t>
  </si>
  <si>
    <t xml:space="preserve">Regla</t>
  </si>
  <si>
    <t xml:space="preserve">Fumadora inveterada. Ingresa con palpitaciones y dolor precordial. Al ECG CVP bigeminadas</t>
  </si>
  <si>
    <t xml:space="preserve">Ana</t>
  </si>
  <si>
    <t xml:space="preserve">Aroche</t>
  </si>
  <si>
    <t xml:space="preserve">Comisurotomia mitral. Comienza con dolor epigástrico que interpretan como angina sin cambios eléctricos.</t>
  </si>
  <si>
    <t xml:space="preserve">IMA hace un mes con ICP. Ahora ingresa con angina luego de un esfuerzo.</t>
  </si>
  <si>
    <t xml:space="preserve">Pol</t>
  </si>
  <si>
    <t xml:space="preserve">MCP dilatada, con DAI. Ingresa por hematuria por próstata.</t>
  </si>
  <si>
    <t xml:space="preserve">Erick</t>
  </si>
  <si>
    <t xml:space="preserve">Fumador. Ingresa con MCP dilatada severa de posibilidad alcohólica.</t>
  </si>
  <si>
    <t xml:space="preserve">Adrián</t>
  </si>
  <si>
    <t xml:space="preserve">Chavez</t>
  </si>
  <si>
    <t xml:space="preserve">HTA sin tto, fumador. Ingresa con angina de reciente comienzo sin cambios eléctricos.</t>
  </si>
  <si>
    <t xml:space="preserve">Mariño</t>
  </si>
  <si>
    <t xml:space="preserve">HTA. Ingresa con angina de reicente comienzo sin cambios eléctricos.</t>
  </si>
  <si>
    <t xml:space="preserve">Rubier</t>
  </si>
  <si>
    <t xml:space="preserve">Tejeiro</t>
  </si>
  <si>
    <t xml:space="preserve">Guillermón</t>
  </si>
  <si>
    <t xml:space="preserve">001537</t>
  </si>
  <si>
    <t xml:space="preserve">CI, HTA. Ingresa con decaimiento, mareo, disnea y bradicardia sinusal extrema. Se implanta MPP.</t>
  </si>
  <si>
    <t xml:space="preserve">Dámasa</t>
  </si>
  <si>
    <t xml:space="preserve">Tornés</t>
  </si>
  <si>
    <t xml:space="preserve">HTA, CI. Ingresa con angina empeorada. Hace cuadro de hipotensión con FC baja y se implanta MP transitorio. Se realiza coronariografía con lesión en CD 30%. Se implanta MP definitivo.</t>
  </si>
  <si>
    <t xml:space="preserve">Yoan</t>
  </si>
  <si>
    <t xml:space="preserve">APP de Linfoam no Hodgkin con tto de quimioterapia y radioterapia. Ingresa por cansancio y al ECG BAV 3 grado. Se implanta MP permanente</t>
  </si>
  <si>
    <t xml:space="preserve">José Antonio</t>
  </si>
  <si>
    <t xml:space="preserve">Carrazabal</t>
  </si>
  <si>
    <t xml:space="preserve">Fumador inveterado, HTA. Ingresa con angina inestable con cambios eléctrcios.</t>
  </si>
  <si>
    <t xml:space="preserve">Cristina</t>
  </si>
  <si>
    <t xml:space="preserve">Haughton</t>
  </si>
  <si>
    <t xml:space="preserve">Duffus</t>
  </si>
  <si>
    <t xml:space="preserve">Exfumadora, HTA, DM-2. ingresa con dolor precordial frecuente, no cmabios eléctricos.</t>
  </si>
  <si>
    <t xml:space="preserve">Bernardo</t>
  </si>
  <si>
    <t xml:space="preserve">Caballero</t>
  </si>
  <si>
    <t xml:space="preserve">Nápoles</t>
  </si>
  <si>
    <t xml:space="preserve">Exfumador, APP de cáncer de laringey radioterapia. Ingresa con IMA anterolateral trombolizado.</t>
  </si>
  <si>
    <t xml:space="preserve">Digna</t>
  </si>
  <si>
    <t xml:space="preserve">Prieto</t>
  </si>
  <si>
    <t xml:space="preserve">CI, HTA, hipotiroidea, ingresa con dolor abdominal, entra en shock y comienza con VM. Comienza con fiebre y se traslada a UTI.</t>
  </si>
  <si>
    <t xml:space="preserve">Belinda</t>
  </si>
  <si>
    <t xml:space="preserve">Gil</t>
  </si>
  <si>
    <t xml:space="preserve">HTA, fumadora, enfermedad de Rendu-Osler. Ingresa por IMA inferolateral, con anemia severa transfundida, que no se trombolizó por sangramiento hace menos de un mes.</t>
  </si>
  <si>
    <t xml:space="preserve">Fara</t>
  </si>
  <si>
    <t xml:space="preserve">HTA,DM. Ingresa con FA.</t>
  </si>
  <si>
    <t xml:space="preserve">Daniel</t>
  </si>
  <si>
    <t xml:space="preserve">Viña</t>
  </si>
  <si>
    <t xml:space="preserve">HTA, exfumador. Ingresó con IMA inferior no trombolizado.</t>
  </si>
  <si>
    <t xml:space="preserve">Felicia</t>
  </si>
  <si>
    <t xml:space="preserve">HTA, DM-2, CI, IRC. Ingresa con dolor precordial y vómitos.</t>
  </si>
  <si>
    <t xml:space="preserve">Carlos </t>
  </si>
  <si>
    <t xml:space="preserve">Mendoza</t>
  </si>
  <si>
    <t xml:space="preserve">HTA, fumador, CI. Ingresa con dolor precordial y troponinas elevadas, es un IMASEST. Después se ve en ECG antiguos que tiene el mismo patrón, por lo que se egresa como angina inestable.</t>
  </si>
  <si>
    <t xml:space="preserve">Nelson</t>
  </si>
  <si>
    <t xml:space="preserve">Yera</t>
  </si>
  <si>
    <t xml:space="preserve">ICC, EPOC. Ingresa con empeoramiento de disnea. Realiza sangramiento digestivo por úlcera gástrica. Por empeoramiento del cuadro se traslada a UTI.</t>
  </si>
  <si>
    <t xml:space="preserve">Mario Raúl</t>
  </si>
  <si>
    <t xml:space="preserve">Orozco</t>
  </si>
  <si>
    <t xml:space="preserve">Fariñas</t>
  </si>
  <si>
    <t xml:space="preserve">Fumador, obeso, hipercolesterolemia. Ingresa con IMA anteroseptal trombolizado.</t>
  </si>
  <si>
    <t xml:space="preserve">Eloisa</t>
  </si>
  <si>
    <t xml:space="preserve">Céspedes</t>
  </si>
  <si>
    <t xml:space="preserve">Exfumdora, HTA, CI, DM2. ingresa con angina inestable con BCRI intermitente.</t>
  </si>
  <si>
    <t xml:space="preserve">Angel Rosendo</t>
  </si>
  <si>
    <t xml:space="preserve">García </t>
  </si>
  <si>
    <t xml:space="preserve">del Rosario</t>
  </si>
  <si>
    <t xml:space="preserve">Exfumador, DM2, HTA, gluacoma. Ingresa con angina inestable y BCRI intermitente.</t>
  </si>
  <si>
    <t xml:space="preserve">Exfumador, HTA, gota. Ingresa con angina inestable y HTA.</t>
  </si>
  <si>
    <t xml:space="preserve">Luis R.</t>
  </si>
  <si>
    <t xml:space="preserve">Nodal</t>
  </si>
  <si>
    <t xml:space="preserve">HTA, IRC, IAP, stent en 2017. ingresa con angina empeorada con cambios eléctricos. Se realiza coro y tiene reestenosis del stent. ICP con DES.</t>
  </si>
  <si>
    <t xml:space="preserve">Jovita María</t>
  </si>
  <si>
    <t xml:space="preserve">Baños</t>
  </si>
  <si>
    <t xml:space="preserve">Piñero</t>
  </si>
  <si>
    <t xml:space="preserve">Exfumadora, epiléptica. En 30/12/2018 TRIN con dolor precordial. Ingresa con angina inestable con cambios eléctricos. Se realizo coro sin lesiones.</t>
  </si>
  <si>
    <t xml:space="preserve">Fumador, HTA, MCP dilatada con FEVI 33%, asma bronquial, FA crónica. Ingresa con descompensación de ICC. Se traslada a Medicina.</t>
  </si>
  <si>
    <t xml:space="preserve">Freddy Francisco</t>
  </si>
  <si>
    <t xml:space="preserve">ICC, CI, gota, cancer de colon. Ingresa con descompesación de insuficiencia cardaiaca.</t>
  </si>
  <si>
    <t xml:space="preserve">ICC, EPOC. Ingresa con empeoramiento de disnea. Realiza sangramiento digestivo por úlcera gástrica. Por empeoramiento del cuadro se traslada a UTI. Y vuelve a nuestra sala. Se traslada a sala de Medicina.</t>
  </si>
  <si>
    <t xml:space="preserve">Eduardo Vicente</t>
  </si>
  <si>
    <t xml:space="preserve">Flores</t>
  </si>
  <si>
    <t xml:space="preserve">9.6</t>
  </si>
  <si>
    <t xml:space="preserve">Fumador, bebedor, HTA. Ingresa con IMA anteroseptal e inferior trombolizado complicado con insuficiencia cardiaca.</t>
  </si>
  <si>
    <t xml:space="preserve">Juan M. </t>
  </si>
  <si>
    <t xml:space="preserve">Claro</t>
  </si>
  <si>
    <t xml:space="preserve">Exfumador, HTA, CI. Ingresa con angina empeorada.</t>
  </si>
  <si>
    <t xml:space="preserve">CI, HTA, hipotiroidea, ingresa con dolor abdominal, entra en shock y comienza con VM. Comienza con fiebre y se traslada a UTI. Se vuelve a trasladar a nuestro servicio luego de la estubación.</t>
  </si>
  <si>
    <t xml:space="preserve">Espinosa </t>
  </si>
  <si>
    <t xml:space="preserve">Exfumador. Trastornos congénitos en coronarias, con angioTAC cpn obstrucción en CD. Se ingresa para coro. En coro solo lesión 50% en DA.</t>
  </si>
  <si>
    <t xml:space="preserve">Firmina</t>
  </si>
  <si>
    <t xml:space="preserve">HTA y Asma. Ingresa por síncope, y en ECG hay BCRI. En ecocardiograma disfunción sistólica severa con aquinesia del TIV. Se concluye como IMA.</t>
  </si>
  <si>
    <t xml:space="preserve">Leonila</t>
  </si>
  <si>
    <t xml:space="preserve">Ortega</t>
  </si>
  <si>
    <t xml:space="preserve">MCP dilatada. Comienza con disnea y deshidratación. Le ponen fluidos y caludica el VI. Se encuentra apoyada con dobutamina.</t>
  </si>
  <si>
    <t xml:space="preserve">Álvaro</t>
  </si>
  <si>
    <t xml:space="preserve">López de Queralta</t>
  </si>
  <si>
    <t xml:space="preserve">.015718</t>
  </si>
  <si>
    <t xml:space="preserve">HTA, Exfumador. Hace TVNS y TV y lo mandan para lña casa. Ingresa para coronariografía. No lesiones significativas.</t>
  </si>
  <si>
    <t xml:space="preserve">Ricarda Romelia</t>
  </si>
  <si>
    <t xml:space="preserve">HTA, fumadora, litiasis vesicular. Ingresa con cuadro de colecistitis aguda y angina inestable con cambios eléctricos. Se traslada a sala de cirugía</t>
  </si>
  <si>
    <t xml:space="preserve">Adolfo</t>
  </si>
  <si>
    <t xml:space="preserve">.083410</t>
  </si>
  <si>
    <t xml:space="preserve">HTA, CI. Prueba ergométrica psotiva a isquemia. Se ingresa para coronariografía. Coronarias normales.</t>
  </si>
  <si>
    <t xml:space="preserve">Exfumador, IM antiguo, HTA. Se realiza ICP a TCI 90% (d) sin complicaciones en noviembre 2018. ahora ingresa con angina empeorada. Se realiza coronariografía y no lesiones y stent permeable.</t>
  </si>
  <si>
    <t xml:space="preserve">Glicenia </t>
  </si>
  <si>
    <t xml:space="preserve">Cuza</t>
  </si>
  <si>
    <t xml:space="preserve">HTA, fumadora, MCP dilatada isquémica, RMQ  en mayo 2018. un mes despues comeinza con dolor rpecordial, en p. ergometrica en diciembre/19 positiva. Ingresa con empeoramiento de angina con cambios eléctricos.</t>
  </si>
  <si>
    <t xml:space="preserve">Regino Alberro</t>
  </si>
  <si>
    <t xml:space="preserve">Morejón</t>
  </si>
  <si>
    <t xml:space="preserve">Fumador, enfermedad psiquiátrica bipolar. Ingresa com IMA anterolateral no STQ.</t>
  </si>
  <si>
    <t xml:space="preserve">Exfumador, APP de cáncer de laringey radioterapia. Ingresa con IMA anterolateral trombolizado en diciembre. Después del alta comienza con síntomas urinarios y disnea. Ingresa con decompnsación cardiaca y sepsis urinaria.</t>
  </si>
  <si>
    <t xml:space="preserve">Juan Alberto</t>
  </si>
  <si>
    <t xml:space="preserve">Mena</t>
  </si>
  <si>
    <t xml:space="preserve">CI, HTA. Ingresa con empeoramiento de angina y síncope.</t>
  </si>
  <si>
    <t xml:space="preserve">Ernestina</t>
  </si>
  <si>
    <t xml:space="preserve">Lazcano</t>
  </si>
  <si>
    <t xml:space="preserve">Barro</t>
  </si>
  <si>
    <t xml:space="preserve">HTA, fumadora inveterada. Comineza con angina y en ECG tiene FA bloqueada. Se realiza coronariografía con lesión CD 100% p  crónica y DA media. Se realiza ACTP a DA. Cae en ritmo sinusal con buena frecuencias</t>
  </si>
  <si>
    <t xml:space="preserve">Redelio</t>
  </si>
  <si>
    <t xml:space="preserve">Cárdenas</t>
  </si>
  <si>
    <t xml:space="preserve">Exfumador, IM antiguo, HTA, 7 stents. Ingresa con angina inestable sin cambios.</t>
  </si>
  <si>
    <t xml:space="preserve">Daisy</t>
  </si>
  <si>
    <t xml:space="preserve">HTA, DM, CI, Cushing medicamentosa. SDA egresada hace 4 días. Ahora ingresa con angina empeorada.</t>
  </si>
  <si>
    <t xml:space="preserve">Beltrán</t>
  </si>
  <si>
    <t xml:space="preserve">HTA, DM-2. ingresa con dolor precordial de varios meses con cambios eléctricos.</t>
  </si>
  <si>
    <t xml:space="preserve">Orlando Samuel</t>
  </si>
  <si>
    <t xml:space="preserve">Más</t>
  </si>
  <si>
    <t xml:space="preserve">HTA, DM, CI. Amputación de dedo por quemadura. ACTP a DA 99% (m) en 4/18. ahora ingresa por IMA anterior trombolizado. Se realiza coro con DA permeable y lesión en 1OM 100% sin tto ACTP.</t>
  </si>
  <si>
    <t xml:space="preserve">Fernando</t>
  </si>
  <si>
    <t xml:space="preserve">Borrego</t>
  </si>
  <si>
    <t xml:space="preserve">Esquizofrenia, ingresado en HPH, HTA, ahora ingresa con angina inestable con cambios electricos.</t>
  </si>
  <si>
    <t xml:space="preserve">Raúl</t>
  </si>
  <si>
    <t xml:space="preserve">HTA, Asma, pendiente de litotrisis. Ingresa por BAV, se implanta MPP. Tuvo neumotorax como complicacion y se queda en el ICCCV</t>
  </si>
  <si>
    <t xml:space="preserve">Lage</t>
  </si>
  <si>
    <t xml:space="preserve">HTA, CI, FA crónica. ICC. Ingresa con descompensación de la insuficiencia cardiaca.</t>
  </si>
  <si>
    <t xml:space="preserve">Juan Pablo</t>
  </si>
  <si>
    <t xml:space="preserve">Serrano</t>
  </si>
  <si>
    <t xml:space="preserve">Yon</t>
  </si>
  <si>
    <t xml:space="preserve">HTA. Fumador inveterado. Ingresa con angina con cambios eléctricos tipo Wellen. Se realiza coronariografía con lesión en DA 99% proximal y TCI 40% m. se realiza ICP a DA.</t>
  </si>
  <si>
    <t xml:space="preserve">Digna Irene</t>
  </si>
  <si>
    <t xml:space="preserve">Cáceres</t>
  </si>
  <si>
    <t xml:space="preserve">Mirabet</t>
  </si>
  <si>
    <t xml:space="preserve">Xiomara</t>
  </si>
  <si>
    <t xml:space="preserve">Romero</t>
  </si>
  <si>
    <t xml:space="preserve">Socarrás</t>
  </si>
  <si>
    <t xml:space="preserve">HTA, fumadora, ICC con FEVI 28%. Ingresa en shock cardiogénico intubada que ingresó en UTI. Se traslada a UCIC y tiene déficit motor. Se diagnsotica ECV parietooccipital. Se traslada a HHA.</t>
  </si>
  <si>
    <t xml:space="preserve">Lamis</t>
  </si>
  <si>
    <t xml:space="preserve">HTA, IC. Ingresa por fractura de cadera y HTA descompensada. En el preoperatorio hace bradicardia y cambios eléctricos. Se observa y se traslada nuevamente para ortopedia.</t>
  </si>
  <si>
    <t xml:space="preserve">Marianela de la Concepción</t>
  </si>
  <si>
    <t xml:space="preserve">Villa de Rey</t>
  </si>
  <si>
    <t xml:space="preserve">HTA, fumadora, ingresa con dolor precordial y cambios eléctricos. Se realiza coro con CD 70% media. Se realiza ICP</t>
  </si>
  <si>
    <t xml:space="preserve">Aysnel </t>
  </si>
  <si>
    <t xml:space="preserve">HTA, DM, hipertiroideo. Ingresa con síncope, trastornos del habla, y HTA. Se interpreta como encefalopatia HTA. EEG y TAC craneo negativa.</t>
  </si>
  <si>
    <t xml:space="preserve">Campos</t>
  </si>
  <si>
    <t xml:space="preserve">HTA, fumador, IM antiguo. Ingresa con IMA inferior STQ.</t>
  </si>
  <si>
    <t xml:space="preserve">Elsa</t>
  </si>
  <si>
    <t xml:space="preserve">Palacios</t>
  </si>
  <si>
    <t xml:space="preserve">0.64829</t>
  </si>
  <si>
    <t xml:space="preserve">HTA,  MPP por BAV con falta de aire. Se ingresa por ICC.</t>
  </si>
  <si>
    <t xml:space="preserve">Adolfina</t>
  </si>
  <si>
    <t xml:space="preserve">HTA, Asma, FA tto con amiodarona. Ingresa con BAV 2:1</t>
  </si>
  <si>
    <t xml:space="preserve">Vivian</t>
  </si>
  <si>
    <t xml:space="preserve">HTA, gastropatias. Ingresa con dolor toracico y supra en todas las derivaciones. Se diagnsotica pericarditis aguda.</t>
  </si>
  <si>
    <t xml:space="preserve">Lilian de la Caridad</t>
  </si>
  <si>
    <t xml:space="preserve">CI, HTA. Ingesa con BAV completo. Se implanta MPP.</t>
  </si>
  <si>
    <t xml:space="preserve">Madruga </t>
  </si>
  <si>
    <t xml:space="preserve">HTA, fumador. Ingresa con IMA inferolateral no trombolizado. Se realiza ICP a CD, DA y Cx</t>
  </si>
  <si>
    <t xml:space="preserve">Juana</t>
  </si>
  <si>
    <t xml:space="preserve">Amaso</t>
  </si>
  <si>
    <t xml:space="preserve">APP de HTA, CI, DM, estenosis aortica moderada-severa. Ingresa por empeoramiento de angina</t>
  </si>
  <si>
    <t xml:space="preserve">HTA, CI, ingresa con angina de empeoramiento progresivo. Se realiza coronariografía sin lesiones significativas, solamente puentes miocárdicos.                                                                                                                                                                                                </t>
  </si>
  <si>
    <t xml:space="preserve">Humberto Mario</t>
  </si>
  <si>
    <t xml:space="preserve">Inerarity</t>
  </si>
  <si>
    <t xml:space="preserve">HTA, ingresa con decaimiento y BAV completo. Se implanta MPP.</t>
  </si>
  <si>
    <t xml:space="preserve">Jorge Félix</t>
  </si>
  <si>
    <t xml:space="preserve">Moreno</t>
  </si>
  <si>
    <t xml:space="preserve">CI, HTA, no tratamiento. Ingresa con angina. Pide el alta a petición.</t>
  </si>
  <si>
    <t xml:space="preserve">Couceiro</t>
  </si>
  <si>
    <t xml:space="preserve">Debén</t>
  </si>
  <si>
    <t xml:space="preserve">APP de salud. Ingresa con angina al esfuerzo. Al ECG hay vía accesoria.</t>
  </si>
  <si>
    <t xml:space="preserve">Berta</t>
  </si>
  <si>
    <t xml:space="preserve">Marrero</t>
  </si>
  <si>
    <t xml:space="preserve">APP de CI, MPP. Ingresa con insuficiencia cardiaca descompensada.</t>
  </si>
  <si>
    <t xml:space="preserve">Exfumadora, epiléptica. En diciembre ingresa con angina y TRIN, se realiza coro y fue negativa. Ahora ingresa con angina, sincope.</t>
  </si>
  <si>
    <t xml:space="preserve">Andrea Teresa</t>
  </si>
  <si>
    <t xml:space="preserve">Ríos</t>
  </si>
  <si>
    <t xml:space="preserve">0.31408</t>
  </si>
  <si>
    <t xml:space="preserve">HTA, CI, pueba ergométrica positiva de isquemia. Se decide coro, pero en colectivo se decide no realizarla y si gammagrafía.</t>
  </si>
  <si>
    <t xml:space="preserve">Vladimir</t>
  </si>
  <si>
    <t xml:space="preserve">Villega</t>
  </si>
  <si>
    <t xml:space="preserve">Obeso mórbido. Despues de una catarro comienza con falta de aire a los esfuerzo y reposo y edemas. Se ingresa como MCP dilatada posible miocarditis.</t>
  </si>
  <si>
    <t xml:space="preserve">Arteaga</t>
  </si>
  <si>
    <t xml:space="preserve">Laudino</t>
  </si>
  <si>
    <t xml:space="preserve">Obeso, fumador inveterado. Ingresa por Edema agudo del pulmón durante emergencia hipertensiva.</t>
  </si>
  <si>
    <t xml:space="preserve">IMA en  septiembre subagudo. Ahora ingresa con angina empeorada.</t>
  </si>
  <si>
    <t xml:space="preserve">Dinorah</t>
  </si>
  <si>
    <t xml:space="preserve">Aranjo</t>
  </si>
  <si>
    <t xml:space="preserve">HTA, ICC, FA crónica que ingresa con disfagia.</t>
  </si>
  <si>
    <t xml:space="preserve">Joaquim</t>
  </si>
  <si>
    <t xml:space="preserve">Mesa</t>
  </si>
  <si>
    <t xml:space="preserve">HTA, IM antiguo. 2 stent hace 10 años. Ahora realiza prueba ergométrica positiva a isquemia. Se ingresa para coro.</t>
  </si>
  <si>
    <t xml:space="preserve">María Luisa</t>
  </si>
  <si>
    <t xml:space="preserve">Esmil</t>
  </si>
  <si>
    <t xml:space="preserve">HTA, DM, exfumadora, IM antiguo. Ingresa con angina empeorada.</t>
  </si>
  <si>
    <t xml:space="preserve">Alexander</t>
  </si>
  <si>
    <t xml:space="preserve">Cedeño</t>
  </si>
  <si>
    <t xml:space="preserve">HTA, fumador, IM antiguo con ICP. Ahora ingresa con angina empeorada para coronariografía</t>
  </si>
  <si>
    <t xml:space="preserve">Carlos Luis</t>
  </si>
  <si>
    <t xml:space="preserve">Lazo</t>
  </si>
  <si>
    <t xml:space="preserve">Obseo mórbido, DM, ingresa con emergencia HTA y convulsiones que interpretan como infección del SNC. Se concluye como encefalopatía HTA.</t>
  </si>
  <si>
    <t xml:space="preserve">Rebeca</t>
  </si>
  <si>
    <t xml:space="preserve">Lotti</t>
  </si>
  <si>
    <t xml:space="preserve">Aguilar</t>
  </si>
  <si>
    <t xml:space="preserve">HTA, reumatismo mitral, valvuloplastia mitral hace 9 meses, comienza con insuficiencia cardiaca, y tiene anemia. Se trnasfunde. En sangre oculta positiva.</t>
  </si>
  <si>
    <t xml:space="preserve">Pedro Pablo</t>
  </si>
  <si>
    <t xml:space="preserve">Almeida</t>
  </si>
  <si>
    <t xml:space="preserve">HTA, IM antiguo, RMQ con 3 puentes. Ingresa con cifras elevadas de TA y dolor precordial y cambios eléctricos.</t>
  </si>
  <si>
    <t xml:space="preserve">Susana</t>
  </si>
  <si>
    <t xml:space="preserve">Heredia</t>
  </si>
  <si>
    <t xml:space="preserve">Gutierrez</t>
  </si>
  <si>
    <t xml:space="preserve">HTA, fumadora, IAP, IM antiguo. Ingresa luego de tres días con dolor abdominal con irradiación a hombros. Se diagnostica IM anterior extenso.</t>
  </si>
  <si>
    <t xml:space="preserve">Ángela</t>
  </si>
  <si>
    <t xml:space="preserve">Verdecia</t>
  </si>
  <si>
    <t xml:space="preserve">APP de HTA y CVP bigeminadas en ocasiones. El médico de la familia le indica amiodarona c/12 horas en 3 meses. Ahora viene con BAV completo. Vuelve a ritmo sinusal con CVP.</t>
  </si>
  <si>
    <t xml:space="preserve">Rogelio</t>
  </si>
  <si>
    <t xml:space="preserve">Milanés</t>
  </si>
  <si>
    <t xml:space="preserve">HTA, CI, fumador. Ingresa con disnea e insuficiencia cardiaca.</t>
  </si>
  <si>
    <t xml:space="preserve">HTA, CI. Ingresó en octubre por angina y cambios. Hoy con dolor precordial, pseudonormalización de T y las vuelve a negativizar.</t>
  </si>
  <si>
    <t xml:space="preserve">Ana </t>
  </si>
  <si>
    <t xml:space="preserve">HTA, fumadora, CI. Ingresa con HTA y angina empeorada.</t>
  </si>
  <si>
    <t xml:space="preserve">Mercedes</t>
  </si>
  <si>
    <t xml:space="preserve">Casanova</t>
  </si>
  <si>
    <t xml:space="preserve">CI, HTA, ingresa con angina empeorada y cambios eléctricos. Se realiza coronariografía sin lesiones significativas.</t>
  </si>
  <si>
    <t xml:space="preserve">CI, HTA, ingresa con empeoramiento angina para coronariografía. Se realiza con lesión en CD  y Cx. Se implantan stents.</t>
  </si>
  <si>
    <t xml:space="preserve">IMA no STQ con ICP en DA ostial en octubre. Ahora ingresa con angina empeorada.</t>
  </si>
  <si>
    <t xml:space="preserve">HTA, hiperuricemia, FA crónica, ingresa con angina</t>
  </si>
  <si>
    <t xml:space="preserve">Julio Luis</t>
  </si>
  <si>
    <t xml:space="preserve">Boligán</t>
  </si>
  <si>
    <t xml:space="preserve">HTA, fumador. Comienza con dolor precordial y tiene prueba ergométrica positiva. Ingresa para coronariog, pero en colectivo se decidió tratamiento médico y seguimiento.</t>
  </si>
  <si>
    <t xml:space="preserve">Juan Luis</t>
  </si>
  <si>
    <t xml:space="preserve">Terrero</t>
  </si>
  <si>
    <t xml:space="preserve">HRA, CI, preuba ergométrica positiva isquémica. Ingresa para coronariografía. Se realiza ICP a DA 80% proximal y CX 100% proximal.</t>
  </si>
  <si>
    <t xml:space="preserve">Reina</t>
  </si>
  <si>
    <t xml:space="preserve">Donatian</t>
  </si>
  <si>
    <t xml:space="preserve">HTA, fumadora, ingresa con calambres y disn ea con edemas severos. Tenía hiperpotasemia. Se ingresa como ICC, BNB y IRC.</t>
  </si>
  <si>
    <t xml:space="preserve">CI, HTA, ECV, ingresa con angina empeorada.</t>
  </si>
  <si>
    <t xml:space="preserve">Vidal</t>
  </si>
  <si>
    <t xml:space="preserve">Artiaga</t>
  </si>
  <si>
    <t xml:space="preserve">HTA, DM, fumador, CI, RMQ hace 11 años, coronariografía en enero 2019 ACTP a DA proximal. Ahora ingresa coin angina e insuiciencia cardiaca.</t>
  </si>
  <si>
    <t xml:space="preserve">Gustavo</t>
  </si>
  <si>
    <t xml:space="preserve">Montero</t>
  </si>
  <si>
    <t xml:space="preserve">HTA, angina diagnosticada hace un mes. Ingresa con dolor precordial y cambios eléctricos.</t>
  </si>
  <si>
    <t xml:space="preserve">Crespo</t>
  </si>
  <si>
    <t xml:space="preserve">Fumador inveterado. Ingresa con dolor precordial y cambios eléctricos.</t>
  </si>
  <si>
    <t xml:space="preserve">IMA hace cuatro con ICP. Ahora ingresa con angina luego de un esfuerzo. Se decide coronariografía. Lesiones  no significativas y stents permeables.</t>
  </si>
  <si>
    <t xml:space="preserve">Rosillo</t>
  </si>
  <si>
    <t xml:space="preserve">IMA en dos ocasiones con stent. Ahora comienza de nuevo con dolor y se lleva a coro. No lesiones significativas y stents permeables.</t>
  </si>
  <si>
    <t xml:space="preserve">Teodoro</t>
  </si>
  <si>
    <t xml:space="preserve">IMA en 1988. ingresa con empeoramiento de angina con cambios eléctricos.</t>
  </si>
  <si>
    <t xml:space="preserve">Justo</t>
  </si>
  <si>
    <t xml:space="preserve">Pedrera</t>
  </si>
  <si>
    <t xml:space="preserve">DLAo, calcificación mitral. FA crónica que suspendió warfarina 20 días antes por algo digestivo. Comienza con hemiparesia izquierda y dolor precordial. Se diagnsostica IMA inferior no STQ y AVE cardioembólico.</t>
  </si>
  <si>
    <t xml:space="preserve">Rubén </t>
  </si>
  <si>
    <t xml:space="preserve">Villavicencio</t>
  </si>
  <si>
    <t xml:space="preserve">APP de salud. Ingresa con IM anterior extenso trombolizado.</t>
  </si>
  <si>
    <t xml:space="preserve">HTA, DM, IM antiguo, IRC, ICC, FA crónica. Ingresa con angina e ICC.</t>
  </si>
  <si>
    <t xml:space="preserve">RMQ hace 15 años, obeso, DM-2, FA crónica, IRC. Ingresa con Ima anterior extenso y se lleva a ICP primaria. Llega en Shock cardiogénico apoyado. Fallece.</t>
  </si>
  <si>
    <t xml:space="preserve">Luis</t>
  </si>
  <si>
    <t xml:space="preserve">Quiroga</t>
  </si>
  <si>
    <t xml:space="preserve">HTA, sin tratamiento, fumador. Ingresa con IMA anterior extenso trmbolizado. Se realiza coronariografía, con lesion 100% ostial 1Diagonal. No se realiza ICP:</t>
  </si>
  <si>
    <t xml:space="preserve">Honoria</t>
  </si>
  <si>
    <t xml:space="preserve">Reyes</t>
  </si>
  <si>
    <t xml:space="preserve">FS Cirugía y psiquiatria.</t>
  </si>
  <si>
    <t xml:space="preserve">Doris</t>
  </si>
  <si>
    <t xml:space="preserve">HTA, DM, trastornos digestivos. Ingresa con IMA inferior STQ complicado con BAV Mobitz 1 y angina postIMA. Se lleva a coronariografía y tiene enfermedad de tronco ostial y multivasos. Se traslada al ICCCV.</t>
  </si>
  <si>
    <t xml:space="preserve">Villa</t>
  </si>
  <si>
    <t xml:space="preserve">HTA, DM-2. ingresa con IMA inferior trombolizado.</t>
  </si>
  <si>
    <t xml:space="preserve">Diosleidy</t>
  </si>
  <si>
    <t xml:space="preserve">Fumador, HTA. Prueba ergométrica positiva a baja carga. Se realiza coro e ICP a DA 70% proximal como única lesión. Comienza con dolor y cambiso electricos y se interpreta como vasoespasmo sobre lesión. Luego se ve que fue IMA anteroseptal. Se lleva a coro nuevo y tiene complicaciones y se queda en el CIMEQ</t>
  </si>
  <si>
    <t xml:space="preserve">Bernarda Bertha</t>
  </si>
  <si>
    <t xml:space="preserve">CI, FA paroxísitca, HATA. DM2, hipotiroidismo. Ingresa con dolor precordial y FA. Revierte a ritmo sinusal.</t>
  </si>
  <si>
    <t xml:space="preserve">HTA, IM antiguo, con ICP no conoce, IRC, cáncer de vejiga, fumador. Ingresa con dolor precordial y disnea con HTA.</t>
  </si>
  <si>
    <t xml:space="preserve">Bertha Caridad</t>
  </si>
  <si>
    <t xml:space="preserve">Cuellar</t>
  </si>
  <si>
    <t xml:space="preserve">HTA, CI. Ingresa para coronariografía. Lesiones no significativas.</t>
  </si>
  <si>
    <t xml:space="preserve">Roberto</t>
  </si>
  <si>
    <t xml:space="preserve">Campbell</t>
  </si>
  <si>
    <t xml:space="preserve">HTA, DM-2, gota, ingresa con angina empeorada para coro. No lesiones significativas. </t>
  </si>
  <si>
    <t xml:space="preserve">Gregorio</t>
  </si>
  <si>
    <t xml:space="preserve">Siere</t>
  </si>
  <si>
    <t xml:space="preserve">Fumador, CI. Ingresa para coro electiva. Lesion n/s en DA y CD 90% proximal donde se implanta stent.</t>
  </si>
  <si>
    <t xml:space="preserve">Belkis</t>
  </si>
  <si>
    <t xml:space="preserve">Bermudez</t>
  </si>
  <si>
    <t xml:space="preserve">HTA, CI, fumadora. Ingresa con angina empeorada c/cambios eléctricos.</t>
  </si>
  <si>
    <t xml:space="preserve">Viñas</t>
  </si>
  <si>
    <t xml:space="preserve">HTA, IM antiguo, hiperuricemia. Ingresa con deshidratación y artritis de rodilla.</t>
  </si>
  <si>
    <t xml:space="preserve">Nilda</t>
  </si>
  <si>
    <t xml:space="preserve">HTA, CI, tomaba dialtizaem. Ingresa por síncope y BAV Mobitz-2 intermitente.</t>
  </si>
  <si>
    <t xml:space="preserve">Yamil</t>
  </si>
  <si>
    <t xml:space="preserve">HTA, fumador, MCP dilatada. Ingresa con descompensación de insuficiencia cardiaca. BCRIHH</t>
  </si>
  <si>
    <t xml:space="preserve">Lilia</t>
  </si>
  <si>
    <t xml:space="preserve">4.94</t>
  </si>
  <si>
    <t xml:space="preserve">1.52</t>
  </si>
  <si>
    <t xml:space="preserve">5.1</t>
  </si>
  <si>
    <t xml:space="preserve">0.37</t>
  </si>
  <si>
    <t xml:space="preserve">9.1</t>
  </si>
  <si>
    <t xml:space="preserve">HTA, IM antiguo, EPOC, litiasis vesicular. Ingresa con angina empeorada con cambios eléctricos y sepsis urinaria.</t>
  </si>
  <si>
    <t xml:space="preserve">Jacinto</t>
  </si>
  <si>
    <t xml:space="preserve">Zulueta</t>
  </si>
  <si>
    <t xml:space="preserve">Sotolongo</t>
  </si>
  <si>
    <t xml:space="preserve">HTA, CI, hiperuriciecmia, IRC. Ingresa con empeoramiento de angina.</t>
  </si>
  <si>
    <t xml:space="preserve">Fumador, artritis reumatoidea, ingresa con IMA inferior trombolizado.</t>
  </si>
  <si>
    <t xml:space="preserve">Luz Marina</t>
  </si>
  <si>
    <t xml:space="preserve">Araujo</t>
  </si>
  <si>
    <t xml:space="preserve">Fumadora inveterada, EPOC, HTA, CI, ICC. Ingresa con edema agudo del pulmón, hace PCR y se intuba. Ingresa en UTI, y luego se traslada al servicio.</t>
  </si>
  <si>
    <t xml:space="preserve">Idalmis</t>
  </si>
  <si>
    <t xml:space="preserve">Fumador, HTA, DM-2. ingresa con IMA inferior trombolizado.</t>
  </si>
  <si>
    <t xml:space="preserve">Fuentes </t>
  </si>
  <si>
    <t xml:space="preserve">HTA, DM, obesa, ingresa con angina emperada y cambios eléctricos.</t>
  </si>
  <si>
    <t xml:space="preserve">HTA, CI. Ingresa con angina empeorada. Se realiza coronariografía con lesión en DA ostial 30%.</t>
  </si>
  <si>
    <t xml:space="preserve">Eugenia María</t>
  </si>
  <si>
    <t xml:space="preserve">Mijares</t>
  </si>
  <si>
    <t xml:space="preserve">HTA, CI, ingresa con edema agudo del pulmón.</t>
  </si>
  <si>
    <t xml:space="preserve">Medardo</t>
  </si>
  <si>
    <t xml:space="preserve">Menendez</t>
  </si>
  <si>
    <t xml:space="preserve">HPB, Asma Bronquial, ahora con derrame prericárdico severo y pleural.</t>
  </si>
  <si>
    <t xml:space="preserve">Albertina</t>
  </si>
  <si>
    <t xml:space="preserve">HTA, DM2, dislipidemia y CI. Ingresa con angina empeorada sin cambios eléctricos.</t>
  </si>
  <si>
    <t xml:space="preserve">Misael</t>
  </si>
  <si>
    <t xml:space="preserve">Iznaga</t>
  </si>
  <si>
    <t xml:space="preserve">HTA, IM antiguo, gastritis. Ingresa con angina empeorada. Se traslada a sala de medicina para terminar estudio.</t>
  </si>
  <si>
    <t xml:space="preserve">Yaneli</t>
  </si>
  <si>
    <t xml:space="preserve">Sana, comienza con dolor hace un mes que se interpreta como angina.</t>
  </si>
  <si>
    <t xml:space="preserve">Nélida Justina</t>
  </si>
  <si>
    <t xml:space="preserve">Obesida exogena. Ingresa con disnea para estudio.</t>
  </si>
  <si>
    <t xml:space="preserve">Isabel</t>
  </si>
  <si>
    <t xml:space="preserve">Luaces</t>
  </si>
  <si>
    <t xml:space="preserve">0.93211</t>
  </si>
  <si>
    <t xml:space="preserve">FA paroxistica, DM. Ingresa con disnea y FA, se sospecha bronconeumonia. Se traslada a sala de medicina.</t>
  </si>
  <si>
    <t xml:space="preserve">Rodolfo</t>
  </si>
  <si>
    <t xml:space="preserve">Noa</t>
  </si>
  <si>
    <t xml:space="preserve">HTA sin tto. Fumador. Ingresa con dolor precordial y p negativa inferior. Pide el alta a petición.</t>
  </si>
  <si>
    <t xml:space="preserve">Fabián </t>
  </si>
  <si>
    <t xml:space="preserve">HTA, DM, IRC, IMA anterior extenso subagudo no STQ en octubre 2018. se realiza perfusión que informa viabilidad. Se realia coro con lesión en DA 95% m y Cx 90% d. se realiza ICP a DA sin complicaciones.</t>
  </si>
  <si>
    <t xml:space="preserve">Mustelier</t>
  </si>
  <si>
    <t xml:space="preserve">HTA, CI, neoplasia de mama. Ingresa con angina inestable y cambios eléctricos. Se realiza coronariografía con lesiones de DA y CX 90 %. Se pone stent en las dos. Se queda lesión en CD 50%.</t>
  </si>
  <si>
    <t xml:space="preserve">José Eduardo</t>
  </si>
  <si>
    <t xml:space="preserve">Dedric</t>
  </si>
  <si>
    <t xml:space="preserve">Asmatico. Ingresa con disnea, aumento de volumen de miembros inferiores y FA.</t>
  </si>
  <si>
    <t xml:space="preserve">Daysi de la Caridad</t>
  </si>
  <si>
    <t xml:space="preserve">HTA, CI, DM2, ingresa con IMA anteroseptal trombolizado. Se realiza coronariografía con única lesión en DA 95% p, se implanta stent.</t>
  </si>
  <si>
    <t xml:space="preserve">Ana Ivis</t>
  </si>
  <si>
    <t xml:space="preserve">Bravo</t>
  </si>
  <si>
    <t xml:space="preserve">Sana, ingresa con IM anteroseptal subagudo.</t>
  </si>
  <si>
    <t xml:space="preserve">María Cecilia</t>
  </si>
  <si>
    <t xml:space="preserve">HTA sin tto. Ingresa con dolor precordial y cifras elevadas de TA. Presenta enzima elevadas, por lo que se concluye como IMASEST</t>
  </si>
  <si>
    <t xml:space="preserve">José Alfredo</t>
  </si>
  <si>
    <t xml:space="preserve">HTA, exfumador, hace +- 1 mes con dolor precordial. Ingresa con angina empeorada.</t>
  </si>
  <si>
    <t xml:space="preserve">HTA sin tratamiento. Fumador inveterado. Ingresa con vertigo severo y crisis HTA:</t>
  </si>
  <si>
    <t xml:space="preserve">Olga</t>
  </si>
  <si>
    <t xml:space="preserve">Galvez</t>
  </si>
  <si>
    <t xml:space="preserve">Quintana</t>
  </si>
  <si>
    <t xml:space="preserve">HTA, DR, fumadora inveterada, ingresa con IMA inferior no STQ.</t>
  </si>
  <si>
    <t xml:space="preserve">María Caridad </t>
  </si>
  <si>
    <t xml:space="preserve">Martínez </t>
  </si>
  <si>
    <t xml:space="preserve">Lobaina</t>
  </si>
  <si>
    <t xml:space="preserve">HTA, CI, DM-2. ingresa con angina empeorada y descompensación de la HTA.</t>
  </si>
  <si>
    <t xml:space="preserve">Cira Leonarda</t>
  </si>
  <si>
    <t xml:space="preserve">Martiatu</t>
  </si>
  <si>
    <t xml:space="preserve">Rosquete</t>
  </si>
  <si>
    <t xml:space="preserve">HTA, CI, DM2, MCP dilatada. Ingresa con viabilidad para coro. Tiene lesión en IVP 80% que no se trata por ser un vaso fino.</t>
  </si>
  <si>
    <t xml:space="preserve">Reynelis</t>
  </si>
  <si>
    <t xml:space="preserve">Ávila</t>
  </si>
  <si>
    <t xml:space="preserve">Fumador, bebedor, que comienza con palpitaciones y disnea. En ECG FA paroxistica. MCP dilatada con mala función.</t>
  </si>
  <si>
    <t xml:space="preserve">HTA, CI, Insuficiencia mitral moderada degenerativa. Dejó de tomar medicamentos y ingresa con angina.</t>
  </si>
  <si>
    <t xml:space="preserve">Guerrero</t>
  </si>
  <si>
    <t xml:space="preserve">Barona</t>
  </si>
  <si>
    <t xml:space="preserve">HTA y tto renal. Ingresa con angina de reciente comienzo sin cambios eléctricos.</t>
  </si>
  <si>
    <t xml:space="preserve">Juan Gustavo</t>
  </si>
  <si>
    <t xml:space="preserve">HTA, CI, Inmgresa con IMA anterior trombolizado, con sepsis urinaria. Comienza con disfunción del VI. Derame pericárdico severa y trombo en VI.</t>
  </si>
  <si>
    <t xml:space="preserve">Atencio</t>
  </si>
  <si>
    <t xml:space="preserve">HTA, CI, ingresa con angina inestable y shock cardiogénico. Al ECG BCRI. Se traslada a sala de Medicina.</t>
  </si>
  <si>
    <t xml:space="preserve">Sicklemia, endocarditis resuelta complicada con insuficiencia aortica moderada y mitral severa. Ingresa desde sala de Hematología por cuadros de edema pilmonar agudo. Se traslada nuevamente a Hematologia.</t>
  </si>
  <si>
    <t xml:space="preserve">Carlos Miguel</t>
  </si>
  <si>
    <t xml:space="preserve">Valera</t>
  </si>
  <si>
    <t xml:space="preserve">HTA. Ingresa con IMA anterolateral STQ. Hace evento de dolor abdominal agudo con bajo gasto que necesitó apoyo inotrópico. Se realiza angioTAC negativa. Los familiares deciden trasladarlo a ICCCV.</t>
  </si>
  <si>
    <t xml:space="preserve">Gloria</t>
  </si>
  <si>
    <t xml:space="preserve">HTA, fumadora. Ingresa con IMA lateral trombolizado. Cuando sube a la sala cae en PCR y fallece.</t>
  </si>
  <si>
    <t xml:space="preserve">Évora</t>
  </si>
  <si>
    <t xml:space="preserve">Angina reciente comienzo. ECG: T neg V1-V3</t>
  </si>
  <si>
    <t xml:space="preserve">Martha</t>
  </si>
  <si>
    <t xml:space="preserve">Abreu</t>
  </si>
  <si>
    <t xml:space="preserve">HTA, eclerodermia. Ingresa con IMA lateral trombolizado.</t>
  </si>
  <si>
    <t xml:space="preserve">Deisy María</t>
  </si>
  <si>
    <t xml:space="preserve">2.93</t>
  </si>
  <si>
    <t xml:space="preserve">AEP sin cambios. HTA.</t>
  </si>
  <si>
    <t xml:space="preserve">HTA. IMA hace 14 años, continuo fumando. Ingresa con IMA inferior trombolizado.</t>
  </si>
  <si>
    <t xml:space="preserve">Orlando</t>
  </si>
  <si>
    <t xml:space="preserve">FA Bloqueada. Se ingresa para MPP</t>
  </si>
  <si>
    <t xml:space="preserve">Valido</t>
  </si>
  <si>
    <t xml:space="preserve">Villareal</t>
  </si>
  <si>
    <t xml:space="preserve">AIA con cambios ECG. HTA, ECV antigua</t>
  </si>
  <si>
    <t xml:space="preserve">Victoria Milagros</t>
  </si>
  <si>
    <t xml:space="preserve">io</t>
  </si>
  <si>
    <t xml:space="preserve">Emergencia hipertensiva. Angina de reciente comienzo. Neumonía de base derecha. IRC.</t>
  </si>
  <si>
    <t xml:space="preserve">IM antiguo, BCRI, HTA, HPB. Ingresa con IMA anteroseptal trombolizado.</t>
  </si>
  <si>
    <t xml:space="preserve">Nelson Felipe</t>
  </si>
  <si>
    <t xml:space="preserve">Umpierre</t>
  </si>
  <si>
    <t xml:space="preserve">Elisa</t>
  </si>
  <si>
    <t xml:space="preserve">Estenosis aórtica severa pendiente tto Qx. Ahora con angina con cambios.</t>
  </si>
  <si>
    <t xml:space="preserve">CI con stent en DA y lesiones no significativas en CD y 1 OM. Est Ao moderada. Ingresa por síncope y angina.</t>
  </si>
  <si>
    <t xml:space="preserve">Margara</t>
  </si>
  <si>
    <t xml:space="preserve">HTA severa. Ingresa con emergencia HTA y síncope. Se diagnostica IRC.</t>
  </si>
  <si>
    <t xml:space="preserve">HTA, CI, IMA anterior trombolizado, con sepsis urinaria menos de una semana, disfunción del VI y derrame pericárdico severa y trombo en VI. Ahora ingresa con insuficiencia cardiaca y shock cardiogénico.</t>
  </si>
  <si>
    <t xml:space="preserve">Alicia</t>
  </si>
  <si>
    <t xml:space="preserve">Santana</t>
  </si>
  <si>
    <t xml:space="preserve">MCP dilatada, hipotiroidismo, HTA, colitis ulcerativa. Ingresa con dolor atípico. Se diagnostica bronconeumoní bacteriana. Se traslada a Medicina.</t>
  </si>
  <si>
    <t xml:space="preserve">Danileidy</t>
  </si>
  <si>
    <t xml:space="preserve">Felicó</t>
  </si>
  <si>
    <t xml:space="preserve">HTA, alcoholico. Ingresa con angina inestable con cambios ECG. Se diagnostica disección aórtica desde raíz hasta abdominal, con insuficiencia aórtica severa. Se traslada a ICCCV para tratamiento quirúrgico.</t>
  </si>
  <si>
    <t xml:space="preserve">IM hace 6 meses, con ICP a DA 2 stents. Ahora ingresa con angina de empeoramiento progresivo. Se realiza ICP a CD y 1OM ostial.</t>
  </si>
  <si>
    <t xml:space="preserve">Jomarrón</t>
  </si>
  <si>
    <t xml:space="preserve">Fumador inveterado. Ingresa con IMA septal trombolizado.</t>
  </si>
  <si>
    <t xml:space="preserve">Isora Lidia</t>
  </si>
  <si>
    <t xml:space="preserve">Bassó</t>
  </si>
  <si>
    <t xml:space="preserve">Amaro</t>
  </si>
  <si>
    <t xml:space="preserve">HTA, DM2, CI, fumadora. Ingresa con IMA inferior no trombolizado.</t>
  </si>
  <si>
    <t xml:space="preserve">HTA, CI, FA crónica que ingresa con angina emperoada.</t>
  </si>
  <si>
    <t xml:space="preserve">Alberto Rodolfo</t>
  </si>
  <si>
    <t xml:space="preserve">HTA. Ingresa con dolor abdominal y se constata colecistitis aguda.</t>
  </si>
  <si>
    <t xml:space="preserve">Hilaria Noelia</t>
  </si>
  <si>
    <t xml:space="preserve">Amor</t>
  </si>
  <si>
    <t xml:space="preserve">San Juan</t>
  </si>
  <si>
    <t xml:space="preserve">HTA, DM2, Iao, ingresa con BAV completo para MPP.</t>
  </si>
  <si>
    <t xml:space="preserve">Maceda</t>
  </si>
  <si>
    <t xml:space="preserve">Puñal</t>
  </si>
  <si>
    <t xml:space="preserve">1.01</t>
  </si>
  <si>
    <t xml:space="preserve">HTA. Ingresa con IMA inferior trombolizado y FA.</t>
  </si>
  <si>
    <t xml:space="preserve">René Alejandro</t>
  </si>
  <si>
    <t xml:space="preserve">AEP con cambios ECG. En coro lesión en CD 99% crónica y lesiones no significativas en otros vasos.</t>
  </si>
  <si>
    <t xml:space="preserve">Alfonso</t>
  </si>
  <si>
    <t xml:space="preserve">FA paroxística, que ingresa con insuficiencia cardiaca y BNB.</t>
  </si>
  <si>
    <t xml:space="preserve">Nancy</t>
  </si>
  <si>
    <t xml:space="preserve">Padrón</t>
  </si>
  <si>
    <t xml:space="preserve">HTA, gotosa, hipotiroidea, IRC. Ingresa con TRIN que revirtió.</t>
  </si>
  <si>
    <t xml:space="preserve">Santa Luisa</t>
  </si>
  <si>
    <t xml:space="preserve">Henriquez</t>
  </si>
  <si>
    <t xml:space="preserve">CI, RMQ con safena, HTA, DM2. Ingresa con disnea.</t>
  </si>
  <si>
    <t xml:space="preserve">Alberto</t>
  </si>
  <si>
    <t xml:space="preserve">Villena</t>
  </si>
  <si>
    <t xml:space="preserve">HTA, obeso, APP de angina pero con pruebas de detección isquemia negativas. Ingresa con dolor precordial y HTA.</t>
  </si>
  <si>
    <t xml:space="preserve">Vicente</t>
  </si>
  <si>
    <t xml:space="preserve">HTA, EPOC, IM antiguo. Ingresa con IM inferior trombolizado.</t>
  </si>
  <si>
    <t xml:space="preserve">Reinaldo Pedro</t>
  </si>
  <si>
    <t xml:space="preserve">Becerra</t>
  </si>
  <si>
    <t xml:space="preserve">HTA, fumador, DM. Ingresa con IMA inferior que no se trombolizó por hipotensión y bradicardia. Comienza con shok y fallece</t>
  </si>
  <si>
    <t xml:space="preserve">Norma Estrella</t>
  </si>
  <si>
    <t xml:space="preserve">Mantardi</t>
  </si>
  <si>
    <t xml:space="preserve">HTA, Asma. Ingresa con angina sin cambios</t>
  </si>
  <si>
    <t xml:space="preserve">Ana Iris</t>
  </si>
  <si>
    <t xml:space="preserve">Morera</t>
  </si>
  <si>
    <t xml:space="preserve">HTA, fumadora, IM antiguo con ICP. Ahora ingresa con angina empeorada.</t>
  </si>
  <si>
    <t xml:space="preserve">Nélida</t>
  </si>
  <si>
    <t xml:space="preserve">IMA inferior hace un mes, HTA, DM-2, ingresa con edema agudo del pulmón en Covadonga y se traslada al hospital.</t>
  </si>
  <si>
    <t xml:space="preserve">Milagros</t>
  </si>
  <si>
    <t xml:space="preserve">Dueñas</t>
  </si>
  <si>
    <t xml:space="preserve">Amaros</t>
  </si>
  <si>
    <t xml:space="preserve">HTA, Ingresa en Medicina por BNB e ICC. Hace dolor precordial y cambios ECG y se traslada a Coronario. Fallece en bradicardia extrema.</t>
  </si>
  <si>
    <t xml:space="preserve">Modesto</t>
  </si>
  <si>
    <t xml:space="preserve">Barcarlos</t>
  </si>
  <si>
    <t xml:space="preserve">HTA, CI, DM2. ingresa con edema agudo del pulmón.</t>
  </si>
  <si>
    <t xml:space="preserve">Quevedo</t>
  </si>
  <si>
    <t xml:space="preserve">La Pera</t>
  </si>
  <si>
    <t xml:space="preserve">DM-2, HTA, fumadora. Realiza linfangitis y comienza con lesión de pie diabético. Ingresado en Angiología y comienza con dolor precordial y cambios eléctricos. En Eco hay Cardiopatia HTA. Se traslada de nuevo a angiología.</t>
  </si>
  <si>
    <t xml:space="preserve">María Dolores</t>
  </si>
  <si>
    <t xml:space="preserve">Sandoval</t>
  </si>
  <si>
    <t xml:space="preserve">Albert</t>
  </si>
  <si>
    <t xml:space="preserve">CI, ingreso hace 3 meses por angina inestable, fumadora, HTA. Ingresa con angina empeoramiento con cambios eléctricos.</t>
  </si>
  <si>
    <t xml:space="preserve">Igarza</t>
  </si>
  <si>
    <t xml:space="preserve">HTA, IM antiguo. Ingresa con angina empeorada y emergencia HTA.</t>
  </si>
  <si>
    <t xml:space="preserve">HTA. Comienza con  dolor precordial y disnea. En eco hay dilatación VI con mala función ventricular y isquemia.</t>
  </si>
  <si>
    <t xml:space="preserve">HTA, DM, IM antiguo, ICC, hipotiroidismo, no toma medicamentos del tiroides hacía 5 días. Ingresa con disnea.</t>
  </si>
  <si>
    <t xml:space="preserve">Virginia</t>
  </si>
  <si>
    <t xml:space="preserve">Zubiadut</t>
  </si>
  <si>
    <t xml:space="preserve">Hechevarría</t>
  </si>
  <si>
    <t xml:space="preserve">HTA, CI, DM2. ingresa con angina empeorada.</t>
  </si>
  <si>
    <t xml:space="preserve">Boza</t>
  </si>
  <si>
    <t xml:space="preserve">Cueto</t>
  </si>
  <si>
    <t xml:space="preserve">CO, stent en TCI, DM-2, ICC. Ingresa con FA, dolor precordial y edema pulmonar. Realiza racha de TV no sostenida.</t>
  </si>
  <si>
    <t xml:space="preserve">José</t>
  </si>
  <si>
    <t xml:space="preserve">Pineda</t>
  </si>
  <si>
    <t xml:space="preserve">HTA. iNgresa con síncope y trastornos de conducción. Se implanta MPP.</t>
  </si>
  <si>
    <t xml:space="preserve">HTA sin tto. Ingresa con dolor precordial.</t>
  </si>
  <si>
    <t xml:space="preserve">HTA, ICC, FA, EPOC. Ahora ingresa con pérdida de peso y diarreas.</t>
  </si>
  <si>
    <t xml:space="preserve">David</t>
  </si>
  <si>
    <t xml:space="preserve">Rojo</t>
  </si>
  <si>
    <t xml:space="preserve">HTA, ingresa con disnea, fiebre y derrame pericárdico severo.</t>
  </si>
  <si>
    <t xml:space="preserve">Pilar Mireya</t>
  </si>
  <si>
    <t xml:space="preserve">Maure</t>
  </si>
  <si>
    <t xml:space="preserve">CI, DM2, epilepsia. Ingresa con angina empeorada.</t>
  </si>
  <si>
    <t xml:space="preserve">HTA, CI, MCP dilatada. Ingresa con angina y disnea.</t>
  </si>
  <si>
    <t xml:space="preserve">Felpeto</t>
  </si>
  <si>
    <t xml:space="preserve">HTA, fumador, dolores precordiales anteriores. Se ingresa con emergencia HTA y dolor precordial.</t>
  </si>
  <si>
    <t xml:space="preserve">Juana Carmen</t>
  </si>
  <si>
    <t xml:space="preserve">Yale</t>
  </si>
  <si>
    <t xml:space="preserve">DM-2. Ingresa en síncope y al ECG tiene bloqueo completo. Se implanta MPP. Se traslada a sala de Medicina.</t>
  </si>
  <si>
    <t xml:space="preserve">Asunción Nereida</t>
  </si>
  <si>
    <t xml:space="preserve">MCP dilatada isquémica y tóxica. Ingresa con disnea.</t>
  </si>
  <si>
    <t xml:space="preserve">Amada Carmen</t>
  </si>
  <si>
    <t xml:space="preserve">Nellar</t>
  </si>
  <si>
    <t xml:space="preserve">HTA, DM-2, hiperuricemia. Ingresa con disnea, BNB y FA.</t>
  </si>
  <si>
    <t xml:space="preserve">Juan Carlos</t>
  </si>
  <si>
    <t xml:space="preserve">HTA sin tto, fumador inveterado. Ingresa con IMA anterior extenso trombolizado.</t>
  </si>
  <si>
    <t xml:space="preserve">Miriam</t>
  </si>
  <si>
    <t xml:space="preserve">Plaza</t>
  </si>
  <si>
    <t xml:space="preserve">CI, DM-2, HTA, AVE con déficit motor. Ingresa con insuficiencia cardiaca y FA. Se constata melena y se concluye SDA.</t>
  </si>
  <si>
    <t xml:space="preserve">Juan </t>
  </si>
  <si>
    <t xml:space="preserve">Moré</t>
  </si>
  <si>
    <t xml:space="preserve">HTA, fumador inveterado y alcohólico. Ingresa con IMA inferior q no se trombolizó. </t>
  </si>
  <si>
    <t xml:space="preserve">HTA, HPH, dolor atípico, cambios eléctricos. Tenía eco con hipertrofia. Se concluye como cardiopatía hipertensiva</t>
  </si>
  <si>
    <t xml:space="preserve">Freddy</t>
  </si>
  <si>
    <t xml:space="preserve">HTA, IMA en dos ocasiones. Ahora ingresa con dolor precordial.</t>
  </si>
  <si>
    <t xml:space="preserve">Julia Mirtha</t>
  </si>
  <si>
    <t xml:space="preserve">Paz</t>
  </si>
  <si>
    <t xml:space="preserve">HTA, IM hace 3 meses. Ingresa con disnea y edema agudo del pulmón.</t>
  </si>
  <si>
    <t xml:space="preserve">Leydis</t>
  </si>
  <si>
    <t xml:space="preserve">Caracol</t>
  </si>
  <si>
    <t xml:space="preserve">Sardiñas</t>
  </si>
  <si>
    <t xml:space="preserve">HTA, IM en 2016 con stent en DA. Acude a ploclínico del área con dolor epigástrico y diagnostican IMA y comienza STQ, pero la detienen por hipotension. En realidad tiene angina.</t>
  </si>
  <si>
    <t xml:space="preserve">Lidia</t>
  </si>
  <si>
    <t xml:space="preserve">Venegas</t>
  </si>
  <si>
    <t xml:space="preserve">HTA, CI, hipotiroidismo. FEVI normal. Ingresa con edemas en miembros inferiores.</t>
  </si>
  <si>
    <t xml:space="preserve">Juana Inés</t>
  </si>
  <si>
    <t xml:space="preserve">Biciedo</t>
  </si>
  <si>
    <t xml:space="preserve">HTA, CI. Fumadora. Ingresa con angina sin cambios.</t>
  </si>
  <si>
    <t xml:space="preserve">Sara Luz</t>
  </si>
  <si>
    <t xml:space="preserve">Saldívar</t>
  </si>
  <si>
    <t xml:space="preserve">HTA, CI con stent de DA. Ingresa con angina empeorada y cambios ECG. En el ingreso hace IMA anterior extenso q se tromboliza.</t>
  </si>
  <si>
    <t xml:space="preserve">Carmen Acelia</t>
  </si>
  <si>
    <t xml:space="preserve">Rivas</t>
  </si>
  <si>
    <t xml:space="preserve">HTA, DM. Fractura de cadera pendiente tto Qx. Ayer en sala de Ortopedia comienza con palpitaciones y se constata FA.</t>
  </si>
  <si>
    <t xml:space="preserve">Faustina Basilia</t>
  </si>
  <si>
    <t xml:space="preserve">Vallalba</t>
  </si>
  <si>
    <t xml:space="preserve">HTA, CI. Ingreso con neumonia en UTI intubada, se traslada a Medicina y al pasarle un medicamento por cateter central hace síncope y disnea subita. Se interpreta con TEP y se traslada a UCIE y luego a coronario. En sala hace trastornos neurologicos y se confirma AVE isquemico. se traslada a UTI.</t>
  </si>
  <si>
    <t xml:space="preserve">Elias</t>
  </si>
  <si>
    <t xml:space="preserve">HTA, fumador. Ingresa con dolor atipico y se concluye pericarditis.</t>
  </si>
  <si>
    <t xml:space="preserve">Gerardo</t>
  </si>
  <si>
    <t xml:space="preserve">Coimara</t>
  </si>
  <si>
    <t xml:space="preserve">HTA, DM-2. ingresa con angina empeoramiento progresivo.</t>
  </si>
  <si>
    <t xml:space="preserve">Rosabal</t>
  </si>
  <si>
    <t xml:space="preserve">HTA, CI, DM2. ingresa con angina empeorada con cambios ECG. Se realiza coro con enfermedad multivaso para tto Qx. Se traslada al ICCCV</t>
  </si>
  <si>
    <t xml:space="preserve">Alfredo </t>
  </si>
  <si>
    <t xml:space="preserve">HTA, DM-2, CI. 2 stent. Ingresa con angina empeorada.</t>
  </si>
  <si>
    <t xml:space="preserve">Arnaldo Lázaro</t>
  </si>
  <si>
    <t xml:space="preserve">HTA, CI, IC. Ingresa con EAP por falta de medicamentos.</t>
  </si>
  <si>
    <t xml:space="preserve">Fumador. Ingresa con IMA inferior trombolizado.</t>
  </si>
  <si>
    <t xml:space="preserve">Ofelia Ada</t>
  </si>
  <si>
    <t xml:space="preserve">HTA, fumadora. Ingresa con IMA inferior no trombolizado.</t>
  </si>
  <si>
    <t xml:space="preserve">Domingo Ramón</t>
  </si>
  <si>
    <t xml:space="preserve">Alberna</t>
  </si>
  <si>
    <t xml:space="preserve">HTA, CI, AVE, ICC. Ingresa con angina empeorada y BCRIHH.</t>
  </si>
  <si>
    <t xml:space="preserve">APP salud. Hace dolor precordial con PCR en FV que necesitó VMI. Ima anterior que se trombolizó.</t>
  </si>
  <si>
    <t xml:space="preserve">Magalys</t>
  </si>
  <si>
    <t xml:space="preserve">CI, HTA, IRC, IAP, DM. Ingresa con angina empeorada con ptosis palpebral.</t>
  </si>
  <si>
    <t xml:space="preserve">Clara Amarilys</t>
  </si>
  <si>
    <t xml:space="preserve">HTA, IMA con ICP. Se ingresa con dolor precordial sin cambios eléctricos.</t>
  </si>
  <si>
    <t xml:space="preserve">Norberto </t>
  </si>
  <si>
    <t xml:space="preserve">Breijo</t>
  </si>
  <si>
    <t xml:space="preserve">APP de salud. Comienza con dolor precordial y prueba ergométrica positiva. Se ingresa para coro, pero falla ambulancia. Se decide alta para estudio de perfusión.</t>
  </si>
  <si>
    <t xml:space="preserve">Rosa Estrella</t>
  </si>
  <si>
    <t xml:space="preserve">Mirabal</t>
  </si>
  <si>
    <t xml:space="preserve">CI, HTA. Ingresa por angina empeorada para coronariografía. Falla ambulancia y decide no realizarse la prueba.</t>
  </si>
  <si>
    <t xml:space="preserve">María Eneida</t>
  </si>
  <si>
    <t xml:space="preserve">HTA, DM, IMA en 2005 con ICP, FA paroxistica hace 15 días. Ingresa con angina empeorada. ECG hay BCRI</t>
  </si>
  <si>
    <t xml:space="preserve">Urrutia</t>
  </si>
  <si>
    <t xml:space="preserve">HTA, exfumador. Ingresa con angina inestable con cambios eléctricos.</t>
  </si>
  <si>
    <t xml:space="preserve">HTA, DM-2. Historia de dolores lumbares y problemas al caminar. Ingresa con angina inestable con cambios eléctricos. Se realiza coronariografía con enfermedad multivaso. Se decide tto quirúrgico.</t>
  </si>
  <si>
    <t xml:space="preserve">Esquivel</t>
  </si>
  <si>
    <t xml:space="preserve">HTA, ingresa con angina de reciente comienzo.</t>
  </si>
  <si>
    <t xml:space="preserve">Conrado</t>
  </si>
  <si>
    <t xml:space="preserve">Chacón</t>
  </si>
  <si>
    <t xml:space="preserve">Dinorach</t>
  </si>
  <si>
    <t xml:space="preserve">CI. HTA. ICC. Se traslada a Medicina para terminar tratamiento.</t>
  </si>
  <si>
    <t xml:space="preserve">Haydee Odalys</t>
  </si>
  <si>
    <t xml:space="preserve">Espinosa</t>
  </si>
  <si>
    <t xml:space="preserve">HTA, CI, fumadora. Ingresa con angina inestable.</t>
  </si>
  <si>
    <t xml:space="preserve">Elsa </t>
  </si>
  <si>
    <t xml:space="preserve">Carranza</t>
  </si>
  <si>
    <t xml:space="preserve">Portela</t>
  </si>
  <si>
    <t xml:space="preserve">Posoperatorio de colostomia.</t>
  </si>
  <si>
    <t xml:space="preserve">Carmelina M</t>
  </si>
  <si>
    <t xml:space="preserve">0.18589</t>
  </si>
  <si>
    <t xml:space="preserve">HTA, CI. Ingresa con infección respiratoria y FA con respuesta rápida.</t>
  </si>
  <si>
    <t xml:space="preserve">Viamonte</t>
  </si>
  <si>
    <t xml:space="preserve">Polanco</t>
  </si>
  <si>
    <t xml:space="preserve">APP salud. Despues de una fiebre comienza con dolor pericárdico y ECG con supra ST. Se concluye como IMA anterior extenso con insuficiencia cardiaca.</t>
  </si>
  <si>
    <t xml:space="preserve">Félix</t>
  </si>
  <si>
    <t xml:space="preserve">Lagué</t>
  </si>
  <si>
    <t xml:space="preserve">Exfumador, Asma bronquial. Ingresa con IMA inferolateral trombolizado y TA elevada. Se realiza coronariografía con coronarias normales.</t>
  </si>
  <si>
    <t xml:space="preserve">Casimiro</t>
  </si>
  <si>
    <t xml:space="preserve">HTA, fumador importante. Ingresa con dolor torácico y ST elevado que impresionó al pricipio IMA, pero quedo como angina.</t>
  </si>
  <si>
    <t xml:space="preserve">HTA, exfumador, DM2. ingresa con angina de reciente comienzo y cambios eléctricos.</t>
  </si>
  <si>
    <t xml:space="preserve">Ángel</t>
  </si>
  <si>
    <t xml:space="preserve">Tremiño</t>
  </si>
  <si>
    <t xml:space="preserve">0.69544</t>
  </si>
  <si>
    <t xml:space="preserve">HTA, fumador. Ingresa con edema del pulmon y taquicardia auricular.</t>
  </si>
  <si>
    <t xml:space="preserve">Elia</t>
  </si>
  <si>
    <t xml:space="preserve">Frómeta</t>
  </si>
  <si>
    <t xml:space="preserve">HTA. Ingresa con angina de reciente diagn´sotico.</t>
  </si>
  <si>
    <t xml:space="preserve">Migdalia</t>
  </si>
  <si>
    <t xml:space="preserve">Columbié</t>
  </si>
  <si>
    <t xml:space="preserve">Fumadora, HTA. Ingresa con IMA inferior trombolizado.</t>
  </si>
  <si>
    <t xml:space="preserve">Felipe</t>
  </si>
  <si>
    <t xml:space="preserve">Pacho</t>
  </si>
  <si>
    <t xml:space="preserve">HTA. Ingresa con neumonia extrahospitalaria con derrame.</t>
  </si>
  <si>
    <t xml:space="preserve">Lázaro Antonio. </t>
  </si>
  <si>
    <t xml:space="preserve">Diaz</t>
  </si>
  <si>
    <t xml:space="preserve">4.43</t>
  </si>
  <si>
    <t xml:space="preserve">2.54</t>
  </si>
  <si>
    <t xml:space="preserve">10.2</t>
  </si>
  <si>
    <t xml:space="preserve">0.45</t>
  </si>
  <si>
    <t xml:space="preserve">8.6</t>
  </si>
  <si>
    <t xml:space="preserve">Pedro Javier</t>
  </si>
  <si>
    <t xml:space="preserve">3.77</t>
  </si>
  <si>
    <t xml:space="preserve">1.29</t>
  </si>
  <si>
    <t xml:space="preserve">7.1</t>
  </si>
  <si>
    <t xml:space="preserve">0.36</t>
  </si>
  <si>
    <t xml:space="preserve">9.2</t>
  </si>
  <si>
    <t xml:space="preserve">ICC con edema pulmonar. En ecocardiograma destrucción de valvula aortica y mitral. Se comienza con tto de encodcarditis. Hace shock y fallece.</t>
  </si>
  <si>
    <t xml:space="preserve">Julia</t>
  </si>
  <si>
    <t xml:space="preserve">de Armas </t>
  </si>
  <si>
    <t xml:space="preserve">HTA, CI. Se realiza coro electiva y en ICP se hace disección y IMA. La trasladan al hospital y cae en shock cardiogénico.</t>
  </si>
  <si>
    <t xml:space="preserve">Bofill</t>
  </si>
  <si>
    <t xml:space="preserve">0.81</t>
  </si>
  <si>
    <t xml:space="preserve">8.84</t>
  </si>
  <si>
    <t xml:space="preserve">0.48</t>
  </si>
  <si>
    <t xml:space="preserve">10.9</t>
  </si>
  <si>
    <t xml:space="preserve">3.59</t>
  </si>
  <si>
    <t xml:space="preserve">1.09</t>
  </si>
  <si>
    <t xml:space="preserve">6.9</t>
  </si>
  <si>
    <t xml:space="preserve">0.40</t>
  </si>
  <si>
    <t xml:space="preserve">9.3</t>
  </si>
  <si>
    <t xml:space="preserve">HTA, CI, MCP dilatada, IMA. Ingresa con angina y disnea.Coronariografia: DA 30% Distal, Cx 30% Proximal, TCI CD sin lesiones</t>
  </si>
  <si>
    <t xml:space="preserve">Jose Luis</t>
  </si>
  <si>
    <t xml:space="preserve">3.76</t>
  </si>
  <si>
    <t xml:space="preserve">1.45</t>
  </si>
  <si>
    <t xml:space="preserve">4.01</t>
  </si>
  <si>
    <t xml:space="preserve">0.33</t>
  </si>
  <si>
    <t xml:space="preserve">12.06</t>
  </si>
  <si>
    <t xml:space="preserve">Hector</t>
  </si>
  <si>
    <t xml:space="preserve">2.51</t>
  </si>
  <si>
    <t xml:space="preserve">1.21</t>
  </si>
  <si>
    <t xml:space="preserve">3.8</t>
  </si>
  <si>
    <t xml:space="preserve">Derrame pericárdico severo debido a enfermedad neoplásica.</t>
  </si>
  <si>
    <t xml:space="preserve"> Juan Ismael</t>
  </si>
  <si>
    <t xml:space="preserve">HTA, Enfermedad multivao con TCI 95%. Un mes antes de operación sufre IMA que fue rechazado despues para RMQ. Ahora ingresa con angina empeorada. Se traslada al  ICCCV</t>
  </si>
  <si>
    <t xml:space="preserve">Héctor </t>
  </si>
  <si>
    <t xml:space="preserve">Romani</t>
  </si>
  <si>
    <t xml:space="preserve">Velazco</t>
  </si>
  <si>
    <t xml:space="preserve">DM, HTA, fumador, ingresa con angina inestable con cambios.</t>
  </si>
  <si>
    <t xml:space="preserve">Rey David</t>
  </si>
  <si>
    <t xml:space="preserve">HTA, fumador, bebedor. Ingresa con emergencia HTA y dolor precordial. Se concluye como cardiopatía HTA.</t>
  </si>
  <si>
    <t xml:space="preserve">Antonia Deysi</t>
  </si>
  <si>
    <t xml:space="preserve">HTA, ICC, CI. Ingresa con shock cardiogénico apoyada. Mejora y se traslada a sala de Medicina para terminar tto. Antibiótico.</t>
  </si>
  <si>
    <t xml:space="preserve">Fermín</t>
  </si>
  <si>
    <t xml:space="preserve">HTA, CI. Ingresa con angina empeorada sin cambios.</t>
  </si>
  <si>
    <t xml:space="preserve">Genaro </t>
  </si>
  <si>
    <t xml:space="preserve">Laborit</t>
  </si>
  <si>
    <t xml:space="preserve">3.42</t>
  </si>
  <si>
    <t xml:space="preserve">1.15</t>
  </si>
  <si>
    <t xml:space="preserve">12.6</t>
  </si>
  <si>
    <t xml:space="preserve">ICC, IAP con lesión en pie izquiedo para amputación. FA crónica. Ingresa con ICC descompensada por FA con RV acelerada y síndrome de bradicardia taquicardia. Se traslada al ICCCV para monitorizar y decidir conducta.</t>
  </si>
  <si>
    <t xml:space="preserve">HTA, CI, hipotiroidismo, ATI. Ingresa con angina y cambios eléctricos.</t>
  </si>
  <si>
    <t xml:space="preserve">HTA, CI. Ingresa con IMA anterior extenso trombolizado complicado con insuficiencia cardiaca.</t>
  </si>
  <si>
    <t xml:space="preserve">Mijail Lázaro</t>
  </si>
  <si>
    <t xml:space="preserve">Salazar</t>
  </si>
  <si>
    <t xml:space="preserve">HTA, IMA hace 7 meses con stent en DA. Continua fumando. Ahora ingresa con angina sin cambios.</t>
  </si>
  <si>
    <t xml:space="preserve">APP de salud. Comienza con dolor precordial y prueba ergométrica positiva. Se ingresa para coro, pero falla ambulancia. Se decide alta para estudio de perfusión. Estudio de perfusión positiva y se reingresa. En coro DA 99% (p) y 1Dg 99%(p). Se implanta DES en DA y stent convencional en 1Dg.</t>
  </si>
  <si>
    <t xml:space="preserve">Evangelio</t>
  </si>
  <si>
    <t xml:space="preserve">HTA, DM, CI. Ingresa con síncope y se observa BAV completo intermitente. Se implanta MPP.</t>
  </si>
  <si>
    <t xml:space="preserve">HTA, fumador, gastritis. Ingresa con dolor epigástrico y sudoraciones con BCRI que se interpretó como IMA y se STQ. Después se bserva que BCRI era viejo.</t>
  </si>
  <si>
    <t xml:space="preserve">Pedro Alberto</t>
  </si>
  <si>
    <t xml:space="preserve">Echemendía</t>
  </si>
  <si>
    <t xml:space="preserve">Exfumador e HTA. Ingresa por angina e insuficiencia cardiaca.</t>
  </si>
  <si>
    <t xml:space="preserve">Olimpia de la Caridad </t>
  </si>
  <si>
    <t xml:space="preserve">Valencia</t>
  </si>
  <si>
    <t xml:space="preserve">HTA, DM, fumadora. Ingresa con IMA anterior extenso trombolizado complicada con BNB y insuficiencia cardiaca.</t>
  </si>
  <si>
    <t xml:space="preserve">HTA, DM-2, CI. Ingresa con IMA anterior extenso trombolizado.</t>
  </si>
  <si>
    <t xml:space="preserve">Marco Antonio</t>
  </si>
  <si>
    <t xml:space="preserve">CI, HTA. Ingresa con angina empeorada y FA. Tiene erisipela.</t>
  </si>
  <si>
    <t xml:space="preserve">Rondón</t>
  </si>
  <si>
    <t xml:space="preserve">Buzón</t>
  </si>
  <si>
    <t xml:space="preserve">HTA, IMA hace 3 meses con implantación de stent. Ahora ingresa con falta de aire a los esfuerzos.</t>
  </si>
  <si>
    <t xml:space="preserve">José Luis</t>
  </si>
  <si>
    <t xml:space="preserve">Zubizarreta</t>
  </si>
  <si>
    <t xml:space="preserve">Acevedo</t>
  </si>
  <si>
    <t xml:space="preserve">APP de salud. Ingresa con angina empeorada.</t>
  </si>
  <si>
    <t xml:space="preserve">1.64</t>
  </si>
  <si>
    <t xml:space="preserve">HTA. Ingresa con IMA anterior extenso trombolizado</t>
  </si>
  <si>
    <t xml:space="preserve">HTA. Ingresa con angina de reciente comienzo con cambios electricos.</t>
  </si>
  <si>
    <t xml:space="preserve">Fernando Cándido</t>
  </si>
  <si>
    <t xml:space="preserve">Gallego</t>
  </si>
  <si>
    <t xml:space="preserve">HTA sin tto. Fumador. Ingresa con angina reciente comienzo</t>
  </si>
  <si>
    <t xml:space="preserve">Eguiguren</t>
  </si>
  <si>
    <t xml:space="preserve">HTA, CI con ICP con 2 stent que no recuerda. Ahora ingresa con IMA anteroseptal trombolizado.</t>
  </si>
  <si>
    <t xml:space="preserve">HTA, CI, MCP dilatada, IMA y coronarias normales. Ingresa con angina y disnea.</t>
  </si>
  <si>
    <t xml:space="preserve">Juana del Carmen</t>
  </si>
  <si>
    <t xml:space="preserve">Balmaseda</t>
  </si>
  <si>
    <t xml:space="preserve">de la Cruz</t>
  </si>
  <si>
    <t xml:space="preserve">HTA, IM antiguo, hipotiroidismo, fumadora, IRC. Ingresa con angina de empeoramiento progresivo y cambios eléctrcios.</t>
  </si>
  <si>
    <t xml:space="preserve">HTA y dislipidemia. Ingresa con IMA inferior trobolizado no complicado.</t>
  </si>
  <si>
    <t xml:space="preserve">Odalis</t>
  </si>
  <si>
    <t xml:space="preserve">DM. HTA. Ingresa con angina de reposo.</t>
  </si>
  <si>
    <t xml:space="preserve">ICC, IAP con lesión en pie izquiedo para amputación. FA crónica. Se traslado de coronario a angiología para operaciuón. Hace racha de TRIN y se traslada al servicio.</t>
  </si>
  <si>
    <t xml:space="preserve">Angel Gabino</t>
  </si>
  <si>
    <t xml:space="preserve">IM hace menos de un mes. Al alta comienza con dolor precordial. Se ingresa por angina postIMA. Se implanta stent en DA 90% proximal como unica lesión.</t>
  </si>
  <si>
    <t xml:space="preserve">Camacho</t>
  </si>
  <si>
    <t xml:space="preserve">Fuamdor y bebedor. Ingresa con disnea y shock. Fallece en shock séptico</t>
  </si>
  <si>
    <t xml:space="preserve">HTA, fumador. Ingresa con IMA anterior trombolizado.</t>
  </si>
  <si>
    <t xml:space="preserve">Paula Caridad</t>
  </si>
  <si>
    <t xml:space="preserve">APP de salud. Ingresa con disnea. En ECG BAV completo. Se implanta MPP.</t>
  </si>
  <si>
    <t xml:space="preserve">Pulido</t>
  </si>
  <si>
    <t xml:space="preserve">HTA, DM2, IM antiguo con stent no sabe localización. Ingresa con IMA anteroseptal no trombolizado.</t>
  </si>
  <si>
    <t xml:space="preserve">María Magalis</t>
  </si>
  <si>
    <t xml:space="preserve">HTA, CI, fumadora, DM-2. ingresa con angina empeorada. Empeora y hace IMA inferior con extensión a VD que se tromboliza.</t>
  </si>
  <si>
    <t xml:space="preserve">Yusinay</t>
  </si>
  <si>
    <t xml:space="preserve">APP de HTA y fumadora inveterada. Se ingresa con dolor de 3 días y se diagnostica IMA anteroseptal no STQ.</t>
  </si>
  <si>
    <t xml:space="preserve">Inés</t>
  </si>
  <si>
    <t xml:space="preserve">Misladys</t>
  </si>
  <si>
    <t xml:space="preserve">Calero</t>
  </si>
  <si>
    <t xml:space="preserve">Lorente</t>
  </si>
  <si>
    <t xml:space="preserve">HTA, DM2, CI. Ingresa con angina empeorada con cambios eléctricos. Se realiza coronariografía con lesiones en DA y Cx que se tratan con tres stent.</t>
  </si>
  <si>
    <t xml:space="preserve">Damián</t>
  </si>
  <si>
    <t xml:space="preserve">Paula</t>
  </si>
  <si>
    <t xml:space="preserve">Nuñez</t>
  </si>
  <si>
    <t xml:space="preserve">DM-2. APF de trastornos de la coagulación. Ingresa con disnea severa subita, con TVP en MI y se ingresa como TEP en UTI. En TAC tiene infarto pulmonar.</t>
  </si>
  <si>
    <t xml:space="preserve">Liusin Norlen</t>
  </si>
  <si>
    <t xml:space="preserve">Becquer</t>
  </si>
  <si>
    <t xml:space="preserve">APP de ttno de coagulación, y hace 14 día con TEP femoral. Ingresa con disnea y dolor torácico. RX torax con infarto pulmonar.</t>
  </si>
  <si>
    <t xml:space="preserve">Norma</t>
  </si>
  <si>
    <t xml:space="preserve">APP de vasespasmos por coronariografía. Ingresa empeorada de angina.</t>
  </si>
  <si>
    <t xml:space="preserve">Francisco Eulicer</t>
  </si>
  <si>
    <t xml:space="preserve">Fumador. Ingresa con angina reciente con cambios eléctricos.</t>
  </si>
  <si>
    <t xml:space="preserve">Marlene</t>
  </si>
  <si>
    <t xml:space="preserve">HTA, CI, MCP dilatada con HTP. Ingresa con IC derecha y derrame pleural importante.</t>
  </si>
  <si>
    <t xml:space="preserve">Tomás Manuel</t>
  </si>
  <si>
    <t xml:space="preserve">Ferrera</t>
  </si>
  <si>
    <t xml:space="preserve">Nodas</t>
  </si>
  <si>
    <t xml:space="preserve">APP de fumador, HTA, CI. EPOC. Ingresa con emergencia HTA y dolor precordial.</t>
  </si>
  <si>
    <t xml:space="preserve">Reina Luisa</t>
  </si>
  <si>
    <t xml:space="preserve">Galindo</t>
  </si>
  <si>
    <t xml:space="preserve">APP de HTA, CI. 3 stent en DA y propuesta para cirugia que rechaza. Ahora angina de empeoramiento + EAP. En ECG hay BCRI</t>
  </si>
  <si>
    <t xml:space="preserve">Nelson Pastor</t>
  </si>
  <si>
    <t xml:space="preserve">Delgado </t>
  </si>
  <si>
    <t xml:space="preserve">Miocardiopatia Dilatada isquemica( IMA previo) que ingresa por BNB</t>
  </si>
  <si>
    <t xml:space="preserve">Marta </t>
  </si>
  <si>
    <t xml:space="preserve">Perez</t>
  </si>
  <si>
    <t xml:space="preserve">Alvarado</t>
  </si>
  <si>
    <t xml:space="preserve">5.01</t>
  </si>
  <si>
    <t xml:space="preserve">0.65</t>
  </si>
  <si>
    <t xml:space="preserve">6.06</t>
  </si>
  <si>
    <t xml:space="preserve">13.7</t>
  </si>
  <si>
    <t xml:space="preserve">En el Eco se encuentra imagen quistica en AI, adosada a pared lateral. Se indica Eco transesofágico</t>
  </si>
  <si>
    <t xml:space="preserve">2.90</t>
  </si>
  <si>
    <t xml:space="preserve">1.31</t>
  </si>
  <si>
    <t xml:space="preserve">6.81</t>
  </si>
  <si>
    <t xml:space="preserve">Cedeño </t>
  </si>
  <si>
    <t xml:space="preserve">Alberto Ricardo</t>
  </si>
  <si>
    <t xml:space="preserve">Sonia</t>
  </si>
  <si>
    <t xml:space="preserve">Pradera</t>
  </si>
  <si>
    <t xml:space="preserve">EPOC, gastritis, exfumadora. Ingresa con IMA inferior STQ con extensión a VD.</t>
  </si>
  <si>
    <t xml:space="preserve">Aquiles </t>
  </si>
  <si>
    <t xml:space="preserve">Josefa Victoria</t>
  </si>
  <si>
    <t xml:space="preserve">Rich</t>
  </si>
  <si>
    <t xml:space="preserve">Martin</t>
  </si>
  <si>
    <t xml:space="preserve">0.42</t>
  </si>
  <si>
    <t xml:space="preserve">MCD isquemica,IRC,ICC,Apoyo con aminas, cae en shock cardiogénico y fallece</t>
  </si>
  <si>
    <t xml:space="preserve">Graciela E</t>
  </si>
  <si>
    <t xml:space="preserve">Martinez</t>
  </si>
  <si>
    <t xml:space="preserve">2.7</t>
  </si>
  <si>
    <t xml:space="preserve">0.86</t>
  </si>
  <si>
    <t xml:space="preserve">6.21</t>
  </si>
  <si>
    <t xml:space="preserve">0.31</t>
  </si>
  <si>
    <t xml:space="preserve">Ingresa con derrame pericárdico severo. Se diagnsotica adenoma de ovario. Se traslada a sala de Medicina.</t>
  </si>
  <si>
    <t xml:space="preserve">Orlando G</t>
  </si>
  <si>
    <t xml:space="preserve">Ramirez</t>
  </si>
  <si>
    <t xml:space="preserve">5.3</t>
  </si>
  <si>
    <t xml:space="preserve">7.4</t>
  </si>
  <si>
    <t xml:space="preserve">0.49</t>
  </si>
  <si>
    <t xml:space="preserve">Teresa</t>
  </si>
  <si>
    <t xml:space="preserve">Garcia</t>
  </si>
  <si>
    <t xml:space="preserve">6.7</t>
  </si>
  <si>
    <t xml:space="preserve">2.5</t>
  </si>
  <si>
    <t xml:space="preserve">6.09</t>
  </si>
  <si>
    <t xml:space="preserve">4.28</t>
  </si>
  <si>
    <t xml:space="preserve">8.4</t>
  </si>
  <si>
    <t xml:space="preserve">Jesus </t>
  </si>
  <si>
    <t xml:space="preserve">3.83</t>
  </si>
  <si>
    <t xml:space="preserve">0.91</t>
  </si>
  <si>
    <t xml:space="preserve">5.53</t>
  </si>
  <si>
    <t xml:space="preserve">0.46</t>
  </si>
  <si>
    <t xml:space="preserve">APP de HTA,EAC Revascularizado, ingresa con angina de empeoramiento progresivo. Se realiza coronariografía con restenosis de stent en Cx ostial y lesión de novo en ramo intermedio 90% ostial. Se implanta stent en las dos lesiones.</t>
  </si>
  <si>
    <t xml:space="preserve">Sablon </t>
  </si>
  <si>
    <t xml:space="preserve">APP de IM hace 3 años. Ahora ingresa con IMA inferior no STQ por tiempo.</t>
  </si>
  <si>
    <t xml:space="preserve">Armando </t>
  </si>
  <si>
    <t xml:space="preserve">Carmona </t>
  </si>
  <si>
    <t xml:space="preserve">Fumador, CI. Ingresa con emergencia HTA y dolor precordial y cambios eléctricos importantes.</t>
  </si>
  <si>
    <t xml:space="preserve">Ambrose</t>
  </si>
  <si>
    <t xml:space="preserve">Henry</t>
  </si>
  <si>
    <t xml:space="preserve">Montfort</t>
  </si>
  <si>
    <t xml:space="preserve">Fractura de cadera. En el preoperatorio se observa arritmia q se interpreta como FA bloqueada. Se implanta MP transitorio para ir al salón. Se diagnostica cancer de vejiga y ahora en sala por decisión de la dirección.</t>
  </si>
  <si>
    <t xml:space="preserve">Luis </t>
  </si>
  <si>
    <t xml:space="preserve">APP de DM, MPP. Ingresa con disnea, decaimiento y edemas en MI.</t>
  </si>
  <si>
    <t xml:space="preserve">Mayra</t>
  </si>
  <si>
    <t xml:space="preserve">Gregorich</t>
  </si>
  <si>
    <t xml:space="preserve">DM, fumadora. Ingresa con angina empeorada y soplo mitral. Se diagnsotica doble lesión mitral severa.</t>
  </si>
  <si>
    <t xml:space="preserve">Bertha</t>
  </si>
  <si>
    <t xml:space="preserve">HTA, DM, hipotiroidismo, FA recurrente. Ingresa con FA paroxísitca y angina.</t>
  </si>
  <si>
    <t xml:space="preserve">Pedro Eusebio</t>
  </si>
  <si>
    <t xml:space="preserve">APP de IM hace 10 años, HTA. Ingresa con dolor precordial y cambios eléctricos que se diagnostica IMA inferior no STQ.</t>
  </si>
  <si>
    <t xml:space="preserve">Luis Oscar</t>
  </si>
  <si>
    <t xml:space="preserve">Ortíz</t>
  </si>
  <si>
    <t xml:space="preserve">HTA, fumador, DM. Hace un mes salió de medicina por BNB. Ahora ingresa con edemas, disnea y tos. Se traslada a Medicina.</t>
  </si>
  <si>
    <t xml:space="preserve">Schilter</t>
  </si>
  <si>
    <t xml:space="preserve">Madan</t>
  </si>
  <si>
    <t xml:space="preserve">HTA. Comienza con dolor precordial y cae en agobio respiratorio que necesitó VAM. Se extuba y se traslada a coronario. En ECG hay BCRI sin modificación. Se traslada a sala de Medicina.</t>
  </si>
  <si>
    <t xml:space="preserve">DM, fumador. Ingresa con IMA anterior extenso que se tromboliza. En sala comienza con signos de insuficiencia cardiaca.</t>
  </si>
  <si>
    <t xml:space="preserve">0.31869</t>
  </si>
  <si>
    <t xml:space="preserve">  </t>
  </si>
  <si>
    <t xml:space="preserve">HTA, FA crónica, ICC con ingresos frecuentes. Ahora ingresa con edemas.</t>
  </si>
  <si>
    <t xml:space="preserve">Gascón</t>
  </si>
  <si>
    <t xml:space="preserve">HTA, CI, BCRI. Ingresa con angina inestable que se complica con EAP.</t>
  </si>
  <si>
    <t xml:space="preserve">HTA. Ingresa con emergencia HTA y cefalea. TAC y US abdominal negativos.</t>
  </si>
  <si>
    <t xml:space="preserve">Acela</t>
  </si>
  <si>
    <t xml:space="preserve">HTA, CI con 2 stent. Ingresa con IMA inferior trombolizado.</t>
  </si>
  <si>
    <t xml:space="preserve">Tuero</t>
  </si>
  <si>
    <t xml:space="preserve">Olivera</t>
  </si>
  <si>
    <t xml:space="preserve">HTA sin tto, exfumador. Ingresa con dolor precordial y PCR que se resucitó. Se concluye como IMA lateral no STQ.</t>
  </si>
  <si>
    <t xml:space="preserve">Osma Hilda</t>
  </si>
  <si>
    <t xml:space="preserve">Malet</t>
  </si>
  <si>
    <t xml:space="preserve">Carbonell</t>
  </si>
  <si>
    <t xml:space="preserve">HTA. Ingresa con IMA anterior extenso trombolizado.</t>
  </si>
  <si>
    <t xml:space="preserve">HTA, AVE isquémico, arritmia con tto amiodarona. Ingresa con síncope y FA rápida.</t>
  </si>
  <si>
    <t xml:space="preserve">Blas Antonio</t>
  </si>
  <si>
    <t xml:space="preserve">Fumador y bebedor habitual. Ingresa con dolor precordial y supra ST en todas las derivaciones que desciende cuando se alivia dolor.</t>
  </si>
  <si>
    <t xml:space="preserve">Fajardo</t>
  </si>
  <si>
    <t xml:space="preserve">Fumadora. Episodios de flutter auricular q se tratan cn amiodarona EV. Ahora ingresa con flutter rapido que revierte a ritmo sinusal con amiodarona oral.</t>
  </si>
  <si>
    <t xml:space="preserve">Almira</t>
  </si>
  <si>
    <t xml:space="preserve">HTA. Comienza con espasmos laríngeos y tos irritativa que se presume sea reacción de hipersensibilidad al nifedipino.</t>
  </si>
  <si>
    <t xml:space="preserve">HTA, enfermedad multivaso. Ingresa con angina empeorada y cambios eléctricos. En examenes tiene anemia, se realiza US abdominal negativo. Se IC con gastro.</t>
  </si>
  <si>
    <t xml:space="preserve">Eduardo</t>
  </si>
  <si>
    <t xml:space="preserve">Domenech</t>
  </si>
  <si>
    <t xml:space="preserve">Ballester</t>
  </si>
  <si>
    <t xml:space="preserve">HTA, fumador y bebedor habitual. Ingresa con dolor precordial y emergencia HTA.</t>
  </si>
  <si>
    <t xml:space="preserve">Lara</t>
  </si>
  <si>
    <t xml:space="preserve">Fonseca</t>
  </si>
  <si>
    <t xml:space="preserve">Neoplasia de laringe. Ingresa con angina de reciente comienzo con cambios eléctricos.</t>
  </si>
  <si>
    <t xml:space="preserve">Raiza</t>
  </si>
  <si>
    <t xml:space="preserve">Fumadora, HTA, CI. Ingresa con AEP sin cambios.</t>
  </si>
  <si>
    <t xml:space="preserve">Daneybys</t>
  </si>
  <si>
    <t xml:space="preserve">Exfumadora. Ingresa con TV no sostenida y dolor precordial.</t>
  </si>
  <si>
    <t xml:space="preserve">FA rapida con sincope que se sospechó ECV</t>
  </si>
  <si>
    <t xml:space="preserve">Cañete</t>
  </si>
  <si>
    <t xml:space="preserve">Panizo</t>
  </si>
  <si>
    <t xml:space="preserve">DM-2, Asma Bornquial, MCP dilatada severa con HTP e insuficiencia mitral severa. Ingresa con descompensación de ICC.</t>
  </si>
  <si>
    <t xml:space="preserve">DM, HTA, IM, ECV. Ingresa con emergencia HTA y dolor precordial.</t>
  </si>
  <si>
    <t xml:space="preserve">Luis Orlando</t>
  </si>
  <si>
    <t xml:space="preserve">Proenza</t>
  </si>
  <si>
    <t xml:space="preserve">HTA, IMA antiguo con ICP. Ingresa con dolor y cambios electricos. Se traslada a ICCCV.</t>
  </si>
  <si>
    <t xml:space="preserve">Ruffo</t>
  </si>
  <si>
    <t xml:space="preserve">Bentz</t>
  </si>
  <si>
    <t xml:space="preserve">Toca</t>
  </si>
  <si>
    <t xml:space="preserve">IMA inferior que se tromboliza en sala. Se realiza coro y tiene lesión en CD trombo y dos lesiones en DA que no se trataron.</t>
  </si>
  <si>
    <t xml:space="preserve">Barrios </t>
  </si>
  <si>
    <t xml:space="preserve">Calderon</t>
  </si>
  <si>
    <t xml:space="preserve">Singuenza</t>
  </si>
  <si>
    <t xml:space="preserve">5.43</t>
  </si>
  <si>
    <t xml:space="preserve">2.19</t>
  </si>
  <si>
    <t xml:space="preserve">4.37</t>
  </si>
  <si>
    <t xml:space="preserve">0.41</t>
  </si>
  <si>
    <t xml:space="preserve">Fibriloflutter rapido con dolor sin  cambios.</t>
  </si>
  <si>
    <t xml:space="preserve">Olympia de la C</t>
  </si>
  <si>
    <t xml:space="preserve">Valencia </t>
  </si>
  <si>
    <t xml:space="preserve">Sanchez</t>
  </si>
  <si>
    <t xml:space="preserve">José Barbarito</t>
  </si>
  <si>
    <t xml:space="preserve">Jimenez</t>
  </si>
  <si>
    <t xml:space="preserve">Donate</t>
  </si>
  <si>
    <t xml:space="preserve">DM-2, HTA, obeso. ICC por insuficiencia trcuspidea severa que ingresa con disnea y BNB.</t>
  </si>
  <si>
    <t xml:space="preserve">ICCcon FA con respuesta rapida.</t>
  </si>
  <si>
    <t xml:space="preserve">HTA, CI con 2 stent. Ingresa con IMA inferior trombolizado nhace una semana. Ahora con angina postIMA. Se realiza coronariografia e ICP</t>
  </si>
  <si>
    <t xml:space="preserve">Javier de Jesús</t>
  </si>
  <si>
    <t xml:space="preserve">Oramas</t>
  </si>
  <si>
    <t xml:space="preserve">Reinoso</t>
  </si>
  <si>
    <t xml:space="preserve">Angina vasoespástica.</t>
  </si>
  <si>
    <t xml:space="preserve">Tomás </t>
  </si>
  <si>
    <t xml:space="preserve">IMA subagudo no trombolizado.</t>
  </si>
  <si>
    <t xml:space="preserve">Angel </t>
  </si>
  <si>
    <t xml:space="preserve">Bloqueo AV completo que se ponde MPP.</t>
  </si>
  <si>
    <t xml:space="preserve">Alejandro </t>
  </si>
  <si>
    <t xml:space="preserve">Cerbera</t>
  </si>
  <si>
    <t xml:space="preserve">Angina postIMA</t>
  </si>
  <si>
    <t xml:space="preserve">IMA inferior trombolizado no complicado</t>
  </si>
  <si>
    <t xml:space="preserve">Salvador Pastor</t>
  </si>
  <si>
    <t xml:space="preserve">Grau</t>
  </si>
  <si>
    <t xml:space="preserve">Yomet</t>
  </si>
  <si>
    <t xml:space="preserve">emergencia hipertensiva. </t>
  </si>
  <si>
    <t xml:space="preserve">Nelly</t>
  </si>
  <si>
    <t xml:space="preserve">Olimpia</t>
  </si>
  <si>
    <t xml:space="preserve">Angina inestable con cambios electricos.</t>
  </si>
  <si>
    <t xml:space="preserve">Palomo</t>
  </si>
  <si>
    <t xml:space="preserve">HTA, exfumadora. Ingresa con angina reciente comienzo.</t>
  </si>
  <si>
    <t xml:space="preserve">Aruga</t>
  </si>
  <si>
    <t xml:space="preserve">HTA, exfumdor. Ingreso con IMA inferior no STQ.</t>
  </si>
  <si>
    <t xml:space="preserve">Area</t>
  </si>
  <si>
    <t xml:space="preserve">HTA, DM, fumadopra. Ingresa con IMA inferior trombolizado.</t>
  </si>
  <si>
    <t xml:space="preserve">ICC severa con FEVI en 24%. Ahora ingresa con disnea.</t>
  </si>
  <si>
    <t xml:space="preserve">Fumador. Ingresa con angina de reciente comienzo</t>
  </si>
  <si>
    <t xml:space="preserve">Fumador, DM, monoreno. Ingresa con IM inferior subagudo no trombolizado complicado con CIV. Se traslada al ICCCV</t>
  </si>
  <si>
    <t xml:space="preserve">Julio</t>
  </si>
  <si>
    <t xml:space="preserve">Exfumador, IRC y cancer de prostata. Ingresa por síncope y BAV completo. Se implanta MPT. </t>
  </si>
  <si>
    <t xml:space="preserve">Almenares</t>
  </si>
  <si>
    <t xml:space="preserve">HTA, fumador. Ingresa con IM anteroseptal subagudo no trombolizado.</t>
  </si>
  <si>
    <t xml:space="preserve">Miguel Angel</t>
  </si>
  <si>
    <t xml:space="preserve">Beaton</t>
  </si>
  <si>
    <t xml:space="preserve">HTA, DM. Ingresa con IMA lateral no STQ</t>
  </si>
  <si>
    <t xml:space="preserve">Dieguez</t>
  </si>
  <si>
    <t xml:space="preserve">Hilario</t>
  </si>
  <si>
    <t xml:space="preserve">Exfumador, HTA. Ingresa con angina inestable reciente comienzo sin cambios.</t>
  </si>
  <si>
    <t xml:space="preserve">Caridad Felicia</t>
  </si>
  <si>
    <t xml:space="preserve">Exfumador, DM, HTA, IAP, hipotiroidismo. Ingresa con angina reciente comienzo y cambios eléctricos. Se realiza coronariografía con lesion de TCI distal y enfermedad multivaso con tratamiento quirurgico.</t>
  </si>
  <si>
    <t xml:space="preserve">Tellez</t>
  </si>
  <si>
    <t xml:space="preserve">Michelena</t>
  </si>
  <si>
    <t xml:space="preserve">Fuamdor y bebedor. Ingresa con angina de reciente comienzo sin cambios electricos e HTA. Evolutivamente se observa IMA inferior.</t>
  </si>
  <si>
    <t xml:space="preserve">HTA. Ingresa como angina postIMA.</t>
  </si>
  <si>
    <t xml:space="preserve">Domingo</t>
  </si>
  <si>
    <t xml:space="preserve">Pelñalver</t>
  </si>
  <si>
    <t xml:space="preserve">Hace 8 meses con dolor precordial. Se impone tto sin resultados. Ingresa con angina inestable de bajo riesgo en Medicina y se decide traslado a coronario. No cambios electricos. </t>
  </si>
  <si>
    <t xml:space="preserve">MCP restricitva, CI, FA crónica, ECV. Ingresa con ECV cardioembólico. Se traslada a Ictus.</t>
  </si>
  <si>
    <t xml:space="preserve">Elvis</t>
  </si>
  <si>
    <t xml:space="preserve">0.03830</t>
  </si>
  <si>
    <t xml:space="preserve">HTA, CI, FA crónica, obesidad, IRC, ECV. Ingresa con ICC con bronconeumonía.</t>
  </si>
  <si>
    <t xml:space="preserve">Fumador e HTA. Ingresa con dolor precordial intenso y cambios electricos. Se concluye como IMASEST.</t>
  </si>
  <si>
    <t xml:space="preserve">ICC crónica con IRC. Ingresa con edemas y disnea.</t>
  </si>
  <si>
    <t xml:space="preserve">Morán</t>
  </si>
  <si>
    <t xml:space="preserve">HTA, papiloma tiroideo operado. Ingresa con IM anterior extenso no trombolizado.</t>
  </si>
  <si>
    <t xml:space="preserve">Peñate</t>
  </si>
  <si>
    <t xml:space="preserve">HTA, CI, AVE. Ingresa con angina inestable empeoramiento progresivo. Se concluye como IMASEST y se realiza coronariografía sin lesiones significativas. Se concluye como angina microvascular.</t>
  </si>
  <si>
    <t xml:space="preserve">CI, DM, HTA, FA cronica, ICC. Ingresa con descompensación de IC con disnea y edemas.</t>
  </si>
  <si>
    <t xml:space="preserve">Juan Bautista</t>
  </si>
  <si>
    <t xml:space="preserve">APP HTA, CI, realiza edema agudo del pulmón con cambios eléctricos y dolor precordial. Se reciben enzimas elevadas y se concluye como IMASEST.</t>
  </si>
  <si>
    <t xml:space="preserve">Gabriel Caridad</t>
  </si>
  <si>
    <t xml:space="preserve">Fumador inveterado. Ingresa con IMA inferior trombolizado complicado con BAV cambiante. Se realiza coronariografía con lesión CD 100% ostial sin posibilidad de ICP.</t>
  </si>
  <si>
    <t xml:space="preserve">Enrique </t>
  </si>
  <si>
    <t xml:space="preserve">Salgado</t>
  </si>
  <si>
    <t xml:space="preserve">Fumador inveterado. Ingresa con dolor precordial severo y cambios electricos y se concluye como IMASEST. Se reaizó coronariografía con enfermedad multivaso con DA 99% (m), 2OM 70% (p) y CD 60% (p). Se egresa pendiente de ICP.</t>
  </si>
  <si>
    <t xml:space="preserve">José Alberto</t>
  </si>
  <si>
    <t xml:space="preserve">Ceballos</t>
  </si>
  <si>
    <t xml:space="preserve">Fumador, HTA. Ingresa con IMA anterior trombolizado.</t>
  </si>
  <si>
    <t xml:space="preserve">DM-2, CI, HTA, ECV. Ingresa por IMA inferior trombolizado.</t>
  </si>
  <si>
    <t xml:space="preserve">Rigoberto</t>
  </si>
  <si>
    <t xml:space="preserve">DM-2, exfumador. Ingresa con IMA inferior no trombolizado.</t>
  </si>
  <si>
    <t xml:space="preserve">Mirtha</t>
  </si>
  <si>
    <t xml:space="preserve">Asma, EPOC. Ingresa con angina empeorada con cambios eléctricos.</t>
  </si>
  <si>
    <t xml:space="preserve">Plácida Elena</t>
  </si>
  <si>
    <t xml:space="preserve">Silva</t>
  </si>
  <si>
    <t xml:space="preserve">Obesa, hipotiroidea, fumadora inveterada, trastorno bipolar. Ingresada en sanatorio con ttro psiquiatrico y hace síncope. En ECG bradicardia extrema que es necesario isuprel. También bronconeumonía.</t>
  </si>
  <si>
    <t xml:space="preserve">Orlay</t>
  </si>
  <si>
    <t xml:space="preserve">Lorite</t>
  </si>
  <si>
    <t xml:space="preserve">Fumador. Ingresa con dolor precordial al respirar.</t>
  </si>
  <si>
    <t xml:space="preserve">Ángel Antonio</t>
  </si>
  <si>
    <t xml:space="preserve">Parkinson, DM-2. ingresa con IMA inferior no trombolizado complicado con FA paroxística.</t>
  </si>
  <si>
    <t xml:space="preserve">Carmelo</t>
  </si>
  <si>
    <t xml:space="preserve">Pomares</t>
  </si>
  <si>
    <t xml:space="preserve">RMQ hace 30 años, DM, HTA. Ingresa con angina empeorada.</t>
  </si>
  <si>
    <t xml:space="preserve">Oscar</t>
  </si>
  <si>
    <t xml:space="preserve">APP de HTA, DM, IMA anteroseptal sin tto. Ingresa con IMA inferolateral que se trombolizó complicado con angina postIMA. Se lleva a coro con DA 95% m-d, Cx 90% med y CD 70% prox. Se realiza ACTP a Cx. No a DA por deterioro marcado y CD arteria poco desarrollada.</t>
  </si>
  <si>
    <t xml:space="preserve">Exfumador, HTA. Ingresa con angina empeorada.</t>
  </si>
  <si>
    <t xml:space="preserve">Enoel</t>
  </si>
  <si>
    <t xml:space="preserve">Cachimaille</t>
  </si>
  <si>
    <t xml:space="preserve">Calá</t>
  </si>
  <si>
    <t xml:space="preserve">APP salud. Ingresa con emergencia HTA y IMA inferior que se trombolizó. Hizo BAV completo intermitente durante trombolisis.</t>
  </si>
  <si>
    <t xml:space="preserve">Vilaboy</t>
  </si>
  <si>
    <t xml:space="preserve">HTA, FA paroxística. Ingresa con IMA anterolateral no trombolizado complicado con pericarditis y disfunción VD. Se realiza coronariografía con Da 95% prx y dist y CD 70% ostial.</t>
  </si>
  <si>
    <t xml:space="preserve">Ilén</t>
  </si>
  <si>
    <t xml:space="preserve">HTA. Ingresa comn angina sin cambios.</t>
  </si>
  <si>
    <t xml:space="preserve">Cruzeta</t>
  </si>
  <si>
    <t xml:space="preserve">Fumador. Ingresa con IMA inferior STQ con BAV completo transitorio.</t>
  </si>
  <si>
    <t xml:space="preserve">DM. HTA. Ingresa con angina de reposo sin cambios eléctricos. Se realiza ACTP a DA y CD 3 stents DES</t>
  </si>
  <si>
    <t xml:space="preserve">Ángel Jesús</t>
  </si>
  <si>
    <t xml:space="preserve">Calderón</t>
  </si>
  <si>
    <t xml:space="preserve">HTA, hace 10 años ingresó po ICC. Ahora ingresa con signos de insuficiencia cardiaca y edemas en MI.</t>
  </si>
  <si>
    <t xml:space="preserve">HTA, fumador. Ingresa con angina y ECG de SSVI. Hace EAP hipertensivo.</t>
  </si>
  <si>
    <t xml:space="preserve">MCP dilatada, HTA, DM. Ingresa con descompensación de su enfermedad.</t>
  </si>
  <si>
    <t xml:space="preserve">Leonel</t>
  </si>
  <si>
    <t xml:space="preserve">Beess</t>
  </si>
  <si>
    <t xml:space="preserve">Exfumador, dilipidemia. Ingresa con IMA inferior trombolizado no complicado.</t>
  </si>
  <si>
    <t xml:space="preserve">HTA, obeso. Ingresa con IMA inferior no trombolizada.</t>
  </si>
  <si>
    <t xml:space="preserve">APP HTA, CI, se ingresa con angina.</t>
  </si>
  <si>
    <t xml:space="preserve">Fiffe</t>
  </si>
  <si>
    <t xml:space="preserve">Nogueira</t>
  </si>
  <si>
    <t xml:space="preserve">Neoplasia de mama con radiaciones y esofagitis. Ingresa con FA paroxística cambios de T en cara anterior.</t>
  </si>
  <si>
    <t xml:space="preserve">O´Hallorans</t>
  </si>
  <si>
    <t xml:space="preserve">HTA, IM antiguo con stent en DA, DM. Ingresa con Flutter auricular y cambios eléctricos.</t>
  </si>
  <si>
    <t xml:space="preserve">Orestes</t>
  </si>
  <si>
    <t xml:space="preserve">Piñales</t>
  </si>
  <si>
    <t xml:space="preserve">0.3</t>
  </si>
  <si>
    <t xml:space="preserve">HTA, fumador, ingresa con dolor en epigastrioi. Se concluye como cardiopatia HTA.</t>
  </si>
  <si>
    <t xml:space="preserve">Aguirre</t>
  </si>
  <si>
    <t xml:space="preserve">Silvera</t>
  </si>
  <si>
    <t xml:space="preserve">HTA, fractura de tibia y peroné triple. Comienza con dolor precordial y disnea. Se diagnostica con TEP. Realiza AVE isquémico. Se traslada a Ortopedia para fijador externo.</t>
  </si>
  <si>
    <t xml:space="preserve">María Paulina</t>
  </si>
  <si>
    <t xml:space="preserve">Vitón</t>
  </si>
  <si>
    <t xml:space="preserve">DM-2, IM antiguo, historia de CIV + CIA y estenosis pulmonar. Comienza con dolor precordial, sudoracion y supra en cara inferior con brdaicardia extrema. Coronarias sin lesiones con  espasmo. Se implanta MPP</t>
  </si>
  <si>
    <t xml:space="preserve">Aquiles</t>
  </si>
  <si>
    <t xml:space="preserve">Aurelia Mercedes</t>
  </si>
  <si>
    <t xml:space="preserve">Sosa</t>
  </si>
  <si>
    <t xml:space="preserve">Montalvo</t>
  </si>
  <si>
    <t xml:space="preserve">HTA, AB, IC derecha, ingresa con edema y disnea y FA paroxística.</t>
  </si>
  <si>
    <t xml:space="preserve">Azarael</t>
  </si>
  <si>
    <t xml:space="preserve">Exfumador, IMA, IMA antiguo con stent en DA proximal que se disecó y le pusieron 5 stents. Ingreso hace una semana en Hospital de San José. Ahora ingresa con angina empeorada.</t>
  </si>
  <si>
    <t xml:space="preserve">Basilio</t>
  </si>
  <si>
    <t xml:space="preserve">HTA. Ingresa con trombo en VCI.</t>
  </si>
  <si>
    <t xml:space="preserve">Antonio Luis</t>
  </si>
  <si>
    <t xml:space="preserve">HTA, parkinson. Ingresa con IMA anterior extenso no trombolizado.</t>
  </si>
  <si>
    <t xml:space="preserve">Emelina</t>
  </si>
  <si>
    <t xml:space="preserve">Baslot</t>
  </si>
  <si>
    <t xml:space="preserve">Limonta</t>
  </si>
  <si>
    <t xml:space="preserve">HTA, CI, AVE, DM. Ingresa con emergencia HTA y angina.</t>
  </si>
  <si>
    <t xml:space="preserve">Calaña</t>
  </si>
  <si>
    <t xml:space="preserve">APP de IMA y luego angina postIMA. Se realiza coronariografía y es multivaso con DA incluida. Se discute para tratamiento quirúrgico.</t>
  </si>
  <si>
    <t xml:space="preserve">Heriberto</t>
  </si>
  <si>
    <t xml:space="preserve">Riol</t>
  </si>
  <si>
    <t xml:space="preserve">HTA y CI. Ingresa con flutter auricular y angina </t>
  </si>
  <si>
    <t xml:space="preserve">APP IM, HTA, ingresa con angina instable con cambios.</t>
  </si>
  <si>
    <t xml:space="preserve">Obdulia</t>
  </si>
  <si>
    <t xml:space="preserve">Pie</t>
  </si>
  <si>
    <t xml:space="preserve">HTA, CI, DM, ICC. Ingresa con descompensación de ICC.</t>
  </si>
  <si>
    <t xml:space="preserve">HTA, ICC y MPP que ingresa en medicina. Se traslada a nuestro servicio por bradicardia extrema por fallo de stimulación. Se cambia generador y se traslada nuevamente a Medicina.</t>
  </si>
  <si>
    <t xml:space="preserve">Feria</t>
  </si>
  <si>
    <t xml:space="preserve">Alemán</t>
  </si>
  <si>
    <t xml:space="preserve">HTA. Ingresa con emergencia HTA y dolor precordial.</t>
  </si>
  <si>
    <t xml:space="preserve">Daysi</t>
  </si>
  <si>
    <t xml:space="preserve">0.17863</t>
  </si>
  <si>
    <t xml:space="preserve">HTA, ICC, CI, EPOC. Ingresa con insuficiencia cardiaca descompensada</t>
  </si>
  <si>
    <t xml:space="preserve">Agustín</t>
  </si>
  <si>
    <t xml:space="preserve">Paso</t>
  </si>
  <si>
    <t xml:space="preserve">HTA, DM, ingresa con angina y bronconeumonía</t>
  </si>
  <si>
    <t xml:space="preserve">Caridad Dorotea</t>
  </si>
  <si>
    <t xml:space="preserve">Galop</t>
  </si>
  <si>
    <t xml:space="preserve">IM, HTA, RMQ hace 4 años, después de una neumonia comienza con falta de aire y edemas. </t>
  </si>
  <si>
    <t xml:space="preserve">Francisca Zenaida</t>
  </si>
  <si>
    <t xml:space="preserve">Saavedra</t>
  </si>
  <si>
    <t xml:space="preserve">DM-2, HTA. Ingresa con IMA inferoposterior no STQ complicado con BAV y shock cardiogénico. Realiza CIV extensa y fallece.</t>
  </si>
  <si>
    <t xml:space="preserve">HTA sin tratamiento y fumador. Ingresa con angina de alto riesgo y cambios eléctricos.</t>
  </si>
  <si>
    <t xml:space="preserve">Libán </t>
  </si>
  <si>
    <t xml:space="preserve">HTA, fumador. Ingresa con dolor precordial y se diagnostica IMA no Q.</t>
  </si>
  <si>
    <t xml:space="preserve">Lourdes</t>
  </si>
  <si>
    <t xml:space="preserve">Haya</t>
  </si>
  <si>
    <t xml:space="preserve">HTA, obesa. Ingresa con bronconeumonia extrahospitalaria y ICC.</t>
  </si>
  <si>
    <t xml:space="preserve">Quintero</t>
  </si>
  <si>
    <t xml:space="preserve">IMA anterior extenso no trombolizado.</t>
  </si>
  <si>
    <t xml:space="preserve">Idelisa</t>
  </si>
  <si>
    <t xml:space="preserve">Mellina</t>
  </si>
  <si>
    <t xml:space="preserve">Garcell</t>
  </si>
  <si>
    <t xml:space="preserve">HTA, Exfumadora, ingresa por angina inestable sin cambios.</t>
  </si>
  <si>
    <t xml:space="preserve">Odilia</t>
  </si>
  <si>
    <t xml:space="preserve">Pino</t>
  </si>
  <si>
    <t xml:space="preserve">HTA, DM, CI con stent. Ingresa con angina inestable sin cambios</t>
  </si>
  <si>
    <t xml:space="preserve">Santa Cirenia</t>
  </si>
  <si>
    <t xml:space="preserve">Fabars</t>
  </si>
  <si>
    <t xml:space="preserve">1.27</t>
  </si>
  <si>
    <t xml:space="preserve">6.33</t>
  </si>
  <si>
    <t xml:space="preserve">0.38</t>
  </si>
  <si>
    <t xml:space="preserve">Angina inestable </t>
  </si>
  <si>
    <t xml:space="preserve">Ruiz </t>
  </si>
  <si>
    <t xml:space="preserve">4.04</t>
  </si>
  <si>
    <t xml:space="preserve">3.09</t>
  </si>
  <si>
    <t xml:space="preserve">6.2</t>
  </si>
  <si>
    <t xml:space="preserve">0.43</t>
  </si>
  <si>
    <t xml:space="preserve">13.8</t>
  </si>
  <si>
    <t xml:space="preserve">Angina de empeoramiento progresivo</t>
  </si>
  <si>
    <t xml:space="preserve">Felipe </t>
  </si>
  <si>
    <t xml:space="preserve">Lopez</t>
  </si>
  <si>
    <t xml:space="preserve">Angina de empeoramiento progresivo.</t>
  </si>
  <si>
    <t xml:space="preserve">Belkys</t>
  </si>
  <si>
    <t xml:space="preserve">Quimioterapia por Linfoma y T de mama. Ingresa con insuficiencia cardiaca y FA.</t>
  </si>
  <si>
    <t xml:space="preserve">Pujol</t>
  </si>
  <si>
    <t xml:space="preserve">Infarto Inferior, TV. Se realiza coro con ICP a CD. Queda lesión 50%DA.</t>
  </si>
  <si>
    <t xml:space="preserve">Osmildo</t>
  </si>
  <si>
    <t xml:space="preserve">HTA, DM2, fumador. Ingresa con dolor precordial e IMA inferior no trombolizado.</t>
  </si>
  <si>
    <t xml:space="preserve">HTA, nefrectomía, ingresa con descompensación de HTA.</t>
  </si>
  <si>
    <t xml:space="preserve">Orestes </t>
  </si>
  <si>
    <t xml:space="preserve">Oviedo</t>
  </si>
  <si>
    <t xml:space="preserve">Palma</t>
  </si>
  <si>
    <t xml:space="preserve">Emergencia HTA.</t>
  </si>
  <si>
    <t xml:space="preserve">0.88948</t>
  </si>
  <si>
    <t xml:space="preserve">APP de HTA, DM, IMA anteroseptal sin tto. IMA hace menos de un mes con FEVI baja. Ingresa con insuficiencia cardiaca.</t>
  </si>
  <si>
    <t xml:space="preserve">Carrasco</t>
  </si>
  <si>
    <t xml:space="preserve">APP de Asma, bebedor, exfumador. Ingresa con IMA anteroseptal no STQ.</t>
  </si>
  <si>
    <t xml:space="preserve">HTA, DM, ingresa en Angiología por pie diabético y comienza con disnea y edemas. Se traslada a Coronario y luego se decide traslado a Angiología</t>
  </si>
  <si>
    <t xml:space="preserve">Vicente </t>
  </si>
  <si>
    <t xml:space="preserve">Angina inestable</t>
  </si>
  <si>
    <t xml:space="preserve">Bárbara</t>
  </si>
  <si>
    <t xml:space="preserve">Rosa Emilia</t>
  </si>
  <si>
    <t xml:space="preserve">Emergencia hipertensiva a forma de edema agudo del pulmón.</t>
  </si>
  <si>
    <t xml:space="preserve">Jesús María</t>
  </si>
  <si>
    <t xml:space="preserve">Valverde</t>
  </si>
  <si>
    <t xml:space="preserve">Cordero</t>
  </si>
  <si>
    <t xml:space="preserve">Fumador. Ingresa con IMA anterior trombolizado.</t>
  </si>
  <si>
    <t xml:space="preserve">Casuso</t>
  </si>
  <si>
    <t xml:space="preserve">Guillot</t>
  </si>
  <si>
    <t xml:space="preserve">Bronconeumonia, Dextrocardia?. Fallece en shock cardiogénico.</t>
  </si>
  <si>
    <t xml:space="preserve">Luis Alberto</t>
  </si>
  <si>
    <t xml:space="preserve">Russinyol </t>
  </si>
  <si>
    <t xml:space="preserve">Solá</t>
  </si>
  <si>
    <t xml:space="preserve">HTA, ERC. Ingresa con ICC + BNB y BAV completo transitorio. Se implanta MP transitorio. Se traslada a TIA por inmsuficiencia renal severa</t>
  </si>
  <si>
    <t xml:space="preserve">Erick Manuel</t>
  </si>
  <si>
    <t xml:space="preserve">Colón</t>
  </si>
  <si>
    <t xml:space="preserve">HTA, fumador, DM. Ingresa con angina de reciente comienzo.</t>
  </si>
  <si>
    <t xml:space="preserve">Manuel </t>
  </si>
  <si>
    <t xml:space="preserve">de los Santos</t>
  </si>
  <si>
    <t xml:space="preserve">HTA, CI con enfermedad multivaso y ICP a CD, FA paroxística. Ingresa con FA y EAP.</t>
  </si>
  <si>
    <t xml:space="preserve">Amado</t>
  </si>
  <si>
    <t xml:space="preserve">Ugalde</t>
  </si>
  <si>
    <t xml:space="preserve">HTA, obeso, fumador, hace 15 días dolor precordial importante que se alivió llega al CG con falta de aire. Se ingresa como IM subagudo anterior extenso complicado con ICC.</t>
  </si>
  <si>
    <t xml:space="preserve">HTA, CI, DM, hipotiroidismo, EPOC. Igresa con BNB, FA paroxistica y signos de insuficiencia cardiaca.</t>
  </si>
  <si>
    <t xml:space="preserve">Clara Luz</t>
  </si>
  <si>
    <t xml:space="preserve">Fumadora. Ingresa con angina reciente y cambios eléctricos.</t>
  </si>
  <si>
    <t xml:space="preserve">María </t>
  </si>
  <si>
    <t xml:space="preserve">Jamino</t>
  </si>
  <si>
    <t xml:space="preserve">Duque</t>
  </si>
  <si>
    <t xml:space="preserve">Fuamdora, HTA. Ingresa con angina inestable y se complica con shock y ttnos hidroelectrolíticos.</t>
  </si>
  <si>
    <t xml:space="preserve">Estela</t>
  </si>
  <si>
    <t xml:space="preserve">HTA, EPOC. Ingresa con angina de reposo con cambios.</t>
  </si>
  <si>
    <t xml:space="preserve">HTA, exfumador. Ingresa con IMA anterseptal e inferior trombolizado.</t>
  </si>
  <si>
    <t xml:space="preserve">Jorge Enrique</t>
  </si>
  <si>
    <t xml:space="preserve">Bedia</t>
  </si>
  <si>
    <t xml:space="preserve">Fumador y obeso. Ingresa con IMA anterior extenso trombolizado.</t>
  </si>
  <si>
    <t xml:space="preserve">HTA, Fumadora, DM. Tuvo tto con amiodarona 3 años. Fibrosis pulmonar. Ingresa con disnea. FA al ECG</t>
  </si>
  <si>
    <t xml:space="preserve">Bocalandro</t>
  </si>
  <si>
    <t xml:space="preserve">Niuves</t>
  </si>
  <si>
    <t xml:space="preserve">HTA, fumador. Ingresa con IMA inferior no trombolizado.</t>
  </si>
  <si>
    <t xml:space="preserve">Dolores</t>
  </si>
  <si>
    <t xml:space="preserve">Maguritoche</t>
  </si>
  <si>
    <t xml:space="preserve">HTA, CI, ingresa con emergencia HTA y angina. Comienza con infección urinaria. Se traslada a Medicina.</t>
  </si>
  <si>
    <t xml:space="preserve">Gilda</t>
  </si>
  <si>
    <t xml:space="preserve">Obispo</t>
  </si>
  <si>
    <t xml:space="preserve">Fuamdora, HTA. Ingresa con IMA inferolateral trombolizado con emergencia HTA</t>
  </si>
  <si>
    <t xml:space="preserve">Yosbel</t>
  </si>
  <si>
    <t xml:space="preserve">Remón</t>
  </si>
  <si>
    <t xml:space="preserve">joven. Ingresa con pericarditis.</t>
  </si>
  <si>
    <t xml:space="preserve">0.56042</t>
  </si>
  <si>
    <t xml:space="preserve">HTA. Ingresa con angina en emergencia HTA.</t>
  </si>
  <si>
    <t xml:space="preserve">Lázaro Evaristo</t>
  </si>
  <si>
    <t xml:space="preserve">Negrín</t>
  </si>
  <si>
    <t xml:space="preserve">Tetralogia Fallot operado con insufc pulmonar y tricuspidea. Ingresa con ascitis y edema.</t>
  </si>
  <si>
    <t xml:space="preserve">María Elena</t>
  </si>
  <si>
    <t xml:space="preserve">Viciedo</t>
  </si>
  <si>
    <t xml:space="preserve">Soca</t>
  </si>
  <si>
    <t xml:space="preserve">HTA sin tto. Fumadora inveterada. Ingresa con IMA anterolateral no STQ.</t>
  </si>
  <si>
    <t xml:space="preserve">Ricardo Isidro</t>
  </si>
  <si>
    <t xml:space="preserve">Segura</t>
  </si>
  <si>
    <t xml:space="preserve">Corona</t>
  </si>
  <si>
    <t xml:space="preserve">HTA, fumador, se echa timolol por glaucoma. Hace despues de 14 horas con dolor lo traen al CG. Tiene BAV completo. </t>
  </si>
  <si>
    <t xml:space="preserve">Fumador. IM antiguo con coro en 2001 con CD 100% y Cx 90%. Ingresa con angina. Pide alta a petición.</t>
  </si>
  <si>
    <t xml:space="preserve">Fumadora. Egresó menos de 24 horas por angina y no encontró medicamentos en casa e ingresa de nuevo con angina. Se realiza ICP a DA prox como unico vaso enfermo.</t>
  </si>
  <si>
    <t xml:space="preserve">Jesús Manuel</t>
  </si>
  <si>
    <t xml:space="preserve">Jensk</t>
  </si>
  <si>
    <t xml:space="preserve">Lewis</t>
  </si>
  <si>
    <t xml:space="preserve">IRC, AVE, HTA. Hace sincope y FA paroxistica y se observa IM inferior no trombolizado con BAV 1er grado.</t>
  </si>
  <si>
    <t xml:space="preserve">Planas</t>
  </si>
  <si>
    <t xml:space="preserve">Fumador, sordomudo. Ingresa con emergencia HTA y dolor precordial.</t>
  </si>
  <si>
    <t xml:space="preserve">Ilda</t>
  </si>
  <si>
    <t xml:space="preserve">DM, glaucoma. Hace bronconeumonia y luego edema agudo del pulmon.</t>
  </si>
  <si>
    <t xml:space="preserve">Luisa</t>
  </si>
  <si>
    <t xml:space="preserve">Veloso</t>
  </si>
  <si>
    <t xml:space="preserve">Ingresa con bronconeumonia</t>
  </si>
  <si>
    <t xml:space="preserve"> Jorge Manuel</t>
  </si>
  <si>
    <t xml:space="preserve">Fumador, ingresa con IMA inferior trombolizado</t>
  </si>
  <si>
    <t xml:space="preserve">Natividad Mercedes</t>
  </si>
  <si>
    <t xml:space="preserve">Insuficiencia cardiaca, ERC, HTA. Ingresa con disnea importante.</t>
  </si>
  <si>
    <t xml:space="preserve">HTA, DM2, IAP. Dolor hace 15 días que es un IMA. Ahora con angina postIMA.</t>
  </si>
  <si>
    <t xml:space="preserve">Ismael</t>
  </si>
  <si>
    <t xml:space="preserve">sano. Ingresa con dolor abdominal y FA con RVA. Tiene alteracion valvula mitral y triscupídea.</t>
  </si>
  <si>
    <t xml:space="preserve">Zoila</t>
  </si>
  <si>
    <t xml:space="preserve">Urqueaga</t>
  </si>
  <si>
    <t xml:space="preserve">HTA, CI. FA crónica. Ingresa por síncope con BAV completo que se le puso isuprel, MPT y MPP.</t>
  </si>
  <si>
    <t xml:space="preserve">Miguelina</t>
  </si>
  <si>
    <t xml:space="preserve">FA crónica, ingresa con bronconeumonia.</t>
  </si>
  <si>
    <t xml:space="preserve">Rubén</t>
  </si>
  <si>
    <t xml:space="preserve">Millán</t>
  </si>
  <si>
    <t xml:space="preserve">HTA sin tto, comienza con disnea a esfuerzo con dolor precordial. Se concluye como ICC por miocardiopatia hipertrofica y pericarditis.</t>
  </si>
  <si>
    <t xml:space="preserve">Pablo Emerio</t>
  </si>
  <si>
    <t xml:space="preserve">Camargo</t>
  </si>
  <si>
    <t xml:space="preserve">HTA, DM, fumador. Ingresa con IMA inferior trombolizado no complicado.</t>
  </si>
  <si>
    <t xml:space="preserve">Orquidea</t>
  </si>
  <si>
    <t xml:space="preserve">RMQ severa con ingresos frecuentes. Ahora ingresa con angina.</t>
  </si>
  <si>
    <t xml:space="preserve">Alejandro Tomás</t>
  </si>
  <si>
    <t xml:space="preserve">DM, hipotiroidismo quirúrgico. Ingresa con IMA anteroseptal trombolizado.</t>
  </si>
  <si>
    <t xml:space="preserve">José Cirilo</t>
  </si>
  <si>
    <t xml:space="preserve">FA cronica. Ingresa con disnea y FARVR.</t>
  </si>
  <si>
    <t xml:space="preserve">Lázaro</t>
  </si>
  <si>
    <t xml:space="preserve">Exfumador e HTA. Ingresa con disnea y síncope y se diagnsotica EstAo severa</t>
  </si>
  <si>
    <t xml:space="preserve">Lezcano</t>
  </si>
  <si>
    <t xml:space="preserve">IRC, HTA, DM. Ingresa con dolor precordial y disnea. Se diagnostica AI.</t>
  </si>
  <si>
    <t xml:space="preserve">Ramón </t>
  </si>
  <si>
    <t xml:space="preserve">Fumador. Ingresa con insuficiencia cardiaca y estenosis aoritca. Se traslada a Medicina.</t>
  </si>
  <si>
    <t xml:space="preserve">Iván</t>
  </si>
  <si>
    <t xml:space="preserve">Ramos </t>
  </si>
  <si>
    <t xml:space="preserve">APP salud. Ingresó despues de alimento con shock anafilanctico y cambios electricos. No se precisa etiología</t>
  </si>
  <si>
    <t xml:space="preserve">Eulogio Romero</t>
  </si>
  <si>
    <t xml:space="preserve">La O</t>
  </si>
  <si>
    <t xml:space="preserve">Fumador, cancer de prostata hace 3 años con quimioy radioterapia. Ingresa con dolor precordial y se diagnostica IMA inferior trombolizado. Comienza con FA paroxistica</t>
  </si>
  <si>
    <t xml:space="preserve">Luis Gustavo</t>
  </si>
  <si>
    <t xml:space="preserve">Borges</t>
  </si>
  <si>
    <t xml:space="preserve">MCP dilatada isquémica. Ingresa con ICC y bronconeumonia.</t>
  </si>
  <si>
    <t xml:space="preserve">Lebrigio</t>
  </si>
  <si>
    <t xml:space="preserve">HTA, CI. Ingresa con angina empeorada y cambios electricos. Se realiza ICP a DA y CD.</t>
  </si>
  <si>
    <t xml:space="preserve">Poll</t>
  </si>
  <si>
    <t xml:space="preserve">Fumador, HTA con tto. Ingresa con IMA inferior trombolizado no complicado.</t>
  </si>
  <si>
    <t xml:space="preserve">Einer Lorenzo</t>
  </si>
  <si>
    <t xml:space="preserve">Rizzo</t>
  </si>
  <si>
    <t xml:space="preserve">Baró</t>
  </si>
  <si>
    <t xml:space="preserve">Exfumador, HTA. Operado de cancer de colon en junio y en el salon hace dolor. Ingresa ahora con dolor precordial, BCRI y enzimas elevadas. Se concluye como IMA anterior no ytrombollizado.</t>
  </si>
  <si>
    <t xml:space="preserve">T de endometrio con Qx y Rx. HTA. Ingresa con dolor precordial, emergencia HTA y cambios electricos.</t>
  </si>
  <si>
    <t xml:space="preserve">Carmen</t>
  </si>
  <si>
    <t xml:space="preserve">Guibert</t>
  </si>
  <si>
    <t xml:space="preserve">HTA, DM2, CI. Ingresa con EAP en el transcurso de una emergencia HTA. Se traslada a Medicina.</t>
  </si>
  <si>
    <t xml:space="preserve">Yenisey</t>
  </si>
  <si>
    <t xml:space="preserve">Carrero</t>
  </si>
  <si>
    <t xml:space="preserve">Ingresa por faringoamigdalitis.</t>
  </si>
  <si>
    <t xml:space="preserve">Armando Andrés</t>
  </si>
  <si>
    <t xml:space="preserve">HTA, exfumador. Ingresa con IMA inferior trombolizado con BAV 1er grado trnasitorio. </t>
  </si>
  <si>
    <t xml:space="preserve">Octavio Manuel</t>
  </si>
  <si>
    <t xml:space="preserve">HTA, exfumador, FA cronica, MCP dilatada. Ingresa con descompensacion de ICC con BNB</t>
  </si>
  <si>
    <t xml:space="preserve">Fumador, ingresa con IMA inferior trombolizado hace 15 días y ahora síncope cn cambios. Se realiza coro con lesiones significativas en CD que se implantan 2 stents.</t>
  </si>
  <si>
    <t xml:space="preserve">Faustino Evangelino</t>
  </si>
  <si>
    <t xml:space="preserve">HTA, CI, IRC. Egresos varios en Medicina por ICC con hipoproteinemia. Estaba en Medicina cuando comienza con oligoanuria y cae en shock, se traslada a Coronario y fallece.</t>
  </si>
  <si>
    <t xml:space="preserve">Echenique</t>
  </si>
  <si>
    <t xml:space="preserve">Chirino</t>
  </si>
  <si>
    <t xml:space="preserve">HTA, fumador. Dejo de tomar medicamento e ingresa con Flutter auricular e HTA.</t>
  </si>
  <si>
    <t xml:space="preserve">Marino</t>
  </si>
  <si>
    <t xml:space="preserve">HTA, DM-2, fumador que ingresa con IMA inferior trombolizado </t>
  </si>
  <si>
    <t xml:space="preserve">Olga </t>
  </si>
  <si>
    <t xml:space="preserve">Junquera</t>
  </si>
  <si>
    <t xml:space="preserve">Cubas</t>
  </si>
  <si>
    <t xml:space="preserve">HTA, FA cronica que tenia tto con atenolol. Se ingresa con FA lenta.</t>
  </si>
  <si>
    <t xml:space="preserve">Garlobo</t>
  </si>
  <si>
    <t xml:space="preserve">Pagés</t>
  </si>
  <si>
    <t xml:space="preserve">Exfumador. Ingresa con falta de aire y soplo. Se diagnsotica Estenosis aórtica severa.</t>
  </si>
  <si>
    <t xml:space="preserve">Alba</t>
  </si>
  <si>
    <t xml:space="preserve">HTA, CI, DM. Ingresa con decaimiento y FA bloqueada.</t>
  </si>
  <si>
    <t xml:space="preserve">Juana Silvia</t>
  </si>
  <si>
    <t xml:space="preserve">Mesquida</t>
  </si>
  <si>
    <t xml:space="preserve">Alpizao</t>
  </si>
  <si>
    <t xml:space="preserve">Demencia. Ingresa con decaimiento y bradicardia extrema.</t>
  </si>
  <si>
    <t xml:space="preserve">Vargas</t>
  </si>
  <si>
    <t xml:space="preserve">APP de HTA. IM, DM. Ingresa con dolor precordial.</t>
  </si>
  <si>
    <t xml:space="preserve">Pedro Miguel</t>
  </si>
  <si>
    <t xml:space="preserve">Artritis gotosa. Ingresa con IMA anteroseptal trombolizado no complicado.</t>
  </si>
  <si>
    <t xml:space="preserve">Nemesia Georgina</t>
  </si>
  <si>
    <t xml:space="preserve">Sigler</t>
  </si>
  <si>
    <t xml:space="preserve">HTA. Ingresa con IMA inferior trombolizado. Comienza con shock y fallece a las 3 horas y TV.</t>
  </si>
  <si>
    <t xml:space="preserve">Ariel</t>
  </si>
  <si>
    <t xml:space="preserve">HTA, IM anterior, ICC, DM, ECV. Comienza con falta de aire severa y cae en PCR, se intuba y VM. Se traslada de TIA a coronario. Se realiza coronariografía y tiene lesiones significativas en vasos finos por lo que no se realiza ICP</t>
  </si>
  <si>
    <t xml:space="preserve">Myrna </t>
  </si>
  <si>
    <t xml:space="preserve">Inzua</t>
  </si>
  <si>
    <t xml:space="preserve">HTA, hipotiroidea. Ingresa con dolor opresivo que se define no coronario.</t>
  </si>
  <si>
    <t xml:space="preserve">Tomás</t>
  </si>
  <si>
    <t xml:space="preserve">Soto</t>
  </si>
  <si>
    <t xml:space="preserve">Quiñones</t>
  </si>
  <si>
    <t xml:space="preserve">Fumador, HTA, CI, ICC, alcoholico. Ingresa en ICC pero lo ingresan en medicina como sepsis respiratoria. Viene en congestion y con flutter 1:1. se cardiovierte y en 1 hora cae en PCR y fallece.</t>
  </si>
  <si>
    <t xml:space="preserve">Zenaida</t>
  </si>
  <si>
    <t xml:space="preserve">APP de HTA, DM, CI. Ingresa con angina empeorada</t>
  </si>
  <si>
    <t xml:space="preserve">Francisca</t>
  </si>
  <si>
    <t xml:space="preserve">HTA, exfumadora, DM. Ingresa con IMA anterolateral trombolizado. Se realiza coronariografía DA: 70% (d), 1Diag 90 (p), 2OM 80% (p). Se realiza ICP a 1Diag.</t>
  </si>
  <si>
    <t xml:space="preserve">Hildelisa</t>
  </si>
  <si>
    <t xml:space="preserve">Bonne</t>
  </si>
  <si>
    <t xml:space="preserve">APP HTA, ICC, DM, IRC, FA. Ingresa con descompnsacion de ICC y BAV completo. Se pone insuprel y se instala MPP VVI. Se traslada a sala de Medicina para tto antibiotico.</t>
  </si>
  <si>
    <t xml:space="preserve">Domingo Bienvenido</t>
  </si>
  <si>
    <t xml:space="preserve">Pollato</t>
  </si>
  <si>
    <t xml:space="preserve">HTA, CI, ingresa con empeoramiento de angina.</t>
  </si>
  <si>
    <t xml:space="preserve">María del Carmen</t>
  </si>
  <si>
    <t xml:space="preserve">Couré</t>
  </si>
  <si>
    <t xml:space="preserve">DM, HTA. Ingreesa con IMA inferolateral trombolizado con ligera congestión pulmonar.</t>
  </si>
  <si>
    <t xml:space="preserve">Martha de Fátima</t>
  </si>
  <si>
    <t xml:space="preserve">Siclés</t>
  </si>
  <si>
    <t xml:space="preserve">HTA, fumadora, ingresa con IMA inferior trmbolizado.</t>
  </si>
  <si>
    <t xml:space="preserve">Lázara Olimpia</t>
  </si>
  <si>
    <t xml:space="preserve">HTA, IM antiguo. Ingresa con angina y FA con respuesta rápida.</t>
  </si>
  <si>
    <t xml:space="preserve">Maritza</t>
  </si>
  <si>
    <t xml:space="preserve">Fumadora, HTA, AVE. Ingresa con angina empeorada con cambios eléctricos.</t>
  </si>
  <si>
    <t xml:space="preserve">APP de HTA, IM antiguo, DM, MCP dilatada. Ingresa con descompensación de insuficiencia cardiaca.</t>
  </si>
  <si>
    <t xml:space="preserve">Wilfredo</t>
  </si>
  <si>
    <t xml:space="preserve">HTA, fumador, ingresa con IMA inferior subagudo no trombolizado.</t>
  </si>
  <si>
    <t xml:space="preserve">Nilcia</t>
  </si>
  <si>
    <t xml:space="preserve">Duvergel</t>
  </si>
  <si>
    <t xml:space="preserve">Samón</t>
  </si>
  <si>
    <t xml:space="preserve">Fumadora. Ingresa con IMA inferior no trombolizado.</t>
  </si>
  <si>
    <t xml:space="preserve">Miriam de la Caridad</t>
  </si>
  <si>
    <t xml:space="preserve">HTA, IM antiguo. Ingresa conangina empeorada. Se realiza coro con CD 100%  p, no otras lesiones</t>
  </si>
  <si>
    <t xml:space="preserve">Alina </t>
  </si>
  <si>
    <t xml:space="preserve">Cartaya</t>
  </si>
  <si>
    <t xml:space="preserve">HTA, fumador inveterada y CI. Ingresa con angina empeorada con cambios. Se realiza coro con DA 60% (m). </t>
  </si>
  <si>
    <t xml:space="preserve">HTA, DM2, IAP. Dolor hace 15 días que es un IMA. Ahora con angina postIMA. Se realiza coro con lesiones multiples incluyendo TCI 80% distal</t>
  </si>
  <si>
    <t xml:space="preserve">HTA con poco tratamiento, exfumador, hipertiroidismo. Comienza con emergencia HTA y dolor precordial</t>
  </si>
  <si>
    <t xml:space="preserve">Reinerio</t>
  </si>
  <si>
    <t xml:space="preserve">HTA, DM, IRC, exfumador. Ingresa con angina inestable e insuficiencia cardiaca.</t>
  </si>
  <si>
    <t xml:space="preserve">HTA, ingresa con urgencia HTA.</t>
  </si>
  <si>
    <t xml:space="preserve">Rufo José</t>
  </si>
  <si>
    <t xml:space="preserve">Bientz</t>
  </si>
  <si>
    <t xml:space="preserve">HTA, IMA en agosto 2019, coro con actp fallida. Ingresa para coronariografía</t>
  </si>
  <si>
    <t xml:space="preserve">Branley</t>
  </si>
  <si>
    <t xml:space="preserve">Fumador inveterado. Ingresa con IMA inferior trombolizado.</t>
  </si>
  <si>
    <t xml:space="preserve">HTA, exfumadora, lobectomia por neoplasia de pulmon, Qx, comienza con disnea y cambios en ecocardiograma.</t>
  </si>
  <si>
    <t xml:space="preserve">Alarcón</t>
  </si>
  <si>
    <t xml:space="preserve">HTA, DM. Ingresa con dolor precordial y angina. En sala hace IMA anterior que se tromboliza. Realiza angina postima y se decide ACTP. Enfermedad multivaso y se realiza ICP a DA 80% medial.</t>
  </si>
  <si>
    <t xml:space="preserve">0.67728</t>
  </si>
  <si>
    <t xml:space="preserve">HTA, CI, DM.2, exfumadora, ingresa con angina empeorada.</t>
  </si>
  <si>
    <t xml:space="preserve">Girminelio</t>
  </si>
  <si>
    <t xml:space="preserve">Amable</t>
  </si>
  <si>
    <t xml:space="preserve">HTA, IM antiguo, DM, TVP, ingresa con angina empeorada.</t>
  </si>
  <si>
    <t xml:space="preserve">APP de HTA, IM antiguo, DM, MCP dilatada. Ingresa con descompensación de insuficiencia cardiaca. Fallece supuestamente con rotura de aneurisma de aorta abdominal.</t>
  </si>
  <si>
    <t xml:space="preserve">Nidia Estervina</t>
  </si>
  <si>
    <t xml:space="preserve">Coto</t>
  </si>
  <si>
    <t xml:space="preserve">Rangel</t>
  </si>
  <si>
    <t xml:space="preserve">HTA, CI, DM, FA crónica. Ingresa con decaimiento y dolor precordial y en ECG hay FA bloquead. Se implanta MP transitorio. Se lleva al ICCCV y se implanta MPP.</t>
  </si>
  <si>
    <t xml:space="preserve">Pedro Plácido</t>
  </si>
  <si>
    <t xml:space="preserve">HTA, CI. Ingresa para cirugia de hernia y hace dolor precordial sin cambios electricos. Se concluye como emergencia HTA.</t>
  </si>
  <si>
    <t xml:space="preserve">Ana Rosa</t>
  </si>
  <si>
    <t xml:space="preserve">Eva </t>
  </si>
  <si>
    <t xml:space="preserve">Soler</t>
  </si>
  <si>
    <t xml:space="preserve">HTA, CI, ICC, ingresa con BNB y descompensacion de la insuficiencia cardiaca.</t>
  </si>
  <si>
    <t xml:space="preserve">HTA, IMA en agosto 2019, coro con actp fallida. Ingresa para coronariografía. Enfermedad multivaso. Se hace ICP a DA</t>
  </si>
  <si>
    <t xml:space="preserve">Idalmis Fidela</t>
  </si>
  <si>
    <t xml:space="preserve">HTA, exfumador,IMA anterior con ICP a DA en mayo. Ahora ingresa con disnea. En eco ICC con trombo en VI.</t>
  </si>
  <si>
    <t xml:space="preserve">HTA, FA que llevo tratamiento. Ingresa con historia de dolor en el hombro hace 5 fías y disnea. Se pone antibiotico y no mejora. En realidad IMA inferior subagudo complicado con insuficiencia cardiaca. En ingreso hace PCR con intubacion y VMI. Fallece.</t>
  </si>
  <si>
    <t xml:space="preserve">Tamara</t>
  </si>
  <si>
    <t xml:space="preserve">Casio</t>
  </si>
  <si>
    <t xml:space="preserve">HTA, fumadora, en enero IMA anterior y ahora angina postIMA. Se realiza coronariografia con enfermedad multivaso. Se realiza ICP a DA.</t>
  </si>
  <si>
    <t xml:space="preserve">Nordet</t>
  </si>
  <si>
    <t xml:space="preserve">Tur</t>
  </si>
  <si>
    <t xml:space="preserve">HTA, IMA anterior. Ingresa con angina y emergencia HTA.</t>
  </si>
  <si>
    <t xml:space="preserve">Mercedes Cirila</t>
  </si>
  <si>
    <t xml:space="preserve">Montes de Oca</t>
  </si>
  <si>
    <t xml:space="preserve">Cañizares</t>
  </si>
  <si>
    <t xml:space="preserve">HTA, exfumadora, DM. Hace dos años con opresion precordial que ha empeorado. Hoy ingresa con angina, HTA y hiperglicemia.</t>
  </si>
  <si>
    <t xml:space="preserve">Suarez</t>
  </si>
  <si>
    <t xml:space="preserve">HTA, ingresa con FA con respuesta lenta. Se implanta MP transitorio. Se implanta MPP y se traslada a sala de medicina para terminar tto antibiotico</t>
  </si>
  <si>
    <t xml:space="preserve">Eva Valentina</t>
  </si>
  <si>
    <t xml:space="preserve">HTA, RMQ en USA. Ahora ingresa con angina empeorada. FA crónica.</t>
  </si>
  <si>
    <t xml:space="preserve">Cantero</t>
  </si>
  <si>
    <t xml:space="preserve">HTA, exfumador. Comienza con dolor y dines, ecocardiog con disfucnion sistolica.</t>
  </si>
  <si>
    <t xml:space="preserve">Remberto Cándido</t>
  </si>
  <si>
    <t xml:space="preserve">Bolívar</t>
  </si>
  <si>
    <t xml:space="preserve">Exfumador, HTA, artritis reumatoidea. Ingresa con IMA inferior trombolizado y TA elevada.</t>
  </si>
  <si>
    <t xml:space="preserve">Cristina Magaly</t>
  </si>
  <si>
    <t xml:space="preserve">Otero</t>
  </si>
  <si>
    <t xml:space="preserve">Fumadora, HTA, egreso el 5 por EAP y ahora ingresa con dolor, EAP y BRI intermitente. Coronariografía sin lesiones significativas.</t>
  </si>
  <si>
    <t xml:space="preserve">Barrio</t>
  </si>
  <si>
    <t xml:space="preserve">Fumador. Ingresa con IMA anterior extenso trombolizado. Cuando llega a sala realiza FV y cae en PCR que sale sin inotrópicos. Se intuba con VM.</t>
  </si>
  <si>
    <t xml:space="preserve">HTA, MCP dilkatrada, CI, CDAI, que ingresa con edema agudo del pulmón hipotensivo.</t>
  </si>
  <si>
    <t xml:space="preserve">Felicita </t>
  </si>
  <si>
    <t xml:space="preserve">Utra</t>
  </si>
  <si>
    <t xml:space="preserve">HTA, DM. Ingresa para MPP por BAV completo. Realiza edema subcutanea.</t>
  </si>
  <si>
    <t xml:space="preserve">Rosa Sofía</t>
  </si>
  <si>
    <t xml:space="preserve">Fragoso</t>
  </si>
  <si>
    <t xml:space="preserve">Fumador, HTA, obesa, DM-2. ingresa con bronconeumonia severa y emergencia HTA. Se traslada a Medicina Interna.</t>
  </si>
  <si>
    <t xml:space="preserve">Sixto</t>
  </si>
  <si>
    <t xml:space="preserve">HTA, fumador, DM. Ingresa con angina de empeoramiento progresivo con cambios.e sala hace vasoespasmo. Se lleva a coro con lesion DA 80% (o) y CD 90% (p), con stent farmacoinvasivo en las dos. Quedo lesion no significativa en Cx.</t>
  </si>
  <si>
    <t xml:space="preserve">Arsenio</t>
  </si>
  <si>
    <t xml:space="preserve">Fumador, alcoholico. Ingresa IMA inferior no trombolizado con hipotension y DBT.</t>
  </si>
  <si>
    <t xml:space="preserve">Erenia</t>
  </si>
  <si>
    <t xml:space="preserve">APP fumadora, HTA, IMA, coronariog con lesion en DA. Ahora ingresa con angina inestable con cambios electricos.</t>
  </si>
  <si>
    <t xml:space="preserve">HTA, DM. IMA anterior que se tromboliza en diciembre. Ingresa con angina e HTA.</t>
  </si>
  <si>
    <t xml:space="preserve">William Antonio</t>
  </si>
  <si>
    <t xml:space="preserve">Arbelo</t>
  </si>
  <si>
    <t xml:space="preserve">HTA, PVM en 1998 y 2009 mitral con insuficiencia mitral, DM-2. ingresa con insuficiencia cardiaca global severa</t>
  </si>
  <si>
    <t xml:space="preserve">Marcia Mayda</t>
  </si>
  <si>
    <t xml:space="preserve">Benitez</t>
  </si>
  <si>
    <t xml:space="preserve">Fumadora, ingresa con supradesnivel en cara inferior q se trombolizo </t>
  </si>
  <si>
    <t xml:space="preserve">Galo</t>
  </si>
  <si>
    <t xml:space="preserve">MCP dilatada isquemica, con RMQ en 2016. ingresa con ICC descompensada.</t>
  </si>
  <si>
    <t xml:space="preserve">Luis Enrique</t>
  </si>
  <si>
    <t xml:space="preserve">Godoy</t>
  </si>
  <si>
    <t xml:space="preserve">CI, HTA, carcinoma de prostata, ICC. Ingresa  con disnea y edemas.</t>
  </si>
  <si>
    <t xml:space="preserve">Cardiopatia HTA, HTP, FA cronica. Ingresa con BNB y insuficiencia cardiaca.</t>
  </si>
  <si>
    <t xml:space="preserve">APP de IMA y luego angina postIMA. Se realiza coronariografía y es multivaso con DA incluida. Se discute para tratamiento quirúrgico. Se realiza ICP a CX.</t>
  </si>
  <si>
    <t xml:space="preserve">Angela</t>
  </si>
  <si>
    <t xml:space="preserve">APP, HTA, CI. Tiene score calcio positivo, prueba ergometrica psotiva. Ingresa con dolor precordial. Se realiza coronariografía con obstrucción cronica de DA media. Se decide mandar a cirugia.</t>
  </si>
  <si>
    <t xml:space="preserve">APP de insuficiencia arterial periférica severa con amputacion en el pie derecho y operación de Leriche. Continuó fumando y ahora ingresa con IMA inferior trombolizado.</t>
  </si>
  <si>
    <t xml:space="preserve">Caridad Esperanza</t>
  </si>
  <si>
    <t xml:space="preserve">Leo</t>
  </si>
  <si>
    <t xml:space="preserve">Machín</t>
  </si>
  <si>
    <t xml:space="preserve">ICC, HTA, ERC, DM-2, asma. Ingresa con insuficiencia cardiaca y asma bronquial. Se traslada a Terapia Intensiva.</t>
  </si>
  <si>
    <t xml:space="preserve">Héctor Javier</t>
  </si>
  <si>
    <t xml:space="preserve">Lizares</t>
  </si>
  <si>
    <t xml:space="preserve">APP esquizofrenia. Se ingresa con bronconeumonia.</t>
  </si>
  <si>
    <t xml:space="preserve">Yagdier</t>
  </si>
  <si>
    <t xml:space="preserve">IMA anterior, HTA, fumaro inveterado. Ingresa con emergencia HTA y angina.</t>
  </si>
  <si>
    <t xml:space="preserve">HTA. Ingresa con bronconeumonia despues de un mes de antibiotico.</t>
  </si>
  <si>
    <t xml:space="preserve">Victor</t>
  </si>
  <si>
    <t xml:space="preserve">Fumador, HTA, ingresa con IMA anteroseptal trombolizado.</t>
  </si>
  <si>
    <t xml:space="preserve">Idelma</t>
  </si>
  <si>
    <t xml:space="preserve">Fumadora, HTA. Ingresa con IMA anterior no trombolizado.</t>
  </si>
  <si>
    <t xml:space="preserve">Ana Luisa </t>
  </si>
  <si>
    <t xml:space="preserve">HTA, DM-2, CI. Ingresa con BAV completo e ICC </t>
  </si>
  <si>
    <t xml:space="preserve">ICC, CI, gota, cancer de colon.IMA antiguo. Ingresa con TV que se cardiovirtio.</t>
  </si>
  <si>
    <t xml:space="preserve">Nicolás </t>
  </si>
  <si>
    <t xml:space="preserve">Milán</t>
  </si>
  <si>
    <t xml:space="preserve">Fumador, CI, RMQ hace 11 años, ingresa con angina que paso a ser IMA anterior no trombolizado.</t>
  </si>
  <si>
    <t xml:space="preserve">Pedro Pascual</t>
  </si>
  <si>
    <t xml:space="preserve">HTA, DM-2. ingresa con IMA anterior extenso subagudo que no se trombolizó. Estuvo los primeros días con dolor precordial.</t>
  </si>
  <si>
    <t xml:space="preserve">Williams</t>
  </si>
  <si>
    <t xml:space="preserve">Molina</t>
  </si>
  <si>
    <t xml:space="preserve">HTA, obeso, DM-2 descompensado, fumador. Ingresa con IMA anteroinferior subagudo no trombolizado.</t>
  </si>
  <si>
    <t xml:space="preserve">Ferreiro</t>
  </si>
  <si>
    <t xml:space="preserve">HTA, exfumador. Ingresa con IMA inferior strombolizado.</t>
  </si>
  <si>
    <t xml:space="preserve">Yansel</t>
  </si>
  <si>
    <t xml:space="preserve">Prats</t>
  </si>
  <si>
    <t xml:space="preserve">APP de dislipidemia. Ingresa con IMA inferior STQ con pericarditis. Se realiza coronariografía con lesión unica en IVP total. Se decide tto medico.</t>
  </si>
  <si>
    <t xml:space="preserve">Barca</t>
  </si>
  <si>
    <t xml:space="preserve">Fumador. Ingresa con IMA inferolateral trombolizado.</t>
  </si>
  <si>
    <t xml:space="preserve">Regueiro</t>
  </si>
  <si>
    <t xml:space="preserve">Fumador, HTA. ingresa con anteroseptal trombolizado.</t>
  </si>
  <si>
    <t xml:space="preserve">Ernesto </t>
  </si>
  <si>
    <t xml:space="preserve">Fumador, IMA, RMQ en 2017. ingresa con angina sin cambios.</t>
  </si>
  <si>
    <t xml:space="preserve">Fumador, HTA, inbgresa con IMA anterior no trombolizado.</t>
  </si>
  <si>
    <t xml:space="preserve"> Maritza</t>
  </si>
  <si>
    <t xml:space="preserve">Fuamdora, HTA, ingresa con angina de reciente comienzo.</t>
  </si>
  <si>
    <t xml:space="preserve">Carlos Eduardo</t>
  </si>
  <si>
    <t xml:space="preserve">de Karam</t>
  </si>
  <si>
    <t xml:space="preserve">HTA, rinitis alergica. Comienza luego de un resfriado con disnea. En eco ICC dilatado con fevi en 30%. Se concluye como miocarditis.</t>
  </si>
  <si>
    <t xml:space="preserve">Fumadora, dislipidemia. Ingresa con IMA inferior trombolizado no complicado.</t>
  </si>
  <si>
    <t xml:space="preserve">Rafael Tomas</t>
  </si>
  <si>
    <t xml:space="preserve">IRC, ICC, CI, DM. Ingresa con angina empeorada.</t>
  </si>
  <si>
    <t xml:space="preserve">Asma, ICC, ECV. Ingresa con signos de ICC, TV no sostenida y enfermedad valvular mitral</t>
  </si>
  <si>
    <t xml:space="preserve">Fumadora, HTA, ingresa con angina inestable con cambios electricos.</t>
  </si>
  <si>
    <t xml:space="preserve">Fumador, HTA, alcohol, EPOC. Ingresa con disnea y tos. </t>
  </si>
  <si>
    <t xml:space="preserve">Edilberto</t>
  </si>
  <si>
    <t xml:space="preserve">Alcolea</t>
  </si>
  <si>
    <t xml:space="preserve">Pupo</t>
  </si>
  <si>
    <t xml:space="preserve">Exfumador, HTA, ICP anterior. Ingresa con angina de empeoramiento. </t>
  </si>
  <si>
    <t xml:space="preserve">María Isolina</t>
  </si>
  <si>
    <t xml:space="preserve">Fumador, HTA, DM2, ingresa con angina, en Eco hay MCP hipertrofica con obstruccion del TSVI.</t>
  </si>
  <si>
    <t xml:space="preserve">HTA, enfermedad ampollosa. Ingresa con ICC global y bronconeumonia.</t>
  </si>
  <si>
    <t xml:space="preserve">Ana Celia</t>
  </si>
  <si>
    <t xml:space="preserve">Abadis</t>
  </si>
  <si>
    <t xml:space="preserve">Coronariografía sin lesiones significativas, multiples ingresos por disnea. Acude con disnea y se diagnostica TEP, no hay TVP.</t>
  </si>
  <si>
    <t xml:space="preserve">Ysolina</t>
  </si>
  <si>
    <t xml:space="preserve">Vinent</t>
  </si>
  <si>
    <t xml:space="preserve">HTA, DM, fumadora, con dolor precordial hace dos meses que parece que se infarto. Ahora ingresa con edema pulmonar hipertensivo.</t>
  </si>
  <si>
    <t xml:space="preserve">José Manuel</t>
  </si>
  <si>
    <t xml:space="preserve">Fuamdor y bebedor, HTA no tto. Ingresa con IMA anterior extenso trombolizado complicado con pericarditis.</t>
  </si>
  <si>
    <t xml:space="preserve">Lugo</t>
  </si>
  <si>
    <t xml:space="preserve">Fuamdor inveterado. Ingreesa con IMA anterior extenso trombolizado.</t>
  </si>
  <si>
    <t xml:space="preserve">Portal</t>
  </si>
  <si>
    <t xml:space="preserve">Fumador inveterado. Ingresa con IMA inferior trombolizado con extension a VD.</t>
  </si>
  <si>
    <t xml:space="preserve">Ramón Leonardo</t>
  </si>
  <si>
    <t xml:space="preserve">HTA, RMQ. Ingresa con insuficiencia cardiaca, en ECG FA crónica.</t>
  </si>
  <si>
    <t xml:space="preserve">María Milagros</t>
  </si>
  <si>
    <t xml:space="preserve">HTA, DM, asma, DLAo severa pendeinte de cirugia. Ingresa con sincope.</t>
  </si>
  <si>
    <t xml:space="preserve">Niolvis</t>
  </si>
  <si>
    <t xml:space="preserve">Correa</t>
  </si>
  <si>
    <t xml:space="preserve">HTA, DM, fumador y bebedor. Ingresa con IMA inferior trombolizado.</t>
  </si>
  <si>
    <t xml:space="preserve">Ismelio Restituto</t>
  </si>
  <si>
    <t xml:space="preserve">HTA, exfumador, IMA antiguo. RMQ incompleta. Ahora ingresa con angina sin cambios electricos.</t>
  </si>
  <si>
    <t xml:space="preserve">Fumador, CI, RMQ hace 11 años, IMA hace menos de 3 meses. Ingresa con angina empeorada que se complica con PCR y fallece</t>
  </si>
  <si>
    <t xml:space="preserve">José Joaquin</t>
  </si>
  <si>
    <t xml:space="preserve">HTA, DM, cancer. Ingresa con IMA inferior no trmbolizado. Hace arritmia maligna y fallece</t>
  </si>
  <si>
    <t xml:space="preserve">HTA, exfumador. IMA en 2015 con multiple coronariografias y ACTP. Ahora ingresa con IMA inferior trombolizado.</t>
  </si>
  <si>
    <t xml:space="preserve">Arevalo</t>
  </si>
  <si>
    <t xml:space="preserve">HTA, migrañosa, que ingresa a angina inestable con cambios electricos. Pide el alta a peticion.</t>
  </si>
  <si>
    <t xml:space="preserve">Rebeca Sonia</t>
  </si>
  <si>
    <t xml:space="preserve">HTA, fumadora, CI. Ingresa con IMA inferior trombolizado complicado con insuficiencia cardiaca</t>
  </si>
  <si>
    <t xml:space="preserve">Alexis Francisco</t>
  </si>
  <si>
    <t xml:space="preserve">HTA, fumador. Ingresa con IMA anterior extenso trombolizado.</t>
  </si>
  <si>
    <t xml:space="preserve">Alexis </t>
  </si>
  <si>
    <t xml:space="preserve">Tejeda</t>
  </si>
  <si>
    <t xml:space="preserve">HTA, DM, fumador. Ingresa con IMA anteroseptal trombolizado.</t>
  </si>
  <si>
    <t xml:space="preserve">Pedro Luis</t>
  </si>
  <si>
    <t xml:space="preserve">Cabal</t>
  </si>
  <si>
    <t xml:space="preserve">HTA, CI con ICP con 3 stent, DM-2. ingresa con IMA inferior trombolizado que hizo FV.</t>
  </si>
  <si>
    <t xml:space="preserve">ECV, CI, FA cronica. Ingresa con sincope y FA bloqueada. Se trata con isuprel y se implanta MPP.</t>
  </si>
  <si>
    <t xml:space="preserve">Ruben</t>
  </si>
  <si>
    <t xml:space="preserve">Exfumador, Asma, EPOC. Ingresa con IMA inferior que no se trombolizo por shock</t>
  </si>
  <si>
    <t xml:space="preserve">Jauregui</t>
  </si>
  <si>
    <t xml:space="preserve">Sierra</t>
  </si>
  <si>
    <t xml:space="preserve">Fumadora, HTA, ingresa como angina inestable pero se concluye como IMASEST</t>
  </si>
  <si>
    <t xml:space="preserve">Porraspita</t>
  </si>
  <si>
    <t xml:space="preserve">Denis</t>
  </si>
  <si>
    <t xml:space="preserve">ECV, HTA, FA. Ingresa con FA bloqueada. Se implanta MPP.</t>
  </si>
  <si>
    <t xml:space="preserve">Goicochea</t>
  </si>
  <si>
    <t xml:space="preserve">0.68938</t>
  </si>
  <si>
    <t xml:space="preserve">HTA con tratamiento irregular, exfumador. Ingresa con IMA lateral trolbolizado.</t>
  </si>
  <si>
    <t xml:space="preserve">HTA, CI, FA tto digoxina. Acude por dolor precordial y deficit motor transitorio. TAC CG negativo. En ECG hay FA bloqueada.</t>
  </si>
  <si>
    <t xml:space="preserve">Gudelio</t>
  </si>
  <si>
    <t xml:space="preserve">Avila</t>
  </si>
  <si>
    <t xml:space="preserve">Fumador inveterado e HTA. Ingresa con IMA inferior trombolizado.</t>
  </si>
  <si>
    <t xml:space="preserve">APP de CI. Ingresa con IMA anterior extenso que se tromboliza, se trae de Julio Trigo. En momento del ingreso hace FA q revierte.</t>
  </si>
  <si>
    <t xml:space="preserve">Alexander Roberto</t>
  </si>
  <si>
    <t xml:space="preserve">Cuevas</t>
  </si>
  <si>
    <t xml:space="preserve">APP HTA y tabaquismo. Ingresa con IMA anterior extenso trombolizado.</t>
  </si>
  <si>
    <t xml:space="preserve">HTA, ingresa con IMA anterior extenso con emergencia HTA.</t>
  </si>
  <si>
    <t xml:space="preserve">HTA, DM-2, CI. Ingresa con emergencia HTA y dolor precordial, en eco tiene insuficiencia mitral severa con insuficiencia aortica.</t>
  </si>
  <si>
    <t xml:space="preserve">Maximiliano</t>
  </si>
  <si>
    <t xml:space="preserve">Gonzalez</t>
  </si>
  <si>
    <t xml:space="preserve">HTA, IRC IV, monoreno. Ingresa con disnea sin edemas. Se constata derrame pleural severo, cae en shock septico con acidosis metabolica. Se traslada como IRA complicada.</t>
  </si>
  <si>
    <t xml:space="preserve">HTA, exfumador, ingresa como angina pero luego se observa enzimas elevadas de IMA. Se concluye como IMA inferior no trombolizado</t>
  </si>
  <si>
    <t xml:space="preserve">Eiler</t>
  </si>
  <si>
    <t xml:space="preserve">Rivet</t>
  </si>
  <si>
    <t xml:space="preserve">HTA, fumador, obeso. Ingresa con IMA inferior no trombolizado por mal diagnostico.</t>
  </si>
  <si>
    <t xml:space="preserve">Rafaela Cecilia</t>
  </si>
  <si>
    <t xml:space="preserve">Larrondo</t>
  </si>
  <si>
    <t xml:space="preserve">Caso de cirugia por fistula colon. </t>
  </si>
  <si>
    <t xml:space="preserve">Diez</t>
  </si>
  <si>
    <t xml:space="preserve">HTA, fumador, IAP. Ingresa con IMA anterior trombolizado.</t>
  </si>
  <si>
    <t xml:space="preserve">Maira</t>
  </si>
  <si>
    <t xml:space="preserve">HTA, DM, CI. Ingresa con angina inestable y BRI. Se realiza coro y tiene lesion significativa en 1 Diag ostial pero es un vaso fino. CD con lesion no significativa.</t>
  </si>
  <si>
    <t xml:space="preserve">Norca</t>
  </si>
  <si>
    <t xml:space="preserve">Exfumadora. Ingresa con dolor y supra del ST en cara inferior que dijeron que era angina vasosspastica, evolutivamente hace necrosis y se confirma el IMA.</t>
  </si>
  <si>
    <t xml:space="preserve">Jorge Edilberto</t>
  </si>
  <si>
    <t xml:space="preserve">Fumador ingresa con IMA inferior trombolizado.</t>
  </si>
  <si>
    <t xml:space="preserve">Fuamdor inveterado, 2 IMA y ECV como complicacion de coronariografía. Ingresa ahora con IMA inferolateral trombolizado.</t>
  </si>
  <si>
    <t xml:space="preserve">Sarduy</t>
  </si>
  <si>
    <t xml:space="preserve">HTA y DM-2. ingresa con IMA anterior extenso trombolizado. En eco hay trombo en VI.</t>
  </si>
  <si>
    <t xml:space="preserve">Maria de las Mercedes</t>
  </si>
  <si>
    <t xml:space="preserve">Jupé</t>
  </si>
  <si>
    <t xml:space="preserve">HTA, CI, FA cronica. ICC. Ingresa con FA bloqueada por medicamentos.</t>
  </si>
  <si>
    <t xml:space="preserve">Nelson </t>
  </si>
  <si>
    <t xml:space="preserve">Fumador. Ingresa con IMA inferior que se trombolizo.</t>
  </si>
  <si>
    <t xml:space="preserve">Luis Felipe</t>
  </si>
  <si>
    <t xml:space="preserve">Veranes</t>
  </si>
  <si>
    <t xml:space="preserve">Fumador inveterado, ingresa con IMA inferior con extension al VD y BAV completo con FC en 32 lpm. Se tromboliza y se apoya, saliendo en FA, que revierte espontaneamente.</t>
  </si>
  <si>
    <t xml:space="preserve">HTA. Sale de alta el 29 de abril con IMA anterior extenso con emergencia HTA. Ahora ingresa con angina postIMA. Se realiza coro con lesion en DA p, m, d y CD. Se realiza ACTP a lesion enDA 90% media.</t>
  </si>
  <si>
    <t xml:space="preserve">Noel</t>
  </si>
  <si>
    <t xml:space="preserve">Fumador inveterado, alcoholismo. Ingresa con IMA inferolateral trombolizado. </t>
  </si>
  <si>
    <t xml:space="preserve">Nilda Aleida </t>
  </si>
  <si>
    <t xml:space="preserve">HTA, CI. Ingresa con angina inestable con cambios electricos.</t>
  </si>
  <si>
    <t xml:space="preserve">Padura</t>
  </si>
  <si>
    <t xml:space="preserve">HTA, exfumador, CI. Ingresa con angina vs IMASEST.</t>
  </si>
  <si>
    <t xml:space="preserve">HTA, exfumador, FA. Viene con historia de PCR por FV, con FA parixsitica. Cuando sale a RS se observa IMA anteroseptal que no se trombolizó.</t>
  </si>
  <si>
    <t xml:space="preserve">Bienvenido</t>
  </si>
  <si>
    <t xml:space="preserve">SOA</t>
  </si>
  <si>
    <t xml:space="preserve">HTA, fumador, DM2. ingresa con IMA anterior extenso trombolizado, con complicacion con AVE con hemiplejia izquierda. Se decide traslado a Medicina por el ECV.</t>
  </si>
  <si>
    <t xml:space="preserve">Lambert</t>
  </si>
  <si>
    <t xml:space="preserve">HTA, fumador, DM. Ingresa con IMA inferior que no se trombolizo.</t>
  </si>
  <si>
    <t xml:space="preserve">Noybel</t>
  </si>
  <si>
    <t xml:space="preserve">HTA, fumador inveeterado. Ingresa con IMA inferior trombolizado. Se traslada al ISMM por neumonia de base derechea con atelectasia.</t>
  </si>
  <si>
    <t xml:space="preserve">Nelson Israel</t>
  </si>
  <si>
    <t xml:space="preserve">Cocho</t>
  </si>
  <si>
    <t xml:space="preserve">HTA, CI, DM2. ingresa con IMA inferior trmbolizado, con BAV completo transitoria.</t>
  </si>
  <si>
    <t xml:space="preserve">Oberto</t>
  </si>
  <si>
    <t xml:space="preserve">Calzado</t>
  </si>
  <si>
    <t xml:space="preserve">HTA, fumador. Ingresa con IMA anterior extenso que se trombolizao, que hace PCR que se intuba. Extubacion favoirable.</t>
  </si>
  <si>
    <t xml:space="preserve">María de Lourdes</t>
  </si>
  <si>
    <t xml:space="preserve">HTA, exfumadora, FA paroxistica que llevaba tratamiento con amiodarona. Acude con angor y FC baja.</t>
  </si>
  <si>
    <t xml:space="preserve">HTA, fumadora. Ingresa con IMA inferior trombolizado. Hace disfuncion del VI.</t>
  </si>
  <si>
    <t xml:space="preserve">Esmeralda</t>
  </si>
  <si>
    <t xml:space="preserve">Casanov</t>
  </si>
  <si>
    <t xml:space="preserve">HTA, fumadora, ingresa con IMA inferior trmbolizado. Se fuga.</t>
  </si>
  <si>
    <t xml:space="preserve">Elena</t>
  </si>
  <si>
    <t xml:space="preserve">Salcedo</t>
  </si>
  <si>
    <t xml:space="preserve">Barbán</t>
  </si>
  <si>
    <t xml:space="preserve">IMA anteroseptal no tromblizado que cae en shock cardiogenico y fallece en menos de 24 horas.</t>
  </si>
  <si>
    <t xml:space="preserve">Arjona</t>
  </si>
  <si>
    <t xml:space="preserve">HTA, ECV, exfumadora, DM-2. ingresa con angina inestable de reposo con cambios electricos.</t>
  </si>
  <si>
    <t xml:space="preserve">HTA, obeso, fumadro, ingresa con angina inestable sin cambios en medio de una emergencia hipertensiva. Pide alta a petición.</t>
  </si>
  <si>
    <t xml:space="preserve">Roberto Juan</t>
  </si>
  <si>
    <t xml:space="preserve">Lastra</t>
  </si>
  <si>
    <t xml:space="preserve">HTA, CI, asma. Con IMA va al policlinico con PCR en FV que se desfibrilo. Llega al CG y se tromboliza. IMA inferior.</t>
  </si>
  <si>
    <t xml:space="preserve">HTA, CI, DM. Ingresa con angina y BNB, con FA.</t>
  </si>
  <si>
    <t xml:space="preserve">Roberto Higinio</t>
  </si>
  <si>
    <t xml:space="preserve">HTA, fumador, EPOC, glaucoma. Usa digital  y betabloqueador. Ingresa con BAV 3er grado</t>
  </si>
  <si>
    <t xml:space="preserve">Teodoro José</t>
  </si>
  <si>
    <t xml:space="preserve">La Rosa</t>
  </si>
  <si>
    <t xml:space="preserve">de la Paz</t>
  </si>
  <si>
    <t xml:space="preserve">HTA, CI, IRC, multivso sin posibilidad de tto quirurgico. Ingresa con angina empeorada. Fallece en shock cardiogénico</t>
  </si>
  <si>
    <t xml:space="preserve">HTA, CI, exfumador. Ingresa con angina inestable con BRD.</t>
  </si>
  <si>
    <t xml:space="preserve">Perera</t>
  </si>
  <si>
    <t xml:space="preserve">DM, ingresa con angina de esfuerzo con t negativa en cara inferior.</t>
  </si>
  <si>
    <t xml:space="preserve">Plascencia</t>
  </si>
  <si>
    <t xml:space="preserve">Pestana</t>
  </si>
  <si>
    <t xml:space="preserve">HTA, IM anterior. DM2. ingresa con IMA anterolateral trombolizado.</t>
  </si>
  <si>
    <t xml:space="preserve">Smith</t>
  </si>
  <si>
    <t xml:space="preserve">HTA, DM, CI, ICC, IRC. Ingresa con BNB e ICC con empeoramiento de IRC. Se traslada a UTI.</t>
  </si>
  <si>
    <t xml:space="preserve">Eloy</t>
  </si>
  <si>
    <t xml:space="preserve">HTA, fumador. Ingresa con angina reciente comienzo.</t>
  </si>
  <si>
    <t xml:space="preserve">HTA, CI, EPOC, IRC, tratamiento con digoxina, que llega con BAV completo. Realiza PCR en DEM y fallece.</t>
  </si>
  <si>
    <t xml:space="preserve">Robaina</t>
  </si>
  <si>
    <t xml:space="preserve">HTA, ECV, FA cronica. Ingresa con decaimiento y FA lenta para MP. Se implanta MP permanente.</t>
  </si>
  <si>
    <t xml:space="preserve">Aurelio Jacinto</t>
  </si>
  <si>
    <t xml:space="preserve">HTA, ECV antigua, FA paroxistico, que ingresa con perdida de la fuerza muscular y se diagnostica ATI, con FA.</t>
  </si>
  <si>
    <t xml:space="preserve">Haydée</t>
  </si>
  <si>
    <t xml:space="preserve">HTA, DM-2, ECV. Ingresa con IMA inferior trombolizado no complicado.</t>
  </si>
  <si>
    <t xml:space="preserve">Soa</t>
  </si>
  <si>
    <t xml:space="preserve">HTA, IM anterior. Ingresa con angina y EAP por anemia severa.</t>
  </si>
  <si>
    <t xml:space="preserve">Cobas</t>
  </si>
  <si>
    <t xml:space="preserve">HTA severa, ERC, MCP dilatada alcoholica que resolvio dejando el toxico. Ingresa con emergencia HTA y empeoramiento de la funcion renal.</t>
  </si>
  <si>
    <t xml:space="preserve">Ada E.</t>
  </si>
  <si>
    <t xml:space="preserve">Infante</t>
  </si>
  <si>
    <t xml:space="preserve">ICC+FA</t>
  </si>
  <si>
    <t xml:space="preserve">Nella</t>
  </si>
  <si>
    <t xml:space="preserve">Ingresa como angina y evoluciona como IMA. Realiza shock cardiogenico y fallece.</t>
  </si>
  <si>
    <t xml:space="preserve">Gomez</t>
  </si>
  <si>
    <t xml:space="preserve">Angina inestable con cambios</t>
  </si>
  <si>
    <t xml:space="preserve">Chirola</t>
  </si>
  <si>
    <t xml:space="preserve">Jaime</t>
  </si>
  <si>
    <t xml:space="preserve">Zoraida Victoria</t>
  </si>
  <si>
    <t xml:space="preserve">Triana</t>
  </si>
  <si>
    <t xml:space="preserve">APP DM, HTA, IRC, hipotiroidismo. Ingresa con angina empeorada y cambios electricos.</t>
  </si>
  <si>
    <t xml:space="preserve">José Juan</t>
  </si>
  <si>
    <t xml:space="preserve">Roche</t>
  </si>
  <si>
    <t xml:space="preserve">Caso</t>
  </si>
  <si>
    <t xml:space="preserve">APP DM2, HTA. Ingresa con IMA anterior con trombolisis fallida, se lleva coro y se hace ACTP rescate a DA 100%</t>
  </si>
  <si>
    <t xml:space="preserve">Ronald</t>
  </si>
  <si>
    <t xml:space="preserve">Bringueza</t>
  </si>
  <si>
    <t xml:space="preserve">APP de IMA e HTA. Ingresa con angina inestable empeorada con cambios electricos. Se realiza coro con lesion en DA 95% media y CD 100%. Se pone stent en DA</t>
  </si>
  <si>
    <t xml:space="preserve">Peñalver</t>
  </si>
  <si>
    <t xml:space="preserve">APP de salud. Ingresa con supra en V1-V3 que se interpretó al inicio como vasoespasmo, pero luego se vio IMA.</t>
  </si>
  <si>
    <t xml:space="preserve">Dominguez</t>
  </si>
  <si>
    <t xml:space="preserve">Lima</t>
  </si>
  <si>
    <t xml:space="preserve">HTA, DM, IM infeiro con ICP. Ahora ingresa con reinfarto inferior con shock que llevo inotropicos.</t>
  </si>
  <si>
    <t xml:space="preserve">Angela Caridad</t>
  </si>
  <si>
    <t xml:space="preserve">APP fumadora e HTA. Ingresa con IMA inferior trombolizado.</t>
  </si>
  <si>
    <t xml:space="preserve">Musteiro</t>
  </si>
  <si>
    <t xml:space="preserve">Fumador, HTA, alcoholismo. Ingresa con angina empeorada con cambios electricos. En evolucion se observa necrosis en cara inferior, por lo cual se cierra como IMA.</t>
  </si>
  <si>
    <t xml:space="preserve">Lázaro </t>
  </si>
  <si>
    <t xml:space="preserve">Fuamdor, HTA. Ingresa con IMA inferior trombolizado no complicado</t>
  </si>
  <si>
    <t xml:space="preserve">del Toro</t>
  </si>
  <si>
    <t xml:space="preserve">Fumador, HTA, amputado por insuficiencia arterial periférica. Ingresado en Angiología por aneurisma severo de aorta toracoabdominal con trombo. Hace IMA anterior extenso con diseccion aórtica. Fallece en asistolia.</t>
  </si>
  <si>
    <t xml:space="preserve">DM, HTA. Ingresa con IMA anterior extenso trombolizado. Se realiza coro DA 85% (m) y CD media. Se reaiza ICP a DA</t>
  </si>
  <si>
    <t xml:space="preserve">DM, HTA, obseo y fumador. Ingresa con IMA inferior trombolizado no complicado. Se va al ICCCV para ICP y se queda.</t>
  </si>
  <si>
    <t xml:space="preserve">Orisdalys</t>
  </si>
  <si>
    <t xml:space="preserve">Ingresa con neumonia de la TIA para terminar antibiotico.</t>
  </si>
  <si>
    <t xml:space="preserve">HTA, DM. Ingresa con taponamiento cardiaco. Se le realiza pericardiocentesis con liquido hematico. </t>
  </si>
  <si>
    <t xml:space="preserve">Mallero</t>
  </si>
  <si>
    <t xml:space="preserve">Exfumador e HTA. Ingresa con IMA inferior no trombolizado.</t>
  </si>
  <si>
    <t xml:space="preserve">Góngora</t>
  </si>
  <si>
    <t xml:space="preserve">Fumador inveterado, HTA. Ingrsa con IMA anterior no trombolizado. Realiza TV durante el ingreso que llevó amiodaron EV. Fractura de cateter venoso en subclavia.</t>
  </si>
  <si>
    <t xml:space="preserve">Raimundo de Jesus</t>
  </si>
  <si>
    <t xml:space="preserve">DM, HTA, IM antiguo. Ingresa con IMA inferior subagudo no trombolizado con angina postIMA. En eco trombo en VI. En variios momentos dolor anginoso.</t>
  </si>
  <si>
    <t xml:space="preserve">Magalys Alberta</t>
  </si>
  <si>
    <t xml:space="preserve">Viltres</t>
  </si>
  <si>
    <t xml:space="preserve">HTA. Ingresa con IMA inferior trombolizado.</t>
  </si>
  <si>
    <t xml:space="preserve">Argelio Jesús</t>
  </si>
  <si>
    <t xml:space="preserve">Morell</t>
  </si>
  <si>
    <t xml:space="preserve">HTA, DM, fumador. Ingresa con IMA inferior trombolizado.</t>
  </si>
  <si>
    <t xml:space="preserve">Clejé</t>
  </si>
  <si>
    <t xml:space="preserve">HTA, fumador. Ingresa con IMA anterior extenso subagudo no trombolizado.</t>
  </si>
  <si>
    <t xml:space="preserve">Yanmichel</t>
  </si>
  <si>
    <t xml:space="preserve">Obeso, bebedor, fumador. Ingresa com IMA inferior trombolizado.</t>
  </si>
  <si>
    <t xml:space="preserve">Zoraida</t>
  </si>
  <si>
    <t xml:space="preserve">Egreso con angina inestable hace 3 dias. Comienza con dolor precordial con IMA anterior y sangramiento digestivo alto.</t>
  </si>
  <si>
    <t xml:space="preserve">Vera</t>
  </si>
  <si>
    <t xml:space="preserve">Boris</t>
  </si>
  <si>
    <t xml:space="preserve">Fumador, HTA, CI. Ingresa con IMA anterior extenso, cuando se tromboliza cae en shock. Se realiza ICP rescate con lesion en DA 100% proximal, se coloca 3 stents. Queda lesion en IVP.</t>
  </si>
  <si>
    <t xml:space="preserve">Mireya</t>
  </si>
  <si>
    <t xml:space="preserve">Dávila</t>
  </si>
  <si>
    <t xml:space="preserve">HTA, DM, fumadora, IAP, obesa. Hipertiroidea. Ingresa con IMA inferior trombolizado.</t>
  </si>
  <si>
    <t xml:space="preserve">Gloria Esther</t>
  </si>
  <si>
    <t xml:space="preserve">HTA, ingresa con IMA anterior trombolizado. Hace insuficiencia cardiaca.</t>
  </si>
  <si>
    <t xml:space="preserve">Fumador, poliserositis. Ingresa con taponamiento cardiaco y se realiza pericardiocentesis. Se traslada a Medicina.</t>
  </si>
  <si>
    <t xml:space="preserve">Exfumador, HTA, comienza con disnea subita, y al Eco se ven signos indirectos de TEP. No se precisa fuente embolígena. Fallece.</t>
  </si>
  <si>
    <t xml:space="preserve">Piloto</t>
  </si>
  <si>
    <t xml:space="preserve">Ferro</t>
  </si>
  <si>
    <t xml:space="preserve">HTA, fumador inveterado. IMA anterior hace un mes. Ahora acude por síncope e hipotension severa que llevo inotropicos. Dolor precordial y se ingresa como reinfarto anterior extenso. Se tromboliza en sala. Trombo en VI.</t>
  </si>
  <si>
    <t xml:space="preserve">Exfumador, HTA, DM. Ingresa con emergencia HTA y dolor precordial que se interpresta como angina con cambios.</t>
  </si>
  <si>
    <t xml:space="preserve">Silvio</t>
  </si>
  <si>
    <t xml:space="preserve">Francisco </t>
  </si>
  <si>
    <t xml:space="preserve">Fumador, DM. Ingresa con IMA inferior trombolizado en el servicio.</t>
  </si>
  <si>
    <t xml:space="preserve">Schitter</t>
  </si>
  <si>
    <t xml:space="preserve">Madán</t>
  </si>
  <si>
    <t xml:space="preserve">APP de IM. Ingresa con edema agudo del pulmon y dolor precordial. Durante el ingreso realiza una FA paroxistica con RVAcelerada que revierte con amiodarona.</t>
  </si>
  <si>
    <t xml:space="preserve">Wenclar</t>
  </si>
  <si>
    <t xml:space="preserve">Mones</t>
  </si>
  <si>
    <t xml:space="preserve">HTA, ingresa con flutter auricular.</t>
  </si>
  <si>
    <t xml:space="preserve">HTA, fumador, ingresa con IMA subagudo anterior extenso no trombolizado.</t>
  </si>
  <si>
    <t xml:space="preserve">Victor Valentin</t>
  </si>
  <si>
    <t xml:space="preserve">Tabares</t>
  </si>
  <si>
    <t xml:space="preserve">Yero</t>
  </si>
  <si>
    <t xml:space="preserve">HTA, exfumador, IMA antiguo. Ingresa con angina inestable con cambios.</t>
  </si>
  <si>
    <t xml:space="preserve">Farah</t>
  </si>
  <si>
    <t xml:space="preserve">Caisart</t>
  </si>
  <si>
    <t xml:space="preserve">IMA antiguo con stent, que se tromboza. Ahora ingresa con angina sin cambios.</t>
  </si>
  <si>
    <t xml:space="preserve">Fumador. Egresa con IMA inferior tromb. Ahora  con angina postima sin cmabios., Coro 40% DA media resto sin lesiones,TTO MED </t>
  </si>
  <si>
    <t xml:space="preserve">Pablo Manuel</t>
  </si>
  <si>
    <t xml:space="preserve">HTA, IMA inferior tromobolizado kk1, evolucion favorable</t>
  </si>
  <si>
    <t xml:space="preserve">Martha Estela</t>
  </si>
  <si>
    <t xml:space="preserve">HTA, Exfumadora, varios ingresos con angina. Ahora ingresa con lo mismo. Se realiza coronariografia negativa.</t>
  </si>
  <si>
    <t xml:space="preserve">Raquel</t>
  </si>
  <si>
    <t xml:space="preserve">Baez</t>
  </si>
  <si>
    <t xml:space="preserve">DM, CI, HTA, utiliza amiodarona y timolol. Ingresa con BAV III que se pone MP transitorio., SE PONE MPP por FA (brad-taquic)</t>
  </si>
  <si>
    <t xml:space="preserve">Reinaldo</t>
  </si>
  <si>
    <t xml:space="preserve">Traba</t>
  </si>
  <si>
    <t xml:space="preserve">Melián</t>
  </si>
  <si>
    <t xml:space="preserve">HTA, APF de muerte por CI. Ingresa con dolor precordial y cambios ecg susjetivos de IMASEST, coro DA varias lesiones prox y media 90%, se implantan 2 stent, resto sin lesiones</t>
  </si>
  <si>
    <t xml:space="preserve">                                                                                                                                                                                          </t>
  </si>
  <si>
    <t xml:space="preserve">Dalia Reina</t>
  </si>
  <si>
    <t xml:space="preserve">Mattheu</t>
  </si>
  <si>
    <t xml:space="preserve">HTA, DM, Fumadora, ingresa con IMA inferior no tromblolizado por tiempo. Hace BAV transitorio en sala.</t>
  </si>
  <si>
    <t xml:space="preserve">Jose Clemente</t>
  </si>
  <si>
    <t xml:space="preserve">Aldama</t>
  </si>
  <si>
    <t xml:space="preserve">IMA inferior no trombolizado sin complicaciones</t>
  </si>
  <si>
    <t xml:space="preserve">Abel </t>
  </si>
  <si>
    <t xml:space="preserve">Aguilera</t>
  </si>
  <si>
    <t xml:space="preserve">HTA, IMA Anterior no trombolizado subagudo sin compliaciones.</t>
  </si>
  <si>
    <t xml:space="preserve">Sonia </t>
  </si>
  <si>
    <t xml:space="preserve">Rosales</t>
  </si>
  <si>
    <t xml:space="preserve"> Gómez</t>
  </si>
  <si>
    <t xml:space="preserve">pte con tumor de cabeza de pancreas avanzado, sospecha de pericarditis con colangitis e ictero obstructivo, tratamiento paliativo</t>
  </si>
  <si>
    <t xml:space="preserve">AIA con cambios en ECG sin complicaciones</t>
  </si>
  <si>
    <t xml:space="preserve">Hilda</t>
  </si>
  <si>
    <t xml:space="preserve">Torres </t>
  </si>
  <si>
    <t xml:space="preserve">Azcuy</t>
  </si>
  <si>
    <t xml:space="preserve">AIA con cambios en ECG durante emegencia hipertensiva. APP de E. de Hansen, se traslada para sala p atbioticoterapia por sepsis respirt asociada</t>
  </si>
  <si>
    <t xml:space="preserve">María Teresa</t>
  </si>
  <si>
    <t xml:space="preserve">Elías</t>
  </si>
  <si>
    <t xml:space="preserve">AIA con cambios sin complicaciones</t>
  </si>
  <si>
    <t xml:space="preserve">AIA sin cambios coro sin lesiones significativas tratamiento medico</t>
  </si>
  <si>
    <t xml:space="preserve">Luisa Vitalina</t>
  </si>
  <si>
    <t xml:space="preserve">Cossio</t>
  </si>
  <si>
    <t xml:space="preserve">FA recurrente con BAV secundaria a digoxina, que hizo EAP. Recuperó frecuencia.</t>
  </si>
  <si>
    <t xml:space="preserve">Roberto </t>
  </si>
  <si>
    <t xml:space="preserve">dolor con bloqueo de rama izquierda sin precisar ecg previos, se trombolizo, estable.</t>
  </si>
  <si>
    <t xml:space="preserve">Sores</t>
  </si>
  <si>
    <t xml:space="preserve">IMA inferior trombolizado, bradicardia sinusal</t>
  </si>
  <si>
    <t xml:space="preserve">Elba</t>
  </si>
  <si>
    <t xml:space="preserve">Escobar </t>
  </si>
  <si>
    <t xml:space="preserve">IM inferior antiguo con signos de insufieciencia cardiaca con disfuncion severa</t>
  </si>
  <si>
    <t xml:space="preserve">Leucadio Felix</t>
  </si>
  <si>
    <t xml:space="preserve">Ima inferior subagudo, episodio de angina, y pericarditis asociada.</t>
  </si>
  <si>
    <t xml:space="preserve">Néstor</t>
  </si>
  <si>
    <t xml:space="preserve">HTA y fumador. Ingresa con angina de esfuerzo y cambios electricos.</t>
  </si>
  <si>
    <t xml:space="preserve">Alcebo</t>
  </si>
  <si>
    <t xml:space="preserve">app de hta, amputado d miizquierdo, antecedentes de Cisq, ingresa con ima anterior extenso trobolizado kk1.</t>
  </si>
  <si>
    <t xml:space="preserve">HTA, IMA hace 4 días, no cumplió tratamiento y acude con dolor precordial.</t>
  </si>
  <si>
    <t xml:space="preserve">Hortensia</t>
  </si>
  <si>
    <t xml:space="preserve">HTA. Ingresa con IMA inferior trombolizado. Realiza BAV completo, cae en shock y fallece con AESP</t>
  </si>
  <si>
    <t xml:space="preserve">Alcibia de la Caridad</t>
  </si>
  <si>
    <t xml:space="preserve">Arbolay</t>
  </si>
  <si>
    <t xml:space="preserve">Varga</t>
  </si>
  <si>
    <t xml:space="preserve">HTA, DM, fumador. Ingresa con IMA anterior extenso y de cara inferior. Se tromboliza, pero continua con dolor, hipotenso y disfunciona. Se apoya con dobutamina. Realiza un ATI con TAC cráneo negativo.</t>
  </si>
  <si>
    <t xml:space="preserve">Ivis</t>
  </si>
  <si>
    <t xml:space="preserve">Arzuaga</t>
  </si>
  <si>
    <t xml:space="preserve">HTA, fumdaora, CI, DM. Ingresa con signos de insuficiencia cardiaca y al ECG tiene BAV completo. Se cree que es secundario a digoxina. Se implanta MP transitorio.</t>
  </si>
  <si>
    <t xml:space="preserve">Hildelisa Teresa</t>
  </si>
  <si>
    <t xml:space="preserve">Ayala</t>
  </si>
  <si>
    <t xml:space="preserve">APP HTA, DM, fumadora. Ingresa con IMA inferior trombolizado.</t>
  </si>
  <si>
    <t xml:space="preserve">Yudith</t>
  </si>
  <si>
    <t xml:space="preserve">APP de cancer de mama con metastasis al cerebro con secuela de epilepsia. Ingresa con emergencia HTA.</t>
  </si>
  <si>
    <t xml:space="preserve">Norma </t>
  </si>
  <si>
    <t xml:space="preserve">Laurencio</t>
  </si>
  <si>
    <t xml:space="preserve">Riverón</t>
  </si>
  <si>
    <t xml:space="preserve">APP de HTA, CI, demencia senil. Ingresa con BAV completo, se implanta MPT. Fallece en PCR con DEM.</t>
  </si>
  <si>
    <t xml:space="preserve">Ezequiel</t>
  </si>
  <si>
    <t xml:space="preserve">Alfaro</t>
  </si>
  <si>
    <t xml:space="preserve">APP HTA, DM-2, fumador, alcoholico, IAP, ECV. Ingresa con lipotimia y cambios electricos.</t>
  </si>
  <si>
    <t xml:space="preserve">APP de CI,dilatado, ICP con 6 stents. Ingresa con angina empeorada.</t>
  </si>
  <si>
    <t xml:space="preserve">APP de HTA, CI y DM. Ahora ingresa con angina empeorada con cambios electricos.</t>
  </si>
  <si>
    <t xml:space="preserve">Odelsio Pedro</t>
  </si>
  <si>
    <t xml:space="preserve">Campanioni</t>
  </si>
  <si>
    <t xml:space="preserve">APP HTA, DM, fumador. Ingresa con dolor precordial y ST elevado. Se concluye como angina inestable con cambios electricos.</t>
  </si>
  <si>
    <t xml:space="preserve">Virgen Caridad</t>
  </si>
  <si>
    <t xml:space="preserve">Brooks</t>
  </si>
  <si>
    <t xml:space="preserve">APP HTA, DM, mastectomia hace un año por neoplasia de mama. Ahora ingresa con IMA anteroseptal trombolizado.</t>
  </si>
  <si>
    <t xml:space="preserve">Georgina</t>
  </si>
  <si>
    <t xml:space="preserve">Pons</t>
  </si>
  <si>
    <t xml:space="preserve">Lombillo</t>
  </si>
  <si>
    <t xml:space="preserve">APP de LES, CI, HTA, fumadora, Hepatitis B. ingresa con BAV completo por carvedilol, que revierte a ritmo sinusal.</t>
  </si>
  <si>
    <t xml:space="preserve">Raymond</t>
  </si>
  <si>
    <t xml:space="preserve">Salmón</t>
  </si>
  <si>
    <t xml:space="preserve">APP HTA, fumadora. Ingresa con IMA inferior trombolizado no complicado.</t>
  </si>
  <si>
    <t xml:space="preserve">Miguel Ángel</t>
  </si>
  <si>
    <t xml:space="preserve">APP HTA y fumador. Ingresa como angina, pero evolucionó con necrosis.</t>
  </si>
  <si>
    <t xml:space="preserve">Tania </t>
  </si>
  <si>
    <t xml:space="preserve">APP HTA, fumadora. Ingresa con IMA anteroseptal no trombolizado no complicado.</t>
  </si>
  <si>
    <t xml:space="preserve">Dora</t>
  </si>
  <si>
    <t xml:space="preserve">APP HTA y CI. Ingresa con angina empeorada.</t>
  </si>
  <si>
    <t xml:space="preserve">Chang</t>
  </si>
  <si>
    <t xml:space="preserve">APP HTA y fumadora. Ingresa con IMA inferolateral trombolizado y congestion pulmonar.</t>
  </si>
  <si>
    <t xml:space="preserve">Hipertension pulmonar agudizada con probable TEP, SHOCK, PARADA CARDIACA</t>
  </si>
  <si>
    <t xml:space="preserve">APP HTA. Ingresa con BAV completo. Se pone MP transitorio.</t>
  </si>
  <si>
    <t xml:space="preserve">Maria Caridad</t>
  </si>
  <si>
    <t xml:space="preserve">Pena</t>
  </si>
  <si>
    <t xml:space="preserve">HTA, FA, ingresa en el Naval con ICC por EAP y se intuba. Ayer la trasladan al CG. Se traslada hoy a Medicina.</t>
  </si>
  <si>
    <t xml:space="preserve">Heidys </t>
  </si>
  <si>
    <t xml:space="preserve">Drrame pericardico severo con taponamiento, se realiza pericardiocenteisis y se extrae 700 ml de liquido hematico para estudio. Se traslada a Medicina.</t>
  </si>
  <si>
    <t xml:space="preserve">Lamas</t>
  </si>
  <si>
    <t xml:space="preserve">APP HTA, DM. Ingresa con dolor precordial e infra en ECG. Se ingresa como angina inestable, pero evolutivamente aparece necrosis inferior. Se concluye como IMA inferior.</t>
  </si>
  <si>
    <t xml:space="preserve">Bernardo Andres</t>
  </si>
  <si>
    <t xml:space="preserve">APP HTA. Ingresa con IMA anterior extenso trombolizado en la Dependiente, el 8/09/2020. se traslada y se realiza coro, con lesion en DA media y Cx. Se realiza ACTP a DA con DES.</t>
  </si>
  <si>
    <t xml:space="preserve">Reynaldo Ernesto</t>
  </si>
  <si>
    <t xml:space="preserve">APP HTA, DM. Ingresa con IMA anterior extenso trmbolizado.</t>
  </si>
  <si>
    <t xml:space="preserve">Carlos Manuel</t>
  </si>
  <si>
    <t xml:space="preserve">Lopez </t>
  </si>
  <si>
    <t xml:space="preserve">angina inestable con cambios electricos se ponte tratameinto medico</t>
  </si>
  <si>
    <t xml:space="preserve">APP HTA, fumadora. Ingresa con angina inestable. ECG con HVI.</t>
  </si>
  <si>
    <t xml:space="preserve">Nelsa Virgen</t>
  </si>
  <si>
    <t xml:space="preserve">APP HTA, IM, angina vasoespástica. Se ingresa con dolor precordial atípico.</t>
  </si>
  <si>
    <t xml:space="preserve">Esteban</t>
  </si>
  <si>
    <t xml:space="preserve">Pardo</t>
  </si>
  <si>
    <t xml:space="preserve">APP HTA, DM, CI con múltiples ICP. Ahora ingresa con angina empeorada sin cambios. M         </t>
  </si>
  <si>
    <t xml:space="preserve">Maricel</t>
  </si>
  <si>
    <t xml:space="preserve">Marace</t>
  </si>
  <si>
    <t xml:space="preserve">APP HTA, fumadora e IM. Ahora ingresa con IMA inferior trmbolizado parcialmente</t>
  </si>
  <si>
    <t xml:space="preserve">APP HTA, Asma Bronquial. Ingresa con síncope y en policlinico lo CV. En eco hay MCP con gradiente severo en TSVI</t>
  </si>
  <si>
    <t xml:space="preserve">Francisco Norberto</t>
  </si>
  <si>
    <t xml:space="preserve">APP HTA, fumador, hiperplasia prostática. Ingresa con angina con cambios electricos.</t>
  </si>
  <si>
    <t xml:space="preserve">Norma de la Concepción</t>
  </si>
  <si>
    <t xml:space="preserve">Castiñera</t>
  </si>
  <si>
    <t xml:space="preserve">APP HTA, IM, ICC, DM, monorrena, FA cronica. Ingresa en edema agudo del pulmon con FA rápida, que llevó cardioversion electrica. </t>
  </si>
  <si>
    <t xml:space="preserve">Roberto Marín</t>
  </si>
  <si>
    <t xml:space="preserve">HTA, IM anterior. Ingresa con angina inestable yt cambios eléctricos. (S. de Wellen)</t>
  </si>
  <si>
    <t xml:space="preserve">Jovita Marcia</t>
  </si>
  <si>
    <t xml:space="preserve">Piñeiro</t>
  </si>
  <si>
    <t xml:space="preserve">APP angina microvascular. Ingresa con angina empeorada.</t>
  </si>
  <si>
    <t xml:space="preserve">Victoria</t>
  </si>
  <si>
    <t xml:space="preserve">APP HTA, exfumadora, ingresa con angina empeorada sin cambios.</t>
  </si>
  <si>
    <t xml:space="preserve">HTA, DM, CI, Fumadora. Ingresa con angina inestable empeorada.</t>
  </si>
  <si>
    <t xml:space="preserve">APP HTA, fumador. Ingresa con IMA inferior no trombolizado.</t>
  </si>
  <si>
    <t xml:space="preserve">Marvis Isabel</t>
  </si>
  <si>
    <t xml:space="preserve">Cano</t>
  </si>
  <si>
    <t xml:space="preserve">APP HTA, fumadora, DM. Ingresa con IMA inferior trombolizado.</t>
  </si>
  <si>
    <t xml:space="preserve">Rodriguez </t>
  </si>
  <si>
    <t xml:space="preserve">lipotimia o sincope sin precisar, bav 1 er grado</t>
  </si>
  <si>
    <t xml:space="preserve">APP HTA, fumador.  Ingresa con IMA inferior trombolizado.</t>
  </si>
  <si>
    <t xml:space="preserve">Eulalia</t>
  </si>
  <si>
    <t xml:space="preserve">APP HTA. Ingresa con BAV completo. Se implanta MPP transitorio. Se manda al ICCCV para implantar MP permanente, al llegar en una hora realiza DES y fallece.</t>
  </si>
  <si>
    <t xml:space="preserve">AIA, hipertensa, evoluciona estable</t>
  </si>
  <si>
    <t xml:space="preserve">Regino</t>
  </si>
  <si>
    <t xml:space="preserve">APP fumador, ingresa con IMA inferior inferior trmbolizado y linfangitis.</t>
  </si>
  <si>
    <t xml:space="preserve">BAV COMPLETO cON BUEN ESCAPE, SE COORDINA MPP</t>
  </si>
  <si>
    <t xml:space="preserve">Odilo Martiniano</t>
  </si>
  <si>
    <t xml:space="preserve">Laborde </t>
  </si>
  <si>
    <t xml:space="preserve">IMA inferior subagudo con evoluacion favorable</t>
  </si>
  <si>
    <t xml:space="preserve">Salvador </t>
  </si>
  <si>
    <t xml:space="preserve">Peacoch</t>
  </si>
  <si>
    <t xml:space="preserve">IMA anterior ext trombolizado que evoluciona satisfactoriamnte</t>
  </si>
  <si>
    <t xml:space="preserve">Rafael </t>
  </si>
  <si>
    <t xml:space="preserve">emergencia hipertensiva EAP resuelto con AIA CON CAMBIOS. Realiza FA paroxistica en ingreso.</t>
  </si>
  <si>
    <t xml:space="preserve">Lucio Félix</t>
  </si>
  <si>
    <t xml:space="preserve">HTA, DM IRC. Ingresa con angina con cambios (S. de Wellen). Tiene creatininas elevadas. En ECG BAV completo ventriculo-fásico. Se realiza coronariografía con lesiones en DA y CD severas, pero no abordables, se deicide implante de MPP y tto médico.</t>
  </si>
  <si>
    <t xml:space="preserve">Argelio Jacinto</t>
  </si>
  <si>
    <t xml:space="preserve">Echemendia</t>
  </si>
  <si>
    <t xml:space="preserve">CI, HTA, coro en mayo con varios vasos, se realiza ICP a CD. Comienza nuevamente con dolor. Se realiza coronariografía y tenia reestenosis intrastent distal en CD. Se implantan 2 stents DES.</t>
  </si>
  <si>
    <t xml:space="preserve">Silvestre</t>
  </si>
  <si>
    <t xml:space="preserve">HTA, fumador. Ingresa con IMA anteroseptal no trombolizado.</t>
  </si>
  <si>
    <t xml:space="preserve">Humberto</t>
  </si>
  <si>
    <t xml:space="preserve">Ortega </t>
  </si>
  <si>
    <t xml:space="preserve">HTA, fumador, ingresa con IMA anterolateral subagudo no trombolizado.</t>
  </si>
  <si>
    <t xml:space="preserve">Carlos Antonio</t>
  </si>
  <si>
    <t xml:space="preserve">Araño</t>
  </si>
  <si>
    <t xml:space="preserve">HTA sin tto y fumador inveterado. Se ingresa con angina en el contexto de una emergencia hipertensiva.</t>
  </si>
  <si>
    <t xml:space="preserve">Jesús Albino</t>
  </si>
  <si>
    <t xml:space="preserve">HTA, exfumador. Enfermedad multivaso pendiente para tratamiento quirúrgico. Ingresa con angina empeorada sin cambios.</t>
  </si>
  <si>
    <t xml:space="preserve">HTA IM antiguo, con ICP a DA media. Ingresa para coronariografía electiva por tener dolor. En coro lesion significativa en 1Diag, cerca del ostium, stent en DA permeable. Se decide no ICP.</t>
  </si>
  <si>
    <t xml:space="preserve">Tresancos</t>
  </si>
  <si>
    <t xml:space="preserve">HTA y fumador. Hace dolor precordial y TV. En ritmo sinusal necrosis desde V1-V5 con supra. Se concluye como IMA no trombolizado.</t>
  </si>
  <si>
    <t xml:space="preserve">Mogeno</t>
  </si>
  <si>
    <t xml:space="preserve">Exfumadora, HTA. Ingresa con IMA inferior trombolizado.</t>
  </si>
  <si>
    <t xml:space="preserve">Deligdalia</t>
  </si>
  <si>
    <t xml:space="preserve">HTA, epileptica. Ingresa con angina de reciente comienzo y emergencia hipertnsiva.</t>
  </si>
  <si>
    <t xml:space="preserve">Reinaldo </t>
  </si>
  <si>
    <t xml:space="preserve">Marín</t>
  </si>
  <si>
    <t xml:space="preserve">Fumador inveterado. Ingresa con IMA anteroseptal trombolizado.</t>
  </si>
  <si>
    <t xml:space="preserve">Romelia</t>
  </si>
  <si>
    <t xml:space="preserve">Zapata</t>
  </si>
  <si>
    <t xml:space="preserve">HTA, DM, obesida, fumadora. Ingresa con angina inestable con cambios. Se concluye como IMA.</t>
  </si>
  <si>
    <t xml:space="preserve">Irene</t>
  </si>
  <si>
    <t xml:space="preserve">Melenda</t>
  </si>
  <si>
    <t xml:space="preserve">HTA, CI, obesa. Ingresa con IMA inferior subagudo no trombolizado con hipotension. Se apoya con dobutamina, hace BAV completo y se implanta MP transitorio. Cae en agobio respiratorio, se intuba con VMI y apoyo inotrópico.</t>
  </si>
  <si>
    <t xml:space="preserve">Alejandrina</t>
  </si>
  <si>
    <t xml:space="preserve">Castañeda</t>
  </si>
  <si>
    <t xml:space="preserve">APP de cardiopatía isquémica e HTA. Ingresa con anngina empeorada con cambios eléctricos.</t>
  </si>
  <si>
    <t xml:space="preserve">APP IMA, ICC, HTA fumador, IRC. Ingresa con edema agudo del pulmón y fallece.</t>
  </si>
  <si>
    <t xml:space="preserve">José Esteban</t>
  </si>
  <si>
    <t xml:space="preserve">Exfumador, HTA, DM, ACV, MP permanente.  Ingresa por pérdida de la conciencia sin pulso.</t>
  </si>
  <si>
    <t xml:space="preserve">HTA, fumador. Ingresa con IMA anteroseptal no trombolizado hace menos de una semana. Ahora acude con angina. Se trató de realizar coronariografía pero obstruccion de iliaca externa. El paciente se niega realizar de nuevo el proceder.</t>
  </si>
  <si>
    <t xml:space="preserve">HTA, epiléptico. Ingresa con angina empeorada. Se realiza ICP a DA media y dista con 2 DES.</t>
  </si>
  <si>
    <t xml:space="preserve">Sara H. Esther</t>
  </si>
  <si>
    <t xml:space="preserve">Folgado</t>
  </si>
  <si>
    <t xml:space="preserve">APP DM, HTA, hipotiroidismo. Ingresa con IMA anterior extenso con FA rápida y shock cardiogénico. Fallece</t>
  </si>
  <si>
    <t xml:space="preserve">Luis Camilo</t>
  </si>
  <si>
    <t xml:space="preserve">Garzón</t>
  </si>
  <si>
    <t xml:space="preserve">Berroa</t>
  </si>
  <si>
    <t xml:space="preserve">APP HTA y DM.Hace 3 días dolor precordial. Llega con IMA anterior extenso subagudo no trombolizado.</t>
  </si>
  <si>
    <t xml:space="preserve">Maribel</t>
  </si>
  <si>
    <t xml:space="preserve">Moreira</t>
  </si>
  <si>
    <t xml:space="preserve">Labañino</t>
  </si>
  <si>
    <t xml:space="preserve">APP de HTA, DM, Down y ACV. Ingresa con IMA anterior extenso trombolizado.</t>
  </si>
  <si>
    <t xml:space="preserve">Barbón</t>
  </si>
  <si>
    <t xml:space="preserve">APP TB, IRC, IM antiguo. Ingresa en cirugía por neumotórax espontaneo. Hace dolor precordial y se traslada a coronario, al final angina sin cambios. Hace ECV y se traslada a TIA.</t>
  </si>
  <si>
    <t xml:space="preserve">Héctor Manuel</t>
  </si>
  <si>
    <t xml:space="preserve">APP HTA. Ingresa con IMA inferior trombolizado.</t>
  </si>
  <si>
    <t xml:space="preserve">Tejera</t>
  </si>
  <si>
    <t xml:space="preserve">HTA, DM, fumador, IMA en abril 2020. Ha presentado dolores anginosos a minimos esfuerzos. Se ingresa para coronariografía. Enfermedad multivaso.</t>
  </si>
  <si>
    <t xml:space="preserve">HTA, CI, DLAO y Dlmitral. Ingresa con FA bloqueada y insuficiencia cardia</t>
  </si>
  <si>
    <t xml:space="preserve">O´Challorans</t>
  </si>
  <si>
    <t xml:space="preserve">HTA, DM, IM antiguo con ICP, FA de base. Realiza sangramiento digestivo alto, con decapitacion de hemoglobina. Comienza con taquicardia y dolor precordial, sin cambios eléctricos.</t>
  </si>
  <si>
    <t xml:space="preserve">Aurora Elena</t>
  </si>
  <si>
    <t xml:space="preserve">APP HTA, DM, CI, IRC, vasculitis. Ingresa con angina empeorada con cambios eléctricos.</t>
  </si>
  <si>
    <t xml:space="preserve">Maricela</t>
  </si>
  <si>
    <t xml:space="preserve">María Esther</t>
  </si>
  <si>
    <t xml:space="preserve">HTA, DM, obesidad, Asma bronquial. Ingresa con angina empeorada. Mejora el curadro angino, pero al 3er dia de forma subita cae en PCR y fallece.</t>
  </si>
  <si>
    <t xml:space="preserve">Encarnación</t>
  </si>
  <si>
    <t xml:space="preserve">APP HTA, DM, CI. Ingresa con FA rápida, IMA inferior no trombolizado e insuficiencia cardiaca</t>
  </si>
  <si>
    <t xml:space="preserve">Carmen </t>
  </si>
  <si>
    <t xml:space="preserve">Pellán</t>
  </si>
  <si>
    <t xml:space="preserve">APP HTA, DM, fumadora, vía accesoria. Ingresa con IMA inferior trombolizado.</t>
  </si>
  <si>
    <t xml:space="preserve">Pedro Rolando</t>
  </si>
  <si>
    <t xml:space="preserve">Curel</t>
  </si>
  <si>
    <t xml:space="preserve">HTA, exfumador, CI. Ingresa con angina empeorada con cambios.</t>
  </si>
  <si>
    <t xml:space="preserve">Ursula María</t>
  </si>
  <si>
    <t xml:space="preserve">APP de HTA, IRC. Ingresa con IMA anterior no trombolizado. Realiza shock cardiogénico, apoyada cona minas.</t>
  </si>
  <si>
    <t xml:space="preserve">APP de HTA, DM, Down y ACV, IMA hace 10 días. Estando en sala de medicina comienza con dolor precordial e hipotension, y se traslada nuevamente a sala de Medicina.</t>
  </si>
  <si>
    <t xml:space="preserve">René</t>
  </si>
  <si>
    <t xml:space="preserve">Perfecto</t>
  </si>
  <si>
    <t xml:space="preserve">Driggs</t>
  </si>
  <si>
    <t xml:space="preserve">APP IM, DM, Ingresa con angina inestable con cambios eléctricos.</t>
  </si>
  <si>
    <t xml:space="preserve">HTA y fumador. Ingresa con IMA anteroseptal no trombolizado.</t>
  </si>
  <si>
    <t xml:space="preserve">Alfredo Graciliano</t>
  </si>
  <si>
    <t xml:space="preserve">APP asma bronquial. Empieza hace un mes con sincope. Acude con este cuadro y se diagnostica flutter auricular. Se realiza eco con MCP dilatada isquemica con mala función. Se traslaada al ICCCV para ablación.</t>
  </si>
  <si>
    <t xml:space="preserve">Arístides Arbelio</t>
  </si>
  <si>
    <t xml:space="preserve">HTA, fumador, Ingresa con IMA anterior no trombolizado.</t>
  </si>
  <si>
    <t xml:space="preserve">Silverio </t>
  </si>
  <si>
    <t xml:space="preserve">Portal </t>
  </si>
  <si>
    <t xml:space="preserve">Contreras</t>
  </si>
  <si>
    <t xml:space="preserve">HTA, ECV. Ingresa por bradicardia sinusal. Se implanta Holter, que define bradicardia sinusal con función cronotrópica conservada. Se traslada nuevamente al 7mo piso.</t>
  </si>
  <si>
    <t xml:space="preserve">Paz </t>
  </si>
  <si>
    <t xml:space="preserve">Muñóz</t>
  </si>
  <si>
    <t xml:space="preserve">HTA, ingresa para coronariografía electiva. DA 100% (o), CX 100% (p), 1OM 100% (ost) y CD 40%(m). Se decide tratamiento quirurgico. Se decide TtoQx.</t>
  </si>
  <si>
    <t xml:space="preserve">  Aristónica</t>
  </si>
  <si>
    <t xml:space="preserve">Casero</t>
  </si>
  <si>
    <t xml:space="preserve">HTA. Ingresa con angina empeorada con cambios eléctricos.</t>
  </si>
  <si>
    <t xml:space="preserve">Caridad </t>
  </si>
  <si>
    <t xml:space="preserve">Benítez</t>
  </si>
  <si>
    <t xml:space="preserve">HTA, DM, fumadora, ingresa con IMA inferior no trombolizado. En ECG flutter auricular vs. Taquicardia auricular.</t>
  </si>
  <si>
    <t xml:space="preserve">Fernando Eduardo</t>
  </si>
  <si>
    <t xml:space="preserve">Tavares</t>
  </si>
  <si>
    <t xml:space="preserve">Lópes</t>
  </si>
  <si>
    <t xml:space="preserve">HTA, DM, operado de CIA hace 23 años, HTP. Ingresa con insuficiencia cardiaca global.</t>
  </si>
  <si>
    <t xml:space="preserve">Erasmo</t>
  </si>
  <si>
    <t xml:space="preserve">HTA, DM, ECV, amputacion del V dedo del pie derecho. Realiza síncope que se creyó que era por hipoglicemia. En ECG cambios de T en precordiales. BAV 1er grado.</t>
  </si>
  <si>
    <t xml:space="preserve">HTA, fumadora, ingresa con hipopotasemia y angina.</t>
  </si>
  <si>
    <t xml:space="preserve">Enamorado</t>
  </si>
  <si>
    <t xml:space="preserve">HTA. Ingresa con IMA anteroseptal no trolmbolizado.</t>
  </si>
  <si>
    <t xml:space="preserve">López del Castillo</t>
  </si>
  <si>
    <t xml:space="preserve">HTA, ingresado en sept/2019 con angina inestable. Se realiza prueba ergométrica positiva a isquemia, ingresa para coronariografía electiva.</t>
  </si>
  <si>
    <t xml:space="preserve">Cepeda</t>
  </si>
  <si>
    <t xml:space="preserve">HTA, comienza con flutter auricular y angina inestable.</t>
  </si>
  <si>
    <t xml:space="preserve">Estopiñan</t>
  </si>
  <si>
    <t xml:space="preserve">HTA, fumadora, IMA anterior extenso trombolizado complico con insuficiencia cardiaca. Despues de 5 días realiza muerte subita.</t>
  </si>
  <si>
    <t xml:space="preserve">APP HTA, fumador, IMA. Ingresa con fibrilacion auricular rápida con cambios electricos y dolor precordial. Se realiza coronariografía con TCI 90% distal, DA 75% media y CD 100% ostial. Se decide tto quirurgico y la familia y el paciente se niega.</t>
  </si>
  <si>
    <t xml:space="preserve">Chaviano</t>
  </si>
  <si>
    <t xml:space="preserve">Fumador e HTA. Ingresa con signos de insuficiencia cardiaca derecha y derrame pericárdico severo. Se realiza pericardiocentesis con liquido serosanguinolento.</t>
  </si>
  <si>
    <t xml:space="preserve">Miguel Arcangel</t>
  </si>
  <si>
    <t xml:space="preserve">Medina</t>
  </si>
  <si>
    <t xml:space="preserve">Fumador. Ingresa con decaimiento, y se observa BAV completo. Se implanta MP transitorio. Se implanta MP permanente.</t>
  </si>
  <si>
    <t xml:space="preserve">Aurora Virgen</t>
  </si>
  <si>
    <t xml:space="preserve">HTA, DM, tratamiento con atenolol. Ingresa con decaimiento y dolor precordial. En ECG BAV completo, que paso a bifascicular. </t>
  </si>
  <si>
    <t xml:space="preserve">APP HTA, IM, ICC, DM. Ingresa con insuficiencia cardiaca y angina empeorada.</t>
  </si>
  <si>
    <t xml:space="preserve">Carmenate</t>
  </si>
  <si>
    <t xml:space="preserve">HTA, DM, IMA antiguo con 2 stent. Comienza hace una semana con dolor precordial y dines. Realiza edema agudo del pulmon con derrumbe hemodinámico, que lo llevó a VMI y apoyo con dobutamina.</t>
  </si>
  <si>
    <t xml:space="preserve">Lidia Esther</t>
  </si>
  <si>
    <t xml:space="preserve">Muñoz</t>
  </si>
  <si>
    <t xml:space="preserve">Soriano</t>
  </si>
  <si>
    <t xml:space="preserve">APP de HTA, penfigo ampollar. Ingresa con edema en MI y disnea. Se realiza Rx y se observa metastasis. </t>
  </si>
  <si>
    <t xml:space="preserve">Gladys Sofía</t>
  </si>
  <si>
    <t xml:space="preserve">HTA, DM, fractura de cadera con tto quirúrgico hace 3 meses. Ingresa con IMA inferolateral trombolizado con hipotension. </t>
  </si>
  <si>
    <t xml:space="preserve">Fumador, HTA, IMA en abril de este año. Ingresa con angina empeorada para coro. En coro DA 100% proximal OTC, y CD y CX con lesiones difusas. Se decide tratamiento quirúrgico.</t>
  </si>
  <si>
    <t xml:space="preserve">Julia Esther</t>
  </si>
  <si>
    <t xml:space="preserve">Exfumadora, HTA, CI, asmatica. Ingresa con angina inestable empeorada con cambios eléctricos. Anemia severa, se conoce que tiene cancer de utero. Se traslada para Medicina.</t>
  </si>
  <si>
    <t xml:space="preserve">APP HTA y DM. Ingresa con decaimiento y BAV completo, se implanta MP transitorio. Luego se implanta MPP en ICCCV</t>
  </si>
  <si>
    <t xml:space="preserve">Cayán</t>
  </si>
  <si>
    <t xml:space="preserve">Fumador e HTA. Ingresa con IMA anterior extenso trombolizado.</t>
  </si>
  <si>
    <t xml:space="preserve">APP HTA, fumador, IMA. . Se realizó coronariografía con TCI 90% distal, DA 75% media y CD 100% ostial. Se decide tto quirurgico y la familia y el paciente se niega. Ahora ingresa nuevamente con dolor precordial. evolutivamente tiene cancer de vejiga, por lo cual se contraindica la cirugia. Se da alta con tto medico.</t>
  </si>
  <si>
    <t xml:space="preserve">Estiú</t>
  </si>
  <si>
    <t xml:space="preserve">HTA, DM. Ingresa con emergencia HTA y cambios eléctricos.</t>
  </si>
  <si>
    <t xml:space="preserve">Espallargas</t>
  </si>
  <si>
    <t xml:space="preserve">Fumador. Ingresa con IMA anterolateral trombolizado.</t>
  </si>
  <si>
    <t xml:space="preserve">Silvia Esther</t>
  </si>
  <si>
    <t xml:space="preserve">Llacer</t>
  </si>
  <si>
    <t xml:space="preserve">Llaser</t>
  </si>
  <si>
    <t xml:space="preserve">HTA, exfumadora, ciega por desprendimiento de retina. Ingresa con IMA subagudo no trombolizado.</t>
  </si>
  <si>
    <t xml:space="preserve">HTA, IMA hace 2 meses, ahora ingresa con angina empeorada. Se realiza coronariografía y se hace ICP a Dx</t>
  </si>
  <si>
    <t xml:space="preserve">Maylin</t>
  </si>
  <si>
    <t xml:space="preserve">Osoria</t>
  </si>
  <si>
    <t xml:space="preserve">Riera</t>
  </si>
  <si>
    <t xml:space="preserve">APP hipotiroidismo, VIH. Ingresa con IM subagudo anyeroseptal.</t>
  </si>
  <si>
    <t xml:space="preserve">Iraida</t>
  </si>
  <si>
    <t xml:space="preserve">Vento</t>
  </si>
  <si>
    <t xml:space="preserve">APP HTA, exfumador, fibrilacion cronica y DM. Ingresa con insuficiencia cardiaca global.</t>
  </si>
  <si>
    <t xml:space="preserve">IMA hace un mes y medio. Ingresa con BAV 2do grado Mobitz II con dolor precordial y cifras elevadas de TA. Se lleva a coronariografía y se observa, varias lesiones: DA 80% (m) y 70% (d), 1Diag 80% (o), 1sept 80% (o), Cx 100% (p), CD 80% (o). Se decide implante de MPP.</t>
  </si>
  <si>
    <t xml:space="preserve">Marcos Agustín</t>
  </si>
  <si>
    <t xml:space="preserve">APP HTA, DM, IM, stent 3n 3 arterias con lesion en tronco. Ingresa con angina inestable complicada con signos de congestion. Se traslada al CIMEQ para tto quirurgico</t>
  </si>
  <si>
    <t xml:space="preserve">Jorge Miguel</t>
  </si>
  <si>
    <t xml:space="preserve">APP HTA. Ingresa con IMA anteroseptal no trombolizado.</t>
  </si>
  <si>
    <t xml:space="preserve">Lorenzo Guillermo</t>
  </si>
  <si>
    <t xml:space="preserve">Sinclair</t>
  </si>
  <si>
    <t xml:space="preserve">Cavallier</t>
  </si>
  <si>
    <t xml:space="preserve">APP HTA, exfumadora. Ingresa con IMASEST que fallecio en FV.</t>
  </si>
  <si>
    <t xml:space="preserve">Palacio</t>
  </si>
  <si>
    <t xml:space="preserve">APP HTA. Ingresa con IMA anteroseptal trombolizado.</t>
  </si>
  <si>
    <t xml:space="preserve">Hilda Caridad</t>
  </si>
  <si>
    <t xml:space="preserve">Valdevia</t>
  </si>
  <si>
    <t xml:space="preserve">APP HTA, DM, hipotiroidismo, EPOC. Ingresa por disnea y edemas en Medicina, y se complica y se decide bajar a coronario. En ECG hay cambios electricos isquémicos.</t>
  </si>
  <si>
    <t xml:space="preserve">APP HTA, fumador. Ingresa con IMA anteroseptal no trombolizado.</t>
  </si>
  <si>
    <t xml:space="preserve">Mario Lázaro </t>
  </si>
  <si>
    <t xml:space="preserve">Padrón </t>
  </si>
  <si>
    <t xml:space="preserve">Faure</t>
  </si>
  <si>
    <t xml:space="preserve">APP de HTA, CI. Ingresa con taquicardia auricualr vs FA rapida, y se diagnostica Hipertiroidismo. Se decide trasladar desde Medicina.</t>
  </si>
  <si>
    <t xml:space="preserve">Vivian </t>
  </si>
  <si>
    <t xml:space="preserve">Tijero</t>
  </si>
  <si>
    <t xml:space="preserve">APP hipertiroidismo, fumadora. Tratada por neumnonia, ingresa con insufciencia cardiaca y angina</t>
  </si>
  <si>
    <t xml:space="preserve">APP HTA y CI. Prueba ergométrica alto riesgo. Ingresa para coronariografía, que arroja enfermedad de tronco distal severa y otros vasos, para cirugia. Se traslada para ICCCV para tto quirurgicvo.</t>
  </si>
  <si>
    <t xml:space="preserve">Bell</t>
  </si>
  <si>
    <t xml:space="preserve">APP fumador inveterado. Ingresa con IMA inferior trombolizado.</t>
  </si>
  <si>
    <t xml:space="preserve">Williams Antonio</t>
  </si>
  <si>
    <t xml:space="preserve">APP RMQ con protesis mitral. Ahora ingresa en ICC.</t>
  </si>
  <si>
    <t xml:space="preserve">HTA, CI, DM, camcer, ECV. Ingresa con IMA inferio complicado con shock, TV, BAV completo, no trombolizado. Comienza con fiebre y flebitis. Se traslada a Medicina.</t>
  </si>
  <si>
    <t xml:space="preserve">Rolando G</t>
  </si>
  <si>
    <t xml:space="preserve">de la Rivera</t>
  </si>
  <si>
    <t xml:space="preserve">IMA anterior extenso que fallece.</t>
  </si>
  <si>
    <t xml:space="preserve">Ivonne</t>
  </si>
  <si>
    <t xml:space="preserve">Subiadur</t>
  </si>
  <si>
    <t xml:space="preserve">HTA, ttno vertigo. Inglresa con cuadros de disnea, hipotension, taquicardia y dolor precordial. Se interconsulta y se concluye como sindrome miastiniforme o disfuncion neurológica</t>
  </si>
  <si>
    <t xml:space="preserve">Raúl Ernesto</t>
  </si>
  <si>
    <t xml:space="preserve">APP fumador. Ingresa con angina inestable con cambios eléctricos.Se realiza coronariografía sin lesiones significativas.</t>
  </si>
  <si>
    <t xml:space="preserve">HTA, fumador. Ingresa con angina inestable sin cambios.</t>
  </si>
  <si>
    <t xml:space="preserve">HTA, fumador. Ingresa para coronariografía. DA 70% (m), 60% (d); Cx 99% (d). Se realiza ACTP a Cx,</t>
  </si>
  <si>
    <t xml:space="preserve">Capote</t>
  </si>
  <si>
    <t xml:space="preserve">HTA, fumador. Ingresa con IMA anterior extenso no trombolizado. En sala hace TV y FV y fallece.</t>
  </si>
  <si>
    <t xml:space="preserve">Luis A.</t>
  </si>
  <si>
    <t xml:space="preserve">Camejo</t>
  </si>
  <si>
    <t xml:space="preserve">Fumador. Ingresa con IMA inferior trombolizado. Se decide traslado al ICCCV</t>
  </si>
  <si>
    <t xml:space="preserve">Otoniel</t>
  </si>
  <si>
    <t xml:space="preserve">Biset</t>
  </si>
  <si>
    <t xml:space="preserve">Obeso, HTA sin ttro. Ingresa con IMA anterior extenso mas emergencia HTA con trombolizsis fallida. Después hace flebitis con tto antibiótico y se decide traslado a Medicina.</t>
  </si>
  <si>
    <t xml:space="preserve">Lázara Ivón</t>
  </si>
  <si>
    <t xml:space="preserve">Feliú</t>
  </si>
  <si>
    <t xml:space="preserve">Espada</t>
  </si>
  <si>
    <t xml:space="preserve">HTA, fumadora. Ingresa con IMA anteroseptal trombolizado.</t>
  </si>
  <si>
    <t xml:space="preserve">Andrea</t>
  </si>
  <si>
    <t xml:space="preserve">IRC, HTA, DM. Realiza síncope y en ECG hay extrasistoles ventriculares polimorficas que llegan a tripletas. Se observa TRIN.</t>
  </si>
  <si>
    <t xml:space="preserve">Pedro </t>
  </si>
  <si>
    <t xml:space="preserve">APP HTA, CI, glomerulopatia monoclonal, DM. Ingresa con angina inestable.</t>
  </si>
  <si>
    <t xml:space="preserve">Angel Eladio</t>
  </si>
  <si>
    <t xml:space="preserve">APP HTA, fumador, DM. Ingresa con IMA anterior extenso no trombolizado, cae en PCR con BAV completo. Fallece en BAV completo.</t>
  </si>
  <si>
    <t xml:space="preserve">Clara Felicita</t>
  </si>
  <si>
    <t xml:space="preserve">HTA, IM antiguo, TV recurrente, esquizofrenia. Ingresa con TV que revirtió de forma electrica.</t>
  </si>
  <si>
    <t xml:space="preserve">Juan Pedro</t>
  </si>
  <si>
    <t xml:space="preserve">Balmorí</t>
  </si>
  <si>
    <t xml:space="preserve">HTA, DM, CI, arritmias. Ingresa con ATI a repeticion.</t>
  </si>
  <si>
    <t xml:space="preserve">APP CI, HTA, acude para cheqeo prequirurgico por exeresis de ganglio y tiene BAV completo. Se implanta MP permanente.</t>
  </si>
  <si>
    <t xml:space="preserve">Mejías</t>
  </si>
  <si>
    <t xml:space="preserve">APP CI y HTA. Ingresa con IMA inferolateral trombolisis parcialmente efectiva</t>
  </si>
  <si>
    <t xml:space="preserve">Eddy de Jesús</t>
  </si>
  <si>
    <t xml:space="preserve">APP CI, HTA, exfumador. Ingresa con insuficiencia cardiaca global descompensado.Traslado a sala de medicina</t>
  </si>
  <si>
    <t xml:space="preserve">Angel Saturnino</t>
  </si>
  <si>
    <t xml:space="preserve">APP HTA, DM. Ingresa con IMA inferior subagudo no trombolizado con edema pulmonar.</t>
  </si>
  <si>
    <t xml:space="preserve">Roja</t>
  </si>
  <si>
    <t xml:space="preserve">APP IM antiguo, HTA. Ingresa con emergencia HTA y angina.</t>
  </si>
  <si>
    <t xml:space="preserve">Luz Marcia de los Angeles</t>
  </si>
  <si>
    <t xml:space="preserve">Hevelis</t>
  </si>
  <si>
    <t xml:space="preserve">HTA, DM, CI. Ingresa con angina sin cambios.</t>
  </si>
  <si>
    <t xml:space="preserve">Libia Milena</t>
  </si>
  <si>
    <t xml:space="preserve">Acuña</t>
  </si>
  <si>
    <t xml:space="preserve">HTA, DM, fumador, ingresa para coro. Lesion en DA media 70% donde se pone stent metalico</t>
  </si>
  <si>
    <t xml:space="preserve">Ricardo Antonio</t>
  </si>
  <si>
    <t xml:space="preserve">Llopiz</t>
  </si>
  <si>
    <t xml:space="preserve">5.8</t>
  </si>
  <si>
    <t xml:space="preserve">2.91</t>
  </si>
  <si>
    <t xml:space="preserve">11.3</t>
  </si>
  <si>
    <t xml:space="preserve">0.55</t>
  </si>
  <si>
    <t xml:space="preserve">9.0</t>
  </si>
  <si>
    <t xml:space="preserve">HTA, CI. Ingresa con angina empeoramiento progresivo sin cambios.</t>
  </si>
  <si>
    <t xml:space="preserve">Aliaga</t>
  </si>
  <si>
    <t xml:space="preserve">HTA, DM, fumadora. Ingresa con IMA anterolateral trombolizada. Se complica con shock cardiogénico, BAV y TV. Se implanta MP transitorio. Hace PCR en DEM y fallece.</t>
  </si>
  <si>
    <t xml:space="preserve">Cutiño</t>
  </si>
  <si>
    <t xml:space="preserve">APP HTA, fumador inveterado. Ingresado con angina inestable con cambios.</t>
  </si>
  <si>
    <t xml:space="preserve">Chipi</t>
  </si>
  <si>
    <t xml:space="preserve">HTA, Doble lesion aortica pendiente de Tto Qx. Ingresa en edema agudo del pulmón.</t>
  </si>
  <si>
    <t xml:space="preserve">Celina</t>
  </si>
  <si>
    <t xml:space="preserve">APP de HTA, toma atenolol. Ingresa con BAV completo. Se implanta MP transitorio. Y luego MP permanente</t>
  </si>
  <si>
    <t xml:space="preserve">HTA, fumador, ingresa con insuficiencia cardiaca</t>
  </si>
  <si>
    <t xml:space="preserve">APP HTA, fumadora, DM. Ingresa con insuficiencia cardiaca aguda</t>
  </si>
  <si>
    <t xml:space="preserve">Alina</t>
  </si>
  <si>
    <t xml:space="preserve">HTA, colitis ulcerativa idiopatica. Ingresa con IMA inferior trombolizado.</t>
  </si>
  <si>
    <t xml:space="preserve">HTA, ingresa con IMA inferior no trombolizado.</t>
  </si>
  <si>
    <t xml:space="preserve">Luis O</t>
  </si>
  <si>
    <t xml:space="preserve">Salati</t>
  </si>
  <si>
    <t xml:space="preserve">HTA, EPOC, exfumador. Ingresa con IMA inferior tombolizado.</t>
  </si>
  <si>
    <t xml:space="preserve">Emérita</t>
  </si>
  <si>
    <t xml:space="preserve">Peres</t>
  </si>
  <si>
    <t xml:space="preserve">APP HTA, DM, exfumador. Ingresa con IMA anterior extenso trombolizado.</t>
  </si>
  <si>
    <t xml:space="preserve">Jorge Luis </t>
  </si>
  <si>
    <t xml:space="preserve">APP IM con stent CD, HTA, exfumador. Ingresa con IMA inferior con shock, trombolizado. Se lleva a coro con stents permeables sin otras lesiones.</t>
  </si>
  <si>
    <t xml:space="preserve">Damasa Georgina</t>
  </si>
  <si>
    <t xml:space="preserve">APP HTA, CI, DM. Ingresa con angina emporada con cambios.</t>
  </si>
  <si>
    <t xml:space="preserve">APP de PCR, con via accesoria. Ahora ingresa con palpitaciones. Se concluye como taquicardia sinusal.</t>
  </si>
  <si>
    <t xml:space="preserve">APP de IM, fumador, etilico, ICC. Ingresa con descompensacion por flutter auricular</t>
  </si>
  <si>
    <t xml:space="preserve">APP HTA, DM, policitemia vera. Ingresa con IMA anterior extenso trombolizado en 12 horas. En ECG hay IM antiguo en cara inferior.</t>
  </si>
  <si>
    <t xml:space="preserve">Damian</t>
  </si>
  <si>
    <t xml:space="preserve">Añuez</t>
  </si>
  <si>
    <t xml:space="preserve">APP de salud. Ingresa con IMA lateral trombolizado.</t>
  </si>
  <si>
    <t xml:space="preserve">Raúl Francisco</t>
  </si>
  <si>
    <t xml:space="preserve">APP AVE, HTA, CI. Ingresa con IMA inferolateral no trolbolizado.</t>
  </si>
  <si>
    <t xml:space="preserve">HTA, fumador, EPOC. Ingresa con IMA anterior subagudo.</t>
  </si>
  <si>
    <t xml:space="preserve">Catalina</t>
  </si>
  <si>
    <t xml:space="preserve">APP fumadora, HTA, ingresa con IMA anterior extenso trombolizado.</t>
  </si>
  <si>
    <t xml:space="preserve">APP HTA, comienza hace 15 días con dolor precordial al esfuerzo con disnea.</t>
  </si>
  <si>
    <t xml:space="preserve">Torriente</t>
  </si>
  <si>
    <t xml:space="preserve">HTA, exfumador, EPOC, IM antiguo. Acude con falta de aire, y en ECG IMA subagudo no trombolizado.</t>
  </si>
  <si>
    <t xml:space="preserve">APP CI, HTA, DM, ECV. Ingresa con BAV completo y BNB. Se implanta MP transitorio. Hace PCR y se encuentra intubada con VMI. Se traslada a TIA</t>
  </si>
  <si>
    <t xml:space="preserve">Efrain</t>
  </si>
  <si>
    <t xml:space="preserve">APP HTA, RMQ en 2008. ingresa con dolor precordial sin supra. En coimplementarios elevacion de enzimas. Se concluye como IMA sin elevacion ST.</t>
  </si>
  <si>
    <t xml:space="preserve">Riveron</t>
  </si>
  <si>
    <t xml:space="preserve">APP neoplasia de colon, HTA. Ingresa por IMA inferolateral trombolizado.</t>
  </si>
  <si>
    <t xml:space="preserve">Quesada</t>
  </si>
  <si>
    <t xml:space="preserve">Fumador. Ingresa con angina empeorada, emergencia HTA con cambios electricos.</t>
  </si>
  <si>
    <t xml:space="preserve">HTA, IMA antiguo con stent, IRC, ICC, DM. Ingresa con IMA anterior trmbolizado, con BCRI. Se lleva a coro sin obstruccion de stent en DA, con lesion en CD que no se pudo tratar.</t>
  </si>
  <si>
    <t xml:space="preserve">Amador</t>
  </si>
  <si>
    <t xml:space="preserve">HTA, fumadora inveterada. Ingresa con IMA inferior trombolizado.</t>
  </si>
  <si>
    <t xml:space="preserve">HTA, IM hace un mes, que ingresa con angina inestable. Se hace ICP a CD con DES</t>
  </si>
  <si>
    <t xml:space="preserve">José Enrique</t>
  </si>
  <si>
    <t xml:space="preserve">Macías</t>
  </si>
  <si>
    <t xml:space="preserve">Exfumador. Ingresa con angina empeorada con cambios.</t>
  </si>
  <si>
    <t xml:space="preserve">  Caridad</t>
  </si>
  <si>
    <t xml:space="preserve">Mojena</t>
  </si>
  <si>
    <t xml:space="preserve">APP IM en octubre, exfumadora, HTA, AB. Ingresa con angina inestable. Se realiza coro con lesiones en DA, CX y CD. Se realiza ICP a CD 95% distal.</t>
  </si>
  <si>
    <t xml:space="preserve">Mairín</t>
  </si>
  <si>
    <t xml:space="preserve">VIH+, fumadora. Ingresa con IMA anterior extenso trombolizado.</t>
  </si>
  <si>
    <t xml:space="preserve">Eduardo C.</t>
  </si>
  <si>
    <t xml:space="preserve">Matamoros</t>
  </si>
  <si>
    <t xml:space="preserve">HTA, fumador. Ingresa con angina inestable inicial con cambiios eléctricos.</t>
  </si>
  <si>
    <t xml:space="preserve">Prudencia Esther</t>
  </si>
  <si>
    <t xml:space="preserve">HTA, hipotiroidismo, fumadora inveterada. Ingresa con IMA inferolateral trombolizada, con lesion en cuello que lleva antibiotico.</t>
  </si>
  <si>
    <t xml:space="preserve">HTA, fumador. Ingresa con IMA inferior trombolizado con BAV Mobitz I transitorio.</t>
  </si>
  <si>
    <t xml:space="preserve">Yrmina</t>
  </si>
  <si>
    <t xml:space="preserve">gastritis, epilepsia. Ingresa con angina con cambios electricos. Se traslada al Hospital Calixto García.</t>
  </si>
  <si>
    <t xml:space="preserve">Fumador inveterado, HTA sin tto, IM antiguo. Ingresa con EAP más IMA inferior no trombolizado.</t>
  </si>
  <si>
    <t xml:space="preserve">Fernel Pascual</t>
  </si>
  <si>
    <t xml:space="preserve">Fumador, bebedor, HTA. Ingresa en %tp piso para estudio de convulsiones. Se pone mal y se diagnostica IMA anterior que se tromboliza, y se traslada a nuestro servicio. Se traslada de nuevo a Medicina.</t>
  </si>
  <si>
    <t xml:space="preserve">Blay</t>
  </si>
  <si>
    <t xml:space="preserve">Montagne</t>
  </si>
  <si>
    <t xml:space="preserve">HTA, exfumadora, ingresa con IMA inferior que no se trombolizo por hipotension e ICC. En sala realiza shock cardiogenico, se intuba, realiza varias PCR y fallece.</t>
  </si>
  <si>
    <t xml:space="preserve">Fumador inveterado + EPOC. Ingresa con BAV completo. Se implanta MP transitorio.</t>
  </si>
  <si>
    <t xml:space="preserve">HTA, IMA antiguo con stent, IRC, ICC, DM. Ingresa con dolor importante, realiza FV a la llegada a la sala que sale rápido. En FA. Luego realiza PCR en asistolia y fallece.</t>
  </si>
  <si>
    <t xml:space="preserve">HTA, exfumador, angina vasospastica. Ingresa con IMA inferior no trombolizado.</t>
  </si>
  <si>
    <t xml:space="preserve">HTA, aneurisma abdominal, FA cronica, CI. Ingresa con angina y CK total elevada. En ECG BCRI.</t>
  </si>
  <si>
    <t xml:space="preserve">Angel Rafael</t>
  </si>
  <si>
    <t xml:space="preserve">Villegas</t>
  </si>
  <si>
    <t xml:space="preserve">HTA, DM, fumador, IM antiguo. Ingresa con IMA inferior trombolizado en CG.</t>
  </si>
  <si>
    <t xml:space="preserve">HTA, IM antiguo, DM. Ingresa con angina y cambios electricos.</t>
  </si>
  <si>
    <t xml:space="preserve">Mirtha Eusebia</t>
  </si>
  <si>
    <t xml:space="preserve">HTA, CI, ingresa con BAV completo que se pone MP transitorio. Se pone MP permanente, pero comienza con anuria, con hiperpotasemia y fallece.</t>
  </si>
  <si>
    <t xml:space="preserve">Manuel Antonio</t>
  </si>
  <si>
    <t xml:space="preserve">Milian</t>
  </si>
  <si>
    <t xml:space="preserve">HTA, exfumador. Ingresa con IMA anterseptal no trombolizado.</t>
  </si>
  <si>
    <t xml:space="preserve">Hondal</t>
  </si>
  <si>
    <t xml:space="preserve">HTA, DM, Estenosis aortica, IRC. Ingresa con angina inestable con cambios.</t>
  </si>
  <si>
    <t xml:space="preserve">HTA, fumador. Egresado con angina inestable hace 2 días. Ingresa con IMA inferior que no se tromboliza por reacciones adversas. Se lleva a coro con lesion en DP 90%, donde se implanta DES.</t>
  </si>
  <si>
    <t xml:space="preserve">Guadalupe</t>
  </si>
  <si>
    <t xml:space="preserve">HTA, fumadora, ingresa con IMA anterior extenso no trombolizado.</t>
  </si>
  <si>
    <t xml:space="preserve">HTA, DM, exfumadora. CI. Ingresa con dolor precordial y patron de Wellen, se diagnsotica IMASEST y se tromboliza. Congestiva</t>
  </si>
  <si>
    <t xml:space="preserve">Licea</t>
  </si>
  <si>
    <t xml:space="preserve">Macurán</t>
  </si>
  <si>
    <t xml:space="preserve">HTA, DM, ingresa con angina inestable empeorada.</t>
  </si>
  <si>
    <t xml:space="preserve">HTA, DM, exfumador. Ingresa con IMA anterior extenso con trombolisis inefectiva, y con angina recurrente.</t>
  </si>
  <si>
    <t xml:space="preserve">HTA, hiperplasia prostática. Ingresa con BNB en Medicina, y se observa FA muy lenta. En sala mejora la FC, pero luego comienza con tos frecuente y colapso respiratorio y fallece.</t>
  </si>
  <si>
    <t xml:space="preserve">Joan A. </t>
  </si>
  <si>
    <t xml:space="preserve">HTA, fumador, ingresa con IM subagudo anteroseptal.</t>
  </si>
  <si>
    <t xml:space="preserve">Toledo</t>
  </si>
  <si>
    <t xml:space="preserve">HTA, exfumador, CI. Ingresa con angina empeorada sin cambios.</t>
  </si>
  <si>
    <t xml:space="preserve">                                                                                                                                                                                                                                                                                                                                                                                                                                                                   </t>
  </si>
  <si>
    <t xml:space="preserve">APP CI, HTA, IM, implante de MP hace un mes. Comienza con fiebre y celulitis del bolsillo del MP. Se traslada al ICCCV</t>
  </si>
  <si>
    <t xml:space="preserve">José Ángel</t>
  </si>
  <si>
    <t xml:space="preserve">Rabaza</t>
  </si>
  <si>
    <t xml:space="preserve">Carrazana</t>
  </si>
  <si>
    <t xml:space="preserve">4.49</t>
  </si>
  <si>
    <t xml:space="preserve">1.89</t>
  </si>
  <si>
    <t xml:space="preserve">16.8</t>
  </si>
  <si>
    <t xml:space="preserve">10.8</t>
  </si>
  <si>
    <t xml:space="preserve">HTA, ingresa con angina empeorada con cambios. Se lleva a coro con lesiones en DA en segmentos proximal y medio. Se implantan 3 stent.</t>
  </si>
  <si>
    <t xml:space="preserve">Maylén</t>
  </si>
  <si>
    <t xml:space="preserve">Garcerán</t>
  </si>
  <si>
    <t xml:space="preserve">Se han mantenido los mismos camios en EGC, no clínica ni ECG típicos de IMA. Se concluye como angina inestable.</t>
  </si>
  <si>
    <t xml:space="preserve">HTA, fumador, bebedor. Ingresa con IMA anterior extenso trombolizado</t>
  </si>
  <si>
    <t xml:space="preserve">Meléndez</t>
  </si>
  <si>
    <t xml:space="preserve">HTA, APP de TVP y TEP hace 20 años. Ahora ingresa con TVP y comienza subitamente con disnea y dolor precordial. Se diagnostica TEP.</t>
  </si>
  <si>
    <t xml:space="preserve">Yasmina</t>
  </si>
  <si>
    <t xml:space="preserve">HTA, fumadora, obesa. Ingresa con IMA inferior no trombolizado por alergia al mismo.</t>
  </si>
  <si>
    <t xml:space="preserve">Herminia</t>
  </si>
  <si>
    <t xml:space="preserve">Carpentier</t>
  </si>
  <si>
    <t xml:space="preserve">HTA, fumadora, ingresa con IMA inferior trombolizado, que realizo ICC. </t>
  </si>
  <si>
    <t xml:space="preserve">Angel Luis</t>
  </si>
  <si>
    <t xml:space="preserve">Calvo</t>
  </si>
  <si>
    <t xml:space="preserve">HTA, historia de IM, que ingresa con dolor no tipico, FC disminuida con 39 lpm. Se lleva a coro y tiene RI 80% proximal. Se implanta stent. Hace hematoma moderado.</t>
  </si>
  <si>
    <t xml:space="preserve">HTA, DM. Ingresa con BNB. Empeora y se traslada a Terapia Intensiva.</t>
  </si>
  <si>
    <t xml:space="preserve">María C</t>
  </si>
  <si>
    <t xml:space="preserve">HTA, tiene IAP severa tratada con Angiologia. Ingresa con FA rapida y BNB,</t>
  </si>
  <si>
    <t xml:space="preserve">Misledys</t>
  </si>
  <si>
    <t xml:space="preserve">HTA, fumadora. Ingresa con IMA inferior trombolizado.</t>
  </si>
  <si>
    <t xml:space="preserve">Mauricio</t>
  </si>
  <si>
    <t xml:space="preserve">Uranga</t>
  </si>
  <si>
    <t xml:space="preserve">Izaguirre</t>
  </si>
  <si>
    <t xml:space="preserve">3.05</t>
  </si>
  <si>
    <t xml:space="preserve">HTA. Ingresa con colecistitis aguda.</t>
  </si>
  <si>
    <t xml:space="preserve">Deysi</t>
  </si>
  <si>
    <t xml:space="preserve">HTA. Dislipidemia. Ingresa con dolor precordial. </t>
  </si>
  <si>
    <t xml:space="preserve">Eugenio</t>
  </si>
  <si>
    <t xml:space="preserve">Fumador. Ingresa con dolor precordial con antecedentes de fiebre, se interpreta como IMA y se tromboliza. En evolucion se diagnostica miopericarditis.</t>
  </si>
  <si>
    <t xml:space="preserve">APP neoplasia de colon, HTA. Ingresa por IMA inferolateral trombolizado en enero. Ahora con sintomas isquémicos. Se lleva a coronariografía con lesión en DA 80% (m) y CD 70% (d). Se realiza ICP a CD con BMS, quedando DA en otro momento.</t>
  </si>
  <si>
    <t xml:space="preserve">Cristóbal</t>
  </si>
  <si>
    <t xml:space="preserve">HTA. Ingresa con IMA lateral subagudo no trombolizado.</t>
  </si>
  <si>
    <t xml:space="preserve">Leonardo </t>
  </si>
  <si>
    <t xml:space="preserve">Cataura</t>
  </si>
  <si>
    <t xml:space="preserve">HTA, fumador. Ingresa con IMA posterior estricto.</t>
  </si>
  <si>
    <t xml:space="preserve">Valdespino</t>
  </si>
  <si>
    <t xml:space="preserve">4.1</t>
  </si>
  <si>
    <t xml:space="preserve">1.37</t>
  </si>
  <si>
    <t xml:space="preserve">5.41</t>
  </si>
  <si>
    <t xml:space="preserve">6.6</t>
  </si>
  <si>
    <t xml:space="preserve">APP HTA, CI. Ingresa con angina empeorada.</t>
  </si>
  <si>
    <t xml:space="preserve">4.7</t>
  </si>
  <si>
    <t xml:space="preserve">Flutter auricular con respuesta rápida, y dolor precordial.</t>
  </si>
  <si>
    <t xml:space="preserve">Abascal</t>
  </si>
  <si>
    <t xml:space="preserve">APP de salud. Ingresa con derrame perocardico severo con taponamiento. Se realiza pericardiocentesis con liquido serohemático. En RX de torax se observa imagen de bronconeumonia o tumoral.</t>
  </si>
  <si>
    <t xml:space="preserve">Idelfonso</t>
  </si>
  <si>
    <t xml:space="preserve">Durrutí</t>
  </si>
  <si>
    <t xml:space="preserve">HTA. Ingresa con IMA inferior trombolizado despues de 10 horas.</t>
  </si>
  <si>
    <t xml:space="preserve">Juan Antonio</t>
  </si>
  <si>
    <t xml:space="preserve">4.84</t>
  </si>
  <si>
    <t xml:space="preserve">1.17</t>
  </si>
  <si>
    <t xml:space="preserve">4.80</t>
  </si>
  <si>
    <t xml:space="preserve">Juana Milagro</t>
  </si>
  <si>
    <t xml:space="preserve">3.16</t>
  </si>
  <si>
    <t xml:space="preserve">0.77</t>
  </si>
  <si>
    <t xml:space="preserve">HTA, CI, ICC, DM. Ingresa con TV monomorfica que se CV electricamente. En sala realiza edema agudo del pulmon.</t>
  </si>
  <si>
    <t xml:space="preserve">IMA posterior trombolizado.</t>
  </si>
  <si>
    <t xml:space="preserve">Elvira Esther</t>
  </si>
  <si>
    <t xml:space="preserve">Stele </t>
  </si>
  <si>
    <t xml:space="preserve">4.30</t>
  </si>
  <si>
    <t xml:space="preserve">12.83</t>
  </si>
  <si>
    <t xml:space="preserve">0.39</t>
  </si>
  <si>
    <t xml:space="preserve">13.2</t>
  </si>
  <si>
    <t xml:space="preserve">HTA, DM, fumadora. Ingresa con IMA inferolateral tro,bolizado.</t>
  </si>
  <si>
    <t xml:space="preserve">HTA, fumadora, ingresa con emergencia HTA y angina</t>
  </si>
  <si>
    <t xml:space="preserve">Mónica</t>
  </si>
  <si>
    <t xml:space="preserve">Laferte</t>
  </si>
  <si>
    <t xml:space="preserve">2.69</t>
  </si>
  <si>
    <t xml:space="preserve">3.08</t>
  </si>
  <si>
    <t xml:space="preserve">0.35</t>
  </si>
  <si>
    <t xml:space="preserve">HTA, CI, DM, hipotiroidea. Ingresa con insuficiencia cardiaca y en el ECG tiene BAV 2do grado Mobitz I o II.</t>
  </si>
  <si>
    <t xml:space="preserve">Ignacio</t>
  </si>
  <si>
    <t xml:space="preserve">Broche</t>
  </si>
  <si>
    <t xml:space="preserve">Fumador, IM antiguo con stent. Ahora ingresa con IMA inferior trombolizado y diarreas.</t>
  </si>
  <si>
    <t xml:space="preserve">Telo</t>
  </si>
  <si>
    <t xml:space="preserve">Socarras</t>
  </si>
  <si>
    <t xml:space="preserve">HTA, DM, historia de IM antiguo no confirmado, ingresa con angina.</t>
  </si>
  <si>
    <t xml:space="preserve">Barbara</t>
  </si>
  <si>
    <t xml:space="preserve">6.39</t>
  </si>
  <si>
    <t xml:space="preserve">1.36</t>
  </si>
  <si>
    <t xml:space="preserve">7.05</t>
  </si>
  <si>
    <t xml:space="preserve">9.4</t>
  </si>
  <si>
    <t xml:space="preserve">HTA, DM, fumador, ingresa con IMA anteroseptal tormbolizado</t>
  </si>
  <si>
    <t xml:space="preserve">Jose C</t>
  </si>
  <si>
    <t xml:space="preserve">Carrera</t>
  </si>
  <si>
    <t xml:space="preserve">Machin</t>
  </si>
  <si>
    <t xml:space="preserve">3.89</t>
  </si>
  <si>
    <t xml:space="preserve">4.99</t>
  </si>
  <si>
    <t xml:space="preserve">7.7</t>
  </si>
  <si>
    <t xml:space="preserve">Martha A.</t>
  </si>
  <si>
    <t xml:space="preserve">Niurka</t>
  </si>
  <si>
    <t xml:space="preserve">Duarte</t>
  </si>
  <si>
    <t xml:space="preserve">ingresa como angina y se concluye como IMASEST.</t>
  </si>
  <si>
    <t xml:space="preserve">Abel</t>
  </si>
  <si>
    <t xml:space="preserve">Santamaría</t>
  </si>
  <si>
    <t xml:space="preserve">Fuamdor, HTA. Ingresa con IMA anterior extenso con trombolisis fallida, complicado con disfuncion cardiaca.</t>
  </si>
  <si>
    <t xml:space="preserve">Vila</t>
  </si>
  <si>
    <t xml:space="preserve">Fumador. Ingresa con IMA anteroseptal trombolizado.</t>
  </si>
  <si>
    <t xml:space="preserve">HTA, DM, estudio de anemia. Ingresa con anemia severa y angina.</t>
  </si>
  <si>
    <t xml:space="preserve">Alcides</t>
  </si>
  <si>
    <t xml:space="preserve">Cortés</t>
  </si>
  <si>
    <t xml:space="preserve">Angina inestable sin cambios.</t>
  </si>
  <si>
    <t xml:space="preserve">María Josefa</t>
  </si>
  <si>
    <t xml:space="preserve">HTA, CI, ingresa en 5to piso con BNB, y se traslada por EAP y dolor precordial. Se traslada nuevamente a Medicina</t>
  </si>
  <si>
    <t xml:space="preserve">Servando Abad</t>
  </si>
  <si>
    <t xml:space="preserve">Roig</t>
  </si>
  <si>
    <t xml:space="preserve">Sala</t>
  </si>
  <si>
    <t xml:space="preserve">APP salud. Ingresa con IMA anterior extenso trombolizado, se realiza coronariografía con DA 90% (p), 1ra diag 80% (o), RI 99% (o), Cx 40% (p), 1OM 50% (p). Se realiza ICP a DA. Presenta disfuncion cardiaca.</t>
  </si>
  <si>
    <t xml:space="preserve">Real</t>
  </si>
  <si>
    <t xml:space="preserve">HTA, fumador, SDA, ingresa con angina inestable, con anemia y signos de sangrado vbiejo.</t>
  </si>
  <si>
    <t xml:space="preserve">Adriel</t>
  </si>
  <si>
    <t xml:space="preserve">3.15</t>
  </si>
  <si>
    <t xml:space="preserve">HTA, fumador, ingresa con dolor precordial, supradesnivel ST, que mojora con alivio. Se disgnostica angina vasoespastica.</t>
  </si>
  <si>
    <t xml:space="preserve">Mendez</t>
  </si>
  <si>
    <t xml:space="preserve">Fumador inveterado. Ingresa con angina que ha hecho episodios de vaspoespasmo. Se diagnsotica IMA inferior no trombolizado.</t>
  </si>
  <si>
    <t xml:space="preserve">Briseido</t>
  </si>
  <si>
    <t xml:space="preserve">Veliz</t>
  </si>
  <si>
    <t xml:space="preserve">APP HTA, fumador. Ingresa con IMA inferior trombolizado.</t>
  </si>
  <si>
    <t xml:space="preserve">Héctor</t>
  </si>
  <si>
    <t xml:space="preserve">Arruego</t>
  </si>
  <si>
    <t xml:space="preserve">HTA, fumador, ingresa con IMA inferior trombolizado.</t>
  </si>
  <si>
    <t xml:space="preserve">DM, ingresa con angina y FA cronica. Se traslada a sals de Medicina para terminar estudio de anemia</t>
  </si>
  <si>
    <t xml:space="preserve">Teodora</t>
  </si>
  <si>
    <t xml:space="preserve">APP de HTA. Ingresa con dolor abdominal y se constata cambios electricos.</t>
  </si>
  <si>
    <t xml:space="preserve">Michel</t>
  </si>
  <si>
    <t xml:space="preserve">Fonte</t>
  </si>
  <si>
    <t xml:space="preserve">HTA, DM, ingresa con insuficiencia cardiaca. </t>
  </si>
  <si>
    <t xml:space="preserve">HTA, exfumador, ingresa con BAV completo. Se implanta MP taransitorio, y luego MPP.</t>
  </si>
  <si>
    <t xml:space="preserve">Miguel Hidalgo</t>
  </si>
  <si>
    <t xml:space="preserve">Duconger</t>
  </si>
  <si>
    <t xml:space="preserve">HTA, ingresa con emergencia HTA y hace edema agudo del pulmon.</t>
  </si>
  <si>
    <t xml:space="preserve">Morena</t>
  </si>
  <si>
    <t xml:space="preserve">Fumadora, HTA, CI con stent. Ingresa con dolor en espalda y pecho, atipico.</t>
  </si>
  <si>
    <t xml:space="preserve">Edil</t>
  </si>
  <si>
    <t xml:space="preserve">APP HTA, DM, CI. Ingresa con emergencia HTA, angina y cambios electricos.</t>
  </si>
  <si>
    <t xml:space="preserve">Veiga</t>
  </si>
  <si>
    <t xml:space="preserve">HTA, DM, exfumadora. Se ingresa con angina inestable sin cambios.</t>
  </si>
  <si>
    <t xml:space="preserve">Josefina</t>
  </si>
  <si>
    <t xml:space="preserve">Molinet</t>
  </si>
  <si>
    <t xml:space="preserve">APP HTA, DM, CI, con stent hace 10 años, continua fumando. Ingresa con angina empeorada, HTA.</t>
  </si>
  <si>
    <t xml:space="preserve">Almaguer</t>
  </si>
  <si>
    <t xml:space="preserve">APP ICC, CI, HTA. Ingresa con disnea.</t>
  </si>
  <si>
    <t xml:space="preserve">Bladimir</t>
  </si>
  <si>
    <t xml:space="preserve">APP exfumador. Ingresa con angina con cambios. </t>
  </si>
  <si>
    <t xml:space="preserve">Laffita</t>
  </si>
  <si>
    <t xml:space="preserve">Exfumador. Ingresa con IMA inferior no trombolizado subagudo.</t>
  </si>
  <si>
    <t xml:space="preserve">APP multivaso, que ingresa con angina empeorada.</t>
  </si>
  <si>
    <t xml:space="preserve">Juan Ramón</t>
  </si>
  <si>
    <t xml:space="preserve">APP HTA, DM. Ingresa con IM subagudo no trombolizado inferior</t>
  </si>
  <si>
    <t xml:space="preserve">Ana Leoncia</t>
  </si>
  <si>
    <t xml:space="preserve">APP HTA y fumadora. Ingresa con IMA inferior trombolizado en Coronario</t>
  </si>
  <si>
    <t xml:space="preserve">Pascual Silvio</t>
  </si>
  <si>
    <t xml:space="preserve">APP HTA, fumador, IM hace 25 años, ingrsa con angina con cambios electricos.</t>
  </si>
  <si>
    <t xml:space="preserve">Ruddy</t>
  </si>
  <si>
    <t xml:space="preserve">APP HTA, ingresa con IMA inferior trombolizado.</t>
  </si>
  <si>
    <t xml:space="preserve">Jesús Eusebio</t>
  </si>
  <si>
    <t xml:space="preserve">Carral</t>
  </si>
  <si>
    <t xml:space="preserve">Exfumador e HTA. Ingresa con IMA anterior extenso con trombolisis fallida.</t>
  </si>
  <si>
    <t xml:space="preserve">        </t>
  </si>
  <si>
    <t xml:space="preserve">Rafael Yunior</t>
  </si>
  <si>
    <t xml:space="preserve">APP IMA en 2014 y 2015, ACTP a CD. Ingresa con IMA inferior parcialmente trombolizado.</t>
  </si>
  <si>
    <t xml:space="preserve">Alayo</t>
  </si>
  <si>
    <t xml:space="preserve">16/03/201</t>
  </si>
  <si>
    <t xml:space="preserve">HTA, DM, fumador, CI. Ingresa con IMA inferior trombolizado</t>
  </si>
  <si>
    <t xml:space="preserve">Ángel Fortunato</t>
  </si>
  <si>
    <t xml:space="preserve">APP CI, HTA, DM, AVE. Ingresa con Flutter auricular con RR, que llevó CE eléctrica, y realiza AVE. Ademas, presentó angina.</t>
  </si>
  <si>
    <t xml:space="preserve">Adelina</t>
  </si>
  <si>
    <t xml:space="preserve">Fumador, HTA, ingresa con BAV 2do grado Mobitz. Se implanta MP transitorio</t>
  </si>
  <si>
    <t xml:space="preserve">Eugenia M</t>
  </si>
  <si>
    <t xml:space="preserve">HTA, DM. Ingresa con IMA anterolateral trombolizada. Hace PCR en DEM y fallece.</t>
  </si>
  <si>
    <t xml:space="preserve">Osvaldo Eugenio</t>
  </si>
  <si>
    <t xml:space="preserve">Exfumador, HTA. Ingresa con sincope y BAV completo. Se implanta MPT, realiza varias paradas en FV. Se traslada al ICCCV para CDAI.</t>
  </si>
  <si>
    <t xml:space="preserve">Ada </t>
  </si>
  <si>
    <t xml:space="preserve">HTA, ingresa con emergencia HTA y dolor precordial.</t>
  </si>
  <si>
    <t xml:space="preserve">Alvaro</t>
  </si>
  <si>
    <t xml:space="preserve">Mayrodi</t>
  </si>
  <si>
    <t xml:space="preserve">APP IM en dos ocasiones, HTA y fumador. Ahora ingresa con IMA inferior trombolizado.</t>
  </si>
  <si>
    <t xml:space="preserve">Ana Dolores</t>
  </si>
  <si>
    <t xml:space="preserve">Landrián </t>
  </si>
  <si>
    <t xml:space="preserve">fumadora, HTA. Ingresa con cuadros de dolor precordial, sudoraciones y cambiso electricos.</t>
  </si>
  <si>
    <t xml:space="preserve">Maria Rosa</t>
  </si>
  <si>
    <t xml:space="preserve">Esparraguera</t>
  </si>
  <si>
    <t xml:space="preserve">HTA. Ingresa con TV no sostenida con angina durante la taquicardia.</t>
  </si>
  <si>
    <t xml:space="preserve">Ángel Arnaldo</t>
  </si>
  <si>
    <t xml:space="preserve">Falcón</t>
  </si>
  <si>
    <t xml:space="preserve">HTA, AVE antiguo, fumador. Ingresa con IMA anterior extenso trombolizado</t>
  </si>
  <si>
    <t xml:space="preserve">Esmer</t>
  </si>
  <si>
    <t xml:space="preserve">APP exfumador, HTA. Ingresa con supra en DII, DIII, AVF que volvio a la normalidad con NTG, sin dejar onda Q. Se concluye como angina vasospástica. </t>
  </si>
  <si>
    <t xml:space="preserve">Leovigildo</t>
  </si>
  <si>
    <t xml:space="preserve">Costa</t>
  </si>
  <si>
    <t xml:space="preserve">HTA, CI. Ingresa con angina inestable con cambios electricos. Se realiza coro con lesiones en DA, TCI 90% distal, diagonales y CX, solor tto medico.</t>
  </si>
  <si>
    <t xml:space="preserve">Justino</t>
  </si>
  <si>
    <t xml:space="preserve">HTA, Insuficiencia cardiaca, ingresa con disnea y edemas.</t>
  </si>
  <si>
    <t xml:space="preserve">Anne Trinidad</t>
  </si>
  <si>
    <t xml:space="preserve">HTA, DM, fumadora. Ingresa con IMA inferior trombolizado.</t>
  </si>
  <si>
    <t xml:space="preserve">Juliana</t>
  </si>
  <si>
    <t xml:space="preserve">HTA severa. Ingresa con emergencia HTA, IMA anterolateral trombolizado y edema agudo del pulmon. Evolutivamente hace FA. Cae en shock cardiogenico y fallece.</t>
  </si>
  <si>
    <t xml:space="preserve">Fumador. Ingresa con IMA anterior extenso trombolizado</t>
  </si>
  <si>
    <t xml:space="preserve">Juan Raúl</t>
  </si>
  <si>
    <t xml:space="preserve">CaboVerde</t>
  </si>
  <si>
    <t xml:space="preserve">Exfumador, CI con 2 stents. Ingresa con derrame pericardico severo con signos de Taponamiento.</t>
  </si>
  <si>
    <t xml:space="preserve">Martha Elvira</t>
  </si>
  <si>
    <t xml:space="preserve">Silé</t>
  </si>
  <si>
    <t xml:space="preserve">Aido</t>
  </si>
  <si>
    <t xml:space="preserve">HTA. Hace 3 días dolor precordial importante. Ingresa con IM inferior subagudo no trombolizado.</t>
  </si>
  <si>
    <t xml:space="preserve">Diabetes Mellitus debut.</t>
  </si>
  <si>
    <t xml:space="preserve">Reinier</t>
  </si>
  <si>
    <t xml:space="preserve">Cuento</t>
  </si>
  <si>
    <t xml:space="preserve">HTA, fumador, ingresa con IAM anteroseptal no trombolizado.</t>
  </si>
  <si>
    <t xml:space="preserve">Carlos Javier</t>
  </si>
  <si>
    <t xml:space="preserve">Montoto</t>
  </si>
  <si>
    <t xml:space="preserve">HTA, IMA ahce 15 días con ACTP primaria a CD. Ingresa con angina postIMA. Decide alta a peticion para ingreso en Hospital Mlitar.</t>
  </si>
  <si>
    <t xml:space="preserve">Marcial</t>
  </si>
  <si>
    <t xml:space="preserve">Consuelo</t>
  </si>
  <si>
    <t xml:space="preserve">HTA, CI, ingresa con angina inestable. En sala realiza EAP.</t>
  </si>
  <si>
    <t xml:space="preserve">Wilber</t>
  </si>
  <si>
    <t xml:space="preserve">Matorell</t>
  </si>
  <si>
    <t xml:space="preserve">Carrion</t>
  </si>
  <si>
    <t xml:space="preserve">APP MCP dilatada con funcion deprimida. Ingresa en UCIP por insuficiencia respiratoria aguda que llevó intubacion. Se traslada a coronadiro. En UCIP hizo 2 ocasiones FV.</t>
  </si>
  <si>
    <t xml:space="preserve">Augusto</t>
  </si>
  <si>
    <t xml:space="preserve">Bejerano</t>
  </si>
  <si>
    <t xml:space="preserve">Exfumador, IMA en 2016. ingresa ahora IMA inferior trombolizado.</t>
  </si>
  <si>
    <t xml:space="preserve">Reynaldo E.</t>
  </si>
  <si>
    <t xml:space="preserve">IMA en 2010, ergometria positiva, medicina nuclear viable. Ingresa para coronariografía. Lesion en DA 95% (p) y CD 85% (p). Se cita para en segunda vuelta.</t>
  </si>
  <si>
    <t xml:space="preserve">Arnorvis</t>
  </si>
  <si>
    <t xml:space="preserve">Vizcay</t>
  </si>
  <si>
    <t xml:space="preserve">Fumador, HTA. Ingresa con angina inestable en el transcurso de emergencia HTA.</t>
  </si>
  <si>
    <t xml:space="preserve">Sergio</t>
  </si>
  <si>
    <t xml:space="preserve">Bonilla</t>
  </si>
  <si>
    <t xml:space="preserve">Fumador, HTA, IM antiguo. Ingresa con dolor importante y cambios eléctricos. Se diagnostica IMA inferior subagudo.</t>
  </si>
  <si>
    <t xml:space="preserve">APP de salud. Hace síncope en casa y en ECG tiene BAV 2do grado Mobitz II</t>
  </si>
  <si>
    <t xml:space="preserve">José Angel</t>
  </si>
  <si>
    <t xml:space="preserve">HTA, DM, Fumador, CI. Ingresa con IMA subagudo no trombolizado.</t>
  </si>
  <si>
    <t xml:space="preserve">Aguado</t>
  </si>
  <si>
    <t xml:space="preserve">HTA, fumador, ingresa con IMA inferior que se tromboliza en el servicio.</t>
  </si>
  <si>
    <t xml:space="preserve">María Caridad</t>
  </si>
  <si>
    <t xml:space="preserve">HTA, bronquiectasia. Ingresa con IMA anteroseptal trmbolizado.</t>
  </si>
  <si>
    <t xml:space="preserve">María Erudina</t>
  </si>
  <si>
    <t xml:space="preserve">Rayme</t>
  </si>
  <si>
    <t xml:space="preserve">Tula</t>
  </si>
  <si>
    <t xml:space="preserve">HTA, ECV, CI con 3 stent. Ingresa con IMA inferior trombolizado con extension a VD y shock cardiogenico. Se traslada a sala de medicina para tto con antibiotico.</t>
  </si>
  <si>
    <t xml:space="preserve">Riselda</t>
  </si>
  <si>
    <t xml:space="preserve">Veitia</t>
  </si>
  <si>
    <t xml:space="preserve">APP HTA, DM, CI. Ingresa con ICC descompensada</t>
  </si>
  <si>
    <t xml:space="preserve">Cespedes</t>
  </si>
  <si>
    <t xml:space="preserve">Columbie</t>
  </si>
  <si>
    <t xml:space="preserve">APP HTA, DM, cirrosis hepatica. Ingresa con BAV completo por betabloqueadores. Se egresa con BAV 1er grado</t>
  </si>
  <si>
    <t xml:space="preserve">HTA, ingresa con angina inestable con cambios. Se realiza coronariografía sin lesiones coronarias.</t>
  </si>
  <si>
    <t xml:space="preserve">Odalys</t>
  </si>
  <si>
    <t xml:space="preserve">Carus</t>
  </si>
  <si>
    <t xml:space="preserve">HTA, fumadora. Comienza hace 15 dias con sincope y dolor epigrastrico, sudoracion y frialdad al ejercicio. Tiene IM inferolateral subagudo no trombolizado. Realiza extension a VD y CIV. Se traslada a Cirugía Cardiovascular en HHA.</t>
  </si>
  <si>
    <t xml:space="preserve">Manzo</t>
  </si>
  <si>
    <t xml:space="preserve">HTA, fumador de adolescencia. Ingresa con IMA anterior extenso trombolizado pero con reperfusion parcial. Hace CIV</t>
  </si>
  <si>
    <t xml:space="preserve">Arzola</t>
  </si>
  <si>
    <t xml:space="preserve">Juana Lutgarda</t>
  </si>
  <si>
    <t xml:space="preserve">HTA, IM antiguo, ingresa con FA rápida y angina.</t>
  </si>
  <si>
    <t xml:space="preserve">Miguel Antonio</t>
  </si>
  <si>
    <t xml:space="preserve">HTA, CI, ingresa con angina inestable con cambios eléctricos.</t>
  </si>
  <si>
    <t xml:space="preserve">Fumador, asmatico, ingresa con IMA inferior que no trombolizaron.</t>
  </si>
  <si>
    <t xml:space="preserve">Reinaldo Genaro</t>
  </si>
  <si>
    <t xml:space="preserve">APP HTA, CI con RMQ, MPP. Ingresa con angina inestable con cambios. En ECG MPP con FA</t>
  </si>
  <si>
    <t xml:space="preserve">Noé</t>
  </si>
  <si>
    <t xml:space="preserve">HTA, RMQ con 5 puentes en 2006, ingresa con angina inestable con cambios.</t>
  </si>
  <si>
    <t xml:space="preserve">Mario Ricardo</t>
  </si>
  <si>
    <t xml:space="preserve">Fumador, ingresa con IMA inferior trombolizado.</t>
  </si>
  <si>
    <t xml:space="preserve">Valentina</t>
  </si>
  <si>
    <t xml:space="preserve">Bazán</t>
  </si>
  <si>
    <t xml:space="preserve">Fumadora. Ingresa con angina importante sin cambios eléctricos.</t>
  </si>
  <si>
    <t xml:space="preserve">Loma</t>
  </si>
  <si>
    <t xml:space="preserve">HTA, fumador, ingresa con IMA anterior extenso medio trombolizado.</t>
  </si>
  <si>
    <t xml:space="preserve">Ernesto Iván</t>
  </si>
  <si>
    <t xml:space="preserve">Arango</t>
  </si>
  <si>
    <t xml:space="preserve">Fumador. Ingresa con IMA anterior extenso no trombolizado por empezar hace 3 días.</t>
  </si>
  <si>
    <t xml:space="preserve">Fumador inveterado, ingresa con IMA anterior extenso trombolizado y BNB bacteriana severa. Se traslada a UCI.</t>
  </si>
  <si>
    <t xml:space="preserve">Katiuska</t>
  </si>
  <si>
    <t xml:space="preserve">fumadora, HTA, DM, obesa, fiebre reumatica, hiperprolactinemia. Ingresa con IMA inferior trombolizado.</t>
  </si>
  <si>
    <t xml:space="preserve">Julio Alfredo</t>
  </si>
  <si>
    <t xml:space="preserve">Fumador. Ingresa con IMA inferior con tromblosis parcialmente efectiva.</t>
  </si>
  <si>
    <t xml:space="preserve">Ingresa para ICP programada. Se implanta stent metálico en DA 95% proximal.</t>
  </si>
  <si>
    <t xml:space="preserve">Inés María</t>
  </si>
  <si>
    <t xml:space="preserve">Torrientes</t>
  </si>
  <si>
    <t xml:space="preserve">HTA, DM, IM en 1997, sicklemia, ingresa con IMA inferior trombolizado.</t>
  </si>
  <si>
    <t xml:space="preserve">Josefina </t>
  </si>
  <si>
    <t xml:space="preserve">HTA, DM, CI. Ingresa con angina inestable.</t>
  </si>
  <si>
    <t xml:space="preserve">René Antonio</t>
  </si>
  <si>
    <t xml:space="preserve">APP obeso, HTA, DM, CI. Ingresa con IMA anterior extenso que se trombolizo, pero con shock cardiogénico.</t>
  </si>
  <si>
    <t xml:space="preserve">Liy</t>
  </si>
  <si>
    <t xml:space="preserve">HTA, fumador, ingreso con IMA inferior trombolizado.</t>
  </si>
  <si>
    <t xml:space="preserve">APP HTA, DM, exfumador. IMA anterior extenso trombolizado en diciembre. Ahora ingresa con angina inestable empeorada. Se realiza coronariografía con lesion 90% DA distal con un vaso fino, y 60% media en CD. Se decide tto médico.</t>
  </si>
  <si>
    <t xml:space="preserve">Rubio</t>
  </si>
  <si>
    <t xml:space="preserve">HTA, Fumadora, EPOC, ingresa con IMA inferior trombolizado, BAV completo transitorio. Comienza con hemoptisis.</t>
  </si>
  <si>
    <t xml:space="preserve">Diosdado Pampillo</t>
  </si>
  <si>
    <t xml:space="preserve">Fumador inveterado, ingresa con IMA inferior trombolizado, con extension a VD y shock cardiogenico.</t>
  </si>
  <si>
    <t xml:space="preserve">Doris Milagros</t>
  </si>
  <si>
    <t xml:space="preserve">APP de enfermedad HTA severa, con ceguera e IRC. Ingresa con EAP e insuficiencia renal agudizada.</t>
  </si>
  <si>
    <t xml:space="preserve">Rosario</t>
  </si>
  <si>
    <t xml:space="preserve">APP enfermedad multivaso con oclusion cronica de DA. Ingresa con angina severa, cae en shock, PCR, intubacion y fallece.</t>
  </si>
  <si>
    <t xml:space="preserve">María Rosa</t>
  </si>
  <si>
    <t xml:space="preserve">APP de ingreso por angina y TV sostenida. Ahora ingresa con empeoramiento ty TV sostenida. Se realiza a los 7 días antigeno COVID positivo y se traslada al Hospital Naval</t>
  </si>
  <si>
    <t xml:space="preserve">Fumador. Ingresa con dolor precordial prolongado que se interpreta como IMA y se tromboliza. Se discute como miopericarditis.</t>
  </si>
  <si>
    <t xml:space="preserve">Idania</t>
  </si>
  <si>
    <t xml:space="preserve">Lescaylle</t>
  </si>
  <si>
    <t xml:space="preserve">Fumadora. Ingresó con IMA inferior parcialmente trombolizada.</t>
  </si>
  <si>
    <t xml:space="preserve">Noisa</t>
  </si>
  <si>
    <t xml:space="preserve">APP HTA y fumadora. Ingresa con IMA anteroseptal trombolizado.</t>
  </si>
  <si>
    <t xml:space="preserve">HTA, CI, stent en 2019. ingresa con decaimiento y se diagnostica BAV completo. Se implanta MP transitorio. Se realiza antigeno y se da positivo. Se traslada.</t>
  </si>
  <si>
    <t xml:space="preserve">Osmar</t>
  </si>
  <si>
    <t xml:space="preserve">Barallobre</t>
  </si>
  <si>
    <t xml:space="preserve">HTA, fumador, cardiopatia isquémica. Ingresa con IMA inferior trombolizado.</t>
  </si>
  <si>
    <t xml:space="preserve">Eglis</t>
  </si>
  <si>
    <t xml:space="preserve">Broso</t>
  </si>
  <si>
    <t xml:space="preserve">Moreen</t>
  </si>
  <si>
    <t xml:space="preserve">HTA severa, no tratada. Ingresa con dolor precordial y cambios electricos</t>
  </si>
  <si>
    <t xml:space="preserve">HTA, fumador, ingreso con IMA inferior trombolizado hace una semana. Ahora ingresa con TV sostenida monomórfica.</t>
  </si>
  <si>
    <t xml:space="preserve">estevez</t>
  </si>
  <si>
    <t xml:space="preserve">marrero</t>
  </si>
  <si>
    <t xml:space="preserve">Fumador, DM. Ingresa con IMA inferior trombolizado con extension a VD.</t>
  </si>
  <si>
    <t xml:space="preserve">Crispín Ramón</t>
  </si>
  <si>
    <t xml:space="preserve">HTA, fumador. Ingresa con IMA anterior subagudo no tromoblizado.</t>
  </si>
  <si>
    <t xml:space="preserve">APP HATA, DM, obesidad, tabaquismo. Ingresa con IMA subagudo inferior, se reinfarta en sala y se tromboliza. </t>
  </si>
  <si>
    <t xml:space="preserve">Idalbis</t>
  </si>
  <si>
    <t xml:space="preserve">Guillén</t>
  </si>
  <si>
    <t xml:space="preserve">Olivero</t>
  </si>
  <si>
    <t xml:space="preserve">HTA, ingreasa con IMA inferior trombolizado.</t>
  </si>
  <si>
    <t xml:space="preserve">HTA, CI, stent en 2019. retorna desde hospital COVID con PCR negativo para implante de MP permanente</t>
  </si>
  <si>
    <t xml:space="preserve">Ángela Crescencia</t>
  </si>
  <si>
    <t xml:space="preserve">Arenas</t>
  </si>
  <si>
    <t xml:space="preserve">Tardío</t>
  </si>
  <si>
    <t xml:space="preserve">APP HTACI, asma bronquial. Ingresa con angina empeorada y cambios electricos importantes.</t>
  </si>
  <si>
    <t xml:space="preserve">APP de exfumador, HTA, IM antiguo. Se ingresa con IMA inferolateral no trombolizado.</t>
  </si>
  <si>
    <t xml:space="preserve">APP DM, HTA, que ingresa el 28/4 en angiologia para amputacion de artejo del pie derecho. Comienza con dolor precordial y tiene infra en varias derivaciones, por lo cual se diagnostica IMASEST.</t>
  </si>
  <si>
    <t xml:space="preserve">Egresada del hospital hace un día. Ingresa con FA importantey cambios electricos, y fallece en PCR.</t>
  </si>
  <si>
    <t xml:space="preserve">APP HTA, DM. IMA inferior no trombolizado en marzo/2021. ahora ingresa con  angina postIMA. Se decidió tto Qco</t>
  </si>
  <si>
    <t xml:space="preserve">Oscar </t>
  </si>
  <si>
    <t xml:space="preserve">1.13</t>
  </si>
  <si>
    <t xml:space="preserve">HTA,angina inestable de reposo.</t>
  </si>
  <si>
    <t xml:space="preserve">Ovidio</t>
  </si>
  <si>
    <t xml:space="preserve">IMA inferior trombolizado sin complicaciones</t>
  </si>
  <si>
    <t xml:space="preserve">Juan Alberto </t>
  </si>
  <si>
    <t xml:space="preserve">MCD Dilatada isquemica con evolucion desfaboravle y fallece</t>
  </si>
  <si>
    <t xml:space="preserve">Santana </t>
  </si>
  <si>
    <t xml:space="preserve">Napoles</t>
  </si>
  <si>
    <t xml:space="preserve">12//05/2021</t>
  </si>
  <si>
    <t xml:space="preserve">Infarto Anterior trombolizado con evolución favorable</t>
  </si>
  <si>
    <t xml:space="preserve">Arencibia </t>
  </si>
  <si>
    <t xml:space="preserve">León </t>
  </si>
  <si>
    <t xml:space="preserve">APP ERC, HTACI, realizó EAP con emergencia HTA. Realizó PCR en DEM.</t>
  </si>
  <si>
    <t xml:space="preserve">Peró</t>
  </si>
  <si>
    <t xml:space="preserve">APP DM, HTA, CI, MPP. Ingresa con endocarditis sobre cable de MP. Se traslada al HHA</t>
  </si>
  <si>
    <t xml:space="preserve">APP HTA, fumador. Ingresa con IMA anterior extenso trombolizado</t>
  </si>
  <si>
    <t xml:space="preserve">Placeres</t>
  </si>
  <si>
    <t xml:space="preserve">4.87</t>
  </si>
  <si>
    <t xml:space="preserve">Obeso, HTA, DM, Exdeportista. Sospecha de cuadros de vasoespasmo. BNB extrahospitalaria</t>
  </si>
  <si>
    <t xml:space="preserve">2.46</t>
  </si>
  <si>
    <t xml:space="preserve">3.04</t>
  </si>
  <si>
    <t xml:space="preserve">12.9</t>
  </si>
  <si>
    <t xml:space="preserve">EAC Multivaso, AIA con cambios en cara inferior y anterolateral. Vasoespasmo sobre placa. Se realiza ICP a CD 80% proximal.</t>
  </si>
  <si>
    <t xml:space="preserve">Cristo</t>
  </si>
  <si>
    <t xml:space="preserve">Suárez </t>
  </si>
  <si>
    <t xml:space="preserve">6.43</t>
  </si>
  <si>
    <t xml:space="preserve">15.6</t>
  </si>
  <si>
    <t xml:space="preserve">APP HTA, DM, CI, ECV, exfumador. Ingresa con IMA anteroseptal subagudo no trombolizado, complicado con EAP y shock cardiogénico. Bronconeumonia bacteriana. Hace shock mixto, y fallece</t>
  </si>
  <si>
    <t xml:space="preserve">Varela</t>
  </si>
  <si>
    <t xml:space="preserve">APP HTA. Ingresa con IMA anterior extenso no trombolizado.</t>
  </si>
  <si>
    <t xml:space="preserve">Renova</t>
  </si>
  <si>
    <t xml:space="preserve">APP de salud. Ingresa con IMA inferior trombolizado</t>
  </si>
  <si>
    <t xml:space="preserve">Montiel</t>
  </si>
  <si>
    <t xml:space="preserve">APP de tabaquismo. Ingresa con IMA inferior trombolizado.</t>
  </si>
  <si>
    <t xml:space="preserve">2.44</t>
  </si>
  <si>
    <t xml:space="preserve">BNB extrahospitalaria</t>
  </si>
  <si>
    <t xml:space="preserve">Juana Esther</t>
  </si>
  <si>
    <t xml:space="preserve">APP fumadora, DM, EPOC. Ingresa con síncope y ECG con BAV completo. Se implanta MP transitorio.</t>
  </si>
  <si>
    <t xml:space="preserve">Apolinar</t>
  </si>
  <si>
    <t xml:space="preserve">Ravelo</t>
  </si>
  <si>
    <t xml:space="preserve">Travieso</t>
  </si>
  <si>
    <t xml:space="preserve">APP fumador, asma bronquial. Ingresa con BAV completo que se implanta MP transitorio y BNB. Fallece en asistolia</t>
  </si>
  <si>
    <t xml:space="preserve">Nelsa María</t>
  </si>
  <si>
    <t xml:space="preserve">APP HTA, DM, CI. Ingresa con SCASEST con cambios electricos. Enzimas elevadas, por lo que se concluye como IMASEST.</t>
  </si>
  <si>
    <t xml:space="preserve">Antonia María</t>
  </si>
  <si>
    <t xml:space="preserve">APP HTA, DM. Ingresa con  angina inestable con cambios que en ECG tiene BAV 2:1 transitorio.</t>
  </si>
  <si>
    <t xml:space="preserve">Geraldo Salomé</t>
  </si>
  <si>
    <t xml:space="preserve">APP de CI, HTA, asma bronquial, FA cronica. Ingresa con FA bloqueada y BNB baceteriana. Se implanta MP transitorio.</t>
  </si>
  <si>
    <t xml:space="preserve">Epifanio D.</t>
  </si>
  <si>
    <t xml:space="preserve">APP fumador e HTA. Ingresa con angina severa y cambios electricos importantes. Al ingreso realiza edema agudo del pulm on y fallece.</t>
  </si>
  <si>
    <t xml:space="preserve">APP HTA. Ingresa con angina de debut.</t>
  </si>
  <si>
    <t xml:space="preserve">Juan Jesús</t>
  </si>
  <si>
    <t xml:space="preserve">Toro</t>
  </si>
  <si>
    <t xml:space="preserve">APP fumador e HTA. Ingresa con IMA anterior extenso trombolizado. En el ingreso realiza TV con PCR en asistolia, que se recuperó rapidamente</t>
  </si>
  <si>
    <t xml:space="preserve">APP fumador inveterado, alcoholico, insuficiencia arterial con operación por Angiología. Ingresa con angina inestable empeorada con cambios electricos. </t>
  </si>
  <si>
    <t xml:space="preserve">Juana Hayde</t>
  </si>
  <si>
    <t xml:space="preserve">Guillen </t>
  </si>
  <si>
    <t xml:space="preserve">APP de CI, EPOC. Ingresa con sincope y PCR que llevo intubacion. En ECG hay BCRI con bradicardia. Se puso Holter y se vio TV no sostenida. Se Traslada al ICCCV</t>
  </si>
  <si>
    <t xml:space="preserve">APP HTA. Ingresa con angina con cambios electricos.</t>
  </si>
  <si>
    <t xml:space="preserve">Abraham Francisco</t>
  </si>
  <si>
    <t xml:space="preserve">Llerena</t>
  </si>
  <si>
    <t xml:space="preserve">APP fumador, HTA, obeso, DM. Ingresa con IMA inferior trombolizado.</t>
  </si>
  <si>
    <t xml:space="preserve">APP de emergencia HTA, DM, IMA, IRC. Ingresa con emergencia HTA y angina empeorada. En US tiene RD con alteraciones.</t>
  </si>
  <si>
    <t xml:space="preserve">Juana Milagros</t>
  </si>
  <si>
    <t xml:space="preserve">APP de IC, Ciy TV. Ingresa con TV que necesitó cardioversion y BNB. En sala realiza TV que llevo cardioversion. Se traslada al ICCCV</t>
  </si>
  <si>
    <t xml:space="preserve">APP de HTA, DM, CI con stent, IM, ingresa con angina inestable.</t>
  </si>
  <si>
    <t xml:space="preserve">Orlando Feliciano</t>
  </si>
  <si>
    <t xml:space="preserve">APP fumador, DM. Ingresa con IMA inferior trombolizado, que realizo un BAV 3 er grado que revirtio con la trombolisis.</t>
  </si>
  <si>
    <t xml:space="preserve">Machado </t>
  </si>
  <si>
    <t xml:space="preserve">APP de fumador, alcoholico, angina vasoespástica. Ingresa con IMA anterior no trombolizado.</t>
  </si>
  <si>
    <t xml:space="preserve">Vilma Barbarita</t>
  </si>
  <si>
    <t xml:space="preserve">Amoedo</t>
  </si>
  <si>
    <t xml:space="preserve">APP HTA y fumadora. Ingresa con IMA lateral no tromoblizado.</t>
  </si>
  <si>
    <t xml:space="preserve">Aleida</t>
  </si>
  <si>
    <t xml:space="preserve">Harriethe</t>
  </si>
  <si>
    <t xml:space="preserve">APP HTA, fumadora, DM, IMA 2017. Ingresa con angina con cambios electrico y EAP</t>
  </si>
  <si>
    <t xml:space="preserve">APP HTA, DM, CI. Ingresa con  IMA anteroseptal con BAV 2:1 transitorio, que se trombolizo parcialmente</t>
  </si>
  <si>
    <t xml:space="preserve">Imilsis Elena</t>
  </si>
  <si>
    <t xml:space="preserve">Isaac</t>
  </si>
  <si>
    <t xml:space="preserve">APP HTA, CI. Ingresa con angina inestable empeorada.</t>
  </si>
  <si>
    <t xml:space="preserve">Julio Amael</t>
  </si>
  <si>
    <t xml:space="preserve">Vazquez</t>
  </si>
  <si>
    <t xml:space="preserve">APP de uveitis, exfumador, que ingresa con IMA anterior extenso e inferior, subagudo no trombolizado.</t>
  </si>
  <si>
    <t xml:space="preserve">Zalazar</t>
  </si>
  <si>
    <t xml:space="preserve">APP MCP dilatada, cardiopatia isquemica. Igresa con angina inestable empeorada.</t>
  </si>
  <si>
    <t xml:space="preserve">Emilia</t>
  </si>
  <si>
    <t xml:space="preserve">APP HTA, CI, litiasis vesicular. Tto con betabloqueadores. Ingresa con BAV completo, se pasa MP transitorio</t>
  </si>
  <si>
    <t xml:space="preserve">Odelmis</t>
  </si>
  <si>
    <t xml:space="preserve">HTA, fumador, ingresa con sincope y hipotension. Se ausculat soplo de estensosis aortica. Se diagnostica estenosis aortica severa, se remite a consulta de Cirugía</t>
  </si>
  <si>
    <t xml:space="preserve">Aldo Francisco</t>
  </si>
  <si>
    <t xml:space="preserve">APP HTA y fumador. Ingresa con IMA anteroseptal trombolizado.</t>
  </si>
  <si>
    <t xml:space="preserve">Guilarte</t>
  </si>
  <si>
    <t xml:space="preserve">APP HTA, DM-2, EPOC, ICC. Ingresa con BAV completo y EPOC descompensada con emergencia HTA. Se pone MP transitorio, esta en anuria. Se realiza intubacion y VMI. Se traslada al Hospital Joaquin Albarran para dialisis</t>
  </si>
  <si>
    <t xml:space="preserve">Yusiek</t>
  </si>
  <si>
    <t xml:space="preserve">Puebla</t>
  </si>
  <si>
    <t xml:space="preserve">Dorticós</t>
  </si>
  <si>
    <t xml:space="preserve">APP fumador. Ingresa con IMA lateral STQ.</t>
  </si>
  <si>
    <t xml:space="preserve">Aracelis</t>
  </si>
  <si>
    <t xml:space="preserve">Sanz</t>
  </si>
  <si>
    <t xml:space="preserve">APP HTA, fumadora, IMA hace 5 años. Ingresa con IMA anteroseptal trombolizado.</t>
  </si>
  <si>
    <t xml:space="preserve">APP CI, HTA, DM, fumadora. Ingresa con angina sin cambios, pero aparece necrosis en cara inferior y enzimas elevadas, por lo que se diagnostica IMA</t>
  </si>
  <si>
    <t xml:space="preserve">Alfredo Jesús</t>
  </si>
  <si>
    <t xml:space="preserve">APP HTA y fumador. Ingresa con BAV completo, se implanta MP transitorio</t>
  </si>
  <si>
    <t xml:space="preserve">Aurora de la Caridad</t>
  </si>
  <si>
    <t xml:space="preserve">Gay</t>
  </si>
  <si>
    <t xml:space="preserve">APP HTA, fumadora, con trastorno de la audición, que ingresa con IMA inferior trombolizado.</t>
  </si>
  <si>
    <t xml:space="preserve">Miguel </t>
  </si>
  <si>
    <t xml:space="preserve">APP fumador inveterado. Ingresa con angina de reposo con cambios electricos.</t>
  </si>
  <si>
    <t xml:space="preserve">APP fumador. Ingresa con IMA inferior con extension a VD, con shock e hipotension. </t>
  </si>
  <si>
    <t xml:space="preserve">APP HTA, DM, fumadora, EPOC. Ingresa con IMA anterior extenso tromoblizado con EAP y BNB</t>
  </si>
  <si>
    <t xml:space="preserve">Asparllagas</t>
  </si>
  <si>
    <t xml:space="preserve">APP HTA, exfumador, con IM antiguo, que ingresa con angina empeorada.</t>
  </si>
  <si>
    <t xml:space="preserve">Obeso, HTA, DM, Exdeportista. Egresó en mayo por angina inestable, comenzó a trabajar desde el esgreso. Ahora ingresa con angina inestable empeorada</t>
  </si>
  <si>
    <t xml:space="preserve">Beltrán </t>
  </si>
  <si>
    <t xml:space="preserve">APP HTA. Hacia 5 dias con dolor precordial, y con un esfuerzo realiza TV monomorfica. Se ingresa como angina inestable. Se lleva a coronariografía siendo negativa. Se realiza Holter donde aparece TVNS. Se traslada al ICCCV para EEF y ablacion. </t>
  </si>
  <si>
    <t xml:space="preserve">Montané</t>
  </si>
  <si>
    <t xml:space="preserve">APP HTA, IMA hace 10 años. El 18/06 viene con dolor precordial y no vieron en emergente IMA inferior. Ingresa con  angina postIMA. Se realiza coronariografía con DA 95% p y CD. Se ponde DES en DA</t>
  </si>
  <si>
    <t xml:space="preserve">Herrero</t>
  </si>
  <si>
    <t xml:space="preserve">APP fumador, HTA, IMA hace 2 años. Ingresa con angina empeoramiento progresivo.</t>
  </si>
  <si>
    <t xml:space="preserve">Tomas Onofre</t>
  </si>
  <si>
    <t xml:space="preserve">APP IMA, con ICP a DA. Ingresa con angina inestable empeoramiento progresivo para coronariografía. Se realiza ICP a DA media</t>
  </si>
  <si>
    <t xml:space="preserve">Humberto </t>
  </si>
  <si>
    <t xml:space="preserve">APP fumador. Ingresa con IMA anterior extenso trombolizado.</t>
  </si>
  <si>
    <t xml:space="preserve">Sergia Aida</t>
  </si>
  <si>
    <t xml:space="preserve">APP HTA. Ingresa con angina inestable. Sus familiares piden alta a peticion. </t>
  </si>
  <si>
    <t xml:space="preserve">Obeso, HTA, DM, Exdeportista, CI. Egresó hoy en la mañana y acude en la tarde con dolor precordial e hipotension, por lo cual se decide reingresar. Se lleva a coronariografia sin lesiones significativas</t>
  </si>
  <si>
    <t xml:space="preserve">Escalante</t>
  </si>
  <si>
    <t xml:space="preserve">APP fumador e DM. Realiza IMA anteroseptal trombolizado con PCR que se recuperó.</t>
  </si>
  <si>
    <t xml:space="preserve">Florentina</t>
  </si>
  <si>
    <t xml:space="preserve">APP fuamdora, HTA, DM, IAP, CI. Ingrtesa con angina, insuficiencia cardiaca y FA con respuesta acelerada.</t>
  </si>
  <si>
    <t xml:space="preserve">Eduardo Eladio</t>
  </si>
  <si>
    <t xml:space="preserve">APP HTA, DM. Ingresa con IMA inferior no trombolizado.</t>
  </si>
  <si>
    <t xml:space="preserve">María I.</t>
  </si>
  <si>
    <t xml:space="preserve">APP HTA, con IMA inferior no trombolizado de Quivican que fallece en FV.</t>
  </si>
  <si>
    <t xml:space="preserve">Rafael Yunier</t>
  </si>
  <si>
    <t xml:space="preserve">APP HTA, Fumador. IMA hace 2 meses con IC stent. Ahora ingresa con angina con cambios electricos.</t>
  </si>
  <si>
    <t xml:space="preserve">APP fumador. Ingresa con IMA inferior trombolizado, con FA paroxística</t>
  </si>
  <si>
    <t xml:space="preserve">Juan Roger</t>
  </si>
  <si>
    <t xml:space="preserve">HTA, DM. Ingresa con IMA inferior trombolizado. Da antigeno COVID positivo, se traslada a zona roja, y PCR negativo, por lo que retorna al servicio.</t>
  </si>
  <si>
    <t xml:space="preserve">Esther María</t>
  </si>
  <si>
    <t xml:space="preserve">Martén</t>
  </si>
  <si>
    <t xml:space="preserve">Convet</t>
  </si>
  <si>
    <t xml:space="preserve">APP fumadora e HTA. Ingresa con IMA inferior trombolizado. Realiza alergia a claritromicina. </t>
  </si>
  <si>
    <t xml:space="preserve">Exfumador, TVP hace 2 años, ECV. Ingresa con IMA inferior trombolizado.</t>
  </si>
  <si>
    <t xml:space="preserve">Vilán</t>
  </si>
  <si>
    <t xml:space="preserve">APP exfumador, HTA, CI con 3 stent. Ingresa con anginia empeorada con BRD.</t>
  </si>
  <si>
    <t xml:space="preserve">Rafael E</t>
  </si>
  <si>
    <t xml:space="preserve">Curciniao</t>
  </si>
  <si>
    <t xml:space="preserve">4.96</t>
  </si>
  <si>
    <t xml:space="preserve">17.1</t>
  </si>
  <si>
    <t xml:space="preserve">18.8</t>
  </si>
  <si>
    <t xml:space="preserve">APP fumador, HTA, DM, ECV isquemica y tumor en region frontal. Ingresa con IMA inferior no trombolizado complicado con BAV completo.</t>
  </si>
  <si>
    <t xml:space="preserve">Enmanuel</t>
  </si>
  <si>
    <t xml:space="preserve">Roland</t>
  </si>
  <si>
    <t xml:space="preserve">APP exfumador, HTA, CI. Ingresa con IMA inferior trombolizado.</t>
  </si>
  <si>
    <t xml:space="preserve">5.60</t>
  </si>
  <si>
    <t xml:space="preserve">2.06</t>
  </si>
  <si>
    <t xml:space="preserve">0.47</t>
  </si>
  <si>
    <t xml:space="preserve">12.0</t>
  </si>
  <si>
    <t xml:space="preserve">HTA, DM, ingresa con IMA anterior extenso trombolizado fallido que se complica con insuficiencia cardiaca y BNB.</t>
  </si>
  <si>
    <t xml:space="preserve">Benigno Aimer</t>
  </si>
  <si>
    <t xml:space="preserve">HTA, con antecedentes de TRIN. Ingresa con TRIN que hizo hipotension. </t>
  </si>
  <si>
    <t xml:space="preserve">APP CI, con stent en 2017 con CD y DA. Ahora ingresa con angina con cambios electricos. Se le realiza PCR y da positivo</t>
  </si>
  <si>
    <t xml:space="preserve">Fumador e HTA. Ingresa con IMA inferior trombolizado.</t>
  </si>
  <si>
    <t xml:space="preserve">Odalis Modesta</t>
  </si>
  <si>
    <t xml:space="preserve">de los Ríos</t>
  </si>
  <si>
    <t xml:space="preserve">APP fumadora, y fibromialgia. Ingresa con angina de reciente comienzo. </t>
  </si>
  <si>
    <t xml:space="preserve">Yasmany</t>
  </si>
  <si>
    <t xml:space="preserve">APP fumador inveterado, marihuana y drogas ilicitas. Ingresa con IMA anterior extenso e inferior que hace PCR en FV, TV, que se pudo trombolizar, con shock cardiogenico, VMI por 3 días. Se extuba y se traslada a coronario.</t>
  </si>
  <si>
    <t xml:space="preserve">Mariela</t>
  </si>
  <si>
    <t xml:space="preserve">APP fumadora. Que ingresa angina inestable con cambios.</t>
  </si>
  <si>
    <t xml:space="preserve"> Israel Jesús</t>
  </si>
  <si>
    <t xml:space="preserve">APP fumador, HTA, ICP a CD y DA. Ingresa con angina inestable empeorada sin cambios eléctricos. Pide alta a peticion, </t>
  </si>
  <si>
    <t xml:space="preserve">APP fumadora. Ingresa con IMA anteroseptal trombolizado que en la sala hace insuficiencia cardiaca.</t>
  </si>
  <si>
    <t xml:space="preserve">APP HTA. Comineza con dolor precordial frecuente al ejercicio fisico. Se ingresa como angina inestable de reciente comienzo con cambios electricos.</t>
  </si>
  <si>
    <t xml:space="preserve">APP HTA e hipotiroidismo. Ingresa con breonconeumonia severa.</t>
  </si>
  <si>
    <t xml:space="preserve">J.</t>
  </si>
  <si>
    <t xml:space="preserve">Ingresa con BAV completo, y en menos de 2 horas fallece en PCR</t>
  </si>
  <si>
    <t xml:space="preserve">Danger Leonardo</t>
  </si>
  <si>
    <t xml:space="preserve">HTA. Comienza con dolor precordial con un ECG que fue interpretado al inicio como IMA, y se trombolizo. Se realiza ecocardiograma y se concluye como pericarditis aguda.</t>
  </si>
  <si>
    <t xml:space="preserve">Ramsys</t>
  </si>
  <si>
    <t xml:space="preserve">APP HTA, toma betabloqueadores. Ingresa con BAV completo. En la sala hace PCR, se revierte y se implanta MP transitorio. Tiene contacto con su esposo con COVID, se realiza PCR y da positivo. Se traslada a la zona roja.</t>
  </si>
  <si>
    <t xml:space="preserve">Miguel Serafín</t>
  </si>
  <si>
    <t xml:space="preserve">Santalla</t>
  </si>
  <si>
    <t xml:space="preserve">APP HTA y obesidad, ingresa con IMA anterior extenso trombolisis fallida.</t>
  </si>
  <si>
    <t xml:space="preserve">Borrell</t>
  </si>
  <si>
    <t xml:space="preserve">APP fumador, HTA, DM, obeso. Ingresa con IMA anteroseptal trombolizado.</t>
  </si>
  <si>
    <t xml:space="preserve">de la Caridad</t>
  </si>
  <si>
    <t xml:space="preserve">Infarto Inferior + bav 3er grado suprahisiano,  parada cardiorespiratoria en disociacion eletctromecanica no recuperada y fallece</t>
  </si>
  <si>
    <t xml:space="preserve">Gabriel</t>
  </si>
  <si>
    <t xml:space="preserve">Mustelier </t>
  </si>
  <si>
    <t xml:space="preserve">Vazquez </t>
  </si>
  <si>
    <t xml:space="preserve">IMA subagudo y BNB EXTRAHOPITALARIA</t>
  </si>
  <si>
    <t xml:space="preserve">APP fumador y meningioma. Ingresa con IMA subagudo.</t>
  </si>
  <si>
    <t xml:space="preserve">Ursula </t>
  </si>
  <si>
    <t xml:space="preserve">Efrain </t>
  </si>
  <si>
    <t xml:space="preserve">Javier </t>
  </si>
  <si>
    <t xml:space="preserve">Infarto Agudo del miocardio, con protesis valvular aortica con disfunción del VI</t>
  </si>
  <si>
    <t xml:space="preserve">Mujeres</t>
  </si>
  <si>
    <t xml:space="preserve">AIA</t>
  </si>
  <si>
    <t xml:space="preserve">Hombres</t>
  </si>
  <si>
    <t xml:space="preserve">IMA</t>
  </si>
  <si>
    <t xml:space="preserve">IMA Por Edad</t>
  </si>
  <si>
    <t xml:space="preserve">Total</t>
  </si>
  <si>
    <t xml:space="preserve">&lt; 40</t>
  </si>
  <si>
    <t xml:space="preserve">41 a 50</t>
  </si>
  <si>
    <t xml:space="preserve">51 a 60</t>
  </si>
  <si>
    <t xml:space="preserve">61 a 70</t>
  </si>
  <si>
    <t xml:space="preserve">71 a 80</t>
  </si>
  <si>
    <t xml:space="preserve">&gt; 80</t>
  </si>
  <si>
    <t xml:space="preserve">IMA Por Color de Piel</t>
  </si>
  <si>
    <t xml:space="preserve">Blanca</t>
  </si>
  <si>
    <t xml:space="preserve">Negra</t>
  </si>
  <si>
    <t xml:space="preserve">Mestizo</t>
  </si>
  <si>
    <t xml:space="preserve">IMA por otros</t>
  </si>
  <si>
    <t xml:space="preserve">IMA AZ</t>
  </si>
  <si>
    <t xml:space="preserve">No Complica</t>
  </si>
  <si>
    <t xml:space="preserve">angia post ima</t>
  </si>
  <si>
    <t xml:space="preserve">reinfarto</t>
  </si>
  <si>
    <t xml:space="preserve">insuficiencia</t>
  </si>
  <si>
    <t xml:space="preserve">trastorno</t>
  </si>
  <si>
    <t xml:space="preserve">shock</t>
  </si>
  <si>
    <t xml:space="preserve">hipotencia</t>
  </si>
  <si>
    <t xml:space="preserve">sangramiento</t>
  </si>
  <si>
    <t xml:space="preserve">pericarditis</t>
  </si>
  <si>
    <t xml:space="preserve">parada</t>
  </si>
  <si>
    <t xml:space="preserve">sincope</t>
  </si>
  <si>
    <t xml:space="preserve">muerte</t>
  </si>
  <si>
    <t xml:space="preserve">enf cerebrovas</t>
  </si>
  <si>
    <t xml:space="preserve">otras</t>
  </si>
  <si>
    <t xml:space="preserve">IMA BD</t>
  </si>
  <si>
    <t xml:space="preserve">No precisada</t>
  </si>
  <si>
    <t xml:space="preserve">Anterior</t>
  </si>
  <si>
    <t xml:space="preserve">Lateral</t>
  </si>
  <si>
    <t xml:space="preserve">Inferior</t>
  </si>
  <si>
    <t xml:space="preserve">Anterior extenso</t>
  </si>
  <si>
    <t xml:space="preserve">Anteroseptal</t>
  </si>
  <si>
    <t xml:space="preserve">IMA BE</t>
  </si>
  <si>
    <t xml:space="preserve">Trombolisis</t>
  </si>
  <si>
    <t xml:space="preserve">No Trombolisis</t>
  </si>
  <si>
    <t xml:space="preserve">no sin criterio</t>
  </si>
  <si>
    <t xml:space="preserve">no por actp</t>
  </si>
  <si>
    <t xml:space="preserve">IMA BC</t>
  </si>
  <si>
    <t xml:space="preserve">Vivo</t>
  </si>
  <si>
    <t xml:space="preserve">Muerte</t>
  </si>
  <si>
    <t xml:space="preserve">IMA AR</t>
  </si>
  <si>
    <t xml:space="preserve">actp primaria</t>
  </si>
  <si>
    <t xml:space="preserve">actp rescate</t>
  </si>
  <si>
    <t xml:space="preserve">no realizada</t>
  </si>
  <si>
    <t xml:space="preserve">farmaco invasiva</t>
  </si>
  <si>
    <t xml:space="preserve">IMA Trombolisis Muertos</t>
  </si>
  <si>
    <t xml:space="preserve">IMA No Trombolisis Muertos</t>
  </si>
  <si>
    <t xml:space="preserve">IMA No Sin Criterio  Muertos</t>
  </si>
  <si>
    <t xml:space="preserve">IMA No Por ACTP Muertos</t>
  </si>
  <si>
    <t xml:space="preserve">IMA actp primaria</t>
  </si>
  <si>
    <t xml:space="preserve">IMA actp rescate</t>
  </si>
  <si>
    <t xml:space="preserve">IMA shock</t>
  </si>
  <si>
    <t xml:space="preserve">IMA no realizada</t>
  </si>
  <si>
    <t xml:space="preserve">IMA farmaco invasiva</t>
  </si>
  <si>
    <t xml:space="preserve">.1,05</t>
  </si>
  <si>
    <t xml:space="preserve">10, 6</t>
  </si>
</sst>
</file>

<file path=xl/styles.xml><?xml version="1.0" encoding="utf-8"?>
<styleSheet xmlns="http://schemas.openxmlformats.org/spreadsheetml/2006/main">
  <numFmts count="3">
    <numFmt numFmtId="164" formatCode="General"/>
    <numFmt numFmtId="165" formatCode="m/d/yyyy"/>
    <numFmt numFmtId="166" formatCode="@"/>
  </numFmts>
  <fonts count="16">
    <font>
      <sz val="10"/>
      <name val="MS Sans Serif"/>
      <family val="0"/>
      <charset val="1"/>
    </font>
    <font>
      <sz val="10"/>
      <name val="Arial"/>
      <family val="0"/>
    </font>
    <font>
      <sz val="10"/>
      <name val="Arial"/>
      <family val="0"/>
    </font>
    <font>
      <sz val="10"/>
      <name val="Arial"/>
      <family val="0"/>
    </font>
    <font>
      <b val="true"/>
      <sz val="10"/>
      <name val="MS Sans Serif"/>
      <family val="2"/>
      <charset val="1"/>
    </font>
    <font>
      <b val="true"/>
      <sz val="10"/>
      <color rgb="FFFF0000"/>
      <name val="MS Sans Serif"/>
      <family val="2"/>
      <charset val="1"/>
    </font>
    <font>
      <sz val="10"/>
      <color rgb="FFFF0000"/>
      <name val="MS Sans Serif"/>
      <family val="2"/>
      <charset val="1"/>
    </font>
    <font>
      <sz val="10"/>
      <color rgb="FFFF0000"/>
      <name val="MS Sans Serif"/>
      <family val="0"/>
      <charset val="1"/>
    </font>
    <font>
      <sz val="10"/>
      <name val="MS Sans Serif"/>
      <family val="2"/>
      <charset val="1"/>
    </font>
    <font>
      <b val="true"/>
      <sz val="10"/>
      <color rgb="FF0000FF"/>
      <name val="MS Sans Serif"/>
      <family val="2"/>
      <charset val="1"/>
    </font>
    <font>
      <sz val="10"/>
      <color rgb="FF0000FF"/>
      <name val="MS Sans Serif"/>
      <family val="0"/>
      <charset val="1"/>
    </font>
    <font>
      <sz val="10"/>
      <name val="Arial"/>
      <family val="2"/>
    </font>
    <font>
      <b val="true"/>
      <sz val="18"/>
      <color rgb="FF404040"/>
      <name val="Calibri"/>
      <family val="2"/>
    </font>
    <font>
      <b val="true"/>
      <sz val="9"/>
      <color rgb="FFFFFFFF"/>
      <name val="Calibri"/>
      <family val="2"/>
    </font>
    <font>
      <sz val="9"/>
      <color rgb="FF404040"/>
      <name val="Calibri"/>
      <family val="2"/>
    </font>
    <font>
      <sz val="10"/>
      <color rgb="FF000000"/>
      <name val="Calibri"/>
      <family val="2"/>
    </font>
  </fonts>
  <fills count="4">
    <fill>
      <patternFill patternType="none"/>
    </fill>
    <fill>
      <patternFill patternType="gray125"/>
    </fill>
    <fill>
      <patternFill patternType="solid">
        <fgColor rgb="FFFFFF00"/>
        <bgColor rgb="FFFFFF00"/>
      </patternFill>
    </fill>
    <fill>
      <patternFill patternType="solid">
        <fgColor theme="0"/>
        <bgColor rgb="FFFFFFCC"/>
      </patternFill>
    </fill>
  </fills>
  <borders count="4">
    <border diagonalUp="false" diagonalDown="false">
      <left/>
      <right/>
      <top/>
      <bottom/>
      <diagonal/>
    </border>
    <border diagonalUp="false" diagonalDown="false">
      <left style="thin"/>
      <right style="thin"/>
      <top/>
      <bottom/>
      <diagonal/>
    </border>
    <border diagonalUp="false" diagonalDown="false">
      <left/>
      <right/>
      <top style="thin"/>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2" borderId="1" xfId="0" applyFont="false" applyBorder="true" applyAlignment="true" applyProtection="true">
      <alignment horizontal="center" vertical="bottom" textRotation="0" wrapText="false" indent="0" shrinkToFit="false"/>
      <protection locked="true" hidden="false"/>
    </xf>
    <xf numFmtId="164" fontId="0" fillId="2" borderId="1"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0" borderId="2"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2" borderId="3" xfId="0" applyFont="true" applyBorder="tru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5" fontId="0" fillId="0" borderId="0" xfId="0" applyFont="fals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true" applyAlignment="true" applyProtection="true">
      <alignment horizontal="center" vertical="bottom" textRotation="0" wrapText="false" indent="0" shrinkToFit="false"/>
      <protection locked="true" hidden="false"/>
    </xf>
    <xf numFmtId="165" fontId="8" fillId="0" borderId="0"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2" borderId="1"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4" fillId="2" borderId="0" xfId="0" applyFont="true" applyBorder="false" applyAlignment="true" applyProtection="true">
      <alignment horizontal="center" vertical="bottom" textRotation="0" wrapText="false" indent="0" shrinkToFit="false"/>
      <protection locked="true" hidden="false"/>
    </xf>
    <xf numFmtId="164" fontId="8"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5" fontId="0" fillId="2" borderId="0" xfId="0" applyFont="fals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true" applyBorder="false" applyAlignment="true" applyProtection="true">
      <alignment horizontal="left" vertical="bottom" textRotation="0" wrapText="false" indent="0" shrinkToFit="false"/>
      <protection locked="true" hidden="false"/>
    </xf>
    <xf numFmtId="166" fontId="8"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0" fillId="3" borderId="0" xfId="0" applyFont="true" applyBorder="true" applyAlignment="true" applyProtection="true">
      <alignment horizontal="center" vertical="bottom" textRotation="0" wrapText="false" indent="0" shrinkToFit="false"/>
      <protection locked="true" hidden="false"/>
    </xf>
    <xf numFmtId="165" fontId="0" fillId="3" borderId="0" xfId="0" applyFont="false" applyBorder="true" applyAlignment="true" applyProtection="true">
      <alignment horizontal="center" vertical="bottom" textRotation="0" wrapText="false" indent="0" shrinkToFit="false"/>
      <protection locked="true" hidden="false"/>
    </xf>
    <xf numFmtId="164" fontId="0" fillId="3" borderId="0" xfId="0" applyFont="fals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3" borderId="0"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left" vertical="bottom" textRotation="0" wrapText="false" indent="0" shrinkToFit="false"/>
      <protection locked="true" hidden="false"/>
    </xf>
    <xf numFmtId="164" fontId="8" fillId="2"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2"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true" applyAlignment="true" applyProtection="true">
      <alignment horizontal="center" vertical="bottom" textRotation="0" wrapText="false" indent="0" shrinkToFit="false"/>
      <protection locked="true" hidden="false"/>
    </xf>
    <xf numFmtId="164" fontId="7" fillId="2" borderId="1"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true" applyAlignment="true" applyProtection="true">
      <alignment horizontal="center" vertical="bottom" textRotation="0" wrapText="false" indent="0" shrinkToFit="false"/>
      <protection locked="true" hidden="false"/>
    </xf>
    <xf numFmtId="165" fontId="10" fillId="0" borderId="0"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0" fillId="2" borderId="1"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FCC"/>
      <rgbColor rgb="FFCCFFFF"/>
      <rgbColor rgb="FF660066"/>
      <rgbColor rgb="FFFF8080"/>
      <rgbColor rgb="FF0066CC"/>
      <rgbColor rgb="5CBFBFB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D94F81BD"/>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404040"/>
                </a:solidFill>
                <a:uFillTx/>
                <a:latin typeface="Calibri"/>
              </a:rPr>
              <a:t>Chart Title</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Hoja1!$A$21:$A$22</c:f>
              <c:strCache>
                <c:ptCount val="2"/>
                <c:pt idx="0">
                  <c:v>AIA</c:v>
                </c:pt>
                <c:pt idx="1">
                  <c:v>IMA</c:v>
                </c:pt>
              </c:strCache>
            </c:strRef>
          </c:cat>
          <c:val>
            <c:numRef>
              <c:f>Hoja1!$B$21:$B$22</c:f>
              <c:numCache>
                <c:formatCode>General</c:formatCode>
                <c:ptCount val="2"/>
                <c:pt idx="0">
                  <c:v>528</c:v>
                </c:pt>
                <c:pt idx="1">
                  <c:v>423</c:v>
                </c:pt>
              </c:numCache>
            </c:numRef>
          </c:val>
        </c:ser>
        <c:gapWidth val="65"/>
        <c:overlap val="0"/>
        <c:axId val="9631065"/>
        <c:axId val="40894334"/>
      </c:barChart>
      <c:catAx>
        <c:axId val="9631065"/>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40894334"/>
        <c:crosses val="autoZero"/>
        <c:auto val="1"/>
        <c:lblAlgn val="ctr"/>
        <c:lblOffset val="100"/>
        <c:noMultiLvlLbl val="0"/>
      </c:catAx>
      <c:valAx>
        <c:axId val="40894334"/>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631065"/>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Diag Ingreso:</a:t>
            </a:r>
            <a:r>
              <a:rPr b="1" lang="es-DO" sz="1800" strike="noStrike" u="none">
                <a:solidFill>
                  <a:srgbClr val="404040"/>
                </a:solidFill>
                <a:uFillTx/>
                <a:latin typeface="Calibri"/>
              </a:rPr>
              <a:t> 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IMA!$B$2:$B$3</c:f>
              <c:strCache>
                <c:ptCount val="2"/>
                <c:pt idx="0">
                  <c:v>Mujeres</c:v>
                </c:pt>
                <c:pt idx="1">
                  <c:v>Hombres</c:v>
                </c:pt>
              </c:strCache>
            </c:strRef>
          </c:cat>
          <c:val>
            <c:numRef>
              <c:f>IMA!$C$2:$C$3</c:f>
              <c:numCache>
                <c:formatCode>General</c:formatCode>
                <c:ptCount val="2"/>
                <c:pt idx="0">
                  <c:v>122</c:v>
                </c:pt>
                <c:pt idx="1">
                  <c:v>301</c:v>
                </c:pt>
              </c:numCache>
            </c:numRef>
          </c:val>
        </c:ser>
        <c:gapWidth val="65"/>
        <c:overlap val="0"/>
        <c:axId val="23993820"/>
        <c:axId val="5273643"/>
      </c:barChart>
      <c:catAx>
        <c:axId val="23993820"/>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5273643"/>
        <c:crosses val="autoZero"/>
        <c:auto val="1"/>
        <c:lblAlgn val="ctr"/>
        <c:lblOffset val="100"/>
        <c:noMultiLvlLbl val="0"/>
      </c:catAx>
      <c:valAx>
        <c:axId val="5273643"/>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3993820"/>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r>
              <a:rPr b="1" lang="es-DO" sz="1800" strike="noStrike" u="none">
                <a:solidFill>
                  <a:srgbClr val="404040"/>
                </a:solidFill>
                <a:uFillTx/>
                <a:latin typeface="Calibri"/>
              </a:rPr>
              <a:t> por Edad</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IMA!$B$25:$B$30</c:f>
              <c:strCache>
                <c:ptCount val="6"/>
                <c:pt idx="0">
                  <c:v>&lt; 40</c:v>
                </c:pt>
                <c:pt idx="1">
                  <c:v>41 a 50</c:v>
                </c:pt>
                <c:pt idx="2">
                  <c:v>51 a 60</c:v>
                </c:pt>
                <c:pt idx="3">
                  <c:v>61 a 70</c:v>
                </c:pt>
                <c:pt idx="4">
                  <c:v>71 a 80</c:v>
                </c:pt>
                <c:pt idx="5">
                  <c:v>&gt; 80</c:v>
                </c:pt>
              </c:strCache>
            </c:strRef>
          </c:cat>
          <c:val>
            <c:numRef>
              <c:f>IMA!$C$25:$C$30</c:f>
              <c:numCache>
                <c:formatCode>General</c:formatCode>
                <c:ptCount val="6"/>
                <c:pt idx="0">
                  <c:v>14</c:v>
                </c:pt>
                <c:pt idx="1">
                  <c:v>46</c:v>
                </c:pt>
                <c:pt idx="2">
                  <c:v>133</c:v>
                </c:pt>
                <c:pt idx="3">
                  <c:v>123</c:v>
                </c:pt>
                <c:pt idx="4">
                  <c:v>82</c:v>
                </c:pt>
                <c:pt idx="5">
                  <c:v>25</c:v>
                </c:pt>
              </c:numCache>
            </c:numRef>
          </c:val>
        </c:ser>
        <c:gapWidth val="65"/>
        <c:overlap val="0"/>
        <c:axId val="35963190"/>
        <c:axId val="69575705"/>
      </c:barChart>
      <c:catAx>
        <c:axId val="35963190"/>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69575705"/>
        <c:crosses val="autoZero"/>
        <c:auto val="1"/>
        <c:lblAlgn val="ctr"/>
        <c:lblOffset val="100"/>
        <c:noMultiLvlLbl val="0"/>
      </c:catAx>
      <c:valAx>
        <c:axId val="69575705"/>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5963190"/>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 por Color de Piel</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IMA!$B$44:$B$46</c:f>
              <c:strCache>
                <c:ptCount val="3"/>
                <c:pt idx="0">
                  <c:v>Blanca</c:v>
                </c:pt>
                <c:pt idx="1">
                  <c:v>Negra</c:v>
                </c:pt>
                <c:pt idx="2">
                  <c:v>Mestizo</c:v>
                </c:pt>
              </c:strCache>
            </c:strRef>
          </c:cat>
          <c:val>
            <c:numRef>
              <c:f>IMA!$C$44:$C$46</c:f>
              <c:numCache>
                <c:formatCode>General</c:formatCode>
                <c:ptCount val="3"/>
                <c:pt idx="0">
                  <c:v>296</c:v>
                </c:pt>
                <c:pt idx="1">
                  <c:v>127</c:v>
                </c:pt>
                <c:pt idx="2">
                  <c:v>0</c:v>
                </c:pt>
              </c:numCache>
            </c:numRef>
          </c:val>
        </c:ser>
        <c:gapWidth val="65"/>
        <c:overlap val="0"/>
        <c:axId val="54253342"/>
        <c:axId val="86830415"/>
      </c:barChart>
      <c:catAx>
        <c:axId val="54253342"/>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86830415"/>
        <c:crosses val="autoZero"/>
        <c:auto val="1"/>
        <c:lblAlgn val="ctr"/>
        <c:lblOffset val="100"/>
        <c:noMultiLvlLbl val="0"/>
      </c:catAx>
      <c:valAx>
        <c:axId val="86830415"/>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4253342"/>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IMA!$B$64:$B$70</c:f>
              <c:strCache>
                <c:ptCount val="7"/>
                <c:pt idx="0">
                  <c:v>H Fum</c:v>
                </c:pt>
                <c:pt idx="1">
                  <c:v>HTA</c:v>
                </c:pt>
                <c:pt idx="2">
                  <c:v>IMA ant</c:v>
                </c:pt>
                <c:pt idx="3">
                  <c:v>Obes</c:v>
                </c:pt>
                <c:pt idx="4">
                  <c:v>Disl</c:v>
                </c:pt>
                <c:pt idx="5">
                  <c:v>DM</c:v>
                </c:pt>
                <c:pt idx="6">
                  <c:v>IRC</c:v>
                </c:pt>
              </c:strCache>
            </c:strRef>
          </c:cat>
          <c:val>
            <c:numRef>
              <c:f>IMA!$C$64:$C$70</c:f>
              <c:numCache>
                <c:formatCode>General</c:formatCode>
                <c:ptCount val="7"/>
                <c:pt idx="0">
                  <c:v>261</c:v>
                </c:pt>
                <c:pt idx="1">
                  <c:v>312</c:v>
                </c:pt>
                <c:pt idx="2">
                  <c:v>37</c:v>
                </c:pt>
                <c:pt idx="3">
                  <c:v>44</c:v>
                </c:pt>
                <c:pt idx="4">
                  <c:v>39</c:v>
                </c:pt>
                <c:pt idx="5">
                  <c:v>106</c:v>
                </c:pt>
                <c:pt idx="6">
                  <c:v>4</c:v>
                </c:pt>
              </c:numCache>
            </c:numRef>
          </c:val>
        </c:ser>
        <c:gapWidth val="65"/>
        <c:overlap val="0"/>
        <c:axId val="90470564"/>
        <c:axId val="12646296"/>
      </c:barChart>
      <c:catAx>
        <c:axId val="90470564"/>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12646296"/>
        <c:crosses val="autoZero"/>
        <c:auto val="1"/>
        <c:lblAlgn val="ctr"/>
        <c:lblOffset val="100"/>
        <c:noMultiLvlLbl val="0"/>
      </c:catAx>
      <c:valAx>
        <c:axId val="1264629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0470564"/>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IMA!$B$84:$B$94,IMA!$B$97:$B$99</c:f>
              <c:strCache>
                <c:ptCount val="14"/>
                <c:pt idx="0">
                  <c:v>No Complica</c:v>
                </c:pt>
                <c:pt idx="1">
                  <c:v>angia post ima</c:v>
                </c:pt>
                <c:pt idx="2">
                  <c:v>reinfarto</c:v>
                </c:pt>
                <c:pt idx="3">
                  <c:v>insuficiencia</c:v>
                </c:pt>
                <c:pt idx="4">
                  <c:v>trastorno</c:v>
                </c:pt>
                <c:pt idx="5">
                  <c:v>shock</c:v>
                </c:pt>
                <c:pt idx="6">
                  <c:v>hipotencia</c:v>
                </c:pt>
                <c:pt idx="7">
                  <c:v>sangramiento</c:v>
                </c:pt>
                <c:pt idx="8">
                  <c:v>pericarditis</c:v>
                </c:pt>
                <c:pt idx="9">
                  <c:v>parada</c:v>
                </c:pt>
                <c:pt idx="10">
                  <c:v>sincope</c:v>
                </c:pt>
                <c:pt idx="11">
                  <c:v>muerte</c:v>
                </c:pt>
                <c:pt idx="12">
                  <c:v>enf cerebrovas</c:v>
                </c:pt>
                <c:pt idx="13">
                  <c:v>otras</c:v>
                </c:pt>
              </c:strCache>
            </c:strRef>
          </c:cat>
          <c:val>
            <c:numRef>
              <c:f>IMA!$C$84:$C$94,IMA!$C$97:$C$99</c:f>
              <c:numCache>
                <c:formatCode>General</c:formatCode>
                <c:ptCount val="14"/>
                <c:pt idx="0">
                  <c:v>329</c:v>
                </c:pt>
                <c:pt idx="1">
                  <c:v>6</c:v>
                </c:pt>
                <c:pt idx="2">
                  <c:v>2</c:v>
                </c:pt>
                <c:pt idx="3">
                  <c:v>19</c:v>
                </c:pt>
                <c:pt idx="4">
                  <c:v>21</c:v>
                </c:pt>
                <c:pt idx="5">
                  <c:v>20</c:v>
                </c:pt>
                <c:pt idx="6">
                  <c:v>4</c:v>
                </c:pt>
                <c:pt idx="7">
                  <c:v>0</c:v>
                </c:pt>
                <c:pt idx="8">
                  <c:v>3</c:v>
                </c:pt>
                <c:pt idx="9">
                  <c:v>11</c:v>
                </c:pt>
                <c:pt idx="10">
                  <c:v>0</c:v>
                </c:pt>
                <c:pt idx="11">
                  <c:v>3</c:v>
                </c:pt>
                <c:pt idx="12">
                  <c:v>1</c:v>
                </c:pt>
                <c:pt idx="13">
                  <c:v>4</c:v>
                </c:pt>
              </c:numCache>
            </c:numRef>
          </c:val>
        </c:ser>
        <c:gapWidth val="65"/>
        <c:overlap val="0"/>
        <c:axId val="85749328"/>
        <c:axId val="15477620"/>
      </c:barChart>
      <c:catAx>
        <c:axId val="85749328"/>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15477620"/>
        <c:crosses val="autoZero"/>
        <c:auto val="1"/>
        <c:lblAlgn val="ctr"/>
        <c:lblOffset val="100"/>
        <c:noMultiLvlLbl val="0"/>
      </c:catAx>
      <c:valAx>
        <c:axId val="15477620"/>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5749328"/>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IMA!$B$104:$B$108</c:f>
              <c:strCache>
                <c:ptCount val="5"/>
                <c:pt idx="0">
                  <c:v>Anterior</c:v>
                </c:pt>
                <c:pt idx="1">
                  <c:v>Lateral</c:v>
                </c:pt>
                <c:pt idx="2">
                  <c:v>Inferior</c:v>
                </c:pt>
                <c:pt idx="3">
                  <c:v>Anterior extenso</c:v>
                </c:pt>
                <c:pt idx="4">
                  <c:v>Anteroseptal</c:v>
                </c:pt>
              </c:strCache>
            </c:strRef>
          </c:cat>
          <c:val>
            <c:numRef>
              <c:f>IMA!$C$104:$C$108</c:f>
              <c:numCache>
                <c:formatCode>General</c:formatCode>
                <c:ptCount val="5"/>
                <c:pt idx="0">
                  <c:v>169</c:v>
                </c:pt>
                <c:pt idx="1">
                  <c:v>9</c:v>
                </c:pt>
                <c:pt idx="2">
                  <c:v>220</c:v>
                </c:pt>
                <c:pt idx="3">
                  <c:v>6</c:v>
                </c:pt>
                <c:pt idx="4">
                  <c:v>19</c:v>
                </c:pt>
              </c:numCache>
            </c:numRef>
          </c:val>
        </c:ser>
        <c:gapWidth val="65"/>
        <c:overlap val="0"/>
        <c:axId val="19922226"/>
        <c:axId val="2248160"/>
      </c:barChart>
      <c:catAx>
        <c:axId val="19922226"/>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2248160"/>
        <c:crosses val="autoZero"/>
        <c:auto val="1"/>
        <c:lblAlgn val="ctr"/>
        <c:lblOffset val="100"/>
        <c:noMultiLvlLbl val="0"/>
      </c:catAx>
      <c:valAx>
        <c:axId val="2248160"/>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9922226"/>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IMA!$B$122:$B$125</c:f>
              <c:strCache>
                <c:ptCount val="4"/>
                <c:pt idx="0">
                  <c:v>Trombolisis</c:v>
                </c:pt>
                <c:pt idx="1">
                  <c:v>No Trombolisis</c:v>
                </c:pt>
                <c:pt idx="2">
                  <c:v>no sin criterio</c:v>
                </c:pt>
                <c:pt idx="3">
                  <c:v>no por actp</c:v>
                </c:pt>
              </c:strCache>
            </c:strRef>
          </c:cat>
          <c:val>
            <c:numRef>
              <c:f>IMA!$C$122:$C$125</c:f>
              <c:numCache>
                <c:formatCode>General</c:formatCode>
                <c:ptCount val="4"/>
                <c:pt idx="0">
                  <c:v>269</c:v>
                </c:pt>
                <c:pt idx="1">
                  <c:v>6</c:v>
                </c:pt>
                <c:pt idx="2">
                  <c:v>147</c:v>
                </c:pt>
                <c:pt idx="3">
                  <c:v>1</c:v>
                </c:pt>
              </c:numCache>
            </c:numRef>
          </c:val>
        </c:ser>
        <c:gapWidth val="65"/>
        <c:overlap val="0"/>
        <c:axId val="77386203"/>
        <c:axId val="68184405"/>
      </c:barChart>
      <c:catAx>
        <c:axId val="77386203"/>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68184405"/>
        <c:crosses val="autoZero"/>
        <c:auto val="1"/>
        <c:lblAlgn val="ctr"/>
        <c:lblOffset val="100"/>
        <c:noMultiLvlLbl val="0"/>
      </c:catAx>
      <c:valAx>
        <c:axId val="68184405"/>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7386203"/>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IMA!$B$141:$B$142</c:f>
              <c:strCache>
                <c:ptCount val="2"/>
                <c:pt idx="0">
                  <c:v>Vivo</c:v>
                </c:pt>
                <c:pt idx="1">
                  <c:v>Muerte</c:v>
                </c:pt>
              </c:strCache>
            </c:strRef>
          </c:cat>
          <c:val>
            <c:numRef>
              <c:f>IMA!$C$141:$C$142</c:f>
              <c:numCache>
                <c:formatCode>General</c:formatCode>
                <c:ptCount val="2"/>
                <c:pt idx="0">
                  <c:v>399</c:v>
                </c:pt>
                <c:pt idx="1">
                  <c:v>24</c:v>
                </c:pt>
              </c:numCache>
            </c:numRef>
          </c:val>
        </c:ser>
        <c:gapWidth val="65"/>
        <c:overlap val="0"/>
        <c:axId val="70027665"/>
        <c:axId val="27546368"/>
      </c:barChart>
      <c:catAx>
        <c:axId val="70027665"/>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27546368"/>
        <c:crosses val="autoZero"/>
        <c:auto val="1"/>
        <c:lblAlgn val="ctr"/>
        <c:lblOffset val="100"/>
        <c:noMultiLvlLbl val="0"/>
      </c:catAx>
      <c:valAx>
        <c:axId val="27546368"/>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0027665"/>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IMA!$B$161:$B$165</c:f>
              <c:strCache>
                <c:ptCount val="5"/>
                <c:pt idx="0">
                  <c:v>actp primaria</c:v>
                </c:pt>
                <c:pt idx="1">
                  <c:v>actp rescate</c:v>
                </c:pt>
                <c:pt idx="2">
                  <c:v>shock</c:v>
                </c:pt>
                <c:pt idx="3">
                  <c:v>no realizada</c:v>
                </c:pt>
                <c:pt idx="4">
                  <c:v>farmaco invasiva</c:v>
                </c:pt>
              </c:strCache>
            </c:strRef>
          </c:cat>
          <c:val>
            <c:numRef>
              <c:f>IMA!$C$161:$C$165</c:f>
              <c:numCache>
                <c:formatCode>General</c:formatCode>
                <c:ptCount val="5"/>
                <c:pt idx="0">
                  <c:v>1</c:v>
                </c:pt>
                <c:pt idx="1">
                  <c:v>4</c:v>
                </c:pt>
                <c:pt idx="2">
                  <c:v>2</c:v>
                </c:pt>
                <c:pt idx="3">
                  <c:v>404</c:v>
                </c:pt>
                <c:pt idx="4">
                  <c:v>0</c:v>
                </c:pt>
              </c:numCache>
            </c:numRef>
          </c:val>
        </c:ser>
        <c:gapWidth val="65"/>
        <c:overlap val="0"/>
        <c:axId val="16456262"/>
        <c:axId val="12951875"/>
      </c:barChart>
      <c:catAx>
        <c:axId val="16456262"/>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12951875"/>
        <c:crosses val="autoZero"/>
        <c:auto val="1"/>
        <c:lblAlgn val="ctr"/>
        <c:lblOffset val="100"/>
        <c:noMultiLvlLbl val="0"/>
      </c:catAx>
      <c:valAx>
        <c:axId val="12951875"/>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6456262"/>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Diag Egreso:</a:t>
            </a:r>
            <a:r>
              <a:rPr b="1" lang="es-DO" sz="1800" strike="noStrike" u="none">
                <a:solidFill>
                  <a:srgbClr val="404040"/>
                </a:solidFill>
                <a:uFillTx/>
                <a:latin typeface="Calibri"/>
              </a:rPr>
              <a:t> 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DEIMA!$B$2:$B$3</c:f>
              <c:strCache>
                <c:ptCount val="2"/>
                <c:pt idx="0">
                  <c:v>Mujeres</c:v>
                </c:pt>
                <c:pt idx="1">
                  <c:v>Hombres</c:v>
                </c:pt>
              </c:strCache>
            </c:strRef>
          </c:cat>
          <c:val>
            <c:numRef>
              <c:f>DEIMA!$C$2:$C$3</c:f>
              <c:numCache>
                <c:formatCode>General</c:formatCode>
                <c:ptCount val="2"/>
                <c:pt idx="0">
                  <c:v>126</c:v>
                </c:pt>
                <c:pt idx="1">
                  <c:v>312</c:v>
                </c:pt>
              </c:numCache>
            </c:numRef>
          </c:val>
        </c:ser>
        <c:gapWidth val="65"/>
        <c:overlap val="0"/>
        <c:axId val="59860415"/>
        <c:axId val="96940407"/>
      </c:barChart>
      <c:catAx>
        <c:axId val="59860415"/>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96940407"/>
        <c:crosses val="autoZero"/>
        <c:auto val="1"/>
        <c:lblAlgn val="ctr"/>
        <c:lblOffset val="100"/>
        <c:noMultiLvlLbl val="0"/>
      </c:catAx>
      <c:valAx>
        <c:axId val="96940407"/>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9860415"/>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r>
              <a:rPr b="1" lang="es-DO" sz="1800" strike="noStrike" u="none">
                <a:solidFill>
                  <a:srgbClr val="404040"/>
                </a:solidFill>
                <a:uFillTx/>
                <a:latin typeface="Calibri"/>
              </a:rPr>
              <a:t> por Edad</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DEIMA!$B$25:$B$30</c:f>
              <c:strCache>
                <c:ptCount val="6"/>
                <c:pt idx="0">
                  <c:v>&lt; 40</c:v>
                </c:pt>
                <c:pt idx="1">
                  <c:v>41 a 50</c:v>
                </c:pt>
                <c:pt idx="2">
                  <c:v>51 a 60</c:v>
                </c:pt>
                <c:pt idx="3">
                  <c:v>61 a 70</c:v>
                </c:pt>
                <c:pt idx="4">
                  <c:v>71 a 80</c:v>
                </c:pt>
                <c:pt idx="5">
                  <c:v>&gt; 80</c:v>
                </c:pt>
              </c:strCache>
            </c:strRef>
          </c:cat>
          <c:val>
            <c:numRef>
              <c:f>DEIMA!$C$25:$C$30</c:f>
              <c:numCache>
                <c:formatCode>General</c:formatCode>
                <c:ptCount val="6"/>
                <c:pt idx="0">
                  <c:v>10</c:v>
                </c:pt>
                <c:pt idx="1">
                  <c:v>48</c:v>
                </c:pt>
                <c:pt idx="2">
                  <c:v>142</c:v>
                </c:pt>
                <c:pt idx="3">
                  <c:v>122</c:v>
                </c:pt>
                <c:pt idx="4">
                  <c:v>89</c:v>
                </c:pt>
                <c:pt idx="5">
                  <c:v>27</c:v>
                </c:pt>
              </c:numCache>
            </c:numRef>
          </c:val>
        </c:ser>
        <c:gapWidth val="65"/>
        <c:overlap val="0"/>
        <c:axId val="62324384"/>
        <c:axId val="15831350"/>
      </c:barChart>
      <c:catAx>
        <c:axId val="62324384"/>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15831350"/>
        <c:crosses val="autoZero"/>
        <c:auto val="1"/>
        <c:lblAlgn val="ctr"/>
        <c:lblOffset val="100"/>
        <c:noMultiLvlLbl val="0"/>
      </c:catAx>
      <c:valAx>
        <c:axId val="15831350"/>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2324384"/>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 por Color de Piel</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DEIMA!$B$44:$B$46</c:f>
              <c:strCache>
                <c:ptCount val="3"/>
                <c:pt idx="0">
                  <c:v>Blanca</c:v>
                </c:pt>
                <c:pt idx="1">
                  <c:v>Negra</c:v>
                </c:pt>
                <c:pt idx="2">
                  <c:v>Mestizo</c:v>
                </c:pt>
              </c:strCache>
            </c:strRef>
          </c:cat>
          <c:val>
            <c:numRef>
              <c:f>DEIMA!$C$44:$C$46</c:f>
              <c:numCache>
                <c:formatCode>General</c:formatCode>
                <c:ptCount val="3"/>
                <c:pt idx="0">
                  <c:v>305</c:v>
                </c:pt>
                <c:pt idx="1">
                  <c:v>133</c:v>
                </c:pt>
                <c:pt idx="2">
                  <c:v>0</c:v>
                </c:pt>
              </c:numCache>
            </c:numRef>
          </c:val>
        </c:ser>
        <c:gapWidth val="65"/>
        <c:overlap val="0"/>
        <c:axId val="34854204"/>
        <c:axId val="96060743"/>
      </c:barChart>
      <c:catAx>
        <c:axId val="34854204"/>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96060743"/>
        <c:crosses val="autoZero"/>
        <c:auto val="1"/>
        <c:lblAlgn val="ctr"/>
        <c:lblOffset val="100"/>
        <c:noMultiLvlLbl val="0"/>
      </c:catAx>
      <c:valAx>
        <c:axId val="96060743"/>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4854204"/>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DEIMA!$B$64:$B$70</c:f>
              <c:strCache>
                <c:ptCount val="7"/>
                <c:pt idx="0">
                  <c:v>H Fum</c:v>
                </c:pt>
                <c:pt idx="1">
                  <c:v>HTA</c:v>
                </c:pt>
                <c:pt idx="2">
                  <c:v>IMA ant</c:v>
                </c:pt>
                <c:pt idx="3">
                  <c:v>Obes</c:v>
                </c:pt>
                <c:pt idx="4">
                  <c:v>Disl</c:v>
                </c:pt>
                <c:pt idx="5">
                  <c:v>DM</c:v>
                </c:pt>
                <c:pt idx="6">
                  <c:v>IRC</c:v>
                </c:pt>
              </c:strCache>
            </c:strRef>
          </c:cat>
          <c:val>
            <c:numRef>
              <c:f>DEIMA!$C$64:$C$70</c:f>
              <c:numCache>
                <c:formatCode>General</c:formatCode>
                <c:ptCount val="7"/>
                <c:pt idx="0">
                  <c:v>274</c:v>
                </c:pt>
                <c:pt idx="1">
                  <c:v>325</c:v>
                </c:pt>
                <c:pt idx="2">
                  <c:v>34</c:v>
                </c:pt>
                <c:pt idx="3">
                  <c:v>47</c:v>
                </c:pt>
                <c:pt idx="4">
                  <c:v>39</c:v>
                </c:pt>
                <c:pt idx="5">
                  <c:v>110</c:v>
                </c:pt>
                <c:pt idx="6">
                  <c:v>4</c:v>
                </c:pt>
              </c:numCache>
            </c:numRef>
          </c:val>
        </c:ser>
        <c:gapWidth val="65"/>
        <c:overlap val="0"/>
        <c:axId val="3708437"/>
        <c:axId val="24154001"/>
      </c:barChart>
      <c:catAx>
        <c:axId val="3708437"/>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24154001"/>
        <c:crosses val="autoZero"/>
        <c:auto val="1"/>
        <c:lblAlgn val="ctr"/>
        <c:lblOffset val="100"/>
        <c:noMultiLvlLbl val="0"/>
      </c:catAx>
      <c:valAx>
        <c:axId val="24154001"/>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708437"/>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DEIMA!$B$84:$B$94</c:f>
              <c:strCache>
                <c:ptCount val="11"/>
                <c:pt idx="0">
                  <c:v>No Complica</c:v>
                </c:pt>
                <c:pt idx="1">
                  <c:v>angia post ima</c:v>
                </c:pt>
                <c:pt idx="2">
                  <c:v>reinfarto</c:v>
                </c:pt>
                <c:pt idx="3">
                  <c:v>insuficiencia</c:v>
                </c:pt>
                <c:pt idx="4">
                  <c:v>trastorno</c:v>
                </c:pt>
                <c:pt idx="5">
                  <c:v>shock</c:v>
                </c:pt>
                <c:pt idx="6">
                  <c:v>hipotencia</c:v>
                </c:pt>
                <c:pt idx="7">
                  <c:v>sangramiento</c:v>
                </c:pt>
                <c:pt idx="8">
                  <c:v>pericarditis</c:v>
                </c:pt>
                <c:pt idx="9">
                  <c:v>parada</c:v>
                </c:pt>
                <c:pt idx="10">
                  <c:v>sincope</c:v>
                </c:pt>
              </c:strCache>
            </c:strRef>
          </c:cat>
          <c:val>
            <c:numRef>
              <c:f>DEIMA!$C$84:$C$94</c:f>
              <c:numCache>
                <c:formatCode>General</c:formatCode>
                <c:ptCount val="11"/>
                <c:pt idx="0">
                  <c:v>11</c:v>
                </c:pt>
                <c:pt idx="1">
                  <c:v>6</c:v>
                </c:pt>
                <c:pt idx="2">
                  <c:v>1</c:v>
                </c:pt>
                <c:pt idx="3">
                  <c:v>22</c:v>
                </c:pt>
                <c:pt idx="4">
                  <c:v>20</c:v>
                </c:pt>
                <c:pt idx="5">
                  <c:v>22</c:v>
                </c:pt>
                <c:pt idx="6">
                  <c:v>4</c:v>
                </c:pt>
                <c:pt idx="7">
                  <c:v>0</c:v>
                </c:pt>
                <c:pt idx="8">
                  <c:v>3</c:v>
                </c:pt>
                <c:pt idx="9">
                  <c:v>12</c:v>
                </c:pt>
                <c:pt idx="10">
                  <c:v>0</c:v>
                </c:pt>
              </c:numCache>
            </c:numRef>
          </c:val>
        </c:ser>
        <c:gapWidth val="65"/>
        <c:overlap val="0"/>
        <c:axId val="44340870"/>
        <c:axId val="15760245"/>
      </c:barChart>
      <c:catAx>
        <c:axId val="44340870"/>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15760245"/>
        <c:crosses val="autoZero"/>
        <c:auto val="1"/>
        <c:lblAlgn val="ctr"/>
        <c:lblOffset val="100"/>
        <c:noMultiLvlLbl val="0"/>
      </c:catAx>
      <c:valAx>
        <c:axId val="15760245"/>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4340870"/>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DEIMA!$B$104:$B$108</c:f>
              <c:strCache>
                <c:ptCount val="5"/>
                <c:pt idx="0">
                  <c:v>Anterior</c:v>
                </c:pt>
                <c:pt idx="1">
                  <c:v>Lateral</c:v>
                </c:pt>
                <c:pt idx="2">
                  <c:v>Inferior</c:v>
                </c:pt>
                <c:pt idx="3">
                  <c:v>Anterior extenso</c:v>
                </c:pt>
                <c:pt idx="4">
                  <c:v>Anteroseptal</c:v>
                </c:pt>
              </c:strCache>
            </c:strRef>
          </c:cat>
          <c:val>
            <c:numRef>
              <c:f>DEIMA!$C$104:$C$108</c:f>
              <c:numCache>
                <c:formatCode>General</c:formatCode>
                <c:ptCount val="5"/>
                <c:pt idx="0">
                  <c:v>169</c:v>
                </c:pt>
                <c:pt idx="1">
                  <c:v>9</c:v>
                </c:pt>
                <c:pt idx="2">
                  <c:v>220</c:v>
                </c:pt>
                <c:pt idx="3">
                  <c:v>6</c:v>
                </c:pt>
                <c:pt idx="4">
                  <c:v>19</c:v>
                </c:pt>
              </c:numCache>
            </c:numRef>
          </c:val>
        </c:ser>
        <c:gapWidth val="65"/>
        <c:overlap val="0"/>
        <c:axId val="71339719"/>
        <c:axId val="43616596"/>
      </c:barChart>
      <c:catAx>
        <c:axId val="71339719"/>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43616596"/>
        <c:crosses val="autoZero"/>
        <c:auto val="1"/>
        <c:lblAlgn val="ctr"/>
        <c:lblOffset val="100"/>
        <c:noMultiLvlLbl val="0"/>
      </c:catAx>
      <c:valAx>
        <c:axId val="4361659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1339719"/>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DEIMA!$B$122:$B$125</c:f>
              <c:strCache>
                <c:ptCount val="4"/>
                <c:pt idx="0">
                  <c:v>Trombolisis</c:v>
                </c:pt>
                <c:pt idx="1">
                  <c:v>No Trombolisis</c:v>
                </c:pt>
                <c:pt idx="2">
                  <c:v>no sin criterio</c:v>
                </c:pt>
                <c:pt idx="3">
                  <c:v>no por actp</c:v>
                </c:pt>
              </c:strCache>
            </c:strRef>
          </c:cat>
          <c:val>
            <c:numRef>
              <c:f>DEIMA!$C$122:$C$125</c:f>
              <c:numCache>
                <c:formatCode>General</c:formatCode>
                <c:ptCount val="4"/>
                <c:pt idx="0">
                  <c:v>279</c:v>
                </c:pt>
                <c:pt idx="1">
                  <c:v>6</c:v>
                </c:pt>
                <c:pt idx="2">
                  <c:v>152</c:v>
                </c:pt>
                <c:pt idx="3">
                  <c:v>1</c:v>
                </c:pt>
              </c:numCache>
            </c:numRef>
          </c:val>
        </c:ser>
        <c:gapWidth val="65"/>
        <c:overlap val="0"/>
        <c:axId val="5740398"/>
        <c:axId val="98446697"/>
      </c:barChart>
      <c:catAx>
        <c:axId val="5740398"/>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98446697"/>
        <c:crosses val="autoZero"/>
        <c:auto val="1"/>
        <c:lblAlgn val="ctr"/>
        <c:lblOffset val="100"/>
        <c:noMultiLvlLbl val="0"/>
      </c:catAx>
      <c:valAx>
        <c:axId val="98446697"/>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740398"/>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DEIMA!$B$141:$B$142</c:f>
              <c:strCache>
                <c:ptCount val="2"/>
                <c:pt idx="0">
                  <c:v>Vivo</c:v>
                </c:pt>
                <c:pt idx="1">
                  <c:v>Muerte</c:v>
                </c:pt>
              </c:strCache>
            </c:strRef>
          </c:cat>
          <c:val>
            <c:numRef>
              <c:f>DEIMA!$C$141:$C$142</c:f>
              <c:numCache>
                <c:formatCode>General</c:formatCode>
                <c:ptCount val="2"/>
                <c:pt idx="0">
                  <c:v>414</c:v>
                </c:pt>
                <c:pt idx="1">
                  <c:v>24</c:v>
                </c:pt>
              </c:numCache>
            </c:numRef>
          </c:val>
        </c:ser>
        <c:gapWidth val="65"/>
        <c:overlap val="0"/>
        <c:axId val="56025146"/>
        <c:axId val="99792793"/>
      </c:barChart>
      <c:catAx>
        <c:axId val="56025146"/>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99792793"/>
        <c:crosses val="autoZero"/>
        <c:auto val="1"/>
        <c:lblAlgn val="ctr"/>
        <c:lblOffset val="100"/>
        <c:noMultiLvlLbl val="0"/>
      </c:catAx>
      <c:valAx>
        <c:axId val="99792793"/>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6025146"/>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DEIMA!$B$161:$B$165</c:f>
              <c:strCache>
                <c:ptCount val="5"/>
                <c:pt idx="0">
                  <c:v>actp primaria</c:v>
                </c:pt>
                <c:pt idx="1">
                  <c:v>actp rescate</c:v>
                </c:pt>
                <c:pt idx="2">
                  <c:v>shock</c:v>
                </c:pt>
                <c:pt idx="3">
                  <c:v>no realizada</c:v>
                </c:pt>
                <c:pt idx="4">
                  <c:v>farmaco invasiva</c:v>
                </c:pt>
              </c:strCache>
            </c:strRef>
          </c:cat>
          <c:val>
            <c:numRef>
              <c:f>DEIMA!$C$161:$C$165</c:f>
              <c:numCache>
                <c:formatCode>General</c:formatCode>
                <c:ptCount val="5"/>
                <c:pt idx="0">
                  <c:v>1</c:v>
                </c:pt>
                <c:pt idx="1">
                  <c:v>5</c:v>
                </c:pt>
                <c:pt idx="2">
                  <c:v>2</c:v>
                </c:pt>
                <c:pt idx="3">
                  <c:v>417</c:v>
                </c:pt>
                <c:pt idx="4">
                  <c:v>0</c:v>
                </c:pt>
              </c:numCache>
            </c:numRef>
          </c:val>
        </c:ser>
        <c:gapWidth val="65"/>
        <c:overlap val="0"/>
        <c:axId val="5004569"/>
        <c:axId val="65151070"/>
      </c:barChart>
      <c:catAx>
        <c:axId val="5004569"/>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65151070"/>
        <c:crosses val="autoZero"/>
        <c:auto val="1"/>
        <c:lblAlgn val="ctr"/>
        <c:lblOffset val="100"/>
        <c:noMultiLvlLbl val="0"/>
      </c:catAx>
      <c:valAx>
        <c:axId val="65151070"/>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004569"/>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Relationship Id="rId7" Type="http://schemas.openxmlformats.org/officeDocument/2006/relationships/chart" Target="../charts/chart8.xml"/><Relationship Id="rId8" Type="http://schemas.openxmlformats.org/officeDocument/2006/relationships/chart" Target="../charts/chart9.xml"/><Relationship Id="rId9" Type="http://schemas.openxmlformats.org/officeDocument/2006/relationships/chart" Target="../charts/chart10.xml"/>
</Relationships>
</file>

<file path=xl/drawings/_rels/drawing3.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 Id="rId3" Type="http://schemas.openxmlformats.org/officeDocument/2006/relationships/chart" Target="../charts/chart13.xml"/><Relationship Id="rId4" Type="http://schemas.openxmlformats.org/officeDocument/2006/relationships/chart" Target="../charts/chart14.xml"/><Relationship Id="rId5" Type="http://schemas.openxmlformats.org/officeDocument/2006/relationships/chart" Target="../charts/chart15.xml"/><Relationship Id="rId6" Type="http://schemas.openxmlformats.org/officeDocument/2006/relationships/chart" Target="../charts/chart16.xml"/><Relationship Id="rId7" Type="http://schemas.openxmlformats.org/officeDocument/2006/relationships/chart" Target="../charts/chart17.xml"/><Relationship Id="rId8" Type="http://schemas.openxmlformats.org/officeDocument/2006/relationships/chart" Target="../charts/chart18.xml"/><Relationship Id="rId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9360</xdr:colOff>
      <xdr:row>20</xdr:row>
      <xdr:rowOff>0</xdr:rowOff>
    </xdr:from>
    <xdr:to>
      <xdr:col>8</xdr:col>
      <xdr:colOff>8280</xdr:colOff>
      <xdr:row>36</xdr:row>
      <xdr:rowOff>151200</xdr:rowOff>
    </xdr:to>
    <xdr:graphicFrame>
      <xdr:nvGraphicFramePr>
        <xdr:cNvPr id="0" name="Chart 1"/>
        <xdr:cNvGraphicFramePr/>
      </xdr:nvGraphicFramePr>
      <xdr:xfrm>
        <a:off x="1664280" y="3238560"/>
        <a:ext cx="4963320" cy="274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9360</xdr:colOff>
      <xdr:row>1</xdr:row>
      <xdr:rowOff>9360</xdr:rowOff>
    </xdr:from>
    <xdr:to>
      <xdr:col>9</xdr:col>
      <xdr:colOff>8280</xdr:colOff>
      <xdr:row>17</xdr:row>
      <xdr:rowOff>160920</xdr:rowOff>
    </xdr:to>
    <xdr:graphicFrame>
      <xdr:nvGraphicFramePr>
        <xdr:cNvPr id="1" name="Chart 1"/>
        <xdr:cNvGraphicFramePr/>
      </xdr:nvGraphicFramePr>
      <xdr:xfrm>
        <a:off x="2491560" y="171360"/>
        <a:ext cx="4963320" cy="274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19080</xdr:colOff>
      <xdr:row>22</xdr:row>
      <xdr:rowOff>152280</xdr:rowOff>
    </xdr:from>
    <xdr:to>
      <xdr:col>11</xdr:col>
      <xdr:colOff>18000</xdr:colOff>
      <xdr:row>39</xdr:row>
      <xdr:rowOff>141840</xdr:rowOff>
    </xdr:to>
    <xdr:graphicFrame>
      <xdr:nvGraphicFramePr>
        <xdr:cNvPr id="2" name="Chart 2"/>
        <xdr:cNvGraphicFramePr/>
      </xdr:nvGraphicFramePr>
      <xdr:xfrm>
        <a:off x="4156200" y="3714480"/>
        <a:ext cx="4963320" cy="2742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9360</xdr:colOff>
      <xdr:row>43</xdr:row>
      <xdr:rowOff>9360</xdr:rowOff>
    </xdr:from>
    <xdr:to>
      <xdr:col>9</xdr:col>
      <xdr:colOff>8280</xdr:colOff>
      <xdr:row>59</xdr:row>
      <xdr:rowOff>160920</xdr:rowOff>
    </xdr:to>
    <xdr:graphicFrame>
      <xdr:nvGraphicFramePr>
        <xdr:cNvPr id="3" name="Chart 3"/>
        <xdr:cNvGraphicFramePr/>
      </xdr:nvGraphicFramePr>
      <xdr:xfrm>
        <a:off x="2491560" y="6972120"/>
        <a:ext cx="4963320" cy="27424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9360</xdr:colOff>
      <xdr:row>63</xdr:row>
      <xdr:rowOff>0</xdr:rowOff>
    </xdr:from>
    <xdr:to>
      <xdr:col>9</xdr:col>
      <xdr:colOff>8280</xdr:colOff>
      <xdr:row>79</xdr:row>
      <xdr:rowOff>151200</xdr:rowOff>
    </xdr:to>
    <xdr:graphicFrame>
      <xdr:nvGraphicFramePr>
        <xdr:cNvPr id="4" name="Chart 4"/>
        <xdr:cNvGraphicFramePr/>
      </xdr:nvGraphicFramePr>
      <xdr:xfrm>
        <a:off x="2491560" y="10201320"/>
        <a:ext cx="4963320" cy="27421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9360</xdr:colOff>
      <xdr:row>83</xdr:row>
      <xdr:rowOff>0</xdr:rowOff>
    </xdr:from>
    <xdr:to>
      <xdr:col>9</xdr:col>
      <xdr:colOff>8280</xdr:colOff>
      <xdr:row>99</xdr:row>
      <xdr:rowOff>151200</xdr:rowOff>
    </xdr:to>
    <xdr:graphicFrame>
      <xdr:nvGraphicFramePr>
        <xdr:cNvPr id="5" name="Chart 5"/>
        <xdr:cNvGraphicFramePr/>
      </xdr:nvGraphicFramePr>
      <xdr:xfrm>
        <a:off x="2491560" y="13439880"/>
        <a:ext cx="4963320" cy="27417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19080</xdr:colOff>
      <xdr:row>101</xdr:row>
      <xdr:rowOff>152280</xdr:rowOff>
    </xdr:from>
    <xdr:to>
      <xdr:col>9</xdr:col>
      <xdr:colOff>18000</xdr:colOff>
      <xdr:row>118</xdr:row>
      <xdr:rowOff>141840</xdr:rowOff>
    </xdr:to>
    <xdr:graphicFrame>
      <xdr:nvGraphicFramePr>
        <xdr:cNvPr id="6" name="Chart 6"/>
        <xdr:cNvGraphicFramePr/>
      </xdr:nvGraphicFramePr>
      <xdr:xfrm>
        <a:off x="2501280" y="16506720"/>
        <a:ext cx="4963320" cy="27421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19080</xdr:colOff>
      <xdr:row>121</xdr:row>
      <xdr:rowOff>0</xdr:rowOff>
    </xdr:from>
    <xdr:to>
      <xdr:col>9</xdr:col>
      <xdr:colOff>18000</xdr:colOff>
      <xdr:row>137</xdr:row>
      <xdr:rowOff>151200</xdr:rowOff>
    </xdr:to>
    <xdr:graphicFrame>
      <xdr:nvGraphicFramePr>
        <xdr:cNvPr id="7" name="Chart 7"/>
        <xdr:cNvGraphicFramePr/>
      </xdr:nvGraphicFramePr>
      <xdr:xfrm>
        <a:off x="2501280" y="19593000"/>
        <a:ext cx="4963320" cy="27417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xdr:col>
      <xdr:colOff>0</xdr:colOff>
      <xdr:row>139</xdr:row>
      <xdr:rowOff>152280</xdr:rowOff>
    </xdr:from>
    <xdr:to>
      <xdr:col>8</xdr:col>
      <xdr:colOff>826200</xdr:colOff>
      <xdr:row>156</xdr:row>
      <xdr:rowOff>141840</xdr:rowOff>
    </xdr:to>
    <xdr:graphicFrame>
      <xdr:nvGraphicFramePr>
        <xdr:cNvPr id="8" name="Chart 8"/>
        <xdr:cNvGraphicFramePr/>
      </xdr:nvGraphicFramePr>
      <xdr:xfrm>
        <a:off x="2482200" y="22659840"/>
        <a:ext cx="4963320" cy="27424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xdr:col>
      <xdr:colOff>9360</xdr:colOff>
      <xdr:row>159</xdr:row>
      <xdr:rowOff>152280</xdr:rowOff>
    </xdr:from>
    <xdr:to>
      <xdr:col>9</xdr:col>
      <xdr:colOff>8280</xdr:colOff>
      <xdr:row>176</xdr:row>
      <xdr:rowOff>141840</xdr:rowOff>
    </xdr:to>
    <xdr:graphicFrame>
      <xdr:nvGraphicFramePr>
        <xdr:cNvPr id="9" name="Chart 10"/>
        <xdr:cNvGraphicFramePr/>
      </xdr:nvGraphicFramePr>
      <xdr:xfrm>
        <a:off x="2491560" y="25898400"/>
        <a:ext cx="4963320" cy="27421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9360</xdr:colOff>
      <xdr:row>1</xdr:row>
      <xdr:rowOff>9360</xdr:rowOff>
    </xdr:from>
    <xdr:to>
      <xdr:col>9</xdr:col>
      <xdr:colOff>8280</xdr:colOff>
      <xdr:row>17</xdr:row>
      <xdr:rowOff>160920</xdr:rowOff>
    </xdr:to>
    <xdr:graphicFrame>
      <xdr:nvGraphicFramePr>
        <xdr:cNvPr id="10" name="Chart 1"/>
        <xdr:cNvGraphicFramePr/>
      </xdr:nvGraphicFramePr>
      <xdr:xfrm>
        <a:off x="2491560" y="171360"/>
        <a:ext cx="4963320" cy="274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19080</xdr:colOff>
      <xdr:row>22</xdr:row>
      <xdr:rowOff>152280</xdr:rowOff>
    </xdr:from>
    <xdr:to>
      <xdr:col>11</xdr:col>
      <xdr:colOff>18000</xdr:colOff>
      <xdr:row>39</xdr:row>
      <xdr:rowOff>141840</xdr:rowOff>
    </xdr:to>
    <xdr:graphicFrame>
      <xdr:nvGraphicFramePr>
        <xdr:cNvPr id="11" name="Chart 2"/>
        <xdr:cNvGraphicFramePr/>
      </xdr:nvGraphicFramePr>
      <xdr:xfrm>
        <a:off x="4156200" y="3714480"/>
        <a:ext cx="4963320" cy="2742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9360</xdr:colOff>
      <xdr:row>43</xdr:row>
      <xdr:rowOff>9360</xdr:rowOff>
    </xdr:from>
    <xdr:to>
      <xdr:col>9</xdr:col>
      <xdr:colOff>8280</xdr:colOff>
      <xdr:row>59</xdr:row>
      <xdr:rowOff>160920</xdr:rowOff>
    </xdr:to>
    <xdr:graphicFrame>
      <xdr:nvGraphicFramePr>
        <xdr:cNvPr id="12" name="Chart 3"/>
        <xdr:cNvGraphicFramePr/>
      </xdr:nvGraphicFramePr>
      <xdr:xfrm>
        <a:off x="2491560" y="6972120"/>
        <a:ext cx="4963320" cy="27424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9360</xdr:colOff>
      <xdr:row>63</xdr:row>
      <xdr:rowOff>0</xdr:rowOff>
    </xdr:from>
    <xdr:to>
      <xdr:col>9</xdr:col>
      <xdr:colOff>8280</xdr:colOff>
      <xdr:row>79</xdr:row>
      <xdr:rowOff>151200</xdr:rowOff>
    </xdr:to>
    <xdr:graphicFrame>
      <xdr:nvGraphicFramePr>
        <xdr:cNvPr id="13" name="Chart 4"/>
        <xdr:cNvGraphicFramePr/>
      </xdr:nvGraphicFramePr>
      <xdr:xfrm>
        <a:off x="2491560" y="10201320"/>
        <a:ext cx="4963320" cy="27421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9360</xdr:colOff>
      <xdr:row>83</xdr:row>
      <xdr:rowOff>0</xdr:rowOff>
    </xdr:from>
    <xdr:to>
      <xdr:col>9</xdr:col>
      <xdr:colOff>8280</xdr:colOff>
      <xdr:row>99</xdr:row>
      <xdr:rowOff>151200</xdr:rowOff>
    </xdr:to>
    <xdr:graphicFrame>
      <xdr:nvGraphicFramePr>
        <xdr:cNvPr id="14" name="Chart 5"/>
        <xdr:cNvGraphicFramePr/>
      </xdr:nvGraphicFramePr>
      <xdr:xfrm>
        <a:off x="2491560" y="13439880"/>
        <a:ext cx="4963320" cy="27417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19080</xdr:colOff>
      <xdr:row>101</xdr:row>
      <xdr:rowOff>152280</xdr:rowOff>
    </xdr:from>
    <xdr:to>
      <xdr:col>9</xdr:col>
      <xdr:colOff>18000</xdr:colOff>
      <xdr:row>118</xdr:row>
      <xdr:rowOff>141840</xdr:rowOff>
    </xdr:to>
    <xdr:graphicFrame>
      <xdr:nvGraphicFramePr>
        <xdr:cNvPr id="15" name="Chart 6"/>
        <xdr:cNvGraphicFramePr/>
      </xdr:nvGraphicFramePr>
      <xdr:xfrm>
        <a:off x="2501280" y="16506720"/>
        <a:ext cx="4963320" cy="27421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19080</xdr:colOff>
      <xdr:row>121</xdr:row>
      <xdr:rowOff>0</xdr:rowOff>
    </xdr:from>
    <xdr:to>
      <xdr:col>9</xdr:col>
      <xdr:colOff>18000</xdr:colOff>
      <xdr:row>137</xdr:row>
      <xdr:rowOff>151200</xdr:rowOff>
    </xdr:to>
    <xdr:graphicFrame>
      <xdr:nvGraphicFramePr>
        <xdr:cNvPr id="16" name="Chart 7"/>
        <xdr:cNvGraphicFramePr/>
      </xdr:nvGraphicFramePr>
      <xdr:xfrm>
        <a:off x="2501280" y="19593000"/>
        <a:ext cx="4963320" cy="27417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xdr:col>
      <xdr:colOff>0</xdr:colOff>
      <xdr:row>139</xdr:row>
      <xdr:rowOff>152280</xdr:rowOff>
    </xdr:from>
    <xdr:to>
      <xdr:col>8</xdr:col>
      <xdr:colOff>826200</xdr:colOff>
      <xdr:row>156</xdr:row>
      <xdr:rowOff>141840</xdr:rowOff>
    </xdr:to>
    <xdr:graphicFrame>
      <xdr:nvGraphicFramePr>
        <xdr:cNvPr id="17" name="Chart 8"/>
        <xdr:cNvGraphicFramePr/>
      </xdr:nvGraphicFramePr>
      <xdr:xfrm>
        <a:off x="2482200" y="22659840"/>
        <a:ext cx="4963320" cy="27424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xdr:col>
      <xdr:colOff>9360</xdr:colOff>
      <xdr:row>159</xdr:row>
      <xdr:rowOff>152280</xdr:rowOff>
    </xdr:from>
    <xdr:to>
      <xdr:col>9</xdr:col>
      <xdr:colOff>8280</xdr:colOff>
      <xdr:row>176</xdr:row>
      <xdr:rowOff>141840</xdr:rowOff>
    </xdr:to>
    <xdr:graphicFrame>
      <xdr:nvGraphicFramePr>
        <xdr:cNvPr id="18" name="Chart 9"/>
        <xdr:cNvGraphicFramePr/>
      </xdr:nvGraphicFramePr>
      <xdr:xfrm>
        <a:off x="2491560" y="25898400"/>
        <a:ext cx="4963320" cy="27421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1048576"/>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pane xSplit="1" ySplit="0" topLeftCell="AS1" activePane="topRight" state="frozen"/>
      <selection pane="topLeft" activeCell="A1" activeCellId="0" sqref="A1"/>
      <selection pane="topRight" activeCell="BA412" activeCellId="0" sqref="BA412"/>
    </sheetView>
  </sheetViews>
  <sheetFormatPr defaultColWidth="9.14453125" defaultRowHeight="15" customHeight="true" zeroHeight="false" outlineLevelRow="0" outlineLevelCol="0"/>
  <cols>
    <col collapsed="false" customWidth="true" hidden="false" outlineLevel="0" max="1" min="1" style="1" width="5"/>
    <col collapsed="false" customWidth="true" hidden="false" outlineLevel="0" max="2" min="2" style="2" width="19.71"/>
    <col collapsed="false" customWidth="true" hidden="false" outlineLevel="0" max="3" min="3" style="2" width="16"/>
    <col collapsed="false" customWidth="true" hidden="false" outlineLevel="0" max="4" min="4" style="2" width="12"/>
    <col collapsed="false" customWidth="true" hidden="false" outlineLevel="0" max="5" min="5" style="2" width="11.71"/>
    <col collapsed="false" customWidth="true" hidden="false" outlineLevel="0" max="6" min="6" style="2" width="11.86"/>
    <col collapsed="false" customWidth="true" hidden="false" outlineLevel="0" max="7" min="7" style="2" width="12.43"/>
    <col collapsed="false" customWidth="true" hidden="false" outlineLevel="0" max="8" min="8" style="3" width="5"/>
    <col collapsed="false" customWidth="true" hidden="false" outlineLevel="0" max="9" min="9" style="3" width="3.43"/>
    <col collapsed="false" customWidth="true" hidden="false" outlineLevel="0" max="10" min="10" style="3" width="5.71"/>
    <col collapsed="false" customWidth="true" hidden="false" outlineLevel="0" max="11" min="11" style="3" width="5.29"/>
    <col collapsed="false" customWidth="true" hidden="false" outlineLevel="0" max="12" min="12" style="3" width="6.43"/>
    <col collapsed="false" customWidth="true" hidden="false" outlineLevel="0" max="13" min="13" style="3" width="3.71"/>
    <col collapsed="false" customWidth="true" hidden="false" outlineLevel="0" max="14" min="14" style="3" width="10.57"/>
    <col collapsed="false" customWidth="true" hidden="false" outlineLevel="0" max="15" min="15" style="3" width="4.14"/>
    <col collapsed="false" customWidth="true" hidden="false" outlineLevel="0" max="16" min="16" style="3" width="5.14"/>
    <col collapsed="false" customWidth="true" hidden="false" outlineLevel="0" max="17" min="17" style="3" width="3.86"/>
    <col collapsed="false" customWidth="true" hidden="false" outlineLevel="0" max="18" min="18" style="3" width="4.14"/>
    <col collapsed="false" customWidth="true" hidden="false" outlineLevel="0" max="19" min="19" style="3" width="6.43"/>
    <col collapsed="false" customWidth="true" hidden="false" outlineLevel="0" max="20" min="20" style="4" width="7.57"/>
    <col collapsed="false" customWidth="true" hidden="false" outlineLevel="0" max="21" min="21" style="3" width="7.71"/>
    <col collapsed="false" customWidth="true" hidden="false" outlineLevel="0" max="23" min="22" style="3" width="5.57"/>
    <col collapsed="false" customWidth="true" hidden="false" outlineLevel="0" max="24" min="24" style="3" width="7.29"/>
    <col collapsed="false" customWidth="true" hidden="false" outlineLevel="0" max="26" min="25" style="3" width="6.71"/>
    <col collapsed="false" customWidth="true" hidden="false" outlineLevel="0" max="28" min="27" style="3" width="5.43"/>
    <col collapsed="false" customWidth="true" hidden="false" outlineLevel="0" max="29" min="29" style="3" width="5.57"/>
    <col collapsed="false" customWidth="true" hidden="false" outlineLevel="0" max="30" min="30" style="3" width="6.43"/>
    <col collapsed="false" customWidth="true" hidden="false" outlineLevel="0" max="31" min="31" style="3" width="7.57"/>
    <col collapsed="false" customWidth="true" hidden="false" outlineLevel="0" max="32" min="32" style="3" width="5.43"/>
    <col collapsed="false" customWidth="true" hidden="false" outlineLevel="0" max="33" min="33" style="3" width="7.29"/>
    <col collapsed="false" customWidth="true" hidden="false" outlineLevel="0" max="34" min="34" style="3" width="4.71"/>
    <col collapsed="false" customWidth="true" hidden="false" outlineLevel="0" max="35" min="35" style="3" width="7.86"/>
    <col collapsed="false" customWidth="true" hidden="false" outlineLevel="0" max="36" min="36" style="3" width="5"/>
    <col collapsed="false" customWidth="true" hidden="false" outlineLevel="0" max="37" min="37" style="3" width="7"/>
    <col collapsed="false" customWidth="true" hidden="false" outlineLevel="0" max="39" min="38" style="3" width="5"/>
    <col collapsed="false" customWidth="true" hidden="false" outlineLevel="0" max="40" min="40" style="3" width="6.71"/>
    <col collapsed="false" customWidth="true" hidden="false" outlineLevel="0" max="41" min="41" style="3" width="6"/>
    <col collapsed="false" customWidth="true" hidden="false" outlineLevel="0" max="42" min="42" style="3" width="16"/>
    <col collapsed="false" customWidth="true" hidden="false" outlineLevel="0" max="43" min="43" style="3" width="5.29"/>
    <col collapsed="false" customWidth="true" hidden="false" outlineLevel="0" max="44" min="44" style="3" width="4.71"/>
    <col collapsed="false" customWidth="true" hidden="false" outlineLevel="0" max="46" min="45" style="3" width="9.29"/>
    <col collapsed="false" customWidth="true" hidden="false" outlineLevel="0" max="47" min="47" style="3" width="8.71"/>
    <col collapsed="false" customWidth="true" hidden="false" outlineLevel="0" max="48" min="48" style="3" width="8.86"/>
    <col collapsed="false" customWidth="true" hidden="false" outlineLevel="0" max="49" min="49" style="3" width="7.43"/>
    <col collapsed="false" customWidth="true" hidden="false" outlineLevel="0" max="50" min="50" style="3" width="5.86"/>
    <col collapsed="false" customWidth="true" hidden="false" outlineLevel="0" max="51" min="51" style="3" width="7.14"/>
    <col collapsed="false" customWidth="true" hidden="false" outlineLevel="0" max="52" min="52" style="3" width="9.57"/>
    <col collapsed="false" customWidth="true" hidden="false" outlineLevel="0" max="53" min="53" style="5" width="8.29"/>
    <col collapsed="false" customWidth="true" hidden="false" outlineLevel="0" max="54" min="54" style="3" width="13"/>
    <col collapsed="false" customWidth="true" hidden="false" outlineLevel="0" max="55" min="55" style="3" width="8.86"/>
    <col collapsed="false" customWidth="true" hidden="false" outlineLevel="0" max="56" min="56" style="3" width="6.71"/>
    <col collapsed="false" customWidth="true" hidden="false" outlineLevel="0" max="57" min="57" style="3" width="7.86"/>
    <col collapsed="false" customWidth="true" hidden="false" outlineLevel="0" max="58" min="58" style="3" width="7"/>
    <col collapsed="false" customWidth="true" hidden="false" outlineLevel="0" max="59" min="59" style="3" width="9"/>
    <col collapsed="false" customWidth="true" hidden="false" outlineLevel="0" max="60" min="60" style="3" width="9.57"/>
    <col collapsed="false" customWidth="true" hidden="false" outlineLevel="0" max="61" min="61" style="3" width="5.29"/>
    <col collapsed="false" customWidth="true" hidden="false" outlineLevel="0" max="62" min="62" style="3" width="5.43"/>
    <col collapsed="false" customWidth="true" hidden="false" outlineLevel="0" max="63" min="63" style="6" width="144"/>
    <col collapsed="false" customWidth="true" hidden="false" outlineLevel="0" max="64" min="64" style="3" width="125.86"/>
    <col collapsed="false" customWidth="false" hidden="false" outlineLevel="0" max="67" min="65" style="3" width="9.14"/>
    <col collapsed="false" customWidth="true" hidden="false" outlineLevel="0" max="68" min="68" style="3" width="86.71"/>
    <col collapsed="false" customWidth="false" hidden="false" outlineLevel="0" max="16384" min="69" style="3" width="9.14"/>
  </cols>
  <sheetData>
    <row r="1" s="11" customFormat="true" ht="15" hidden="false" customHeight="true" outlineLevel="0" collapsed="false">
      <c r="A1" s="7"/>
      <c r="B1" s="8" t="s">
        <v>0</v>
      </c>
      <c r="C1" s="9" t="s">
        <v>1</v>
      </c>
      <c r="D1" s="9" t="s">
        <v>2</v>
      </c>
      <c r="E1" s="9" t="s">
        <v>3</v>
      </c>
      <c r="F1" s="9" t="s">
        <v>4</v>
      </c>
      <c r="G1" s="9" t="s">
        <v>5</v>
      </c>
      <c r="H1" s="10" t="s">
        <v>6</v>
      </c>
      <c r="I1" s="11" t="s">
        <v>7</v>
      </c>
      <c r="J1" s="11" t="s">
        <v>8</v>
      </c>
      <c r="K1" s="11" t="s">
        <v>9</v>
      </c>
      <c r="L1" s="11" t="s">
        <v>10</v>
      </c>
      <c r="M1" s="11" t="s">
        <v>11</v>
      </c>
      <c r="N1" s="11" t="s">
        <v>12</v>
      </c>
      <c r="O1" s="11" t="s">
        <v>13</v>
      </c>
      <c r="P1" s="11" t="s">
        <v>14</v>
      </c>
      <c r="Q1" s="11" t="s">
        <v>15</v>
      </c>
      <c r="R1" s="11" t="s">
        <v>16</v>
      </c>
      <c r="S1" s="11" t="s">
        <v>17</v>
      </c>
      <c r="T1" s="12" t="s">
        <v>18</v>
      </c>
      <c r="U1" s="11" t="s">
        <v>19</v>
      </c>
      <c r="V1" s="11" t="s">
        <v>20</v>
      </c>
      <c r="W1" s="11" t="s">
        <v>21</v>
      </c>
      <c r="X1" s="11" t="s">
        <v>22</v>
      </c>
      <c r="Y1" s="11" t="s">
        <v>23</v>
      </c>
      <c r="Z1" s="7" t="s">
        <v>24</v>
      </c>
      <c r="AA1" s="11" t="s">
        <v>25</v>
      </c>
      <c r="AB1" s="11" t="s">
        <v>26</v>
      </c>
      <c r="AC1" s="11" t="s">
        <v>27</v>
      </c>
      <c r="AD1" s="11" t="s">
        <v>28</v>
      </c>
      <c r="AE1" s="11" t="s">
        <v>29</v>
      </c>
      <c r="AF1" s="11" t="s">
        <v>30</v>
      </c>
      <c r="AG1" s="11" t="s">
        <v>31</v>
      </c>
      <c r="AH1" s="11" t="s">
        <v>32</v>
      </c>
      <c r="AI1" s="11" t="s">
        <v>33</v>
      </c>
      <c r="AJ1" s="11" t="s">
        <v>17</v>
      </c>
      <c r="AK1" s="11" t="s">
        <v>34</v>
      </c>
      <c r="AL1" s="11" t="s">
        <v>35</v>
      </c>
      <c r="AM1" s="11" t="s">
        <v>36</v>
      </c>
      <c r="AN1" s="11" t="s">
        <v>37</v>
      </c>
      <c r="AO1" s="11" t="s">
        <v>38</v>
      </c>
      <c r="AP1" s="11" t="s">
        <v>39</v>
      </c>
      <c r="AQ1" s="11" t="s">
        <v>40</v>
      </c>
      <c r="AR1" s="11" t="s">
        <v>41</v>
      </c>
      <c r="AS1" s="11" t="s">
        <v>42</v>
      </c>
      <c r="AT1" s="11" t="s">
        <v>43</v>
      </c>
      <c r="AU1" s="11" t="s">
        <v>44</v>
      </c>
      <c r="AV1" s="11" t="s">
        <v>45</v>
      </c>
      <c r="AW1" s="11" t="s">
        <v>46</v>
      </c>
      <c r="AX1" s="11" t="s">
        <v>47</v>
      </c>
      <c r="AY1" s="11" t="s">
        <v>48</v>
      </c>
      <c r="AZ1" s="11" t="s">
        <v>49</v>
      </c>
      <c r="BA1" s="5" t="s">
        <v>50</v>
      </c>
      <c r="BB1" s="11" t="s">
        <v>51</v>
      </c>
      <c r="BC1" s="11" t="s">
        <v>52</v>
      </c>
      <c r="BD1" s="11" t="s">
        <v>53</v>
      </c>
      <c r="BE1" s="11" t="s">
        <v>54</v>
      </c>
      <c r="BF1" s="11" t="s">
        <v>55</v>
      </c>
      <c r="BG1" s="11" t="s">
        <v>56</v>
      </c>
      <c r="BH1" s="11" t="s">
        <v>57</v>
      </c>
      <c r="BI1" s="11" t="s">
        <v>58</v>
      </c>
      <c r="BJ1" s="11" t="s">
        <v>59</v>
      </c>
      <c r="BK1" s="13" t="s">
        <v>60</v>
      </c>
    </row>
    <row r="2" customFormat="false" ht="15" hidden="false" customHeight="false" outlineLevel="0" collapsed="false">
      <c r="B2" s="14" t="s">
        <v>61</v>
      </c>
      <c r="C2" s="14" t="s">
        <v>62</v>
      </c>
      <c r="D2" s="14" t="s">
        <v>63</v>
      </c>
      <c r="E2" s="14" t="n">
        <v>160648</v>
      </c>
      <c r="F2" s="15" t="n">
        <v>43356</v>
      </c>
      <c r="G2" s="15" t="n">
        <v>43361</v>
      </c>
      <c r="H2" s="3" t="n">
        <v>5</v>
      </c>
      <c r="I2" s="3" t="n">
        <v>2</v>
      </c>
      <c r="J2" s="3" t="n">
        <v>58</v>
      </c>
      <c r="K2" s="3" t="n">
        <v>2</v>
      </c>
      <c r="L2" s="3" t="n">
        <v>2</v>
      </c>
      <c r="M2" s="3" t="n">
        <v>1</v>
      </c>
      <c r="N2" s="3" t="n">
        <v>2</v>
      </c>
      <c r="O2" s="3" t="n">
        <v>2</v>
      </c>
      <c r="P2" s="3" t="n">
        <v>2</v>
      </c>
      <c r="Q2" s="3" t="n">
        <v>2</v>
      </c>
      <c r="R2" s="3" t="n">
        <v>2</v>
      </c>
      <c r="S2" s="3" t="n">
        <v>2</v>
      </c>
      <c r="T2" s="4" t="n">
        <v>1</v>
      </c>
      <c r="U2" s="3" t="n">
        <v>1</v>
      </c>
      <c r="V2" s="3" t="n">
        <v>3.87</v>
      </c>
      <c r="W2" s="3" t="n">
        <v>2.33</v>
      </c>
      <c r="X2" s="3" t="n">
        <v>5.89</v>
      </c>
      <c r="Y2" s="3" t="n">
        <v>234</v>
      </c>
      <c r="AA2" s="3" t="n">
        <v>0.39</v>
      </c>
      <c r="AB2" s="3" t="n">
        <v>8.9</v>
      </c>
      <c r="AC2" s="3" t="n">
        <v>1</v>
      </c>
      <c r="AD2" s="3" t="n">
        <v>1</v>
      </c>
      <c r="AE2" s="3" t="n">
        <v>1</v>
      </c>
      <c r="AF2" s="3" t="n">
        <v>1</v>
      </c>
      <c r="AG2" s="3" t="n">
        <v>1</v>
      </c>
      <c r="AH2" s="3" t="n">
        <v>2</v>
      </c>
      <c r="AI2" s="3" t="n">
        <v>1</v>
      </c>
      <c r="AJ2" s="3" t="n">
        <v>1</v>
      </c>
      <c r="AK2" s="3" t="n">
        <v>2</v>
      </c>
      <c r="AL2" s="3" t="n">
        <v>2</v>
      </c>
      <c r="AM2" s="3" t="n">
        <v>2</v>
      </c>
      <c r="AN2" s="3" t="n">
        <v>2</v>
      </c>
      <c r="AO2" s="3" t="n">
        <v>2</v>
      </c>
      <c r="AP2" s="3" t="n">
        <v>3</v>
      </c>
      <c r="AQ2" s="3" t="n">
        <v>4</v>
      </c>
      <c r="AR2" s="3" t="n">
        <v>4</v>
      </c>
      <c r="AS2" s="3" t="n">
        <v>6</v>
      </c>
      <c r="AT2" s="3" t="n">
        <v>4</v>
      </c>
      <c r="AU2" s="3" t="n">
        <v>4</v>
      </c>
      <c r="AV2" s="3" t="n">
        <v>6</v>
      </c>
      <c r="AW2" s="3" t="n">
        <v>6</v>
      </c>
      <c r="AX2" s="3" t="n">
        <v>3</v>
      </c>
      <c r="AY2" s="3" t="n">
        <v>3</v>
      </c>
      <c r="AZ2" s="3" t="n">
        <v>1</v>
      </c>
      <c r="BA2" s="5" t="n">
        <v>5</v>
      </c>
      <c r="BB2" s="3" t="n">
        <v>2</v>
      </c>
      <c r="BC2" s="3" t="n">
        <v>1</v>
      </c>
      <c r="BD2" s="3" t="n">
        <v>6</v>
      </c>
      <c r="BE2" s="3" t="n">
        <v>3</v>
      </c>
      <c r="BF2" s="3" t="n">
        <v>5</v>
      </c>
      <c r="BG2" s="3" t="n">
        <v>3</v>
      </c>
      <c r="BH2" s="3" t="n">
        <v>4</v>
      </c>
      <c r="BI2" s="3" t="n">
        <v>1</v>
      </c>
      <c r="BJ2" s="3" t="n">
        <v>1</v>
      </c>
      <c r="BK2" s="16" t="s">
        <v>64</v>
      </c>
    </row>
    <row r="3" customFormat="false" ht="15" hidden="false" customHeight="false" outlineLevel="0" collapsed="false">
      <c r="B3" s="14" t="s">
        <v>65</v>
      </c>
      <c r="C3" s="14" t="s">
        <v>66</v>
      </c>
      <c r="D3" s="14" t="s">
        <v>67</v>
      </c>
      <c r="E3" s="14" t="n">
        <v>160305</v>
      </c>
      <c r="F3" s="15" t="n">
        <v>43355</v>
      </c>
      <c r="G3" s="15" t="n">
        <v>43361</v>
      </c>
      <c r="H3" s="3" t="n">
        <v>6</v>
      </c>
      <c r="I3" s="3" t="n">
        <v>2</v>
      </c>
      <c r="J3" s="3" t="n">
        <v>41</v>
      </c>
      <c r="K3" s="3" t="n">
        <v>1</v>
      </c>
      <c r="L3" s="3" t="n">
        <v>2</v>
      </c>
      <c r="M3" s="3" t="n">
        <v>2</v>
      </c>
      <c r="N3" s="3" t="n">
        <v>2</v>
      </c>
      <c r="O3" s="3" t="n">
        <v>2</v>
      </c>
      <c r="P3" s="3" t="n">
        <v>2</v>
      </c>
      <c r="Q3" s="3" t="n">
        <v>2</v>
      </c>
      <c r="R3" s="3" t="n">
        <v>2</v>
      </c>
      <c r="S3" s="3" t="n">
        <v>2</v>
      </c>
      <c r="T3" s="4" t="n">
        <v>2</v>
      </c>
      <c r="U3" s="3" t="n">
        <v>2</v>
      </c>
      <c r="V3" s="3" t="n">
        <v>4.48</v>
      </c>
      <c r="W3" s="3" t="n">
        <v>1.84</v>
      </c>
      <c r="X3" s="3" t="n">
        <v>5.8</v>
      </c>
      <c r="Y3" s="3" t="n">
        <v>480</v>
      </c>
      <c r="AA3" s="3" t="n">
        <v>0.45</v>
      </c>
      <c r="AB3" s="3" t="n">
        <v>12</v>
      </c>
      <c r="AC3" s="3" t="n">
        <v>2</v>
      </c>
      <c r="AD3" s="3" t="n">
        <v>2</v>
      </c>
      <c r="AE3" s="3" t="n">
        <v>2</v>
      </c>
      <c r="AF3" s="3" t="n">
        <v>1</v>
      </c>
      <c r="AG3" s="3" t="n">
        <v>1</v>
      </c>
      <c r="AH3" s="3" t="n">
        <v>2</v>
      </c>
      <c r="AI3" s="3" t="n">
        <v>2</v>
      </c>
      <c r="AJ3" s="3" t="n">
        <v>1</v>
      </c>
      <c r="AK3" s="3" t="n">
        <v>2</v>
      </c>
      <c r="AL3" s="3" t="n">
        <v>2</v>
      </c>
      <c r="AM3" s="3" t="n">
        <v>2</v>
      </c>
      <c r="AN3" s="3" t="n">
        <v>2</v>
      </c>
      <c r="AO3" s="3" t="n">
        <v>2</v>
      </c>
      <c r="AP3" s="3" t="n">
        <v>3</v>
      </c>
      <c r="AQ3" s="3" t="n">
        <v>4</v>
      </c>
      <c r="AR3" s="3" t="n">
        <v>4</v>
      </c>
      <c r="AS3" s="3" t="n">
        <v>6</v>
      </c>
      <c r="AT3" s="3" t="n">
        <v>4</v>
      </c>
      <c r="AU3" s="3" t="n">
        <v>4</v>
      </c>
      <c r="AV3" s="3" t="n">
        <v>6</v>
      </c>
      <c r="AW3" s="3" t="n">
        <v>6</v>
      </c>
      <c r="AX3" s="3" t="n">
        <v>3</v>
      </c>
      <c r="AY3" s="3" t="n">
        <v>3</v>
      </c>
      <c r="AZ3" s="3" t="n">
        <v>1</v>
      </c>
      <c r="BA3" s="5" t="n">
        <v>1</v>
      </c>
      <c r="BB3" s="3" t="n">
        <v>1</v>
      </c>
      <c r="BC3" s="3" t="n">
        <v>1</v>
      </c>
      <c r="BD3" s="3" t="n">
        <v>2</v>
      </c>
      <c r="BE3" s="3" t="n">
        <v>1</v>
      </c>
      <c r="BF3" s="3" t="n">
        <v>2</v>
      </c>
      <c r="BG3" s="3" t="n">
        <v>1</v>
      </c>
      <c r="BH3" s="3" t="n">
        <v>4</v>
      </c>
      <c r="BI3" s="3" t="n">
        <v>1</v>
      </c>
      <c r="BJ3" s="3" t="n">
        <v>1</v>
      </c>
      <c r="BK3" s="16" t="s">
        <v>68</v>
      </c>
    </row>
    <row r="4" s="19" customFormat="true" ht="15" hidden="false" customHeight="true" outlineLevel="0" collapsed="false">
      <c r="A4" s="1"/>
      <c r="B4" s="17" t="s">
        <v>69</v>
      </c>
      <c r="C4" s="17" t="s">
        <v>70</v>
      </c>
      <c r="D4" s="17" t="s">
        <v>71</v>
      </c>
      <c r="E4" s="17" t="n">
        <v>160340</v>
      </c>
      <c r="F4" s="18" t="n">
        <v>43351</v>
      </c>
      <c r="G4" s="18" t="n">
        <v>43362</v>
      </c>
      <c r="H4" s="19" t="n">
        <v>11</v>
      </c>
      <c r="I4" s="19" t="n">
        <v>2</v>
      </c>
      <c r="J4" s="19" t="n">
        <v>72</v>
      </c>
      <c r="K4" s="19" t="n">
        <v>1</v>
      </c>
      <c r="L4" s="19" t="n">
        <v>2</v>
      </c>
      <c r="M4" s="19" t="n">
        <v>1</v>
      </c>
      <c r="N4" s="19" t="n">
        <v>2</v>
      </c>
      <c r="O4" s="19" t="n">
        <v>2</v>
      </c>
      <c r="P4" s="19" t="n">
        <v>2</v>
      </c>
      <c r="Q4" s="19" t="n">
        <v>2</v>
      </c>
      <c r="R4" s="19" t="n">
        <v>2</v>
      </c>
      <c r="S4" s="19" t="n">
        <v>2</v>
      </c>
      <c r="T4" s="20" t="n">
        <v>1</v>
      </c>
      <c r="U4" s="19" t="n">
        <v>1</v>
      </c>
      <c r="V4" s="19" t="n">
        <v>3.34</v>
      </c>
      <c r="W4" s="19" t="n">
        <v>1.96</v>
      </c>
      <c r="X4" s="19" t="n">
        <v>4.8</v>
      </c>
      <c r="Y4" s="19" t="n">
        <v>520</v>
      </c>
      <c r="AA4" s="19" t="n">
        <v>0.42</v>
      </c>
      <c r="AB4" s="19" t="n">
        <v>9.2</v>
      </c>
      <c r="AC4" s="19" t="n">
        <v>1</v>
      </c>
      <c r="AD4" s="19" t="n">
        <v>1</v>
      </c>
      <c r="AE4" s="19" t="n">
        <v>1</v>
      </c>
      <c r="AF4" s="19" t="n">
        <v>1</v>
      </c>
      <c r="AG4" s="19" t="n">
        <v>2</v>
      </c>
      <c r="AH4" s="19" t="n">
        <v>2</v>
      </c>
      <c r="AI4" s="19" t="n">
        <v>1</v>
      </c>
      <c r="AJ4" s="19" t="n">
        <v>1</v>
      </c>
      <c r="AK4" s="19" t="n">
        <v>2</v>
      </c>
      <c r="AL4" s="19" t="n">
        <v>2</v>
      </c>
      <c r="AM4" s="19" t="n">
        <v>2</v>
      </c>
      <c r="AN4" s="19" t="n">
        <v>2</v>
      </c>
      <c r="AO4" s="19" t="n">
        <v>2</v>
      </c>
      <c r="AP4" s="19" t="n">
        <v>1</v>
      </c>
      <c r="AQ4" s="19" t="n">
        <v>3</v>
      </c>
      <c r="AR4" s="19" t="n">
        <v>5</v>
      </c>
      <c r="AS4" s="19" t="n">
        <v>2</v>
      </c>
      <c r="AT4" s="19" t="n">
        <v>2</v>
      </c>
      <c r="AU4" s="19" t="n">
        <v>1</v>
      </c>
      <c r="AV4" s="19" t="n">
        <v>1</v>
      </c>
      <c r="AW4" s="19" t="n">
        <v>1</v>
      </c>
      <c r="AX4" s="19" t="n">
        <v>2</v>
      </c>
      <c r="AY4" s="19" t="n">
        <v>1</v>
      </c>
      <c r="AZ4" s="19" t="n">
        <v>1</v>
      </c>
      <c r="BA4" s="20" t="n">
        <v>5</v>
      </c>
      <c r="BB4" s="19" t="n">
        <v>2</v>
      </c>
      <c r="BC4" s="19" t="n">
        <v>1</v>
      </c>
      <c r="BD4" s="19" t="n">
        <v>6</v>
      </c>
      <c r="BE4" s="19" t="n">
        <v>3</v>
      </c>
      <c r="BF4" s="19" t="n">
        <v>5</v>
      </c>
      <c r="BG4" s="19" t="n">
        <v>3</v>
      </c>
      <c r="BH4" s="19" t="n">
        <v>4</v>
      </c>
      <c r="BI4" s="19" t="n">
        <v>1</v>
      </c>
      <c r="BJ4" s="19" t="n">
        <v>1</v>
      </c>
      <c r="BK4" s="21" t="s">
        <v>72</v>
      </c>
    </row>
    <row r="5" customFormat="false" ht="12" hidden="false" customHeight="true" outlineLevel="0" collapsed="false">
      <c r="B5" s="17" t="s">
        <v>73</v>
      </c>
      <c r="C5" s="17" t="s">
        <v>74</v>
      </c>
      <c r="D5" s="17" t="s">
        <v>75</v>
      </c>
      <c r="E5" s="14" t="n">
        <v>160322</v>
      </c>
      <c r="F5" s="22" t="n">
        <v>43355</v>
      </c>
      <c r="G5" s="22" t="n">
        <v>43363</v>
      </c>
      <c r="H5" s="23" t="n">
        <v>8</v>
      </c>
      <c r="I5" s="3" t="n">
        <v>2</v>
      </c>
      <c r="J5" s="3" t="n">
        <v>56</v>
      </c>
      <c r="K5" s="3" t="n">
        <v>1</v>
      </c>
      <c r="L5" s="3" t="n">
        <v>2</v>
      </c>
      <c r="M5" s="3" t="n">
        <v>1</v>
      </c>
      <c r="N5" s="3" t="n">
        <v>2</v>
      </c>
      <c r="O5" s="3" t="n">
        <v>2</v>
      </c>
      <c r="P5" s="3" t="n">
        <v>2</v>
      </c>
      <c r="Q5" s="3" t="n">
        <v>2</v>
      </c>
      <c r="R5" s="3" t="n">
        <v>2</v>
      </c>
      <c r="S5" s="3" t="n">
        <v>2</v>
      </c>
      <c r="T5" s="4" t="n">
        <v>1</v>
      </c>
      <c r="U5" s="3" t="n">
        <v>4</v>
      </c>
      <c r="V5" s="23" t="n">
        <v>5.91</v>
      </c>
      <c r="W5" s="23" t="n">
        <v>1.7</v>
      </c>
      <c r="X5" s="23" t="n">
        <v>6.5</v>
      </c>
      <c r="Y5" s="23" t="n">
        <v>686</v>
      </c>
      <c r="Z5" s="23"/>
      <c r="AA5" s="23" t="n">
        <v>0.35</v>
      </c>
      <c r="AB5" s="23" t="n">
        <v>6</v>
      </c>
      <c r="AC5" s="3" t="n">
        <v>1</v>
      </c>
      <c r="AD5" s="3" t="n">
        <v>1</v>
      </c>
      <c r="AE5" s="3" t="n">
        <v>1</v>
      </c>
      <c r="AF5" s="3" t="n">
        <v>1</v>
      </c>
      <c r="AG5" s="3" t="n">
        <v>1</v>
      </c>
      <c r="AH5" s="3" t="n">
        <v>2</v>
      </c>
      <c r="AI5" s="3" t="n">
        <v>1</v>
      </c>
      <c r="AJ5" s="3" t="n">
        <v>1</v>
      </c>
      <c r="AK5" s="3" t="n">
        <v>2</v>
      </c>
      <c r="AL5" s="3" t="n">
        <v>2</v>
      </c>
      <c r="AM5" s="3" t="n">
        <v>2</v>
      </c>
      <c r="AN5" s="3" t="n">
        <v>2</v>
      </c>
      <c r="AO5" s="3" t="n">
        <v>2</v>
      </c>
      <c r="AP5" s="3" t="n">
        <v>1</v>
      </c>
      <c r="AQ5" s="3" t="n">
        <v>3</v>
      </c>
      <c r="AR5" s="3" t="n">
        <v>5</v>
      </c>
      <c r="AS5" s="3" t="n">
        <v>4</v>
      </c>
      <c r="AT5" s="3" t="n">
        <v>3</v>
      </c>
      <c r="AU5" s="3" t="n">
        <v>1</v>
      </c>
      <c r="AV5" s="3" t="n">
        <v>1</v>
      </c>
      <c r="AW5" s="3" t="n">
        <v>8</v>
      </c>
      <c r="AX5" s="3" t="n">
        <v>2</v>
      </c>
      <c r="AY5" s="3" t="n">
        <v>2</v>
      </c>
      <c r="AZ5" s="3" t="n">
        <v>1</v>
      </c>
      <c r="BA5" s="5" t="n">
        <v>5</v>
      </c>
      <c r="BB5" s="3" t="n">
        <v>2</v>
      </c>
      <c r="BC5" s="3" t="n">
        <v>1</v>
      </c>
      <c r="BD5" s="3" t="n">
        <v>5</v>
      </c>
      <c r="BE5" s="3" t="n">
        <v>3</v>
      </c>
      <c r="BF5" s="3" t="n">
        <v>5</v>
      </c>
      <c r="BG5" s="3" t="n">
        <v>3</v>
      </c>
      <c r="BH5" s="3" t="n">
        <v>4</v>
      </c>
      <c r="BI5" s="3" t="n">
        <v>1</v>
      </c>
      <c r="BJ5" s="3" t="n">
        <v>1</v>
      </c>
      <c r="BK5" s="21" t="s">
        <v>76</v>
      </c>
    </row>
    <row r="6" customFormat="false" ht="12" hidden="false" customHeight="true" outlineLevel="0" collapsed="false">
      <c r="B6" s="17" t="s">
        <v>77</v>
      </c>
      <c r="C6" s="17" t="s">
        <v>78</v>
      </c>
      <c r="D6" s="17" t="s">
        <v>79</v>
      </c>
      <c r="E6" s="14" t="n">
        <v>158360</v>
      </c>
      <c r="F6" s="22" t="n">
        <v>43358</v>
      </c>
      <c r="G6" s="22" t="n">
        <v>43363</v>
      </c>
      <c r="H6" s="23" t="n">
        <v>5</v>
      </c>
      <c r="I6" s="3" t="n">
        <v>2</v>
      </c>
      <c r="J6" s="3" t="n">
        <v>58</v>
      </c>
      <c r="K6" s="3" t="n">
        <v>1</v>
      </c>
      <c r="L6" s="3" t="n">
        <v>1</v>
      </c>
      <c r="M6" s="3" t="n">
        <v>1</v>
      </c>
      <c r="N6" s="3" t="n">
        <v>1</v>
      </c>
      <c r="O6" s="3" t="n">
        <v>2</v>
      </c>
      <c r="P6" s="3" t="n">
        <v>2</v>
      </c>
      <c r="Q6" s="3" t="n">
        <v>2</v>
      </c>
      <c r="R6" s="3" t="n">
        <v>2</v>
      </c>
      <c r="S6" s="3" t="n">
        <v>1</v>
      </c>
      <c r="T6" s="4" t="n">
        <v>1</v>
      </c>
      <c r="U6" s="3" t="n">
        <v>1</v>
      </c>
      <c r="V6" s="23" t="n">
        <v>3.86</v>
      </c>
      <c r="W6" s="23" t="n">
        <v>0.76</v>
      </c>
      <c r="X6" s="23" t="n">
        <v>5.7</v>
      </c>
      <c r="Y6" s="23" t="n">
        <v>244</v>
      </c>
      <c r="Z6" s="23"/>
      <c r="AA6" s="23" t="n">
        <v>0.35</v>
      </c>
      <c r="AB6" s="23" t="n">
        <v>12</v>
      </c>
      <c r="AC6" s="23" t="n">
        <v>3</v>
      </c>
      <c r="AD6" s="23" t="n">
        <v>1</v>
      </c>
      <c r="AE6" s="23" t="n">
        <v>1</v>
      </c>
      <c r="AF6" s="23" t="n">
        <v>1</v>
      </c>
      <c r="AG6" s="23" t="n">
        <v>1</v>
      </c>
      <c r="AH6" s="23" t="n">
        <v>2</v>
      </c>
      <c r="AI6" s="23" t="n">
        <v>1</v>
      </c>
      <c r="AJ6" s="23" t="n">
        <v>1</v>
      </c>
      <c r="AK6" s="23" t="n">
        <v>2</v>
      </c>
      <c r="AL6" s="23" t="n">
        <v>2</v>
      </c>
      <c r="AM6" s="23" t="n">
        <v>2</v>
      </c>
      <c r="AN6" s="23" t="n">
        <v>2</v>
      </c>
      <c r="AO6" s="23" t="n">
        <v>2</v>
      </c>
      <c r="AP6" s="23" t="n">
        <v>3</v>
      </c>
      <c r="AQ6" s="23" t="n">
        <v>4</v>
      </c>
      <c r="AR6" s="23" t="n">
        <v>4</v>
      </c>
      <c r="AS6" s="23" t="n">
        <v>6</v>
      </c>
      <c r="AT6" s="23" t="n">
        <v>4</v>
      </c>
      <c r="AU6" s="23" t="n">
        <v>4</v>
      </c>
      <c r="AV6" s="23" t="n">
        <v>6</v>
      </c>
      <c r="AW6" s="23" t="n">
        <v>6</v>
      </c>
      <c r="AX6" s="23" t="n">
        <v>3</v>
      </c>
      <c r="AY6" s="23" t="n">
        <v>3</v>
      </c>
      <c r="AZ6" s="23" t="n">
        <v>1</v>
      </c>
      <c r="BA6" s="5" t="n">
        <v>5</v>
      </c>
      <c r="BB6" s="23" t="n">
        <v>2</v>
      </c>
      <c r="BC6" s="23" t="n">
        <v>1</v>
      </c>
      <c r="BD6" s="23" t="n">
        <v>5</v>
      </c>
      <c r="BE6" s="23" t="n">
        <v>3</v>
      </c>
      <c r="BF6" s="23" t="n">
        <v>5</v>
      </c>
      <c r="BG6" s="23" t="n">
        <v>3</v>
      </c>
      <c r="BH6" s="23" t="n">
        <v>4</v>
      </c>
      <c r="BI6" s="23" t="n">
        <v>1</v>
      </c>
      <c r="BJ6" s="23" t="n">
        <v>1</v>
      </c>
      <c r="BK6" s="21" t="s">
        <v>80</v>
      </c>
    </row>
    <row r="7" s="19" customFormat="true" ht="15" hidden="false" customHeight="false" outlineLevel="0" collapsed="false">
      <c r="A7" s="1"/>
      <c r="B7" s="17" t="s">
        <v>81</v>
      </c>
      <c r="C7" s="17" t="s">
        <v>82</v>
      </c>
      <c r="D7" s="17" t="s">
        <v>83</v>
      </c>
      <c r="E7" s="17" t="n">
        <v>160668</v>
      </c>
      <c r="F7" s="18" t="n">
        <v>43357</v>
      </c>
      <c r="G7" s="18" t="n">
        <v>43363</v>
      </c>
      <c r="H7" s="19" t="n">
        <v>6</v>
      </c>
      <c r="I7" s="19" t="n">
        <v>2</v>
      </c>
      <c r="J7" s="19" t="n">
        <v>66</v>
      </c>
      <c r="K7" s="19" t="n">
        <v>1</v>
      </c>
      <c r="L7" s="19" t="n">
        <v>2</v>
      </c>
      <c r="M7" s="19" t="n">
        <v>1</v>
      </c>
      <c r="N7" s="19" t="n">
        <v>2</v>
      </c>
      <c r="O7" s="19" t="n">
        <v>2</v>
      </c>
      <c r="P7" s="19" t="n">
        <v>1</v>
      </c>
      <c r="Q7" s="19" t="n">
        <v>1</v>
      </c>
      <c r="R7" s="19" t="n">
        <v>2</v>
      </c>
      <c r="S7" s="19" t="n">
        <v>1</v>
      </c>
      <c r="T7" s="20" t="n">
        <v>1</v>
      </c>
      <c r="U7" s="19" t="n">
        <v>1</v>
      </c>
      <c r="V7" s="19" t="n">
        <v>8.55</v>
      </c>
      <c r="W7" s="19" t="n">
        <v>3.01</v>
      </c>
      <c r="X7" s="19" t="n">
        <v>11.3</v>
      </c>
      <c r="Y7" s="19" t="n">
        <v>269</v>
      </c>
      <c r="AA7" s="19" t="n">
        <v>0.47</v>
      </c>
      <c r="AB7" s="19" t="n">
        <v>8.8</v>
      </c>
      <c r="AC7" s="19" t="n">
        <v>1</v>
      </c>
      <c r="AD7" s="19" t="n">
        <v>1</v>
      </c>
      <c r="AE7" s="19" t="n">
        <v>1</v>
      </c>
      <c r="AF7" s="19" t="n">
        <v>1</v>
      </c>
      <c r="AG7" s="19" t="n">
        <v>2</v>
      </c>
      <c r="AH7" s="19" t="n">
        <v>1</v>
      </c>
      <c r="AI7" s="19" t="n">
        <v>1</v>
      </c>
      <c r="AJ7" s="19" t="n">
        <v>1</v>
      </c>
      <c r="AK7" s="19" t="n">
        <v>2</v>
      </c>
      <c r="AL7" s="19" t="n">
        <v>2</v>
      </c>
      <c r="AM7" s="19" t="n">
        <v>1</v>
      </c>
      <c r="AN7" s="19" t="n">
        <v>2</v>
      </c>
      <c r="AO7" s="19" t="n">
        <v>2</v>
      </c>
      <c r="AP7" s="19" t="n">
        <v>1</v>
      </c>
      <c r="AQ7" s="19" t="n">
        <v>3</v>
      </c>
      <c r="AR7" s="19" t="n">
        <v>5</v>
      </c>
      <c r="AS7" s="19" t="n">
        <v>2</v>
      </c>
      <c r="AT7" s="19" t="n">
        <v>1</v>
      </c>
      <c r="AU7" s="19" t="n">
        <v>1</v>
      </c>
      <c r="AV7" s="19" t="n">
        <v>1</v>
      </c>
      <c r="AW7" s="19" t="n">
        <v>1</v>
      </c>
      <c r="AX7" s="19" t="n">
        <v>2</v>
      </c>
      <c r="AY7" s="19" t="n">
        <v>2</v>
      </c>
      <c r="AZ7" s="19" t="n">
        <v>1</v>
      </c>
      <c r="BA7" s="20" t="n">
        <v>5</v>
      </c>
      <c r="BB7" s="19" t="n">
        <v>2</v>
      </c>
      <c r="BC7" s="19" t="n">
        <v>1</v>
      </c>
      <c r="BD7" s="19" t="n">
        <v>6</v>
      </c>
      <c r="BE7" s="19" t="n">
        <v>3</v>
      </c>
      <c r="BF7" s="19" t="n">
        <v>5</v>
      </c>
      <c r="BG7" s="19" t="n">
        <v>3</v>
      </c>
      <c r="BH7" s="19" t="n">
        <v>4</v>
      </c>
      <c r="BI7" s="19" t="n">
        <v>1</v>
      </c>
      <c r="BJ7" s="19" t="n">
        <v>1</v>
      </c>
      <c r="BK7" s="21" t="s">
        <v>84</v>
      </c>
    </row>
    <row r="8" s="23" customFormat="true" ht="15" hidden="false" customHeight="false" outlineLevel="0" collapsed="false">
      <c r="A8" s="1"/>
      <c r="B8" s="14" t="s">
        <v>85</v>
      </c>
      <c r="C8" s="14" t="s">
        <v>86</v>
      </c>
      <c r="D8" s="14" t="s">
        <v>87</v>
      </c>
      <c r="E8" s="14" t="n">
        <v>142674</v>
      </c>
      <c r="F8" s="22" t="n">
        <v>43361</v>
      </c>
      <c r="G8" s="22" t="n">
        <v>43363</v>
      </c>
      <c r="H8" s="23" t="n">
        <v>2</v>
      </c>
      <c r="I8" s="23" t="n">
        <v>1</v>
      </c>
      <c r="J8" s="23" t="n">
        <v>79</v>
      </c>
      <c r="K8" s="23" t="n">
        <v>2</v>
      </c>
      <c r="L8" s="23" t="n">
        <v>2</v>
      </c>
      <c r="M8" s="23" t="n">
        <v>1</v>
      </c>
      <c r="N8" s="23" t="n">
        <v>1</v>
      </c>
      <c r="O8" s="23" t="n">
        <v>2</v>
      </c>
      <c r="P8" s="23" t="n">
        <v>2</v>
      </c>
      <c r="Q8" s="23" t="n">
        <v>2</v>
      </c>
      <c r="R8" s="23" t="n">
        <v>2</v>
      </c>
      <c r="S8" s="23" t="n">
        <v>2</v>
      </c>
      <c r="T8" s="5" t="n">
        <v>5</v>
      </c>
      <c r="U8" s="23" t="n">
        <v>2</v>
      </c>
      <c r="V8" s="23" t="n">
        <v>6.29</v>
      </c>
      <c r="W8" s="23" t="n">
        <v>1.01</v>
      </c>
      <c r="X8" s="23" t="n">
        <v>6.1</v>
      </c>
      <c r="Y8" s="23" t="n">
        <v>496</v>
      </c>
      <c r="AA8" s="23" t="n">
        <v>0.38</v>
      </c>
      <c r="AB8" s="23" t="n">
        <v>8</v>
      </c>
      <c r="AC8" s="23" t="n">
        <v>3</v>
      </c>
      <c r="AD8" s="23" t="n">
        <v>1</v>
      </c>
      <c r="AE8" s="23" t="n">
        <v>2</v>
      </c>
      <c r="AF8" s="23" t="n">
        <v>1</v>
      </c>
      <c r="AG8" s="23" t="n">
        <v>2</v>
      </c>
      <c r="AH8" s="23" t="n">
        <v>1</v>
      </c>
      <c r="AI8" s="23" t="n">
        <v>1</v>
      </c>
      <c r="AJ8" s="23" t="n">
        <v>2</v>
      </c>
      <c r="AK8" s="23" t="n">
        <v>2</v>
      </c>
      <c r="AL8" s="23" t="n">
        <v>2</v>
      </c>
      <c r="AM8" s="23" t="n">
        <v>1</v>
      </c>
      <c r="AN8" s="23" t="n">
        <v>2</v>
      </c>
      <c r="AO8" s="23" t="n">
        <v>2</v>
      </c>
      <c r="AP8" s="23" t="n">
        <v>1</v>
      </c>
      <c r="AQ8" s="23" t="n">
        <v>4</v>
      </c>
      <c r="AR8" s="23" t="n">
        <v>4</v>
      </c>
      <c r="AS8" s="23" t="n">
        <v>6</v>
      </c>
      <c r="AT8" s="23" t="n">
        <v>4</v>
      </c>
      <c r="AU8" s="23" t="n">
        <v>4</v>
      </c>
      <c r="AV8" s="23" t="n">
        <v>6</v>
      </c>
      <c r="AW8" s="23" t="n">
        <v>6</v>
      </c>
      <c r="AX8" s="23" t="n">
        <v>3</v>
      </c>
      <c r="AY8" s="23" t="n">
        <v>3</v>
      </c>
      <c r="AZ8" s="23" t="n">
        <v>1</v>
      </c>
      <c r="BA8" s="5" t="n">
        <v>3</v>
      </c>
      <c r="BB8" s="23" t="n">
        <v>2</v>
      </c>
      <c r="BC8" s="23" t="n">
        <v>1</v>
      </c>
      <c r="BD8" s="23" t="n">
        <v>5</v>
      </c>
      <c r="BE8" s="23" t="n">
        <v>3</v>
      </c>
      <c r="BF8" s="23" t="n">
        <v>5</v>
      </c>
      <c r="BG8" s="23" t="n">
        <v>3</v>
      </c>
      <c r="BH8" s="23" t="n">
        <v>4</v>
      </c>
      <c r="BI8" s="23" t="n">
        <v>1</v>
      </c>
      <c r="BJ8" s="23" t="n">
        <v>1</v>
      </c>
      <c r="BK8" s="16" t="s">
        <v>88</v>
      </c>
    </row>
    <row r="9" s="30" customFormat="true" ht="12" hidden="false" customHeight="true" outlineLevel="0" collapsed="false">
      <c r="A9" s="24"/>
      <c r="B9" s="25" t="s">
        <v>89</v>
      </c>
      <c r="C9" s="25" t="s">
        <v>90</v>
      </c>
      <c r="D9" s="25" t="s">
        <v>91</v>
      </c>
      <c r="E9" s="26" t="n">
        <v>160898</v>
      </c>
      <c r="F9" s="27" t="n">
        <v>43361</v>
      </c>
      <c r="G9" s="28" t="n">
        <v>43364</v>
      </c>
      <c r="H9" s="29" t="n">
        <v>3</v>
      </c>
      <c r="I9" s="30" t="n">
        <v>2</v>
      </c>
      <c r="J9" s="30" t="n">
        <v>77</v>
      </c>
      <c r="K9" s="30" t="n">
        <v>2</v>
      </c>
      <c r="L9" s="30" t="n">
        <v>2</v>
      </c>
      <c r="M9" s="30" t="n">
        <v>1</v>
      </c>
      <c r="N9" s="30" t="n">
        <v>2</v>
      </c>
      <c r="O9" s="30" t="n">
        <v>2</v>
      </c>
      <c r="P9" s="30" t="n">
        <v>2</v>
      </c>
      <c r="Q9" s="30" t="n">
        <v>2</v>
      </c>
      <c r="R9" s="30" t="n">
        <v>2</v>
      </c>
      <c r="S9" s="30" t="n">
        <v>1</v>
      </c>
      <c r="T9" s="4" t="n">
        <v>2</v>
      </c>
      <c r="U9" s="30" t="n">
        <v>2</v>
      </c>
      <c r="AC9" s="29" t="n">
        <v>3</v>
      </c>
      <c r="AD9" s="30" t="n">
        <v>2</v>
      </c>
      <c r="AE9" s="30" t="n">
        <v>2</v>
      </c>
      <c r="AF9" s="30" t="n">
        <v>1</v>
      </c>
      <c r="AG9" s="30" t="n">
        <v>2</v>
      </c>
      <c r="AH9" s="30" t="n">
        <v>2</v>
      </c>
      <c r="AI9" s="30" t="n">
        <v>1</v>
      </c>
      <c r="AJ9" s="30" t="n">
        <v>2</v>
      </c>
      <c r="AK9" s="30" t="n">
        <v>2</v>
      </c>
      <c r="AL9" s="30" t="n">
        <v>2</v>
      </c>
      <c r="AM9" s="30" t="n">
        <v>2</v>
      </c>
      <c r="AN9" s="30" t="n">
        <v>2</v>
      </c>
      <c r="AO9" s="30" t="n">
        <v>2</v>
      </c>
      <c r="AP9" s="30" t="n">
        <v>3</v>
      </c>
      <c r="AQ9" s="30" t="n">
        <v>4</v>
      </c>
      <c r="AR9" s="30" t="n">
        <v>4</v>
      </c>
      <c r="AS9" s="30" t="n">
        <v>6</v>
      </c>
      <c r="AT9" s="30" t="n">
        <v>4</v>
      </c>
      <c r="AU9" s="30" t="n">
        <v>4</v>
      </c>
      <c r="AV9" s="30" t="n">
        <v>6</v>
      </c>
      <c r="AW9" s="30" t="n">
        <v>6</v>
      </c>
      <c r="AX9" s="30" t="n">
        <v>3</v>
      </c>
      <c r="AY9" s="30" t="n">
        <v>3</v>
      </c>
      <c r="AZ9" s="30" t="n">
        <v>3</v>
      </c>
      <c r="BA9" s="5" t="n">
        <v>1</v>
      </c>
      <c r="BB9" s="30" t="n">
        <v>1</v>
      </c>
      <c r="BC9" s="30" t="n">
        <v>2</v>
      </c>
      <c r="BD9" s="30" t="n">
        <v>2</v>
      </c>
      <c r="BE9" s="30" t="n">
        <v>1</v>
      </c>
      <c r="BF9" s="30" t="n">
        <v>2</v>
      </c>
      <c r="BG9" s="30" t="n">
        <v>1</v>
      </c>
      <c r="BH9" s="30" t="n">
        <v>4</v>
      </c>
      <c r="BI9" s="30" t="n">
        <v>1</v>
      </c>
      <c r="BJ9" s="30" t="n">
        <v>1</v>
      </c>
      <c r="BK9" s="31" t="s">
        <v>92</v>
      </c>
    </row>
    <row r="10" customFormat="false" ht="15" hidden="false" customHeight="false" outlineLevel="0" collapsed="false">
      <c r="B10" s="17" t="s">
        <v>93</v>
      </c>
      <c r="C10" s="17" t="s">
        <v>94</v>
      </c>
      <c r="D10" s="17" t="s">
        <v>95</v>
      </c>
      <c r="E10" s="14" t="n">
        <v>142067</v>
      </c>
      <c r="F10" s="15" t="n">
        <v>43357</v>
      </c>
      <c r="G10" s="22" t="n">
        <v>43365</v>
      </c>
      <c r="H10" s="23" t="n">
        <v>8</v>
      </c>
      <c r="I10" s="3" t="n">
        <v>2</v>
      </c>
      <c r="J10" s="3" t="n">
        <v>45</v>
      </c>
      <c r="K10" s="3" t="n">
        <v>2</v>
      </c>
      <c r="L10" s="3" t="n">
        <v>1</v>
      </c>
      <c r="M10" s="3" t="n">
        <v>1</v>
      </c>
      <c r="N10" s="3" t="n">
        <v>1</v>
      </c>
      <c r="O10" s="3" t="n">
        <v>1</v>
      </c>
      <c r="P10" s="3" t="n">
        <v>2</v>
      </c>
      <c r="Q10" s="3" t="n">
        <v>1</v>
      </c>
      <c r="R10" s="3" t="n">
        <v>2</v>
      </c>
      <c r="S10" s="3" t="n">
        <v>1</v>
      </c>
      <c r="T10" s="4" t="n">
        <v>1</v>
      </c>
      <c r="U10" s="3" t="n">
        <v>1</v>
      </c>
      <c r="V10" s="3" t="n">
        <v>3.94</v>
      </c>
      <c r="W10" s="3" t="n">
        <v>1.99</v>
      </c>
      <c r="X10" s="3" t="n">
        <v>14.1</v>
      </c>
      <c r="Y10" s="3" t="n">
        <v>185</v>
      </c>
      <c r="AA10" s="3" t="n">
        <v>0.5</v>
      </c>
      <c r="AB10" s="3" t="n">
        <v>9.5</v>
      </c>
      <c r="AC10" s="23" t="n">
        <v>1</v>
      </c>
      <c r="AD10" s="23" t="n">
        <v>1</v>
      </c>
      <c r="AE10" s="23" t="n">
        <v>1</v>
      </c>
      <c r="AF10" s="23" t="n">
        <v>1</v>
      </c>
      <c r="AG10" s="23" t="n">
        <v>2</v>
      </c>
      <c r="AH10" s="23" t="n">
        <v>1</v>
      </c>
      <c r="AI10" s="23" t="n">
        <v>1</v>
      </c>
      <c r="AJ10" s="23" t="n">
        <v>1</v>
      </c>
      <c r="AK10" s="23" t="n">
        <v>1</v>
      </c>
      <c r="AL10" s="23" t="n">
        <v>2</v>
      </c>
      <c r="AM10" s="23" t="n">
        <v>1</v>
      </c>
      <c r="AN10" s="23" t="n">
        <v>2</v>
      </c>
      <c r="AO10" s="23" t="n">
        <v>2</v>
      </c>
      <c r="AP10" s="23" t="n">
        <v>1</v>
      </c>
      <c r="AQ10" s="23" t="n">
        <v>3</v>
      </c>
      <c r="AR10" s="23" t="n">
        <v>4</v>
      </c>
      <c r="AS10" s="23" t="n">
        <v>6</v>
      </c>
      <c r="AT10" s="23" t="n">
        <v>4</v>
      </c>
      <c r="AU10" s="23" t="n">
        <v>4</v>
      </c>
      <c r="AV10" s="23" t="n">
        <v>1</v>
      </c>
      <c r="AW10" s="23" t="n">
        <v>6</v>
      </c>
      <c r="AX10" s="23" t="n">
        <v>1</v>
      </c>
      <c r="AY10" s="23" t="n">
        <v>3</v>
      </c>
      <c r="AZ10" s="23" t="n">
        <v>1</v>
      </c>
      <c r="BA10" s="5" t="n">
        <v>5</v>
      </c>
      <c r="BB10" s="23" t="n">
        <v>2</v>
      </c>
      <c r="BC10" s="23" t="n">
        <v>1</v>
      </c>
      <c r="BD10" s="23" t="n">
        <v>6</v>
      </c>
      <c r="BE10" s="23" t="n">
        <v>3</v>
      </c>
      <c r="BF10" s="23" t="n">
        <v>5</v>
      </c>
      <c r="BG10" s="23" t="n">
        <v>3</v>
      </c>
      <c r="BH10" s="23" t="n">
        <v>4</v>
      </c>
      <c r="BI10" s="23" t="n">
        <v>1</v>
      </c>
      <c r="BJ10" s="23" t="n">
        <v>1</v>
      </c>
      <c r="BK10" s="21" t="s">
        <v>96</v>
      </c>
    </row>
    <row r="11" customFormat="false" ht="12" hidden="false" customHeight="true" outlineLevel="0" collapsed="false">
      <c r="B11" s="17" t="s">
        <v>97</v>
      </c>
      <c r="C11" s="17" t="s">
        <v>98</v>
      </c>
      <c r="D11" s="17" t="s">
        <v>99</v>
      </c>
      <c r="E11" s="14" t="n">
        <v>160679</v>
      </c>
      <c r="F11" s="15" t="n">
        <v>43359</v>
      </c>
      <c r="G11" s="22" t="n">
        <v>43365</v>
      </c>
      <c r="H11" s="23" t="n">
        <v>6</v>
      </c>
      <c r="I11" s="3" t="n">
        <v>2</v>
      </c>
      <c r="J11" s="3" t="n">
        <v>68</v>
      </c>
      <c r="K11" s="3" t="n">
        <v>1</v>
      </c>
      <c r="L11" s="3" t="n">
        <v>1</v>
      </c>
      <c r="M11" s="3" t="n">
        <v>1</v>
      </c>
      <c r="N11" s="3" t="n">
        <v>2</v>
      </c>
      <c r="O11" s="3" t="n">
        <v>2</v>
      </c>
      <c r="P11" s="3" t="n">
        <v>2</v>
      </c>
      <c r="Q11" s="3" t="n">
        <v>1</v>
      </c>
      <c r="R11" s="3" t="n">
        <v>2</v>
      </c>
      <c r="S11" s="3" t="n">
        <v>2</v>
      </c>
      <c r="T11" s="4" t="n">
        <v>2</v>
      </c>
      <c r="U11" s="3" t="n">
        <v>1</v>
      </c>
      <c r="V11" s="23" t="n">
        <v>5.76</v>
      </c>
      <c r="W11" s="23" t="n">
        <v>1.65</v>
      </c>
      <c r="X11" s="23" t="n">
        <v>11</v>
      </c>
      <c r="Y11" s="23" t="n">
        <v>395</v>
      </c>
      <c r="Z11" s="23"/>
      <c r="AA11" s="23" t="n">
        <v>0.4</v>
      </c>
      <c r="AB11" s="23" t="n">
        <v>9</v>
      </c>
      <c r="AC11" s="3" t="n">
        <v>1</v>
      </c>
      <c r="AD11" s="23" t="n">
        <v>1</v>
      </c>
      <c r="AE11" s="23" t="n">
        <v>1</v>
      </c>
      <c r="AF11" s="23" t="n">
        <v>1</v>
      </c>
      <c r="AG11" s="23" t="n">
        <v>2</v>
      </c>
      <c r="AH11" s="23" t="n">
        <v>2</v>
      </c>
      <c r="AI11" s="23" t="n">
        <v>1</v>
      </c>
      <c r="AJ11" s="23" t="n">
        <v>2</v>
      </c>
      <c r="AK11" s="23" t="n">
        <v>1</v>
      </c>
      <c r="AL11" s="23" t="n">
        <v>2</v>
      </c>
      <c r="AM11" s="23" t="n">
        <v>1</v>
      </c>
      <c r="AN11" s="23" t="n">
        <v>2</v>
      </c>
      <c r="AO11" s="23" t="n">
        <v>2</v>
      </c>
      <c r="AP11" s="23" t="n">
        <v>3</v>
      </c>
      <c r="AQ11" s="23" t="n">
        <v>4</v>
      </c>
      <c r="AR11" s="23" t="n">
        <v>4</v>
      </c>
      <c r="AS11" s="23" t="n">
        <v>6</v>
      </c>
      <c r="AT11" s="23" t="n">
        <v>4</v>
      </c>
      <c r="AU11" s="23" t="n">
        <v>4</v>
      </c>
      <c r="AV11" s="23" t="n">
        <v>6</v>
      </c>
      <c r="AW11" s="23" t="n">
        <v>6</v>
      </c>
      <c r="AX11" s="23" t="n">
        <v>3</v>
      </c>
      <c r="AY11" s="23" t="n">
        <v>3</v>
      </c>
      <c r="AZ11" s="23" t="n">
        <v>1</v>
      </c>
      <c r="BA11" s="5" t="n">
        <v>1</v>
      </c>
      <c r="BB11" s="23" t="n">
        <v>1</v>
      </c>
      <c r="BC11" s="23" t="n">
        <v>1</v>
      </c>
      <c r="BD11" s="23" t="n">
        <v>4</v>
      </c>
      <c r="BE11" s="23" t="n">
        <v>3</v>
      </c>
      <c r="BF11" s="23" t="n">
        <v>5</v>
      </c>
      <c r="BG11" s="23" t="n">
        <v>3</v>
      </c>
      <c r="BH11" s="23" t="n">
        <v>4</v>
      </c>
      <c r="BI11" s="23" t="n">
        <v>1</v>
      </c>
      <c r="BJ11" s="23" t="n">
        <v>1</v>
      </c>
      <c r="BK11" s="21" t="s">
        <v>100</v>
      </c>
    </row>
    <row r="12" customFormat="false" ht="12" hidden="false" customHeight="true" outlineLevel="0" collapsed="false">
      <c r="B12" s="17" t="s">
        <v>101</v>
      </c>
      <c r="C12" s="17" t="s">
        <v>94</v>
      </c>
      <c r="D12" s="17" t="s">
        <v>102</v>
      </c>
      <c r="E12" s="14" t="n">
        <v>160828</v>
      </c>
      <c r="F12" s="18" t="n">
        <v>43360</v>
      </c>
      <c r="G12" s="22" t="n">
        <v>43367</v>
      </c>
      <c r="H12" s="23" t="n">
        <v>7</v>
      </c>
      <c r="I12" s="3" t="n">
        <v>1</v>
      </c>
      <c r="J12" s="3" t="n">
        <v>69</v>
      </c>
      <c r="K12" s="3" t="n">
        <v>1</v>
      </c>
      <c r="L12" s="3" t="n">
        <v>2</v>
      </c>
      <c r="M12" s="3" t="n">
        <v>1</v>
      </c>
      <c r="N12" s="3" t="n">
        <v>2</v>
      </c>
      <c r="O12" s="3" t="n">
        <v>1</v>
      </c>
      <c r="P12" s="3" t="n">
        <v>2</v>
      </c>
      <c r="Q12" s="3" t="n">
        <v>1</v>
      </c>
      <c r="R12" s="3" t="n">
        <v>2</v>
      </c>
      <c r="S12" s="3" t="n">
        <v>2</v>
      </c>
      <c r="T12" s="4" t="n">
        <v>1</v>
      </c>
      <c r="U12" s="3" t="n">
        <v>1</v>
      </c>
      <c r="V12" s="23" t="n">
        <v>5.43</v>
      </c>
      <c r="W12" s="23" t="n">
        <v>1.69</v>
      </c>
      <c r="X12" s="23" t="n">
        <v>10.4</v>
      </c>
      <c r="Y12" s="23" t="n">
        <v>311</v>
      </c>
      <c r="Z12" s="23"/>
      <c r="AA12" s="23" t="n">
        <v>0.42</v>
      </c>
      <c r="AB12" s="23" t="n">
        <v>13</v>
      </c>
      <c r="AC12" s="23" t="n">
        <v>1</v>
      </c>
      <c r="AD12" s="23" t="n">
        <v>1</v>
      </c>
      <c r="AE12" s="23" t="n">
        <v>1</v>
      </c>
      <c r="AF12" s="23" t="n">
        <v>1</v>
      </c>
      <c r="AG12" s="23" t="n">
        <v>2</v>
      </c>
      <c r="AH12" s="23" t="n">
        <v>2</v>
      </c>
      <c r="AI12" s="23" t="n">
        <v>1</v>
      </c>
      <c r="AJ12" s="23" t="n">
        <v>1</v>
      </c>
      <c r="AK12" s="23" t="n">
        <v>1</v>
      </c>
      <c r="AL12" s="23" t="n">
        <v>2</v>
      </c>
      <c r="AM12" s="23" t="n">
        <v>1</v>
      </c>
      <c r="AN12" s="23" t="n">
        <v>2</v>
      </c>
      <c r="AO12" s="23" t="n">
        <v>2</v>
      </c>
      <c r="AP12" s="23" t="n">
        <v>3</v>
      </c>
      <c r="AQ12" s="23" t="n">
        <v>4</v>
      </c>
      <c r="AR12" s="23" t="n">
        <v>4</v>
      </c>
      <c r="AS12" s="23" t="n">
        <v>6</v>
      </c>
      <c r="AT12" s="23" t="n">
        <v>4</v>
      </c>
      <c r="AU12" s="23" t="n">
        <v>4</v>
      </c>
      <c r="AV12" s="23" t="n">
        <v>6</v>
      </c>
      <c r="AW12" s="23" t="n">
        <v>6</v>
      </c>
      <c r="AX12" s="23" t="n">
        <v>3</v>
      </c>
      <c r="AY12" s="23" t="n">
        <v>3</v>
      </c>
      <c r="AZ12" s="23" t="n">
        <v>1</v>
      </c>
      <c r="BA12" s="5" t="n">
        <v>1</v>
      </c>
      <c r="BB12" s="23" t="n">
        <v>1</v>
      </c>
      <c r="BC12" s="23" t="n">
        <v>1</v>
      </c>
      <c r="BD12" s="23" t="n">
        <v>2</v>
      </c>
      <c r="BE12" s="23" t="n">
        <v>3</v>
      </c>
      <c r="BF12" s="23" t="n">
        <v>5</v>
      </c>
      <c r="BG12" s="23" t="n">
        <v>3</v>
      </c>
      <c r="BH12" s="23" t="n">
        <v>4</v>
      </c>
      <c r="BI12" s="23" t="n">
        <v>1</v>
      </c>
      <c r="BJ12" s="23" t="n">
        <v>1</v>
      </c>
      <c r="BK12" s="21" t="s">
        <v>103</v>
      </c>
    </row>
    <row r="13" s="30" customFormat="true" ht="15" hidden="false" customHeight="false" outlineLevel="0" collapsed="false">
      <c r="A13" s="24"/>
      <c r="B13" s="25" t="s">
        <v>104</v>
      </c>
      <c r="C13" s="25" t="s">
        <v>105</v>
      </c>
      <c r="D13" s="25" t="s">
        <v>94</v>
      </c>
      <c r="E13" s="26" t="n">
        <v>159436</v>
      </c>
      <c r="F13" s="27" t="n">
        <v>43361</v>
      </c>
      <c r="G13" s="28" t="n">
        <v>43367</v>
      </c>
      <c r="H13" s="29" t="n">
        <v>6</v>
      </c>
      <c r="I13" s="30" t="n">
        <v>2</v>
      </c>
      <c r="J13" s="30" t="n">
        <v>73</v>
      </c>
      <c r="K13" s="30" t="n">
        <v>2</v>
      </c>
      <c r="L13" s="30" t="n">
        <v>1</v>
      </c>
      <c r="M13" s="30" t="n">
        <v>1</v>
      </c>
      <c r="N13" s="30" t="n">
        <v>2</v>
      </c>
      <c r="O13" s="30" t="n">
        <v>2</v>
      </c>
      <c r="P13" s="30" t="n">
        <v>2</v>
      </c>
      <c r="Q13" s="30" t="n">
        <v>1</v>
      </c>
      <c r="R13" s="30" t="n">
        <v>2</v>
      </c>
      <c r="S13" s="30" t="n">
        <v>2</v>
      </c>
      <c r="T13" s="4" t="n">
        <v>4</v>
      </c>
      <c r="U13" s="30" t="n">
        <v>4</v>
      </c>
      <c r="V13" s="29" t="n">
        <v>3.93</v>
      </c>
      <c r="W13" s="29" t="n">
        <v>0.65</v>
      </c>
      <c r="X13" s="29" t="n">
        <v>5.5</v>
      </c>
      <c r="Y13" s="29" t="n">
        <v>338</v>
      </c>
      <c r="Z13" s="29"/>
      <c r="AA13" s="29" t="n">
        <v>0.32</v>
      </c>
      <c r="AB13" s="29" t="n">
        <v>13.8</v>
      </c>
      <c r="AC13" s="29" t="n">
        <v>3</v>
      </c>
      <c r="AD13" s="29" t="n">
        <v>2</v>
      </c>
      <c r="AE13" s="29" t="n">
        <v>1</v>
      </c>
      <c r="AF13" s="29" t="n">
        <v>1</v>
      </c>
      <c r="AG13" s="29" t="n">
        <v>2</v>
      </c>
      <c r="AH13" s="29" t="n">
        <v>2</v>
      </c>
      <c r="AI13" s="29" t="n">
        <v>1</v>
      </c>
      <c r="AJ13" s="29" t="n">
        <v>2</v>
      </c>
      <c r="AK13" s="29" t="n">
        <v>1</v>
      </c>
      <c r="AL13" s="29" t="n">
        <v>2</v>
      </c>
      <c r="AM13" s="29" t="n">
        <v>1</v>
      </c>
      <c r="AN13" s="29" t="n">
        <v>2</v>
      </c>
      <c r="AO13" s="29" t="n">
        <v>2</v>
      </c>
      <c r="AP13" s="29" t="n">
        <v>3</v>
      </c>
      <c r="AQ13" s="29" t="n">
        <v>4</v>
      </c>
      <c r="AR13" s="29" t="n">
        <v>4</v>
      </c>
      <c r="AS13" s="29" t="n">
        <v>6</v>
      </c>
      <c r="AT13" s="29" t="n">
        <v>4</v>
      </c>
      <c r="AU13" s="29" t="n">
        <v>4</v>
      </c>
      <c r="AV13" s="29" t="n">
        <v>6</v>
      </c>
      <c r="AW13" s="29" t="n">
        <v>6</v>
      </c>
      <c r="AX13" s="29" t="n">
        <v>3</v>
      </c>
      <c r="AY13" s="29" t="n">
        <v>3</v>
      </c>
      <c r="AZ13" s="29" t="n">
        <v>6</v>
      </c>
      <c r="BA13" s="5" t="n">
        <v>10</v>
      </c>
      <c r="BB13" s="29" t="n">
        <v>2</v>
      </c>
      <c r="BC13" s="29" t="n">
        <v>2</v>
      </c>
      <c r="BD13" s="29" t="n">
        <v>6</v>
      </c>
      <c r="BE13" s="29" t="n">
        <v>3</v>
      </c>
      <c r="BF13" s="29" t="n">
        <v>5</v>
      </c>
      <c r="BG13" s="29" t="n">
        <v>3</v>
      </c>
      <c r="BH13" s="29" t="n">
        <v>4</v>
      </c>
      <c r="BI13" s="29" t="n">
        <v>2</v>
      </c>
      <c r="BJ13" s="29" t="n">
        <v>1</v>
      </c>
      <c r="BK13" s="31" t="s">
        <v>106</v>
      </c>
    </row>
    <row r="14" customFormat="false" ht="12" hidden="false" customHeight="true" outlineLevel="0" collapsed="false">
      <c r="B14" s="14" t="s">
        <v>107</v>
      </c>
      <c r="C14" s="14" t="s">
        <v>108</v>
      </c>
      <c r="D14" s="14" t="s">
        <v>109</v>
      </c>
      <c r="E14" s="14" t="n">
        <v>160873</v>
      </c>
      <c r="F14" s="15" t="n">
        <v>43362</v>
      </c>
      <c r="G14" s="22" t="n">
        <v>42638</v>
      </c>
      <c r="H14" s="23" t="n">
        <v>6</v>
      </c>
      <c r="I14" s="3" t="n">
        <v>1</v>
      </c>
      <c r="J14" s="3" t="n">
        <v>55</v>
      </c>
      <c r="K14" s="3" t="n">
        <v>2</v>
      </c>
      <c r="L14" s="3" t="n">
        <v>1</v>
      </c>
      <c r="M14" s="3" t="n">
        <v>2</v>
      </c>
      <c r="N14" s="3" t="n">
        <v>2</v>
      </c>
      <c r="O14" s="3" t="n">
        <v>1</v>
      </c>
      <c r="P14" s="3" t="n">
        <v>2</v>
      </c>
      <c r="Q14" s="3" t="n">
        <v>2</v>
      </c>
      <c r="R14" s="3" t="n">
        <v>2</v>
      </c>
      <c r="S14" s="3" t="n">
        <v>2</v>
      </c>
      <c r="T14" s="4" t="n">
        <v>3</v>
      </c>
      <c r="U14" s="3" t="n">
        <v>4</v>
      </c>
      <c r="V14" s="23" t="n">
        <v>5.56</v>
      </c>
      <c r="W14" s="23" t="n">
        <v>0.76</v>
      </c>
      <c r="X14" s="23" t="n">
        <v>7</v>
      </c>
      <c r="Y14" s="23" t="n">
        <v>461</v>
      </c>
      <c r="Z14" s="23"/>
      <c r="AA14" s="23" t="n">
        <v>0.4</v>
      </c>
      <c r="AB14" s="23" t="n">
        <v>9</v>
      </c>
      <c r="AC14" s="23" t="n">
        <v>1</v>
      </c>
      <c r="AD14" s="23" t="n">
        <v>1</v>
      </c>
      <c r="AE14" s="23" t="n">
        <v>1</v>
      </c>
      <c r="AF14" s="23" t="n">
        <v>1</v>
      </c>
      <c r="AG14" s="23" t="n">
        <v>2</v>
      </c>
      <c r="AH14" s="23" t="n">
        <v>2</v>
      </c>
      <c r="AI14" s="23" t="n">
        <v>1</v>
      </c>
      <c r="AJ14" s="23" t="n">
        <v>2</v>
      </c>
      <c r="AK14" s="23" t="n">
        <v>2</v>
      </c>
      <c r="AL14" s="23" t="n">
        <v>2</v>
      </c>
      <c r="AM14" s="23" t="n">
        <v>1</v>
      </c>
      <c r="AN14" s="23" t="n">
        <v>2</v>
      </c>
      <c r="AO14" s="23" t="n">
        <v>2</v>
      </c>
      <c r="AP14" s="23" t="n">
        <v>3</v>
      </c>
      <c r="AQ14" s="23" t="n">
        <v>4</v>
      </c>
      <c r="AR14" s="23" t="n">
        <v>4</v>
      </c>
      <c r="AS14" s="23" t="n">
        <v>6</v>
      </c>
      <c r="AT14" s="23" t="n">
        <v>4</v>
      </c>
      <c r="AU14" s="23" t="n">
        <v>4</v>
      </c>
      <c r="AV14" s="23" t="n">
        <v>6</v>
      </c>
      <c r="AW14" s="23" t="n">
        <v>6</v>
      </c>
      <c r="AX14" s="23" t="n">
        <v>3</v>
      </c>
      <c r="AY14" s="23" t="n">
        <v>3</v>
      </c>
      <c r="AZ14" s="23" t="n">
        <v>1</v>
      </c>
      <c r="BA14" s="5" t="n">
        <v>11</v>
      </c>
      <c r="BB14" s="23" t="n">
        <v>2</v>
      </c>
      <c r="BC14" s="23" t="n">
        <v>1</v>
      </c>
      <c r="BD14" s="23" t="n">
        <v>6</v>
      </c>
      <c r="BE14" s="23" t="n">
        <v>3</v>
      </c>
      <c r="BF14" s="23" t="n">
        <v>5</v>
      </c>
      <c r="BG14" s="23" t="n">
        <v>3</v>
      </c>
      <c r="BH14" s="23" t="n">
        <v>4</v>
      </c>
      <c r="BI14" s="23" t="n">
        <v>1</v>
      </c>
      <c r="BJ14" s="23" t="n">
        <v>1</v>
      </c>
      <c r="BK14" s="21" t="s">
        <v>110</v>
      </c>
    </row>
    <row r="15" customFormat="false" ht="12" hidden="false" customHeight="true" outlineLevel="0" collapsed="false">
      <c r="B15" s="17" t="s">
        <v>111</v>
      </c>
      <c r="C15" s="17" t="s">
        <v>112</v>
      </c>
      <c r="D15" s="17" t="s">
        <v>62</v>
      </c>
      <c r="E15" s="14" t="n">
        <v>160821</v>
      </c>
      <c r="F15" s="22" t="n">
        <v>43360</v>
      </c>
      <c r="G15" s="22" t="n">
        <v>43369</v>
      </c>
      <c r="H15" s="23" t="n">
        <v>9</v>
      </c>
      <c r="I15" s="3" t="n">
        <v>1</v>
      </c>
      <c r="J15" s="3" t="n">
        <v>54</v>
      </c>
      <c r="K15" s="3" t="n">
        <v>2</v>
      </c>
      <c r="L15" s="3" t="n">
        <v>2</v>
      </c>
      <c r="M15" s="3" t="n">
        <v>1</v>
      </c>
      <c r="N15" s="3" t="n">
        <v>2</v>
      </c>
      <c r="O15" s="3" t="n">
        <v>1</v>
      </c>
      <c r="P15" s="3" t="n">
        <v>2</v>
      </c>
      <c r="Q15" s="3" t="n">
        <v>1</v>
      </c>
      <c r="R15" s="3" t="n">
        <v>2</v>
      </c>
      <c r="S15" s="3" t="n">
        <v>1</v>
      </c>
      <c r="T15" s="4" t="n">
        <v>1</v>
      </c>
      <c r="U15" s="3" t="n">
        <v>1</v>
      </c>
      <c r="V15" s="23" t="n">
        <v>3.37</v>
      </c>
      <c r="W15" s="23" t="n">
        <v>0.8</v>
      </c>
      <c r="X15" s="3" t="n">
        <v>6.1</v>
      </c>
      <c r="Y15" s="23" t="n">
        <v>420</v>
      </c>
      <c r="Z15" s="23"/>
      <c r="AA15" s="23" t="n">
        <v>0.4</v>
      </c>
      <c r="AB15" s="23" t="n">
        <v>8</v>
      </c>
      <c r="AC15" s="23" t="n">
        <v>1</v>
      </c>
      <c r="AD15" s="23" t="n">
        <v>1</v>
      </c>
      <c r="AE15" s="23" t="n">
        <v>1</v>
      </c>
      <c r="AF15" s="23" t="n">
        <v>1</v>
      </c>
      <c r="AG15" s="23" t="n">
        <v>2</v>
      </c>
      <c r="AH15" s="23" t="n">
        <v>1</v>
      </c>
      <c r="AI15" s="23" t="n">
        <v>1</v>
      </c>
      <c r="AJ15" s="23" t="n">
        <v>1</v>
      </c>
      <c r="AK15" s="23" t="n">
        <v>1</v>
      </c>
      <c r="AL15" s="23" t="n">
        <v>2</v>
      </c>
      <c r="AM15" s="23" t="n">
        <v>1</v>
      </c>
      <c r="AN15" s="23" t="n">
        <v>2</v>
      </c>
      <c r="AO15" s="23" t="n">
        <v>2</v>
      </c>
      <c r="AP15" s="23" t="n">
        <v>1</v>
      </c>
      <c r="AQ15" s="23" t="n">
        <v>1</v>
      </c>
      <c r="AR15" s="23" t="n">
        <v>4</v>
      </c>
      <c r="AS15" s="23" t="n">
        <v>6</v>
      </c>
      <c r="AT15" s="23" t="n">
        <v>4</v>
      </c>
      <c r="AU15" s="23" t="n">
        <v>4</v>
      </c>
      <c r="AV15" s="23" t="n">
        <v>1</v>
      </c>
      <c r="AW15" s="23" t="n">
        <v>6</v>
      </c>
      <c r="AX15" s="23" t="n">
        <v>2</v>
      </c>
      <c r="AY15" s="23" t="n">
        <v>1</v>
      </c>
      <c r="AZ15" s="23" t="n">
        <v>1</v>
      </c>
      <c r="BA15" s="5" t="n">
        <v>5</v>
      </c>
      <c r="BB15" s="23" t="n">
        <v>2</v>
      </c>
      <c r="BC15" s="23" t="n">
        <v>1</v>
      </c>
      <c r="BD15" s="23" t="n">
        <v>5</v>
      </c>
      <c r="BE15" s="23" t="n">
        <v>3</v>
      </c>
      <c r="BF15" s="23" t="n">
        <v>5</v>
      </c>
      <c r="BG15" s="23" t="n">
        <v>3</v>
      </c>
      <c r="BH15" s="23" t="n">
        <v>4</v>
      </c>
      <c r="BI15" s="23" t="n">
        <v>1</v>
      </c>
      <c r="BJ15" s="23" t="n">
        <v>1</v>
      </c>
      <c r="BK15" s="16" t="s">
        <v>113</v>
      </c>
    </row>
    <row r="16" s="23" customFormat="true" ht="15" hidden="false" customHeight="true" outlineLevel="0" collapsed="false">
      <c r="A16" s="1"/>
      <c r="B16" s="14" t="s">
        <v>114</v>
      </c>
      <c r="C16" s="14" t="s">
        <v>99</v>
      </c>
      <c r="D16" s="14" t="s">
        <v>115</v>
      </c>
      <c r="E16" s="14" t="n">
        <v>161225</v>
      </c>
      <c r="F16" s="22" t="n">
        <v>43363</v>
      </c>
      <c r="G16" s="22" t="n">
        <v>43369</v>
      </c>
      <c r="H16" s="23" t="n">
        <v>6</v>
      </c>
      <c r="I16" s="23" t="n">
        <v>2</v>
      </c>
      <c r="J16" s="23" t="n">
        <v>71</v>
      </c>
      <c r="K16" s="23" t="n">
        <v>1</v>
      </c>
      <c r="L16" s="23" t="n">
        <v>2</v>
      </c>
      <c r="M16" s="23" t="n">
        <v>1</v>
      </c>
      <c r="N16" s="23" t="n">
        <v>2</v>
      </c>
      <c r="O16" s="23" t="n">
        <v>2</v>
      </c>
      <c r="P16" s="23" t="n">
        <v>2</v>
      </c>
      <c r="Q16" s="23" t="n">
        <v>2</v>
      </c>
      <c r="R16" s="23" t="n">
        <v>2</v>
      </c>
      <c r="S16" s="23" t="n">
        <v>1</v>
      </c>
      <c r="T16" s="5" t="n">
        <v>1</v>
      </c>
      <c r="U16" s="23" t="n">
        <v>4</v>
      </c>
      <c r="V16" s="23" t="n">
        <v>3.68</v>
      </c>
      <c r="W16" s="23" t="n">
        <v>0.61</v>
      </c>
      <c r="X16" s="23" t="n">
        <v>4.6</v>
      </c>
      <c r="Y16" s="23" t="n">
        <v>307</v>
      </c>
      <c r="AA16" s="23" t="n">
        <v>0.41</v>
      </c>
      <c r="AB16" s="23" t="n">
        <v>12.8</v>
      </c>
      <c r="AC16" s="23" t="n">
        <v>1</v>
      </c>
      <c r="AD16" s="23" t="n">
        <v>2</v>
      </c>
      <c r="AE16" s="23" t="n">
        <v>1</v>
      </c>
      <c r="AF16" s="23" t="n">
        <v>1</v>
      </c>
      <c r="AG16" s="23" t="n">
        <v>2</v>
      </c>
      <c r="AH16" s="23" t="n">
        <v>2</v>
      </c>
      <c r="AI16" s="23" t="n">
        <v>1</v>
      </c>
      <c r="AJ16" s="23" t="n">
        <v>1</v>
      </c>
      <c r="AK16" s="23" t="n">
        <v>2</v>
      </c>
      <c r="AL16" s="23" t="n">
        <v>2</v>
      </c>
      <c r="AM16" s="23" t="n">
        <v>2</v>
      </c>
      <c r="AN16" s="23" t="n">
        <v>2</v>
      </c>
      <c r="AO16" s="23" t="n">
        <v>2</v>
      </c>
      <c r="AP16" s="23" t="n">
        <v>3</v>
      </c>
      <c r="AQ16" s="23" t="n">
        <v>4</v>
      </c>
      <c r="AR16" s="23" t="n">
        <v>4</v>
      </c>
      <c r="AS16" s="23" t="n">
        <v>6</v>
      </c>
      <c r="AT16" s="23" t="n">
        <v>4</v>
      </c>
      <c r="AU16" s="23" t="n">
        <v>4</v>
      </c>
      <c r="AV16" s="23" t="n">
        <v>6</v>
      </c>
      <c r="AW16" s="23" t="n">
        <v>6</v>
      </c>
      <c r="AX16" s="23" t="n">
        <v>3</v>
      </c>
      <c r="AY16" s="23" t="n">
        <v>3</v>
      </c>
      <c r="AZ16" s="23" t="n">
        <v>1</v>
      </c>
      <c r="BA16" s="5" t="n">
        <v>5</v>
      </c>
      <c r="BB16" s="23" t="n">
        <v>2</v>
      </c>
      <c r="BC16" s="23" t="n">
        <v>1</v>
      </c>
      <c r="BD16" s="23" t="n">
        <v>6</v>
      </c>
      <c r="BE16" s="23" t="n">
        <v>3</v>
      </c>
      <c r="BF16" s="23" t="n">
        <v>5</v>
      </c>
      <c r="BG16" s="23" t="n">
        <v>3</v>
      </c>
      <c r="BH16" s="23" t="n">
        <v>4</v>
      </c>
      <c r="BI16" s="23" t="n">
        <v>1</v>
      </c>
      <c r="BJ16" s="23" t="n">
        <v>1</v>
      </c>
      <c r="BK16" s="16" t="s">
        <v>116</v>
      </c>
    </row>
    <row r="17" customFormat="false" ht="15" hidden="false" customHeight="false" outlineLevel="0" collapsed="false">
      <c r="B17" s="17" t="s">
        <v>117</v>
      </c>
      <c r="C17" s="17" t="s">
        <v>118</v>
      </c>
      <c r="D17" s="17" t="s">
        <v>118</v>
      </c>
      <c r="E17" s="14" t="n">
        <v>141143</v>
      </c>
      <c r="F17" s="15" t="n">
        <v>43357</v>
      </c>
      <c r="G17" s="22" t="n">
        <v>43369</v>
      </c>
      <c r="H17" s="23" t="n">
        <v>12</v>
      </c>
      <c r="I17" s="3" t="n">
        <v>2</v>
      </c>
      <c r="J17" s="3" t="n">
        <v>66</v>
      </c>
      <c r="K17" s="3" t="n">
        <v>1</v>
      </c>
      <c r="L17" s="3" t="n">
        <v>2</v>
      </c>
      <c r="M17" s="3" t="n">
        <v>1</v>
      </c>
      <c r="N17" s="3" t="n">
        <v>2</v>
      </c>
      <c r="O17" s="3" t="n">
        <v>2</v>
      </c>
      <c r="P17" s="3" t="n">
        <v>2</v>
      </c>
      <c r="Q17" s="3" t="n">
        <v>2</v>
      </c>
      <c r="R17" s="3" t="n">
        <v>2</v>
      </c>
      <c r="S17" s="3" t="n">
        <v>2</v>
      </c>
      <c r="T17" s="4" t="n">
        <v>1</v>
      </c>
      <c r="U17" s="3" t="n">
        <v>1</v>
      </c>
      <c r="V17" s="23" t="n">
        <v>4.38</v>
      </c>
      <c r="W17" s="23" t="n">
        <v>1.16</v>
      </c>
      <c r="X17" s="23" t="n">
        <v>5.6</v>
      </c>
      <c r="Y17" s="23" t="n">
        <v>256</v>
      </c>
      <c r="Z17" s="23"/>
      <c r="AA17" s="23" t="n">
        <v>0.4</v>
      </c>
      <c r="AB17" s="19" t="s">
        <v>119</v>
      </c>
      <c r="AC17" s="23" t="n">
        <v>1</v>
      </c>
      <c r="AD17" s="23" t="n">
        <v>1</v>
      </c>
      <c r="AE17" s="23" t="n">
        <v>1</v>
      </c>
      <c r="AF17" s="23" t="n">
        <v>1</v>
      </c>
      <c r="AG17" s="23" t="n">
        <v>2</v>
      </c>
      <c r="AH17" s="23" t="n">
        <v>1</v>
      </c>
      <c r="AI17" s="23" t="n">
        <v>1</v>
      </c>
      <c r="AJ17" s="23" t="n">
        <v>1</v>
      </c>
      <c r="AK17" s="23" t="n">
        <v>2</v>
      </c>
      <c r="AL17" s="23" t="n">
        <v>2</v>
      </c>
      <c r="AM17" s="23" t="n">
        <v>2</v>
      </c>
      <c r="AN17" s="23" t="n">
        <v>2</v>
      </c>
      <c r="AO17" s="23" t="n">
        <v>2</v>
      </c>
      <c r="AP17" s="23" t="n">
        <v>1</v>
      </c>
      <c r="AQ17" s="23" t="n">
        <v>1</v>
      </c>
      <c r="AR17" s="23" t="n">
        <v>4</v>
      </c>
      <c r="AS17" s="23" t="n">
        <v>6</v>
      </c>
      <c r="AT17" s="23" t="n">
        <v>4</v>
      </c>
      <c r="AU17" s="23" t="n">
        <v>4</v>
      </c>
      <c r="AV17" s="23" t="n">
        <v>1</v>
      </c>
      <c r="AW17" s="23" t="n">
        <v>6</v>
      </c>
      <c r="AX17" s="23" t="n">
        <v>3</v>
      </c>
      <c r="AY17" s="23" t="n">
        <v>3</v>
      </c>
      <c r="AZ17" s="23" t="n">
        <v>1</v>
      </c>
      <c r="BA17" s="5" t="n">
        <v>5</v>
      </c>
      <c r="BB17" s="23" t="n">
        <v>2</v>
      </c>
      <c r="BC17" s="23" t="n">
        <v>1</v>
      </c>
      <c r="BD17" s="23" t="n">
        <v>6</v>
      </c>
      <c r="BE17" s="3" t="n">
        <v>3</v>
      </c>
      <c r="BF17" s="3" t="n">
        <v>5</v>
      </c>
      <c r="BG17" s="3" t="n">
        <v>3</v>
      </c>
      <c r="BH17" s="23" t="n">
        <v>4</v>
      </c>
      <c r="BI17" s="23" t="n">
        <v>1</v>
      </c>
      <c r="BJ17" s="23" t="n">
        <v>1</v>
      </c>
      <c r="BK17" s="21" t="s">
        <v>120</v>
      </c>
    </row>
    <row r="18" customFormat="false" ht="15" hidden="false" customHeight="true" outlineLevel="0" collapsed="false">
      <c r="B18" s="2" t="s">
        <v>121</v>
      </c>
      <c r="C18" s="2" t="s">
        <v>122</v>
      </c>
      <c r="D18" s="2" t="s">
        <v>123</v>
      </c>
      <c r="E18" s="2" t="n">
        <v>161406</v>
      </c>
      <c r="F18" s="15" t="n">
        <v>43367</v>
      </c>
      <c r="G18" s="15" t="n">
        <v>43369</v>
      </c>
      <c r="H18" s="3" t="n">
        <v>2</v>
      </c>
      <c r="I18" s="3" t="n">
        <v>2</v>
      </c>
      <c r="J18" s="3" t="n">
        <v>62</v>
      </c>
      <c r="K18" s="3" t="n">
        <v>1</v>
      </c>
      <c r="L18" s="3" t="n">
        <v>2</v>
      </c>
      <c r="M18" s="3" t="n">
        <v>1</v>
      </c>
      <c r="N18" s="3" t="n">
        <v>2</v>
      </c>
      <c r="O18" s="3" t="n">
        <v>2</v>
      </c>
      <c r="P18" s="3" t="n">
        <v>2</v>
      </c>
      <c r="Q18" s="3" t="n">
        <v>2</v>
      </c>
      <c r="R18" s="3" t="n">
        <v>2</v>
      </c>
      <c r="S18" s="3" t="n">
        <v>1</v>
      </c>
      <c r="T18" s="4" t="n">
        <v>4</v>
      </c>
      <c r="U18" s="3" t="n">
        <v>4</v>
      </c>
      <c r="X18" s="3" t="n">
        <v>6.19</v>
      </c>
      <c r="Y18" s="3" t="n">
        <v>346</v>
      </c>
      <c r="AA18" s="3" t="n">
        <v>0.31</v>
      </c>
      <c r="AB18" s="3" t="n">
        <v>5</v>
      </c>
      <c r="AC18" s="3" t="n">
        <v>3</v>
      </c>
      <c r="AD18" s="3" t="n">
        <v>2</v>
      </c>
      <c r="AE18" s="3" t="n">
        <v>1</v>
      </c>
      <c r="AF18" s="3" t="n">
        <v>1</v>
      </c>
      <c r="AG18" s="3" t="n">
        <v>2</v>
      </c>
      <c r="AH18" s="3" t="n">
        <v>1</v>
      </c>
      <c r="AI18" s="3" t="n">
        <v>2</v>
      </c>
      <c r="AJ18" s="3" t="n">
        <v>1</v>
      </c>
      <c r="AK18" s="3" t="n">
        <v>2</v>
      </c>
      <c r="AL18" s="3" t="n">
        <v>2</v>
      </c>
      <c r="AM18" s="3" t="n">
        <v>1</v>
      </c>
      <c r="AN18" s="3" t="n">
        <v>2</v>
      </c>
      <c r="AO18" s="3" t="n">
        <v>1</v>
      </c>
      <c r="AP18" s="3" t="n">
        <v>3</v>
      </c>
      <c r="AQ18" s="3" t="n">
        <v>4</v>
      </c>
      <c r="AR18" s="3" t="n">
        <v>4</v>
      </c>
      <c r="AS18" s="3" t="n">
        <v>6</v>
      </c>
      <c r="AT18" s="3" t="n">
        <v>4</v>
      </c>
      <c r="AU18" s="3" t="n">
        <v>4</v>
      </c>
      <c r="AV18" s="3" t="n">
        <v>6</v>
      </c>
      <c r="AW18" s="3" t="n">
        <v>6</v>
      </c>
      <c r="AX18" s="3" t="n">
        <v>3</v>
      </c>
      <c r="AY18" s="3" t="n">
        <v>3</v>
      </c>
      <c r="AZ18" s="3" t="n">
        <v>1</v>
      </c>
      <c r="BA18" s="5" t="n">
        <v>10</v>
      </c>
      <c r="BB18" s="3" t="n">
        <v>2</v>
      </c>
      <c r="BC18" s="3" t="n">
        <v>1</v>
      </c>
      <c r="BD18" s="3" t="n">
        <v>6</v>
      </c>
      <c r="BE18" s="3" t="n">
        <v>3</v>
      </c>
      <c r="BF18" s="3" t="n">
        <v>5</v>
      </c>
      <c r="BG18" s="3" t="n">
        <v>3</v>
      </c>
      <c r="BH18" s="3" t="n">
        <v>5</v>
      </c>
      <c r="BI18" s="3" t="n">
        <v>1</v>
      </c>
      <c r="BJ18" s="3" t="n">
        <v>1</v>
      </c>
      <c r="BK18" s="6" t="s">
        <v>124</v>
      </c>
    </row>
    <row r="19" customFormat="false" ht="15" hidden="false" customHeight="true" outlineLevel="0" collapsed="false">
      <c r="A19" s="1" t="s">
        <v>125</v>
      </c>
      <c r="B19" s="14" t="s">
        <v>126</v>
      </c>
      <c r="C19" s="14" t="s">
        <v>127</v>
      </c>
      <c r="D19" s="14" t="s">
        <v>128</v>
      </c>
      <c r="E19" s="14" t="n">
        <v>161238</v>
      </c>
      <c r="F19" s="22" t="n">
        <v>43364</v>
      </c>
      <c r="G19" s="22" t="n">
        <v>43370</v>
      </c>
      <c r="H19" s="23" t="n">
        <v>6</v>
      </c>
      <c r="I19" s="3" t="n">
        <v>2</v>
      </c>
      <c r="J19" s="3" t="n">
        <v>57</v>
      </c>
      <c r="K19" s="3" t="n">
        <v>2</v>
      </c>
      <c r="L19" s="3" t="n">
        <v>2</v>
      </c>
      <c r="M19" s="3" t="n">
        <v>1</v>
      </c>
      <c r="N19" s="3" t="n">
        <v>2</v>
      </c>
      <c r="O19" s="3" t="n">
        <v>2</v>
      </c>
      <c r="P19" s="3" t="n">
        <v>2</v>
      </c>
      <c r="Q19" s="3" t="n">
        <v>1</v>
      </c>
      <c r="R19" s="3" t="n">
        <v>2</v>
      </c>
      <c r="S19" s="3" t="n">
        <v>1</v>
      </c>
      <c r="T19" s="4" t="n">
        <v>2</v>
      </c>
      <c r="U19" s="3" t="n">
        <v>2</v>
      </c>
      <c r="V19" s="3" t="n">
        <v>5.6</v>
      </c>
      <c r="W19" s="3" t="n">
        <v>1.52</v>
      </c>
      <c r="X19" s="3" t="n">
        <v>14.1</v>
      </c>
      <c r="Y19" s="3" t="n">
        <v>341</v>
      </c>
      <c r="AA19" s="3" t="n">
        <v>0.49</v>
      </c>
      <c r="AB19" s="3" t="n">
        <v>17.6</v>
      </c>
      <c r="AC19" s="23" t="n">
        <v>1</v>
      </c>
      <c r="AD19" s="23" t="n">
        <v>1</v>
      </c>
      <c r="AE19" s="23" t="n">
        <v>1</v>
      </c>
      <c r="AF19" s="23" t="n">
        <v>1</v>
      </c>
      <c r="AG19" s="23" t="n">
        <v>2</v>
      </c>
      <c r="AH19" s="23" t="n">
        <v>2</v>
      </c>
      <c r="AI19" s="23" t="n">
        <v>1</v>
      </c>
      <c r="AJ19" s="23" t="n">
        <v>2</v>
      </c>
      <c r="AK19" s="23" t="n">
        <v>1</v>
      </c>
      <c r="AL19" s="23" t="n">
        <v>2</v>
      </c>
      <c r="AM19" s="23" t="n">
        <v>2</v>
      </c>
      <c r="AN19" s="23" t="n">
        <v>2</v>
      </c>
      <c r="AO19" s="23" t="n">
        <v>2</v>
      </c>
      <c r="AP19" s="23" t="n">
        <v>2</v>
      </c>
      <c r="AQ19" s="23" t="n">
        <v>2</v>
      </c>
      <c r="AR19" s="23" t="n">
        <v>7</v>
      </c>
      <c r="AS19" s="23" t="n">
        <v>4</v>
      </c>
      <c r="AT19" s="23" t="n">
        <v>2</v>
      </c>
      <c r="AU19" s="23" t="n">
        <v>1</v>
      </c>
      <c r="AV19" s="23" t="n">
        <v>1</v>
      </c>
      <c r="AW19" s="23" t="n">
        <v>1</v>
      </c>
      <c r="AX19" s="23" t="n">
        <v>2</v>
      </c>
      <c r="AY19" s="23" t="n">
        <v>2</v>
      </c>
      <c r="AZ19" s="23" t="n">
        <v>1</v>
      </c>
      <c r="BA19" s="5" t="n">
        <v>1</v>
      </c>
      <c r="BB19" s="23" t="n">
        <v>1</v>
      </c>
      <c r="BC19" s="23" t="n">
        <v>1</v>
      </c>
      <c r="BD19" s="23" t="n">
        <v>4</v>
      </c>
      <c r="BE19" s="23" t="n">
        <v>3</v>
      </c>
      <c r="BF19" s="23" t="n">
        <v>5</v>
      </c>
      <c r="BG19" s="23" t="n">
        <v>3</v>
      </c>
      <c r="BH19" s="23" t="n">
        <v>4</v>
      </c>
      <c r="BI19" s="23" t="n">
        <v>1</v>
      </c>
      <c r="BJ19" s="23" t="n">
        <v>1</v>
      </c>
      <c r="BK19" s="21" t="s">
        <v>129</v>
      </c>
    </row>
    <row r="20" customFormat="false" ht="15" hidden="false" customHeight="true" outlineLevel="0" collapsed="false">
      <c r="B20" s="2" t="s">
        <v>130</v>
      </c>
      <c r="C20" s="2" t="s">
        <v>131</v>
      </c>
      <c r="D20" s="2" t="s">
        <v>94</v>
      </c>
      <c r="E20" s="32" t="s">
        <v>132</v>
      </c>
      <c r="F20" s="15" t="n">
        <v>43363</v>
      </c>
      <c r="G20" s="15" t="n">
        <v>43370</v>
      </c>
      <c r="H20" s="3" t="n">
        <v>7</v>
      </c>
      <c r="I20" s="3" t="n">
        <v>2</v>
      </c>
      <c r="J20" s="3" t="n">
        <v>56</v>
      </c>
      <c r="K20" s="3" t="n">
        <v>1</v>
      </c>
      <c r="L20" s="3" t="n">
        <v>1</v>
      </c>
      <c r="M20" s="3" t="n">
        <v>2</v>
      </c>
      <c r="N20" s="3" t="n">
        <v>2</v>
      </c>
      <c r="O20" s="3" t="n">
        <v>2</v>
      </c>
      <c r="P20" s="3" t="n">
        <v>2</v>
      </c>
      <c r="Q20" s="3" t="n">
        <v>2</v>
      </c>
      <c r="R20" s="3" t="n">
        <v>2</v>
      </c>
      <c r="S20" s="3" t="n">
        <v>2</v>
      </c>
      <c r="T20" s="4" t="n">
        <v>2</v>
      </c>
      <c r="U20" s="3" t="n">
        <v>1</v>
      </c>
      <c r="V20" s="3" t="n">
        <v>5.4</v>
      </c>
      <c r="W20" s="3" t="n">
        <v>0.83</v>
      </c>
      <c r="X20" s="3" t="n">
        <v>3.8</v>
      </c>
      <c r="Y20" s="3" t="n">
        <v>367</v>
      </c>
      <c r="AA20" s="3" t="n">
        <v>0.42</v>
      </c>
      <c r="AB20" s="3" t="n">
        <v>10.4</v>
      </c>
      <c r="AC20" s="3" t="n">
        <v>1</v>
      </c>
      <c r="AD20" s="3" t="n">
        <v>1</v>
      </c>
      <c r="AE20" s="3" t="n">
        <v>1</v>
      </c>
      <c r="AF20" s="3" t="n">
        <v>1</v>
      </c>
      <c r="AG20" s="3" t="n">
        <v>2</v>
      </c>
      <c r="AH20" s="3" t="n">
        <v>2</v>
      </c>
      <c r="AI20" s="3" t="n">
        <v>1</v>
      </c>
      <c r="AJ20" s="3" t="n">
        <v>1</v>
      </c>
      <c r="AK20" s="3" t="n">
        <v>2</v>
      </c>
      <c r="AL20" s="3" t="n">
        <v>2</v>
      </c>
      <c r="AM20" s="3" t="n">
        <v>2</v>
      </c>
      <c r="AN20" s="3" t="n">
        <v>2</v>
      </c>
      <c r="AO20" s="3" t="n">
        <v>2</v>
      </c>
      <c r="AP20" s="3" t="n">
        <v>3</v>
      </c>
      <c r="AQ20" s="3" t="n">
        <v>4</v>
      </c>
      <c r="AR20" s="3" t="n">
        <v>4</v>
      </c>
      <c r="AS20" s="3" t="n">
        <v>6</v>
      </c>
      <c r="AT20" s="3" t="n">
        <v>4</v>
      </c>
      <c r="AU20" s="3" t="n">
        <v>4</v>
      </c>
      <c r="AV20" s="3" t="n">
        <v>6</v>
      </c>
      <c r="AW20" s="3" t="n">
        <v>6</v>
      </c>
      <c r="AX20" s="3" t="n">
        <v>3</v>
      </c>
      <c r="AY20" s="3" t="n">
        <v>3</v>
      </c>
      <c r="AZ20" s="3" t="n">
        <v>1</v>
      </c>
      <c r="BA20" s="5" t="n">
        <v>1</v>
      </c>
      <c r="BB20" s="3" t="n">
        <v>1</v>
      </c>
      <c r="BC20" s="3" t="n">
        <v>1</v>
      </c>
      <c r="BD20" s="3" t="n">
        <v>4</v>
      </c>
      <c r="BE20" s="3" t="n">
        <v>1</v>
      </c>
      <c r="BF20" s="3" t="n">
        <v>2</v>
      </c>
      <c r="BG20" s="3" t="n">
        <v>1</v>
      </c>
      <c r="BH20" s="3" t="n">
        <v>4</v>
      </c>
      <c r="BI20" s="3" t="n">
        <v>1</v>
      </c>
      <c r="BJ20" s="3" t="n">
        <v>1</v>
      </c>
      <c r="BK20" s="6" t="s">
        <v>133</v>
      </c>
    </row>
    <row r="21" customFormat="false" ht="15" hidden="false" customHeight="true" outlineLevel="0" collapsed="false">
      <c r="B21" s="2" t="s">
        <v>134</v>
      </c>
      <c r="C21" s="2" t="s">
        <v>122</v>
      </c>
      <c r="D21" s="2" t="s">
        <v>135</v>
      </c>
      <c r="E21" s="2" t="n">
        <v>161407</v>
      </c>
      <c r="F21" s="15" t="n">
        <v>43367</v>
      </c>
      <c r="G21" s="15" t="n">
        <v>43005</v>
      </c>
      <c r="H21" s="3" t="n">
        <v>3</v>
      </c>
      <c r="I21" s="3" t="n">
        <v>1</v>
      </c>
      <c r="J21" s="3" t="n">
        <v>72</v>
      </c>
      <c r="K21" s="3" t="n">
        <v>1</v>
      </c>
      <c r="L21" s="3" t="n">
        <v>2</v>
      </c>
      <c r="M21" s="3" t="n">
        <v>1</v>
      </c>
      <c r="N21" s="3" t="n">
        <v>2</v>
      </c>
      <c r="O21" s="3" t="n">
        <v>2</v>
      </c>
      <c r="P21" s="3" t="n">
        <v>2</v>
      </c>
      <c r="Q21" s="3" t="n">
        <v>2</v>
      </c>
      <c r="R21" s="3" t="n">
        <v>2</v>
      </c>
      <c r="S21" s="3" t="n">
        <v>1</v>
      </c>
      <c r="T21" s="4" t="n">
        <v>1</v>
      </c>
      <c r="U21" s="3" t="n">
        <v>1</v>
      </c>
      <c r="AD21" s="3" t="n">
        <v>1</v>
      </c>
      <c r="AE21" s="3" t="n">
        <v>1</v>
      </c>
      <c r="AF21" s="3" t="n">
        <v>1</v>
      </c>
      <c r="AG21" s="3" t="n">
        <v>2</v>
      </c>
      <c r="AH21" s="3" t="n">
        <v>1</v>
      </c>
      <c r="AI21" s="3" t="n">
        <v>1</v>
      </c>
      <c r="AJ21" s="3" t="n">
        <v>1</v>
      </c>
      <c r="AK21" s="3" t="n">
        <v>2</v>
      </c>
      <c r="AL21" s="3" t="n">
        <v>2</v>
      </c>
      <c r="AM21" s="3" t="n">
        <v>1</v>
      </c>
      <c r="AN21" s="3" t="n">
        <v>2</v>
      </c>
      <c r="AO21" s="3" t="n">
        <v>2</v>
      </c>
      <c r="AP21" s="3" t="n">
        <v>1</v>
      </c>
      <c r="AQ21" s="3" t="n">
        <v>1</v>
      </c>
      <c r="AR21" s="3" t="n">
        <v>4</v>
      </c>
      <c r="AS21" s="3" t="n">
        <v>6</v>
      </c>
      <c r="AT21" s="3" t="n">
        <v>4</v>
      </c>
      <c r="AU21" s="3" t="n">
        <v>4</v>
      </c>
      <c r="AV21" s="3" t="n">
        <v>1</v>
      </c>
      <c r="AW21" s="3" t="n">
        <v>6</v>
      </c>
      <c r="AX21" s="3" t="n">
        <v>2</v>
      </c>
      <c r="AY21" s="3" t="n">
        <v>1</v>
      </c>
      <c r="AZ21" s="3" t="n">
        <v>1</v>
      </c>
      <c r="BA21" s="5" t="n">
        <v>5</v>
      </c>
      <c r="BB21" s="3" t="n">
        <v>2</v>
      </c>
      <c r="BC21" s="3" t="n">
        <v>1</v>
      </c>
      <c r="BD21" s="3" t="n">
        <v>6</v>
      </c>
      <c r="BE21" s="3" t="n">
        <v>3</v>
      </c>
      <c r="BF21" s="3" t="n">
        <v>5</v>
      </c>
      <c r="BG21" s="3" t="n">
        <v>3</v>
      </c>
      <c r="BH21" s="3" t="n">
        <v>4</v>
      </c>
      <c r="BI21" s="3" t="n">
        <v>1</v>
      </c>
      <c r="BJ21" s="3" t="n">
        <v>1</v>
      </c>
      <c r="BK21" s="21" t="s">
        <v>136</v>
      </c>
    </row>
    <row r="22" customFormat="false" ht="15" hidden="false" customHeight="true" outlineLevel="0" collapsed="false">
      <c r="B22" s="2" t="s">
        <v>137</v>
      </c>
      <c r="C22" s="2" t="s">
        <v>66</v>
      </c>
      <c r="D22" s="2" t="s">
        <v>138</v>
      </c>
      <c r="E22" s="2" t="n">
        <v>161234</v>
      </c>
      <c r="F22" s="15" t="n">
        <v>43364</v>
      </c>
      <c r="G22" s="15" t="n">
        <v>43370</v>
      </c>
      <c r="H22" s="3" t="n">
        <v>6</v>
      </c>
      <c r="I22" s="3" t="n">
        <v>1</v>
      </c>
      <c r="J22" s="3" t="n">
        <v>62</v>
      </c>
      <c r="K22" s="3" t="n">
        <v>1</v>
      </c>
      <c r="L22" s="3" t="n">
        <v>1</v>
      </c>
      <c r="M22" s="3" t="n">
        <v>1</v>
      </c>
      <c r="N22" s="3" t="n">
        <v>2</v>
      </c>
      <c r="O22" s="3" t="n">
        <v>1</v>
      </c>
      <c r="P22" s="3" t="n">
        <v>2</v>
      </c>
      <c r="Q22" s="3" t="n">
        <v>2</v>
      </c>
      <c r="R22" s="3" t="n">
        <v>2</v>
      </c>
      <c r="S22" s="3" t="n">
        <v>2</v>
      </c>
      <c r="T22" s="4" t="n">
        <v>2</v>
      </c>
      <c r="U22" s="3" t="n">
        <v>2</v>
      </c>
      <c r="W22" s="3" t="n">
        <v>1.97</v>
      </c>
      <c r="X22" s="3" t="n">
        <v>6.8</v>
      </c>
      <c r="Y22" s="3" t="n">
        <v>571</v>
      </c>
      <c r="AC22" s="3" t="n">
        <v>1</v>
      </c>
      <c r="AD22" s="3" t="n">
        <v>2</v>
      </c>
      <c r="AE22" s="3" t="n">
        <v>1</v>
      </c>
      <c r="AF22" s="3" t="n">
        <v>1</v>
      </c>
      <c r="AG22" s="3" t="n">
        <v>2</v>
      </c>
      <c r="AH22" s="3" t="n">
        <v>2</v>
      </c>
      <c r="AI22" s="3" t="n">
        <v>1</v>
      </c>
      <c r="AJ22" s="3" t="n">
        <v>1</v>
      </c>
      <c r="AK22" s="3" t="n">
        <v>2</v>
      </c>
      <c r="AL22" s="3" t="n">
        <v>2</v>
      </c>
      <c r="AM22" s="3" t="n">
        <v>1</v>
      </c>
      <c r="AN22" s="3" t="n">
        <v>2</v>
      </c>
      <c r="AO22" s="3" t="n">
        <v>2</v>
      </c>
      <c r="AP22" s="3" t="n">
        <v>3</v>
      </c>
      <c r="AQ22" s="3" t="n">
        <v>4</v>
      </c>
      <c r="AR22" s="3" t="n">
        <v>4</v>
      </c>
      <c r="AS22" s="3" t="n">
        <v>6</v>
      </c>
      <c r="AT22" s="3" t="n">
        <v>4</v>
      </c>
      <c r="AU22" s="3" t="n">
        <v>4</v>
      </c>
      <c r="AV22" s="3" t="n">
        <v>6</v>
      </c>
      <c r="AW22" s="3" t="n">
        <v>6</v>
      </c>
      <c r="AX22" s="3" t="n">
        <v>3</v>
      </c>
      <c r="AY22" s="3" t="n">
        <v>3</v>
      </c>
      <c r="AZ22" s="3" t="n">
        <v>1</v>
      </c>
      <c r="BA22" s="5" t="n">
        <v>1</v>
      </c>
      <c r="BB22" s="3" t="n">
        <v>1</v>
      </c>
      <c r="BC22" s="3" t="n">
        <v>1</v>
      </c>
      <c r="BD22" s="3" t="n">
        <v>4</v>
      </c>
      <c r="BE22" s="3" t="n">
        <v>3</v>
      </c>
      <c r="BF22" s="3" t="n">
        <v>5</v>
      </c>
      <c r="BG22" s="3" t="n">
        <v>3</v>
      </c>
      <c r="BH22" s="3" t="n">
        <v>4</v>
      </c>
      <c r="BI22" s="3" t="n">
        <v>1</v>
      </c>
      <c r="BJ22" s="3" t="n">
        <v>1</v>
      </c>
      <c r="BK22" s="21" t="s">
        <v>139</v>
      </c>
    </row>
    <row r="23" customFormat="false" ht="15" hidden="false" customHeight="true" outlineLevel="0" collapsed="false">
      <c r="B23" s="17" t="s">
        <v>140</v>
      </c>
      <c r="C23" s="17" t="s">
        <v>141</v>
      </c>
      <c r="D23" s="17" t="s">
        <v>94</v>
      </c>
      <c r="E23" s="2" t="n">
        <v>161241</v>
      </c>
      <c r="F23" s="15" t="n">
        <v>43365</v>
      </c>
      <c r="G23" s="15" t="n">
        <v>43371</v>
      </c>
      <c r="H23" s="3" t="n">
        <v>6</v>
      </c>
      <c r="I23" s="3" t="n">
        <v>2</v>
      </c>
      <c r="J23" s="3" t="n">
        <v>65</v>
      </c>
      <c r="K23" s="3" t="n">
        <v>1</v>
      </c>
      <c r="L23" s="3" t="n">
        <v>1</v>
      </c>
      <c r="M23" s="3" t="n">
        <v>1</v>
      </c>
      <c r="N23" s="3" t="n">
        <v>2</v>
      </c>
      <c r="O23" s="3" t="n">
        <v>2</v>
      </c>
      <c r="P23" s="3" t="n">
        <v>2</v>
      </c>
      <c r="Q23" s="3" t="n">
        <v>2</v>
      </c>
      <c r="R23" s="3" t="n">
        <v>2</v>
      </c>
      <c r="S23" s="3" t="n">
        <v>1</v>
      </c>
      <c r="T23" s="4" t="n">
        <v>1</v>
      </c>
      <c r="U23" s="3" t="n">
        <v>1</v>
      </c>
      <c r="V23" s="3" t="n">
        <v>6</v>
      </c>
      <c r="W23" s="3" t="n">
        <v>1.51</v>
      </c>
      <c r="X23" s="3" t="n">
        <v>5.94</v>
      </c>
      <c r="Y23" s="3" t="n">
        <v>319</v>
      </c>
      <c r="AA23" s="3" t="n">
        <v>0.4</v>
      </c>
      <c r="AB23" s="3" t="n">
        <v>7.7</v>
      </c>
      <c r="AC23" s="3" t="n">
        <v>1</v>
      </c>
      <c r="AD23" s="3" t="n">
        <v>2</v>
      </c>
      <c r="AE23" s="3" t="n">
        <v>1</v>
      </c>
      <c r="AF23" s="3" t="n">
        <v>1</v>
      </c>
      <c r="AG23" s="3" t="n">
        <v>2</v>
      </c>
      <c r="AH23" s="3" t="n">
        <v>2</v>
      </c>
      <c r="AI23" s="3" t="n">
        <v>1</v>
      </c>
      <c r="AJ23" s="3" t="n">
        <v>1</v>
      </c>
      <c r="AK23" s="3" t="n">
        <v>2</v>
      </c>
      <c r="AL23" s="3" t="n">
        <v>2</v>
      </c>
      <c r="AM23" s="3" t="n">
        <v>1</v>
      </c>
      <c r="AN23" s="3" t="n">
        <v>2</v>
      </c>
      <c r="AO23" s="3" t="n">
        <v>2</v>
      </c>
      <c r="AP23" s="3" t="n">
        <v>3</v>
      </c>
      <c r="AQ23" s="3" t="n">
        <v>4</v>
      </c>
      <c r="AR23" s="3" t="n">
        <v>4</v>
      </c>
      <c r="AS23" s="3" t="n">
        <v>6</v>
      </c>
      <c r="AT23" s="3" t="n">
        <v>4</v>
      </c>
      <c r="AU23" s="3" t="n">
        <v>4</v>
      </c>
      <c r="AV23" s="3" t="n">
        <v>6</v>
      </c>
      <c r="AW23" s="3" t="n">
        <v>6</v>
      </c>
      <c r="AX23" s="3" t="n">
        <v>3</v>
      </c>
      <c r="AY23" s="3" t="n">
        <v>3</v>
      </c>
      <c r="AZ23" s="3" t="n">
        <v>1</v>
      </c>
      <c r="BA23" s="5" t="n">
        <v>5</v>
      </c>
      <c r="BB23" s="3" t="n">
        <v>2</v>
      </c>
      <c r="BC23" s="3" t="n">
        <v>1</v>
      </c>
      <c r="BD23" s="3" t="n">
        <v>6</v>
      </c>
      <c r="BE23" s="3" t="n">
        <v>3</v>
      </c>
      <c r="BF23" s="3" t="n">
        <v>5</v>
      </c>
      <c r="BG23" s="3" t="n">
        <v>3</v>
      </c>
      <c r="BH23" s="3" t="n">
        <v>4</v>
      </c>
      <c r="BI23" s="3" t="n">
        <v>1</v>
      </c>
      <c r="BJ23" s="3" t="n">
        <v>1</v>
      </c>
      <c r="BK23" s="16" t="s">
        <v>142</v>
      </c>
    </row>
    <row r="24" customFormat="false" ht="15" hidden="false" customHeight="true" outlineLevel="0" collapsed="false">
      <c r="B24" s="2" t="s">
        <v>143</v>
      </c>
      <c r="C24" s="2" t="s">
        <v>144</v>
      </c>
      <c r="D24" s="2" t="s">
        <v>145</v>
      </c>
      <c r="E24" s="2" t="n">
        <v>161515</v>
      </c>
      <c r="F24" s="15" t="n">
        <v>43370</v>
      </c>
      <c r="G24" s="15" t="n">
        <v>43371</v>
      </c>
      <c r="H24" s="3" t="n">
        <v>1</v>
      </c>
      <c r="I24" s="3" t="n">
        <v>1</v>
      </c>
      <c r="J24" s="3" t="n">
        <v>67</v>
      </c>
      <c r="K24" s="3" t="n">
        <v>1</v>
      </c>
      <c r="L24" s="3" t="n">
        <v>2</v>
      </c>
      <c r="M24" s="3" t="n">
        <v>1</v>
      </c>
      <c r="N24" s="3" t="n">
        <v>2</v>
      </c>
      <c r="O24" s="3" t="n">
        <v>2</v>
      </c>
      <c r="P24" s="3" t="n">
        <v>2</v>
      </c>
      <c r="Q24" s="3" t="n">
        <v>2</v>
      </c>
      <c r="R24" s="3" t="n">
        <v>2</v>
      </c>
      <c r="S24" s="3" t="n">
        <v>1</v>
      </c>
      <c r="T24" s="4" t="n">
        <v>12</v>
      </c>
      <c r="U24" s="3" t="n">
        <v>4</v>
      </c>
      <c r="V24" s="3" t="n">
        <v>5.1</v>
      </c>
      <c r="W24" s="3" t="n">
        <v>1.49</v>
      </c>
      <c r="X24" s="3" t="n">
        <v>4.5</v>
      </c>
      <c r="Y24" s="3" t="n">
        <v>303</v>
      </c>
      <c r="AA24" s="3" t="n">
        <v>0.4</v>
      </c>
      <c r="AB24" s="3" t="n">
        <v>6.9</v>
      </c>
      <c r="AC24" s="3" t="n">
        <v>1</v>
      </c>
      <c r="AD24" s="3" t="n">
        <v>1</v>
      </c>
      <c r="AE24" s="3" t="n">
        <v>2</v>
      </c>
      <c r="AF24" s="3" t="n">
        <v>2</v>
      </c>
      <c r="AG24" s="3" t="n">
        <v>1</v>
      </c>
      <c r="AH24" s="3" t="n">
        <v>1</v>
      </c>
      <c r="AI24" s="3" t="n">
        <v>1</v>
      </c>
      <c r="AJ24" s="3" t="n">
        <v>1</v>
      </c>
      <c r="AK24" s="3" t="n">
        <v>2</v>
      </c>
      <c r="AL24" s="3" t="n">
        <v>2</v>
      </c>
      <c r="AM24" s="3" t="n">
        <v>1</v>
      </c>
      <c r="AN24" s="3" t="n">
        <v>2</v>
      </c>
      <c r="AO24" s="3" t="n">
        <v>2</v>
      </c>
      <c r="AP24" s="3" t="n">
        <v>3</v>
      </c>
      <c r="AQ24" s="3" t="n">
        <v>4</v>
      </c>
      <c r="AR24" s="3" t="n">
        <v>4</v>
      </c>
      <c r="AS24" s="3" t="n">
        <v>6</v>
      </c>
      <c r="AT24" s="3" t="n">
        <v>4</v>
      </c>
      <c r="AU24" s="3" t="n">
        <v>4</v>
      </c>
      <c r="AV24" s="3" t="n">
        <v>6</v>
      </c>
      <c r="AW24" s="3" t="n">
        <v>6</v>
      </c>
      <c r="AX24" s="3" t="n">
        <v>3</v>
      </c>
      <c r="AY24" s="3" t="n">
        <v>3</v>
      </c>
      <c r="AZ24" s="3" t="n">
        <v>1</v>
      </c>
      <c r="BA24" s="5" t="n">
        <v>3</v>
      </c>
      <c r="BB24" s="3" t="n">
        <v>2</v>
      </c>
      <c r="BC24" s="3" t="n">
        <v>1</v>
      </c>
      <c r="BD24" s="3" t="n">
        <v>6</v>
      </c>
      <c r="BE24" s="3" t="n">
        <v>3</v>
      </c>
      <c r="BF24" s="3" t="n">
        <v>5</v>
      </c>
      <c r="BG24" s="3" t="n">
        <v>3</v>
      </c>
      <c r="BH24" s="3" t="n">
        <v>4</v>
      </c>
      <c r="BI24" s="3" t="n">
        <v>1</v>
      </c>
      <c r="BJ24" s="3" t="n">
        <v>1</v>
      </c>
      <c r="BK24" s="16" t="s">
        <v>146</v>
      </c>
    </row>
    <row r="25" s="30" customFormat="true" ht="15" hidden="false" customHeight="true" outlineLevel="0" collapsed="false">
      <c r="A25" s="24"/>
      <c r="B25" s="26" t="s">
        <v>147</v>
      </c>
      <c r="C25" s="26" t="s">
        <v>148</v>
      </c>
      <c r="D25" s="26" t="s">
        <v>94</v>
      </c>
      <c r="E25" s="26" t="n">
        <v>161479</v>
      </c>
      <c r="F25" s="27" t="n">
        <v>43369</v>
      </c>
      <c r="G25" s="27" t="n">
        <v>43372</v>
      </c>
      <c r="H25" s="30" t="n">
        <v>3</v>
      </c>
      <c r="I25" s="30" t="n">
        <v>2</v>
      </c>
      <c r="J25" s="30" t="n">
        <v>81</v>
      </c>
      <c r="K25" s="30" t="n">
        <v>1</v>
      </c>
      <c r="L25" s="30" t="n">
        <v>1</v>
      </c>
      <c r="M25" s="30" t="n">
        <v>1</v>
      </c>
      <c r="N25" s="30" t="n">
        <v>2</v>
      </c>
      <c r="O25" s="30" t="n">
        <v>2</v>
      </c>
      <c r="P25" s="30" t="n">
        <v>2</v>
      </c>
      <c r="Q25" s="30" t="n">
        <v>1</v>
      </c>
      <c r="R25" s="30" t="n">
        <v>2</v>
      </c>
      <c r="S25" s="30" t="n">
        <v>1</v>
      </c>
      <c r="T25" s="4" t="n">
        <v>1</v>
      </c>
      <c r="U25" s="30" t="n">
        <v>4</v>
      </c>
      <c r="AC25" s="30" t="n">
        <v>1</v>
      </c>
      <c r="AD25" s="30" t="n">
        <v>1</v>
      </c>
      <c r="AE25" s="30" t="n">
        <v>1</v>
      </c>
      <c r="AF25" s="30" t="n">
        <v>1</v>
      </c>
      <c r="AG25" s="30" t="n">
        <v>2</v>
      </c>
      <c r="AH25" s="30" t="n">
        <v>2</v>
      </c>
      <c r="AI25" s="30" t="n">
        <v>1</v>
      </c>
      <c r="AJ25" s="30" t="n">
        <v>2</v>
      </c>
      <c r="AK25" s="30" t="n">
        <v>2</v>
      </c>
      <c r="AL25" s="30" t="n">
        <v>2</v>
      </c>
      <c r="AM25" s="30" t="n">
        <v>2</v>
      </c>
      <c r="AN25" s="30" t="n">
        <v>2</v>
      </c>
      <c r="AO25" s="30" t="n">
        <v>2</v>
      </c>
      <c r="AP25" s="30" t="n">
        <v>3</v>
      </c>
      <c r="AQ25" s="30" t="n">
        <v>4</v>
      </c>
      <c r="AR25" s="30" t="n">
        <v>4</v>
      </c>
      <c r="AS25" s="30" t="n">
        <v>6</v>
      </c>
      <c r="AT25" s="30" t="n">
        <v>4</v>
      </c>
      <c r="AU25" s="30" t="n">
        <v>4</v>
      </c>
      <c r="AV25" s="30" t="n">
        <v>6</v>
      </c>
      <c r="AW25" s="30" t="n">
        <v>6</v>
      </c>
      <c r="AX25" s="30" t="n">
        <v>3</v>
      </c>
      <c r="AY25" s="30" t="n">
        <v>3</v>
      </c>
      <c r="AZ25" s="30" t="n">
        <v>15</v>
      </c>
      <c r="BA25" s="5" t="n">
        <v>5</v>
      </c>
      <c r="BB25" s="30" t="n">
        <v>2</v>
      </c>
      <c r="BC25" s="30" t="n">
        <v>2</v>
      </c>
      <c r="BD25" s="30" t="n">
        <v>6</v>
      </c>
      <c r="BE25" s="30" t="n">
        <v>3</v>
      </c>
      <c r="BF25" s="30" t="n">
        <v>5</v>
      </c>
      <c r="BG25" s="30" t="n">
        <v>3</v>
      </c>
      <c r="BH25" s="30" t="n">
        <v>4</v>
      </c>
      <c r="BI25" s="30" t="n">
        <v>1</v>
      </c>
      <c r="BJ25" s="30" t="n">
        <v>1</v>
      </c>
      <c r="BK25" s="31" t="s">
        <v>149</v>
      </c>
    </row>
    <row r="26" customFormat="false" ht="15" hidden="false" customHeight="true" outlineLevel="0" collapsed="false">
      <c r="B26" s="2" t="s">
        <v>150</v>
      </c>
      <c r="C26" s="2" t="s">
        <v>122</v>
      </c>
      <c r="D26" s="2" t="s">
        <v>118</v>
      </c>
      <c r="E26" s="2" t="n">
        <v>161221</v>
      </c>
      <c r="F26" s="15" t="n">
        <v>43363</v>
      </c>
      <c r="G26" s="15" t="n">
        <v>43372</v>
      </c>
      <c r="H26" s="3" t="n">
        <v>9</v>
      </c>
      <c r="I26" s="3" t="n">
        <v>2</v>
      </c>
      <c r="J26" s="3" t="n">
        <v>66</v>
      </c>
      <c r="K26" s="3" t="n">
        <v>1</v>
      </c>
      <c r="L26" s="3" t="n">
        <v>1</v>
      </c>
      <c r="M26" s="3" t="n">
        <v>1</v>
      </c>
      <c r="N26" s="3" t="n">
        <v>2</v>
      </c>
      <c r="O26" s="3" t="n">
        <v>2</v>
      </c>
      <c r="P26" s="3" t="n">
        <v>2</v>
      </c>
      <c r="Q26" s="3" t="n">
        <v>1</v>
      </c>
      <c r="R26" s="3" t="n">
        <v>2</v>
      </c>
      <c r="S26" s="3" t="n">
        <v>1</v>
      </c>
      <c r="T26" s="4" t="n">
        <v>4</v>
      </c>
      <c r="U26" s="3" t="n">
        <v>4</v>
      </c>
      <c r="V26" s="3" t="n">
        <v>5.19</v>
      </c>
      <c r="W26" s="3" t="n">
        <v>1.15</v>
      </c>
      <c r="X26" s="3" t="n">
        <v>6.2</v>
      </c>
      <c r="Y26" s="3" t="n">
        <v>446</v>
      </c>
      <c r="AA26" s="3" t="n">
        <v>0.41</v>
      </c>
      <c r="AB26" s="3" t="n">
        <v>10.2</v>
      </c>
      <c r="AC26" s="3" t="n">
        <v>1</v>
      </c>
      <c r="AD26" s="3" t="n">
        <v>2</v>
      </c>
      <c r="AE26" s="3" t="n">
        <v>1</v>
      </c>
      <c r="AF26" s="3" t="n">
        <v>1</v>
      </c>
      <c r="AG26" s="3" t="n">
        <v>2</v>
      </c>
      <c r="AH26" s="3" t="n">
        <v>2</v>
      </c>
      <c r="AI26" s="3" t="n">
        <v>2</v>
      </c>
      <c r="AJ26" s="3" t="n">
        <v>1</v>
      </c>
      <c r="AK26" s="3" t="n">
        <v>2</v>
      </c>
      <c r="AL26" s="3" t="n">
        <v>2</v>
      </c>
      <c r="AM26" s="3" t="n">
        <v>2</v>
      </c>
      <c r="AN26" s="3" t="n">
        <v>1</v>
      </c>
      <c r="AO26" s="3" t="n">
        <v>2</v>
      </c>
      <c r="AP26" s="3" t="n">
        <v>3</v>
      </c>
      <c r="AQ26" s="3" t="n">
        <v>4</v>
      </c>
      <c r="AR26" s="3" t="n">
        <v>4</v>
      </c>
      <c r="AS26" s="3" t="n">
        <v>6</v>
      </c>
      <c r="AT26" s="3" t="n">
        <v>4</v>
      </c>
      <c r="AU26" s="3" t="n">
        <v>4</v>
      </c>
      <c r="AV26" s="3" t="n">
        <v>6</v>
      </c>
      <c r="AW26" s="3" t="n">
        <v>6</v>
      </c>
      <c r="AX26" s="3" t="n">
        <v>3</v>
      </c>
      <c r="AY26" s="3" t="n">
        <v>3</v>
      </c>
      <c r="AZ26" s="3" t="n">
        <v>1</v>
      </c>
      <c r="BA26" s="5" t="n">
        <v>10</v>
      </c>
      <c r="BB26" s="3" t="n">
        <v>2</v>
      </c>
      <c r="BC26" s="3" t="n">
        <v>1</v>
      </c>
      <c r="BD26" s="3" t="n">
        <v>6</v>
      </c>
      <c r="BE26" s="3" t="n">
        <v>3</v>
      </c>
      <c r="BF26" s="3" t="n">
        <v>5</v>
      </c>
      <c r="BG26" s="3" t="n">
        <v>3</v>
      </c>
      <c r="BH26" s="3" t="n">
        <v>4</v>
      </c>
      <c r="BI26" s="3" t="n">
        <v>1</v>
      </c>
      <c r="BJ26" s="3" t="n">
        <v>1</v>
      </c>
      <c r="BK26" s="21" t="s">
        <v>151</v>
      </c>
    </row>
    <row r="27" customFormat="false" ht="15" hidden="false" customHeight="true" outlineLevel="0" collapsed="false">
      <c r="B27" s="2" t="s">
        <v>152</v>
      </c>
      <c r="C27" s="2" t="s">
        <v>153</v>
      </c>
      <c r="D27" s="2" t="s">
        <v>154</v>
      </c>
      <c r="E27" s="2" t="n">
        <v>161501</v>
      </c>
      <c r="F27" s="15" t="n">
        <v>43370</v>
      </c>
      <c r="G27" s="15" t="n">
        <v>43374</v>
      </c>
      <c r="H27" s="3" t="n">
        <v>4</v>
      </c>
      <c r="I27" s="3" t="n">
        <v>1</v>
      </c>
      <c r="J27" s="3" t="n">
        <v>82</v>
      </c>
      <c r="K27" s="3" t="n">
        <v>2</v>
      </c>
      <c r="L27" s="3" t="n">
        <v>2</v>
      </c>
      <c r="M27" s="3" t="n">
        <v>1</v>
      </c>
      <c r="N27" s="3" t="n">
        <v>2</v>
      </c>
      <c r="O27" s="3" t="n">
        <v>2</v>
      </c>
      <c r="P27" s="3" t="n">
        <v>2</v>
      </c>
      <c r="Q27" s="3" t="n">
        <v>2</v>
      </c>
      <c r="R27" s="3" t="n">
        <v>2</v>
      </c>
      <c r="S27" s="3" t="n">
        <v>2</v>
      </c>
      <c r="T27" s="4" t="n">
        <v>1</v>
      </c>
      <c r="U27" s="3" t="n">
        <v>4</v>
      </c>
      <c r="V27" s="3" t="n">
        <v>5.74</v>
      </c>
      <c r="W27" s="3" t="n">
        <v>1.3</v>
      </c>
      <c r="X27" s="3" t="n">
        <v>5.5</v>
      </c>
      <c r="Y27" s="3" t="n">
        <v>467</v>
      </c>
      <c r="AA27" s="3" t="n">
        <v>0.45</v>
      </c>
      <c r="AB27" s="3" t="n">
        <v>6.7</v>
      </c>
      <c r="AC27" s="3" t="n">
        <v>1</v>
      </c>
      <c r="AD27" s="3" t="n">
        <v>2</v>
      </c>
      <c r="AE27" s="3" t="n">
        <v>1</v>
      </c>
      <c r="AF27" s="3" t="n">
        <v>1</v>
      </c>
      <c r="AG27" s="3" t="n">
        <v>2</v>
      </c>
      <c r="AH27" s="3" t="n">
        <v>2</v>
      </c>
      <c r="AI27" s="3" t="n">
        <v>1</v>
      </c>
      <c r="AJ27" s="3" t="n">
        <v>1</v>
      </c>
      <c r="AK27" s="3" t="n">
        <v>2</v>
      </c>
      <c r="AL27" s="3" t="n">
        <v>2</v>
      </c>
      <c r="AM27" s="3" t="n">
        <v>2</v>
      </c>
      <c r="AN27" s="3" t="n">
        <v>2</v>
      </c>
      <c r="AO27" s="3" t="n">
        <v>2</v>
      </c>
      <c r="AP27" s="3" t="n">
        <v>3</v>
      </c>
      <c r="AQ27" s="3" t="n">
        <v>4</v>
      </c>
      <c r="AR27" s="3" t="n">
        <v>4</v>
      </c>
      <c r="AS27" s="3" t="n">
        <v>6</v>
      </c>
      <c r="AT27" s="3" t="n">
        <v>4</v>
      </c>
      <c r="AU27" s="3" t="n">
        <v>4</v>
      </c>
      <c r="AV27" s="3" t="n">
        <v>6</v>
      </c>
      <c r="AW27" s="3" t="n">
        <v>6</v>
      </c>
      <c r="AX27" s="3" t="n">
        <v>3</v>
      </c>
      <c r="AY27" s="3" t="n">
        <v>3</v>
      </c>
      <c r="AZ27" s="3" t="n">
        <v>1</v>
      </c>
      <c r="BA27" s="5" t="n">
        <v>5</v>
      </c>
      <c r="BB27" s="3" t="n">
        <v>2</v>
      </c>
      <c r="BC27" s="3" t="n">
        <v>1</v>
      </c>
      <c r="BD27" s="3" t="n">
        <v>6</v>
      </c>
      <c r="BE27" s="3" t="n">
        <v>3</v>
      </c>
      <c r="BF27" s="3" t="n">
        <v>5</v>
      </c>
      <c r="BG27" s="3" t="n">
        <v>3</v>
      </c>
      <c r="BH27" s="3" t="n">
        <v>4</v>
      </c>
      <c r="BI27" s="3" t="n">
        <v>1</v>
      </c>
      <c r="BJ27" s="3" t="n">
        <v>1</v>
      </c>
      <c r="BK27" s="6" t="s">
        <v>155</v>
      </c>
    </row>
    <row r="28" customFormat="false" ht="15" hidden="false" customHeight="true" outlineLevel="0" collapsed="false">
      <c r="B28" s="2" t="s">
        <v>156</v>
      </c>
      <c r="C28" s="2" t="s">
        <v>94</v>
      </c>
      <c r="D28" s="2" t="s">
        <v>157</v>
      </c>
      <c r="E28" s="2" t="n">
        <v>158083</v>
      </c>
      <c r="F28" s="15" t="n">
        <v>43369</v>
      </c>
      <c r="G28" s="15" t="n">
        <v>43375</v>
      </c>
      <c r="H28" s="3" t="n">
        <v>6</v>
      </c>
      <c r="I28" s="3" t="n">
        <v>2</v>
      </c>
      <c r="J28" s="3" t="n">
        <v>51</v>
      </c>
      <c r="K28" s="3" t="n">
        <v>2</v>
      </c>
      <c r="L28" s="3" t="n">
        <v>2</v>
      </c>
      <c r="M28" s="3" t="n">
        <v>1</v>
      </c>
      <c r="N28" s="3" t="n">
        <v>2</v>
      </c>
      <c r="O28" s="3" t="n">
        <v>1</v>
      </c>
      <c r="P28" s="3" t="n">
        <v>2</v>
      </c>
      <c r="Q28" s="3" t="n">
        <v>2</v>
      </c>
      <c r="R28" s="3" t="n">
        <v>2</v>
      </c>
      <c r="S28" s="3" t="n">
        <v>2</v>
      </c>
      <c r="T28" s="4" t="n">
        <v>3</v>
      </c>
      <c r="U28" s="3" t="n">
        <v>2</v>
      </c>
      <c r="V28" s="3" t="n">
        <v>3.3</v>
      </c>
      <c r="W28" s="3" t="n">
        <v>0.79</v>
      </c>
      <c r="X28" s="3" t="n">
        <v>5.5</v>
      </c>
      <c r="Y28" s="3" t="n">
        <v>744</v>
      </c>
      <c r="AA28" s="3" t="n">
        <v>0.4</v>
      </c>
      <c r="AB28" s="3" t="n">
        <v>6.8</v>
      </c>
      <c r="AC28" s="3" t="n">
        <v>2</v>
      </c>
      <c r="AD28" s="3" t="n">
        <v>2</v>
      </c>
      <c r="AE28" s="3" t="n">
        <v>1</v>
      </c>
      <c r="AF28" s="3" t="n">
        <v>2</v>
      </c>
      <c r="AG28" s="3" t="n">
        <v>2</v>
      </c>
      <c r="AH28" s="3" t="n">
        <v>2</v>
      </c>
      <c r="AI28" s="3" t="n">
        <v>2</v>
      </c>
      <c r="AJ28" s="3" t="n">
        <v>2</v>
      </c>
      <c r="AK28" s="3" t="n">
        <v>2</v>
      </c>
      <c r="AL28" s="3" t="n">
        <v>1</v>
      </c>
      <c r="AM28" s="3" t="n">
        <v>1</v>
      </c>
      <c r="AN28" s="3" t="n">
        <v>2</v>
      </c>
      <c r="AO28" s="3" t="n">
        <v>2</v>
      </c>
      <c r="AP28" s="3" t="n">
        <v>3</v>
      </c>
      <c r="AQ28" s="3" t="n">
        <v>4</v>
      </c>
      <c r="AR28" s="3" t="n">
        <v>4</v>
      </c>
      <c r="AS28" s="3" t="n">
        <v>6</v>
      </c>
      <c r="AT28" s="3" t="n">
        <v>4</v>
      </c>
      <c r="AU28" s="3" t="n">
        <v>4</v>
      </c>
      <c r="AV28" s="3" t="n">
        <v>6</v>
      </c>
      <c r="AW28" s="3" t="n">
        <v>6</v>
      </c>
      <c r="AX28" s="3" t="n">
        <v>3</v>
      </c>
      <c r="AY28" s="3" t="n">
        <v>3</v>
      </c>
      <c r="AZ28" s="3" t="n">
        <v>1</v>
      </c>
      <c r="BA28" s="5" t="n">
        <v>11</v>
      </c>
      <c r="BB28" s="3" t="n">
        <v>2</v>
      </c>
      <c r="BC28" s="3" t="n">
        <v>1</v>
      </c>
      <c r="BD28" s="3" t="n">
        <v>6</v>
      </c>
      <c r="BE28" s="3" t="n">
        <v>3</v>
      </c>
      <c r="BF28" s="3" t="n">
        <v>5</v>
      </c>
      <c r="BG28" s="3" t="n">
        <v>3</v>
      </c>
      <c r="BH28" s="3" t="n">
        <v>4</v>
      </c>
      <c r="BI28" s="3" t="n">
        <v>1</v>
      </c>
      <c r="BJ28" s="3" t="n">
        <v>1</v>
      </c>
      <c r="BK28" s="21" t="s">
        <v>158</v>
      </c>
    </row>
    <row r="29" customFormat="false" ht="15" hidden="false" customHeight="true" outlineLevel="0" collapsed="false">
      <c r="B29" s="2" t="s">
        <v>159</v>
      </c>
      <c r="C29" s="2" t="s">
        <v>160</v>
      </c>
      <c r="D29" s="2" t="s">
        <v>161</v>
      </c>
      <c r="E29" s="2" t="n">
        <v>161469</v>
      </c>
      <c r="F29" s="15" t="n">
        <v>43370</v>
      </c>
      <c r="G29" s="15" t="n">
        <v>43376</v>
      </c>
      <c r="H29" s="3" t="n">
        <v>6</v>
      </c>
      <c r="I29" s="3" t="n">
        <v>1</v>
      </c>
      <c r="J29" s="3" t="n">
        <v>82</v>
      </c>
      <c r="K29" s="3" t="n">
        <v>2</v>
      </c>
      <c r="L29" s="3" t="n">
        <v>2</v>
      </c>
      <c r="M29" s="3" t="n">
        <v>1</v>
      </c>
      <c r="N29" s="3" t="n">
        <v>2</v>
      </c>
      <c r="O29" s="3" t="n">
        <v>2</v>
      </c>
      <c r="P29" s="3" t="n">
        <v>2</v>
      </c>
      <c r="Q29" s="3" t="n">
        <v>2</v>
      </c>
      <c r="R29" s="3" t="n">
        <v>2</v>
      </c>
      <c r="S29" s="3" t="n">
        <v>1</v>
      </c>
      <c r="T29" s="4" t="n">
        <v>1</v>
      </c>
      <c r="U29" s="3" t="n">
        <v>1</v>
      </c>
      <c r="V29" s="3" t="n">
        <v>4.58</v>
      </c>
      <c r="W29" s="3" t="n">
        <v>1.22</v>
      </c>
      <c r="X29" s="3" t="n">
        <v>10.7</v>
      </c>
      <c r="Y29" s="3" t="n">
        <v>587</v>
      </c>
      <c r="AA29" s="3" t="n">
        <v>0.29</v>
      </c>
      <c r="AB29" s="3" t="n">
        <v>6.4</v>
      </c>
      <c r="AC29" s="3" t="n">
        <v>1</v>
      </c>
      <c r="AD29" s="3" t="n">
        <v>1</v>
      </c>
      <c r="AE29" s="3" t="n">
        <v>2</v>
      </c>
      <c r="AF29" s="3" t="n">
        <v>1</v>
      </c>
      <c r="AG29" s="3" t="n">
        <v>2</v>
      </c>
      <c r="AH29" s="3" t="n">
        <v>2</v>
      </c>
      <c r="AI29" s="3" t="n">
        <v>1</v>
      </c>
      <c r="AJ29" s="3" t="n">
        <v>1</v>
      </c>
      <c r="AK29" s="3" t="n">
        <v>2</v>
      </c>
      <c r="AL29" s="3" t="n">
        <v>2</v>
      </c>
      <c r="AM29" s="3" t="n">
        <v>1</v>
      </c>
      <c r="AN29" s="3" t="n">
        <v>2</v>
      </c>
      <c r="AO29" s="3" t="n">
        <v>2</v>
      </c>
      <c r="AP29" s="3" t="n">
        <v>3</v>
      </c>
      <c r="AQ29" s="3" t="n">
        <v>4</v>
      </c>
      <c r="AR29" s="3" t="n">
        <v>4</v>
      </c>
      <c r="AS29" s="3" t="n">
        <v>6</v>
      </c>
      <c r="AT29" s="3" t="n">
        <v>4</v>
      </c>
      <c r="AU29" s="3" t="n">
        <v>4</v>
      </c>
      <c r="AV29" s="3" t="n">
        <v>6</v>
      </c>
      <c r="AW29" s="3" t="n">
        <v>6</v>
      </c>
      <c r="AX29" s="3" t="n">
        <v>3</v>
      </c>
      <c r="AY29" s="3" t="n">
        <v>3</v>
      </c>
      <c r="AZ29" s="3" t="n">
        <v>1</v>
      </c>
      <c r="BA29" s="5" t="n">
        <v>5</v>
      </c>
      <c r="BB29" s="3" t="n">
        <v>2</v>
      </c>
      <c r="BC29" s="3" t="n">
        <v>1</v>
      </c>
      <c r="BD29" s="3" t="n">
        <v>6</v>
      </c>
      <c r="BE29" s="3" t="n">
        <v>3</v>
      </c>
      <c r="BF29" s="3" t="n">
        <v>5</v>
      </c>
      <c r="BG29" s="3" t="n">
        <v>3</v>
      </c>
      <c r="BH29" s="3" t="n">
        <v>4</v>
      </c>
      <c r="BI29" s="3" t="n">
        <v>1</v>
      </c>
      <c r="BJ29" s="3" t="n">
        <v>1</v>
      </c>
      <c r="BK29" s="6" t="s">
        <v>162</v>
      </c>
    </row>
    <row r="30" customFormat="false" ht="15" hidden="false" customHeight="true" outlineLevel="0" collapsed="false">
      <c r="B30" s="2" t="s">
        <v>163</v>
      </c>
      <c r="C30" s="2" t="s">
        <v>164</v>
      </c>
      <c r="D30" s="2" t="s">
        <v>165</v>
      </c>
      <c r="E30" s="2" t="n">
        <v>161536</v>
      </c>
      <c r="F30" s="15" t="n">
        <v>43371</v>
      </c>
      <c r="G30" s="15" t="n">
        <v>43376</v>
      </c>
      <c r="H30" s="3" t="n">
        <v>5</v>
      </c>
      <c r="I30" s="3" t="n">
        <v>2</v>
      </c>
      <c r="J30" s="3" t="n">
        <v>64</v>
      </c>
      <c r="K30" s="3" t="n">
        <v>1</v>
      </c>
      <c r="L30" s="3" t="n">
        <v>2</v>
      </c>
      <c r="M30" s="3" t="n">
        <v>1</v>
      </c>
      <c r="N30" s="3" t="n">
        <v>1</v>
      </c>
      <c r="O30" s="3" t="n">
        <v>2</v>
      </c>
      <c r="P30" s="3" t="n">
        <v>2</v>
      </c>
      <c r="Q30" s="3" t="n">
        <v>2</v>
      </c>
      <c r="R30" s="3" t="n">
        <v>2</v>
      </c>
      <c r="S30" s="3" t="n">
        <v>2</v>
      </c>
      <c r="T30" s="4" t="n">
        <v>2</v>
      </c>
      <c r="U30" s="3" t="n">
        <v>2</v>
      </c>
      <c r="V30" s="3" t="n">
        <v>6.19</v>
      </c>
      <c r="W30" s="3" t="n">
        <v>1.98</v>
      </c>
      <c r="X30" s="3" t="n">
        <v>7.2</v>
      </c>
      <c r="Y30" s="3" t="n">
        <v>388</v>
      </c>
      <c r="AA30" s="3" t="n">
        <v>0.41</v>
      </c>
      <c r="AB30" s="3" t="n">
        <v>13.4</v>
      </c>
      <c r="AC30" s="3" t="n">
        <v>1</v>
      </c>
      <c r="AD30" s="3" t="n">
        <v>2</v>
      </c>
      <c r="AE30" s="3" t="n">
        <v>1</v>
      </c>
      <c r="AF30" s="3" t="n">
        <v>1</v>
      </c>
      <c r="AG30" s="3" t="n">
        <v>2</v>
      </c>
      <c r="AH30" s="3" t="n">
        <v>1</v>
      </c>
      <c r="AI30" s="3" t="n">
        <v>1</v>
      </c>
      <c r="AJ30" s="3" t="n">
        <v>1</v>
      </c>
      <c r="AK30" s="3" t="n">
        <v>2</v>
      </c>
      <c r="AL30" s="3" t="n">
        <v>2</v>
      </c>
      <c r="AM30" s="3" t="n">
        <v>2</v>
      </c>
      <c r="AN30" s="3" t="n">
        <v>2</v>
      </c>
      <c r="AO30" s="3" t="n">
        <v>2</v>
      </c>
      <c r="AP30" s="3" t="n">
        <v>2</v>
      </c>
      <c r="AQ30" s="3" t="n">
        <v>3</v>
      </c>
      <c r="AR30" s="3" t="n">
        <v>3</v>
      </c>
      <c r="AS30" s="3" t="n">
        <v>4</v>
      </c>
      <c r="AT30" s="3" t="n">
        <v>2</v>
      </c>
      <c r="AU30" s="3" t="n">
        <v>1</v>
      </c>
      <c r="AV30" s="3" t="n">
        <v>1</v>
      </c>
      <c r="AW30" s="3" t="n">
        <v>1</v>
      </c>
      <c r="AX30" s="3" t="n">
        <v>2</v>
      </c>
      <c r="AY30" s="3" t="n">
        <v>2</v>
      </c>
      <c r="AZ30" s="3" t="n">
        <v>1</v>
      </c>
      <c r="BA30" s="5" t="n">
        <v>1</v>
      </c>
      <c r="BB30" s="3" t="n">
        <v>1</v>
      </c>
      <c r="BC30" s="3" t="n">
        <v>1</v>
      </c>
      <c r="BD30" s="3" t="n">
        <v>4</v>
      </c>
      <c r="BE30" s="3" t="n">
        <v>4</v>
      </c>
      <c r="BF30" s="3" t="n">
        <v>5</v>
      </c>
      <c r="BG30" s="3" t="n">
        <v>3</v>
      </c>
      <c r="BH30" s="3" t="n">
        <v>4</v>
      </c>
      <c r="BI30" s="3" t="n">
        <v>1</v>
      </c>
      <c r="BJ30" s="3" t="n">
        <v>1</v>
      </c>
      <c r="BK30" s="21" t="s">
        <v>166</v>
      </c>
    </row>
    <row r="31" customFormat="false" ht="15" hidden="false" customHeight="true" outlineLevel="0" collapsed="false">
      <c r="B31" s="2" t="s">
        <v>167</v>
      </c>
      <c r="C31" s="2" t="s">
        <v>168</v>
      </c>
      <c r="D31" s="2" t="s">
        <v>169</v>
      </c>
      <c r="E31" s="2" t="n">
        <v>155585</v>
      </c>
      <c r="F31" s="15" t="n">
        <v>43370</v>
      </c>
      <c r="G31" s="15" t="n">
        <v>43376</v>
      </c>
      <c r="H31" s="3" t="n">
        <v>6</v>
      </c>
      <c r="I31" s="3" t="n">
        <v>2</v>
      </c>
      <c r="J31" s="3" t="n">
        <v>61</v>
      </c>
      <c r="K31" s="3" t="n">
        <v>2</v>
      </c>
      <c r="L31" s="3" t="n">
        <v>1</v>
      </c>
      <c r="M31" s="3" t="n">
        <v>1</v>
      </c>
      <c r="N31" s="3" t="n">
        <v>2</v>
      </c>
      <c r="O31" s="3" t="n">
        <v>2</v>
      </c>
      <c r="P31" s="3" t="n">
        <v>2</v>
      </c>
      <c r="Q31" s="3" t="n">
        <v>2</v>
      </c>
      <c r="R31" s="3" t="n">
        <v>2</v>
      </c>
      <c r="S31" s="3" t="n">
        <v>1</v>
      </c>
      <c r="T31" s="4" t="n">
        <v>1</v>
      </c>
      <c r="U31" s="3" t="n">
        <v>1</v>
      </c>
      <c r="V31" s="3" t="n">
        <v>4.05</v>
      </c>
      <c r="W31" s="3" t="n">
        <v>1.22</v>
      </c>
      <c r="X31" s="3" t="n">
        <v>20.5</v>
      </c>
      <c r="Y31" s="3" t="n">
        <v>281</v>
      </c>
      <c r="AA31" s="3" t="n">
        <v>0.4</v>
      </c>
      <c r="AB31" s="3" t="n">
        <v>6.7</v>
      </c>
      <c r="AC31" s="3" t="n">
        <v>1</v>
      </c>
      <c r="AD31" s="3" t="n">
        <v>1</v>
      </c>
      <c r="AE31" s="3" t="n">
        <v>1</v>
      </c>
      <c r="AF31" s="3" t="n">
        <v>1</v>
      </c>
      <c r="AG31" s="3" t="n">
        <v>1</v>
      </c>
      <c r="AH31" s="3" t="n">
        <v>2</v>
      </c>
      <c r="AI31" s="3" t="n">
        <v>1</v>
      </c>
      <c r="AJ31" s="3" t="n">
        <v>2</v>
      </c>
      <c r="AK31" s="3" t="n">
        <v>1</v>
      </c>
      <c r="AL31" s="3" t="n">
        <v>2</v>
      </c>
      <c r="AM31" s="3" t="n">
        <v>2</v>
      </c>
      <c r="AN31" s="3" t="n">
        <v>2</v>
      </c>
      <c r="AO31" s="3" t="n">
        <v>2</v>
      </c>
      <c r="AP31" s="3" t="n">
        <v>1</v>
      </c>
      <c r="AQ31" s="3" t="n">
        <v>3</v>
      </c>
      <c r="AR31" s="3" t="n">
        <v>5</v>
      </c>
      <c r="AS31" s="3" t="n">
        <v>3</v>
      </c>
      <c r="AT31" s="3" t="n">
        <v>1</v>
      </c>
      <c r="AU31" s="3" t="n">
        <v>1</v>
      </c>
      <c r="AV31" s="3" t="n">
        <v>1</v>
      </c>
      <c r="AW31" s="3" t="n">
        <v>1</v>
      </c>
      <c r="AX31" s="3" t="n">
        <v>2</v>
      </c>
      <c r="AY31" s="3" t="n">
        <v>2</v>
      </c>
      <c r="AZ31" s="3" t="n">
        <v>1</v>
      </c>
      <c r="BA31" s="5" t="n">
        <v>5</v>
      </c>
      <c r="BB31" s="3" t="n">
        <v>2</v>
      </c>
      <c r="BC31" s="3" t="n">
        <v>1</v>
      </c>
      <c r="BD31" s="3" t="n">
        <v>6</v>
      </c>
      <c r="BE31" s="3" t="n">
        <v>3</v>
      </c>
      <c r="BF31" s="3" t="n">
        <v>5</v>
      </c>
      <c r="BG31" s="3" t="n">
        <v>3</v>
      </c>
      <c r="BH31" s="3" t="n">
        <v>4</v>
      </c>
      <c r="BI31" s="3" t="n">
        <v>1</v>
      </c>
      <c r="BJ31" s="3" t="n">
        <v>1</v>
      </c>
      <c r="BK31" s="6" t="s">
        <v>170</v>
      </c>
    </row>
    <row r="32" customFormat="false" ht="15" hidden="false" customHeight="true" outlineLevel="0" collapsed="false">
      <c r="B32" s="2" t="s">
        <v>171</v>
      </c>
      <c r="C32" s="2" t="s">
        <v>172</v>
      </c>
      <c r="D32" s="2" t="s">
        <v>94</v>
      </c>
      <c r="E32" s="2" t="n">
        <v>113141</v>
      </c>
      <c r="F32" s="15" t="n">
        <v>43364</v>
      </c>
      <c r="G32" s="15" t="n">
        <v>43377</v>
      </c>
      <c r="H32" s="3" t="n">
        <v>13</v>
      </c>
      <c r="I32" s="3" t="n">
        <v>2</v>
      </c>
      <c r="J32" s="3" t="n">
        <v>80</v>
      </c>
      <c r="K32" s="3" t="n">
        <v>1</v>
      </c>
      <c r="L32" s="3" t="n">
        <v>2</v>
      </c>
      <c r="M32" s="3" t="n">
        <v>1</v>
      </c>
      <c r="N32" s="3" t="n">
        <v>1</v>
      </c>
      <c r="O32" s="3" t="n">
        <v>2</v>
      </c>
      <c r="P32" s="3" t="n">
        <v>2</v>
      </c>
      <c r="Q32" s="3" t="n">
        <v>1</v>
      </c>
      <c r="R32" s="3" t="n">
        <v>2</v>
      </c>
      <c r="S32" s="3" t="n">
        <v>1</v>
      </c>
      <c r="T32" s="4" t="n">
        <v>1</v>
      </c>
      <c r="U32" s="3" t="n">
        <v>1</v>
      </c>
      <c r="W32" s="3" t="n">
        <v>0.81</v>
      </c>
      <c r="X32" s="3" t="n">
        <v>4.8</v>
      </c>
      <c r="Y32" s="3" t="n">
        <v>264</v>
      </c>
      <c r="AA32" s="3" t="n">
        <v>0.44</v>
      </c>
      <c r="AB32" s="3" t="n">
        <v>5</v>
      </c>
      <c r="AD32" s="3" t="n">
        <v>1</v>
      </c>
      <c r="AE32" s="3" t="n">
        <v>1</v>
      </c>
      <c r="AF32" s="3" t="n">
        <v>1</v>
      </c>
      <c r="AG32" s="3" t="n">
        <v>2</v>
      </c>
      <c r="AH32" s="3" t="n">
        <v>2</v>
      </c>
      <c r="AI32" s="3" t="n">
        <v>1</v>
      </c>
      <c r="AJ32" s="3" t="n">
        <v>1</v>
      </c>
      <c r="AK32" s="3" t="n">
        <v>2</v>
      </c>
      <c r="AL32" s="3" t="n">
        <v>2</v>
      </c>
      <c r="AM32" s="3" t="n">
        <v>1</v>
      </c>
      <c r="AN32" s="3" t="n">
        <v>2</v>
      </c>
      <c r="AO32" s="3" t="n">
        <v>2</v>
      </c>
      <c r="AP32" s="3" t="n">
        <v>3</v>
      </c>
      <c r="AQ32" s="3" t="n">
        <v>4</v>
      </c>
      <c r="AR32" s="3" t="n">
        <v>4</v>
      </c>
      <c r="AS32" s="3" t="n">
        <v>6</v>
      </c>
      <c r="AT32" s="3" t="n">
        <v>4</v>
      </c>
      <c r="AU32" s="3" t="n">
        <v>4</v>
      </c>
      <c r="AV32" s="3" t="n">
        <v>6</v>
      </c>
      <c r="AW32" s="3" t="n">
        <v>6</v>
      </c>
      <c r="AX32" s="3" t="n">
        <v>3</v>
      </c>
      <c r="AY32" s="3" t="n">
        <v>3</v>
      </c>
      <c r="AZ32" s="3" t="n">
        <v>1</v>
      </c>
      <c r="BA32" s="5" t="n">
        <v>5</v>
      </c>
      <c r="BB32" s="3" t="n">
        <v>2</v>
      </c>
      <c r="BC32" s="3" t="n">
        <v>1</v>
      </c>
      <c r="BD32" s="3" t="n">
        <v>6</v>
      </c>
      <c r="BE32" s="3" t="n">
        <v>3</v>
      </c>
      <c r="BF32" s="3" t="n">
        <v>5</v>
      </c>
      <c r="BG32" s="3" t="n">
        <v>3</v>
      </c>
      <c r="BH32" s="3" t="n">
        <v>4</v>
      </c>
      <c r="BI32" s="3" t="n">
        <v>1</v>
      </c>
      <c r="BJ32" s="3" t="n">
        <v>1</v>
      </c>
      <c r="BK32" s="21" t="s">
        <v>173</v>
      </c>
    </row>
    <row r="33" customFormat="false" ht="15" hidden="false" customHeight="true" outlineLevel="0" collapsed="false">
      <c r="B33" s="2" t="s">
        <v>174</v>
      </c>
      <c r="C33" s="2" t="s">
        <v>127</v>
      </c>
      <c r="D33" s="2" t="s">
        <v>175</v>
      </c>
      <c r="E33" s="2" t="n">
        <v>161437</v>
      </c>
      <c r="F33" s="15" t="n">
        <v>43368</v>
      </c>
      <c r="G33" s="15" t="n">
        <v>43377</v>
      </c>
      <c r="H33" s="3" t="n">
        <v>9</v>
      </c>
      <c r="I33" s="3" t="n">
        <v>2</v>
      </c>
      <c r="J33" s="3" t="n">
        <v>54</v>
      </c>
      <c r="K33" s="3" t="n">
        <v>1</v>
      </c>
      <c r="L33" s="3" t="n">
        <v>1</v>
      </c>
      <c r="M33" s="3" t="n">
        <v>1</v>
      </c>
      <c r="N33" s="3" t="n">
        <v>2</v>
      </c>
      <c r="O33" s="3" t="n">
        <v>2</v>
      </c>
      <c r="P33" s="3" t="n">
        <v>2</v>
      </c>
      <c r="Q33" s="3" t="n">
        <v>2</v>
      </c>
      <c r="R33" s="3" t="n">
        <v>2</v>
      </c>
      <c r="S33" s="3" t="n">
        <v>2</v>
      </c>
      <c r="T33" s="4" t="n">
        <v>2</v>
      </c>
      <c r="U33" s="3" t="n">
        <v>2</v>
      </c>
      <c r="V33" s="3" t="n">
        <v>6.23</v>
      </c>
      <c r="W33" s="3" t="n">
        <v>1.87</v>
      </c>
      <c r="X33" s="3" t="n">
        <v>4.5</v>
      </c>
      <c r="Y33" s="3" t="n">
        <v>296</v>
      </c>
      <c r="AA33" s="3" t="n">
        <v>0.33</v>
      </c>
      <c r="AB33" s="3" t="n">
        <v>6.6</v>
      </c>
      <c r="AC33" s="3" t="n">
        <v>1</v>
      </c>
      <c r="AD33" s="3" t="n">
        <v>2</v>
      </c>
      <c r="AE33" s="3" t="n">
        <v>1</v>
      </c>
      <c r="AF33" s="3" t="n">
        <v>1</v>
      </c>
      <c r="AG33" s="3" t="n">
        <v>1</v>
      </c>
      <c r="AH33" s="3" t="n">
        <v>2</v>
      </c>
      <c r="AI33" s="3" t="n">
        <v>1</v>
      </c>
      <c r="AJ33" s="3" t="n">
        <v>1</v>
      </c>
      <c r="AK33" s="3" t="n">
        <v>2</v>
      </c>
      <c r="AL33" s="3" t="n">
        <v>2</v>
      </c>
      <c r="AM33" s="3" t="n">
        <v>1</v>
      </c>
      <c r="AN33" s="3" t="n">
        <v>2</v>
      </c>
      <c r="AO33" s="3" t="n">
        <v>2</v>
      </c>
      <c r="AP33" s="3" t="n">
        <v>2</v>
      </c>
      <c r="AQ33" s="3" t="n">
        <v>2</v>
      </c>
      <c r="AR33" s="3" t="n">
        <v>7</v>
      </c>
      <c r="AS33" s="3" t="n">
        <v>2</v>
      </c>
      <c r="AT33" s="3" t="n">
        <v>5</v>
      </c>
      <c r="AU33" s="3" t="n">
        <v>1</v>
      </c>
      <c r="AV33" s="3" t="n">
        <v>1</v>
      </c>
      <c r="AW33" s="3" t="n">
        <v>1</v>
      </c>
      <c r="AX33" s="3" t="n">
        <v>2</v>
      </c>
      <c r="AY33" s="3" t="n">
        <v>2</v>
      </c>
      <c r="AZ33" s="3" t="n">
        <v>1</v>
      </c>
      <c r="BA33" s="5" t="n">
        <v>1</v>
      </c>
      <c r="BB33" s="3" t="n">
        <v>1</v>
      </c>
      <c r="BC33" s="3" t="n">
        <v>1</v>
      </c>
      <c r="BD33" s="3" t="n">
        <v>2</v>
      </c>
      <c r="BE33" s="3" t="n">
        <v>3</v>
      </c>
      <c r="BF33" s="3" t="n">
        <v>5</v>
      </c>
      <c r="BG33" s="3" t="n">
        <v>3</v>
      </c>
      <c r="BH33" s="3" t="n">
        <v>4</v>
      </c>
      <c r="BI33" s="3" t="n">
        <v>1</v>
      </c>
      <c r="BJ33" s="3" t="n">
        <v>1</v>
      </c>
      <c r="BK33" s="21" t="s">
        <v>176</v>
      </c>
    </row>
    <row r="34" customFormat="false" ht="15" hidden="false" customHeight="true" outlineLevel="0" collapsed="false">
      <c r="B34" s="2" t="s">
        <v>177</v>
      </c>
      <c r="C34" s="2" t="s">
        <v>178</v>
      </c>
      <c r="D34" s="2" t="s">
        <v>94</v>
      </c>
      <c r="E34" s="2" t="n">
        <v>159356</v>
      </c>
      <c r="F34" s="15" t="n">
        <v>43369</v>
      </c>
      <c r="G34" s="15" t="n">
        <v>43379</v>
      </c>
      <c r="H34" s="3" t="n">
        <v>10</v>
      </c>
      <c r="I34" s="3" t="n">
        <v>2</v>
      </c>
      <c r="J34" s="3" t="n">
        <v>55</v>
      </c>
      <c r="K34" s="3" t="n">
        <v>1</v>
      </c>
      <c r="L34" s="3" t="n">
        <v>2</v>
      </c>
      <c r="M34" s="3" t="n">
        <v>1</v>
      </c>
      <c r="N34" s="3" t="n">
        <v>2</v>
      </c>
      <c r="O34" s="3" t="n">
        <v>2</v>
      </c>
      <c r="P34" s="3" t="n">
        <v>2</v>
      </c>
      <c r="Q34" s="3" t="n">
        <v>2</v>
      </c>
      <c r="R34" s="3" t="n">
        <v>2</v>
      </c>
      <c r="S34" s="3" t="n">
        <v>1</v>
      </c>
      <c r="T34" s="4" t="n">
        <v>1</v>
      </c>
      <c r="U34" s="3" t="n">
        <v>1</v>
      </c>
      <c r="V34" s="3" t="n">
        <v>2.92</v>
      </c>
      <c r="W34" s="3" t="n">
        <v>0.68</v>
      </c>
      <c r="X34" s="3" t="n">
        <v>5.8</v>
      </c>
      <c r="Y34" s="3" t="n">
        <v>264</v>
      </c>
      <c r="AA34" s="3" t="n">
        <v>0.41</v>
      </c>
      <c r="AB34" s="3" t="n">
        <v>7.2</v>
      </c>
      <c r="AC34" s="3" t="n">
        <v>1</v>
      </c>
      <c r="AD34" s="3" t="n">
        <v>1</v>
      </c>
      <c r="AE34" s="3" t="n">
        <v>1</v>
      </c>
      <c r="AF34" s="3" t="n">
        <v>1</v>
      </c>
      <c r="AG34" s="3" t="n">
        <v>2</v>
      </c>
      <c r="AH34" s="3" t="n">
        <v>1</v>
      </c>
      <c r="AI34" s="3" t="n">
        <v>1</v>
      </c>
      <c r="AJ34" s="3" t="n">
        <v>1</v>
      </c>
      <c r="AK34" s="3" t="n">
        <v>2</v>
      </c>
      <c r="AL34" s="3" t="n">
        <v>2</v>
      </c>
      <c r="AM34" s="3" t="n">
        <v>1</v>
      </c>
      <c r="AN34" s="3" t="n">
        <v>2</v>
      </c>
      <c r="AO34" s="3" t="n">
        <v>2</v>
      </c>
      <c r="AP34" s="3" t="n">
        <v>2</v>
      </c>
      <c r="AQ34" s="3" t="n">
        <v>3</v>
      </c>
      <c r="AR34" s="3" t="n">
        <v>7</v>
      </c>
      <c r="AS34" s="3" t="n">
        <v>5</v>
      </c>
      <c r="AT34" s="3" t="n">
        <v>1</v>
      </c>
      <c r="AU34" s="3" t="n">
        <v>1</v>
      </c>
      <c r="AV34" s="3" t="n">
        <v>1</v>
      </c>
      <c r="AW34" s="3" t="n">
        <v>1</v>
      </c>
      <c r="AX34" s="3" t="n">
        <v>2</v>
      </c>
      <c r="AY34" s="3" t="n">
        <v>2</v>
      </c>
      <c r="AZ34" s="3" t="n">
        <v>1</v>
      </c>
      <c r="BA34" s="5" t="n">
        <v>5</v>
      </c>
      <c r="BB34" s="3" t="n">
        <v>2</v>
      </c>
      <c r="BC34" s="3" t="n">
        <v>1</v>
      </c>
      <c r="BD34" s="3" t="n">
        <v>6</v>
      </c>
      <c r="BE34" s="3" t="n">
        <v>3</v>
      </c>
      <c r="BF34" s="3" t="n">
        <v>5</v>
      </c>
      <c r="BG34" s="3" t="n">
        <v>3</v>
      </c>
      <c r="BH34" s="3" t="n">
        <v>4</v>
      </c>
      <c r="BI34" s="3" t="n">
        <v>1</v>
      </c>
      <c r="BJ34" s="3" t="n">
        <v>1</v>
      </c>
      <c r="BK34" s="6" t="s">
        <v>179</v>
      </c>
    </row>
    <row r="35" customFormat="false" ht="15" hidden="false" customHeight="true" outlineLevel="0" collapsed="false">
      <c r="B35" s="2" t="s">
        <v>180</v>
      </c>
      <c r="C35" s="2" t="s">
        <v>181</v>
      </c>
      <c r="D35" s="2" t="s">
        <v>182</v>
      </c>
      <c r="E35" s="2" t="n">
        <v>154426</v>
      </c>
      <c r="F35" s="15" t="n">
        <v>43370</v>
      </c>
      <c r="G35" s="15" t="n">
        <v>43378</v>
      </c>
      <c r="H35" s="3" t="n">
        <v>8</v>
      </c>
      <c r="I35" s="3" t="n">
        <v>1</v>
      </c>
      <c r="J35" s="3" t="n">
        <v>65</v>
      </c>
      <c r="K35" s="3" t="n">
        <v>2</v>
      </c>
      <c r="L35" s="3" t="n">
        <v>2</v>
      </c>
      <c r="M35" s="3" t="n">
        <v>1</v>
      </c>
      <c r="N35" s="3" t="n">
        <v>2</v>
      </c>
      <c r="O35" s="3" t="n">
        <v>2</v>
      </c>
      <c r="P35" s="3" t="n">
        <v>2</v>
      </c>
      <c r="Q35" s="3" t="n">
        <v>2</v>
      </c>
      <c r="R35" s="3" t="n">
        <v>2</v>
      </c>
      <c r="S35" s="3" t="n">
        <v>1</v>
      </c>
      <c r="T35" s="4" t="n">
        <v>1</v>
      </c>
      <c r="U35" s="3" t="n">
        <v>1</v>
      </c>
      <c r="V35" s="3" t="n">
        <v>5.72</v>
      </c>
      <c r="W35" s="3" t="n">
        <v>1.36</v>
      </c>
      <c r="X35" s="3" t="n">
        <v>5.8</v>
      </c>
      <c r="Y35" s="3" t="n">
        <v>409</v>
      </c>
      <c r="AA35" s="3" t="n">
        <v>0.46</v>
      </c>
      <c r="AB35" s="3" t="n">
        <v>7.9</v>
      </c>
      <c r="AC35" s="3" t="n">
        <v>1</v>
      </c>
      <c r="AD35" s="3" t="n">
        <v>1</v>
      </c>
      <c r="AE35" s="3" t="n">
        <v>1</v>
      </c>
      <c r="AF35" s="3" t="n">
        <v>1</v>
      </c>
      <c r="AG35" s="3" t="n">
        <v>1</v>
      </c>
      <c r="AH35" s="3" t="n">
        <v>2</v>
      </c>
      <c r="AI35" s="3" t="n">
        <v>1</v>
      </c>
      <c r="AJ35" s="3" t="n">
        <v>1</v>
      </c>
      <c r="AK35" s="3" t="n">
        <v>2</v>
      </c>
      <c r="AL35" s="3" t="n">
        <v>2</v>
      </c>
      <c r="AM35" s="3" t="n">
        <v>2</v>
      </c>
      <c r="AN35" s="3" t="n">
        <v>2</v>
      </c>
      <c r="AO35" s="3" t="n">
        <v>2</v>
      </c>
      <c r="AP35" s="3" t="n">
        <v>1</v>
      </c>
      <c r="AQ35" s="3" t="n">
        <v>1</v>
      </c>
      <c r="AR35" s="3" t="n">
        <v>4</v>
      </c>
      <c r="AS35" s="3" t="n">
        <v>6</v>
      </c>
      <c r="AT35" s="3" t="n">
        <v>4</v>
      </c>
      <c r="AU35" s="3" t="n">
        <v>4</v>
      </c>
      <c r="AV35" s="3" t="n">
        <v>1</v>
      </c>
      <c r="AW35" s="3" t="n">
        <v>6</v>
      </c>
      <c r="AX35" s="3" t="n">
        <v>2</v>
      </c>
      <c r="AY35" s="3" t="n">
        <v>1</v>
      </c>
      <c r="AZ35" s="3" t="n">
        <v>1</v>
      </c>
      <c r="BA35" s="5" t="n">
        <v>5</v>
      </c>
      <c r="BB35" s="3" t="n">
        <v>2</v>
      </c>
      <c r="BC35" s="3" t="n">
        <v>1</v>
      </c>
      <c r="BD35" s="3" t="n">
        <v>6</v>
      </c>
      <c r="BE35" s="3" t="n">
        <v>3</v>
      </c>
      <c r="BF35" s="3" t="n">
        <v>5</v>
      </c>
      <c r="BG35" s="3" t="n">
        <v>3</v>
      </c>
      <c r="BH35" s="3" t="n">
        <v>4</v>
      </c>
      <c r="BI35" s="3" t="n">
        <v>1</v>
      </c>
      <c r="BJ35" s="3" t="n">
        <v>1</v>
      </c>
      <c r="BK35" s="6" t="s">
        <v>183</v>
      </c>
    </row>
    <row r="36" customFormat="false" ht="15" hidden="false" customHeight="true" outlineLevel="0" collapsed="false">
      <c r="B36" s="2" t="s">
        <v>184</v>
      </c>
      <c r="C36" s="2" t="s">
        <v>78</v>
      </c>
      <c r="D36" s="2" t="s">
        <v>185</v>
      </c>
      <c r="E36" s="2" t="n">
        <v>162206</v>
      </c>
      <c r="F36" s="15" t="n">
        <v>43375</v>
      </c>
      <c r="G36" s="15" t="n">
        <v>43380</v>
      </c>
      <c r="H36" s="3" t="n">
        <v>5</v>
      </c>
      <c r="I36" s="3" t="n">
        <v>2</v>
      </c>
      <c r="J36" s="3" t="n">
        <v>51</v>
      </c>
      <c r="K36" s="3" t="n">
        <v>2</v>
      </c>
      <c r="L36" s="3" t="n">
        <v>1</v>
      </c>
      <c r="M36" s="3" t="n">
        <v>1</v>
      </c>
      <c r="N36" s="3" t="n">
        <v>2</v>
      </c>
      <c r="O36" s="3" t="n">
        <v>2</v>
      </c>
      <c r="P36" s="3" t="n">
        <v>2</v>
      </c>
      <c r="Q36" s="3" t="n">
        <v>2</v>
      </c>
      <c r="R36" s="3" t="n">
        <v>2</v>
      </c>
      <c r="S36" s="3" t="n">
        <v>2</v>
      </c>
      <c r="T36" s="4" t="n">
        <v>12</v>
      </c>
      <c r="U36" s="3" t="n">
        <v>1</v>
      </c>
      <c r="V36" s="3" t="n">
        <v>4.66</v>
      </c>
      <c r="W36" s="3" t="n">
        <v>1.06</v>
      </c>
      <c r="X36" s="3" t="n">
        <v>5.5</v>
      </c>
      <c r="Y36" s="3" t="n">
        <v>368</v>
      </c>
      <c r="AA36" s="3" t="n">
        <v>0.51</v>
      </c>
      <c r="AB36" s="3" t="n">
        <v>8.5</v>
      </c>
      <c r="AC36" s="3" t="n">
        <v>1</v>
      </c>
      <c r="AD36" s="3" t="n">
        <v>2</v>
      </c>
      <c r="AE36" s="3" t="n">
        <v>2</v>
      </c>
      <c r="AF36" s="3" t="n">
        <v>1</v>
      </c>
      <c r="AG36" s="3" t="n">
        <v>1</v>
      </c>
      <c r="AH36" s="3" t="n">
        <v>2</v>
      </c>
      <c r="AI36" s="3" t="n">
        <v>2</v>
      </c>
      <c r="AJ36" s="3" t="n">
        <v>1</v>
      </c>
      <c r="AK36" s="3" t="n">
        <v>2</v>
      </c>
      <c r="AL36" s="3" t="n">
        <v>2</v>
      </c>
      <c r="AM36" s="3" t="n">
        <v>1</v>
      </c>
      <c r="AN36" s="3" t="n">
        <v>2</v>
      </c>
      <c r="AO36" s="3" t="n">
        <v>2</v>
      </c>
      <c r="AP36" s="3" t="n">
        <v>3</v>
      </c>
      <c r="AQ36" s="3" t="n">
        <v>4</v>
      </c>
      <c r="AR36" s="3" t="n">
        <v>4</v>
      </c>
      <c r="AS36" s="3" t="n">
        <v>6</v>
      </c>
      <c r="AT36" s="3" t="n">
        <v>4</v>
      </c>
      <c r="AU36" s="3" t="n">
        <v>4</v>
      </c>
      <c r="AV36" s="3" t="n">
        <v>6</v>
      </c>
      <c r="AW36" s="3" t="n">
        <v>6</v>
      </c>
      <c r="AX36" s="3" t="n">
        <v>3</v>
      </c>
      <c r="AY36" s="3" t="n">
        <v>3</v>
      </c>
      <c r="AZ36" s="3" t="n">
        <v>1</v>
      </c>
      <c r="BA36" s="5" t="n">
        <v>3</v>
      </c>
      <c r="BB36" s="3" t="n">
        <v>2</v>
      </c>
      <c r="BC36" s="3" t="n">
        <v>1</v>
      </c>
      <c r="BD36" s="3" t="n">
        <v>6</v>
      </c>
      <c r="BE36" s="3" t="n">
        <v>3</v>
      </c>
      <c r="BF36" s="3" t="n">
        <v>5</v>
      </c>
      <c r="BG36" s="3" t="n">
        <v>3</v>
      </c>
      <c r="BH36" s="3" t="n">
        <v>4</v>
      </c>
      <c r="BI36" s="3" t="n">
        <v>1</v>
      </c>
      <c r="BJ36" s="3" t="n">
        <v>1</v>
      </c>
      <c r="BK36" s="16" t="s">
        <v>186</v>
      </c>
    </row>
    <row r="37" customFormat="false" ht="15" hidden="false" customHeight="true" outlineLevel="0" collapsed="false">
      <c r="B37" s="2" t="s">
        <v>187</v>
      </c>
      <c r="C37" s="2" t="s">
        <v>188</v>
      </c>
      <c r="D37" s="2" t="s">
        <v>189</v>
      </c>
      <c r="E37" s="32" t="s">
        <v>190</v>
      </c>
      <c r="F37" s="15" t="n">
        <v>43375</v>
      </c>
      <c r="G37" s="15" t="n">
        <v>43378</v>
      </c>
      <c r="H37" s="3" t="n">
        <v>3</v>
      </c>
      <c r="I37" s="3" t="n">
        <v>2</v>
      </c>
      <c r="J37" s="3" t="n">
        <v>54</v>
      </c>
      <c r="K37" s="3" t="n">
        <v>2</v>
      </c>
      <c r="L37" s="3" t="n">
        <v>2</v>
      </c>
      <c r="M37" s="3" t="n">
        <v>1</v>
      </c>
      <c r="N37" s="3" t="n">
        <v>2</v>
      </c>
      <c r="O37" s="3" t="n">
        <v>2</v>
      </c>
      <c r="P37" s="3" t="n">
        <v>2</v>
      </c>
      <c r="Q37" s="3" t="n">
        <v>2</v>
      </c>
      <c r="R37" s="3" t="n">
        <v>2</v>
      </c>
      <c r="S37" s="3" t="n">
        <v>1</v>
      </c>
      <c r="T37" s="4" t="n">
        <v>1</v>
      </c>
      <c r="U37" s="3" t="n">
        <v>1</v>
      </c>
      <c r="V37" s="3" t="n">
        <v>4.72</v>
      </c>
      <c r="W37" s="3" t="n">
        <v>0.73</v>
      </c>
      <c r="X37" s="3" t="n">
        <v>5.4</v>
      </c>
      <c r="Y37" s="3" t="n">
        <v>452</v>
      </c>
      <c r="AA37" s="3" t="n">
        <v>0.47</v>
      </c>
      <c r="AB37" s="3" t="n">
        <v>6.8</v>
      </c>
      <c r="AC37" s="3" t="n">
        <v>1</v>
      </c>
      <c r="AD37" s="3" t="n">
        <v>1</v>
      </c>
      <c r="AE37" s="3" t="n">
        <v>1</v>
      </c>
      <c r="AF37" s="3" t="n">
        <v>1</v>
      </c>
      <c r="AG37" s="3" t="n">
        <v>2</v>
      </c>
      <c r="AH37" s="3" t="n">
        <v>1</v>
      </c>
      <c r="AI37" s="3" t="n">
        <v>1</v>
      </c>
      <c r="AJ37" s="3" t="n">
        <v>1</v>
      </c>
      <c r="AK37" s="3" t="n">
        <v>2</v>
      </c>
      <c r="AL37" s="3" t="n">
        <v>2</v>
      </c>
      <c r="AM37" s="3" t="n">
        <v>1</v>
      </c>
      <c r="AN37" s="3" t="n">
        <v>2</v>
      </c>
      <c r="AO37" s="3" t="n">
        <v>2</v>
      </c>
      <c r="AP37" s="3" t="n">
        <v>3</v>
      </c>
      <c r="AQ37" s="3" t="n">
        <v>4</v>
      </c>
      <c r="AR37" s="3" t="n">
        <v>4</v>
      </c>
      <c r="AS37" s="3" t="n">
        <v>6</v>
      </c>
      <c r="AT37" s="3" t="n">
        <v>4</v>
      </c>
      <c r="AU37" s="3" t="n">
        <v>4</v>
      </c>
      <c r="AV37" s="3" t="n">
        <v>6</v>
      </c>
      <c r="AW37" s="3" t="n">
        <v>6</v>
      </c>
      <c r="AX37" s="3" t="n">
        <v>3</v>
      </c>
      <c r="AY37" s="3" t="n">
        <v>3</v>
      </c>
      <c r="AZ37" s="3" t="n">
        <v>1</v>
      </c>
      <c r="BA37" s="5" t="n">
        <v>5</v>
      </c>
      <c r="BB37" s="3" t="n">
        <v>2</v>
      </c>
      <c r="BC37" s="3" t="n">
        <v>1</v>
      </c>
      <c r="BD37" s="3" t="n">
        <v>6</v>
      </c>
      <c r="BE37" s="3" t="n">
        <v>3</v>
      </c>
      <c r="BF37" s="3" t="n">
        <v>5</v>
      </c>
      <c r="BG37" s="3" t="n">
        <v>3</v>
      </c>
      <c r="BH37" s="3" t="n">
        <v>4</v>
      </c>
      <c r="BI37" s="3" t="n">
        <v>1</v>
      </c>
      <c r="BJ37" s="3" t="n">
        <v>1</v>
      </c>
      <c r="BK37" s="21" t="s">
        <v>191</v>
      </c>
    </row>
    <row r="38" customFormat="false" ht="15" hidden="false" customHeight="true" outlineLevel="0" collapsed="false">
      <c r="B38" s="2" t="s">
        <v>192</v>
      </c>
      <c r="C38" s="2" t="s">
        <v>193</v>
      </c>
      <c r="D38" s="2" t="s">
        <v>194</v>
      </c>
      <c r="E38" s="2" t="n">
        <v>162244</v>
      </c>
      <c r="F38" s="15" t="n">
        <v>43376</v>
      </c>
      <c r="G38" s="15" t="n">
        <v>43381</v>
      </c>
      <c r="H38" s="3" t="n">
        <v>5</v>
      </c>
      <c r="I38" s="3" t="n">
        <v>1</v>
      </c>
      <c r="J38" s="3" t="n">
        <v>68</v>
      </c>
      <c r="K38" s="3" t="n">
        <v>1</v>
      </c>
      <c r="L38" s="3" t="n">
        <v>2</v>
      </c>
      <c r="M38" s="3" t="n">
        <v>1</v>
      </c>
      <c r="N38" s="3" t="n">
        <v>2</v>
      </c>
      <c r="O38" s="3" t="n">
        <v>2</v>
      </c>
      <c r="P38" s="3" t="n">
        <v>2</v>
      </c>
      <c r="Q38" s="3" t="n">
        <v>1</v>
      </c>
      <c r="R38" s="3" t="n">
        <v>2</v>
      </c>
      <c r="S38" s="3" t="n">
        <v>1</v>
      </c>
      <c r="T38" s="4" t="n">
        <v>4</v>
      </c>
      <c r="U38" s="3" t="n">
        <v>4</v>
      </c>
      <c r="V38" s="3" t="n">
        <v>4.79</v>
      </c>
      <c r="W38" s="3" t="n">
        <v>3</v>
      </c>
      <c r="X38" s="3" t="n">
        <v>5.83</v>
      </c>
      <c r="Y38" s="3" t="n">
        <v>393</v>
      </c>
      <c r="AA38" s="3" t="n">
        <v>0.41</v>
      </c>
      <c r="AB38" s="3" t="n">
        <v>10.4</v>
      </c>
      <c r="AC38" s="3" t="n">
        <v>1</v>
      </c>
      <c r="AD38" s="3" t="n">
        <v>2</v>
      </c>
      <c r="AE38" s="3" t="n">
        <v>1</v>
      </c>
      <c r="AF38" s="3" t="n">
        <v>2</v>
      </c>
      <c r="AG38" s="3" t="n">
        <v>2</v>
      </c>
      <c r="AH38" s="3" t="n">
        <v>2</v>
      </c>
      <c r="AI38" s="3" t="n">
        <v>2</v>
      </c>
      <c r="AJ38" s="3" t="n">
        <v>1</v>
      </c>
      <c r="AK38" s="3" t="n">
        <v>2</v>
      </c>
      <c r="AL38" s="3" t="n">
        <v>2</v>
      </c>
      <c r="AM38" s="3" t="n">
        <v>2</v>
      </c>
      <c r="AN38" s="3" t="n">
        <v>2</v>
      </c>
      <c r="AO38" s="3" t="n">
        <v>1</v>
      </c>
      <c r="AP38" s="3" t="n">
        <v>3</v>
      </c>
      <c r="AQ38" s="3" t="n">
        <v>4</v>
      </c>
      <c r="AR38" s="3" t="n">
        <v>4</v>
      </c>
      <c r="AS38" s="3" t="n">
        <v>6</v>
      </c>
      <c r="AT38" s="3" t="n">
        <v>4</v>
      </c>
      <c r="AU38" s="3" t="n">
        <v>4</v>
      </c>
      <c r="AV38" s="3" t="n">
        <v>6</v>
      </c>
      <c r="AW38" s="3" t="n">
        <v>6</v>
      </c>
      <c r="AX38" s="3" t="n">
        <v>3</v>
      </c>
      <c r="AY38" s="3" t="n">
        <v>3</v>
      </c>
      <c r="AZ38" s="3" t="n">
        <v>1</v>
      </c>
      <c r="BA38" s="5" t="n">
        <v>10</v>
      </c>
      <c r="BB38" s="3" t="n">
        <v>2</v>
      </c>
      <c r="BC38" s="3" t="n">
        <v>1</v>
      </c>
      <c r="BD38" s="3" t="n">
        <v>6</v>
      </c>
      <c r="BE38" s="3" t="n">
        <v>3</v>
      </c>
      <c r="BF38" s="3" t="n">
        <v>5</v>
      </c>
      <c r="BG38" s="3" t="n">
        <v>3</v>
      </c>
      <c r="BH38" s="3" t="n">
        <v>4</v>
      </c>
      <c r="BI38" s="3" t="n">
        <v>1</v>
      </c>
      <c r="BJ38" s="3" t="n">
        <v>1</v>
      </c>
      <c r="BK38" s="21" t="s">
        <v>195</v>
      </c>
    </row>
    <row r="39" customFormat="false" ht="15" hidden="false" customHeight="true" outlineLevel="0" collapsed="false">
      <c r="B39" s="2" t="s">
        <v>196</v>
      </c>
      <c r="C39" s="2" t="s">
        <v>197</v>
      </c>
      <c r="D39" s="2" t="s">
        <v>198</v>
      </c>
      <c r="E39" s="2" t="n">
        <v>162240</v>
      </c>
      <c r="F39" s="15" t="n">
        <v>43376</v>
      </c>
      <c r="G39" s="15" t="n">
        <v>43381</v>
      </c>
      <c r="H39" s="3" t="n">
        <v>5</v>
      </c>
      <c r="I39" s="3" t="n">
        <v>2</v>
      </c>
      <c r="J39" s="3" t="n">
        <v>68</v>
      </c>
      <c r="K39" s="3" t="n">
        <v>1</v>
      </c>
      <c r="L39" s="3" t="n">
        <v>2</v>
      </c>
      <c r="M39" s="3" t="n">
        <v>1</v>
      </c>
      <c r="N39" s="3" t="n">
        <v>2</v>
      </c>
      <c r="O39" s="3" t="n">
        <v>2</v>
      </c>
      <c r="P39" s="3" t="n">
        <v>2</v>
      </c>
      <c r="Q39" s="3" t="n">
        <v>1</v>
      </c>
      <c r="R39" s="3" t="n">
        <v>2</v>
      </c>
      <c r="S39" s="3" t="n">
        <v>2</v>
      </c>
      <c r="T39" s="4" t="n">
        <v>1</v>
      </c>
      <c r="U39" s="3" t="n">
        <v>1</v>
      </c>
      <c r="V39" s="3" t="n">
        <v>3.83</v>
      </c>
      <c r="W39" s="3" t="n">
        <v>1.95</v>
      </c>
      <c r="X39" s="3" t="n">
        <v>6.22</v>
      </c>
      <c r="Y39" s="3" t="n">
        <v>619</v>
      </c>
      <c r="AA39" s="3" t="n">
        <v>0.45</v>
      </c>
      <c r="AB39" s="3" t="n">
        <v>10.3</v>
      </c>
      <c r="AC39" s="3" t="n">
        <v>2</v>
      </c>
      <c r="AD39" s="3" t="n">
        <v>1</v>
      </c>
      <c r="AE39" s="3" t="n">
        <v>1</v>
      </c>
      <c r="AF39" s="3" t="n">
        <v>1</v>
      </c>
      <c r="AG39" s="3" t="n">
        <v>1</v>
      </c>
      <c r="AH39" s="3" t="n">
        <v>1</v>
      </c>
      <c r="AI39" s="3" t="n">
        <v>1</v>
      </c>
      <c r="AJ39" s="3" t="n">
        <v>1</v>
      </c>
      <c r="AK39" s="3" t="n">
        <v>2</v>
      </c>
      <c r="AL39" s="3" t="n">
        <v>2</v>
      </c>
      <c r="AM39" s="3" t="n">
        <v>1</v>
      </c>
      <c r="AN39" s="3" t="n">
        <v>2</v>
      </c>
      <c r="AO39" s="3" t="n">
        <v>2</v>
      </c>
      <c r="AP39" s="3" t="n">
        <v>3</v>
      </c>
      <c r="AQ39" s="3" t="n">
        <v>4</v>
      </c>
      <c r="AR39" s="3" t="n">
        <v>4</v>
      </c>
      <c r="AS39" s="3" t="n">
        <v>6</v>
      </c>
      <c r="AT39" s="3" t="n">
        <v>4</v>
      </c>
      <c r="AU39" s="3" t="n">
        <v>4</v>
      </c>
      <c r="AV39" s="3" t="n">
        <v>6</v>
      </c>
      <c r="AW39" s="3" t="n">
        <v>6</v>
      </c>
      <c r="AX39" s="3" t="n">
        <v>3</v>
      </c>
      <c r="AY39" s="3" t="n">
        <v>3</v>
      </c>
      <c r="AZ39" s="3" t="n">
        <v>1</v>
      </c>
      <c r="BA39" s="5" t="n">
        <v>5</v>
      </c>
      <c r="BB39" s="3" t="n">
        <v>2</v>
      </c>
      <c r="BC39" s="3" t="n">
        <v>1</v>
      </c>
      <c r="BD39" s="3" t="n">
        <v>6</v>
      </c>
      <c r="BE39" s="3" t="n">
        <v>3</v>
      </c>
      <c r="BF39" s="3" t="n">
        <v>5</v>
      </c>
      <c r="BG39" s="3" t="n">
        <v>3</v>
      </c>
      <c r="BH39" s="3" t="n">
        <v>4</v>
      </c>
      <c r="BI39" s="3" t="n">
        <v>1</v>
      </c>
      <c r="BJ39" s="3" t="n">
        <v>1</v>
      </c>
      <c r="BK39" s="21" t="s">
        <v>199</v>
      </c>
    </row>
    <row r="40" customFormat="false" ht="15" hidden="false" customHeight="true" outlineLevel="0" collapsed="false">
      <c r="B40" s="2" t="s">
        <v>200</v>
      </c>
      <c r="C40" s="2" t="s">
        <v>201</v>
      </c>
      <c r="D40" s="2" t="s">
        <v>154</v>
      </c>
      <c r="E40" s="2" t="n">
        <v>161590</v>
      </c>
      <c r="F40" s="15" t="n">
        <v>43374</v>
      </c>
      <c r="G40" s="15" t="n">
        <v>43382</v>
      </c>
      <c r="H40" s="3" t="n">
        <v>8</v>
      </c>
      <c r="I40" s="3" t="n">
        <v>2</v>
      </c>
      <c r="J40" s="3" t="n">
        <v>55</v>
      </c>
      <c r="K40" s="3" t="n">
        <v>1</v>
      </c>
      <c r="L40" s="3" t="n">
        <v>1</v>
      </c>
      <c r="M40" s="3" t="n">
        <v>2</v>
      </c>
      <c r="N40" s="3" t="n">
        <v>2</v>
      </c>
      <c r="O40" s="3" t="n">
        <v>2</v>
      </c>
      <c r="P40" s="3" t="n">
        <v>2</v>
      </c>
      <c r="Q40" s="3" t="n">
        <v>2</v>
      </c>
      <c r="R40" s="3" t="n">
        <v>2</v>
      </c>
      <c r="S40" s="3" t="n">
        <v>2</v>
      </c>
      <c r="T40" s="4" t="n">
        <v>2</v>
      </c>
      <c r="U40" s="3" t="n">
        <v>2</v>
      </c>
      <c r="V40" s="3" t="n">
        <v>3.59</v>
      </c>
      <c r="W40" s="3" t="n">
        <v>0.95</v>
      </c>
      <c r="X40" s="3" t="n">
        <v>5.7</v>
      </c>
      <c r="Y40" s="3" t="n">
        <v>313</v>
      </c>
      <c r="AA40" s="3" t="n">
        <v>0.43</v>
      </c>
      <c r="AB40" s="3" t="n">
        <v>8.6</v>
      </c>
      <c r="AC40" s="3" t="n">
        <v>2</v>
      </c>
      <c r="AD40" s="3" t="n">
        <v>1</v>
      </c>
      <c r="AE40" s="3" t="n">
        <v>1</v>
      </c>
      <c r="AF40" s="3" t="n">
        <v>1</v>
      </c>
      <c r="AG40" s="3" t="n">
        <v>1</v>
      </c>
      <c r="AH40" s="3" t="n">
        <v>2</v>
      </c>
      <c r="AI40" s="3" t="n">
        <v>1</v>
      </c>
      <c r="AJ40" s="3" t="n">
        <v>2</v>
      </c>
      <c r="AK40" s="3" t="n">
        <v>2</v>
      </c>
      <c r="AL40" s="3" t="n">
        <v>2</v>
      </c>
      <c r="AM40" s="3" t="n">
        <v>2</v>
      </c>
      <c r="AN40" s="3" t="n">
        <v>2</v>
      </c>
      <c r="AO40" s="3" t="n">
        <v>2</v>
      </c>
      <c r="AP40" s="3" t="n">
        <v>3</v>
      </c>
      <c r="AQ40" s="3" t="n">
        <v>4</v>
      </c>
      <c r="AR40" s="3" t="n">
        <v>4</v>
      </c>
      <c r="AS40" s="3" t="n">
        <v>6</v>
      </c>
      <c r="AT40" s="3" t="n">
        <v>4</v>
      </c>
      <c r="AU40" s="3" t="n">
        <v>4</v>
      </c>
      <c r="AV40" s="3" t="n">
        <v>6</v>
      </c>
      <c r="AW40" s="3" t="n">
        <v>6</v>
      </c>
      <c r="AX40" s="3" t="n">
        <v>3</v>
      </c>
      <c r="AY40" s="3" t="n">
        <v>3</v>
      </c>
      <c r="AZ40" s="3" t="n">
        <v>1</v>
      </c>
      <c r="BA40" s="5" t="n">
        <v>1</v>
      </c>
      <c r="BB40" s="3" t="n">
        <v>1</v>
      </c>
      <c r="BC40" s="3" t="n">
        <v>1</v>
      </c>
      <c r="BD40" s="3" t="n">
        <v>2</v>
      </c>
      <c r="BE40" s="3" t="n">
        <v>1</v>
      </c>
      <c r="BF40" s="3" t="n">
        <v>3</v>
      </c>
      <c r="BG40" s="3" t="n">
        <v>1</v>
      </c>
      <c r="BH40" s="3" t="n">
        <v>4</v>
      </c>
      <c r="BI40" s="3" t="n">
        <v>1</v>
      </c>
      <c r="BJ40" s="3" t="n">
        <v>1</v>
      </c>
      <c r="BK40" s="6" t="s">
        <v>202</v>
      </c>
    </row>
    <row r="41" customFormat="false" ht="15" hidden="false" customHeight="true" outlineLevel="0" collapsed="false">
      <c r="B41" s="2" t="s">
        <v>203</v>
      </c>
      <c r="C41" s="2" t="s">
        <v>118</v>
      </c>
      <c r="D41" s="2" t="s">
        <v>204</v>
      </c>
      <c r="E41" s="2" t="n">
        <v>162225</v>
      </c>
      <c r="F41" s="15" t="n">
        <v>43376</v>
      </c>
      <c r="G41" s="15" t="n">
        <v>43382</v>
      </c>
      <c r="H41" s="3" t="n">
        <v>6</v>
      </c>
      <c r="I41" s="3" t="n">
        <v>1</v>
      </c>
      <c r="J41" s="3" t="n">
        <v>72</v>
      </c>
      <c r="K41" s="3" t="n">
        <v>2</v>
      </c>
      <c r="L41" s="3" t="n">
        <v>2</v>
      </c>
      <c r="M41" s="3" t="n">
        <v>1</v>
      </c>
      <c r="N41" s="3" t="n">
        <v>2</v>
      </c>
      <c r="O41" s="3" t="n">
        <v>2</v>
      </c>
      <c r="P41" s="3" t="n">
        <v>2</v>
      </c>
      <c r="Q41" s="3" t="n">
        <v>2</v>
      </c>
      <c r="R41" s="3" t="n">
        <v>2</v>
      </c>
      <c r="S41" s="3" t="n">
        <v>1</v>
      </c>
      <c r="T41" s="4" t="n">
        <v>4</v>
      </c>
      <c r="U41" s="3" t="n">
        <v>1</v>
      </c>
      <c r="V41" s="3" t="n">
        <v>4.97</v>
      </c>
      <c r="W41" s="3" t="n">
        <v>1</v>
      </c>
      <c r="X41" s="3" t="n">
        <v>3.41</v>
      </c>
      <c r="Y41" s="3" t="n">
        <v>483</v>
      </c>
      <c r="AA41" s="3" t="n">
        <v>0.47</v>
      </c>
      <c r="AB41" s="3" t="n">
        <v>8.4</v>
      </c>
      <c r="AC41" s="3" t="n">
        <v>1</v>
      </c>
      <c r="AD41" s="3" t="n">
        <v>2</v>
      </c>
      <c r="AE41" s="3" t="n">
        <v>1</v>
      </c>
      <c r="AF41" s="3" t="n">
        <v>2</v>
      </c>
      <c r="AG41" s="3" t="n">
        <v>2</v>
      </c>
      <c r="AH41" s="3" t="n">
        <v>1</v>
      </c>
      <c r="AI41" s="3" t="n">
        <v>2</v>
      </c>
      <c r="AJ41" s="3" t="n">
        <v>1</v>
      </c>
      <c r="AK41" s="3" t="n">
        <v>2</v>
      </c>
      <c r="AL41" s="3" t="n">
        <v>2</v>
      </c>
      <c r="AM41" s="3" t="n">
        <v>1</v>
      </c>
      <c r="AN41" s="3" t="n">
        <v>2</v>
      </c>
      <c r="AO41" s="3" t="n">
        <v>2</v>
      </c>
      <c r="AP41" s="3" t="n">
        <v>3</v>
      </c>
      <c r="AQ41" s="3" t="n">
        <v>4</v>
      </c>
      <c r="AR41" s="3" t="n">
        <v>4</v>
      </c>
      <c r="AS41" s="3" t="n">
        <v>6</v>
      </c>
      <c r="AT41" s="3" t="n">
        <v>4</v>
      </c>
      <c r="AU41" s="3" t="n">
        <v>4</v>
      </c>
      <c r="AV41" s="3" t="n">
        <v>6</v>
      </c>
      <c r="AW41" s="3" t="n">
        <v>6</v>
      </c>
      <c r="AX41" s="3" t="n">
        <v>3</v>
      </c>
      <c r="AY41" s="3" t="n">
        <v>3</v>
      </c>
      <c r="AZ41" s="3" t="n">
        <v>1</v>
      </c>
      <c r="BA41" s="5" t="n">
        <v>10</v>
      </c>
      <c r="BB41" s="3" t="n">
        <v>2</v>
      </c>
      <c r="BC41" s="3" t="n">
        <v>1</v>
      </c>
      <c r="BD41" s="3" t="n">
        <v>6</v>
      </c>
      <c r="BE41" s="3" t="n">
        <v>3</v>
      </c>
      <c r="BF41" s="3" t="n">
        <v>5</v>
      </c>
      <c r="BG41" s="3" t="n">
        <v>3</v>
      </c>
      <c r="BH41" s="3" t="n">
        <v>4</v>
      </c>
      <c r="BI41" s="3" t="n">
        <v>1</v>
      </c>
      <c r="BJ41" s="3" t="n">
        <v>1</v>
      </c>
      <c r="BK41" s="6" t="s">
        <v>205</v>
      </c>
    </row>
    <row r="42" customFormat="false" ht="15" hidden="false" customHeight="true" outlineLevel="0" collapsed="false">
      <c r="B42" s="2" t="s">
        <v>206</v>
      </c>
      <c r="C42" s="2" t="s">
        <v>178</v>
      </c>
      <c r="D42" s="2" t="s">
        <v>207</v>
      </c>
      <c r="E42" s="2" t="n">
        <v>162284</v>
      </c>
      <c r="F42" s="15" t="n">
        <v>43378</v>
      </c>
      <c r="G42" s="15" t="n">
        <v>43382</v>
      </c>
      <c r="H42" s="3" t="n">
        <v>4</v>
      </c>
      <c r="I42" s="3" t="n">
        <v>2</v>
      </c>
      <c r="J42" s="3" t="n">
        <v>70</v>
      </c>
      <c r="K42" s="3" t="n">
        <v>2</v>
      </c>
      <c r="L42" s="3" t="n">
        <v>1</v>
      </c>
      <c r="M42" s="3" t="n">
        <v>1</v>
      </c>
      <c r="N42" s="3" t="n">
        <v>1</v>
      </c>
      <c r="O42" s="3" t="n">
        <v>2</v>
      </c>
      <c r="P42" s="3" t="n">
        <v>2</v>
      </c>
      <c r="Q42" s="3" t="n">
        <v>2</v>
      </c>
      <c r="R42" s="3" t="n">
        <v>2</v>
      </c>
      <c r="S42" s="3" t="n">
        <v>2</v>
      </c>
      <c r="T42" s="4" t="n">
        <v>3</v>
      </c>
      <c r="U42" s="3" t="n">
        <v>1</v>
      </c>
      <c r="AD42" s="3" t="n">
        <v>2</v>
      </c>
      <c r="AE42" s="3" t="n">
        <v>1</v>
      </c>
      <c r="AF42" s="3" t="n">
        <v>1</v>
      </c>
      <c r="AG42" s="3" t="n">
        <v>2</v>
      </c>
      <c r="AH42" s="3" t="n">
        <v>2</v>
      </c>
      <c r="AI42" s="3" t="n">
        <v>1</v>
      </c>
      <c r="AJ42" s="3" t="n">
        <v>1</v>
      </c>
      <c r="AK42" s="3" t="n">
        <v>2</v>
      </c>
      <c r="AL42" s="3" t="n">
        <v>1</v>
      </c>
      <c r="AM42" s="3" t="n">
        <v>1</v>
      </c>
      <c r="AN42" s="3" t="n">
        <v>2</v>
      </c>
      <c r="AO42" s="3" t="n">
        <v>2</v>
      </c>
      <c r="AP42" s="3" t="n">
        <v>3</v>
      </c>
      <c r="AQ42" s="3" t="n">
        <v>4</v>
      </c>
      <c r="AR42" s="3" t="n">
        <v>4</v>
      </c>
      <c r="AS42" s="3" t="n">
        <v>6</v>
      </c>
      <c r="AT42" s="3" t="n">
        <v>4</v>
      </c>
      <c r="AU42" s="3" t="n">
        <v>4</v>
      </c>
      <c r="AV42" s="3" t="n">
        <v>6</v>
      </c>
      <c r="AW42" s="3" t="n">
        <v>6</v>
      </c>
      <c r="AX42" s="3" t="n">
        <v>3</v>
      </c>
      <c r="AY42" s="3" t="n">
        <v>3</v>
      </c>
      <c r="AZ42" s="3" t="n">
        <v>1</v>
      </c>
      <c r="BA42" s="5" t="n">
        <v>11</v>
      </c>
      <c r="BB42" s="3" t="n">
        <v>2</v>
      </c>
      <c r="BC42" s="3" t="n">
        <v>1</v>
      </c>
      <c r="BD42" s="3" t="n">
        <v>6</v>
      </c>
      <c r="BE42" s="3" t="n">
        <v>3</v>
      </c>
      <c r="BF42" s="3" t="n">
        <v>5</v>
      </c>
      <c r="BG42" s="3" t="n">
        <v>3</v>
      </c>
      <c r="BH42" s="3" t="n">
        <v>5</v>
      </c>
      <c r="BI42" s="3" t="n">
        <v>1</v>
      </c>
      <c r="BJ42" s="3" t="n">
        <v>1</v>
      </c>
      <c r="BK42" s="21" t="s">
        <v>208</v>
      </c>
    </row>
    <row r="43" customFormat="false" ht="15" hidden="false" customHeight="true" outlineLevel="0" collapsed="false">
      <c r="B43" s="2" t="s">
        <v>209</v>
      </c>
      <c r="C43" s="2" t="s">
        <v>210</v>
      </c>
      <c r="D43" s="2" t="s">
        <v>78</v>
      </c>
      <c r="E43" s="2" t="n">
        <v>162265</v>
      </c>
      <c r="F43" s="15" t="n">
        <v>43377</v>
      </c>
      <c r="G43" s="15" t="n">
        <v>43382</v>
      </c>
      <c r="H43" s="3" t="n">
        <v>5</v>
      </c>
      <c r="I43" s="3" t="n">
        <v>2</v>
      </c>
      <c r="J43" s="3" t="n">
        <v>61</v>
      </c>
      <c r="K43" s="3" t="n">
        <v>1</v>
      </c>
      <c r="L43" s="3" t="n">
        <v>2</v>
      </c>
      <c r="M43" s="3" t="n">
        <v>1</v>
      </c>
      <c r="N43" s="3" t="n">
        <v>2</v>
      </c>
      <c r="O43" s="3" t="n">
        <v>2</v>
      </c>
      <c r="P43" s="3" t="n">
        <v>2</v>
      </c>
      <c r="Q43" s="3" t="n">
        <v>1</v>
      </c>
      <c r="R43" s="3" t="n">
        <v>2</v>
      </c>
      <c r="S43" s="3" t="n">
        <v>2</v>
      </c>
      <c r="T43" s="4" t="n">
        <v>1</v>
      </c>
      <c r="U43" s="3" t="n">
        <v>1</v>
      </c>
      <c r="V43" s="3" t="n">
        <v>4.34</v>
      </c>
      <c r="W43" s="3" t="n">
        <v>3.34</v>
      </c>
      <c r="X43" s="3" t="n">
        <v>6.7</v>
      </c>
      <c r="Y43" s="3" t="n">
        <v>361</v>
      </c>
      <c r="AA43" s="3" t="n">
        <v>0.43</v>
      </c>
      <c r="AB43" s="3" t="n">
        <v>7.4</v>
      </c>
      <c r="AC43" s="3" t="n">
        <v>1</v>
      </c>
      <c r="AD43" s="3" t="n">
        <v>1</v>
      </c>
      <c r="AE43" s="3" t="n">
        <v>1</v>
      </c>
      <c r="AF43" s="3" t="n">
        <v>1</v>
      </c>
      <c r="AG43" s="3" t="n">
        <v>1</v>
      </c>
      <c r="AH43" s="3" t="n">
        <v>2</v>
      </c>
      <c r="AI43" s="3" t="n">
        <v>1</v>
      </c>
      <c r="AJ43" s="3" t="n">
        <v>2</v>
      </c>
      <c r="AK43" s="3" t="n">
        <v>1</v>
      </c>
      <c r="AL43" s="3" t="n">
        <v>2</v>
      </c>
      <c r="AM43" s="3" t="n">
        <v>1</v>
      </c>
      <c r="AN43" s="3" t="n">
        <v>2</v>
      </c>
      <c r="AO43" s="3" t="n">
        <v>2</v>
      </c>
      <c r="AP43" s="3" t="n">
        <v>3</v>
      </c>
      <c r="AQ43" s="3" t="n">
        <v>4</v>
      </c>
      <c r="AR43" s="3" t="n">
        <v>4</v>
      </c>
      <c r="AS43" s="3" t="n">
        <v>6</v>
      </c>
      <c r="AT43" s="3" t="n">
        <v>4</v>
      </c>
      <c r="AU43" s="3" t="n">
        <v>4</v>
      </c>
      <c r="AV43" s="3" t="n">
        <v>6</v>
      </c>
      <c r="AW43" s="3" t="n">
        <v>6</v>
      </c>
      <c r="AX43" s="3" t="n">
        <v>3</v>
      </c>
      <c r="AY43" s="3" t="n">
        <v>3</v>
      </c>
      <c r="AZ43" s="3" t="n">
        <v>1</v>
      </c>
      <c r="BA43" s="5" t="n">
        <v>5</v>
      </c>
      <c r="BB43" s="3" t="n">
        <v>2</v>
      </c>
      <c r="BC43" s="3" t="n">
        <v>1</v>
      </c>
      <c r="BD43" s="3" t="n">
        <v>6</v>
      </c>
      <c r="BE43" s="3" t="n">
        <v>3</v>
      </c>
      <c r="BF43" s="3" t="n">
        <v>5</v>
      </c>
      <c r="BG43" s="3" t="n">
        <v>3</v>
      </c>
      <c r="BH43" s="3" t="n">
        <v>4</v>
      </c>
      <c r="BI43" s="3" t="n">
        <v>1</v>
      </c>
      <c r="BJ43" s="3" t="n">
        <v>1</v>
      </c>
      <c r="BK43" s="6" t="s">
        <v>211</v>
      </c>
    </row>
    <row r="44" customFormat="false" ht="15" hidden="false" customHeight="true" outlineLevel="0" collapsed="false">
      <c r="B44" s="17" t="s">
        <v>93</v>
      </c>
      <c r="C44" s="17" t="s">
        <v>94</v>
      </c>
      <c r="D44" s="17" t="s">
        <v>95</v>
      </c>
      <c r="E44" s="14" t="n">
        <v>142067</v>
      </c>
      <c r="F44" s="15" t="n">
        <v>43371</v>
      </c>
      <c r="G44" s="22" t="n">
        <v>43382</v>
      </c>
      <c r="H44" s="23" t="n">
        <v>11</v>
      </c>
      <c r="I44" s="3" t="n">
        <v>2</v>
      </c>
      <c r="J44" s="3" t="n">
        <v>45</v>
      </c>
      <c r="K44" s="3" t="n">
        <v>2</v>
      </c>
      <c r="L44" s="3" t="n">
        <v>1</v>
      </c>
      <c r="M44" s="3" t="n">
        <v>1</v>
      </c>
      <c r="N44" s="3" t="n">
        <v>1</v>
      </c>
      <c r="O44" s="3" t="n">
        <v>1</v>
      </c>
      <c r="P44" s="3" t="n">
        <v>2</v>
      </c>
      <c r="Q44" s="3" t="n">
        <v>1</v>
      </c>
      <c r="R44" s="3" t="n">
        <v>2</v>
      </c>
      <c r="S44" s="3" t="n">
        <v>1</v>
      </c>
      <c r="T44" s="4" t="n">
        <v>1</v>
      </c>
      <c r="U44" s="3" t="n">
        <v>1</v>
      </c>
      <c r="V44" s="3" t="n">
        <v>4.08</v>
      </c>
      <c r="W44" s="3" t="n">
        <v>2.33</v>
      </c>
      <c r="X44" s="3" t="n">
        <v>17.1</v>
      </c>
      <c r="Y44" s="3" t="n">
        <v>262</v>
      </c>
      <c r="AA44" s="3" t="n">
        <v>0.46</v>
      </c>
      <c r="AB44" s="3" t="n">
        <v>9</v>
      </c>
      <c r="AC44" s="23" t="n">
        <v>1</v>
      </c>
      <c r="AD44" s="23" t="n">
        <v>1</v>
      </c>
      <c r="AE44" s="23" t="n">
        <v>1</v>
      </c>
      <c r="AF44" s="23" t="n">
        <v>1</v>
      </c>
      <c r="AG44" s="23" t="n">
        <v>2</v>
      </c>
      <c r="AH44" s="23" t="n">
        <v>1</v>
      </c>
      <c r="AI44" s="23" t="n">
        <v>1</v>
      </c>
      <c r="AJ44" s="23" t="n">
        <v>1</v>
      </c>
      <c r="AK44" s="23" t="n">
        <v>1</v>
      </c>
      <c r="AL44" s="23" t="n">
        <v>2</v>
      </c>
      <c r="AM44" s="23" t="n">
        <v>1</v>
      </c>
      <c r="AN44" s="23" t="n">
        <v>2</v>
      </c>
      <c r="AO44" s="23" t="n">
        <v>2</v>
      </c>
      <c r="AP44" s="23" t="n">
        <v>3</v>
      </c>
      <c r="AQ44" s="23" t="n">
        <v>4</v>
      </c>
      <c r="AR44" s="23" t="n">
        <v>4</v>
      </c>
      <c r="AS44" s="23" t="n">
        <v>6</v>
      </c>
      <c r="AT44" s="23" t="n">
        <v>4</v>
      </c>
      <c r="AU44" s="23" t="n">
        <v>4</v>
      </c>
      <c r="AV44" s="23" t="n">
        <v>6</v>
      </c>
      <c r="AW44" s="23" t="n">
        <v>6</v>
      </c>
      <c r="AX44" s="23" t="n">
        <v>3</v>
      </c>
      <c r="AY44" s="23" t="n">
        <v>3</v>
      </c>
      <c r="AZ44" s="23" t="n">
        <v>1</v>
      </c>
      <c r="BA44" s="5" t="n">
        <v>5</v>
      </c>
      <c r="BB44" s="23" t="n">
        <v>2</v>
      </c>
      <c r="BC44" s="23" t="n">
        <v>1</v>
      </c>
      <c r="BD44" s="23" t="n">
        <v>6</v>
      </c>
      <c r="BE44" s="23" t="n">
        <v>3</v>
      </c>
      <c r="BF44" s="23" t="n">
        <v>5</v>
      </c>
      <c r="BG44" s="23" t="n">
        <v>3</v>
      </c>
      <c r="BH44" s="23" t="n">
        <v>4</v>
      </c>
      <c r="BI44" s="23" t="n">
        <v>1</v>
      </c>
      <c r="BJ44" s="23" t="n">
        <v>1</v>
      </c>
      <c r="BK44" s="21" t="s">
        <v>212</v>
      </c>
    </row>
    <row r="45" customFormat="false" ht="15" hidden="false" customHeight="true" outlineLevel="0" collapsed="false">
      <c r="B45" s="2" t="s">
        <v>213</v>
      </c>
      <c r="C45" s="2" t="s">
        <v>214</v>
      </c>
      <c r="D45" s="2" t="s">
        <v>75</v>
      </c>
      <c r="E45" s="2" t="n">
        <v>162269</v>
      </c>
      <c r="F45" s="15" t="n">
        <v>43377</v>
      </c>
      <c r="G45" s="15" t="n">
        <v>43384</v>
      </c>
      <c r="H45" s="3" t="n">
        <v>7</v>
      </c>
      <c r="I45" s="3" t="n">
        <v>2</v>
      </c>
      <c r="J45" s="3" t="n">
        <v>71</v>
      </c>
      <c r="K45" s="3" t="n">
        <v>2</v>
      </c>
      <c r="L45" s="3" t="n">
        <v>1</v>
      </c>
      <c r="M45" s="3" t="n">
        <v>2</v>
      </c>
      <c r="N45" s="3" t="n">
        <v>2</v>
      </c>
      <c r="O45" s="3" t="n">
        <v>2</v>
      </c>
      <c r="P45" s="3" t="n">
        <v>2</v>
      </c>
      <c r="Q45" s="3" t="n">
        <v>2</v>
      </c>
      <c r="R45" s="3" t="n">
        <v>2</v>
      </c>
      <c r="S45" s="3" t="n">
        <v>2</v>
      </c>
      <c r="T45" s="4" t="n">
        <v>2</v>
      </c>
      <c r="U45" s="3" t="n">
        <v>2</v>
      </c>
      <c r="V45" s="3" t="n">
        <v>4.72</v>
      </c>
      <c r="W45" s="3" t="n">
        <v>0.95</v>
      </c>
      <c r="X45" s="3" t="n">
        <v>6.4</v>
      </c>
      <c r="Y45" s="3" t="n">
        <v>337</v>
      </c>
      <c r="AA45" s="3" t="n">
        <v>0.4</v>
      </c>
      <c r="AB45" s="3" t="n">
        <v>8.2</v>
      </c>
      <c r="AC45" s="3" t="n">
        <v>1</v>
      </c>
      <c r="AD45" s="3" t="n">
        <v>2</v>
      </c>
      <c r="AE45" s="3" t="n">
        <v>1</v>
      </c>
      <c r="AF45" s="3" t="n">
        <v>1</v>
      </c>
      <c r="AG45" s="3" t="n">
        <v>2</v>
      </c>
      <c r="AH45" s="3" t="n">
        <v>2</v>
      </c>
      <c r="AI45" s="3" t="n">
        <v>1</v>
      </c>
      <c r="AJ45" s="3" t="n">
        <v>2</v>
      </c>
      <c r="AK45" s="3" t="n">
        <v>2</v>
      </c>
      <c r="AL45" s="3" t="n">
        <v>2</v>
      </c>
      <c r="AM45" s="3" t="n">
        <v>2</v>
      </c>
      <c r="AN45" s="3" t="n">
        <v>2</v>
      </c>
      <c r="AO45" s="3" t="n">
        <v>2</v>
      </c>
      <c r="AP45" s="3" t="n">
        <v>3</v>
      </c>
      <c r="AQ45" s="3" t="n">
        <v>4</v>
      </c>
      <c r="AR45" s="3" t="n">
        <v>4</v>
      </c>
      <c r="AS45" s="3" t="n">
        <v>6</v>
      </c>
      <c r="AT45" s="3" t="n">
        <v>4</v>
      </c>
      <c r="AU45" s="3" t="n">
        <v>4</v>
      </c>
      <c r="AV45" s="3" t="n">
        <v>6</v>
      </c>
      <c r="AW45" s="3" t="n">
        <v>6</v>
      </c>
      <c r="AX45" s="3" t="n">
        <v>3</v>
      </c>
      <c r="AY45" s="3" t="n">
        <v>3</v>
      </c>
      <c r="AZ45" s="3" t="n">
        <v>1</v>
      </c>
      <c r="BA45" s="5" t="n">
        <v>1</v>
      </c>
      <c r="BB45" s="3" t="n">
        <v>1</v>
      </c>
      <c r="BC45" s="3" t="n">
        <v>1</v>
      </c>
      <c r="BD45" s="3" t="n">
        <v>4</v>
      </c>
      <c r="BE45" s="3" t="n">
        <v>1</v>
      </c>
      <c r="BF45" s="3" t="n">
        <v>2</v>
      </c>
      <c r="BG45" s="3" t="n">
        <v>4</v>
      </c>
      <c r="BH45" s="3" t="n">
        <v>4</v>
      </c>
      <c r="BI45" s="3" t="n">
        <v>1</v>
      </c>
      <c r="BJ45" s="3" t="n">
        <v>1</v>
      </c>
      <c r="BK45" s="6" t="s">
        <v>215</v>
      </c>
    </row>
    <row r="46" customFormat="false" ht="15" hidden="false" customHeight="true" outlineLevel="0" collapsed="false">
      <c r="B46" s="2" t="s">
        <v>121</v>
      </c>
      <c r="C46" s="2" t="s">
        <v>122</v>
      </c>
      <c r="D46" s="2" t="s">
        <v>123</v>
      </c>
      <c r="E46" s="2" t="n">
        <v>161406</v>
      </c>
      <c r="F46" s="15" t="n">
        <v>43382</v>
      </c>
      <c r="G46" s="15" t="n">
        <v>43387</v>
      </c>
      <c r="H46" s="3" t="n">
        <v>5</v>
      </c>
      <c r="I46" s="3" t="n">
        <v>2</v>
      </c>
      <c r="J46" s="3" t="n">
        <v>63</v>
      </c>
      <c r="K46" s="3" t="n">
        <v>1</v>
      </c>
      <c r="L46" s="3" t="n">
        <v>2</v>
      </c>
      <c r="M46" s="3" t="n">
        <v>1</v>
      </c>
      <c r="N46" s="3" t="n">
        <v>2</v>
      </c>
      <c r="O46" s="3" t="n">
        <v>2</v>
      </c>
      <c r="P46" s="3" t="n">
        <v>2</v>
      </c>
      <c r="Q46" s="3" t="n">
        <v>2</v>
      </c>
      <c r="R46" s="3" t="n">
        <v>2</v>
      </c>
      <c r="S46" s="3" t="n">
        <v>1</v>
      </c>
      <c r="T46" s="4" t="n">
        <v>6</v>
      </c>
      <c r="U46" s="3" t="n">
        <v>1</v>
      </c>
      <c r="V46" s="3" t="n">
        <v>3.72</v>
      </c>
      <c r="W46" s="3" t="n">
        <v>1.06</v>
      </c>
      <c r="X46" s="3" t="n">
        <v>8.6</v>
      </c>
      <c r="Y46" s="3" t="n">
        <v>355</v>
      </c>
      <c r="AA46" s="3" t="n">
        <v>0.2</v>
      </c>
      <c r="AB46" s="3" t="n">
        <v>6</v>
      </c>
      <c r="AC46" s="3" t="n">
        <v>3</v>
      </c>
      <c r="AD46" s="3" t="n">
        <v>2</v>
      </c>
      <c r="AE46" s="3" t="n">
        <v>1</v>
      </c>
      <c r="AF46" s="3" t="n">
        <v>1</v>
      </c>
      <c r="AG46" s="3" t="n">
        <v>2</v>
      </c>
      <c r="AH46" s="3" t="n">
        <v>1</v>
      </c>
      <c r="AI46" s="3" t="n">
        <v>2</v>
      </c>
      <c r="AJ46" s="3" t="n">
        <v>1</v>
      </c>
      <c r="AK46" s="3" t="n">
        <v>2</v>
      </c>
      <c r="AL46" s="3" t="n">
        <v>2</v>
      </c>
      <c r="AM46" s="3" t="n">
        <v>1</v>
      </c>
      <c r="AN46" s="3" t="n">
        <v>2</v>
      </c>
      <c r="AO46" s="3" t="n">
        <v>1</v>
      </c>
      <c r="AP46" s="3" t="n">
        <v>3</v>
      </c>
      <c r="AQ46" s="3" t="n">
        <v>4</v>
      </c>
      <c r="AR46" s="3" t="n">
        <v>4</v>
      </c>
      <c r="AS46" s="3" t="n">
        <v>6</v>
      </c>
      <c r="AT46" s="3" t="n">
        <v>4</v>
      </c>
      <c r="AU46" s="3" t="n">
        <v>4</v>
      </c>
      <c r="AV46" s="3" t="n">
        <v>6</v>
      </c>
      <c r="AW46" s="3" t="n">
        <v>6</v>
      </c>
      <c r="AX46" s="3" t="n">
        <v>3</v>
      </c>
      <c r="AY46" s="3" t="n">
        <v>3</v>
      </c>
      <c r="AZ46" s="3" t="n">
        <v>1</v>
      </c>
      <c r="BA46" s="5" t="n">
        <v>10</v>
      </c>
      <c r="BB46" s="3" t="n">
        <v>2</v>
      </c>
      <c r="BC46" s="3" t="n">
        <v>1</v>
      </c>
      <c r="BD46" s="3" t="n">
        <v>6</v>
      </c>
      <c r="BE46" s="3" t="n">
        <v>3</v>
      </c>
      <c r="BF46" s="3" t="n">
        <v>5</v>
      </c>
      <c r="BG46" s="3" t="n">
        <v>3</v>
      </c>
      <c r="BH46" s="3" t="n">
        <v>5</v>
      </c>
      <c r="BI46" s="3" t="n">
        <v>1</v>
      </c>
      <c r="BJ46" s="3" t="n">
        <v>1</v>
      </c>
      <c r="BK46" s="6" t="s">
        <v>216</v>
      </c>
    </row>
    <row r="47" s="30" customFormat="true" ht="15" hidden="false" customHeight="true" outlineLevel="0" collapsed="false">
      <c r="A47" s="24"/>
      <c r="B47" s="26" t="s">
        <v>217</v>
      </c>
      <c r="C47" s="26" t="s">
        <v>115</v>
      </c>
      <c r="D47" s="26" t="s">
        <v>218</v>
      </c>
      <c r="E47" s="26" t="n">
        <v>161556</v>
      </c>
      <c r="F47" s="27" t="n">
        <v>43373</v>
      </c>
      <c r="G47" s="27" t="n">
        <v>43386</v>
      </c>
      <c r="H47" s="30" t="n">
        <v>13</v>
      </c>
      <c r="I47" s="30" t="n">
        <v>2</v>
      </c>
      <c r="J47" s="30" t="n">
        <v>65</v>
      </c>
      <c r="K47" s="30" t="n">
        <v>1</v>
      </c>
      <c r="L47" s="30" t="n">
        <v>2</v>
      </c>
      <c r="M47" s="30" t="n">
        <v>1</v>
      </c>
      <c r="N47" s="30" t="n">
        <v>2</v>
      </c>
      <c r="O47" s="30" t="n">
        <v>2</v>
      </c>
      <c r="P47" s="30" t="n">
        <v>2</v>
      </c>
      <c r="Q47" s="30" t="n">
        <v>2</v>
      </c>
      <c r="R47" s="30" t="n">
        <v>2</v>
      </c>
      <c r="S47" s="30" t="n">
        <v>2</v>
      </c>
      <c r="T47" s="4" t="n">
        <v>4</v>
      </c>
      <c r="U47" s="30" t="n">
        <v>4</v>
      </c>
      <c r="V47" s="30" t="n">
        <v>3.09</v>
      </c>
      <c r="W47" s="30" t="n">
        <v>0.75</v>
      </c>
      <c r="X47" s="30" t="n">
        <v>5.3</v>
      </c>
      <c r="Y47" s="30" t="n">
        <v>462</v>
      </c>
      <c r="AA47" s="30" t="n">
        <v>0.47</v>
      </c>
      <c r="AB47" s="30" t="n">
        <v>6.7</v>
      </c>
      <c r="AC47" s="30" t="n">
        <v>3</v>
      </c>
      <c r="AD47" s="30" t="n">
        <v>2</v>
      </c>
      <c r="AE47" s="30" t="n">
        <v>2</v>
      </c>
      <c r="AF47" s="30" t="n">
        <v>2</v>
      </c>
      <c r="AG47" s="30" t="n">
        <v>2</v>
      </c>
      <c r="AH47" s="30" t="n">
        <v>2</v>
      </c>
      <c r="AI47" s="30" t="n">
        <v>2</v>
      </c>
      <c r="AJ47" s="30" t="n">
        <v>2</v>
      </c>
      <c r="AK47" s="30" t="n">
        <v>2</v>
      </c>
      <c r="AL47" s="30" t="n">
        <v>2</v>
      </c>
      <c r="AM47" s="30" t="n">
        <v>1</v>
      </c>
      <c r="AN47" s="30" t="n">
        <v>2</v>
      </c>
      <c r="AO47" s="30" t="n">
        <v>2</v>
      </c>
      <c r="AP47" s="30" t="n">
        <v>3</v>
      </c>
      <c r="AQ47" s="30" t="n">
        <v>4</v>
      </c>
      <c r="AR47" s="30" t="n">
        <v>4</v>
      </c>
      <c r="AS47" s="30" t="n">
        <v>6</v>
      </c>
      <c r="AT47" s="30" t="n">
        <v>4</v>
      </c>
      <c r="AU47" s="30" t="n">
        <v>4</v>
      </c>
      <c r="AV47" s="30" t="n">
        <v>6</v>
      </c>
      <c r="AW47" s="30" t="n">
        <v>6</v>
      </c>
      <c r="AX47" s="30" t="n">
        <v>3</v>
      </c>
      <c r="AY47" s="30" t="n">
        <v>3</v>
      </c>
      <c r="AZ47" s="30" t="n">
        <v>10</v>
      </c>
      <c r="BA47" s="5" t="n">
        <v>10</v>
      </c>
      <c r="BB47" s="30" t="n">
        <v>2</v>
      </c>
      <c r="BC47" s="30" t="n">
        <v>2</v>
      </c>
      <c r="BD47" s="30" t="n">
        <v>6</v>
      </c>
      <c r="BE47" s="30" t="n">
        <v>3</v>
      </c>
      <c r="BF47" s="30" t="n">
        <v>5</v>
      </c>
      <c r="BG47" s="30" t="n">
        <v>3</v>
      </c>
      <c r="BH47" s="30" t="n">
        <v>4</v>
      </c>
      <c r="BI47" s="30" t="n">
        <v>1</v>
      </c>
      <c r="BJ47" s="30" t="n">
        <v>1</v>
      </c>
      <c r="BK47" s="31" t="s">
        <v>219</v>
      </c>
    </row>
    <row r="48" customFormat="false" ht="15" hidden="false" customHeight="true" outlineLevel="0" collapsed="false">
      <c r="B48" s="2" t="s">
        <v>220</v>
      </c>
      <c r="C48" s="2" t="s">
        <v>221</v>
      </c>
      <c r="D48" s="2" t="s">
        <v>222</v>
      </c>
      <c r="E48" s="2" t="s">
        <v>223</v>
      </c>
      <c r="F48" s="15" t="n">
        <v>43381</v>
      </c>
      <c r="G48" s="15" t="n">
        <v>43386</v>
      </c>
      <c r="H48" s="3" t="n">
        <v>5</v>
      </c>
      <c r="I48" s="3" t="n">
        <v>1</v>
      </c>
      <c r="J48" s="3" t="n">
        <v>87</v>
      </c>
      <c r="K48" s="3" t="n">
        <v>1</v>
      </c>
      <c r="L48" s="3" t="n">
        <v>2</v>
      </c>
      <c r="M48" s="3" t="n">
        <v>1</v>
      </c>
      <c r="N48" s="3" t="n">
        <v>2</v>
      </c>
      <c r="O48" s="3" t="n">
        <v>2</v>
      </c>
      <c r="P48" s="3" t="n">
        <v>2</v>
      </c>
      <c r="Q48" s="3" t="n">
        <v>2</v>
      </c>
      <c r="R48" s="3" t="n">
        <v>2</v>
      </c>
      <c r="S48" s="3" t="n">
        <v>1</v>
      </c>
      <c r="T48" s="4" t="n">
        <v>1</v>
      </c>
      <c r="U48" s="3" t="n">
        <v>1</v>
      </c>
      <c r="V48" s="3" t="n">
        <v>4.72</v>
      </c>
      <c r="W48" s="3" t="n">
        <v>1.42</v>
      </c>
      <c r="X48" s="3" t="n">
        <v>5.5</v>
      </c>
      <c r="Y48" s="3" t="n">
        <v>285</v>
      </c>
      <c r="AA48" s="3" t="n">
        <v>0.39</v>
      </c>
      <c r="AB48" s="3" t="n">
        <v>6.4</v>
      </c>
      <c r="AC48" s="3" t="n">
        <v>2</v>
      </c>
      <c r="AD48" s="3" t="n">
        <v>1</v>
      </c>
      <c r="AE48" s="3" t="n">
        <v>1</v>
      </c>
      <c r="AF48" s="3" t="n">
        <v>1</v>
      </c>
      <c r="AG48" s="3" t="n">
        <v>2</v>
      </c>
      <c r="AH48" s="3" t="n">
        <v>2</v>
      </c>
      <c r="AI48" s="3" t="n">
        <v>1</v>
      </c>
      <c r="AJ48" s="3" t="n">
        <v>1</v>
      </c>
      <c r="AK48" s="3" t="n">
        <v>2</v>
      </c>
      <c r="AL48" s="3" t="n">
        <v>2</v>
      </c>
      <c r="AM48" s="3" t="n">
        <v>1</v>
      </c>
      <c r="AN48" s="3" t="n">
        <v>2</v>
      </c>
      <c r="AO48" s="3" t="n">
        <v>2</v>
      </c>
      <c r="AP48" s="3" t="n">
        <v>3</v>
      </c>
      <c r="AQ48" s="3" t="n">
        <v>4</v>
      </c>
      <c r="AR48" s="3" t="n">
        <v>4</v>
      </c>
      <c r="AS48" s="3" t="n">
        <v>6</v>
      </c>
      <c r="AT48" s="3" t="n">
        <v>4</v>
      </c>
      <c r="AU48" s="3" t="n">
        <v>4</v>
      </c>
      <c r="AV48" s="3" t="n">
        <v>6</v>
      </c>
      <c r="AW48" s="3" t="n">
        <v>6</v>
      </c>
      <c r="AX48" s="3" t="n">
        <v>3</v>
      </c>
      <c r="AY48" s="3" t="n">
        <v>3</v>
      </c>
      <c r="AZ48" s="3" t="n">
        <v>1</v>
      </c>
      <c r="BA48" s="5" t="n">
        <v>5</v>
      </c>
      <c r="BB48" s="3" t="n">
        <v>2</v>
      </c>
      <c r="BC48" s="3" t="n">
        <v>1</v>
      </c>
      <c r="BD48" s="3" t="n">
        <v>6</v>
      </c>
      <c r="BE48" s="3" t="n">
        <v>3</v>
      </c>
      <c r="BF48" s="3" t="n">
        <v>5</v>
      </c>
      <c r="BG48" s="3" t="n">
        <v>3</v>
      </c>
      <c r="BH48" s="3" t="n">
        <v>4</v>
      </c>
      <c r="BI48" s="3" t="n">
        <v>1</v>
      </c>
      <c r="BJ48" s="3" t="n">
        <v>1</v>
      </c>
      <c r="BK48" s="6" t="s">
        <v>224</v>
      </c>
    </row>
    <row r="49" customFormat="false" ht="15" hidden="false" customHeight="true" outlineLevel="0" collapsed="false">
      <c r="B49" s="2" t="s">
        <v>225</v>
      </c>
      <c r="C49" s="2" t="s">
        <v>226</v>
      </c>
      <c r="D49" s="2" t="s">
        <v>181</v>
      </c>
      <c r="E49" s="2" t="n">
        <v>162402</v>
      </c>
      <c r="F49" s="15" t="n">
        <v>43379</v>
      </c>
      <c r="G49" s="15" t="n">
        <v>43385</v>
      </c>
      <c r="H49" s="3" t="n">
        <v>6</v>
      </c>
      <c r="I49" s="3" t="n">
        <v>2</v>
      </c>
      <c r="J49" s="3" t="n">
        <v>71</v>
      </c>
      <c r="K49" s="3" t="n">
        <v>1</v>
      </c>
      <c r="L49" s="3" t="n">
        <v>1</v>
      </c>
      <c r="M49" s="3" t="n">
        <v>2</v>
      </c>
      <c r="N49" s="3" t="n">
        <v>2</v>
      </c>
      <c r="O49" s="3" t="n">
        <v>2</v>
      </c>
      <c r="P49" s="3" t="n">
        <v>2</v>
      </c>
      <c r="Q49" s="3" t="n">
        <v>2</v>
      </c>
      <c r="R49" s="3" t="n">
        <v>2</v>
      </c>
      <c r="S49" s="3" t="n">
        <v>2</v>
      </c>
      <c r="T49" s="4" t="n">
        <v>2</v>
      </c>
      <c r="U49" s="3" t="n">
        <v>2</v>
      </c>
      <c r="V49" s="3" t="n">
        <v>4.62</v>
      </c>
      <c r="W49" s="3" t="n">
        <v>0.71</v>
      </c>
      <c r="X49" s="3" t="n">
        <v>7.5</v>
      </c>
      <c r="Y49" s="3" t="n">
        <v>471</v>
      </c>
      <c r="AA49" s="3" t="n">
        <v>0.38</v>
      </c>
      <c r="AB49" s="3" t="n">
        <v>6</v>
      </c>
      <c r="AC49" s="3" t="n">
        <v>1</v>
      </c>
      <c r="AD49" s="3" t="n">
        <v>1</v>
      </c>
      <c r="AE49" s="3" t="n">
        <v>1</v>
      </c>
      <c r="AF49" s="3" t="n">
        <v>1</v>
      </c>
      <c r="AG49" s="3" t="n">
        <v>2</v>
      </c>
      <c r="AH49" s="3" t="n">
        <v>2</v>
      </c>
      <c r="AI49" s="3" t="n">
        <v>1</v>
      </c>
      <c r="AJ49" s="3" t="n">
        <v>1</v>
      </c>
      <c r="AK49" s="3" t="n">
        <v>2</v>
      </c>
      <c r="AL49" s="3" t="n">
        <v>2</v>
      </c>
      <c r="AM49" s="3" t="n">
        <v>1</v>
      </c>
      <c r="AN49" s="3" t="n">
        <v>2</v>
      </c>
      <c r="AO49" s="3" t="n">
        <v>2</v>
      </c>
      <c r="AP49" s="3" t="n">
        <v>3</v>
      </c>
      <c r="AQ49" s="3" t="n">
        <v>4</v>
      </c>
      <c r="AR49" s="3" t="n">
        <v>4</v>
      </c>
      <c r="AS49" s="3" t="n">
        <v>6</v>
      </c>
      <c r="AT49" s="3" t="n">
        <v>4</v>
      </c>
      <c r="AU49" s="3" t="n">
        <v>4</v>
      </c>
      <c r="AV49" s="3" t="n">
        <v>6</v>
      </c>
      <c r="AW49" s="3" t="n">
        <v>6</v>
      </c>
      <c r="AX49" s="3" t="n">
        <v>3</v>
      </c>
      <c r="AY49" s="3" t="n">
        <v>3</v>
      </c>
      <c r="AZ49" s="3" t="n">
        <v>1</v>
      </c>
      <c r="BA49" s="5" t="n">
        <v>1</v>
      </c>
      <c r="BB49" s="3" t="n">
        <v>1</v>
      </c>
      <c r="BC49" s="3" t="n">
        <v>1</v>
      </c>
      <c r="BD49" s="3" t="n">
        <v>2</v>
      </c>
      <c r="BE49" s="3" t="n">
        <v>3</v>
      </c>
      <c r="BF49" s="3" t="n">
        <v>5</v>
      </c>
      <c r="BG49" s="3" t="n">
        <v>3</v>
      </c>
      <c r="BH49" s="3" t="n">
        <v>4</v>
      </c>
      <c r="BI49" s="3" t="n">
        <v>1</v>
      </c>
      <c r="BJ49" s="3" t="n">
        <v>1</v>
      </c>
      <c r="BK49" s="21" t="s">
        <v>227</v>
      </c>
    </row>
    <row r="50" customFormat="false" ht="15" hidden="false" customHeight="true" outlineLevel="0" collapsed="false">
      <c r="B50" s="2" t="s">
        <v>228</v>
      </c>
      <c r="C50" s="2" t="s">
        <v>229</v>
      </c>
      <c r="D50" s="2" t="s">
        <v>128</v>
      </c>
      <c r="E50" s="2" t="n">
        <v>161446</v>
      </c>
      <c r="F50" s="15" t="n">
        <v>43368</v>
      </c>
      <c r="G50" s="15" t="n">
        <v>43385</v>
      </c>
      <c r="H50" s="3" t="n">
        <v>17</v>
      </c>
      <c r="I50" s="3" t="n">
        <v>2</v>
      </c>
      <c r="J50" s="3" t="n">
        <v>68</v>
      </c>
      <c r="K50" s="3" t="n">
        <v>1</v>
      </c>
      <c r="L50" s="3" t="n">
        <v>1</v>
      </c>
      <c r="M50" s="3" t="n">
        <v>1</v>
      </c>
      <c r="N50" s="3" t="n">
        <v>2</v>
      </c>
      <c r="O50" s="3" t="n">
        <v>2</v>
      </c>
      <c r="P50" s="3" t="n">
        <v>2</v>
      </c>
      <c r="Q50" s="3" t="n">
        <v>2</v>
      </c>
      <c r="R50" s="3" t="n">
        <v>2</v>
      </c>
      <c r="S50" s="3" t="n">
        <v>2</v>
      </c>
      <c r="T50" s="4" t="n">
        <v>2</v>
      </c>
      <c r="U50" s="3" t="n">
        <v>1</v>
      </c>
      <c r="V50" s="3" t="n">
        <v>3.74</v>
      </c>
      <c r="W50" s="3" t="n">
        <v>1.11</v>
      </c>
      <c r="X50" s="3" t="n">
        <v>5</v>
      </c>
      <c r="Y50" s="3" t="n">
        <v>224</v>
      </c>
      <c r="AA50" s="3" t="n">
        <v>0.36</v>
      </c>
      <c r="AB50" s="3" t="n">
        <v>7.8</v>
      </c>
      <c r="AC50" s="3" t="n">
        <v>1</v>
      </c>
      <c r="AD50" s="3" t="n">
        <v>2</v>
      </c>
      <c r="AE50" s="3" t="n">
        <v>1</v>
      </c>
      <c r="AF50" s="3" t="n">
        <v>1</v>
      </c>
      <c r="AG50" s="3" t="n">
        <v>2</v>
      </c>
      <c r="AH50" s="3" t="n">
        <v>2</v>
      </c>
      <c r="AI50" s="3" t="n">
        <v>1</v>
      </c>
      <c r="AJ50" s="3" t="n">
        <v>2</v>
      </c>
      <c r="AK50" s="3" t="n">
        <v>2</v>
      </c>
      <c r="AL50" s="3" t="n">
        <v>2</v>
      </c>
      <c r="AM50" s="3" t="n">
        <v>2</v>
      </c>
      <c r="AN50" s="3" t="n">
        <v>2</v>
      </c>
      <c r="AO50" s="3" t="n">
        <v>2</v>
      </c>
      <c r="AP50" s="3" t="n">
        <v>2</v>
      </c>
      <c r="AQ50" s="3" t="n">
        <v>3</v>
      </c>
      <c r="AR50" s="3" t="n">
        <v>4</v>
      </c>
      <c r="AS50" s="3" t="n">
        <v>6</v>
      </c>
      <c r="AT50" s="3" t="n">
        <v>4</v>
      </c>
      <c r="AU50" s="3" t="n">
        <v>4</v>
      </c>
      <c r="AV50" s="3" t="n">
        <v>3</v>
      </c>
      <c r="AW50" s="3" t="n">
        <v>6</v>
      </c>
      <c r="AX50" s="3" t="n">
        <v>3</v>
      </c>
      <c r="AY50" s="3" t="n">
        <v>3</v>
      </c>
      <c r="AZ50" s="3" t="n">
        <v>1</v>
      </c>
      <c r="BA50" s="5" t="n">
        <v>1</v>
      </c>
      <c r="BB50" s="3" t="n">
        <v>1</v>
      </c>
      <c r="BC50" s="3" t="n">
        <v>1</v>
      </c>
      <c r="BD50" s="3" t="n">
        <v>2</v>
      </c>
      <c r="BE50" s="3" t="n">
        <v>3</v>
      </c>
      <c r="BF50" s="3" t="n">
        <v>5</v>
      </c>
      <c r="BG50" s="3" t="n">
        <v>3</v>
      </c>
      <c r="BH50" s="3" t="n">
        <v>4</v>
      </c>
      <c r="BI50" s="3" t="n">
        <v>1</v>
      </c>
      <c r="BJ50" s="3" t="n">
        <v>1</v>
      </c>
      <c r="BK50" s="16" t="s">
        <v>230</v>
      </c>
    </row>
    <row r="51" customFormat="false" ht="15" hidden="false" customHeight="true" outlineLevel="0" collapsed="false">
      <c r="B51" s="2" t="s">
        <v>231</v>
      </c>
      <c r="C51" s="2" t="s">
        <v>94</v>
      </c>
      <c r="D51" s="2" t="s">
        <v>232</v>
      </c>
      <c r="E51" s="2" t="n">
        <v>144082</v>
      </c>
      <c r="F51" s="15" t="n">
        <v>43384</v>
      </c>
      <c r="G51" s="15" t="n">
        <v>43388</v>
      </c>
      <c r="H51" s="3" t="n">
        <v>4</v>
      </c>
      <c r="I51" s="3" t="n">
        <v>1</v>
      </c>
      <c r="J51" s="3" t="n">
        <v>86</v>
      </c>
      <c r="K51" s="3" t="n">
        <v>1</v>
      </c>
      <c r="L51" s="3" t="n">
        <v>2</v>
      </c>
      <c r="M51" s="3" t="n">
        <v>1</v>
      </c>
      <c r="N51" s="3" t="n">
        <v>2</v>
      </c>
      <c r="O51" s="3" t="n">
        <v>2</v>
      </c>
      <c r="P51" s="3" t="n">
        <v>2</v>
      </c>
      <c r="Q51" s="3" t="n">
        <v>1</v>
      </c>
      <c r="R51" s="3" t="n">
        <v>2</v>
      </c>
      <c r="S51" s="3" t="n">
        <v>1</v>
      </c>
      <c r="T51" s="4" t="n">
        <v>1</v>
      </c>
      <c r="U51" s="3" t="n">
        <v>4</v>
      </c>
      <c r="V51" s="3" t="n">
        <v>6.03</v>
      </c>
      <c r="W51" s="3" t="n">
        <v>1.94</v>
      </c>
      <c r="X51" s="3" t="n">
        <v>10.7</v>
      </c>
      <c r="Y51" s="3" t="n">
        <v>542</v>
      </c>
      <c r="AA51" s="3" t="n">
        <v>0.34</v>
      </c>
      <c r="AB51" s="3" t="n">
        <v>11.5</v>
      </c>
      <c r="AC51" s="3" t="n">
        <v>1</v>
      </c>
      <c r="AD51" s="3" t="n">
        <v>1</v>
      </c>
      <c r="AE51" s="3" t="n">
        <v>1</v>
      </c>
      <c r="AF51" s="3" t="n">
        <v>1</v>
      </c>
      <c r="AG51" s="3" t="n">
        <v>2</v>
      </c>
      <c r="AH51" s="3" t="n">
        <v>2</v>
      </c>
      <c r="AI51" s="3" t="n">
        <v>1</v>
      </c>
      <c r="AJ51" s="3" t="n">
        <v>2</v>
      </c>
      <c r="AK51" s="3" t="n">
        <v>1</v>
      </c>
      <c r="AL51" s="3" t="n">
        <v>2</v>
      </c>
      <c r="AM51" s="3" t="n">
        <v>1</v>
      </c>
      <c r="AN51" s="3" t="n">
        <v>2</v>
      </c>
      <c r="AO51" s="3" t="n">
        <v>1</v>
      </c>
      <c r="AP51" s="3" t="n">
        <v>3</v>
      </c>
      <c r="AQ51" s="3" t="n">
        <v>4</v>
      </c>
      <c r="AR51" s="3" t="n">
        <v>4</v>
      </c>
      <c r="AS51" s="3" t="n">
        <v>6</v>
      </c>
      <c r="AT51" s="3" t="n">
        <v>4</v>
      </c>
      <c r="AU51" s="3" t="n">
        <v>4</v>
      </c>
      <c r="AV51" s="3" t="n">
        <v>6</v>
      </c>
      <c r="AW51" s="3" t="n">
        <v>6</v>
      </c>
      <c r="AX51" s="3" t="n">
        <v>3</v>
      </c>
      <c r="AY51" s="3" t="n">
        <v>3</v>
      </c>
      <c r="AZ51" s="3" t="n">
        <v>1</v>
      </c>
      <c r="BA51" s="5" t="n">
        <v>11</v>
      </c>
      <c r="BB51" s="3" t="n">
        <v>2</v>
      </c>
      <c r="BC51" s="3" t="n">
        <v>1</v>
      </c>
      <c r="BD51" s="3" t="n">
        <v>6</v>
      </c>
      <c r="BE51" s="3" t="n">
        <v>3</v>
      </c>
      <c r="BF51" s="3" t="n">
        <v>5</v>
      </c>
      <c r="BG51" s="3" t="n">
        <v>3</v>
      </c>
      <c r="BH51" s="3" t="n">
        <v>4</v>
      </c>
      <c r="BI51" s="3" t="n">
        <v>1</v>
      </c>
      <c r="BJ51" s="3" t="n">
        <v>1</v>
      </c>
      <c r="BK51" s="6" t="s">
        <v>233</v>
      </c>
    </row>
    <row r="52" customFormat="false" ht="15" hidden="false" customHeight="true" outlineLevel="0" collapsed="false">
      <c r="B52" s="2" t="s">
        <v>234</v>
      </c>
      <c r="C52" s="2" t="s">
        <v>235</v>
      </c>
      <c r="D52" s="2" t="s">
        <v>236</v>
      </c>
      <c r="E52" s="2" t="n">
        <v>162422</v>
      </c>
      <c r="F52" s="15" t="n">
        <v>43380</v>
      </c>
      <c r="G52" s="15" t="n">
        <v>43388</v>
      </c>
      <c r="H52" s="3" t="n">
        <v>8</v>
      </c>
      <c r="I52" s="3" t="n">
        <v>1</v>
      </c>
      <c r="J52" s="3" t="n">
        <v>64</v>
      </c>
      <c r="K52" s="3" t="n">
        <v>1</v>
      </c>
      <c r="L52" s="3" t="n">
        <v>1</v>
      </c>
      <c r="M52" s="3" t="n">
        <v>1</v>
      </c>
      <c r="N52" s="3" t="n">
        <v>2</v>
      </c>
      <c r="O52" s="3" t="n">
        <v>2</v>
      </c>
      <c r="P52" s="3" t="n">
        <v>2</v>
      </c>
      <c r="Q52" s="3" t="n">
        <v>2</v>
      </c>
      <c r="R52" s="3" t="n">
        <v>2</v>
      </c>
      <c r="S52" s="3" t="n">
        <v>2</v>
      </c>
      <c r="T52" s="4" t="n">
        <v>2</v>
      </c>
      <c r="U52" s="3" t="n">
        <v>2</v>
      </c>
      <c r="V52" s="3" t="n">
        <v>4.78</v>
      </c>
      <c r="W52" s="3" t="n">
        <v>1</v>
      </c>
      <c r="X52" s="3" t="n">
        <v>4.6</v>
      </c>
      <c r="Y52" s="3" t="n">
        <v>549</v>
      </c>
      <c r="AA52" s="3" t="n">
        <v>0.42</v>
      </c>
      <c r="AB52" s="3" t="n">
        <v>6.9</v>
      </c>
      <c r="AC52" s="3" t="n">
        <v>2</v>
      </c>
      <c r="AD52" s="3" t="n">
        <v>2</v>
      </c>
      <c r="AE52" s="3" t="n">
        <v>1</v>
      </c>
      <c r="AF52" s="3" t="n">
        <v>1</v>
      </c>
      <c r="AG52" s="3" t="n">
        <v>2</v>
      </c>
      <c r="AH52" s="3" t="n">
        <v>2</v>
      </c>
      <c r="AI52" s="3" t="n">
        <v>1</v>
      </c>
      <c r="AJ52" s="3" t="n">
        <v>1</v>
      </c>
      <c r="AK52" s="3" t="n">
        <v>2</v>
      </c>
      <c r="AL52" s="3" t="n">
        <v>2</v>
      </c>
      <c r="AM52" s="3" t="n">
        <v>2</v>
      </c>
      <c r="AN52" s="3" t="n">
        <v>2</v>
      </c>
      <c r="AO52" s="3" t="n">
        <v>2</v>
      </c>
      <c r="AP52" s="3" t="n">
        <v>3</v>
      </c>
      <c r="AQ52" s="3" t="n">
        <v>4</v>
      </c>
      <c r="AR52" s="3" t="n">
        <v>4</v>
      </c>
      <c r="AS52" s="3" t="n">
        <v>6</v>
      </c>
      <c r="AT52" s="3" t="n">
        <v>4</v>
      </c>
      <c r="AU52" s="3" t="n">
        <v>4</v>
      </c>
      <c r="AV52" s="3" t="n">
        <v>6</v>
      </c>
      <c r="AW52" s="3" t="n">
        <v>6</v>
      </c>
      <c r="AX52" s="3" t="n">
        <v>3</v>
      </c>
      <c r="AY52" s="3" t="n">
        <v>3</v>
      </c>
      <c r="AZ52" s="3" t="n">
        <v>1</v>
      </c>
      <c r="BA52" s="5" t="n">
        <v>1</v>
      </c>
      <c r="BB52" s="3" t="n">
        <v>1</v>
      </c>
      <c r="BC52" s="3" t="n">
        <v>1</v>
      </c>
      <c r="BD52" s="3" t="n">
        <v>2</v>
      </c>
      <c r="BE52" s="3" t="n">
        <v>1</v>
      </c>
      <c r="BF52" s="3" t="n">
        <v>2</v>
      </c>
      <c r="BG52" s="3" t="n">
        <v>1</v>
      </c>
      <c r="BH52" s="3" t="n">
        <v>4</v>
      </c>
      <c r="BI52" s="3" t="n">
        <v>1</v>
      </c>
      <c r="BJ52" s="3" t="n">
        <v>1</v>
      </c>
      <c r="BK52" s="6" t="s">
        <v>237</v>
      </c>
    </row>
    <row r="53" s="30" customFormat="true" ht="15" hidden="false" customHeight="true" outlineLevel="0" collapsed="false">
      <c r="A53" s="24"/>
      <c r="B53" s="26" t="s">
        <v>238</v>
      </c>
      <c r="C53" s="26" t="s">
        <v>239</v>
      </c>
      <c r="D53" s="26" t="s">
        <v>240</v>
      </c>
      <c r="E53" s="26" t="s">
        <v>241</v>
      </c>
      <c r="F53" s="27" t="n">
        <v>43387</v>
      </c>
      <c r="G53" s="27" t="n">
        <v>43388</v>
      </c>
      <c r="H53" s="30" t="n">
        <v>1</v>
      </c>
      <c r="I53" s="30" t="n">
        <v>1</v>
      </c>
      <c r="J53" s="30" t="n">
        <v>99</v>
      </c>
      <c r="K53" s="30" t="n">
        <v>1</v>
      </c>
      <c r="L53" s="30" t="n">
        <v>2</v>
      </c>
      <c r="M53" s="30" t="n">
        <v>1</v>
      </c>
      <c r="N53" s="30" t="n">
        <v>2</v>
      </c>
      <c r="O53" s="30" t="n">
        <v>2</v>
      </c>
      <c r="P53" s="30" t="n">
        <v>2</v>
      </c>
      <c r="Q53" s="30" t="n">
        <v>2</v>
      </c>
      <c r="R53" s="30" t="n">
        <v>2</v>
      </c>
      <c r="S53" s="30" t="n">
        <v>2</v>
      </c>
      <c r="T53" s="4" t="n">
        <v>1</v>
      </c>
      <c r="U53" s="30" t="n">
        <v>1</v>
      </c>
      <c r="AD53" s="30" t="n">
        <v>2</v>
      </c>
      <c r="AE53" s="30" t="n">
        <v>1</v>
      </c>
      <c r="AF53" s="30" t="n">
        <v>1</v>
      </c>
      <c r="AG53" s="30" t="n">
        <v>2</v>
      </c>
      <c r="AH53" s="30" t="n">
        <v>2</v>
      </c>
      <c r="AI53" s="30" t="n">
        <v>1</v>
      </c>
      <c r="AJ53" s="30" t="n">
        <v>1</v>
      </c>
      <c r="AK53" s="30" t="n">
        <v>2</v>
      </c>
      <c r="AL53" s="30" t="n">
        <v>2</v>
      </c>
      <c r="AM53" s="30" t="n">
        <v>2</v>
      </c>
      <c r="AN53" s="30" t="n">
        <v>2</v>
      </c>
      <c r="AO53" s="30" t="n">
        <v>2</v>
      </c>
      <c r="AP53" s="30" t="n">
        <v>3</v>
      </c>
      <c r="AQ53" s="30" t="n">
        <v>4</v>
      </c>
      <c r="AR53" s="30" t="n">
        <v>4</v>
      </c>
      <c r="AS53" s="30" t="n">
        <v>6</v>
      </c>
      <c r="AT53" s="30" t="n">
        <v>4</v>
      </c>
      <c r="AU53" s="30" t="n">
        <v>4</v>
      </c>
      <c r="AV53" s="30" t="n">
        <v>6</v>
      </c>
      <c r="AW53" s="30" t="n">
        <v>6</v>
      </c>
      <c r="AX53" s="30" t="n">
        <v>3</v>
      </c>
      <c r="AY53" s="30" t="n">
        <v>3</v>
      </c>
      <c r="AZ53" s="30" t="n">
        <v>14</v>
      </c>
      <c r="BA53" s="5" t="n">
        <v>5</v>
      </c>
      <c r="BB53" s="30" t="n">
        <v>2</v>
      </c>
      <c r="BC53" s="30" t="n">
        <v>2</v>
      </c>
      <c r="BD53" s="30" t="n">
        <v>6</v>
      </c>
      <c r="BE53" s="30" t="n">
        <v>3</v>
      </c>
      <c r="BF53" s="30" t="n">
        <v>5</v>
      </c>
      <c r="BG53" s="30" t="n">
        <v>3</v>
      </c>
      <c r="BH53" s="30" t="n">
        <v>4</v>
      </c>
      <c r="BI53" s="30" t="n">
        <v>1</v>
      </c>
      <c r="BJ53" s="30" t="n">
        <v>1</v>
      </c>
      <c r="BK53" s="31" t="s">
        <v>242</v>
      </c>
    </row>
    <row r="54" customFormat="false" ht="15" hidden="false" customHeight="true" outlineLevel="0" collapsed="false">
      <c r="B54" s="2" t="s">
        <v>243</v>
      </c>
      <c r="C54" s="2" t="s">
        <v>244</v>
      </c>
      <c r="D54" s="2" t="s">
        <v>245</v>
      </c>
      <c r="E54" s="2" t="n">
        <v>162584</v>
      </c>
      <c r="F54" s="15" t="n">
        <v>43387</v>
      </c>
      <c r="G54" s="15" t="n">
        <v>43389</v>
      </c>
      <c r="H54" s="3" t="n">
        <v>2</v>
      </c>
      <c r="I54" s="3" t="n">
        <v>2</v>
      </c>
      <c r="J54" s="3" t="n">
        <v>41</v>
      </c>
      <c r="K54" s="3" t="n">
        <v>2</v>
      </c>
      <c r="L54" s="3" t="n">
        <v>1</v>
      </c>
      <c r="M54" s="3" t="n">
        <v>1</v>
      </c>
      <c r="N54" s="3" t="n">
        <v>1</v>
      </c>
      <c r="O54" s="3" t="n">
        <v>2</v>
      </c>
      <c r="P54" s="3" t="n">
        <v>2</v>
      </c>
      <c r="Q54" s="3" t="n">
        <v>2</v>
      </c>
      <c r="R54" s="3" t="n">
        <v>2</v>
      </c>
      <c r="S54" s="3" t="n">
        <v>1</v>
      </c>
      <c r="T54" s="4" t="n">
        <v>5</v>
      </c>
      <c r="U54" s="3" t="n">
        <v>1</v>
      </c>
      <c r="V54" s="3" t="n">
        <v>4.6</v>
      </c>
      <c r="W54" s="3" t="n">
        <v>0.9</v>
      </c>
      <c r="X54" s="3" t="n">
        <v>5.7</v>
      </c>
      <c r="Y54" s="3" t="n">
        <v>386</v>
      </c>
      <c r="AA54" s="3" t="n">
        <v>0.38</v>
      </c>
      <c r="AB54" s="3" t="n">
        <v>12.1</v>
      </c>
      <c r="AC54" s="3" t="n">
        <v>2</v>
      </c>
      <c r="AD54" s="3" t="n">
        <v>1</v>
      </c>
      <c r="AE54" s="3" t="n">
        <v>2</v>
      </c>
      <c r="AF54" s="3" t="n">
        <v>1</v>
      </c>
      <c r="AG54" s="3" t="n">
        <v>1</v>
      </c>
      <c r="AH54" s="3" t="n">
        <v>2</v>
      </c>
      <c r="AI54" s="3" t="n">
        <v>2</v>
      </c>
      <c r="AJ54" s="3" t="n">
        <v>1</v>
      </c>
      <c r="AK54" s="3" t="n">
        <v>2</v>
      </c>
      <c r="AL54" s="3" t="n">
        <v>2</v>
      </c>
      <c r="AM54" s="3" t="n">
        <v>1</v>
      </c>
      <c r="AN54" s="3" t="n">
        <v>2</v>
      </c>
      <c r="AO54" s="3" t="n">
        <v>2</v>
      </c>
      <c r="AP54" s="3" t="n">
        <v>4</v>
      </c>
      <c r="AQ54" s="3" t="n">
        <v>2</v>
      </c>
      <c r="AR54" s="3" t="n">
        <v>9</v>
      </c>
      <c r="AS54" s="3" t="n">
        <v>2</v>
      </c>
      <c r="AT54" s="3" t="n">
        <v>1</v>
      </c>
      <c r="AU54" s="3" t="n">
        <v>1</v>
      </c>
      <c r="AV54" s="3" t="n">
        <v>1</v>
      </c>
      <c r="AW54" s="3" t="n">
        <v>1</v>
      </c>
      <c r="AX54" s="3" t="n">
        <v>2</v>
      </c>
      <c r="AY54" s="3" t="n">
        <v>2</v>
      </c>
      <c r="AZ54" s="3" t="n">
        <v>1</v>
      </c>
      <c r="BA54" s="5" t="n">
        <v>3</v>
      </c>
      <c r="BB54" s="3" t="n">
        <v>2</v>
      </c>
      <c r="BC54" s="3" t="n">
        <v>1</v>
      </c>
      <c r="BD54" s="3" t="n">
        <v>6</v>
      </c>
      <c r="BE54" s="3" t="n">
        <v>3</v>
      </c>
      <c r="BF54" s="3" t="n">
        <v>5</v>
      </c>
      <c r="BG54" s="3" t="n">
        <v>3</v>
      </c>
      <c r="BH54" s="3" t="n">
        <v>4</v>
      </c>
      <c r="BI54" s="3" t="n">
        <v>1</v>
      </c>
      <c r="BJ54" s="3" t="n">
        <v>1</v>
      </c>
      <c r="BK54" s="6" t="s">
        <v>246</v>
      </c>
    </row>
    <row r="55" customFormat="false" ht="15" hidden="false" customHeight="true" outlineLevel="0" collapsed="false">
      <c r="B55" s="2" t="s">
        <v>247</v>
      </c>
      <c r="C55" s="2" t="s">
        <v>248</v>
      </c>
      <c r="D55" s="2" t="s">
        <v>140</v>
      </c>
      <c r="E55" s="2" t="n">
        <v>162421</v>
      </c>
      <c r="F55" s="15" t="n">
        <v>43380</v>
      </c>
      <c r="G55" s="15" t="n">
        <v>43389</v>
      </c>
      <c r="H55" s="3" t="n">
        <v>9</v>
      </c>
      <c r="I55" s="3" t="n">
        <v>2</v>
      </c>
      <c r="J55" s="3" t="n">
        <v>81</v>
      </c>
      <c r="K55" s="3" t="n">
        <v>1</v>
      </c>
      <c r="L55" s="3" t="n">
        <v>2</v>
      </c>
      <c r="M55" s="3" t="n">
        <v>1</v>
      </c>
      <c r="N55" s="3" t="n">
        <v>2</v>
      </c>
      <c r="O55" s="3" t="n">
        <v>2</v>
      </c>
      <c r="P55" s="3" t="n">
        <v>2</v>
      </c>
      <c r="Q55" s="3" t="n">
        <v>2</v>
      </c>
      <c r="R55" s="3" t="n">
        <v>2</v>
      </c>
      <c r="S55" s="3" t="n">
        <v>2</v>
      </c>
      <c r="T55" s="4" t="n">
        <v>4</v>
      </c>
      <c r="U55" s="3" t="n">
        <v>4</v>
      </c>
      <c r="V55" s="3" t="n">
        <v>3.18</v>
      </c>
      <c r="W55" s="3" t="n">
        <v>0.6</v>
      </c>
      <c r="X55" s="3" t="n">
        <v>6.7</v>
      </c>
      <c r="Y55" s="3" t="n">
        <v>340</v>
      </c>
      <c r="AA55" s="3" t="n">
        <v>0.4</v>
      </c>
      <c r="AB55" s="3" t="n">
        <v>6</v>
      </c>
      <c r="AC55" s="3" t="n">
        <v>1</v>
      </c>
      <c r="AD55" s="3" t="n">
        <v>1</v>
      </c>
      <c r="AE55" s="3" t="n">
        <v>2</v>
      </c>
      <c r="AF55" s="3" t="n">
        <v>1</v>
      </c>
      <c r="AG55" s="3" t="n">
        <v>2</v>
      </c>
      <c r="AH55" s="3" t="n">
        <v>2</v>
      </c>
      <c r="AI55" s="3" t="n">
        <v>2</v>
      </c>
      <c r="AJ55" s="3" t="n">
        <v>1</v>
      </c>
      <c r="AK55" s="3" t="n">
        <v>2</v>
      </c>
      <c r="AL55" s="3" t="n">
        <v>1</v>
      </c>
      <c r="AM55" s="3" t="n">
        <v>2</v>
      </c>
      <c r="AN55" s="3" t="n">
        <v>2</v>
      </c>
      <c r="AO55" s="3" t="n">
        <v>2</v>
      </c>
      <c r="AP55" s="3" t="n">
        <v>3</v>
      </c>
      <c r="AQ55" s="3" t="n">
        <v>4</v>
      </c>
      <c r="AR55" s="3" t="n">
        <v>4</v>
      </c>
      <c r="AS55" s="3" t="n">
        <v>6</v>
      </c>
      <c r="AT55" s="3" t="n">
        <v>4</v>
      </c>
      <c r="AU55" s="3" t="n">
        <v>4</v>
      </c>
      <c r="AV55" s="3" t="n">
        <v>6</v>
      </c>
      <c r="AW55" s="3" t="n">
        <v>6</v>
      </c>
      <c r="AX55" s="3" t="n">
        <v>3</v>
      </c>
      <c r="AY55" s="3" t="n">
        <v>3</v>
      </c>
      <c r="AZ55" s="3" t="n">
        <v>1</v>
      </c>
      <c r="BA55" s="5" t="n">
        <v>10</v>
      </c>
      <c r="BB55" s="3" t="n">
        <v>2</v>
      </c>
      <c r="BC55" s="3" t="n">
        <v>1</v>
      </c>
      <c r="BD55" s="3" t="n">
        <v>6</v>
      </c>
      <c r="BE55" s="3" t="n">
        <v>3</v>
      </c>
      <c r="BF55" s="3" t="n">
        <v>5</v>
      </c>
      <c r="BG55" s="3" t="n">
        <v>3</v>
      </c>
      <c r="BH55" s="3" t="n">
        <v>4</v>
      </c>
      <c r="BI55" s="3" t="n">
        <v>1</v>
      </c>
      <c r="BJ55" s="3" t="n">
        <v>1</v>
      </c>
      <c r="BK55" s="6" t="s">
        <v>249</v>
      </c>
    </row>
    <row r="56" customFormat="false" ht="15" hidden="false" customHeight="true" outlineLevel="0" collapsed="false">
      <c r="B56" s="2" t="s">
        <v>250</v>
      </c>
      <c r="C56" s="2" t="s">
        <v>251</v>
      </c>
      <c r="D56" s="2" t="s">
        <v>252</v>
      </c>
      <c r="E56" s="2" t="n">
        <v>162546</v>
      </c>
      <c r="F56" s="15" t="n">
        <v>43385</v>
      </c>
      <c r="G56" s="15" t="n">
        <v>43389</v>
      </c>
      <c r="H56" s="3" t="n">
        <v>4</v>
      </c>
      <c r="I56" s="3" t="n">
        <v>1</v>
      </c>
      <c r="J56" s="3" t="n">
        <v>85</v>
      </c>
      <c r="K56" s="3" t="n">
        <v>1</v>
      </c>
      <c r="L56" s="3" t="n">
        <v>1</v>
      </c>
      <c r="M56" s="3" t="n">
        <v>1</v>
      </c>
      <c r="N56" s="3" t="n">
        <v>2</v>
      </c>
      <c r="O56" s="3" t="n">
        <v>2</v>
      </c>
      <c r="P56" s="3" t="n">
        <v>2</v>
      </c>
      <c r="Q56" s="3" t="n">
        <v>2</v>
      </c>
      <c r="R56" s="3" t="n">
        <v>2</v>
      </c>
      <c r="S56" s="3" t="n">
        <v>2</v>
      </c>
      <c r="T56" s="4" t="n">
        <v>1</v>
      </c>
      <c r="U56" s="3" t="n">
        <v>1</v>
      </c>
      <c r="V56" s="3" t="n">
        <v>3.93</v>
      </c>
      <c r="W56" s="3" t="n">
        <v>1.02</v>
      </c>
      <c r="X56" s="3" t="n">
        <v>5.8</v>
      </c>
      <c r="Y56" s="3" t="n">
        <v>343</v>
      </c>
      <c r="AA56" s="3" t="n">
        <v>0.37</v>
      </c>
      <c r="AB56" s="3" t="n">
        <v>4.2</v>
      </c>
      <c r="AC56" s="3" t="n">
        <v>1</v>
      </c>
      <c r="AD56" s="3" t="n">
        <v>1</v>
      </c>
      <c r="AE56" s="3" t="n">
        <v>1</v>
      </c>
      <c r="AF56" s="3" t="n">
        <v>1</v>
      </c>
      <c r="AG56" s="3" t="n">
        <v>2</v>
      </c>
      <c r="AH56" s="3" t="n">
        <v>2</v>
      </c>
      <c r="AI56" s="3" t="n">
        <v>1</v>
      </c>
      <c r="AJ56" s="3" t="n">
        <v>1</v>
      </c>
      <c r="AK56" s="3" t="n">
        <v>2</v>
      </c>
      <c r="AL56" s="3" t="n">
        <v>2</v>
      </c>
      <c r="AM56" s="3" t="n">
        <v>2</v>
      </c>
      <c r="AN56" s="3" t="n">
        <v>2</v>
      </c>
      <c r="AO56" s="3" t="n">
        <v>2</v>
      </c>
      <c r="AP56" s="3" t="n">
        <v>3</v>
      </c>
      <c r="AQ56" s="3" t="n">
        <v>4</v>
      </c>
      <c r="AR56" s="3" t="n">
        <v>4</v>
      </c>
      <c r="AS56" s="3" t="n">
        <v>6</v>
      </c>
      <c r="AT56" s="3" t="n">
        <v>4</v>
      </c>
      <c r="AU56" s="3" t="n">
        <v>4</v>
      </c>
      <c r="AV56" s="3" t="n">
        <v>6</v>
      </c>
      <c r="AW56" s="3" t="n">
        <v>6</v>
      </c>
      <c r="AX56" s="3" t="n">
        <v>3</v>
      </c>
      <c r="AY56" s="3" t="n">
        <v>3</v>
      </c>
      <c r="AZ56" s="3" t="n">
        <v>1</v>
      </c>
      <c r="BA56" s="5" t="n">
        <v>5</v>
      </c>
      <c r="BB56" s="3" t="n">
        <v>2</v>
      </c>
      <c r="BC56" s="3" t="n">
        <v>1</v>
      </c>
      <c r="BD56" s="3" t="n">
        <v>6</v>
      </c>
      <c r="BE56" s="3" t="n">
        <v>3</v>
      </c>
      <c r="BF56" s="3" t="n">
        <v>5</v>
      </c>
      <c r="BG56" s="3" t="n">
        <v>3</v>
      </c>
      <c r="BH56" s="3" t="n">
        <v>4</v>
      </c>
      <c r="BI56" s="3" t="n">
        <v>1</v>
      </c>
      <c r="BJ56" s="3" t="n">
        <v>1</v>
      </c>
      <c r="BK56" s="6" t="s">
        <v>253</v>
      </c>
    </row>
    <row r="57" customFormat="false" ht="15" hidden="false" customHeight="true" outlineLevel="0" collapsed="false">
      <c r="B57" s="2" t="s">
        <v>254</v>
      </c>
      <c r="C57" s="2" t="s">
        <v>255</v>
      </c>
      <c r="D57" s="2" t="s">
        <v>256</v>
      </c>
      <c r="E57" s="2" t="n">
        <v>159453</v>
      </c>
      <c r="F57" s="15" t="n">
        <v>43385</v>
      </c>
      <c r="G57" s="15" t="n">
        <v>43389</v>
      </c>
      <c r="H57" s="3" t="n">
        <v>4</v>
      </c>
      <c r="I57" s="3" t="n">
        <v>1</v>
      </c>
      <c r="J57" s="3" t="n">
        <v>66</v>
      </c>
      <c r="K57" s="3" t="n">
        <v>2</v>
      </c>
      <c r="L57" s="3" t="n">
        <v>1</v>
      </c>
      <c r="M57" s="3" t="n">
        <v>1</v>
      </c>
      <c r="N57" s="3" t="n">
        <v>2</v>
      </c>
      <c r="O57" s="3" t="n">
        <v>2</v>
      </c>
      <c r="P57" s="3" t="n">
        <v>2</v>
      </c>
      <c r="Q57" s="3" t="n">
        <v>2</v>
      </c>
      <c r="R57" s="3" t="n">
        <v>2</v>
      </c>
      <c r="S57" s="3" t="n">
        <v>2</v>
      </c>
      <c r="T57" s="4" t="n">
        <v>1</v>
      </c>
      <c r="U57" s="3" t="n">
        <v>1</v>
      </c>
      <c r="V57" s="3" t="n">
        <v>6.8</v>
      </c>
      <c r="W57" s="3" t="n">
        <v>1.2</v>
      </c>
      <c r="X57" s="3" t="n">
        <v>6.8</v>
      </c>
      <c r="Y57" s="3" t="n">
        <v>349</v>
      </c>
      <c r="AA57" s="3" t="n">
        <v>0.44</v>
      </c>
      <c r="AB57" s="3" t="n">
        <v>6.6</v>
      </c>
      <c r="AC57" s="3" t="n">
        <v>1</v>
      </c>
      <c r="AD57" s="3" t="n">
        <v>1</v>
      </c>
      <c r="AE57" s="3" t="n">
        <v>1</v>
      </c>
      <c r="AF57" s="3" t="n">
        <v>1</v>
      </c>
      <c r="AG57" s="3" t="n">
        <v>2</v>
      </c>
      <c r="AH57" s="3" t="n">
        <v>2</v>
      </c>
      <c r="AI57" s="3" t="n">
        <v>1</v>
      </c>
      <c r="AJ57" s="3" t="n">
        <v>2</v>
      </c>
      <c r="AK57" s="3" t="n">
        <v>2</v>
      </c>
      <c r="AL57" s="3" t="n">
        <v>2</v>
      </c>
      <c r="AM57" s="3" t="n">
        <v>1</v>
      </c>
      <c r="AN57" s="3" t="n">
        <v>2</v>
      </c>
      <c r="AO57" s="3" t="n">
        <v>2</v>
      </c>
      <c r="AP57" s="3" t="n">
        <v>3</v>
      </c>
      <c r="AQ57" s="3" t="n">
        <v>4</v>
      </c>
      <c r="AR57" s="3" t="n">
        <v>4</v>
      </c>
      <c r="AS57" s="3" t="n">
        <v>6</v>
      </c>
      <c r="AT57" s="3" t="n">
        <v>4</v>
      </c>
      <c r="AU57" s="3" t="n">
        <v>4</v>
      </c>
      <c r="AV57" s="3" t="n">
        <v>6</v>
      </c>
      <c r="AW57" s="3" t="n">
        <v>6</v>
      </c>
      <c r="AX57" s="3" t="n">
        <v>3</v>
      </c>
      <c r="AY57" s="3" t="n">
        <v>3</v>
      </c>
      <c r="AZ57" s="3" t="n">
        <v>1</v>
      </c>
      <c r="BA57" s="5" t="n">
        <v>5</v>
      </c>
      <c r="BB57" s="3" t="n">
        <v>2</v>
      </c>
      <c r="BC57" s="3" t="n">
        <v>1</v>
      </c>
      <c r="BD57" s="3" t="n">
        <v>6</v>
      </c>
      <c r="BE57" s="3" t="n">
        <v>3</v>
      </c>
      <c r="BF57" s="3" t="n">
        <v>5</v>
      </c>
      <c r="BG57" s="3" t="n">
        <v>3</v>
      </c>
      <c r="BH57" s="3" t="n">
        <v>4</v>
      </c>
      <c r="BI57" s="3" t="n">
        <v>1</v>
      </c>
      <c r="BJ57" s="3" t="n">
        <v>1</v>
      </c>
      <c r="BK57" s="6" t="s">
        <v>257</v>
      </c>
    </row>
    <row r="58" customFormat="false" ht="15" hidden="false" customHeight="true" outlineLevel="0" collapsed="false">
      <c r="B58" s="2" t="s">
        <v>258</v>
      </c>
      <c r="C58" s="2" t="s">
        <v>259</v>
      </c>
      <c r="D58" s="2" t="s">
        <v>260</v>
      </c>
      <c r="E58" s="2" t="n">
        <v>162524</v>
      </c>
      <c r="F58" s="15" t="n">
        <v>43384</v>
      </c>
      <c r="G58" s="15" t="n">
        <v>43391</v>
      </c>
      <c r="H58" s="3" t="n">
        <v>7</v>
      </c>
      <c r="I58" s="3" t="n">
        <v>2</v>
      </c>
      <c r="J58" s="3" t="n">
        <v>60</v>
      </c>
      <c r="K58" s="3" t="n">
        <v>2</v>
      </c>
      <c r="L58" s="3" t="n">
        <v>1</v>
      </c>
      <c r="M58" s="3" t="n">
        <v>1</v>
      </c>
      <c r="N58" s="3" t="n">
        <v>2</v>
      </c>
      <c r="O58" s="3" t="n">
        <v>2</v>
      </c>
      <c r="P58" s="3" t="n">
        <v>2</v>
      </c>
      <c r="Q58" s="3" t="n">
        <v>2</v>
      </c>
      <c r="R58" s="3" t="n">
        <v>2</v>
      </c>
      <c r="S58" s="3" t="n">
        <v>2</v>
      </c>
      <c r="T58" s="4" t="n">
        <v>1</v>
      </c>
      <c r="U58" s="3" t="n">
        <v>1</v>
      </c>
      <c r="V58" s="3" t="n">
        <v>5.4</v>
      </c>
      <c r="W58" s="3" t="n">
        <v>1.26</v>
      </c>
      <c r="X58" s="3" t="n">
        <v>5.8</v>
      </c>
      <c r="AA58" s="3" t="n">
        <v>0.43</v>
      </c>
      <c r="AB58" s="3" t="n">
        <v>9.1</v>
      </c>
      <c r="AC58" s="3" t="n">
        <v>1</v>
      </c>
      <c r="AD58" s="3" t="n">
        <v>1</v>
      </c>
      <c r="AE58" s="3" t="n">
        <v>1</v>
      </c>
      <c r="AF58" s="3" t="n">
        <v>1</v>
      </c>
      <c r="AG58" s="3" t="n">
        <v>1</v>
      </c>
      <c r="AH58" s="3" t="n">
        <v>2</v>
      </c>
      <c r="AI58" s="3" t="n">
        <v>1</v>
      </c>
      <c r="AJ58" s="3" t="n">
        <v>1</v>
      </c>
      <c r="AK58" s="3" t="n">
        <v>2</v>
      </c>
      <c r="AL58" s="3" t="n">
        <v>2</v>
      </c>
      <c r="AM58" s="3" t="n">
        <v>2</v>
      </c>
      <c r="AN58" s="3" t="n">
        <v>2</v>
      </c>
      <c r="AO58" s="3" t="n">
        <v>2</v>
      </c>
      <c r="AP58" s="3" t="n">
        <v>1</v>
      </c>
      <c r="AQ58" s="3" t="n">
        <v>2</v>
      </c>
      <c r="AR58" s="3" t="n">
        <v>5</v>
      </c>
      <c r="AS58" s="3" t="n">
        <v>2</v>
      </c>
      <c r="AT58" s="3" t="n">
        <v>1</v>
      </c>
      <c r="AU58" s="3" t="n">
        <v>1</v>
      </c>
      <c r="AV58" s="3" t="n">
        <v>1</v>
      </c>
      <c r="AW58" s="3" t="n">
        <v>1</v>
      </c>
      <c r="AX58" s="3" t="n">
        <v>2</v>
      </c>
      <c r="AY58" s="3" t="n">
        <v>2</v>
      </c>
      <c r="AZ58" s="3" t="n">
        <v>1</v>
      </c>
      <c r="BA58" s="5" t="n">
        <v>5</v>
      </c>
      <c r="BB58" s="3" t="n">
        <v>2</v>
      </c>
      <c r="BC58" s="3" t="n">
        <v>1</v>
      </c>
      <c r="BD58" s="3" t="n">
        <v>6</v>
      </c>
      <c r="BE58" s="3" t="n">
        <v>3</v>
      </c>
      <c r="BF58" s="3" t="n">
        <v>5</v>
      </c>
      <c r="BG58" s="3" t="n">
        <v>3</v>
      </c>
      <c r="BH58" s="3" t="n">
        <v>4</v>
      </c>
      <c r="BI58" s="3" t="n">
        <v>1</v>
      </c>
      <c r="BJ58" s="3" t="n">
        <v>1</v>
      </c>
      <c r="BK58" s="6" t="s">
        <v>261</v>
      </c>
    </row>
    <row r="59" customFormat="false" ht="15" hidden="false" customHeight="true" outlineLevel="0" collapsed="false">
      <c r="B59" s="2" t="s">
        <v>262</v>
      </c>
      <c r="C59" s="2" t="s">
        <v>263</v>
      </c>
      <c r="D59" s="2" t="s">
        <v>78</v>
      </c>
      <c r="E59" s="2" t="n">
        <v>162446</v>
      </c>
      <c r="F59" s="15" t="n">
        <v>43381</v>
      </c>
      <c r="G59" s="15" t="n">
        <v>43391</v>
      </c>
      <c r="H59" s="3" t="n">
        <v>10</v>
      </c>
      <c r="I59" s="3" t="n">
        <v>2</v>
      </c>
      <c r="J59" s="3" t="n">
        <v>57</v>
      </c>
      <c r="K59" s="3" t="n">
        <v>1</v>
      </c>
      <c r="L59" s="3" t="n">
        <v>1</v>
      </c>
      <c r="M59" s="3" t="n">
        <v>1</v>
      </c>
      <c r="N59" s="3" t="n">
        <v>2</v>
      </c>
      <c r="O59" s="3" t="n">
        <v>1</v>
      </c>
      <c r="P59" s="3" t="n">
        <v>2</v>
      </c>
      <c r="Q59" s="3" t="n">
        <v>1</v>
      </c>
      <c r="R59" s="3" t="n">
        <v>2</v>
      </c>
      <c r="S59" s="3" t="n">
        <v>2</v>
      </c>
      <c r="T59" s="4" t="n">
        <v>2</v>
      </c>
      <c r="U59" s="3" t="n">
        <v>2</v>
      </c>
      <c r="V59" s="3" t="n">
        <v>6.34</v>
      </c>
      <c r="W59" s="3" t="n">
        <v>2.36</v>
      </c>
      <c r="X59" s="3" t="n">
        <v>13.6</v>
      </c>
      <c r="Y59" s="3" t="n">
        <v>271</v>
      </c>
      <c r="AA59" s="3" t="n">
        <v>0.58</v>
      </c>
      <c r="AB59" s="3" t="n">
        <v>9.2</v>
      </c>
      <c r="AC59" s="3" t="n">
        <v>2</v>
      </c>
      <c r="AD59" s="3" t="n">
        <v>2</v>
      </c>
      <c r="AE59" s="3" t="n">
        <v>1</v>
      </c>
      <c r="AF59" s="3" t="n">
        <v>1</v>
      </c>
      <c r="AG59" s="3" t="n">
        <v>1</v>
      </c>
      <c r="AH59" s="3" t="n">
        <v>2</v>
      </c>
      <c r="AI59" s="3" t="n">
        <v>1</v>
      </c>
      <c r="AJ59" s="3" t="n">
        <v>1</v>
      </c>
      <c r="AK59" s="3" t="n">
        <v>1</v>
      </c>
      <c r="AL59" s="3" t="n">
        <v>2</v>
      </c>
      <c r="AM59" s="3" t="n">
        <v>2</v>
      </c>
      <c r="AN59" s="3" t="n">
        <v>2</v>
      </c>
      <c r="AO59" s="3" t="n">
        <v>2</v>
      </c>
      <c r="AP59" s="3" t="n">
        <v>2</v>
      </c>
      <c r="AQ59" s="3" t="n">
        <v>3</v>
      </c>
      <c r="AR59" s="3" t="n">
        <v>8</v>
      </c>
      <c r="AS59" s="3" t="n">
        <v>5</v>
      </c>
      <c r="AT59" s="3" t="n">
        <v>2</v>
      </c>
      <c r="AU59" s="3" t="n">
        <v>1</v>
      </c>
      <c r="AV59" s="3" t="n">
        <v>1</v>
      </c>
      <c r="AW59" s="3" t="n">
        <v>1</v>
      </c>
      <c r="AX59" s="3" t="n">
        <v>2</v>
      </c>
      <c r="AY59" s="3" t="n">
        <v>2</v>
      </c>
      <c r="AZ59" s="3" t="n">
        <v>1</v>
      </c>
      <c r="BA59" s="5" t="n">
        <v>1</v>
      </c>
      <c r="BB59" s="3" t="n">
        <v>1</v>
      </c>
      <c r="BC59" s="3" t="n">
        <v>1</v>
      </c>
      <c r="BD59" s="3" t="n">
        <v>2</v>
      </c>
      <c r="BE59" s="3" t="n">
        <v>1</v>
      </c>
      <c r="BF59" s="3" t="n">
        <v>2</v>
      </c>
      <c r="BG59" s="3" t="n">
        <v>1</v>
      </c>
      <c r="BH59" s="3" t="n">
        <v>4</v>
      </c>
      <c r="BI59" s="3" t="n">
        <v>1</v>
      </c>
      <c r="BJ59" s="3" t="n">
        <v>1</v>
      </c>
      <c r="BK59" s="6" t="s">
        <v>264</v>
      </c>
    </row>
    <row r="60" customFormat="false" ht="15" hidden="false" customHeight="true" outlineLevel="0" collapsed="false">
      <c r="B60" s="2" t="s">
        <v>85</v>
      </c>
      <c r="C60" s="2" t="s">
        <v>86</v>
      </c>
      <c r="D60" s="2" t="s">
        <v>265</v>
      </c>
      <c r="E60" s="2" t="n">
        <v>142674</v>
      </c>
      <c r="F60" s="15" t="n">
        <v>43389</v>
      </c>
      <c r="G60" s="15" t="n">
        <v>43392</v>
      </c>
      <c r="H60" s="3" t="n">
        <v>3</v>
      </c>
      <c r="I60" s="3" t="n">
        <v>1</v>
      </c>
      <c r="J60" s="3" t="n">
        <v>79</v>
      </c>
      <c r="K60" s="3" t="n">
        <v>2</v>
      </c>
      <c r="L60" s="3" t="n">
        <v>2</v>
      </c>
      <c r="M60" s="3" t="n">
        <v>1</v>
      </c>
      <c r="N60" s="3" t="n">
        <v>1</v>
      </c>
      <c r="O60" s="3" t="n">
        <v>2</v>
      </c>
      <c r="P60" s="3" t="n">
        <v>2</v>
      </c>
      <c r="Q60" s="3" t="n">
        <v>2</v>
      </c>
      <c r="R60" s="3" t="n">
        <v>2</v>
      </c>
      <c r="S60" s="3" t="n">
        <v>1</v>
      </c>
      <c r="T60" s="4" t="n">
        <v>1</v>
      </c>
      <c r="U60" s="3" t="n">
        <v>1</v>
      </c>
      <c r="V60" s="3" t="n">
        <v>5.16</v>
      </c>
      <c r="W60" s="3" t="n">
        <v>1.07</v>
      </c>
      <c r="X60" s="3" t="n">
        <v>5.4</v>
      </c>
      <c r="Y60" s="3" t="n">
        <v>521</v>
      </c>
      <c r="AA60" s="3" t="n">
        <v>0.24</v>
      </c>
      <c r="AB60" s="3" t="n">
        <v>7.9</v>
      </c>
      <c r="AC60" s="3" t="n">
        <v>1</v>
      </c>
      <c r="AD60" s="3" t="n">
        <v>1</v>
      </c>
      <c r="AE60" s="3" t="n">
        <v>1</v>
      </c>
      <c r="AF60" s="3" t="n">
        <v>1</v>
      </c>
      <c r="AG60" s="3" t="n">
        <v>2</v>
      </c>
      <c r="AH60" s="3" t="n">
        <v>1</v>
      </c>
      <c r="AI60" s="3" t="n">
        <v>1</v>
      </c>
      <c r="AJ60" s="3" t="n">
        <v>2</v>
      </c>
      <c r="AK60" s="3" t="n">
        <v>2</v>
      </c>
      <c r="AL60" s="3" t="n">
        <v>2</v>
      </c>
      <c r="AM60" s="3" t="n">
        <v>2</v>
      </c>
      <c r="AN60" s="3" t="n">
        <v>2</v>
      </c>
      <c r="AO60" s="3" t="n">
        <v>2</v>
      </c>
      <c r="AP60" s="3" t="n">
        <v>3</v>
      </c>
      <c r="AQ60" s="3" t="n">
        <v>4</v>
      </c>
      <c r="AR60" s="3" t="n">
        <v>4</v>
      </c>
      <c r="AS60" s="3" t="n">
        <v>6</v>
      </c>
      <c r="AT60" s="3" t="n">
        <v>4</v>
      </c>
      <c r="AU60" s="3" t="n">
        <v>4</v>
      </c>
      <c r="AV60" s="3" t="n">
        <v>6</v>
      </c>
      <c r="AW60" s="3" t="n">
        <v>6</v>
      </c>
      <c r="AX60" s="3" t="n">
        <v>3</v>
      </c>
      <c r="AY60" s="3" t="n">
        <v>3</v>
      </c>
      <c r="AZ60" s="3" t="n">
        <v>1</v>
      </c>
      <c r="BA60" s="5" t="n">
        <v>5</v>
      </c>
      <c r="BB60" s="3" t="n">
        <v>2</v>
      </c>
      <c r="BC60" s="3" t="n">
        <v>1</v>
      </c>
      <c r="BD60" s="3" t="n">
        <v>6</v>
      </c>
      <c r="BE60" s="3" t="n">
        <v>3</v>
      </c>
      <c r="BF60" s="3" t="n">
        <v>5</v>
      </c>
      <c r="BG60" s="3" t="n">
        <v>3</v>
      </c>
      <c r="BH60" s="3" t="n">
        <v>4</v>
      </c>
      <c r="BI60" s="3" t="n">
        <v>1</v>
      </c>
      <c r="BJ60" s="3" t="n">
        <v>1</v>
      </c>
      <c r="BK60" s="6" t="s">
        <v>266</v>
      </c>
    </row>
    <row r="61" customFormat="false" ht="15" hidden="false" customHeight="true" outlineLevel="0" collapsed="false">
      <c r="B61" s="2" t="s">
        <v>267</v>
      </c>
      <c r="C61" s="2" t="s">
        <v>268</v>
      </c>
      <c r="D61" s="2" t="s">
        <v>269</v>
      </c>
      <c r="E61" s="2" t="n">
        <v>162556</v>
      </c>
      <c r="F61" s="15" t="n">
        <v>43386</v>
      </c>
      <c r="G61" s="15" t="n">
        <v>43393</v>
      </c>
      <c r="H61" s="3" t="n">
        <v>7</v>
      </c>
      <c r="I61" s="3" t="n">
        <v>2</v>
      </c>
      <c r="J61" s="3" t="n">
        <v>66</v>
      </c>
      <c r="K61" s="3" t="n">
        <v>1</v>
      </c>
      <c r="L61" s="3" t="n">
        <v>1</v>
      </c>
      <c r="M61" s="3" t="n">
        <v>1</v>
      </c>
      <c r="N61" s="3" t="n">
        <v>2</v>
      </c>
      <c r="O61" s="3" t="n">
        <v>2</v>
      </c>
      <c r="P61" s="3" t="n">
        <v>2</v>
      </c>
      <c r="Q61" s="3" t="n">
        <v>2</v>
      </c>
      <c r="R61" s="3" t="n">
        <v>2</v>
      </c>
      <c r="S61" s="3" t="n">
        <v>2</v>
      </c>
      <c r="T61" s="4" t="n">
        <v>2</v>
      </c>
      <c r="U61" s="3" t="n">
        <v>2</v>
      </c>
      <c r="V61" s="3" t="n">
        <v>5.58</v>
      </c>
      <c r="W61" s="3" t="n">
        <v>2.23</v>
      </c>
      <c r="X61" s="3" t="n">
        <v>8.4</v>
      </c>
      <c r="Y61" s="3" t="n">
        <v>337</v>
      </c>
      <c r="AA61" s="3" t="n">
        <v>0.44</v>
      </c>
      <c r="AB61" s="3" t="n">
        <v>10.8</v>
      </c>
      <c r="AC61" s="3" t="n">
        <v>1</v>
      </c>
      <c r="AD61" s="3" t="n">
        <v>1</v>
      </c>
      <c r="AE61" s="3" t="n">
        <v>1</v>
      </c>
      <c r="AF61" s="3" t="n">
        <v>1</v>
      </c>
      <c r="AG61" s="3" t="n">
        <v>2</v>
      </c>
      <c r="AH61" s="3" t="n">
        <v>2</v>
      </c>
      <c r="AI61" s="3" t="n">
        <v>1</v>
      </c>
      <c r="AJ61" s="3" t="n">
        <v>1</v>
      </c>
      <c r="AK61" s="3" t="n">
        <v>2</v>
      </c>
      <c r="AL61" s="3" t="n">
        <v>2</v>
      </c>
      <c r="AM61" s="3" t="n">
        <v>2</v>
      </c>
      <c r="AN61" s="3" t="n">
        <v>2</v>
      </c>
      <c r="AO61" s="3" t="n">
        <v>2</v>
      </c>
      <c r="AP61" s="3" t="n">
        <v>3</v>
      </c>
      <c r="AQ61" s="3" t="n">
        <v>4</v>
      </c>
      <c r="AR61" s="3" t="n">
        <v>4</v>
      </c>
      <c r="AS61" s="3" t="n">
        <v>6</v>
      </c>
      <c r="AT61" s="3" t="n">
        <v>4</v>
      </c>
      <c r="AU61" s="3" t="n">
        <v>4</v>
      </c>
      <c r="AV61" s="3" t="n">
        <v>6</v>
      </c>
      <c r="AW61" s="3" t="n">
        <v>6</v>
      </c>
      <c r="AX61" s="3" t="n">
        <v>3</v>
      </c>
      <c r="AY61" s="3" t="n">
        <v>3</v>
      </c>
      <c r="AZ61" s="3" t="n">
        <v>1</v>
      </c>
      <c r="BA61" s="5" t="n">
        <v>1</v>
      </c>
      <c r="BB61" s="3" t="n">
        <v>1</v>
      </c>
      <c r="BC61" s="3" t="n">
        <v>1</v>
      </c>
      <c r="BD61" s="3" t="n">
        <v>4</v>
      </c>
      <c r="BE61" s="3" t="n">
        <v>1</v>
      </c>
      <c r="BF61" s="3" t="n">
        <v>2</v>
      </c>
      <c r="BG61" s="3" t="n">
        <v>1</v>
      </c>
      <c r="BH61" s="3" t="n">
        <v>4</v>
      </c>
      <c r="BI61" s="3" t="n">
        <v>1</v>
      </c>
      <c r="BJ61" s="3" t="n">
        <v>1</v>
      </c>
      <c r="BK61" s="6" t="s">
        <v>270</v>
      </c>
    </row>
    <row r="62" customFormat="false" ht="15" hidden="false" customHeight="true" outlineLevel="0" collapsed="false">
      <c r="B62" s="2" t="s">
        <v>271</v>
      </c>
      <c r="C62" s="2" t="s">
        <v>272</v>
      </c>
      <c r="D62" s="2" t="s">
        <v>153</v>
      </c>
      <c r="E62" s="2" t="n">
        <v>132578</v>
      </c>
      <c r="F62" s="15" t="n">
        <v>43385</v>
      </c>
      <c r="G62" s="15" t="n">
        <v>43392</v>
      </c>
      <c r="H62" s="3" t="n">
        <v>7</v>
      </c>
      <c r="I62" s="3" t="n">
        <v>1</v>
      </c>
      <c r="J62" s="3" t="n">
        <v>68</v>
      </c>
      <c r="K62" s="3" t="n">
        <v>1</v>
      </c>
      <c r="L62" s="3" t="n">
        <v>1</v>
      </c>
      <c r="M62" s="3" t="n">
        <v>1</v>
      </c>
      <c r="N62" s="3" t="n">
        <v>2</v>
      </c>
      <c r="O62" s="3" t="n">
        <v>2</v>
      </c>
      <c r="P62" s="3" t="n">
        <v>2</v>
      </c>
      <c r="Q62" s="3" t="n">
        <v>1</v>
      </c>
      <c r="R62" s="3" t="n">
        <v>2</v>
      </c>
      <c r="S62" s="3" t="n">
        <v>2</v>
      </c>
      <c r="T62" s="4" t="n">
        <v>3</v>
      </c>
      <c r="U62" s="3" t="n">
        <v>1</v>
      </c>
      <c r="V62" s="3" t="n">
        <v>4.9</v>
      </c>
      <c r="W62" s="3" t="n">
        <v>1.44</v>
      </c>
      <c r="X62" s="3" t="n">
        <v>9.5</v>
      </c>
      <c r="Y62" s="3" t="n">
        <v>502</v>
      </c>
      <c r="AA62" s="3" t="n">
        <v>0.43</v>
      </c>
      <c r="AB62" s="3" t="n">
        <v>10.2</v>
      </c>
      <c r="AC62" s="3" t="n">
        <v>2</v>
      </c>
      <c r="AD62" s="3" t="n">
        <v>1</v>
      </c>
      <c r="AE62" s="3" t="n">
        <v>1</v>
      </c>
      <c r="AF62" s="3" t="n">
        <v>1</v>
      </c>
      <c r="AG62" s="3" t="n">
        <v>2</v>
      </c>
      <c r="AH62" s="3" t="n">
        <v>2</v>
      </c>
      <c r="AI62" s="3" t="n">
        <v>1</v>
      </c>
      <c r="AJ62" s="3" t="n">
        <v>2</v>
      </c>
      <c r="AK62" s="3" t="n">
        <v>2</v>
      </c>
      <c r="AL62" s="3" t="n">
        <v>2</v>
      </c>
      <c r="AM62" s="3" t="n">
        <v>1</v>
      </c>
      <c r="AN62" s="3" t="n">
        <v>2</v>
      </c>
      <c r="AO62" s="3" t="n">
        <v>2</v>
      </c>
      <c r="AP62" s="3" t="n">
        <v>3</v>
      </c>
      <c r="AQ62" s="3" t="n">
        <v>4</v>
      </c>
      <c r="AR62" s="3" t="n">
        <v>4</v>
      </c>
      <c r="AS62" s="3" t="n">
        <v>6</v>
      </c>
      <c r="AT62" s="3" t="n">
        <v>4</v>
      </c>
      <c r="AU62" s="3" t="n">
        <v>4</v>
      </c>
      <c r="AV62" s="3" t="n">
        <v>6</v>
      </c>
      <c r="AW62" s="3" t="n">
        <v>6</v>
      </c>
      <c r="AX62" s="3" t="n">
        <v>3</v>
      </c>
      <c r="AY62" s="3" t="n">
        <v>3</v>
      </c>
      <c r="AZ62" s="3" t="n">
        <v>1</v>
      </c>
      <c r="BA62" s="5" t="n">
        <v>11</v>
      </c>
      <c r="BB62" s="3" t="n">
        <v>2</v>
      </c>
      <c r="BC62" s="3" t="n">
        <v>1</v>
      </c>
      <c r="BD62" s="3" t="n">
        <v>6</v>
      </c>
      <c r="BE62" s="3" t="n">
        <v>3</v>
      </c>
      <c r="BF62" s="3" t="n">
        <v>5</v>
      </c>
      <c r="BG62" s="3" t="n">
        <v>3</v>
      </c>
      <c r="BH62" s="3" t="n">
        <v>4</v>
      </c>
      <c r="BI62" s="3" t="n">
        <v>1</v>
      </c>
      <c r="BJ62" s="3" t="n">
        <v>1</v>
      </c>
      <c r="BK62" s="6" t="s">
        <v>273</v>
      </c>
    </row>
    <row r="63" customFormat="false" ht="15" hidden="false" customHeight="true" outlineLevel="0" collapsed="false">
      <c r="B63" s="2" t="s">
        <v>274</v>
      </c>
      <c r="C63" s="2" t="s">
        <v>275</v>
      </c>
      <c r="D63" s="2" t="s">
        <v>276</v>
      </c>
      <c r="E63" s="2" t="n">
        <v>163060</v>
      </c>
      <c r="F63" s="15" t="n">
        <v>43390</v>
      </c>
      <c r="G63" s="15" t="n">
        <v>43395</v>
      </c>
      <c r="H63" s="3" t="n">
        <v>5</v>
      </c>
      <c r="I63" s="3" t="n">
        <v>2</v>
      </c>
      <c r="J63" s="3" t="n">
        <v>77</v>
      </c>
      <c r="K63" s="3" t="n">
        <v>1</v>
      </c>
      <c r="L63" s="3" t="n">
        <v>1</v>
      </c>
      <c r="M63" s="3" t="n">
        <v>1</v>
      </c>
      <c r="N63" s="3" t="n">
        <v>2</v>
      </c>
      <c r="O63" s="3" t="n">
        <v>2</v>
      </c>
      <c r="P63" s="3" t="n">
        <v>2</v>
      </c>
      <c r="Q63" s="3" t="n">
        <v>2</v>
      </c>
      <c r="R63" s="3" t="n">
        <v>2</v>
      </c>
      <c r="S63" s="3" t="n">
        <v>1</v>
      </c>
      <c r="T63" s="4" t="n">
        <v>3</v>
      </c>
      <c r="U63" s="3" t="n">
        <v>2</v>
      </c>
      <c r="V63" s="3" t="n">
        <v>4.14</v>
      </c>
      <c r="W63" s="3" t="n">
        <v>0.96</v>
      </c>
      <c r="X63" s="3" t="n">
        <v>5.5</v>
      </c>
      <c r="Y63" s="3" t="n">
        <v>525</v>
      </c>
      <c r="AA63" s="3" t="n">
        <v>0.34</v>
      </c>
      <c r="AB63" s="3" t="n">
        <v>9.1</v>
      </c>
      <c r="AC63" s="3" t="n">
        <v>2</v>
      </c>
      <c r="AD63" s="3" t="n">
        <v>1</v>
      </c>
      <c r="AE63" s="3" t="n">
        <v>1</v>
      </c>
      <c r="AF63" s="3" t="n">
        <v>1</v>
      </c>
      <c r="AG63" s="3" t="n">
        <v>2</v>
      </c>
      <c r="AH63" s="3" t="n">
        <v>2</v>
      </c>
      <c r="AI63" s="3" t="n">
        <v>1</v>
      </c>
      <c r="AJ63" s="3" t="n">
        <v>2</v>
      </c>
      <c r="AK63" s="3" t="n">
        <v>2</v>
      </c>
      <c r="AL63" s="3" t="n">
        <v>2</v>
      </c>
      <c r="AM63" s="3" t="n">
        <v>1</v>
      </c>
      <c r="AN63" s="3" t="n">
        <v>2</v>
      </c>
      <c r="AO63" s="3" t="n">
        <v>2</v>
      </c>
      <c r="AP63" s="3" t="n">
        <v>3</v>
      </c>
      <c r="AQ63" s="3" t="n">
        <v>4</v>
      </c>
      <c r="AR63" s="3" t="n">
        <v>4</v>
      </c>
      <c r="AS63" s="3" t="n">
        <v>6</v>
      </c>
      <c r="AT63" s="3" t="n">
        <v>4</v>
      </c>
      <c r="AU63" s="3" t="n">
        <v>4</v>
      </c>
      <c r="AV63" s="3" t="n">
        <v>6</v>
      </c>
      <c r="AW63" s="3" t="n">
        <v>6</v>
      </c>
      <c r="AX63" s="3" t="n">
        <v>3</v>
      </c>
      <c r="AY63" s="3" t="n">
        <v>3</v>
      </c>
      <c r="AZ63" s="3" t="n">
        <v>1</v>
      </c>
      <c r="BA63" s="5" t="n">
        <v>11</v>
      </c>
      <c r="BB63" s="3" t="n">
        <v>2</v>
      </c>
      <c r="BC63" s="3" t="n">
        <v>1</v>
      </c>
      <c r="BD63" s="3" t="n">
        <v>6</v>
      </c>
      <c r="BE63" s="3" t="n">
        <v>3</v>
      </c>
      <c r="BF63" s="3" t="n">
        <v>5</v>
      </c>
      <c r="BG63" s="3" t="n">
        <v>3</v>
      </c>
      <c r="BH63" s="3" t="n">
        <v>4</v>
      </c>
      <c r="BI63" s="3" t="n">
        <v>1</v>
      </c>
      <c r="BJ63" s="3" t="n">
        <v>1</v>
      </c>
      <c r="BK63" s="6" t="s">
        <v>277</v>
      </c>
    </row>
    <row r="64" customFormat="false" ht="15" hidden="false" customHeight="true" outlineLevel="0" collapsed="false">
      <c r="B64" s="2" t="s">
        <v>278</v>
      </c>
      <c r="C64" s="2" t="s">
        <v>279</v>
      </c>
      <c r="D64" s="2" t="s">
        <v>197</v>
      </c>
      <c r="E64" s="2" t="s">
        <v>280</v>
      </c>
      <c r="F64" s="15" t="n">
        <v>43384</v>
      </c>
      <c r="G64" s="15" t="n">
        <v>43395</v>
      </c>
      <c r="H64" s="3" t="n">
        <v>11</v>
      </c>
      <c r="I64" s="3" t="n">
        <v>2</v>
      </c>
      <c r="J64" s="3" t="n">
        <v>79</v>
      </c>
      <c r="K64" s="3" t="n">
        <v>1</v>
      </c>
      <c r="L64" s="3" t="n">
        <v>2</v>
      </c>
      <c r="M64" s="3" t="n">
        <v>2</v>
      </c>
      <c r="N64" s="3" t="n">
        <v>2</v>
      </c>
      <c r="O64" s="3" t="n">
        <v>2</v>
      </c>
      <c r="P64" s="3" t="n">
        <v>2</v>
      </c>
      <c r="Q64" s="3" t="n">
        <v>2</v>
      </c>
      <c r="R64" s="3" t="n">
        <v>2</v>
      </c>
      <c r="S64" s="3" t="n">
        <v>2</v>
      </c>
      <c r="T64" s="4" t="n">
        <v>12</v>
      </c>
      <c r="U64" s="3" t="n">
        <v>1</v>
      </c>
      <c r="V64" s="3" t="n">
        <v>4.01</v>
      </c>
      <c r="W64" s="3" t="n">
        <v>1.06</v>
      </c>
      <c r="X64" s="3" t="n">
        <v>4.9</v>
      </c>
      <c r="Y64" s="3" t="n">
        <v>274</v>
      </c>
      <c r="AA64" s="3" t="n">
        <v>0.3</v>
      </c>
      <c r="AB64" s="3" t="n">
        <v>12</v>
      </c>
      <c r="AC64" s="3" t="n">
        <v>3</v>
      </c>
      <c r="AD64" s="3" t="n">
        <v>2</v>
      </c>
      <c r="AE64" s="3" t="n">
        <v>2</v>
      </c>
      <c r="AF64" s="3" t="n">
        <v>2</v>
      </c>
      <c r="AG64" s="3" t="n">
        <v>2</v>
      </c>
      <c r="AH64" s="3" t="n">
        <v>2</v>
      </c>
      <c r="AI64" s="3" t="n">
        <v>2</v>
      </c>
      <c r="AJ64" s="3" t="n">
        <v>2</v>
      </c>
      <c r="AK64" s="3" t="n">
        <v>2</v>
      </c>
      <c r="AL64" s="3" t="n">
        <v>2</v>
      </c>
      <c r="AM64" s="3" t="n">
        <v>1</v>
      </c>
      <c r="AN64" s="3" t="n">
        <v>2</v>
      </c>
      <c r="AO64" s="3" t="n">
        <v>2</v>
      </c>
      <c r="AP64" s="3" t="n">
        <v>3</v>
      </c>
      <c r="AQ64" s="3" t="n">
        <v>4</v>
      </c>
      <c r="AR64" s="3" t="n">
        <v>4</v>
      </c>
      <c r="AS64" s="3" t="n">
        <v>6</v>
      </c>
      <c r="AT64" s="3" t="n">
        <v>4</v>
      </c>
      <c r="AU64" s="3" t="n">
        <v>4</v>
      </c>
      <c r="AV64" s="3" t="n">
        <v>6</v>
      </c>
      <c r="AW64" s="3" t="n">
        <v>6</v>
      </c>
      <c r="AX64" s="3" t="n">
        <v>3</v>
      </c>
      <c r="AY64" s="3" t="n">
        <v>3</v>
      </c>
      <c r="AZ64" s="3" t="n">
        <v>1</v>
      </c>
      <c r="BA64" s="5" t="n">
        <v>3</v>
      </c>
      <c r="BB64" s="3" t="n">
        <v>2</v>
      </c>
      <c r="BC64" s="3" t="n">
        <v>1</v>
      </c>
      <c r="BD64" s="3" t="n">
        <v>6</v>
      </c>
      <c r="BE64" s="3" t="n">
        <v>3</v>
      </c>
      <c r="BF64" s="3" t="n">
        <v>5</v>
      </c>
      <c r="BG64" s="3" t="n">
        <v>3</v>
      </c>
      <c r="BH64" s="3" t="n">
        <v>4</v>
      </c>
      <c r="BI64" s="3" t="n">
        <v>1</v>
      </c>
      <c r="BJ64" s="3" t="n">
        <v>1</v>
      </c>
      <c r="BK64" s="6" t="s">
        <v>281</v>
      </c>
    </row>
    <row r="65" customFormat="false" ht="15" hidden="false" customHeight="true" outlineLevel="0" collapsed="false">
      <c r="B65" s="2" t="s">
        <v>282</v>
      </c>
      <c r="C65" s="2" t="s">
        <v>283</v>
      </c>
      <c r="D65" s="2" t="s">
        <v>284</v>
      </c>
      <c r="E65" s="2" t="n">
        <v>947504</v>
      </c>
      <c r="F65" s="15" t="n">
        <v>43389</v>
      </c>
      <c r="G65" s="15" t="n">
        <v>43396</v>
      </c>
      <c r="H65" s="3" t="n">
        <v>7</v>
      </c>
      <c r="I65" s="3" t="n">
        <v>1</v>
      </c>
      <c r="J65" s="3" t="n">
        <v>73</v>
      </c>
      <c r="K65" s="3" t="n">
        <v>1</v>
      </c>
      <c r="L65" s="3" t="n">
        <v>2</v>
      </c>
      <c r="M65" s="3" t="n">
        <v>1</v>
      </c>
      <c r="N65" s="3" t="n">
        <v>2</v>
      </c>
      <c r="O65" s="3" t="n">
        <v>2</v>
      </c>
      <c r="P65" s="3" t="n">
        <v>2</v>
      </c>
      <c r="Q65" s="3" t="n">
        <v>1</v>
      </c>
      <c r="R65" s="3" t="n">
        <v>2</v>
      </c>
      <c r="S65" s="3" t="n">
        <v>1</v>
      </c>
      <c r="T65" s="4" t="n">
        <v>1</v>
      </c>
      <c r="U65" s="3" t="n">
        <v>1</v>
      </c>
      <c r="V65" s="3" t="n">
        <v>5.12</v>
      </c>
      <c r="W65" s="3" t="n">
        <v>2.3</v>
      </c>
      <c r="X65" s="3" t="n">
        <v>6.3</v>
      </c>
      <c r="Y65" s="3" t="n">
        <v>277</v>
      </c>
      <c r="AA65" s="3" t="n">
        <v>0.31</v>
      </c>
      <c r="AB65" s="3" t="n">
        <v>9.4</v>
      </c>
      <c r="AC65" s="3" t="n">
        <v>3</v>
      </c>
      <c r="AD65" s="3" t="n">
        <v>1</v>
      </c>
      <c r="AE65" s="3" t="n">
        <v>1</v>
      </c>
      <c r="AF65" s="3" t="n">
        <v>1</v>
      </c>
      <c r="AG65" s="3" t="n">
        <v>2</v>
      </c>
      <c r="AH65" s="3" t="n">
        <v>1</v>
      </c>
      <c r="AI65" s="3" t="n">
        <v>1</v>
      </c>
      <c r="AJ65" s="3" t="n">
        <v>1</v>
      </c>
      <c r="AK65" s="3" t="n">
        <v>2</v>
      </c>
      <c r="AL65" s="3" t="n">
        <v>2</v>
      </c>
      <c r="AM65" s="3" t="n">
        <v>1</v>
      </c>
      <c r="AN65" s="3" t="n">
        <v>2</v>
      </c>
      <c r="AO65" s="3" t="n">
        <v>2</v>
      </c>
      <c r="AP65" s="3" t="n">
        <v>3</v>
      </c>
      <c r="AQ65" s="3" t="n">
        <v>4</v>
      </c>
      <c r="AR65" s="3" t="n">
        <v>4</v>
      </c>
      <c r="AS65" s="3" t="n">
        <v>6</v>
      </c>
      <c r="AT65" s="3" t="n">
        <v>4</v>
      </c>
      <c r="AU65" s="3" t="n">
        <v>4</v>
      </c>
      <c r="AV65" s="3" t="n">
        <v>6</v>
      </c>
      <c r="AW65" s="3" t="n">
        <v>6</v>
      </c>
      <c r="AX65" s="3" t="n">
        <v>3</v>
      </c>
      <c r="AY65" s="3" t="n">
        <v>3</v>
      </c>
      <c r="AZ65" s="3" t="n">
        <v>1</v>
      </c>
      <c r="BA65" s="5" t="n">
        <v>5</v>
      </c>
      <c r="BB65" s="3" t="n">
        <v>2</v>
      </c>
      <c r="BC65" s="3" t="n">
        <v>1</v>
      </c>
      <c r="BD65" s="3" t="n">
        <v>6</v>
      </c>
      <c r="BE65" s="3" t="n">
        <v>3</v>
      </c>
      <c r="BF65" s="3" t="n">
        <v>5</v>
      </c>
      <c r="BG65" s="3" t="n">
        <v>3</v>
      </c>
      <c r="BH65" s="3" t="n">
        <v>4</v>
      </c>
      <c r="BI65" s="3" t="n">
        <v>1</v>
      </c>
      <c r="BJ65" s="3" t="n">
        <v>1</v>
      </c>
      <c r="BK65" s="6" t="s">
        <v>285</v>
      </c>
    </row>
    <row r="66" customFormat="false" ht="15" hidden="false" customHeight="true" outlineLevel="0" collapsed="false">
      <c r="B66" s="2" t="s">
        <v>286</v>
      </c>
      <c r="C66" s="2" t="s">
        <v>287</v>
      </c>
      <c r="D66" s="2" t="s">
        <v>288</v>
      </c>
      <c r="E66" s="2" t="n">
        <v>163061</v>
      </c>
      <c r="F66" s="15" t="n">
        <v>43390</v>
      </c>
      <c r="G66" s="15" t="n">
        <v>43396</v>
      </c>
      <c r="H66" s="3" t="n">
        <v>6</v>
      </c>
      <c r="I66" s="3" t="n">
        <v>2</v>
      </c>
      <c r="J66" s="3" t="n">
        <v>57</v>
      </c>
      <c r="K66" s="3" t="n">
        <v>2</v>
      </c>
      <c r="L66" s="3" t="n">
        <v>1</v>
      </c>
      <c r="M66" s="3" t="n">
        <v>2</v>
      </c>
      <c r="N66" s="3" t="n">
        <v>2</v>
      </c>
      <c r="O66" s="3" t="n">
        <v>2</v>
      </c>
      <c r="P66" s="3" t="n">
        <v>2</v>
      </c>
      <c r="Q66" s="3" t="n">
        <v>2</v>
      </c>
      <c r="R66" s="3" t="n">
        <v>2</v>
      </c>
      <c r="S66" s="3" t="n">
        <v>2</v>
      </c>
      <c r="T66" s="4" t="n">
        <v>1</v>
      </c>
      <c r="U66" s="3" t="n">
        <v>2</v>
      </c>
      <c r="V66" s="3" t="n">
        <v>4.7</v>
      </c>
      <c r="W66" s="3" t="n">
        <v>1.45</v>
      </c>
      <c r="X66" s="3" t="n">
        <v>5</v>
      </c>
      <c r="Y66" s="3" t="n">
        <v>348</v>
      </c>
      <c r="AA66" s="3" t="n">
        <v>0.4</v>
      </c>
      <c r="AB66" s="3" t="n">
        <v>8.5</v>
      </c>
      <c r="AC66" s="3" t="n">
        <v>1</v>
      </c>
      <c r="AD66" s="3" t="n">
        <v>2</v>
      </c>
      <c r="AE66" s="3" t="n">
        <v>1</v>
      </c>
      <c r="AF66" s="3" t="n">
        <v>1</v>
      </c>
      <c r="AG66" s="3" t="n">
        <v>2</v>
      </c>
      <c r="AH66" s="3" t="n">
        <v>2</v>
      </c>
      <c r="AI66" s="3" t="n">
        <v>2</v>
      </c>
      <c r="AJ66" s="3" t="n">
        <v>1</v>
      </c>
      <c r="AK66" s="3" t="n">
        <v>2</v>
      </c>
      <c r="AL66" s="3" t="n">
        <v>2</v>
      </c>
      <c r="AM66" s="3" t="n">
        <v>2</v>
      </c>
      <c r="AN66" s="3" t="n">
        <v>2</v>
      </c>
      <c r="AO66" s="3" t="n">
        <v>2</v>
      </c>
      <c r="AP66" s="3" t="n">
        <v>3</v>
      </c>
      <c r="AQ66" s="3" t="n">
        <v>4</v>
      </c>
      <c r="AR66" s="3" t="n">
        <v>4</v>
      </c>
      <c r="AS66" s="3" t="n">
        <v>6</v>
      </c>
      <c r="AT66" s="3" t="n">
        <v>4</v>
      </c>
      <c r="AU66" s="3" t="n">
        <v>4</v>
      </c>
      <c r="AV66" s="3" t="n">
        <v>6</v>
      </c>
      <c r="AW66" s="3" t="n">
        <v>6</v>
      </c>
      <c r="AX66" s="3" t="n">
        <v>3</v>
      </c>
      <c r="AY66" s="3" t="n">
        <v>3</v>
      </c>
      <c r="AZ66" s="3" t="n">
        <v>1</v>
      </c>
      <c r="BA66" s="5" t="n">
        <v>5</v>
      </c>
      <c r="BB66" s="3" t="n">
        <v>2</v>
      </c>
      <c r="BC66" s="3" t="n">
        <v>1</v>
      </c>
      <c r="BD66" s="3" t="n">
        <v>6</v>
      </c>
      <c r="BE66" s="3" t="n">
        <v>3</v>
      </c>
      <c r="BF66" s="3" t="n">
        <v>5</v>
      </c>
      <c r="BG66" s="3" t="n">
        <v>3</v>
      </c>
      <c r="BH66" s="3" t="n">
        <v>4</v>
      </c>
      <c r="BI66" s="3" t="n">
        <v>1</v>
      </c>
      <c r="BJ66" s="3" t="n">
        <v>1</v>
      </c>
      <c r="BK66" s="6" t="s">
        <v>289</v>
      </c>
    </row>
    <row r="67" customFormat="false" ht="15" hidden="false" customHeight="true" outlineLevel="0" collapsed="false">
      <c r="B67" s="2" t="s">
        <v>150</v>
      </c>
      <c r="C67" s="2" t="s">
        <v>78</v>
      </c>
      <c r="D67" s="2" t="s">
        <v>290</v>
      </c>
      <c r="E67" s="2" t="n">
        <v>163022</v>
      </c>
      <c r="F67" s="15" t="n">
        <v>43389</v>
      </c>
      <c r="G67" s="15" t="n">
        <v>43397</v>
      </c>
      <c r="H67" s="3" t="n">
        <v>8</v>
      </c>
      <c r="I67" s="3" t="n">
        <v>2</v>
      </c>
      <c r="J67" s="3" t="n">
        <v>64</v>
      </c>
      <c r="K67" s="3" t="n">
        <v>1</v>
      </c>
      <c r="L67" s="3" t="n">
        <v>2</v>
      </c>
      <c r="M67" s="3" t="n">
        <v>1</v>
      </c>
      <c r="N67" s="3" t="n">
        <v>2</v>
      </c>
      <c r="O67" s="3" t="n">
        <v>1</v>
      </c>
      <c r="P67" s="3" t="n">
        <v>2</v>
      </c>
      <c r="Q67" s="3" t="n">
        <v>1</v>
      </c>
      <c r="R67" s="3" t="n">
        <v>2</v>
      </c>
      <c r="S67" s="3" t="n">
        <v>2</v>
      </c>
      <c r="T67" s="4" t="n">
        <v>1</v>
      </c>
      <c r="U67" s="3" t="n">
        <v>1</v>
      </c>
      <c r="V67" s="3" t="n">
        <v>3.81</v>
      </c>
      <c r="W67" s="3" t="n">
        <v>3.11</v>
      </c>
      <c r="X67" s="3" t="n">
        <v>9.1</v>
      </c>
      <c r="Y67" s="3" t="n">
        <v>485</v>
      </c>
      <c r="AA67" s="3" t="n">
        <v>0.29</v>
      </c>
      <c r="AB67" s="3" t="n">
        <v>6.7</v>
      </c>
      <c r="AC67" s="3" t="n">
        <v>1</v>
      </c>
      <c r="AD67" s="3" t="n">
        <v>1</v>
      </c>
      <c r="AE67" s="3" t="n">
        <v>1</v>
      </c>
      <c r="AF67" s="3" t="n">
        <v>1</v>
      </c>
      <c r="AG67" s="3" t="n">
        <v>2</v>
      </c>
      <c r="AH67" s="3" t="n">
        <v>2</v>
      </c>
      <c r="AI67" s="3" t="n">
        <v>1</v>
      </c>
      <c r="AJ67" s="3" t="n">
        <v>1</v>
      </c>
      <c r="AK67" s="3" t="n">
        <v>2</v>
      </c>
      <c r="AL67" s="3" t="n">
        <v>2</v>
      </c>
      <c r="AM67" s="3" t="n">
        <v>1</v>
      </c>
      <c r="AN67" s="3" t="n">
        <v>2</v>
      </c>
      <c r="AO67" s="3" t="n">
        <v>2</v>
      </c>
      <c r="AP67" s="3" t="n">
        <v>1</v>
      </c>
      <c r="AQ67" s="3" t="n">
        <v>3</v>
      </c>
      <c r="AR67" s="3" t="n">
        <v>4</v>
      </c>
      <c r="AS67" s="3" t="n">
        <v>6</v>
      </c>
      <c r="AT67" s="3" t="n">
        <v>4</v>
      </c>
      <c r="AU67" s="3" t="n">
        <v>4</v>
      </c>
      <c r="AV67" s="3" t="n">
        <v>1</v>
      </c>
      <c r="AW67" s="3" t="n">
        <v>6</v>
      </c>
      <c r="AX67" s="3" t="n">
        <v>1</v>
      </c>
      <c r="AY67" s="3" t="n">
        <v>3</v>
      </c>
      <c r="AZ67" s="3" t="n">
        <v>1</v>
      </c>
      <c r="BA67" s="5" t="n">
        <v>5</v>
      </c>
      <c r="BB67" s="3" t="n">
        <v>2</v>
      </c>
      <c r="BC67" s="3" t="n">
        <v>1</v>
      </c>
      <c r="BD67" s="3" t="n">
        <v>6</v>
      </c>
      <c r="BE67" s="3" t="n">
        <v>3</v>
      </c>
      <c r="BF67" s="3" t="n">
        <v>5</v>
      </c>
      <c r="BG67" s="3" t="n">
        <v>3</v>
      </c>
      <c r="BH67" s="3" t="n">
        <v>4</v>
      </c>
      <c r="BI67" s="3" t="n">
        <v>1</v>
      </c>
      <c r="BJ67" s="3" t="n">
        <v>1</v>
      </c>
      <c r="BK67" s="6" t="s">
        <v>291</v>
      </c>
    </row>
    <row r="68" customFormat="false" ht="15" hidden="false" customHeight="true" outlineLevel="0" collapsed="false">
      <c r="B68" s="2" t="s">
        <v>292</v>
      </c>
      <c r="C68" s="2" t="s">
        <v>293</v>
      </c>
      <c r="D68" s="2" t="s">
        <v>294</v>
      </c>
      <c r="E68" s="2" t="n">
        <v>163080</v>
      </c>
      <c r="F68" s="15" t="n">
        <v>43391</v>
      </c>
      <c r="G68" s="15" t="n">
        <v>43397</v>
      </c>
      <c r="H68" s="3" t="n">
        <v>6</v>
      </c>
      <c r="I68" s="3" t="n">
        <v>2</v>
      </c>
      <c r="J68" s="3" t="n">
        <v>57</v>
      </c>
      <c r="K68" s="3" t="n">
        <v>1</v>
      </c>
      <c r="L68" s="3" t="n">
        <v>1</v>
      </c>
      <c r="M68" s="3" t="n">
        <v>1</v>
      </c>
      <c r="N68" s="3" t="n">
        <v>2</v>
      </c>
      <c r="O68" s="3" t="n">
        <v>1</v>
      </c>
      <c r="P68" s="3" t="n">
        <v>2</v>
      </c>
      <c r="Q68" s="3" t="n">
        <v>2</v>
      </c>
      <c r="R68" s="3" t="n">
        <v>2</v>
      </c>
      <c r="S68" s="3" t="n">
        <v>2</v>
      </c>
      <c r="T68" s="4" t="n">
        <v>1</v>
      </c>
      <c r="U68" s="3" t="n">
        <v>1</v>
      </c>
      <c r="V68" s="3" t="n">
        <v>3.4</v>
      </c>
      <c r="W68" s="3" t="n">
        <v>1.3</v>
      </c>
      <c r="X68" s="3" t="n">
        <v>4.3</v>
      </c>
      <c r="Y68" s="3" t="n">
        <v>321</v>
      </c>
      <c r="AA68" s="3" t="n">
        <v>0.41</v>
      </c>
      <c r="AB68" s="3" t="n">
        <v>7</v>
      </c>
      <c r="AC68" s="3" t="n">
        <v>3</v>
      </c>
      <c r="AD68" s="3" t="n">
        <v>1</v>
      </c>
      <c r="AE68" s="3" t="n">
        <v>1</v>
      </c>
      <c r="AF68" s="3" t="n">
        <v>1</v>
      </c>
      <c r="AG68" s="3" t="n">
        <v>2</v>
      </c>
      <c r="AH68" s="3" t="n">
        <v>1</v>
      </c>
      <c r="AI68" s="3" t="n">
        <v>1</v>
      </c>
      <c r="AJ68" s="3" t="n">
        <v>1</v>
      </c>
      <c r="AK68" s="3" t="n">
        <v>2</v>
      </c>
      <c r="AL68" s="3" t="n">
        <v>2</v>
      </c>
      <c r="AM68" s="3" t="n">
        <v>2</v>
      </c>
      <c r="AN68" s="3" t="n">
        <v>2</v>
      </c>
      <c r="AO68" s="3" t="n">
        <v>2</v>
      </c>
      <c r="AP68" s="3" t="n">
        <v>3</v>
      </c>
      <c r="AQ68" s="3" t="n">
        <v>4</v>
      </c>
      <c r="AR68" s="3" t="n">
        <v>4</v>
      </c>
      <c r="AS68" s="3" t="n">
        <v>6</v>
      </c>
      <c r="AT68" s="3" t="n">
        <v>4</v>
      </c>
      <c r="AU68" s="3" t="n">
        <v>4</v>
      </c>
      <c r="AV68" s="3" t="n">
        <v>6</v>
      </c>
      <c r="AW68" s="3" t="n">
        <v>6</v>
      </c>
      <c r="AX68" s="3" t="n">
        <v>3</v>
      </c>
      <c r="AY68" s="3" t="n">
        <v>3</v>
      </c>
      <c r="AZ68" s="3" t="n">
        <v>1</v>
      </c>
      <c r="BA68" s="5" t="n">
        <v>5</v>
      </c>
      <c r="BB68" s="3" t="n">
        <v>2</v>
      </c>
      <c r="BC68" s="3" t="n">
        <v>1</v>
      </c>
      <c r="BD68" s="3" t="n">
        <v>6</v>
      </c>
      <c r="BE68" s="3" t="n">
        <v>3</v>
      </c>
      <c r="BF68" s="3" t="n">
        <v>5</v>
      </c>
      <c r="BG68" s="3" t="n">
        <v>3</v>
      </c>
      <c r="BH68" s="3" t="n">
        <v>4</v>
      </c>
      <c r="BI68" s="3" t="n">
        <v>1</v>
      </c>
      <c r="BJ68" s="3" t="n">
        <v>1</v>
      </c>
      <c r="BK68" s="6" t="s">
        <v>295</v>
      </c>
    </row>
    <row r="69" customFormat="false" ht="15" hidden="false" customHeight="true" outlineLevel="0" collapsed="false">
      <c r="B69" s="2" t="s">
        <v>296</v>
      </c>
      <c r="C69" s="2" t="s">
        <v>297</v>
      </c>
      <c r="D69" s="2" t="s">
        <v>298</v>
      </c>
      <c r="E69" s="2" t="n">
        <v>158641</v>
      </c>
      <c r="F69" s="15" t="n">
        <v>43392</v>
      </c>
      <c r="G69" s="15" t="n">
        <v>43397</v>
      </c>
      <c r="H69" s="3" t="n">
        <v>5</v>
      </c>
      <c r="I69" s="3" t="n">
        <v>2</v>
      </c>
      <c r="J69" s="3" t="n">
        <v>75</v>
      </c>
      <c r="K69" s="3" t="n">
        <v>1</v>
      </c>
      <c r="L69" s="3" t="n">
        <v>1</v>
      </c>
      <c r="M69" s="3" t="n">
        <v>1</v>
      </c>
      <c r="N69" s="3" t="n">
        <v>2</v>
      </c>
      <c r="O69" s="3" t="n">
        <v>2</v>
      </c>
      <c r="P69" s="3" t="n">
        <v>2</v>
      </c>
      <c r="Q69" s="3" t="n">
        <v>1</v>
      </c>
      <c r="R69" s="3" t="n">
        <v>2</v>
      </c>
      <c r="S69" s="3" t="n">
        <v>1</v>
      </c>
      <c r="T69" s="4" t="n">
        <v>1</v>
      </c>
      <c r="U69" s="3" t="n">
        <v>4</v>
      </c>
      <c r="V69" s="3" t="n">
        <v>5.01</v>
      </c>
      <c r="W69" s="3" t="n">
        <v>1.74</v>
      </c>
      <c r="X69" s="3" t="n">
        <v>5.34</v>
      </c>
      <c r="Y69" s="3" t="n">
        <v>478</v>
      </c>
      <c r="AA69" s="3" t="n">
        <v>0.41</v>
      </c>
      <c r="AB69" s="3" t="n">
        <v>8</v>
      </c>
      <c r="AC69" s="3" t="n">
        <v>1</v>
      </c>
      <c r="AD69" s="3" t="n">
        <v>1</v>
      </c>
      <c r="AE69" s="3" t="n">
        <v>1</v>
      </c>
      <c r="AF69" s="3" t="n">
        <v>1</v>
      </c>
      <c r="AG69" s="3" t="n">
        <v>2</v>
      </c>
      <c r="AH69" s="3" t="n">
        <v>2</v>
      </c>
      <c r="AI69" s="3" t="n">
        <v>1</v>
      </c>
      <c r="AJ69" s="3" t="n">
        <v>1</v>
      </c>
      <c r="AK69" s="3" t="n">
        <v>2</v>
      </c>
      <c r="AL69" s="3" t="n">
        <v>2</v>
      </c>
      <c r="AM69" s="3" t="n">
        <v>1</v>
      </c>
      <c r="AN69" s="3" t="n">
        <v>2</v>
      </c>
      <c r="AO69" s="3" t="n">
        <v>2</v>
      </c>
      <c r="AP69" s="3" t="n">
        <v>3</v>
      </c>
      <c r="AQ69" s="3" t="n">
        <v>4</v>
      </c>
      <c r="AR69" s="3" t="n">
        <v>4</v>
      </c>
      <c r="AS69" s="3" t="n">
        <v>6</v>
      </c>
      <c r="AT69" s="3" t="n">
        <v>4</v>
      </c>
      <c r="AU69" s="3" t="n">
        <v>4</v>
      </c>
      <c r="AV69" s="3" t="n">
        <v>6</v>
      </c>
      <c r="AW69" s="3" t="n">
        <v>6</v>
      </c>
      <c r="AX69" s="3" t="n">
        <v>3</v>
      </c>
      <c r="AY69" s="3" t="n">
        <v>3</v>
      </c>
      <c r="AZ69" s="3" t="n">
        <v>1</v>
      </c>
      <c r="BA69" s="5" t="n">
        <v>5</v>
      </c>
      <c r="BB69" s="3" t="n">
        <v>2</v>
      </c>
      <c r="BC69" s="3" t="n">
        <v>1</v>
      </c>
      <c r="BD69" s="3" t="n">
        <v>6</v>
      </c>
      <c r="BE69" s="3" t="n">
        <v>3</v>
      </c>
      <c r="BF69" s="3" t="n">
        <v>5</v>
      </c>
      <c r="BG69" s="3" t="n">
        <v>3</v>
      </c>
      <c r="BH69" s="3" t="n">
        <v>4</v>
      </c>
      <c r="BI69" s="3" t="n">
        <v>1</v>
      </c>
      <c r="BJ69" s="3" t="n">
        <v>1</v>
      </c>
      <c r="BK69" s="6" t="s">
        <v>299</v>
      </c>
    </row>
    <row r="70" customFormat="false" ht="15" hidden="false" customHeight="true" outlineLevel="0" collapsed="false">
      <c r="B70" s="2" t="s">
        <v>300</v>
      </c>
      <c r="C70" s="2" t="s">
        <v>301</v>
      </c>
      <c r="D70" s="2" t="s">
        <v>127</v>
      </c>
      <c r="E70" s="2" t="n">
        <v>163185</v>
      </c>
      <c r="F70" s="15" t="n">
        <v>43392</v>
      </c>
      <c r="G70" s="15" t="n">
        <v>43397</v>
      </c>
      <c r="H70" s="3" t="n">
        <v>5</v>
      </c>
      <c r="I70" s="3" t="n">
        <v>2</v>
      </c>
      <c r="J70" s="3" t="n">
        <v>55</v>
      </c>
      <c r="K70" s="3" t="n">
        <v>1</v>
      </c>
      <c r="L70" s="3" t="n">
        <v>2</v>
      </c>
      <c r="M70" s="3" t="n">
        <v>1</v>
      </c>
      <c r="N70" s="3" t="n">
        <v>2</v>
      </c>
      <c r="O70" s="3" t="n">
        <v>1</v>
      </c>
      <c r="P70" s="3" t="n">
        <v>2</v>
      </c>
      <c r="Q70" s="3" t="n">
        <v>2</v>
      </c>
      <c r="R70" s="3" t="n">
        <v>2</v>
      </c>
      <c r="S70" s="3" t="n">
        <v>2</v>
      </c>
      <c r="T70" s="4" t="n">
        <v>1</v>
      </c>
      <c r="U70" s="3" t="n">
        <v>1</v>
      </c>
      <c r="V70" s="3" t="n">
        <v>6</v>
      </c>
      <c r="W70" s="3" t="n">
        <v>2.72</v>
      </c>
      <c r="X70" s="3" t="n">
        <v>4.01</v>
      </c>
      <c r="Y70" s="3" t="n">
        <v>457</v>
      </c>
      <c r="AA70" s="3" t="n">
        <v>0.42</v>
      </c>
      <c r="AB70" s="3" t="n">
        <v>7</v>
      </c>
      <c r="AC70" s="3" t="n">
        <v>1</v>
      </c>
      <c r="AD70" s="3" t="n">
        <v>1</v>
      </c>
      <c r="AE70" s="3" t="n">
        <v>2</v>
      </c>
      <c r="AF70" s="3" t="n">
        <v>1</v>
      </c>
      <c r="AG70" s="3" t="n">
        <v>2</v>
      </c>
      <c r="AH70" s="3" t="n">
        <v>1</v>
      </c>
      <c r="AI70" s="3" t="n">
        <v>2</v>
      </c>
      <c r="AJ70" s="3" t="n">
        <v>1</v>
      </c>
      <c r="AK70" s="3" t="n">
        <v>2</v>
      </c>
      <c r="AL70" s="3" t="n">
        <v>2</v>
      </c>
      <c r="AM70" s="3" t="n">
        <v>2</v>
      </c>
      <c r="AN70" s="3" t="n">
        <v>2</v>
      </c>
      <c r="AO70" s="3" t="n">
        <v>2</v>
      </c>
      <c r="AP70" s="3" t="n">
        <v>3</v>
      </c>
      <c r="AQ70" s="3" t="n">
        <v>4</v>
      </c>
      <c r="AR70" s="3" t="n">
        <v>4</v>
      </c>
      <c r="AS70" s="3" t="n">
        <v>6</v>
      </c>
      <c r="AT70" s="3" t="n">
        <v>4</v>
      </c>
      <c r="AU70" s="3" t="n">
        <v>4</v>
      </c>
      <c r="AV70" s="3" t="n">
        <v>6</v>
      </c>
      <c r="AW70" s="3" t="n">
        <v>6</v>
      </c>
      <c r="AX70" s="3" t="n">
        <v>3</v>
      </c>
      <c r="AY70" s="3" t="n">
        <v>3</v>
      </c>
      <c r="AZ70" s="3" t="n">
        <v>1</v>
      </c>
      <c r="BA70" s="5" t="n">
        <v>3</v>
      </c>
      <c r="BB70" s="3" t="n">
        <v>2</v>
      </c>
      <c r="BC70" s="3" t="n">
        <v>1</v>
      </c>
      <c r="BD70" s="3" t="n">
        <v>6</v>
      </c>
      <c r="BE70" s="3" t="n">
        <v>3</v>
      </c>
      <c r="BF70" s="3" t="n">
        <v>5</v>
      </c>
      <c r="BG70" s="3" t="n">
        <v>3</v>
      </c>
      <c r="BH70" s="3" t="n">
        <v>4</v>
      </c>
      <c r="BI70" s="3" t="n">
        <v>1</v>
      </c>
      <c r="BJ70" s="3" t="n">
        <v>1</v>
      </c>
      <c r="BK70" s="6" t="s">
        <v>302</v>
      </c>
    </row>
    <row r="71" customFormat="false" ht="15" hidden="false" customHeight="true" outlineLevel="0" collapsed="false">
      <c r="B71" s="2" t="s">
        <v>258</v>
      </c>
      <c r="C71" s="2" t="s">
        <v>303</v>
      </c>
      <c r="D71" s="2" t="s">
        <v>304</v>
      </c>
      <c r="E71" s="2" t="n">
        <v>163068</v>
      </c>
      <c r="F71" s="15" t="n">
        <v>43391</v>
      </c>
      <c r="G71" s="15" t="n">
        <v>43398</v>
      </c>
      <c r="H71" s="3" t="n">
        <v>7</v>
      </c>
      <c r="I71" s="3" t="n">
        <v>2</v>
      </c>
      <c r="J71" s="3" t="n">
        <v>59</v>
      </c>
      <c r="K71" s="3" t="n">
        <v>1</v>
      </c>
      <c r="L71" s="3" t="n">
        <v>1</v>
      </c>
      <c r="M71" s="3" t="n">
        <v>1</v>
      </c>
      <c r="N71" s="3" t="n">
        <v>2</v>
      </c>
      <c r="O71" s="3" t="n">
        <v>2</v>
      </c>
      <c r="P71" s="3" t="n">
        <v>2</v>
      </c>
      <c r="Q71" s="3" t="n">
        <v>2</v>
      </c>
      <c r="R71" s="3" t="n">
        <v>2</v>
      </c>
      <c r="S71" s="3" t="n">
        <v>1</v>
      </c>
      <c r="T71" s="4" t="n">
        <v>2</v>
      </c>
      <c r="U71" s="3" t="n">
        <v>2</v>
      </c>
      <c r="V71" s="3" t="n">
        <v>5.73</v>
      </c>
      <c r="W71" s="3" t="n">
        <v>2</v>
      </c>
      <c r="X71" s="3" t="n">
        <v>5.2</v>
      </c>
      <c r="Y71" s="3" t="n">
        <v>341</v>
      </c>
      <c r="AA71" s="3" t="n">
        <v>0.4</v>
      </c>
      <c r="AB71" s="3" t="n">
        <v>7</v>
      </c>
      <c r="AC71" s="3" t="n">
        <v>1</v>
      </c>
      <c r="AD71" s="3" t="n">
        <v>2</v>
      </c>
      <c r="AE71" s="3" t="n">
        <v>1</v>
      </c>
      <c r="AF71" s="3" t="n">
        <v>1</v>
      </c>
      <c r="AG71" s="3" t="n">
        <v>2</v>
      </c>
      <c r="AH71" s="3" t="n">
        <v>2</v>
      </c>
      <c r="AI71" s="3" t="n">
        <v>1</v>
      </c>
      <c r="AJ71" s="3" t="n">
        <v>1</v>
      </c>
      <c r="AK71" s="3" t="n">
        <v>2</v>
      </c>
      <c r="AL71" s="3" t="n">
        <v>2</v>
      </c>
      <c r="AM71" s="3" t="n">
        <v>2</v>
      </c>
      <c r="AN71" s="3" t="n">
        <v>2</v>
      </c>
      <c r="AO71" s="3" t="n">
        <v>2</v>
      </c>
      <c r="AP71" s="3" t="n">
        <v>3</v>
      </c>
      <c r="AQ71" s="3" t="n">
        <v>4</v>
      </c>
      <c r="AR71" s="3" t="n">
        <v>4</v>
      </c>
      <c r="AS71" s="3" t="n">
        <v>6</v>
      </c>
      <c r="AT71" s="3" t="n">
        <v>4</v>
      </c>
      <c r="AU71" s="3" t="n">
        <v>4</v>
      </c>
      <c r="AV71" s="3" t="n">
        <v>6</v>
      </c>
      <c r="AW71" s="3" t="n">
        <v>6</v>
      </c>
      <c r="AX71" s="3" t="n">
        <v>3</v>
      </c>
      <c r="AY71" s="3" t="n">
        <v>3</v>
      </c>
      <c r="AZ71" s="3" t="n">
        <v>1</v>
      </c>
      <c r="BA71" s="5" t="n">
        <v>1</v>
      </c>
      <c r="BB71" s="3" t="n">
        <v>1</v>
      </c>
      <c r="BC71" s="3" t="n">
        <v>1</v>
      </c>
      <c r="BD71" s="3" t="n">
        <v>3</v>
      </c>
      <c r="BE71" s="3" t="n">
        <v>1</v>
      </c>
      <c r="BF71" s="3" t="n">
        <v>2</v>
      </c>
      <c r="BG71" s="3" t="n">
        <v>1</v>
      </c>
      <c r="BH71" s="3" t="n">
        <v>4</v>
      </c>
      <c r="BI71" s="3" t="n">
        <v>1</v>
      </c>
      <c r="BJ71" s="3" t="n">
        <v>1</v>
      </c>
      <c r="BK71" s="6" t="s">
        <v>305</v>
      </c>
    </row>
    <row r="72" customFormat="false" ht="15" hidden="false" customHeight="true" outlineLevel="0" collapsed="false">
      <c r="B72" s="2" t="s">
        <v>306</v>
      </c>
      <c r="C72" s="2" t="s">
        <v>307</v>
      </c>
      <c r="D72" s="2" t="s">
        <v>308</v>
      </c>
      <c r="E72" s="2" t="n">
        <v>162567</v>
      </c>
      <c r="F72" s="15" t="n">
        <v>43386</v>
      </c>
      <c r="G72" s="15" t="n">
        <v>43398</v>
      </c>
      <c r="H72" s="3" t="n">
        <v>12</v>
      </c>
      <c r="I72" s="3" t="n">
        <v>1</v>
      </c>
      <c r="J72" s="3" t="n">
        <v>88</v>
      </c>
      <c r="K72" s="3" t="n">
        <v>1</v>
      </c>
      <c r="L72" s="3" t="n">
        <v>2</v>
      </c>
      <c r="M72" s="3" t="n">
        <v>1</v>
      </c>
      <c r="N72" s="3" t="n">
        <v>2</v>
      </c>
      <c r="O72" s="3" t="n">
        <v>2</v>
      </c>
      <c r="P72" s="3" t="n">
        <v>2</v>
      </c>
      <c r="Q72" s="3" t="n">
        <v>2</v>
      </c>
      <c r="R72" s="3" t="n">
        <v>2</v>
      </c>
      <c r="S72" s="3" t="n">
        <v>2</v>
      </c>
      <c r="T72" s="4" t="n">
        <v>4</v>
      </c>
      <c r="U72" s="3" t="n">
        <v>4</v>
      </c>
      <c r="V72" s="3" t="n">
        <v>5.72</v>
      </c>
      <c r="W72" s="3" t="n">
        <v>1.36</v>
      </c>
      <c r="X72" s="3" t="n">
        <v>6</v>
      </c>
      <c r="Y72" s="3" t="n">
        <v>465</v>
      </c>
      <c r="AA72" s="3" t="n">
        <v>0.33</v>
      </c>
      <c r="AB72" s="3" t="n">
        <v>9.4</v>
      </c>
      <c r="AC72" s="3" t="n">
        <v>3</v>
      </c>
      <c r="AD72" s="3" t="n">
        <v>1</v>
      </c>
      <c r="AE72" s="3" t="n">
        <v>2</v>
      </c>
      <c r="AF72" s="3" t="n">
        <v>2</v>
      </c>
      <c r="AG72" s="3" t="n">
        <v>2</v>
      </c>
      <c r="AH72" s="3" t="n">
        <v>2</v>
      </c>
      <c r="AI72" s="3" t="n">
        <v>2</v>
      </c>
      <c r="AJ72" s="3" t="n">
        <v>1</v>
      </c>
      <c r="AK72" s="3" t="n">
        <v>2</v>
      </c>
      <c r="AL72" s="3" t="n">
        <v>2</v>
      </c>
      <c r="AM72" s="3" t="n">
        <v>1</v>
      </c>
      <c r="AN72" s="3" t="n">
        <v>2</v>
      </c>
      <c r="AO72" s="3" t="n">
        <v>2</v>
      </c>
      <c r="AP72" s="3" t="n">
        <v>3</v>
      </c>
      <c r="AQ72" s="3" t="n">
        <v>4</v>
      </c>
      <c r="AR72" s="3" t="n">
        <v>4</v>
      </c>
      <c r="AS72" s="3" t="n">
        <v>6</v>
      </c>
      <c r="AT72" s="3" t="n">
        <v>4</v>
      </c>
      <c r="AU72" s="3" t="n">
        <v>4</v>
      </c>
      <c r="AV72" s="3" t="n">
        <v>6</v>
      </c>
      <c r="AW72" s="3" t="n">
        <v>6</v>
      </c>
      <c r="AX72" s="3" t="n">
        <v>3</v>
      </c>
      <c r="AY72" s="3" t="n">
        <v>3</v>
      </c>
      <c r="AZ72" s="3" t="n">
        <v>1</v>
      </c>
      <c r="BA72" s="5" t="n">
        <v>10</v>
      </c>
      <c r="BB72" s="3" t="n">
        <v>2</v>
      </c>
      <c r="BC72" s="3" t="n">
        <v>1</v>
      </c>
      <c r="BD72" s="3" t="n">
        <v>6</v>
      </c>
      <c r="BE72" s="3" t="n">
        <v>3</v>
      </c>
      <c r="BF72" s="3" t="n">
        <v>5</v>
      </c>
      <c r="BG72" s="3" t="n">
        <v>3</v>
      </c>
      <c r="BH72" s="3" t="n">
        <v>4</v>
      </c>
      <c r="BI72" s="3" t="n">
        <v>1</v>
      </c>
      <c r="BJ72" s="3" t="n">
        <v>1</v>
      </c>
      <c r="BK72" s="6" t="s">
        <v>309</v>
      </c>
    </row>
    <row r="73" customFormat="false" ht="15" hidden="false" customHeight="true" outlineLevel="0" collapsed="false">
      <c r="B73" s="33" t="s">
        <v>310</v>
      </c>
      <c r="C73" s="2" t="s">
        <v>311</v>
      </c>
      <c r="D73" s="2" t="s">
        <v>312</v>
      </c>
      <c r="E73" s="2" t="n">
        <v>163352</v>
      </c>
      <c r="F73" s="15" t="n">
        <v>43394</v>
      </c>
      <c r="G73" s="15" t="n">
        <v>43398</v>
      </c>
      <c r="H73" s="3" t="n">
        <v>4</v>
      </c>
      <c r="I73" s="3" t="n">
        <v>2</v>
      </c>
      <c r="J73" s="3" t="n">
        <v>78</v>
      </c>
      <c r="K73" s="3" t="n">
        <v>1</v>
      </c>
      <c r="L73" s="3" t="n">
        <v>2</v>
      </c>
      <c r="M73" s="3" t="n">
        <v>1</v>
      </c>
      <c r="N73" s="3" t="n">
        <v>2</v>
      </c>
      <c r="O73" s="3" t="n">
        <v>2</v>
      </c>
      <c r="P73" s="3" t="n">
        <v>2</v>
      </c>
      <c r="Q73" s="3" t="n">
        <v>2</v>
      </c>
      <c r="R73" s="3" t="n">
        <v>2</v>
      </c>
      <c r="S73" s="3" t="n">
        <v>2</v>
      </c>
      <c r="T73" s="4" t="n">
        <v>1</v>
      </c>
      <c r="U73" s="3" t="n">
        <v>4</v>
      </c>
      <c r="V73" s="3" t="n">
        <v>1.12</v>
      </c>
      <c r="W73" s="3" t="n">
        <v>0.33</v>
      </c>
      <c r="X73" s="3" t="n">
        <v>5.5</v>
      </c>
      <c r="Y73" s="3" t="n">
        <v>57</v>
      </c>
      <c r="AA73" s="3" t="n">
        <v>0.46</v>
      </c>
      <c r="AB73" s="3" t="n">
        <v>7.2</v>
      </c>
      <c r="AC73" s="3" t="n">
        <v>1</v>
      </c>
      <c r="AD73" s="3" t="n">
        <v>1</v>
      </c>
      <c r="AE73" s="3" t="n">
        <v>1</v>
      </c>
      <c r="AF73" s="3" t="n">
        <v>1</v>
      </c>
      <c r="AG73" s="3" t="n">
        <v>2</v>
      </c>
      <c r="AH73" s="3" t="n">
        <v>2</v>
      </c>
      <c r="AI73" s="3" t="n">
        <v>1</v>
      </c>
      <c r="AJ73" s="3" t="n">
        <v>1</v>
      </c>
      <c r="AK73" s="3" t="n">
        <v>2</v>
      </c>
      <c r="AL73" s="3" t="n">
        <v>2</v>
      </c>
      <c r="AM73" s="3" t="n">
        <v>2</v>
      </c>
      <c r="AN73" s="3" t="n">
        <v>2</v>
      </c>
      <c r="AO73" s="3" t="n">
        <v>2</v>
      </c>
      <c r="AP73" s="3" t="n">
        <v>3</v>
      </c>
      <c r="AQ73" s="3" t="n">
        <v>4</v>
      </c>
      <c r="AR73" s="3" t="n">
        <v>4</v>
      </c>
      <c r="AS73" s="3" t="n">
        <v>6</v>
      </c>
      <c r="AT73" s="3" t="n">
        <v>4</v>
      </c>
      <c r="AU73" s="3" t="n">
        <v>4</v>
      </c>
      <c r="AV73" s="3" t="n">
        <v>6</v>
      </c>
      <c r="AW73" s="3" t="n">
        <v>6</v>
      </c>
      <c r="AX73" s="3" t="n">
        <v>3</v>
      </c>
      <c r="AY73" s="3" t="n">
        <v>3</v>
      </c>
      <c r="AZ73" s="3" t="n">
        <v>1</v>
      </c>
      <c r="BA73" s="5" t="n">
        <v>5</v>
      </c>
      <c r="BB73" s="3" t="n">
        <v>2</v>
      </c>
      <c r="BC73" s="3" t="n">
        <v>1</v>
      </c>
      <c r="BD73" s="3" t="n">
        <v>6</v>
      </c>
      <c r="BE73" s="3" t="n">
        <v>3</v>
      </c>
      <c r="BF73" s="3" t="n">
        <v>5</v>
      </c>
      <c r="BG73" s="3" t="n">
        <v>3</v>
      </c>
      <c r="BH73" s="3" t="n">
        <v>4</v>
      </c>
      <c r="BI73" s="3" t="n">
        <v>1</v>
      </c>
      <c r="BJ73" s="3" t="n">
        <v>1</v>
      </c>
      <c r="BK73" s="6" t="s">
        <v>313</v>
      </c>
    </row>
    <row r="74" customFormat="false" ht="15" hidden="false" customHeight="true" outlineLevel="0" collapsed="false">
      <c r="B74" s="2" t="s">
        <v>228</v>
      </c>
      <c r="C74" s="2" t="s">
        <v>314</v>
      </c>
      <c r="D74" s="2" t="s">
        <v>315</v>
      </c>
      <c r="E74" s="2" t="s">
        <v>316</v>
      </c>
      <c r="F74" s="15" t="n">
        <v>43398</v>
      </c>
      <c r="G74" s="15" t="n">
        <v>43399</v>
      </c>
      <c r="H74" s="3" t="n">
        <v>1</v>
      </c>
      <c r="I74" s="3" t="n">
        <v>2</v>
      </c>
      <c r="J74" s="3" t="n">
        <v>80</v>
      </c>
      <c r="K74" s="3" t="n">
        <v>1</v>
      </c>
      <c r="L74" s="3" t="n">
        <v>2</v>
      </c>
      <c r="M74" s="3" t="n">
        <v>1</v>
      </c>
      <c r="N74" s="3" t="n">
        <v>2</v>
      </c>
      <c r="O74" s="3" t="n">
        <v>2</v>
      </c>
      <c r="P74" s="3" t="n">
        <v>2</v>
      </c>
      <c r="Q74" s="3" t="n">
        <v>1</v>
      </c>
      <c r="R74" s="3" t="n">
        <v>2</v>
      </c>
      <c r="S74" s="3" t="n">
        <v>2</v>
      </c>
      <c r="T74" s="4" t="n">
        <v>3</v>
      </c>
      <c r="U74" s="3" t="n">
        <v>1</v>
      </c>
      <c r="V74" s="3" t="n">
        <v>4.67</v>
      </c>
      <c r="W74" s="3" t="n">
        <v>3.33</v>
      </c>
      <c r="X74" s="3" t="n">
        <v>6.4</v>
      </c>
      <c r="Y74" s="3" t="n">
        <v>345</v>
      </c>
      <c r="AA74" s="3" t="n">
        <v>0.34</v>
      </c>
      <c r="AB74" s="3" t="n">
        <v>5.7</v>
      </c>
      <c r="AC74" s="3" t="n">
        <v>1</v>
      </c>
      <c r="AD74" s="3" t="n">
        <v>2</v>
      </c>
      <c r="AE74" s="3" t="n">
        <v>1</v>
      </c>
      <c r="AF74" s="3" t="n">
        <v>1</v>
      </c>
      <c r="AG74" s="3" t="n">
        <v>2</v>
      </c>
      <c r="AH74" s="3" t="n">
        <v>2</v>
      </c>
      <c r="AI74" s="3" t="n">
        <v>1</v>
      </c>
      <c r="AJ74" s="3" t="n">
        <v>1</v>
      </c>
      <c r="AK74" s="3" t="n">
        <v>1</v>
      </c>
      <c r="AL74" s="3" t="n">
        <v>2</v>
      </c>
      <c r="AM74" s="3" t="n">
        <v>1</v>
      </c>
      <c r="AN74" s="3" t="n">
        <v>2</v>
      </c>
      <c r="AO74" s="3" t="n">
        <v>2</v>
      </c>
      <c r="AP74" s="3" t="n">
        <v>3</v>
      </c>
      <c r="AQ74" s="3" t="n">
        <v>4</v>
      </c>
      <c r="AR74" s="3" t="n">
        <v>4</v>
      </c>
      <c r="AS74" s="3" t="n">
        <v>6</v>
      </c>
      <c r="AT74" s="3" t="n">
        <v>4</v>
      </c>
      <c r="AU74" s="3" t="n">
        <v>4</v>
      </c>
      <c r="AV74" s="3" t="n">
        <v>6</v>
      </c>
      <c r="AW74" s="3" t="n">
        <v>6</v>
      </c>
      <c r="AX74" s="3" t="n">
        <v>3</v>
      </c>
      <c r="AY74" s="3" t="n">
        <v>3</v>
      </c>
      <c r="AZ74" s="3" t="n">
        <v>1</v>
      </c>
      <c r="BA74" s="5" t="n">
        <v>11</v>
      </c>
      <c r="BB74" s="3" t="n">
        <v>2</v>
      </c>
      <c r="BC74" s="3" t="n">
        <v>1</v>
      </c>
      <c r="BD74" s="3" t="n">
        <v>6</v>
      </c>
      <c r="BE74" s="3" t="n">
        <v>3</v>
      </c>
      <c r="BF74" s="3" t="n">
        <v>5</v>
      </c>
      <c r="BG74" s="3" t="n">
        <v>3</v>
      </c>
      <c r="BH74" s="3" t="n">
        <v>4</v>
      </c>
      <c r="BI74" s="3" t="n">
        <v>1</v>
      </c>
      <c r="BJ74" s="3" t="n">
        <v>1</v>
      </c>
      <c r="BK74" s="6" t="s">
        <v>317</v>
      </c>
    </row>
    <row r="75" s="30" customFormat="true" ht="15" hidden="false" customHeight="true" outlineLevel="0" collapsed="false">
      <c r="A75" s="24"/>
      <c r="B75" s="26" t="s">
        <v>318</v>
      </c>
      <c r="C75" s="26" t="s">
        <v>319</v>
      </c>
      <c r="D75" s="26" t="s">
        <v>320</v>
      </c>
      <c r="E75" s="26" t="s">
        <v>321</v>
      </c>
      <c r="F75" s="27" t="n">
        <v>43397</v>
      </c>
      <c r="G75" s="27" t="n">
        <v>43400</v>
      </c>
      <c r="H75" s="30" t="n">
        <v>3</v>
      </c>
      <c r="I75" s="30" t="n">
        <v>1</v>
      </c>
      <c r="J75" s="30" t="n">
        <v>87</v>
      </c>
      <c r="K75" s="30" t="n">
        <v>1</v>
      </c>
      <c r="L75" s="30" t="n">
        <v>2</v>
      </c>
      <c r="M75" s="30" t="n">
        <v>1</v>
      </c>
      <c r="N75" s="30" t="n">
        <v>2</v>
      </c>
      <c r="O75" s="30" t="n">
        <v>2</v>
      </c>
      <c r="P75" s="30" t="n">
        <v>2</v>
      </c>
      <c r="Q75" s="30" t="n">
        <v>1</v>
      </c>
      <c r="R75" s="30" t="n">
        <v>2</v>
      </c>
      <c r="S75" s="30" t="n">
        <v>2</v>
      </c>
      <c r="T75" s="4" t="n">
        <v>3</v>
      </c>
      <c r="U75" s="30" t="n">
        <v>4</v>
      </c>
      <c r="V75" s="30" t="n">
        <v>4.92</v>
      </c>
      <c r="W75" s="30" t="n">
        <v>0.97</v>
      </c>
      <c r="X75" s="30" t="n">
        <v>5.5</v>
      </c>
      <c r="Y75" s="30" t="n">
        <v>725</v>
      </c>
      <c r="AA75" s="30" t="n">
        <v>0.37</v>
      </c>
      <c r="AB75" s="30" t="n">
        <v>10.8</v>
      </c>
      <c r="AC75" s="30" t="n">
        <v>3</v>
      </c>
      <c r="AD75" s="30" t="n">
        <v>2</v>
      </c>
      <c r="AE75" s="30" t="n">
        <v>1</v>
      </c>
      <c r="AF75" s="30" t="n">
        <v>2</v>
      </c>
      <c r="AG75" s="30" t="n">
        <v>2</v>
      </c>
      <c r="AH75" s="30" t="n">
        <v>2</v>
      </c>
      <c r="AI75" s="30" t="n">
        <v>2</v>
      </c>
      <c r="AJ75" s="30" t="n">
        <v>2</v>
      </c>
      <c r="AK75" s="30" t="n">
        <v>2</v>
      </c>
      <c r="AL75" s="30" t="n">
        <v>2</v>
      </c>
      <c r="AM75" s="30" t="n">
        <v>1</v>
      </c>
      <c r="AN75" s="30" t="n">
        <v>2</v>
      </c>
      <c r="AO75" s="30" t="n">
        <v>2</v>
      </c>
      <c r="AP75" s="30" t="n">
        <v>3</v>
      </c>
      <c r="AQ75" s="30" t="n">
        <v>4</v>
      </c>
      <c r="AR75" s="30" t="n">
        <v>4</v>
      </c>
      <c r="AS75" s="30" t="n">
        <v>6</v>
      </c>
      <c r="AT75" s="30" t="n">
        <v>4</v>
      </c>
      <c r="AU75" s="30" t="n">
        <v>4</v>
      </c>
      <c r="AV75" s="30" t="n">
        <v>6</v>
      </c>
      <c r="AW75" s="30" t="n">
        <v>6</v>
      </c>
      <c r="AX75" s="30" t="n">
        <v>3</v>
      </c>
      <c r="AY75" s="30" t="n">
        <v>3</v>
      </c>
      <c r="AZ75" s="30" t="n">
        <v>14</v>
      </c>
      <c r="BA75" s="5" t="n">
        <v>11</v>
      </c>
      <c r="BB75" s="30" t="n">
        <v>2</v>
      </c>
      <c r="BC75" s="30" t="n">
        <v>2</v>
      </c>
      <c r="BD75" s="30" t="n">
        <v>6</v>
      </c>
      <c r="BE75" s="30" t="n">
        <v>3</v>
      </c>
      <c r="BF75" s="30" t="n">
        <v>5</v>
      </c>
      <c r="BG75" s="30" t="n">
        <v>3</v>
      </c>
      <c r="BH75" s="30" t="n">
        <v>4</v>
      </c>
      <c r="BI75" s="30" t="n">
        <v>3</v>
      </c>
      <c r="BJ75" s="30" t="n">
        <v>1</v>
      </c>
      <c r="BK75" s="31" t="s">
        <v>322</v>
      </c>
    </row>
    <row r="76" customFormat="false" ht="15" hidden="false" customHeight="true" outlineLevel="0" collapsed="false">
      <c r="B76" s="2" t="s">
        <v>323</v>
      </c>
      <c r="C76" s="2" t="s">
        <v>324</v>
      </c>
      <c r="D76" s="2" t="s">
        <v>325</v>
      </c>
      <c r="E76" s="2" t="n">
        <v>163302</v>
      </c>
      <c r="F76" s="15" t="n">
        <v>43392</v>
      </c>
      <c r="G76" s="15" t="n">
        <v>43400</v>
      </c>
      <c r="H76" s="3" t="n">
        <v>8</v>
      </c>
      <c r="I76" s="3" t="n">
        <v>2</v>
      </c>
      <c r="J76" s="3" t="n">
        <v>57</v>
      </c>
      <c r="K76" s="3" t="n">
        <v>2</v>
      </c>
      <c r="L76" s="3" t="n">
        <v>1</v>
      </c>
      <c r="M76" s="3" t="n">
        <v>1</v>
      </c>
      <c r="N76" s="3" t="n">
        <v>1</v>
      </c>
      <c r="O76" s="3" t="n">
        <v>2</v>
      </c>
      <c r="P76" s="3" t="n">
        <v>2</v>
      </c>
      <c r="Q76" s="3" t="n">
        <v>1</v>
      </c>
      <c r="R76" s="3" t="n">
        <v>1</v>
      </c>
      <c r="S76" s="3" t="n">
        <v>1</v>
      </c>
      <c r="T76" s="4" t="n">
        <v>1</v>
      </c>
      <c r="U76" s="3" t="n">
        <v>1</v>
      </c>
      <c r="V76" s="3" t="n">
        <v>4.68</v>
      </c>
      <c r="W76" s="3" t="n">
        <v>1.21</v>
      </c>
      <c r="X76" s="3" t="n">
        <v>4.77</v>
      </c>
      <c r="Y76" s="3" t="n">
        <v>644</v>
      </c>
      <c r="AA76" s="3" t="n">
        <v>0.44</v>
      </c>
      <c r="AB76" s="3" t="n">
        <v>9</v>
      </c>
      <c r="AC76" s="3" t="n">
        <v>1</v>
      </c>
      <c r="AD76" s="3" t="n">
        <v>1</v>
      </c>
      <c r="AE76" s="3" t="n">
        <v>1</v>
      </c>
      <c r="AF76" s="3" t="n">
        <v>1</v>
      </c>
      <c r="AG76" s="3" t="n">
        <v>2</v>
      </c>
      <c r="AH76" s="3" t="n">
        <v>1</v>
      </c>
      <c r="AI76" s="3" t="n">
        <v>1</v>
      </c>
      <c r="AJ76" s="3" t="n">
        <v>2</v>
      </c>
      <c r="AK76" s="3" t="n">
        <v>2</v>
      </c>
      <c r="AL76" s="3" t="n">
        <v>2</v>
      </c>
      <c r="AM76" s="3" t="n">
        <v>2</v>
      </c>
      <c r="AN76" s="3" t="n">
        <v>2</v>
      </c>
      <c r="AO76" s="3" t="n">
        <v>2</v>
      </c>
      <c r="AP76" s="3" t="n">
        <v>1</v>
      </c>
      <c r="AQ76" s="3" t="n">
        <v>3</v>
      </c>
      <c r="AR76" s="3" t="n">
        <v>5</v>
      </c>
      <c r="AS76" s="3" t="n">
        <v>5</v>
      </c>
      <c r="AT76" s="3" t="n">
        <v>3</v>
      </c>
      <c r="AU76" s="3" t="n">
        <v>1</v>
      </c>
      <c r="AV76" s="3" t="n">
        <v>1</v>
      </c>
      <c r="AW76" s="3" t="n">
        <v>1</v>
      </c>
      <c r="AX76" s="3" t="n">
        <v>2</v>
      </c>
      <c r="AY76" s="3" t="n">
        <v>2</v>
      </c>
      <c r="AZ76" s="3" t="n">
        <v>1</v>
      </c>
      <c r="BA76" s="5" t="n">
        <v>5</v>
      </c>
      <c r="BB76" s="3" t="n">
        <v>2</v>
      </c>
      <c r="BC76" s="3" t="n">
        <v>1</v>
      </c>
      <c r="BD76" s="3" t="n">
        <v>6</v>
      </c>
      <c r="BE76" s="3" t="n">
        <v>3</v>
      </c>
      <c r="BF76" s="3" t="n">
        <v>5</v>
      </c>
      <c r="BG76" s="3" t="n">
        <v>3</v>
      </c>
      <c r="BH76" s="3" t="n">
        <v>4</v>
      </c>
      <c r="BI76" s="3" t="n">
        <v>1</v>
      </c>
      <c r="BJ76" s="3" t="n">
        <v>1</v>
      </c>
      <c r="BK76" s="6" t="s">
        <v>326</v>
      </c>
    </row>
    <row r="77" customFormat="false" ht="15" hidden="false" customHeight="true" outlineLevel="0" collapsed="false">
      <c r="B77" s="2" t="s">
        <v>327</v>
      </c>
      <c r="C77" s="2" t="s">
        <v>160</v>
      </c>
      <c r="D77" s="2" t="s">
        <v>118</v>
      </c>
      <c r="E77" s="2" t="n">
        <v>163681</v>
      </c>
      <c r="F77" s="15" t="n">
        <v>43398</v>
      </c>
      <c r="G77" s="15" t="n">
        <v>43402</v>
      </c>
      <c r="H77" s="3" t="n">
        <v>4</v>
      </c>
      <c r="I77" s="3" t="n">
        <v>2</v>
      </c>
      <c r="J77" s="3" t="n">
        <v>57</v>
      </c>
      <c r="K77" s="3" t="n">
        <v>1</v>
      </c>
      <c r="L77" s="3" t="n">
        <v>2</v>
      </c>
      <c r="M77" s="3" t="n">
        <v>1</v>
      </c>
      <c r="N77" s="3" t="n">
        <v>2</v>
      </c>
      <c r="O77" s="3" t="n">
        <v>2</v>
      </c>
      <c r="P77" s="3" t="n">
        <v>2</v>
      </c>
      <c r="Q77" s="3" t="n">
        <v>2</v>
      </c>
      <c r="R77" s="3" t="n">
        <v>2</v>
      </c>
      <c r="S77" s="3" t="n">
        <v>2</v>
      </c>
      <c r="T77" s="4" t="n">
        <v>1</v>
      </c>
      <c r="U77" s="3" t="n">
        <v>1</v>
      </c>
      <c r="V77" s="3" t="n">
        <v>7.19</v>
      </c>
      <c r="W77" s="3" t="n">
        <v>1.15</v>
      </c>
      <c r="X77" s="3" t="n">
        <v>8.1</v>
      </c>
      <c r="Y77" s="3" t="n">
        <v>450</v>
      </c>
      <c r="AA77" s="3" t="n">
        <v>0.45</v>
      </c>
      <c r="AB77" s="3" t="n">
        <v>8.9</v>
      </c>
      <c r="AC77" s="3" t="n">
        <v>1</v>
      </c>
      <c r="AD77" s="3" t="n">
        <v>2</v>
      </c>
      <c r="AE77" s="3" t="n">
        <v>1</v>
      </c>
      <c r="AF77" s="3" t="n">
        <v>1</v>
      </c>
      <c r="AG77" s="3" t="n">
        <v>2</v>
      </c>
      <c r="AH77" s="3" t="n">
        <v>2</v>
      </c>
      <c r="AI77" s="3" t="n">
        <v>1</v>
      </c>
      <c r="AJ77" s="3" t="n">
        <v>2</v>
      </c>
      <c r="AK77" s="3" t="n">
        <v>2</v>
      </c>
      <c r="AL77" s="3" t="n">
        <v>2</v>
      </c>
      <c r="AM77" s="3" t="n">
        <v>1</v>
      </c>
      <c r="AN77" s="3" t="n">
        <v>2</v>
      </c>
      <c r="AO77" s="3" t="n">
        <v>2</v>
      </c>
      <c r="AP77" s="3" t="n">
        <v>3</v>
      </c>
      <c r="AQ77" s="3" t="n">
        <v>4</v>
      </c>
      <c r="AR77" s="3" t="n">
        <v>4</v>
      </c>
      <c r="AS77" s="3" t="n">
        <v>6</v>
      </c>
      <c r="AT77" s="3" t="n">
        <v>4</v>
      </c>
      <c r="AU77" s="3" t="n">
        <v>4</v>
      </c>
      <c r="AV77" s="3" t="n">
        <v>6</v>
      </c>
      <c r="AW77" s="3" t="n">
        <v>6</v>
      </c>
      <c r="AX77" s="3" t="n">
        <v>3</v>
      </c>
      <c r="AY77" s="3" t="n">
        <v>3</v>
      </c>
      <c r="AZ77" s="3" t="n">
        <v>1</v>
      </c>
      <c r="BA77" s="5" t="n">
        <v>5</v>
      </c>
      <c r="BB77" s="3" t="n">
        <v>2</v>
      </c>
      <c r="BC77" s="3" t="n">
        <v>1</v>
      </c>
      <c r="BD77" s="3" t="n">
        <v>6</v>
      </c>
      <c r="BE77" s="3" t="n">
        <v>3</v>
      </c>
      <c r="BF77" s="3" t="n">
        <v>5</v>
      </c>
      <c r="BG77" s="3" t="n">
        <v>3</v>
      </c>
      <c r="BH77" s="3" t="n">
        <v>4</v>
      </c>
      <c r="BI77" s="3" t="n">
        <v>1</v>
      </c>
      <c r="BJ77" s="3" t="n">
        <v>1</v>
      </c>
      <c r="BK77" s="6" t="s">
        <v>328</v>
      </c>
    </row>
    <row r="78" customFormat="false" ht="15" hidden="false" customHeight="true" outlineLevel="0" collapsed="false">
      <c r="B78" s="2" t="s">
        <v>329</v>
      </c>
      <c r="C78" s="2" t="s">
        <v>94</v>
      </c>
      <c r="D78" s="2" t="s">
        <v>330</v>
      </c>
      <c r="E78" s="2" t="n">
        <v>146028</v>
      </c>
      <c r="F78" s="15" t="n">
        <v>43397</v>
      </c>
      <c r="G78" s="15" t="n">
        <v>43402</v>
      </c>
      <c r="H78" s="3" t="n">
        <v>5</v>
      </c>
      <c r="I78" s="3" t="n">
        <v>2</v>
      </c>
      <c r="J78" s="3" t="n">
        <v>80</v>
      </c>
      <c r="K78" s="3" t="n">
        <v>1</v>
      </c>
      <c r="L78" s="3" t="n">
        <v>2</v>
      </c>
      <c r="M78" s="3" t="n">
        <v>2</v>
      </c>
      <c r="N78" s="3" t="n">
        <v>2</v>
      </c>
      <c r="O78" s="3" t="n">
        <v>2</v>
      </c>
      <c r="P78" s="3" t="n">
        <v>2</v>
      </c>
      <c r="Q78" s="3" t="n">
        <v>2</v>
      </c>
      <c r="R78" s="3" t="n">
        <v>2</v>
      </c>
      <c r="S78" s="3" t="n">
        <v>2</v>
      </c>
      <c r="T78" s="4" t="n">
        <v>1</v>
      </c>
      <c r="U78" s="3" t="n">
        <v>4</v>
      </c>
      <c r="V78" s="3" t="n">
        <v>4.46</v>
      </c>
      <c r="W78" s="3" t="n">
        <v>1.19</v>
      </c>
      <c r="X78" s="3" t="n">
        <v>6.1</v>
      </c>
      <c r="Y78" s="3" t="n">
        <v>855</v>
      </c>
      <c r="AA78" s="3" t="n">
        <v>0.37</v>
      </c>
      <c r="AB78" s="3" t="n">
        <v>7.1</v>
      </c>
      <c r="AC78" s="3" t="n">
        <v>2</v>
      </c>
      <c r="AD78" s="3" t="n">
        <v>2</v>
      </c>
      <c r="AE78" s="3" t="n">
        <v>1</v>
      </c>
      <c r="AF78" s="3" t="n">
        <v>1</v>
      </c>
      <c r="AG78" s="3" t="n">
        <v>2</v>
      </c>
      <c r="AH78" s="3" t="n">
        <v>2</v>
      </c>
      <c r="AI78" s="3" t="n">
        <v>1</v>
      </c>
      <c r="AJ78" s="3" t="n">
        <v>1</v>
      </c>
      <c r="AK78" s="3" t="n">
        <v>2</v>
      </c>
      <c r="AL78" s="3" t="n">
        <v>2</v>
      </c>
      <c r="AM78" s="3" t="n">
        <v>1</v>
      </c>
      <c r="AN78" s="3" t="n">
        <v>2</v>
      </c>
      <c r="AO78" s="3" t="n">
        <v>2</v>
      </c>
      <c r="AP78" s="3" t="n">
        <v>3</v>
      </c>
      <c r="AQ78" s="3" t="n">
        <v>4</v>
      </c>
      <c r="AR78" s="3" t="n">
        <v>4</v>
      </c>
      <c r="AS78" s="3" t="n">
        <v>6</v>
      </c>
      <c r="AT78" s="3" t="n">
        <v>4</v>
      </c>
      <c r="AU78" s="3" t="n">
        <v>4</v>
      </c>
      <c r="AV78" s="3" t="n">
        <v>6</v>
      </c>
      <c r="AW78" s="3" t="n">
        <v>6</v>
      </c>
      <c r="AX78" s="3" t="n">
        <v>3</v>
      </c>
      <c r="AY78" s="3" t="n">
        <v>3</v>
      </c>
      <c r="AZ78" s="3" t="n">
        <v>1</v>
      </c>
      <c r="BA78" s="5" t="n">
        <v>5</v>
      </c>
      <c r="BB78" s="3" t="n">
        <v>2</v>
      </c>
      <c r="BC78" s="3" t="n">
        <v>1</v>
      </c>
      <c r="BD78" s="3" t="n">
        <v>6</v>
      </c>
      <c r="BE78" s="3" t="n">
        <v>3</v>
      </c>
      <c r="BF78" s="3" t="n">
        <v>5</v>
      </c>
      <c r="BG78" s="3" t="n">
        <v>3</v>
      </c>
      <c r="BH78" s="3" t="n">
        <v>4</v>
      </c>
      <c r="BI78" s="3" t="n">
        <v>1</v>
      </c>
      <c r="BJ78" s="3" t="n">
        <v>1</v>
      </c>
      <c r="BK78" s="6" t="s">
        <v>331</v>
      </c>
    </row>
    <row r="79" customFormat="false" ht="15" hidden="false" customHeight="true" outlineLevel="0" collapsed="false">
      <c r="B79" s="2" t="s">
        <v>332</v>
      </c>
      <c r="C79" s="2" t="s">
        <v>333</v>
      </c>
      <c r="D79" s="2" t="s">
        <v>260</v>
      </c>
      <c r="E79" s="2" t="n">
        <v>163668</v>
      </c>
      <c r="F79" s="15" t="n">
        <v>43398</v>
      </c>
      <c r="G79" s="15" t="n">
        <v>43402</v>
      </c>
      <c r="H79" s="3" t="n">
        <v>4</v>
      </c>
      <c r="I79" s="3" t="n">
        <v>1</v>
      </c>
      <c r="J79" s="3" t="n">
        <v>28</v>
      </c>
      <c r="K79" s="3" t="n">
        <v>1</v>
      </c>
      <c r="L79" s="3" t="n">
        <v>2</v>
      </c>
      <c r="M79" s="3" t="n">
        <v>2</v>
      </c>
      <c r="N79" s="3" t="n">
        <v>2</v>
      </c>
      <c r="O79" s="3" t="n">
        <v>1</v>
      </c>
      <c r="P79" s="3" t="n">
        <v>2</v>
      </c>
      <c r="Q79" s="3" t="n">
        <v>2</v>
      </c>
      <c r="R79" s="3" t="n">
        <v>2</v>
      </c>
      <c r="S79" s="3" t="n">
        <v>2</v>
      </c>
      <c r="T79" s="4" t="n">
        <v>3</v>
      </c>
      <c r="U79" s="3" t="n">
        <v>1</v>
      </c>
      <c r="V79" s="3" t="n">
        <v>3.57</v>
      </c>
      <c r="W79" s="3" t="n">
        <v>1.27</v>
      </c>
      <c r="X79" s="3" t="n">
        <v>9.6</v>
      </c>
      <c r="Y79" s="3" t="n">
        <v>664</v>
      </c>
      <c r="AA79" s="3" t="n">
        <v>0.36</v>
      </c>
      <c r="AB79" s="3" t="n">
        <v>9.2</v>
      </c>
      <c r="AD79" s="3" t="n">
        <v>2</v>
      </c>
      <c r="AE79" s="3" t="n">
        <v>2</v>
      </c>
      <c r="AF79" s="3" t="n">
        <v>1</v>
      </c>
      <c r="AG79" s="3" t="n">
        <v>2</v>
      </c>
      <c r="AH79" s="3" t="n">
        <v>2</v>
      </c>
      <c r="AI79" s="3" t="n">
        <v>2</v>
      </c>
      <c r="AJ79" s="3" t="n">
        <v>2</v>
      </c>
      <c r="AK79" s="3" t="n">
        <v>2</v>
      </c>
      <c r="AL79" s="3" t="n">
        <v>2</v>
      </c>
      <c r="AM79" s="3" t="n">
        <v>1</v>
      </c>
      <c r="AN79" s="3" t="n">
        <v>2</v>
      </c>
      <c r="AO79" s="3" t="n">
        <v>2</v>
      </c>
      <c r="AP79" s="3" t="n">
        <v>3</v>
      </c>
      <c r="AQ79" s="3" t="n">
        <v>4</v>
      </c>
      <c r="AR79" s="3" t="n">
        <v>4</v>
      </c>
      <c r="AS79" s="3" t="n">
        <v>6</v>
      </c>
      <c r="AT79" s="3" t="n">
        <v>4</v>
      </c>
      <c r="AU79" s="3" t="n">
        <v>4</v>
      </c>
      <c r="AV79" s="3" t="n">
        <v>6</v>
      </c>
      <c r="AW79" s="3" t="n">
        <v>6</v>
      </c>
      <c r="AX79" s="3" t="n">
        <v>3</v>
      </c>
      <c r="AY79" s="3" t="n">
        <v>3</v>
      </c>
      <c r="AZ79" s="3" t="n">
        <v>1</v>
      </c>
      <c r="BA79" s="5" t="n">
        <v>11</v>
      </c>
      <c r="BB79" s="3" t="n">
        <v>2</v>
      </c>
      <c r="BC79" s="3" t="n">
        <v>1</v>
      </c>
      <c r="BD79" s="3" t="n">
        <v>6</v>
      </c>
      <c r="BE79" s="3" t="n">
        <v>3</v>
      </c>
      <c r="BF79" s="3" t="n">
        <v>5</v>
      </c>
      <c r="BG79" s="3" t="n">
        <v>3</v>
      </c>
      <c r="BH79" s="3" t="n">
        <v>4</v>
      </c>
      <c r="BI79" s="3" t="n">
        <v>1</v>
      </c>
      <c r="BJ79" s="3" t="n">
        <v>1</v>
      </c>
      <c r="BK79" s="6" t="s">
        <v>334</v>
      </c>
    </row>
    <row r="80" customFormat="false" ht="15" hidden="false" customHeight="true" outlineLevel="0" collapsed="false">
      <c r="B80" s="2" t="s">
        <v>335</v>
      </c>
      <c r="C80" s="2" t="s">
        <v>336</v>
      </c>
      <c r="D80" s="2" t="s">
        <v>337</v>
      </c>
      <c r="E80" s="2" t="n">
        <v>138647</v>
      </c>
      <c r="F80" s="15" t="n">
        <v>43396</v>
      </c>
      <c r="G80" s="15" t="n">
        <v>43402</v>
      </c>
      <c r="H80" s="3" t="n">
        <v>6</v>
      </c>
      <c r="I80" s="3" t="n">
        <v>1</v>
      </c>
      <c r="J80" s="3" t="n">
        <v>79</v>
      </c>
      <c r="K80" s="3" t="n">
        <v>2</v>
      </c>
      <c r="L80" s="3" t="n">
        <v>2</v>
      </c>
      <c r="M80" s="3" t="n">
        <v>1</v>
      </c>
      <c r="N80" s="3" t="n">
        <v>2</v>
      </c>
      <c r="O80" s="3" t="n">
        <v>2</v>
      </c>
      <c r="P80" s="3" t="n">
        <v>2</v>
      </c>
      <c r="Q80" s="3" t="n">
        <v>2</v>
      </c>
      <c r="R80" s="3" t="n">
        <v>2</v>
      </c>
      <c r="S80" s="3" t="n">
        <v>1</v>
      </c>
      <c r="T80" s="4" t="n">
        <v>1</v>
      </c>
      <c r="U80" s="3" t="n">
        <v>1</v>
      </c>
      <c r="V80" s="3" t="n">
        <v>5.05</v>
      </c>
      <c r="W80" s="3" t="n">
        <v>0.77</v>
      </c>
      <c r="X80" s="3" t="n">
        <v>6.18</v>
      </c>
      <c r="Y80" s="3" t="n">
        <v>491</v>
      </c>
      <c r="AA80" s="3" t="n">
        <v>0.41</v>
      </c>
      <c r="AB80" s="3" t="n">
        <v>9.4</v>
      </c>
      <c r="AC80" s="3" t="n">
        <v>1</v>
      </c>
      <c r="AD80" s="3" t="n">
        <v>2</v>
      </c>
      <c r="AE80" s="3" t="n">
        <v>1</v>
      </c>
      <c r="AF80" s="3" t="n">
        <v>1</v>
      </c>
      <c r="AG80" s="3" t="n">
        <v>2</v>
      </c>
      <c r="AH80" s="3" t="n">
        <v>1</v>
      </c>
      <c r="AI80" s="3" t="n">
        <v>1</v>
      </c>
      <c r="AJ80" s="3" t="n">
        <v>2</v>
      </c>
      <c r="AK80" s="3" t="n">
        <v>2</v>
      </c>
      <c r="AL80" s="3" t="n">
        <v>2</v>
      </c>
      <c r="AM80" s="3" t="n">
        <v>1</v>
      </c>
      <c r="AN80" s="3" t="n">
        <v>2</v>
      </c>
      <c r="AO80" s="3" t="n">
        <v>2</v>
      </c>
      <c r="AP80" s="3" t="n">
        <v>3</v>
      </c>
      <c r="AQ80" s="3" t="n">
        <v>4</v>
      </c>
      <c r="AR80" s="3" t="n">
        <v>4</v>
      </c>
      <c r="AS80" s="3" t="n">
        <v>6</v>
      </c>
      <c r="AT80" s="3" t="n">
        <v>4</v>
      </c>
      <c r="AU80" s="3" t="n">
        <v>4</v>
      </c>
      <c r="AV80" s="3" t="n">
        <v>6</v>
      </c>
      <c r="AW80" s="3" t="n">
        <v>6</v>
      </c>
      <c r="AX80" s="3" t="n">
        <v>3</v>
      </c>
      <c r="AY80" s="3" t="n">
        <v>3</v>
      </c>
      <c r="AZ80" s="3" t="n">
        <v>1</v>
      </c>
      <c r="BA80" s="5" t="n">
        <v>5</v>
      </c>
      <c r="BB80" s="3" t="n">
        <v>2</v>
      </c>
      <c r="BC80" s="3" t="n">
        <v>1</v>
      </c>
      <c r="BD80" s="3" t="n">
        <v>6</v>
      </c>
      <c r="BE80" s="3" t="n">
        <v>3</v>
      </c>
      <c r="BF80" s="3" t="n">
        <v>5</v>
      </c>
      <c r="BG80" s="3" t="n">
        <v>3</v>
      </c>
      <c r="BH80" s="3" t="n">
        <v>4</v>
      </c>
      <c r="BI80" s="3" t="n">
        <v>1</v>
      </c>
      <c r="BJ80" s="3" t="n">
        <v>1</v>
      </c>
      <c r="BK80" s="6" t="s">
        <v>338</v>
      </c>
    </row>
    <row r="81" customFormat="false" ht="15" hidden="false" customHeight="true" outlineLevel="0" collapsed="false">
      <c r="B81" s="2" t="s">
        <v>339</v>
      </c>
      <c r="C81" s="2" t="s">
        <v>340</v>
      </c>
      <c r="D81" s="2" t="s">
        <v>66</v>
      </c>
      <c r="E81" s="2" t="n">
        <v>163381</v>
      </c>
      <c r="F81" s="15" t="n">
        <v>43395</v>
      </c>
      <c r="G81" s="15" t="n">
        <v>43402</v>
      </c>
      <c r="H81" s="3" t="n">
        <v>7</v>
      </c>
      <c r="I81" s="3" t="n">
        <v>1</v>
      </c>
      <c r="J81" s="3" t="n">
        <v>58</v>
      </c>
      <c r="K81" s="3" t="n">
        <v>1</v>
      </c>
      <c r="L81" s="3" t="n">
        <v>2</v>
      </c>
      <c r="M81" s="3" t="n">
        <v>1</v>
      </c>
      <c r="N81" s="3" t="n">
        <v>2</v>
      </c>
      <c r="O81" s="3" t="n">
        <v>1</v>
      </c>
      <c r="P81" s="3" t="n">
        <v>2</v>
      </c>
      <c r="Q81" s="3" t="n">
        <v>1</v>
      </c>
      <c r="R81" s="3" t="n">
        <v>2</v>
      </c>
      <c r="S81" s="3" t="n">
        <v>1</v>
      </c>
      <c r="T81" s="4" t="n">
        <v>2</v>
      </c>
      <c r="U81" s="3" t="n">
        <v>2</v>
      </c>
      <c r="V81" s="3" t="n">
        <v>4.59</v>
      </c>
      <c r="W81" s="3" t="n">
        <v>2.44</v>
      </c>
      <c r="X81" s="3" t="n">
        <v>14.7</v>
      </c>
      <c r="Y81" s="3" t="n">
        <v>269</v>
      </c>
      <c r="AA81" s="3" t="n">
        <v>0.4</v>
      </c>
      <c r="AB81" s="3" t="n">
        <v>10.3</v>
      </c>
      <c r="AC81" s="3" t="n">
        <v>2</v>
      </c>
      <c r="AD81" s="3" t="n">
        <v>2</v>
      </c>
      <c r="AE81" s="3" t="n">
        <v>1</v>
      </c>
      <c r="AF81" s="3" t="n">
        <v>1</v>
      </c>
      <c r="AG81" s="3" t="n">
        <v>2</v>
      </c>
      <c r="AH81" s="3" t="n">
        <v>2</v>
      </c>
      <c r="AI81" s="3" t="n">
        <v>1</v>
      </c>
      <c r="AJ81" s="3" t="n">
        <v>1</v>
      </c>
      <c r="AK81" s="3" t="n">
        <v>2</v>
      </c>
      <c r="AL81" s="3" t="n">
        <v>2</v>
      </c>
      <c r="AM81" s="3" t="n">
        <v>1</v>
      </c>
      <c r="AN81" s="3" t="n">
        <v>2</v>
      </c>
      <c r="AO81" s="3" t="n">
        <v>2</v>
      </c>
      <c r="AP81" s="3" t="n">
        <v>3</v>
      </c>
      <c r="AQ81" s="3" t="n">
        <v>4</v>
      </c>
      <c r="AR81" s="3" t="n">
        <v>4</v>
      </c>
      <c r="AS81" s="3" t="n">
        <v>6</v>
      </c>
      <c r="AT81" s="3" t="n">
        <v>4</v>
      </c>
      <c r="AU81" s="3" t="n">
        <v>4</v>
      </c>
      <c r="AV81" s="3" t="n">
        <v>6</v>
      </c>
      <c r="AW81" s="3" t="n">
        <v>6</v>
      </c>
      <c r="AX81" s="3" t="n">
        <v>3</v>
      </c>
      <c r="AY81" s="3" t="n">
        <v>3</v>
      </c>
      <c r="AZ81" s="3" t="n">
        <v>9</v>
      </c>
      <c r="BA81" s="5" t="n">
        <v>1</v>
      </c>
      <c r="BB81" s="3" t="n">
        <v>1</v>
      </c>
      <c r="BC81" s="3" t="n">
        <v>1</v>
      </c>
      <c r="BD81" s="3" t="n">
        <v>2</v>
      </c>
      <c r="BE81" s="3" t="n">
        <v>3</v>
      </c>
      <c r="BF81" s="3" t="n">
        <v>5</v>
      </c>
      <c r="BG81" s="3" t="n">
        <v>3</v>
      </c>
      <c r="BH81" s="3" t="n">
        <v>4</v>
      </c>
      <c r="BI81" s="3" t="n">
        <v>1</v>
      </c>
      <c r="BJ81" s="3" t="n">
        <v>1</v>
      </c>
      <c r="BK81" s="6" t="s">
        <v>341</v>
      </c>
    </row>
    <row r="82" customFormat="false" ht="15" hidden="false" customHeight="true" outlineLevel="0" collapsed="false">
      <c r="A82" s="1" t="s">
        <v>125</v>
      </c>
      <c r="B82" s="2" t="s">
        <v>342</v>
      </c>
      <c r="C82" s="2" t="s">
        <v>343</v>
      </c>
      <c r="D82" s="2" t="s">
        <v>94</v>
      </c>
      <c r="E82" s="2" t="n">
        <v>163706</v>
      </c>
      <c r="F82" s="15" t="n">
        <v>43399</v>
      </c>
      <c r="G82" s="15" t="n">
        <v>43402</v>
      </c>
      <c r="H82" s="3" t="n">
        <v>3</v>
      </c>
      <c r="I82" s="3" t="n">
        <v>2</v>
      </c>
      <c r="J82" s="3" t="n">
        <v>55</v>
      </c>
      <c r="K82" s="3" t="n">
        <v>1</v>
      </c>
      <c r="L82" s="3" t="n">
        <v>1</v>
      </c>
      <c r="M82" s="3" t="n">
        <v>1</v>
      </c>
      <c r="N82" s="3" t="n">
        <v>2</v>
      </c>
      <c r="O82" s="3" t="n">
        <v>2</v>
      </c>
      <c r="P82" s="3" t="n">
        <v>2</v>
      </c>
      <c r="Q82" s="3" t="n">
        <v>2</v>
      </c>
      <c r="R82" s="3" t="n">
        <v>2</v>
      </c>
      <c r="S82" s="3" t="n">
        <v>1</v>
      </c>
      <c r="T82" s="4" t="n">
        <v>3</v>
      </c>
      <c r="U82" s="3" t="n">
        <v>4</v>
      </c>
      <c r="V82" s="3" t="n">
        <v>6.31</v>
      </c>
      <c r="W82" s="3" t="n">
        <v>4.49</v>
      </c>
      <c r="X82" s="3" t="n">
        <v>6.8</v>
      </c>
      <c r="Y82" s="3" t="n">
        <v>445</v>
      </c>
      <c r="AA82" s="3" t="n">
        <v>0.4</v>
      </c>
      <c r="AB82" s="3" t="n">
        <v>14.4</v>
      </c>
      <c r="AC82" s="3" t="n">
        <v>3</v>
      </c>
      <c r="AD82" s="3" t="n">
        <v>2</v>
      </c>
      <c r="AE82" s="3" t="n">
        <v>2</v>
      </c>
      <c r="AF82" s="3" t="n">
        <v>1</v>
      </c>
      <c r="AG82" s="3" t="n">
        <v>2</v>
      </c>
      <c r="AH82" s="3" t="n">
        <v>2</v>
      </c>
      <c r="AI82" s="3" t="n">
        <v>2</v>
      </c>
      <c r="AJ82" s="3" t="n">
        <v>1</v>
      </c>
      <c r="AK82" s="3" t="n">
        <v>2</v>
      </c>
      <c r="AL82" s="3" t="n">
        <v>2</v>
      </c>
      <c r="AM82" s="3" t="n">
        <v>1</v>
      </c>
      <c r="AN82" s="3" t="n">
        <v>2</v>
      </c>
      <c r="AO82" s="3" t="n">
        <v>2</v>
      </c>
      <c r="AP82" s="3" t="n">
        <v>3</v>
      </c>
      <c r="AQ82" s="3" t="n">
        <v>4</v>
      </c>
      <c r="AR82" s="3" t="n">
        <v>4</v>
      </c>
      <c r="AS82" s="3" t="n">
        <v>6</v>
      </c>
      <c r="AT82" s="3" t="n">
        <v>4</v>
      </c>
      <c r="AU82" s="3" t="n">
        <v>4</v>
      </c>
      <c r="AV82" s="3" t="n">
        <v>6</v>
      </c>
      <c r="AW82" s="3" t="n">
        <v>6</v>
      </c>
      <c r="AX82" s="3" t="n">
        <v>3</v>
      </c>
      <c r="AY82" s="3" t="n">
        <v>3</v>
      </c>
      <c r="AZ82" s="3" t="n">
        <v>8</v>
      </c>
      <c r="BA82" s="5" t="n">
        <v>11</v>
      </c>
      <c r="BB82" s="3" t="n">
        <v>2</v>
      </c>
      <c r="BC82" s="3" t="n">
        <v>1</v>
      </c>
      <c r="BD82" s="3" t="n">
        <v>6</v>
      </c>
      <c r="BE82" s="3" t="n">
        <v>3</v>
      </c>
      <c r="BF82" s="3" t="n">
        <v>5</v>
      </c>
      <c r="BG82" s="3" t="n">
        <v>3</v>
      </c>
      <c r="BH82" s="3" t="n">
        <v>4</v>
      </c>
      <c r="BI82" s="3" t="n">
        <v>1</v>
      </c>
      <c r="BJ82" s="3" t="n">
        <v>1</v>
      </c>
      <c r="BK82" s="6" t="s">
        <v>344</v>
      </c>
    </row>
    <row r="83" customFormat="false" ht="15" hidden="false" customHeight="true" outlineLevel="0" collapsed="false">
      <c r="B83" s="2" t="s">
        <v>345</v>
      </c>
      <c r="C83" s="2" t="s">
        <v>346</v>
      </c>
      <c r="D83" s="2" t="s">
        <v>95</v>
      </c>
      <c r="E83" s="2" t="n">
        <v>163708</v>
      </c>
      <c r="F83" s="15" t="n">
        <v>43399</v>
      </c>
      <c r="G83" s="15" t="n">
        <v>43403</v>
      </c>
      <c r="H83" s="3" t="n">
        <v>4</v>
      </c>
      <c r="I83" s="3" t="n">
        <v>2</v>
      </c>
      <c r="J83" s="3" t="n">
        <v>82</v>
      </c>
      <c r="K83" s="3" t="n">
        <v>1</v>
      </c>
      <c r="L83" s="3" t="n">
        <v>2</v>
      </c>
      <c r="M83" s="3" t="n">
        <v>2</v>
      </c>
      <c r="N83" s="3" t="n">
        <v>2</v>
      </c>
      <c r="O83" s="3" t="n">
        <v>2</v>
      </c>
      <c r="P83" s="3" t="n">
        <v>2</v>
      </c>
      <c r="Q83" s="3" t="n">
        <v>2</v>
      </c>
      <c r="R83" s="3" t="n">
        <v>2</v>
      </c>
      <c r="S83" s="3" t="n">
        <v>2</v>
      </c>
      <c r="T83" s="4" t="n">
        <v>4</v>
      </c>
      <c r="U83" s="3" t="n">
        <v>4</v>
      </c>
      <c r="V83" s="3" t="n">
        <v>3.75</v>
      </c>
      <c r="W83" s="3" t="n">
        <v>1.1</v>
      </c>
      <c r="X83" s="3" t="n">
        <v>5.2</v>
      </c>
      <c r="Y83" s="3" t="n">
        <v>355</v>
      </c>
      <c r="AA83" s="3" t="n">
        <v>0.37</v>
      </c>
      <c r="AB83" s="3" t="n">
        <v>10.8</v>
      </c>
      <c r="AC83" s="3" t="n">
        <v>3</v>
      </c>
      <c r="AD83" s="3" t="n">
        <v>2</v>
      </c>
      <c r="AE83" s="3" t="n">
        <v>2</v>
      </c>
      <c r="AF83" s="3" t="n">
        <v>2</v>
      </c>
      <c r="AG83" s="3" t="n">
        <v>2</v>
      </c>
      <c r="AH83" s="3" t="n">
        <v>2</v>
      </c>
      <c r="AI83" s="3" t="n">
        <v>2</v>
      </c>
      <c r="AJ83" s="3" t="n">
        <v>2</v>
      </c>
      <c r="AK83" s="3" t="n">
        <v>2</v>
      </c>
      <c r="AL83" s="3" t="n">
        <v>2</v>
      </c>
      <c r="AM83" s="3" t="n">
        <v>2</v>
      </c>
      <c r="AN83" s="3" t="n">
        <v>2</v>
      </c>
      <c r="AO83" s="3" t="n">
        <v>2</v>
      </c>
      <c r="AP83" s="3" t="n">
        <v>3</v>
      </c>
      <c r="AQ83" s="3" t="n">
        <v>4</v>
      </c>
      <c r="AR83" s="3" t="n">
        <v>4</v>
      </c>
      <c r="AS83" s="3" t="n">
        <v>6</v>
      </c>
      <c r="AT83" s="3" t="n">
        <v>4</v>
      </c>
      <c r="AU83" s="3" t="n">
        <v>4</v>
      </c>
      <c r="AV83" s="3" t="n">
        <v>6</v>
      </c>
      <c r="AW83" s="3" t="n">
        <v>6</v>
      </c>
      <c r="AX83" s="3" t="n">
        <v>3</v>
      </c>
      <c r="AY83" s="3" t="n">
        <v>3</v>
      </c>
      <c r="AZ83" s="3" t="n">
        <v>1</v>
      </c>
      <c r="BA83" s="5" t="n">
        <v>10</v>
      </c>
      <c r="BB83" s="3" t="n">
        <v>2</v>
      </c>
      <c r="BC83" s="3" t="n">
        <v>1</v>
      </c>
      <c r="BD83" s="3" t="n">
        <v>6</v>
      </c>
      <c r="BE83" s="3" t="n">
        <v>3</v>
      </c>
      <c r="BF83" s="3" t="n">
        <v>5</v>
      </c>
      <c r="BG83" s="3" t="n">
        <v>3</v>
      </c>
      <c r="BH83" s="3" t="n">
        <v>4</v>
      </c>
      <c r="BI83" s="3" t="n">
        <v>1</v>
      </c>
      <c r="BJ83" s="3" t="n">
        <v>1</v>
      </c>
      <c r="BK83" s="6" t="s">
        <v>347</v>
      </c>
    </row>
    <row r="84" customFormat="false" ht="15" hidden="false" customHeight="true" outlineLevel="0" collapsed="false">
      <c r="B84" s="2" t="s">
        <v>348</v>
      </c>
      <c r="C84" s="2" t="s">
        <v>349</v>
      </c>
      <c r="D84" s="2" t="s">
        <v>350</v>
      </c>
      <c r="E84" s="2" t="n">
        <v>902260</v>
      </c>
      <c r="F84" s="15" t="n">
        <v>43392</v>
      </c>
      <c r="G84" s="15" t="n">
        <v>43404</v>
      </c>
      <c r="H84" s="3" t="n">
        <v>12</v>
      </c>
      <c r="I84" s="3" t="n">
        <v>1</v>
      </c>
      <c r="J84" s="3" t="n">
        <v>55</v>
      </c>
      <c r="K84" s="3" t="n">
        <v>1</v>
      </c>
      <c r="L84" s="3" t="n">
        <v>1</v>
      </c>
      <c r="M84" s="3" t="n">
        <v>1</v>
      </c>
      <c r="N84" s="3" t="n">
        <v>1</v>
      </c>
      <c r="O84" s="3" t="n">
        <v>2</v>
      </c>
      <c r="P84" s="3" t="n">
        <v>2</v>
      </c>
      <c r="Q84" s="3" t="n">
        <v>2</v>
      </c>
      <c r="R84" s="3" t="n">
        <v>2</v>
      </c>
      <c r="S84" s="3" t="n">
        <v>1</v>
      </c>
      <c r="T84" s="4" t="n">
        <v>1</v>
      </c>
      <c r="U84" s="3" t="n">
        <v>1</v>
      </c>
      <c r="V84" s="3" t="n">
        <v>4.25</v>
      </c>
      <c r="W84" s="3" t="n">
        <v>3.41</v>
      </c>
      <c r="X84" s="3" t="n">
        <v>4.84</v>
      </c>
      <c r="Y84" s="3" t="n">
        <v>433</v>
      </c>
      <c r="AA84" s="3" t="n">
        <v>0.38</v>
      </c>
      <c r="AB84" s="3" t="n">
        <v>11</v>
      </c>
      <c r="AC84" s="3" t="n">
        <v>2</v>
      </c>
      <c r="AD84" s="3" t="n">
        <v>1</v>
      </c>
      <c r="AE84" s="3" t="n">
        <v>1</v>
      </c>
      <c r="AF84" s="3" t="n">
        <v>1</v>
      </c>
      <c r="AG84" s="3" t="n">
        <v>2</v>
      </c>
      <c r="AH84" s="3" t="n">
        <v>2</v>
      </c>
      <c r="AI84" s="3" t="n">
        <v>1</v>
      </c>
      <c r="AJ84" s="3" t="n">
        <v>1</v>
      </c>
      <c r="AK84" s="3" t="n">
        <v>2</v>
      </c>
      <c r="AL84" s="3" t="n">
        <v>2</v>
      </c>
      <c r="AM84" s="3" t="n">
        <v>1</v>
      </c>
      <c r="AN84" s="3" t="n">
        <v>2</v>
      </c>
      <c r="AO84" s="3" t="n">
        <v>2</v>
      </c>
      <c r="AP84" s="3" t="n">
        <v>1</v>
      </c>
      <c r="AQ84" s="3" t="n">
        <v>3</v>
      </c>
      <c r="AR84" s="3" t="n">
        <v>4</v>
      </c>
      <c r="AS84" s="3" t="n">
        <v>6</v>
      </c>
      <c r="AT84" s="3" t="n">
        <v>4</v>
      </c>
      <c r="AU84" s="3" t="n">
        <v>4</v>
      </c>
      <c r="AV84" s="3" t="n">
        <v>1</v>
      </c>
      <c r="AW84" s="3" t="n">
        <v>6</v>
      </c>
      <c r="AX84" s="3" t="n">
        <v>2</v>
      </c>
      <c r="AY84" s="3" t="n">
        <v>1</v>
      </c>
      <c r="AZ84" s="3" t="n">
        <v>1</v>
      </c>
      <c r="BA84" s="5" t="n">
        <v>5</v>
      </c>
      <c r="BB84" s="3" t="n">
        <v>2</v>
      </c>
      <c r="BC84" s="3" t="n">
        <v>1</v>
      </c>
      <c r="BD84" s="3" t="n">
        <v>6</v>
      </c>
      <c r="BE84" s="3" t="n">
        <v>3</v>
      </c>
      <c r="BF84" s="3" t="n">
        <v>5</v>
      </c>
      <c r="BG84" s="3" t="n">
        <v>3</v>
      </c>
      <c r="BH84" s="3" t="n">
        <v>4</v>
      </c>
      <c r="BI84" s="3" t="n">
        <v>1</v>
      </c>
      <c r="BJ84" s="3" t="n">
        <v>1</v>
      </c>
      <c r="BK84" s="6" t="s">
        <v>351</v>
      </c>
    </row>
    <row r="85" customFormat="false" ht="15" hidden="false" customHeight="true" outlineLevel="0" collapsed="false">
      <c r="B85" s="2" t="s">
        <v>352</v>
      </c>
      <c r="C85" s="2" t="s">
        <v>197</v>
      </c>
      <c r="D85" s="2" t="s">
        <v>244</v>
      </c>
      <c r="E85" s="2" t="n">
        <v>108947</v>
      </c>
      <c r="F85" s="15" t="n">
        <v>43402</v>
      </c>
      <c r="G85" s="15" t="n">
        <v>43404</v>
      </c>
      <c r="H85" s="3" t="n">
        <v>2</v>
      </c>
      <c r="I85" s="3" t="n">
        <v>2</v>
      </c>
      <c r="J85" s="3" t="n">
        <v>79</v>
      </c>
      <c r="K85" s="3" t="n">
        <v>2</v>
      </c>
      <c r="L85" s="3" t="n">
        <v>2</v>
      </c>
      <c r="M85" s="3" t="n">
        <v>1</v>
      </c>
      <c r="N85" s="3" t="n">
        <v>1</v>
      </c>
      <c r="O85" s="3" t="n">
        <v>2</v>
      </c>
      <c r="P85" s="3" t="n">
        <v>2</v>
      </c>
      <c r="Q85" s="3" t="n">
        <v>1</v>
      </c>
      <c r="R85" s="3" t="n">
        <v>2</v>
      </c>
      <c r="S85" s="3" t="n">
        <v>2</v>
      </c>
      <c r="T85" s="4" t="n">
        <v>3</v>
      </c>
      <c r="U85" s="3" t="n">
        <v>4</v>
      </c>
      <c r="V85" s="3" t="n">
        <v>4.79</v>
      </c>
      <c r="W85" s="3" t="n">
        <v>1.08</v>
      </c>
      <c r="X85" s="3" t="n">
        <v>4</v>
      </c>
      <c r="Y85" s="3" t="n">
        <v>673</v>
      </c>
      <c r="AA85" s="3" t="n">
        <v>0.42</v>
      </c>
      <c r="AB85" s="3" t="n">
        <v>9.5</v>
      </c>
      <c r="AC85" s="3" t="n">
        <v>2</v>
      </c>
      <c r="AD85" s="3" t="n">
        <v>2</v>
      </c>
      <c r="AE85" s="3" t="n">
        <v>1</v>
      </c>
      <c r="AF85" s="3" t="n">
        <v>1</v>
      </c>
      <c r="AG85" s="3" t="n">
        <v>2</v>
      </c>
      <c r="AH85" s="3" t="n">
        <v>2</v>
      </c>
      <c r="AI85" s="3" t="n">
        <v>2</v>
      </c>
      <c r="AJ85" s="3" t="n">
        <v>2</v>
      </c>
      <c r="AK85" s="3" t="n">
        <v>1</v>
      </c>
      <c r="AL85" s="3" t="n">
        <v>1</v>
      </c>
      <c r="AM85" s="3" t="n">
        <v>1</v>
      </c>
      <c r="AN85" s="3" t="n">
        <v>2</v>
      </c>
      <c r="AO85" s="3" t="n">
        <v>2</v>
      </c>
      <c r="AP85" s="3" t="n">
        <v>3</v>
      </c>
      <c r="AQ85" s="3" t="n">
        <v>4</v>
      </c>
      <c r="AR85" s="3" t="n">
        <v>4</v>
      </c>
      <c r="AS85" s="3" t="n">
        <v>6</v>
      </c>
      <c r="AT85" s="3" t="n">
        <v>4</v>
      </c>
      <c r="AU85" s="3" t="n">
        <v>4</v>
      </c>
      <c r="AV85" s="3" t="n">
        <v>6</v>
      </c>
      <c r="AW85" s="3" t="n">
        <v>6</v>
      </c>
      <c r="AX85" s="3" t="n">
        <v>3</v>
      </c>
      <c r="AY85" s="3" t="n">
        <v>3</v>
      </c>
      <c r="AZ85" s="3" t="n">
        <v>1</v>
      </c>
      <c r="BA85" s="5" t="n">
        <v>11</v>
      </c>
      <c r="BB85" s="3" t="n">
        <v>2</v>
      </c>
      <c r="BC85" s="3" t="n">
        <v>1</v>
      </c>
      <c r="BD85" s="3" t="n">
        <v>6</v>
      </c>
      <c r="BE85" s="3" t="n">
        <v>3</v>
      </c>
      <c r="BF85" s="3" t="n">
        <v>5</v>
      </c>
      <c r="BG85" s="3" t="n">
        <v>3</v>
      </c>
      <c r="BH85" s="3" t="n">
        <v>5</v>
      </c>
      <c r="BI85" s="3" t="n">
        <v>1</v>
      </c>
      <c r="BJ85" s="3" t="n">
        <v>1</v>
      </c>
      <c r="BK85" s="6" t="s">
        <v>353</v>
      </c>
    </row>
    <row r="86" customFormat="false" ht="15" hidden="false" customHeight="true" outlineLevel="0" collapsed="false">
      <c r="B86" s="2" t="s">
        <v>354</v>
      </c>
      <c r="C86" s="2" t="s">
        <v>355</v>
      </c>
      <c r="D86" s="2" t="s">
        <v>94</v>
      </c>
      <c r="E86" s="2" t="n">
        <v>163782</v>
      </c>
      <c r="F86" s="15" t="n">
        <v>43402</v>
      </c>
      <c r="G86" s="15" t="n">
        <v>43405</v>
      </c>
      <c r="H86" s="3" t="n">
        <v>2</v>
      </c>
      <c r="I86" s="3" t="n">
        <v>2</v>
      </c>
      <c r="J86" s="3" t="n">
        <v>76</v>
      </c>
      <c r="K86" s="3" t="n">
        <v>1</v>
      </c>
      <c r="L86" s="3" t="n">
        <v>2</v>
      </c>
      <c r="M86" s="3" t="n">
        <v>1</v>
      </c>
      <c r="N86" s="3" t="n">
        <v>2</v>
      </c>
      <c r="O86" s="3" t="n">
        <v>2</v>
      </c>
      <c r="P86" s="3" t="n">
        <v>2</v>
      </c>
      <c r="Q86" s="3" t="n">
        <v>2</v>
      </c>
      <c r="R86" s="3" t="n">
        <v>2</v>
      </c>
      <c r="S86" s="3" t="n">
        <v>1</v>
      </c>
      <c r="T86" s="4" t="n">
        <v>6</v>
      </c>
      <c r="U86" s="3" t="n">
        <v>4</v>
      </c>
      <c r="V86" s="3" t="n">
        <v>3.71</v>
      </c>
      <c r="W86" s="3" t="n">
        <v>0.97</v>
      </c>
      <c r="X86" s="3" t="n">
        <v>6.4</v>
      </c>
      <c r="Y86" s="3" t="n">
        <v>313</v>
      </c>
      <c r="AA86" s="3" t="n">
        <v>0.36</v>
      </c>
      <c r="AB86" s="3" t="n">
        <v>7.8</v>
      </c>
      <c r="AC86" s="3" t="n">
        <v>3</v>
      </c>
      <c r="AD86" s="3" t="n">
        <v>1</v>
      </c>
      <c r="AE86" s="3" t="n">
        <v>2</v>
      </c>
      <c r="AF86" s="3" t="n">
        <v>2</v>
      </c>
      <c r="AG86" s="3" t="n">
        <v>2</v>
      </c>
      <c r="AH86" s="3" t="n">
        <v>2</v>
      </c>
      <c r="AI86" s="3" t="n">
        <v>1</v>
      </c>
      <c r="AJ86" s="3" t="n">
        <v>1</v>
      </c>
      <c r="AK86" s="3" t="n">
        <v>2</v>
      </c>
      <c r="AL86" s="3" t="n">
        <v>2</v>
      </c>
      <c r="AM86" s="3" t="n">
        <v>2</v>
      </c>
      <c r="AN86" s="3" t="n">
        <v>2</v>
      </c>
      <c r="AO86" s="3" t="n">
        <v>2</v>
      </c>
      <c r="AP86" s="3" t="n">
        <v>3</v>
      </c>
      <c r="AQ86" s="3" t="n">
        <v>4</v>
      </c>
      <c r="AR86" s="3" t="n">
        <v>4</v>
      </c>
      <c r="AS86" s="3" t="n">
        <v>6</v>
      </c>
      <c r="AT86" s="3" t="n">
        <v>4</v>
      </c>
      <c r="AU86" s="3" t="n">
        <v>4</v>
      </c>
      <c r="AV86" s="3" t="n">
        <v>6</v>
      </c>
      <c r="AW86" s="3" t="n">
        <v>6</v>
      </c>
      <c r="AX86" s="3" t="n">
        <v>3</v>
      </c>
      <c r="AY86" s="3" t="n">
        <v>3</v>
      </c>
      <c r="AZ86" s="3" t="n">
        <v>1</v>
      </c>
      <c r="BA86" s="5" t="n">
        <v>6</v>
      </c>
      <c r="BB86" s="3" t="n">
        <v>2</v>
      </c>
      <c r="BC86" s="3" t="n">
        <v>1</v>
      </c>
      <c r="BD86" s="3" t="n">
        <v>6</v>
      </c>
      <c r="BE86" s="3" t="n">
        <v>3</v>
      </c>
      <c r="BF86" s="3" t="n">
        <v>5</v>
      </c>
      <c r="BG86" s="3" t="n">
        <v>3</v>
      </c>
      <c r="BH86" s="3" t="n">
        <v>4</v>
      </c>
      <c r="BI86" s="3" t="n">
        <v>1</v>
      </c>
      <c r="BJ86" s="3" t="n">
        <v>1</v>
      </c>
      <c r="BK86" s="6" t="s">
        <v>356</v>
      </c>
    </row>
    <row r="87" customFormat="false" ht="15" hidden="false" customHeight="true" outlineLevel="0" collapsed="false">
      <c r="B87" s="2" t="s">
        <v>357</v>
      </c>
      <c r="C87" s="2" t="s">
        <v>94</v>
      </c>
      <c r="D87" s="2" t="s">
        <v>79</v>
      </c>
      <c r="E87" s="2" t="n">
        <v>163729</v>
      </c>
      <c r="F87" s="15" t="n">
        <v>43400</v>
      </c>
      <c r="G87" s="15" t="n">
        <v>43405</v>
      </c>
      <c r="H87" s="3" t="n">
        <v>5</v>
      </c>
      <c r="I87" s="3" t="n">
        <v>1</v>
      </c>
      <c r="J87" s="3" t="n">
        <v>68</v>
      </c>
      <c r="K87" s="3" t="n">
        <v>1</v>
      </c>
      <c r="L87" s="3" t="n">
        <v>2</v>
      </c>
      <c r="M87" s="3" t="n">
        <v>1</v>
      </c>
      <c r="N87" s="3" t="n">
        <v>2</v>
      </c>
      <c r="O87" s="3" t="n">
        <v>1</v>
      </c>
      <c r="P87" s="3" t="n">
        <v>2</v>
      </c>
      <c r="Q87" s="3" t="n">
        <v>1</v>
      </c>
      <c r="R87" s="3" t="n">
        <v>2</v>
      </c>
      <c r="S87" s="3" t="n">
        <v>2</v>
      </c>
      <c r="T87" s="4" t="n">
        <v>1</v>
      </c>
      <c r="U87" s="3" t="n">
        <v>1</v>
      </c>
      <c r="V87" s="3" t="s">
        <v>358</v>
      </c>
      <c r="W87" s="3" t="s">
        <v>358</v>
      </c>
      <c r="X87" s="3" t="n">
        <v>8.1</v>
      </c>
      <c r="Y87" s="3" t="n">
        <v>329</v>
      </c>
      <c r="AA87" s="3" t="n">
        <v>0.39</v>
      </c>
      <c r="AB87" s="3" t="n">
        <v>6.5</v>
      </c>
      <c r="AC87" s="3" t="n">
        <v>1</v>
      </c>
      <c r="AD87" s="3" t="n">
        <v>1</v>
      </c>
      <c r="AE87" s="3" t="n">
        <v>1</v>
      </c>
      <c r="AF87" s="3" t="n">
        <v>1</v>
      </c>
      <c r="AG87" s="3" t="n">
        <v>2</v>
      </c>
      <c r="AH87" s="3" t="n">
        <v>1</v>
      </c>
      <c r="AI87" s="3" t="n">
        <v>1</v>
      </c>
      <c r="AJ87" s="3" t="n">
        <v>1</v>
      </c>
      <c r="AK87" s="3" t="n">
        <v>1</v>
      </c>
      <c r="AL87" s="3" t="n">
        <v>2</v>
      </c>
      <c r="AM87" s="3" t="n">
        <v>1</v>
      </c>
      <c r="AN87" s="3" t="n">
        <v>2</v>
      </c>
      <c r="AO87" s="3" t="n">
        <v>2</v>
      </c>
      <c r="AP87" s="3" t="n">
        <v>3</v>
      </c>
      <c r="AQ87" s="3" t="n">
        <v>4</v>
      </c>
      <c r="AR87" s="3" t="n">
        <v>4</v>
      </c>
      <c r="AS87" s="3" t="n">
        <v>6</v>
      </c>
      <c r="AT87" s="3" t="n">
        <v>4</v>
      </c>
      <c r="AU87" s="3" t="n">
        <v>4</v>
      </c>
      <c r="AV87" s="3" t="n">
        <v>6</v>
      </c>
      <c r="AW87" s="3" t="n">
        <v>6</v>
      </c>
      <c r="AX87" s="3" t="n">
        <v>3</v>
      </c>
      <c r="AY87" s="3" t="n">
        <v>3</v>
      </c>
      <c r="AZ87" s="3" t="n">
        <v>1</v>
      </c>
      <c r="BA87" s="5" t="n">
        <v>5</v>
      </c>
      <c r="BB87" s="3" t="n">
        <v>2</v>
      </c>
      <c r="BC87" s="3" t="n">
        <v>1</v>
      </c>
      <c r="BD87" s="3" t="n">
        <v>6</v>
      </c>
      <c r="BE87" s="3" t="n">
        <v>3</v>
      </c>
      <c r="BF87" s="3" t="n">
        <v>5</v>
      </c>
      <c r="BG87" s="3" t="n">
        <v>3</v>
      </c>
      <c r="BH87" s="3" t="n">
        <v>4</v>
      </c>
      <c r="BI87" s="3" t="n">
        <v>1</v>
      </c>
      <c r="BJ87" s="3" t="n">
        <v>1</v>
      </c>
      <c r="BK87" s="6" t="s">
        <v>359</v>
      </c>
    </row>
    <row r="88" customFormat="false" ht="15" hidden="false" customHeight="true" outlineLevel="0" collapsed="false">
      <c r="B88" s="2" t="s">
        <v>360</v>
      </c>
      <c r="C88" s="2" t="s">
        <v>361</v>
      </c>
      <c r="D88" s="2" t="s">
        <v>78</v>
      </c>
      <c r="E88" s="2" t="n">
        <v>163784</v>
      </c>
      <c r="F88" s="15" t="n">
        <v>43402</v>
      </c>
      <c r="G88" s="15" t="n">
        <v>43405</v>
      </c>
      <c r="H88" s="3" t="n">
        <v>3</v>
      </c>
      <c r="I88" s="3" t="n">
        <v>1</v>
      </c>
      <c r="J88" s="3" t="n">
        <v>66</v>
      </c>
      <c r="K88" s="3" t="n">
        <v>2</v>
      </c>
      <c r="L88" s="3" t="n">
        <v>2</v>
      </c>
      <c r="M88" s="3" t="n">
        <v>1</v>
      </c>
      <c r="N88" s="3" t="n">
        <v>2</v>
      </c>
      <c r="O88" s="3" t="n">
        <v>2</v>
      </c>
      <c r="P88" s="3" t="n">
        <v>2</v>
      </c>
      <c r="Q88" s="3" t="n">
        <v>1</v>
      </c>
      <c r="R88" s="3" t="n">
        <v>2</v>
      </c>
      <c r="S88" s="3" t="n">
        <v>2</v>
      </c>
      <c r="T88" s="4" t="n">
        <v>4</v>
      </c>
      <c r="U88" s="3" t="n">
        <v>4</v>
      </c>
      <c r="AC88" s="3" t="n">
        <v>3</v>
      </c>
      <c r="AD88" s="3" t="n">
        <v>2</v>
      </c>
      <c r="AE88" s="3" t="n">
        <v>2</v>
      </c>
      <c r="AF88" s="3" t="n">
        <v>2</v>
      </c>
      <c r="AG88" s="3" t="n">
        <v>2</v>
      </c>
      <c r="AH88" s="3" t="n">
        <v>1</v>
      </c>
      <c r="AI88" s="3" t="n">
        <v>2</v>
      </c>
      <c r="AJ88" s="3" t="n">
        <v>2</v>
      </c>
      <c r="AK88" s="3" t="n">
        <v>2</v>
      </c>
      <c r="AL88" s="3" t="n">
        <v>2</v>
      </c>
      <c r="AM88" s="3" t="n">
        <v>1</v>
      </c>
      <c r="AN88" s="3" t="n">
        <v>2</v>
      </c>
      <c r="AO88" s="3" t="n">
        <v>2</v>
      </c>
      <c r="AP88" s="3" t="n">
        <v>3</v>
      </c>
      <c r="AQ88" s="3" t="n">
        <v>4</v>
      </c>
      <c r="AR88" s="3" t="n">
        <v>4</v>
      </c>
      <c r="AS88" s="3" t="n">
        <v>6</v>
      </c>
      <c r="AT88" s="3" t="n">
        <v>4</v>
      </c>
      <c r="AU88" s="3" t="n">
        <v>4</v>
      </c>
      <c r="AV88" s="3" t="n">
        <v>6</v>
      </c>
      <c r="AW88" s="3" t="n">
        <v>6</v>
      </c>
      <c r="AX88" s="3" t="n">
        <v>3</v>
      </c>
      <c r="AY88" s="3" t="n">
        <v>3</v>
      </c>
      <c r="AZ88" s="3" t="n">
        <v>1</v>
      </c>
      <c r="BA88" s="5" t="n">
        <v>10</v>
      </c>
      <c r="BB88" s="3" t="n">
        <v>2</v>
      </c>
      <c r="BC88" s="3" t="n">
        <v>1</v>
      </c>
      <c r="BD88" s="3" t="n">
        <v>6</v>
      </c>
      <c r="BE88" s="3" t="n">
        <v>3</v>
      </c>
      <c r="BF88" s="3" t="n">
        <v>5</v>
      </c>
      <c r="BG88" s="3" t="n">
        <v>3</v>
      </c>
      <c r="BH88" s="3" t="n">
        <v>4</v>
      </c>
      <c r="BI88" s="3" t="n">
        <v>1</v>
      </c>
      <c r="BJ88" s="3" t="n">
        <v>1</v>
      </c>
      <c r="BK88" s="6" t="s">
        <v>362</v>
      </c>
    </row>
    <row r="89" customFormat="false" ht="15" hidden="false" customHeight="true" outlineLevel="0" collapsed="false">
      <c r="B89" s="2" t="s">
        <v>363</v>
      </c>
      <c r="C89" s="2" t="s">
        <v>364</v>
      </c>
      <c r="D89" s="2" t="s">
        <v>95</v>
      </c>
      <c r="E89" s="2" t="n">
        <v>163704</v>
      </c>
      <c r="F89" s="15" t="n">
        <v>43399</v>
      </c>
      <c r="G89" s="15" t="n">
        <v>43405</v>
      </c>
      <c r="H89" s="3" t="n">
        <v>5</v>
      </c>
      <c r="I89" s="3" t="n">
        <v>1</v>
      </c>
      <c r="J89" s="3" t="n">
        <v>79</v>
      </c>
      <c r="K89" s="3" t="n">
        <v>2</v>
      </c>
      <c r="L89" s="3" t="n">
        <v>2</v>
      </c>
      <c r="M89" s="3" t="n">
        <v>1</v>
      </c>
      <c r="N89" s="3" t="n">
        <v>2</v>
      </c>
      <c r="O89" s="3" t="n">
        <v>2</v>
      </c>
      <c r="P89" s="3" t="n">
        <v>2</v>
      </c>
      <c r="Q89" s="3" t="n">
        <v>2</v>
      </c>
      <c r="R89" s="3" t="n">
        <v>2</v>
      </c>
      <c r="S89" s="3" t="n">
        <v>2</v>
      </c>
      <c r="T89" s="4" t="n">
        <v>4</v>
      </c>
      <c r="U89" s="3" t="n">
        <v>4</v>
      </c>
      <c r="V89" s="3" t="n">
        <v>4.65</v>
      </c>
      <c r="W89" s="3" t="n">
        <v>1.6</v>
      </c>
      <c r="X89" s="3" t="n">
        <v>6.4</v>
      </c>
      <c r="Y89" s="3" t="n">
        <v>468</v>
      </c>
      <c r="AA89" s="3" t="n">
        <v>0.45</v>
      </c>
      <c r="AB89" s="3" t="n">
        <v>6.6</v>
      </c>
      <c r="AC89" s="3" t="n">
        <v>3</v>
      </c>
      <c r="AD89" s="3" t="n">
        <v>2</v>
      </c>
      <c r="AE89" s="3" t="n">
        <v>2</v>
      </c>
      <c r="AF89" s="3" t="n">
        <v>2</v>
      </c>
      <c r="AG89" s="3" t="n">
        <v>2</v>
      </c>
      <c r="AH89" s="3" t="n">
        <v>2</v>
      </c>
      <c r="AI89" s="3" t="n">
        <v>2</v>
      </c>
      <c r="AJ89" s="3" t="n">
        <v>1</v>
      </c>
      <c r="AK89" s="3" t="n">
        <v>2</v>
      </c>
      <c r="AL89" s="3" t="n">
        <v>2</v>
      </c>
      <c r="AM89" s="3" t="n">
        <v>1</v>
      </c>
      <c r="AN89" s="3" t="n">
        <v>2</v>
      </c>
      <c r="AO89" s="3" t="n">
        <v>2</v>
      </c>
      <c r="AP89" s="3" t="n">
        <v>3</v>
      </c>
      <c r="AQ89" s="3" t="n">
        <v>4</v>
      </c>
      <c r="AR89" s="3" t="n">
        <v>4</v>
      </c>
      <c r="AS89" s="3" t="n">
        <v>6</v>
      </c>
      <c r="AT89" s="3" t="n">
        <v>4</v>
      </c>
      <c r="AU89" s="3" t="n">
        <v>4</v>
      </c>
      <c r="AV89" s="3" t="n">
        <v>6</v>
      </c>
      <c r="AW89" s="3" t="n">
        <v>6</v>
      </c>
      <c r="AX89" s="3" t="n">
        <v>3</v>
      </c>
      <c r="AY89" s="3" t="n">
        <v>3</v>
      </c>
      <c r="AZ89" s="3" t="n">
        <v>1</v>
      </c>
      <c r="BA89" s="5" t="n">
        <v>10</v>
      </c>
      <c r="BB89" s="3" t="n">
        <v>2</v>
      </c>
      <c r="BC89" s="3" t="n">
        <v>1</v>
      </c>
      <c r="BD89" s="3" t="n">
        <v>6</v>
      </c>
      <c r="BE89" s="3" t="n">
        <v>3</v>
      </c>
      <c r="BF89" s="3" t="n">
        <v>5</v>
      </c>
      <c r="BG89" s="3" t="n">
        <v>3</v>
      </c>
      <c r="BH89" s="3" t="n">
        <v>4</v>
      </c>
      <c r="BI89" s="3" t="n">
        <v>1</v>
      </c>
      <c r="BJ89" s="3" t="n">
        <v>1</v>
      </c>
      <c r="BK89" s="6" t="s">
        <v>365</v>
      </c>
    </row>
    <row r="90" customFormat="false" ht="15" hidden="false" customHeight="true" outlineLevel="0" collapsed="false">
      <c r="B90" s="17" t="s">
        <v>117</v>
      </c>
      <c r="C90" s="17" t="s">
        <v>118</v>
      </c>
      <c r="D90" s="17" t="s">
        <v>118</v>
      </c>
      <c r="E90" s="14" t="n">
        <v>141143</v>
      </c>
      <c r="F90" s="15" t="n">
        <v>43402</v>
      </c>
      <c r="G90" s="22" t="n">
        <v>43405</v>
      </c>
      <c r="H90" s="23" t="n">
        <v>3</v>
      </c>
      <c r="I90" s="3" t="n">
        <v>2</v>
      </c>
      <c r="J90" s="3" t="n">
        <v>66</v>
      </c>
      <c r="K90" s="3" t="n">
        <v>1</v>
      </c>
      <c r="L90" s="3" t="n">
        <v>2</v>
      </c>
      <c r="M90" s="3" t="n">
        <v>1</v>
      </c>
      <c r="N90" s="3" t="n">
        <v>2</v>
      </c>
      <c r="O90" s="3" t="n">
        <v>2</v>
      </c>
      <c r="P90" s="3" t="n">
        <v>2</v>
      </c>
      <c r="Q90" s="3" t="n">
        <v>2</v>
      </c>
      <c r="R90" s="3" t="n">
        <v>2</v>
      </c>
      <c r="S90" s="3" t="n">
        <v>3</v>
      </c>
      <c r="T90" s="4" t="n">
        <v>5</v>
      </c>
      <c r="U90" s="3" t="n">
        <v>1</v>
      </c>
      <c r="V90" s="23"/>
      <c r="W90" s="23"/>
      <c r="X90" s="23"/>
      <c r="Y90" s="23"/>
      <c r="Z90" s="23"/>
      <c r="AA90" s="23"/>
      <c r="AB90" s="19"/>
      <c r="AC90" s="23" t="n">
        <v>1</v>
      </c>
      <c r="AD90" s="23" t="n">
        <v>1</v>
      </c>
      <c r="AE90" s="23" t="n">
        <v>1</v>
      </c>
      <c r="AF90" s="23" t="n">
        <v>1</v>
      </c>
      <c r="AG90" s="23" t="n">
        <v>2</v>
      </c>
      <c r="AH90" s="23" t="n">
        <v>1</v>
      </c>
      <c r="AI90" s="23" t="n">
        <v>1</v>
      </c>
      <c r="AJ90" s="23" t="n">
        <v>1</v>
      </c>
      <c r="AK90" s="23" t="n">
        <v>2</v>
      </c>
      <c r="AL90" s="23" t="n">
        <v>2</v>
      </c>
      <c r="AM90" s="23" t="n">
        <v>2</v>
      </c>
      <c r="AN90" s="23" t="n">
        <v>2</v>
      </c>
      <c r="AO90" s="23" t="n">
        <v>2</v>
      </c>
      <c r="AP90" s="23" t="n">
        <v>3</v>
      </c>
      <c r="AQ90" s="23" t="n">
        <v>4</v>
      </c>
      <c r="AR90" s="23" t="n">
        <v>4</v>
      </c>
      <c r="AS90" s="23" t="n">
        <v>6</v>
      </c>
      <c r="AT90" s="23" t="n">
        <v>4</v>
      </c>
      <c r="AU90" s="23" t="n">
        <v>4</v>
      </c>
      <c r="AV90" s="23" t="n">
        <v>6</v>
      </c>
      <c r="AW90" s="23" t="n">
        <v>6</v>
      </c>
      <c r="AX90" s="23" t="n">
        <v>3</v>
      </c>
      <c r="AY90" s="23" t="n">
        <v>3</v>
      </c>
      <c r="AZ90" s="23" t="n">
        <v>1</v>
      </c>
      <c r="BA90" s="5" t="n">
        <v>3</v>
      </c>
      <c r="BB90" s="23" t="n">
        <v>2</v>
      </c>
      <c r="BC90" s="23" t="n">
        <v>1</v>
      </c>
      <c r="BD90" s="23" t="n">
        <v>6</v>
      </c>
      <c r="BE90" s="3" t="n">
        <v>3</v>
      </c>
      <c r="BF90" s="3" t="n">
        <v>5</v>
      </c>
      <c r="BG90" s="3" t="n">
        <v>3</v>
      </c>
      <c r="BH90" s="23" t="n">
        <v>4</v>
      </c>
      <c r="BI90" s="23" t="n">
        <v>1</v>
      </c>
      <c r="BJ90" s="23" t="n">
        <v>1</v>
      </c>
      <c r="BK90" s="21" t="s">
        <v>366</v>
      </c>
    </row>
    <row r="91" s="30" customFormat="true" ht="15" hidden="false" customHeight="true" outlineLevel="0" collapsed="false">
      <c r="A91" s="24"/>
      <c r="B91" s="26" t="s">
        <v>367</v>
      </c>
      <c r="C91" s="26" t="s">
        <v>368</v>
      </c>
      <c r="D91" s="26" t="s">
        <v>304</v>
      </c>
      <c r="E91" s="26" t="n">
        <v>164001</v>
      </c>
      <c r="F91" s="27" t="n">
        <v>43405</v>
      </c>
      <c r="G91" s="27" t="n">
        <v>43406</v>
      </c>
      <c r="H91" s="30" t="n">
        <v>1</v>
      </c>
      <c r="I91" s="30" t="n">
        <v>1</v>
      </c>
      <c r="J91" s="30" t="n">
        <v>79</v>
      </c>
      <c r="K91" s="30" t="n">
        <v>1</v>
      </c>
      <c r="L91" s="30" t="n">
        <v>2</v>
      </c>
      <c r="M91" s="30" t="n">
        <v>1</v>
      </c>
      <c r="N91" s="30" t="n">
        <v>2</v>
      </c>
      <c r="O91" s="30" t="n">
        <v>1</v>
      </c>
      <c r="P91" s="30" t="n">
        <v>2</v>
      </c>
      <c r="Q91" s="30" t="n">
        <v>2</v>
      </c>
      <c r="R91" s="30" t="n">
        <v>2</v>
      </c>
      <c r="S91" s="30" t="n">
        <v>1</v>
      </c>
      <c r="T91" s="4" t="n">
        <v>2</v>
      </c>
      <c r="U91" s="30" t="n">
        <v>2</v>
      </c>
      <c r="V91" s="30" t="n">
        <v>2.76</v>
      </c>
      <c r="W91" s="30" t="n">
        <v>1.12</v>
      </c>
      <c r="X91" s="30" t="n">
        <v>3</v>
      </c>
      <c r="Y91" s="30" t="n">
        <v>442</v>
      </c>
      <c r="AA91" s="30" t="n">
        <v>0.33</v>
      </c>
      <c r="AB91" s="30" t="n">
        <v>12.9</v>
      </c>
      <c r="AC91" s="30" t="n">
        <v>3</v>
      </c>
      <c r="AD91" s="30" t="n">
        <v>2</v>
      </c>
      <c r="AE91" s="30" t="n">
        <v>1</v>
      </c>
      <c r="AF91" s="30" t="n">
        <v>1</v>
      </c>
      <c r="AG91" s="30" t="n">
        <v>2</v>
      </c>
      <c r="AH91" s="30" t="n">
        <v>2</v>
      </c>
      <c r="AI91" s="30" t="n">
        <v>1</v>
      </c>
      <c r="AJ91" s="30" t="n">
        <v>2</v>
      </c>
      <c r="AK91" s="30" t="n">
        <v>2</v>
      </c>
      <c r="AL91" s="30" t="n">
        <v>2</v>
      </c>
      <c r="AM91" s="30" t="n">
        <v>2</v>
      </c>
      <c r="AN91" s="30" t="n">
        <v>2</v>
      </c>
      <c r="AO91" s="30" t="n">
        <v>2</v>
      </c>
      <c r="AP91" s="30" t="n">
        <v>3</v>
      </c>
      <c r="AQ91" s="30" t="n">
        <v>4</v>
      </c>
      <c r="AR91" s="30" t="n">
        <v>4</v>
      </c>
      <c r="AS91" s="30" t="n">
        <v>6</v>
      </c>
      <c r="AT91" s="30" t="n">
        <v>4</v>
      </c>
      <c r="AU91" s="30" t="n">
        <v>4</v>
      </c>
      <c r="AV91" s="30" t="n">
        <v>6</v>
      </c>
      <c r="AW91" s="30" t="n">
        <v>6</v>
      </c>
      <c r="AX91" s="30" t="n">
        <v>3</v>
      </c>
      <c r="AY91" s="30" t="n">
        <v>3</v>
      </c>
      <c r="AZ91" s="30" t="n">
        <v>10</v>
      </c>
      <c r="BA91" s="5" t="n">
        <v>1</v>
      </c>
      <c r="BB91" s="30" t="n">
        <v>1</v>
      </c>
      <c r="BC91" s="30" t="n">
        <v>2</v>
      </c>
      <c r="BD91" s="30" t="n">
        <v>2</v>
      </c>
      <c r="BE91" s="30" t="n">
        <v>1</v>
      </c>
      <c r="BF91" s="30" t="n">
        <v>2</v>
      </c>
      <c r="BG91" s="30" t="n">
        <v>1</v>
      </c>
      <c r="BH91" s="30" t="n">
        <v>4</v>
      </c>
      <c r="BI91" s="30" t="n">
        <v>2</v>
      </c>
      <c r="BJ91" s="30" t="n">
        <v>1</v>
      </c>
      <c r="BK91" s="31" t="s">
        <v>369</v>
      </c>
    </row>
    <row r="92" s="30" customFormat="true" ht="15" hidden="false" customHeight="true" outlineLevel="0" collapsed="false">
      <c r="A92" s="24"/>
      <c r="B92" s="26" t="s">
        <v>101</v>
      </c>
      <c r="C92" s="26" t="s">
        <v>99</v>
      </c>
      <c r="D92" s="26" t="s">
        <v>78</v>
      </c>
      <c r="E92" s="26" t="n">
        <v>163963</v>
      </c>
      <c r="F92" s="27" t="n">
        <v>43404</v>
      </c>
      <c r="G92" s="27" t="n">
        <v>43406</v>
      </c>
      <c r="H92" s="30" t="n">
        <v>2</v>
      </c>
      <c r="I92" s="30" t="n">
        <v>1</v>
      </c>
      <c r="J92" s="30" t="n">
        <v>74</v>
      </c>
      <c r="K92" s="30" t="n">
        <v>1</v>
      </c>
      <c r="L92" s="30" t="n">
        <v>2</v>
      </c>
      <c r="M92" s="30" t="n">
        <v>1</v>
      </c>
      <c r="N92" s="30" t="n">
        <v>2</v>
      </c>
      <c r="O92" s="30" t="n">
        <v>1</v>
      </c>
      <c r="P92" s="30" t="n">
        <v>2</v>
      </c>
      <c r="Q92" s="30" t="n">
        <v>1</v>
      </c>
      <c r="R92" s="30" t="n">
        <v>2</v>
      </c>
      <c r="S92" s="30" t="n">
        <v>2</v>
      </c>
      <c r="T92" s="4" t="n">
        <v>1</v>
      </c>
      <c r="U92" s="30" t="n">
        <v>1</v>
      </c>
      <c r="AC92" s="30" t="n">
        <v>3</v>
      </c>
      <c r="AD92" s="30" t="n">
        <v>1</v>
      </c>
      <c r="AE92" s="30" t="n">
        <v>1</v>
      </c>
      <c r="AF92" s="30" t="n">
        <v>1</v>
      </c>
      <c r="AG92" s="30" t="n">
        <v>2</v>
      </c>
      <c r="AH92" s="30" t="n">
        <v>2</v>
      </c>
      <c r="AI92" s="30" t="n">
        <v>1</v>
      </c>
      <c r="AJ92" s="30" t="n">
        <v>2</v>
      </c>
      <c r="AK92" s="30" t="n">
        <v>1</v>
      </c>
      <c r="AL92" s="30" t="n">
        <v>2</v>
      </c>
      <c r="AM92" s="30" t="n">
        <v>1</v>
      </c>
      <c r="AN92" s="30" t="n">
        <v>2</v>
      </c>
      <c r="AO92" s="30" t="n">
        <v>2</v>
      </c>
      <c r="AP92" s="30" t="n">
        <v>3</v>
      </c>
      <c r="AQ92" s="30" t="n">
        <v>4</v>
      </c>
      <c r="AR92" s="30" t="n">
        <v>4</v>
      </c>
      <c r="AS92" s="30" t="n">
        <v>6</v>
      </c>
      <c r="AT92" s="30" t="n">
        <v>4</v>
      </c>
      <c r="AU92" s="30" t="n">
        <v>4</v>
      </c>
      <c r="AV92" s="30" t="n">
        <v>6</v>
      </c>
      <c r="AW92" s="30" t="n">
        <v>6</v>
      </c>
      <c r="AX92" s="30" t="n">
        <v>3</v>
      </c>
      <c r="AY92" s="30" t="n">
        <v>3</v>
      </c>
      <c r="AZ92" s="30" t="n">
        <v>4</v>
      </c>
      <c r="BA92" s="5" t="n">
        <v>5</v>
      </c>
      <c r="BB92" s="30" t="n">
        <v>2</v>
      </c>
      <c r="BC92" s="30" t="n">
        <v>2</v>
      </c>
      <c r="BD92" s="30" t="n">
        <v>6</v>
      </c>
      <c r="BE92" s="30" t="n">
        <v>3</v>
      </c>
      <c r="BF92" s="30" t="n">
        <v>5</v>
      </c>
      <c r="BG92" s="30" t="n">
        <v>3</v>
      </c>
      <c r="BH92" s="30" t="n">
        <v>4</v>
      </c>
      <c r="BI92" s="30" t="n">
        <v>3</v>
      </c>
      <c r="BJ92" s="30" t="n">
        <v>1</v>
      </c>
      <c r="BK92" s="31" t="s">
        <v>370</v>
      </c>
    </row>
    <row r="93" customFormat="false" ht="15" hidden="false" customHeight="true" outlineLevel="0" collapsed="false">
      <c r="B93" s="2" t="s">
        <v>371</v>
      </c>
      <c r="C93" s="2" t="s">
        <v>372</v>
      </c>
      <c r="D93" s="2" t="s">
        <v>361</v>
      </c>
      <c r="E93" s="2" t="n">
        <v>163790</v>
      </c>
      <c r="F93" s="15" t="n">
        <v>43402</v>
      </c>
      <c r="G93" s="15" t="n">
        <v>43407</v>
      </c>
      <c r="H93" s="3" t="n">
        <v>5</v>
      </c>
      <c r="I93" s="3" t="n">
        <v>1</v>
      </c>
      <c r="J93" s="3" t="n">
        <v>72</v>
      </c>
      <c r="K93" s="3" t="n">
        <v>1</v>
      </c>
      <c r="L93" s="3" t="n">
        <v>2</v>
      </c>
      <c r="M93" s="3" t="n">
        <v>1</v>
      </c>
      <c r="N93" s="3" t="n">
        <v>1</v>
      </c>
      <c r="O93" s="3" t="n">
        <v>2</v>
      </c>
      <c r="P93" s="3" t="n">
        <v>2</v>
      </c>
      <c r="Q93" s="3" t="n">
        <v>1</v>
      </c>
      <c r="R93" s="3" t="n">
        <v>2</v>
      </c>
      <c r="S93" s="3" t="n">
        <v>2</v>
      </c>
      <c r="T93" s="4" t="n">
        <v>1</v>
      </c>
      <c r="U93" s="3" t="n">
        <v>1</v>
      </c>
      <c r="V93" s="3" t="n">
        <v>7.5</v>
      </c>
      <c r="W93" s="3" t="n">
        <v>1.56</v>
      </c>
      <c r="X93" s="3" t="n">
        <v>3.2</v>
      </c>
      <c r="Y93" s="3" t="n">
        <v>282</v>
      </c>
      <c r="AA93" s="3" t="n">
        <v>0.41</v>
      </c>
      <c r="AB93" s="3" t="n">
        <v>10.5</v>
      </c>
      <c r="AC93" s="3" t="n">
        <v>3</v>
      </c>
      <c r="AD93" s="3" t="n">
        <v>1</v>
      </c>
      <c r="AE93" s="3" t="n">
        <v>1</v>
      </c>
      <c r="AF93" s="3" t="n">
        <v>1</v>
      </c>
      <c r="AG93" s="3" t="n">
        <v>1</v>
      </c>
      <c r="AH93" s="3" t="n">
        <v>2</v>
      </c>
      <c r="AI93" s="3" t="n">
        <v>2</v>
      </c>
      <c r="AJ93" s="3" t="n">
        <v>2</v>
      </c>
      <c r="AK93" s="3" t="n">
        <v>1</v>
      </c>
      <c r="AL93" s="3" t="n">
        <v>2</v>
      </c>
      <c r="AM93" s="3" t="n">
        <v>1</v>
      </c>
      <c r="AN93" s="3" t="n">
        <v>2</v>
      </c>
      <c r="AO93" s="3" t="n">
        <v>2</v>
      </c>
      <c r="AP93" s="3" t="n">
        <v>3</v>
      </c>
      <c r="AQ93" s="3" t="n">
        <v>4</v>
      </c>
      <c r="AR93" s="3" t="n">
        <v>4</v>
      </c>
      <c r="AS93" s="3" t="n">
        <v>6</v>
      </c>
      <c r="AT93" s="3" t="n">
        <v>4</v>
      </c>
      <c r="AU93" s="3" t="n">
        <v>4</v>
      </c>
      <c r="AV93" s="3" t="n">
        <v>6</v>
      </c>
      <c r="AW93" s="3" t="n">
        <v>6</v>
      </c>
      <c r="AX93" s="3" t="n">
        <v>3</v>
      </c>
      <c r="AY93" s="3" t="n">
        <v>3</v>
      </c>
      <c r="AZ93" s="3" t="n">
        <v>1</v>
      </c>
      <c r="BA93" s="5" t="n">
        <v>5</v>
      </c>
      <c r="BB93" s="3" t="n">
        <v>2</v>
      </c>
      <c r="BC93" s="3" t="n">
        <v>1</v>
      </c>
      <c r="BD93" s="3" t="n">
        <v>6</v>
      </c>
      <c r="BE93" s="3" t="n">
        <v>3</v>
      </c>
      <c r="BF93" s="3" t="n">
        <v>5</v>
      </c>
      <c r="BG93" s="3" t="n">
        <v>3</v>
      </c>
      <c r="BH93" s="3" t="n">
        <v>4</v>
      </c>
      <c r="BI93" s="3" t="n">
        <v>1</v>
      </c>
      <c r="BJ93" s="3" t="n">
        <v>1</v>
      </c>
      <c r="BK93" s="6" t="s">
        <v>373</v>
      </c>
    </row>
    <row r="94" customFormat="false" ht="15" hidden="false" customHeight="true" outlineLevel="0" collapsed="false">
      <c r="B94" s="2" t="s">
        <v>374</v>
      </c>
      <c r="C94" s="2" t="s">
        <v>94</v>
      </c>
      <c r="D94" s="2" t="s">
        <v>375</v>
      </c>
      <c r="E94" s="2" t="n">
        <v>163684</v>
      </c>
      <c r="F94" s="15" t="n">
        <v>43398</v>
      </c>
      <c r="G94" s="15" t="n">
        <v>43406</v>
      </c>
      <c r="H94" s="3" t="n">
        <v>7</v>
      </c>
      <c r="I94" s="3" t="n">
        <v>2</v>
      </c>
      <c r="J94" s="3" t="n">
        <v>78</v>
      </c>
      <c r="K94" s="3" t="n">
        <v>1</v>
      </c>
      <c r="L94" s="3" t="n">
        <v>2</v>
      </c>
      <c r="M94" s="3" t="n">
        <v>1</v>
      </c>
      <c r="N94" s="3" t="n">
        <v>2</v>
      </c>
      <c r="O94" s="3" t="n">
        <v>2</v>
      </c>
      <c r="P94" s="3" t="n">
        <v>2</v>
      </c>
      <c r="Q94" s="3" t="n">
        <v>1</v>
      </c>
      <c r="R94" s="3" t="n">
        <v>2</v>
      </c>
      <c r="S94" s="3" t="n">
        <v>1</v>
      </c>
      <c r="T94" s="4" t="n">
        <v>2</v>
      </c>
      <c r="U94" s="3" t="n">
        <v>2</v>
      </c>
      <c r="V94" s="3" t="n">
        <v>5.15</v>
      </c>
      <c r="W94" s="3" t="n">
        <v>1.54</v>
      </c>
      <c r="X94" s="3" t="n">
        <v>10.9</v>
      </c>
      <c r="Y94" s="3" t="n">
        <v>519</v>
      </c>
      <c r="AA94" s="3" t="n">
        <v>0.44</v>
      </c>
      <c r="AB94" s="3" t="n">
        <v>9</v>
      </c>
      <c r="AC94" s="3" t="n">
        <v>2</v>
      </c>
      <c r="AD94" s="3" t="n">
        <v>2</v>
      </c>
      <c r="AE94" s="3" t="n">
        <v>1</v>
      </c>
      <c r="AF94" s="3" t="n">
        <v>1</v>
      </c>
      <c r="AG94" s="3" t="n">
        <v>2</v>
      </c>
      <c r="AH94" s="3" t="n">
        <v>2</v>
      </c>
      <c r="AI94" s="3" t="n">
        <v>1</v>
      </c>
      <c r="AJ94" s="3" t="n">
        <v>1</v>
      </c>
      <c r="AK94" s="3" t="n">
        <v>1</v>
      </c>
      <c r="AL94" s="3" t="n">
        <v>2</v>
      </c>
      <c r="AM94" s="3" t="n">
        <v>1</v>
      </c>
      <c r="AN94" s="3" t="n">
        <v>2</v>
      </c>
      <c r="AO94" s="3" t="n">
        <v>2</v>
      </c>
      <c r="AP94" s="3" t="n">
        <v>3</v>
      </c>
      <c r="AQ94" s="3" t="n">
        <v>4</v>
      </c>
      <c r="AR94" s="3" t="n">
        <v>4</v>
      </c>
      <c r="AS94" s="3" t="n">
        <v>6</v>
      </c>
      <c r="AT94" s="3" t="n">
        <v>4</v>
      </c>
      <c r="AU94" s="3" t="n">
        <v>4</v>
      </c>
      <c r="AV94" s="3" t="n">
        <v>6</v>
      </c>
      <c r="AW94" s="3" t="n">
        <v>6</v>
      </c>
      <c r="AX94" s="3" t="n">
        <v>3</v>
      </c>
      <c r="AY94" s="3" t="n">
        <v>3</v>
      </c>
      <c r="AZ94" s="3" t="n">
        <v>4</v>
      </c>
      <c r="BA94" s="5" t="n">
        <v>1</v>
      </c>
      <c r="BB94" s="3" t="n">
        <v>1</v>
      </c>
      <c r="BC94" s="3" t="n">
        <v>1</v>
      </c>
      <c r="BD94" s="3" t="n">
        <v>2</v>
      </c>
      <c r="BE94" s="3" t="n">
        <v>3</v>
      </c>
      <c r="BF94" s="3" t="n">
        <v>5</v>
      </c>
      <c r="BG94" s="3" t="n">
        <v>3</v>
      </c>
      <c r="BH94" s="3" t="n">
        <v>4</v>
      </c>
      <c r="BI94" s="3" t="n">
        <v>1</v>
      </c>
      <c r="BJ94" s="3" t="n">
        <v>1</v>
      </c>
      <c r="BK94" s="6" t="s">
        <v>376</v>
      </c>
    </row>
    <row r="95" customFormat="false" ht="15" hidden="false" customHeight="true" outlineLevel="0" collapsed="false">
      <c r="B95" s="2" t="s">
        <v>377</v>
      </c>
      <c r="C95" s="2" t="s">
        <v>378</v>
      </c>
      <c r="D95" s="2" t="s">
        <v>153</v>
      </c>
      <c r="E95" s="2" t="n">
        <v>163903</v>
      </c>
      <c r="F95" s="15" t="n">
        <v>43403</v>
      </c>
      <c r="G95" s="15" t="n">
        <v>43407</v>
      </c>
      <c r="H95" s="3" t="n">
        <v>4</v>
      </c>
      <c r="I95" s="3" t="n">
        <v>2</v>
      </c>
      <c r="J95" s="3" t="n">
        <v>62</v>
      </c>
      <c r="K95" s="3" t="n">
        <v>1</v>
      </c>
      <c r="L95" s="3" t="n">
        <v>2</v>
      </c>
      <c r="M95" s="3" t="n">
        <v>1</v>
      </c>
      <c r="N95" s="3" t="n">
        <v>1</v>
      </c>
      <c r="O95" s="3" t="n">
        <v>2</v>
      </c>
      <c r="P95" s="3" t="n">
        <v>2</v>
      </c>
      <c r="Q95" s="3" t="n">
        <v>1</v>
      </c>
      <c r="R95" s="3" t="n">
        <v>2</v>
      </c>
      <c r="S95" s="3" t="n">
        <v>1</v>
      </c>
      <c r="T95" s="4" t="n">
        <v>3</v>
      </c>
      <c r="U95" s="3" t="n">
        <v>1</v>
      </c>
      <c r="V95" s="3" t="n">
        <v>3.55</v>
      </c>
      <c r="W95" s="3" t="n">
        <v>1.16</v>
      </c>
      <c r="X95" s="3" t="n">
        <v>6.3</v>
      </c>
      <c r="Y95" s="3" t="n">
        <v>641</v>
      </c>
      <c r="AA95" s="3" t="n">
        <v>0.38</v>
      </c>
      <c r="AB95" s="3" t="n">
        <v>10.4</v>
      </c>
      <c r="AC95" s="3" t="n">
        <v>2</v>
      </c>
      <c r="AD95" s="3" t="n">
        <v>2</v>
      </c>
      <c r="AE95" s="3" t="n">
        <v>2</v>
      </c>
      <c r="AF95" s="3" t="n">
        <v>1</v>
      </c>
      <c r="AG95" s="3" t="n">
        <v>2</v>
      </c>
      <c r="AH95" s="3" t="n">
        <v>2</v>
      </c>
      <c r="AI95" s="3" t="n">
        <v>2</v>
      </c>
      <c r="AJ95" s="3" t="n">
        <v>1</v>
      </c>
      <c r="AK95" s="3" t="n">
        <v>2</v>
      </c>
      <c r="AL95" s="3" t="n">
        <v>1</v>
      </c>
      <c r="AM95" s="3" t="n">
        <v>1</v>
      </c>
      <c r="AN95" s="3" t="n">
        <v>2</v>
      </c>
      <c r="AO95" s="3" t="n">
        <v>2</v>
      </c>
      <c r="AP95" s="3" t="n">
        <v>3</v>
      </c>
      <c r="AQ95" s="3" t="n">
        <v>4</v>
      </c>
      <c r="AR95" s="3" t="n">
        <v>4</v>
      </c>
      <c r="AS95" s="3" t="n">
        <v>6</v>
      </c>
      <c r="AT95" s="3" t="n">
        <v>4</v>
      </c>
      <c r="AU95" s="3" t="n">
        <v>4</v>
      </c>
      <c r="AV95" s="3" t="n">
        <v>6</v>
      </c>
      <c r="AW95" s="3" t="n">
        <v>6</v>
      </c>
      <c r="AX95" s="3" t="n">
        <v>3</v>
      </c>
      <c r="AY95" s="3" t="n">
        <v>3</v>
      </c>
      <c r="AZ95" s="3" t="n">
        <v>1</v>
      </c>
      <c r="BA95" s="5" t="n">
        <v>11</v>
      </c>
      <c r="BB95" s="3" t="n">
        <v>2</v>
      </c>
      <c r="BC95" s="3" t="n">
        <v>1</v>
      </c>
      <c r="BD95" s="3" t="n">
        <v>6</v>
      </c>
      <c r="BE95" s="3" t="n">
        <v>3</v>
      </c>
      <c r="BF95" s="3" t="n">
        <v>5</v>
      </c>
      <c r="BG95" s="3" t="n">
        <v>3</v>
      </c>
      <c r="BH95" s="3" t="n">
        <v>4</v>
      </c>
      <c r="BI95" s="3" t="n">
        <v>1</v>
      </c>
      <c r="BJ95" s="3" t="n">
        <v>1</v>
      </c>
      <c r="BK95" s="6" t="s">
        <v>379</v>
      </c>
    </row>
    <row r="96" s="30" customFormat="true" ht="15" hidden="false" customHeight="true" outlineLevel="0" collapsed="false">
      <c r="A96" s="24"/>
      <c r="B96" s="26" t="s">
        <v>380</v>
      </c>
      <c r="C96" s="26" t="s">
        <v>78</v>
      </c>
      <c r="D96" s="26" t="s">
        <v>102</v>
      </c>
      <c r="E96" s="26"/>
      <c r="F96" s="27" t="n">
        <v>43408</v>
      </c>
      <c r="G96" s="27" t="n">
        <v>43408</v>
      </c>
      <c r="H96" s="30" t="n">
        <v>0</v>
      </c>
      <c r="I96" s="30" t="n">
        <v>1</v>
      </c>
      <c r="J96" s="30" t="n">
        <v>85</v>
      </c>
      <c r="K96" s="30" t="n">
        <v>1</v>
      </c>
      <c r="L96" s="30" t="n">
        <v>2</v>
      </c>
      <c r="M96" s="30" t="n">
        <v>1</v>
      </c>
      <c r="N96" s="30" t="n">
        <v>2</v>
      </c>
      <c r="O96" s="30" t="n">
        <v>2</v>
      </c>
      <c r="P96" s="30" t="n">
        <v>2</v>
      </c>
      <c r="Q96" s="30" t="n">
        <v>1</v>
      </c>
      <c r="R96" s="30" t="n">
        <v>2</v>
      </c>
      <c r="S96" s="30" t="n">
        <v>2</v>
      </c>
      <c r="T96" s="4" t="n">
        <v>1</v>
      </c>
      <c r="U96" s="30" t="n">
        <v>1</v>
      </c>
      <c r="AC96" s="30" t="n">
        <v>3</v>
      </c>
      <c r="AD96" s="30" t="n">
        <v>2</v>
      </c>
      <c r="AE96" s="30" t="n">
        <v>1</v>
      </c>
      <c r="AF96" s="30" t="n">
        <v>1</v>
      </c>
      <c r="AG96" s="30" t="n">
        <v>2</v>
      </c>
      <c r="AH96" s="30" t="n">
        <v>2</v>
      </c>
      <c r="AI96" s="30" t="n">
        <v>1</v>
      </c>
      <c r="AJ96" s="30" t="n">
        <v>2</v>
      </c>
      <c r="AK96" s="30" t="n">
        <v>2</v>
      </c>
      <c r="AL96" s="30" t="n">
        <v>2</v>
      </c>
      <c r="AM96" s="30" t="n">
        <v>2</v>
      </c>
      <c r="AN96" s="30" t="n">
        <v>2</v>
      </c>
      <c r="AO96" s="30" t="n">
        <v>2</v>
      </c>
      <c r="AP96" s="30" t="n">
        <v>3</v>
      </c>
      <c r="AQ96" s="30" t="n">
        <v>4</v>
      </c>
      <c r="AR96" s="30" t="n">
        <v>4</v>
      </c>
      <c r="AS96" s="30" t="n">
        <v>6</v>
      </c>
      <c r="AT96" s="30" t="n">
        <v>4</v>
      </c>
      <c r="AU96" s="30" t="n">
        <v>4</v>
      </c>
      <c r="AV96" s="30" t="n">
        <v>6</v>
      </c>
      <c r="AW96" s="30" t="n">
        <v>6</v>
      </c>
      <c r="AX96" s="30" t="n">
        <v>3</v>
      </c>
      <c r="AY96" s="30" t="n">
        <v>3</v>
      </c>
      <c r="AZ96" s="30" t="n">
        <v>6</v>
      </c>
      <c r="BA96" s="5" t="n">
        <v>1</v>
      </c>
      <c r="BB96" s="30" t="n">
        <v>1</v>
      </c>
      <c r="BC96" s="30" t="n">
        <v>2</v>
      </c>
      <c r="BD96" s="30" t="n">
        <v>2</v>
      </c>
      <c r="BE96" s="30" t="n">
        <v>3</v>
      </c>
      <c r="BF96" s="30" t="n">
        <v>5</v>
      </c>
      <c r="BG96" s="30" t="n">
        <v>3</v>
      </c>
      <c r="BH96" s="30" t="n">
        <v>4</v>
      </c>
      <c r="BI96" s="30" t="n">
        <v>1</v>
      </c>
      <c r="BJ96" s="30" t="n">
        <v>1</v>
      </c>
      <c r="BK96" s="31" t="s">
        <v>381</v>
      </c>
    </row>
    <row r="97" customFormat="false" ht="15" hidden="false" customHeight="true" outlineLevel="0" collapsed="false">
      <c r="B97" s="2" t="s">
        <v>171</v>
      </c>
      <c r="C97" s="2" t="s">
        <v>95</v>
      </c>
      <c r="D97" s="2" t="s">
        <v>382</v>
      </c>
      <c r="E97" s="2" t="n">
        <v>163785</v>
      </c>
      <c r="F97" s="15" t="n">
        <v>43402</v>
      </c>
      <c r="G97" s="15" t="n">
        <v>43409</v>
      </c>
      <c r="H97" s="3" t="n">
        <v>8</v>
      </c>
      <c r="I97" s="3" t="n">
        <v>2</v>
      </c>
      <c r="J97" s="3" t="n">
        <v>49</v>
      </c>
      <c r="K97" s="3" t="n">
        <v>1</v>
      </c>
      <c r="L97" s="3" t="n">
        <v>1</v>
      </c>
      <c r="M97" s="3" t="n">
        <v>1</v>
      </c>
      <c r="N97" s="3" t="n">
        <v>2</v>
      </c>
      <c r="O97" s="3" t="n">
        <v>2</v>
      </c>
      <c r="P97" s="3" t="n">
        <v>2</v>
      </c>
      <c r="Q97" s="3" t="n">
        <v>2</v>
      </c>
      <c r="R97" s="3" t="n">
        <v>2</v>
      </c>
      <c r="S97" s="3" t="n">
        <v>1</v>
      </c>
      <c r="T97" s="4" t="n">
        <v>2</v>
      </c>
      <c r="U97" s="3" t="n">
        <v>2</v>
      </c>
      <c r="V97" s="3" t="n">
        <v>4.56</v>
      </c>
      <c r="W97" s="3" t="n">
        <v>1.19</v>
      </c>
      <c r="X97" s="3" t="n">
        <v>6.2</v>
      </c>
      <c r="Y97" s="3" t="n">
        <v>368</v>
      </c>
      <c r="AA97" s="3" t="n">
        <v>0.42</v>
      </c>
      <c r="AB97" s="3" t="n">
        <v>10.8</v>
      </c>
      <c r="AC97" s="3" t="n">
        <v>1</v>
      </c>
      <c r="AD97" s="3" t="n">
        <v>2</v>
      </c>
      <c r="AE97" s="3" t="n">
        <v>1</v>
      </c>
      <c r="AF97" s="3" t="n">
        <v>1</v>
      </c>
      <c r="AG97" s="3" t="n">
        <v>1</v>
      </c>
      <c r="AH97" s="3" t="n">
        <v>2</v>
      </c>
      <c r="AI97" s="3" t="n">
        <v>1</v>
      </c>
      <c r="AJ97" s="3" t="n">
        <v>1</v>
      </c>
      <c r="AK97" s="3" t="n">
        <v>2</v>
      </c>
      <c r="AL97" s="3" t="n">
        <v>2</v>
      </c>
      <c r="AM97" s="3" t="n">
        <v>2</v>
      </c>
      <c r="AN97" s="3" t="n">
        <v>2</v>
      </c>
      <c r="AO97" s="3" t="n">
        <v>2</v>
      </c>
      <c r="AP97" s="3" t="n">
        <v>3</v>
      </c>
      <c r="AQ97" s="3" t="n">
        <v>4</v>
      </c>
      <c r="AR97" s="3" t="n">
        <v>4</v>
      </c>
      <c r="AS97" s="3" t="n">
        <v>6</v>
      </c>
      <c r="AT97" s="3" t="n">
        <v>4</v>
      </c>
      <c r="AU97" s="3" t="n">
        <v>4</v>
      </c>
      <c r="AV97" s="3" t="n">
        <v>6</v>
      </c>
      <c r="AW97" s="3" t="n">
        <v>6</v>
      </c>
      <c r="AX97" s="3" t="n">
        <v>3</v>
      </c>
      <c r="AY97" s="3" t="n">
        <v>3</v>
      </c>
      <c r="AZ97" s="3" t="n">
        <v>1</v>
      </c>
      <c r="BA97" s="5" t="n">
        <v>1</v>
      </c>
      <c r="BB97" s="3" t="n">
        <v>1</v>
      </c>
      <c r="BC97" s="3" t="n">
        <v>1</v>
      </c>
      <c r="BD97" s="3" t="n">
        <v>5</v>
      </c>
      <c r="BE97" s="3" t="n">
        <v>1</v>
      </c>
      <c r="BF97" s="3" t="n">
        <v>2</v>
      </c>
      <c r="BG97" s="3" t="n">
        <v>1</v>
      </c>
      <c r="BH97" s="3" t="n">
        <v>4</v>
      </c>
      <c r="BI97" s="3" t="n">
        <v>1</v>
      </c>
      <c r="BJ97" s="3" t="n">
        <v>1</v>
      </c>
      <c r="BK97" s="6" t="s">
        <v>383</v>
      </c>
    </row>
    <row r="98" customFormat="false" ht="15" hidden="false" customHeight="true" outlineLevel="0" collapsed="false">
      <c r="B98" s="2" t="s">
        <v>384</v>
      </c>
      <c r="C98" s="2" t="s">
        <v>385</v>
      </c>
      <c r="D98" s="2" t="s">
        <v>386</v>
      </c>
      <c r="E98" s="2" t="n">
        <v>163985</v>
      </c>
      <c r="F98" s="15" t="n">
        <v>43405</v>
      </c>
      <c r="G98" s="15" t="n">
        <v>43410</v>
      </c>
      <c r="H98" s="3" t="n">
        <v>5</v>
      </c>
      <c r="I98" s="3" t="n">
        <v>1</v>
      </c>
      <c r="J98" s="3" t="n">
        <v>57</v>
      </c>
      <c r="K98" s="3" t="n">
        <v>1</v>
      </c>
      <c r="L98" s="3" t="n">
        <v>2</v>
      </c>
      <c r="M98" s="3" t="n">
        <v>1</v>
      </c>
      <c r="N98" s="3" t="n">
        <v>1</v>
      </c>
      <c r="O98" s="3" t="n">
        <v>2</v>
      </c>
      <c r="P98" s="3" t="n">
        <v>1</v>
      </c>
      <c r="Q98" s="3" t="n">
        <v>1</v>
      </c>
      <c r="R98" s="3" t="n">
        <v>2</v>
      </c>
      <c r="S98" s="3" t="n">
        <v>2</v>
      </c>
      <c r="T98" s="4" t="n">
        <v>1</v>
      </c>
      <c r="U98" s="3" t="n">
        <v>1</v>
      </c>
      <c r="V98" s="3" t="n">
        <v>2.64</v>
      </c>
      <c r="W98" s="3" t="n">
        <v>0.38</v>
      </c>
      <c r="X98" s="3" t="n">
        <v>11.45</v>
      </c>
      <c r="Y98" s="3" t="n">
        <v>208</v>
      </c>
      <c r="AA98" s="3" t="n">
        <v>0.4</v>
      </c>
      <c r="AB98" s="3" t="s">
        <v>125</v>
      </c>
      <c r="AC98" s="3" t="n">
        <v>1</v>
      </c>
      <c r="AD98" s="3" t="n">
        <v>1</v>
      </c>
      <c r="AE98" s="3" t="n">
        <v>1</v>
      </c>
      <c r="AF98" s="3" t="n">
        <v>1</v>
      </c>
      <c r="AG98" s="3" t="n">
        <v>2</v>
      </c>
      <c r="AH98" s="3" t="n">
        <v>2</v>
      </c>
      <c r="AI98" s="3" t="n">
        <v>1</v>
      </c>
      <c r="AJ98" s="3" t="n">
        <v>1</v>
      </c>
      <c r="AK98" s="3" t="n">
        <v>1</v>
      </c>
      <c r="AL98" s="3" t="n">
        <v>2</v>
      </c>
      <c r="AM98" s="3" t="n">
        <v>2</v>
      </c>
      <c r="AN98" s="3" t="n">
        <v>2</v>
      </c>
      <c r="AO98" s="3" t="n">
        <v>2</v>
      </c>
      <c r="AP98" s="3" t="n">
        <v>3</v>
      </c>
      <c r="AQ98" s="3" t="n">
        <v>4</v>
      </c>
      <c r="AR98" s="3" t="n">
        <v>4</v>
      </c>
      <c r="AS98" s="3" t="n">
        <v>6</v>
      </c>
      <c r="AT98" s="3" t="n">
        <v>4</v>
      </c>
      <c r="AU98" s="3" t="n">
        <v>4</v>
      </c>
      <c r="AV98" s="3" t="n">
        <v>6</v>
      </c>
      <c r="AW98" s="3" t="n">
        <v>6</v>
      </c>
      <c r="AX98" s="3" t="n">
        <v>3</v>
      </c>
      <c r="AY98" s="3" t="n">
        <v>3</v>
      </c>
      <c r="AZ98" s="3" t="n">
        <v>1</v>
      </c>
      <c r="BA98" s="5" t="n">
        <v>5</v>
      </c>
      <c r="BB98" s="3" t="n">
        <v>2</v>
      </c>
      <c r="BC98" s="3" t="n">
        <v>1</v>
      </c>
      <c r="BD98" s="3" t="n">
        <v>6</v>
      </c>
      <c r="BE98" s="3" t="n">
        <v>3</v>
      </c>
      <c r="BF98" s="3" t="n">
        <v>5</v>
      </c>
      <c r="BG98" s="3" t="n">
        <v>3</v>
      </c>
      <c r="BH98" s="3" t="n">
        <v>4</v>
      </c>
      <c r="BI98" s="3" t="n">
        <v>1</v>
      </c>
      <c r="BJ98" s="3" t="n">
        <v>1</v>
      </c>
      <c r="BK98" s="6" t="s">
        <v>387</v>
      </c>
    </row>
    <row r="99" customFormat="false" ht="15" hidden="false" customHeight="true" outlineLevel="0" collapsed="false">
      <c r="B99" s="2" t="s">
        <v>388</v>
      </c>
      <c r="C99" s="2" t="s">
        <v>127</v>
      </c>
      <c r="D99" s="2" t="s">
        <v>389</v>
      </c>
      <c r="E99" s="2" t="n">
        <v>163941</v>
      </c>
      <c r="F99" s="15" t="n">
        <v>43404</v>
      </c>
      <c r="G99" s="15" t="n">
        <v>43410</v>
      </c>
      <c r="H99" s="3" t="n">
        <v>7</v>
      </c>
      <c r="I99" s="3" t="n">
        <v>1</v>
      </c>
      <c r="J99" s="3" t="n">
        <v>66</v>
      </c>
      <c r="K99" s="3" t="n">
        <v>1</v>
      </c>
      <c r="L99" s="3" t="n">
        <v>2</v>
      </c>
      <c r="M99" s="3" t="n">
        <v>1</v>
      </c>
      <c r="N99" s="3" t="n">
        <v>2</v>
      </c>
      <c r="O99" s="3" t="n">
        <v>2</v>
      </c>
      <c r="P99" s="3" t="n">
        <v>1</v>
      </c>
      <c r="Q99" s="3" t="n">
        <v>1</v>
      </c>
      <c r="R99" s="3" t="n">
        <v>2</v>
      </c>
      <c r="S99" s="3" t="n">
        <v>2</v>
      </c>
      <c r="T99" s="4" t="n">
        <v>12</v>
      </c>
      <c r="U99" s="3" t="n">
        <v>1</v>
      </c>
      <c r="V99" s="3" t="n">
        <v>6.25</v>
      </c>
      <c r="W99" s="3" t="n">
        <v>1.88</v>
      </c>
      <c r="X99" s="3" t="n">
        <v>7</v>
      </c>
      <c r="Y99" s="3" t="n">
        <v>802</v>
      </c>
      <c r="AA99" s="3" t="n">
        <v>0.35</v>
      </c>
      <c r="AB99" s="3" t="n">
        <v>11.9</v>
      </c>
      <c r="AC99" s="3" t="n">
        <v>1</v>
      </c>
      <c r="AD99" s="3" t="n">
        <v>2</v>
      </c>
      <c r="AE99" s="3" t="n">
        <v>2</v>
      </c>
      <c r="AF99" s="3" t="n">
        <v>1</v>
      </c>
      <c r="AG99" s="3" t="n">
        <v>1</v>
      </c>
      <c r="AH99" s="3" t="n">
        <v>1</v>
      </c>
      <c r="AI99" s="3" t="n">
        <v>1</v>
      </c>
      <c r="AJ99" s="3" t="n">
        <v>2</v>
      </c>
      <c r="AK99" s="3" t="n">
        <v>1</v>
      </c>
      <c r="AL99" s="3" t="n">
        <v>2</v>
      </c>
      <c r="AM99" s="3" t="n">
        <v>1</v>
      </c>
      <c r="AN99" s="3" t="n">
        <v>2</v>
      </c>
      <c r="AO99" s="3" t="n">
        <v>2</v>
      </c>
      <c r="AP99" s="3" t="n">
        <v>3</v>
      </c>
      <c r="AQ99" s="3" t="n">
        <v>4</v>
      </c>
      <c r="AR99" s="3" t="n">
        <v>4</v>
      </c>
      <c r="AS99" s="3" t="n">
        <v>6</v>
      </c>
      <c r="AT99" s="3" t="n">
        <v>4</v>
      </c>
      <c r="AU99" s="3" t="n">
        <v>4</v>
      </c>
      <c r="AV99" s="3" t="n">
        <v>6</v>
      </c>
      <c r="AW99" s="3" t="n">
        <v>6</v>
      </c>
      <c r="AX99" s="3" t="n">
        <v>3</v>
      </c>
      <c r="AY99" s="3" t="n">
        <v>3</v>
      </c>
      <c r="AZ99" s="3" t="n">
        <v>1</v>
      </c>
      <c r="BA99" s="5" t="n">
        <v>3</v>
      </c>
      <c r="BB99" s="3" t="n">
        <v>2</v>
      </c>
      <c r="BC99" s="3" t="n">
        <v>1</v>
      </c>
      <c r="BD99" s="3" t="n">
        <v>6</v>
      </c>
      <c r="BE99" s="3" t="n">
        <v>3</v>
      </c>
      <c r="BF99" s="3" t="n">
        <v>5</v>
      </c>
      <c r="BG99" s="3" t="n">
        <v>3</v>
      </c>
      <c r="BH99" s="3" t="n">
        <v>4</v>
      </c>
      <c r="BI99" s="3" t="n">
        <v>1</v>
      </c>
      <c r="BJ99" s="3" t="n">
        <v>1</v>
      </c>
      <c r="BK99" s="6" t="s">
        <v>390</v>
      </c>
    </row>
    <row r="100" customFormat="false" ht="15" hidden="false" customHeight="true" outlineLevel="0" collapsed="false">
      <c r="A100" s="1" t="s">
        <v>391</v>
      </c>
      <c r="B100" s="2" t="s">
        <v>392</v>
      </c>
      <c r="C100" s="2" t="s">
        <v>127</v>
      </c>
      <c r="D100" s="2" t="s">
        <v>153</v>
      </c>
      <c r="E100" s="2" t="n">
        <v>164117</v>
      </c>
      <c r="F100" s="15" t="n">
        <v>43406</v>
      </c>
      <c r="G100" s="15" t="n">
        <v>43411</v>
      </c>
      <c r="H100" s="3" t="n">
        <v>5</v>
      </c>
      <c r="I100" s="3" t="n">
        <v>2</v>
      </c>
      <c r="J100" s="3" t="n">
        <v>60</v>
      </c>
      <c r="K100" s="3" t="n">
        <v>2</v>
      </c>
      <c r="L100" s="3" t="n">
        <v>1</v>
      </c>
      <c r="M100" s="3" t="n">
        <v>1</v>
      </c>
      <c r="N100" s="3" t="n">
        <v>2</v>
      </c>
      <c r="O100" s="3" t="n">
        <v>2</v>
      </c>
      <c r="P100" s="3" t="n">
        <v>2</v>
      </c>
      <c r="Q100" s="3" t="n">
        <v>2</v>
      </c>
      <c r="R100" s="3" t="n">
        <v>2</v>
      </c>
      <c r="S100" s="3" t="n">
        <v>2</v>
      </c>
      <c r="T100" s="4" t="n">
        <v>6</v>
      </c>
      <c r="U100" s="3" t="n">
        <v>4</v>
      </c>
      <c r="V100" s="3" t="n">
        <v>4.3</v>
      </c>
      <c r="W100" s="3" t="n">
        <v>2.49</v>
      </c>
      <c r="X100" s="3" t="n">
        <v>8.15</v>
      </c>
      <c r="Y100" s="3" t="n">
        <v>484</v>
      </c>
      <c r="AA100" s="3" t="n">
        <v>0.45</v>
      </c>
      <c r="AB100" s="3" t="n">
        <v>11.8</v>
      </c>
      <c r="AC100" s="3" t="n">
        <v>1</v>
      </c>
      <c r="AD100" s="3" t="n">
        <v>2</v>
      </c>
      <c r="AE100" s="3" t="n">
        <v>2</v>
      </c>
      <c r="AF100" s="3" t="n">
        <v>2</v>
      </c>
      <c r="AG100" s="3" t="n">
        <v>2</v>
      </c>
      <c r="AH100" s="3" t="n">
        <v>2</v>
      </c>
      <c r="AI100" s="3" t="n">
        <v>2</v>
      </c>
      <c r="AJ100" s="3" t="n">
        <v>1</v>
      </c>
      <c r="AK100" s="3" t="n">
        <v>2</v>
      </c>
      <c r="AL100" s="3" t="n">
        <v>2</v>
      </c>
      <c r="AM100" s="3" t="n">
        <v>2</v>
      </c>
      <c r="AN100" s="3" t="n">
        <v>2</v>
      </c>
      <c r="AO100" s="3" t="n">
        <v>2</v>
      </c>
      <c r="AP100" s="3" t="n">
        <v>3</v>
      </c>
      <c r="AQ100" s="3" t="n">
        <v>4</v>
      </c>
      <c r="AR100" s="3" t="n">
        <v>4</v>
      </c>
      <c r="AS100" s="3" t="n">
        <v>6</v>
      </c>
      <c r="AT100" s="3" t="n">
        <v>4</v>
      </c>
      <c r="AU100" s="3" t="n">
        <v>4</v>
      </c>
      <c r="AV100" s="3" t="n">
        <v>6</v>
      </c>
      <c r="AW100" s="3" t="n">
        <v>6</v>
      </c>
      <c r="AX100" s="3" t="n">
        <v>3</v>
      </c>
      <c r="AY100" s="3" t="n">
        <v>3</v>
      </c>
      <c r="AZ100" s="3" t="n">
        <v>1</v>
      </c>
      <c r="BA100" s="5" t="n">
        <v>6</v>
      </c>
      <c r="BB100" s="3" t="n">
        <v>2</v>
      </c>
      <c r="BC100" s="3" t="n">
        <v>1</v>
      </c>
      <c r="BD100" s="3" t="n">
        <v>6</v>
      </c>
      <c r="BE100" s="3" t="n">
        <v>3</v>
      </c>
      <c r="BF100" s="3" t="n">
        <v>5</v>
      </c>
      <c r="BG100" s="3" t="n">
        <v>3</v>
      </c>
      <c r="BH100" s="3" t="n">
        <v>3</v>
      </c>
      <c r="BI100" s="3" t="n">
        <v>1</v>
      </c>
      <c r="BJ100" s="3" t="n">
        <v>1</v>
      </c>
      <c r="BK100" s="6" t="s">
        <v>393</v>
      </c>
    </row>
    <row r="101" customFormat="false" ht="15" hidden="false" customHeight="true" outlineLevel="0" collapsed="false">
      <c r="B101" s="2" t="s">
        <v>394</v>
      </c>
      <c r="C101" s="2" t="s">
        <v>395</v>
      </c>
      <c r="D101" s="2" t="s">
        <v>396</v>
      </c>
      <c r="E101" s="2" t="n">
        <v>164417</v>
      </c>
      <c r="F101" s="15" t="n">
        <v>43410</v>
      </c>
      <c r="G101" s="15" t="n">
        <v>43412</v>
      </c>
      <c r="H101" s="3" t="n">
        <v>2</v>
      </c>
      <c r="I101" s="3" t="n">
        <v>2</v>
      </c>
      <c r="J101" s="3" t="n">
        <v>65</v>
      </c>
      <c r="K101" s="3" t="n">
        <v>2</v>
      </c>
      <c r="L101" s="3" t="n">
        <v>1</v>
      </c>
      <c r="M101" s="3" t="n">
        <v>1</v>
      </c>
      <c r="N101" s="3" t="n">
        <v>2</v>
      </c>
      <c r="O101" s="3" t="n">
        <v>2</v>
      </c>
      <c r="P101" s="3" t="n">
        <v>2</v>
      </c>
      <c r="Q101" s="3" t="n">
        <v>2</v>
      </c>
      <c r="R101" s="3" t="n">
        <v>2</v>
      </c>
      <c r="S101" s="3" t="n">
        <v>2</v>
      </c>
      <c r="T101" s="4" t="n">
        <v>3</v>
      </c>
      <c r="U101" s="3" t="n">
        <v>4</v>
      </c>
      <c r="V101" s="3" t="n">
        <v>3.23</v>
      </c>
      <c r="W101" s="3" t="n">
        <v>0.95</v>
      </c>
      <c r="X101" s="3" t="n">
        <v>3.5</v>
      </c>
      <c r="Y101" s="3" t="n">
        <v>577</v>
      </c>
      <c r="AA101" s="3" t="n">
        <v>0.39</v>
      </c>
      <c r="AB101" s="3" t="n">
        <v>9.5</v>
      </c>
      <c r="AC101" s="3" t="n">
        <v>2</v>
      </c>
      <c r="AD101" s="3" t="n">
        <v>1</v>
      </c>
      <c r="AE101" s="3" t="n">
        <v>1</v>
      </c>
      <c r="AF101" s="3" t="n">
        <v>1</v>
      </c>
      <c r="AG101" s="3" t="n">
        <v>2</v>
      </c>
      <c r="AH101" s="3" t="n">
        <v>2</v>
      </c>
      <c r="AI101" s="3" t="n">
        <v>2</v>
      </c>
      <c r="AJ101" s="3" t="n">
        <v>1</v>
      </c>
      <c r="AK101" s="3" t="n">
        <v>2</v>
      </c>
      <c r="AL101" s="3" t="n">
        <v>2</v>
      </c>
      <c r="AM101" s="3" t="n">
        <v>1</v>
      </c>
      <c r="AN101" s="3" t="n">
        <v>2</v>
      </c>
      <c r="AO101" s="3" t="n">
        <v>2</v>
      </c>
      <c r="AP101" s="3" t="n">
        <v>3</v>
      </c>
      <c r="AQ101" s="3" t="n">
        <v>4</v>
      </c>
      <c r="AR101" s="3" t="n">
        <v>4</v>
      </c>
      <c r="AS101" s="3" t="n">
        <v>6</v>
      </c>
      <c r="AT101" s="3" t="n">
        <v>4</v>
      </c>
      <c r="AU101" s="3" t="n">
        <v>4</v>
      </c>
      <c r="AV101" s="3" t="n">
        <v>6</v>
      </c>
      <c r="AW101" s="3" t="n">
        <v>6</v>
      </c>
      <c r="AX101" s="3" t="n">
        <v>3</v>
      </c>
      <c r="AY101" s="3" t="n">
        <v>3</v>
      </c>
      <c r="AZ101" s="3" t="n">
        <v>1</v>
      </c>
      <c r="BA101" s="5" t="n">
        <v>11</v>
      </c>
      <c r="BB101" s="3" t="n">
        <v>2</v>
      </c>
      <c r="BC101" s="3" t="n">
        <v>1</v>
      </c>
      <c r="BD101" s="3" t="n">
        <v>6</v>
      </c>
      <c r="BE101" s="3" t="n">
        <v>3</v>
      </c>
      <c r="BF101" s="3" t="n">
        <v>5</v>
      </c>
      <c r="BG101" s="3" t="n">
        <v>3</v>
      </c>
      <c r="BH101" s="3" t="n">
        <v>3</v>
      </c>
      <c r="BI101" s="3" t="n">
        <v>1</v>
      </c>
      <c r="BJ101" s="3" t="n">
        <v>1</v>
      </c>
      <c r="BK101" s="6" t="s">
        <v>397</v>
      </c>
    </row>
    <row r="102" customFormat="false" ht="15" hidden="false" customHeight="true" outlineLevel="0" collapsed="false">
      <c r="B102" s="2" t="s">
        <v>145</v>
      </c>
      <c r="C102" s="2" t="s">
        <v>398</v>
      </c>
      <c r="D102" s="2" t="s">
        <v>375</v>
      </c>
      <c r="E102" s="2" t="s">
        <v>399</v>
      </c>
      <c r="F102" s="15" t="n">
        <v>43409</v>
      </c>
      <c r="G102" s="15" t="n">
        <v>43413</v>
      </c>
      <c r="H102" s="3" t="n">
        <v>4</v>
      </c>
      <c r="I102" s="3" t="n">
        <v>2</v>
      </c>
      <c r="J102" s="3" t="n">
        <v>67</v>
      </c>
      <c r="K102" s="3" t="n">
        <v>1</v>
      </c>
      <c r="L102" s="3" t="n">
        <v>1</v>
      </c>
      <c r="M102" s="3" t="n">
        <v>1</v>
      </c>
      <c r="N102" s="3" t="n">
        <v>1</v>
      </c>
      <c r="O102" s="3" t="n">
        <v>2</v>
      </c>
      <c r="P102" s="3" t="n">
        <v>2</v>
      </c>
      <c r="Q102" s="3" t="n">
        <v>2</v>
      </c>
      <c r="R102" s="3" t="n">
        <v>2</v>
      </c>
      <c r="S102" s="3" t="n">
        <v>1</v>
      </c>
      <c r="T102" s="4" t="n">
        <v>1</v>
      </c>
      <c r="U102" s="3" t="n">
        <v>1</v>
      </c>
      <c r="V102" s="3" t="n">
        <v>4.91</v>
      </c>
      <c r="W102" s="3" t="n">
        <v>1.5</v>
      </c>
      <c r="X102" s="3" t="n">
        <v>5.8</v>
      </c>
      <c r="Y102" s="3" t="n">
        <v>378</v>
      </c>
      <c r="AA102" s="3" t="n">
        <v>0.39</v>
      </c>
      <c r="AB102" s="3" t="n">
        <v>8</v>
      </c>
      <c r="AC102" s="3" t="n">
        <v>1</v>
      </c>
      <c r="AD102" s="3" t="n">
        <v>1</v>
      </c>
      <c r="AE102" s="3" t="n">
        <v>1</v>
      </c>
      <c r="AF102" s="3" t="n">
        <v>1</v>
      </c>
      <c r="AG102" s="3" t="n">
        <v>1</v>
      </c>
      <c r="AH102" s="3" t="n">
        <v>2</v>
      </c>
      <c r="AI102" s="3" t="n">
        <v>1</v>
      </c>
      <c r="AJ102" s="3" t="n">
        <v>2</v>
      </c>
      <c r="AK102" s="3" t="n">
        <v>2</v>
      </c>
      <c r="AL102" s="3" t="n">
        <v>2</v>
      </c>
      <c r="AM102" s="3" t="n">
        <v>2</v>
      </c>
      <c r="AN102" s="3" t="n">
        <v>2</v>
      </c>
      <c r="AO102" s="3" t="n">
        <v>2</v>
      </c>
      <c r="AP102" s="3" t="n">
        <v>3</v>
      </c>
      <c r="AQ102" s="3" t="n">
        <v>4</v>
      </c>
      <c r="AR102" s="3" t="n">
        <v>4</v>
      </c>
      <c r="AS102" s="3" t="n">
        <v>6</v>
      </c>
      <c r="AT102" s="3" t="n">
        <v>4</v>
      </c>
      <c r="AU102" s="3" t="n">
        <v>4</v>
      </c>
      <c r="AV102" s="3" t="n">
        <v>6</v>
      </c>
      <c r="AW102" s="3" t="n">
        <v>6</v>
      </c>
      <c r="AX102" s="3" t="n">
        <v>3</v>
      </c>
      <c r="AY102" s="3" t="n">
        <v>3</v>
      </c>
      <c r="AZ102" s="3" t="n">
        <v>1</v>
      </c>
      <c r="BA102" s="5" t="n">
        <v>5</v>
      </c>
      <c r="BB102" s="3" t="n">
        <v>2</v>
      </c>
      <c r="BC102" s="3" t="n">
        <v>1</v>
      </c>
      <c r="BD102" s="3" t="n">
        <v>6</v>
      </c>
      <c r="BE102" s="3" t="n">
        <v>3</v>
      </c>
      <c r="BF102" s="3" t="n">
        <v>5</v>
      </c>
      <c r="BG102" s="3" t="n">
        <v>3</v>
      </c>
      <c r="BH102" s="3" t="n">
        <v>4</v>
      </c>
      <c r="BI102" s="3" t="n">
        <v>1</v>
      </c>
      <c r="BJ102" s="3" t="n">
        <v>1</v>
      </c>
      <c r="BK102" s="6" t="s">
        <v>400</v>
      </c>
    </row>
    <row r="103" customFormat="false" ht="15" hidden="false" customHeight="true" outlineLevel="0" collapsed="false">
      <c r="B103" s="2" t="s">
        <v>401</v>
      </c>
      <c r="C103" s="2" t="s">
        <v>402</v>
      </c>
      <c r="D103" s="2" t="s">
        <v>94</v>
      </c>
      <c r="E103" s="2" t="n">
        <v>164159</v>
      </c>
      <c r="F103" s="15" t="n">
        <v>43408</v>
      </c>
      <c r="G103" s="15" t="n">
        <v>43414</v>
      </c>
      <c r="H103" s="3" t="n">
        <v>6</v>
      </c>
      <c r="I103" s="3" t="n">
        <v>2</v>
      </c>
      <c r="J103" s="3" t="n">
        <v>58</v>
      </c>
      <c r="K103" s="3" t="n">
        <v>1</v>
      </c>
      <c r="L103" s="3" t="n">
        <v>2</v>
      </c>
      <c r="M103" s="3" t="n">
        <v>1</v>
      </c>
      <c r="N103" s="3" t="n">
        <v>2</v>
      </c>
      <c r="O103" s="3" t="n">
        <v>2</v>
      </c>
      <c r="P103" s="3" t="n">
        <v>2</v>
      </c>
      <c r="Q103" s="3" t="n">
        <v>2</v>
      </c>
      <c r="R103" s="3" t="n">
        <v>2</v>
      </c>
      <c r="S103" s="3" t="n">
        <v>2</v>
      </c>
      <c r="T103" s="4" t="n">
        <v>1</v>
      </c>
      <c r="U103" s="3" t="n">
        <v>1</v>
      </c>
      <c r="V103" s="3" t="n">
        <v>4.94</v>
      </c>
      <c r="W103" s="3" t="n">
        <v>2.59</v>
      </c>
      <c r="X103" s="3" t="n">
        <v>6.7</v>
      </c>
      <c r="Y103" s="3" t="n">
        <v>524</v>
      </c>
      <c r="AA103" s="3" t="n">
        <v>0.48</v>
      </c>
      <c r="AB103" s="3" t="n">
        <v>10.5</v>
      </c>
      <c r="AC103" s="3" t="n">
        <v>1</v>
      </c>
      <c r="AD103" s="3" t="n">
        <v>2</v>
      </c>
      <c r="AE103" s="3" t="n">
        <v>1</v>
      </c>
      <c r="AF103" s="3" t="n">
        <v>1</v>
      </c>
      <c r="AG103" s="3" t="n">
        <v>2</v>
      </c>
      <c r="AH103" s="3" t="n">
        <v>2</v>
      </c>
      <c r="AI103" s="3" t="n">
        <v>1</v>
      </c>
      <c r="AJ103" s="3" t="n">
        <v>2</v>
      </c>
      <c r="AK103" s="3" t="n">
        <v>1</v>
      </c>
      <c r="AL103" s="3" t="n">
        <v>2</v>
      </c>
      <c r="AM103" s="3" t="n">
        <v>2</v>
      </c>
      <c r="AN103" s="3" t="n">
        <v>2</v>
      </c>
      <c r="AO103" s="3" t="n">
        <v>2</v>
      </c>
      <c r="AP103" s="3" t="n">
        <v>3</v>
      </c>
      <c r="AQ103" s="3" t="n">
        <v>4</v>
      </c>
      <c r="AR103" s="3" t="n">
        <v>4</v>
      </c>
      <c r="AS103" s="3" t="n">
        <v>6</v>
      </c>
      <c r="AT103" s="3" t="n">
        <v>4</v>
      </c>
      <c r="AU103" s="3" t="n">
        <v>4</v>
      </c>
      <c r="AV103" s="3" t="n">
        <v>6</v>
      </c>
      <c r="AW103" s="3" t="n">
        <v>6</v>
      </c>
      <c r="AX103" s="3" t="n">
        <v>3</v>
      </c>
      <c r="AY103" s="3" t="n">
        <v>3</v>
      </c>
      <c r="AZ103" s="3" t="n">
        <v>1</v>
      </c>
      <c r="BA103" s="5" t="n">
        <v>1</v>
      </c>
      <c r="BB103" s="3" t="n">
        <v>1</v>
      </c>
      <c r="BC103" s="3" t="n">
        <v>1</v>
      </c>
      <c r="BD103" s="3" t="n">
        <v>3</v>
      </c>
      <c r="BE103" s="3" t="n">
        <v>1</v>
      </c>
      <c r="BF103" s="3" t="n">
        <v>2</v>
      </c>
      <c r="BG103" s="3" t="n">
        <v>1</v>
      </c>
      <c r="BH103" s="3" t="n">
        <v>4</v>
      </c>
      <c r="BI103" s="3" t="n">
        <v>1</v>
      </c>
      <c r="BJ103" s="3" t="n">
        <v>1</v>
      </c>
      <c r="BK103" s="6" t="s">
        <v>403</v>
      </c>
    </row>
    <row r="104" customFormat="false" ht="15" hidden="false" customHeight="true" outlineLevel="0" collapsed="false">
      <c r="B104" s="2" t="s">
        <v>180</v>
      </c>
      <c r="C104" s="2" t="s">
        <v>275</v>
      </c>
      <c r="D104" s="2" t="s">
        <v>118</v>
      </c>
      <c r="E104" s="2" t="n">
        <v>163977</v>
      </c>
      <c r="F104" s="15" t="n">
        <v>43405</v>
      </c>
      <c r="G104" s="15" t="n">
        <v>43414</v>
      </c>
      <c r="H104" s="3" t="n">
        <v>9</v>
      </c>
      <c r="I104" s="3" t="n">
        <v>2</v>
      </c>
      <c r="J104" s="3" t="n">
        <v>66</v>
      </c>
      <c r="K104" s="3" t="n">
        <v>1</v>
      </c>
      <c r="L104" s="3" t="n">
        <v>1</v>
      </c>
      <c r="M104" s="3" t="n">
        <v>1</v>
      </c>
      <c r="N104" s="3" t="n">
        <v>1</v>
      </c>
      <c r="O104" s="3" t="n">
        <v>2</v>
      </c>
      <c r="P104" s="3" t="n">
        <v>2</v>
      </c>
      <c r="Q104" s="3" t="n">
        <v>2</v>
      </c>
      <c r="R104" s="3" t="n">
        <v>2</v>
      </c>
      <c r="S104" s="3" t="n">
        <v>2</v>
      </c>
      <c r="T104" s="4" t="n">
        <v>1</v>
      </c>
      <c r="U104" s="3" t="n">
        <v>1</v>
      </c>
      <c r="V104" s="3" t="n">
        <v>2.5</v>
      </c>
      <c r="W104" s="3" t="n">
        <v>1.13</v>
      </c>
      <c r="X104" s="3" t="n">
        <v>4.4</v>
      </c>
      <c r="Y104" s="3" t="n">
        <v>413</v>
      </c>
      <c r="AA104" s="3" t="n">
        <v>0.36</v>
      </c>
      <c r="AB104" s="3" t="n">
        <v>7.2</v>
      </c>
      <c r="AC104" s="3" t="n">
        <v>1</v>
      </c>
      <c r="AD104" s="3" t="n">
        <v>1</v>
      </c>
      <c r="AE104" s="3" t="n">
        <v>1</v>
      </c>
      <c r="AF104" s="3" t="n">
        <v>1</v>
      </c>
      <c r="AG104" s="3" t="n">
        <v>2</v>
      </c>
      <c r="AH104" s="3" t="n">
        <v>2</v>
      </c>
      <c r="AI104" s="3" t="n">
        <v>1</v>
      </c>
      <c r="AJ104" s="3" t="n">
        <v>1</v>
      </c>
      <c r="AK104" s="3" t="n">
        <v>2</v>
      </c>
      <c r="AL104" s="3" t="n">
        <v>2</v>
      </c>
      <c r="AM104" s="3" t="n">
        <v>2</v>
      </c>
      <c r="AN104" s="3" t="n">
        <v>2</v>
      </c>
      <c r="AO104" s="3" t="n">
        <v>2</v>
      </c>
      <c r="AP104" s="3" t="n">
        <v>1</v>
      </c>
      <c r="AQ104" s="3" t="n">
        <v>2</v>
      </c>
      <c r="AR104" s="3" t="n">
        <v>8</v>
      </c>
      <c r="AS104" s="3" t="n">
        <v>3</v>
      </c>
      <c r="AT104" s="3" t="n">
        <v>2</v>
      </c>
      <c r="AU104" s="3" t="n">
        <v>1</v>
      </c>
      <c r="AV104" s="3" t="n">
        <v>1</v>
      </c>
      <c r="AW104" s="3" t="n">
        <v>1</v>
      </c>
      <c r="AX104" s="3" t="n">
        <v>2</v>
      </c>
      <c r="AY104" s="3" t="n">
        <v>2</v>
      </c>
      <c r="AZ104" s="3" t="n">
        <v>1</v>
      </c>
      <c r="BA104" s="5" t="n">
        <v>5</v>
      </c>
      <c r="BB104" s="3" t="n">
        <v>2</v>
      </c>
      <c r="BC104" s="3" t="n">
        <v>1</v>
      </c>
      <c r="BD104" s="3" t="n">
        <v>6</v>
      </c>
      <c r="BE104" s="3" t="n">
        <v>3</v>
      </c>
      <c r="BF104" s="3" t="n">
        <v>5</v>
      </c>
      <c r="BG104" s="3" t="n">
        <v>3</v>
      </c>
      <c r="BH104" s="3" t="n">
        <v>4</v>
      </c>
      <c r="BI104" s="3" t="n">
        <v>1</v>
      </c>
      <c r="BJ104" s="3" t="n">
        <v>1</v>
      </c>
      <c r="BK104" s="6" t="s">
        <v>404</v>
      </c>
    </row>
    <row r="105" customFormat="false" ht="15" hidden="false" customHeight="true" outlineLevel="0" collapsed="false">
      <c r="B105" s="2" t="s">
        <v>405</v>
      </c>
      <c r="C105" s="2" t="s">
        <v>406</v>
      </c>
      <c r="D105" s="2" t="s">
        <v>407</v>
      </c>
      <c r="E105" s="2" t="n">
        <v>164413</v>
      </c>
      <c r="F105" s="15" t="n">
        <v>43410</v>
      </c>
      <c r="G105" s="15" t="n">
        <v>43415</v>
      </c>
      <c r="H105" s="3" t="n">
        <v>5</v>
      </c>
      <c r="I105" s="3" t="n">
        <v>2</v>
      </c>
      <c r="J105" s="3" t="n">
        <v>54</v>
      </c>
      <c r="K105" s="3" t="n">
        <v>2</v>
      </c>
      <c r="L105" s="3" t="n">
        <v>1</v>
      </c>
      <c r="M105" s="3" t="n">
        <v>1</v>
      </c>
      <c r="N105" s="3" t="n">
        <v>1</v>
      </c>
      <c r="O105" s="3" t="n">
        <v>2</v>
      </c>
      <c r="P105" s="3" t="n">
        <v>2</v>
      </c>
      <c r="Q105" s="3" t="n">
        <v>2</v>
      </c>
      <c r="R105" s="3" t="n">
        <v>2</v>
      </c>
      <c r="S105" s="3" t="n">
        <v>1</v>
      </c>
      <c r="T105" s="4" t="n">
        <v>1</v>
      </c>
      <c r="U105" s="3" t="n">
        <v>1</v>
      </c>
      <c r="V105" s="3" t="n">
        <v>3.48</v>
      </c>
      <c r="W105" s="3" t="n">
        <v>2.24</v>
      </c>
      <c r="X105" s="3" t="n">
        <v>6.39</v>
      </c>
      <c r="Y105" s="3" t="n">
        <v>446</v>
      </c>
      <c r="AA105" s="3" t="n">
        <v>0.32</v>
      </c>
      <c r="AB105" s="3" t="n">
        <v>9.8</v>
      </c>
      <c r="AC105" s="3" t="n">
        <v>1</v>
      </c>
      <c r="AD105" s="3" t="n">
        <v>2</v>
      </c>
      <c r="AE105" s="3" t="n">
        <v>1</v>
      </c>
      <c r="AF105" s="3" t="n">
        <v>1</v>
      </c>
      <c r="AG105" s="3" t="n">
        <v>1</v>
      </c>
      <c r="AH105" s="3" t="n">
        <v>1</v>
      </c>
      <c r="AI105" s="3" t="n">
        <v>1</v>
      </c>
      <c r="AJ105" s="3" t="n">
        <v>1</v>
      </c>
      <c r="AK105" s="3" t="n">
        <v>2</v>
      </c>
      <c r="AL105" s="3" t="n">
        <v>2</v>
      </c>
      <c r="AM105" s="3" t="n">
        <v>2</v>
      </c>
      <c r="AN105" s="3" t="n">
        <v>2</v>
      </c>
      <c r="AO105" s="3" t="n">
        <v>2</v>
      </c>
      <c r="AP105" s="3" t="n">
        <v>3</v>
      </c>
      <c r="AQ105" s="3" t="n">
        <v>4</v>
      </c>
      <c r="AR105" s="3" t="n">
        <v>4</v>
      </c>
      <c r="AS105" s="3" t="n">
        <v>6</v>
      </c>
      <c r="AT105" s="3" t="n">
        <v>4</v>
      </c>
      <c r="AU105" s="3" t="n">
        <v>4</v>
      </c>
      <c r="AV105" s="3" t="n">
        <v>6</v>
      </c>
      <c r="AW105" s="3" t="n">
        <v>6</v>
      </c>
      <c r="AX105" s="3" t="n">
        <v>3</v>
      </c>
      <c r="AY105" s="3" t="n">
        <v>3</v>
      </c>
      <c r="AZ105" s="3" t="n">
        <v>1</v>
      </c>
      <c r="BA105" s="5" t="n">
        <v>5</v>
      </c>
      <c r="BB105" s="3" t="n">
        <v>2</v>
      </c>
      <c r="BC105" s="3" t="n">
        <v>1</v>
      </c>
      <c r="BD105" s="3" t="n">
        <v>6</v>
      </c>
      <c r="BE105" s="3" t="n">
        <v>3</v>
      </c>
      <c r="BF105" s="3" t="n">
        <v>5</v>
      </c>
      <c r="BG105" s="3" t="n">
        <v>3</v>
      </c>
      <c r="BH105" s="3" t="n">
        <v>4</v>
      </c>
      <c r="BI105" s="3" t="n">
        <v>1</v>
      </c>
      <c r="BJ105" s="3" t="n">
        <v>1</v>
      </c>
      <c r="BK105" s="6" t="s">
        <v>408</v>
      </c>
    </row>
    <row r="106" customFormat="false" ht="15" hidden="false" customHeight="true" outlineLevel="0" collapsed="false">
      <c r="B106" s="2" t="s">
        <v>409</v>
      </c>
      <c r="C106" s="2" t="s">
        <v>410</v>
      </c>
      <c r="D106" s="2" t="s">
        <v>411</v>
      </c>
      <c r="E106" s="2" t="n">
        <v>164444</v>
      </c>
      <c r="F106" s="15" t="n">
        <v>43411</v>
      </c>
      <c r="G106" s="15" t="n">
        <v>43416</v>
      </c>
      <c r="H106" s="3" t="n">
        <v>5</v>
      </c>
      <c r="I106" s="3" t="n">
        <v>2</v>
      </c>
      <c r="J106" s="3" t="n">
        <v>67</v>
      </c>
      <c r="K106" s="3" t="n">
        <v>1</v>
      </c>
      <c r="L106" s="3" t="n">
        <v>2</v>
      </c>
      <c r="M106" s="3" t="n">
        <v>1</v>
      </c>
      <c r="N106" s="3" t="n">
        <v>2</v>
      </c>
      <c r="O106" s="3" t="n">
        <v>2</v>
      </c>
      <c r="P106" s="3" t="n">
        <v>2</v>
      </c>
      <c r="Q106" s="3" t="n">
        <v>2</v>
      </c>
      <c r="R106" s="3" t="n">
        <v>2</v>
      </c>
      <c r="S106" s="3" t="n">
        <v>2</v>
      </c>
      <c r="T106" s="4" t="n">
        <v>1</v>
      </c>
      <c r="U106" s="3" t="n">
        <v>1</v>
      </c>
      <c r="V106" s="3" t="n">
        <v>4.55</v>
      </c>
      <c r="W106" s="3" t="n">
        <v>0.88</v>
      </c>
      <c r="X106" s="3" t="n">
        <v>5</v>
      </c>
      <c r="Y106" s="3" t="n">
        <v>342</v>
      </c>
      <c r="AA106" s="3" t="n">
        <v>0.42</v>
      </c>
      <c r="AB106" s="3" t="n">
        <v>6.8</v>
      </c>
      <c r="AC106" s="3" t="n">
        <v>1</v>
      </c>
      <c r="AD106" s="3" t="n">
        <v>2</v>
      </c>
      <c r="AE106" s="3" t="n">
        <v>1</v>
      </c>
      <c r="AF106" s="3" t="n">
        <v>1</v>
      </c>
      <c r="AG106" s="3" t="n">
        <v>2</v>
      </c>
      <c r="AH106" s="3" t="n">
        <v>2</v>
      </c>
      <c r="AI106" s="3" t="n">
        <v>1</v>
      </c>
      <c r="AJ106" s="3" t="n">
        <v>1</v>
      </c>
      <c r="AK106" s="3" t="n">
        <v>2</v>
      </c>
      <c r="AL106" s="3" t="n">
        <v>2</v>
      </c>
      <c r="AM106" s="3" t="n">
        <v>2</v>
      </c>
      <c r="AN106" s="3" t="n">
        <v>2</v>
      </c>
      <c r="AO106" s="3" t="n">
        <v>2</v>
      </c>
      <c r="AP106" s="3" t="n">
        <v>3</v>
      </c>
      <c r="AQ106" s="3" t="n">
        <v>4</v>
      </c>
      <c r="AR106" s="3" t="n">
        <v>4</v>
      </c>
      <c r="AS106" s="3" t="n">
        <v>6</v>
      </c>
      <c r="AT106" s="3" t="n">
        <v>4</v>
      </c>
      <c r="AU106" s="3" t="n">
        <v>4</v>
      </c>
      <c r="AV106" s="3" t="n">
        <v>6</v>
      </c>
      <c r="AW106" s="3" t="n">
        <v>6</v>
      </c>
      <c r="AX106" s="3" t="n">
        <v>3</v>
      </c>
      <c r="AY106" s="3" t="n">
        <v>3</v>
      </c>
      <c r="AZ106" s="3" t="n">
        <v>1</v>
      </c>
      <c r="BA106" s="5" t="n">
        <v>5</v>
      </c>
      <c r="BB106" s="3" t="n">
        <v>2</v>
      </c>
      <c r="BC106" s="3" t="n">
        <v>1</v>
      </c>
      <c r="BD106" s="3" t="n">
        <v>6</v>
      </c>
      <c r="BE106" s="3" t="n">
        <v>3</v>
      </c>
      <c r="BF106" s="3" t="n">
        <v>5</v>
      </c>
      <c r="BG106" s="3" t="n">
        <v>3</v>
      </c>
      <c r="BH106" s="3" t="n">
        <v>4</v>
      </c>
      <c r="BI106" s="3" t="n">
        <v>1</v>
      </c>
      <c r="BJ106" s="3" t="n">
        <v>1</v>
      </c>
      <c r="BK106" s="6" t="s">
        <v>412</v>
      </c>
    </row>
    <row r="107" customFormat="false" ht="15" hidden="false" customHeight="true" outlineLevel="0" collapsed="false">
      <c r="B107" s="2" t="s">
        <v>413</v>
      </c>
      <c r="C107" s="2" t="s">
        <v>414</v>
      </c>
      <c r="D107" s="2" t="s">
        <v>415</v>
      </c>
      <c r="E107" s="2" t="n">
        <v>164403</v>
      </c>
      <c r="F107" s="15" t="n">
        <v>43410</v>
      </c>
      <c r="G107" s="15" t="n">
        <v>43416</v>
      </c>
      <c r="H107" s="3" t="n">
        <v>6</v>
      </c>
      <c r="I107" s="3" t="n">
        <v>2</v>
      </c>
      <c r="J107" s="3" t="n">
        <v>78</v>
      </c>
      <c r="K107" s="3" t="n">
        <v>1</v>
      </c>
      <c r="L107" s="3" t="n">
        <v>1</v>
      </c>
      <c r="M107" s="3" t="n">
        <v>1</v>
      </c>
      <c r="N107" s="3" t="n">
        <v>2</v>
      </c>
      <c r="O107" s="3" t="n">
        <v>2</v>
      </c>
      <c r="P107" s="3" t="n">
        <v>2</v>
      </c>
      <c r="Q107" s="3" t="n">
        <v>2</v>
      </c>
      <c r="R107" s="3" t="n">
        <v>2</v>
      </c>
      <c r="S107" s="3" t="n">
        <v>2</v>
      </c>
      <c r="T107" s="4" t="n">
        <v>1</v>
      </c>
      <c r="U107" s="3" t="n">
        <v>4</v>
      </c>
      <c r="V107" s="3" t="n">
        <v>3.33</v>
      </c>
      <c r="W107" s="3" t="n">
        <v>2.8</v>
      </c>
      <c r="X107" s="3" t="n">
        <v>6.13</v>
      </c>
      <c r="Y107" s="3" t="n">
        <v>392</v>
      </c>
      <c r="AA107" s="3" t="n">
        <v>0.37</v>
      </c>
      <c r="AB107" s="3" t="n">
        <v>10.4</v>
      </c>
      <c r="AC107" s="3" t="n">
        <v>1</v>
      </c>
      <c r="AD107" s="3" t="n">
        <v>2</v>
      </c>
      <c r="AE107" s="3" t="n">
        <v>1</v>
      </c>
      <c r="AF107" s="3" t="n">
        <v>1</v>
      </c>
      <c r="AG107" s="3" t="n">
        <v>2</v>
      </c>
      <c r="AH107" s="3" t="n">
        <v>2</v>
      </c>
      <c r="AI107" s="3" t="n">
        <v>2</v>
      </c>
      <c r="AJ107" s="3" t="n">
        <v>2</v>
      </c>
      <c r="AK107" s="3" t="n">
        <v>2</v>
      </c>
      <c r="AL107" s="3" t="n">
        <v>2</v>
      </c>
      <c r="AM107" s="3" t="n">
        <v>1</v>
      </c>
      <c r="AN107" s="3" t="n">
        <v>2</v>
      </c>
      <c r="AO107" s="3" t="n">
        <v>2</v>
      </c>
      <c r="AP107" s="3" t="n">
        <v>3</v>
      </c>
      <c r="AQ107" s="3" t="n">
        <v>4</v>
      </c>
      <c r="AR107" s="3" t="n">
        <v>4</v>
      </c>
      <c r="AS107" s="3" t="n">
        <v>6</v>
      </c>
      <c r="AT107" s="3" t="n">
        <v>4</v>
      </c>
      <c r="AU107" s="3" t="n">
        <v>4</v>
      </c>
      <c r="AV107" s="3" t="n">
        <v>6</v>
      </c>
      <c r="AW107" s="3" t="n">
        <v>6</v>
      </c>
      <c r="AX107" s="3" t="n">
        <v>3</v>
      </c>
      <c r="AY107" s="3" t="n">
        <v>3</v>
      </c>
      <c r="AZ107" s="3" t="n">
        <v>1</v>
      </c>
      <c r="BA107" s="5" t="n">
        <v>5</v>
      </c>
      <c r="BB107" s="3" t="n">
        <v>2</v>
      </c>
      <c r="BC107" s="3" t="n">
        <v>1</v>
      </c>
      <c r="BD107" s="3" t="n">
        <v>6</v>
      </c>
      <c r="BE107" s="3" t="n">
        <v>3</v>
      </c>
      <c r="BF107" s="3" t="n">
        <v>5</v>
      </c>
      <c r="BG107" s="3" t="n">
        <v>3</v>
      </c>
      <c r="BH107" s="3" t="n">
        <v>4</v>
      </c>
      <c r="BI107" s="3" t="n">
        <v>1</v>
      </c>
      <c r="BJ107" s="3" t="n">
        <v>1</v>
      </c>
      <c r="BK107" s="6" t="s">
        <v>416</v>
      </c>
    </row>
    <row r="108" customFormat="false" ht="15" hidden="false" customHeight="true" outlineLevel="0" collapsed="false">
      <c r="B108" s="2" t="s">
        <v>417</v>
      </c>
      <c r="C108" s="2" t="s">
        <v>418</v>
      </c>
      <c r="D108" s="2" t="s">
        <v>419</v>
      </c>
      <c r="E108" s="2" t="n">
        <v>164122</v>
      </c>
      <c r="F108" s="15" t="n">
        <v>43409</v>
      </c>
      <c r="G108" s="15" t="n">
        <v>43416</v>
      </c>
      <c r="H108" s="3" t="n">
        <v>7</v>
      </c>
      <c r="I108" s="3" t="n">
        <v>2</v>
      </c>
      <c r="J108" s="3" t="n">
        <v>72</v>
      </c>
      <c r="K108" s="3" t="n">
        <v>1</v>
      </c>
      <c r="L108" s="3" t="n">
        <v>2</v>
      </c>
      <c r="M108" s="3" t="n">
        <v>1</v>
      </c>
      <c r="N108" s="3" t="n">
        <v>2</v>
      </c>
      <c r="O108" s="3" t="n">
        <v>2</v>
      </c>
      <c r="P108" s="3" t="n">
        <v>2</v>
      </c>
      <c r="Q108" s="3" t="n">
        <v>2</v>
      </c>
      <c r="R108" s="3" t="n">
        <v>2</v>
      </c>
      <c r="S108" s="3" t="n">
        <v>2</v>
      </c>
      <c r="T108" s="4" t="n">
        <v>1</v>
      </c>
      <c r="U108" s="3" t="n">
        <v>1</v>
      </c>
      <c r="V108" s="3" t="n">
        <v>5.62</v>
      </c>
      <c r="W108" s="3" t="n">
        <v>1.14</v>
      </c>
      <c r="X108" s="3" t="n">
        <v>7.2</v>
      </c>
      <c r="Y108" s="3" t="n">
        <v>265</v>
      </c>
      <c r="AA108" s="3" t="n">
        <v>0.43</v>
      </c>
      <c r="AB108" s="3" t="n">
        <v>6.2</v>
      </c>
      <c r="AC108" s="3" t="n">
        <v>1</v>
      </c>
      <c r="AD108" s="3" t="n">
        <v>1</v>
      </c>
      <c r="AE108" s="3" t="n">
        <v>1</v>
      </c>
      <c r="AF108" s="3" t="n">
        <v>1</v>
      </c>
      <c r="AG108" s="3" t="n">
        <v>1</v>
      </c>
      <c r="AH108" s="3" t="n">
        <v>2</v>
      </c>
      <c r="AI108" s="3" t="n">
        <v>2</v>
      </c>
      <c r="AJ108" s="3" t="n">
        <v>2</v>
      </c>
      <c r="AK108" s="3" t="n">
        <v>2</v>
      </c>
      <c r="AL108" s="3" t="n">
        <v>2</v>
      </c>
      <c r="AM108" s="3" t="n">
        <v>2</v>
      </c>
      <c r="AN108" s="3" t="n">
        <v>2</v>
      </c>
      <c r="AO108" s="3" t="n">
        <v>2</v>
      </c>
      <c r="AP108" s="3" t="n">
        <v>3</v>
      </c>
      <c r="AQ108" s="3" t="n">
        <v>4</v>
      </c>
      <c r="AR108" s="3" t="n">
        <v>4</v>
      </c>
      <c r="AS108" s="3" t="n">
        <v>6</v>
      </c>
      <c r="AT108" s="3" t="n">
        <v>4</v>
      </c>
      <c r="AU108" s="3" t="n">
        <v>4</v>
      </c>
      <c r="AV108" s="3" t="n">
        <v>6</v>
      </c>
      <c r="AW108" s="3" t="n">
        <v>6</v>
      </c>
      <c r="AX108" s="3" t="n">
        <v>3</v>
      </c>
      <c r="AY108" s="3" t="n">
        <v>3</v>
      </c>
      <c r="AZ108" s="3" t="n">
        <v>1</v>
      </c>
      <c r="BA108" s="5" t="n">
        <v>5</v>
      </c>
      <c r="BB108" s="3" t="n">
        <v>2</v>
      </c>
      <c r="BC108" s="3" t="n">
        <v>1</v>
      </c>
      <c r="BD108" s="3" t="n">
        <v>6</v>
      </c>
      <c r="BE108" s="3" t="n">
        <v>3</v>
      </c>
      <c r="BF108" s="3" t="n">
        <v>5</v>
      </c>
      <c r="BG108" s="3" t="n">
        <v>3</v>
      </c>
      <c r="BH108" s="3" t="n">
        <v>4</v>
      </c>
      <c r="BI108" s="3" t="n">
        <v>1</v>
      </c>
      <c r="BJ108" s="3" t="n">
        <v>1</v>
      </c>
      <c r="BK108" s="6" t="s">
        <v>420</v>
      </c>
    </row>
    <row r="109" customFormat="false" ht="15" hidden="false" customHeight="true" outlineLevel="0" collapsed="false">
      <c r="B109" s="2" t="s">
        <v>234</v>
      </c>
      <c r="C109" s="2" t="s">
        <v>235</v>
      </c>
      <c r="D109" s="2" t="s">
        <v>236</v>
      </c>
      <c r="E109" s="2" t="n">
        <v>162422</v>
      </c>
      <c r="F109" s="15" t="n">
        <v>43402</v>
      </c>
      <c r="G109" s="15" t="n">
        <v>43416</v>
      </c>
      <c r="H109" s="3" t="n">
        <v>13</v>
      </c>
      <c r="I109" s="3" t="n">
        <v>1</v>
      </c>
      <c r="J109" s="3" t="n">
        <v>64</v>
      </c>
      <c r="K109" s="3" t="n">
        <v>1</v>
      </c>
      <c r="L109" s="3" t="n">
        <v>1</v>
      </c>
      <c r="M109" s="3" t="n">
        <v>1</v>
      </c>
      <c r="N109" s="3" t="n">
        <v>1</v>
      </c>
      <c r="O109" s="3" t="n">
        <v>2</v>
      </c>
      <c r="P109" s="3" t="n">
        <v>2</v>
      </c>
      <c r="Q109" s="3" t="n">
        <v>2</v>
      </c>
      <c r="R109" s="3" t="n">
        <v>2</v>
      </c>
      <c r="S109" s="3" t="n">
        <v>2</v>
      </c>
      <c r="T109" s="4" t="n">
        <v>1</v>
      </c>
      <c r="U109" s="3" t="n">
        <v>1</v>
      </c>
      <c r="V109" s="3" t="n">
        <v>3.22</v>
      </c>
      <c r="W109" s="3" t="n">
        <v>0.91</v>
      </c>
      <c r="X109" s="3" t="n">
        <v>5.4</v>
      </c>
      <c r="Y109" s="3" t="n">
        <v>129</v>
      </c>
      <c r="AA109" s="3" t="n">
        <v>0.38</v>
      </c>
      <c r="AB109" s="3" t="n">
        <v>8.4</v>
      </c>
      <c r="AC109" s="3" t="n">
        <v>3</v>
      </c>
      <c r="AD109" s="3" t="n">
        <v>1</v>
      </c>
      <c r="AE109" s="3" t="n">
        <v>1</v>
      </c>
      <c r="AF109" s="3" t="n">
        <v>1</v>
      </c>
      <c r="AG109" s="3" t="n">
        <v>2</v>
      </c>
      <c r="AH109" s="3" t="n">
        <v>2</v>
      </c>
      <c r="AI109" s="3" t="n">
        <v>2</v>
      </c>
      <c r="AJ109" s="3" t="n">
        <v>2</v>
      </c>
      <c r="AK109" s="3" t="n">
        <v>2</v>
      </c>
      <c r="AL109" s="3" t="n">
        <v>2</v>
      </c>
      <c r="AM109" s="3" t="n">
        <v>2</v>
      </c>
      <c r="AN109" s="3" t="n">
        <v>2</v>
      </c>
      <c r="AO109" s="3" t="n">
        <v>2</v>
      </c>
      <c r="AP109" s="3" t="n">
        <v>1</v>
      </c>
      <c r="AQ109" s="3" t="n">
        <v>2</v>
      </c>
      <c r="AR109" s="3" t="n">
        <v>8</v>
      </c>
      <c r="AS109" s="3" t="n">
        <v>3</v>
      </c>
      <c r="AT109" s="3" t="n">
        <v>3</v>
      </c>
      <c r="AU109" s="3" t="n">
        <v>1</v>
      </c>
      <c r="AV109" s="3" t="n">
        <v>3</v>
      </c>
      <c r="AW109" s="3" t="n">
        <v>1</v>
      </c>
      <c r="AX109" s="3" t="n">
        <v>2</v>
      </c>
      <c r="AY109" s="3" t="n">
        <v>2</v>
      </c>
      <c r="AZ109" s="3" t="n">
        <v>1</v>
      </c>
      <c r="BA109" s="5" t="n">
        <v>5</v>
      </c>
      <c r="BB109" s="3" t="n">
        <v>2</v>
      </c>
      <c r="BC109" s="3" t="n">
        <v>1</v>
      </c>
      <c r="BD109" s="3" t="n">
        <v>6</v>
      </c>
      <c r="BE109" s="3" t="n">
        <v>3</v>
      </c>
      <c r="BF109" s="3" t="n">
        <v>5</v>
      </c>
      <c r="BG109" s="3" t="n">
        <v>3</v>
      </c>
      <c r="BH109" s="3" t="n">
        <v>4</v>
      </c>
      <c r="BI109" s="3" t="n">
        <v>1</v>
      </c>
      <c r="BJ109" s="3" t="n">
        <v>1</v>
      </c>
      <c r="BK109" s="6" t="s">
        <v>421</v>
      </c>
    </row>
    <row r="110" customFormat="false" ht="15" hidden="false" customHeight="true" outlineLevel="0" collapsed="false">
      <c r="B110" s="2" t="s">
        <v>422</v>
      </c>
      <c r="C110" s="2" t="s">
        <v>423</v>
      </c>
      <c r="D110" s="2" t="s">
        <v>210</v>
      </c>
      <c r="E110" s="2" t="n">
        <v>164475</v>
      </c>
      <c r="F110" s="15" t="n">
        <v>43412</v>
      </c>
      <c r="G110" s="15" t="n">
        <v>43416</v>
      </c>
      <c r="H110" s="3" t="n">
        <v>4</v>
      </c>
      <c r="I110" s="3" t="n">
        <v>1</v>
      </c>
      <c r="J110" s="3" t="n">
        <v>58</v>
      </c>
      <c r="K110" s="3" t="n">
        <v>1</v>
      </c>
      <c r="L110" s="3" t="n">
        <v>2</v>
      </c>
      <c r="M110" s="3" t="n">
        <v>1</v>
      </c>
      <c r="N110" s="3" t="n">
        <v>1</v>
      </c>
      <c r="O110" s="3" t="n">
        <v>2</v>
      </c>
      <c r="P110" s="3" t="n">
        <v>2</v>
      </c>
      <c r="Q110" s="3" t="n">
        <v>2</v>
      </c>
      <c r="R110" s="3" t="n">
        <v>2</v>
      </c>
      <c r="S110" s="3" t="n">
        <v>1</v>
      </c>
      <c r="T110" s="4" t="n">
        <v>1</v>
      </c>
      <c r="U110" s="3" t="n">
        <v>1</v>
      </c>
      <c r="V110" s="3" t="n">
        <v>6.75</v>
      </c>
      <c r="W110" s="3" t="n">
        <v>1.7</v>
      </c>
      <c r="X110" s="3" t="n">
        <v>5.1</v>
      </c>
      <c r="Y110" s="3" t="n">
        <v>253</v>
      </c>
      <c r="AA110" s="3" t="n">
        <v>0.37</v>
      </c>
      <c r="AB110" s="3" t="n">
        <v>6.9</v>
      </c>
      <c r="AC110" s="3" t="n">
        <v>1</v>
      </c>
      <c r="AD110" s="3" t="n">
        <v>1</v>
      </c>
      <c r="AE110" s="3" t="n">
        <v>1</v>
      </c>
      <c r="AF110" s="3" t="n">
        <v>1</v>
      </c>
      <c r="AG110" s="3" t="n">
        <v>2</v>
      </c>
      <c r="AH110" s="3" t="n">
        <v>2</v>
      </c>
      <c r="AI110" s="3" t="n">
        <v>1</v>
      </c>
      <c r="AJ110" s="3" t="n">
        <v>1</v>
      </c>
      <c r="AK110" s="3" t="n">
        <v>2</v>
      </c>
      <c r="AL110" s="3" t="n">
        <v>2</v>
      </c>
      <c r="AM110" s="3" t="n">
        <v>2</v>
      </c>
      <c r="AN110" s="3" t="n">
        <v>2</v>
      </c>
      <c r="AO110" s="3" t="n">
        <v>2</v>
      </c>
      <c r="AP110" s="3" t="n">
        <v>3</v>
      </c>
      <c r="AQ110" s="3" t="n">
        <v>4</v>
      </c>
      <c r="AR110" s="3" t="n">
        <v>4</v>
      </c>
      <c r="AS110" s="3" t="n">
        <v>6</v>
      </c>
      <c r="AT110" s="3" t="n">
        <v>4</v>
      </c>
      <c r="AU110" s="3" t="n">
        <v>4</v>
      </c>
      <c r="AV110" s="3" t="n">
        <v>6</v>
      </c>
      <c r="AW110" s="3" t="n">
        <v>6</v>
      </c>
      <c r="AX110" s="3" t="n">
        <v>3</v>
      </c>
      <c r="AY110" s="3" t="n">
        <v>3</v>
      </c>
      <c r="AZ110" s="3" t="n">
        <v>1</v>
      </c>
      <c r="BA110" s="5" t="n">
        <v>5</v>
      </c>
      <c r="BB110" s="3" t="n">
        <v>2</v>
      </c>
      <c r="BC110" s="3" t="n">
        <v>1</v>
      </c>
      <c r="BD110" s="3" t="n">
        <v>6</v>
      </c>
      <c r="BE110" s="3" t="n">
        <v>3</v>
      </c>
      <c r="BF110" s="3" t="n">
        <v>5</v>
      </c>
      <c r="BG110" s="3" t="n">
        <v>3</v>
      </c>
      <c r="BH110" s="3" t="n">
        <v>4</v>
      </c>
      <c r="BI110" s="3" t="n">
        <v>1</v>
      </c>
      <c r="BJ110" s="3" t="n">
        <v>1</v>
      </c>
      <c r="BK110" s="6" t="s">
        <v>424</v>
      </c>
    </row>
    <row r="111" s="30" customFormat="true" ht="15" hidden="false" customHeight="true" outlineLevel="0" collapsed="false">
      <c r="A111" s="24"/>
      <c r="B111" s="26" t="s">
        <v>425</v>
      </c>
      <c r="C111" s="26" t="s">
        <v>294</v>
      </c>
      <c r="D111" s="26" t="s">
        <v>109</v>
      </c>
      <c r="E111" s="26" t="n">
        <v>146457</v>
      </c>
      <c r="F111" s="27" t="n">
        <v>43409</v>
      </c>
      <c r="G111" s="27" t="n">
        <v>43417</v>
      </c>
      <c r="H111" s="30" t="n">
        <v>8</v>
      </c>
      <c r="I111" s="30" t="n">
        <v>1</v>
      </c>
      <c r="J111" s="30" t="n">
        <v>64</v>
      </c>
      <c r="K111" s="30" t="n">
        <v>2</v>
      </c>
      <c r="L111" s="30" t="n">
        <v>1</v>
      </c>
      <c r="M111" s="30" t="n">
        <v>1</v>
      </c>
      <c r="N111" s="30" t="n">
        <v>2</v>
      </c>
      <c r="O111" s="30" t="n">
        <v>2</v>
      </c>
      <c r="P111" s="30" t="n">
        <v>2</v>
      </c>
      <c r="Q111" s="30" t="n">
        <v>2</v>
      </c>
      <c r="R111" s="30" t="n">
        <v>2</v>
      </c>
      <c r="S111" s="30" t="n">
        <v>2</v>
      </c>
      <c r="T111" s="4" t="n">
        <v>3</v>
      </c>
      <c r="U111" s="30" t="n">
        <v>4</v>
      </c>
      <c r="V111" s="30" t="n">
        <v>2.78</v>
      </c>
      <c r="W111" s="30" t="n">
        <v>1.09</v>
      </c>
      <c r="X111" s="30" t="n">
        <v>5.1</v>
      </c>
      <c r="Y111" s="30" t="n">
        <v>444</v>
      </c>
      <c r="AA111" s="30" t="n">
        <v>0.44</v>
      </c>
      <c r="AB111" s="30" t="n">
        <v>6.9</v>
      </c>
      <c r="AC111" s="30" t="n">
        <v>2</v>
      </c>
      <c r="AD111" s="30" t="n">
        <v>1</v>
      </c>
      <c r="AE111" s="30" t="n">
        <v>1</v>
      </c>
      <c r="AF111" s="30" t="n">
        <v>1</v>
      </c>
      <c r="AG111" s="30" t="n">
        <v>2</v>
      </c>
      <c r="AH111" s="30" t="n">
        <v>2</v>
      </c>
      <c r="AI111" s="30" t="n">
        <v>1</v>
      </c>
      <c r="AJ111" s="30" t="n">
        <v>2</v>
      </c>
      <c r="AK111" s="30" t="n">
        <v>2</v>
      </c>
      <c r="AL111" s="30" t="n">
        <v>1</v>
      </c>
      <c r="AM111" s="30" t="n">
        <v>2</v>
      </c>
      <c r="AN111" s="30" t="n">
        <v>1</v>
      </c>
      <c r="AO111" s="30" t="n">
        <v>2</v>
      </c>
      <c r="AP111" s="30" t="n">
        <v>3</v>
      </c>
      <c r="AQ111" s="30" t="n">
        <v>4</v>
      </c>
      <c r="AR111" s="30" t="n">
        <v>4</v>
      </c>
      <c r="AS111" s="30" t="n">
        <v>6</v>
      </c>
      <c r="AT111" s="30" t="n">
        <v>4</v>
      </c>
      <c r="AU111" s="30" t="n">
        <v>4</v>
      </c>
      <c r="AV111" s="30" t="n">
        <v>6</v>
      </c>
      <c r="AW111" s="30" t="n">
        <v>6</v>
      </c>
      <c r="AX111" s="30" t="n">
        <v>3</v>
      </c>
      <c r="AY111" s="30" t="n">
        <v>3</v>
      </c>
      <c r="AZ111" s="30" t="n">
        <v>14</v>
      </c>
      <c r="BA111" s="5" t="n">
        <v>11</v>
      </c>
      <c r="BB111" s="30" t="n">
        <v>2</v>
      </c>
      <c r="BC111" s="30" t="n">
        <v>2</v>
      </c>
      <c r="BD111" s="30" t="n">
        <v>6</v>
      </c>
      <c r="BE111" s="30" t="n">
        <v>3</v>
      </c>
      <c r="BF111" s="30" t="n">
        <v>5</v>
      </c>
      <c r="BG111" s="30" t="n">
        <v>3</v>
      </c>
      <c r="BH111" s="30" t="n">
        <v>4</v>
      </c>
      <c r="BI111" s="30" t="n">
        <v>2</v>
      </c>
      <c r="BJ111" s="30" t="n">
        <v>2</v>
      </c>
      <c r="BK111" s="31" t="s">
        <v>426</v>
      </c>
    </row>
    <row r="112" customFormat="false" ht="15" hidden="false" customHeight="true" outlineLevel="0" collapsed="false">
      <c r="B112" s="2" t="s">
        <v>427</v>
      </c>
      <c r="C112" s="2" t="s">
        <v>428</v>
      </c>
      <c r="D112" s="2" t="s">
        <v>429</v>
      </c>
      <c r="E112" s="2" t="n">
        <v>164942</v>
      </c>
      <c r="F112" s="15" t="n">
        <v>43414</v>
      </c>
      <c r="G112" s="15" t="n">
        <v>43418</v>
      </c>
      <c r="H112" s="3" t="n">
        <v>4</v>
      </c>
      <c r="I112" s="3" t="n">
        <v>2</v>
      </c>
      <c r="J112" s="3" t="n">
        <v>70</v>
      </c>
      <c r="K112" s="3" t="n">
        <v>1</v>
      </c>
      <c r="L112" s="3" t="n">
        <v>2</v>
      </c>
      <c r="M112" s="3" t="n">
        <v>1</v>
      </c>
      <c r="N112" s="3" t="n">
        <v>2</v>
      </c>
      <c r="O112" s="3" t="n">
        <v>2</v>
      </c>
      <c r="P112" s="3" t="n">
        <v>2</v>
      </c>
      <c r="Q112" s="3" t="n">
        <v>2</v>
      </c>
      <c r="R112" s="3" t="n">
        <v>2</v>
      </c>
      <c r="S112" s="3" t="n">
        <v>2</v>
      </c>
      <c r="T112" s="4" t="n">
        <v>12</v>
      </c>
      <c r="U112" s="3" t="n">
        <v>1</v>
      </c>
      <c r="V112" s="3" t="n">
        <v>6.14</v>
      </c>
      <c r="W112" s="3" t="n">
        <v>1.2</v>
      </c>
      <c r="X112" s="3" t="n">
        <v>5.4</v>
      </c>
      <c r="Y112" s="3" t="n">
        <v>446</v>
      </c>
      <c r="AA112" s="3" t="n">
        <v>0.46</v>
      </c>
      <c r="AB112" s="3" t="n">
        <v>6.9</v>
      </c>
      <c r="AC112" s="3" t="n">
        <v>1</v>
      </c>
      <c r="AD112" s="3" t="n">
        <v>2</v>
      </c>
      <c r="AE112" s="3" t="n">
        <v>2</v>
      </c>
      <c r="AF112" s="3" t="n">
        <v>2</v>
      </c>
      <c r="AG112" s="3" t="n">
        <v>2</v>
      </c>
      <c r="AH112" s="3" t="n">
        <v>1</v>
      </c>
      <c r="AI112" s="3" t="n">
        <v>2</v>
      </c>
      <c r="AJ112" s="3" t="n">
        <v>1</v>
      </c>
      <c r="AK112" s="3" t="n">
        <v>2</v>
      </c>
      <c r="AL112" s="3" t="n">
        <v>2</v>
      </c>
      <c r="AM112" s="3" t="n">
        <v>1</v>
      </c>
      <c r="AN112" s="3" t="n">
        <v>2</v>
      </c>
      <c r="AO112" s="3" t="n">
        <v>2</v>
      </c>
      <c r="AP112" s="3" t="n">
        <v>3</v>
      </c>
      <c r="AQ112" s="3" t="n">
        <v>4</v>
      </c>
      <c r="AR112" s="3" t="n">
        <v>4</v>
      </c>
      <c r="AS112" s="3" t="n">
        <v>6</v>
      </c>
      <c r="AT112" s="3" t="n">
        <v>4</v>
      </c>
      <c r="AU112" s="3" t="n">
        <v>4</v>
      </c>
      <c r="AV112" s="3" t="n">
        <v>6</v>
      </c>
      <c r="AW112" s="3" t="n">
        <v>6</v>
      </c>
      <c r="AX112" s="3" t="n">
        <v>3</v>
      </c>
      <c r="AY112" s="3" t="n">
        <v>3</v>
      </c>
      <c r="AZ112" s="3" t="n">
        <v>1</v>
      </c>
      <c r="BA112" s="5" t="n">
        <v>3</v>
      </c>
      <c r="BB112" s="3" t="n">
        <v>2</v>
      </c>
      <c r="BC112" s="3" t="n">
        <v>1</v>
      </c>
      <c r="BD112" s="3" t="n">
        <v>6</v>
      </c>
      <c r="BE112" s="3" t="n">
        <v>3</v>
      </c>
      <c r="BF112" s="3" t="n">
        <v>5</v>
      </c>
      <c r="BG112" s="3" t="n">
        <v>3</v>
      </c>
      <c r="BH112" s="3" t="n">
        <v>5</v>
      </c>
      <c r="BI112" s="3" t="n">
        <v>1</v>
      </c>
      <c r="BJ112" s="3" t="n">
        <v>1</v>
      </c>
      <c r="BK112" s="6" t="s">
        <v>430</v>
      </c>
    </row>
    <row r="113" customFormat="false" ht="15" hidden="false" customHeight="true" outlineLevel="0" collapsed="false">
      <c r="B113" s="2" t="s">
        <v>431</v>
      </c>
      <c r="C113" s="2" t="s">
        <v>432</v>
      </c>
      <c r="D113" s="2" t="s">
        <v>433</v>
      </c>
      <c r="E113" s="2" t="n">
        <v>164913</v>
      </c>
      <c r="F113" s="15" t="n">
        <v>43413</v>
      </c>
      <c r="G113" s="15" t="n">
        <v>43419</v>
      </c>
      <c r="H113" s="3" t="n">
        <v>6</v>
      </c>
      <c r="I113" s="3" t="n">
        <v>1</v>
      </c>
      <c r="J113" s="3" t="n">
        <v>70</v>
      </c>
      <c r="K113" s="3" t="n">
        <v>1</v>
      </c>
      <c r="L113" s="3" t="n">
        <v>2</v>
      </c>
      <c r="M113" s="3" t="n">
        <v>1</v>
      </c>
      <c r="N113" s="3" t="n">
        <v>2</v>
      </c>
      <c r="O113" s="3" t="n">
        <v>2</v>
      </c>
      <c r="P113" s="3" t="n">
        <v>2</v>
      </c>
      <c r="Q113" s="3" t="n">
        <v>1</v>
      </c>
      <c r="R113" s="3" t="n">
        <v>2</v>
      </c>
      <c r="S113" s="3" t="n">
        <v>2</v>
      </c>
      <c r="T113" s="4" t="n">
        <v>12</v>
      </c>
      <c r="U113" s="3" t="n">
        <v>1</v>
      </c>
      <c r="V113" s="3" t="n">
        <v>4.84</v>
      </c>
      <c r="W113" s="3" t="n">
        <v>2.61</v>
      </c>
      <c r="X113" s="3" t="n">
        <v>9.1</v>
      </c>
      <c r="Y113" s="3" t="n">
        <v>298</v>
      </c>
      <c r="AA113" s="3" t="n">
        <v>0.32</v>
      </c>
      <c r="AB113" s="3" t="n">
        <v>6</v>
      </c>
      <c r="AC113" s="3" t="n">
        <v>1</v>
      </c>
      <c r="AD113" s="3" t="n">
        <v>1</v>
      </c>
      <c r="AE113" s="3" t="n">
        <v>2</v>
      </c>
      <c r="AF113" s="3" t="n">
        <v>1</v>
      </c>
      <c r="AG113" s="3" t="n">
        <v>2</v>
      </c>
      <c r="AH113" s="3" t="n">
        <v>1</v>
      </c>
      <c r="AI113" s="3" t="n">
        <v>2</v>
      </c>
      <c r="AJ113" s="3" t="n">
        <v>1</v>
      </c>
      <c r="AK113" s="3" t="n">
        <v>1</v>
      </c>
      <c r="AL113" s="3" t="n">
        <v>2</v>
      </c>
      <c r="AM113" s="3" t="n">
        <v>2</v>
      </c>
      <c r="AN113" s="3" t="n">
        <v>2</v>
      </c>
      <c r="AO113" s="3" t="n">
        <v>2</v>
      </c>
      <c r="AP113" s="3" t="n">
        <v>3</v>
      </c>
      <c r="AQ113" s="3" t="n">
        <v>4</v>
      </c>
      <c r="AR113" s="3" t="n">
        <v>4</v>
      </c>
      <c r="AS113" s="3" t="n">
        <v>6</v>
      </c>
      <c r="AT113" s="3" t="n">
        <v>4</v>
      </c>
      <c r="AU113" s="3" t="n">
        <v>4</v>
      </c>
      <c r="AV113" s="3" t="n">
        <v>6</v>
      </c>
      <c r="AW113" s="3" t="n">
        <v>6</v>
      </c>
      <c r="AX113" s="3" t="n">
        <v>3</v>
      </c>
      <c r="AY113" s="3" t="n">
        <v>3</v>
      </c>
      <c r="AZ113" s="3" t="n">
        <v>1</v>
      </c>
      <c r="BA113" s="5" t="n">
        <v>3</v>
      </c>
      <c r="BB113" s="3" t="n">
        <v>2</v>
      </c>
      <c r="BC113" s="3" t="n">
        <v>1</v>
      </c>
      <c r="BD113" s="3" t="n">
        <v>6</v>
      </c>
      <c r="BE113" s="3" t="n">
        <v>3</v>
      </c>
      <c r="BF113" s="3" t="n">
        <v>5</v>
      </c>
      <c r="BG113" s="3" t="n">
        <v>3</v>
      </c>
      <c r="BH113" s="3" t="n">
        <v>4</v>
      </c>
      <c r="BI113" s="3" t="n">
        <v>1</v>
      </c>
      <c r="BJ113" s="3" t="n">
        <v>1</v>
      </c>
      <c r="BK113" s="6" t="s">
        <v>434</v>
      </c>
    </row>
    <row r="114" customFormat="false" ht="15" hidden="false" customHeight="true" outlineLevel="0" collapsed="false">
      <c r="B114" s="2" t="s">
        <v>435</v>
      </c>
      <c r="C114" s="2" t="s">
        <v>153</v>
      </c>
      <c r="D114" s="2" t="s">
        <v>78</v>
      </c>
      <c r="E114" s="2" t="n">
        <v>163976</v>
      </c>
      <c r="F114" s="15" t="n">
        <v>43405</v>
      </c>
      <c r="G114" s="15" t="n">
        <v>43419</v>
      </c>
      <c r="H114" s="3" t="n">
        <v>14</v>
      </c>
      <c r="I114" s="3" t="n">
        <v>1</v>
      </c>
      <c r="J114" s="3" t="n">
        <v>49</v>
      </c>
      <c r="K114" s="3" t="n">
        <v>1</v>
      </c>
      <c r="L114" s="3" t="n">
        <v>1</v>
      </c>
      <c r="M114" s="3" t="n">
        <v>1</v>
      </c>
      <c r="N114" s="3" t="n">
        <v>2</v>
      </c>
      <c r="O114" s="3" t="n">
        <v>2</v>
      </c>
      <c r="P114" s="3" t="n">
        <v>2</v>
      </c>
      <c r="Q114" s="3" t="n">
        <v>2</v>
      </c>
      <c r="R114" s="3" t="n">
        <v>2</v>
      </c>
      <c r="S114" s="3" t="n">
        <v>2</v>
      </c>
      <c r="T114" s="4" t="n">
        <v>1</v>
      </c>
      <c r="U114" s="3" t="n">
        <v>1</v>
      </c>
      <c r="V114" s="3" t="n">
        <v>6.31</v>
      </c>
      <c r="W114" s="3" t="n">
        <v>1.67</v>
      </c>
      <c r="X114" s="3" t="n">
        <v>6.2</v>
      </c>
      <c r="Y114" s="3" t="n">
        <v>298</v>
      </c>
      <c r="AA114" s="3" t="n">
        <v>0.41</v>
      </c>
      <c r="AB114" s="3" t="n">
        <v>9.7</v>
      </c>
      <c r="AC114" s="3" t="n">
        <v>2</v>
      </c>
      <c r="AD114" s="3" t="n">
        <v>1</v>
      </c>
      <c r="AE114" s="3" t="n">
        <v>1</v>
      </c>
      <c r="AF114" s="3" t="n">
        <v>1</v>
      </c>
      <c r="AG114" s="3" t="n">
        <v>2</v>
      </c>
      <c r="AH114" s="3" t="n">
        <v>2</v>
      </c>
      <c r="AI114" s="3" t="n">
        <v>1</v>
      </c>
      <c r="AJ114" s="3" t="n">
        <v>1</v>
      </c>
      <c r="AK114" s="3" t="n">
        <v>2</v>
      </c>
      <c r="AL114" s="3" t="n">
        <v>2</v>
      </c>
      <c r="AM114" s="3" t="n">
        <v>1</v>
      </c>
      <c r="AN114" s="3" t="n">
        <v>2</v>
      </c>
      <c r="AO114" s="3" t="n">
        <v>2</v>
      </c>
      <c r="AP114" s="3" t="n">
        <v>2</v>
      </c>
      <c r="AQ114" s="3" t="n">
        <v>3</v>
      </c>
      <c r="AR114" s="3" t="n">
        <v>7</v>
      </c>
      <c r="AS114" s="3" t="n">
        <v>2</v>
      </c>
      <c r="AT114" s="3" t="n">
        <v>2</v>
      </c>
      <c r="AU114" s="3" t="n">
        <v>1</v>
      </c>
      <c r="AV114" s="3" t="n">
        <v>1</v>
      </c>
      <c r="AW114" s="3" t="n">
        <v>5</v>
      </c>
      <c r="AX114" s="3" t="n">
        <v>2</v>
      </c>
      <c r="AY114" s="3" t="n">
        <v>2</v>
      </c>
      <c r="AZ114" s="3" t="n">
        <v>1</v>
      </c>
      <c r="BA114" s="5" t="n">
        <v>1</v>
      </c>
      <c r="BB114" s="3" t="n">
        <v>1</v>
      </c>
      <c r="BC114" s="3" t="n">
        <v>1</v>
      </c>
      <c r="BD114" s="3" t="n">
        <v>2</v>
      </c>
      <c r="BE114" s="3" t="n">
        <v>3</v>
      </c>
      <c r="BF114" s="3" t="n">
        <v>5</v>
      </c>
      <c r="BG114" s="3" t="n">
        <v>3</v>
      </c>
      <c r="BH114" s="3" t="n">
        <v>4</v>
      </c>
      <c r="BI114" s="3" t="n">
        <v>1</v>
      </c>
      <c r="BJ114" s="3" t="n">
        <v>1</v>
      </c>
      <c r="BK114" s="6" t="s">
        <v>436</v>
      </c>
    </row>
    <row r="115" customFormat="false" ht="15" hidden="false" customHeight="true" outlineLevel="0" collapsed="false">
      <c r="B115" s="2" t="s">
        <v>437</v>
      </c>
      <c r="C115" s="2" t="s">
        <v>438</v>
      </c>
      <c r="D115" s="2" t="s">
        <v>127</v>
      </c>
      <c r="E115" s="2" t="n">
        <v>164962</v>
      </c>
      <c r="F115" s="15" t="n">
        <v>43415</v>
      </c>
      <c r="G115" s="15" t="n">
        <v>43420</v>
      </c>
      <c r="H115" s="3" t="n">
        <v>5</v>
      </c>
      <c r="I115" s="3" t="n">
        <v>2</v>
      </c>
      <c r="J115" s="3" t="n">
        <v>56</v>
      </c>
      <c r="K115" s="3" t="n">
        <v>1</v>
      </c>
      <c r="L115" s="3" t="n">
        <v>2</v>
      </c>
      <c r="M115" s="3" t="n">
        <v>1</v>
      </c>
      <c r="N115" s="3" t="n">
        <v>2</v>
      </c>
      <c r="O115" s="3" t="n">
        <v>2</v>
      </c>
      <c r="P115" s="3" t="n">
        <v>2</v>
      </c>
      <c r="Q115" s="3" t="n">
        <v>2</v>
      </c>
      <c r="R115" s="3" t="n">
        <v>2</v>
      </c>
      <c r="S115" s="3" t="n">
        <v>2</v>
      </c>
      <c r="T115" s="4" t="n">
        <v>2</v>
      </c>
      <c r="U115" s="3" t="n">
        <v>1</v>
      </c>
      <c r="V115" s="3" t="n">
        <v>6.24</v>
      </c>
      <c r="W115" s="3" t="n">
        <v>1.44</v>
      </c>
      <c r="X115" s="3" t="n">
        <v>5.5</v>
      </c>
      <c r="Y115" s="3" t="n">
        <v>284</v>
      </c>
      <c r="AA115" s="3" t="n">
        <v>0.42</v>
      </c>
      <c r="AB115" s="3" t="n">
        <v>8.7</v>
      </c>
      <c r="AC115" s="3" t="n">
        <v>1</v>
      </c>
      <c r="AD115" s="3" t="n">
        <v>2</v>
      </c>
      <c r="AE115" s="3" t="n">
        <v>1</v>
      </c>
      <c r="AF115" s="3" t="n">
        <v>1</v>
      </c>
      <c r="AG115" s="3" t="n">
        <v>2</v>
      </c>
      <c r="AH115" s="3" t="n">
        <v>2</v>
      </c>
      <c r="AI115" s="3" t="n">
        <v>1</v>
      </c>
      <c r="AJ115" s="3" t="n">
        <v>1</v>
      </c>
      <c r="AK115" s="3" t="n">
        <v>2</v>
      </c>
      <c r="AL115" s="3" t="n">
        <v>2</v>
      </c>
      <c r="AM115" s="3" t="n">
        <v>2</v>
      </c>
      <c r="AN115" s="3" t="n">
        <v>2</v>
      </c>
      <c r="AO115" s="3" t="n">
        <v>2</v>
      </c>
      <c r="AP115" s="3" t="n">
        <v>3</v>
      </c>
      <c r="AQ115" s="3" t="n">
        <v>4</v>
      </c>
      <c r="AR115" s="3" t="n">
        <v>4</v>
      </c>
      <c r="AS115" s="3" t="n">
        <v>6</v>
      </c>
      <c r="AT115" s="3" t="n">
        <v>4</v>
      </c>
      <c r="AU115" s="3" t="n">
        <v>4</v>
      </c>
      <c r="AV115" s="3" t="n">
        <v>6</v>
      </c>
      <c r="AW115" s="3" t="n">
        <v>6</v>
      </c>
      <c r="AX115" s="3" t="n">
        <v>3</v>
      </c>
      <c r="AY115" s="3" t="n">
        <v>3</v>
      </c>
      <c r="AZ115" s="3" t="n">
        <v>1</v>
      </c>
      <c r="BA115" s="5" t="n">
        <v>1</v>
      </c>
      <c r="BB115" s="3" t="n">
        <v>1</v>
      </c>
      <c r="BC115" s="3" t="n">
        <v>1</v>
      </c>
      <c r="BD115" s="3" t="n">
        <v>4</v>
      </c>
      <c r="BE115" s="3" t="n">
        <v>3</v>
      </c>
      <c r="BF115" s="3" t="n">
        <v>5</v>
      </c>
      <c r="BG115" s="3" t="n">
        <v>3</v>
      </c>
      <c r="BH115" s="3" t="n">
        <v>4</v>
      </c>
      <c r="BI115" s="3" t="n">
        <v>1</v>
      </c>
      <c r="BJ115" s="3" t="n">
        <v>1</v>
      </c>
      <c r="BK115" s="6" t="s">
        <v>439</v>
      </c>
    </row>
    <row r="116" customFormat="false" ht="15" hidden="false" customHeight="true" outlineLevel="0" collapsed="false">
      <c r="B116" s="2" t="s">
        <v>440</v>
      </c>
      <c r="C116" s="2" t="s">
        <v>102</v>
      </c>
      <c r="D116" s="2" t="s">
        <v>94</v>
      </c>
      <c r="E116" s="2" t="n">
        <v>164972</v>
      </c>
      <c r="F116" s="15" t="n">
        <v>43416</v>
      </c>
      <c r="G116" s="15" t="n">
        <v>43420</v>
      </c>
      <c r="H116" s="3" t="n">
        <v>4</v>
      </c>
      <c r="I116" s="3" t="n">
        <v>2</v>
      </c>
      <c r="J116" s="3" t="n">
        <v>73</v>
      </c>
      <c r="K116" s="3" t="n">
        <v>1</v>
      </c>
      <c r="L116" s="3" t="n">
        <v>2</v>
      </c>
      <c r="M116" s="3" t="n">
        <v>1</v>
      </c>
      <c r="N116" s="3" t="n">
        <v>2</v>
      </c>
      <c r="O116" s="3" t="n">
        <v>2</v>
      </c>
      <c r="P116" s="3" t="n">
        <v>2</v>
      </c>
      <c r="Q116" s="3" t="n">
        <v>2</v>
      </c>
      <c r="R116" s="3" t="n">
        <v>2</v>
      </c>
      <c r="S116" s="3" t="n">
        <v>2</v>
      </c>
      <c r="T116" s="4" t="n">
        <v>1</v>
      </c>
      <c r="U116" s="3" t="n">
        <v>1</v>
      </c>
      <c r="V116" s="3" t="n">
        <v>6.06</v>
      </c>
      <c r="W116" s="3" t="n">
        <v>2.48</v>
      </c>
      <c r="X116" s="3" t="n">
        <v>6</v>
      </c>
      <c r="Y116" s="3" t="n">
        <v>454</v>
      </c>
      <c r="AA116" s="3" t="n">
        <v>0.38</v>
      </c>
      <c r="AB116" s="3" t="n">
        <v>13.5</v>
      </c>
      <c r="AC116" s="3" t="n">
        <v>1</v>
      </c>
      <c r="AD116" s="3" t="n">
        <v>2</v>
      </c>
      <c r="AE116" s="3" t="n">
        <v>1</v>
      </c>
      <c r="AF116" s="3" t="n">
        <v>1</v>
      </c>
      <c r="AG116" s="3" t="n">
        <v>2</v>
      </c>
      <c r="AH116" s="3" t="n">
        <v>2</v>
      </c>
      <c r="AI116" s="3" t="n">
        <v>1</v>
      </c>
      <c r="AJ116" s="3" t="n">
        <v>1</v>
      </c>
      <c r="AK116" s="3" t="n">
        <v>2</v>
      </c>
      <c r="AL116" s="3" t="n">
        <v>2</v>
      </c>
      <c r="AM116" s="3" t="n">
        <v>2</v>
      </c>
      <c r="AN116" s="3" t="n">
        <v>2</v>
      </c>
      <c r="AO116" s="3" t="n">
        <v>2</v>
      </c>
      <c r="AP116" s="3" t="n">
        <v>3</v>
      </c>
      <c r="AQ116" s="3" t="n">
        <v>4</v>
      </c>
      <c r="AR116" s="3" t="n">
        <v>4</v>
      </c>
      <c r="AS116" s="3" t="n">
        <v>6</v>
      </c>
      <c r="AT116" s="3" t="n">
        <v>4</v>
      </c>
      <c r="AU116" s="3" t="n">
        <v>4</v>
      </c>
      <c r="AV116" s="3" t="n">
        <v>6</v>
      </c>
      <c r="AW116" s="3" t="n">
        <v>6</v>
      </c>
      <c r="AX116" s="3" t="n">
        <v>3</v>
      </c>
      <c r="AY116" s="3" t="n">
        <v>3</v>
      </c>
      <c r="AZ116" s="3" t="n">
        <v>1</v>
      </c>
      <c r="BA116" s="5" t="n">
        <v>5</v>
      </c>
      <c r="BB116" s="3" t="n">
        <v>2</v>
      </c>
      <c r="BC116" s="3" t="n">
        <v>1</v>
      </c>
      <c r="BD116" s="3" t="n">
        <v>6</v>
      </c>
      <c r="BE116" s="3" t="n">
        <v>3</v>
      </c>
      <c r="BF116" s="3" t="n">
        <v>5</v>
      </c>
      <c r="BG116" s="3" t="n">
        <v>3</v>
      </c>
      <c r="BH116" s="3" t="n">
        <v>4</v>
      </c>
      <c r="BI116" s="3" t="n">
        <v>1</v>
      </c>
      <c r="BJ116" s="3" t="n">
        <v>1</v>
      </c>
      <c r="BK116" s="6" t="s">
        <v>441</v>
      </c>
    </row>
    <row r="117" customFormat="false" ht="15" hidden="false" customHeight="true" outlineLevel="0" collapsed="false">
      <c r="B117" s="2" t="s">
        <v>442</v>
      </c>
      <c r="C117" s="2" t="s">
        <v>443</v>
      </c>
      <c r="D117" s="2" t="s">
        <v>115</v>
      </c>
      <c r="E117" s="2" t="n">
        <v>164292</v>
      </c>
      <c r="F117" s="15" t="n">
        <v>43409</v>
      </c>
      <c r="G117" s="15" t="n">
        <v>43420</v>
      </c>
      <c r="H117" s="3" t="n">
        <v>11</v>
      </c>
      <c r="I117" s="3" t="n">
        <v>2</v>
      </c>
      <c r="J117" s="3" t="n">
        <v>60</v>
      </c>
      <c r="K117" s="3" t="n">
        <v>2</v>
      </c>
      <c r="L117" s="3" t="n">
        <v>2</v>
      </c>
      <c r="M117" s="3" t="n">
        <v>1</v>
      </c>
      <c r="N117" s="3" t="n">
        <v>1</v>
      </c>
      <c r="O117" s="3" t="n">
        <v>2</v>
      </c>
      <c r="P117" s="3" t="n">
        <v>2</v>
      </c>
      <c r="Q117" s="3" t="n">
        <v>2</v>
      </c>
      <c r="R117" s="3" t="n">
        <v>2</v>
      </c>
      <c r="S117" s="3" t="n">
        <v>1</v>
      </c>
      <c r="T117" s="4" t="n">
        <v>1</v>
      </c>
      <c r="U117" s="3" t="n">
        <v>1</v>
      </c>
      <c r="V117" s="3" t="n">
        <v>3.16</v>
      </c>
      <c r="W117" s="3" t="n">
        <v>1.53</v>
      </c>
      <c r="X117" s="3" t="n">
        <v>5.7</v>
      </c>
      <c r="Y117" s="3" t="n">
        <v>281</v>
      </c>
      <c r="AA117" s="3" t="n">
        <v>0.35</v>
      </c>
      <c r="AB117" s="3" t="n">
        <v>8.7</v>
      </c>
      <c r="AC117" s="3" t="n">
        <v>1</v>
      </c>
      <c r="AD117" s="3" t="n">
        <v>1</v>
      </c>
      <c r="AE117" s="3" t="n">
        <v>1</v>
      </c>
      <c r="AF117" s="3" t="n">
        <v>1</v>
      </c>
      <c r="AG117" s="3" t="n">
        <v>2</v>
      </c>
      <c r="AH117" s="3" t="n">
        <v>2</v>
      </c>
      <c r="AI117" s="3" t="n">
        <v>1</v>
      </c>
      <c r="AJ117" s="3" t="n">
        <v>2</v>
      </c>
      <c r="AK117" s="3" t="n">
        <v>2</v>
      </c>
      <c r="AL117" s="3" t="n">
        <v>2</v>
      </c>
      <c r="AM117" s="3" t="n">
        <v>2</v>
      </c>
      <c r="AN117" s="3" t="n">
        <v>2</v>
      </c>
      <c r="AO117" s="3" t="n">
        <v>2</v>
      </c>
      <c r="AP117" s="3" t="n">
        <v>1</v>
      </c>
      <c r="AQ117" s="3" t="n">
        <v>2</v>
      </c>
      <c r="AR117" s="3" t="n">
        <v>5</v>
      </c>
      <c r="AS117" s="3" t="n">
        <v>1</v>
      </c>
      <c r="AT117" s="3" t="n">
        <v>3</v>
      </c>
      <c r="AU117" s="3" t="n">
        <v>1</v>
      </c>
      <c r="AV117" s="3" t="n">
        <v>1</v>
      </c>
      <c r="AW117" s="3" t="n">
        <v>1</v>
      </c>
      <c r="AX117" s="3" t="n">
        <v>2</v>
      </c>
      <c r="AY117" s="3" t="n">
        <v>2</v>
      </c>
      <c r="AZ117" s="3" t="n">
        <v>1</v>
      </c>
      <c r="BA117" s="5" t="n">
        <v>5</v>
      </c>
      <c r="BB117" s="3" t="n">
        <v>2</v>
      </c>
      <c r="BC117" s="3" t="n">
        <v>1</v>
      </c>
      <c r="BD117" s="3" t="n">
        <v>6</v>
      </c>
      <c r="BE117" s="3" t="n">
        <v>3</v>
      </c>
      <c r="BF117" s="3" t="n">
        <v>5</v>
      </c>
      <c r="BG117" s="3" t="n">
        <v>3</v>
      </c>
      <c r="BH117" s="3" t="n">
        <v>4</v>
      </c>
      <c r="BI117" s="3" t="n">
        <v>1</v>
      </c>
      <c r="BJ117" s="3" t="n">
        <v>1</v>
      </c>
      <c r="BK117" s="6" t="s">
        <v>444</v>
      </c>
    </row>
    <row r="118" customFormat="false" ht="15" hidden="false" customHeight="true" outlineLevel="0" collapsed="false">
      <c r="B118" s="2" t="s">
        <v>445</v>
      </c>
      <c r="C118" s="2" t="s">
        <v>446</v>
      </c>
      <c r="D118" s="2" t="s">
        <v>447</v>
      </c>
      <c r="E118" s="2" t="n">
        <v>164978</v>
      </c>
      <c r="F118" s="15" t="n">
        <v>43416</v>
      </c>
      <c r="G118" s="15" t="n">
        <v>43423</v>
      </c>
      <c r="H118" s="3" t="n">
        <v>7</v>
      </c>
      <c r="I118" s="3" t="n">
        <v>1</v>
      </c>
      <c r="J118" s="3" t="n">
        <v>57</v>
      </c>
      <c r="K118" s="3" t="n">
        <v>1</v>
      </c>
      <c r="L118" s="3" t="n">
        <v>1</v>
      </c>
      <c r="M118" s="3" t="n">
        <v>2</v>
      </c>
      <c r="N118" s="3" t="n">
        <v>2</v>
      </c>
      <c r="O118" s="3" t="n">
        <v>1</v>
      </c>
      <c r="P118" s="3" t="n">
        <v>2</v>
      </c>
      <c r="Q118" s="3" t="n">
        <v>2</v>
      </c>
      <c r="R118" s="3" t="n">
        <v>2</v>
      </c>
      <c r="S118" s="3" t="n">
        <v>2</v>
      </c>
      <c r="T118" s="4" t="n">
        <v>2</v>
      </c>
      <c r="U118" s="3" t="n">
        <v>2</v>
      </c>
      <c r="V118" s="3" t="n">
        <v>8.45</v>
      </c>
      <c r="W118" s="3" t="n">
        <v>2.47</v>
      </c>
      <c r="X118" s="3" t="n">
        <v>5.5</v>
      </c>
      <c r="Y118" s="3" t="n">
        <v>475</v>
      </c>
      <c r="AA118" s="3" t="n">
        <v>0.4</v>
      </c>
      <c r="AB118" s="3" t="n">
        <v>6.9</v>
      </c>
      <c r="AC118" s="3" t="n">
        <v>1</v>
      </c>
      <c r="AD118" s="3" t="n">
        <v>2</v>
      </c>
      <c r="AE118" s="3" t="n">
        <v>1</v>
      </c>
      <c r="AF118" s="3" t="n">
        <v>1</v>
      </c>
      <c r="AG118" s="3" t="n">
        <v>2</v>
      </c>
      <c r="AH118" s="3" t="n">
        <v>2</v>
      </c>
      <c r="AI118" s="3" t="n">
        <v>1</v>
      </c>
      <c r="AJ118" s="3" t="n">
        <v>2</v>
      </c>
      <c r="AK118" s="3" t="n">
        <v>2</v>
      </c>
      <c r="AL118" s="3" t="n">
        <v>2</v>
      </c>
      <c r="AM118" s="3" t="n">
        <v>2</v>
      </c>
      <c r="AN118" s="3" t="n">
        <v>2</v>
      </c>
      <c r="AO118" s="3" t="n">
        <v>2</v>
      </c>
      <c r="AP118" s="3" t="n">
        <v>3</v>
      </c>
      <c r="AQ118" s="3" t="n">
        <v>4</v>
      </c>
      <c r="AR118" s="3" t="n">
        <v>4</v>
      </c>
      <c r="AS118" s="3" t="n">
        <v>6</v>
      </c>
      <c r="AT118" s="3" t="n">
        <v>4</v>
      </c>
      <c r="AU118" s="3" t="n">
        <v>4</v>
      </c>
      <c r="AV118" s="3" t="n">
        <v>6</v>
      </c>
      <c r="AW118" s="3" t="n">
        <v>6</v>
      </c>
      <c r="AX118" s="3" t="n">
        <v>3</v>
      </c>
      <c r="AY118" s="3" t="n">
        <v>3</v>
      </c>
      <c r="AZ118" s="3" t="n">
        <v>1</v>
      </c>
      <c r="BA118" s="5" t="n">
        <v>1</v>
      </c>
      <c r="BB118" s="3" t="n">
        <v>1</v>
      </c>
      <c r="BC118" s="3" t="n">
        <v>1</v>
      </c>
      <c r="BD118" s="3" t="n">
        <v>4</v>
      </c>
      <c r="BE118" s="3" t="n">
        <v>1</v>
      </c>
      <c r="BF118" s="3" t="n">
        <v>2</v>
      </c>
      <c r="BG118" s="3" t="n">
        <v>1</v>
      </c>
      <c r="BH118" s="3" t="n">
        <v>4</v>
      </c>
      <c r="BI118" s="3" t="n">
        <v>1</v>
      </c>
      <c r="BJ118" s="3" t="n">
        <v>1</v>
      </c>
      <c r="BK118" s="6" t="s">
        <v>448</v>
      </c>
    </row>
    <row r="119" customFormat="false" ht="15" hidden="false" customHeight="true" outlineLevel="0" collapsed="false">
      <c r="B119" s="2" t="s">
        <v>449</v>
      </c>
      <c r="C119" s="2" t="s">
        <v>194</v>
      </c>
      <c r="D119" s="2" t="s">
        <v>450</v>
      </c>
      <c r="E119" s="2" t="s">
        <v>451</v>
      </c>
      <c r="F119" s="15" t="n">
        <v>43419</v>
      </c>
      <c r="G119" s="15" t="n">
        <v>43423</v>
      </c>
      <c r="H119" s="3" t="n">
        <v>4</v>
      </c>
      <c r="I119" s="3" t="n">
        <v>2</v>
      </c>
      <c r="J119" s="3" t="n">
        <v>75</v>
      </c>
      <c r="K119" s="3" t="n">
        <v>1</v>
      </c>
      <c r="L119" s="3" t="n">
        <v>2</v>
      </c>
      <c r="M119" s="3" t="n">
        <v>1</v>
      </c>
      <c r="N119" s="3" t="n">
        <v>2</v>
      </c>
      <c r="O119" s="3" t="n">
        <v>2</v>
      </c>
      <c r="P119" s="3" t="n">
        <v>2</v>
      </c>
      <c r="Q119" s="3" t="n">
        <v>2</v>
      </c>
      <c r="R119" s="3" t="n">
        <v>2</v>
      </c>
      <c r="S119" s="3" t="n">
        <v>2</v>
      </c>
      <c r="T119" s="4" t="n">
        <v>1</v>
      </c>
      <c r="U119" s="3" t="n">
        <v>1</v>
      </c>
      <c r="V119" s="3" t="n">
        <v>5.26</v>
      </c>
      <c r="W119" s="3" t="n">
        <v>2.06</v>
      </c>
      <c r="X119" s="3" t="n">
        <v>5.5</v>
      </c>
      <c r="Y119" s="3" t="n">
        <v>411</v>
      </c>
      <c r="AA119" s="3" t="n">
        <v>0.4</v>
      </c>
      <c r="AB119" s="3" t="n">
        <v>7.8</v>
      </c>
      <c r="AC119" s="3" t="n">
        <v>1</v>
      </c>
      <c r="AD119" s="3" t="n">
        <v>2</v>
      </c>
      <c r="AE119" s="3" t="n">
        <v>1</v>
      </c>
      <c r="AF119" s="3" t="n">
        <v>1</v>
      </c>
      <c r="AG119" s="3" t="n">
        <v>2</v>
      </c>
      <c r="AH119" s="3" t="n">
        <v>2</v>
      </c>
      <c r="AI119" s="3" t="n">
        <v>1</v>
      </c>
      <c r="AJ119" s="3" t="n">
        <v>1</v>
      </c>
      <c r="AK119" s="3" t="n">
        <v>2</v>
      </c>
      <c r="AL119" s="3" t="n">
        <v>2</v>
      </c>
      <c r="AM119" s="3" t="n">
        <v>1</v>
      </c>
      <c r="AN119" s="3" t="n">
        <v>2</v>
      </c>
      <c r="AO119" s="3" t="n">
        <v>2</v>
      </c>
      <c r="AP119" s="3" t="n">
        <v>3</v>
      </c>
      <c r="AQ119" s="3" t="n">
        <v>4</v>
      </c>
      <c r="AR119" s="3" t="n">
        <v>4</v>
      </c>
      <c r="AS119" s="3" t="n">
        <v>6</v>
      </c>
      <c r="AT119" s="3" t="n">
        <v>4</v>
      </c>
      <c r="AU119" s="3" t="n">
        <v>4</v>
      </c>
      <c r="AV119" s="3" t="n">
        <v>6</v>
      </c>
      <c r="AW119" s="3" t="n">
        <v>6</v>
      </c>
      <c r="AX119" s="3" t="n">
        <v>3</v>
      </c>
      <c r="AY119" s="3" t="n">
        <v>3</v>
      </c>
      <c r="AZ119" s="3" t="n">
        <v>1</v>
      </c>
      <c r="BA119" s="5" t="n">
        <v>5</v>
      </c>
      <c r="BB119" s="3" t="n">
        <v>2</v>
      </c>
      <c r="BC119" s="3" t="n">
        <v>1</v>
      </c>
      <c r="BD119" s="3" t="n">
        <v>6</v>
      </c>
      <c r="BE119" s="3" t="n">
        <v>3</v>
      </c>
      <c r="BF119" s="3" t="n">
        <v>5</v>
      </c>
      <c r="BG119" s="3" t="n">
        <v>3</v>
      </c>
      <c r="BH119" s="3" t="n">
        <v>4</v>
      </c>
      <c r="BI119" s="3" t="n">
        <v>1</v>
      </c>
      <c r="BJ119" s="3" t="n">
        <v>1</v>
      </c>
      <c r="BK119" s="6" t="s">
        <v>452</v>
      </c>
    </row>
    <row r="120" customFormat="false" ht="15" hidden="false" customHeight="true" outlineLevel="0" collapsed="false">
      <c r="B120" s="2" t="s">
        <v>453</v>
      </c>
      <c r="C120" s="2" t="s">
        <v>66</v>
      </c>
      <c r="D120" s="2" t="s">
        <v>454</v>
      </c>
      <c r="E120" s="2" t="n">
        <v>155642</v>
      </c>
      <c r="F120" s="15" t="n">
        <v>43417</v>
      </c>
      <c r="G120" s="15" t="n">
        <v>43420</v>
      </c>
      <c r="H120" s="3" t="n">
        <v>3</v>
      </c>
      <c r="I120" s="3" t="n">
        <v>2</v>
      </c>
      <c r="J120" s="3" t="n">
        <v>69</v>
      </c>
      <c r="K120" s="3" t="n">
        <v>1</v>
      </c>
      <c r="L120" s="3" t="n">
        <v>2</v>
      </c>
      <c r="M120" s="3" t="n">
        <v>1</v>
      </c>
      <c r="N120" s="3" t="n">
        <v>2</v>
      </c>
      <c r="O120" s="3" t="n">
        <v>1</v>
      </c>
      <c r="P120" s="3" t="n">
        <v>1</v>
      </c>
      <c r="Q120" s="3" t="n">
        <v>1</v>
      </c>
      <c r="R120" s="3" t="n">
        <v>1</v>
      </c>
      <c r="S120" s="3" t="n">
        <v>2</v>
      </c>
      <c r="T120" s="4" t="n">
        <v>6</v>
      </c>
      <c r="U120" s="3" t="n">
        <v>1</v>
      </c>
      <c r="V120" s="3" t="n">
        <v>16.1</v>
      </c>
      <c r="W120" s="3" t="n">
        <v>11.8</v>
      </c>
      <c r="X120" s="3" t="n">
        <v>16.1</v>
      </c>
      <c r="Y120" s="3" t="n">
        <v>558</v>
      </c>
      <c r="AA120" s="3" t="n">
        <v>0.36</v>
      </c>
      <c r="AB120" s="3" t="n">
        <v>10.2</v>
      </c>
      <c r="AC120" s="3" t="n">
        <v>1</v>
      </c>
      <c r="AD120" s="3" t="n">
        <v>2</v>
      </c>
      <c r="AE120" s="3" t="n">
        <v>1</v>
      </c>
      <c r="AF120" s="3" t="n">
        <v>1</v>
      </c>
      <c r="AG120" s="3" t="n">
        <v>2</v>
      </c>
      <c r="AH120" s="3" t="n">
        <v>1</v>
      </c>
      <c r="AI120" s="3" t="n">
        <v>2</v>
      </c>
      <c r="AJ120" s="3" t="n">
        <v>2</v>
      </c>
      <c r="AK120" s="3" t="n">
        <v>1</v>
      </c>
      <c r="AL120" s="3" t="n">
        <v>2</v>
      </c>
      <c r="AM120" s="3" t="n">
        <v>1</v>
      </c>
      <c r="AN120" s="3" t="n">
        <v>2</v>
      </c>
      <c r="AO120" s="3" t="n">
        <v>2</v>
      </c>
      <c r="AP120" s="3" t="n">
        <v>3</v>
      </c>
      <c r="AQ120" s="3" t="n">
        <v>4</v>
      </c>
      <c r="AR120" s="3" t="n">
        <v>4</v>
      </c>
      <c r="AS120" s="3" t="n">
        <v>6</v>
      </c>
      <c r="AT120" s="3" t="n">
        <v>4</v>
      </c>
      <c r="AU120" s="3" t="n">
        <v>4</v>
      </c>
      <c r="AV120" s="3" t="n">
        <v>6</v>
      </c>
      <c r="AW120" s="3" t="n">
        <v>6</v>
      </c>
      <c r="AX120" s="3" t="n">
        <v>3</v>
      </c>
      <c r="AY120" s="3" t="n">
        <v>3</v>
      </c>
      <c r="AZ120" s="3" t="n">
        <v>1</v>
      </c>
      <c r="BA120" s="5" t="n">
        <v>6</v>
      </c>
      <c r="BB120" s="3" t="n">
        <v>2</v>
      </c>
      <c r="BC120" s="3" t="n">
        <v>1</v>
      </c>
      <c r="BD120" s="3" t="n">
        <v>6</v>
      </c>
      <c r="BE120" s="3" t="n">
        <v>3</v>
      </c>
      <c r="BF120" s="3" t="n">
        <v>5</v>
      </c>
      <c r="BG120" s="3" t="n">
        <v>3</v>
      </c>
      <c r="BH120" s="3" t="n">
        <v>5</v>
      </c>
      <c r="BI120" s="3" t="n">
        <v>1</v>
      </c>
      <c r="BJ120" s="3" t="n">
        <v>1</v>
      </c>
      <c r="BK120" s="6" t="s">
        <v>455</v>
      </c>
    </row>
    <row r="121" customFormat="false" ht="15" hidden="false" customHeight="true" outlineLevel="0" collapsed="false">
      <c r="B121" s="2" t="s">
        <v>456</v>
      </c>
      <c r="C121" s="2" t="s">
        <v>457</v>
      </c>
      <c r="D121" s="2" t="s">
        <v>458</v>
      </c>
      <c r="E121" s="2" t="n">
        <v>165050</v>
      </c>
      <c r="F121" s="15" t="n">
        <v>43418</v>
      </c>
      <c r="G121" s="15" t="n">
        <v>43421</v>
      </c>
      <c r="H121" s="3" t="n">
        <v>3</v>
      </c>
      <c r="I121" s="3" t="n">
        <v>2</v>
      </c>
      <c r="J121" s="3" t="n">
        <v>21</v>
      </c>
      <c r="K121" s="3" t="n">
        <v>1</v>
      </c>
      <c r="L121" s="3" t="n">
        <v>2</v>
      </c>
      <c r="M121" s="3" t="n">
        <v>2</v>
      </c>
      <c r="N121" s="3" t="n">
        <v>2</v>
      </c>
      <c r="O121" s="3" t="n">
        <v>2</v>
      </c>
      <c r="P121" s="3" t="n">
        <v>2</v>
      </c>
      <c r="Q121" s="3" t="n">
        <v>2</v>
      </c>
      <c r="R121" s="3" t="n">
        <v>2</v>
      </c>
      <c r="S121" s="3" t="n">
        <v>2</v>
      </c>
      <c r="T121" s="4" t="n">
        <v>12</v>
      </c>
      <c r="U121" s="3" t="n">
        <v>1</v>
      </c>
      <c r="V121" s="3" t="n">
        <v>3.91</v>
      </c>
      <c r="W121" s="3" t="n">
        <v>0.7</v>
      </c>
      <c r="X121" s="3" t="n">
        <v>4.3</v>
      </c>
      <c r="Y121" s="3" t="n">
        <v>357</v>
      </c>
      <c r="AA121" s="3" t="n">
        <v>0.47</v>
      </c>
      <c r="AB121" s="3" t="n">
        <v>7.5</v>
      </c>
      <c r="AC121" s="3" t="n">
        <v>1</v>
      </c>
      <c r="AD121" s="3" t="n">
        <v>2</v>
      </c>
      <c r="AE121" s="3" t="n">
        <v>2</v>
      </c>
      <c r="AF121" s="3" t="n">
        <v>2</v>
      </c>
      <c r="AG121" s="3" t="n">
        <v>2</v>
      </c>
      <c r="AH121" s="3" t="n">
        <v>2</v>
      </c>
      <c r="AI121" s="3" t="n">
        <v>2</v>
      </c>
      <c r="AJ121" s="3" t="n">
        <v>2</v>
      </c>
      <c r="AK121" s="3" t="n">
        <v>2</v>
      </c>
      <c r="AL121" s="3" t="n">
        <v>2</v>
      </c>
      <c r="AM121" s="3" t="n">
        <v>2</v>
      </c>
      <c r="AN121" s="3" t="n">
        <v>2</v>
      </c>
      <c r="AO121" s="3" t="n">
        <v>2</v>
      </c>
      <c r="AP121" s="3" t="n">
        <v>3</v>
      </c>
      <c r="AQ121" s="3" t="n">
        <v>4</v>
      </c>
      <c r="AR121" s="3" t="n">
        <v>4</v>
      </c>
      <c r="AS121" s="3" t="n">
        <v>6</v>
      </c>
      <c r="AT121" s="3" t="n">
        <v>4</v>
      </c>
      <c r="AU121" s="3" t="n">
        <v>4</v>
      </c>
      <c r="AV121" s="3" t="n">
        <v>6</v>
      </c>
      <c r="AW121" s="3" t="n">
        <v>6</v>
      </c>
      <c r="AX121" s="3" t="n">
        <v>3</v>
      </c>
      <c r="AY121" s="3" t="n">
        <v>3</v>
      </c>
      <c r="AZ121" s="3" t="n">
        <v>1</v>
      </c>
      <c r="BA121" s="5" t="n">
        <v>11</v>
      </c>
      <c r="BB121" s="3" t="n">
        <v>2</v>
      </c>
      <c r="BC121" s="3" t="n">
        <v>1</v>
      </c>
      <c r="BD121" s="3" t="n">
        <v>6</v>
      </c>
      <c r="BE121" s="3" t="n">
        <v>3</v>
      </c>
      <c r="BF121" s="3" t="n">
        <v>5</v>
      </c>
      <c r="BG121" s="3" t="n">
        <v>3</v>
      </c>
      <c r="BH121" s="3" t="n">
        <v>4</v>
      </c>
      <c r="BI121" s="3" t="n">
        <v>1</v>
      </c>
      <c r="BJ121" s="3" t="n">
        <v>1</v>
      </c>
      <c r="BK121" s="6" t="s">
        <v>459</v>
      </c>
    </row>
    <row r="122" customFormat="false" ht="15" hidden="false" customHeight="true" outlineLevel="0" collapsed="false">
      <c r="B122" s="2" t="s">
        <v>460</v>
      </c>
      <c r="C122" s="2" t="s">
        <v>461</v>
      </c>
      <c r="D122" s="2" t="s">
        <v>462</v>
      </c>
      <c r="E122" s="2" t="n">
        <v>164982</v>
      </c>
      <c r="F122" s="15" t="n">
        <v>43416</v>
      </c>
      <c r="G122" s="15" t="n">
        <v>43425</v>
      </c>
      <c r="H122" s="3" t="n">
        <v>9</v>
      </c>
      <c r="I122" s="3" t="n">
        <v>2</v>
      </c>
      <c r="J122" s="3" t="n">
        <v>69</v>
      </c>
      <c r="K122" s="3" t="n">
        <v>1</v>
      </c>
      <c r="L122" s="3" t="n">
        <v>2</v>
      </c>
      <c r="M122" s="3" t="n">
        <v>1</v>
      </c>
      <c r="N122" s="3" t="n">
        <v>2</v>
      </c>
      <c r="O122" s="3" t="n">
        <v>2</v>
      </c>
      <c r="P122" s="3" t="n">
        <v>2</v>
      </c>
      <c r="Q122" s="3" t="n">
        <v>1</v>
      </c>
      <c r="R122" s="3" t="n">
        <v>2</v>
      </c>
      <c r="S122" s="3" t="n">
        <v>2</v>
      </c>
      <c r="T122" s="4" t="n">
        <v>12</v>
      </c>
      <c r="U122" s="3" t="n">
        <v>1</v>
      </c>
      <c r="V122" s="3" t="n">
        <v>3.11</v>
      </c>
      <c r="W122" s="3" t="n">
        <v>3.9</v>
      </c>
      <c r="X122" s="3" t="n">
        <v>3</v>
      </c>
      <c r="Y122" s="3" t="n">
        <v>95</v>
      </c>
      <c r="AA122" s="3" t="n">
        <v>0.42</v>
      </c>
      <c r="AB122" s="3" t="n">
        <v>7.2</v>
      </c>
      <c r="AC122" s="3" t="n">
        <v>3</v>
      </c>
      <c r="AD122" s="3" t="n">
        <v>2</v>
      </c>
      <c r="AE122" s="3" t="n">
        <v>2</v>
      </c>
      <c r="AF122" s="3" t="n">
        <v>2</v>
      </c>
      <c r="AG122" s="3" t="n">
        <v>2</v>
      </c>
      <c r="AH122" s="3" t="n">
        <v>2</v>
      </c>
      <c r="AI122" s="3" t="n">
        <v>1</v>
      </c>
      <c r="AJ122" s="3" t="n">
        <v>1</v>
      </c>
      <c r="AK122" s="3" t="n">
        <v>2</v>
      </c>
      <c r="AL122" s="3" t="n">
        <v>2</v>
      </c>
      <c r="AM122" s="3" t="n">
        <v>2</v>
      </c>
      <c r="AN122" s="3" t="n">
        <v>2</v>
      </c>
      <c r="AO122" s="3" t="n">
        <v>2</v>
      </c>
      <c r="AP122" s="3" t="n">
        <v>3</v>
      </c>
      <c r="AQ122" s="3" t="n">
        <v>4</v>
      </c>
      <c r="AR122" s="3" t="n">
        <v>4</v>
      </c>
      <c r="AS122" s="3" t="n">
        <v>6</v>
      </c>
      <c r="AT122" s="3" t="n">
        <v>4</v>
      </c>
      <c r="AU122" s="3" t="n">
        <v>4</v>
      </c>
      <c r="AV122" s="3" t="n">
        <v>6</v>
      </c>
      <c r="AW122" s="3" t="n">
        <v>6</v>
      </c>
      <c r="AX122" s="3" t="n">
        <v>3</v>
      </c>
      <c r="AY122" s="3" t="n">
        <v>3</v>
      </c>
      <c r="AZ122" s="3" t="n">
        <v>1</v>
      </c>
      <c r="BA122" s="5" t="n">
        <v>3</v>
      </c>
      <c r="BB122" s="3" t="n">
        <v>2</v>
      </c>
      <c r="BC122" s="3" t="n">
        <v>1</v>
      </c>
      <c r="BD122" s="3" t="n">
        <v>6</v>
      </c>
      <c r="BE122" s="3" t="n">
        <v>3</v>
      </c>
      <c r="BF122" s="3" t="n">
        <v>5</v>
      </c>
      <c r="BG122" s="3" t="n">
        <v>3</v>
      </c>
      <c r="BH122" s="3" t="n">
        <v>4</v>
      </c>
      <c r="BI122" s="3" t="n">
        <v>1</v>
      </c>
      <c r="BJ122" s="3" t="n">
        <v>1</v>
      </c>
      <c r="BK122" s="6" t="s">
        <v>463</v>
      </c>
    </row>
    <row r="123" customFormat="false" ht="15" hidden="false" customHeight="true" outlineLevel="0" collapsed="false">
      <c r="B123" s="2" t="s">
        <v>177</v>
      </c>
      <c r="C123" s="2" t="s">
        <v>464</v>
      </c>
      <c r="D123" s="2" t="s">
        <v>118</v>
      </c>
      <c r="E123" s="2" t="n">
        <v>165085</v>
      </c>
      <c r="F123" s="15" t="n">
        <v>43420</v>
      </c>
      <c r="G123" s="15" t="n">
        <v>43424</v>
      </c>
      <c r="H123" s="3" t="n">
        <v>4</v>
      </c>
      <c r="I123" s="3" t="n">
        <v>2</v>
      </c>
      <c r="J123" s="3" t="n">
        <v>65</v>
      </c>
      <c r="K123" s="3" t="n">
        <v>2</v>
      </c>
      <c r="L123" s="3" t="n">
        <v>1</v>
      </c>
      <c r="M123" s="3" t="n">
        <v>1</v>
      </c>
      <c r="N123" s="3" t="n">
        <v>2</v>
      </c>
      <c r="O123" s="3" t="n">
        <v>2</v>
      </c>
      <c r="P123" s="3" t="n">
        <v>2</v>
      </c>
      <c r="Q123" s="3" t="n">
        <v>2</v>
      </c>
      <c r="R123" s="3" t="n">
        <v>2</v>
      </c>
      <c r="S123" s="3" t="n">
        <v>1</v>
      </c>
      <c r="T123" s="4" t="n">
        <v>1</v>
      </c>
      <c r="U123" s="3" t="n">
        <v>1</v>
      </c>
      <c r="V123" s="3" t="n">
        <v>5.75</v>
      </c>
      <c r="W123" s="3" t="n">
        <v>1.73</v>
      </c>
      <c r="X123" s="3" t="n">
        <v>5.9</v>
      </c>
      <c r="Y123" s="3" t="n">
        <v>516</v>
      </c>
      <c r="AA123" s="3" t="n">
        <v>0.38</v>
      </c>
      <c r="AB123" s="3" t="n">
        <v>9</v>
      </c>
      <c r="AC123" s="3" t="n">
        <v>1</v>
      </c>
      <c r="AD123" s="3" t="n">
        <v>2</v>
      </c>
      <c r="AE123" s="3" t="n">
        <v>1</v>
      </c>
      <c r="AF123" s="3" t="n">
        <v>1</v>
      </c>
      <c r="AG123" s="3" t="n">
        <v>2</v>
      </c>
      <c r="AH123" s="3" t="n">
        <v>2</v>
      </c>
      <c r="AI123" s="3" t="n">
        <v>1</v>
      </c>
      <c r="AJ123" s="3" t="n">
        <v>1</v>
      </c>
      <c r="AK123" s="3" t="n">
        <v>2</v>
      </c>
      <c r="AL123" s="3" t="n">
        <v>2</v>
      </c>
      <c r="AM123" s="3" t="n">
        <v>1</v>
      </c>
      <c r="AN123" s="3" t="n">
        <v>2</v>
      </c>
      <c r="AO123" s="3" t="n">
        <v>2</v>
      </c>
      <c r="AP123" s="3" t="n">
        <v>3</v>
      </c>
      <c r="AQ123" s="3" t="n">
        <v>4</v>
      </c>
      <c r="AR123" s="3" t="n">
        <v>4</v>
      </c>
      <c r="AS123" s="3" t="n">
        <v>6</v>
      </c>
      <c r="AT123" s="3" t="n">
        <v>4</v>
      </c>
      <c r="AU123" s="3" t="n">
        <v>4</v>
      </c>
      <c r="AV123" s="3" t="n">
        <v>6</v>
      </c>
      <c r="AW123" s="3" t="n">
        <v>6</v>
      </c>
      <c r="AX123" s="3" t="n">
        <v>3</v>
      </c>
      <c r="AY123" s="3" t="n">
        <v>3</v>
      </c>
      <c r="AZ123" s="3" t="n">
        <v>1</v>
      </c>
      <c r="BA123" s="5" t="n">
        <v>5</v>
      </c>
      <c r="BB123" s="3" t="n">
        <v>2</v>
      </c>
      <c r="BC123" s="3" t="n">
        <v>1</v>
      </c>
      <c r="BD123" s="3" t="n">
        <v>6</v>
      </c>
      <c r="BE123" s="3" t="n">
        <v>3</v>
      </c>
      <c r="BF123" s="3" t="n">
        <v>5</v>
      </c>
      <c r="BG123" s="3" t="n">
        <v>3</v>
      </c>
      <c r="BH123" s="3" t="n">
        <v>4</v>
      </c>
      <c r="BI123" s="3" t="n">
        <v>1</v>
      </c>
      <c r="BJ123" s="3" t="n">
        <v>1</v>
      </c>
      <c r="BK123" s="6" t="s">
        <v>465</v>
      </c>
    </row>
    <row r="124" customFormat="false" ht="15" hidden="false" customHeight="true" outlineLevel="0" collapsed="false">
      <c r="B124" s="2" t="s">
        <v>466</v>
      </c>
      <c r="C124" s="2" t="s">
        <v>467</v>
      </c>
      <c r="D124" s="2" t="s">
        <v>468</v>
      </c>
      <c r="E124" s="2" t="n">
        <v>165246</v>
      </c>
      <c r="F124" s="15" t="n">
        <v>43423</v>
      </c>
      <c r="G124" s="15" t="n">
        <v>43426</v>
      </c>
      <c r="H124" s="3" t="n">
        <v>3</v>
      </c>
      <c r="I124" s="3" t="n">
        <v>1</v>
      </c>
      <c r="J124" s="3" t="n">
        <v>32</v>
      </c>
      <c r="K124" s="3" t="n">
        <v>2</v>
      </c>
      <c r="L124" s="3" t="n">
        <v>2</v>
      </c>
      <c r="M124" s="3" t="n">
        <v>2</v>
      </c>
      <c r="N124" s="3" t="n">
        <v>2</v>
      </c>
      <c r="O124" s="3" t="n">
        <v>2</v>
      </c>
      <c r="P124" s="3" t="n">
        <v>2</v>
      </c>
      <c r="Q124" s="3" t="n">
        <v>2</v>
      </c>
      <c r="R124" s="3" t="n">
        <v>2</v>
      </c>
      <c r="S124" s="3" t="n">
        <v>2</v>
      </c>
      <c r="T124" s="4" t="n">
        <v>1</v>
      </c>
      <c r="U124" s="3" t="n">
        <v>1</v>
      </c>
      <c r="V124" s="3" t="n">
        <v>5.44</v>
      </c>
      <c r="W124" s="3" t="n">
        <v>0.74</v>
      </c>
      <c r="X124" s="3" t="n">
        <v>4.9</v>
      </c>
      <c r="Y124" s="3" t="n">
        <v>210</v>
      </c>
      <c r="AA124" s="3" t="n">
        <v>0.37</v>
      </c>
      <c r="AB124" s="3" t="n">
        <v>8</v>
      </c>
      <c r="AC124" s="3" t="n">
        <v>1</v>
      </c>
      <c r="AD124" s="3" t="n">
        <v>2</v>
      </c>
      <c r="AE124" s="3" t="n">
        <v>1</v>
      </c>
      <c r="AF124" s="3" t="n">
        <v>1</v>
      </c>
      <c r="AG124" s="3" t="n">
        <v>2</v>
      </c>
      <c r="AH124" s="3" t="n">
        <v>2</v>
      </c>
      <c r="AI124" s="3" t="n">
        <v>1</v>
      </c>
      <c r="AJ124" s="3" t="n">
        <v>1</v>
      </c>
      <c r="AK124" s="3" t="n">
        <v>2</v>
      </c>
      <c r="AL124" s="3" t="n">
        <v>2</v>
      </c>
      <c r="AM124" s="3" t="n">
        <v>2</v>
      </c>
      <c r="AN124" s="3" t="n">
        <v>2</v>
      </c>
      <c r="AO124" s="3" t="n">
        <v>2</v>
      </c>
      <c r="AP124" s="3" t="n">
        <v>3</v>
      </c>
      <c r="AQ124" s="3" t="n">
        <v>4</v>
      </c>
      <c r="AR124" s="3" t="n">
        <v>4</v>
      </c>
      <c r="AS124" s="3" t="n">
        <v>6</v>
      </c>
      <c r="AT124" s="3" t="n">
        <v>4</v>
      </c>
      <c r="AU124" s="3" t="n">
        <v>4</v>
      </c>
      <c r="AV124" s="3" t="n">
        <v>6</v>
      </c>
      <c r="AW124" s="3" t="n">
        <v>6</v>
      </c>
      <c r="AX124" s="3" t="n">
        <v>3</v>
      </c>
      <c r="AY124" s="3" t="n">
        <v>3</v>
      </c>
      <c r="AZ124" s="3" t="n">
        <v>1</v>
      </c>
      <c r="BA124" s="5" t="n">
        <v>5</v>
      </c>
      <c r="BB124" s="3" t="n">
        <v>2</v>
      </c>
      <c r="BC124" s="3" t="n">
        <v>1</v>
      </c>
      <c r="BD124" s="3" t="n">
        <v>6</v>
      </c>
      <c r="BE124" s="3" t="n">
        <v>3</v>
      </c>
      <c r="BF124" s="3" t="n">
        <v>5</v>
      </c>
      <c r="BG124" s="3" t="n">
        <v>3</v>
      </c>
      <c r="BH124" s="3" t="n">
        <v>4</v>
      </c>
      <c r="BI124" s="3" t="n">
        <v>1</v>
      </c>
      <c r="BJ124" s="3" t="n">
        <v>1</v>
      </c>
      <c r="BK124" s="6" t="s">
        <v>469</v>
      </c>
    </row>
    <row r="125" customFormat="false" ht="15" hidden="false" customHeight="true" outlineLevel="0" collapsed="false">
      <c r="B125" s="2" t="s">
        <v>470</v>
      </c>
      <c r="C125" s="2" t="s">
        <v>471</v>
      </c>
      <c r="D125" s="2" t="s">
        <v>471</v>
      </c>
      <c r="E125" s="2" t="n">
        <v>165247</v>
      </c>
      <c r="F125" s="15" t="n">
        <v>43423</v>
      </c>
      <c r="G125" s="15" t="n">
        <v>43426</v>
      </c>
      <c r="H125" s="3" t="n">
        <v>3</v>
      </c>
      <c r="I125" s="3" t="n">
        <v>1</v>
      </c>
      <c r="J125" s="3" t="n">
        <v>88</v>
      </c>
      <c r="K125" s="3" t="n">
        <v>1</v>
      </c>
      <c r="L125" s="3" t="n">
        <v>2</v>
      </c>
      <c r="M125" s="3" t="n">
        <v>1</v>
      </c>
      <c r="N125" s="3" t="n">
        <v>2</v>
      </c>
      <c r="O125" s="3" t="n">
        <v>1</v>
      </c>
      <c r="P125" s="3" t="n">
        <v>2</v>
      </c>
      <c r="Q125" s="3" t="n">
        <v>2</v>
      </c>
      <c r="R125" s="3" t="n">
        <v>2</v>
      </c>
      <c r="S125" s="3" t="n">
        <v>1</v>
      </c>
      <c r="T125" s="4" t="n">
        <v>3</v>
      </c>
      <c r="U125" s="3" t="n">
        <v>1</v>
      </c>
      <c r="V125" s="3" t="n">
        <v>2.79</v>
      </c>
      <c r="W125" s="3" t="n">
        <v>0.46</v>
      </c>
      <c r="X125" s="3" t="n">
        <v>4.4</v>
      </c>
      <c r="Y125" s="3" t="n">
        <v>205</v>
      </c>
      <c r="AA125" s="3" t="n">
        <v>0.31</v>
      </c>
      <c r="AB125" s="3" t="n">
        <v>6.8</v>
      </c>
      <c r="AC125" s="3" t="n">
        <v>1</v>
      </c>
      <c r="AD125" s="3" t="n">
        <v>2</v>
      </c>
      <c r="AE125" s="3" t="n">
        <v>1</v>
      </c>
      <c r="AF125" s="3" t="n">
        <v>1</v>
      </c>
      <c r="AG125" s="3" t="n">
        <v>2</v>
      </c>
      <c r="AH125" s="3" t="n">
        <v>2</v>
      </c>
      <c r="AI125" s="3" t="n">
        <v>2</v>
      </c>
      <c r="AJ125" s="3" t="n">
        <v>1</v>
      </c>
      <c r="AK125" s="3" t="n">
        <v>2</v>
      </c>
      <c r="AL125" s="3" t="n">
        <v>1</v>
      </c>
      <c r="AM125" s="3" t="n">
        <v>1</v>
      </c>
      <c r="AN125" s="3" t="n">
        <v>2</v>
      </c>
      <c r="AO125" s="3" t="n">
        <v>2</v>
      </c>
      <c r="AP125" s="3" t="n">
        <v>3</v>
      </c>
      <c r="AQ125" s="3" t="n">
        <v>4</v>
      </c>
      <c r="AR125" s="3" t="n">
        <v>4</v>
      </c>
      <c r="AS125" s="3" t="n">
        <v>6</v>
      </c>
      <c r="AT125" s="3" t="n">
        <v>4</v>
      </c>
      <c r="AU125" s="3" t="n">
        <v>4</v>
      </c>
      <c r="AV125" s="3" t="n">
        <v>6</v>
      </c>
      <c r="AW125" s="3" t="n">
        <v>6</v>
      </c>
      <c r="AX125" s="3" t="n">
        <v>3</v>
      </c>
      <c r="AY125" s="3" t="n">
        <v>3</v>
      </c>
      <c r="AZ125" s="3" t="n">
        <v>1</v>
      </c>
      <c r="BA125" s="5" t="n">
        <v>11</v>
      </c>
      <c r="BB125" s="3" t="n">
        <v>2</v>
      </c>
      <c r="BC125" s="3" t="n">
        <v>1</v>
      </c>
      <c r="BD125" s="3" t="n">
        <v>6</v>
      </c>
      <c r="BE125" s="3" t="n">
        <v>3</v>
      </c>
      <c r="BF125" s="3" t="n">
        <v>5</v>
      </c>
      <c r="BG125" s="3" t="n">
        <v>3</v>
      </c>
      <c r="BH125" s="3" t="n">
        <v>4</v>
      </c>
      <c r="BI125" s="3" t="n">
        <v>1</v>
      </c>
      <c r="BJ125" s="3" t="n">
        <v>1</v>
      </c>
      <c r="BK125" s="6" t="s">
        <v>472</v>
      </c>
    </row>
    <row r="126" customFormat="false" ht="15" hidden="false" customHeight="true" outlineLevel="0" collapsed="false">
      <c r="B126" s="2" t="s">
        <v>473</v>
      </c>
      <c r="C126" s="2" t="s">
        <v>293</v>
      </c>
      <c r="D126" s="2" t="s">
        <v>474</v>
      </c>
      <c r="E126" s="2" t="n">
        <v>165061</v>
      </c>
      <c r="F126" s="15" t="n">
        <v>43419</v>
      </c>
      <c r="G126" s="15" t="n">
        <v>43426</v>
      </c>
      <c r="H126" s="3" t="n">
        <v>7</v>
      </c>
      <c r="I126" s="3" t="n">
        <v>2</v>
      </c>
      <c r="J126" s="3" t="n">
        <v>51</v>
      </c>
      <c r="K126" s="3" t="n">
        <v>2</v>
      </c>
      <c r="L126" s="3" t="n">
        <v>1</v>
      </c>
      <c r="M126" s="3" t="n">
        <v>2</v>
      </c>
      <c r="N126" s="3" t="n">
        <v>2</v>
      </c>
      <c r="O126" s="3" t="n">
        <v>2</v>
      </c>
      <c r="P126" s="3" t="n">
        <v>2</v>
      </c>
      <c r="Q126" s="3" t="n">
        <v>1</v>
      </c>
      <c r="R126" s="3" t="n">
        <v>2</v>
      </c>
      <c r="S126" s="3" t="n">
        <v>2</v>
      </c>
      <c r="T126" s="4" t="n">
        <v>2</v>
      </c>
      <c r="U126" s="3" t="n">
        <v>2</v>
      </c>
      <c r="V126" s="3" t="n">
        <v>5.78</v>
      </c>
      <c r="W126" s="3" t="n">
        <v>0.54</v>
      </c>
      <c r="X126" s="3" t="n">
        <v>21.1</v>
      </c>
      <c r="Y126" s="3" t="n">
        <v>334</v>
      </c>
      <c r="AA126" s="3" t="n">
        <v>0.33</v>
      </c>
      <c r="AB126" s="3" t="n">
        <v>9</v>
      </c>
      <c r="AC126" s="3" t="n">
        <v>1</v>
      </c>
      <c r="AD126" s="3" t="n">
        <v>2</v>
      </c>
      <c r="AE126" s="3" t="n">
        <v>1</v>
      </c>
      <c r="AF126" s="3" t="n">
        <v>1</v>
      </c>
      <c r="AG126" s="3" t="n">
        <v>2</v>
      </c>
      <c r="AH126" s="3" t="n">
        <v>2</v>
      </c>
      <c r="AI126" s="3" t="n">
        <v>1</v>
      </c>
      <c r="AJ126" s="3" t="n">
        <v>2</v>
      </c>
      <c r="AK126" s="3" t="n">
        <v>2</v>
      </c>
      <c r="AL126" s="3" t="n">
        <v>2</v>
      </c>
      <c r="AM126" s="3" t="n">
        <v>2</v>
      </c>
      <c r="AN126" s="3" t="n">
        <v>2</v>
      </c>
      <c r="AO126" s="3" t="n">
        <v>2</v>
      </c>
      <c r="AP126" s="3" t="n">
        <v>3</v>
      </c>
      <c r="AQ126" s="3" t="n">
        <v>4</v>
      </c>
      <c r="AR126" s="3" t="n">
        <v>4</v>
      </c>
      <c r="AS126" s="3" t="n">
        <v>6</v>
      </c>
      <c r="AT126" s="3" t="n">
        <v>4</v>
      </c>
      <c r="AU126" s="3" t="n">
        <v>4</v>
      </c>
      <c r="AV126" s="3" t="n">
        <v>6</v>
      </c>
      <c r="AW126" s="3" t="n">
        <v>6</v>
      </c>
      <c r="AX126" s="3" t="n">
        <v>3</v>
      </c>
      <c r="AY126" s="3" t="n">
        <v>3</v>
      </c>
      <c r="AZ126" s="3" t="n">
        <v>7</v>
      </c>
      <c r="BA126" s="5" t="n">
        <v>1</v>
      </c>
      <c r="BB126" s="3" t="n">
        <v>1</v>
      </c>
      <c r="BC126" s="3" t="n">
        <v>1</v>
      </c>
      <c r="BD126" s="3" t="n">
        <v>4</v>
      </c>
      <c r="BE126" s="3" t="n">
        <v>3</v>
      </c>
      <c r="BF126" s="3" t="n">
        <v>5</v>
      </c>
      <c r="BG126" s="3" t="n">
        <v>3</v>
      </c>
      <c r="BH126" s="3" t="n">
        <v>4</v>
      </c>
      <c r="BI126" s="3" t="n">
        <v>1</v>
      </c>
      <c r="BJ126" s="3" t="n">
        <v>1</v>
      </c>
      <c r="BK126" s="6" t="s">
        <v>475</v>
      </c>
    </row>
    <row r="127" customFormat="false" ht="15" hidden="false" customHeight="true" outlineLevel="0" collapsed="false">
      <c r="B127" s="2" t="s">
        <v>180</v>
      </c>
      <c r="C127" s="2" t="s">
        <v>197</v>
      </c>
      <c r="D127" s="2" t="s">
        <v>386</v>
      </c>
      <c r="E127" s="2" t="n">
        <v>165062</v>
      </c>
      <c r="F127" s="15" t="n">
        <v>43419</v>
      </c>
      <c r="G127" s="15" t="n">
        <v>43426</v>
      </c>
      <c r="H127" s="3" t="n">
        <v>7</v>
      </c>
      <c r="I127" s="3" t="n">
        <v>2</v>
      </c>
      <c r="J127" s="3" t="n">
        <v>46</v>
      </c>
      <c r="K127" s="3" t="n">
        <v>1</v>
      </c>
      <c r="L127" s="3" t="n">
        <v>2</v>
      </c>
      <c r="M127" s="3" t="n">
        <v>2</v>
      </c>
      <c r="N127" s="3" t="n">
        <v>2</v>
      </c>
      <c r="O127" s="3" t="n">
        <v>2</v>
      </c>
      <c r="P127" s="3" t="n">
        <v>2</v>
      </c>
      <c r="Q127" s="3" t="n">
        <v>2</v>
      </c>
      <c r="R127" s="3" t="n">
        <v>2</v>
      </c>
      <c r="S127" s="3" t="n">
        <v>2</v>
      </c>
      <c r="T127" s="4" t="n">
        <v>2</v>
      </c>
      <c r="U127" s="3" t="n">
        <v>4</v>
      </c>
      <c r="V127" s="3" t="n">
        <v>4.76</v>
      </c>
      <c r="W127" s="3" t="n">
        <v>1.49</v>
      </c>
      <c r="X127" s="3" t="n">
        <v>5.7</v>
      </c>
      <c r="Y127" s="3" t="n">
        <v>356</v>
      </c>
      <c r="AA127" s="3" t="n">
        <v>0.41</v>
      </c>
      <c r="AB127" s="3" t="n">
        <v>7</v>
      </c>
      <c r="AC127" s="3" t="n">
        <v>1</v>
      </c>
      <c r="AD127" s="3" t="n">
        <v>2</v>
      </c>
      <c r="AE127" s="3" t="n">
        <v>1</v>
      </c>
      <c r="AF127" s="3" t="n">
        <v>1</v>
      </c>
      <c r="AG127" s="3" t="n">
        <v>2</v>
      </c>
      <c r="AH127" s="3" t="n">
        <v>2</v>
      </c>
      <c r="AI127" s="3" t="n">
        <v>1</v>
      </c>
      <c r="AJ127" s="3" t="n">
        <v>2</v>
      </c>
      <c r="AK127" s="3" t="n">
        <v>2</v>
      </c>
      <c r="AL127" s="3" t="n">
        <v>2</v>
      </c>
      <c r="AM127" s="3" t="n">
        <v>2</v>
      </c>
      <c r="AN127" s="3" t="n">
        <v>2</v>
      </c>
      <c r="AO127" s="3" t="n">
        <v>2</v>
      </c>
      <c r="AP127" s="3" t="n">
        <v>2</v>
      </c>
      <c r="AQ127" s="3" t="n">
        <v>3</v>
      </c>
      <c r="AR127" s="3" t="n">
        <v>7</v>
      </c>
      <c r="AS127" s="3" t="n">
        <v>5</v>
      </c>
      <c r="AT127" s="3" t="n">
        <v>3</v>
      </c>
      <c r="AU127" s="3" t="n">
        <v>1</v>
      </c>
      <c r="AV127" s="3" t="n">
        <v>1</v>
      </c>
      <c r="AW127" s="3" t="n">
        <v>1</v>
      </c>
      <c r="AX127" s="3" t="n">
        <v>2</v>
      </c>
      <c r="AY127" s="3" t="n">
        <v>2</v>
      </c>
      <c r="AZ127" s="3" t="n">
        <v>1</v>
      </c>
      <c r="BA127" s="5" t="n">
        <v>1</v>
      </c>
      <c r="BB127" s="3" t="n">
        <v>1</v>
      </c>
      <c r="BC127" s="3" t="n">
        <v>1</v>
      </c>
      <c r="BD127" s="3" t="n">
        <v>4</v>
      </c>
      <c r="BE127" s="3" t="n">
        <v>1</v>
      </c>
      <c r="BF127" s="3" t="n">
        <v>2</v>
      </c>
      <c r="BG127" s="3" t="n">
        <v>1</v>
      </c>
      <c r="BH127" s="3" t="n">
        <v>4</v>
      </c>
      <c r="BI127" s="3" t="n">
        <v>1</v>
      </c>
      <c r="BJ127" s="3" t="n">
        <v>1</v>
      </c>
      <c r="BK127" s="6" t="s">
        <v>476</v>
      </c>
    </row>
    <row r="128" customFormat="false" ht="15" hidden="false" customHeight="true" outlineLevel="0" collapsed="false">
      <c r="B128" s="2" t="s">
        <v>477</v>
      </c>
      <c r="C128" s="2" t="s">
        <v>222</v>
      </c>
      <c r="D128" s="2" t="s">
        <v>478</v>
      </c>
      <c r="E128" s="2" t="n">
        <v>165005</v>
      </c>
      <c r="F128" s="15" t="n">
        <v>43417</v>
      </c>
      <c r="G128" s="15" t="n">
        <v>43426</v>
      </c>
      <c r="H128" s="3" t="n">
        <v>9</v>
      </c>
      <c r="I128" s="3" t="n">
        <v>1</v>
      </c>
      <c r="J128" s="3" t="n">
        <v>76</v>
      </c>
      <c r="K128" s="3" t="n">
        <v>1</v>
      </c>
      <c r="L128" s="3" t="n">
        <v>2</v>
      </c>
      <c r="M128" s="3" t="n">
        <v>1</v>
      </c>
      <c r="N128" s="3" t="n">
        <v>2</v>
      </c>
      <c r="O128" s="3" t="n">
        <v>2</v>
      </c>
      <c r="P128" s="3" t="n">
        <v>2</v>
      </c>
      <c r="Q128" s="3" t="n">
        <v>2</v>
      </c>
      <c r="R128" s="3" t="n">
        <v>2</v>
      </c>
      <c r="S128" s="3" t="n">
        <v>1</v>
      </c>
      <c r="T128" s="4" t="n">
        <v>12</v>
      </c>
      <c r="U128" s="3" t="n">
        <v>1</v>
      </c>
      <c r="V128" s="3" t="n">
        <v>5.54</v>
      </c>
      <c r="W128" s="3" t="n">
        <v>1.62</v>
      </c>
      <c r="X128" s="3" t="n">
        <v>8.2</v>
      </c>
      <c r="Y128" s="3" t="n">
        <v>540</v>
      </c>
      <c r="AA128" s="3" t="n">
        <v>0.39</v>
      </c>
      <c r="AB128" s="3" t="n">
        <v>7</v>
      </c>
      <c r="AC128" s="3" t="n">
        <v>1</v>
      </c>
      <c r="AD128" s="3" t="n">
        <v>2</v>
      </c>
      <c r="AE128" s="3" t="n">
        <v>2</v>
      </c>
      <c r="AF128" s="3" t="n">
        <v>2</v>
      </c>
      <c r="AG128" s="3" t="n">
        <v>2</v>
      </c>
      <c r="AH128" s="3" t="n">
        <v>1</v>
      </c>
      <c r="AI128" s="3" t="n">
        <v>2</v>
      </c>
      <c r="AJ128" s="3" t="n">
        <v>1</v>
      </c>
      <c r="AK128" s="3" t="n">
        <v>2</v>
      </c>
      <c r="AL128" s="3" t="n">
        <v>2</v>
      </c>
      <c r="AM128" s="3" t="n">
        <v>1</v>
      </c>
      <c r="AN128" s="3" t="n">
        <v>2</v>
      </c>
      <c r="AO128" s="3" t="n">
        <v>2</v>
      </c>
      <c r="AP128" s="3" t="n">
        <v>3</v>
      </c>
      <c r="AQ128" s="3" t="n">
        <v>4</v>
      </c>
      <c r="AR128" s="3" t="n">
        <v>4</v>
      </c>
      <c r="AS128" s="3" t="n">
        <v>6</v>
      </c>
      <c r="AT128" s="3" t="n">
        <v>4</v>
      </c>
      <c r="AU128" s="3" t="n">
        <v>4</v>
      </c>
      <c r="AV128" s="3" t="n">
        <v>6</v>
      </c>
      <c r="AW128" s="3" t="n">
        <v>6</v>
      </c>
      <c r="AX128" s="3" t="n">
        <v>3</v>
      </c>
      <c r="AY128" s="3" t="n">
        <v>3</v>
      </c>
      <c r="AZ128" s="3" t="n">
        <v>1</v>
      </c>
      <c r="BA128" s="5" t="n">
        <v>3</v>
      </c>
      <c r="BB128" s="3" t="n">
        <v>2</v>
      </c>
      <c r="BC128" s="3" t="n">
        <v>1</v>
      </c>
      <c r="BD128" s="3" t="n">
        <v>6</v>
      </c>
      <c r="BE128" s="3" t="n">
        <v>3</v>
      </c>
      <c r="BF128" s="3" t="n">
        <v>5</v>
      </c>
      <c r="BG128" s="3" t="n">
        <v>3</v>
      </c>
      <c r="BH128" s="3" t="n">
        <v>4</v>
      </c>
      <c r="BI128" s="3" t="n">
        <v>1</v>
      </c>
      <c r="BJ128" s="3" t="n">
        <v>1</v>
      </c>
      <c r="BK128" s="6" t="s">
        <v>479</v>
      </c>
    </row>
    <row r="129" s="30" customFormat="true" ht="15" hidden="false" customHeight="true" outlineLevel="0" collapsed="false">
      <c r="A129" s="24"/>
      <c r="B129" s="26" t="s">
        <v>480</v>
      </c>
      <c r="C129" s="26" t="s">
        <v>481</v>
      </c>
      <c r="D129" s="26" t="s">
        <v>66</v>
      </c>
      <c r="E129" s="26" t="n">
        <v>165206</v>
      </c>
      <c r="F129" s="27" t="n">
        <v>43421</v>
      </c>
      <c r="G129" s="27" t="n">
        <v>43427</v>
      </c>
      <c r="H129" s="30" t="n">
        <v>6</v>
      </c>
      <c r="I129" s="30" t="n">
        <v>2</v>
      </c>
      <c r="J129" s="30" t="n">
        <v>84</v>
      </c>
      <c r="K129" s="30" t="n">
        <v>1</v>
      </c>
      <c r="L129" s="30" t="n">
        <v>1</v>
      </c>
      <c r="M129" s="30" t="n">
        <v>1</v>
      </c>
      <c r="N129" s="30" t="n">
        <v>2</v>
      </c>
      <c r="O129" s="30" t="n">
        <v>2</v>
      </c>
      <c r="P129" s="30" t="n">
        <v>2</v>
      </c>
      <c r="Q129" s="30" t="n">
        <v>1</v>
      </c>
      <c r="R129" s="30" t="n">
        <v>2</v>
      </c>
      <c r="S129" s="30" t="n">
        <v>1</v>
      </c>
      <c r="T129" s="4" t="n">
        <v>1</v>
      </c>
      <c r="U129" s="30" t="n">
        <v>1</v>
      </c>
      <c r="V129" s="30" t="n">
        <v>3.32</v>
      </c>
      <c r="W129" s="30" t="n">
        <v>1.87</v>
      </c>
      <c r="X129" s="30" t="n">
        <v>10.2</v>
      </c>
      <c r="Y129" s="30" t="n">
        <v>657</v>
      </c>
      <c r="AA129" s="30" t="n">
        <v>0.27</v>
      </c>
      <c r="AB129" s="30" t="n">
        <v>16</v>
      </c>
      <c r="AC129" s="30" t="n">
        <v>3</v>
      </c>
      <c r="AD129" s="30" t="n">
        <v>2</v>
      </c>
      <c r="AE129" s="30" t="n">
        <v>1</v>
      </c>
      <c r="AF129" s="30" t="n">
        <v>1</v>
      </c>
      <c r="AG129" s="30" t="n">
        <v>2</v>
      </c>
      <c r="AH129" s="30" t="n">
        <v>2</v>
      </c>
      <c r="AI129" s="30" t="n">
        <v>2</v>
      </c>
      <c r="AJ129" s="30" t="n">
        <v>2</v>
      </c>
      <c r="AK129" s="30" t="n">
        <v>2</v>
      </c>
      <c r="AL129" s="30" t="n">
        <v>2</v>
      </c>
      <c r="AM129" s="30" t="n">
        <v>1</v>
      </c>
      <c r="AN129" s="30" t="n">
        <v>1</v>
      </c>
      <c r="AO129" s="30" t="n">
        <v>2</v>
      </c>
      <c r="AP129" s="30" t="n">
        <v>3</v>
      </c>
      <c r="AQ129" s="30" t="n">
        <v>4</v>
      </c>
      <c r="AR129" s="30" t="n">
        <v>4</v>
      </c>
      <c r="AS129" s="30" t="n">
        <v>6</v>
      </c>
      <c r="AT129" s="30" t="n">
        <v>4</v>
      </c>
      <c r="AU129" s="30" t="n">
        <v>4</v>
      </c>
      <c r="AV129" s="30" t="n">
        <v>6</v>
      </c>
      <c r="AW129" s="30" t="n">
        <v>6</v>
      </c>
      <c r="AX129" s="30" t="n">
        <v>3</v>
      </c>
      <c r="AY129" s="30" t="n">
        <v>3</v>
      </c>
      <c r="AZ129" s="30" t="n">
        <v>10</v>
      </c>
      <c r="BA129" s="5" t="n">
        <v>5</v>
      </c>
      <c r="BB129" s="30" t="n">
        <v>2</v>
      </c>
      <c r="BC129" s="30" t="n">
        <v>2</v>
      </c>
      <c r="BD129" s="30" t="n">
        <v>6</v>
      </c>
      <c r="BE129" s="30" t="n">
        <v>3</v>
      </c>
      <c r="BF129" s="30" t="n">
        <v>5</v>
      </c>
      <c r="BG129" s="30" t="n">
        <v>3</v>
      </c>
      <c r="BH129" s="30" t="n">
        <v>4</v>
      </c>
      <c r="BI129" s="30" t="n">
        <v>2</v>
      </c>
      <c r="BJ129" s="30" t="n">
        <v>2</v>
      </c>
      <c r="BK129" s="31" t="s">
        <v>482</v>
      </c>
    </row>
    <row r="130" customFormat="false" ht="15" hidden="false" customHeight="true" outlineLevel="0" collapsed="false">
      <c r="B130" s="2" t="s">
        <v>483</v>
      </c>
      <c r="C130" s="2" t="s">
        <v>336</v>
      </c>
      <c r="D130" s="2" t="s">
        <v>484</v>
      </c>
      <c r="E130" s="2" t="n">
        <v>162553</v>
      </c>
      <c r="F130" s="15" t="n">
        <v>43395</v>
      </c>
      <c r="G130" s="15" t="n">
        <v>43396</v>
      </c>
      <c r="H130" s="3" t="n">
        <v>30</v>
      </c>
      <c r="I130" s="3" t="n">
        <v>1</v>
      </c>
      <c r="J130" s="3" t="n">
        <v>48</v>
      </c>
      <c r="K130" s="3" t="n">
        <v>2</v>
      </c>
      <c r="L130" s="3" t="n">
        <v>2</v>
      </c>
      <c r="M130" s="3" t="n">
        <v>1</v>
      </c>
      <c r="N130" s="3" t="n">
        <v>2</v>
      </c>
      <c r="O130" s="3" t="n">
        <v>2</v>
      </c>
      <c r="P130" s="3" t="n">
        <v>2</v>
      </c>
      <c r="Q130" s="3" t="n">
        <v>2</v>
      </c>
      <c r="R130" s="3" t="n">
        <v>2</v>
      </c>
      <c r="S130" s="3" t="n">
        <v>1</v>
      </c>
      <c r="T130" s="4" t="n">
        <v>12</v>
      </c>
      <c r="U130" s="3" t="n">
        <v>1</v>
      </c>
      <c r="V130" s="3" t="n">
        <v>3.98</v>
      </c>
      <c r="W130" s="3" t="n">
        <v>0.38</v>
      </c>
      <c r="X130" s="3" t="n">
        <v>9.3</v>
      </c>
      <c r="Y130" s="3" t="n">
        <v>160</v>
      </c>
      <c r="AA130" s="3" t="n">
        <v>0.27</v>
      </c>
      <c r="AB130" s="3" t="n">
        <v>12.1</v>
      </c>
      <c r="AC130" s="3" t="n">
        <v>3</v>
      </c>
      <c r="AD130" s="3" t="n">
        <v>2</v>
      </c>
      <c r="AE130" s="3" t="n">
        <v>2</v>
      </c>
      <c r="AF130" s="3" t="n">
        <v>2</v>
      </c>
      <c r="AG130" s="3" t="n">
        <v>2</v>
      </c>
      <c r="AH130" s="3" t="n">
        <v>2</v>
      </c>
      <c r="AI130" s="3" t="n">
        <v>2</v>
      </c>
      <c r="AJ130" s="3" t="n">
        <v>1</v>
      </c>
      <c r="AK130" s="3" t="n">
        <v>2</v>
      </c>
      <c r="AL130" s="3" t="n">
        <v>2</v>
      </c>
      <c r="AM130" s="3" t="n">
        <v>1</v>
      </c>
      <c r="AN130" s="3" t="n">
        <v>2</v>
      </c>
      <c r="AO130" s="3" t="n">
        <v>2</v>
      </c>
      <c r="AP130" s="3" t="n">
        <v>3</v>
      </c>
      <c r="AQ130" s="3" t="n">
        <v>4</v>
      </c>
      <c r="AR130" s="3" t="n">
        <v>4</v>
      </c>
      <c r="AS130" s="3" t="n">
        <v>6</v>
      </c>
      <c r="AT130" s="3" t="n">
        <v>4</v>
      </c>
      <c r="AU130" s="3" t="n">
        <v>4</v>
      </c>
      <c r="AV130" s="3" t="n">
        <v>6</v>
      </c>
      <c r="AW130" s="3" t="n">
        <v>6</v>
      </c>
      <c r="AX130" s="3" t="n">
        <v>3</v>
      </c>
      <c r="AY130" s="3" t="n">
        <v>3</v>
      </c>
      <c r="AZ130" s="3" t="n">
        <v>1</v>
      </c>
      <c r="BA130" s="5" t="n">
        <v>3</v>
      </c>
      <c r="BB130" s="3" t="n">
        <v>2</v>
      </c>
      <c r="BC130" s="3" t="n">
        <v>1</v>
      </c>
      <c r="BD130" s="3" t="n">
        <v>6</v>
      </c>
      <c r="BE130" s="3" t="n">
        <v>3</v>
      </c>
      <c r="BF130" s="3" t="n">
        <v>5</v>
      </c>
      <c r="BG130" s="3" t="n">
        <v>3</v>
      </c>
      <c r="BH130" s="3" t="n">
        <v>4</v>
      </c>
      <c r="BI130" s="3" t="n">
        <v>1</v>
      </c>
      <c r="BJ130" s="3" t="n">
        <v>1</v>
      </c>
      <c r="BK130" s="6" t="s">
        <v>485</v>
      </c>
    </row>
    <row r="131" customFormat="false" ht="15" hidden="false" customHeight="true" outlineLevel="0" collapsed="false">
      <c r="B131" s="2" t="s">
        <v>486</v>
      </c>
      <c r="C131" s="2" t="s">
        <v>127</v>
      </c>
      <c r="D131" s="2" t="s">
        <v>95</v>
      </c>
      <c r="E131" s="2" t="n">
        <v>165065</v>
      </c>
      <c r="F131" s="15" t="n">
        <v>43419</v>
      </c>
      <c r="G131" s="15" t="n">
        <v>43427</v>
      </c>
      <c r="H131" s="3" t="n">
        <v>8</v>
      </c>
      <c r="I131" s="3" t="n">
        <v>2</v>
      </c>
      <c r="J131" s="3" t="n">
        <v>74</v>
      </c>
      <c r="K131" s="3" t="n">
        <v>1</v>
      </c>
      <c r="L131" s="3" t="n">
        <v>2</v>
      </c>
      <c r="M131" s="3" t="n">
        <v>1</v>
      </c>
      <c r="N131" s="3" t="n">
        <v>1</v>
      </c>
      <c r="O131" s="3" t="n">
        <v>2</v>
      </c>
      <c r="P131" s="3" t="n">
        <v>2</v>
      </c>
      <c r="Q131" s="3" t="n">
        <v>2</v>
      </c>
      <c r="R131" s="3" t="n">
        <v>2</v>
      </c>
      <c r="S131" s="3" t="n">
        <v>2</v>
      </c>
      <c r="T131" s="4" t="n">
        <v>2</v>
      </c>
      <c r="U131" s="3" t="n">
        <v>2</v>
      </c>
      <c r="V131" s="3" t="n">
        <v>6.75</v>
      </c>
      <c r="W131" s="3" t="n">
        <v>0.77</v>
      </c>
      <c r="X131" s="3" t="n">
        <v>6.7</v>
      </c>
      <c r="Y131" s="3" t="n">
        <v>255</v>
      </c>
      <c r="AA131" s="3" t="n">
        <v>0.36</v>
      </c>
      <c r="AB131" s="3" t="n">
        <v>9.2</v>
      </c>
      <c r="AC131" s="3" t="n">
        <v>2</v>
      </c>
      <c r="AD131" s="3" t="n">
        <v>2</v>
      </c>
      <c r="AE131" s="3" t="n">
        <v>1</v>
      </c>
      <c r="AF131" s="3" t="n">
        <v>1</v>
      </c>
      <c r="AG131" s="3" t="n">
        <v>2</v>
      </c>
      <c r="AH131" s="3" t="n">
        <v>2</v>
      </c>
      <c r="AI131" s="3" t="n">
        <v>1</v>
      </c>
      <c r="AJ131" s="3" t="n">
        <v>2</v>
      </c>
      <c r="AK131" s="3" t="n">
        <v>2</v>
      </c>
      <c r="AL131" s="3" t="n">
        <v>2</v>
      </c>
      <c r="AM131" s="3" t="n">
        <v>2</v>
      </c>
      <c r="AN131" s="3" t="n">
        <v>2</v>
      </c>
      <c r="AO131" s="3" t="n">
        <v>2</v>
      </c>
      <c r="AP131" s="3" t="n">
        <v>3</v>
      </c>
      <c r="AQ131" s="3" t="n">
        <v>4</v>
      </c>
      <c r="AR131" s="3" t="n">
        <v>4</v>
      </c>
      <c r="AS131" s="3" t="n">
        <v>6</v>
      </c>
      <c r="AT131" s="3" t="n">
        <v>4</v>
      </c>
      <c r="AU131" s="3" t="n">
        <v>4</v>
      </c>
      <c r="AV131" s="3" t="n">
        <v>6</v>
      </c>
      <c r="AW131" s="3" t="n">
        <v>6</v>
      </c>
      <c r="AX131" s="3" t="n">
        <v>3</v>
      </c>
      <c r="AY131" s="3" t="n">
        <v>3</v>
      </c>
      <c r="AZ131" s="3" t="n">
        <v>1</v>
      </c>
      <c r="BA131" s="5" t="n">
        <v>1</v>
      </c>
      <c r="BB131" s="3" t="n">
        <v>1</v>
      </c>
      <c r="BC131" s="3" t="n">
        <v>1</v>
      </c>
      <c r="BD131" s="3" t="n">
        <v>2</v>
      </c>
      <c r="BE131" s="3" t="n">
        <v>1</v>
      </c>
      <c r="BF131" s="3" t="n">
        <v>2</v>
      </c>
      <c r="BG131" s="3" t="n">
        <v>1</v>
      </c>
      <c r="BH131" s="3" t="n">
        <v>4</v>
      </c>
      <c r="BI131" s="3" t="n">
        <v>1</v>
      </c>
      <c r="BJ131" s="3" t="n">
        <v>1</v>
      </c>
      <c r="BK131" s="6" t="s">
        <v>487</v>
      </c>
    </row>
    <row r="132" customFormat="false" ht="15" hidden="false" customHeight="true" outlineLevel="0" collapsed="false">
      <c r="B132" s="2" t="s">
        <v>93</v>
      </c>
      <c r="C132" s="2" t="s">
        <v>78</v>
      </c>
      <c r="D132" s="2" t="s">
        <v>488</v>
      </c>
      <c r="E132" s="2" t="n">
        <v>165256</v>
      </c>
      <c r="F132" s="15" t="n">
        <v>43423</v>
      </c>
      <c r="G132" s="15" t="n">
        <v>43427</v>
      </c>
      <c r="H132" s="3" t="n">
        <v>4</v>
      </c>
      <c r="I132" s="3" t="n">
        <v>2</v>
      </c>
      <c r="J132" s="3" t="n">
        <v>63</v>
      </c>
      <c r="K132" s="3" t="n">
        <v>1</v>
      </c>
      <c r="L132" s="3" t="n">
        <v>1</v>
      </c>
      <c r="M132" s="3" t="n">
        <v>1</v>
      </c>
      <c r="N132" s="3" t="n">
        <v>2</v>
      </c>
      <c r="O132" s="3" t="n">
        <v>1</v>
      </c>
      <c r="P132" s="3" t="n">
        <v>2</v>
      </c>
      <c r="Q132" s="3" t="n">
        <v>1</v>
      </c>
      <c r="R132" s="3" t="n">
        <v>2</v>
      </c>
      <c r="S132" s="3" t="n">
        <v>2</v>
      </c>
      <c r="T132" s="4" t="n">
        <v>1</v>
      </c>
      <c r="U132" s="3" t="n">
        <v>2</v>
      </c>
      <c r="V132" s="3" t="n">
        <v>7.42</v>
      </c>
      <c r="W132" s="3" t="n">
        <v>4.66</v>
      </c>
      <c r="X132" s="3" t="n">
        <v>14.9</v>
      </c>
      <c r="Y132" s="3" t="n">
        <v>258</v>
      </c>
      <c r="AA132" s="3" t="n">
        <v>0.45</v>
      </c>
      <c r="AB132" s="3" t="n">
        <v>7.5</v>
      </c>
      <c r="AD132" s="3" t="n">
        <v>1</v>
      </c>
      <c r="AE132" s="3" t="n">
        <v>1</v>
      </c>
      <c r="AF132" s="3" t="n">
        <v>1</v>
      </c>
      <c r="AG132" s="3" t="n">
        <v>2</v>
      </c>
      <c r="AH132" s="3" t="n">
        <v>1</v>
      </c>
      <c r="AI132" s="3" t="n">
        <v>1</v>
      </c>
      <c r="AJ132" s="3" t="n">
        <v>1</v>
      </c>
      <c r="AK132" s="3" t="n">
        <v>2</v>
      </c>
      <c r="AL132" s="3" t="n">
        <v>2</v>
      </c>
      <c r="AM132" s="3" t="n">
        <v>1</v>
      </c>
      <c r="AN132" s="3" t="n">
        <v>2</v>
      </c>
      <c r="AO132" s="3" t="n">
        <v>2</v>
      </c>
      <c r="AP132" s="3" t="n">
        <v>3</v>
      </c>
      <c r="AQ132" s="3" t="n">
        <v>4</v>
      </c>
      <c r="AR132" s="3" t="n">
        <v>4</v>
      </c>
      <c r="AS132" s="3" t="n">
        <v>6</v>
      </c>
      <c r="AT132" s="3" t="n">
        <v>4</v>
      </c>
      <c r="AU132" s="3" t="n">
        <v>4</v>
      </c>
      <c r="AV132" s="3" t="n">
        <v>6</v>
      </c>
      <c r="AW132" s="3" t="n">
        <v>6</v>
      </c>
      <c r="AX132" s="3" t="n">
        <v>3</v>
      </c>
      <c r="AY132" s="3" t="n">
        <v>3</v>
      </c>
      <c r="AZ132" s="3" t="n">
        <v>1</v>
      </c>
      <c r="BA132" s="5" t="n">
        <v>5</v>
      </c>
      <c r="BB132" s="3" t="n">
        <v>2</v>
      </c>
      <c r="BC132" s="3" t="n">
        <v>1</v>
      </c>
      <c r="BD132" s="3" t="n">
        <v>6</v>
      </c>
      <c r="BE132" s="3" t="n">
        <v>3</v>
      </c>
      <c r="BF132" s="3" t="n">
        <v>5</v>
      </c>
      <c r="BG132" s="3" t="n">
        <v>3</v>
      </c>
      <c r="BH132" s="3" t="n">
        <v>4</v>
      </c>
      <c r="BI132" s="3" t="n">
        <v>1</v>
      </c>
      <c r="BJ132" s="3" t="n">
        <v>1</v>
      </c>
      <c r="BK132" s="6" t="s">
        <v>489</v>
      </c>
    </row>
    <row r="133" customFormat="false" ht="15" hidden="false" customHeight="true" outlineLevel="0" collapsed="false">
      <c r="B133" s="2" t="s">
        <v>490</v>
      </c>
      <c r="C133" s="2" t="s">
        <v>491</v>
      </c>
      <c r="D133" s="2" t="s">
        <v>194</v>
      </c>
      <c r="E133" s="2" t="n">
        <v>165261</v>
      </c>
      <c r="F133" s="15" t="n">
        <v>43424</v>
      </c>
      <c r="G133" s="15" t="n">
        <v>43430</v>
      </c>
      <c r="H133" s="3" t="n">
        <v>6</v>
      </c>
      <c r="I133" s="3" t="n">
        <v>2</v>
      </c>
      <c r="J133" s="3" t="n">
        <v>64</v>
      </c>
      <c r="K133" s="3" t="n">
        <v>2</v>
      </c>
      <c r="L133" s="3" t="n">
        <v>2</v>
      </c>
      <c r="M133" s="3" t="n">
        <v>1</v>
      </c>
      <c r="N133" s="3" t="n">
        <v>1</v>
      </c>
      <c r="O133" s="3" t="n">
        <v>2</v>
      </c>
      <c r="P133" s="3" t="n">
        <v>2</v>
      </c>
      <c r="Q133" s="3" t="n">
        <v>1</v>
      </c>
      <c r="R133" s="3" t="n">
        <v>2</v>
      </c>
      <c r="S133" s="3" t="n">
        <v>1</v>
      </c>
      <c r="T133" s="4" t="n">
        <v>1</v>
      </c>
      <c r="U133" s="3" t="n">
        <v>4</v>
      </c>
      <c r="V133" s="3" t="n">
        <v>7.65</v>
      </c>
      <c r="W133" s="3" t="n">
        <v>5.41</v>
      </c>
      <c r="X133" s="3" t="n">
        <v>8.3</v>
      </c>
      <c r="Y133" s="3" t="n">
        <v>325</v>
      </c>
      <c r="AA133" s="3" t="n">
        <v>0.42</v>
      </c>
      <c r="AB133" s="3" t="n">
        <v>9.8</v>
      </c>
      <c r="AC133" s="3" t="n">
        <v>1</v>
      </c>
      <c r="AD133" s="3" t="n">
        <v>1</v>
      </c>
      <c r="AE133" s="3" t="n">
        <v>1</v>
      </c>
      <c r="AF133" s="3" t="n">
        <v>1</v>
      </c>
      <c r="AG133" s="3" t="n">
        <v>1</v>
      </c>
      <c r="AH133" s="3" t="n">
        <v>1</v>
      </c>
      <c r="AI133" s="3" t="n">
        <v>1</v>
      </c>
      <c r="AJ133" s="3" t="n">
        <v>1</v>
      </c>
      <c r="AK133" s="3" t="n">
        <v>1</v>
      </c>
      <c r="AL133" s="3" t="n">
        <v>2</v>
      </c>
      <c r="AM133" s="3" t="n">
        <v>2</v>
      </c>
      <c r="AN133" s="3" t="n">
        <v>2</v>
      </c>
      <c r="AO133" s="3" t="n">
        <v>2</v>
      </c>
      <c r="AP133" s="3" t="n">
        <v>3</v>
      </c>
      <c r="AQ133" s="3" t="n">
        <v>4</v>
      </c>
      <c r="AR133" s="3" t="n">
        <v>4</v>
      </c>
      <c r="AS133" s="3" t="n">
        <v>6</v>
      </c>
      <c r="AT133" s="3" t="n">
        <v>4</v>
      </c>
      <c r="AU133" s="3" t="n">
        <v>4</v>
      </c>
      <c r="AV133" s="3" t="n">
        <v>6</v>
      </c>
      <c r="AW133" s="3" t="n">
        <v>6</v>
      </c>
      <c r="AX133" s="3" t="n">
        <v>3</v>
      </c>
      <c r="AY133" s="3" t="n">
        <v>3</v>
      </c>
      <c r="AZ133" s="3" t="n">
        <v>1</v>
      </c>
      <c r="BA133" s="5" t="n">
        <v>5</v>
      </c>
      <c r="BB133" s="3" t="n">
        <v>2</v>
      </c>
      <c r="BC133" s="3" t="n">
        <v>1</v>
      </c>
      <c r="BD133" s="3" t="n">
        <v>6</v>
      </c>
      <c r="BE133" s="3" t="n">
        <v>3</v>
      </c>
      <c r="BF133" s="3" t="n">
        <v>5</v>
      </c>
      <c r="BG133" s="3" t="n">
        <v>3</v>
      </c>
      <c r="BH133" s="3" t="n">
        <v>4</v>
      </c>
      <c r="BI133" s="3" t="n">
        <v>1</v>
      </c>
      <c r="BJ133" s="3" t="n">
        <v>1</v>
      </c>
      <c r="BK133" s="6" t="s">
        <v>492</v>
      </c>
    </row>
    <row r="134" customFormat="false" ht="15" hidden="false" customHeight="true" outlineLevel="0" collapsed="false">
      <c r="B134" s="2" t="s">
        <v>493</v>
      </c>
      <c r="C134" s="2" t="s">
        <v>494</v>
      </c>
      <c r="D134" s="2" t="s">
        <v>495</v>
      </c>
      <c r="E134" s="2" t="n">
        <v>165296</v>
      </c>
      <c r="F134" s="15" t="n">
        <v>43425</v>
      </c>
      <c r="G134" s="15" t="n">
        <v>43428</v>
      </c>
      <c r="H134" s="3" t="n">
        <v>3</v>
      </c>
      <c r="I134" s="3" t="n">
        <v>2</v>
      </c>
      <c r="J134" s="3" t="n">
        <v>54</v>
      </c>
      <c r="K134" s="3" t="n">
        <v>2</v>
      </c>
      <c r="L134" s="3" t="n">
        <v>2</v>
      </c>
      <c r="M134" s="3" t="n">
        <v>1</v>
      </c>
      <c r="N134" s="3" t="n">
        <v>1</v>
      </c>
      <c r="O134" s="3" t="n">
        <v>2</v>
      </c>
      <c r="P134" s="3" t="n">
        <v>2</v>
      </c>
      <c r="Q134" s="3" t="n">
        <v>2</v>
      </c>
      <c r="R134" s="3" t="n">
        <v>2</v>
      </c>
      <c r="S134" s="3" t="n">
        <v>1</v>
      </c>
      <c r="T134" s="4" t="n">
        <v>1</v>
      </c>
      <c r="U134" s="3" t="n">
        <v>1</v>
      </c>
      <c r="V134" s="3" t="n">
        <v>4.33</v>
      </c>
      <c r="W134" s="3" t="n">
        <v>1.03</v>
      </c>
      <c r="X134" s="3" t="n">
        <v>5.2</v>
      </c>
      <c r="Y134" s="3" t="n">
        <v>404</v>
      </c>
      <c r="AA134" s="3" t="n">
        <v>0.4</v>
      </c>
      <c r="AB134" s="3" t="n">
        <v>6</v>
      </c>
      <c r="AC134" s="3" t="n">
        <v>1</v>
      </c>
      <c r="AD134" s="3" t="n">
        <v>1</v>
      </c>
      <c r="AE134" s="3" t="n">
        <v>1</v>
      </c>
      <c r="AF134" s="3" t="n">
        <v>1</v>
      </c>
      <c r="AG134" s="3" t="n">
        <v>1</v>
      </c>
      <c r="AH134" s="3" t="n">
        <v>1</v>
      </c>
      <c r="AI134" s="3" t="n">
        <v>1</v>
      </c>
      <c r="AJ134" s="3" t="n">
        <v>1</v>
      </c>
      <c r="AK134" s="3" t="n">
        <v>2</v>
      </c>
      <c r="AL134" s="3" t="n">
        <v>2</v>
      </c>
      <c r="AM134" s="3" t="n">
        <v>2</v>
      </c>
      <c r="AN134" s="3" t="n">
        <v>2</v>
      </c>
      <c r="AO134" s="3" t="n">
        <v>2</v>
      </c>
      <c r="AP134" s="3" t="n">
        <v>1</v>
      </c>
      <c r="AQ134" s="3" t="n">
        <v>3</v>
      </c>
      <c r="AR134" s="3" t="n">
        <v>4</v>
      </c>
      <c r="AS134" s="3" t="n">
        <v>6</v>
      </c>
      <c r="AT134" s="3" t="n">
        <v>4</v>
      </c>
      <c r="AU134" s="3" t="n">
        <v>4</v>
      </c>
      <c r="AV134" s="3" t="n">
        <v>1</v>
      </c>
      <c r="AW134" s="3" t="n">
        <v>6</v>
      </c>
      <c r="AX134" s="3" t="n">
        <v>1</v>
      </c>
      <c r="AY134" s="3" t="n">
        <v>2</v>
      </c>
      <c r="AZ134" s="3" t="n">
        <v>1</v>
      </c>
      <c r="BA134" s="5" t="n">
        <v>5</v>
      </c>
      <c r="BB134" s="3" t="n">
        <v>2</v>
      </c>
      <c r="BC134" s="3" t="n">
        <v>1</v>
      </c>
      <c r="BD134" s="3" t="n">
        <v>6</v>
      </c>
      <c r="BE134" s="3" t="n">
        <v>3</v>
      </c>
      <c r="BF134" s="3" t="n">
        <v>5</v>
      </c>
      <c r="BG134" s="3" t="n">
        <v>3</v>
      </c>
      <c r="BH134" s="3" t="n">
        <v>4</v>
      </c>
      <c r="BI134" s="3" t="n">
        <v>1</v>
      </c>
      <c r="BJ134" s="3" t="n">
        <v>1</v>
      </c>
      <c r="BK134" s="6" t="s">
        <v>496</v>
      </c>
    </row>
    <row r="135" customFormat="false" ht="15" hidden="false" customHeight="true" outlineLevel="0" collapsed="false">
      <c r="B135" s="2" t="s">
        <v>497</v>
      </c>
      <c r="C135" s="2" t="s">
        <v>498</v>
      </c>
      <c r="D135" s="2" t="s">
        <v>458</v>
      </c>
      <c r="E135" s="2" t="n">
        <v>165602</v>
      </c>
      <c r="F135" s="15" t="n">
        <v>43425</v>
      </c>
      <c r="G135" s="15" t="n">
        <v>43430</v>
      </c>
      <c r="H135" s="3" t="n">
        <v>5</v>
      </c>
      <c r="I135" s="3" t="n">
        <v>2</v>
      </c>
      <c r="J135" s="3" t="n">
        <v>57</v>
      </c>
      <c r="K135" s="3" t="n">
        <v>1</v>
      </c>
      <c r="L135" s="3" t="n">
        <v>2</v>
      </c>
      <c r="M135" s="3" t="n">
        <v>2</v>
      </c>
      <c r="N135" s="3" t="n">
        <v>2</v>
      </c>
      <c r="O135" s="3" t="n">
        <v>2</v>
      </c>
      <c r="P135" s="3" t="n">
        <v>2</v>
      </c>
      <c r="Q135" s="3" t="n">
        <v>2</v>
      </c>
      <c r="R135" s="3" t="n">
        <v>2</v>
      </c>
      <c r="S135" s="3" t="n">
        <v>2</v>
      </c>
      <c r="T135" s="4" t="n">
        <v>1</v>
      </c>
      <c r="U135" s="3" t="n">
        <v>4</v>
      </c>
      <c r="V135" s="3" t="n">
        <v>6.54</v>
      </c>
      <c r="W135" s="3" t="n">
        <v>1.76</v>
      </c>
      <c r="X135" s="3" t="n">
        <v>4.8</v>
      </c>
      <c r="AA135" s="3" t="n">
        <v>0.43</v>
      </c>
      <c r="AB135" s="3" t="n">
        <v>5.8</v>
      </c>
      <c r="AC135" s="3" t="n">
        <v>1</v>
      </c>
      <c r="AD135" s="3" t="n">
        <v>2</v>
      </c>
      <c r="AE135" s="3" t="n">
        <v>1</v>
      </c>
      <c r="AF135" s="3" t="n">
        <v>1</v>
      </c>
      <c r="AG135" s="3" t="n">
        <v>2</v>
      </c>
      <c r="AH135" s="3" t="n">
        <v>2</v>
      </c>
      <c r="AI135" s="3" t="n">
        <v>1</v>
      </c>
      <c r="AJ135" s="3" t="n">
        <v>2</v>
      </c>
      <c r="AK135" s="3" t="n">
        <v>2</v>
      </c>
      <c r="AL135" s="3" t="n">
        <v>2</v>
      </c>
      <c r="AM135" s="3" t="n">
        <v>1</v>
      </c>
      <c r="AN135" s="3" t="n">
        <v>2</v>
      </c>
      <c r="AO135" s="3" t="n">
        <v>2</v>
      </c>
      <c r="AP135" s="3" t="n">
        <v>3</v>
      </c>
      <c r="AQ135" s="3" t="n">
        <v>4</v>
      </c>
      <c r="AR135" s="3" t="n">
        <v>4</v>
      </c>
      <c r="AS135" s="3" t="n">
        <v>6</v>
      </c>
      <c r="AT135" s="3" t="n">
        <v>4</v>
      </c>
      <c r="AU135" s="3" t="n">
        <v>4</v>
      </c>
      <c r="AV135" s="3" t="n">
        <v>6</v>
      </c>
      <c r="AW135" s="3" t="n">
        <v>6</v>
      </c>
      <c r="AX135" s="3" t="n">
        <v>3</v>
      </c>
      <c r="AY135" s="3" t="n">
        <v>3</v>
      </c>
      <c r="AZ135" s="3" t="n">
        <v>1</v>
      </c>
      <c r="BA135" s="5" t="n">
        <v>5</v>
      </c>
      <c r="BB135" s="3" t="n">
        <v>2</v>
      </c>
      <c r="BC135" s="3" t="n">
        <v>1</v>
      </c>
      <c r="BD135" s="3" t="n">
        <v>6</v>
      </c>
      <c r="BE135" s="3" t="n">
        <v>3</v>
      </c>
      <c r="BF135" s="3" t="n">
        <v>5</v>
      </c>
      <c r="BG135" s="3" t="n">
        <v>3</v>
      </c>
      <c r="BH135" s="3" t="n">
        <v>4</v>
      </c>
      <c r="BI135" s="3" t="n">
        <v>1</v>
      </c>
      <c r="BJ135" s="3" t="n">
        <v>1</v>
      </c>
      <c r="BK135" s="6" t="s">
        <v>499</v>
      </c>
    </row>
    <row r="136" customFormat="false" ht="15" hidden="false" customHeight="true" outlineLevel="0" collapsed="false">
      <c r="B136" s="2" t="s">
        <v>274</v>
      </c>
      <c r="C136" s="2" t="s">
        <v>127</v>
      </c>
      <c r="D136" s="2" t="s">
        <v>500</v>
      </c>
      <c r="E136" s="2" t="n">
        <v>165231</v>
      </c>
      <c r="F136" s="15" t="n">
        <v>43423</v>
      </c>
      <c r="G136" s="15" t="n">
        <v>43430</v>
      </c>
      <c r="H136" s="3" t="n">
        <v>7</v>
      </c>
      <c r="I136" s="3" t="n">
        <v>2</v>
      </c>
      <c r="J136" s="3" t="n">
        <v>84</v>
      </c>
      <c r="K136" s="3" t="n">
        <v>2</v>
      </c>
      <c r="L136" s="3" t="n">
        <v>1</v>
      </c>
      <c r="M136" s="3" t="n">
        <v>1</v>
      </c>
      <c r="N136" s="3" t="n">
        <v>2</v>
      </c>
      <c r="O136" s="3" t="n">
        <v>2</v>
      </c>
      <c r="P136" s="3" t="n">
        <v>2</v>
      </c>
      <c r="Q136" s="3" t="n">
        <v>2</v>
      </c>
      <c r="R136" s="3" t="n">
        <v>2</v>
      </c>
      <c r="S136" s="3" t="n">
        <v>2</v>
      </c>
      <c r="T136" s="4" t="n">
        <v>2</v>
      </c>
      <c r="U136" s="3" t="n">
        <v>2</v>
      </c>
      <c r="V136" s="3" t="n">
        <v>8.14</v>
      </c>
      <c r="W136" s="3" t="n">
        <v>1.11</v>
      </c>
      <c r="X136" s="3" t="n">
        <v>6.8</v>
      </c>
      <c r="Y136" s="3" t="n">
        <v>413</v>
      </c>
      <c r="AA136" s="3" t="n">
        <v>0.51</v>
      </c>
      <c r="AB136" s="3" t="n">
        <v>14.8</v>
      </c>
      <c r="AC136" s="3" t="n">
        <v>1</v>
      </c>
      <c r="AD136" s="3" t="n">
        <v>2</v>
      </c>
      <c r="AE136" s="3" t="n">
        <v>1</v>
      </c>
      <c r="AF136" s="3" t="n">
        <v>1</v>
      </c>
      <c r="AG136" s="3" t="n">
        <v>2</v>
      </c>
      <c r="AH136" s="3" t="n">
        <v>2</v>
      </c>
      <c r="AI136" s="3" t="n">
        <v>1</v>
      </c>
      <c r="AJ136" s="3" t="n">
        <v>1</v>
      </c>
      <c r="AK136" s="3" t="n">
        <v>2</v>
      </c>
      <c r="AL136" s="3" t="n">
        <v>2</v>
      </c>
      <c r="AM136" s="3" t="n">
        <v>2</v>
      </c>
      <c r="AN136" s="3" t="n">
        <v>2</v>
      </c>
      <c r="AO136" s="3" t="n">
        <v>2</v>
      </c>
      <c r="AP136" s="3" t="n">
        <v>3</v>
      </c>
      <c r="AQ136" s="3" t="n">
        <v>4</v>
      </c>
      <c r="AR136" s="3" t="n">
        <v>4</v>
      </c>
      <c r="AS136" s="3" t="n">
        <v>6</v>
      </c>
      <c r="AT136" s="3" t="n">
        <v>4</v>
      </c>
      <c r="AU136" s="3" t="n">
        <v>4</v>
      </c>
      <c r="AV136" s="3" t="n">
        <v>6</v>
      </c>
      <c r="AW136" s="3" t="n">
        <v>6</v>
      </c>
      <c r="AX136" s="3" t="n">
        <v>3</v>
      </c>
      <c r="AY136" s="3" t="n">
        <v>3</v>
      </c>
      <c r="AZ136" s="3" t="n">
        <v>1</v>
      </c>
      <c r="BA136" s="5" t="n">
        <v>1</v>
      </c>
      <c r="BB136" s="3" t="n">
        <v>1</v>
      </c>
      <c r="BC136" s="3" t="n">
        <v>1</v>
      </c>
      <c r="BD136" s="3" t="n">
        <v>4</v>
      </c>
      <c r="BE136" s="3" t="n">
        <v>1</v>
      </c>
      <c r="BF136" s="3" t="n">
        <v>2</v>
      </c>
      <c r="BG136" s="3" t="n">
        <v>1</v>
      </c>
      <c r="BH136" s="3" t="n">
        <v>4</v>
      </c>
      <c r="BI136" s="3" t="n">
        <v>1</v>
      </c>
      <c r="BJ136" s="3" t="n">
        <v>1</v>
      </c>
      <c r="BK136" s="6" t="s">
        <v>270</v>
      </c>
    </row>
    <row r="137" customFormat="false" ht="15" hidden="false" customHeight="true" outlineLevel="0" collapsed="false">
      <c r="B137" s="2" t="s">
        <v>501</v>
      </c>
      <c r="C137" s="2" t="s">
        <v>502</v>
      </c>
      <c r="D137" s="2" t="s">
        <v>414</v>
      </c>
      <c r="E137" s="2" t="n">
        <v>165653</v>
      </c>
      <c r="F137" s="15" t="n">
        <v>43427</v>
      </c>
      <c r="G137" s="15" t="n">
        <v>43431</v>
      </c>
      <c r="H137" s="3" t="n">
        <v>4</v>
      </c>
      <c r="I137" s="3" t="n">
        <v>1</v>
      </c>
      <c r="J137" s="3" t="n">
        <v>56</v>
      </c>
      <c r="K137" s="3" t="n">
        <v>2</v>
      </c>
      <c r="L137" s="3" t="n">
        <v>2</v>
      </c>
      <c r="M137" s="3" t="n">
        <v>1</v>
      </c>
      <c r="N137" s="3" t="n">
        <v>2</v>
      </c>
      <c r="O137" s="3" t="n">
        <v>2</v>
      </c>
      <c r="P137" s="3" t="n">
        <v>2</v>
      </c>
      <c r="Q137" s="3" t="n">
        <v>1</v>
      </c>
      <c r="R137" s="3" t="n">
        <v>2</v>
      </c>
      <c r="S137" s="3" t="n">
        <v>2</v>
      </c>
      <c r="T137" s="4" t="n">
        <v>12</v>
      </c>
      <c r="U137" s="3" t="n">
        <v>1</v>
      </c>
      <c r="V137" s="3" t="n">
        <v>7.83</v>
      </c>
      <c r="W137" s="3" t="n">
        <v>8.08</v>
      </c>
      <c r="X137" s="3" t="n">
        <v>8.3</v>
      </c>
      <c r="Y137" s="3" t="n">
        <v>535</v>
      </c>
      <c r="AA137" s="3" t="n">
        <v>0.41</v>
      </c>
      <c r="AB137" s="3" t="n">
        <v>12.4</v>
      </c>
      <c r="AC137" s="3" t="n">
        <v>1</v>
      </c>
      <c r="AD137" s="3" t="n">
        <v>2</v>
      </c>
      <c r="AE137" s="3" t="n">
        <v>2</v>
      </c>
      <c r="AF137" s="3" t="n">
        <v>1</v>
      </c>
      <c r="AG137" s="3" t="n">
        <v>1</v>
      </c>
      <c r="AH137" s="3" t="n">
        <v>2</v>
      </c>
      <c r="AI137" s="3" t="n">
        <v>2</v>
      </c>
      <c r="AJ137" s="3" t="n">
        <v>1</v>
      </c>
      <c r="AK137" s="3" t="n">
        <v>2</v>
      </c>
      <c r="AL137" s="3" t="n">
        <v>2</v>
      </c>
      <c r="AM137" s="3" t="n">
        <v>1</v>
      </c>
      <c r="AN137" s="3" t="n">
        <v>2</v>
      </c>
      <c r="AO137" s="3" t="n">
        <v>2</v>
      </c>
      <c r="AP137" s="3" t="n">
        <v>3</v>
      </c>
      <c r="AQ137" s="3" t="n">
        <v>4</v>
      </c>
      <c r="AR137" s="3" t="n">
        <v>4</v>
      </c>
      <c r="AS137" s="3" t="n">
        <v>6</v>
      </c>
      <c r="AT137" s="3" t="n">
        <v>4</v>
      </c>
      <c r="AU137" s="3" t="n">
        <v>4</v>
      </c>
      <c r="AV137" s="3" t="n">
        <v>6</v>
      </c>
      <c r="AW137" s="3" t="n">
        <v>6</v>
      </c>
      <c r="AX137" s="3" t="n">
        <v>3</v>
      </c>
      <c r="AY137" s="3" t="n">
        <v>3</v>
      </c>
      <c r="AZ137" s="3" t="n">
        <v>1</v>
      </c>
      <c r="BA137" s="5" t="n">
        <v>3</v>
      </c>
      <c r="BB137" s="3" t="n">
        <v>2</v>
      </c>
      <c r="BC137" s="3" t="n">
        <v>1</v>
      </c>
      <c r="BD137" s="3" t="n">
        <v>6</v>
      </c>
      <c r="BE137" s="3" t="n">
        <v>3</v>
      </c>
      <c r="BF137" s="3" t="n">
        <v>5</v>
      </c>
      <c r="BG137" s="3" t="n">
        <v>3</v>
      </c>
      <c r="BH137" s="3" t="n">
        <v>4</v>
      </c>
      <c r="BI137" s="3" t="n">
        <v>1</v>
      </c>
      <c r="BJ137" s="3" t="n">
        <v>1</v>
      </c>
      <c r="BK137" s="6" t="s">
        <v>503</v>
      </c>
    </row>
    <row r="138" customFormat="false" ht="15" hidden="false" customHeight="true" outlineLevel="0" collapsed="false">
      <c r="B138" s="2" t="s">
        <v>228</v>
      </c>
      <c r="C138" s="2" t="s">
        <v>229</v>
      </c>
      <c r="D138" s="2" t="s">
        <v>128</v>
      </c>
      <c r="E138" s="2" t="n">
        <v>161446</v>
      </c>
      <c r="F138" s="15" t="n">
        <v>43430</v>
      </c>
      <c r="G138" s="15" t="n">
        <v>43433</v>
      </c>
      <c r="H138" s="3" t="n">
        <v>3</v>
      </c>
      <c r="I138" s="3" t="n">
        <v>2</v>
      </c>
      <c r="J138" s="3" t="n">
        <v>68</v>
      </c>
      <c r="K138" s="3" t="n">
        <v>1</v>
      </c>
      <c r="L138" s="3" t="n">
        <v>1</v>
      </c>
      <c r="M138" s="3" t="n">
        <v>1</v>
      </c>
      <c r="N138" s="3" t="n">
        <v>1</v>
      </c>
      <c r="O138" s="3" t="n">
        <v>2</v>
      </c>
      <c r="P138" s="3" t="n">
        <v>2</v>
      </c>
      <c r="Q138" s="3" t="n">
        <v>2</v>
      </c>
      <c r="R138" s="3" t="n">
        <v>2</v>
      </c>
      <c r="S138" s="3" t="n">
        <v>2</v>
      </c>
      <c r="T138" s="4" t="n">
        <v>5</v>
      </c>
      <c r="U138" s="3" t="n">
        <v>1</v>
      </c>
      <c r="V138" s="3" t="n">
        <v>2.26</v>
      </c>
      <c r="W138" s="3" t="n">
        <v>1.09</v>
      </c>
      <c r="X138" s="3" t="n">
        <v>4.36</v>
      </c>
      <c r="Y138" s="3" t="n">
        <v>341</v>
      </c>
      <c r="AA138" s="3" t="n">
        <v>0.36</v>
      </c>
      <c r="AB138" s="3" t="n">
        <v>9</v>
      </c>
      <c r="AC138" s="3" t="n">
        <v>2</v>
      </c>
      <c r="AD138" s="3" t="n">
        <v>1</v>
      </c>
      <c r="AE138" s="3" t="n">
        <v>1</v>
      </c>
      <c r="AF138" s="3" t="n">
        <v>1</v>
      </c>
      <c r="AG138" s="3" t="n">
        <v>2</v>
      </c>
      <c r="AH138" s="3" t="n">
        <v>2</v>
      </c>
      <c r="AI138" s="3" t="n">
        <v>1</v>
      </c>
      <c r="AJ138" s="3" t="n">
        <v>2</v>
      </c>
      <c r="AK138" s="3" t="n">
        <v>2</v>
      </c>
      <c r="AL138" s="3" t="n">
        <v>2</v>
      </c>
      <c r="AM138" s="3" t="n">
        <v>2</v>
      </c>
      <c r="AN138" s="3" t="n">
        <v>2</v>
      </c>
      <c r="AO138" s="3" t="n">
        <v>2</v>
      </c>
      <c r="AP138" s="3" t="n">
        <v>4</v>
      </c>
      <c r="AQ138" s="3" t="n">
        <v>2</v>
      </c>
      <c r="AR138" s="3" t="n">
        <v>9</v>
      </c>
      <c r="AS138" s="3" t="n">
        <v>2</v>
      </c>
      <c r="AT138" s="3" t="n">
        <v>5</v>
      </c>
      <c r="AU138" s="3" t="n">
        <v>1</v>
      </c>
      <c r="AV138" s="3" t="n">
        <v>1</v>
      </c>
      <c r="AW138" s="3" t="n">
        <v>1</v>
      </c>
      <c r="AX138" s="3" t="n">
        <v>2</v>
      </c>
      <c r="AY138" s="3" t="n">
        <v>2</v>
      </c>
      <c r="AZ138" s="3" t="n">
        <v>1</v>
      </c>
      <c r="BA138" s="5" t="n">
        <v>3</v>
      </c>
      <c r="BB138" s="3" t="n">
        <v>2</v>
      </c>
      <c r="BC138" s="3" t="n">
        <v>1</v>
      </c>
      <c r="BD138" s="3" t="n">
        <v>6</v>
      </c>
      <c r="BE138" s="3" t="n">
        <v>3</v>
      </c>
      <c r="BF138" s="3" t="n">
        <v>5</v>
      </c>
      <c r="BG138" s="3" t="n">
        <v>3</v>
      </c>
      <c r="BH138" s="3" t="n">
        <v>4</v>
      </c>
      <c r="BI138" s="3" t="n">
        <v>1</v>
      </c>
      <c r="BJ138" s="3" t="n">
        <v>1</v>
      </c>
      <c r="BK138" s="16" t="s">
        <v>504</v>
      </c>
    </row>
    <row r="139" customFormat="false" ht="15" hidden="false" customHeight="true" outlineLevel="0" collapsed="false">
      <c r="B139" s="2" t="s">
        <v>505</v>
      </c>
      <c r="C139" s="2" t="s">
        <v>506</v>
      </c>
      <c r="D139" s="2" t="s">
        <v>210</v>
      </c>
      <c r="E139" s="2" t="n">
        <v>166030</v>
      </c>
      <c r="F139" s="15" t="n">
        <v>43430</v>
      </c>
      <c r="G139" s="15" t="n">
        <v>43434</v>
      </c>
      <c r="H139" s="3" t="n">
        <v>4</v>
      </c>
      <c r="I139" s="3" t="n">
        <v>2</v>
      </c>
      <c r="J139" s="3" t="n">
        <v>76</v>
      </c>
      <c r="K139" s="3" t="n">
        <v>1</v>
      </c>
      <c r="L139" s="3" t="n">
        <v>1</v>
      </c>
      <c r="M139" s="3" t="n">
        <v>1</v>
      </c>
      <c r="N139" s="3" t="n">
        <v>2</v>
      </c>
      <c r="O139" s="3" t="n">
        <v>2</v>
      </c>
      <c r="P139" s="3" t="n">
        <v>2</v>
      </c>
      <c r="Q139" s="3" t="n">
        <v>2</v>
      </c>
      <c r="R139" s="3" t="n">
        <v>2</v>
      </c>
      <c r="S139" s="3" t="n">
        <v>2</v>
      </c>
      <c r="T139" s="4" t="n">
        <v>1</v>
      </c>
      <c r="U139" s="3" t="n">
        <v>4</v>
      </c>
      <c r="V139" s="3" t="n">
        <v>4.73</v>
      </c>
      <c r="W139" s="3" t="n">
        <v>1.23</v>
      </c>
      <c r="X139" s="3" t="n">
        <v>3.83</v>
      </c>
      <c r="Y139" s="3" t="n">
        <v>345</v>
      </c>
      <c r="AA139" s="3" t="n">
        <v>0.45</v>
      </c>
      <c r="AB139" s="3" t="n">
        <v>9</v>
      </c>
      <c r="AC139" s="3" t="n">
        <v>1</v>
      </c>
      <c r="AD139" s="3" t="n">
        <v>2</v>
      </c>
      <c r="AE139" s="3" t="n">
        <v>1</v>
      </c>
      <c r="AF139" s="3" t="n">
        <v>2</v>
      </c>
      <c r="AG139" s="3" t="n">
        <v>2</v>
      </c>
      <c r="AH139" s="3" t="n">
        <v>2</v>
      </c>
      <c r="AI139" s="3" t="n">
        <v>1</v>
      </c>
      <c r="AJ139" s="3" t="n">
        <v>1</v>
      </c>
      <c r="AK139" s="3" t="n">
        <v>2</v>
      </c>
      <c r="AL139" s="3" t="n">
        <v>2</v>
      </c>
      <c r="AM139" s="3" t="n">
        <v>1</v>
      </c>
      <c r="AN139" s="3" t="n">
        <v>2</v>
      </c>
      <c r="AO139" s="3" t="n">
        <v>2</v>
      </c>
      <c r="AP139" s="3" t="n">
        <v>3</v>
      </c>
      <c r="AQ139" s="3" t="n">
        <v>4</v>
      </c>
      <c r="AR139" s="3" t="n">
        <v>4</v>
      </c>
      <c r="AS139" s="3" t="n">
        <v>6</v>
      </c>
      <c r="AT139" s="3" t="n">
        <v>4</v>
      </c>
      <c r="AU139" s="3" t="n">
        <v>4</v>
      </c>
      <c r="AV139" s="3" t="n">
        <v>6</v>
      </c>
      <c r="AW139" s="3" t="n">
        <v>6</v>
      </c>
      <c r="AX139" s="3" t="n">
        <v>3</v>
      </c>
      <c r="AY139" s="3" t="n">
        <v>3</v>
      </c>
      <c r="AZ139" s="3" t="n">
        <v>1</v>
      </c>
      <c r="BA139" s="5" t="n">
        <v>5</v>
      </c>
      <c r="BB139" s="3" t="n">
        <v>2</v>
      </c>
      <c r="BC139" s="3" t="n">
        <v>1</v>
      </c>
      <c r="BD139" s="3" t="n">
        <v>6</v>
      </c>
      <c r="BE139" s="3" t="n">
        <v>3</v>
      </c>
      <c r="BF139" s="3" t="n">
        <v>5</v>
      </c>
      <c r="BG139" s="3" t="n">
        <v>3</v>
      </c>
      <c r="BH139" s="3" t="n">
        <v>4</v>
      </c>
      <c r="BI139" s="3" t="n">
        <v>1</v>
      </c>
      <c r="BJ139" s="3" t="n">
        <v>1</v>
      </c>
      <c r="BK139" s="6" t="s">
        <v>507</v>
      </c>
    </row>
    <row r="140" customFormat="false" ht="15" hidden="false" customHeight="true" outlineLevel="0" collapsed="false">
      <c r="B140" s="2" t="s">
        <v>508</v>
      </c>
      <c r="C140" s="2" t="s">
        <v>509</v>
      </c>
      <c r="D140" s="2" t="s">
        <v>510</v>
      </c>
      <c r="E140" s="2" t="n">
        <v>165650</v>
      </c>
      <c r="F140" s="15" t="n">
        <v>43427</v>
      </c>
      <c r="G140" s="15" t="n">
        <v>43434</v>
      </c>
      <c r="H140" s="3" t="n">
        <v>7</v>
      </c>
      <c r="I140" s="3" t="n">
        <v>2</v>
      </c>
      <c r="J140" s="3" t="n">
        <v>59</v>
      </c>
      <c r="K140" s="3" t="n">
        <v>1</v>
      </c>
      <c r="L140" s="3" t="n">
        <v>1</v>
      </c>
      <c r="M140" s="3" t="n">
        <v>2</v>
      </c>
      <c r="N140" s="3" t="n">
        <v>2</v>
      </c>
      <c r="O140" s="3" t="n">
        <v>2</v>
      </c>
      <c r="P140" s="3" t="n">
        <v>2</v>
      </c>
      <c r="Q140" s="3" t="n">
        <v>2</v>
      </c>
      <c r="R140" s="3" t="n">
        <v>2</v>
      </c>
      <c r="S140" s="3" t="n">
        <v>2</v>
      </c>
      <c r="T140" s="4" t="n">
        <v>2</v>
      </c>
      <c r="U140" s="3" t="n">
        <v>2</v>
      </c>
      <c r="V140" s="3" t="n">
        <v>4.27</v>
      </c>
      <c r="W140" s="3" t="n">
        <v>0.35</v>
      </c>
      <c r="X140" s="3" t="n">
        <v>5.5</v>
      </c>
      <c r="Y140" s="3" t="n">
        <v>351</v>
      </c>
      <c r="AA140" s="3" t="n">
        <v>0.39</v>
      </c>
      <c r="AB140" s="3" t="n">
        <v>8.2</v>
      </c>
      <c r="AC140" s="3" t="n">
        <v>1</v>
      </c>
      <c r="AD140" s="3" t="n">
        <v>2</v>
      </c>
      <c r="AE140" s="3" t="n">
        <v>1</v>
      </c>
      <c r="AF140" s="3" t="n">
        <v>1</v>
      </c>
      <c r="AG140" s="3" t="n">
        <v>2</v>
      </c>
      <c r="AH140" s="3" t="n">
        <v>2</v>
      </c>
      <c r="AI140" s="3" t="n">
        <v>1</v>
      </c>
      <c r="AJ140" s="3" t="n">
        <v>1</v>
      </c>
      <c r="AK140" s="3" t="n">
        <v>2</v>
      </c>
      <c r="AL140" s="3" t="n">
        <v>2</v>
      </c>
      <c r="AM140" s="3" t="n">
        <v>2</v>
      </c>
      <c r="AN140" s="3" t="n">
        <v>2</v>
      </c>
      <c r="AO140" s="3" t="n">
        <v>2</v>
      </c>
      <c r="AP140" s="3" t="n">
        <v>3</v>
      </c>
      <c r="AQ140" s="3" t="n">
        <v>4</v>
      </c>
      <c r="AR140" s="3" t="n">
        <v>4</v>
      </c>
      <c r="AS140" s="3" t="n">
        <v>6</v>
      </c>
      <c r="AT140" s="3" t="n">
        <v>4</v>
      </c>
      <c r="AU140" s="3" t="n">
        <v>4</v>
      </c>
      <c r="AV140" s="3" t="n">
        <v>6</v>
      </c>
      <c r="AW140" s="3" t="n">
        <v>6</v>
      </c>
      <c r="AX140" s="3" t="n">
        <v>3</v>
      </c>
      <c r="AY140" s="3" t="n">
        <v>3</v>
      </c>
      <c r="AZ140" s="3" t="n">
        <v>1</v>
      </c>
      <c r="BA140" s="5" t="n">
        <v>1</v>
      </c>
      <c r="BB140" s="3" t="n">
        <v>1</v>
      </c>
      <c r="BC140" s="3" t="n">
        <v>1</v>
      </c>
      <c r="BD140" s="3" t="n">
        <v>2</v>
      </c>
      <c r="BE140" s="3" t="n">
        <v>1</v>
      </c>
      <c r="BF140" s="3" t="n">
        <v>1</v>
      </c>
      <c r="BG140" s="3" t="n">
        <v>1</v>
      </c>
      <c r="BH140" s="3" t="n">
        <v>4</v>
      </c>
      <c r="BI140" s="3" t="n">
        <v>1</v>
      </c>
      <c r="BJ140" s="3" t="n">
        <v>1</v>
      </c>
      <c r="BK140" s="6" t="s">
        <v>511</v>
      </c>
    </row>
    <row r="141" customFormat="false" ht="15" hidden="false" customHeight="true" outlineLevel="0" collapsed="false">
      <c r="B141" s="2" t="s">
        <v>512</v>
      </c>
      <c r="C141" s="2" t="s">
        <v>513</v>
      </c>
      <c r="D141" s="2" t="s">
        <v>386</v>
      </c>
      <c r="E141" s="2" t="n">
        <v>164400</v>
      </c>
      <c r="F141" s="15" t="n">
        <v>43432</v>
      </c>
      <c r="G141" s="15" t="n">
        <v>43437</v>
      </c>
      <c r="H141" s="3" t="n">
        <v>5</v>
      </c>
      <c r="I141" s="3" t="n">
        <v>2</v>
      </c>
      <c r="J141" s="3" t="n">
        <v>60</v>
      </c>
      <c r="K141" s="3" t="n">
        <v>1</v>
      </c>
      <c r="L141" s="3" t="n">
        <v>2</v>
      </c>
      <c r="M141" s="3" t="n">
        <v>1</v>
      </c>
      <c r="N141" s="3" t="n">
        <v>2</v>
      </c>
      <c r="O141" s="3" t="n">
        <v>2</v>
      </c>
      <c r="P141" s="3" t="n">
        <v>2</v>
      </c>
      <c r="Q141" s="3" t="n">
        <v>2</v>
      </c>
      <c r="R141" s="3" t="n">
        <v>2</v>
      </c>
      <c r="S141" s="3" t="n">
        <v>2</v>
      </c>
      <c r="T141" s="4" t="n">
        <v>3</v>
      </c>
      <c r="U141" s="3" t="n">
        <v>4</v>
      </c>
      <c r="V141" s="3" t="n">
        <v>3.5</v>
      </c>
      <c r="W141" s="3" t="n">
        <v>1.31</v>
      </c>
      <c r="X141" s="3" t="n">
        <v>6.22</v>
      </c>
      <c r="Y141" s="3" t="n">
        <v>616</v>
      </c>
      <c r="AA141" s="3" t="n">
        <v>0.47</v>
      </c>
      <c r="AB141" s="3" t="n">
        <v>7</v>
      </c>
      <c r="AC141" s="3" t="n">
        <v>2</v>
      </c>
      <c r="AD141" s="3" t="n">
        <v>2</v>
      </c>
      <c r="AE141" s="3" t="n">
        <v>1</v>
      </c>
      <c r="AF141" s="3" t="n">
        <v>2</v>
      </c>
      <c r="AG141" s="3" t="n">
        <v>1</v>
      </c>
      <c r="AH141" s="3" t="n">
        <v>2</v>
      </c>
      <c r="AI141" s="3" t="n">
        <v>2</v>
      </c>
      <c r="AJ141" s="3" t="n">
        <v>2</v>
      </c>
      <c r="AK141" s="3" t="n">
        <v>2</v>
      </c>
      <c r="AL141" s="3" t="n">
        <v>1</v>
      </c>
      <c r="AM141" s="3" t="n">
        <v>1</v>
      </c>
      <c r="AN141" s="3" t="n">
        <v>2</v>
      </c>
      <c r="AO141" s="3" t="n">
        <v>2</v>
      </c>
      <c r="AP141" s="3" t="n">
        <v>3</v>
      </c>
      <c r="AQ141" s="3" t="n">
        <v>4</v>
      </c>
      <c r="AR141" s="3" t="n">
        <v>4</v>
      </c>
      <c r="AS141" s="3" t="n">
        <v>6</v>
      </c>
      <c r="AT141" s="3" t="n">
        <v>4</v>
      </c>
      <c r="AU141" s="3" t="n">
        <v>4</v>
      </c>
      <c r="AV141" s="3" t="n">
        <v>6</v>
      </c>
      <c r="AW141" s="3" t="n">
        <v>6</v>
      </c>
      <c r="AX141" s="3" t="n">
        <v>3</v>
      </c>
      <c r="AY141" s="3" t="n">
        <v>3</v>
      </c>
      <c r="AZ141" s="3" t="n">
        <v>1</v>
      </c>
      <c r="BA141" s="5" t="n">
        <v>11</v>
      </c>
      <c r="BB141" s="3" t="n">
        <v>2</v>
      </c>
      <c r="BC141" s="3" t="n">
        <v>1</v>
      </c>
      <c r="BD141" s="3" t="n">
        <v>6</v>
      </c>
      <c r="BE141" s="3" t="n">
        <v>3</v>
      </c>
      <c r="BF141" s="3" t="n">
        <v>5</v>
      </c>
      <c r="BG141" s="3" t="n">
        <v>3</v>
      </c>
      <c r="BH141" s="3" t="n">
        <v>4</v>
      </c>
      <c r="BI141" s="3" t="n">
        <v>1</v>
      </c>
      <c r="BJ141" s="3" t="n">
        <v>1</v>
      </c>
      <c r="BK141" s="6" t="s">
        <v>514</v>
      </c>
    </row>
    <row r="142" customFormat="false" ht="15" hidden="false" customHeight="true" outlineLevel="0" collapsed="false">
      <c r="B142" s="2" t="s">
        <v>515</v>
      </c>
      <c r="C142" s="2" t="s">
        <v>516</v>
      </c>
      <c r="E142" s="2" t="n">
        <v>166058</v>
      </c>
      <c r="F142" s="15" t="n">
        <v>43431</v>
      </c>
      <c r="G142" s="15" t="n">
        <v>43437</v>
      </c>
      <c r="H142" s="3" t="n">
        <v>6</v>
      </c>
      <c r="I142" s="3" t="n">
        <v>2</v>
      </c>
      <c r="J142" s="3" t="n">
        <v>27</v>
      </c>
      <c r="K142" s="3" t="n">
        <v>2</v>
      </c>
      <c r="L142" s="3" t="n">
        <v>2</v>
      </c>
      <c r="M142" s="3" t="n">
        <v>1</v>
      </c>
      <c r="N142" s="3" t="n">
        <v>2</v>
      </c>
      <c r="O142" s="3" t="n">
        <v>2</v>
      </c>
      <c r="P142" s="3" t="n">
        <v>2</v>
      </c>
      <c r="Q142" s="3" t="n">
        <v>2</v>
      </c>
      <c r="R142" s="3" t="n">
        <v>2</v>
      </c>
      <c r="S142" s="3" t="n">
        <v>1</v>
      </c>
      <c r="T142" s="4" t="n">
        <v>1</v>
      </c>
      <c r="U142" s="3" t="n">
        <v>2</v>
      </c>
      <c r="V142" s="3" t="n">
        <v>5</v>
      </c>
      <c r="W142" s="3" t="n">
        <v>1.08</v>
      </c>
      <c r="X142" s="3" t="n">
        <v>6.8</v>
      </c>
      <c r="Y142" s="3" t="n">
        <v>607</v>
      </c>
      <c r="AA142" s="3" t="n">
        <v>0.46</v>
      </c>
      <c r="AB142" s="3" t="n">
        <v>8.2</v>
      </c>
      <c r="AC142" s="3" t="n">
        <v>1</v>
      </c>
      <c r="AD142" s="3" t="n">
        <v>2</v>
      </c>
      <c r="AE142" s="3" t="n">
        <v>1</v>
      </c>
      <c r="AF142" s="3" t="n">
        <v>1</v>
      </c>
      <c r="AG142" s="3" t="n">
        <v>2</v>
      </c>
      <c r="AH142" s="3" t="n">
        <v>2</v>
      </c>
      <c r="AI142" s="3" t="n">
        <v>1</v>
      </c>
      <c r="AJ142" s="3" t="n">
        <v>1</v>
      </c>
      <c r="AK142" s="3" t="n">
        <v>2</v>
      </c>
      <c r="AL142" s="3" t="n">
        <v>2</v>
      </c>
      <c r="AM142" s="3" t="n">
        <v>1</v>
      </c>
      <c r="AN142" s="3" t="n">
        <v>2</v>
      </c>
      <c r="AO142" s="3" t="n">
        <v>2</v>
      </c>
      <c r="AP142" s="3" t="n">
        <v>3</v>
      </c>
      <c r="AQ142" s="3" t="n">
        <v>4</v>
      </c>
      <c r="AR142" s="3" t="n">
        <v>4</v>
      </c>
      <c r="AS142" s="3" t="n">
        <v>6</v>
      </c>
      <c r="AT142" s="3" t="n">
        <v>4</v>
      </c>
      <c r="AU142" s="3" t="n">
        <v>4</v>
      </c>
      <c r="AV142" s="3" t="n">
        <v>6</v>
      </c>
      <c r="AW142" s="3" t="n">
        <v>6</v>
      </c>
      <c r="AX142" s="3" t="n">
        <v>3</v>
      </c>
      <c r="AY142" s="3" t="n">
        <v>3</v>
      </c>
      <c r="AZ142" s="3" t="n">
        <v>1</v>
      </c>
      <c r="BA142" s="5" t="n">
        <v>5</v>
      </c>
      <c r="BB142" s="3" t="n">
        <v>2</v>
      </c>
      <c r="BC142" s="3" t="n">
        <v>1</v>
      </c>
      <c r="BD142" s="3" t="n">
        <v>6</v>
      </c>
      <c r="BE142" s="3" t="n">
        <v>3</v>
      </c>
      <c r="BF142" s="3" t="n">
        <v>5</v>
      </c>
      <c r="BG142" s="3" t="n">
        <v>3</v>
      </c>
      <c r="BH142" s="3" t="n">
        <v>4</v>
      </c>
      <c r="BI142" s="3" t="n">
        <v>1</v>
      </c>
      <c r="BJ142" s="3" t="n">
        <v>1</v>
      </c>
      <c r="BK142" s="6" t="s">
        <v>517</v>
      </c>
    </row>
    <row r="143" customFormat="false" ht="15" hidden="false" customHeight="true" outlineLevel="0" collapsed="false">
      <c r="B143" s="2" t="s">
        <v>518</v>
      </c>
      <c r="C143" s="2" t="s">
        <v>519</v>
      </c>
      <c r="D143" s="2" t="s">
        <v>221</v>
      </c>
      <c r="E143" s="2" t="n">
        <v>166032</v>
      </c>
      <c r="F143" s="15" t="n">
        <v>43430</v>
      </c>
      <c r="G143" s="15" t="n">
        <v>43437</v>
      </c>
      <c r="H143" s="3" t="n">
        <v>7</v>
      </c>
      <c r="I143" s="3" t="n">
        <v>2</v>
      </c>
      <c r="J143" s="3" t="n">
        <v>52</v>
      </c>
      <c r="K143" s="3" t="n">
        <v>2</v>
      </c>
      <c r="L143" s="3" t="n">
        <v>1</v>
      </c>
      <c r="M143" s="3" t="n">
        <v>1</v>
      </c>
      <c r="N143" s="3" t="n">
        <v>2</v>
      </c>
      <c r="O143" s="3" t="n">
        <v>2</v>
      </c>
      <c r="P143" s="3" t="n">
        <v>2</v>
      </c>
      <c r="Q143" s="3" t="n">
        <v>2</v>
      </c>
      <c r="R143" s="3" t="n">
        <v>2</v>
      </c>
      <c r="S143" s="3" t="n">
        <v>1</v>
      </c>
      <c r="T143" s="4" t="n">
        <v>1</v>
      </c>
      <c r="U143" s="3" t="n">
        <v>1</v>
      </c>
      <c r="V143" s="3" t="n">
        <v>5.1</v>
      </c>
      <c r="W143" s="3" t="n">
        <v>1.28</v>
      </c>
      <c r="X143" s="3" t="n">
        <v>5.6</v>
      </c>
      <c r="Y143" s="3" t="n">
        <v>589</v>
      </c>
      <c r="AA143" s="3" t="n">
        <v>0.4</v>
      </c>
      <c r="AB143" s="3" t="n">
        <v>8</v>
      </c>
      <c r="AC143" s="3" t="n">
        <v>1</v>
      </c>
      <c r="AD143" s="3" t="n">
        <v>2</v>
      </c>
      <c r="AE143" s="3" t="n">
        <v>1</v>
      </c>
      <c r="AF143" s="3" t="n">
        <v>1</v>
      </c>
      <c r="AG143" s="3" t="n">
        <v>2</v>
      </c>
      <c r="AH143" s="3" t="n">
        <v>1</v>
      </c>
      <c r="AI143" s="3" t="n">
        <v>1</v>
      </c>
      <c r="AJ143" s="3" t="n">
        <v>1</v>
      </c>
      <c r="AK143" s="3" t="n">
        <v>2</v>
      </c>
      <c r="AL143" s="3" t="n">
        <v>2</v>
      </c>
      <c r="AM143" s="3" t="n">
        <v>2</v>
      </c>
      <c r="AN143" s="3" t="n">
        <v>2</v>
      </c>
      <c r="AO143" s="3" t="n">
        <v>2</v>
      </c>
      <c r="AP143" s="3" t="n">
        <v>3</v>
      </c>
      <c r="AQ143" s="3" t="n">
        <v>4</v>
      </c>
      <c r="AR143" s="3" t="n">
        <v>4</v>
      </c>
      <c r="AS143" s="3" t="n">
        <v>6</v>
      </c>
      <c r="AT143" s="3" t="n">
        <v>4</v>
      </c>
      <c r="AU143" s="3" t="n">
        <v>4</v>
      </c>
      <c r="AV143" s="3" t="n">
        <v>6</v>
      </c>
      <c r="AW143" s="3" t="n">
        <v>6</v>
      </c>
      <c r="AX143" s="3" t="n">
        <v>3</v>
      </c>
      <c r="AY143" s="3" t="n">
        <v>3</v>
      </c>
      <c r="AZ143" s="3" t="n">
        <v>1</v>
      </c>
      <c r="BA143" s="5" t="n">
        <v>5</v>
      </c>
      <c r="BB143" s="3" t="n">
        <v>2</v>
      </c>
      <c r="BC143" s="3" t="n">
        <v>1</v>
      </c>
      <c r="BD143" s="3" t="n">
        <v>6</v>
      </c>
      <c r="BE143" s="3" t="n">
        <v>3</v>
      </c>
      <c r="BF143" s="3" t="n">
        <v>5</v>
      </c>
      <c r="BG143" s="3" t="n">
        <v>3</v>
      </c>
      <c r="BH143" s="3" t="n">
        <v>4</v>
      </c>
      <c r="BI143" s="3" t="n">
        <v>1</v>
      </c>
      <c r="BJ143" s="3" t="n">
        <v>1</v>
      </c>
      <c r="BK143" s="6" t="s">
        <v>520</v>
      </c>
    </row>
    <row r="144" customFormat="false" ht="15" hidden="false" customHeight="true" outlineLevel="0" collapsed="false">
      <c r="B144" s="2" t="s">
        <v>339</v>
      </c>
      <c r="C144" s="2" t="s">
        <v>521</v>
      </c>
      <c r="D144" s="2" t="s">
        <v>522</v>
      </c>
      <c r="E144" s="2" t="n">
        <v>163362</v>
      </c>
      <c r="F144" s="15" t="n">
        <v>43429</v>
      </c>
      <c r="G144" s="15" t="n">
        <v>43435</v>
      </c>
      <c r="H144" s="3" t="n">
        <v>6</v>
      </c>
      <c r="I144" s="3" t="n">
        <v>1</v>
      </c>
      <c r="J144" s="3" t="n">
        <v>71</v>
      </c>
      <c r="K144" s="3" t="n">
        <v>1</v>
      </c>
      <c r="L144" s="3" t="n">
        <v>2</v>
      </c>
      <c r="M144" s="3" t="n">
        <v>1</v>
      </c>
      <c r="N144" s="3" t="n">
        <v>2</v>
      </c>
      <c r="O144" s="3" t="n">
        <v>2</v>
      </c>
      <c r="P144" s="3" t="n">
        <v>2</v>
      </c>
      <c r="Q144" s="3" t="n">
        <v>1</v>
      </c>
      <c r="R144" s="3" t="n">
        <v>1</v>
      </c>
      <c r="S144" s="3" t="n">
        <v>2</v>
      </c>
      <c r="T144" s="4" t="n">
        <v>1</v>
      </c>
      <c r="U144" s="3" t="n">
        <v>1</v>
      </c>
      <c r="V144" s="3" t="n">
        <v>6.58</v>
      </c>
      <c r="W144" s="3" t="n">
        <v>1.29</v>
      </c>
      <c r="X144" s="3" t="n">
        <v>4.6</v>
      </c>
      <c r="Y144" s="3" t="n">
        <v>488</v>
      </c>
      <c r="AA144" s="3" t="n">
        <v>0.33</v>
      </c>
      <c r="AB144" s="3" t="n">
        <v>6.3</v>
      </c>
      <c r="AC144" s="3" t="n">
        <v>1</v>
      </c>
      <c r="AD144" s="3" t="n">
        <v>2</v>
      </c>
      <c r="AE144" s="3" t="n">
        <v>1</v>
      </c>
      <c r="AF144" s="3" t="n">
        <v>1</v>
      </c>
      <c r="AG144" s="3" t="n">
        <v>2</v>
      </c>
      <c r="AH144" s="3" t="n">
        <v>2</v>
      </c>
      <c r="AI144" s="3" t="n">
        <v>1</v>
      </c>
      <c r="AJ144" s="3" t="n">
        <v>2</v>
      </c>
      <c r="AK144" s="3" t="n">
        <v>2</v>
      </c>
      <c r="AL144" s="3" t="n">
        <v>2</v>
      </c>
      <c r="AM144" s="3" t="n">
        <v>2</v>
      </c>
      <c r="AN144" s="3" t="n">
        <v>2</v>
      </c>
      <c r="AO144" s="3" t="n">
        <v>2</v>
      </c>
      <c r="AP144" s="3" t="n">
        <v>3</v>
      </c>
      <c r="AQ144" s="3" t="n">
        <v>4</v>
      </c>
      <c r="AR144" s="3" t="n">
        <v>4</v>
      </c>
      <c r="AS144" s="3" t="n">
        <v>6</v>
      </c>
      <c r="AT144" s="3" t="n">
        <v>4</v>
      </c>
      <c r="AU144" s="3" t="n">
        <v>4</v>
      </c>
      <c r="AV144" s="3" t="n">
        <v>6</v>
      </c>
      <c r="AW144" s="3" t="n">
        <v>6</v>
      </c>
      <c r="AX144" s="3" t="n">
        <v>3</v>
      </c>
      <c r="AY144" s="3" t="n">
        <v>3</v>
      </c>
      <c r="AZ144" s="3" t="n">
        <v>1</v>
      </c>
      <c r="BA144" s="5" t="n">
        <v>5</v>
      </c>
      <c r="BB144" s="3" t="n">
        <v>2</v>
      </c>
      <c r="BC144" s="3" t="n">
        <v>1</v>
      </c>
      <c r="BD144" s="3" t="n">
        <v>6</v>
      </c>
      <c r="BE144" s="3" t="n">
        <v>3</v>
      </c>
      <c r="BF144" s="3" t="n">
        <v>5</v>
      </c>
      <c r="BG144" s="3" t="n">
        <v>3</v>
      </c>
      <c r="BH144" s="3" t="n">
        <v>4</v>
      </c>
      <c r="BI144" s="3" t="n">
        <v>1</v>
      </c>
      <c r="BJ144" s="3" t="n">
        <v>1</v>
      </c>
      <c r="BK144" s="6" t="s">
        <v>523</v>
      </c>
    </row>
    <row r="145" customFormat="false" ht="15" hidden="false" customHeight="true" outlineLevel="0" collapsed="false">
      <c r="B145" s="2" t="s">
        <v>524</v>
      </c>
      <c r="C145" s="2" t="s">
        <v>161</v>
      </c>
      <c r="D145" s="2" t="s">
        <v>525</v>
      </c>
      <c r="E145" s="2" t="n">
        <v>166365</v>
      </c>
      <c r="F145" s="15" t="n">
        <v>43433</v>
      </c>
      <c r="G145" s="15" t="n">
        <v>43438</v>
      </c>
      <c r="H145" s="3" t="n">
        <v>5</v>
      </c>
      <c r="I145" s="3" t="n">
        <v>1</v>
      </c>
      <c r="J145" s="3" t="n">
        <v>49</v>
      </c>
      <c r="K145" s="3" t="n">
        <v>1</v>
      </c>
      <c r="L145" s="3" t="n">
        <v>2</v>
      </c>
      <c r="M145" s="3" t="n">
        <v>1</v>
      </c>
      <c r="N145" s="3" t="n">
        <v>2</v>
      </c>
      <c r="O145" s="3" t="n">
        <v>2</v>
      </c>
      <c r="P145" s="3" t="n">
        <v>2</v>
      </c>
      <c r="Q145" s="3" t="n">
        <v>1</v>
      </c>
      <c r="R145" s="3" t="n">
        <v>2</v>
      </c>
      <c r="S145" s="3" t="n">
        <v>2</v>
      </c>
      <c r="T145" s="4" t="n">
        <v>1</v>
      </c>
      <c r="U145" s="3" t="n">
        <v>4</v>
      </c>
      <c r="V145" s="3" t="n">
        <v>6.16</v>
      </c>
      <c r="W145" s="3" t="n">
        <v>1.43</v>
      </c>
      <c r="X145" s="3" t="n">
        <v>6.26</v>
      </c>
      <c r="Y145" s="3" t="n">
        <v>301</v>
      </c>
      <c r="AA145" s="3" t="n">
        <v>0.4</v>
      </c>
      <c r="AB145" s="3" t="n">
        <v>8</v>
      </c>
      <c r="AC145" s="3" t="n">
        <v>1</v>
      </c>
      <c r="AD145" s="3" t="n">
        <v>2</v>
      </c>
      <c r="AE145" s="3" t="n">
        <v>1</v>
      </c>
      <c r="AF145" s="3" t="n">
        <v>1</v>
      </c>
      <c r="AG145" s="3" t="n">
        <v>2</v>
      </c>
      <c r="AH145" s="3" t="n">
        <v>1</v>
      </c>
      <c r="AI145" s="3" t="n">
        <v>2</v>
      </c>
      <c r="AJ145" s="3" t="n">
        <v>1</v>
      </c>
      <c r="AK145" s="3" t="n">
        <v>2</v>
      </c>
      <c r="AL145" s="3" t="n">
        <v>2</v>
      </c>
      <c r="AM145" s="3" t="n">
        <v>2</v>
      </c>
      <c r="AN145" s="3" t="n">
        <v>2</v>
      </c>
      <c r="AO145" s="3" t="n">
        <v>2</v>
      </c>
      <c r="AP145" s="3" t="n">
        <v>3</v>
      </c>
      <c r="AQ145" s="3" t="n">
        <v>4</v>
      </c>
      <c r="AR145" s="3" t="n">
        <v>4</v>
      </c>
      <c r="AS145" s="3" t="n">
        <v>6</v>
      </c>
      <c r="AT145" s="3" t="n">
        <v>4</v>
      </c>
      <c r="AU145" s="3" t="n">
        <v>4</v>
      </c>
      <c r="AV145" s="3" t="n">
        <v>6</v>
      </c>
      <c r="AW145" s="3" t="n">
        <v>6</v>
      </c>
      <c r="AX145" s="3" t="n">
        <v>3</v>
      </c>
      <c r="AY145" s="3" t="n">
        <v>3</v>
      </c>
      <c r="AZ145" s="3" t="n">
        <v>1</v>
      </c>
      <c r="BA145" s="5" t="n">
        <v>5</v>
      </c>
      <c r="BB145" s="3" t="n">
        <v>2</v>
      </c>
      <c r="BC145" s="3" t="n">
        <v>1</v>
      </c>
      <c r="BD145" s="3" t="n">
        <v>6</v>
      </c>
      <c r="BE145" s="3" t="n">
        <v>3</v>
      </c>
      <c r="BF145" s="3" t="n">
        <v>5</v>
      </c>
      <c r="BG145" s="3" t="n">
        <v>3</v>
      </c>
      <c r="BH145" s="3" t="n">
        <v>4</v>
      </c>
      <c r="BI145" s="3" t="n">
        <v>1</v>
      </c>
      <c r="BJ145" s="3" t="n">
        <v>1</v>
      </c>
      <c r="BK145" s="6" t="s">
        <v>526</v>
      </c>
    </row>
    <row r="146" customFormat="false" ht="15" hidden="false" customHeight="true" outlineLevel="0" collapsed="false">
      <c r="B146" s="2" t="s">
        <v>527</v>
      </c>
      <c r="C146" s="2" t="s">
        <v>66</v>
      </c>
      <c r="D146" s="2" t="s">
        <v>528</v>
      </c>
      <c r="E146" s="2" t="n">
        <v>129486</v>
      </c>
      <c r="F146" s="15" t="n">
        <v>43431</v>
      </c>
      <c r="G146" s="15" t="n">
        <v>43437</v>
      </c>
      <c r="H146" s="3" t="n">
        <v>6</v>
      </c>
      <c r="I146" s="3" t="n">
        <v>1</v>
      </c>
      <c r="J146" s="3" t="n">
        <v>84</v>
      </c>
      <c r="K146" s="3" t="n">
        <v>1</v>
      </c>
      <c r="L146" s="3" t="n">
        <v>2</v>
      </c>
      <c r="M146" s="3" t="n">
        <v>1</v>
      </c>
      <c r="N146" s="3" t="n">
        <v>2</v>
      </c>
      <c r="O146" s="3" t="n">
        <v>1</v>
      </c>
      <c r="P146" s="3" t="n">
        <v>2</v>
      </c>
      <c r="Q146" s="3" t="n">
        <v>2</v>
      </c>
      <c r="R146" s="3" t="n">
        <v>2</v>
      </c>
      <c r="S146" s="3" t="n">
        <v>1</v>
      </c>
      <c r="T146" s="4" t="n">
        <v>1</v>
      </c>
      <c r="U146" s="3" t="n">
        <v>4</v>
      </c>
      <c r="V146" s="3" t="n">
        <v>6.1</v>
      </c>
      <c r="W146" s="3" t="n">
        <v>0.83</v>
      </c>
      <c r="X146" s="3" t="n">
        <v>6.1</v>
      </c>
      <c r="Y146" s="3" t="n">
        <v>519</v>
      </c>
      <c r="AA146" s="3" t="n">
        <v>0.32</v>
      </c>
      <c r="AB146" s="3" t="n">
        <v>10.2</v>
      </c>
      <c r="AC146" s="3" t="n">
        <v>2</v>
      </c>
      <c r="AD146" s="3" t="n">
        <v>1</v>
      </c>
      <c r="AE146" s="3" t="n">
        <v>1</v>
      </c>
      <c r="AF146" s="3" t="n">
        <v>1</v>
      </c>
      <c r="AG146" s="3" t="n">
        <v>1</v>
      </c>
      <c r="AH146" s="3" t="n">
        <v>2</v>
      </c>
      <c r="AI146" s="3" t="n">
        <v>1</v>
      </c>
      <c r="AJ146" s="3" t="n">
        <v>1</v>
      </c>
      <c r="AK146" s="3" t="n">
        <v>2</v>
      </c>
      <c r="AL146" s="3" t="n">
        <v>2</v>
      </c>
      <c r="AM146" s="3" t="n">
        <v>1</v>
      </c>
      <c r="AN146" s="3" t="n">
        <v>2</v>
      </c>
      <c r="AO146" s="3" t="n">
        <v>2</v>
      </c>
      <c r="AP146" s="3" t="n">
        <v>3</v>
      </c>
      <c r="AQ146" s="3" t="n">
        <v>4</v>
      </c>
      <c r="AR146" s="3" t="n">
        <v>4</v>
      </c>
      <c r="AS146" s="3" t="n">
        <v>6</v>
      </c>
      <c r="AT146" s="3" t="n">
        <v>4</v>
      </c>
      <c r="AU146" s="3" t="n">
        <v>4</v>
      </c>
      <c r="AV146" s="3" t="n">
        <v>6</v>
      </c>
      <c r="AW146" s="3" t="n">
        <v>6</v>
      </c>
      <c r="AX146" s="3" t="n">
        <v>3</v>
      </c>
      <c r="AY146" s="3" t="n">
        <v>3</v>
      </c>
      <c r="AZ146" s="3" t="n">
        <v>1</v>
      </c>
      <c r="BA146" s="5" t="n">
        <v>5</v>
      </c>
      <c r="BB146" s="3" t="n">
        <v>2</v>
      </c>
      <c r="BC146" s="3" t="n">
        <v>1</v>
      </c>
      <c r="BD146" s="3" t="n">
        <v>6</v>
      </c>
      <c r="BE146" s="3" t="n">
        <v>3</v>
      </c>
      <c r="BF146" s="3" t="n">
        <v>5</v>
      </c>
      <c r="BG146" s="3" t="n">
        <v>3</v>
      </c>
      <c r="BH146" s="3" t="n">
        <v>4</v>
      </c>
      <c r="BI146" s="3" t="n">
        <v>1</v>
      </c>
      <c r="BJ146" s="3" t="n">
        <v>1</v>
      </c>
      <c r="BK146" s="6" t="s">
        <v>529</v>
      </c>
    </row>
    <row r="147" customFormat="false" ht="15" hidden="false" customHeight="true" outlineLevel="0" collapsed="false">
      <c r="B147" s="2" t="s">
        <v>258</v>
      </c>
      <c r="C147" s="2" t="s">
        <v>118</v>
      </c>
      <c r="D147" s="2" t="s">
        <v>530</v>
      </c>
      <c r="E147" s="2" t="n">
        <v>166075</v>
      </c>
      <c r="F147" s="15" t="n">
        <v>43432</v>
      </c>
      <c r="G147" s="15" t="n">
        <v>43438</v>
      </c>
      <c r="H147" s="3" t="n">
        <v>6</v>
      </c>
      <c r="I147" s="3" t="n">
        <v>2</v>
      </c>
      <c r="J147" s="3" t="n">
        <v>55</v>
      </c>
      <c r="K147" s="3" t="n">
        <v>1</v>
      </c>
      <c r="L147" s="3" t="n">
        <v>1</v>
      </c>
      <c r="M147" s="3" t="n">
        <v>2</v>
      </c>
      <c r="N147" s="3" t="n">
        <v>2</v>
      </c>
      <c r="O147" s="3" t="n">
        <v>2</v>
      </c>
      <c r="P147" s="3" t="n">
        <v>2</v>
      </c>
      <c r="Q147" s="3" t="n">
        <v>2</v>
      </c>
      <c r="R147" s="3" t="n">
        <v>2</v>
      </c>
      <c r="S147" s="3" t="n">
        <v>2</v>
      </c>
      <c r="T147" s="4" t="n">
        <v>1</v>
      </c>
      <c r="U147" s="3" t="n">
        <v>4</v>
      </c>
      <c r="V147" s="3" t="n">
        <v>4.59</v>
      </c>
      <c r="X147" s="3" t="n">
        <v>4.78</v>
      </c>
      <c r="Y147" s="3" t="n">
        <v>464</v>
      </c>
      <c r="AA147" s="3" t="n">
        <v>0.38</v>
      </c>
      <c r="AB147" s="3" t="n">
        <v>6</v>
      </c>
      <c r="AC147" s="3" t="n">
        <v>2</v>
      </c>
      <c r="AD147" s="3" t="n">
        <v>2</v>
      </c>
      <c r="AE147" s="3" t="n">
        <v>1</v>
      </c>
      <c r="AF147" s="3" t="n">
        <v>1</v>
      </c>
      <c r="AG147" s="3" t="n">
        <v>2</v>
      </c>
      <c r="AH147" s="3" t="n">
        <v>2</v>
      </c>
      <c r="AI147" s="3" t="n">
        <v>1</v>
      </c>
      <c r="AJ147" s="3" t="n">
        <v>1</v>
      </c>
      <c r="AK147" s="3" t="n">
        <v>2</v>
      </c>
      <c r="AL147" s="3" t="n">
        <v>2</v>
      </c>
      <c r="AM147" s="3" t="n">
        <v>1</v>
      </c>
      <c r="AN147" s="3" t="n">
        <v>2</v>
      </c>
      <c r="AO147" s="3" t="n">
        <v>1</v>
      </c>
      <c r="AP147" s="3" t="n">
        <v>3</v>
      </c>
      <c r="AQ147" s="3" t="n">
        <v>4</v>
      </c>
      <c r="AR147" s="3" t="n">
        <v>4</v>
      </c>
      <c r="AS147" s="3" t="n">
        <v>6</v>
      </c>
      <c r="AT147" s="3" t="n">
        <v>4</v>
      </c>
      <c r="AU147" s="3" t="n">
        <v>4</v>
      </c>
      <c r="AV147" s="3" t="n">
        <v>6</v>
      </c>
      <c r="AW147" s="3" t="n">
        <v>6</v>
      </c>
      <c r="AX147" s="3" t="n">
        <v>3</v>
      </c>
      <c r="AY147" s="3" t="n">
        <v>3</v>
      </c>
      <c r="AZ147" s="3" t="n">
        <v>1</v>
      </c>
      <c r="BA147" s="5" t="n">
        <v>5</v>
      </c>
      <c r="BB147" s="3" t="n">
        <v>2</v>
      </c>
      <c r="BC147" s="3" t="n">
        <v>1</v>
      </c>
      <c r="BD147" s="3" t="n">
        <v>6</v>
      </c>
      <c r="BE147" s="3" t="n">
        <v>3</v>
      </c>
      <c r="BF147" s="3" t="n">
        <v>5</v>
      </c>
      <c r="BG147" s="3" t="n">
        <v>3</v>
      </c>
      <c r="BH147" s="3" t="n">
        <v>4</v>
      </c>
      <c r="BI147" s="3" t="n">
        <v>1</v>
      </c>
      <c r="BJ147" s="3" t="n">
        <v>1</v>
      </c>
      <c r="BK147" s="6" t="s">
        <v>531</v>
      </c>
    </row>
    <row r="148" customFormat="false" ht="15" hidden="false" customHeight="true" outlineLevel="0" collapsed="false">
      <c r="B148" s="2" t="s">
        <v>532</v>
      </c>
      <c r="C148" s="2" t="s">
        <v>304</v>
      </c>
      <c r="D148" s="2" t="s">
        <v>94</v>
      </c>
      <c r="E148" s="2" t="n">
        <v>150097</v>
      </c>
      <c r="F148" s="15" t="n">
        <v>43435</v>
      </c>
      <c r="G148" s="15" t="n">
        <v>43440</v>
      </c>
      <c r="H148" s="3" t="n">
        <v>5</v>
      </c>
      <c r="I148" s="3" t="n">
        <v>1</v>
      </c>
      <c r="J148" s="3" t="n">
        <v>70</v>
      </c>
      <c r="K148" s="3" t="n">
        <v>1</v>
      </c>
      <c r="L148" s="3" t="n">
        <v>2</v>
      </c>
      <c r="M148" s="3" t="n">
        <v>1</v>
      </c>
      <c r="N148" s="3" t="n">
        <v>2</v>
      </c>
      <c r="O148" s="3" t="n">
        <v>2</v>
      </c>
      <c r="P148" s="3" t="n">
        <v>1</v>
      </c>
      <c r="Q148" s="3" t="n">
        <v>1</v>
      </c>
      <c r="R148" s="3" t="n">
        <v>2</v>
      </c>
      <c r="S148" s="3" t="n">
        <v>2</v>
      </c>
      <c r="T148" s="4" t="n">
        <v>1</v>
      </c>
      <c r="U148" s="3" t="n">
        <v>1</v>
      </c>
      <c r="AD148" s="3" t="n">
        <v>1</v>
      </c>
      <c r="AE148" s="3" t="n">
        <v>1</v>
      </c>
      <c r="AF148" s="3" t="n">
        <v>1</v>
      </c>
      <c r="AG148" s="3" t="n">
        <v>2</v>
      </c>
      <c r="AH148" s="3" t="n">
        <v>1</v>
      </c>
      <c r="AI148" s="3" t="n">
        <v>1</v>
      </c>
      <c r="AJ148" s="3" t="n">
        <v>2</v>
      </c>
      <c r="AK148" s="3" t="n">
        <v>1</v>
      </c>
      <c r="AL148" s="3" t="n">
        <v>2</v>
      </c>
      <c r="AM148" s="3" t="n">
        <v>1</v>
      </c>
      <c r="AN148" s="3" t="n">
        <v>2</v>
      </c>
      <c r="AO148" s="3" t="n">
        <v>2</v>
      </c>
      <c r="AP148" s="3" t="n">
        <v>3</v>
      </c>
      <c r="AQ148" s="3" t="n">
        <v>4</v>
      </c>
      <c r="AR148" s="3" t="n">
        <v>4</v>
      </c>
      <c r="AS148" s="3" t="n">
        <v>6</v>
      </c>
      <c r="AT148" s="3" t="n">
        <v>4</v>
      </c>
      <c r="AU148" s="3" t="n">
        <v>4</v>
      </c>
      <c r="AV148" s="3" t="n">
        <v>6</v>
      </c>
      <c r="AW148" s="3" t="n">
        <v>6</v>
      </c>
      <c r="AX148" s="3" t="n">
        <v>3</v>
      </c>
      <c r="AY148" s="3" t="n">
        <v>3</v>
      </c>
      <c r="AZ148" s="3" t="n">
        <v>1</v>
      </c>
      <c r="BA148" s="5" t="n">
        <v>5</v>
      </c>
      <c r="BB148" s="3" t="n">
        <v>2</v>
      </c>
      <c r="BC148" s="3" t="n">
        <v>1</v>
      </c>
      <c r="BD148" s="3" t="n">
        <v>6</v>
      </c>
      <c r="BE148" s="3" t="n">
        <v>3</v>
      </c>
      <c r="BF148" s="3" t="n">
        <v>5</v>
      </c>
      <c r="BG148" s="3" t="n">
        <v>3</v>
      </c>
      <c r="BH148" s="3" t="n">
        <v>4</v>
      </c>
      <c r="BI148" s="3" t="n">
        <v>1</v>
      </c>
      <c r="BJ148" s="3" t="n">
        <v>1</v>
      </c>
      <c r="BK148" s="6" t="s">
        <v>533</v>
      </c>
    </row>
    <row r="149" customFormat="false" ht="15" hidden="false" customHeight="true" outlineLevel="0" collapsed="false">
      <c r="B149" s="2" t="s">
        <v>534</v>
      </c>
      <c r="C149" s="2" t="s">
        <v>535</v>
      </c>
      <c r="D149" s="2" t="s">
        <v>536</v>
      </c>
      <c r="E149" s="2" t="n">
        <v>165639</v>
      </c>
      <c r="F149" s="15" t="n">
        <v>43426</v>
      </c>
      <c r="G149" s="15" t="n">
        <v>43441</v>
      </c>
      <c r="H149" s="3" t="n">
        <v>15</v>
      </c>
      <c r="I149" s="3" t="n">
        <v>2</v>
      </c>
      <c r="J149" s="3" t="n">
        <v>87</v>
      </c>
      <c r="K149" s="3" t="n">
        <v>1</v>
      </c>
      <c r="L149" s="3" t="n">
        <v>2</v>
      </c>
      <c r="M149" s="3" t="n">
        <v>1</v>
      </c>
      <c r="N149" s="3" t="n">
        <v>2</v>
      </c>
      <c r="O149" s="3" t="n">
        <v>2</v>
      </c>
      <c r="P149" s="3" t="n">
        <v>2</v>
      </c>
      <c r="Q149" s="3" t="n">
        <v>2</v>
      </c>
      <c r="R149" s="3" t="n">
        <v>2</v>
      </c>
      <c r="S149" s="3" t="n">
        <v>1</v>
      </c>
      <c r="T149" s="4" t="n">
        <v>3</v>
      </c>
      <c r="U149" s="3" t="n">
        <v>4</v>
      </c>
      <c r="V149" s="3" t="n">
        <v>3.96</v>
      </c>
      <c r="W149" s="3" t="n">
        <v>0.57</v>
      </c>
      <c r="X149" s="3" t="n">
        <v>4.8</v>
      </c>
      <c r="Y149" s="3" t="n">
        <v>509</v>
      </c>
      <c r="AA149" s="3" t="n">
        <v>0.37</v>
      </c>
      <c r="AB149" s="3" t="n">
        <v>9</v>
      </c>
      <c r="AC149" s="3" t="n">
        <v>1</v>
      </c>
      <c r="AD149" s="3" t="n">
        <v>2</v>
      </c>
      <c r="AE149" s="3" t="n">
        <v>2</v>
      </c>
      <c r="AF149" s="3" t="n">
        <v>2</v>
      </c>
      <c r="AG149" s="3" t="n">
        <v>2</v>
      </c>
      <c r="AH149" s="3" t="n">
        <v>2</v>
      </c>
      <c r="AI149" s="3" t="n">
        <v>2</v>
      </c>
      <c r="AJ149" s="3" t="n">
        <v>2</v>
      </c>
      <c r="AK149" s="3" t="n">
        <v>2</v>
      </c>
      <c r="AL149" s="3" t="n">
        <v>1</v>
      </c>
      <c r="AM149" s="3" t="n">
        <v>1</v>
      </c>
      <c r="AN149" s="3" t="n">
        <v>2</v>
      </c>
      <c r="AO149" s="3" t="n">
        <v>2</v>
      </c>
      <c r="AP149" s="3" t="n">
        <v>3</v>
      </c>
      <c r="AQ149" s="3" t="n">
        <v>4</v>
      </c>
      <c r="AR149" s="3" t="n">
        <v>4</v>
      </c>
      <c r="AS149" s="3" t="n">
        <v>6</v>
      </c>
      <c r="AT149" s="3" t="n">
        <v>4</v>
      </c>
      <c r="AU149" s="3" t="n">
        <v>4</v>
      </c>
      <c r="AV149" s="3" t="n">
        <v>6</v>
      </c>
      <c r="AW149" s="3" t="n">
        <v>6</v>
      </c>
      <c r="AX149" s="3" t="n">
        <v>3</v>
      </c>
      <c r="AY149" s="3" t="n">
        <v>3</v>
      </c>
      <c r="AZ149" s="3" t="n">
        <v>1</v>
      </c>
      <c r="BA149" s="5" t="n">
        <v>11</v>
      </c>
      <c r="BB149" s="3" t="n">
        <v>2</v>
      </c>
      <c r="BC149" s="3" t="n">
        <v>1</v>
      </c>
      <c r="BD149" s="3" t="n">
        <v>6</v>
      </c>
      <c r="BE149" s="3" t="n">
        <v>3</v>
      </c>
      <c r="BF149" s="3" t="n">
        <v>5</v>
      </c>
      <c r="BG149" s="3" t="n">
        <v>3</v>
      </c>
      <c r="BH149" s="3" t="n">
        <v>5</v>
      </c>
      <c r="BI149" s="3" t="n">
        <v>1</v>
      </c>
      <c r="BJ149" s="3" t="n">
        <v>1</v>
      </c>
      <c r="BK149" s="6" t="s">
        <v>537</v>
      </c>
    </row>
    <row r="150" customFormat="false" ht="15" hidden="false" customHeight="true" outlineLevel="0" collapsed="false">
      <c r="B150" s="2" t="s">
        <v>486</v>
      </c>
      <c r="C150" s="2" t="s">
        <v>127</v>
      </c>
      <c r="D150" s="2" t="s">
        <v>95</v>
      </c>
      <c r="E150" s="2" t="n">
        <v>165065</v>
      </c>
      <c r="F150" s="15" t="n">
        <v>43433</v>
      </c>
      <c r="G150" s="15" t="n">
        <v>43441</v>
      </c>
      <c r="H150" s="3" t="n">
        <v>8</v>
      </c>
      <c r="I150" s="3" t="n">
        <v>2</v>
      </c>
      <c r="J150" s="3" t="n">
        <v>74</v>
      </c>
      <c r="K150" s="3" t="n">
        <v>1</v>
      </c>
      <c r="L150" s="3" t="n">
        <v>2</v>
      </c>
      <c r="M150" s="3" t="n">
        <v>1</v>
      </c>
      <c r="N150" s="3" t="n">
        <v>1</v>
      </c>
      <c r="O150" s="3" t="n">
        <v>2</v>
      </c>
      <c r="P150" s="3" t="n">
        <v>2</v>
      </c>
      <c r="Q150" s="3" t="n">
        <v>2</v>
      </c>
      <c r="R150" s="3" t="n">
        <v>2</v>
      </c>
      <c r="S150" s="3" t="n">
        <v>2</v>
      </c>
      <c r="T150" s="4" t="n">
        <v>1</v>
      </c>
      <c r="U150" s="3" t="n">
        <v>1</v>
      </c>
      <c r="V150" s="3" t="n">
        <v>4.49</v>
      </c>
      <c r="W150" s="3" t="n">
        <v>0.49</v>
      </c>
      <c r="X150" s="3" t="n">
        <v>3.96</v>
      </c>
      <c r="Y150" s="3" t="n">
        <v>287</v>
      </c>
      <c r="AA150" s="3" t="n">
        <v>0.35</v>
      </c>
      <c r="AB150" s="3" t="n">
        <v>8</v>
      </c>
      <c r="AC150" s="3" t="n">
        <v>1</v>
      </c>
      <c r="AD150" s="3" t="n">
        <v>1</v>
      </c>
      <c r="AE150" s="3" t="n">
        <v>1</v>
      </c>
      <c r="AF150" s="3" t="n">
        <v>1</v>
      </c>
      <c r="AG150" s="3" t="n">
        <v>2</v>
      </c>
      <c r="AH150" s="3" t="n">
        <v>2</v>
      </c>
      <c r="AI150" s="3" t="n">
        <v>1</v>
      </c>
      <c r="AJ150" s="3" t="n">
        <v>2</v>
      </c>
      <c r="AK150" s="3" t="n">
        <v>2</v>
      </c>
      <c r="AL150" s="3" t="n">
        <v>2</v>
      </c>
      <c r="AM150" s="3" t="n">
        <v>2</v>
      </c>
      <c r="AN150" s="3" t="n">
        <v>2</v>
      </c>
      <c r="AO150" s="3" t="n">
        <v>2</v>
      </c>
      <c r="AP150" s="3" t="n">
        <v>1</v>
      </c>
      <c r="AQ150" s="3" t="n">
        <v>3</v>
      </c>
      <c r="AR150" s="3" t="n">
        <v>8</v>
      </c>
      <c r="AS150" s="3" t="n">
        <v>2</v>
      </c>
      <c r="AT150" s="3" t="n">
        <v>1</v>
      </c>
      <c r="AU150" s="3" t="n">
        <v>1</v>
      </c>
      <c r="AV150" s="3" t="n">
        <v>3</v>
      </c>
      <c r="AW150" s="3" t="n">
        <v>1</v>
      </c>
      <c r="AX150" s="3" t="n">
        <v>2</v>
      </c>
      <c r="AY150" s="3" t="n">
        <v>2</v>
      </c>
      <c r="AZ150" s="3" t="n">
        <v>1</v>
      </c>
      <c r="BA150" s="5" t="n">
        <v>5</v>
      </c>
      <c r="BB150" s="3" t="n">
        <v>2</v>
      </c>
      <c r="BC150" s="3" t="n">
        <v>1</v>
      </c>
      <c r="BD150" s="3" t="n">
        <v>6</v>
      </c>
      <c r="BE150" s="3" t="n">
        <v>3</v>
      </c>
      <c r="BF150" s="3" t="n">
        <v>5</v>
      </c>
      <c r="BG150" s="3" t="n">
        <v>3</v>
      </c>
      <c r="BH150" s="3" t="n">
        <v>4</v>
      </c>
      <c r="BI150" s="3" t="n">
        <v>1</v>
      </c>
      <c r="BJ150" s="3" t="n">
        <v>1</v>
      </c>
      <c r="BK150" s="6" t="s">
        <v>538</v>
      </c>
    </row>
    <row r="151" customFormat="false" ht="15" hidden="false" customHeight="true" outlineLevel="0" collapsed="false">
      <c r="B151" s="2" t="s">
        <v>539</v>
      </c>
      <c r="C151" s="2" t="s">
        <v>540</v>
      </c>
      <c r="D151" s="2" t="s">
        <v>541</v>
      </c>
      <c r="E151" s="2" t="n">
        <v>166087</v>
      </c>
      <c r="F151" s="15" t="n">
        <v>43433</v>
      </c>
      <c r="G151" s="15" t="n">
        <v>43441</v>
      </c>
      <c r="H151" s="3" t="n">
        <v>8</v>
      </c>
      <c r="I151" s="3" t="n">
        <v>2</v>
      </c>
      <c r="J151" s="3" t="n">
        <v>27</v>
      </c>
      <c r="K151" s="3" t="n">
        <v>1</v>
      </c>
      <c r="L151" s="3" t="n">
        <v>2</v>
      </c>
      <c r="M151" s="3" t="n">
        <v>2</v>
      </c>
      <c r="N151" s="3" t="n">
        <v>2</v>
      </c>
      <c r="O151" s="3" t="n">
        <v>2</v>
      </c>
      <c r="P151" s="3" t="n">
        <v>2</v>
      </c>
      <c r="Q151" s="3" t="n">
        <v>2</v>
      </c>
      <c r="R151" s="3" t="n">
        <v>2</v>
      </c>
      <c r="S151" s="3" t="n">
        <v>2</v>
      </c>
      <c r="T151" s="4" t="n">
        <v>12</v>
      </c>
      <c r="U151" s="3" t="n">
        <v>1</v>
      </c>
      <c r="V151" s="3" t="n">
        <v>3.02</v>
      </c>
      <c r="W151" s="3" t="n">
        <v>1.59</v>
      </c>
      <c r="X151" s="3" t="n">
        <v>4.08</v>
      </c>
      <c r="Y151" s="3" t="n">
        <v>354</v>
      </c>
      <c r="AA151" s="3" t="n">
        <v>0.37</v>
      </c>
      <c r="AB151" s="3" t="n">
        <v>12</v>
      </c>
      <c r="AC151" s="3" t="n">
        <v>1</v>
      </c>
      <c r="AD151" s="3" t="n">
        <v>2</v>
      </c>
      <c r="AE151" s="3" t="n">
        <v>2</v>
      </c>
      <c r="AF151" s="3" t="n">
        <v>2</v>
      </c>
      <c r="AG151" s="3" t="n">
        <v>2</v>
      </c>
      <c r="AH151" s="3" t="n">
        <v>2</v>
      </c>
      <c r="AI151" s="3" t="n">
        <v>2</v>
      </c>
      <c r="AJ151" s="3" t="n">
        <v>2</v>
      </c>
      <c r="AK151" s="3" t="n">
        <v>2</v>
      </c>
      <c r="AL151" s="3" t="n">
        <v>2</v>
      </c>
      <c r="AM151" s="3" t="n">
        <v>2</v>
      </c>
      <c r="AN151" s="3" t="n">
        <v>2</v>
      </c>
      <c r="AO151" s="3" t="n">
        <v>2</v>
      </c>
      <c r="AP151" s="3" t="n">
        <v>3</v>
      </c>
      <c r="AQ151" s="3" t="n">
        <v>4</v>
      </c>
      <c r="AR151" s="3" t="n">
        <v>4</v>
      </c>
      <c r="AS151" s="3" t="n">
        <v>6</v>
      </c>
      <c r="AT151" s="3" t="n">
        <v>4</v>
      </c>
      <c r="AU151" s="3" t="n">
        <v>4</v>
      </c>
      <c r="AV151" s="3" t="n">
        <v>6</v>
      </c>
      <c r="AW151" s="3" t="n">
        <v>6</v>
      </c>
      <c r="AX151" s="3" t="n">
        <v>3</v>
      </c>
      <c r="AY151" s="3" t="n">
        <v>3</v>
      </c>
      <c r="AZ151" s="3" t="n">
        <v>1</v>
      </c>
      <c r="BA151" s="5" t="n">
        <v>3</v>
      </c>
      <c r="BB151" s="3" t="n">
        <v>2</v>
      </c>
      <c r="BC151" s="3" t="n">
        <v>1</v>
      </c>
      <c r="BD151" s="3" t="n">
        <v>6</v>
      </c>
      <c r="BE151" s="3" t="n">
        <v>3</v>
      </c>
      <c r="BF151" s="3" t="n">
        <v>5</v>
      </c>
      <c r="BG151" s="3" t="n">
        <v>3</v>
      </c>
      <c r="BH151" s="3" t="n">
        <v>4</v>
      </c>
      <c r="BI151" s="3" t="n">
        <v>1</v>
      </c>
      <c r="BJ151" s="3" t="n">
        <v>1</v>
      </c>
      <c r="BK151" s="6" t="s">
        <v>542</v>
      </c>
    </row>
    <row r="152" customFormat="false" ht="15" hidden="false" customHeight="true" outlineLevel="0" collapsed="false">
      <c r="B152" s="2" t="s">
        <v>543</v>
      </c>
      <c r="C152" s="2" t="s">
        <v>544</v>
      </c>
      <c r="D152" s="2" t="s">
        <v>545</v>
      </c>
      <c r="E152" s="2" t="n">
        <v>166813</v>
      </c>
      <c r="F152" s="15" t="n">
        <v>43441</v>
      </c>
      <c r="G152" s="15" t="n">
        <v>43443</v>
      </c>
      <c r="H152" s="3" t="n">
        <v>2</v>
      </c>
      <c r="I152" s="3" t="n">
        <v>2</v>
      </c>
      <c r="J152" s="3" t="n">
        <v>75</v>
      </c>
      <c r="K152" s="3" t="n">
        <v>1</v>
      </c>
      <c r="L152" s="3" t="n">
        <v>2</v>
      </c>
      <c r="M152" s="3" t="n">
        <v>1</v>
      </c>
      <c r="N152" s="3" t="n">
        <v>2</v>
      </c>
      <c r="O152" s="3" t="n">
        <v>2</v>
      </c>
      <c r="P152" s="3" t="n">
        <v>2</v>
      </c>
      <c r="Q152" s="3" t="n">
        <v>2</v>
      </c>
      <c r="R152" s="3" t="n">
        <v>2</v>
      </c>
      <c r="S152" s="3" t="n">
        <v>2</v>
      </c>
      <c r="T152" s="4" t="n">
        <v>1</v>
      </c>
      <c r="U152" s="3" t="n">
        <v>1</v>
      </c>
      <c r="AD152" s="3" t="n">
        <v>1</v>
      </c>
      <c r="AE152" s="3" t="n">
        <v>2</v>
      </c>
      <c r="AF152" s="3" t="n">
        <v>1</v>
      </c>
      <c r="AG152" s="3" t="n">
        <v>2</v>
      </c>
      <c r="AH152" s="3" t="n">
        <v>2</v>
      </c>
      <c r="AI152" s="3" t="n">
        <v>1</v>
      </c>
      <c r="AJ152" s="3" t="n">
        <v>2</v>
      </c>
      <c r="AK152" s="3" t="n">
        <v>2</v>
      </c>
      <c r="AL152" s="3" t="n">
        <v>2</v>
      </c>
      <c r="AM152" s="3" t="n">
        <v>2</v>
      </c>
      <c r="AN152" s="3" t="n">
        <v>2</v>
      </c>
      <c r="AO152" s="3" t="n">
        <v>2</v>
      </c>
      <c r="AP152" s="3" t="n">
        <v>1</v>
      </c>
      <c r="AQ152" s="3" t="n">
        <v>3</v>
      </c>
      <c r="AR152" s="3" t="n">
        <v>5</v>
      </c>
      <c r="AS152" s="3" t="n">
        <v>5</v>
      </c>
      <c r="AT152" s="3" t="n">
        <v>1</v>
      </c>
      <c r="AU152" s="3" t="n">
        <v>1</v>
      </c>
      <c r="AV152" s="3" t="n">
        <v>1</v>
      </c>
      <c r="AW152" s="3" t="n">
        <v>8</v>
      </c>
      <c r="AX152" s="3" t="n">
        <v>2</v>
      </c>
      <c r="AY152" s="3" t="n">
        <v>2</v>
      </c>
      <c r="AZ152" s="3" t="n">
        <v>1</v>
      </c>
      <c r="BA152" s="5" t="n">
        <v>5</v>
      </c>
      <c r="BB152" s="3" t="n">
        <v>2</v>
      </c>
      <c r="BC152" s="3" t="n">
        <v>1</v>
      </c>
      <c r="BD152" s="3" t="n">
        <v>6</v>
      </c>
      <c r="BE152" s="3" t="n">
        <v>3</v>
      </c>
      <c r="BF152" s="3" t="n">
        <v>5</v>
      </c>
      <c r="BG152" s="3" t="n">
        <v>3</v>
      </c>
      <c r="BH152" s="3" t="n">
        <v>4</v>
      </c>
      <c r="BI152" s="3" t="n">
        <v>1</v>
      </c>
      <c r="BJ152" s="3" t="n">
        <v>1</v>
      </c>
      <c r="BK152" s="6" t="s">
        <v>546</v>
      </c>
    </row>
    <row r="153" customFormat="false" ht="15" hidden="false" customHeight="true" outlineLevel="0" collapsed="false">
      <c r="B153" s="2" t="s">
        <v>547</v>
      </c>
      <c r="C153" s="2" t="s">
        <v>548</v>
      </c>
      <c r="D153" s="2" t="s">
        <v>549</v>
      </c>
      <c r="E153" s="2" t="n">
        <v>166722</v>
      </c>
      <c r="F153" s="15" t="n">
        <v>43438</v>
      </c>
      <c r="G153" s="15" t="n">
        <v>43444</v>
      </c>
      <c r="H153" s="3" t="n">
        <v>6</v>
      </c>
      <c r="I153" s="3" t="n">
        <v>2</v>
      </c>
      <c r="J153" s="3" t="n">
        <v>74</v>
      </c>
      <c r="K153" s="3" t="n">
        <v>1</v>
      </c>
      <c r="L153" s="3" t="n">
        <v>2</v>
      </c>
      <c r="M153" s="3" t="n">
        <v>1</v>
      </c>
      <c r="N153" s="3" t="n">
        <v>2</v>
      </c>
      <c r="O153" s="3" t="n">
        <v>2</v>
      </c>
      <c r="P153" s="3" t="n">
        <v>2</v>
      </c>
      <c r="Q153" s="3" t="n">
        <v>2</v>
      </c>
      <c r="R153" s="3" t="n">
        <v>2</v>
      </c>
      <c r="S153" s="3" t="n">
        <v>1</v>
      </c>
      <c r="T153" s="4" t="n">
        <v>3</v>
      </c>
      <c r="U153" s="3" t="n">
        <v>4</v>
      </c>
      <c r="V153" s="3" t="n">
        <v>4.93</v>
      </c>
      <c r="W153" s="3" t="n">
        <v>1.31</v>
      </c>
      <c r="X153" s="3" t="n">
        <v>4.11</v>
      </c>
      <c r="Y153" s="3" t="n">
        <v>364</v>
      </c>
      <c r="AA153" s="3" t="n">
        <v>0.43</v>
      </c>
      <c r="AB153" s="3" t="n">
        <v>12.3</v>
      </c>
      <c r="AC153" s="3" t="n">
        <v>2</v>
      </c>
      <c r="AD153" s="3" t="n">
        <v>2</v>
      </c>
      <c r="AE153" s="3" t="n">
        <v>2</v>
      </c>
      <c r="AF153" s="3" t="n">
        <v>2</v>
      </c>
      <c r="AG153" s="3" t="n">
        <v>2</v>
      </c>
      <c r="AH153" s="3" t="n">
        <v>2</v>
      </c>
      <c r="AI153" s="3" t="n">
        <v>2</v>
      </c>
      <c r="AJ153" s="3" t="n">
        <v>2</v>
      </c>
      <c r="AK153" s="3" t="n">
        <v>2</v>
      </c>
      <c r="AL153" s="3" t="n">
        <v>1</v>
      </c>
      <c r="AM153" s="3" t="n">
        <v>1</v>
      </c>
      <c r="AN153" s="3" t="n">
        <v>2</v>
      </c>
      <c r="AO153" s="3" t="n">
        <v>2</v>
      </c>
      <c r="AP153" s="3" t="n">
        <v>3</v>
      </c>
      <c r="AQ153" s="3" t="n">
        <v>4</v>
      </c>
      <c r="AR153" s="3" t="n">
        <v>4</v>
      </c>
      <c r="AS153" s="3" t="n">
        <v>6</v>
      </c>
      <c r="AT153" s="3" t="n">
        <v>4</v>
      </c>
      <c r="AU153" s="3" t="n">
        <v>4</v>
      </c>
      <c r="AV153" s="3" t="n">
        <v>6</v>
      </c>
      <c r="AW153" s="3" t="n">
        <v>6</v>
      </c>
      <c r="AX153" s="3" t="n">
        <v>3</v>
      </c>
      <c r="AY153" s="3" t="n">
        <v>3</v>
      </c>
      <c r="AZ153" s="3" t="n">
        <v>1</v>
      </c>
      <c r="BA153" s="5" t="n">
        <v>11</v>
      </c>
      <c r="BB153" s="3" t="n">
        <v>2</v>
      </c>
      <c r="BC153" s="3" t="n">
        <v>1</v>
      </c>
      <c r="BD153" s="3" t="n">
        <v>6</v>
      </c>
      <c r="BE153" s="3" t="n">
        <v>3</v>
      </c>
      <c r="BF153" s="3" t="n">
        <v>5</v>
      </c>
      <c r="BG153" s="3" t="n">
        <v>3</v>
      </c>
      <c r="BH153" s="3" t="n">
        <v>4</v>
      </c>
      <c r="BI153" s="3" t="n">
        <v>1</v>
      </c>
      <c r="BJ153" s="3" t="n">
        <v>1</v>
      </c>
      <c r="BK153" s="6" t="s">
        <v>550</v>
      </c>
    </row>
    <row r="154" customFormat="false" ht="15" hidden="false" customHeight="true" outlineLevel="0" collapsed="false">
      <c r="B154" s="2" t="s">
        <v>413</v>
      </c>
      <c r="C154" s="2" t="s">
        <v>551</v>
      </c>
      <c r="D154" s="2" t="s">
        <v>294</v>
      </c>
      <c r="E154" s="2" t="n">
        <v>169086</v>
      </c>
      <c r="F154" s="15" t="n">
        <v>43438</v>
      </c>
      <c r="G154" s="15" t="n">
        <v>43444</v>
      </c>
      <c r="H154" s="3" t="n">
        <v>6</v>
      </c>
      <c r="I154" s="3" t="n">
        <v>2</v>
      </c>
      <c r="J154" s="3" t="n">
        <v>87</v>
      </c>
      <c r="K154" s="3" t="n">
        <v>1</v>
      </c>
      <c r="L154" s="3" t="n">
        <v>2</v>
      </c>
      <c r="M154" s="3" t="n">
        <v>1</v>
      </c>
      <c r="N154" s="3" t="n">
        <v>2</v>
      </c>
      <c r="O154" s="3" t="n">
        <v>2</v>
      </c>
      <c r="P154" s="3" t="n">
        <v>2</v>
      </c>
      <c r="Q154" s="3" t="n">
        <v>2</v>
      </c>
      <c r="R154" s="3" t="n">
        <v>2</v>
      </c>
      <c r="S154" s="3" t="n">
        <v>2</v>
      </c>
      <c r="T154" s="4" t="n">
        <v>1</v>
      </c>
      <c r="U154" s="3" t="n">
        <v>1</v>
      </c>
      <c r="V154" s="3" t="n">
        <v>4.51</v>
      </c>
      <c r="X154" s="3" t="n">
        <v>8.4</v>
      </c>
      <c r="Y154" s="3" t="n">
        <v>275</v>
      </c>
      <c r="AA154" s="3" t="n">
        <v>0.33</v>
      </c>
      <c r="AB154" s="3" t="n">
        <v>11.8</v>
      </c>
      <c r="AC154" s="3" t="n">
        <v>2</v>
      </c>
      <c r="AD154" s="3" t="n">
        <v>1</v>
      </c>
      <c r="AE154" s="3" t="n">
        <v>1</v>
      </c>
      <c r="AF154" s="3" t="n">
        <v>1</v>
      </c>
      <c r="AG154" s="3" t="n">
        <v>2</v>
      </c>
      <c r="AH154" s="3" t="n">
        <v>1</v>
      </c>
      <c r="AI154" s="3" t="n">
        <v>1</v>
      </c>
      <c r="AJ154" s="3" t="n">
        <v>2</v>
      </c>
      <c r="AK154" s="3" t="n">
        <v>2</v>
      </c>
      <c r="AL154" s="3" t="n">
        <v>2</v>
      </c>
      <c r="AM154" s="3" t="n">
        <v>2</v>
      </c>
      <c r="AN154" s="3" t="n">
        <v>2</v>
      </c>
      <c r="AO154" s="3" t="n">
        <v>2</v>
      </c>
      <c r="AP154" s="3" t="n">
        <v>3</v>
      </c>
      <c r="AQ154" s="3" t="n">
        <v>4</v>
      </c>
      <c r="AR154" s="3" t="n">
        <v>4</v>
      </c>
      <c r="AS154" s="3" t="n">
        <v>6</v>
      </c>
      <c r="AT154" s="3" t="n">
        <v>4</v>
      </c>
      <c r="AU154" s="3" t="n">
        <v>4</v>
      </c>
      <c r="AV154" s="3" t="n">
        <v>6</v>
      </c>
      <c r="AW154" s="3" t="n">
        <v>6</v>
      </c>
      <c r="AX154" s="3" t="n">
        <v>3</v>
      </c>
      <c r="AY154" s="3" t="n">
        <v>3</v>
      </c>
      <c r="AZ154" s="3" t="n">
        <v>1</v>
      </c>
      <c r="BA154" s="5" t="n">
        <v>5</v>
      </c>
      <c r="BB154" s="3" t="n">
        <v>2</v>
      </c>
      <c r="BC154" s="3" t="n">
        <v>1</v>
      </c>
      <c r="BD154" s="3" t="n">
        <v>6</v>
      </c>
      <c r="BE154" s="3" t="n">
        <v>3</v>
      </c>
      <c r="BF154" s="3" t="n">
        <v>5</v>
      </c>
      <c r="BG154" s="3" t="n">
        <v>3</v>
      </c>
      <c r="BH154" s="3" t="n">
        <v>4</v>
      </c>
      <c r="BI154" s="3" t="n">
        <v>1</v>
      </c>
      <c r="BJ154" s="3" t="n">
        <v>1</v>
      </c>
      <c r="BK154" s="6" t="s">
        <v>552</v>
      </c>
    </row>
    <row r="155" customFormat="false" ht="15" hidden="false" customHeight="true" outlineLevel="0" collapsed="false">
      <c r="B155" s="2" t="s">
        <v>553</v>
      </c>
      <c r="C155" s="2" t="s">
        <v>66</v>
      </c>
      <c r="D155" s="2" t="s">
        <v>554</v>
      </c>
      <c r="E155" s="2" t="n">
        <v>166723</v>
      </c>
      <c r="F155" s="15" t="n">
        <v>43438</v>
      </c>
      <c r="G155" s="15" t="n">
        <v>43444</v>
      </c>
      <c r="H155" s="3" t="n">
        <v>6</v>
      </c>
      <c r="I155" s="3" t="n">
        <v>1</v>
      </c>
      <c r="J155" s="3" t="n">
        <v>54</v>
      </c>
      <c r="K155" s="3" t="n">
        <v>1</v>
      </c>
      <c r="L155" s="3" t="n">
        <v>1</v>
      </c>
      <c r="M155" s="3" t="n">
        <v>1</v>
      </c>
      <c r="N155" s="3" t="n">
        <v>2</v>
      </c>
      <c r="O155" s="3" t="n">
        <v>2</v>
      </c>
      <c r="P155" s="3" t="n">
        <v>2</v>
      </c>
      <c r="Q155" s="3" t="n">
        <v>2</v>
      </c>
      <c r="R155" s="3" t="n">
        <v>2</v>
      </c>
      <c r="S155" s="3" t="n">
        <v>2</v>
      </c>
      <c r="T155" s="4" t="n">
        <v>1</v>
      </c>
      <c r="U155" s="3" t="n">
        <v>1</v>
      </c>
      <c r="V155" s="3" t="n">
        <v>5.93</v>
      </c>
      <c r="W155" s="3" t="n">
        <v>2.29</v>
      </c>
      <c r="X155" s="3" t="n">
        <v>3.04</v>
      </c>
      <c r="Y155" s="3" t="n">
        <v>447</v>
      </c>
      <c r="AA155" s="3" t="n">
        <v>0.41</v>
      </c>
      <c r="AB155" s="3" t="n">
        <v>11.3</v>
      </c>
      <c r="AC155" s="3" t="n">
        <v>1</v>
      </c>
      <c r="AD155" s="3" t="n">
        <v>1</v>
      </c>
      <c r="AE155" s="3" t="n">
        <v>1</v>
      </c>
      <c r="AF155" s="3" t="n">
        <v>1</v>
      </c>
      <c r="AG155" s="3" t="n">
        <v>2</v>
      </c>
      <c r="AH155" s="3" t="n">
        <v>1</v>
      </c>
      <c r="AI155" s="3" t="n">
        <v>1</v>
      </c>
      <c r="AJ155" s="3" t="n">
        <v>1</v>
      </c>
      <c r="AK155" s="3" t="n">
        <v>2</v>
      </c>
      <c r="AL155" s="3" t="n">
        <v>2</v>
      </c>
      <c r="AM155" s="3" t="n">
        <v>2</v>
      </c>
      <c r="AN155" s="3" t="n">
        <v>2</v>
      </c>
      <c r="AO155" s="3" t="n">
        <v>2</v>
      </c>
      <c r="AP155" s="3" t="n">
        <v>3</v>
      </c>
      <c r="AQ155" s="3" t="n">
        <v>4</v>
      </c>
      <c r="AR155" s="3" t="n">
        <v>4</v>
      </c>
      <c r="AS155" s="3" t="n">
        <v>6</v>
      </c>
      <c r="AT155" s="3" t="n">
        <v>4</v>
      </c>
      <c r="AU155" s="3" t="n">
        <v>4</v>
      </c>
      <c r="AV155" s="3" t="n">
        <v>6</v>
      </c>
      <c r="AW155" s="3" t="n">
        <v>6</v>
      </c>
      <c r="AX155" s="3" t="n">
        <v>3</v>
      </c>
      <c r="AY155" s="3" t="n">
        <v>3</v>
      </c>
      <c r="AZ155" s="3" t="n">
        <v>1</v>
      </c>
      <c r="BA155" s="5" t="n">
        <v>5</v>
      </c>
      <c r="BB155" s="3" t="n">
        <v>2</v>
      </c>
      <c r="BC155" s="3" t="n">
        <v>1</v>
      </c>
      <c r="BD155" s="3" t="n">
        <v>6</v>
      </c>
      <c r="BE155" s="3" t="n">
        <v>3</v>
      </c>
      <c r="BF155" s="3" t="n">
        <v>5</v>
      </c>
      <c r="BG155" s="3" t="n">
        <v>3</v>
      </c>
      <c r="BH155" s="3" t="n">
        <v>4</v>
      </c>
      <c r="BI155" s="3" t="n">
        <v>1</v>
      </c>
      <c r="BJ155" s="3" t="n">
        <v>1</v>
      </c>
      <c r="BK155" s="6" t="s">
        <v>555</v>
      </c>
    </row>
    <row r="156" customFormat="false" ht="15" hidden="false" customHeight="true" outlineLevel="0" collapsed="false">
      <c r="B156" s="2" t="s">
        <v>556</v>
      </c>
      <c r="C156" s="2" t="s">
        <v>153</v>
      </c>
      <c r="D156" s="2" t="s">
        <v>557</v>
      </c>
      <c r="E156" s="2" t="n">
        <v>166805</v>
      </c>
      <c r="F156" s="15" t="n">
        <v>43441</v>
      </c>
      <c r="G156" s="15" t="n">
        <v>43444</v>
      </c>
      <c r="H156" s="3" t="n">
        <v>3</v>
      </c>
      <c r="I156" s="3" t="n">
        <v>2</v>
      </c>
      <c r="J156" s="3" t="n">
        <v>66</v>
      </c>
      <c r="K156" s="3" t="n">
        <v>1</v>
      </c>
      <c r="L156" s="3" t="n">
        <v>2</v>
      </c>
      <c r="M156" s="3" t="n">
        <v>2</v>
      </c>
      <c r="N156" s="3" t="n">
        <v>2</v>
      </c>
      <c r="O156" s="3" t="n">
        <v>2</v>
      </c>
      <c r="P156" s="3" t="n">
        <v>2</v>
      </c>
      <c r="Q156" s="3" t="n">
        <v>1</v>
      </c>
      <c r="R156" s="3" t="n">
        <v>2</v>
      </c>
      <c r="S156" s="3" t="n">
        <v>2</v>
      </c>
      <c r="T156" s="4" t="n">
        <v>12</v>
      </c>
      <c r="U156" s="3" t="n">
        <v>1</v>
      </c>
      <c r="V156" s="3" t="n">
        <v>4.09</v>
      </c>
      <c r="W156" s="3" t="n">
        <v>0.76</v>
      </c>
      <c r="X156" s="3" t="n">
        <v>8.77</v>
      </c>
      <c r="Y156" s="3" t="n">
        <v>298</v>
      </c>
      <c r="AA156" s="3" t="n">
        <v>0.4</v>
      </c>
      <c r="AB156" s="3" t="n">
        <v>8.5</v>
      </c>
      <c r="AC156" s="3" t="n">
        <v>1</v>
      </c>
      <c r="AD156" s="3" t="n">
        <v>2</v>
      </c>
      <c r="AE156" s="3" t="n">
        <v>2</v>
      </c>
      <c r="AF156" s="3" t="n">
        <v>2</v>
      </c>
      <c r="AG156" s="3" t="n">
        <v>2</v>
      </c>
      <c r="AH156" s="3" t="n">
        <v>2</v>
      </c>
      <c r="AI156" s="3" t="n">
        <v>2</v>
      </c>
      <c r="AJ156" s="3" t="n">
        <v>2</v>
      </c>
      <c r="AK156" s="3" t="n">
        <v>2</v>
      </c>
      <c r="AL156" s="3" t="n">
        <v>2</v>
      </c>
      <c r="AM156" s="3" t="n">
        <v>2</v>
      </c>
      <c r="AN156" s="3" t="n">
        <v>2</v>
      </c>
      <c r="AO156" s="3" t="n">
        <v>2</v>
      </c>
      <c r="AP156" s="3" t="n">
        <v>3</v>
      </c>
      <c r="AQ156" s="3" t="n">
        <v>4</v>
      </c>
      <c r="AR156" s="3" t="n">
        <v>4</v>
      </c>
      <c r="AS156" s="3" t="n">
        <v>6</v>
      </c>
      <c r="AT156" s="3" t="n">
        <v>4</v>
      </c>
      <c r="AU156" s="3" t="n">
        <v>4</v>
      </c>
      <c r="AV156" s="3" t="n">
        <v>6</v>
      </c>
      <c r="AW156" s="3" t="n">
        <v>6</v>
      </c>
      <c r="AX156" s="3" t="n">
        <v>3</v>
      </c>
      <c r="AY156" s="3" t="n">
        <v>3</v>
      </c>
      <c r="AZ156" s="3" t="n">
        <v>1</v>
      </c>
      <c r="BA156" s="5" t="n">
        <v>3</v>
      </c>
      <c r="BB156" s="3" t="n">
        <v>2</v>
      </c>
      <c r="BC156" s="3" t="n">
        <v>1</v>
      </c>
      <c r="BD156" s="3" t="n">
        <v>6</v>
      </c>
      <c r="BE156" s="3" t="n">
        <v>3</v>
      </c>
      <c r="BF156" s="3" t="n">
        <v>5</v>
      </c>
      <c r="BG156" s="3" t="n">
        <v>3</v>
      </c>
      <c r="BH156" s="3" t="n">
        <v>4</v>
      </c>
      <c r="BI156" s="3" t="n">
        <v>1</v>
      </c>
      <c r="BJ156" s="3" t="n">
        <v>1</v>
      </c>
      <c r="BK156" s="6" t="s">
        <v>558</v>
      </c>
    </row>
    <row r="157" customFormat="false" ht="15" hidden="false" customHeight="true" outlineLevel="0" collapsed="false">
      <c r="B157" s="2" t="s">
        <v>559</v>
      </c>
      <c r="C157" s="2" t="s">
        <v>560</v>
      </c>
      <c r="D157" s="2" t="s">
        <v>561</v>
      </c>
      <c r="E157" s="2" t="n">
        <v>166832</v>
      </c>
      <c r="F157" s="15" t="n">
        <v>43442</v>
      </c>
      <c r="G157" s="15" t="n">
        <v>43445</v>
      </c>
      <c r="H157" s="3" t="n">
        <v>3</v>
      </c>
      <c r="I157" s="3" t="n">
        <v>2</v>
      </c>
      <c r="J157" s="3" t="n">
        <v>53</v>
      </c>
      <c r="K157" s="3" t="n">
        <v>2</v>
      </c>
      <c r="L157" s="3" t="n">
        <v>1</v>
      </c>
      <c r="M157" s="3" t="n">
        <v>1</v>
      </c>
      <c r="N157" s="3" t="n">
        <v>2</v>
      </c>
      <c r="O157" s="3" t="n">
        <v>2</v>
      </c>
      <c r="P157" s="3" t="n">
        <v>2</v>
      </c>
      <c r="Q157" s="3" t="n">
        <v>2</v>
      </c>
      <c r="R157" s="3" t="n">
        <v>2</v>
      </c>
      <c r="S157" s="3" t="n">
        <v>2</v>
      </c>
      <c r="T157" s="4" t="n">
        <v>11</v>
      </c>
      <c r="U157" s="3" t="n">
        <v>2</v>
      </c>
      <c r="V157" s="3" t="n">
        <v>3.69</v>
      </c>
      <c r="W157" s="3" t="n">
        <v>0.84</v>
      </c>
      <c r="X157" s="3" t="n">
        <v>7</v>
      </c>
      <c r="Y157" s="3" t="n">
        <v>478</v>
      </c>
      <c r="AA157" s="3" t="n">
        <v>0.4</v>
      </c>
      <c r="AB157" s="3" t="n">
        <v>9.1</v>
      </c>
      <c r="AC157" s="3" t="n">
        <v>1</v>
      </c>
      <c r="AD157" s="3" t="n">
        <v>2</v>
      </c>
      <c r="AE157" s="3" t="n">
        <v>1</v>
      </c>
      <c r="AF157" s="3" t="n">
        <v>2</v>
      </c>
      <c r="AG157" s="3" t="n">
        <v>2</v>
      </c>
      <c r="AH157" s="3" t="n">
        <v>2</v>
      </c>
      <c r="AI157" s="3" t="n">
        <v>2</v>
      </c>
      <c r="AJ157" s="3" t="n">
        <v>2</v>
      </c>
      <c r="AK157" s="3" t="n">
        <v>2</v>
      </c>
      <c r="AL157" s="3" t="n">
        <v>2</v>
      </c>
      <c r="AM157" s="3" t="n">
        <v>2</v>
      </c>
      <c r="AN157" s="3" t="n">
        <v>2</v>
      </c>
      <c r="AO157" s="3" t="n">
        <v>2</v>
      </c>
      <c r="AP157" s="3" t="n">
        <v>3</v>
      </c>
      <c r="AQ157" s="3" t="n">
        <v>4</v>
      </c>
      <c r="AR157" s="3" t="n">
        <v>4</v>
      </c>
      <c r="AS157" s="3" t="n">
        <v>6</v>
      </c>
      <c r="AT157" s="3" t="n">
        <v>4</v>
      </c>
      <c r="AU157" s="3" t="n">
        <v>4</v>
      </c>
      <c r="AV157" s="3" t="n">
        <v>6</v>
      </c>
      <c r="AW157" s="3" t="n">
        <v>6</v>
      </c>
      <c r="AX157" s="3" t="n">
        <v>3</v>
      </c>
      <c r="AY157" s="3" t="n">
        <v>3</v>
      </c>
      <c r="AZ157" s="3" t="n">
        <v>1</v>
      </c>
      <c r="BA157" s="5" t="n">
        <v>9</v>
      </c>
      <c r="BB157" s="3" t="n">
        <v>2</v>
      </c>
      <c r="BC157" s="3" t="n">
        <v>1</v>
      </c>
      <c r="BD157" s="3" t="n">
        <v>6</v>
      </c>
      <c r="BE157" s="3" t="n">
        <v>3</v>
      </c>
      <c r="BF157" s="3" t="n">
        <v>5</v>
      </c>
      <c r="BG157" s="3" t="n">
        <v>3</v>
      </c>
      <c r="BH157" s="3" t="n">
        <v>4</v>
      </c>
      <c r="BI157" s="3" t="n">
        <v>1</v>
      </c>
      <c r="BJ157" s="3" t="n">
        <v>1</v>
      </c>
      <c r="BK157" s="6" t="s">
        <v>562</v>
      </c>
    </row>
    <row r="158" customFormat="false" ht="15" hidden="false" customHeight="true" outlineLevel="0" collapsed="false">
      <c r="B158" s="2" t="s">
        <v>563</v>
      </c>
      <c r="C158" s="2" t="s">
        <v>127</v>
      </c>
      <c r="D158" s="2" t="s">
        <v>564</v>
      </c>
      <c r="E158" s="2" t="n">
        <v>166734</v>
      </c>
      <c r="F158" s="15" t="n">
        <v>43438</v>
      </c>
      <c r="G158" s="15" t="n">
        <v>43445</v>
      </c>
      <c r="H158" s="3" t="n">
        <v>7</v>
      </c>
      <c r="I158" s="3" t="n">
        <v>2</v>
      </c>
      <c r="J158" s="3" t="n">
        <v>77</v>
      </c>
      <c r="K158" s="3" t="n">
        <v>1</v>
      </c>
      <c r="L158" s="3" t="n">
        <v>2</v>
      </c>
      <c r="M158" s="3" t="n">
        <v>2</v>
      </c>
      <c r="N158" s="3" t="n">
        <v>2</v>
      </c>
      <c r="O158" s="3" t="n">
        <v>2</v>
      </c>
      <c r="P158" s="3" t="n">
        <v>2</v>
      </c>
      <c r="Q158" s="3" t="n">
        <v>2</v>
      </c>
      <c r="R158" s="3" t="n">
        <v>2</v>
      </c>
      <c r="S158" s="3" t="n">
        <v>2</v>
      </c>
      <c r="T158" s="4" t="n">
        <v>1</v>
      </c>
      <c r="U158" s="3" t="n">
        <v>1</v>
      </c>
      <c r="V158" s="3" t="n">
        <v>3.64</v>
      </c>
      <c r="X158" s="3" t="n">
        <v>4.51</v>
      </c>
      <c r="Y158" s="3" t="n">
        <v>288</v>
      </c>
      <c r="AA158" s="3" t="n">
        <v>0.35</v>
      </c>
      <c r="AB158" s="3" t="n">
        <v>12.6</v>
      </c>
      <c r="AC158" s="3" t="n">
        <v>1</v>
      </c>
      <c r="AD158" s="3" t="n">
        <v>1</v>
      </c>
      <c r="AE158" s="3" t="n">
        <v>1</v>
      </c>
      <c r="AF158" s="3" t="n">
        <v>1</v>
      </c>
      <c r="AG158" s="3" t="n">
        <v>2</v>
      </c>
      <c r="AH158" s="3" t="n">
        <v>2</v>
      </c>
      <c r="AI158" s="3" t="n">
        <v>1</v>
      </c>
      <c r="AJ158" s="3" t="n">
        <v>2</v>
      </c>
      <c r="AK158" s="3" t="n">
        <v>2</v>
      </c>
      <c r="AL158" s="3" t="n">
        <v>2</v>
      </c>
      <c r="AM158" s="3" t="n">
        <v>2</v>
      </c>
      <c r="AN158" s="3" t="n">
        <v>2</v>
      </c>
      <c r="AO158" s="3" t="n">
        <v>2</v>
      </c>
      <c r="AP158" s="3" t="n">
        <v>3</v>
      </c>
      <c r="AQ158" s="3" t="n">
        <v>4</v>
      </c>
      <c r="AR158" s="3" t="n">
        <v>4</v>
      </c>
      <c r="AS158" s="3" t="n">
        <v>6</v>
      </c>
      <c r="AT158" s="3" t="n">
        <v>4</v>
      </c>
      <c r="AU158" s="3" t="n">
        <v>4</v>
      </c>
      <c r="AV158" s="3" t="n">
        <v>6</v>
      </c>
      <c r="AW158" s="3" t="n">
        <v>6</v>
      </c>
      <c r="AX158" s="3" t="n">
        <v>3</v>
      </c>
      <c r="AY158" s="3" t="n">
        <v>3</v>
      </c>
      <c r="AZ158" s="3" t="n">
        <v>1</v>
      </c>
      <c r="BA158" s="5" t="n">
        <v>5</v>
      </c>
      <c r="BB158" s="3" t="n">
        <v>2</v>
      </c>
      <c r="BC158" s="3" t="n">
        <v>1</v>
      </c>
      <c r="BD158" s="3" t="n">
        <v>6</v>
      </c>
      <c r="BE158" s="3" t="n">
        <v>3</v>
      </c>
      <c r="BF158" s="3" t="n">
        <v>5</v>
      </c>
      <c r="BG158" s="3" t="n">
        <v>3</v>
      </c>
      <c r="BH158" s="3" t="n">
        <v>4</v>
      </c>
      <c r="BI158" s="3" t="n">
        <v>1</v>
      </c>
      <c r="BJ158" s="3" t="n">
        <v>1</v>
      </c>
      <c r="BK158" s="6" t="s">
        <v>565</v>
      </c>
    </row>
    <row r="159" customFormat="false" ht="15" hidden="false" customHeight="true" outlineLevel="0" collapsed="false">
      <c r="B159" s="2" t="s">
        <v>566</v>
      </c>
      <c r="C159" s="2" t="s">
        <v>244</v>
      </c>
      <c r="D159" s="2" t="s">
        <v>70</v>
      </c>
      <c r="E159" s="2" t="s">
        <v>567</v>
      </c>
      <c r="F159" s="15" t="n">
        <v>43439</v>
      </c>
      <c r="G159" s="15" t="n">
        <v>43445</v>
      </c>
      <c r="H159" s="3" t="n">
        <v>6</v>
      </c>
      <c r="I159" s="3" t="n">
        <v>1</v>
      </c>
      <c r="J159" s="3" t="n">
        <v>84</v>
      </c>
      <c r="K159" s="3" t="n">
        <v>1</v>
      </c>
      <c r="L159" s="3" t="n">
        <v>2</v>
      </c>
      <c r="M159" s="3" t="n">
        <v>1</v>
      </c>
      <c r="N159" s="3" t="n">
        <v>2</v>
      </c>
      <c r="O159" s="3" t="n">
        <v>2</v>
      </c>
      <c r="P159" s="3" t="n">
        <v>2</v>
      </c>
      <c r="Q159" s="3" t="n">
        <v>2</v>
      </c>
      <c r="R159" s="3" t="n">
        <v>2</v>
      </c>
      <c r="S159" s="3" t="n">
        <v>1</v>
      </c>
      <c r="T159" s="4" t="n">
        <v>12</v>
      </c>
      <c r="U159" s="3" t="n">
        <v>4</v>
      </c>
      <c r="V159" s="3" t="n">
        <v>4.31</v>
      </c>
      <c r="W159" s="3" t="n">
        <v>1.26</v>
      </c>
      <c r="X159" s="3" t="n">
        <v>9.57</v>
      </c>
      <c r="Y159" s="3" t="n">
        <v>438</v>
      </c>
      <c r="AA159" s="3" t="n">
        <v>0.37</v>
      </c>
      <c r="AB159" s="3" t="n">
        <v>9.2</v>
      </c>
      <c r="AC159" s="3" t="n">
        <v>3</v>
      </c>
      <c r="AD159" s="3" t="n">
        <v>1</v>
      </c>
      <c r="AE159" s="3" t="n">
        <v>2</v>
      </c>
      <c r="AF159" s="3" t="n">
        <v>2</v>
      </c>
      <c r="AG159" s="3" t="n">
        <v>2</v>
      </c>
      <c r="AH159" s="3" t="n">
        <v>2</v>
      </c>
      <c r="AI159" s="3" t="n">
        <v>1</v>
      </c>
      <c r="AJ159" s="3" t="n">
        <v>1</v>
      </c>
      <c r="AK159" s="3" t="n">
        <v>1</v>
      </c>
      <c r="AL159" s="3" t="n">
        <v>1</v>
      </c>
      <c r="AM159" s="3" t="n">
        <v>1</v>
      </c>
      <c r="AN159" s="3" t="n">
        <v>2</v>
      </c>
      <c r="AO159" s="3" t="n">
        <v>2</v>
      </c>
      <c r="AP159" s="3" t="n">
        <v>3</v>
      </c>
      <c r="AQ159" s="3" t="n">
        <v>4</v>
      </c>
      <c r="AR159" s="3" t="n">
        <v>4</v>
      </c>
      <c r="AS159" s="3" t="n">
        <v>6</v>
      </c>
      <c r="AT159" s="3" t="n">
        <v>4</v>
      </c>
      <c r="AU159" s="3" t="n">
        <v>4</v>
      </c>
      <c r="AV159" s="3" t="n">
        <v>6</v>
      </c>
      <c r="AW159" s="3" t="n">
        <v>6</v>
      </c>
      <c r="AX159" s="3" t="n">
        <v>3</v>
      </c>
      <c r="AY159" s="3" t="n">
        <v>3</v>
      </c>
      <c r="AZ159" s="3" t="n">
        <v>1</v>
      </c>
      <c r="BA159" s="5" t="n">
        <v>3</v>
      </c>
      <c r="BB159" s="3" t="n">
        <v>2</v>
      </c>
      <c r="BC159" s="3" t="n">
        <v>1</v>
      </c>
      <c r="BD159" s="3" t="n">
        <v>6</v>
      </c>
      <c r="BE159" s="3" t="n">
        <v>3</v>
      </c>
      <c r="BF159" s="3" t="n">
        <v>5</v>
      </c>
      <c r="BG159" s="3" t="n">
        <v>3</v>
      </c>
      <c r="BH159" s="3" t="n">
        <v>4</v>
      </c>
      <c r="BI159" s="3" t="n">
        <v>1</v>
      </c>
      <c r="BJ159" s="3" t="n">
        <v>1</v>
      </c>
      <c r="BK159" s="6" t="s">
        <v>568</v>
      </c>
    </row>
    <row r="160" customFormat="false" ht="15" hidden="false" customHeight="true" outlineLevel="0" collapsed="false">
      <c r="B160" s="2" t="s">
        <v>569</v>
      </c>
      <c r="C160" s="2" t="s">
        <v>570</v>
      </c>
      <c r="D160" s="2" t="s">
        <v>571</v>
      </c>
      <c r="E160" s="2" t="n">
        <v>166708</v>
      </c>
      <c r="F160" s="15" t="n">
        <v>43438</v>
      </c>
      <c r="G160" s="15" t="n">
        <v>43445</v>
      </c>
      <c r="H160" s="3" t="n">
        <v>7</v>
      </c>
      <c r="I160" s="3" t="n">
        <v>2</v>
      </c>
      <c r="J160" s="3" t="n">
        <v>59</v>
      </c>
      <c r="K160" s="3" t="n">
        <v>1</v>
      </c>
      <c r="L160" s="3" t="n">
        <v>2</v>
      </c>
      <c r="M160" s="3" t="n">
        <v>2</v>
      </c>
      <c r="N160" s="3" t="n">
        <v>2</v>
      </c>
      <c r="O160" s="3" t="n">
        <v>2</v>
      </c>
      <c r="P160" s="3" t="n">
        <v>2</v>
      </c>
      <c r="Q160" s="3" t="n">
        <v>1</v>
      </c>
      <c r="R160" s="3" t="n">
        <v>2</v>
      </c>
      <c r="S160" s="3" t="n">
        <v>2</v>
      </c>
      <c r="T160" s="4" t="n">
        <v>6</v>
      </c>
      <c r="U160" s="3" t="n">
        <v>4</v>
      </c>
      <c r="V160" s="3" t="n">
        <v>2.97</v>
      </c>
      <c r="W160" s="3" t="n">
        <v>0.41</v>
      </c>
      <c r="X160" s="3" t="n">
        <v>10.53</v>
      </c>
      <c r="Y160" s="3" t="n">
        <v>208</v>
      </c>
      <c r="AA160" s="3" t="n">
        <v>0.44</v>
      </c>
      <c r="AB160" s="3" t="n">
        <v>13.8</v>
      </c>
      <c r="AC160" s="3" t="n">
        <v>1</v>
      </c>
      <c r="AD160" s="3" t="n">
        <v>2</v>
      </c>
      <c r="AE160" s="3" t="n">
        <v>2</v>
      </c>
      <c r="AF160" s="3" t="n">
        <v>2</v>
      </c>
      <c r="AG160" s="3" t="n">
        <v>2</v>
      </c>
      <c r="AH160" s="3" t="n">
        <v>2</v>
      </c>
      <c r="AI160" s="3" t="n">
        <v>1</v>
      </c>
      <c r="AJ160" s="3" t="n">
        <v>2</v>
      </c>
      <c r="AK160" s="3" t="n">
        <v>2</v>
      </c>
      <c r="AL160" s="3" t="n">
        <v>2</v>
      </c>
      <c r="AM160" s="3" t="n">
        <v>2</v>
      </c>
      <c r="AN160" s="3" t="n">
        <v>2</v>
      </c>
      <c r="AO160" s="3" t="n">
        <v>2</v>
      </c>
      <c r="AP160" s="3" t="n">
        <v>3</v>
      </c>
      <c r="AQ160" s="3" t="n">
        <v>4</v>
      </c>
      <c r="AR160" s="3" t="n">
        <v>4</v>
      </c>
      <c r="AS160" s="3" t="n">
        <v>6</v>
      </c>
      <c r="AT160" s="3" t="n">
        <v>4</v>
      </c>
      <c r="AU160" s="3" t="n">
        <v>4</v>
      </c>
      <c r="AV160" s="3" t="n">
        <v>6</v>
      </c>
      <c r="AW160" s="3" t="n">
        <v>6</v>
      </c>
      <c r="AX160" s="3" t="n">
        <v>3</v>
      </c>
      <c r="AY160" s="3" t="n">
        <v>3</v>
      </c>
      <c r="AZ160" s="3" t="n">
        <v>1</v>
      </c>
      <c r="BA160" s="5" t="n">
        <v>10</v>
      </c>
      <c r="BB160" s="3" t="n">
        <v>2</v>
      </c>
      <c r="BC160" s="3" t="n">
        <v>1</v>
      </c>
      <c r="BD160" s="3" t="n">
        <v>6</v>
      </c>
      <c r="BE160" s="3" t="n">
        <v>3</v>
      </c>
      <c r="BF160" s="3" t="n">
        <v>5</v>
      </c>
      <c r="BG160" s="3" t="n">
        <v>3</v>
      </c>
      <c r="BH160" s="3" t="n">
        <v>4</v>
      </c>
      <c r="BI160" s="3" t="n">
        <v>1</v>
      </c>
      <c r="BJ160" s="3" t="n">
        <v>1</v>
      </c>
      <c r="BK160" s="6" t="s">
        <v>572</v>
      </c>
    </row>
    <row r="161" customFormat="false" ht="15" hidden="false" customHeight="true" outlineLevel="0" collapsed="false">
      <c r="B161" s="2" t="s">
        <v>573</v>
      </c>
      <c r="C161" s="2" t="s">
        <v>345</v>
      </c>
      <c r="D161" s="2" t="s">
        <v>574</v>
      </c>
      <c r="E161" s="2" t="n">
        <v>166857</v>
      </c>
      <c r="F161" s="15" t="n">
        <v>43443</v>
      </c>
      <c r="G161" s="15" t="n">
        <v>43445</v>
      </c>
      <c r="H161" s="3" t="n">
        <v>2</v>
      </c>
      <c r="I161" s="3" t="n">
        <v>2</v>
      </c>
      <c r="J161" s="3" t="n">
        <v>65</v>
      </c>
      <c r="K161" s="3" t="n">
        <v>1</v>
      </c>
      <c r="L161" s="3" t="n">
        <v>2</v>
      </c>
      <c r="M161" s="3" t="n">
        <v>1</v>
      </c>
      <c r="N161" s="3" t="n">
        <v>1</v>
      </c>
      <c r="O161" s="3" t="n">
        <v>1</v>
      </c>
      <c r="P161" s="3" t="n">
        <v>1</v>
      </c>
      <c r="Q161" s="3" t="n">
        <v>1</v>
      </c>
      <c r="R161" s="3" t="n">
        <v>2</v>
      </c>
      <c r="S161" s="3" t="n">
        <v>2</v>
      </c>
      <c r="T161" s="4" t="n">
        <v>1</v>
      </c>
      <c r="U161" s="3" t="n">
        <v>1</v>
      </c>
      <c r="V161" s="3" t="n">
        <v>4.49</v>
      </c>
      <c r="W161" s="3" t="n">
        <v>3.68</v>
      </c>
      <c r="X161" s="3" t="n">
        <v>8.73</v>
      </c>
      <c r="Y161" s="3" t="n">
        <v>360</v>
      </c>
      <c r="AA161" s="3" t="n">
        <v>0.4</v>
      </c>
      <c r="AB161" s="3" t="n">
        <v>10.1</v>
      </c>
      <c r="AC161" s="3" t="n">
        <v>1</v>
      </c>
      <c r="AD161" s="3" t="n">
        <v>1</v>
      </c>
      <c r="AE161" s="3" t="n">
        <v>1</v>
      </c>
      <c r="AF161" s="3" t="n">
        <v>1</v>
      </c>
      <c r="AG161" s="3" t="n">
        <v>1</v>
      </c>
      <c r="AH161" s="3" t="n">
        <v>2</v>
      </c>
      <c r="AI161" s="3" t="n">
        <v>1</v>
      </c>
      <c r="AJ161" s="3" t="n">
        <v>1</v>
      </c>
      <c r="AK161" s="3" t="n">
        <v>1</v>
      </c>
      <c r="AL161" s="3" t="n">
        <v>2</v>
      </c>
      <c r="AM161" s="3" t="n">
        <v>1</v>
      </c>
      <c r="AN161" s="3" t="n">
        <v>2</v>
      </c>
      <c r="AO161" s="3" t="n">
        <v>2</v>
      </c>
      <c r="AP161" s="3" t="n">
        <v>1</v>
      </c>
      <c r="AQ161" s="3" t="n">
        <v>3</v>
      </c>
      <c r="AR161" s="3" t="n">
        <v>5</v>
      </c>
      <c r="AS161" s="3" t="n">
        <v>3</v>
      </c>
      <c r="AT161" s="3" t="n">
        <v>3</v>
      </c>
      <c r="AU161" s="3" t="n">
        <v>1</v>
      </c>
      <c r="AV161" s="3" t="n">
        <v>1</v>
      </c>
      <c r="AW161" s="3" t="n">
        <v>1</v>
      </c>
      <c r="AX161" s="3" t="n">
        <v>2</v>
      </c>
      <c r="AY161" s="3" t="n">
        <v>2</v>
      </c>
      <c r="AZ161" s="3" t="n">
        <v>1</v>
      </c>
      <c r="BA161" s="5" t="n">
        <v>5</v>
      </c>
      <c r="BB161" s="3" t="n">
        <v>2</v>
      </c>
      <c r="BC161" s="3" t="n">
        <v>1</v>
      </c>
      <c r="BD161" s="3" t="n">
        <v>6</v>
      </c>
      <c r="BE161" s="3" t="n">
        <v>3</v>
      </c>
      <c r="BF161" s="3" t="n">
        <v>5</v>
      </c>
      <c r="BG161" s="3" t="n">
        <v>3</v>
      </c>
      <c r="BH161" s="3" t="n">
        <v>4</v>
      </c>
      <c r="BI161" s="3" t="n">
        <v>1</v>
      </c>
      <c r="BJ161" s="3" t="n">
        <v>1</v>
      </c>
      <c r="BK161" s="6" t="s">
        <v>575</v>
      </c>
    </row>
    <row r="162" customFormat="false" ht="15" hidden="false" customHeight="true" outlineLevel="0" collapsed="false">
      <c r="B162" s="2" t="s">
        <v>576</v>
      </c>
      <c r="C162" s="2" t="s">
        <v>577</v>
      </c>
      <c r="D162" s="2" t="s">
        <v>578</v>
      </c>
      <c r="E162" s="2" t="n">
        <v>166780</v>
      </c>
      <c r="F162" s="15" t="n">
        <v>43440</v>
      </c>
      <c r="G162" s="15" t="n">
        <v>43446</v>
      </c>
      <c r="H162" s="3" t="n">
        <v>6</v>
      </c>
      <c r="I162" s="3" t="n">
        <v>1</v>
      </c>
      <c r="J162" s="3" t="n">
        <v>64</v>
      </c>
      <c r="K162" s="3" t="n">
        <v>1</v>
      </c>
      <c r="L162" s="3" t="n">
        <v>2</v>
      </c>
      <c r="M162" s="3" t="n">
        <v>1</v>
      </c>
      <c r="N162" s="3" t="n">
        <v>2</v>
      </c>
      <c r="O162" s="3" t="n">
        <v>1</v>
      </c>
      <c r="P162" s="3" t="n">
        <v>2</v>
      </c>
      <c r="Q162" s="3" t="n">
        <v>1</v>
      </c>
      <c r="R162" s="3" t="n">
        <v>2</v>
      </c>
      <c r="S162" s="3" t="n">
        <v>2</v>
      </c>
      <c r="T162" s="4" t="n">
        <v>6</v>
      </c>
      <c r="U162" s="3" t="n">
        <v>4</v>
      </c>
      <c r="V162" s="3" t="n">
        <v>4.03</v>
      </c>
      <c r="W162" s="3" t="n">
        <v>0.85</v>
      </c>
      <c r="X162" s="3" t="n">
        <v>13.02</v>
      </c>
      <c r="Y162" s="3" t="n">
        <v>389</v>
      </c>
      <c r="AA162" s="3" t="n">
        <v>0.35</v>
      </c>
      <c r="AB162" s="3" t="n">
        <v>10.1</v>
      </c>
      <c r="AC162" s="3" t="n">
        <v>1</v>
      </c>
      <c r="AD162" s="3" t="n">
        <v>2</v>
      </c>
      <c r="AE162" s="3" t="n">
        <v>2</v>
      </c>
      <c r="AF162" s="3" t="n">
        <v>2</v>
      </c>
      <c r="AG162" s="3" t="n">
        <v>2</v>
      </c>
      <c r="AH162" s="3" t="n">
        <v>2</v>
      </c>
      <c r="AI162" s="3" t="n">
        <v>1</v>
      </c>
      <c r="AJ162" s="3" t="n">
        <v>2</v>
      </c>
      <c r="AK162" s="3" t="n">
        <v>1</v>
      </c>
      <c r="AL162" s="3" t="n">
        <v>2</v>
      </c>
      <c r="AM162" s="3" t="n">
        <v>1</v>
      </c>
      <c r="AN162" s="3" t="n">
        <v>1</v>
      </c>
      <c r="AO162" s="3" t="n">
        <v>2</v>
      </c>
      <c r="AP162" s="3" t="n">
        <v>3</v>
      </c>
      <c r="AQ162" s="3" t="n">
        <v>4</v>
      </c>
      <c r="AR162" s="3" t="n">
        <v>4</v>
      </c>
      <c r="AS162" s="3" t="n">
        <v>6</v>
      </c>
      <c r="AT162" s="3" t="n">
        <v>4</v>
      </c>
      <c r="AU162" s="3" t="n">
        <v>4</v>
      </c>
      <c r="AV162" s="3" t="n">
        <v>6</v>
      </c>
      <c r="AW162" s="3" t="n">
        <v>6</v>
      </c>
      <c r="AX162" s="3" t="n">
        <v>3</v>
      </c>
      <c r="AY162" s="3" t="n">
        <v>3</v>
      </c>
      <c r="AZ162" s="3" t="n">
        <v>1</v>
      </c>
      <c r="BA162" s="5" t="n">
        <v>10</v>
      </c>
      <c r="BB162" s="3" t="n">
        <v>2</v>
      </c>
      <c r="BC162" s="3" t="n">
        <v>1</v>
      </c>
      <c r="BD162" s="3" t="n">
        <v>6</v>
      </c>
      <c r="BE162" s="3" t="n">
        <v>3</v>
      </c>
      <c r="BF162" s="3" t="n">
        <v>5</v>
      </c>
      <c r="BG162" s="3" t="n">
        <v>3</v>
      </c>
      <c r="BH162" s="3" t="n">
        <v>4</v>
      </c>
      <c r="BI162" s="3" t="n">
        <v>1</v>
      </c>
      <c r="BJ162" s="3" t="n">
        <v>1</v>
      </c>
      <c r="BK162" s="6" t="s">
        <v>579</v>
      </c>
    </row>
    <row r="163" customFormat="false" ht="15" hidden="false" customHeight="true" outlineLevel="0" collapsed="false">
      <c r="B163" s="2" t="s">
        <v>580</v>
      </c>
      <c r="C163" s="2" t="s">
        <v>438</v>
      </c>
      <c r="D163" s="2" t="s">
        <v>581</v>
      </c>
      <c r="E163" s="2" t="n">
        <v>166789</v>
      </c>
      <c r="F163" s="15" t="n">
        <v>43440</v>
      </c>
      <c r="G163" s="15" t="n">
        <v>43446</v>
      </c>
      <c r="H163" s="3" t="n">
        <v>6</v>
      </c>
      <c r="I163" s="3" t="n">
        <v>1</v>
      </c>
      <c r="J163" s="3" t="n">
        <v>64</v>
      </c>
      <c r="K163" s="3" t="n">
        <v>1</v>
      </c>
      <c r="L163" s="3" t="n">
        <v>2</v>
      </c>
      <c r="M163" s="3" t="n">
        <v>1</v>
      </c>
      <c r="N163" s="3" t="n">
        <v>2</v>
      </c>
      <c r="O163" s="3" t="n">
        <v>2</v>
      </c>
      <c r="P163" s="3" t="n">
        <v>2</v>
      </c>
      <c r="Q163" s="3" t="n">
        <v>2</v>
      </c>
      <c r="R163" s="3" t="n">
        <v>2</v>
      </c>
      <c r="S163" s="3" t="n">
        <v>2</v>
      </c>
      <c r="T163" s="4" t="n">
        <v>1</v>
      </c>
      <c r="U163" s="3" t="n">
        <v>1</v>
      </c>
      <c r="V163" s="3" t="n">
        <v>6.02</v>
      </c>
      <c r="W163" s="3" t="n">
        <v>2.42</v>
      </c>
      <c r="X163" s="3" t="n">
        <v>5.3</v>
      </c>
      <c r="Y163" s="3" t="n">
        <v>351</v>
      </c>
      <c r="AA163" s="3" t="n">
        <v>0.37</v>
      </c>
      <c r="AB163" s="3" t="n">
        <v>6.2</v>
      </c>
      <c r="AC163" s="3" t="n">
        <v>1</v>
      </c>
      <c r="AD163" s="3" t="n">
        <v>1</v>
      </c>
      <c r="AE163" s="3" t="n">
        <v>1</v>
      </c>
      <c r="AF163" s="3" t="n">
        <v>1</v>
      </c>
      <c r="AG163" s="3" t="n">
        <v>2</v>
      </c>
      <c r="AH163" s="3" t="n">
        <v>2</v>
      </c>
      <c r="AI163" s="3" t="n">
        <v>1</v>
      </c>
      <c r="AJ163" s="3" t="n">
        <v>1</v>
      </c>
      <c r="AK163" s="3" t="n">
        <v>2</v>
      </c>
      <c r="AL163" s="3" t="n">
        <v>2</v>
      </c>
      <c r="AM163" s="3" t="n">
        <v>2</v>
      </c>
      <c r="AN163" s="3" t="n">
        <v>2</v>
      </c>
      <c r="AO163" s="3" t="n">
        <v>2</v>
      </c>
      <c r="AP163" s="3" t="n">
        <v>3</v>
      </c>
      <c r="AQ163" s="3" t="n">
        <v>4</v>
      </c>
      <c r="AR163" s="3" t="n">
        <v>4</v>
      </c>
      <c r="AS163" s="3" t="n">
        <v>6</v>
      </c>
      <c r="AT163" s="3" t="n">
        <v>4</v>
      </c>
      <c r="AU163" s="3" t="n">
        <v>4</v>
      </c>
      <c r="AV163" s="3" t="n">
        <v>6</v>
      </c>
      <c r="AW163" s="3" t="n">
        <v>6</v>
      </c>
      <c r="AX163" s="3" t="n">
        <v>3</v>
      </c>
      <c r="AY163" s="3" t="n">
        <v>3</v>
      </c>
      <c r="AZ163" s="3" t="n">
        <v>1</v>
      </c>
      <c r="BA163" s="5" t="n">
        <v>5</v>
      </c>
      <c r="BB163" s="3" t="n">
        <v>2</v>
      </c>
      <c r="BC163" s="3" t="n">
        <v>1</v>
      </c>
      <c r="BD163" s="3" t="n">
        <v>6</v>
      </c>
      <c r="BE163" s="3" t="n">
        <v>3</v>
      </c>
      <c r="BF163" s="3" t="n">
        <v>5</v>
      </c>
      <c r="BG163" s="3" t="n">
        <v>3</v>
      </c>
      <c r="BH163" s="3" t="n">
        <v>4</v>
      </c>
      <c r="BI163" s="3" t="n">
        <v>1</v>
      </c>
      <c r="BJ163" s="3" t="n">
        <v>1</v>
      </c>
      <c r="BK163" s="6" t="s">
        <v>582</v>
      </c>
    </row>
    <row r="164" customFormat="false" ht="15" hidden="false" customHeight="true" outlineLevel="0" collapsed="false">
      <c r="B164" s="2" t="s">
        <v>583</v>
      </c>
      <c r="C164" s="2" t="s">
        <v>584</v>
      </c>
      <c r="D164" s="2" t="s">
        <v>94</v>
      </c>
      <c r="E164" s="2" t="n">
        <v>166752</v>
      </c>
      <c r="F164" s="15" t="n">
        <v>43439</v>
      </c>
      <c r="G164" s="15" t="n">
        <v>43446</v>
      </c>
      <c r="H164" s="3" t="n">
        <v>7</v>
      </c>
      <c r="I164" s="3" t="n">
        <v>1</v>
      </c>
      <c r="J164" s="3" t="n">
        <v>64</v>
      </c>
      <c r="K164" s="3" t="n">
        <v>1</v>
      </c>
      <c r="L164" s="3" t="n">
        <v>2</v>
      </c>
      <c r="M164" s="3" t="n">
        <v>1</v>
      </c>
      <c r="N164" s="3" t="n">
        <v>2</v>
      </c>
      <c r="O164" s="3" t="n">
        <v>2</v>
      </c>
      <c r="P164" s="3" t="n">
        <v>2</v>
      </c>
      <c r="Q164" s="3" t="n">
        <v>2</v>
      </c>
      <c r="R164" s="3" t="n">
        <v>2</v>
      </c>
      <c r="S164" s="3" t="n">
        <v>1</v>
      </c>
      <c r="T164" s="4" t="n">
        <v>2</v>
      </c>
      <c r="U164" s="3" t="n">
        <v>2</v>
      </c>
      <c r="AA164" s="3" t="n">
        <v>0.4</v>
      </c>
      <c r="AB164" s="3" t="n">
        <v>8</v>
      </c>
      <c r="AC164" s="3" t="n">
        <v>1</v>
      </c>
      <c r="AD164" s="3" t="n">
        <v>2</v>
      </c>
      <c r="AE164" s="3" t="n">
        <v>1</v>
      </c>
      <c r="AF164" s="3" t="n">
        <v>1</v>
      </c>
      <c r="AG164" s="3" t="n">
        <v>2</v>
      </c>
      <c r="AH164" s="3" t="n">
        <v>2</v>
      </c>
      <c r="AI164" s="3" t="n">
        <v>1</v>
      </c>
      <c r="AJ164" s="3" t="n">
        <v>1</v>
      </c>
      <c r="AK164" s="3" t="n">
        <v>2</v>
      </c>
      <c r="AL164" s="3" t="n">
        <v>2</v>
      </c>
      <c r="AM164" s="3" t="n">
        <v>1</v>
      </c>
      <c r="AN164" s="3" t="n">
        <v>2</v>
      </c>
      <c r="AO164" s="3" t="n">
        <v>2</v>
      </c>
      <c r="AP164" s="3" t="n">
        <v>3</v>
      </c>
      <c r="AQ164" s="3" t="n">
        <v>4</v>
      </c>
      <c r="AR164" s="3" t="n">
        <v>4</v>
      </c>
      <c r="AS164" s="3" t="n">
        <v>6</v>
      </c>
      <c r="AT164" s="3" t="n">
        <v>4</v>
      </c>
      <c r="AU164" s="3" t="n">
        <v>4</v>
      </c>
      <c r="AV164" s="3" t="n">
        <v>6</v>
      </c>
      <c r="AW164" s="3" t="n">
        <v>6</v>
      </c>
      <c r="AX164" s="3" t="n">
        <v>3</v>
      </c>
      <c r="AY164" s="3" t="n">
        <v>3</v>
      </c>
      <c r="AZ164" s="3" t="n">
        <v>1</v>
      </c>
      <c r="BA164" s="5" t="n">
        <v>1</v>
      </c>
      <c r="BB164" s="3" t="n">
        <v>1</v>
      </c>
      <c r="BC164" s="3" t="n">
        <v>1</v>
      </c>
      <c r="BD164" s="3" t="n">
        <v>4</v>
      </c>
      <c r="BE164" s="3" t="n">
        <v>1</v>
      </c>
      <c r="BF164" s="3" t="n">
        <v>2</v>
      </c>
      <c r="BG164" s="3" t="n">
        <v>1</v>
      </c>
      <c r="BH164" s="3" t="n">
        <v>4</v>
      </c>
      <c r="BI164" s="3" t="n">
        <v>1</v>
      </c>
      <c r="BJ164" s="3" t="n">
        <v>1</v>
      </c>
      <c r="BK164" s="6" t="s">
        <v>585</v>
      </c>
    </row>
    <row r="165" customFormat="false" ht="15" hidden="false" customHeight="true" outlineLevel="0" collapsed="false">
      <c r="B165" s="2" t="s">
        <v>586</v>
      </c>
      <c r="C165" s="2" t="s">
        <v>587</v>
      </c>
      <c r="D165" s="2" t="s">
        <v>588</v>
      </c>
      <c r="E165" s="2" t="n">
        <v>166725</v>
      </c>
      <c r="F165" s="15" t="n">
        <v>43438</v>
      </c>
      <c r="G165" s="15" t="n">
        <v>43451</v>
      </c>
      <c r="H165" s="3" t="n">
        <v>13</v>
      </c>
      <c r="I165" s="3" t="n">
        <v>2</v>
      </c>
      <c r="J165" s="3" t="n">
        <v>74</v>
      </c>
      <c r="K165" s="3" t="n">
        <v>1</v>
      </c>
      <c r="L165" s="3" t="n">
        <v>2</v>
      </c>
      <c r="M165" s="3" t="n">
        <v>2</v>
      </c>
      <c r="N165" s="3" t="n">
        <v>1</v>
      </c>
      <c r="O165" s="3" t="n">
        <v>2</v>
      </c>
      <c r="P165" s="3" t="n">
        <v>2</v>
      </c>
      <c r="Q165" s="3" t="n">
        <v>2</v>
      </c>
      <c r="R165" s="3" t="n">
        <v>2</v>
      </c>
      <c r="S165" s="3" t="n">
        <v>2</v>
      </c>
      <c r="T165" s="4" t="n">
        <v>1</v>
      </c>
      <c r="U165" s="3" t="n">
        <v>4</v>
      </c>
      <c r="V165" s="3" t="n">
        <v>3.91</v>
      </c>
      <c r="W165" s="3" t="n">
        <v>0.94</v>
      </c>
      <c r="X165" s="3" t="n">
        <v>3.16</v>
      </c>
      <c r="Y165" s="3" t="n">
        <v>323</v>
      </c>
      <c r="AA165" s="3" t="n">
        <v>0.35</v>
      </c>
      <c r="AB165" s="3" t="n">
        <v>12.3</v>
      </c>
      <c r="AC165" s="3" t="n">
        <v>1</v>
      </c>
      <c r="AD165" s="3" t="n">
        <v>1</v>
      </c>
      <c r="AE165" s="3" t="n">
        <v>1</v>
      </c>
      <c r="AF165" s="3" t="n">
        <v>2</v>
      </c>
      <c r="AG165" s="3" t="n">
        <v>2</v>
      </c>
      <c r="AH165" s="3" t="n">
        <v>2</v>
      </c>
      <c r="AI165" s="3" t="n">
        <v>1</v>
      </c>
      <c r="AJ165" s="3" t="n">
        <v>2</v>
      </c>
      <c r="AK165" s="3" t="n">
        <v>2</v>
      </c>
      <c r="AL165" s="3" t="n">
        <v>2</v>
      </c>
      <c r="AM165" s="3" t="n">
        <v>1</v>
      </c>
      <c r="AN165" s="3" t="n">
        <v>2</v>
      </c>
      <c r="AO165" s="3" t="n">
        <v>2</v>
      </c>
      <c r="AP165" s="3" t="n">
        <v>1</v>
      </c>
      <c r="AQ165" s="3" t="n">
        <v>3</v>
      </c>
      <c r="AR165" s="3" t="n">
        <v>4</v>
      </c>
      <c r="AS165" s="3" t="n">
        <v>6</v>
      </c>
      <c r="AT165" s="3" t="n">
        <v>4</v>
      </c>
      <c r="AU165" s="3" t="n">
        <v>4</v>
      </c>
      <c r="AV165" s="3" t="n">
        <v>9</v>
      </c>
      <c r="AW165" s="3" t="n">
        <v>6</v>
      </c>
      <c r="AX165" s="3" t="n">
        <v>3</v>
      </c>
      <c r="AY165" s="3" t="n">
        <v>3</v>
      </c>
      <c r="AZ165" s="3" t="n">
        <v>6</v>
      </c>
      <c r="BA165" s="5" t="n">
        <v>5</v>
      </c>
      <c r="BB165" s="3" t="n">
        <v>2</v>
      </c>
      <c r="BC165" s="3" t="n">
        <v>1</v>
      </c>
      <c r="BD165" s="3" t="n">
        <v>6</v>
      </c>
      <c r="BE165" s="3" t="n">
        <v>3</v>
      </c>
      <c r="BF165" s="3" t="n">
        <v>5</v>
      </c>
      <c r="BG165" s="3" t="n">
        <v>3</v>
      </c>
      <c r="BH165" s="3" t="n">
        <v>4</v>
      </c>
      <c r="BI165" s="3" t="n">
        <v>1</v>
      </c>
      <c r="BJ165" s="3" t="n">
        <v>1</v>
      </c>
      <c r="BK165" s="6" t="s">
        <v>589</v>
      </c>
    </row>
    <row r="166" customFormat="false" ht="15" hidden="false" customHeight="true" outlineLevel="0" collapsed="false">
      <c r="B166" s="2" t="s">
        <v>590</v>
      </c>
      <c r="C166" s="2" t="s">
        <v>78</v>
      </c>
      <c r="D166" s="2" t="s">
        <v>591</v>
      </c>
      <c r="E166" s="2" t="n">
        <v>167294</v>
      </c>
      <c r="F166" s="15" t="n">
        <v>43448</v>
      </c>
      <c r="G166" s="15" t="n">
        <v>43451</v>
      </c>
      <c r="H166" s="3" t="n">
        <v>3</v>
      </c>
      <c r="I166" s="3" t="n">
        <v>1</v>
      </c>
      <c r="J166" s="3" t="n">
        <v>88</v>
      </c>
      <c r="K166" s="3" t="n">
        <v>1</v>
      </c>
      <c r="L166" s="3" t="n">
        <v>2</v>
      </c>
      <c r="M166" s="3" t="n">
        <v>1</v>
      </c>
      <c r="N166" s="3" t="n">
        <v>2</v>
      </c>
      <c r="O166" s="3" t="n">
        <v>2</v>
      </c>
      <c r="P166" s="3" t="n">
        <v>2</v>
      </c>
      <c r="Q166" s="3" t="n">
        <v>2</v>
      </c>
      <c r="R166" s="3" t="n">
        <v>2</v>
      </c>
      <c r="S166" s="3" t="n">
        <v>2</v>
      </c>
      <c r="T166" s="4" t="n">
        <v>6</v>
      </c>
      <c r="U166" s="3" t="n">
        <v>4</v>
      </c>
      <c r="V166" s="3" t="n">
        <v>5.8</v>
      </c>
      <c r="W166" s="3" t="n">
        <v>1.2</v>
      </c>
      <c r="X166" s="3" t="n">
        <v>6.4</v>
      </c>
      <c r="Y166" s="3" t="n">
        <v>345</v>
      </c>
      <c r="AA166" s="3" t="n">
        <v>0.35</v>
      </c>
      <c r="AB166" s="3" t="n">
        <v>6.9</v>
      </c>
      <c r="AC166" s="3" t="n">
        <v>3</v>
      </c>
      <c r="AD166" s="3" t="n">
        <v>2</v>
      </c>
      <c r="AE166" s="3" t="n">
        <v>1</v>
      </c>
      <c r="AF166" s="3" t="n">
        <v>1</v>
      </c>
      <c r="AG166" s="3" t="n">
        <v>2</v>
      </c>
      <c r="AH166" s="3" t="n">
        <v>2</v>
      </c>
      <c r="AI166" s="3" t="n">
        <v>2</v>
      </c>
      <c r="AJ166" s="3" t="n">
        <v>1</v>
      </c>
      <c r="AK166" s="3" t="n">
        <v>2</v>
      </c>
      <c r="AL166" s="3" t="n">
        <v>2</v>
      </c>
      <c r="AM166" s="3" t="n">
        <v>2</v>
      </c>
      <c r="AN166" s="3" t="n">
        <v>2</v>
      </c>
      <c r="AO166" s="3" t="n">
        <v>1</v>
      </c>
      <c r="AP166" s="3" t="n">
        <v>3</v>
      </c>
      <c r="AQ166" s="3" t="n">
        <v>4</v>
      </c>
      <c r="AR166" s="3" t="n">
        <v>4</v>
      </c>
      <c r="AS166" s="3" t="n">
        <v>6</v>
      </c>
      <c r="AT166" s="3" t="n">
        <v>4</v>
      </c>
      <c r="AU166" s="3" t="n">
        <v>4</v>
      </c>
      <c r="AV166" s="3" t="n">
        <v>6</v>
      </c>
      <c r="AW166" s="3" t="n">
        <v>6</v>
      </c>
      <c r="AX166" s="3" t="n">
        <v>3</v>
      </c>
      <c r="AY166" s="3" t="n">
        <v>3</v>
      </c>
      <c r="AZ166" s="3" t="n">
        <v>1</v>
      </c>
      <c r="BA166" s="5" t="n">
        <v>10</v>
      </c>
      <c r="BB166" s="3" t="n">
        <v>2</v>
      </c>
      <c r="BC166" s="3" t="n">
        <v>1</v>
      </c>
      <c r="BD166" s="3" t="n">
        <v>6</v>
      </c>
      <c r="BE166" s="3" t="n">
        <v>3</v>
      </c>
      <c r="BF166" s="3" t="n">
        <v>5</v>
      </c>
      <c r="BG166" s="3" t="n">
        <v>3</v>
      </c>
      <c r="BH166" s="3" t="n">
        <v>4</v>
      </c>
      <c r="BI166" s="3" t="n">
        <v>1</v>
      </c>
      <c r="BJ166" s="3" t="n">
        <v>1</v>
      </c>
      <c r="BK166" s="6" t="s">
        <v>592</v>
      </c>
    </row>
    <row r="167" customFormat="false" ht="15" hidden="false" customHeight="true" outlineLevel="0" collapsed="false">
      <c r="B167" s="2" t="s">
        <v>593</v>
      </c>
      <c r="C167" s="2" t="s">
        <v>594</v>
      </c>
      <c r="D167" s="2" t="s">
        <v>595</v>
      </c>
      <c r="E167" s="2" t="n">
        <v>167289</v>
      </c>
      <c r="F167" s="15" t="n">
        <v>43448</v>
      </c>
      <c r="G167" s="15" t="n">
        <v>43452</v>
      </c>
      <c r="H167" s="3" t="n">
        <v>4</v>
      </c>
      <c r="I167" s="3" t="n">
        <v>1</v>
      </c>
      <c r="J167" s="3" t="n">
        <v>71</v>
      </c>
      <c r="K167" s="3" t="n">
        <v>2</v>
      </c>
      <c r="L167" s="3" t="n">
        <v>2</v>
      </c>
      <c r="M167" s="3" t="n">
        <v>1</v>
      </c>
      <c r="N167" s="3" t="n">
        <v>1</v>
      </c>
      <c r="O167" s="3" t="n">
        <v>2</v>
      </c>
      <c r="P167" s="3" t="n">
        <v>2</v>
      </c>
      <c r="Q167" s="3" t="n">
        <v>2</v>
      </c>
      <c r="R167" s="3" t="n">
        <v>2</v>
      </c>
      <c r="S167" s="3" t="n">
        <v>2</v>
      </c>
      <c r="T167" s="4" t="n">
        <v>1</v>
      </c>
      <c r="U167" s="3" t="n">
        <v>1</v>
      </c>
      <c r="V167" s="3" t="n">
        <v>6.11</v>
      </c>
      <c r="W167" s="3" t="n">
        <v>1.83</v>
      </c>
      <c r="X167" s="3" t="n">
        <v>5.2</v>
      </c>
      <c r="Y167" s="3" t="n">
        <v>783</v>
      </c>
      <c r="AA167" s="3" t="n">
        <v>0.35</v>
      </c>
      <c r="AB167" s="3" t="n">
        <v>6.3</v>
      </c>
      <c r="AD167" s="3" t="n">
        <v>1</v>
      </c>
      <c r="AE167" s="3" t="n">
        <v>1</v>
      </c>
      <c r="AF167" s="3" t="n">
        <v>1</v>
      </c>
      <c r="AG167" s="3" t="n">
        <v>1</v>
      </c>
      <c r="AH167" s="3" t="n">
        <v>2</v>
      </c>
      <c r="AI167" s="3" t="n">
        <v>1</v>
      </c>
      <c r="AJ167" s="3" t="n">
        <v>2</v>
      </c>
      <c r="AK167" s="3" t="n">
        <v>2</v>
      </c>
      <c r="AL167" s="3" t="n">
        <v>2</v>
      </c>
      <c r="AM167" s="3" t="n">
        <v>1</v>
      </c>
      <c r="AN167" s="3" t="n">
        <v>2</v>
      </c>
      <c r="AO167" s="3" t="n">
        <v>2</v>
      </c>
      <c r="AP167" s="3" t="n">
        <v>3</v>
      </c>
      <c r="AQ167" s="3" t="n">
        <v>4</v>
      </c>
      <c r="AR167" s="3" t="n">
        <v>4</v>
      </c>
      <c r="AS167" s="3" t="n">
        <v>6</v>
      </c>
      <c r="AT167" s="3" t="n">
        <v>4</v>
      </c>
      <c r="AU167" s="3" t="n">
        <v>4</v>
      </c>
      <c r="AV167" s="3" t="n">
        <v>6</v>
      </c>
      <c r="AW167" s="3" t="n">
        <v>6</v>
      </c>
      <c r="AX167" s="3" t="n">
        <v>3</v>
      </c>
      <c r="AY167" s="3" t="n">
        <v>3</v>
      </c>
      <c r="AZ167" s="3" t="n">
        <v>1</v>
      </c>
      <c r="BA167" s="5" t="n">
        <v>5</v>
      </c>
      <c r="BB167" s="3" t="n">
        <v>2</v>
      </c>
      <c r="BC167" s="3" t="n">
        <v>1</v>
      </c>
      <c r="BD167" s="3" t="n">
        <v>6</v>
      </c>
      <c r="BE167" s="3" t="n">
        <v>3</v>
      </c>
      <c r="BF167" s="3" t="n">
        <v>5</v>
      </c>
      <c r="BG167" s="3" t="n">
        <v>3</v>
      </c>
      <c r="BH167" s="3" t="n">
        <v>4</v>
      </c>
      <c r="BI167" s="3" t="n">
        <v>1</v>
      </c>
      <c r="BJ167" s="3" t="n">
        <v>1</v>
      </c>
      <c r="BK167" s="6" t="s">
        <v>596</v>
      </c>
    </row>
    <row r="168" customFormat="false" ht="15" hidden="false" customHeight="true" outlineLevel="0" collapsed="false">
      <c r="B168" s="2" t="s">
        <v>597</v>
      </c>
      <c r="C168" s="2" t="s">
        <v>598</v>
      </c>
      <c r="D168" s="2" t="s">
        <v>599</v>
      </c>
      <c r="E168" s="2" t="n">
        <v>167243</v>
      </c>
      <c r="F168" s="15" t="n">
        <v>43446</v>
      </c>
      <c r="G168" s="15" t="n">
        <v>43452</v>
      </c>
      <c r="H168" s="3" t="n">
        <v>6</v>
      </c>
      <c r="I168" s="3" t="n">
        <v>2</v>
      </c>
      <c r="J168" s="3" t="n">
        <v>75</v>
      </c>
      <c r="K168" s="3" t="n">
        <v>1</v>
      </c>
      <c r="L168" s="3" t="n">
        <v>2</v>
      </c>
      <c r="M168" s="3" t="n">
        <v>1</v>
      </c>
      <c r="N168" s="3" t="n">
        <v>1</v>
      </c>
      <c r="O168" s="3" t="n">
        <v>2</v>
      </c>
      <c r="P168" s="3" t="n">
        <v>2</v>
      </c>
      <c r="Q168" s="3" t="n">
        <v>1</v>
      </c>
      <c r="R168" s="3" t="n">
        <v>2</v>
      </c>
      <c r="S168" s="3" t="n">
        <v>1</v>
      </c>
      <c r="T168" s="4" t="n">
        <v>3</v>
      </c>
      <c r="U168" s="3" t="n">
        <v>1</v>
      </c>
      <c r="V168" s="3" t="n">
        <v>5.45</v>
      </c>
      <c r="W168" s="3" t="n">
        <v>1.09</v>
      </c>
      <c r="X168" s="3" t="n">
        <v>4</v>
      </c>
      <c r="Y168" s="3" t="n">
        <v>496</v>
      </c>
      <c r="AA168" s="3" t="n">
        <v>0.35</v>
      </c>
      <c r="AB168" s="3" t="n">
        <v>11.8</v>
      </c>
      <c r="AD168" s="3" t="n">
        <v>1</v>
      </c>
      <c r="AE168" s="3" t="n">
        <v>1</v>
      </c>
      <c r="AF168" s="3" t="n">
        <v>2</v>
      </c>
      <c r="AG168" s="3" t="n">
        <v>2</v>
      </c>
      <c r="AH168" s="3" t="n">
        <v>2</v>
      </c>
      <c r="AI168" s="3" t="n">
        <v>2</v>
      </c>
      <c r="AJ168" s="3" t="n">
        <v>1</v>
      </c>
      <c r="AK168" s="3" t="n">
        <v>2</v>
      </c>
      <c r="AL168" s="3" t="n">
        <v>2</v>
      </c>
      <c r="AM168" s="3" t="n">
        <v>1</v>
      </c>
      <c r="AN168" s="3" t="n">
        <v>2</v>
      </c>
      <c r="AO168" s="3" t="n">
        <v>2</v>
      </c>
      <c r="AP168" s="3" t="n">
        <v>3</v>
      </c>
      <c r="AQ168" s="3" t="n">
        <v>4</v>
      </c>
      <c r="AR168" s="3" t="n">
        <v>4</v>
      </c>
      <c r="AS168" s="3" t="n">
        <v>6</v>
      </c>
      <c r="AT168" s="3" t="n">
        <v>4</v>
      </c>
      <c r="AU168" s="3" t="n">
        <v>4</v>
      </c>
      <c r="AV168" s="3" t="n">
        <v>6</v>
      </c>
      <c r="AW168" s="3" t="n">
        <v>6</v>
      </c>
      <c r="AX168" s="3" t="n">
        <v>3</v>
      </c>
      <c r="AY168" s="3" t="n">
        <v>3</v>
      </c>
      <c r="AZ168" s="3" t="n">
        <v>1</v>
      </c>
      <c r="BA168" s="5" t="n">
        <v>11</v>
      </c>
      <c r="BB168" s="3" t="n">
        <v>2</v>
      </c>
      <c r="BC168" s="3" t="n">
        <v>1</v>
      </c>
      <c r="BD168" s="3" t="n">
        <v>6</v>
      </c>
      <c r="BE168" s="3" t="n">
        <v>3</v>
      </c>
      <c r="BF168" s="3" t="n">
        <v>5</v>
      </c>
      <c r="BG168" s="3" t="n">
        <v>3</v>
      </c>
      <c r="BH168" s="3" t="n">
        <v>4</v>
      </c>
      <c r="BI168" s="3" t="n">
        <v>1</v>
      </c>
      <c r="BJ168" s="3" t="n">
        <v>1</v>
      </c>
      <c r="BK168" s="6" t="s">
        <v>600</v>
      </c>
    </row>
    <row r="169" customFormat="false" ht="15" hidden="false" customHeight="true" outlineLevel="0" collapsed="false">
      <c r="B169" s="2" t="s">
        <v>601</v>
      </c>
      <c r="C169" s="2" t="s">
        <v>602</v>
      </c>
      <c r="D169" s="2" t="s">
        <v>94</v>
      </c>
      <c r="E169" s="2" t="n">
        <v>167261</v>
      </c>
      <c r="F169" s="15" t="n">
        <v>43446</v>
      </c>
      <c r="G169" s="15" t="n">
        <v>43452</v>
      </c>
      <c r="H169" s="3" t="n">
        <v>6</v>
      </c>
      <c r="I169" s="3" t="n">
        <v>1</v>
      </c>
      <c r="J169" s="3" t="n">
        <v>69</v>
      </c>
      <c r="K169" s="3" t="n">
        <v>1</v>
      </c>
      <c r="L169" s="3" t="n">
        <v>2</v>
      </c>
      <c r="M169" s="3" t="n">
        <v>1</v>
      </c>
      <c r="N169" s="3" t="n">
        <v>2</v>
      </c>
      <c r="O169" s="3" t="n">
        <v>2</v>
      </c>
      <c r="P169" s="3" t="n">
        <v>2</v>
      </c>
      <c r="Q169" s="3" t="n">
        <v>2</v>
      </c>
      <c r="R169" s="3" t="n">
        <v>2</v>
      </c>
      <c r="S169" s="3" t="n">
        <v>2</v>
      </c>
      <c r="T169" s="4" t="n">
        <v>1</v>
      </c>
      <c r="U169" s="3" t="n">
        <v>1</v>
      </c>
      <c r="V169" s="3" t="n">
        <v>10.6</v>
      </c>
      <c r="W169" s="3" t="n">
        <v>2.75</v>
      </c>
      <c r="X169" s="3" t="n">
        <v>3.6</v>
      </c>
      <c r="Y169" s="3" t="n">
        <v>347</v>
      </c>
      <c r="AA169" s="3" t="n">
        <v>0.41</v>
      </c>
      <c r="AB169" s="3" t="n">
        <v>12.1</v>
      </c>
      <c r="AC169" s="3" t="n">
        <v>1</v>
      </c>
      <c r="AD169" s="3" t="n">
        <v>1</v>
      </c>
      <c r="AE169" s="3" t="n">
        <v>2</v>
      </c>
      <c r="AF169" s="3" t="n">
        <v>1</v>
      </c>
      <c r="AG169" s="3" t="n">
        <v>1</v>
      </c>
      <c r="AH169" s="3" t="n">
        <v>1</v>
      </c>
      <c r="AI169" s="3" t="n">
        <v>2</v>
      </c>
      <c r="AJ169" s="3" t="n">
        <v>1</v>
      </c>
      <c r="AK169" s="3" t="n">
        <v>2</v>
      </c>
      <c r="AL169" s="3" t="n">
        <v>2</v>
      </c>
      <c r="AM169" s="3" t="n">
        <v>2</v>
      </c>
      <c r="AN169" s="3" t="n">
        <v>2</v>
      </c>
      <c r="AO169" s="3" t="n">
        <v>2</v>
      </c>
      <c r="AP169" s="3" t="n">
        <v>3</v>
      </c>
      <c r="AQ169" s="3" t="n">
        <v>4</v>
      </c>
      <c r="AR169" s="3" t="n">
        <v>4</v>
      </c>
      <c r="AS169" s="3" t="n">
        <v>6</v>
      </c>
      <c r="AT169" s="3" t="n">
        <v>4</v>
      </c>
      <c r="AU169" s="3" t="n">
        <v>4</v>
      </c>
      <c r="AV169" s="3" t="n">
        <v>6</v>
      </c>
      <c r="AW169" s="3" t="n">
        <v>6</v>
      </c>
      <c r="AX169" s="3" t="n">
        <v>3</v>
      </c>
      <c r="AY169" s="3" t="n">
        <v>3</v>
      </c>
      <c r="AZ169" s="3" t="n">
        <v>1</v>
      </c>
      <c r="BA169" s="5" t="n">
        <v>5</v>
      </c>
      <c r="BB169" s="3" t="n">
        <v>2</v>
      </c>
      <c r="BC169" s="3" t="n">
        <v>1</v>
      </c>
      <c r="BD169" s="3" t="n">
        <v>6</v>
      </c>
      <c r="BE169" s="3" t="n">
        <v>3</v>
      </c>
      <c r="BF169" s="3" t="n">
        <v>5</v>
      </c>
      <c r="BG169" s="3" t="n">
        <v>3</v>
      </c>
      <c r="BH169" s="3" t="n">
        <v>4</v>
      </c>
      <c r="BI169" s="3" t="n">
        <v>1</v>
      </c>
      <c r="BJ169" s="3" t="n">
        <v>1</v>
      </c>
      <c r="BK169" s="6" t="s">
        <v>603</v>
      </c>
    </row>
    <row r="170" customFormat="false" ht="15" hidden="false" customHeight="true" outlineLevel="0" collapsed="false">
      <c r="B170" s="2" t="s">
        <v>604</v>
      </c>
      <c r="C170" s="2" t="s">
        <v>210</v>
      </c>
      <c r="D170" s="2" t="s">
        <v>605</v>
      </c>
      <c r="E170" s="2" t="n">
        <v>166390</v>
      </c>
      <c r="F170" s="15" t="n">
        <v>43444</v>
      </c>
      <c r="G170" s="15" t="n">
        <v>43452</v>
      </c>
      <c r="H170" s="3" t="n">
        <v>8</v>
      </c>
      <c r="I170" s="3" t="n">
        <v>2</v>
      </c>
      <c r="J170" s="3" t="n">
        <v>58</v>
      </c>
      <c r="K170" s="3" t="n">
        <v>1</v>
      </c>
      <c r="L170" s="3" t="n">
        <v>2</v>
      </c>
      <c r="M170" s="3" t="n">
        <v>1</v>
      </c>
      <c r="N170" s="3" t="n">
        <v>2</v>
      </c>
      <c r="O170" s="3" t="n">
        <v>2</v>
      </c>
      <c r="P170" s="3" t="n">
        <v>2</v>
      </c>
      <c r="Q170" s="3" t="n">
        <v>2</v>
      </c>
      <c r="R170" s="3" t="n">
        <v>2</v>
      </c>
      <c r="S170" s="3" t="n">
        <v>1</v>
      </c>
      <c r="T170" s="4" t="n">
        <v>2</v>
      </c>
      <c r="U170" s="3" t="n">
        <v>1</v>
      </c>
      <c r="V170" s="3" t="n">
        <v>4.73</v>
      </c>
      <c r="W170" s="3" t="n">
        <v>1.32</v>
      </c>
      <c r="X170" s="3" t="n">
        <v>3.36</v>
      </c>
      <c r="Y170" s="3" t="n">
        <v>175</v>
      </c>
      <c r="AA170" s="3" t="n">
        <v>0.32</v>
      </c>
      <c r="AB170" s="3" t="n">
        <v>7</v>
      </c>
      <c r="AC170" s="3" t="n">
        <v>1</v>
      </c>
      <c r="AD170" s="3" t="n">
        <v>2</v>
      </c>
      <c r="AE170" s="3" t="n">
        <v>1</v>
      </c>
      <c r="AF170" s="3" t="n">
        <v>1</v>
      </c>
      <c r="AG170" s="3" t="n">
        <v>2</v>
      </c>
      <c r="AH170" s="3" t="n">
        <v>2</v>
      </c>
      <c r="AI170" s="3" t="n">
        <v>2</v>
      </c>
      <c r="AJ170" s="3" t="n">
        <v>1</v>
      </c>
      <c r="AK170" s="3" t="n">
        <v>2</v>
      </c>
      <c r="AL170" s="3" t="n">
        <v>1</v>
      </c>
      <c r="AM170" s="3" t="n">
        <v>1</v>
      </c>
      <c r="AN170" s="3" t="n">
        <v>2</v>
      </c>
      <c r="AO170" s="3" t="n">
        <v>2</v>
      </c>
      <c r="AP170" s="3" t="n">
        <v>3</v>
      </c>
      <c r="AQ170" s="3" t="n">
        <v>4</v>
      </c>
      <c r="AR170" s="3" t="n">
        <v>4</v>
      </c>
      <c r="AS170" s="3" t="n">
        <v>6</v>
      </c>
      <c r="AT170" s="3" t="n">
        <v>4</v>
      </c>
      <c r="AU170" s="3" t="n">
        <v>4</v>
      </c>
      <c r="AV170" s="3" t="n">
        <v>6</v>
      </c>
      <c r="AW170" s="3" t="n">
        <v>6</v>
      </c>
      <c r="AX170" s="3" t="n">
        <v>3</v>
      </c>
      <c r="AY170" s="3" t="n">
        <v>3</v>
      </c>
      <c r="AZ170" s="3" t="n">
        <v>1</v>
      </c>
      <c r="BA170" s="5" t="n">
        <v>7</v>
      </c>
      <c r="BB170" s="3" t="n">
        <v>2</v>
      </c>
      <c r="BC170" s="3" t="n">
        <v>1</v>
      </c>
      <c r="BD170" s="3" t="n">
        <v>6</v>
      </c>
      <c r="BE170" s="3" t="n">
        <v>3</v>
      </c>
      <c r="BF170" s="3" t="n">
        <v>5</v>
      </c>
      <c r="BG170" s="3" t="n">
        <v>3</v>
      </c>
      <c r="BH170" s="3" t="n">
        <v>4</v>
      </c>
      <c r="BI170" s="3" t="n">
        <v>1</v>
      </c>
      <c r="BJ170" s="3" t="n">
        <v>1</v>
      </c>
      <c r="BK170" s="6" t="s">
        <v>606</v>
      </c>
    </row>
    <row r="171" customFormat="false" ht="15" hidden="false" customHeight="true" outlineLevel="0" collapsed="false">
      <c r="B171" s="2" t="s">
        <v>607</v>
      </c>
      <c r="C171" s="2" t="s">
        <v>608</v>
      </c>
      <c r="D171" s="2" t="s">
        <v>94</v>
      </c>
      <c r="E171" s="2" t="n">
        <v>122312</v>
      </c>
      <c r="F171" s="15" t="n">
        <v>43447</v>
      </c>
      <c r="G171" s="15" t="n">
        <v>43452</v>
      </c>
      <c r="H171" s="3" t="n">
        <v>5</v>
      </c>
      <c r="I171" s="3" t="n">
        <v>1</v>
      </c>
      <c r="J171" s="3" t="n">
        <v>77</v>
      </c>
      <c r="K171" s="3" t="n">
        <v>1</v>
      </c>
      <c r="L171" s="3" t="n">
        <v>2</v>
      </c>
      <c r="M171" s="3" t="n">
        <v>1</v>
      </c>
      <c r="N171" s="3" t="n">
        <v>2</v>
      </c>
      <c r="O171" s="3" t="n">
        <v>2</v>
      </c>
      <c r="P171" s="3" t="n">
        <v>2</v>
      </c>
      <c r="Q171" s="3" t="n">
        <v>2</v>
      </c>
      <c r="R171" s="3" t="n">
        <v>2</v>
      </c>
      <c r="S171" s="3" t="n">
        <v>1</v>
      </c>
      <c r="T171" s="4" t="n">
        <v>1</v>
      </c>
      <c r="U171" s="3" t="n">
        <v>1</v>
      </c>
      <c r="V171" s="3" t="n">
        <v>5.43</v>
      </c>
      <c r="W171" s="3" t="n">
        <v>1.67</v>
      </c>
      <c r="X171" s="3" t="n">
        <v>5.4</v>
      </c>
      <c r="Y171" s="3" t="n">
        <v>340</v>
      </c>
      <c r="AA171" s="3" t="n">
        <v>0.42</v>
      </c>
      <c r="AB171" s="3" t="n">
        <v>7.1</v>
      </c>
      <c r="AC171" s="3" t="n">
        <v>1</v>
      </c>
      <c r="AD171" s="3" t="n">
        <v>1</v>
      </c>
      <c r="AE171" s="3" t="n">
        <v>1</v>
      </c>
      <c r="AF171" s="3" t="n">
        <v>1</v>
      </c>
      <c r="AG171" s="3" t="n">
        <v>1</v>
      </c>
      <c r="AH171" s="3" t="n">
        <v>1</v>
      </c>
      <c r="AI171" s="3" t="n">
        <v>1</v>
      </c>
      <c r="AJ171" s="3" t="n">
        <v>2</v>
      </c>
      <c r="AK171" s="3" t="n">
        <v>2</v>
      </c>
      <c r="AL171" s="3" t="n">
        <v>2</v>
      </c>
      <c r="AM171" s="3" t="n">
        <v>2</v>
      </c>
      <c r="AN171" s="3" t="n">
        <v>2</v>
      </c>
      <c r="AO171" s="3" t="n">
        <v>2</v>
      </c>
      <c r="AP171" s="3" t="n">
        <v>3</v>
      </c>
      <c r="AQ171" s="3" t="n">
        <v>4</v>
      </c>
      <c r="AR171" s="3" t="n">
        <v>4</v>
      </c>
      <c r="AS171" s="3" t="n">
        <v>6</v>
      </c>
      <c r="AT171" s="3" t="n">
        <v>4</v>
      </c>
      <c r="AU171" s="3" t="n">
        <v>4</v>
      </c>
      <c r="AV171" s="3" t="n">
        <v>6</v>
      </c>
      <c r="AW171" s="3" t="n">
        <v>6</v>
      </c>
      <c r="AX171" s="3" t="n">
        <v>3</v>
      </c>
      <c r="AY171" s="3" t="n">
        <v>3</v>
      </c>
      <c r="AZ171" s="3" t="n">
        <v>1</v>
      </c>
      <c r="BA171" s="5" t="n">
        <v>5</v>
      </c>
      <c r="BB171" s="3" t="n">
        <v>2</v>
      </c>
      <c r="BC171" s="3" t="n">
        <v>1</v>
      </c>
      <c r="BD171" s="3" t="n">
        <v>6</v>
      </c>
      <c r="BE171" s="3" t="n">
        <v>3</v>
      </c>
      <c r="BF171" s="3" t="n">
        <v>5</v>
      </c>
      <c r="BG171" s="3" t="n">
        <v>3</v>
      </c>
      <c r="BH171" s="3" t="n">
        <v>4</v>
      </c>
      <c r="BI171" s="3" t="n">
        <v>1</v>
      </c>
      <c r="BJ171" s="3" t="n">
        <v>1</v>
      </c>
      <c r="BK171" s="6" t="s">
        <v>609</v>
      </c>
    </row>
    <row r="172" customFormat="false" ht="15" hidden="false" customHeight="true" outlineLevel="0" collapsed="false">
      <c r="B172" s="17" t="s">
        <v>610</v>
      </c>
      <c r="C172" s="2" t="s">
        <v>66</v>
      </c>
      <c r="D172" s="2" t="s">
        <v>611</v>
      </c>
      <c r="E172" s="2" t="n">
        <v>167295</v>
      </c>
      <c r="F172" s="15" t="n">
        <v>43448</v>
      </c>
      <c r="G172" s="15" t="n">
        <v>43453</v>
      </c>
      <c r="H172" s="3" t="n">
        <v>5</v>
      </c>
      <c r="I172" s="3" t="n">
        <v>2</v>
      </c>
      <c r="J172" s="3" t="n">
        <v>79</v>
      </c>
      <c r="K172" s="3" t="n">
        <v>1</v>
      </c>
      <c r="L172" s="3" t="n">
        <v>2</v>
      </c>
      <c r="M172" s="3" t="n">
        <v>1</v>
      </c>
      <c r="N172" s="3" t="n">
        <v>2</v>
      </c>
      <c r="O172" s="3" t="n">
        <v>2</v>
      </c>
      <c r="P172" s="3" t="n">
        <v>2</v>
      </c>
      <c r="Q172" s="3" t="n">
        <v>1</v>
      </c>
      <c r="R172" s="3" t="n">
        <v>2</v>
      </c>
      <c r="S172" s="3" t="n">
        <v>1</v>
      </c>
      <c r="T172" s="4" t="n">
        <v>1</v>
      </c>
      <c r="U172" s="3" t="n">
        <v>1</v>
      </c>
      <c r="V172" s="3" t="n">
        <v>4.56</v>
      </c>
      <c r="W172" s="3" t="n">
        <v>2.15</v>
      </c>
      <c r="X172" s="3" t="n">
        <v>5.5</v>
      </c>
      <c r="Y172" s="3" t="n">
        <v>326</v>
      </c>
      <c r="AA172" s="3" t="n">
        <v>0.35</v>
      </c>
      <c r="AB172" s="3" t="n">
        <v>6</v>
      </c>
      <c r="AC172" s="3" t="n">
        <v>1</v>
      </c>
      <c r="AD172" s="3" t="n">
        <v>1</v>
      </c>
      <c r="AE172" s="3" t="n">
        <v>1</v>
      </c>
      <c r="AF172" s="3" t="n">
        <v>1</v>
      </c>
      <c r="AG172" s="3" t="n">
        <v>2</v>
      </c>
      <c r="AH172" s="3" t="n">
        <v>2</v>
      </c>
      <c r="AI172" s="3" t="n">
        <v>1</v>
      </c>
      <c r="AJ172" s="3" t="n">
        <v>2</v>
      </c>
      <c r="AK172" s="3" t="n">
        <v>2</v>
      </c>
      <c r="AL172" s="3" t="n">
        <v>2</v>
      </c>
      <c r="AM172" s="3" t="n">
        <v>2</v>
      </c>
      <c r="AN172" s="3" t="n">
        <v>2</v>
      </c>
      <c r="AO172" s="3" t="n">
        <v>2</v>
      </c>
      <c r="AP172" s="3" t="n">
        <v>3</v>
      </c>
      <c r="AQ172" s="3" t="n">
        <v>4</v>
      </c>
      <c r="AR172" s="3" t="n">
        <v>4</v>
      </c>
      <c r="AS172" s="3" t="n">
        <v>6</v>
      </c>
      <c r="AT172" s="3" t="n">
        <v>4</v>
      </c>
      <c r="AU172" s="3" t="n">
        <v>4</v>
      </c>
      <c r="AV172" s="3" t="n">
        <v>6</v>
      </c>
      <c r="AW172" s="3" t="n">
        <v>6</v>
      </c>
      <c r="AX172" s="3" t="n">
        <v>3</v>
      </c>
      <c r="AY172" s="3" t="n">
        <v>3</v>
      </c>
      <c r="AZ172" s="3" t="n">
        <v>1</v>
      </c>
      <c r="BA172" s="5" t="n">
        <v>5</v>
      </c>
      <c r="BB172" s="3" t="n">
        <v>2</v>
      </c>
      <c r="BC172" s="3" t="n">
        <v>1</v>
      </c>
      <c r="BD172" s="3" t="n">
        <v>6</v>
      </c>
      <c r="BE172" s="3" t="n">
        <v>3</v>
      </c>
      <c r="BF172" s="3" t="n">
        <v>5</v>
      </c>
      <c r="BG172" s="3" t="n">
        <v>3</v>
      </c>
      <c r="BH172" s="3" t="n">
        <v>4</v>
      </c>
      <c r="BI172" s="3" t="n">
        <v>1</v>
      </c>
      <c r="BJ172" s="3" t="n">
        <v>1</v>
      </c>
      <c r="BK172" s="6" t="s">
        <v>612</v>
      </c>
    </row>
    <row r="173" customFormat="false" ht="15" hidden="false" customHeight="true" outlineLevel="0" collapsed="false">
      <c r="B173" s="2" t="s">
        <v>613</v>
      </c>
      <c r="C173" s="2" t="s">
        <v>127</v>
      </c>
      <c r="D173" s="2" t="s">
        <v>614</v>
      </c>
      <c r="E173" s="2" t="n">
        <v>167708</v>
      </c>
      <c r="F173" s="15" t="n">
        <v>43452</v>
      </c>
      <c r="G173" s="15" t="n">
        <v>43454</v>
      </c>
      <c r="H173" s="3" t="n">
        <v>2</v>
      </c>
      <c r="I173" s="3" t="n">
        <v>1</v>
      </c>
      <c r="J173" s="3" t="n">
        <v>49</v>
      </c>
      <c r="K173" s="3" t="n">
        <v>1</v>
      </c>
      <c r="L173" s="3" t="n">
        <v>2</v>
      </c>
      <c r="M173" s="3" t="n">
        <v>2</v>
      </c>
      <c r="N173" s="3" t="n">
        <v>2</v>
      </c>
      <c r="O173" s="3" t="n">
        <v>2</v>
      </c>
      <c r="P173" s="3" t="n">
        <v>2</v>
      </c>
      <c r="Q173" s="3" t="n">
        <v>2</v>
      </c>
      <c r="R173" s="3" t="n">
        <v>2</v>
      </c>
      <c r="S173" s="3" t="n">
        <v>2</v>
      </c>
      <c r="T173" s="4" t="n">
        <v>1</v>
      </c>
      <c r="U173" s="3" t="n">
        <v>1</v>
      </c>
      <c r="AC173" s="3" t="n">
        <v>1</v>
      </c>
      <c r="AD173" s="3" t="n">
        <v>2</v>
      </c>
      <c r="AE173" s="3" t="n">
        <v>1</v>
      </c>
      <c r="AF173" s="3" t="n">
        <v>1</v>
      </c>
      <c r="AG173" s="3" t="n">
        <v>2</v>
      </c>
      <c r="AH173" s="3" t="n">
        <v>2</v>
      </c>
      <c r="AI173" s="3" t="n">
        <v>1</v>
      </c>
      <c r="AJ173" s="3" t="n">
        <v>1</v>
      </c>
      <c r="AK173" s="3" t="n">
        <v>2</v>
      </c>
      <c r="AL173" s="3" t="n">
        <v>2</v>
      </c>
      <c r="AM173" s="3" t="n">
        <v>2</v>
      </c>
      <c r="AN173" s="3" t="n">
        <v>2</v>
      </c>
      <c r="AO173" s="3" t="n">
        <v>2</v>
      </c>
      <c r="AP173" s="3" t="n">
        <v>3</v>
      </c>
      <c r="AQ173" s="3" t="n">
        <v>4</v>
      </c>
      <c r="AR173" s="3" t="n">
        <v>4</v>
      </c>
      <c r="AS173" s="3" t="n">
        <v>6</v>
      </c>
      <c r="AT173" s="3" t="n">
        <v>4</v>
      </c>
      <c r="AU173" s="3" t="n">
        <v>4</v>
      </c>
      <c r="AV173" s="3" t="n">
        <v>6</v>
      </c>
      <c r="AW173" s="3" t="n">
        <v>6</v>
      </c>
      <c r="AX173" s="3" t="n">
        <v>3</v>
      </c>
      <c r="AY173" s="3" t="n">
        <v>3</v>
      </c>
      <c r="AZ173" s="3" t="n">
        <v>1</v>
      </c>
      <c r="BA173" s="5" t="n">
        <v>5</v>
      </c>
      <c r="BB173" s="3" t="n">
        <v>2</v>
      </c>
      <c r="BC173" s="3" t="n">
        <v>1</v>
      </c>
      <c r="BD173" s="3" t="n">
        <v>6</v>
      </c>
      <c r="BE173" s="3" t="n">
        <v>3</v>
      </c>
      <c r="BF173" s="3" t="n">
        <v>5</v>
      </c>
      <c r="BG173" s="3" t="n">
        <v>3</v>
      </c>
      <c r="BH173" s="3" t="n">
        <v>4</v>
      </c>
      <c r="BI173" s="3" t="n">
        <v>1</v>
      </c>
      <c r="BJ173" s="3" t="n">
        <v>1</v>
      </c>
      <c r="BK173" s="6" t="s">
        <v>615</v>
      </c>
    </row>
    <row r="174" customFormat="false" ht="15" hidden="false" customHeight="true" outlineLevel="0" collapsed="false">
      <c r="B174" s="2" t="s">
        <v>556</v>
      </c>
      <c r="C174" s="2" t="s">
        <v>301</v>
      </c>
      <c r="D174" s="2" t="s">
        <v>95</v>
      </c>
      <c r="E174" s="2" t="n">
        <v>167273</v>
      </c>
      <c r="F174" s="15" t="n">
        <v>43447</v>
      </c>
      <c r="G174" s="15" t="n">
        <v>43454</v>
      </c>
      <c r="H174" s="3" t="n">
        <v>7</v>
      </c>
      <c r="I174" s="3" t="n">
        <v>2</v>
      </c>
      <c r="J174" s="3" t="n">
        <v>62</v>
      </c>
      <c r="K174" s="3" t="n">
        <v>2</v>
      </c>
      <c r="L174" s="3" t="n">
        <v>2</v>
      </c>
      <c r="M174" s="3" t="n">
        <v>1</v>
      </c>
      <c r="N174" s="3" t="n">
        <v>2</v>
      </c>
      <c r="O174" s="3" t="n">
        <v>2</v>
      </c>
      <c r="P174" s="3" t="n">
        <v>2</v>
      </c>
      <c r="Q174" s="3" t="n">
        <v>2</v>
      </c>
      <c r="R174" s="3" t="n">
        <v>2</v>
      </c>
      <c r="S174" s="3" t="n">
        <v>2</v>
      </c>
      <c r="T174" s="4" t="n">
        <v>2</v>
      </c>
      <c r="U174" s="3" t="n">
        <v>2</v>
      </c>
      <c r="V174" s="3" t="n">
        <v>4.09</v>
      </c>
      <c r="W174" s="3" t="n">
        <v>0.53</v>
      </c>
      <c r="X174" s="3" t="n">
        <v>8.8</v>
      </c>
      <c r="Y174" s="3" t="n">
        <v>397</v>
      </c>
      <c r="AA174" s="3" t="n">
        <v>0.39</v>
      </c>
      <c r="AB174" s="3" t="n">
        <v>9.3</v>
      </c>
      <c r="AC174" s="3" t="n">
        <v>1</v>
      </c>
      <c r="AD174" s="3" t="n">
        <v>1</v>
      </c>
      <c r="AE174" s="3" t="n">
        <v>1</v>
      </c>
      <c r="AF174" s="3" t="n">
        <v>1</v>
      </c>
      <c r="AG174" s="3" t="n">
        <v>2</v>
      </c>
      <c r="AH174" s="3" t="n">
        <v>2</v>
      </c>
      <c r="AI174" s="3" t="n">
        <v>1</v>
      </c>
      <c r="AJ174" s="3" t="n">
        <v>1</v>
      </c>
      <c r="AK174" s="3" t="n">
        <v>2</v>
      </c>
      <c r="AL174" s="3" t="n">
        <v>2</v>
      </c>
      <c r="AM174" s="3" t="n">
        <v>2</v>
      </c>
      <c r="AN174" s="3" t="n">
        <v>2</v>
      </c>
      <c r="AO174" s="3" t="n">
        <v>2</v>
      </c>
      <c r="AP174" s="3" t="n">
        <v>3</v>
      </c>
      <c r="AQ174" s="3" t="n">
        <v>4</v>
      </c>
      <c r="AR174" s="3" t="n">
        <v>4</v>
      </c>
      <c r="AS174" s="3" t="n">
        <v>6</v>
      </c>
      <c r="AT174" s="3" t="n">
        <v>4</v>
      </c>
      <c r="AU174" s="3" t="n">
        <v>4</v>
      </c>
      <c r="AV174" s="3" t="n">
        <v>6</v>
      </c>
      <c r="AW174" s="3" t="n">
        <v>6</v>
      </c>
      <c r="AX174" s="3" t="n">
        <v>3</v>
      </c>
      <c r="AY174" s="3" t="n">
        <v>3</v>
      </c>
      <c r="AZ174" s="3" t="n">
        <v>1</v>
      </c>
      <c r="BA174" s="5" t="n">
        <v>1</v>
      </c>
      <c r="BB174" s="3" t="n">
        <v>1</v>
      </c>
      <c r="BC174" s="3" t="n">
        <v>1</v>
      </c>
      <c r="BD174" s="3" t="n">
        <v>2</v>
      </c>
      <c r="BE174" s="3" t="n">
        <v>1</v>
      </c>
      <c r="BF174" s="3" t="n">
        <v>2</v>
      </c>
      <c r="BG174" s="3" t="n">
        <v>2</v>
      </c>
      <c r="BH174" s="3" t="n">
        <v>4</v>
      </c>
      <c r="BI174" s="3" t="n">
        <v>1</v>
      </c>
      <c r="BJ174" s="3" t="n">
        <v>1</v>
      </c>
      <c r="BK174" s="6" t="s">
        <v>616</v>
      </c>
    </row>
    <row r="175" customFormat="false" ht="15" hidden="false" customHeight="true" outlineLevel="0" collapsed="false">
      <c r="B175" s="2" t="s">
        <v>617</v>
      </c>
      <c r="C175" s="2" t="s">
        <v>618</v>
      </c>
      <c r="D175" s="2" t="s">
        <v>619</v>
      </c>
      <c r="E175" s="2" t="n">
        <v>167267</v>
      </c>
      <c r="F175" s="15" t="n">
        <v>43447</v>
      </c>
      <c r="G175" s="15" t="n">
        <v>43454</v>
      </c>
      <c r="H175" s="3" t="n">
        <v>7</v>
      </c>
      <c r="I175" s="3" t="n">
        <v>2</v>
      </c>
      <c r="J175" s="3" t="n">
        <v>53</v>
      </c>
      <c r="K175" s="3" t="n">
        <v>2</v>
      </c>
      <c r="L175" s="3" t="n">
        <v>1</v>
      </c>
      <c r="M175" s="3" t="n">
        <v>2</v>
      </c>
      <c r="N175" s="3" t="n">
        <v>2</v>
      </c>
      <c r="O175" s="3" t="n">
        <v>2</v>
      </c>
      <c r="P175" s="3" t="n">
        <v>2</v>
      </c>
      <c r="Q175" s="3" t="n">
        <v>2</v>
      </c>
      <c r="R175" s="3" t="n">
        <v>2</v>
      </c>
      <c r="S175" s="3" t="n">
        <v>2</v>
      </c>
      <c r="T175" s="4" t="n">
        <v>2</v>
      </c>
      <c r="U175" s="3" t="n">
        <v>2</v>
      </c>
      <c r="V175" s="3" t="n">
        <v>5.35</v>
      </c>
      <c r="W175" s="3" t="n">
        <v>2.12</v>
      </c>
      <c r="X175" s="3" t="n">
        <v>6.9</v>
      </c>
      <c r="Y175" s="3" t="n">
        <v>326</v>
      </c>
      <c r="AA175" s="3" t="n">
        <v>0.46</v>
      </c>
      <c r="AB175" s="3" t="n">
        <v>12</v>
      </c>
      <c r="AC175" s="3" t="n">
        <v>2</v>
      </c>
      <c r="AD175" s="3" t="n">
        <v>2</v>
      </c>
      <c r="AE175" s="3" t="n">
        <v>1</v>
      </c>
      <c r="AF175" s="3" t="n">
        <v>1</v>
      </c>
      <c r="AG175" s="3" t="n">
        <v>2</v>
      </c>
      <c r="AH175" s="3" t="n">
        <v>2</v>
      </c>
      <c r="AI175" s="3" t="n">
        <v>1</v>
      </c>
      <c r="AJ175" s="3" t="n">
        <v>2</v>
      </c>
      <c r="AK175" s="3" t="n">
        <v>2</v>
      </c>
      <c r="AL175" s="3" t="n">
        <v>2</v>
      </c>
      <c r="AM175" s="3" t="n">
        <v>2</v>
      </c>
      <c r="AN175" s="3" t="n">
        <v>2</v>
      </c>
      <c r="AO175" s="3" t="n">
        <v>2</v>
      </c>
      <c r="AP175" s="3" t="n">
        <v>3</v>
      </c>
      <c r="AQ175" s="3" t="n">
        <v>4</v>
      </c>
      <c r="AR175" s="3" t="n">
        <v>4</v>
      </c>
      <c r="AS175" s="3" t="n">
        <v>6</v>
      </c>
      <c r="AT175" s="3" t="n">
        <v>4</v>
      </c>
      <c r="AU175" s="3" t="n">
        <v>4</v>
      </c>
      <c r="AV175" s="3" t="n">
        <v>6</v>
      </c>
      <c r="AW175" s="3" t="n">
        <v>6</v>
      </c>
      <c r="AX175" s="3" t="n">
        <v>3</v>
      </c>
      <c r="AY175" s="3" t="n">
        <v>3</v>
      </c>
      <c r="AZ175" s="3" t="n">
        <v>1</v>
      </c>
      <c r="BA175" s="5" t="n">
        <v>1</v>
      </c>
      <c r="BB175" s="3" t="n">
        <v>1</v>
      </c>
      <c r="BC175" s="3" t="n">
        <v>1</v>
      </c>
      <c r="BD175" s="3" t="n">
        <v>2</v>
      </c>
      <c r="BE175" s="3" t="n">
        <v>1</v>
      </c>
      <c r="BF175" s="3" t="n">
        <v>2</v>
      </c>
      <c r="BG175" s="3" t="n">
        <v>1</v>
      </c>
      <c r="BH175" s="3" t="n">
        <v>4</v>
      </c>
      <c r="BI175" s="3" t="n">
        <v>1</v>
      </c>
      <c r="BJ175" s="3" t="n">
        <v>1</v>
      </c>
      <c r="BK175" s="6" t="s">
        <v>620</v>
      </c>
    </row>
    <row r="176" customFormat="false" ht="15" hidden="false" customHeight="true" outlineLevel="0" collapsed="false">
      <c r="B176" s="2" t="s">
        <v>621</v>
      </c>
      <c r="C176" s="2" t="s">
        <v>622</v>
      </c>
      <c r="D176" s="2" t="s">
        <v>623</v>
      </c>
      <c r="E176" s="2" t="n">
        <v>167235</v>
      </c>
      <c r="F176" s="15" t="n">
        <v>43446</v>
      </c>
      <c r="G176" s="15" t="n">
        <v>43454</v>
      </c>
      <c r="H176" s="3" t="n">
        <v>8</v>
      </c>
      <c r="I176" s="3" t="n">
        <v>1</v>
      </c>
      <c r="J176" s="3" t="n">
        <v>75</v>
      </c>
      <c r="K176" s="3" t="n">
        <v>1</v>
      </c>
      <c r="L176" s="3" t="n">
        <v>2</v>
      </c>
      <c r="M176" s="3" t="n">
        <v>1</v>
      </c>
      <c r="N176" s="3" t="n">
        <v>2</v>
      </c>
      <c r="O176" s="3" t="n">
        <v>2</v>
      </c>
      <c r="P176" s="3" t="n">
        <v>2</v>
      </c>
      <c r="Q176" s="3" t="n">
        <v>1</v>
      </c>
      <c r="R176" s="3" t="n">
        <v>2</v>
      </c>
      <c r="S176" s="3" t="n">
        <v>1</v>
      </c>
      <c r="T176" s="4" t="n">
        <v>3</v>
      </c>
      <c r="U176" s="3" t="n">
        <v>4</v>
      </c>
      <c r="V176" s="3" t="n">
        <v>3.32</v>
      </c>
      <c r="W176" s="3" t="n">
        <v>0.71</v>
      </c>
      <c r="X176" s="3" t="n">
        <v>4.7</v>
      </c>
      <c r="Y176" s="3" t="n">
        <v>469</v>
      </c>
      <c r="AA176" s="3" t="n">
        <v>0.4</v>
      </c>
      <c r="AB176" s="3" t="n">
        <v>9.5</v>
      </c>
      <c r="AC176" s="3" t="n">
        <v>1</v>
      </c>
      <c r="AD176" s="3" t="n">
        <v>2</v>
      </c>
      <c r="AE176" s="3" t="n">
        <v>1</v>
      </c>
      <c r="AF176" s="3" t="n">
        <v>1</v>
      </c>
      <c r="AG176" s="3" t="n">
        <v>2</v>
      </c>
      <c r="AH176" s="3" t="n">
        <v>2</v>
      </c>
      <c r="AI176" s="3" t="n">
        <v>2</v>
      </c>
      <c r="AJ176" s="3" t="n">
        <v>1</v>
      </c>
      <c r="AK176" s="3" t="n">
        <v>2</v>
      </c>
      <c r="AL176" s="3" t="n">
        <v>2</v>
      </c>
      <c r="AM176" s="3" t="n">
        <v>1</v>
      </c>
      <c r="AN176" s="3" t="n">
        <v>2</v>
      </c>
      <c r="AO176" s="3" t="n">
        <v>2</v>
      </c>
      <c r="AP176" s="3" t="n">
        <v>3</v>
      </c>
      <c r="AQ176" s="3" t="n">
        <v>4</v>
      </c>
      <c r="AR176" s="3" t="n">
        <v>4</v>
      </c>
      <c r="AS176" s="3" t="n">
        <v>6</v>
      </c>
      <c r="AT176" s="3" t="n">
        <v>4</v>
      </c>
      <c r="AU176" s="3" t="n">
        <v>4</v>
      </c>
      <c r="AV176" s="3" t="n">
        <v>6</v>
      </c>
      <c r="AW176" s="3" t="n">
        <v>6</v>
      </c>
      <c r="AX176" s="3" t="n">
        <v>3</v>
      </c>
      <c r="AY176" s="3" t="n">
        <v>3</v>
      </c>
      <c r="AZ176" s="3" t="n">
        <v>1</v>
      </c>
      <c r="BA176" s="5" t="n">
        <v>11</v>
      </c>
      <c r="BB176" s="3" t="n">
        <v>2</v>
      </c>
      <c r="BC176" s="3" t="n">
        <v>1</v>
      </c>
      <c r="BD176" s="3" t="n">
        <v>6</v>
      </c>
      <c r="BE176" s="3" t="n">
        <v>3</v>
      </c>
      <c r="BF176" s="3" t="n">
        <v>5</v>
      </c>
      <c r="BG176" s="3" t="n">
        <v>3</v>
      </c>
      <c r="BH176" s="3" t="n">
        <v>4</v>
      </c>
      <c r="BI176" s="3" t="n">
        <v>1</v>
      </c>
      <c r="BJ176" s="3" t="n">
        <v>1</v>
      </c>
      <c r="BK176" s="6" t="s">
        <v>624</v>
      </c>
    </row>
    <row r="177" customFormat="false" ht="15" hidden="false" customHeight="true" outlineLevel="0" collapsed="false">
      <c r="B177" s="2" t="s">
        <v>625</v>
      </c>
      <c r="C177" s="2" t="s">
        <v>109</v>
      </c>
      <c r="D177" s="2" t="s">
        <v>626</v>
      </c>
      <c r="E177" s="2" t="n">
        <v>120012</v>
      </c>
      <c r="F177" s="15" t="n">
        <v>43451</v>
      </c>
      <c r="G177" s="15" t="n">
        <v>43455</v>
      </c>
      <c r="H177" s="3" t="n">
        <v>4</v>
      </c>
      <c r="I177" s="3" t="n">
        <v>1</v>
      </c>
      <c r="J177" s="3" t="n">
        <v>61</v>
      </c>
      <c r="K177" s="3" t="n">
        <v>1</v>
      </c>
      <c r="L177" s="3" t="n">
        <v>1</v>
      </c>
      <c r="M177" s="3" t="n">
        <v>1</v>
      </c>
      <c r="N177" s="3" t="n">
        <v>2</v>
      </c>
      <c r="O177" s="3" t="n">
        <v>2</v>
      </c>
      <c r="P177" s="3" t="n">
        <v>2</v>
      </c>
      <c r="Q177" s="3" t="n">
        <v>1</v>
      </c>
      <c r="R177" s="3" t="n">
        <v>2</v>
      </c>
      <c r="S177" s="3" t="n">
        <v>1</v>
      </c>
      <c r="T177" s="4" t="n">
        <v>1</v>
      </c>
      <c r="U177" s="3" t="n">
        <v>1</v>
      </c>
      <c r="V177" s="3" t="n">
        <v>6.21</v>
      </c>
      <c r="W177" s="3" t="n">
        <v>1.29</v>
      </c>
      <c r="X177" s="3" t="n">
        <v>3.7</v>
      </c>
      <c r="Y177" s="3" t="n">
        <v>331</v>
      </c>
      <c r="AA177" s="3" t="n">
        <v>0.39</v>
      </c>
      <c r="AB177" s="3" t="n">
        <v>6.2</v>
      </c>
      <c r="AC177" s="3" t="n">
        <v>1</v>
      </c>
      <c r="AD177" s="3" t="n">
        <v>1</v>
      </c>
      <c r="AE177" s="3" t="n">
        <v>1</v>
      </c>
      <c r="AF177" s="3" t="n">
        <v>1</v>
      </c>
      <c r="AG177" s="3" t="n">
        <v>2</v>
      </c>
      <c r="AH177" s="3" t="n">
        <v>1</v>
      </c>
      <c r="AI177" s="3" t="n">
        <v>1</v>
      </c>
      <c r="AJ177" s="3" t="n">
        <v>2</v>
      </c>
      <c r="AK177" s="3" t="n">
        <v>2</v>
      </c>
      <c r="AL177" s="3" t="n">
        <v>2</v>
      </c>
      <c r="AM177" s="3" t="n">
        <v>2</v>
      </c>
      <c r="AN177" s="3" t="n">
        <v>2</v>
      </c>
      <c r="AO177" s="3" t="n">
        <v>2</v>
      </c>
      <c r="AP177" s="3" t="n">
        <v>3</v>
      </c>
      <c r="AQ177" s="3" t="n">
        <v>4</v>
      </c>
      <c r="AR177" s="3" t="n">
        <v>4</v>
      </c>
      <c r="AS177" s="3" t="n">
        <v>6</v>
      </c>
      <c r="AT177" s="3" t="n">
        <v>4</v>
      </c>
      <c r="AU177" s="3" t="n">
        <v>4</v>
      </c>
      <c r="AV177" s="3" t="n">
        <v>6</v>
      </c>
      <c r="AW177" s="3" t="n">
        <v>6</v>
      </c>
      <c r="AX177" s="3" t="n">
        <v>3</v>
      </c>
      <c r="AY177" s="3" t="n">
        <v>3</v>
      </c>
      <c r="AZ177" s="3" t="n">
        <v>1</v>
      </c>
      <c r="BA177" s="5" t="n">
        <v>5</v>
      </c>
      <c r="BB177" s="3" t="n">
        <v>2</v>
      </c>
      <c r="BC177" s="3" t="n">
        <v>1</v>
      </c>
      <c r="BD177" s="3" t="n">
        <v>6</v>
      </c>
      <c r="BE177" s="3" t="n">
        <v>3</v>
      </c>
      <c r="BF177" s="3" t="n">
        <v>5</v>
      </c>
      <c r="BG177" s="3" t="n">
        <v>3</v>
      </c>
      <c r="BH177" s="3" t="n">
        <v>4</v>
      </c>
      <c r="BI177" s="3" t="n">
        <v>1</v>
      </c>
      <c r="BJ177" s="3" t="n">
        <v>1</v>
      </c>
      <c r="BK177" s="6" t="s">
        <v>627</v>
      </c>
    </row>
    <row r="178" customFormat="false" ht="15" hidden="false" customHeight="true" outlineLevel="0" collapsed="false">
      <c r="B178" s="2" t="s">
        <v>628</v>
      </c>
      <c r="C178" s="2" t="s">
        <v>204</v>
      </c>
      <c r="D178" s="2" t="s">
        <v>474</v>
      </c>
      <c r="E178" s="2" t="n">
        <v>167792</v>
      </c>
      <c r="F178" s="15" t="n">
        <v>43452</v>
      </c>
      <c r="G178" s="15" t="n">
        <v>43456</v>
      </c>
      <c r="H178" s="3" t="n">
        <v>4</v>
      </c>
      <c r="I178" s="3" t="n">
        <v>1</v>
      </c>
      <c r="J178" s="3" t="n">
        <v>54</v>
      </c>
      <c r="K178" s="3" t="n">
        <v>2</v>
      </c>
      <c r="L178" s="3" t="n">
        <v>1</v>
      </c>
      <c r="M178" s="3" t="n">
        <v>2</v>
      </c>
      <c r="N178" s="3" t="n">
        <v>2</v>
      </c>
      <c r="O178" s="3" t="n">
        <v>2</v>
      </c>
      <c r="P178" s="3" t="n">
        <v>2</v>
      </c>
      <c r="Q178" s="3" t="n">
        <v>2</v>
      </c>
      <c r="R178" s="3" t="n">
        <v>2</v>
      </c>
      <c r="S178" s="3" t="n">
        <v>2</v>
      </c>
      <c r="T178" s="4" t="n">
        <v>1</v>
      </c>
      <c r="U178" s="3" t="n">
        <v>4</v>
      </c>
      <c r="V178" s="3" t="n">
        <v>4.64</v>
      </c>
      <c r="W178" s="3" t="n">
        <v>0.99</v>
      </c>
      <c r="X178" s="3" t="n">
        <v>5.19</v>
      </c>
      <c r="Y178" s="3" t="n">
        <v>207</v>
      </c>
      <c r="AA178" s="3" t="n">
        <v>0.41</v>
      </c>
      <c r="AB178" s="3" t="n">
        <v>5.3</v>
      </c>
      <c r="AC178" s="3" t="n">
        <v>1</v>
      </c>
      <c r="AD178" s="3" t="n">
        <v>1</v>
      </c>
      <c r="AE178" s="3" t="n">
        <v>1</v>
      </c>
      <c r="AF178" s="3" t="n">
        <v>1</v>
      </c>
      <c r="AG178" s="3" t="n">
        <v>2</v>
      </c>
      <c r="AH178" s="3" t="n">
        <v>2</v>
      </c>
      <c r="AI178" s="3" t="n">
        <v>1</v>
      </c>
      <c r="AJ178" s="3" t="n">
        <v>1</v>
      </c>
      <c r="AK178" s="3" t="n">
        <v>2</v>
      </c>
      <c r="AL178" s="3" t="n">
        <v>2</v>
      </c>
      <c r="AM178" s="3" t="n">
        <v>2</v>
      </c>
      <c r="AN178" s="3" t="n">
        <v>2</v>
      </c>
      <c r="AO178" s="3" t="n">
        <v>2</v>
      </c>
      <c r="AP178" s="3" t="n">
        <v>3</v>
      </c>
      <c r="AQ178" s="3" t="n">
        <v>4</v>
      </c>
      <c r="AR178" s="3" t="n">
        <v>4</v>
      </c>
      <c r="AS178" s="3" t="n">
        <v>6</v>
      </c>
      <c r="AT178" s="3" t="n">
        <v>4</v>
      </c>
      <c r="AU178" s="3" t="n">
        <v>4</v>
      </c>
      <c r="AV178" s="3" t="n">
        <v>6</v>
      </c>
      <c r="AW178" s="3" t="n">
        <v>6</v>
      </c>
      <c r="AX178" s="3" t="n">
        <v>3</v>
      </c>
      <c r="AY178" s="3" t="n">
        <v>3</v>
      </c>
      <c r="AZ178" s="3" t="n">
        <v>1</v>
      </c>
      <c r="BA178" s="5" t="n">
        <v>5</v>
      </c>
      <c r="BB178" s="3" t="n">
        <v>2</v>
      </c>
      <c r="BC178" s="3" t="n">
        <v>1</v>
      </c>
      <c r="BD178" s="3" t="n">
        <v>6</v>
      </c>
      <c r="BE178" s="3" t="n">
        <v>3</v>
      </c>
      <c r="BF178" s="3" t="n">
        <v>5</v>
      </c>
      <c r="BG178" s="3" t="n">
        <v>3</v>
      </c>
      <c r="BH178" s="3" t="n">
        <v>4</v>
      </c>
      <c r="BI178" s="3" t="n">
        <v>1</v>
      </c>
      <c r="BJ178" s="3" t="n">
        <v>1</v>
      </c>
      <c r="BK178" s="21" t="s">
        <v>629</v>
      </c>
    </row>
    <row r="179" customFormat="false" ht="15" hidden="false" customHeight="true" outlineLevel="0" collapsed="false">
      <c r="B179" s="2" t="s">
        <v>630</v>
      </c>
      <c r="C179" s="2" t="s">
        <v>70</v>
      </c>
      <c r="D179" s="2" t="s">
        <v>631</v>
      </c>
      <c r="E179" s="2" t="n">
        <v>167826</v>
      </c>
      <c r="F179" s="15" t="n">
        <v>43454</v>
      </c>
      <c r="G179" s="15" t="n">
        <v>43456</v>
      </c>
      <c r="H179" s="3" t="n">
        <v>2</v>
      </c>
      <c r="I179" s="3" t="n">
        <v>1</v>
      </c>
      <c r="J179" s="3" t="n">
        <v>47</v>
      </c>
      <c r="K179" s="3" t="n">
        <v>2</v>
      </c>
      <c r="L179" s="3" t="n">
        <v>2</v>
      </c>
      <c r="M179" s="3" t="n">
        <v>2</v>
      </c>
      <c r="N179" s="3" t="n">
        <v>2</v>
      </c>
      <c r="O179" s="3" t="n">
        <v>2</v>
      </c>
      <c r="P179" s="3" t="n">
        <v>2</v>
      </c>
      <c r="Q179" s="3" t="n">
        <v>2</v>
      </c>
      <c r="R179" s="3" t="n">
        <v>2</v>
      </c>
      <c r="S179" s="3" t="n">
        <v>2</v>
      </c>
      <c r="T179" s="4" t="n">
        <v>11</v>
      </c>
      <c r="U179" s="3" t="n">
        <v>1</v>
      </c>
      <c r="V179" s="3" t="n">
        <v>4.94</v>
      </c>
      <c r="W179" s="3" t="n">
        <v>1.39</v>
      </c>
      <c r="X179" s="3" t="n">
        <v>5.72</v>
      </c>
      <c r="Y179" s="3" t="n">
        <v>337</v>
      </c>
      <c r="AA179" s="3" t="n">
        <v>0.44</v>
      </c>
      <c r="AB179" s="3" t="n">
        <v>7.4</v>
      </c>
      <c r="AC179" s="3" t="n">
        <v>1</v>
      </c>
      <c r="AD179" s="3" t="n">
        <v>2</v>
      </c>
      <c r="AE179" s="3" t="n">
        <v>1</v>
      </c>
      <c r="AF179" s="3" t="n">
        <v>1</v>
      </c>
      <c r="AG179" s="3" t="n">
        <v>2</v>
      </c>
      <c r="AH179" s="3" t="n">
        <v>2</v>
      </c>
      <c r="AI179" s="3" t="n">
        <v>1</v>
      </c>
      <c r="AJ179" s="3" t="n">
        <v>2</v>
      </c>
      <c r="AK179" s="3" t="n">
        <v>2</v>
      </c>
      <c r="AL179" s="3" t="n">
        <v>2</v>
      </c>
      <c r="AM179" s="3" t="n">
        <v>2</v>
      </c>
      <c r="AN179" s="3" t="n">
        <v>2</v>
      </c>
      <c r="AO179" s="3" t="n">
        <v>2</v>
      </c>
      <c r="AP179" s="3" t="n">
        <v>3</v>
      </c>
      <c r="AQ179" s="3" t="n">
        <v>4</v>
      </c>
      <c r="AR179" s="3" t="n">
        <v>4</v>
      </c>
      <c r="AS179" s="3" t="n">
        <v>6</v>
      </c>
      <c r="AT179" s="3" t="n">
        <v>4</v>
      </c>
      <c r="AU179" s="3" t="n">
        <v>4</v>
      </c>
      <c r="AV179" s="3" t="n">
        <v>6</v>
      </c>
      <c r="AW179" s="3" t="n">
        <v>6</v>
      </c>
      <c r="AX179" s="3" t="n">
        <v>3</v>
      </c>
      <c r="AY179" s="3" t="n">
        <v>3</v>
      </c>
      <c r="AZ179" s="3" t="n">
        <v>1</v>
      </c>
      <c r="BA179" s="5" t="n">
        <v>9</v>
      </c>
      <c r="BB179" s="3" t="n">
        <v>2</v>
      </c>
      <c r="BC179" s="3" t="n">
        <v>1</v>
      </c>
      <c r="BD179" s="3" t="n">
        <v>6</v>
      </c>
      <c r="BE179" s="3" t="n">
        <v>3</v>
      </c>
      <c r="BF179" s="3" t="n">
        <v>5</v>
      </c>
      <c r="BG179" s="3" t="n">
        <v>3</v>
      </c>
      <c r="BH179" s="3" t="n">
        <v>4</v>
      </c>
      <c r="BI179" s="3" t="n">
        <v>1</v>
      </c>
      <c r="BJ179" s="3" t="n">
        <v>1</v>
      </c>
      <c r="BK179" s="6" t="s">
        <v>632</v>
      </c>
    </row>
    <row r="180" customFormat="false" ht="15" hidden="false" customHeight="true" outlineLevel="0" collapsed="false">
      <c r="B180" s="2" t="s">
        <v>180</v>
      </c>
      <c r="C180" s="2" t="s">
        <v>197</v>
      </c>
      <c r="D180" s="2" t="s">
        <v>386</v>
      </c>
      <c r="E180" s="2" t="n">
        <v>165062</v>
      </c>
      <c r="F180" s="15" t="n">
        <v>43455</v>
      </c>
      <c r="G180" s="15" t="n">
        <v>43458</v>
      </c>
      <c r="H180" s="3" t="n">
        <v>3</v>
      </c>
      <c r="I180" s="3" t="n">
        <v>2</v>
      </c>
      <c r="J180" s="3" t="n">
        <v>46</v>
      </c>
      <c r="K180" s="3" t="n">
        <v>1</v>
      </c>
      <c r="L180" s="3" t="n">
        <v>2</v>
      </c>
      <c r="M180" s="3" t="n">
        <v>2</v>
      </c>
      <c r="N180" s="3" t="n">
        <v>1</v>
      </c>
      <c r="O180" s="3" t="n">
        <v>2</v>
      </c>
      <c r="P180" s="3" t="n">
        <v>2</v>
      </c>
      <c r="Q180" s="3" t="n">
        <v>2</v>
      </c>
      <c r="R180" s="3" t="n">
        <v>2</v>
      </c>
      <c r="S180" s="3" t="n">
        <v>2</v>
      </c>
      <c r="T180" s="4" t="n">
        <v>1</v>
      </c>
      <c r="U180" s="3" t="n">
        <v>1</v>
      </c>
      <c r="V180" s="3" t="n">
        <v>1.45</v>
      </c>
      <c r="W180" s="3" t="n">
        <v>1.01</v>
      </c>
      <c r="Y180" s="3" t="n">
        <v>326</v>
      </c>
      <c r="AA180" s="3" t="n">
        <v>0.41</v>
      </c>
      <c r="AB180" s="3" t="n">
        <v>7.6</v>
      </c>
      <c r="AC180" s="3" t="n">
        <v>1</v>
      </c>
      <c r="AD180" s="3" t="n">
        <v>1</v>
      </c>
      <c r="AE180" s="3" t="n">
        <v>1</v>
      </c>
      <c r="AF180" s="3" t="n">
        <v>1</v>
      </c>
      <c r="AG180" s="3" t="n">
        <v>2</v>
      </c>
      <c r="AH180" s="3" t="n">
        <v>2</v>
      </c>
      <c r="AI180" s="3" t="n">
        <v>1</v>
      </c>
      <c r="AJ180" s="3" t="n">
        <v>2</v>
      </c>
      <c r="AK180" s="3" t="n">
        <v>2</v>
      </c>
      <c r="AL180" s="3" t="n">
        <v>2</v>
      </c>
      <c r="AM180" s="3" t="n">
        <v>2</v>
      </c>
      <c r="AN180" s="3" t="n">
        <v>2</v>
      </c>
      <c r="AO180" s="3" t="n">
        <v>2</v>
      </c>
      <c r="AP180" s="3" t="n">
        <v>3</v>
      </c>
      <c r="AQ180" s="3" t="n">
        <v>4</v>
      </c>
      <c r="AR180" s="3" t="n">
        <v>4</v>
      </c>
      <c r="AS180" s="3" t="n">
        <v>6</v>
      </c>
      <c r="AT180" s="3" t="n">
        <v>4</v>
      </c>
      <c r="AU180" s="3" t="n">
        <v>4</v>
      </c>
      <c r="AV180" s="3" t="n">
        <v>6</v>
      </c>
      <c r="AW180" s="3" t="n">
        <v>6</v>
      </c>
      <c r="AX180" s="3" t="n">
        <v>3</v>
      </c>
      <c r="AY180" s="3" t="n">
        <v>3</v>
      </c>
      <c r="AZ180" s="3" t="n">
        <v>1</v>
      </c>
      <c r="BA180" s="5" t="n">
        <v>5</v>
      </c>
      <c r="BB180" s="3" t="n">
        <v>2</v>
      </c>
      <c r="BC180" s="3" t="n">
        <v>1</v>
      </c>
      <c r="BD180" s="3" t="n">
        <v>6</v>
      </c>
      <c r="BE180" s="3" t="n">
        <v>3</v>
      </c>
      <c r="BF180" s="3" t="n">
        <v>5</v>
      </c>
      <c r="BG180" s="3" t="n">
        <v>3</v>
      </c>
      <c r="BH180" s="3" t="n">
        <v>4</v>
      </c>
      <c r="BI180" s="3" t="n">
        <v>1</v>
      </c>
      <c r="BJ180" s="3" t="n">
        <v>1</v>
      </c>
      <c r="BK180" s="6" t="s">
        <v>633</v>
      </c>
    </row>
    <row r="181" customFormat="false" ht="15" hidden="false" customHeight="true" outlineLevel="0" collapsed="false">
      <c r="B181" s="2" t="s">
        <v>497</v>
      </c>
      <c r="C181" s="2" t="s">
        <v>634</v>
      </c>
      <c r="D181" s="2" t="s">
        <v>611</v>
      </c>
      <c r="E181" s="2" t="n">
        <v>167759</v>
      </c>
      <c r="F181" s="15" t="n">
        <v>43451</v>
      </c>
      <c r="G181" s="15" t="n">
        <v>43458</v>
      </c>
      <c r="H181" s="3" t="n">
        <v>7</v>
      </c>
      <c r="I181" s="3" t="n">
        <v>2</v>
      </c>
      <c r="J181" s="3" t="n">
        <v>79</v>
      </c>
      <c r="K181" s="3" t="n">
        <v>1</v>
      </c>
      <c r="L181" s="3" t="n">
        <v>2</v>
      </c>
      <c r="M181" s="3" t="n">
        <v>2</v>
      </c>
      <c r="N181" s="3" t="n">
        <v>2</v>
      </c>
      <c r="O181" s="3" t="n">
        <v>2</v>
      </c>
      <c r="P181" s="3" t="n">
        <v>2</v>
      </c>
      <c r="Q181" s="3" t="n">
        <v>2</v>
      </c>
      <c r="R181" s="3" t="n">
        <v>2</v>
      </c>
      <c r="S181" s="3" t="n">
        <v>2</v>
      </c>
      <c r="T181" s="4" t="n">
        <v>12</v>
      </c>
      <c r="U181" s="3" t="n">
        <v>1</v>
      </c>
      <c r="V181" s="3" t="n">
        <v>3.62</v>
      </c>
      <c r="W181" s="3" t="n">
        <v>0.75</v>
      </c>
      <c r="X181" s="3" t="n">
        <v>4.6</v>
      </c>
      <c r="Y181" s="3" t="n">
        <v>280</v>
      </c>
      <c r="AA181" s="3" t="n">
        <v>0.29</v>
      </c>
      <c r="AB181" s="3" t="n">
        <v>9.8</v>
      </c>
      <c r="AC181" s="3" t="n">
        <v>1</v>
      </c>
      <c r="AD181" s="3" t="n">
        <v>2</v>
      </c>
      <c r="AE181" s="3" t="n">
        <v>2</v>
      </c>
      <c r="AF181" s="3" t="n">
        <v>2</v>
      </c>
      <c r="AG181" s="3" t="n">
        <v>1</v>
      </c>
      <c r="AH181" s="3" t="n">
        <v>2</v>
      </c>
      <c r="AI181" s="3" t="n">
        <v>2</v>
      </c>
      <c r="AJ181" s="3" t="n">
        <v>1</v>
      </c>
      <c r="AK181" s="3" t="n">
        <v>2</v>
      </c>
      <c r="AL181" s="3" t="n">
        <v>1</v>
      </c>
      <c r="AM181" s="3" t="n">
        <v>1</v>
      </c>
      <c r="AN181" s="3" t="n">
        <v>2</v>
      </c>
      <c r="AO181" s="3" t="n">
        <v>2</v>
      </c>
      <c r="AP181" s="3" t="n">
        <v>3</v>
      </c>
      <c r="AQ181" s="3" t="n">
        <v>4</v>
      </c>
      <c r="AR181" s="3" t="n">
        <v>4</v>
      </c>
      <c r="AS181" s="3" t="n">
        <v>6</v>
      </c>
      <c r="AT181" s="3" t="n">
        <v>4</v>
      </c>
      <c r="AU181" s="3" t="n">
        <v>4</v>
      </c>
      <c r="AV181" s="3" t="n">
        <v>6</v>
      </c>
      <c r="AW181" s="3" t="n">
        <v>6</v>
      </c>
      <c r="AX181" s="3" t="n">
        <v>3</v>
      </c>
      <c r="AY181" s="3" t="n">
        <v>3</v>
      </c>
      <c r="AZ181" s="3" t="n">
        <v>1</v>
      </c>
      <c r="BA181" s="5" t="n">
        <v>3</v>
      </c>
      <c r="BB181" s="3" t="n">
        <v>2</v>
      </c>
      <c r="BC181" s="3" t="n">
        <v>1</v>
      </c>
      <c r="BD181" s="3" t="n">
        <v>6</v>
      </c>
      <c r="BE181" s="3" t="n">
        <v>3</v>
      </c>
      <c r="BF181" s="3" t="n">
        <v>5</v>
      </c>
      <c r="BG181" s="3" t="n">
        <v>3</v>
      </c>
      <c r="BH181" s="3" t="n">
        <v>4</v>
      </c>
      <c r="BI181" s="3" t="n">
        <v>1</v>
      </c>
      <c r="BJ181" s="3" t="n">
        <v>1</v>
      </c>
      <c r="BK181" s="6" t="s">
        <v>635</v>
      </c>
    </row>
    <row r="182" customFormat="false" ht="15" hidden="false" customHeight="true" outlineLevel="0" collapsed="false">
      <c r="B182" s="2" t="s">
        <v>636</v>
      </c>
      <c r="C182" s="2" t="s">
        <v>194</v>
      </c>
      <c r="D182" s="2" t="s">
        <v>197</v>
      </c>
      <c r="E182" s="2" t="n">
        <v>167852</v>
      </c>
      <c r="F182" s="15" t="n">
        <v>43455</v>
      </c>
      <c r="G182" s="15" t="n">
        <v>43458</v>
      </c>
      <c r="H182" s="3" t="n">
        <v>3</v>
      </c>
      <c r="I182" s="3" t="n">
        <v>2</v>
      </c>
      <c r="J182" s="3" t="n">
        <v>40</v>
      </c>
      <c r="K182" s="3" t="n">
        <v>1</v>
      </c>
      <c r="L182" s="3" t="n">
        <v>1</v>
      </c>
      <c r="M182" s="3" t="n">
        <v>2</v>
      </c>
      <c r="N182" s="3" t="n">
        <v>2</v>
      </c>
      <c r="O182" s="3" t="n">
        <v>2</v>
      </c>
      <c r="P182" s="3" t="n">
        <v>2</v>
      </c>
      <c r="Q182" s="3" t="n">
        <v>2</v>
      </c>
      <c r="R182" s="3" t="n">
        <v>2</v>
      </c>
      <c r="S182" s="3" t="n">
        <v>2</v>
      </c>
      <c r="T182" s="4" t="n">
        <v>3</v>
      </c>
      <c r="U182" s="3" t="n">
        <v>1</v>
      </c>
      <c r="V182" s="3" t="n">
        <v>4.41</v>
      </c>
      <c r="W182" s="3" t="n">
        <v>3.38</v>
      </c>
      <c r="Y182" s="3" t="n">
        <v>149</v>
      </c>
      <c r="AA182" s="3" t="n">
        <v>0.52</v>
      </c>
      <c r="AB182" s="3" t="n">
        <v>7.4</v>
      </c>
      <c r="AC182" s="3" t="n">
        <v>2</v>
      </c>
      <c r="AD182" s="3" t="n">
        <v>2</v>
      </c>
      <c r="AE182" s="3" t="n">
        <v>1</v>
      </c>
      <c r="AF182" s="3" t="n">
        <v>2</v>
      </c>
      <c r="AG182" s="3" t="n">
        <v>1</v>
      </c>
      <c r="AH182" s="3" t="n">
        <v>2</v>
      </c>
      <c r="AI182" s="3" t="n">
        <v>1</v>
      </c>
      <c r="AJ182" s="3" t="n">
        <v>2</v>
      </c>
      <c r="AK182" s="3" t="n">
        <v>2</v>
      </c>
      <c r="AL182" s="3" t="n">
        <v>1</v>
      </c>
      <c r="AM182" s="3" t="n">
        <v>1</v>
      </c>
      <c r="AN182" s="3" t="n">
        <v>2</v>
      </c>
      <c r="AO182" s="3" t="n">
        <v>2</v>
      </c>
      <c r="AP182" s="3" t="n">
        <v>3</v>
      </c>
      <c r="AQ182" s="3" t="n">
        <v>4</v>
      </c>
      <c r="AR182" s="3" t="n">
        <v>4</v>
      </c>
      <c r="AS182" s="3" t="n">
        <v>6</v>
      </c>
      <c r="AT182" s="3" t="n">
        <v>4</v>
      </c>
      <c r="AU182" s="3" t="n">
        <v>4</v>
      </c>
      <c r="AV182" s="3" t="n">
        <v>6</v>
      </c>
      <c r="AW182" s="3" t="n">
        <v>6</v>
      </c>
      <c r="AX182" s="3" t="n">
        <v>3</v>
      </c>
      <c r="AY182" s="3" t="n">
        <v>3</v>
      </c>
      <c r="AZ182" s="3" t="n">
        <v>1</v>
      </c>
      <c r="BA182" s="5" t="n">
        <v>11</v>
      </c>
      <c r="BB182" s="3" t="n">
        <v>2</v>
      </c>
      <c r="BC182" s="3" t="n">
        <v>1</v>
      </c>
      <c r="BD182" s="3" t="n">
        <v>6</v>
      </c>
      <c r="BE182" s="3" t="n">
        <v>3</v>
      </c>
      <c r="BF182" s="3" t="n">
        <v>5</v>
      </c>
      <c r="BG182" s="3" t="n">
        <v>3</v>
      </c>
      <c r="BH182" s="3" t="n">
        <v>4</v>
      </c>
      <c r="BI182" s="3" t="n">
        <v>1</v>
      </c>
      <c r="BJ182" s="3" t="n">
        <v>1</v>
      </c>
      <c r="BK182" s="6" t="s">
        <v>637</v>
      </c>
    </row>
    <row r="183" customFormat="false" ht="15" hidden="false" customHeight="true" outlineLevel="0" collapsed="false">
      <c r="B183" s="2" t="s">
        <v>638</v>
      </c>
      <c r="C183" s="2" t="s">
        <v>95</v>
      </c>
      <c r="D183" s="2" t="s">
        <v>639</v>
      </c>
      <c r="E183" s="2" t="n">
        <v>167832</v>
      </c>
      <c r="F183" s="15" t="n">
        <v>43454</v>
      </c>
      <c r="G183" s="15" t="n">
        <v>43460</v>
      </c>
      <c r="H183" s="3" t="n">
        <v>6</v>
      </c>
      <c r="I183" s="3" t="n">
        <v>2</v>
      </c>
      <c r="J183" s="3" t="n">
        <v>63</v>
      </c>
      <c r="K183" s="3" t="n">
        <v>1</v>
      </c>
      <c r="L183" s="3" t="n">
        <v>1</v>
      </c>
      <c r="M183" s="3" t="n">
        <v>1</v>
      </c>
      <c r="N183" s="3" t="n">
        <v>2</v>
      </c>
      <c r="O183" s="3" t="n">
        <v>2</v>
      </c>
      <c r="P183" s="3" t="n">
        <v>2</v>
      </c>
      <c r="Q183" s="3" t="n">
        <v>2</v>
      </c>
      <c r="R183" s="3" t="n">
        <v>2</v>
      </c>
      <c r="S183" s="3" t="n">
        <v>2</v>
      </c>
      <c r="T183" s="4" t="n">
        <v>1</v>
      </c>
      <c r="U183" s="3" t="n">
        <v>1</v>
      </c>
      <c r="V183" s="3" t="n">
        <v>3.05</v>
      </c>
      <c r="W183" s="3" t="n">
        <v>1.58</v>
      </c>
      <c r="X183" s="3" t="n">
        <v>4.8</v>
      </c>
      <c r="Y183" s="3" t="n">
        <v>336</v>
      </c>
      <c r="AA183" s="3" t="n">
        <v>0.46</v>
      </c>
      <c r="AB183" s="3" t="n">
        <v>8.6</v>
      </c>
      <c r="AC183" s="3" t="n">
        <v>1</v>
      </c>
      <c r="AD183" s="3" t="n">
        <v>1</v>
      </c>
      <c r="AE183" s="3" t="n">
        <v>1</v>
      </c>
      <c r="AF183" s="3" t="n">
        <v>1</v>
      </c>
      <c r="AG183" s="3" t="n">
        <v>2</v>
      </c>
      <c r="AH183" s="3" t="n">
        <v>2</v>
      </c>
      <c r="AI183" s="3" t="n">
        <v>1</v>
      </c>
      <c r="AJ183" s="3" t="n">
        <v>1</v>
      </c>
      <c r="AK183" s="3" t="n">
        <v>2</v>
      </c>
      <c r="AL183" s="3" t="n">
        <v>2</v>
      </c>
      <c r="AM183" s="3" t="n">
        <v>2</v>
      </c>
      <c r="AN183" s="3" t="n">
        <v>2</v>
      </c>
      <c r="AO183" s="3" t="n">
        <v>2</v>
      </c>
      <c r="AP183" s="3" t="n">
        <v>3</v>
      </c>
      <c r="AQ183" s="3" t="n">
        <v>4</v>
      </c>
      <c r="AR183" s="3" t="n">
        <v>4</v>
      </c>
      <c r="AS183" s="3" t="n">
        <v>6</v>
      </c>
      <c r="AT183" s="3" t="n">
        <v>4</v>
      </c>
      <c r="AU183" s="3" t="n">
        <v>4</v>
      </c>
      <c r="AV183" s="3" t="n">
        <v>6</v>
      </c>
      <c r="AW183" s="3" t="n">
        <v>6</v>
      </c>
      <c r="AX183" s="3" t="n">
        <v>3</v>
      </c>
      <c r="AY183" s="3" t="n">
        <v>3</v>
      </c>
      <c r="AZ183" s="3" t="n">
        <v>1</v>
      </c>
      <c r="BA183" s="5" t="n">
        <v>5</v>
      </c>
      <c r="BB183" s="3" t="n">
        <v>2</v>
      </c>
      <c r="BC183" s="3" t="n">
        <v>1</v>
      </c>
      <c r="BD183" s="3" t="n">
        <v>6</v>
      </c>
      <c r="BE183" s="3" t="n">
        <v>3</v>
      </c>
      <c r="BF183" s="3" t="n">
        <v>5</v>
      </c>
      <c r="BG183" s="3" t="n">
        <v>3</v>
      </c>
      <c r="BH183" s="3" t="n">
        <v>4</v>
      </c>
      <c r="BI183" s="3" t="n">
        <v>1</v>
      </c>
      <c r="BJ183" s="3" t="n">
        <v>1</v>
      </c>
      <c r="BK183" s="6" t="s">
        <v>640</v>
      </c>
    </row>
    <row r="184" customFormat="false" ht="15" hidden="false" customHeight="true" outlineLevel="0" collapsed="false">
      <c r="B184" s="2" t="s">
        <v>440</v>
      </c>
      <c r="C184" s="2" t="s">
        <v>641</v>
      </c>
      <c r="D184" s="2" t="s">
        <v>244</v>
      </c>
      <c r="E184" s="2" t="n">
        <v>167853</v>
      </c>
      <c r="F184" s="15" t="n">
        <v>43455</v>
      </c>
      <c r="G184" s="15" t="n">
        <v>43460</v>
      </c>
      <c r="H184" s="3" t="n">
        <v>5</v>
      </c>
      <c r="I184" s="3" t="n">
        <v>2</v>
      </c>
      <c r="J184" s="3" t="n">
        <v>69</v>
      </c>
      <c r="K184" s="3" t="n">
        <v>2</v>
      </c>
      <c r="L184" s="3" t="n">
        <v>2</v>
      </c>
      <c r="M184" s="3" t="n">
        <v>1</v>
      </c>
      <c r="N184" s="3" t="n">
        <v>2</v>
      </c>
      <c r="O184" s="3" t="n">
        <v>2</v>
      </c>
      <c r="P184" s="3" t="n">
        <v>2</v>
      </c>
      <c r="Q184" s="3" t="n">
        <v>2</v>
      </c>
      <c r="R184" s="3" t="n">
        <v>1</v>
      </c>
      <c r="S184" s="3" t="n">
        <v>2</v>
      </c>
      <c r="T184" s="4" t="n">
        <v>1</v>
      </c>
      <c r="U184" s="3" t="n">
        <v>1</v>
      </c>
      <c r="V184" s="3" t="n">
        <v>5.06</v>
      </c>
      <c r="W184" s="3" t="n">
        <v>1.31</v>
      </c>
      <c r="Y184" s="3" t="n">
        <v>587</v>
      </c>
      <c r="AA184" s="3" t="n">
        <v>0.43</v>
      </c>
      <c r="AB184" s="3" t="n">
        <v>5.4</v>
      </c>
      <c r="AC184" s="3" t="n">
        <v>1</v>
      </c>
      <c r="AD184" s="3" t="n">
        <v>1</v>
      </c>
      <c r="AE184" s="3" t="n">
        <v>1</v>
      </c>
      <c r="AF184" s="3" t="n">
        <v>1</v>
      </c>
      <c r="AG184" s="3" t="n">
        <v>2</v>
      </c>
      <c r="AH184" s="3" t="n">
        <v>1</v>
      </c>
      <c r="AI184" s="3" t="n">
        <v>1</v>
      </c>
      <c r="AJ184" s="3" t="n">
        <v>1</v>
      </c>
      <c r="AK184" s="3" t="n">
        <v>2</v>
      </c>
      <c r="AL184" s="3" t="n">
        <v>2</v>
      </c>
      <c r="AM184" s="3" t="n">
        <v>2</v>
      </c>
      <c r="AN184" s="3" t="n">
        <v>2</v>
      </c>
      <c r="AO184" s="3" t="n">
        <v>2</v>
      </c>
      <c r="AP184" s="3" t="n">
        <v>3</v>
      </c>
      <c r="AQ184" s="3" t="n">
        <v>4</v>
      </c>
      <c r="AR184" s="3" t="n">
        <v>4</v>
      </c>
      <c r="AS184" s="3" t="n">
        <v>6</v>
      </c>
      <c r="AT184" s="3" t="n">
        <v>4</v>
      </c>
      <c r="AU184" s="3" t="n">
        <v>4</v>
      </c>
      <c r="AV184" s="3" t="n">
        <v>6</v>
      </c>
      <c r="AW184" s="3" t="n">
        <v>6</v>
      </c>
      <c r="AX184" s="3" t="n">
        <v>3</v>
      </c>
      <c r="AY184" s="3" t="n">
        <v>3</v>
      </c>
      <c r="AZ184" s="3" t="n">
        <v>1</v>
      </c>
      <c r="BA184" s="5" t="n">
        <v>5</v>
      </c>
      <c r="BB184" s="3" t="n">
        <v>2</v>
      </c>
      <c r="BC184" s="3" t="n">
        <v>1</v>
      </c>
      <c r="BD184" s="3" t="n">
        <v>6</v>
      </c>
      <c r="BE184" s="3" t="n">
        <v>3</v>
      </c>
      <c r="BF184" s="3" t="n">
        <v>5</v>
      </c>
      <c r="BG184" s="3" t="n">
        <v>3</v>
      </c>
      <c r="BH184" s="3" t="n">
        <v>4</v>
      </c>
      <c r="BI184" s="3" t="n">
        <v>1</v>
      </c>
      <c r="BJ184" s="3" t="n">
        <v>1</v>
      </c>
      <c r="BK184" s="21" t="s">
        <v>642</v>
      </c>
    </row>
    <row r="185" customFormat="false" ht="15" hidden="false" customHeight="true" outlineLevel="0" collapsed="false">
      <c r="B185" s="2" t="s">
        <v>643</v>
      </c>
      <c r="C185" s="2" t="s">
        <v>644</v>
      </c>
      <c r="D185" s="2" t="s">
        <v>645</v>
      </c>
      <c r="E185" s="32" t="s">
        <v>646</v>
      </c>
      <c r="F185" s="15" t="n">
        <v>43445</v>
      </c>
      <c r="G185" s="15" t="n">
        <v>43460</v>
      </c>
      <c r="H185" s="3" t="n">
        <v>15</v>
      </c>
      <c r="I185" s="3" t="n">
        <v>2</v>
      </c>
      <c r="J185" s="3" t="n">
        <v>70</v>
      </c>
      <c r="K185" s="3" t="n">
        <v>1</v>
      </c>
      <c r="L185" s="3" t="n">
        <v>1</v>
      </c>
      <c r="M185" s="3" t="n">
        <v>1</v>
      </c>
      <c r="N185" s="3" t="n">
        <v>2</v>
      </c>
      <c r="O185" s="3" t="n">
        <v>2</v>
      </c>
      <c r="P185" s="3" t="n">
        <v>2</v>
      </c>
      <c r="Q185" s="3" t="n">
        <v>2</v>
      </c>
      <c r="R185" s="3" t="n">
        <v>2</v>
      </c>
      <c r="S185" s="3" t="n">
        <v>2</v>
      </c>
      <c r="T185" s="4" t="n">
        <v>6</v>
      </c>
      <c r="U185" s="3" t="n">
        <v>4</v>
      </c>
      <c r="V185" s="3" t="n">
        <v>5.54</v>
      </c>
      <c r="W185" s="3" t="n">
        <v>1.45</v>
      </c>
      <c r="X185" s="3" t="n">
        <v>7.7</v>
      </c>
      <c r="Y185" s="3" t="n">
        <v>198</v>
      </c>
      <c r="AA185" s="3" t="n">
        <v>0.43</v>
      </c>
      <c r="AB185" s="3" t="n">
        <v>7.5</v>
      </c>
      <c r="AC185" s="3" t="n">
        <v>1</v>
      </c>
      <c r="AD185" s="3" t="n">
        <v>1</v>
      </c>
      <c r="AE185" s="3" t="n">
        <v>2</v>
      </c>
      <c r="AF185" s="3" t="n">
        <v>2</v>
      </c>
      <c r="AG185" s="3" t="n">
        <v>2</v>
      </c>
      <c r="AH185" s="3" t="n">
        <v>2</v>
      </c>
      <c r="AI185" s="3" t="n">
        <v>2</v>
      </c>
      <c r="AJ185" s="3" t="n">
        <v>1</v>
      </c>
      <c r="AK185" s="3" t="n">
        <v>2</v>
      </c>
      <c r="AL185" s="3" t="n">
        <v>2</v>
      </c>
      <c r="AM185" s="3" t="n">
        <v>2</v>
      </c>
      <c r="AN185" s="3" t="n">
        <v>2</v>
      </c>
      <c r="AO185" s="3" t="n">
        <v>2</v>
      </c>
      <c r="AP185" s="3" t="n">
        <v>3</v>
      </c>
      <c r="AQ185" s="3" t="n">
        <v>4</v>
      </c>
      <c r="AR185" s="3" t="n">
        <v>4</v>
      </c>
      <c r="AS185" s="3" t="n">
        <v>6</v>
      </c>
      <c r="AT185" s="3" t="n">
        <v>4</v>
      </c>
      <c r="AU185" s="3" t="n">
        <v>4</v>
      </c>
      <c r="AV185" s="3" t="n">
        <v>6</v>
      </c>
      <c r="AW185" s="3" t="n">
        <v>6</v>
      </c>
      <c r="AX185" s="3" t="n">
        <v>3</v>
      </c>
      <c r="AY185" s="3" t="n">
        <v>3</v>
      </c>
      <c r="AZ185" s="3" t="n">
        <v>1</v>
      </c>
      <c r="BA185" s="5" t="n">
        <v>10</v>
      </c>
      <c r="BB185" s="3" t="n">
        <v>2</v>
      </c>
      <c r="BC185" s="3" t="n">
        <v>1</v>
      </c>
      <c r="BD185" s="3" t="n">
        <v>6</v>
      </c>
      <c r="BE185" s="3" t="n">
        <v>3</v>
      </c>
      <c r="BF185" s="3" t="n">
        <v>5</v>
      </c>
      <c r="BG185" s="3" t="n">
        <v>3</v>
      </c>
      <c r="BH185" s="3" t="n">
        <v>4</v>
      </c>
      <c r="BI185" s="3" t="n">
        <v>1</v>
      </c>
      <c r="BJ185" s="3" t="n">
        <v>1</v>
      </c>
      <c r="BK185" s="6" t="s">
        <v>647</v>
      </c>
    </row>
    <row r="186" customFormat="false" ht="15" hidden="false" customHeight="true" outlineLevel="0" collapsed="false">
      <c r="B186" s="2" t="s">
        <v>648</v>
      </c>
      <c r="C186" s="2" t="s">
        <v>649</v>
      </c>
      <c r="D186" s="2" t="s">
        <v>298</v>
      </c>
      <c r="E186" s="2" t="n">
        <v>166889</v>
      </c>
      <c r="F186" s="15" t="n">
        <v>43444</v>
      </c>
      <c r="G186" s="15" t="n">
        <v>43461</v>
      </c>
      <c r="H186" s="3" t="n">
        <v>17</v>
      </c>
      <c r="I186" s="3" t="n">
        <v>1</v>
      </c>
      <c r="J186" s="3" t="n">
        <v>72</v>
      </c>
      <c r="K186" s="3" t="n">
        <v>2</v>
      </c>
      <c r="L186" s="3" t="n">
        <v>2</v>
      </c>
      <c r="M186" s="3" t="n">
        <v>1</v>
      </c>
      <c r="N186" s="3" t="n">
        <v>2</v>
      </c>
      <c r="O186" s="3" t="n">
        <v>2</v>
      </c>
      <c r="P186" s="3" t="n">
        <v>2</v>
      </c>
      <c r="Q186" s="3" t="n">
        <v>2</v>
      </c>
      <c r="R186" s="3" t="n">
        <v>2</v>
      </c>
      <c r="S186" s="3" t="n">
        <v>2</v>
      </c>
      <c r="T186" s="4" t="n">
        <v>1</v>
      </c>
      <c r="U186" s="3" t="n">
        <v>1</v>
      </c>
      <c r="V186" s="3" t="n">
        <v>5.05</v>
      </c>
      <c r="W186" s="3" t="n">
        <v>0.76</v>
      </c>
      <c r="X186" s="3" t="n">
        <v>4.5</v>
      </c>
      <c r="Y186" s="3" t="n">
        <v>351</v>
      </c>
      <c r="AA186" s="3" t="n">
        <v>0.43</v>
      </c>
      <c r="AB186" s="3" t="n">
        <v>6.6</v>
      </c>
      <c r="AC186" s="3" t="n">
        <v>1</v>
      </c>
      <c r="AD186" s="3" t="n">
        <v>1</v>
      </c>
      <c r="AE186" s="3" t="n">
        <v>1</v>
      </c>
      <c r="AF186" s="3" t="n">
        <v>1</v>
      </c>
      <c r="AG186" s="3" t="n">
        <v>2</v>
      </c>
      <c r="AH186" s="3" t="n">
        <v>2</v>
      </c>
      <c r="AI186" s="3" t="n">
        <v>1</v>
      </c>
      <c r="AJ186" s="3" t="n">
        <v>2</v>
      </c>
      <c r="AK186" s="3" t="n">
        <v>2</v>
      </c>
      <c r="AL186" s="3" t="n">
        <v>2</v>
      </c>
      <c r="AM186" s="3" t="n">
        <v>2</v>
      </c>
      <c r="AN186" s="3" t="n">
        <v>2</v>
      </c>
      <c r="AO186" s="3" t="n">
        <v>2</v>
      </c>
      <c r="AP186" s="3" t="n">
        <v>1</v>
      </c>
      <c r="AQ186" s="3" t="n">
        <v>1</v>
      </c>
      <c r="AR186" s="3" t="n">
        <v>4</v>
      </c>
      <c r="AS186" s="3" t="n">
        <v>6</v>
      </c>
      <c r="AT186" s="3" t="n">
        <v>4</v>
      </c>
      <c r="AU186" s="3" t="n">
        <v>4</v>
      </c>
      <c r="AV186" s="3" t="n">
        <v>1</v>
      </c>
      <c r="AW186" s="3" t="n">
        <v>6</v>
      </c>
      <c r="AX186" s="3" t="n">
        <v>2</v>
      </c>
      <c r="AY186" s="3" t="n">
        <v>1</v>
      </c>
      <c r="AZ186" s="3" t="n">
        <v>1</v>
      </c>
      <c r="BA186" s="5" t="n">
        <v>5</v>
      </c>
      <c r="BB186" s="3" t="n">
        <v>2</v>
      </c>
      <c r="BC186" s="3" t="n">
        <v>1</v>
      </c>
      <c r="BD186" s="3" t="n">
        <v>6</v>
      </c>
      <c r="BE186" s="3" t="n">
        <v>3</v>
      </c>
      <c r="BF186" s="3" t="n">
        <v>5</v>
      </c>
      <c r="BG186" s="3" t="n">
        <v>3</v>
      </c>
      <c r="BH186" s="3" t="n">
        <v>4</v>
      </c>
      <c r="BI186" s="3" t="n">
        <v>1</v>
      </c>
      <c r="BJ186" s="3" t="n">
        <v>1</v>
      </c>
      <c r="BK186" s="6" t="s">
        <v>650</v>
      </c>
    </row>
    <row r="187" customFormat="false" ht="15" hidden="false" customHeight="true" outlineLevel="0" collapsed="false">
      <c r="B187" s="2" t="s">
        <v>651</v>
      </c>
      <c r="C187" s="2" t="s">
        <v>118</v>
      </c>
      <c r="D187" s="2" t="s">
        <v>471</v>
      </c>
      <c r="E187" s="2" t="n">
        <v>168040</v>
      </c>
      <c r="F187" s="15" t="n">
        <v>43459</v>
      </c>
      <c r="G187" s="15" t="n">
        <v>43462</v>
      </c>
      <c r="H187" s="3" t="n">
        <v>3</v>
      </c>
      <c r="I187" s="3" t="n">
        <v>2</v>
      </c>
      <c r="J187" s="3" t="n">
        <v>33</v>
      </c>
      <c r="K187" s="3" t="n">
        <v>1</v>
      </c>
      <c r="L187" s="3" t="n">
        <v>2</v>
      </c>
      <c r="M187" s="3" t="n">
        <v>2</v>
      </c>
      <c r="N187" s="3" t="n">
        <v>2</v>
      </c>
      <c r="O187" s="3" t="n">
        <v>2</v>
      </c>
      <c r="P187" s="3" t="n">
        <v>2</v>
      </c>
      <c r="Q187" s="3" t="n">
        <v>2</v>
      </c>
      <c r="R187" s="3" t="n">
        <v>2</v>
      </c>
      <c r="S187" s="3" t="n">
        <v>2</v>
      </c>
      <c r="T187" s="4" t="n">
        <v>4</v>
      </c>
      <c r="U187" s="3" t="n">
        <v>4</v>
      </c>
      <c r="V187" s="3" t="n">
        <v>4.62</v>
      </c>
      <c r="W187" s="3" t="n">
        <v>1.21</v>
      </c>
      <c r="X187" s="3" t="n">
        <v>5.1</v>
      </c>
      <c r="Y187" s="3" t="n">
        <v>408</v>
      </c>
      <c r="AA187" s="3" t="n">
        <v>0.4</v>
      </c>
      <c r="AB187" s="3" t="n">
        <v>9.8</v>
      </c>
      <c r="AC187" s="3" t="n">
        <v>1</v>
      </c>
      <c r="AD187" s="3" t="n">
        <v>2</v>
      </c>
      <c r="AE187" s="3" t="n">
        <v>2</v>
      </c>
      <c r="AF187" s="3" t="n">
        <v>2</v>
      </c>
      <c r="AG187" s="3" t="n">
        <v>2</v>
      </c>
      <c r="AH187" s="3" t="n">
        <v>2</v>
      </c>
      <c r="AI187" s="3" t="n">
        <v>2</v>
      </c>
      <c r="AJ187" s="3" t="n">
        <v>1</v>
      </c>
      <c r="AK187" s="3" t="n">
        <v>2</v>
      </c>
      <c r="AL187" s="3" t="n">
        <v>2</v>
      </c>
      <c r="AM187" s="3" t="n">
        <v>2</v>
      </c>
      <c r="AN187" s="3" t="n">
        <v>2</v>
      </c>
      <c r="AO187" s="3" t="n">
        <v>2</v>
      </c>
      <c r="AP187" s="3" t="n">
        <v>3</v>
      </c>
      <c r="AQ187" s="3" t="n">
        <v>4</v>
      </c>
      <c r="AR187" s="3" t="n">
        <v>4</v>
      </c>
      <c r="AS187" s="3" t="n">
        <v>6</v>
      </c>
      <c r="AT187" s="3" t="n">
        <v>4</v>
      </c>
      <c r="AU187" s="3" t="n">
        <v>4</v>
      </c>
      <c r="AV187" s="3" t="n">
        <v>6</v>
      </c>
      <c r="AW187" s="3" t="n">
        <v>6</v>
      </c>
      <c r="AX187" s="3" t="n">
        <v>3</v>
      </c>
      <c r="AY187" s="3" t="n">
        <v>3</v>
      </c>
      <c r="AZ187" s="3" t="n">
        <v>1</v>
      </c>
      <c r="BA187" s="5" t="n">
        <v>10</v>
      </c>
      <c r="BB187" s="3" t="n">
        <v>2</v>
      </c>
      <c r="BC187" s="3" t="n">
        <v>1</v>
      </c>
      <c r="BD187" s="3" t="n">
        <v>6</v>
      </c>
      <c r="BE187" s="3" t="n">
        <v>3</v>
      </c>
      <c r="BF187" s="3" t="n">
        <v>5</v>
      </c>
      <c r="BG187" s="3" t="n">
        <v>3</v>
      </c>
      <c r="BH187" s="3" t="n">
        <v>4</v>
      </c>
      <c r="BI187" s="3" t="n">
        <v>1</v>
      </c>
      <c r="BJ187" s="3" t="n">
        <v>1</v>
      </c>
      <c r="BK187" s="6" t="s">
        <v>652</v>
      </c>
    </row>
    <row r="188" customFormat="false" ht="15" hidden="false" customHeight="true" outlineLevel="0" collapsed="false">
      <c r="B188" s="2" t="s">
        <v>653</v>
      </c>
      <c r="C188" s="2" t="s">
        <v>654</v>
      </c>
      <c r="D188" s="2" t="s">
        <v>172</v>
      </c>
      <c r="E188" s="2" t="n">
        <v>168044</v>
      </c>
      <c r="F188" s="15" t="n">
        <v>43459</v>
      </c>
      <c r="G188" s="15" t="n">
        <v>43465</v>
      </c>
      <c r="H188" s="3" t="n">
        <v>6</v>
      </c>
      <c r="I188" s="3" t="n">
        <v>2</v>
      </c>
      <c r="J188" s="3" t="n">
        <v>56</v>
      </c>
      <c r="K188" s="3" t="n">
        <v>1</v>
      </c>
      <c r="L188" s="3" t="n">
        <v>1</v>
      </c>
      <c r="M188" s="3" t="n">
        <v>1</v>
      </c>
      <c r="N188" s="3" t="n">
        <v>2</v>
      </c>
      <c r="O188" s="3" t="n">
        <v>2</v>
      </c>
      <c r="P188" s="3" t="n">
        <v>2</v>
      </c>
      <c r="Q188" s="3" t="n">
        <v>2</v>
      </c>
      <c r="R188" s="3" t="n">
        <v>2</v>
      </c>
      <c r="S188" s="3" t="n">
        <v>2</v>
      </c>
      <c r="T188" s="4" t="n">
        <v>1</v>
      </c>
      <c r="U188" s="3" t="n">
        <v>1</v>
      </c>
      <c r="V188" s="3" t="n">
        <v>4.29</v>
      </c>
      <c r="W188" s="3" t="n">
        <v>1.62</v>
      </c>
      <c r="X188" s="3" t="n">
        <v>5.5</v>
      </c>
      <c r="Y188" s="3" t="n">
        <v>261</v>
      </c>
      <c r="AA188" s="3" t="n">
        <v>0.45</v>
      </c>
      <c r="AB188" s="3" t="n">
        <v>11</v>
      </c>
      <c r="AC188" s="3" t="n">
        <v>1</v>
      </c>
      <c r="AD188" s="3" t="n">
        <v>1</v>
      </c>
      <c r="AE188" s="3" t="n">
        <v>1</v>
      </c>
      <c r="AF188" s="3" t="n">
        <v>1</v>
      </c>
      <c r="AG188" s="3" t="n">
        <v>2</v>
      </c>
      <c r="AH188" s="3" t="n">
        <v>2</v>
      </c>
      <c r="AI188" s="3" t="n">
        <v>1</v>
      </c>
      <c r="AJ188" s="3" t="n">
        <v>1</v>
      </c>
      <c r="AK188" s="3" t="n">
        <v>2</v>
      </c>
      <c r="AL188" s="3" t="n">
        <v>2</v>
      </c>
      <c r="AM188" s="3" t="n">
        <v>2</v>
      </c>
      <c r="AN188" s="3" t="n">
        <v>2</v>
      </c>
      <c r="AO188" s="3" t="n">
        <v>2</v>
      </c>
      <c r="AP188" s="3" t="n">
        <v>3</v>
      </c>
      <c r="AQ188" s="3" t="n">
        <v>4</v>
      </c>
      <c r="AR188" s="3" t="n">
        <v>4</v>
      </c>
      <c r="AS188" s="3" t="n">
        <v>6</v>
      </c>
      <c r="AT188" s="3" t="n">
        <v>4</v>
      </c>
      <c r="AU188" s="3" t="n">
        <v>4</v>
      </c>
      <c r="AV188" s="3" t="n">
        <v>6</v>
      </c>
      <c r="AW188" s="3" t="n">
        <v>6</v>
      </c>
      <c r="AX188" s="3" t="n">
        <v>3</v>
      </c>
      <c r="AY188" s="3" t="n">
        <v>3</v>
      </c>
      <c r="AZ188" s="3" t="n">
        <v>1</v>
      </c>
      <c r="BA188" s="5" t="n">
        <v>5</v>
      </c>
      <c r="BB188" s="3" t="n">
        <v>2</v>
      </c>
      <c r="BC188" s="3" t="n">
        <v>1</v>
      </c>
      <c r="BD188" s="3" t="n">
        <v>6</v>
      </c>
      <c r="BE188" s="3" t="n">
        <v>3</v>
      </c>
      <c r="BF188" s="3" t="n">
        <v>5</v>
      </c>
      <c r="BG188" s="3" t="n">
        <v>3</v>
      </c>
      <c r="BH188" s="3" t="n">
        <v>4</v>
      </c>
      <c r="BI188" s="3" t="n">
        <v>1</v>
      </c>
      <c r="BJ188" s="3" t="n">
        <v>1</v>
      </c>
      <c r="BK188" s="6" t="s">
        <v>655</v>
      </c>
    </row>
    <row r="189" customFormat="false" ht="15" hidden="false" customHeight="true" outlineLevel="0" collapsed="false">
      <c r="B189" s="2" t="s">
        <v>656</v>
      </c>
      <c r="C189" s="2" t="s">
        <v>657</v>
      </c>
      <c r="D189" s="2" t="s">
        <v>658</v>
      </c>
      <c r="E189" s="2" t="n">
        <v>167847</v>
      </c>
      <c r="F189" s="15" t="n">
        <v>43454</v>
      </c>
      <c r="G189" s="15" t="n">
        <v>43464</v>
      </c>
      <c r="H189" s="3" t="n">
        <v>10</v>
      </c>
      <c r="I189" s="3" t="n">
        <v>1</v>
      </c>
      <c r="J189" s="3" t="n">
        <v>73</v>
      </c>
      <c r="K189" s="3" t="n">
        <v>2</v>
      </c>
      <c r="L189" s="3" t="n">
        <v>2</v>
      </c>
      <c r="M189" s="3" t="n">
        <v>1</v>
      </c>
      <c r="N189" s="3" t="n">
        <v>2</v>
      </c>
      <c r="O189" s="3" t="n">
        <v>2</v>
      </c>
      <c r="P189" s="3" t="n">
        <v>2</v>
      </c>
      <c r="Q189" s="3" t="n">
        <v>1</v>
      </c>
      <c r="R189" s="3" t="n">
        <v>2</v>
      </c>
      <c r="S189" s="3" t="n">
        <v>1</v>
      </c>
      <c r="T189" s="4" t="n">
        <v>1</v>
      </c>
      <c r="U189" s="3" t="n">
        <v>1</v>
      </c>
      <c r="V189" s="3" t="n">
        <v>5.31</v>
      </c>
      <c r="W189" s="3" t="n">
        <v>0.43</v>
      </c>
      <c r="X189" s="3" t="n">
        <v>16.4</v>
      </c>
      <c r="Y189" s="3" t="n">
        <v>292</v>
      </c>
      <c r="AA189" s="3" t="n">
        <v>0.38</v>
      </c>
      <c r="AB189" s="3" t="n">
        <v>8</v>
      </c>
      <c r="AC189" s="3" t="n">
        <v>1</v>
      </c>
      <c r="AD189" s="3" t="n">
        <v>1</v>
      </c>
      <c r="AE189" s="3" t="n">
        <v>1</v>
      </c>
      <c r="AF189" s="3" t="n">
        <v>1</v>
      </c>
      <c r="AG189" s="3" t="n">
        <v>2</v>
      </c>
      <c r="AH189" s="3" t="n">
        <v>2</v>
      </c>
      <c r="AI189" s="3" t="n">
        <v>1</v>
      </c>
      <c r="AJ189" s="3" t="n">
        <v>2</v>
      </c>
      <c r="AK189" s="3" t="n">
        <v>1</v>
      </c>
      <c r="AL189" s="3" t="n">
        <v>2</v>
      </c>
      <c r="AM189" s="3" t="n">
        <v>2</v>
      </c>
      <c r="AN189" s="3" t="n">
        <v>2</v>
      </c>
      <c r="AO189" s="3" t="n">
        <v>2</v>
      </c>
      <c r="AP189" s="3" t="n">
        <v>3</v>
      </c>
      <c r="AQ189" s="3" t="n">
        <v>4</v>
      </c>
      <c r="AR189" s="3" t="n">
        <v>4</v>
      </c>
      <c r="AS189" s="3" t="n">
        <v>6</v>
      </c>
      <c r="AT189" s="3" t="n">
        <v>4</v>
      </c>
      <c r="AU189" s="3" t="n">
        <v>4</v>
      </c>
      <c r="AV189" s="3" t="n">
        <v>6</v>
      </c>
      <c r="AW189" s="3" t="n">
        <v>6</v>
      </c>
      <c r="AX189" s="3" t="n">
        <v>3</v>
      </c>
      <c r="AY189" s="3" t="n">
        <v>3</v>
      </c>
      <c r="AZ189" s="3" t="n">
        <v>1</v>
      </c>
      <c r="BA189" s="5" t="n">
        <v>5</v>
      </c>
      <c r="BB189" s="3" t="n">
        <v>2</v>
      </c>
      <c r="BC189" s="3" t="n">
        <v>1</v>
      </c>
      <c r="BD189" s="3" t="n">
        <v>6</v>
      </c>
      <c r="BE189" s="3" t="n">
        <v>3</v>
      </c>
      <c r="BF189" s="3" t="n">
        <v>5</v>
      </c>
      <c r="BG189" s="3" t="n">
        <v>3</v>
      </c>
      <c r="BH189" s="3" t="n">
        <v>4</v>
      </c>
      <c r="BI189" s="3" t="n">
        <v>1</v>
      </c>
      <c r="BJ189" s="3" t="n">
        <v>1</v>
      </c>
      <c r="BK189" s="6" t="s">
        <v>659</v>
      </c>
    </row>
    <row r="190" customFormat="false" ht="15" hidden="false" customHeight="true" outlineLevel="0" collapsed="false">
      <c r="B190" s="2" t="s">
        <v>660</v>
      </c>
      <c r="C190" s="2" t="s">
        <v>661</v>
      </c>
      <c r="D190" s="2" t="s">
        <v>662</v>
      </c>
      <c r="E190" s="2" t="n">
        <v>168070</v>
      </c>
      <c r="F190" s="15" t="n">
        <v>43460</v>
      </c>
      <c r="G190" s="15" t="n">
        <v>43466</v>
      </c>
      <c r="H190" s="3" t="n">
        <v>6</v>
      </c>
      <c r="I190" s="3" t="n">
        <v>2</v>
      </c>
      <c r="J190" s="3" t="n">
        <v>69</v>
      </c>
      <c r="K190" s="3" t="n">
        <v>2</v>
      </c>
      <c r="L190" s="3" t="n">
        <v>2</v>
      </c>
      <c r="M190" s="3" t="n">
        <v>2</v>
      </c>
      <c r="N190" s="3" t="n">
        <v>2</v>
      </c>
      <c r="O190" s="3" t="n">
        <v>2</v>
      </c>
      <c r="P190" s="3" t="n">
        <v>2</v>
      </c>
      <c r="Q190" s="3" t="n">
        <v>2</v>
      </c>
      <c r="R190" s="3" t="n">
        <v>2</v>
      </c>
      <c r="S190" s="3" t="n">
        <v>2</v>
      </c>
      <c r="T190" s="4" t="n">
        <v>2</v>
      </c>
      <c r="U190" s="3" t="n">
        <v>2</v>
      </c>
      <c r="V190" s="3" t="n">
        <v>2.61</v>
      </c>
      <c r="W190" s="3" t="n">
        <v>0.31</v>
      </c>
      <c r="X190" s="3" t="n">
        <v>7.1</v>
      </c>
      <c r="Y190" s="3" t="n">
        <v>394</v>
      </c>
      <c r="AA190" s="3" t="n">
        <v>0.35</v>
      </c>
      <c r="AB190" s="3" t="n">
        <v>7.5</v>
      </c>
      <c r="AC190" s="3" t="n">
        <v>1</v>
      </c>
      <c r="AD190" s="3" t="n">
        <v>2</v>
      </c>
      <c r="AE190" s="3" t="n">
        <v>1</v>
      </c>
      <c r="AF190" s="3" t="n">
        <v>1</v>
      </c>
      <c r="AG190" s="3" t="n">
        <v>2</v>
      </c>
      <c r="AH190" s="3" t="n">
        <v>2</v>
      </c>
      <c r="AI190" s="3" t="n">
        <v>1</v>
      </c>
      <c r="AJ190" s="3" t="n">
        <v>1</v>
      </c>
      <c r="AK190" s="3" t="n">
        <v>2</v>
      </c>
      <c r="AL190" s="3" t="n">
        <v>2</v>
      </c>
      <c r="AM190" s="3" t="n">
        <v>2</v>
      </c>
      <c r="AN190" s="3" t="n">
        <v>2</v>
      </c>
      <c r="AO190" s="3" t="n">
        <v>2</v>
      </c>
      <c r="AP190" s="3" t="n">
        <v>3</v>
      </c>
      <c r="AQ190" s="3" t="n">
        <v>4</v>
      </c>
      <c r="AR190" s="3" t="n">
        <v>4</v>
      </c>
      <c r="AS190" s="3" t="n">
        <v>6</v>
      </c>
      <c r="AT190" s="3" t="n">
        <v>4</v>
      </c>
      <c r="AU190" s="3" t="n">
        <v>4</v>
      </c>
      <c r="AV190" s="3" t="n">
        <v>6</v>
      </c>
      <c r="AW190" s="3" t="n">
        <v>6</v>
      </c>
      <c r="AX190" s="3" t="n">
        <v>3</v>
      </c>
      <c r="AY190" s="3" t="n">
        <v>3</v>
      </c>
      <c r="AZ190" s="3" t="n">
        <v>1</v>
      </c>
      <c r="BA190" s="5" t="n">
        <v>1</v>
      </c>
      <c r="BB190" s="3" t="n">
        <v>1</v>
      </c>
      <c r="BC190" s="3" t="n">
        <v>1</v>
      </c>
      <c r="BD190" s="3" t="n">
        <v>2</v>
      </c>
      <c r="BE190" s="3" t="n">
        <v>1</v>
      </c>
      <c r="BF190" s="3" t="n">
        <v>2</v>
      </c>
      <c r="BG190" s="3" t="n">
        <v>1</v>
      </c>
      <c r="BH190" s="3" t="n">
        <v>4</v>
      </c>
      <c r="BI190" s="3" t="n">
        <v>1</v>
      </c>
      <c r="BJ190" s="3" t="n">
        <v>1</v>
      </c>
      <c r="BK190" s="6" t="s">
        <v>663</v>
      </c>
    </row>
    <row r="191" customFormat="false" ht="15" hidden="false" customHeight="true" outlineLevel="0" collapsed="false">
      <c r="B191" s="2" t="s">
        <v>664</v>
      </c>
      <c r="C191" s="2" t="s">
        <v>386</v>
      </c>
      <c r="D191" s="2" t="s">
        <v>665</v>
      </c>
      <c r="E191" s="2" t="n">
        <v>168023</v>
      </c>
      <c r="F191" s="15" t="n">
        <v>43456</v>
      </c>
      <c r="G191" s="15" t="n">
        <v>43467</v>
      </c>
      <c r="H191" s="3" t="n">
        <v>11</v>
      </c>
      <c r="I191" s="3" t="n">
        <v>1</v>
      </c>
      <c r="J191" s="3" t="n">
        <v>69</v>
      </c>
      <c r="K191" s="3" t="n">
        <v>1</v>
      </c>
      <c r="L191" s="3" t="n">
        <v>2</v>
      </c>
      <c r="M191" s="3" t="n">
        <v>1</v>
      </c>
      <c r="N191" s="3" t="n">
        <v>2</v>
      </c>
      <c r="O191" s="3" t="n">
        <v>2</v>
      </c>
      <c r="P191" s="3" t="n">
        <v>2</v>
      </c>
      <c r="Q191" s="3" t="n">
        <v>2</v>
      </c>
      <c r="R191" s="3" t="n">
        <v>2</v>
      </c>
      <c r="S191" s="3" t="n">
        <v>2</v>
      </c>
      <c r="T191" s="4" t="n">
        <v>1</v>
      </c>
      <c r="U191" s="3" t="n">
        <v>1</v>
      </c>
      <c r="V191" s="3" t="n">
        <v>3.02</v>
      </c>
      <c r="W191" s="3" t="n">
        <v>1.19</v>
      </c>
      <c r="X191" s="3" t="n">
        <v>5.4</v>
      </c>
      <c r="Y191" s="3" t="n">
        <v>225</v>
      </c>
      <c r="AA191" s="3" t="n">
        <v>0.38</v>
      </c>
      <c r="AB191" s="3" t="n">
        <v>15</v>
      </c>
      <c r="AC191" s="3" t="n">
        <v>2</v>
      </c>
      <c r="AD191" s="3" t="n">
        <v>1</v>
      </c>
      <c r="AE191" s="3" t="n">
        <v>1</v>
      </c>
      <c r="AF191" s="3" t="n">
        <v>2</v>
      </c>
      <c r="AG191" s="3" t="n">
        <v>2</v>
      </c>
      <c r="AH191" s="3" t="n">
        <v>2</v>
      </c>
      <c r="AI191" s="3" t="n">
        <v>2</v>
      </c>
      <c r="AJ191" s="3" t="n">
        <v>2</v>
      </c>
      <c r="AK191" s="3" t="n">
        <v>2</v>
      </c>
      <c r="AL191" s="3" t="n">
        <v>2</v>
      </c>
      <c r="AM191" s="3" t="n">
        <v>1</v>
      </c>
      <c r="AN191" s="3" t="n">
        <v>1</v>
      </c>
      <c r="AO191" s="3" t="n">
        <v>2</v>
      </c>
      <c r="AP191" s="3" t="n">
        <v>3</v>
      </c>
      <c r="AQ191" s="3" t="n">
        <v>4</v>
      </c>
      <c r="AR191" s="3" t="n">
        <v>4</v>
      </c>
      <c r="AS191" s="3" t="n">
        <v>6</v>
      </c>
      <c r="AT191" s="3" t="n">
        <v>4</v>
      </c>
      <c r="AU191" s="3" t="n">
        <v>4</v>
      </c>
      <c r="AV191" s="3" t="n">
        <v>6</v>
      </c>
      <c r="AW191" s="3" t="n">
        <v>6</v>
      </c>
      <c r="AX191" s="3" t="n">
        <v>3</v>
      </c>
      <c r="AY191" s="3" t="n">
        <v>3</v>
      </c>
      <c r="AZ191" s="3" t="n">
        <v>6</v>
      </c>
      <c r="BA191" s="5" t="n">
        <v>5</v>
      </c>
      <c r="BB191" s="3" t="n">
        <v>2</v>
      </c>
      <c r="BC191" s="3" t="n">
        <v>1</v>
      </c>
      <c r="BD191" s="3" t="n">
        <v>6</v>
      </c>
      <c r="BE191" s="3" t="n">
        <v>3</v>
      </c>
      <c r="BF191" s="3" t="n">
        <v>5</v>
      </c>
      <c r="BG191" s="3" t="n">
        <v>3</v>
      </c>
      <c r="BH191" s="3" t="n">
        <v>4</v>
      </c>
      <c r="BI191" s="3" t="n">
        <v>1</v>
      </c>
      <c r="BJ191" s="3" t="n">
        <v>1</v>
      </c>
      <c r="BK191" s="6" t="s">
        <v>666</v>
      </c>
    </row>
    <row r="192" customFormat="false" ht="15" hidden="false" customHeight="true" outlineLevel="0" collapsed="false">
      <c r="B192" s="2" t="s">
        <v>667</v>
      </c>
      <c r="C192" s="2" t="s">
        <v>668</v>
      </c>
      <c r="D192" s="2" t="s">
        <v>118</v>
      </c>
      <c r="E192" s="2" t="n">
        <v>168063</v>
      </c>
      <c r="F192" s="15" t="n">
        <v>43460</v>
      </c>
      <c r="G192" s="15" t="n">
        <v>43467</v>
      </c>
      <c r="H192" s="3" t="n">
        <v>7</v>
      </c>
      <c r="I192" s="3" t="n">
        <v>1</v>
      </c>
      <c r="J192" s="3" t="n">
        <v>62</v>
      </c>
      <c r="K192" s="3" t="n">
        <v>1</v>
      </c>
      <c r="L192" s="3" t="n">
        <v>1</v>
      </c>
      <c r="M192" s="3" t="n">
        <v>1</v>
      </c>
      <c r="N192" s="3" t="n">
        <v>2</v>
      </c>
      <c r="O192" s="3" t="n">
        <v>2</v>
      </c>
      <c r="P192" s="3" t="n">
        <v>2</v>
      </c>
      <c r="Q192" s="3" t="n">
        <v>2</v>
      </c>
      <c r="R192" s="3" t="n">
        <v>2</v>
      </c>
      <c r="S192" s="3" t="n">
        <v>2</v>
      </c>
      <c r="T192" s="4" t="n">
        <v>2</v>
      </c>
      <c r="U192" s="3" t="n">
        <v>2</v>
      </c>
      <c r="V192" s="3" t="n">
        <v>3.18</v>
      </c>
      <c r="W192" s="3" t="n">
        <v>1.06</v>
      </c>
      <c r="X192" s="3" t="n">
        <v>4.4</v>
      </c>
      <c r="Y192" s="3" t="n">
        <v>119</v>
      </c>
      <c r="AA192" s="3" t="n">
        <v>0.28</v>
      </c>
      <c r="AB192" s="3" t="n">
        <v>11</v>
      </c>
      <c r="AD192" s="3" t="n">
        <v>2</v>
      </c>
      <c r="AE192" s="3" t="n">
        <v>1</v>
      </c>
      <c r="AF192" s="3" t="n">
        <v>2</v>
      </c>
      <c r="AG192" s="3" t="n">
        <v>2</v>
      </c>
      <c r="AH192" s="3" t="n">
        <v>1</v>
      </c>
      <c r="AI192" s="3" t="n">
        <v>1</v>
      </c>
      <c r="AJ192" s="3" t="n">
        <v>2</v>
      </c>
      <c r="AK192" s="3" t="n">
        <v>2</v>
      </c>
      <c r="AL192" s="3" t="n">
        <v>2</v>
      </c>
      <c r="AM192" s="3" t="n">
        <v>2</v>
      </c>
      <c r="AN192" s="3" t="n">
        <v>2</v>
      </c>
      <c r="AO192" s="3" t="n">
        <v>2</v>
      </c>
      <c r="AP192" s="3" t="n">
        <v>3</v>
      </c>
      <c r="AQ192" s="3" t="n">
        <v>4</v>
      </c>
      <c r="AR192" s="3" t="n">
        <v>4</v>
      </c>
      <c r="AS192" s="3" t="n">
        <v>6</v>
      </c>
      <c r="AT192" s="3" t="n">
        <v>4</v>
      </c>
      <c r="AU192" s="3" t="n">
        <v>4</v>
      </c>
      <c r="AV192" s="3" t="n">
        <v>6</v>
      </c>
      <c r="AW192" s="3" t="n">
        <v>6</v>
      </c>
      <c r="AX192" s="3" t="n">
        <v>3</v>
      </c>
      <c r="AY192" s="3" t="n">
        <v>3</v>
      </c>
      <c r="AZ192" s="3" t="n">
        <v>1</v>
      </c>
      <c r="BA192" s="5" t="n">
        <v>1</v>
      </c>
      <c r="BB192" s="3" t="n">
        <v>1</v>
      </c>
      <c r="BC192" s="3" t="n">
        <v>1</v>
      </c>
      <c r="BD192" s="3" t="n">
        <v>4</v>
      </c>
      <c r="BE192" s="3" t="n">
        <v>3</v>
      </c>
      <c r="BF192" s="3" t="n">
        <v>5</v>
      </c>
      <c r="BG192" s="3" t="n">
        <v>3</v>
      </c>
      <c r="BH192" s="3" t="n">
        <v>2</v>
      </c>
      <c r="BI192" s="3" t="n">
        <v>1</v>
      </c>
      <c r="BJ192" s="3" t="n">
        <v>1</v>
      </c>
      <c r="BK192" s="6" t="s">
        <v>669</v>
      </c>
    </row>
    <row r="193" customFormat="false" ht="15" hidden="false" customHeight="true" outlineLevel="0" collapsed="false">
      <c r="B193" s="2" t="s">
        <v>670</v>
      </c>
      <c r="C193" s="2" t="s">
        <v>478</v>
      </c>
      <c r="D193" s="2" t="s">
        <v>478</v>
      </c>
      <c r="E193" s="2" t="n">
        <v>167991</v>
      </c>
      <c r="F193" s="15" t="n">
        <v>43466</v>
      </c>
      <c r="G193" s="15" t="n">
        <v>43468</v>
      </c>
      <c r="H193" s="3" t="n">
        <v>2</v>
      </c>
      <c r="I193" s="3" t="n">
        <v>1</v>
      </c>
      <c r="J193" s="3" t="n">
        <v>84</v>
      </c>
      <c r="K193" s="3" t="n">
        <v>2</v>
      </c>
      <c r="L193" s="3" t="n">
        <v>2</v>
      </c>
      <c r="M193" s="3" t="n">
        <v>1</v>
      </c>
      <c r="N193" s="3" t="n">
        <v>2</v>
      </c>
      <c r="O193" s="3" t="n">
        <v>2</v>
      </c>
      <c r="P193" s="3" t="n">
        <v>2</v>
      </c>
      <c r="Q193" s="3" t="n">
        <v>1</v>
      </c>
      <c r="R193" s="3" t="n">
        <v>2</v>
      </c>
      <c r="S193" s="3" t="n">
        <v>2</v>
      </c>
      <c r="T193" s="4" t="n">
        <v>4</v>
      </c>
      <c r="U193" s="3" t="n">
        <v>4</v>
      </c>
      <c r="V193" s="3" t="n">
        <v>4.7</v>
      </c>
      <c r="W193" s="3" t="n">
        <v>0.4</v>
      </c>
      <c r="X193" s="3" t="n">
        <v>5.3</v>
      </c>
      <c r="Y193" s="3" t="n">
        <v>379</v>
      </c>
      <c r="AA193" s="3" t="n">
        <v>0.39</v>
      </c>
      <c r="AB193" s="3" t="n">
        <v>12.3</v>
      </c>
      <c r="AC193" s="3" t="n">
        <v>1</v>
      </c>
      <c r="AD193" s="3" t="n">
        <v>1</v>
      </c>
      <c r="AE193" s="3" t="n">
        <v>1</v>
      </c>
      <c r="AF193" s="3" t="n">
        <v>1</v>
      </c>
      <c r="AG193" s="3" t="n">
        <v>2</v>
      </c>
      <c r="AH193" s="3" t="n">
        <v>1</v>
      </c>
      <c r="AI193" s="3" t="n">
        <v>1</v>
      </c>
      <c r="AJ193" s="3" t="n">
        <v>2</v>
      </c>
      <c r="AK193" s="3" t="n">
        <v>2</v>
      </c>
      <c r="AL193" s="3" t="n">
        <v>2</v>
      </c>
      <c r="AM193" s="3" t="n">
        <v>1</v>
      </c>
      <c r="AN193" s="3" t="n">
        <v>2</v>
      </c>
      <c r="AO193" s="3" t="n">
        <v>2</v>
      </c>
      <c r="AP193" s="3" t="n">
        <v>3</v>
      </c>
      <c r="AQ193" s="3" t="n">
        <v>4</v>
      </c>
      <c r="AR193" s="3" t="n">
        <v>4</v>
      </c>
      <c r="AS193" s="3" t="n">
        <v>6</v>
      </c>
      <c r="AT193" s="3" t="n">
        <v>4</v>
      </c>
      <c r="AU193" s="3" t="n">
        <v>4</v>
      </c>
      <c r="AV193" s="3" t="n">
        <v>6</v>
      </c>
      <c r="AW193" s="3" t="n">
        <v>6</v>
      </c>
      <c r="AX193" s="3" t="n">
        <v>3</v>
      </c>
      <c r="AY193" s="3" t="n">
        <v>3</v>
      </c>
      <c r="AZ193" s="3" t="n">
        <v>1</v>
      </c>
      <c r="BA193" s="5" t="n">
        <v>10</v>
      </c>
      <c r="BB193" s="3" t="n">
        <v>2</v>
      </c>
      <c r="BC193" s="3" t="n">
        <v>1</v>
      </c>
      <c r="BD193" s="3" t="n">
        <v>6</v>
      </c>
      <c r="BE193" s="3" t="n">
        <v>3</v>
      </c>
      <c r="BF193" s="3" t="n">
        <v>5</v>
      </c>
      <c r="BG193" s="3" t="n">
        <v>3</v>
      </c>
      <c r="BH193" s="3" t="n">
        <v>4</v>
      </c>
      <c r="BI193" s="3" t="n">
        <v>1</v>
      </c>
      <c r="BJ193" s="3" t="n">
        <v>1</v>
      </c>
      <c r="BK193" s="6" t="s">
        <v>671</v>
      </c>
    </row>
    <row r="194" customFormat="false" ht="15" hidden="false" customHeight="true" outlineLevel="0" collapsed="false">
      <c r="B194" s="2" t="s">
        <v>672</v>
      </c>
      <c r="C194" s="2" t="s">
        <v>324</v>
      </c>
      <c r="D194" s="2" t="s">
        <v>673</v>
      </c>
      <c r="E194" s="2" t="n">
        <v>167937</v>
      </c>
      <c r="F194" s="15" t="n">
        <v>43462</v>
      </c>
      <c r="G194" s="15" t="n">
        <v>43469</v>
      </c>
      <c r="H194" s="3" t="n">
        <v>7</v>
      </c>
      <c r="I194" s="3" t="n">
        <v>2</v>
      </c>
      <c r="J194" s="3" t="n">
        <v>70</v>
      </c>
      <c r="K194" s="3" t="n">
        <v>2</v>
      </c>
      <c r="L194" s="3" t="n">
        <v>2</v>
      </c>
      <c r="M194" s="3" t="n">
        <v>1</v>
      </c>
      <c r="N194" s="3" t="n">
        <v>2</v>
      </c>
      <c r="O194" s="3" t="n">
        <v>2</v>
      </c>
      <c r="P194" s="3" t="n">
        <v>2</v>
      </c>
      <c r="Q194" s="3" t="n">
        <v>2</v>
      </c>
      <c r="R194" s="3" t="n">
        <v>2</v>
      </c>
      <c r="S194" s="3" t="n">
        <v>2</v>
      </c>
      <c r="T194" s="4" t="n">
        <v>1</v>
      </c>
      <c r="U194" s="3" t="n">
        <v>1</v>
      </c>
      <c r="V194" s="3" t="n">
        <v>2.84</v>
      </c>
      <c r="W194" s="3" t="n">
        <v>1.2</v>
      </c>
      <c r="X194" s="3" t="n">
        <v>5.5</v>
      </c>
      <c r="Y194" s="3" t="n">
        <v>488</v>
      </c>
      <c r="AA194" s="3" t="n">
        <v>0.41</v>
      </c>
      <c r="AB194" s="3" t="n">
        <v>7.8</v>
      </c>
      <c r="AC194" s="3" t="n">
        <v>1</v>
      </c>
      <c r="AD194" s="3" t="n">
        <v>1</v>
      </c>
      <c r="AE194" s="3" t="n">
        <v>1</v>
      </c>
      <c r="AF194" s="3" t="n">
        <v>1</v>
      </c>
      <c r="AG194" s="3" t="n">
        <v>2</v>
      </c>
      <c r="AH194" s="3" t="n">
        <v>2</v>
      </c>
      <c r="AI194" s="3" t="n">
        <v>1</v>
      </c>
      <c r="AJ194" s="3" t="n">
        <v>1</v>
      </c>
      <c r="AK194" s="3" t="n">
        <v>2</v>
      </c>
      <c r="AL194" s="3" t="n">
        <v>2</v>
      </c>
      <c r="AM194" s="3" t="n">
        <v>1</v>
      </c>
      <c r="AN194" s="3" t="n">
        <v>2</v>
      </c>
      <c r="AO194" s="3" t="n">
        <v>2</v>
      </c>
      <c r="AP194" s="3" t="n">
        <v>3</v>
      </c>
      <c r="AQ194" s="3" t="n">
        <v>4</v>
      </c>
      <c r="AR194" s="3" t="n">
        <v>4</v>
      </c>
      <c r="AS194" s="3" t="n">
        <v>6</v>
      </c>
      <c r="AT194" s="3" t="n">
        <v>4</v>
      </c>
      <c r="AU194" s="3" t="n">
        <v>4</v>
      </c>
      <c r="AV194" s="3" t="n">
        <v>6</v>
      </c>
      <c r="AW194" s="3" t="n">
        <v>6</v>
      </c>
      <c r="AX194" s="3" t="n">
        <v>3</v>
      </c>
      <c r="AY194" s="3" t="n">
        <v>3</v>
      </c>
      <c r="AZ194" s="3" t="n">
        <v>1</v>
      </c>
      <c r="BA194" s="5" t="n">
        <v>1</v>
      </c>
      <c r="BB194" s="3" t="n">
        <v>1</v>
      </c>
      <c r="BC194" s="3" t="n">
        <v>1</v>
      </c>
      <c r="BD194" s="3" t="n">
        <v>4</v>
      </c>
      <c r="BE194" s="3" t="n">
        <v>3</v>
      </c>
      <c r="BF194" s="3" t="n">
        <v>5</v>
      </c>
      <c r="BG194" s="3" t="n">
        <v>3</v>
      </c>
      <c r="BH194" s="3" t="n">
        <v>4</v>
      </c>
      <c r="BI194" s="3" t="n">
        <v>1</v>
      </c>
      <c r="BJ194" s="3" t="n">
        <v>1</v>
      </c>
      <c r="BK194" s="6" t="s">
        <v>674</v>
      </c>
    </row>
    <row r="195" customFormat="false" ht="15" hidden="false" customHeight="true" outlineLevel="0" collapsed="false">
      <c r="B195" s="2" t="s">
        <v>675</v>
      </c>
      <c r="C195" s="2" t="s">
        <v>95</v>
      </c>
      <c r="D195" s="2" t="s">
        <v>272</v>
      </c>
      <c r="E195" s="2" t="n">
        <v>167965</v>
      </c>
      <c r="F195" s="15" t="n">
        <v>43464</v>
      </c>
      <c r="G195" s="15" t="n">
        <v>43469</v>
      </c>
      <c r="H195" s="3" t="n">
        <v>5</v>
      </c>
      <c r="I195" s="3" t="n">
        <v>1</v>
      </c>
      <c r="J195" s="3" t="n">
        <v>78</v>
      </c>
      <c r="K195" s="3" t="n">
        <v>1</v>
      </c>
      <c r="L195" s="3" t="n">
        <v>2</v>
      </c>
      <c r="M195" s="3" t="n">
        <v>1</v>
      </c>
      <c r="N195" s="3" t="n">
        <v>2</v>
      </c>
      <c r="O195" s="3" t="n">
        <v>2</v>
      </c>
      <c r="P195" s="3" t="n">
        <v>2</v>
      </c>
      <c r="Q195" s="3" t="n">
        <v>1</v>
      </c>
      <c r="R195" s="3" t="n">
        <v>2</v>
      </c>
      <c r="S195" s="3" t="n">
        <v>2</v>
      </c>
      <c r="T195" s="4" t="n">
        <v>12</v>
      </c>
      <c r="U195" s="3" t="n">
        <v>1</v>
      </c>
      <c r="V195" s="3" t="n">
        <v>5.66</v>
      </c>
      <c r="W195" s="3" t="n">
        <v>1.54</v>
      </c>
      <c r="X195" s="3" t="n">
        <v>5.2</v>
      </c>
      <c r="Y195" s="3" t="n">
        <v>372</v>
      </c>
      <c r="AA195" s="3" t="n">
        <v>0.35</v>
      </c>
      <c r="AB195" s="3" t="n">
        <v>11.6</v>
      </c>
      <c r="AC195" s="3" t="n">
        <v>1</v>
      </c>
      <c r="AD195" s="3" t="n">
        <v>1</v>
      </c>
      <c r="AE195" s="3" t="n">
        <v>1</v>
      </c>
      <c r="AF195" s="3" t="n">
        <v>2</v>
      </c>
      <c r="AG195" s="3" t="n">
        <v>2</v>
      </c>
      <c r="AH195" s="3" t="n">
        <v>1</v>
      </c>
      <c r="AI195" s="3" t="n">
        <v>2</v>
      </c>
      <c r="AJ195" s="3" t="n">
        <v>1</v>
      </c>
      <c r="AK195" s="3" t="n">
        <v>1</v>
      </c>
      <c r="AL195" s="3" t="n">
        <v>2</v>
      </c>
      <c r="AM195" s="3" t="n">
        <v>1</v>
      </c>
      <c r="AN195" s="3" t="n">
        <v>2</v>
      </c>
      <c r="AO195" s="3" t="n">
        <v>2</v>
      </c>
      <c r="AP195" s="3" t="n">
        <v>3</v>
      </c>
      <c r="AQ195" s="3" t="n">
        <v>4</v>
      </c>
      <c r="AR195" s="3" t="n">
        <v>4</v>
      </c>
      <c r="AS195" s="3" t="n">
        <v>6</v>
      </c>
      <c r="AT195" s="3" t="n">
        <v>4</v>
      </c>
      <c r="AU195" s="3" t="n">
        <v>4</v>
      </c>
      <c r="AV195" s="3" t="n">
        <v>6</v>
      </c>
      <c r="AW195" s="3" t="n">
        <v>6</v>
      </c>
      <c r="AX195" s="3" t="n">
        <v>3</v>
      </c>
      <c r="AY195" s="3" t="n">
        <v>3</v>
      </c>
      <c r="AZ195" s="3" t="n">
        <v>1</v>
      </c>
      <c r="BA195" s="5" t="n">
        <v>3</v>
      </c>
      <c r="BB195" s="3" t="n">
        <v>2</v>
      </c>
      <c r="BC195" s="3" t="n">
        <v>1</v>
      </c>
      <c r="BD195" s="3" t="n">
        <v>6</v>
      </c>
      <c r="BE195" s="3" t="n">
        <v>3</v>
      </c>
      <c r="BF195" s="3" t="n">
        <v>5</v>
      </c>
      <c r="BG195" s="3" t="n">
        <v>3</v>
      </c>
      <c r="BH195" s="3" t="n">
        <v>4</v>
      </c>
      <c r="BI195" s="3" t="n">
        <v>1</v>
      </c>
      <c r="BJ195" s="3" t="n">
        <v>1</v>
      </c>
      <c r="BK195" s="16" t="s">
        <v>676</v>
      </c>
    </row>
    <row r="196" customFormat="false" ht="15" hidden="false" customHeight="true" outlineLevel="0" collapsed="false">
      <c r="B196" s="2" t="s">
        <v>677</v>
      </c>
      <c r="C196" s="2" t="s">
        <v>260</v>
      </c>
      <c r="D196" s="2" t="s">
        <v>678</v>
      </c>
      <c r="E196" s="2" t="n">
        <v>167925</v>
      </c>
      <c r="F196" s="15" t="n">
        <v>43462</v>
      </c>
      <c r="G196" s="15" t="n">
        <v>43469</v>
      </c>
      <c r="H196" s="3" t="n">
        <v>7</v>
      </c>
      <c r="I196" s="3" t="n">
        <v>2</v>
      </c>
      <c r="J196" s="3" t="n">
        <v>62</v>
      </c>
      <c r="K196" s="3" t="n">
        <v>2</v>
      </c>
      <c r="L196" s="3" t="n">
        <v>1</v>
      </c>
      <c r="M196" s="3" t="n">
        <v>1</v>
      </c>
      <c r="N196" s="3" t="n">
        <v>2</v>
      </c>
      <c r="O196" s="3" t="n">
        <v>2</v>
      </c>
      <c r="P196" s="3" t="n">
        <v>2</v>
      </c>
      <c r="Q196" s="3" t="n">
        <v>2</v>
      </c>
      <c r="R196" s="3" t="n">
        <v>2</v>
      </c>
      <c r="S196" s="3" t="n">
        <v>2</v>
      </c>
      <c r="T196" s="4" t="n">
        <v>2</v>
      </c>
      <c r="U196" s="3" t="n">
        <v>2</v>
      </c>
      <c r="V196" s="3" t="n">
        <v>5.21</v>
      </c>
      <c r="W196" s="3" t="n">
        <v>0.67</v>
      </c>
      <c r="X196" s="3" t="n">
        <v>3.8</v>
      </c>
      <c r="Y196" s="3" t="n">
        <v>300</v>
      </c>
      <c r="AA196" s="3" t="n">
        <v>0.43</v>
      </c>
      <c r="AB196" s="3" t="n">
        <v>4.2</v>
      </c>
      <c r="AC196" s="3" t="n">
        <v>1</v>
      </c>
      <c r="AD196" s="3" t="n">
        <v>1</v>
      </c>
      <c r="AE196" s="3" t="n">
        <v>1</v>
      </c>
      <c r="AF196" s="3" t="n">
        <v>1</v>
      </c>
      <c r="AG196" s="3" t="n">
        <v>2</v>
      </c>
      <c r="AH196" s="3" t="n">
        <v>2</v>
      </c>
      <c r="AI196" s="3" t="n">
        <v>1</v>
      </c>
      <c r="AJ196" s="3" t="n">
        <v>1</v>
      </c>
      <c r="AK196" s="3" t="n">
        <v>2</v>
      </c>
      <c r="AL196" s="3" t="n">
        <v>2</v>
      </c>
      <c r="AM196" s="3" t="n">
        <v>2</v>
      </c>
      <c r="AN196" s="3" t="n">
        <v>2</v>
      </c>
      <c r="AO196" s="3" t="n">
        <v>2</v>
      </c>
      <c r="AP196" s="3" t="n">
        <v>3</v>
      </c>
      <c r="AQ196" s="3" t="n">
        <v>4</v>
      </c>
      <c r="AR196" s="3" t="n">
        <v>4</v>
      </c>
      <c r="AS196" s="3" t="n">
        <v>6</v>
      </c>
      <c r="AT196" s="3" t="n">
        <v>4</v>
      </c>
      <c r="AU196" s="3" t="n">
        <v>4</v>
      </c>
      <c r="AV196" s="3" t="n">
        <v>6</v>
      </c>
      <c r="AW196" s="3" t="n">
        <v>6</v>
      </c>
      <c r="AX196" s="3" t="n">
        <v>3</v>
      </c>
      <c r="AY196" s="3" t="n">
        <v>3</v>
      </c>
      <c r="AZ196" s="3" t="n">
        <v>1</v>
      </c>
      <c r="BA196" s="5" t="n">
        <v>5</v>
      </c>
      <c r="BB196" s="3" t="n">
        <v>2</v>
      </c>
      <c r="BC196" s="3" t="n">
        <v>1</v>
      </c>
      <c r="BD196" s="3" t="n">
        <v>6</v>
      </c>
      <c r="BE196" s="3" t="n">
        <v>3</v>
      </c>
      <c r="BF196" s="3" t="n">
        <v>5</v>
      </c>
      <c r="BG196" s="3" t="n">
        <v>3</v>
      </c>
      <c r="BH196" s="3" t="n">
        <v>4</v>
      </c>
      <c r="BI196" s="3" t="n">
        <v>1</v>
      </c>
      <c r="BJ196" s="3" t="n">
        <v>1</v>
      </c>
      <c r="BK196" s="6" t="s">
        <v>679</v>
      </c>
    </row>
    <row r="197" customFormat="false" ht="15" hidden="false" customHeight="true" outlineLevel="0" collapsed="false">
      <c r="B197" s="2" t="s">
        <v>680</v>
      </c>
      <c r="C197" s="2" t="s">
        <v>115</v>
      </c>
      <c r="D197" s="2" t="s">
        <v>681</v>
      </c>
      <c r="E197" s="2" t="n">
        <v>146058</v>
      </c>
      <c r="F197" s="15" t="n">
        <v>43461</v>
      </c>
      <c r="G197" s="15" t="n">
        <v>43104</v>
      </c>
      <c r="H197" s="3" t="n">
        <v>8</v>
      </c>
      <c r="I197" s="3" t="n">
        <v>2</v>
      </c>
      <c r="J197" s="3" t="n">
        <v>68</v>
      </c>
      <c r="K197" s="3" t="n">
        <v>2</v>
      </c>
      <c r="L197" s="3" t="n">
        <v>2</v>
      </c>
      <c r="M197" s="3" t="n">
        <v>1</v>
      </c>
      <c r="N197" s="3" t="n">
        <v>2</v>
      </c>
      <c r="O197" s="3" t="n">
        <v>2</v>
      </c>
      <c r="P197" s="3" t="n">
        <v>2</v>
      </c>
      <c r="Q197" s="3" t="n">
        <v>2</v>
      </c>
      <c r="R197" s="3" t="n">
        <v>2</v>
      </c>
      <c r="S197" s="3" t="n">
        <v>2</v>
      </c>
      <c r="T197" s="4" t="n">
        <v>12</v>
      </c>
      <c r="U197" s="3" t="n">
        <v>1</v>
      </c>
      <c r="V197" s="3" t="n">
        <v>2.94</v>
      </c>
      <c r="W197" s="3" t="n">
        <v>1.2</v>
      </c>
      <c r="X197" s="3" t="n">
        <v>4.7</v>
      </c>
      <c r="Y197" s="3" t="n">
        <v>367</v>
      </c>
      <c r="AA197" s="3" t="n">
        <v>0.32</v>
      </c>
      <c r="AB197" s="3" t="n">
        <v>10.8</v>
      </c>
      <c r="AC197" s="3" t="n">
        <v>1</v>
      </c>
      <c r="AD197" s="3" t="n">
        <v>2</v>
      </c>
      <c r="AE197" s="3" t="n">
        <v>2</v>
      </c>
      <c r="AF197" s="3" t="n">
        <v>2</v>
      </c>
      <c r="AG197" s="3" t="n">
        <v>2</v>
      </c>
      <c r="AH197" s="3" t="n">
        <v>1</v>
      </c>
      <c r="AI197" s="3" t="n">
        <v>1</v>
      </c>
      <c r="AJ197" s="3" t="n">
        <v>2</v>
      </c>
      <c r="AK197" s="3" t="n">
        <v>2</v>
      </c>
      <c r="AL197" s="3" t="n">
        <v>2</v>
      </c>
      <c r="AM197" s="3" t="n">
        <v>2</v>
      </c>
      <c r="AN197" s="3" t="n">
        <v>2</v>
      </c>
      <c r="AO197" s="3" t="n">
        <v>2</v>
      </c>
      <c r="AP197" s="3" t="n">
        <v>3</v>
      </c>
      <c r="AQ197" s="3" t="n">
        <v>4</v>
      </c>
      <c r="AR197" s="3" t="n">
        <v>4</v>
      </c>
      <c r="AS197" s="3" t="n">
        <v>6</v>
      </c>
      <c r="AT197" s="3" t="n">
        <v>4</v>
      </c>
      <c r="AU197" s="3" t="n">
        <v>4</v>
      </c>
      <c r="AV197" s="3" t="n">
        <v>6</v>
      </c>
      <c r="AW197" s="3" t="n">
        <v>6</v>
      </c>
      <c r="AX197" s="3" t="n">
        <v>3</v>
      </c>
      <c r="AY197" s="3" t="n">
        <v>3</v>
      </c>
      <c r="AZ197" s="3" t="n">
        <v>8</v>
      </c>
      <c r="BA197" s="5" t="n">
        <v>3</v>
      </c>
      <c r="BB197" s="3" t="n">
        <v>2</v>
      </c>
      <c r="BC197" s="3" t="n">
        <v>1</v>
      </c>
      <c r="BD197" s="3" t="n">
        <v>6</v>
      </c>
      <c r="BE197" s="3" t="n">
        <v>3</v>
      </c>
      <c r="BF197" s="3" t="n">
        <v>5</v>
      </c>
      <c r="BG197" s="3" t="n">
        <v>3</v>
      </c>
      <c r="BH197" s="3" t="n">
        <v>2</v>
      </c>
      <c r="BI197" s="3" t="n">
        <v>1</v>
      </c>
      <c r="BJ197" s="3" t="n">
        <v>1</v>
      </c>
      <c r="BK197" s="6" t="s">
        <v>682</v>
      </c>
    </row>
    <row r="198" customFormat="false" ht="15" hidden="false" customHeight="true" outlineLevel="0" collapsed="false">
      <c r="B198" s="2" t="s">
        <v>683</v>
      </c>
      <c r="C198" s="2" t="s">
        <v>684</v>
      </c>
      <c r="D198" s="2" t="s">
        <v>685</v>
      </c>
      <c r="E198" s="2" t="n">
        <v>167967</v>
      </c>
      <c r="F198" s="15" t="n">
        <v>43464</v>
      </c>
      <c r="G198" s="15" t="n">
        <v>43471</v>
      </c>
      <c r="H198" s="3" t="n">
        <v>7</v>
      </c>
      <c r="I198" s="3" t="n">
        <v>2</v>
      </c>
      <c r="J198" s="3" t="n">
        <v>53</v>
      </c>
      <c r="K198" s="3" t="n">
        <v>1</v>
      </c>
      <c r="L198" s="3" t="n">
        <v>1</v>
      </c>
      <c r="M198" s="3" t="n">
        <v>2</v>
      </c>
      <c r="N198" s="3" t="n">
        <v>2</v>
      </c>
      <c r="O198" s="3" t="n">
        <v>2</v>
      </c>
      <c r="P198" s="3" t="n">
        <v>2</v>
      </c>
      <c r="Q198" s="3" t="n">
        <v>2</v>
      </c>
      <c r="R198" s="3" t="n">
        <v>2</v>
      </c>
      <c r="S198" s="3" t="n">
        <v>2</v>
      </c>
      <c r="T198" s="4" t="n">
        <v>1</v>
      </c>
      <c r="U198" s="3" t="n">
        <v>1</v>
      </c>
      <c r="V198" s="3" t="n">
        <v>4.81</v>
      </c>
      <c r="W198" s="3" t="n">
        <v>1.36</v>
      </c>
      <c r="X198" s="3" t="n">
        <v>4.5</v>
      </c>
      <c r="Y198" s="3" t="n">
        <v>448</v>
      </c>
      <c r="AA198" s="3" t="n">
        <v>0.44</v>
      </c>
      <c r="AB198" s="3" t="n">
        <v>8.5</v>
      </c>
      <c r="AC198" s="3" t="n">
        <v>1</v>
      </c>
      <c r="AD198" s="3" t="n">
        <v>2</v>
      </c>
      <c r="AE198" s="3" t="n">
        <v>1</v>
      </c>
      <c r="AF198" s="3" t="n">
        <v>1</v>
      </c>
      <c r="AG198" s="3" t="n">
        <v>2</v>
      </c>
      <c r="AH198" s="3" t="n">
        <v>2</v>
      </c>
      <c r="AI198" s="3" t="n">
        <v>1</v>
      </c>
      <c r="AJ198" s="3" t="n">
        <v>1</v>
      </c>
      <c r="AK198" s="3" t="n">
        <v>2</v>
      </c>
      <c r="AL198" s="3" t="n">
        <v>2</v>
      </c>
      <c r="AM198" s="3" t="n">
        <v>2</v>
      </c>
      <c r="AN198" s="3" t="n">
        <v>2</v>
      </c>
      <c r="AO198" s="3" t="n">
        <v>2</v>
      </c>
      <c r="AP198" s="3" t="n">
        <v>3</v>
      </c>
      <c r="AQ198" s="3" t="n">
        <v>4</v>
      </c>
      <c r="AR198" s="3" t="n">
        <v>4</v>
      </c>
      <c r="AS198" s="3" t="n">
        <v>6</v>
      </c>
      <c r="AT198" s="3" t="n">
        <v>4</v>
      </c>
      <c r="AU198" s="3" t="n">
        <v>4</v>
      </c>
      <c r="AV198" s="3" t="n">
        <v>6</v>
      </c>
      <c r="AW198" s="3" t="n">
        <v>6</v>
      </c>
      <c r="AX198" s="3" t="n">
        <v>3</v>
      </c>
      <c r="AY198" s="3" t="n">
        <v>3</v>
      </c>
      <c r="AZ198" s="3" t="n">
        <v>1</v>
      </c>
      <c r="BA198" s="5" t="n">
        <v>1</v>
      </c>
      <c r="BB198" s="3" t="n">
        <v>1</v>
      </c>
      <c r="BC198" s="3" t="n">
        <v>1</v>
      </c>
      <c r="BD198" s="3" t="n">
        <v>2</v>
      </c>
      <c r="BE198" s="3" t="n">
        <v>1</v>
      </c>
      <c r="BF198" s="3" t="n">
        <v>2</v>
      </c>
      <c r="BG198" s="3" t="n">
        <v>1</v>
      </c>
      <c r="BH198" s="3" t="n">
        <v>4</v>
      </c>
      <c r="BI198" s="3" t="n">
        <v>1</v>
      </c>
      <c r="BJ198" s="3" t="n">
        <v>1</v>
      </c>
      <c r="BK198" s="6" t="s">
        <v>686</v>
      </c>
    </row>
    <row r="199" customFormat="false" ht="15" hidden="false" customHeight="true" outlineLevel="0" collapsed="false">
      <c r="B199" s="2" t="s">
        <v>687</v>
      </c>
      <c r="C199" s="2" t="s">
        <v>688</v>
      </c>
      <c r="D199" s="2" t="s">
        <v>450</v>
      </c>
      <c r="E199" s="2" t="n">
        <v>167972</v>
      </c>
      <c r="F199" s="15" t="n">
        <v>43465</v>
      </c>
      <c r="G199" s="15" t="n">
        <v>43471</v>
      </c>
      <c r="H199" s="3" t="n">
        <v>6</v>
      </c>
      <c r="I199" s="3" t="n">
        <v>1</v>
      </c>
      <c r="J199" s="3" t="n">
        <v>78</v>
      </c>
      <c r="K199" s="3" t="n">
        <v>1</v>
      </c>
      <c r="L199" s="3" t="n">
        <v>2</v>
      </c>
      <c r="M199" s="3" t="n">
        <v>1</v>
      </c>
      <c r="N199" s="3" t="n">
        <v>2</v>
      </c>
      <c r="O199" s="3" t="n">
        <v>2</v>
      </c>
      <c r="P199" s="3" t="n">
        <v>2</v>
      </c>
      <c r="Q199" s="3" t="n">
        <v>1</v>
      </c>
      <c r="R199" s="3" t="n">
        <v>2</v>
      </c>
      <c r="S199" s="3" t="n">
        <v>2</v>
      </c>
      <c r="T199" s="4" t="n">
        <v>1</v>
      </c>
      <c r="U199" s="3" t="n">
        <v>4</v>
      </c>
      <c r="V199" s="3" t="n">
        <v>4.78</v>
      </c>
      <c r="W199" s="3" t="n">
        <v>0.97</v>
      </c>
      <c r="X199" s="3" t="n">
        <v>4.3</v>
      </c>
      <c r="Y199" s="3" t="n">
        <v>343</v>
      </c>
      <c r="AA199" s="3" t="n">
        <v>0.36</v>
      </c>
      <c r="AB199" s="3" t="n">
        <v>10</v>
      </c>
      <c r="AC199" s="3" t="n">
        <v>1</v>
      </c>
      <c r="AD199" s="3" t="n">
        <v>1</v>
      </c>
      <c r="AE199" s="3" t="n">
        <v>1</v>
      </c>
      <c r="AF199" s="3" t="n">
        <v>1</v>
      </c>
      <c r="AG199" s="3" t="n">
        <v>2</v>
      </c>
      <c r="AH199" s="3" t="n">
        <v>2</v>
      </c>
      <c r="AI199" s="3" t="n">
        <v>1</v>
      </c>
      <c r="AJ199" s="3" t="n">
        <v>1</v>
      </c>
      <c r="AK199" s="3" t="n">
        <v>2</v>
      </c>
      <c r="AL199" s="3" t="n">
        <v>2</v>
      </c>
      <c r="AM199" s="3" t="n">
        <v>1</v>
      </c>
      <c r="AN199" s="3" t="n">
        <v>2</v>
      </c>
      <c r="AO199" s="3" t="n">
        <v>2</v>
      </c>
      <c r="AP199" s="3" t="n">
        <v>3</v>
      </c>
      <c r="AQ199" s="3" t="n">
        <v>4</v>
      </c>
      <c r="AR199" s="3" t="n">
        <v>4</v>
      </c>
      <c r="AS199" s="3" t="n">
        <v>6</v>
      </c>
      <c r="AT199" s="3" t="n">
        <v>4</v>
      </c>
      <c r="AU199" s="3" t="n">
        <v>4</v>
      </c>
      <c r="AV199" s="3" t="n">
        <v>6</v>
      </c>
      <c r="AW199" s="3" t="n">
        <v>6</v>
      </c>
      <c r="AX199" s="3" t="n">
        <v>3</v>
      </c>
      <c r="AY199" s="3" t="n">
        <v>3</v>
      </c>
      <c r="AZ199" s="3" t="n">
        <v>1</v>
      </c>
      <c r="BA199" s="5" t="n">
        <v>5</v>
      </c>
      <c r="BB199" s="3" t="n">
        <v>2</v>
      </c>
      <c r="BC199" s="3" t="n">
        <v>1</v>
      </c>
      <c r="BD199" s="3" t="n">
        <v>6</v>
      </c>
      <c r="BE199" s="3" t="n">
        <v>3</v>
      </c>
      <c r="BF199" s="3" t="n">
        <v>5</v>
      </c>
      <c r="BG199" s="3" t="n">
        <v>3</v>
      </c>
      <c r="BH199" s="3" t="n">
        <v>4</v>
      </c>
      <c r="BI199" s="3" t="n">
        <v>1</v>
      </c>
      <c r="BJ199" s="3" t="n">
        <v>1</v>
      </c>
      <c r="BK199" s="6" t="s">
        <v>689</v>
      </c>
    </row>
    <row r="200" customFormat="false" ht="15" hidden="false" customHeight="true" outlineLevel="0" collapsed="false">
      <c r="B200" s="2" t="s">
        <v>690</v>
      </c>
      <c r="C200" s="2" t="s">
        <v>691</v>
      </c>
      <c r="D200" s="2" t="s">
        <v>692</v>
      </c>
      <c r="E200" s="2" t="n">
        <v>168203</v>
      </c>
      <c r="F200" s="15" t="n">
        <v>43467</v>
      </c>
      <c r="G200" s="15" t="n">
        <v>43473</v>
      </c>
      <c r="H200" s="3" t="n">
        <v>6</v>
      </c>
      <c r="I200" s="3" t="n">
        <v>2</v>
      </c>
      <c r="J200" s="3" t="n">
        <v>77</v>
      </c>
      <c r="K200" s="3" t="n">
        <v>1</v>
      </c>
      <c r="L200" s="3" t="n">
        <v>2</v>
      </c>
      <c r="M200" s="3" t="n">
        <v>1</v>
      </c>
      <c r="N200" s="3" t="n">
        <v>2</v>
      </c>
      <c r="O200" s="3" t="n">
        <v>2</v>
      </c>
      <c r="P200" s="3" t="n">
        <v>2</v>
      </c>
      <c r="Q200" s="3" t="n">
        <v>1</v>
      </c>
      <c r="R200" s="3" t="n">
        <v>2</v>
      </c>
      <c r="S200" s="3" t="n">
        <v>2</v>
      </c>
      <c r="T200" s="4" t="n">
        <v>1</v>
      </c>
      <c r="U200" s="3" t="n">
        <v>4</v>
      </c>
      <c r="V200" s="3" t="n">
        <v>4.93</v>
      </c>
      <c r="W200" s="3" t="n">
        <v>1.9</v>
      </c>
      <c r="X200" s="3" t="n">
        <v>5</v>
      </c>
      <c r="Y200" s="3" t="n">
        <v>280</v>
      </c>
      <c r="AA200" s="3" t="n">
        <v>0.45</v>
      </c>
      <c r="AB200" s="3" t="n">
        <v>5.3</v>
      </c>
      <c r="AC200" s="3" t="n">
        <v>1</v>
      </c>
      <c r="AD200" s="3" t="n">
        <v>1</v>
      </c>
      <c r="AE200" s="3" t="n">
        <v>1</v>
      </c>
      <c r="AF200" s="3" t="n">
        <v>1</v>
      </c>
      <c r="AG200" s="3" t="n">
        <v>1</v>
      </c>
      <c r="AH200" s="3" t="n">
        <v>2</v>
      </c>
      <c r="AI200" s="3" t="n">
        <v>1</v>
      </c>
      <c r="AJ200" s="3" t="n">
        <v>1</v>
      </c>
      <c r="AK200" s="3" t="n">
        <v>1</v>
      </c>
      <c r="AL200" s="3" t="n">
        <v>2</v>
      </c>
      <c r="AM200" s="3" t="n">
        <v>2</v>
      </c>
      <c r="AN200" s="3" t="n">
        <v>2</v>
      </c>
      <c r="AO200" s="3" t="n">
        <v>2</v>
      </c>
      <c r="AP200" s="3" t="n">
        <v>3</v>
      </c>
      <c r="AQ200" s="3" t="n">
        <v>4</v>
      </c>
      <c r="AR200" s="3" t="n">
        <v>4</v>
      </c>
      <c r="AS200" s="3" t="n">
        <v>6</v>
      </c>
      <c r="AT200" s="3" t="n">
        <v>4</v>
      </c>
      <c r="AU200" s="3" t="n">
        <v>4</v>
      </c>
      <c r="AV200" s="3" t="n">
        <v>6</v>
      </c>
      <c r="AW200" s="3" t="n">
        <v>6</v>
      </c>
      <c r="AX200" s="3" t="n">
        <v>3</v>
      </c>
      <c r="AY200" s="3" t="n">
        <v>3</v>
      </c>
      <c r="AZ200" s="3" t="n">
        <v>1</v>
      </c>
      <c r="BA200" s="5" t="n">
        <v>5</v>
      </c>
      <c r="BB200" s="3" t="n">
        <v>2</v>
      </c>
      <c r="BC200" s="3" t="n">
        <v>1</v>
      </c>
      <c r="BD200" s="3" t="n">
        <v>6</v>
      </c>
      <c r="BE200" s="3" t="n">
        <v>3</v>
      </c>
      <c r="BF200" s="3" t="n">
        <v>5</v>
      </c>
      <c r="BG200" s="3" t="n">
        <v>3</v>
      </c>
      <c r="BH200" s="3" t="n">
        <v>4</v>
      </c>
      <c r="BI200" s="3" t="n">
        <v>1</v>
      </c>
      <c r="BJ200" s="3" t="n">
        <v>1</v>
      </c>
      <c r="BK200" s="6" t="s">
        <v>693</v>
      </c>
    </row>
    <row r="201" customFormat="false" ht="15" hidden="false" customHeight="true" outlineLevel="0" collapsed="false">
      <c r="B201" s="2" t="s">
        <v>413</v>
      </c>
      <c r="C201" s="2" t="s">
        <v>154</v>
      </c>
      <c r="D201" s="2" t="s">
        <v>75</v>
      </c>
      <c r="E201" s="2" t="n">
        <v>168223</v>
      </c>
      <c r="F201" s="15" t="n">
        <v>43468</v>
      </c>
      <c r="G201" s="15" t="n">
        <v>43474</v>
      </c>
      <c r="H201" s="3" t="n">
        <v>6</v>
      </c>
      <c r="I201" s="3" t="n">
        <v>2</v>
      </c>
      <c r="J201" s="3" t="n">
        <v>69</v>
      </c>
      <c r="K201" s="3" t="n">
        <v>2</v>
      </c>
      <c r="L201" s="3" t="n">
        <v>2</v>
      </c>
      <c r="M201" s="3" t="n">
        <v>1</v>
      </c>
      <c r="N201" s="3" t="n">
        <v>2</v>
      </c>
      <c r="O201" s="3" t="n">
        <v>2</v>
      </c>
      <c r="P201" s="3" t="n">
        <v>2</v>
      </c>
      <c r="Q201" s="3" t="n">
        <v>2</v>
      </c>
      <c r="R201" s="3" t="n">
        <v>2</v>
      </c>
      <c r="S201" s="3" t="n">
        <v>1</v>
      </c>
      <c r="T201" s="4" t="n">
        <v>1</v>
      </c>
      <c r="U201" s="3" t="n">
        <v>1</v>
      </c>
      <c r="V201" s="3" t="n">
        <v>5.06</v>
      </c>
      <c r="W201" s="3" t="n">
        <v>1.4</v>
      </c>
      <c r="X201" s="3" t="n">
        <v>4.7</v>
      </c>
      <c r="Y201" s="3" t="n">
        <v>618</v>
      </c>
      <c r="AA201" s="3" t="n">
        <v>0.4</v>
      </c>
      <c r="AB201" s="3" t="n">
        <v>6</v>
      </c>
      <c r="AC201" s="3" t="n">
        <v>1</v>
      </c>
      <c r="AD201" s="3" t="n">
        <v>1</v>
      </c>
      <c r="AE201" s="3" t="n">
        <v>1</v>
      </c>
      <c r="AF201" s="3" t="n">
        <v>1</v>
      </c>
      <c r="AG201" s="3" t="n">
        <v>2</v>
      </c>
      <c r="AH201" s="3" t="n">
        <v>1</v>
      </c>
      <c r="AI201" s="3" t="n">
        <v>1</v>
      </c>
      <c r="AJ201" s="3" t="n">
        <v>1</v>
      </c>
      <c r="AK201" s="3" t="n">
        <v>2</v>
      </c>
      <c r="AL201" s="3" t="n">
        <v>2</v>
      </c>
      <c r="AM201" s="3" t="n">
        <v>1</v>
      </c>
      <c r="AN201" s="3" t="n">
        <v>2</v>
      </c>
      <c r="AO201" s="3" t="n">
        <v>2</v>
      </c>
      <c r="AP201" s="3" t="n">
        <v>3</v>
      </c>
      <c r="AQ201" s="3" t="n">
        <v>4</v>
      </c>
      <c r="AR201" s="3" t="n">
        <v>4</v>
      </c>
      <c r="AS201" s="3" t="n">
        <v>6</v>
      </c>
      <c r="AT201" s="3" t="n">
        <v>4</v>
      </c>
      <c r="AU201" s="3" t="n">
        <v>4</v>
      </c>
      <c r="AV201" s="3" t="n">
        <v>6</v>
      </c>
      <c r="AW201" s="3" t="n">
        <v>6</v>
      </c>
      <c r="AX201" s="3" t="n">
        <v>3</v>
      </c>
      <c r="AY201" s="3" t="n">
        <v>3</v>
      </c>
      <c r="AZ201" s="3" t="n">
        <v>1</v>
      </c>
      <c r="BA201" s="5" t="n">
        <v>5</v>
      </c>
      <c r="BB201" s="3" t="n">
        <v>2</v>
      </c>
      <c r="BC201" s="3" t="n">
        <v>1</v>
      </c>
      <c r="BD201" s="3" t="n">
        <v>6</v>
      </c>
      <c r="BE201" s="3" t="n">
        <v>3</v>
      </c>
      <c r="BF201" s="3" t="n">
        <v>5</v>
      </c>
      <c r="BG201" s="3" t="n">
        <v>3</v>
      </c>
      <c r="BH201" s="3" t="n">
        <v>4</v>
      </c>
      <c r="BI201" s="3" t="n">
        <v>1</v>
      </c>
      <c r="BJ201" s="3" t="n">
        <v>1</v>
      </c>
      <c r="BK201" s="6" t="s">
        <v>694</v>
      </c>
    </row>
    <row r="202" customFormat="false" ht="15" hidden="false" customHeight="true" outlineLevel="0" collapsed="false">
      <c r="B202" s="2" t="s">
        <v>695</v>
      </c>
      <c r="C202" s="2" t="s">
        <v>94</v>
      </c>
      <c r="D202" s="2" t="s">
        <v>696</v>
      </c>
      <c r="E202" s="2" t="n">
        <v>167932</v>
      </c>
      <c r="F202" s="15" t="n">
        <v>43462</v>
      </c>
      <c r="G202" s="15" t="n">
        <v>43474</v>
      </c>
      <c r="H202" s="3" t="n">
        <v>12</v>
      </c>
      <c r="I202" s="3" t="n">
        <v>2</v>
      </c>
      <c r="J202" s="3" t="n">
        <v>74</v>
      </c>
      <c r="K202" s="3" t="n">
        <v>1</v>
      </c>
      <c r="L202" s="3" t="n">
        <v>2</v>
      </c>
      <c r="M202" s="3" t="n">
        <v>1</v>
      </c>
      <c r="N202" s="3" t="n">
        <v>2</v>
      </c>
      <c r="O202" s="3" t="n">
        <v>2</v>
      </c>
      <c r="P202" s="3" t="n">
        <v>2</v>
      </c>
      <c r="Q202" s="3" t="n">
        <v>2</v>
      </c>
      <c r="R202" s="3" t="n">
        <v>1</v>
      </c>
      <c r="S202" s="3" t="n">
        <v>2</v>
      </c>
      <c r="T202" s="4" t="n">
        <v>1</v>
      </c>
      <c r="U202" s="3" t="n">
        <v>1</v>
      </c>
      <c r="V202" s="3" t="n">
        <v>3.61</v>
      </c>
      <c r="W202" s="3" t="n">
        <v>2.99</v>
      </c>
      <c r="X202" s="3" t="n">
        <v>4</v>
      </c>
      <c r="Y202" s="3" t="n">
        <v>361</v>
      </c>
      <c r="AA202" s="3" t="n">
        <v>0.49</v>
      </c>
      <c r="AB202" s="3" t="n">
        <v>9.6</v>
      </c>
      <c r="AC202" s="3" t="n">
        <v>3</v>
      </c>
      <c r="AD202" s="3" t="n">
        <v>1</v>
      </c>
      <c r="AE202" s="3" t="n">
        <v>1</v>
      </c>
      <c r="AF202" s="3" t="n">
        <v>1</v>
      </c>
      <c r="AG202" s="3" t="n">
        <v>1</v>
      </c>
      <c r="AH202" s="3" t="n">
        <v>2</v>
      </c>
      <c r="AI202" s="3" t="n">
        <v>1</v>
      </c>
      <c r="AJ202" s="3" t="n">
        <v>1</v>
      </c>
      <c r="AK202" s="3" t="n">
        <v>2</v>
      </c>
      <c r="AL202" s="3" t="n">
        <v>2</v>
      </c>
      <c r="AM202" s="3" t="n">
        <v>1</v>
      </c>
      <c r="AN202" s="3" t="n">
        <v>2</v>
      </c>
      <c r="AO202" s="3" t="n">
        <v>2</v>
      </c>
      <c r="AP202" s="3" t="n">
        <v>1</v>
      </c>
      <c r="AQ202" s="3" t="n">
        <v>2</v>
      </c>
      <c r="AR202" s="3" t="n">
        <v>5</v>
      </c>
      <c r="AS202" s="3" t="n">
        <v>4</v>
      </c>
      <c r="AT202" s="3" t="n">
        <v>2</v>
      </c>
      <c r="AU202" s="3" t="n">
        <v>1</v>
      </c>
      <c r="AV202" s="3" t="n">
        <v>1</v>
      </c>
      <c r="AW202" s="3" t="n">
        <v>1</v>
      </c>
      <c r="AX202" s="3" t="n">
        <v>2</v>
      </c>
      <c r="AY202" s="3" t="n">
        <v>2</v>
      </c>
      <c r="AZ202" s="3" t="n">
        <v>1</v>
      </c>
      <c r="BA202" s="5" t="n">
        <v>5</v>
      </c>
      <c r="BB202" s="3" t="n">
        <v>2</v>
      </c>
      <c r="BC202" s="3" t="n">
        <v>1</v>
      </c>
      <c r="BD202" s="3" t="n">
        <v>6</v>
      </c>
      <c r="BE202" s="3" t="n">
        <v>3</v>
      </c>
      <c r="BF202" s="3" t="n">
        <v>5</v>
      </c>
      <c r="BG202" s="3" t="n">
        <v>3</v>
      </c>
      <c r="BH202" s="3" t="n">
        <v>4</v>
      </c>
      <c r="BI202" s="3" t="n">
        <v>1</v>
      </c>
      <c r="BJ202" s="3" t="n">
        <v>1</v>
      </c>
      <c r="BK202" s="6" t="s">
        <v>697</v>
      </c>
    </row>
    <row r="203" customFormat="false" ht="15" hidden="false" customHeight="true" outlineLevel="0" collapsed="false">
      <c r="B203" s="2" t="s">
        <v>698</v>
      </c>
      <c r="C203" s="2" t="s">
        <v>699</v>
      </c>
      <c r="D203" s="2" t="s">
        <v>700</v>
      </c>
      <c r="E203" s="2" t="n">
        <v>168283</v>
      </c>
      <c r="F203" s="15" t="n">
        <v>43469</v>
      </c>
      <c r="G203" s="15" t="n">
        <v>43475</v>
      </c>
      <c r="H203" s="3" t="n">
        <v>6</v>
      </c>
      <c r="I203" s="3" t="n">
        <v>1</v>
      </c>
      <c r="J203" s="3" t="n">
        <v>58</v>
      </c>
      <c r="K203" s="3" t="n">
        <v>1</v>
      </c>
      <c r="L203" s="3" t="n">
        <v>2</v>
      </c>
      <c r="M203" s="3" t="n">
        <v>2</v>
      </c>
      <c r="N203" s="3" t="n">
        <v>2</v>
      </c>
      <c r="O203" s="3" t="n">
        <v>2</v>
      </c>
      <c r="P203" s="3" t="n">
        <v>2</v>
      </c>
      <c r="Q203" s="3" t="n">
        <v>2</v>
      </c>
      <c r="R203" s="3" t="n">
        <v>2</v>
      </c>
      <c r="S203" s="3" t="n">
        <v>2</v>
      </c>
      <c r="T203" s="4" t="n">
        <v>1</v>
      </c>
      <c r="U203" s="3" t="n">
        <v>1</v>
      </c>
      <c r="V203" s="3" t="n">
        <v>4.39</v>
      </c>
      <c r="W203" s="3" t="n">
        <v>1.53</v>
      </c>
      <c r="X203" s="3" t="n">
        <v>4.2</v>
      </c>
      <c r="Y203" s="3" t="n">
        <v>225</v>
      </c>
      <c r="AA203" s="3" t="n">
        <v>0.32</v>
      </c>
      <c r="AB203" s="3" t="n">
        <v>7</v>
      </c>
      <c r="AC203" s="3" t="n">
        <v>1</v>
      </c>
      <c r="AD203" s="3" t="n">
        <v>1</v>
      </c>
      <c r="AE203" s="3" t="n">
        <v>1</v>
      </c>
      <c r="AF203" s="3" t="n">
        <v>1</v>
      </c>
      <c r="AG203" s="3" t="n">
        <v>2</v>
      </c>
      <c r="AH203" s="3" t="n">
        <v>1</v>
      </c>
      <c r="AI203" s="3" t="n">
        <v>1</v>
      </c>
      <c r="AJ203" s="3" t="n">
        <v>2</v>
      </c>
      <c r="AK203" s="3" t="n">
        <v>2</v>
      </c>
      <c r="AL203" s="3" t="n">
        <v>2</v>
      </c>
      <c r="AM203" s="3" t="n">
        <v>2</v>
      </c>
      <c r="AN203" s="3" t="n">
        <v>2</v>
      </c>
      <c r="AO203" s="3" t="n">
        <v>2</v>
      </c>
      <c r="AP203" s="3" t="n">
        <v>1</v>
      </c>
      <c r="AQ203" s="3" t="n">
        <v>1</v>
      </c>
      <c r="AR203" s="3" t="n">
        <v>4</v>
      </c>
      <c r="AS203" s="3" t="n">
        <v>6</v>
      </c>
      <c r="AT203" s="3" t="n">
        <v>4</v>
      </c>
      <c r="AU203" s="3" t="n">
        <v>4</v>
      </c>
      <c r="AV203" s="3" t="n">
        <v>1</v>
      </c>
      <c r="AW203" s="3" t="n">
        <v>6</v>
      </c>
      <c r="AX203" s="3" t="n">
        <v>3</v>
      </c>
      <c r="AY203" s="3" t="n">
        <v>2</v>
      </c>
      <c r="AZ203" s="3" t="n">
        <v>1</v>
      </c>
      <c r="BA203" s="5" t="n">
        <v>5</v>
      </c>
      <c r="BB203" s="3" t="n">
        <v>2</v>
      </c>
      <c r="BC203" s="3" t="n">
        <v>1</v>
      </c>
      <c r="BD203" s="3" t="n">
        <v>6</v>
      </c>
      <c r="BE203" s="3" t="n">
        <v>3</v>
      </c>
      <c r="BF203" s="3" t="n">
        <v>5</v>
      </c>
      <c r="BG203" s="3" t="n">
        <v>3</v>
      </c>
      <c r="BH203" s="3" t="n">
        <v>4</v>
      </c>
      <c r="BI203" s="3" t="n">
        <v>1</v>
      </c>
      <c r="BJ203" s="3" t="n">
        <v>1</v>
      </c>
      <c r="BK203" s="6" t="s">
        <v>701</v>
      </c>
    </row>
    <row r="204" customFormat="false" ht="15" hidden="false" customHeight="true" outlineLevel="0" collapsed="false">
      <c r="B204" s="2" t="s">
        <v>258</v>
      </c>
      <c r="C204" s="2" t="s">
        <v>691</v>
      </c>
      <c r="D204" s="2" t="s">
        <v>433</v>
      </c>
      <c r="E204" s="2" t="n">
        <v>168413</v>
      </c>
      <c r="F204" s="15" t="n">
        <v>43471</v>
      </c>
      <c r="G204" s="15" t="n">
        <v>43475</v>
      </c>
      <c r="H204" s="3" t="n">
        <v>4</v>
      </c>
      <c r="I204" s="3" t="n">
        <v>2</v>
      </c>
      <c r="J204" s="3" t="n">
        <v>71</v>
      </c>
      <c r="K204" s="3" t="n">
        <v>1</v>
      </c>
      <c r="L204" s="3" t="n">
        <v>1</v>
      </c>
      <c r="M204" s="3" t="n">
        <v>1</v>
      </c>
      <c r="N204" s="3" t="n">
        <v>2</v>
      </c>
      <c r="O204" s="3" t="n">
        <v>2</v>
      </c>
      <c r="P204" s="3" t="n">
        <v>2</v>
      </c>
      <c r="Q204" s="3" t="n">
        <v>2</v>
      </c>
      <c r="R204" s="3" t="n">
        <v>2</v>
      </c>
      <c r="S204" s="3" t="n">
        <v>1</v>
      </c>
      <c r="T204" s="4" t="n">
        <v>3</v>
      </c>
      <c r="U204" s="3" t="n">
        <v>4</v>
      </c>
      <c r="V204" s="3" t="n">
        <v>2.46</v>
      </c>
      <c r="W204" s="3" t="n">
        <v>0.99</v>
      </c>
      <c r="X204" s="3" t="n">
        <v>4.4</v>
      </c>
      <c r="Y204" s="3" t="n">
        <v>887</v>
      </c>
      <c r="AA204" s="3" t="n">
        <v>0.35</v>
      </c>
      <c r="AB204" s="3" t="n">
        <v>8.5</v>
      </c>
      <c r="AC204" s="3" t="n">
        <v>2</v>
      </c>
      <c r="AD204" s="3" t="n">
        <v>2</v>
      </c>
      <c r="AE204" s="3" t="n">
        <v>1</v>
      </c>
      <c r="AF204" s="3" t="n">
        <v>1</v>
      </c>
      <c r="AG204" s="3" t="n">
        <v>2</v>
      </c>
      <c r="AH204" s="3" t="n">
        <v>2</v>
      </c>
      <c r="AI204" s="3" t="n">
        <v>2</v>
      </c>
      <c r="AJ204" s="3" t="n">
        <v>2</v>
      </c>
      <c r="AK204" s="3" t="n">
        <v>2</v>
      </c>
      <c r="AL204" s="3" t="n">
        <v>1</v>
      </c>
      <c r="AM204" s="3" t="n">
        <v>1</v>
      </c>
      <c r="AN204" s="3" t="n">
        <v>2</v>
      </c>
      <c r="AO204" s="3" t="n">
        <v>2</v>
      </c>
      <c r="AP204" s="3" t="n">
        <v>3</v>
      </c>
      <c r="AQ204" s="3" t="n">
        <v>4</v>
      </c>
      <c r="AR204" s="3" t="n">
        <v>4</v>
      </c>
      <c r="AS204" s="3" t="n">
        <v>6</v>
      </c>
      <c r="AT204" s="3" t="n">
        <v>4</v>
      </c>
      <c r="AU204" s="3" t="n">
        <v>4</v>
      </c>
      <c r="AV204" s="3" t="n">
        <v>6</v>
      </c>
      <c r="AW204" s="3" t="n">
        <v>6</v>
      </c>
      <c r="AX204" s="3" t="n">
        <v>3</v>
      </c>
      <c r="AY204" s="3" t="n">
        <v>3</v>
      </c>
      <c r="AZ204" s="3" t="n">
        <v>1</v>
      </c>
      <c r="BA204" s="5" t="n">
        <v>11</v>
      </c>
      <c r="BB204" s="3" t="n">
        <v>2</v>
      </c>
      <c r="BC204" s="3" t="n">
        <v>1</v>
      </c>
      <c r="BD204" s="3" t="n">
        <v>6</v>
      </c>
      <c r="BE204" s="3" t="n">
        <v>3</v>
      </c>
      <c r="BF204" s="3" t="n">
        <v>5</v>
      </c>
      <c r="BG204" s="3" t="n">
        <v>3</v>
      </c>
      <c r="BH204" s="3" t="n">
        <v>5</v>
      </c>
      <c r="BI204" s="3" t="n">
        <v>1</v>
      </c>
      <c r="BJ204" s="3" t="n">
        <v>1</v>
      </c>
      <c r="BK204" s="6" t="s">
        <v>702</v>
      </c>
    </row>
    <row r="205" customFormat="false" ht="15" hidden="false" customHeight="true" outlineLevel="0" collapsed="false">
      <c r="B205" s="2" t="s">
        <v>703</v>
      </c>
      <c r="C205" s="2" t="s">
        <v>109</v>
      </c>
      <c r="D205" s="2" t="s">
        <v>522</v>
      </c>
      <c r="E205" s="2" t="n">
        <v>168214</v>
      </c>
      <c r="F205" s="15" t="n">
        <v>43467</v>
      </c>
      <c r="G205" s="15" t="n">
        <v>43477</v>
      </c>
      <c r="H205" s="3" t="n">
        <v>10</v>
      </c>
      <c r="I205" s="3" t="n">
        <v>2</v>
      </c>
      <c r="J205" s="3" t="n">
        <v>80</v>
      </c>
      <c r="K205" s="3" t="n">
        <v>1</v>
      </c>
      <c r="L205" s="3" t="n">
        <v>1</v>
      </c>
      <c r="M205" s="3" t="n">
        <v>1</v>
      </c>
      <c r="N205" s="3" t="n">
        <v>2</v>
      </c>
      <c r="O205" s="3" t="n">
        <v>2</v>
      </c>
      <c r="P205" s="3" t="n">
        <v>2</v>
      </c>
      <c r="Q205" s="3" t="n">
        <v>2</v>
      </c>
      <c r="R205" s="3" t="n">
        <v>2</v>
      </c>
      <c r="S205" s="3" t="n">
        <v>2</v>
      </c>
      <c r="T205" s="4" t="n">
        <v>3</v>
      </c>
      <c r="U205" s="3" t="n">
        <v>1</v>
      </c>
      <c r="V205" s="3" t="n">
        <v>3.35</v>
      </c>
      <c r="W205" s="3" t="n">
        <v>0.95</v>
      </c>
      <c r="X205" s="3" t="n">
        <v>6.4</v>
      </c>
      <c r="Y205" s="3" t="n">
        <v>677</v>
      </c>
      <c r="AA205" s="3" t="n">
        <v>0.4</v>
      </c>
      <c r="AB205" s="3" t="n">
        <v>12</v>
      </c>
      <c r="AC205" s="3" t="n">
        <v>2</v>
      </c>
      <c r="AD205" s="3" t="n">
        <v>1</v>
      </c>
      <c r="AE205" s="3" t="n">
        <v>1</v>
      </c>
      <c r="AF205" s="3" t="n">
        <v>1</v>
      </c>
      <c r="AG205" s="3" t="n">
        <v>2</v>
      </c>
      <c r="AH205" s="3" t="n">
        <v>2</v>
      </c>
      <c r="AI205" s="3" t="n">
        <v>1</v>
      </c>
      <c r="AJ205" s="3" t="n">
        <v>2</v>
      </c>
      <c r="AK205" s="3" t="n">
        <v>2</v>
      </c>
      <c r="AL205" s="3" t="n">
        <v>1</v>
      </c>
      <c r="AM205" s="3" t="n">
        <v>1</v>
      </c>
      <c r="AN205" s="3" t="n">
        <v>2</v>
      </c>
      <c r="AO205" s="3" t="n">
        <v>2</v>
      </c>
      <c r="AP205" s="3" t="n">
        <v>3</v>
      </c>
      <c r="AQ205" s="3" t="n">
        <v>4</v>
      </c>
      <c r="AR205" s="3" t="n">
        <v>4</v>
      </c>
      <c r="AS205" s="3" t="n">
        <v>6</v>
      </c>
      <c r="AT205" s="3" t="n">
        <v>4</v>
      </c>
      <c r="AU205" s="3" t="n">
        <v>4</v>
      </c>
      <c r="AV205" s="3" t="n">
        <v>6</v>
      </c>
      <c r="AW205" s="3" t="n">
        <v>6</v>
      </c>
      <c r="AX205" s="3" t="n">
        <v>3</v>
      </c>
      <c r="AY205" s="3" t="n">
        <v>3</v>
      </c>
      <c r="AZ205" s="3" t="n">
        <v>1</v>
      </c>
      <c r="BA205" s="5" t="n">
        <v>11</v>
      </c>
      <c r="BB205" s="3" t="n">
        <v>2</v>
      </c>
      <c r="BC205" s="3" t="n">
        <v>1</v>
      </c>
      <c r="BD205" s="3" t="n">
        <v>6</v>
      </c>
      <c r="BE205" s="3" t="n">
        <v>3</v>
      </c>
      <c r="BF205" s="3" t="n">
        <v>5</v>
      </c>
      <c r="BG205" s="3" t="n">
        <v>3</v>
      </c>
      <c r="BH205" s="3" t="n">
        <v>4</v>
      </c>
      <c r="BI205" s="3" t="n">
        <v>1</v>
      </c>
      <c r="BJ205" s="3" t="n">
        <v>1</v>
      </c>
      <c r="BK205" s="16" t="s">
        <v>704</v>
      </c>
    </row>
    <row r="206" customFormat="false" ht="15" hidden="false" customHeight="true" outlineLevel="0" collapsed="false">
      <c r="B206" s="2" t="s">
        <v>680</v>
      </c>
      <c r="C206" s="2" t="s">
        <v>115</v>
      </c>
      <c r="D206" s="2" t="s">
        <v>681</v>
      </c>
      <c r="E206" s="2" t="n">
        <v>146058</v>
      </c>
      <c r="F206" s="15" t="n">
        <v>43472</v>
      </c>
      <c r="G206" s="15" t="n">
        <v>43476</v>
      </c>
      <c r="H206" s="3" t="n">
        <v>4</v>
      </c>
      <c r="I206" s="3" t="n">
        <v>2</v>
      </c>
      <c r="J206" s="3" t="n">
        <v>68</v>
      </c>
      <c r="K206" s="3" t="n">
        <v>2</v>
      </c>
      <c r="L206" s="3" t="n">
        <v>2</v>
      </c>
      <c r="M206" s="3" t="n">
        <v>1</v>
      </c>
      <c r="N206" s="3" t="n">
        <v>2</v>
      </c>
      <c r="O206" s="3" t="n">
        <v>2</v>
      </c>
      <c r="P206" s="3" t="n">
        <v>2</v>
      </c>
      <c r="Q206" s="3" t="n">
        <v>2</v>
      </c>
      <c r="R206" s="3" t="n">
        <v>2</v>
      </c>
      <c r="S206" s="3" t="n">
        <v>2</v>
      </c>
      <c r="T206" s="4" t="n">
        <v>12</v>
      </c>
      <c r="U206" s="3" t="n">
        <v>1</v>
      </c>
      <c r="V206" s="3" t="n">
        <v>2.94</v>
      </c>
      <c r="W206" s="3" t="n">
        <v>1.2</v>
      </c>
      <c r="X206" s="3" t="n">
        <v>4.7</v>
      </c>
      <c r="Y206" s="3" t="n">
        <v>367</v>
      </c>
      <c r="AA206" s="3" t="n">
        <v>0.32</v>
      </c>
      <c r="AB206" s="3" t="n">
        <v>10.8</v>
      </c>
      <c r="AC206" s="3" t="n">
        <v>1</v>
      </c>
      <c r="AD206" s="3" t="n">
        <v>2</v>
      </c>
      <c r="AE206" s="3" t="n">
        <v>2</v>
      </c>
      <c r="AF206" s="3" t="n">
        <v>2</v>
      </c>
      <c r="AG206" s="3" t="n">
        <v>2</v>
      </c>
      <c r="AH206" s="3" t="n">
        <v>1</v>
      </c>
      <c r="AI206" s="3" t="n">
        <v>1</v>
      </c>
      <c r="AJ206" s="3" t="n">
        <v>2</v>
      </c>
      <c r="AK206" s="3" t="n">
        <v>2</v>
      </c>
      <c r="AL206" s="3" t="n">
        <v>2</v>
      </c>
      <c r="AM206" s="3" t="n">
        <v>2</v>
      </c>
      <c r="AN206" s="3" t="n">
        <v>2</v>
      </c>
      <c r="AO206" s="3" t="n">
        <v>2</v>
      </c>
      <c r="AP206" s="3" t="n">
        <v>3</v>
      </c>
      <c r="AQ206" s="3" t="n">
        <v>4</v>
      </c>
      <c r="AR206" s="3" t="n">
        <v>4</v>
      </c>
      <c r="AS206" s="3" t="n">
        <v>6</v>
      </c>
      <c r="AT206" s="3" t="n">
        <v>4</v>
      </c>
      <c r="AU206" s="3" t="n">
        <v>4</v>
      </c>
      <c r="AV206" s="3" t="n">
        <v>6</v>
      </c>
      <c r="AW206" s="3" t="n">
        <v>6</v>
      </c>
      <c r="AX206" s="3" t="n">
        <v>3</v>
      </c>
      <c r="AY206" s="3" t="n">
        <v>3</v>
      </c>
      <c r="AZ206" s="3" t="n">
        <v>8</v>
      </c>
      <c r="BA206" s="5" t="n">
        <v>3</v>
      </c>
      <c r="BB206" s="3" t="n">
        <v>2</v>
      </c>
      <c r="BC206" s="3" t="n">
        <v>1</v>
      </c>
      <c r="BD206" s="3" t="n">
        <v>6</v>
      </c>
      <c r="BE206" s="3" t="n">
        <v>3</v>
      </c>
      <c r="BF206" s="3" t="n">
        <v>5</v>
      </c>
      <c r="BG206" s="3" t="n">
        <v>3</v>
      </c>
      <c r="BH206" s="3" t="n">
        <v>2</v>
      </c>
      <c r="BI206" s="3" t="n">
        <v>1</v>
      </c>
      <c r="BJ206" s="3" t="n">
        <v>1</v>
      </c>
      <c r="BK206" s="6" t="s">
        <v>705</v>
      </c>
    </row>
    <row r="207" customFormat="false" ht="15" hidden="false" customHeight="true" outlineLevel="0" collapsed="false">
      <c r="B207" s="2" t="s">
        <v>706</v>
      </c>
      <c r="C207" s="2" t="s">
        <v>127</v>
      </c>
      <c r="D207" s="2" t="s">
        <v>707</v>
      </c>
      <c r="E207" s="2" t="n">
        <v>168231</v>
      </c>
      <c r="F207" s="15" t="n">
        <v>43468</v>
      </c>
      <c r="G207" s="15" t="n">
        <v>43476</v>
      </c>
      <c r="H207" s="3" t="n">
        <v>8</v>
      </c>
      <c r="I207" s="3" t="n">
        <v>2</v>
      </c>
      <c r="J207" s="3" t="n">
        <v>53</v>
      </c>
      <c r="K207" s="3" t="n">
        <v>1</v>
      </c>
      <c r="L207" s="3" t="n">
        <v>1</v>
      </c>
      <c r="M207" s="3" t="n">
        <v>1</v>
      </c>
      <c r="N207" s="3" t="n">
        <v>2</v>
      </c>
      <c r="O207" s="3" t="n">
        <v>2</v>
      </c>
      <c r="P207" s="3" t="n">
        <v>2</v>
      </c>
      <c r="Q207" s="3" t="n">
        <v>2</v>
      </c>
      <c r="R207" s="3" t="n">
        <v>2</v>
      </c>
      <c r="S207" s="3" t="n">
        <v>1</v>
      </c>
      <c r="T207" s="4" t="n">
        <v>2</v>
      </c>
      <c r="U207" s="3" t="n">
        <v>2</v>
      </c>
      <c r="V207" s="3" t="n">
        <v>4.21</v>
      </c>
      <c r="W207" s="3" t="n">
        <v>2.88</v>
      </c>
      <c r="X207" s="3" t="s">
        <v>708</v>
      </c>
      <c r="Y207" s="3" t="n">
        <v>758</v>
      </c>
      <c r="AA207" s="3" t="n">
        <v>0.48</v>
      </c>
      <c r="AB207" s="3" t="n">
        <v>12.3</v>
      </c>
      <c r="AC207" s="3" t="n">
        <v>2</v>
      </c>
      <c r="AD207" s="3" t="n">
        <v>2</v>
      </c>
      <c r="AE207" s="3" t="n">
        <v>1</v>
      </c>
      <c r="AF207" s="3" t="n">
        <v>1</v>
      </c>
      <c r="AG207" s="3" t="n">
        <v>2</v>
      </c>
      <c r="AH207" s="3" t="n">
        <v>2</v>
      </c>
      <c r="AI207" s="3" t="n">
        <v>1</v>
      </c>
      <c r="AJ207" s="3" t="n">
        <v>2</v>
      </c>
      <c r="AK207" s="3" t="n">
        <v>2</v>
      </c>
      <c r="AL207" s="3" t="n">
        <v>2</v>
      </c>
      <c r="AM207" s="3" t="n">
        <v>1</v>
      </c>
      <c r="AN207" s="3" t="n">
        <v>2</v>
      </c>
      <c r="AO207" s="3" t="n">
        <v>2</v>
      </c>
      <c r="AP207" s="3" t="n">
        <v>3</v>
      </c>
      <c r="AQ207" s="3" t="n">
        <v>4</v>
      </c>
      <c r="AR207" s="3" t="n">
        <v>4</v>
      </c>
      <c r="AS207" s="3" t="n">
        <v>6</v>
      </c>
      <c r="AT207" s="3" t="n">
        <v>4</v>
      </c>
      <c r="AU207" s="3" t="n">
        <v>4</v>
      </c>
      <c r="AV207" s="3" t="n">
        <v>6</v>
      </c>
      <c r="AW207" s="3" t="n">
        <v>6</v>
      </c>
      <c r="AX207" s="3" t="n">
        <v>3</v>
      </c>
      <c r="AY207" s="3" t="n">
        <v>3</v>
      </c>
      <c r="AZ207" s="3" t="n">
        <v>4</v>
      </c>
      <c r="BA207" s="5" t="n">
        <v>1</v>
      </c>
      <c r="BB207" s="3" t="n">
        <v>1</v>
      </c>
      <c r="BC207" s="3" t="n">
        <v>1</v>
      </c>
      <c r="BD207" s="3" t="n">
        <v>2</v>
      </c>
      <c r="BE207" s="3" t="n">
        <v>1</v>
      </c>
      <c r="BF207" s="3" t="n">
        <v>2</v>
      </c>
      <c r="BG207" s="3" t="n">
        <v>1</v>
      </c>
      <c r="BH207" s="3" t="n">
        <v>4</v>
      </c>
      <c r="BI207" s="3" t="n">
        <v>1</v>
      </c>
      <c r="BJ207" s="3" t="n">
        <v>1</v>
      </c>
      <c r="BK207" s="6" t="s">
        <v>709</v>
      </c>
    </row>
    <row r="208" customFormat="false" ht="15" hidden="false" customHeight="true" outlineLevel="0" collapsed="false">
      <c r="B208" s="2" t="s">
        <v>710</v>
      </c>
      <c r="C208" s="2" t="s">
        <v>608</v>
      </c>
      <c r="D208" s="2" t="s">
        <v>711</v>
      </c>
      <c r="E208" s="2" t="n">
        <v>168489</v>
      </c>
      <c r="F208" s="15" t="n">
        <v>43474</v>
      </c>
      <c r="G208" s="15" t="n">
        <v>43476</v>
      </c>
      <c r="H208" s="3" t="n">
        <v>2</v>
      </c>
      <c r="I208" s="3" t="n">
        <v>2</v>
      </c>
      <c r="J208" s="3" t="n">
        <v>55</v>
      </c>
      <c r="K208" s="3" t="n">
        <v>2</v>
      </c>
      <c r="L208" s="3" t="n">
        <v>2</v>
      </c>
      <c r="M208" s="3" t="n">
        <v>1</v>
      </c>
      <c r="N208" s="3" t="n">
        <v>2</v>
      </c>
      <c r="O208" s="3" t="n">
        <v>2</v>
      </c>
      <c r="P208" s="3" t="n">
        <v>2</v>
      </c>
      <c r="Q208" s="3" t="n">
        <v>2</v>
      </c>
      <c r="R208" s="3" t="n">
        <v>2</v>
      </c>
      <c r="S208" s="3" t="n">
        <v>1</v>
      </c>
      <c r="T208" s="4" t="n">
        <v>1</v>
      </c>
      <c r="U208" s="3" t="n">
        <v>1</v>
      </c>
      <c r="V208" s="3" t="n">
        <v>2.27</v>
      </c>
      <c r="W208" s="3" t="n">
        <v>2.46</v>
      </c>
      <c r="X208" s="3" t="n">
        <v>4.5</v>
      </c>
      <c r="Y208" s="3" t="n">
        <v>473</v>
      </c>
      <c r="AA208" s="3" t="n">
        <v>0.43</v>
      </c>
      <c r="AB208" s="3" t="n">
        <v>10.3</v>
      </c>
      <c r="AC208" s="3" t="n">
        <v>1</v>
      </c>
      <c r="AD208" s="3" t="n">
        <v>1</v>
      </c>
      <c r="AE208" s="3" t="n">
        <v>2</v>
      </c>
      <c r="AF208" s="3" t="n">
        <v>1</v>
      </c>
      <c r="AG208" s="3" t="n">
        <v>1</v>
      </c>
      <c r="AH208" s="3" t="n">
        <v>2</v>
      </c>
      <c r="AI208" s="3" t="n">
        <v>1</v>
      </c>
      <c r="AJ208" s="3" t="n">
        <v>2</v>
      </c>
      <c r="AK208" s="3" t="n">
        <v>2</v>
      </c>
      <c r="AL208" s="3" t="n">
        <v>2</v>
      </c>
      <c r="AM208" s="3" t="n">
        <v>2</v>
      </c>
      <c r="AN208" s="3" t="n">
        <v>2</v>
      </c>
      <c r="AO208" s="3" t="n">
        <v>2</v>
      </c>
      <c r="AP208" s="3" t="s">
        <v>125</v>
      </c>
      <c r="BA208" s="5" t="n">
        <v>5</v>
      </c>
      <c r="BB208" s="3" t="n">
        <v>2</v>
      </c>
      <c r="BC208" s="3" t="n">
        <v>1</v>
      </c>
      <c r="BD208" s="3" t="n">
        <v>6</v>
      </c>
      <c r="BE208" s="3" t="n">
        <v>3</v>
      </c>
      <c r="BF208" s="3" t="n">
        <v>5</v>
      </c>
      <c r="BG208" s="3" t="n">
        <v>3</v>
      </c>
      <c r="BH208" s="3" t="n">
        <v>4</v>
      </c>
      <c r="BI208" s="3" t="n">
        <v>1</v>
      </c>
      <c r="BJ208" s="3" t="n">
        <v>1</v>
      </c>
      <c r="BK208" s="6" t="s">
        <v>712</v>
      </c>
    </row>
    <row r="209" customFormat="false" ht="15" hidden="false" customHeight="true" outlineLevel="0" collapsed="false">
      <c r="B209" s="2" t="s">
        <v>664</v>
      </c>
      <c r="C209" s="2" t="s">
        <v>386</v>
      </c>
      <c r="D209" s="2" t="s">
        <v>665</v>
      </c>
      <c r="E209" s="2" t="n">
        <v>168023</v>
      </c>
      <c r="F209" s="15" t="n">
        <v>43473</v>
      </c>
      <c r="G209" s="15" t="n">
        <v>43479</v>
      </c>
      <c r="H209" s="3" t="n">
        <v>6</v>
      </c>
      <c r="I209" s="3" t="n">
        <v>1</v>
      </c>
      <c r="J209" s="3" t="n">
        <v>69</v>
      </c>
      <c r="K209" s="3" t="n">
        <v>1</v>
      </c>
      <c r="L209" s="3" t="n">
        <v>2</v>
      </c>
      <c r="M209" s="3" t="n">
        <v>1</v>
      </c>
      <c r="N209" s="3" t="n">
        <v>2</v>
      </c>
      <c r="O209" s="3" t="n">
        <v>2</v>
      </c>
      <c r="P209" s="3" t="n">
        <v>2</v>
      </c>
      <c r="Q209" s="3" t="n">
        <v>2</v>
      </c>
      <c r="R209" s="3" t="n">
        <v>2</v>
      </c>
      <c r="S209" s="3" t="n">
        <v>2</v>
      </c>
      <c r="T209" s="4" t="n">
        <v>1</v>
      </c>
      <c r="U209" s="3" t="n">
        <v>1</v>
      </c>
      <c r="V209" s="3" t="n">
        <v>3.02</v>
      </c>
      <c r="W209" s="3" t="n">
        <v>1.19</v>
      </c>
      <c r="X209" s="3" t="n">
        <v>5.4</v>
      </c>
      <c r="Y209" s="3" t="n">
        <v>225</v>
      </c>
      <c r="AA209" s="3" t="n">
        <v>0.38</v>
      </c>
      <c r="AB209" s="3" t="n">
        <v>15</v>
      </c>
      <c r="AC209" s="3" t="n">
        <v>2</v>
      </c>
      <c r="AD209" s="3" t="n">
        <v>1</v>
      </c>
      <c r="AE209" s="3" t="n">
        <v>1</v>
      </c>
      <c r="AF209" s="3" t="n">
        <v>2</v>
      </c>
      <c r="AG209" s="3" t="n">
        <v>2</v>
      </c>
      <c r="AH209" s="3" t="n">
        <v>2</v>
      </c>
      <c r="AI209" s="3" t="n">
        <v>2</v>
      </c>
      <c r="AJ209" s="3" t="n">
        <v>2</v>
      </c>
      <c r="AK209" s="3" t="n">
        <v>2</v>
      </c>
      <c r="AL209" s="3" t="n">
        <v>2</v>
      </c>
      <c r="AM209" s="3" t="n">
        <v>1</v>
      </c>
      <c r="AN209" s="3" t="n">
        <v>1</v>
      </c>
      <c r="AO209" s="3" t="n">
        <v>2</v>
      </c>
      <c r="AP209" s="3" t="n">
        <v>3</v>
      </c>
      <c r="AQ209" s="3" t="n">
        <v>4</v>
      </c>
      <c r="AR209" s="3" t="n">
        <v>4</v>
      </c>
      <c r="AS209" s="3" t="n">
        <v>6</v>
      </c>
      <c r="AT209" s="3" t="n">
        <v>4</v>
      </c>
      <c r="AU209" s="3" t="n">
        <v>4</v>
      </c>
      <c r="AV209" s="3" t="n">
        <v>6</v>
      </c>
      <c r="AW209" s="3" t="n">
        <v>6</v>
      </c>
      <c r="AX209" s="3" t="n">
        <v>3</v>
      </c>
      <c r="AY209" s="3" t="n">
        <v>3</v>
      </c>
      <c r="AZ209" s="3" t="n">
        <v>6</v>
      </c>
      <c r="BA209" s="5" t="n">
        <v>5</v>
      </c>
      <c r="BB209" s="3" t="n">
        <v>2</v>
      </c>
      <c r="BC209" s="3" t="n">
        <v>1</v>
      </c>
      <c r="BD209" s="3" t="n">
        <v>6</v>
      </c>
      <c r="BE209" s="3" t="n">
        <v>3</v>
      </c>
      <c r="BF209" s="3" t="n">
        <v>5</v>
      </c>
      <c r="BG209" s="3" t="n">
        <v>3</v>
      </c>
      <c r="BH209" s="3" t="n">
        <v>4</v>
      </c>
      <c r="BI209" s="3" t="n">
        <v>1</v>
      </c>
      <c r="BJ209" s="3" t="n">
        <v>1</v>
      </c>
      <c r="BK209" s="6" t="s">
        <v>713</v>
      </c>
    </row>
    <row r="210" customFormat="false" ht="15" hidden="false" customHeight="true" outlineLevel="0" collapsed="false">
      <c r="B210" s="2" t="s">
        <v>653</v>
      </c>
      <c r="C210" s="2" t="s">
        <v>714</v>
      </c>
      <c r="D210" s="2" t="s">
        <v>154</v>
      </c>
      <c r="E210" s="2" t="n">
        <v>162779</v>
      </c>
      <c r="F210" s="15" t="n">
        <v>43471</v>
      </c>
      <c r="G210" s="15" t="n">
        <v>43480</v>
      </c>
      <c r="H210" s="3" t="n">
        <v>9</v>
      </c>
      <c r="I210" s="3" t="n">
        <v>2</v>
      </c>
      <c r="J210" s="3" t="n">
        <v>51</v>
      </c>
      <c r="K210" s="3" t="n">
        <v>2</v>
      </c>
      <c r="L210" s="3" t="n">
        <v>2</v>
      </c>
      <c r="M210" s="3" t="n">
        <v>2</v>
      </c>
      <c r="N210" s="3" t="n">
        <v>2</v>
      </c>
      <c r="O210" s="3" t="n">
        <v>2</v>
      </c>
      <c r="P210" s="3" t="n">
        <v>2</v>
      </c>
      <c r="Q210" s="3" t="n">
        <v>2</v>
      </c>
      <c r="R210" s="3" t="n">
        <v>2</v>
      </c>
      <c r="S210" s="3" t="n">
        <v>2</v>
      </c>
      <c r="T210" s="4" t="n">
        <v>5</v>
      </c>
      <c r="U210" s="3" t="n">
        <v>1</v>
      </c>
      <c r="V210" s="3" t="n">
        <v>5.3</v>
      </c>
      <c r="W210" s="3" t="n">
        <v>1.7</v>
      </c>
      <c r="X210" s="3" t="n">
        <v>5.8</v>
      </c>
      <c r="Y210" s="3" t="n">
        <v>485</v>
      </c>
      <c r="AA210" s="3" t="n">
        <v>0.42</v>
      </c>
      <c r="AB210" s="3" t="n">
        <v>6.3</v>
      </c>
      <c r="AC210" s="3" t="n">
        <v>1</v>
      </c>
      <c r="AD210" s="3" t="n">
        <v>1</v>
      </c>
      <c r="AE210" s="3" t="n">
        <v>2</v>
      </c>
      <c r="AF210" s="3" t="n">
        <v>1</v>
      </c>
      <c r="AG210" s="3" t="n">
        <v>2</v>
      </c>
      <c r="AH210" s="3" t="n">
        <v>2</v>
      </c>
      <c r="AI210" s="3" t="n">
        <v>1</v>
      </c>
      <c r="AJ210" s="3" t="n">
        <v>2</v>
      </c>
      <c r="AK210" s="3" t="n">
        <v>2</v>
      </c>
      <c r="AL210" s="3" t="n">
        <v>2</v>
      </c>
      <c r="AM210" s="3" t="n">
        <v>2</v>
      </c>
      <c r="AN210" s="3" t="n">
        <v>2</v>
      </c>
      <c r="AO210" s="3" t="n">
        <v>2</v>
      </c>
      <c r="AP210" s="3" t="n">
        <v>1</v>
      </c>
      <c r="AQ210" s="3" t="n">
        <v>1</v>
      </c>
      <c r="AR210" s="3" t="n">
        <v>4</v>
      </c>
      <c r="AS210" s="3" t="n">
        <v>6</v>
      </c>
      <c r="AT210" s="3" t="n">
        <v>4</v>
      </c>
      <c r="AU210" s="3" t="n">
        <v>4</v>
      </c>
      <c r="AV210" s="3" t="n">
        <v>1</v>
      </c>
      <c r="AW210" s="3" t="n">
        <v>6</v>
      </c>
      <c r="AX210" s="3" t="n">
        <v>2</v>
      </c>
      <c r="AY210" s="3" t="n">
        <v>1</v>
      </c>
      <c r="AZ210" s="3" t="n">
        <v>1</v>
      </c>
      <c r="BA210" s="5" t="n">
        <v>3</v>
      </c>
      <c r="BB210" s="3" t="n">
        <v>2</v>
      </c>
      <c r="BC210" s="3" t="n">
        <v>1</v>
      </c>
      <c r="BD210" s="3" t="n">
        <v>6</v>
      </c>
      <c r="BE210" s="3" t="n">
        <v>3</v>
      </c>
      <c r="BF210" s="3" t="n">
        <v>5</v>
      </c>
      <c r="BG210" s="3" t="n">
        <v>3</v>
      </c>
      <c r="BH210" s="3" t="n">
        <v>4</v>
      </c>
      <c r="BI210" s="3" t="n">
        <v>1</v>
      </c>
      <c r="BJ210" s="3" t="n">
        <v>1</v>
      </c>
      <c r="BK210" s="6" t="s">
        <v>715</v>
      </c>
    </row>
    <row r="211" customFormat="false" ht="15" hidden="false" customHeight="true" outlineLevel="0" collapsed="false">
      <c r="B211" s="17" t="s">
        <v>716</v>
      </c>
      <c r="C211" s="17" t="s">
        <v>308</v>
      </c>
      <c r="D211" s="17" t="s">
        <v>528</v>
      </c>
      <c r="E211" s="2" t="n">
        <v>168458</v>
      </c>
      <c r="F211" s="15" t="n">
        <v>43473</v>
      </c>
      <c r="G211" s="15" t="n">
        <v>43480</v>
      </c>
      <c r="H211" s="3" t="n">
        <v>7</v>
      </c>
      <c r="I211" s="3" t="n">
        <v>1</v>
      </c>
      <c r="J211" s="3" t="n">
        <v>70</v>
      </c>
      <c r="K211" s="3" t="n">
        <v>1</v>
      </c>
      <c r="L211" s="3" t="n">
        <v>2</v>
      </c>
      <c r="M211" s="3" t="n">
        <v>1</v>
      </c>
      <c r="N211" s="3" t="n">
        <v>2</v>
      </c>
      <c r="O211" s="3" t="n">
        <v>2</v>
      </c>
      <c r="P211" s="3" t="n">
        <v>2</v>
      </c>
      <c r="Q211" s="3" t="n">
        <v>2</v>
      </c>
      <c r="R211" s="3" t="n">
        <v>2</v>
      </c>
      <c r="S211" s="3" t="n">
        <v>2</v>
      </c>
      <c r="T211" s="4" t="n">
        <v>6</v>
      </c>
      <c r="U211" s="3" t="n">
        <v>4</v>
      </c>
      <c r="V211" s="3" t="n">
        <v>5.77</v>
      </c>
      <c r="W211" s="3" t="n">
        <v>1.36</v>
      </c>
      <c r="X211" s="3" t="n">
        <v>4.3</v>
      </c>
      <c r="Y211" s="3" t="n">
        <v>278</v>
      </c>
      <c r="AA211" s="3" t="n">
        <v>0.44</v>
      </c>
      <c r="AB211" s="3" t="n">
        <v>9.9</v>
      </c>
      <c r="AC211" s="3" t="n">
        <v>2</v>
      </c>
      <c r="AD211" s="3" t="n">
        <v>2</v>
      </c>
      <c r="AE211" s="3" t="n">
        <v>2</v>
      </c>
      <c r="AF211" s="3" t="n">
        <v>1</v>
      </c>
      <c r="AG211" s="3" t="n">
        <v>2</v>
      </c>
      <c r="AH211" s="3" t="n">
        <v>2</v>
      </c>
      <c r="AI211" s="3" t="n">
        <v>1</v>
      </c>
      <c r="AJ211" s="3" t="n">
        <v>1</v>
      </c>
      <c r="AK211" s="3" t="n">
        <v>2</v>
      </c>
      <c r="AL211" s="3" t="n">
        <v>2</v>
      </c>
      <c r="AM211" s="3" t="n">
        <v>2</v>
      </c>
      <c r="AN211" s="3" t="n">
        <v>2</v>
      </c>
      <c r="AO211" s="3" t="n">
        <v>2</v>
      </c>
      <c r="AP211" s="3" t="n">
        <v>3</v>
      </c>
      <c r="AQ211" s="3" t="n">
        <v>4</v>
      </c>
      <c r="AR211" s="3" t="n">
        <v>4</v>
      </c>
      <c r="AS211" s="3" t="n">
        <v>6</v>
      </c>
      <c r="AT211" s="3" t="n">
        <v>4</v>
      </c>
      <c r="AU211" s="3" t="n">
        <v>4</v>
      </c>
      <c r="AV211" s="3" t="n">
        <v>6</v>
      </c>
      <c r="AW211" s="3" t="n">
        <v>6</v>
      </c>
      <c r="AX211" s="3" t="n">
        <v>3</v>
      </c>
      <c r="AY211" s="3" t="n">
        <v>3</v>
      </c>
      <c r="AZ211" s="3" t="n">
        <v>1</v>
      </c>
      <c r="BA211" s="5" t="n">
        <v>1</v>
      </c>
      <c r="BB211" s="3" t="n">
        <v>1</v>
      </c>
      <c r="BC211" s="3" t="n">
        <v>1</v>
      </c>
      <c r="BD211" s="3" t="n">
        <v>2</v>
      </c>
      <c r="BE211" s="3" t="n">
        <v>3</v>
      </c>
      <c r="BF211" s="3" t="n">
        <v>5</v>
      </c>
      <c r="BG211" s="3" t="n">
        <v>3</v>
      </c>
      <c r="BH211" s="3" t="n">
        <v>4</v>
      </c>
      <c r="BI211" s="3" t="n">
        <v>1</v>
      </c>
      <c r="BJ211" s="3" t="n">
        <v>1</v>
      </c>
      <c r="BK211" s="21" t="s">
        <v>717</v>
      </c>
    </row>
    <row r="212" s="30" customFormat="true" ht="15" hidden="false" customHeight="true" outlineLevel="0" collapsed="false">
      <c r="A212" s="24"/>
      <c r="B212" s="26" t="s">
        <v>718</v>
      </c>
      <c r="C212" s="26" t="s">
        <v>719</v>
      </c>
      <c r="D212" s="26" t="s">
        <v>66</v>
      </c>
      <c r="E212" s="26" t="n">
        <v>168447</v>
      </c>
      <c r="F212" s="27" t="n">
        <v>43475</v>
      </c>
      <c r="G212" s="27" t="n">
        <v>43481</v>
      </c>
      <c r="H212" s="30" t="n">
        <v>6</v>
      </c>
      <c r="I212" s="30" t="n">
        <v>1</v>
      </c>
      <c r="J212" s="30" t="n">
        <v>82</v>
      </c>
      <c r="K212" s="30" t="n">
        <v>1</v>
      </c>
      <c r="L212" s="30" t="n">
        <v>2</v>
      </c>
      <c r="M212" s="30" t="n">
        <v>1</v>
      </c>
      <c r="N212" s="30" t="n">
        <v>2</v>
      </c>
      <c r="O212" s="30" t="n">
        <v>2</v>
      </c>
      <c r="P212" s="30" t="n">
        <v>2</v>
      </c>
      <c r="Q212" s="30" t="n">
        <v>2</v>
      </c>
      <c r="R212" s="30" t="n">
        <v>1</v>
      </c>
      <c r="S212" s="30" t="n">
        <v>2</v>
      </c>
      <c r="T212" s="4" t="n">
        <v>3</v>
      </c>
      <c r="U212" s="30" t="n">
        <v>1</v>
      </c>
      <c r="V212" s="30" t="n">
        <v>3.7</v>
      </c>
      <c r="W212" s="30" t="n">
        <v>0.94</v>
      </c>
      <c r="X212" s="30" t="n">
        <v>4</v>
      </c>
      <c r="Y212" s="30" t="n">
        <v>886</v>
      </c>
      <c r="AA212" s="30" t="n">
        <v>0.3</v>
      </c>
      <c r="AB212" s="30" t="n">
        <v>7.2</v>
      </c>
      <c r="AC212" s="30" t="n">
        <v>2</v>
      </c>
      <c r="AD212" s="30" t="n">
        <v>2</v>
      </c>
      <c r="AE212" s="30" t="n">
        <v>1</v>
      </c>
      <c r="AF212" s="30" t="n">
        <v>1</v>
      </c>
      <c r="AG212" s="30" t="n">
        <v>2</v>
      </c>
      <c r="AH212" s="30" t="n">
        <v>2</v>
      </c>
      <c r="AI212" s="30" t="n">
        <v>2</v>
      </c>
      <c r="AJ212" s="30" t="n">
        <v>2</v>
      </c>
      <c r="AK212" s="30" t="n">
        <v>2</v>
      </c>
      <c r="AL212" s="30" t="n">
        <v>2</v>
      </c>
      <c r="AM212" s="30" t="n">
        <v>1</v>
      </c>
      <c r="AN212" s="30" t="n">
        <v>1</v>
      </c>
      <c r="AO212" s="30" t="n">
        <v>2</v>
      </c>
      <c r="AP212" s="30" t="n">
        <v>3</v>
      </c>
      <c r="AQ212" s="30" t="n">
        <v>4</v>
      </c>
      <c r="AR212" s="30" t="n">
        <v>4</v>
      </c>
      <c r="AS212" s="30" t="n">
        <v>6</v>
      </c>
      <c r="AT212" s="30" t="n">
        <v>4</v>
      </c>
      <c r="AU212" s="30" t="n">
        <v>4</v>
      </c>
      <c r="AV212" s="30" t="n">
        <v>6</v>
      </c>
      <c r="AW212" s="30" t="n">
        <v>6</v>
      </c>
      <c r="AX212" s="30" t="n">
        <v>3</v>
      </c>
      <c r="AY212" s="30" t="n">
        <v>3</v>
      </c>
      <c r="AZ212" s="30" t="n">
        <v>14</v>
      </c>
      <c r="BA212" s="5" t="n">
        <v>11</v>
      </c>
      <c r="BB212" s="30" t="n">
        <v>2</v>
      </c>
      <c r="BC212" s="30" t="n">
        <v>1</v>
      </c>
      <c r="BD212" s="30" t="n">
        <v>6</v>
      </c>
      <c r="BE212" s="30" t="n">
        <v>3</v>
      </c>
      <c r="BF212" s="30" t="n">
        <v>5</v>
      </c>
      <c r="BG212" s="30" t="n">
        <v>3</v>
      </c>
      <c r="BH212" s="30" t="n">
        <v>4</v>
      </c>
      <c r="BI212" s="30" t="n">
        <v>1</v>
      </c>
      <c r="BJ212" s="30" t="n">
        <v>1</v>
      </c>
      <c r="BK212" s="31" t="s">
        <v>720</v>
      </c>
    </row>
    <row r="213" customFormat="false" ht="15" hidden="false" customHeight="true" outlineLevel="0" collapsed="false">
      <c r="B213" s="2" t="s">
        <v>721</v>
      </c>
      <c r="C213" s="2" t="s">
        <v>722</v>
      </c>
      <c r="D213" s="2" t="s">
        <v>244</v>
      </c>
      <c r="E213" s="2" t="s">
        <v>723</v>
      </c>
      <c r="F213" s="15" t="n">
        <v>43477</v>
      </c>
      <c r="G213" s="15" t="n">
        <v>43481</v>
      </c>
      <c r="H213" s="3" t="n">
        <v>4</v>
      </c>
      <c r="I213" s="3" t="n">
        <v>2</v>
      </c>
      <c r="J213" s="3" t="n">
        <v>60</v>
      </c>
      <c r="K213" s="3" t="n">
        <v>2</v>
      </c>
      <c r="L213" s="3" t="n">
        <v>2</v>
      </c>
      <c r="M213" s="3" t="n">
        <v>1</v>
      </c>
      <c r="N213" s="3" t="n">
        <v>2</v>
      </c>
      <c r="O213" s="3" t="n">
        <v>2</v>
      </c>
      <c r="P213" s="3" t="n">
        <v>2</v>
      </c>
      <c r="Q213" s="3" t="n">
        <v>2</v>
      </c>
      <c r="R213" s="3" t="n">
        <v>2</v>
      </c>
      <c r="S213" s="3" t="n">
        <v>1</v>
      </c>
      <c r="T213" s="4" t="n">
        <v>4</v>
      </c>
      <c r="U213" s="3" t="n">
        <v>4</v>
      </c>
      <c r="V213" s="3" t="n">
        <v>3.63</v>
      </c>
      <c r="W213" s="3" t="n">
        <v>1.93</v>
      </c>
      <c r="X213" s="3" t="n">
        <v>5.06</v>
      </c>
      <c r="Y213" s="3" t="n">
        <v>488</v>
      </c>
      <c r="AA213" s="3" t="n">
        <v>0.42</v>
      </c>
      <c r="AB213" s="3" t="n">
        <v>5.2</v>
      </c>
      <c r="AC213" s="3" t="n">
        <v>1</v>
      </c>
      <c r="AD213" s="3" t="n">
        <v>1</v>
      </c>
      <c r="AE213" s="3" t="n">
        <v>2</v>
      </c>
      <c r="AF213" s="3" t="n">
        <v>1</v>
      </c>
      <c r="AG213" s="3" t="n">
        <v>2</v>
      </c>
      <c r="AH213" s="3" t="n">
        <v>1</v>
      </c>
      <c r="AI213" s="3" t="n">
        <v>1</v>
      </c>
      <c r="AJ213" s="3" t="n">
        <v>1</v>
      </c>
      <c r="AK213" s="3" t="n">
        <v>2</v>
      </c>
      <c r="AL213" s="3" t="n">
        <v>2</v>
      </c>
      <c r="AM213" s="3" t="n">
        <v>2</v>
      </c>
      <c r="AN213" s="3" t="n">
        <v>2</v>
      </c>
      <c r="AO213" s="3" t="n">
        <v>1</v>
      </c>
      <c r="AP213" s="3" t="n">
        <v>5</v>
      </c>
      <c r="AQ213" s="3" t="n">
        <v>1</v>
      </c>
      <c r="AR213" s="3" t="n">
        <v>4</v>
      </c>
      <c r="AS213" s="3" t="n">
        <v>6</v>
      </c>
      <c r="AT213" s="3" t="n">
        <v>4</v>
      </c>
      <c r="AU213" s="3" t="n">
        <v>4</v>
      </c>
      <c r="AV213" s="3" t="n">
        <v>1</v>
      </c>
      <c r="AW213" s="3" t="n">
        <v>6</v>
      </c>
      <c r="AX213" s="3" t="n">
        <v>2</v>
      </c>
      <c r="AY213" s="3" t="n">
        <v>1</v>
      </c>
      <c r="AZ213" s="3" t="n">
        <v>1</v>
      </c>
      <c r="BA213" s="5" t="n">
        <v>10</v>
      </c>
      <c r="BB213" s="3" t="n">
        <v>2</v>
      </c>
      <c r="BC213" s="3" t="n">
        <v>1</v>
      </c>
      <c r="BD213" s="3" t="n">
        <v>6</v>
      </c>
      <c r="BE213" s="3" t="n">
        <v>3</v>
      </c>
      <c r="BF213" s="3" t="n">
        <v>5</v>
      </c>
      <c r="BG213" s="3" t="n">
        <v>3</v>
      </c>
      <c r="BH213" s="3" t="n">
        <v>4</v>
      </c>
      <c r="BI213" s="3" t="n">
        <v>1</v>
      </c>
      <c r="BJ213" s="3" t="n">
        <v>1</v>
      </c>
      <c r="BK213" s="6" t="s">
        <v>724</v>
      </c>
    </row>
    <row r="214" customFormat="false" ht="15" hidden="false" customHeight="true" outlineLevel="0" collapsed="false">
      <c r="B214" s="2" t="s">
        <v>725</v>
      </c>
      <c r="C214" s="2" t="s">
        <v>419</v>
      </c>
      <c r="D214" s="2" t="s">
        <v>94</v>
      </c>
      <c r="E214" s="2" t="n">
        <v>168648</v>
      </c>
      <c r="F214" s="15" t="n">
        <v>43476</v>
      </c>
      <c r="G214" s="15" t="n">
        <v>43481</v>
      </c>
      <c r="H214" s="3" t="n">
        <v>5</v>
      </c>
      <c r="I214" s="3" t="n">
        <v>1</v>
      </c>
      <c r="J214" s="3" t="n">
        <v>64</v>
      </c>
      <c r="K214" s="3" t="n">
        <v>2</v>
      </c>
      <c r="L214" s="3" t="n">
        <v>1</v>
      </c>
      <c r="M214" s="3" t="n">
        <v>1</v>
      </c>
      <c r="N214" s="3" t="n">
        <v>2</v>
      </c>
      <c r="O214" s="3" t="n">
        <v>2</v>
      </c>
      <c r="P214" s="3" t="n">
        <v>2</v>
      </c>
      <c r="Q214" s="3" t="n">
        <v>2</v>
      </c>
      <c r="R214" s="3" t="n">
        <v>2</v>
      </c>
      <c r="S214" s="3" t="n">
        <v>2</v>
      </c>
      <c r="T214" s="4" t="n">
        <v>1</v>
      </c>
      <c r="U214" s="3" t="n">
        <v>1</v>
      </c>
      <c r="V214" s="3" t="n">
        <v>3.35</v>
      </c>
      <c r="W214" s="3" t="n">
        <v>1.33</v>
      </c>
      <c r="X214" s="3" t="n">
        <v>4.56</v>
      </c>
      <c r="Y214" s="3" t="n">
        <v>362</v>
      </c>
      <c r="AA214" s="3" t="n">
        <v>0.38</v>
      </c>
      <c r="AB214" s="3" t="n">
        <v>13.1</v>
      </c>
      <c r="AC214" s="3" t="n">
        <v>2</v>
      </c>
      <c r="AD214" s="3" t="n">
        <v>1</v>
      </c>
      <c r="AE214" s="3" t="n">
        <v>1</v>
      </c>
      <c r="AF214" s="3" t="n">
        <v>2</v>
      </c>
      <c r="AG214" s="3" t="n">
        <v>2</v>
      </c>
      <c r="AH214" s="3" t="n">
        <v>1</v>
      </c>
      <c r="AI214" s="3" t="n">
        <v>1</v>
      </c>
      <c r="AJ214" s="3" t="n">
        <v>1</v>
      </c>
      <c r="AK214" s="3" t="n">
        <v>2</v>
      </c>
      <c r="AL214" s="3" t="n">
        <v>2</v>
      </c>
      <c r="AM214" s="3" t="n">
        <v>1</v>
      </c>
      <c r="AN214" s="3" t="n">
        <v>2</v>
      </c>
      <c r="AO214" s="3" t="n">
        <v>2</v>
      </c>
      <c r="AP214" s="3" t="n">
        <v>3</v>
      </c>
      <c r="AQ214" s="3" t="n">
        <v>4</v>
      </c>
      <c r="AR214" s="3" t="n">
        <v>4</v>
      </c>
      <c r="AS214" s="3" t="n">
        <v>6</v>
      </c>
      <c r="AT214" s="3" t="n">
        <v>4</v>
      </c>
      <c r="AU214" s="3" t="n">
        <v>4</v>
      </c>
      <c r="AV214" s="3" t="n">
        <v>6</v>
      </c>
      <c r="AW214" s="3" t="n">
        <v>6</v>
      </c>
      <c r="AX214" s="3" t="n">
        <v>3</v>
      </c>
      <c r="AY214" s="3" t="n">
        <v>3</v>
      </c>
      <c r="AZ214" s="3" t="n">
        <v>1</v>
      </c>
      <c r="BA214" s="5" t="n">
        <v>5</v>
      </c>
      <c r="BB214" s="3" t="n">
        <v>2</v>
      </c>
      <c r="BC214" s="3" t="n">
        <v>1</v>
      </c>
      <c r="BD214" s="3" t="n">
        <v>6</v>
      </c>
      <c r="BE214" s="3" t="n">
        <v>3</v>
      </c>
      <c r="BF214" s="3" t="n">
        <v>5</v>
      </c>
      <c r="BG214" s="3" t="n">
        <v>3</v>
      </c>
      <c r="BH214" s="3" t="n">
        <v>4</v>
      </c>
      <c r="BI214" s="3" t="n">
        <v>1</v>
      </c>
      <c r="BJ214" s="3" t="n">
        <v>1</v>
      </c>
      <c r="BK214" s="6" t="s">
        <v>726</v>
      </c>
    </row>
    <row r="215" customFormat="false" ht="15" hidden="false" customHeight="true" outlineLevel="0" collapsed="false">
      <c r="B215" s="2" t="s">
        <v>727</v>
      </c>
      <c r="C215" s="2" t="s">
        <v>386</v>
      </c>
      <c r="D215" s="2" t="s">
        <v>350</v>
      </c>
      <c r="E215" s="2" t="s">
        <v>728</v>
      </c>
      <c r="F215" s="15" t="n">
        <v>43477</v>
      </c>
      <c r="G215" s="15" t="n">
        <v>43482</v>
      </c>
      <c r="H215" s="3" t="n">
        <v>5</v>
      </c>
      <c r="I215" s="3" t="n">
        <v>2</v>
      </c>
      <c r="J215" s="3" t="n">
        <v>60</v>
      </c>
      <c r="K215" s="3" t="n">
        <v>1</v>
      </c>
      <c r="L215" s="3" t="n">
        <v>2</v>
      </c>
      <c r="M215" s="3" t="n">
        <v>1</v>
      </c>
      <c r="N215" s="3" t="n">
        <v>2</v>
      </c>
      <c r="O215" s="3" t="n">
        <v>2</v>
      </c>
      <c r="P215" s="3" t="n">
        <v>2</v>
      </c>
      <c r="Q215" s="3" t="n">
        <v>2</v>
      </c>
      <c r="R215" s="3" t="n">
        <v>2</v>
      </c>
      <c r="S215" s="3" t="n">
        <v>2</v>
      </c>
      <c r="T215" s="4" t="n">
        <v>1</v>
      </c>
      <c r="U215" s="3" t="n">
        <v>1</v>
      </c>
      <c r="V215" s="3" t="n">
        <v>3.39</v>
      </c>
      <c r="W215" s="3" t="n">
        <v>0.4</v>
      </c>
      <c r="X215" s="3" t="n">
        <v>4.8</v>
      </c>
      <c r="Y215" s="3" t="n">
        <v>255</v>
      </c>
      <c r="AA215" s="3" t="n">
        <v>0.43</v>
      </c>
      <c r="AB215" s="3" t="n">
        <v>7</v>
      </c>
      <c r="AC215" s="3" t="n">
        <v>1</v>
      </c>
      <c r="AD215" s="3" t="n">
        <v>1</v>
      </c>
      <c r="AE215" s="3" t="n">
        <v>2</v>
      </c>
      <c r="AF215" s="3" t="n">
        <v>1</v>
      </c>
      <c r="AG215" s="3" t="n">
        <v>2</v>
      </c>
      <c r="AH215" s="3" t="n">
        <v>1</v>
      </c>
      <c r="AI215" s="3" t="n">
        <v>1</v>
      </c>
      <c r="AJ215" s="3" t="n">
        <v>1</v>
      </c>
      <c r="AK215" s="3" t="n">
        <v>2</v>
      </c>
      <c r="AL215" s="3" t="n">
        <v>2</v>
      </c>
      <c r="AM215" s="3" t="n">
        <v>2</v>
      </c>
      <c r="AN215" s="3" t="n">
        <v>2</v>
      </c>
      <c r="AO215" s="3" t="n">
        <v>2</v>
      </c>
      <c r="AP215" s="3" t="n">
        <v>1</v>
      </c>
      <c r="AQ215" s="3" t="n">
        <v>1</v>
      </c>
      <c r="AR215" s="3" t="n">
        <v>4</v>
      </c>
      <c r="AS215" s="3" t="n">
        <v>6</v>
      </c>
      <c r="AT215" s="3" t="n">
        <v>4</v>
      </c>
      <c r="AU215" s="3" t="n">
        <v>4</v>
      </c>
      <c r="AV215" s="3" t="n">
        <v>1</v>
      </c>
      <c r="AW215" s="3" t="n">
        <v>6</v>
      </c>
      <c r="AX215" s="3" t="n">
        <v>2</v>
      </c>
      <c r="AY215" s="3" t="n">
        <v>1</v>
      </c>
      <c r="AZ215" s="3" t="n">
        <v>1</v>
      </c>
      <c r="BA215" s="5" t="n">
        <v>5</v>
      </c>
      <c r="BB215" s="3" t="n">
        <v>2</v>
      </c>
      <c r="BC215" s="3" t="n">
        <v>1</v>
      </c>
      <c r="BD215" s="3" t="n">
        <v>6</v>
      </c>
      <c r="BE215" s="3" t="n">
        <v>3</v>
      </c>
      <c r="BF215" s="3" t="n">
        <v>5</v>
      </c>
      <c r="BG215" s="3" t="n">
        <v>3</v>
      </c>
      <c r="BH215" s="3" t="n">
        <v>4</v>
      </c>
      <c r="BI215" s="3" t="n">
        <v>1</v>
      </c>
      <c r="BJ215" s="3" t="n">
        <v>1</v>
      </c>
      <c r="BK215" s="6" t="s">
        <v>729</v>
      </c>
    </row>
    <row r="216" customFormat="false" ht="15" hidden="false" customHeight="true" outlineLevel="0" collapsed="false">
      <c r="B216" s="2" t="s">
        <v>442</v>
      </c>
      <c r="C216" s="2" t="s">
        <v>443</v>
      </c>
      <c r="D216" s="2" t="s">
        <v>115</v>
      </c>
      <c r="E216" s="2" t="n">
        <v>164292</v>
      </c>
      <c r="F216" s="15" t="n">
        <v>43476</v>
      </c>
      <c r="G216" s="15" t="n">
        <v>43482</v>
      </c>
      <c r="H216" s="3" t="n">
        <v>6</v>
      </c>
      <c r="I216" s="3" t="n">
        <v>2</v>
      </c>
      <c r="J216" s="3" t="n">
        <v>60</v>
      </c>
      <c r="K216" s="3" t="n">
        <v>2</v>
      </c>
      <c r="L216" s="3" t="n">
        <v>2</v>
      </c>
      <c r="M216" s="3" t="n">
        <v>1</v>
      </c>
      <c r="N216" s="3" t="n">
        <v>1</v>
      </c>
      <c r="O216" s="3" t="n">
        <v>2</v>
      </c>
      <c r="P216" s="3" t="n">
        <v>2</v>
      </c>
      <c r="Q216" s="3" t="n">
        <v>2</v>
      </c>
      <c r="R216" s="3" t="n">
        <v>2</v>
      </c>
      <c r="S216" s="3" t="n">
        <v>1</v>
      </c>
      <c r="T216" s="4" t="n">
        <v>1</v>
      </c>
      <c r="U216" s="3" t="n">
        <v>1</v>
      </c>
      <c r="V216" s="3" t="n">
        <v>3.87</v>
      </c>
      <c r="W216" s="3" t="n">
        <v>2.42</v>
      </c>
      <c r="X216" s="3" t="n">
        <v>6.41</v>
      </c>
      <c r="Y216" s="3" t="n">
        <v>259</v>
      </c>
      <c r="AA216" s="3" t="n">
        <v>0.37</v>
      </c>
      <c r="AB216" s="3" t="n">
        <v>10.6</v>
      </c>
      <c r="AC216" s="3" t="n">
        <v>1</v>
      </c>
      <c r="AD216" s="3" t="n">
        <v>1</v>
      </c>
      <c r="AE216" s="3" t="n">
        <v>1</v>
      </c>
      <c r="AF216" s="3" t="n">
        <v>1</v>
      </c>
      <c r="AG216" s="3" t="n">
        <v>2</v>
      </c>
      <c r="AH216" s="3" t="n">
        <v>1</v>
      </c>
      <c r="AI216" s="3" t="n">
        <v>1</v>
      </c>
      <c r="AJ216" s="3" t="n">
        <v>1</v>
      </c>
      <c r="AK216" s="3" t="n">
        <v>2</v>
      </c>
      <c r="AL216" s="3" t="n">
        <v>2</v>
      </c>
      <c r="AM216" s="3" t="n">
        <v>2</v>
      </c>
      <c r="AN216" s="3" t="n">
        <v>2</v>
      </c>
      <c r="AO216" s="3" t="n">
        <v>2</v>
      </c>
      <c r="AP216" s="3" t="n">
        <v>1</v>
      </c>
      <c r="AQ216" s="3" t="n">
        <v>1</v>
      </c>
      <c r="AR216" s="3" t="n">
        <v>4</v>
      </c>
      <c r="AS216" s="3" t="n">
        <v>6</v>
      </c>
      <c r="AT216" s="3" t="n">
        <v>4</v>
      </c>
      <c r="AU216" s="3" t="n">
        <v>4</v>
      </c>
      <c r="AV216" s="3" t="n">
        <v>1</v>
      </c>
      <c r="AW216" s="3" t="n">
        <v>6</v>
      </c>
      <c r="AX216" s="3" t="n">
        <v>2</v>
      </c>
      <c r="AY216" s="3" t="n">
        <v>1</v>
      </c>
      <c r="AZ216" s="3" t="n">
        <v>1</v>
      </c>
      <c r="BA216" s="5" t="n">
        <v>5</v>
      </c>
      <c r="BB216" s="3" t="n">
        <v>2</v>
      </c>
      <c r="BC216" s="3" t="n">
        <v>1</v>
      </c>
      <c r="BD216" s="3" t="n">
        <v>6</v>
      </c>
      <c r="BE216" s="3" t="n">
        <v>3</v>
      </c>
      <c r="BF216" s="3" t="n">
        <v>5</v>
      </c>
      <c r="BG216" s="3" t="n">
        <v>3</v>
      </c>
      <c r="BH216" s="3" t="n">
        <v>4</v>
      </c>
      <c r="BI216" s="3" t="n">
        <v>1</v>
      </c>
      <c r="BJ216" s="3" t="n">
        <v>1</v>
      </c>
      <c r="BK216" s="6" t="s">
        <v>730</v>
      </c>
    </row>
    <row r="217" customFormat="false" ht="15" hidden="false" customHeight="true" outlineLevel="0" collapsed="false">
      <c r="B217" s="2" t="s">
        <v>731</v>
      </c>
      <c r="C217" s="2" t="s">
        <v>304</v>
      </c>
      <c r="D217" s="2" t="s">
        <v>732</v>
      </c>
      <c r="E217" s="2" t="n">
        <v>168730</v>
      </c>
      <c r="F217" s="15" t="n">
        <v>43479</v>
      </c>
      <c r="G217" s="15" t="n">
        <v>43482</v>
      </c>
      <c r="H217" s="3" t="n">
        <v>3</v>
      </c>
      <c r="I217" s="3" t="n">
        <v>1</v>
      </c>
      <c r="J217" s="3" t="n">
        <v>60</v>
      </c>
      <c r="K217" s="3" t="n">
        <v>2</v>
      </c>
      <c r="L217" s="3" t="n">
        <v>1</v>
      </c>
      <c r="M217" s="3" t="n">
        <v>1</v>
      </c>
      <c r="N217" s="3" t="n">
        <v>2</v>
      </c>
      <c r="O217" s="3" t="n">
        <v>2</v>
      </c>
      <c r="P217" s="3" t="n">
        <v>2</v>
      </c>
      <c r="Q217" s="3" t="n">
        <v>2</v>
      </c>
      <c r="R217" s="3" t="n">
        <v>2</v>
      </c>
      <c r="S217" s="3" t="n">
        <v>2</v>
      </c>
      <c r="T217" s="4" t="n">
        <v>1</v>
      </c>
      <c r="U217" s="3" t="n">
        <v>1</v>
      </c>
      <c r="V217" s="3" t="n">
        <v>2.63</v>
      </c>
      <c r="W217" s="3" t="n">
        <v>1.42</v>
      </c>
      <c r="X217" s="3" t="n">
        <v>5.4</v>
      </c>
      <c r="Y217" s="3" t="n">
        <v>578</v>
      </c>
      <c r="AA217" s="3" t="n">
        <v>0.4</v>
      </c>
      <c r="AB217" s="3" t="n">
        <v>7.8</v>
      </c>
      <c r="AC217" s="3" t="n">
        <v>2</v>
      </c>
      <c r="AD217" s="3" t="n">
        <v>2</v>
      </c>
      <c r="AE217" s="3" t="n">
        <v>1</v>
      </c>
      <c r="AF217" s="3" t="n">
        <v>1</v>
      </c>
      <c r="AG217" s="3" t="n">
        <v>1</v>
      </c>
      <c r="AH217" s="3" t="n">
        <v>2</v>
      </c>
      <c r="AI217" s="3" t="n">
        <v>1</v>
      </c>
      <c r="AJ217" s="3" t="n">
        <v>2</v>
      </c>
      <c r="AK217" s="3" t="n">
        <v>2</v>
      </c>
      <c r="AL217" s="3" t="n">
        <v>2</v>
      </c>
      <c r="AM217" s="3" t="n">
        <v>1</v>
      </c>
      <c r="AN217" s="3" t="n">
        <v>2</v>
      </c>
      <c r="AO217" s="3" t="n">
        <v>2</v>
      </c>
      <c r="AP217" s="3" t="n">
        <v>3</v>
      </c>
      <c r="AQ217" s="3" t="n">
        <v>4</v>
      </c>
      <c r="AR217" s="3" t="n">
        <v>4</v>
      </c>
      <c r="AS217" s="3" t="n">
        <v>6</v>
      </c>
      <c r="AT217" s="3" t="n">
        <v>4</v>
      </c>
      <c r="AU217" s="3" t="n">
        <v>4</v>
      </c>
      <c r="AV217" s="3" t="n">
        <v>6</v>
      </c>
      <c r="AW217" s="3" t="n">
        <v>6</v>
      </c>
      <c r="AX217" s="3" t="n">
        <v>3</v>
      </c>
      <c r="AY217" s="3" t="n">
        <v>3</v>
      </c>
      <c r="AZ217" s="3" t="n">
        <v>1</v>
      </c>
      <c r="BA217" s="5" t="n">
        <v>5</v>
      </c>
      <c r="BB217" s="3" t="n">
        <v>2</v>
      </c>
      <c r="BC217" s="3" t="n">
        <v>1</v>
      </c>
      <c r="BD217" s="3" t="n">
        <v>6</v>
      </c>
      <c r="BE217" s="3" t="n">
        <v>3</v>
      </c>
      <c r="BF217" s="3" t="n">
        <v>5</v>
      </c>
      <c r="BG217" s="3" t="n">
        <v>3</v>
      </c>
      <c r="BH217" s="3" t="n">
        <v>4</v>
      </c>
      <c r="BI217" s="3" t="n">
        <v>1</v>
      </c>
      <c r="BJ217" s="3" t="n">
        <v>1</v>
      </c>
      <c r="BK217" s="6" t="s">
        <v>733</v>
      </c>
    </row>
    <row r="218" customFormat="false" ht="15" hidden="false" customHeight="true" outlineLevel="0" collapsed="false">
      <c r="B218" s="2" t="s">
        <v>734</v>
      </c>
      <c r="C218" s="2" t="s">
        <v>194</v>
      </c>
      <c r="D218" s="2" t="s">
        <v>735</v>
      </c>
      <c r="E218" s="2" t="n">
        <v>168619</v>
      </c>
      <c r="F218" s="15" t="n">
        <v>43477</v>
      </c>
      <c r="G218" s="15" t="n">
        <v>43483</v>
      </c>
      <c r="H218" s="3" t="n">
        <v>6</v>
      </c>
      <c r="I218" s="3" t="n">
        <v>2</v>
      </c>
      <c r="J218" s="3" t="n">
        <v>67</v>
      </c>
      <c r="K218" s="3" t="n">
        <v>1</v>
      </c>
      <c r="L218" s="3" t="n">
        <v>1</v>
      </c>
      <c r="M218" s="3" t="n">
        <v>1</v>
      </c>
      <c r="N218" s="3" t="n">
        <v>2</v>
      </c>
      <c r="O218" s="3" t="n">
        <v>2</v>
      </c>
      <c r="P218" s="3" t="n">
        <v>2</v>
      </c>
      <c r="Q218" s="3" t="n">
        <v>2</v>
      </c>
      <c r="R218" s="3" t="n">
        <v>2</v>
      </c>
      <c r="S218" s="3" t="n">
        <v>2</v>
      </c>
      <c r="T218" s="4" t="n">
        <v>2</v>
      </c>
      <c r="U218" s="3" t="n">
        <v>2</v>
      </c>
      <c r="V218" s="3" t="n">
        <v>4.01</v>
      </c>
      <c r="W218" s="3" t="n">
        <v>0.27</v>
      </c>
      <c r="X218" s="3" t="n">
        <v>4.8</v>
      </c>
      <c r="Y218" s="3" t="n">
        <v>289</v>
      </c>
      <c r="AA218" s="3" t="n">
        <v>0.46</v>
      </c>
      <c r="AB218" s="3" t="n">
        <v>9.8</v>
      </c>
      <c r="AC218" s="3" t="n">
        <v>1</v>
      </c>
      <c r="AD218" s="3" t="n">
        <v>1</v>
      </c>
      <c r="AE218" s="3" t="n">
        <v>1</v>
      </c>
      <c r="AF218" s="3" t="n">
        <v>1</v>
      </c>
      <c r="AG218" s="3" t="n">
        <v>2</v>
      </c>
      <c r="AH218" s="3" t="n">
        <v>2</v>
      </c>
      <c r="AI218" s="3" t="n">
        <v>1</v>
      </c>
      <c r="AJ218" s="3" t="n">
        <v>1</v>
      </c>
      <c r="AK218" s="3" t="n">
        <v>2</v>
      </c>
      <c r="AL218" s="3" t="n">
        <v>2</v>
      </c>
      <c r="AM218" s="3" t="n">
        <v>2</v>
      </c>
      <c r="AN218" s="3" t="n">
        <v>2</v>
      </c>
      <c r="AO218" s="3" t="n">
        <v>2</v>
      </c>
      <c r="AP218" s="3" t="n">
        <v>3</v>
      </c>
      <c r="AQ218" s="3" t="n">
        <v>4</v>
      </c>
      <c r="AR218" s="3" t="n">
        <v>4</v>
      </c>
      <c r="AS218" s="3" t="n">
        <v>6</v>
      </c>
      <c r="AT218" s="3" t="n">
        <v>4</v>
      </c>
      <c r="AU218" s="3" t="n">
        <v>4</v>
      </c>
      <c r="AV218" s="3" t="n">
        <v>6</v>
      </c>
      <c r="AW218" s="3" t="n">
        <v>6</v>
      </c>
      <c r="AX218" s="3" t="n">
        <v>3</v>
      </c>
      <c r="AY218" s="3" t="n">
        <v>3</v>
      </c>
      <c r="AZ218" s="3" t="n">
        <v>1</v>
      </c>
      <c r="BA218" s="5" t="n">
        <v>1</v>
      </c>
      <c r="BB218" s="3" t="n">
        <v>1</v>
      </c>
      <c r="BC218" s="3" t="n">
        <v>1</v>
      </c>
      <c r="BD218" s="3" t="n">
        <v>2</v>
      </c>
      <c r="BE218" s="3" t="n">
        <v>3</v>
      </c>
      <c r="BF218" s="3" t="n">
        <v>5</v>
      </c>
      <c r="BG218" s="3" t="n">
        <v>3</v>
      </c>
      <c r="BH218" s="3" t="n">
        <v>4</v>
      </c>
      <c r="BI218" s="3" t="n">
        <v>1</v>
      </c>
      <c r="BJ218" s="3" t="n">
        <v>1</v>
      </c>
      <c r="BK218" s="6" t="s">
        <v>736</v>
      </c>
    </row>
    <row r="219" customFormat="false" ht="15" hidden="false" customHeight="true" outlineLevel="0" collapsed="false">
      <c r="B219" s="2" t="s">
        <v>660</v>
      </c>
      <c r="C219" s="2" t="s">
        <v>661</v>
      </c>
      <c r="D219" s="2" t="s">
        <v>662</v>
      </c>
      <c r="E219" s="2" t="n">
        <v>168070</v>
      </c>
      <c r="F219" s="15" t="n">
        <v>43477</v>
      </c>
      <c r="G219" s="15" t="n">
        <v>43483</v>
      </c>
      <c r="H219" s="3" t="n">
        <v>6</v>
      </c>
      <c r="I219" s="3" t="n">
        <v>2</v>
      </c>
      <c r="J219" s="3" t="n">
        <v>69</v>
      </c>
      <c r="K219" s="3" t="n">
        <v>2</v>
      </c>
      <c r="L219" s="3" t="n">
        <v>2</v>
      </c>
      <c r="M219" s="3" t="n">
        <v>1</v>
      </c>
      <c r="N219" s="3" t="n">
        <v>2</v>
      </c>
      <c r="O219" s="3" t="n">
        <v>2</v>
      </c>
      <c r="P219" s="3" t="n">
        <v>2</v>
      </c>
      <c r="Q219" s="3" t="n">
        <v>2</v>
      </c>
      <c r="R219" s="3" t="n">
        <v>2</v>
      </c>
      <c r="S219" s="3" t="n">
        <v>2</v>
      </c>
      <c r="T219" s="4" t="n">
        <v>1</v>
      </c>
      <c r="U219" s="3" t="n">
        <v>1</v>
      </c>
      <c r="V219" s="3" t="n">
        <v>1.38</v>
      </c>
      <c r="W219" s="3" t="n">
        <v>0.81</v>
      </c>
      <c r="X219" s="3" t="n">
        <v>3.9</v>
      </c>
      <c r="Y219" s="3" t="n">
        <v>322</v>
      </c>
      <c r="AA219" s="3" t="n">
        <v>0.43</v>
      </c>
      <c r="AB219" s="3" t="n">
        <v>9</v>
      </c>
      <c r="AC219" s="3" t="n">
        <v>1</v>
      </c>
      <c r="AD219" s="3" t="n">
        <v>2</v>
      </c>
      <c r="AE219" s="3" t="n">
        <v>1</v>
      </c>
      <c r="AF219" s="3" t="n">
        <v>2</v>
      </c>
      <c r="AG219" s="3" t="n">
        <v>2</v>
      </c>
      <c r="AH219" s="3" t="n">
        <v>2</v>
      </c>
      <c r="AI219" s="3" t="n">
        <v>2</v>
      </c>
      <c r="AJ219" s="3" t="n">
        <v>2</v>
      </c>
      <c r="AK219" s="3" t="n">
        <v>2</v>
      </c>
      <c r="AL219" s="3" t="n">
        <v>2</v>
      </c>
      <c r="AM219" s="3" t="n">
        <v>1</v>
      </c>
      <c r="AN219" s="3" t="n">
        <v>2</v>
      </c>
      <c r="AO219" s="3" t="n">
        <v>2</v>
      </c>
      <c r="AP219" s="3" t="n">
        <v>3</v>
      </c>
      <c r="AQ219" s="3" t="n">
        <v>4</v>
      </c>
      <c r="AR219" s="3" t="n">
        <v>4</v>
      </c>
      <c r="AS219" s="3" t="n">
        <v>6</v>
      </c>
      <c r="AT219" s="3" t="n">
        <v>4</v>
      </c>
      <c r="AU219" s="3" t="n">
        <v>4</v>
      </c>
      <c r="AV219" s="3" t="n">
        <v>6</v>
      </c>
      <c r="AW219" s="3" t="n">
        <v>6</v>
      </c>
      <c r="AX219" s="3" t="n">
        <v>3</v>
      </c>
      <c r="AY219" s="3" t="n">
        <v>3</v>
      </c>
      <c r="AZ219" s="3" t="n">
        <v>1</v>
      </c>
      <c r="BA219" s="5" t="n">
        <v>11</v>
      </c>
      <c r="BB219" s="3" t="n">
        <v>2</v>
      </c>
      <c r="BC219" s="3" t="n">
        <v>1</v>
      </c>
      <c r="BD219" s="3" t="n">
        <v>6</v>
      </c>
      <c r="BE219" s="3" t="n">
        <v>3</v>
      </c>
      <c r="BF219" s="3" t="n">
        <v>5</v>
      </c>
      <c r="BG219" s="3" t="n">
        <v>3</v>
      </c>
      <c r="BH219" s="3" t="n">
        <v>4</v>
      </c>
      <c r="BI219" s="3" t="n">
        <v>1</v>
      </c>
      <c r="BJ219" s="3" t="n">
        <v>1</v>
      </c>
      <c r="BK219" s="6" t="s">
        <v>737</v>
      </c>
    </row>
    <row r="220" customFormat="false" ht="15" hidden="false" customHeight="true" outlineLevel="0" collapsed="false">
      <c r="B220" s="2" t="s">
        <v>738</v>
      </c>
      <c r="C220" s="2" t="s">
        <v>739</v>
      </c>
      <c r="D220" s="2" t="s">
        <v>118</v>
      </c>
      <c r="E220" s="2" t="n">
        <v>168760</v>
      </c>
      <c r="F220" s="15" t="n">
        <v>43480</v>
      </c>
      <c r="G220" s="15" t="n">
        <v>43484</v>
      </c>
      <c r="H220" s="3" t="n">
        <v>4</v>
      </c>
      <c r="I220" s="3" t="n">
        <v>2</v>
      </c>
      <c r="J220" s="3" t="n">
        <v>75</v>
      </c>
      <c r="K220" s="3" t="n">
        <v>1</v>
      </c>
      <c r="L220" s="3" t="n">
        <v>2</v>
      </c>
      <c r="M220" s="3" t="n">
        <v>1</v>
      </c>
      <c r="N220" s="3" t="n">
        <v>2</v>
      </c>
      <c r="O220" s="3" t="n">
        <v>2</v>
      </c>
      <c r="P220" s="3" t="n">
        <v>2</v>
      </c>
      <c r="Q220" s="3" t="n">
        <v>2</v>
      </c>
      <c r="R220" s="3" t="n">
        <v>2</v>
      </c>
      <c r="S220" s="3" t="n">
        <v>2</v>
      </c>
      <c r="T220" s="4" t="n">
        <v>1</v>
      </c>
      <c r="U220" s="3" t="n">
        <v>1</v>
      </c>
      <c r="V220" s="3" t="n">
        <v>4.13</v>
      </c>
      <c r="W220" s="3" t="n">
        <v>0.74</v>
      </c>
      <c r="X220" s="3" t="n">
        <v>5.2</v>
      </c>
      <c r="Y220" s="3" t="n">
        <v>510</v>
      </c>
      <c r="AA220" s="3" t="n">
        <v>0.41</v>
      </c>
      <c r="AB220" s="3" t="n">
        <v>6</v>
      </c>
      <c r="AC220" s="3" t="n">
        <v>1</v>
      </c>
      <c r="AD220" s="3" t="n">
        <v>1</v>
      </c>
      <c r="AE220" s="3" t="n">
        <v>1</v>
      </c>
      <c r="AF220" s="3" t="n">
        <v>1</v>
      </c>
      <c r="AG220" s="3" t="n">
        <v>2</v>
      </c>
      <c r="AH220" s="3" t="n">
        <v>2</v>
      </c>
      <c r="AI220" s="3" t="n">
        <v>1</v>
      </c>
      <c r="AJ220" s="3" t="n">
        <v>1</v>
      </c>
      <c r="AK220" s="3" t="n">
        <v>2</v>
      </c>
      <c r="AL220" s="3" t="n">
        <v>2</v>
      </c>
      <c r="AM220" s="3" t="n">
        <v>2</v>
      </c>
      <c r="AN220" s="3" t="n">
        <v>2</v>
      </c>
      <c r="AO220" s="3" t="n">
        <v>2</v>
      </c>
      <c r="AP220" s="3" t="n">
        <v>3</v>
      </c>
      <c r="AQ220" s="3" t="n">
        <v>4</v>
      </c>
      <c r="AR220" s="3" t="n">
        <v>4</v>
      </c>
      <c r="AS220" s="3" t="n">
        <v>6</v>
      </c>
      <c r="AT220" s="3" t="n">
        <v>4</v>
      </c>
      <c r="AU220" s="3" t="n">
        <v>4</v>
      </c>
      <c r="AV220" s="3" t="n">
        <v>6</v>
      </c>
      <c r="AW220" s="3" t="n">
        <v>6</v>
      </c>
      <c r="AX220" s="3" t="n">
        <v>3</v>
      </c>
      <c r="AY220" s="3" t="n">
        <v>3</v>
      </c>
      <c r="AZ220" s="3" t="n">
        <v>1</v>
      </c>
      <c r="BA220" s="5" t="n">
        <v>5</v>
      </c>
      <c r="BB220" s="3" t="n">
        <v>2</v>
      </c>
      <c r="BC220" s="3" t="n">
        <v>1</v>
      </c>
      <c r="BD220" s="3" t="n">
        <v>6</v>
      </c>
      <c r="BE220" s="3" t="n">
        <v>3</v>
      </c>
      <c r="BF220" s="3" t="n">
        <v>5</v>
      </c>
      <c r="BG220" s="3" t="n">
        <v>3</v>
      </c>
      <c r="BH220" s="3" t="n">
        <v>4</v>
      </c>
      <c r="BI220" s="3" t="n">
        <v>1</v>
      </c>
      <c r="BJ220" s="3" t="n">
        <v>1</v>
      </c>
      <c r="BK220" s="6" t="s">
        <v>740</v>
      </c>
    </row>
    <row r="221" customFormat="false" ht="15" hidden="false" customHeight="true" outlineLevel="0" collapsed="false">
      <c r="B221" s="2" t="s">
        <v>741</v>
      </c>
      <c r="C221" s="2" t="s">
        <v>742</v>
      </c>
      <c r="D221" s="2" t="s">
        <v>743</v>
      </c>
      <c r="E221" s="2" t="n">
        <v>168719</v>
      </c>
      <c r="F221" s="15" t="n">
        <v>43479</v>
      </c>
      <c r="G221" s="15" t="n">
        <v>43486</v>
      </c>
      <c r="H221" s="3" t="n">
        <v>7</v>
      </c>
      <c r="I221" s="3" t="n">
        <v>1</v>
      </c>
      <c r="J221" s="3" t="n">
        <v>65</v>
      </c>
      <c r="K221" s="3" t="n">
        <v>1</v>
      </c>
      <c r="L221" s="3" t="n">
        <v>1</v>
      </c>
      <c r="M221" s="3" t="n">
        <v>1</v>
      </c>
      <c r="N221" s="3" t="n">
        <v>2</v>
      </c>
      <c r="O221" s="3" t="n">
        <v>2</v>
      </c>
      <c r="P221" s="3" t="n">
        <v>2</v>
      </c>
      <c r="Q221" s="3" t="n">
        <v>2</v>
      </c>
      <c r="R221" s="3" t="n">
        <v>2</v>
      </c>
      <c r="S221" s="3" t="n">
        <v>2</v>
      </c>
      <c r="T221" s="4" t="n">
        <v>1</v>
      </c>
      <c r="U221" s="3" t="n">
        <v>4</v>
      </c>
      <c r="V221" s="3" t="n">
        <v>5.48</v>
      </c>
      <c r="W221" s="3" t="n">
        <v>1.8</v>
      </c>
      <c r="X221" s="3" t="n">
        <v>4.9</v>
      </c>
      <c r="Y221" s="3" t="n">
        <v>430</v>
      </c>
      <c r="AA221" s="3" t="n">
        <v>0.33</v>
      </c>
      <c r="AB221" s="3" t="n">
        <v>10.9</v>
      </c>
      <c r="AC221" s="3" t="n">
        <v>1</v>
      </c>
      <c r="AD221" s="3" t="n">
        <v>2</v>
      </c>
      <c r="AE221" s="3" t="n">
        <v>1</v>
      </c>
      <c r="AF221" s="3" t="n">
        <v>2</v>
      </c>
      <c r="AG221" s="3" t="n">
        <v>2</v>
      </c>
      <c r="AH221" s="3" t="n">
        <v>2</v>
      </c>
      <c r="AI221" s="3" t="n">
        <v>2</v>
      </c>
      <c r="AJ221" s="3" t="n">
        <v>1</v>
      </c>
      <c r="AK221" s="3" t="n">
        <v>2</v>
      </c>
      <c r="AL221" s="3" t="n">
        <v>2</v>
      </c>
      <c r="AM221" s="3" t="n">
        <v>1</v>
      </c>
      <c r="AN221" s="3" t="n">
        <v>2</v>
      </c>
      <c r="AO221" s="3" t="n">
        <v>2</v>
      </c>
      <c r="AP221" s="3" t="n">
        <v>1</v>
      </c>
      <c r="AQ221" s="3" t="n">
        <v>3</v>
      </c>
      <c r="AR221" s="3" t="n">
        <v>5</v>
      </c>
      <c r="AS221" s="3" t="n">
        <v>2</v>
      </c>
      <c r="AT221" s="3" t="n">
        <v>2</v>
      </c>
      <c r="AU221" s="3" t="n">
        <v>1</v>
      </c>
      <c r="AV221" s="3" t="n">
        <v>1</v>
      </c>
      <c r="AW221" s="3" t="n">
        <v>1</v>
      </c>
      <c r="AX221" s="3" t="n">
        <v>2</v>
      </c>
      <c r="AY221" s="3" t="n">
        <v>2</v>
      </c>
      <c r="AZ221" s="3" t="n">
        <v>1</v>
      </c>
      <c r="BA221" s="5" t="n">
        <v>5</v>
      </c>
      <c r="BB221" s="3" t="n">
        <v>2</v>
      </c>
      <c r="BC221" s="3" t="n">
        <v>1</v>
      </c>
      <c r="BD221" s="3" t="n">
        <v>6</v>
      </c>
      <c r="BE221" s="3" t="n">
        <v>3</v>
      </c>
      <c r="BF221" s="3" t="n">
        <v>5</v>
      </c>
      <c r="BG221" s="3" t="n">
        <v>3</v>
      </c>
      <c r="BH221" s="3" t="n">
        <v>4</v>
      </c>
      <c r="BI221" s="3" t="n">
        <v>1</v>
      </c>
      <c r="BJ221" s="3" t="n">
        <v>1</v>
      </c>
      <c r="BK221" s="6" t="s">
        <v>744</v>
      </c>
    </row>
    <row r="222" customFormat="false" ht="15" hidden="false" customHeight="true" outlineLevel="0" collapsed="false">
      <c r="B222" s="2" t="s">
        <v>745</v>
      </c>
      <c r="C222" s="2" t="s">
        <v>746</v>
      </c>
      <c r="D222" s="2" t="s">
        <v>210</v>
      </c>
      <c r="E222" s="2" t="n">
        <v>168604</v>
      </c>
      <c r="F222" s="15" t="n">
        <v>43478</v>
      </c>
      <c r="G222" s="15" t="n">
        <v>43486</v>
      </c>
      <c r="H222" s="3" t="n">
        <v>8</v>
      </c>
      <c r="I222" s="3" t="n">
        <v>2</v>
      </c>
      <c r="J222" s="3" t="n">
        <v>62</v>
      </c>
      <c r="K222" s="3" t="n">
        <v>1</v>
      </c>
      <c r="L222" s="3" t="n">
        <v>2</v>
      </c>
      <c r="M222" s="3" t="n">
        <v>1</v>
      </c>
      <c r="N222" s="3" t="n">
        <v>1</v>
      </c>
      <c r="O222" s="3" t="n">
        <v>2</v>
      </c>
      <c r="P222" s="3" t="n">
        <v>2</v>
      </c>
      <c r="Q222" s="3" t="n">
        <v>2</v>
      </c>
      <c r="R222" s="3" t="n">
        <v>2</v>
      </c>
      <c r="S222" s="3" t="n">
        <v>2</v>
      </c>
      <c r="T222" s="4" t="n">
        <v>1</v>
      </c>
      <c r="U222" s="3" t="n">
        <v>1</v>
      </c>
      <c r="V222" s="3" t="n">
        <v>3.4</v>
      </c>
      <c r="W222" s="3" t="n">
        <v>0.99</v>
      </c>
      <c r="X222" s="3" t="n">
        <v>4.8</v>
      </c>
      <c r="Y222" s="3" t="n">
        <v>360</v>
      </c>
      <c r="AA222" s="3" t="n">
        <v>0.43</v>
      </c>
      <c r="AB222" s="3" t="n">
        <v>9.5</v>
      </c>
      <c r="AC222" s="3" t="n">
        <v>2</v>
      </c>
      <c r="AD222" s="3" t="n">
        <v>1</v>
      </c>
      <c r="AE222" s="3" t="n">
        <v>1</v>
      </c>
      <c r="AF222" s="3" t="n">
        <v>1</v>
      </c>
      <c r="AG222" s="3" t="n">
        <v>1</v>
      </c>
      <c r="AH222" s="3" t="n">
        <v>1</v>
      </c>
      <c r="AI222" s="3" t="n">
        <v>1</v>
      </c>
      <c r="AJ222" s="3" t="n">
        <v>2</v>
      </c>
      <c r="AK222" s="3" t="n">
        <v>2</v>
      </c>
      <c r="AL222" s="3" t="n">
        <v>2</v>
      </c>
      <c r="AM222" s="3" t="n">
        <v>2</v>
      </c>
      <c r="AN222" s="3" t="n">
        <v>2</v>
      </c>
      <c r="AO222" s="3" t="n">
        <v>2</v>
      </c>
      <c r="AP222" s="3" t="n">
        <v>3</v>
      </c>
      <c r="AQ222" s="3" t="n">
        <v>4</v>
      </c>
      <c r="AR222" s="3" t="n">
        <v>4</v>
      </c>
      <c r="AS222" s="3" t="n">
        <v>6</v>
      </c>
      <c r="AT222" s="3" t="n">
        <v>4</v>
      </c>
      <c r="AU222" s="3" t="n">
        <v>4</v>
      </c>
      <c r="AV222" s="3" t="n">
        <v>6</v>
      </c>
      <c r="AW222" s="3" t="n">
        <v>6</v>
      </c>
      <c r="AX222" s="3" t="n">
        <v>3</v>
      </c>
      <c r="AY222" s="3" t="n">
        <v>3</v>
      </c>
      <c r="AZ222" s="3" t="n">
        <v>1</v>
      </c>
      <c r="BA222" s="5" t="n">
        <v>5</v>
      </c>
      <c r="BB222" s="3" t="n">
        <v>2</v>
      </c>
      <c r="BC222" s="3" t="n">
        <v>1</v>
      </c>
      <c r="BD222" s="3" t="n">
        <v>6</v>
      </c>
      <c r="BE222" s="3" t="n">
        <v>3</v>
      </c>
      <c r="BF222" s="3" t="n">
        <v>5</v>
      </c>
      <c r="BG222" s="3" t="n">
        <v>3</v>
      </c>
      <c r="BH222" s="3" t="n">
        <v>4</v>
      </c>
      <c r="BI222" s="3" t="n">
        <v>1</v>
      </c>
      <c r="BJ222" s="3" t="n">
        <v>1</v>
      </c>
      <c r="BK222" s="6" t="s">
        <v>747</v>
      </c>
    </row>
    <row r="223" customFormat="false" ht="15" hidden="false" customHeight="true" outlineLevel="0" collapsed="false">
      <c r="B223" s="2" t="s">
        <v>748</v>
      </c>
      <c r="C223" s="2" t="s">
        <v>99</v>
      </c>
      <c r="D223" s="2" t="s">
        <v>94</v>
      </c>
      <c r="E223" s="2" t="n">
        <v>160731</v>
      </c>
      <c r="F223" s="15" t="n">
        <v>43481</v>
      </c>
      <c r="G223" s="15" t="n">
        <v>43486</v>
      </c>
      <c r="H223" s="3" t="n">
        <v>5</v>
      </c>
      <c r="I223" s="3" t="n">
        <v>1</v>
      </c>
      <c r="J223" s="3" t="n">
        <v>55</v>
      </c>
      <c r="K223" s="3" t="n">
        <v>1</v>
      </c>
      <c r="L223" s="3" t="n">
        <v>2</v>
      </c>
      <c r="M223" s="3" t="n">
        <v>1</v>
      </c>
      <c r="N223" s="3" t="n">
        <v>2</v>
      </c>
      <c r="O223" s="3" t="n">
        <v>1</v>
      </c>
      <c r="P223" s="3" t="n">
        <v>2</v>
      </c>
      <c r="Q223" s="3" t="n">
        <v>1</v>
      </c>
      <c r="R223" s="3" t="n">
        <v>2</v>
      </c>
      <c r="S223" s="3" t="n">
        <v>2</v>
      </c>
      <c r="T223" s="4" t="n">
        <v>1</v>
      </c>
      <c r="U223" s="3" t="n">
        <v>1</v>
      </c>
      <c r="V223" s="3" t="n">
        <v>4.76</v>
      </c>
      <c r="W223" s="3" t="n">
        <v>1.19</v>
      </c>
      <c r="X223" s="3" t="n">
        <v>7.3</v>
      </c>
      <c r="Y223" s="3" t="n">
        <v>288</v>
      </c>
      <c r="AA223" s="3" t="n">
        <v>0.4</v>
      </c>
      <c r="AB223" s="3" t="n">
        <v>12.6</v>
      </c>
      <c r="AC223" s="3" t="n">
        <v>1</v>
      </c>
      <c r="AD223" s="3" t="n">
        <v>1</v>
      </c>
      <c r="AE223" s="3" t="n">
        <v>1</v>
      </c>
      <c r="AF223" s="3" t="n">
        <v>1</v>
      </c>
      <c r="AG223" s="3" t="n">
        <v>1</v>
      </c>
      <c r="AH223" s="3" t="n">
        <v>2</v>
      </c>
      <c r="AI223" s="3" t="n">
        <v>1</v>
      </c>
      <c r="AJ223" s="3" t="n">
        <v>1</v>
      </c>
      <c r="AK223" s="3" t="n">
        <v>2</v>
      </c>
      <c r="AL223" s="3" t="n">
        <v>2</v>
      </c>
      <c r="AM223" s="3" t="n">
        <v>2</v>
      </c>
      <c r="AN223" s="3" t="n">
        <v>2</v>
      </c>
      <c r="AO223" s="3" t="n">
        <v>2</v>
      </c>
      <c r="AP223" s="3" t="n">
        <v>3</v>
      </c>
      <c r="AQ223" s="3" t="n">
        <v>4</v>
      </c>
      <c r="AR223" s="3" t="n">
        <v>4</v>
      </c>
      <c r="AS223" s="3" t="n">
        <v>6</v>
      </c>
      <c r="AT223" s="3" t="n">
        <v>4</v>
      </c>
      <c r="AU223" s="3" t="n">
        <v>4</v>
      </c>
      <c r="AV223" s="3" t="n">
        <v>6</v>
      </c>
      <c r="AW223" s="3" t="n">
        <v>6</v>
      </c>
      <c r="AX223" s="3" t="n">
        <v>3</v>
      </c>
      <c r="AY223" s="3" t="n">
        <v>3</v>
      </c>
      <c r="AZ223" s="3" t="n">
        <v>1</v>
      </c>
      <c r="BA223" s="5" t="n">
        <v>5</v>
      </c>
      <c r="BB223" s="3" t="n">
        <v>2</v>
      </c>
      <c r="BC223" s="3" t="n">
        <v>1</v>
      </c>
      <c r="BD223" s="3" t="n">
        <v>6</v>
      </c>
      <c r="BE223" s="3" t="n">
        <v>3</v>
      </c>
      <c r="BF223" s="3" t="n">
        <v>5</v>
      </c>
      <c r="BG223" s="3" t="n">
        <v>3</v>
      </c>
      <c r="BH223" s="3" t="n">
        <v>4</v>
      </c>
      <c r="BI223" s="3" t="n">
        <v>1</v>
      </c>
      <c r="BJ223" s="3" t="n">
        <v>1</v>
      </c>
      <c r="BK223" s="6" t="s">
        <v>749</v>
      </c>
    </row>
    <row r="224" customFormat="false" ht="15" hidden="false" customHeight="true" outlineLevel="0" collapsed="false">
      <c r="B224" s="2" t="s">
        <v>532</v>
      </c>
      <c r="C224" s="2" t="s">
        <v>140</v>
      </c>
      <c r="D224" s="2" t="s">
        <v>750</v>
      </c>
      <c r="E224" s="2" t="n">
        <v>169001</v>
      </c>
      <c r="F224" s="15" t="n">
        <v>43481</v>
      </c>
      <c r="G224" s="15" t="n">
        <v>43486</v>
      </c>
      <c r="H224" s="3" t="n">
        <v>5</v>
      </c>
      <c r="I224" s="3" t="n">
        <v>1</v>
      </c>
      <c r="J224" s="3" t="n">
        <v>61</v>
      </c>
      <c r="K224" s="3" t="n">
        <v>2</v>
      </c>
      <c r="L224" s="3" t="n">
        <v>2</v>
      </c>
      <c r="M224" s="3" t="n">
        <v>1</v>
      </c>
      <c r="N224" s="3" t="n">
        <v>2</v>
      </c>
      <c r="O224" s="3" t="n">
        <v>2</v>
      </c>
      <c r="P224" s="3" t="n">
        <v>2</v>
      </c>
      <c r="Q224" s="3" t="n">
        <v>1</v>
      </c>
      <c r="R224" s="3" t="n">
        <v>2</v>
      </c>
      <c r="S224" s="3" t="n">
        <v>2</v>
      </c>
      <c r="T224" s="4" t="n">
        <v>1</v>
      </c>
      <c r="U224" s="3" t="n">
        <v>1</v>
      </c>
      <c r="V224" s="3" t="n">
        <v>3.4</v>
      </c>
      <c r="W224" s="3" t="n">
        <v>0.18</v>
      </c>
      <c r="X224" s="3" t="n">
        <v>8.5</v>
      </c>
      <c r="Y224" s="3" t="n">
        <v>345</v>
      </c>
      <c r="AA224" s="3" t="n">
        <v>0.37</v>
      </c>
      <c r="AB224" s="3" t="n">
        <v>8.8</v>
      </c>
      <c r="AC224" s="3" t="n">
        <v>1</v>
      </c>
      <c r="AD224" s="3" t="n">
        <v>1</v>
      </c>
      <c r="AE224" s="3" t="n">
        <v>1</v>
      </c>
      <c r="AF224" s="3" t="n">
        <v>1</v>
      </c>
      <c r="AG224" s="3" t="n">
        <v>2</v>
      </c>
      <c r="AH224" s="3" t="n">
        <v>1</v>
      </c>
      <c r="AI224" s="3" t="n">
        <v>1</v>
      </c>
      <c r="AJ224" s="3" t="n">
        <v>2</v>
      </c>
      <c r="AK224" s="3" t="n">
        <v>2</v>
      </c>
      <c r="AL224" s="3" t="n">
        <v>2</v>
      </c>
      <c r="AM224" s="3" t="n">
        <v>1</v>
      </c>
      <c r="AN224" s="3" t="n">
        <v>2</v>
      </c>
      <c r="AO224" s="3" t="n">
        <v>2</v>
      </c>
      <c r="AP224" s="3" t="n">
        <v>3</v>
      </c>
      <c r="AQ224" s="3" t="n">
        <v>4</v>
      </c>
      <c r="AR224" s="3" t="n">
        <v>4</v>
      </c>
      <c r="AS224" s="3" t="n">
        <v>6</v>
      </c>
      <c r="AT224" s="3" t="n">
        <v>4</v>
      </c>
      <c r="AU224" s="3" t="n">
        <v>4</v>
      </c>
      <c r="AV224" s="3" t="n">
        <v>6</v>
      </c>
      <c r="AW224" s="3" t="n">
        <v>6</v>
      </c>
      <c r="AX224" s="3" t="n">
        <v>3</v>
      </c>
      <c r="AY224" s="3" t="n">
        <v>3</v>
      </c>
      <c r="AZ224" s="3" t="n">
        <v>1</v>
      </c>
      <c r="BA224" s="5" t="n">
        <v>5</v>
      </c>
      <c r="BB224" s="3" t="n">
        <v>2</v>
      </c>
      <c r="BC224" s="3" t="n">
        <v>1</v>
      </c>
      <c r="BD224" s="3" t="n">
        <v>6</v>
      </c>
      <c r="BE224" s="3" t="n">
        <v>3</v>
      </c>
      <c r="BF224" s="3" t="n">
        <v>5</v>
      </c>
      <c r="BG224" s="3" t="n">
        <v>3</v>
      </c>
      <c r="BH224" s="3" t="n">
        <v>4</v>
      </c>
      <c r="BI224" s="3" t="n">
        <v>1</v>
      </c>
      <c r="BJ224" s="3" t="n">
        <v>1</v>
      </c>
      <c r="BK224" s="6" t="s">
        <v>751</v>
      </c>
    </row>
    <row r="225" customFormat="false" ht="15" hidden="false" customHeight="true" outlineLevel="0" collapsed="false">
      <c r="B225" s="2" t="s">
        <v>752</v>
      </c>
      <c r="C225" s="2" t="s">
        <v>210</v>
      </c>
      <c r="D225" s="2" t="s">
        <v>753</v>
      </c>
      <c r="E225" s="2" t="n">
        <v>168639</v>
      </c>
      <c r="F225" s="15" t="n">
        <v>43476</v>
      </c>
      <c r="G225" s="15" t="n">
        <v>43487</v>
      </c>
      <c r="H225" s="3" t="n">
        <v>11</v>
      </c>
      <c r="I225" s="3" t="n">
        <v>2</v>
      </c>
      <c r="J225" s="3" t="n">
        <v>57</v>
      </c>
      <c r="K225" s="3" t="n">
        <v>1</v>
      </c>
      <c r="L225" s="3" t="n">
        <v>2</v>
      </c>
      <c r="M225" s="3" t="n">
        <v>1</v>
      </c>
      <c r="N225" s="3" t="n">
        <v>2</v>
      </c>
      <c r="O225" s="3" t="n">
        <v>2</v>
      </c>
      <c r="P225" s="3" t="n">
        <v>2</v>
      </c>
      <c r="Q225" s="3" t="n">
        <v>1</v>
      </c>
      <c r="R225" s="3" t="n">
        <v>2</v>
      </c>
      <c r="S225" s="3" t="n">
        <v>1</v>
      </c>
      <c r="T225" s="4" t="n">
        <v>2</v>
      </c>
      <c r="U225" s="3" t="n">
        <v>2</v>
      </c>
      <c r="V225" s="3" t="n">
        <v>3.09</v>
      </c>
      <c r="W225" s="3" t="n">
        <v>1.44</v>
      </c>
      <c r="X225" s="3" t="n">
        <v>8.25</v>
      </c>
      <c r="Y225" s="3" t="n">
        <v>336</v>
      </c>
      <c r="AA225" s="3" t="n">
        <v>0.33</v>
      </c>
      <c r="AB225" s="3" t="n">
        <v>13</v>
      </c>
      <c r="AC225" s="3" t="n">
        <v>2</v>
      </c>
      <c r="AD225" s="3" t="n">
        <v>2</v>
      </c>
      <c r="AE225" s="3" t="n">
        <v>1</v>
      </c>
      <c r="AF225" s="3" t="n">
        <v>1</v>
      </c>
      <c r="AG225" s="3" t="n">
        <v>1</v>
      </c>
      <c r="AH225" s="3" t="n">
        <v>2</v>
      </c>
      <c r="AI225" s="3" t="n">
        <v>1</v>
      </c>
      <c r="AJ225" s="3" t="n">
        <v>1</v>
      </c>
      <c r="AK225" s="3" t="n">
        <v>2</v>
      </c>
      <c r="AL225" s="3" t="n">
        <v>2</v>
      </c>
      <c r="AM225" s="3" t="n">
        <v>1</v>
      </c>
      <c r="AN225" s="3" t="n">
        <v>2</v>
      </c>
      <c r="AO225" s="3" t="n">
        <v>2</v>
      </c>
      <c r="AP225" s="3" t="n">
        <v>2</v>
      </c>
      <c r="AQ225" s="3" t="n">
        <v>3</v>
      </c>
      <c r="AR225" s="3" t="n">
        <v>4</v>
      </c>
      <c r="AS225" s="3" t="n">
        <v>6</v>
      </c>
      <c r="AT225" s="3" t="n">
        <v>4</v>
      </c>
      <c r="AU225" s="3" t="n">
        <v>4</v>
      </c>
      <c r="AV225" s="3" t="n">
        <v>1</v>
      </c>
      <c r="AW225" s="3" t="n">
        <v>6</v>
      </c>
      <c r="AX225" s="3" t="n">
        <v>2</v>
      </c>
      <c r="AY225" s="3" t="n">
        <v>1</v>
      </c>
      <c r="AZ225" s="3" t="n">
        <v>1</v>
      </c>
      <c r="BA225" s="5" t="n">
        <v>1</v>
      </c>
      <c r="BB225" s="3" t="n">
        <v>1</v>
      </c>
      <c r="BC225" s="3" t="n">
        <v>1</v>
      </c>
      <c r="BD225" s="3" t="n">
        <v>2</v>
      </c>
      <c r="BE225" s="3" t="n">
        <v>1</v>
      </c>
      <c r="BF225" s="3" t="n">
        <v>2</v>
      </c>
      <c r="BG225" s="3" t="n">
        <v>1</v>
      </c>
      <c r="BH225" s="3" t="n">
        <v>4</v>
      </c>
      <c r="BI225" s="3" t="n">
        <v>1</v>
      </c>
      <c r="BJ225" s="3" t="n">
        <v>1</v>
      </c>
      <c r="BK225" s="6" t="s">
        <v>754</v>
      </c>
    </row>
    <row r="226" customFormat="false" ht="15" hidden="false" customHeight="true" outlineLevel="0" collapsed="false">
      <c r="B226" s="2" t="s">
        <v>755</v>
      </c>
      <c r="C226" s="2" t="s">
        <v>756</v>
      </c>
      <c r="D226" s="2" t="s">
        <v>756</v>
      </c>
      <c r="E226" s="2" t="n">
        <v>169008</v>
      </c>
      <c r="F226" s="15" t="n">
        <v>43481</v>
      </c>
      <c r="G226" s="15" t="n">
        <v>43486</v>
      </c>
      <c r="H226" s="3" t="n">
        <v>5</v>
      </c>
      <c r="I226" s="3" t="n">
        <v>2</v>
      </c>
      <c r="J226" s="3" t="n">
        <v>76</v>
      </c>
      <c r="K226" s="3" t="n">
        <v>1</v>
      </c>
      <c r="L226" s="3" t="n">
        <v>2</v>
      </c>
      <c r="M226" s="3" t="n">
        <v>1</v>
      </c>
      <c r="N226" s="3" t="n">
        <v>2</v>
      </c>
      <c r="O226" s="3" t="n">
        <v>2</v>
      </c>
      <c r="P226" s="3" t="n">
        <v>2</v>
      </c>
      <c r="Q226" s="3" t="n">
        <v>2</v>
      </c>
      <c r="R226" s="3" t="n">
        <v>2</v>
      </c>
      <c r="S226" s="3" t="n">
        <v>2</v>
      </c>
      <c r="T226" s="4" t="n">
        <v>1</v>
      </c>
      <c r="U226" s="3" t="n">
        <v>1</v>
      </c>
      <c r="V226" s="3" t="n">
        <v>3.43</v>
      </c>
      <c r="W226" s="3" t="n">
        <v>0.53</v>
      </c>
      <c r="X226" s="3" t="n">
        <v>5.7</v>
      </c>
      <c r="Y226" s="3" t="n">
        <v>295</v>
      </c>
      <c r="AA226" s="3" t="n">
        <v>0.35</v>
      </c>
      <c r="AB226" s="3" t="n">
        <v>8.2</v>
      </c>
      <c r="AC226" s="3" t="n">
        <v>1</v>
      </c>
      <c r="AD226" s="3" t="n">
        <v>1</v>
      </c>
      <c r="AE226" s="3" t="n">
        <v>1</v>
      </c>
      <c r="AF226" s="3" t="n">
        <v>1</v>
      </c>
      <c r="AG226" s="3" t="n">
        <v>2</v>
      </c>
      <c r="AH226" s="3" t="n">
        <v>2</v>
      </c>
      <c r="AI226" s="3" t="n">
        <v>1</v>
      </c>
      <c r="AJ226" s="3" t="n">
        <v>1</v>
      </c>
      <c r="AK226" s="3" t="n">
        <v>2</v>
      </c>
      <c r="AL226" s="3" t="n">
        <v>2</v>
      </c>
      <c r="AM226" s="3" t="n">
        <v>2</v>
      </c>
      <c r="AN226" s="3" t="n">
        <v>2</v>
      </c>
      <c r="AO226" s="3" t="n">
        <v>2</v>
      </c>
      <c r="AP226" s="3" t="n">
        <v>3</v>
      </c>
      <c r="AQ226" s="3" t="n">
        <v>4</v>
      </c>
      <c r="AR226" s="3" t="n">
        <v>4</v>
      </c>
      <c r="AS226" s="3" t="n">
        <v>6</v>
      </c>
      <c r="AT226" s="3" t="n">
        <v>4</v>
      </c>
      <c r="AU226" s="3" t="n">
        <v>4</v>
      </c>
      <c r="AV226" s="3" t="n">
        <v>6</v>
      </c>
      <c r="AW226" s="3" t="n">
        <v>6</v>
      </c>
      <c r="AX226" s="3" t="n">
        <v>3</v>
      </c>
      <c r="AY226" s="3" t="n">
        <v>3</v>
      </c>
      <c r="AZ226" s="3" t="n">
        <v>1</v>
      </c>
      <c r="BA226" s="5" t="n">
        <v>5</v>
      </c>
      <c r="BB226" s="3" t="n">
        <v>2</v>
      </c>
      <c r="BC226" s="3" t="n">
        <v>1</v>
      </c>
      <c r="BD226" s="3" t="n">
        <v>6</v>
      </c>
      <c r="BE226" s="3" t="n">
        <v>3</v>
      </c>
      <c r="BF226" s="3" t="n">
        <v>5</v>
      </c>
      <c r="BG226" s="3" t="n">
        <v>3</v>
      </c>
      <c r="BH226" s="3" t="n">
        <v>4</v>
      </c>
      <c r="BI226" s="3" t="n">
        <v>1</v>
      </c>
      <c r="BJ226" s="3" t="n">
        <v>1</v>
      </c>
      <c r="BK226" s="6" t="s">
        <v>757</v>
      </c>
    </row>
    <row r="227" customFormat="false" ht="15" hidden="false" customHeight="true" outlineLevel="0" collapsed="false">
      <c r="B227" s="2" t="s">
        <v>758</v>
      </c>
      <c r="C227" s="2" t="s">
        <v>172</v>
      </c>
      <c r="D227" s="2" t="s">
        <v>228</v>
      </c>
      <c r="E227" s="2" t="n">
        <v>169447</v>
      </c>
      <c r="F227" s="15" t="n">
        <v>43484</v>
      </c>
      <c r="G227" s="15" t="n">
        <v>43487</v>
      </c>
      <c r="H227" s="3" t="n">
        <v>3</v>
      </c>
      <c r="I227" s="3" t="n">
        <v>2</v>
      </c>
      <c r="J227" s="3" t="n">
        <v>60</v>
      </c>
      <c r="K227" s="3" t="n">
        <v>1</v>
      </c>
      <c r="L227" s="3" t="n">
        <v>1</v>
      </c>
      <c r="M227" s="3" t="n">
        <v>1</v>
      </c>
      <c r="N227" s="3" t="n">
        <v>2</v>
      </c>
      <c r="O227" s="3" t="n">
        <v>2</v>
      </c>
      <c r="P227" s="3" t="n">
        <v>2</v>
      </c>
      <c r="Q227" s="3" t="n">
        <v>2</v>
      </c>
      <c r="R227" s="3" t="n">
        <v>2</v>
      </c>
      <c r="S227" s="3" t="n">
        <v>1</v>
      </c>
      <c r="T227" s="4" t="n">
        <v>4</v>
      </c>
      <c r="U227" s="3" t="n">
        <v>4</v>
      </c>
      <c r="AD227" s="3" t="n">
        <v>2</v>
      </c>
      <c r="AE227" s="3" t="n">
        <v>2</v>
      </c>
      <c r="AF227" s="3" t="n">
        <v>2</v>
      </c>
      <c r="AG227" s="3" t="n">
        <v>2</v>
      </c>
      <c r="AH227" s="3" t="n">
        <v>1</v>
      </c>
      <c r="AI227" s="3" t="n">
        <v>2</v>
      </c>
      <c r="AJ227" s="3" t="n">
        <v>1</v>
      </c>
      <c r="AK227" s="3" t="n">
        <v>2</v>
      </c>
      <c r="AL227" s="3" t="n">
        <v>2</v>
      </c>
      <c r="AM227" s="3" t="n">
        <v>2</v>
      </c>
      <c r="AN227" s="3" t="n">
        <v>2</v>
      </c>
      <c r="AO227" s="3" t="n">
        <v>2</v>
      </c>
      <c r="AP227" s="3" t="n">
        <v>3</v>
      </c>
      <c r="AQ227" s="3" t="n">
        <v>4</v>
      </c>
      <c r="AR227" s="3" t="n">
        <v>4</v>
      </c>
      <c r="AS227" s="3" t="n">
        <v>6</v>
      </c>
      <c r="AT227" s="3" t="n">
        <v>4</v>
      </c>
      <c r="AU227" s="3" t="n">
        <v>4</v>
      </c>
      <c r="AV227" s="3" t="n">
        <v>6</v>
      </c>
      <c r="AW227" s="3" t="n">
        <v>6</v>
      </c>
      <c r="AX227" s="3" t="n">
        <v>3</v>
      </c>
      <c r="AY227" s="3" t="n">
        <v>3</v>
      </c>
      <c r="AZ227" s="3" t="n">
        <v>1</v>
      </c>
      <c r="BA227" s="5" t="n">
        <v>10</v>
      </c>
      <c r="BB227" s="3" t="n">
        <v>2</v>
      </c>
      <c r="BC227" s="3" t="n">
        <v>1</v>
      </c>
      <c r="BD227" s="3" t="n">
        <v>6</v>
      </c>
      <c r="BE227" s="3" t="n">
        <v>3</v>
      </c>
      <c r="BF227" s="3" t="n">
        <v>5</v>
      </c>
      <c r="BG227" s="3" t="n">
        <v>3</v>
      </c>
      <c r="BH227" s="3" t="n">
        <v>4</v>
      </c>
      <c r="BI227" s="3" t="n">
        <v>1</v>
      </c>
      <c r="BJ227" s="3" t="n">
        <v>1</v>
      </c>
      <c r="BK227" s="6" t="s">
        <v>759</v>
      </c>
    </row>
    <row r="228" customFormat="false" ht="15" hidden="false" customHeight="true" outlineLevel="0" collapsed="false">
      <c r="B228" s="2" t="s">
        <v>456</v>
      </c>
      <c r="C228" s="2" t="s">
        <v>536</v>
      </c>
      <c r="D228" s="2" t="s">
        <v>760</v>
      </c>
      <c r="E228" s="2" t="n">
        <v>153562</v>
      </c>
      <c r="F228" s="15" t="n">
        <v>43480</v>
      </c>
      <c r="G228" s="15" t="n">
        <v>43488</v>
      </c>
      <c r="H228" s="3" t="n">
        <v>8</v>
      </c>
      <c r="I228" s="3" t="n">
        <v>2</v>
      </c>
      <c r="J228" s="3" t="n">
        <v>70</v>
      </c>
      <c r="K228" s="3" t="n">
        <v>1</v>
      </c>
      <c r="L228" s="3" t="n">
        <v>2</v>
      </c>
      <c r="M228" s="3" t="n">
        <v>1</v>
      </c>
      <c r="N228" s="3" t="n">
        <v>2</v>
      </c>
      <c r="O228" s="3" t="n">
        <v>2</v>
      </c>
      <c r="P228" s="3" t="n">
        <v>2</v>
      </c>
      <c r="Q228" s="3" t="n">
        <v>2</v>
      </c>
      <c r="R228" s="3" t="n">
        <v>2</v>
      </c>
      <c r="S228" s="3" t="n">
        <v>2</v>
      </c>
      <c r="T228" s="4" t="n">
        <v>3</v>
      </c>
      <c r="U228" s="3" t="n">
        <v>4</v>
      </c>
      <c r="V228" s="3" t="n">
        <v>3.81</v>
      </c>
      <c r="W228" s="3" t="n">
        <v>0.68</v>
      </c>
      <c r="X228" s="3" t="n">
        <v>5.7</v>
      </c>
      <c r="Y228" s="3" t="n">
        <v>607</v>
      </c>
      <c r="AA228" s="3" t="n">
        <v>0.46</v>
      </c>
      <c r="AB228" s="3" t="n">
        <v>7</v>
      </c>
      <c r="AC228" s="3" t="n">
        <v>2</v>
      </c>
      <c r="AD228" s="3" t="n">
        <v>2</v>
      </c>
      <c r="AE228" s="3" t="n">
        <v>1</v>
      </c>
      <c r="AF228" s="3" t="n">
        <v>2</v>
      </c>
      <c r="AG228" s="3" t="n">
        <v>2</v>
      </c>
      <c r="AH228" s="3" t="n">
        <v>2</v>
      </c>
      <c r="AI228" s="3" t="n">
        <v>1</v>
      </c>
      <c r="AJ228" s="3" t="n">
        <v>1</v>
      </c>
      <c r="AK228" s="3" t="n">
        <v>2</v>
      </c>
      <c r="AL228" s="3" t="n">
        <v>1</v>
      </c>
      <c r="AM228" s="3" t="n">
        <v>1</v>
      </c>
      <c r="AN228" s="3" t="n">
        <v>2</v>
      </c>
      <c r="AO228" s="3" t="n">
        <v>2</v>
      </c>
      <c r="AP228" s="3" t="n">
        <v>3</v>
      </c>
      <c r="AQ228" s="3" t="n">
        <v>4</v>
      </c>
      <c r="AR228" s="3" t="n">
        <v>4</v>
      </c>
      <c r="AS228" s="3" t="n">
        <v>6</v>
      </c>
      <c r="AT228" s="3" t="n">
        <v>4</v>
      </c>
      <c r="AU228" s="3" t="n">
        <v>4</v>
      </c>
      <c r="AV228" s="3" t="n">
        <v>6</v>
      </c>
      <c r="AW228" s="3" t="n">
        <v>6</v>
      </c>
      <c r="AX228" s="3" t="n">
        <v>3</v>
      </c>
      <c r="AY228" s="3" t="n">
        <v>3</v>
      </c>
      <c r="AZ228" s="3" t="n">
        <v>1</v>
      </c>
      <c r="BA228" s="5" t="n">
        <v>11</v>
      </c>
      <c r="BB228" s="3" t="n">
        <v>2</v>
      </c>
      <c r="BC228" s="3" t="n">
        <v>1</v>
      </c>
      <c r="BD228" s="3" t="n">
        <v>3</v>
      </c>
      <c r="BE228" s="3" t="n">
        <v>5</v>
      </c>
      <c r="BF228" s="3" t="n">
        <v>3</v>
      </c>
      <c r="BG228" s="3" t="n">
        <v>3</v>
      </c>
      <c r="BH228" s="3" t="n">
        <v>4</v>
      </c>
      <c r="BI228" s="3" t="n">
        <v>1</v>
      </c>
      <c r="BJ228" s="3" t="n">
        <v>1</v>
      </c>
      <c r="BK228" s="6" t="s">
        <v>761</v>
      </c>
    </row>
    <row r="229" customFormat="false" ht="15" hidden="false" customHeight="true" outlineLevel="0" collapsed="false">
      <c r="B229" s="2" t="s">
        <v>762</v>
      </c>
      <c r="C229" s="2" t="s">
        <v>763</v>
      </c>
      <c r="D229" s="2" t="s">
        <v>764</v>
      </c>
      <c r="E229" s="2" t="n">
        <v>169033</v>
      </c>
      <c r="F229" s="15" t="n">
        <v>43482</v>
      </c>
      <c r="G229" s="15" t="n">
        <v>43488</v>
      </c>
      <c r="H229" s="3" t="n">
        <v>6</v>
      </c>
      <c r="I229" s="3" t="n">
        <v>2</v>
      </c>
      <c r="J229" s="3" t="n">
        <v>66</v>
      </c>
      <c r="K229" s="3" t="n">
        <v>2</v>
      </c>
      <c r="L229" s="3" t="n">
        <v>1</v>
      </c>
      <c r="M229" s="3" t="n">
        <v>1</v>
      </c>
      <c r="N229" s="3" t="n">
        <v>2</v>
      </c>
      <c r="O229" s="3" t="n">
        <v>2</v>
      </c>
      <c r="P229" s="3" t="n">
        <v>2</v>
      </c>
      <c r="Q229" s="3" t="n">
        <v>2</v>
      </c>
      <c r="R229" s="3" t="n">
        <v>2</v>
      </c>
      <c r="S229" s="3" t="n">
        <v>1</v>
      </c>
      <c r="T229" s="4" t="n">
        <v>1</v>
      </c>
      <c r="U229" s="3" t="n">
        <v>1</v>
      </c>
      <c r="V229" s="3" t="n">
        <v>5.8</v>
      </c>
      <c r="W229" s="3" t="n">
        <v>0.79</v>
      </c>
      <c r="X229" s="3" t="n">
        <v>4.6</v>
      </c>
      <c r="Y229" s="3" t="n">
        <v>421</v>
      </c>
      <c r="AA229" s="3" t="n">
        <v>0.46</v>
      </c>
      <c r="AB229" s="3" t="n">
        <v>10.8</v>
      </c>
      <c r="AC229" s="3" t="n">
        <v>1</v>
      </c>
      <c r="AD229" s="3" t="n">
        <v>1</v>
      </c>
      <c r="AE229" s="3" t="n">
        <v>1</v>
      </c>
      <c r="AF229" s="3" t="n">
        <v>1</v>
      </c>
      <c r="AG229" s="3" t="n">
        <v>1</v>
      </c>
      <c r="AH229" s="3" t="n">
        <v>2</v>
      </c>
      <c r="AI229" s="3" t="n">
        <v>1</v>
      </c>
      <c r="AJ229" s="3" t="n">
        <v>1</v>
      </c>
      <c r="AK229" s="3" t="n">
        <v>2</v>
      </c>
      <c r="AL229" s="3" t="n">
        <v>2</v>
      </c>
      <c r="AM229" s="3" t="n">
        <v>2</v>
      </c>
      <c r="AN229" s="3" t="n">
        <v>2</v>
      </c>
      <c r="AO229" s="3" t="n">
        <v>2</v>
      </c>
      <c r="AP229" s="3" t="n">
        <v>1</v>
      </c>
      <c r="AQ229" s="3" t="n">
        <v>2</v>
      </c>
      <c r="AR229" s="3" t="n">
        <v>5</v>
      </c>
      <c r="AS229" s="3" t="n">
        <v>2</v>
      </c>
      <c r="AT229" s="3" t="n">
        <v>1</v>
      </c>
      <c r="AU229" s="3" t="n">
        <v>1</v>
      </c>
      <c r="AV229" s="3" t="n">
        <v>1</v>
      </c>
      <c r="AW229" s="3" t="n">
        <v>1</v>
      </c>
      <c r="AX229" s="3" t="n">
        <v>2</v>
      </c>
      <c r="AY229" s="3" t="n">
        <v>2</v>
      </c>
      <c r="AZ229" s="3" t="n">
        <v>1</v>
      </c>
      <c r="BA229" s="5" t="n">
        <v>5</v>
      </c>
      <c r="BB229" s="3" t="n">
        <v>2</v>
      </c>
      <c r="BC229" s="3" t="n">
        <v>1</v>
      </c>
      <c r="BD229" s="3" t="n">
        <v>6</v>
      </c>
      <c r="BE229" s="3" t="n">
        <v>3</v>
      </c>
      <c r="BF229" s="3" t="n">
        <v>5</v>
      </c>
      <c r="BG229" s="3" t="n">
        <v>3</v>
      </c>
      <c r="BH229" s="3" t="n">
        <v>4</v>
      </c>
      <c r="BI229" s="3" t="n">
        <v>1</v>
      </c>
      <c r="BJ229" s="3" t="n">
        <v>1</v>
      </c>
      <c r="BK229" s="6" t="s">
        <v>765</v>
      </c>
    </row>
    <row r="230" customFormat="false" ht="15" hidden="false" customHeight="true" outlineLevel="0" collapsed="false">
      <c r="B230" s="2" t="s">
        <v>766</v>
      </c>
      <c r="C230" s="2" t="s">
        <v>767</v>
      </c>
      <c r="D230" s="2" t="s">
        <v>768</v>
      </c>
      <c r="E230" s="2" t="n">
        <v>130283</v>
      </c>
      <c r="F230" s="15" t="n">
        <v>43484</v>
      </c>
      <c r="G230" s="15" t="n">
        <v>43488</v>
      </c>
      <c r="H230" s="3" t="n">
        <v>5</v>
      </c>
      <c r="I230" s="3" t="n">
        <v>1</v>
      </c>
      <c r="J230" s="3" t="n">
        <v>68</v>
      </c>
      <c r="K230" s="3" t="n">
        <v>1</v>
      </c>
      <c r="L230" s="3" t="n">
        <v>2</v>
      </c>
      <c r="M230" s="3" t="n">
        <v>1</v>
      </c>
      <c r="N230" s="3" t="n">
        <v>2</v>
      </c>
      <c r="O230" s="3" t="n">
        <v>2</v>
      </c>
      <c r="P230" s="3" t="n">
        <v>2</v>
      </c>
      <c r="Q230" s="3" t="n">
        <v>2</v>
      </c>
      <c r="R230" s="3" t="n">
        <v>2</v>
      </c>
      <c r="S230" s="3" t="n">
        <v>2</v>
      </c>
      <c r="T230" s="4" t="n">
        <v>1</v>
      </c>
      <c r="U230" s="3" t="n">
        <v>1</v>
      </c>
      <c r="V230" s="3" t="n">
        <v>4.2</v>
      </c>
      <c r="W230" s="3" t="n">
        <v>1.46</v>
      </c>
      <c r="X230" s="3" t="n">
        <v>4.3</v>
      </c>
      <c r="Y230" s="3" t="n">
        <v>139</v>
      </c>
      <c r="AA230" s="3" t="n">
        <v>0.44</v>
      </c>
      <c r="AB230" s="3" t="n">
        <v>6.1</v>
      </c>
      <c r="AC230" s="3" t="n">
        <v>1</v>
      </c>
      <c r="AD230" s="3" t="n">
        <v>1</v>
      </c>
      <c r="AE230" s="3" t="n">
        <v>1</v>
      </c>
      <c r="AF230" s="3" t="n">
        <v>1</v>
      </c>
      <c r="AG230" s="3" t="n">
        <v>2</v>
      </c>
      <c r="AH230" s="3" t="n">
        <v>1</v>
      </c>
      <c r="AI230" s="3" t="n">
        <v>1</v>
      </c>
      <c r="AJ230" s="3" t="n">
        <v>1</v>
      </c>
      <c r="AK230" s="3" t="n">
        <v>2</v>
      </c>
      <c r="AL230" s="3" t="n">
        <v>2</v>
      </c>
      <c r="AM230" s="3" t="n">
        <v>2</v>
      </c>
      <c r="AN230" s="3" t="n">
        <v>2</v>
      </c>
      <c r="AO230" s="3" t="n">
        <v>2</v>
      </c>
      <c r="AP230" s="3" t="n">
        <v>3</v>
      </c>
      <c r="AQ230" s="3" t="n">
        <v>4</v>
      </c>
      <c r="AR230" s="3" t="n">
        <v>4</v>
      </c>
      <c r="AS230" s="3" t="n">
        <v>6</v>
      </c>
      <c r="AT230" s="3" t="n">
        <v>4</v>
      </c>
      <c r="AU230" s="3" t="n">
        <v>4</v>
      </c>
      <c r="AV230" s="3" t="n">
        <v>6</v>
      </c>
      <c r="AW230" s="3" t="n">
        <v>6</v>
      </c>
      <c r="AX230" s="3" t="n">
        <v>3</v>
      </c>
      <c r="AY230" s="3" t="n">
        <v>3</v>
      </c>
      <c r="AZ230" s="3" t="n">
        <v>1</v>
      </c>
      <c r="BA230" s="5" t="n">
        <v>5</v>
      </c>
      <c r="BB230" s="3" t="n">
        <v>2</v>
      </c>
      <c r="BC230" s="3" t="n">
        <v>1</v>
      </c>
      <c r="BD230" s="3" t="n">
        <v>6</v>
      </c>
      <c r="BE230" s="3" t="n">
        <v>3</v>
      </c>
      <c r="BF230" s="3" t="n">
        <v>5</v>
      </c>
      <c r="BG230" s="3" t="n">
        <v>3</v>
      </c>
      <c r="BH230" s="3" t="n">
        <v>4</v>
      </c>
      <c r="BI230" s="3" t="n">
        <v>1</v>
      </c>
      <c r="BJ230" s="3" t="n">
        <v>1</v>
      </c>
      <c r="BK230" s="6" t="s">
        <v>609</v>
      </c>
    </row>
    <row r="231" customFormat="false" ht="15" hidden="false" customHeight="true" outlineLevel="0" collapsed="false">
      <c r="B231" s="2" t="s">
        <v>769</v>
      </c>
      <c r="C231" s="2" t="s">
        <v>770</v>
      </c>
      <c r="D231" s="2" t="s">
        <v>771</v>
      </c>
      <c r="E231" s="2" t="n">
        <v>168706</v>
      </c>
      <c r="F231" s="15" t="n">
        <v>43482</v>
      </c>
      <c r="G231" s="15" t="n">
        <v>43489</v>
      </c>
      <c r="H231" s="3" t="n">
        <v>7</v>
      </c>
      <c r="I231" s="3" t="n">
        <v>1</v>
      </c>
      <c r="J231" s="3" t="n">
        <v>70</v>
      </c>
      <c r="K231" s="3" t="n">
        <v>2</v>
      </c>
      <c r="L231" s="3" t="n">
        <v>1</v>
      </c>
      <c r="M231" s="3" t="n">
        <v>1</v>
      </c>
      <c r="N231" s="3" t="n">
        <v>2</v>
      </c>
      <c r="O231" s="3" t="n">
        <v>2</v>
      </c>
      <c r="P231" s="3" t="n">
        <v>2</v>
      </c>
      <c r="Q231" s="3" t="n">
        <v>2</v>
      </c>
      <c r="R231" s="3" t="n">
        <v>2</v>
      </c>
      <c r="S231" s="3" t="n">
        <v>1</v>
      </c>
      <c r="T231" s="4" t="n">
        <v>3</v>
      </c>
      <c r="U231" s="3" t="n">
        <v>1</v>
      </c>
      <c r="V231" s="3" t="n">
        <v>2.09</v>
      </c>
      <c r="W231" s="3" t="n">
        <v>0.56</v>
      </c>
      <c r="X231" s="3" t="n">
        <v>13.2</v>
      </c>
      <c r="Y231" s="3" t="n">
        <v>247</v>
      </c>
      <c r="AA231" s="3" t="n">
        <v>0.34</v>
      </c>
      <c r="AB231" s="3" t="n">
        <v>14</v>
      </c>
      <c r="AC231" s="3" t="n">
        <v>2</v>
      </c>
      <c r="AD231" s="3" t="n">
        <v>2</v>
      </c>
      <c r="AE231" s="3" t="n">
        <v>1</v>
      </c>
      <c r="AF231" s="3" t="n">
        <v>1</v>
      </c>
      <c r="AG231" s="3" t="n">
        <v>2</v>
      </c>
      <c r="AH231" s="3" t="n">
        <v>2</v>
      </c>
      <c r="AI231" s="3" t="n">
        <v>1</v>
      </c>
      <c r="AJ231" s="3" t="n">
        <v>1</v>
      </c>
      <c r="AK231" s="3" t="n">
        <v>2</v>
      </c>
      <c r="AL231" s="3" t="n">
        <v>1</v>
      </c>
      <c r="AM231" s="3" t="n">
        <v>1</v>
      </c>
      <c r="AN231" s="3" t="n">
        <v>1</v>
      </c>
      <c r="AO231" s="3" t="n">
        <v>2</v>
      </c>
      <c r="AP231" s="3" t="n">
        <v>3</v>
      </c>
      <c r="AQ231" s="3" t="n">
        <v>4</v>
      </c>
      <c r="AR231" s="3" t="n">
        <v>4</v>
      </c>
      <c r="AS231" s="3" t="n">
        <v>6</v>
      </c>
      <c r="AT231" s="3" t="n">
        <v>4</v>
      </c>
      <c r="AU231" s="3" t="n">
        <v>4</v>
      </c>
      <c r="AV231" s="3" t="n">
        <v>6</v>
      </c>
      <c r="AW231" s="3" t="n">
        <v>6</v>
      </c>
      <c r="AX231" s="3" t="n">
        <v>3</v>
      </c>
      <c r="AY231" s="3" t="n">
        <v>3</v>
      </c>
      <c r="AZ231" s="3" t="n">
        <v>15</v>
      </c>
      <c r="BA231" s="5" t="n">
        <v>11</v>
      </c>
      <c r="BB231" s="3" t="n">
        <v>2</v>
      </c>
      <c r="BC231" s="3" t="n">
        <v>1</v>
      </c>
      <c r="BD231" s="3" t="n">
        <v>6</v>
      </c>
      <c r="BE231" s="3" t="n">
        <v>3</v>
      </c>
      <c r="BF231" s="3" t="n">
        <v>5</v>
      </c>
      <c r="BG231" s="3" t="n">
        <v>3</v>
      </c>
      <c r="BH231" s="3" t="n">
        <v>4</v>
      </c>
      <c r="BI231" s="3" t="n">
        <v>1</v>
      </c>
      <c r="BJ231" s="3" t="n">
        <v>1</v>
      </c>
      <c r="BK231" s="6" t="s">
        <v>772</v>
      </c>
    </row>
    <row r="232" customFormat="false" ht="15" hidden="false" customHeight="true" outlineLevel="0" collapsed="false">
      <c r="B232" s="2" t="s">
        <v>440</v>
      </c>
      <c r="C232" s="2" t="s">
        <v>127</v>
      </c>
      <c r="D232" s="2" t="s">
        <v>773</v>
      </c>
      <c r="E232" s="2" t="n">
        <v>168700</v>
      </c>
      <c r="F232" s="15" t="n">
        <v>43487</v>
      </c>
      <c r="G232" s="15" t="n">
        <v>43490</v>
      </c>
      <c r="H232" s="3" t="n">
        <v>3</v>
      </c>
      <c r="I232" s="3" t="n">
        <v>2</v>
      </c>
      <c r="J232" s="3" t="n">
        <v>91</v>
      </c>
      <c r="K232" s="3" t="n">
        <v>2</v>
      </c>
      <c r="L232" s="3" t="n">
        <v>2</v>
      </c>
      <c r="M232" s="3" t="n">
        <v>1</v>
      </c>
      <c r="N232" s="3" t="n">
        <v>2</v>
      </c>
      <c r="O232" s="3" t="n">
        <v>2</v>
      </c>
      <c r="P232" s="3" t="n">
        <v>2</v>
      </c>
      <c r="Q232" s="3" t="n">
        <v>2</v>
      </c>
      <c r="R232" s="3" t="n">
        <v>2</v>
      </c>
      <c r="S232" s="3" t="n">
        <v>2</v>
      </c>
      <c r="T232" s="4" t="n">
        <v>1</v>
      </c>
      <c r="U232" s="3" t="n">
        <v>1</v>
      </c>
      <c r="V232" s="3" t="n">
        <v>3.84</v>
      </c>
      <c r="W232" s="3" t="n">
        <v>1.24</v>
      </c>
      <c r="X232" s="3" t="n">
        <v>5.6</v>
      </c>
      <c r="Y232" s="3" t="n">
        <v>397</v>
      </c>
      <c r="AA232" s="3" t="n">
        <v>0.44</v>
      </c>
      <c r="AB232" s="3" t="n">
        <v>6</v>
      </c>
      <c r="AC232" s="3" t="n">
        <v>1</v>
      </c>
      <c r="AD232" s="3" t="n">
        <v>2</v>
      </c>
      <c r="AE232" s="3" t="n">
        <v>1</v>
      </c>
      <c r="AF232" s="3" t="n">
        <v>2</v>
      </c>
      <c r="AG232" s="3" t="n">
        <v>2</v>
      </c>
      <c r="AH232" s="3" t="n">
        <v>1</v>
      </c>
      <c r="AI232" s="3" t="n">
        <v>2</v>
      </c>
      <c r="AJ232" s="3" t="n">
        <v>1</v>
      </c>
      <c r="AK232" s="3" t="n">
        <v>2</v>
      </c>
      <c r="AL232" s="3" t="n">
        <v>2</v>
      </c>
      <c r="AM232" s="3" t="n">
        <v>1</v>
      </c>
      <c r="AN232" s="3" t="n">
        <v>2</v>
      </c>
      <c r="AO232" s="3" t="n">
        <v>2</v>
      </c>
      <c r="AP232" s="3" t="n">
        <v>3</v>
      </c>
      <c r="AQ232" s="3" t="n">
        <v>4</v>
      </c>
      <c r="AR232" s="3" t="n">
        <v>4</v>
      </c>
      <c r="AS232" s="3" t="n">
        <v>6</v>
      </c>
      <c r="AT232" s="3" t="n">
        <v>4</v>
      </c>
      <c r="AU232" s="3" t="n">
        <v>4</v>
      </c>
      <c r="AV232" s="3" t="n">
        <v>6</v>
      </c>
      <c r="AW232" s="3" t="n">
        <v>6</v>
      </c>
      <c r="AX232" s="3" t="n">
        <v>3</v>
      </c>
      <c r="AY232" s="3" t="n">
        <v>3</v>
      </c>
      <c r="AZ232" s="3" t="n">
        <v>1</v>
      </c>
      <c r="BA232" s="5" t="n">
        <v>5</v>
      </c>
      <c r="BB232" s="3" t="n">
        <v>2</v>
      </c>
      <c r="BC232" s="3" t="n">
        <v>1</v>
      </c>
      <c r="BD232" s="3" t="n">
        <v>6</v>
      </c>
      <c r="BE232" s="3" t="n">
        <v>3</v>
      </c>
      <c r="BF232" s="3" t="n">
        <v>5</v>
      </c>
      <c r="BG232" s="3" t="n">
        <v>3</v>
      </c>
      <c r="BH232" s="3" t="n">
        <v>4</v>
      </c>
      <c r="BI232" s="3" t="n">
        <v>1</v>
      </c>
      <c r="BJ232" s="3" t="n">
        <v>1</v>
      </c>
      <c r="BK232" s="6" t="s">
        <v>774</v>
      </c>
    </row>
    <row r="233" customFormat="false" ht="15" hidden="false" customHeight="true" outlineLevel="0" collapsed="false">
      <c r="B233" s="2" t="s">
        <v>775</v>
      </c>
      <c r="C233" s="2" t="s">
        <v>66</v>
      </c>
      <c r="D233" s="2" t="s">
        <v>776</v>
      </c>
      <c r="E233" s="2" t="n">
        <v>169768</v>
      </c>
      <c r="F233" s="15" t="n">
        <v>43486</v>
      </c>
      <c r="G233" s="15" t="n">
        <v>43490</v>
      </c>
      <c r="H233" s="3" t="n">
        <v>4</v>
      </c>
      <c r="I233" s="3" t="n">
        <v>1</v>
      </c>
      <c r="J233" s="3" t="n">
        <v>62</v>
      </c>
      <c r="K233" s="3" t="n">
        <v>1</v>
      </c>
      <c r="L233" s="3" t="n">
        <v>1</v>
      </c>
      <c r="M233" s="3" t="n">
        <v>1</v>
      </c>
      <c r="N233" s="3" t="n">
        <v>2</v>
      </c>
      <c r="O233" s="3" t="n">
        <v>2</v>
      </c>
      <c r="P233" s="3" t="n">
        <v>2</v>
      </c>
      <c r="Q233" s="3" t="n">
        <v>2</v>
      </c>
      <c r="R233" s="3" t="n">
        <v>2</v>
      </c>
      <c r="S233" s="3" t="n">
        <v>2</v>
      </c>
      <c r="T233" s="4" t="n">
        <v>1</v>
      </c>
      <c r="U233" s="3" t="n">
        <v>1</v>
      </c>
      <c r="V233" s="3" t="n">
        <v>6.52</v>
      </c>
      <c r="W233" s="3" t="n">
        <v>1.24</v>
      </c>
      <c r="X233" s="3" t="n">
        <v>4.2</v>
      </c>
      <c r="Y233" s="3" t="n">
        <v>100</v>
      </c>
      <c r="AA233" s="3" t="n">
        <v>0.4</v>
      </c>
      <c r="AB233" s="3" t="n">
        <v>10.3</v>
      </c>
      <c r="AC233" s="3" t="n">
        <v>1</v>
      </c>
      <c r="AD233" s="3" t="n">
        <v>1</v>
      </c>
      <c r="AE233" s="3" t="n">
        <v>1</v>
      </c>
      <c r="AF233" s="3" t="n">
        <v>1</v>
      </c>
      <c r="AG233" s="3" t="n">
        <v>2</v>
      </c>
      <c r="AH233" s="3" t="n">
        <v>1</v>
      </c>
      <c r="AI233" s="3" t="n">
        <v>1</v>
      </c>
      <c r="AJ233" s="3" t="n">
        <v>2</v>
      </c>
      <c r="AK233" s="3" t="n">
        <v>2</v>
      </c>
      <c r="AL233" s="3" t="n">
        <v>2</v>
      </c>
      <c r="AM233" s="3" t="n">
        <v>2</v>
      </c>
      <c r="AN233" s="3" t="n">
        <v>2</v>
      </c>
      <c r="AO233" s="3" t="n">
        <v>2</v>
      </c>
      <c r="AP233" s="3" t="n">
        <v>1</v>
      </c>
      <c r="AQ233" s="3" t="n">
        <v>2</v>
      </c>
      <c r="AR233" s="3" t="n">
        <v>5</v>
      </c>
      <c r="AS233" s="3" t="n">
        <v>4</v>
      </c>
      <c r="AT233" s="3" t="n">
        <v>2</v>
      </c>
      <c r="AU233" s="3" t="n">
        <v>1</v>
      </c>
      <c r="AV233" s="3" t="n">
        <v>1</v>
      </c>
      <c r="AW233" s="3" t="n">
        <v>1</v>
      </c>
      <c r="AX233" s="3" t="n">
        <v>2</v>
      </c>
      <c r="AY233" s="3" t="n">
        <v>2</v>
      </c>
      <c r="AZ233" s="3" t="n">
        <v>1</v>
      </c>
      <c r="BA233" s="5" t="n">
        <v>5</v>
      </c>
      <c r="BB233" s="3" t="n">
        <v>2</v>
      </c>
      <c r="BC233" s="3" t="n">
        <v>1</v>
      </c>
      <c r="BD233" s="3" t="n">
        <v>6</v>
      </c>
      <c r="BE233" s="3" t="n">
        <v>3</v>
      </c>
      <c r="BF233" s="3" t="n">
        <v>5</v>
      </c>
      <c r="BG233" s="3" t="n">
        <v>3</v>
      </c>
      <c r="BH233" s="3" t="n">
        <v>4</v>
      </c>
      <c r="BI233" s="3" t="n">
        <v>1</v>
      </c>
      <c r="BJ233" s="3" t="n">
        <v>1</v>
      </c>
      <c r="BK233" s="6" t="s">
        <v>777</v>
      </c>
    </row>
    <row r="234" customFormat="false" ht="15" hidden="false" customHeight="true" outlineLevel="0" collapsed="false">
      <c r="B234" s="2" t="s">
        <v>778</v>
      </c>
      <c r="C234" s="2" t="s">
        <v>210</v>
      </c>
      <c r="D234" s="2" t="s">
        <v>66</v>
      </c>
      <c r="E234" s="2" t="n">
        <v>169097</v>
      </c>
      <c r="F234" s="15" t="n">
        <v>43485</v>
      </c>
      <c r="G234" s="15" t="n">
        <v>43490</v>
      </c>
      <c r="H234" s="3" t="n">
        <v>5</v>
      </c>
      <c r="I234" s="3" t="n">
        <v>2</v>
      </c>
      <c r="J234" s="3" t="n">
        <v>28</v>
      </c>
      <c r="K234" s="3" t="n">
        <v>1</v>
      </c>
      <c r="L234" s="3" t="n">
        <v>2</v>
      </c>
      <c r="M234" s="3" t="n">
        <v>1</v>
      </c>
      <c r="N234" s="3" t="n">
        <v>2</v>
      </c>
      <c r="O234" s="3" t="n">
        <v>1</v>
      </c>
      <c r="P234" s="3" t="n">
        <v>1</v>
      </c>
      <c r="Q234" s="3" t="n">
        <v>1</v>
      </c>
      <c r="R234" s="3" t="n">
        <v>2</v>
      </c>
      <c r="S234" s="3" t="n">
        <v>2</v>
      </c>
      <c r="T234" s="4" t="n">
        <v>10</v>
      </c>
      <c r="U234" s="3" t="n">
        <v>1</v>
      </c>
      <c r="V234" s="3" t="n">
        <v>3.8</v>
      </c>
      <c r="W234" s="3" t="n">
        <v>1.66</v>
      </c>
      <c r="X234" s="3" t="n">
        <v>6.7</v>
      </c>
      <c r="Y234" s="3" t="n">
        <v>147</v>
      </c>
      <c r="AA234" s="3" t="n">
        <v>0.45</v>
      </c>
      <c r="AB234" s="3" t="n">
        <v>7</v>
      </c>
      <c r="AC234" s="3" t="n">
        <v>1</v>
      </c>
      <c r="AD234" s="3" t="n">
        <v>2</v>
      </c>
      <c r="AE234" s="3" t="n">
        <v>2</v>
      </c>
      <c r="AF234" s="3" t="n">
        <v>2</v>
      </c>
      <c r="AG234" s="3" t="n">
        <v>2</v>
      </c>
      <c r="AH234" s="3" t="n">
        <v>2</v>
      </c>
      <c r="AI234" s="3" t="n">
        <v>2</v>
      </c>
      <c r="AJ234" s="3" t="n">
        <v>1</v>
      </c>
      <c r="AK234" s="3" t="n">
        <v>1</v>
      </c>
      <c r="AL234" s="3" t="n">
        <v>2</v>
      </c>
      <c r="AM234" s="3" t="n">
        <v>1</v>
      </c>
      <c r="AN234" s="3" t="n">
        <v>2</v>
      </c>
      <c r="AO234" s="3" t="n">
        <v>2</v>
      </c>
      <c r="AP234" s="3" t="n">
        <v>3</v>
      </c>
      <c r="AQ234" s="3" t="n">
        <v>4</v>
      </c>
      <c r="AR234" s="3" t="n">
        <v>4</v>
      </c>
      <c r="AS234" s="3" t="n">
        <v>6</v>
      </c>
      <c r="AT234" s="3" t="n">
        <v>4</v>
      </c>
      <c r="AU234" s="3" t="n">
        <v>4</v>
      </c>
      <c r="AV234" s="3" t="n">
        <v>6</v>
      </c>
      <c r="AW234" s="3" t="n">
        <v>6</v>
      </c>
      <c r="AX234" s="3" t="n">
        <v>3</v>
      </c>
      <c r="AY234" s="3" t="n">
        <v>3</v>
      </c>
      <c r="AZ234" s="3" t="n">
        <v>1</v>
      </c>
      <c r="BA234" s="5" t="n">
        <v>3</v>
      </c>
      <c r="BB234" s="3" t="n">
        <v>2</v>
      </c>
      <c r="BC234" s="3" t="n">
        <v>1</v>
      </c>
      <c r="BD234" s="3" t="n">
        <v>6</v>
      </c>
      <c r="BE234" s="3" t="n">
        <v>3</v>
      </c>
      <c r="BF234" s="3" t="n">
        <v>5</v>
      </c>
      <c r="BG234" s="3" t="n">
        <v>3</v>
      </c>
      <c r="BH234" s="3" t="n">
        <v>4</v>
      </c>
      <c r="BI234" s="3" t="n">
        <v>1</v>
      </c>
      <c r="BJ234" s="3" t="n">
        <v>1</v>
      </c>
      <c r="BK234" s="6" t="s">
        <v>779</v>
      </c>
    </row>
    <row r="235" customFormat="false" ht="15" hidden="false" customHeight="true" outlineLevel="0" collapsed="false">
      <c r="B235" s="2" t="s">
        <v>512</v>
      </c>
      <c r="C235" s="2" t="s">
        <v>153</v>
      </c>
      <c r="D235" s="2" t="s">
        <v>780</v>
      </c>
      <c r="E235" s="2" t="n">
        <v>169759</v>
      </c>
      <c r="F235" s="15" t="n">
        <v>43484</v>
      </c>
      <c r="G235" s="15" t="n">
        <v>43672</v>
      </c>
      <c r="H235" s="3" t="n">
        <v>7</v>
      </c>
      <c r="I235" s="3" t="n">
        <v>2</v>
      </c>
      <c r="J235" s="3" t="n">
        <v>68</v>
      </c>
      <c r="K235" s="3" t="n">
        <v>2</v>
      </c>
      <c r="L235" s="3" t="n">
        <v>1</v>
      </c>
      <c r="M235" s="3" t="n">
        <v>1</v>
      </c>
      <c r="N235" s="3" t="n">
        <v>1</v>
      </c>
      <c r="O235" s="3" t="n">
        <v>2</v>
      </c>
      <c r="P235" s="3" t="n">
        <v>2</v>
      </c>
      <c r="Q235" s="3" t="n">
        <v>2</v>
      </c>
      <c r="R235" s="3" t="n">
        <v>2</v>
      </c>
      <c r="S235" s="3" t="n">
        <v>2</v>
      </c>
      <c r="T235" s="4" t="n">
        <v>1</v>
      </c>
      <c r="U235" s="3" t="n">
        <v>1</v>
      </c>
      <c r="V235" s="3" t="n">
        <v>3.04</v>
      </c>
      <c r="W235" s="3" t="n">
        <v>1.41</v>
      </c>
      <c r="X235" s="3" t="n">
        <v>5.5</v>
      </c>
      <c r="Y235" s="3" t="n">
        <v>1</v>
      </c>
      <c r="AA235" s="3" t="n">
        <v>0.41</v>
      </c>
      <c r="AB235" s="3" t="n">
        <v>13</v>
      </c>
      <c r="AC235" s="3" t="n">
        <v>2</v>
      </c>
      <c r="AD235" s="3" t="n">
        <v>2</v>
      </c>
      <c r="AE235" s="3" t="n">
        <v>1</v>
      </c>
      <c r="AF235" s="3" t="n">
        <v>1</v>
      </c>
      <c r="AG235" s="3" t="n">
        <v>2</v>
      </c>
      <c r="AH235" s="3" t="n">
        <v>1</v>
      </c>
      <c r="AI235" s="3" t="n">
        <v>1</v>
      </c>
      <c r="AJ235" s="3" t="n">
        <v>1</v>
      </c>
      <c r="AK235" s="3" t="n">
        <v>2</v>
      </c>
      <c r="AL235" s="3" t="n">
        <v>2</v>
      </c>
      <c r="AM235" s="3" t="n">
        <v>2</v>
      </c>
      <c r="AN235" s="3" t="n">
        <v>2</v>
      </c>
      <c r="AO235" s="3" t="n">
        <v>2</v>
      </c>
      <c r="AP235" s="3" t="n">
        <v>3</v>
      </c>
      <c r="AQ235" s="3" t="n">
        <v>4</v>
      </c>
      <c r="AR235" s="3" t="n">
        <v>4</v>
      </c>
      <c r="AS235" s="3" t="n">
        <v>6</v>
      </c>
      <c r="AT235" s="3" t="n">
        <v>4</v>
      </c>
      <c r="AU235" s="3" t="n">
        <v>4</v>
      </c>
      <c r="AV235" s="3" t="n">
        <v>6</v>
      </c>
      <c r="AW235" s="3" t="n">
        <v>6</v>
      </c>
      <c r="AX235" s="3" t="n">
        <v>3</v>
      </c>
      <c r="AY235" s="3" t="n">
        <v>3</v>
      </c>
      <c r="AZ235" s="3" t="n">
        <v>1</v>
      </c>
      <c r="BA235" s="5" t="n">
        <v>1</v>
      </c>
      <c r="BB235" s="3" t="n">
        <v>1</v>
      </c>
      <c r="BC235" s="3" t="n">
        <v>1</v>
      </c>
      <c r="BD235" s="3" t="n">
        <v>4</v>
      </c>
      <c r="BE235" s="3" t="n">
        <v>1</v>
      </c>
      <c r="BF235" s="3" t="n">
        <v>2</v>
      </c>
      <c r="BG235" s="3" t="n">
        <v>1</v>
      </c>
      <c r="BH235" s="3" t="n">
        <v>4</v>
      </c>
      <c r="BI235" s="3" t="n">
        <v>1</v>
      </c>
      <c r="BJ235" s="3" t="n">
        <v>1</v>
      </c>
      <c r="BK235" s="6" t="s">
        <v>781</v>
      </c>
    </row>
    <row r="236" customFormat="false" ht="15" hidden="false" customHeight="true" outlineLevel="0" collapsed="false">
      <c r="B236" s="2" t="s">
        <v>782</v>
      </c>
      <c r="C236" s="2" t="s">
        <v>783</v>
      </c>
      <c r="D236" s="2" t="s">
        <v>66</v>
      </c>
      <c r="E236" s="2" t="s">
        <v>784</v>
      </c>
      <c r="F236" s="15" t="n">
        <v>43487</v>
      </c>
      <c r="G236" s="15" t="n">
        <v>43493</v>
      </c>
      <c r="H236" s="3" t="n">
        <v>6</v>
      </c>
      <c r="I236" s="3" t="n">
        <v>2</v>
      </c>
      <c r="J236" s="3" t="n">
        <v>77</v>
      </c>
      <c r="K236" s="3" t="n">
        <v>1</v>
      </c>
      <c r="L236" s="3" t="n">
        <v>2</v>
      </c>
      <c r="M236" s="3" t="n">
        <v>1</v>
      </c>
      <c r="N236" s="3" t="n">
        <v>2</v>
      </c>
      <c r="O236" s="3" t="n">
        <v>1</v>
      </c>
      <c r="P236" s="3" t="n">
        <v>2</v>
      </c>
      <c r="Q236" s="3" t="n">
        <v>2</v>
      </c>
      <c r="R236" s="3" t="n">
        <v>2</v>
      </c>
      <c r="S236" s="3" t="n">
        <v>2</v>
      </c>
      <c r="T236" s="4" t="n">
        <v>3</v>
      </c>
      <c r="U236" s="3" t="n">
        <v>4</v>
      </c>
      <c r="V236" s="3" t="n">
        <v>3.19</v>
      </c>
      <c r="X236" s="3" t="n">
        <v>3.9</v>
      </c>
      <c r="Y236" s="3" t="n">
        <v>459</v>
      </c>
      <c r="AA236" s="3" t="n">
        <v>0.28</v>
      </c>
      <c r="AD236" s="3" t="n">
        <v>2</v>
      </c>
      <c r="AE236" s="3" t="n">
        <v>2</v>
      </c>
      <c r="AF236" s="3" t="n">
        <v>1</v>
      </c>
      <c r="AG236" s="3" t="n">
        <v>2</v>
      </c>
      <c r="AH236" s="3" t="n">
        <v>2</v>
      </c>
      <c r="AI236" s="3" t="n">
        <v>2</v>
      </c>
      <c r="AJ236" s="3" t="n">
        <v>1</v>
      </c>
      <c r="AK236" s="3" t="n">
        <v>2</v>
      </c>
      <c r="AL236" s="3" t="n">
        <v>2</v>
      </c>
      <c r="AM236" s="3" t="n">
        <v>1</v>
      </c>
      <c r="AN236" s="3" t="n">
        <v>2</v>
      </c>
      <c r="AO236" s="3" t="n">
        <v>2</v>
      </c>
      <c r="AP236" s="3" t="n">
        <v>3</v>
      </c>
      <c r="AQ236" s="3" t="n">
        <v>4</v>
      </c>
      <c r="AR236" s="3" t="n">
        <v>4</v>
      </c>
      <c r="AS236" s="3" t="n">
        <v>6</v>
      </c>
      <c r="AT236" s="3" t="n">
        <v>4</v>
      </c>
      <c r="AU236" s="3" t="n">
        <v>4</v>
      </c>
      <c r="AV236" s="3" t="n">
        <v>6</v>
      </c>
      <c r="AW236" s="3" t="n">
        <v>6</v>
      </c>
      <c r="AX236" s="3" t="n">
        <v>3</v>
      </c>
      <c r="AY236" s="3" t="n">
        <v>3</v>
      </c>
      <c r="AZ236" s="3" t="n">
        <v>1</v>
      </c>
      <c r="BA236" s="5" t="n">
        <v>11</v>
      </c>
      <c r="BB236" s="3" t="n">
        <v>2</v>
      </c>
      <c r="BC236" s="3" t="n">
        <v>1</v>
      </c>
      <c r="BD236" s="3" t="n">
        <v>6</v>
      </c>
      <c r="BE236" s="3" t="n">
        <v>3</v>
      </c>
      <c r="BF236" s="3" t="n">
        <v>5</v>
      </c>
      <c r="BG236" s="3" t="n">
        <v>3</v>
      </c>
      <c r="BH236" s="3" t="n">
        <v>4</v>
      </c>
      <c r="BI236" s="3" t="n">
        <v>1</v>
      </c>
      <c r="BJ236" s="3" t="n">
        <v>1</v>
      </c>
      <c r="BK236" s="6" t="s">
        <v>785</v>
      </c>
    </row>
    <row r="237" customFormat="false" ht="15" hidden="false" customHeight="true" outlineLevel="0" collapsed="false">
      <c r="B237" s="2" t="s">
        <v>786</v>
      </c>
      <c r="C237" s="2" t="s">
        <v>78</v>
      </c>
      <c r="D237" s="2" t="s">
        <v>386</v>
      </c>
      <c r="E237" s="2" t="n">
        <v>170096</v>
      </c>
      <c r="F237" s="15" t="n">
        <v>43491</v>
      </c>
      <c r="G237" s="15" t="n">
        <v>43494</v>
      </c>
      <c r="H237" s="3" t="n">
        <v>3</v>
      </c>
      <c r="I237" s="3" t="n">
        <v>1</v>
      </c>
      <c r="J237" s="3" t="n">
        <v>80</v>
      </c>
      <c r="K237" s="3" t="n">
        <v>2</v>
      </c>
      <c r="L237" s="3" t="n">
        <v>2</v>
      </c>
      <c r="M237" s="3" t="n">
        <v>1</v>
      </c>
      <c r="N237" s="3" t="n">
        <v>2</v>
      </c>
      <c r="O237" s="3" t="n">
        <v>2</v>
      </c>
      <c r="P237" s="3" t="n">
        <v>2</v>
      </c>
      <c r="Q237" s="3" t="n">
        <v>2</v>
      </c>
      <c r="R237" s="3" t="n">
        <v>2</v>
      </c>
      <c r="S237" s="3" t="n">
        <v>2</v>
      </c>
      <c r="T237" s="4" t="n">
        <v>4</v>
      </c>
      <c r="U237" s="3" t="n">
        <v>4</v>
      </c>
      <c r="V237" s="3" t="n">
        <v>3.6</v>
      </c>
      <c r="W237" s="3" t="n">
        <v>1.87</v>
      </c>
      <c r="X237" s="3" t="n">
        <v>5.5</v>
      </c>
      <c r="Y237" s="3" t="n">
        <v>579</v>
      </c>
      <c r="AA237" s="3" t="n">
        <v>0.37</v>
      </c>
      <c r="AB237" s="3" t="n">
        <v>7.3</v>
      </c>
      <c r="AC237" s="3" t="n">
        <v>1</v>
      </c>
      <c r="AD237" s="3" t="n">
        <v>2</v>
      </c>
      <c r="AE237" s="3" t="n">
        <v>2</v>
      </c>
      <c r="AF237" s="3" t="n">
        <v>2</v>
      </c>
      <c r="AG237" s="3" t="n">
        <v>2</v>
      </c>
      <c r="AH237" s="3" t="n">
        <v>1</v>
      </c>
      <c r="AI237" s="3" t="n">
        <v>2</v>
      </c>
      <c r="AJ237" s="3" t="n">
        <v>2</v>
      </c>
      <c r="AK237" s="3" t="n">
        <v>2</v>
      </c>
      <c r="AL237" s="3" t="n">
        <v>2</v>
      </c>
      <c r="AM237" s="3" t="n">
        <v>1</v>
      </c>
      <c r="AN237" s="3" t="n">
        <v>2</v>
      </c>
      <c r="AO237" s="3" t="n">
        <v>2</v>
      </c>
      <c r="AP237" s="3" t="n">
        <v>3</v>
      </c>
      <c r="AQ237" s="3" t="n">
        <v>4</v>
      </c>
      <c r="AR237" s="3" t="n">
        <v>4</v>
      </c>
      <c r="AS237" s="3" t="n">
        <v>6</v>
      </c>
      <c r="AT237" s="3" t="n">
        <v>4</v>
      </c>
      <c r="AU237" s="3" t="n">
        <v>4</v>
      </c>
      <c r="AV237" s="3" t="n">
        <v>6</v>
      </c>
      <c r="AW237" s="3" t="n">
        <v>6</v>
      </c>
      <c r="AX237" s="3" t="n">
        <v>3</v>
      </c>
      <c r="AY237" s="3" t="n">
        <v>3</v>
      </c>
      <c r="AZ237" s="3" t="n">
        <v>1</v>
      </c>
      <c r="BA237" s="5" t="n">
        <v>10</v>
      </c>
      <c r="BB237" s="3" t="n">
        <v>2</v>
      </c>
      <c r="BC237" s="3" t="n">
        <v>1</v>
      </c>
      <c r="BD237" s="3" t="n">
        <v>6</v>
      </c>
      <c r="BE237" s="3" t="n">
        <v>3</v>
      </c>
      <c r="BF237" s="3" t="n">
        <v>5</v>
      </c>
      <c r="BG237" s="3" t="n">
        <v>3</v>
      </c>
      <c r="BH237" s="3" t="n">
        <v>4</v>
      </c>
      <c r="BI237" s="3" t="n">
        <v>1</v>
      </c>
      <c r="BJ237" s="3" t="n">
        <v>1</v>
      </c>
      <c r="BK237" s="6" t="s">
        <v>787</v>
      </c>
    </row>
    <row r="238" customFormat="false" ht="15" hidden="false" customHeight="true" outlineLevel="0" collapsed="false">
      <c r="B238" s="2" t="s">
        <v>788</v>
      </c>
      <c r="C238" s="2" t="s">
        <v>423</v>
      </c>
      <c r="D238" s="2" t="s">
        <v>210</v>
      </c>
      <c r="E238" s="2" t="n">
        <v>170208</v>
      </c>
      <c r="F238" s="15" t="n">
        <v>43492</v>
      </c>
      <c r="G238" s="15" t="n">
        <v>43494</v>
      </c>
      <c r="H238" s="3" t="n">
        <v>2</v>
      </c>
      <c r="I238" s="3" t="n">
        <v>1</v>
      </c>
      <c r="J238" s="3" t="n">
        <v>58</v>
      </c>
      <c r="K238" s="3" t="n">
        <v>1</v>
      </c>
      <c r="L238" s="3" t="n">
        <v>2</v>
      </c>
      <c r="M238" s="3" t="n">
        <v>1</v>
      </c>
      <c r="N238" s="3" t="n">
        <v>2</v>
      </c>
      <c r="O238" s="3" t="n">
        <v>2</v>
      </c>
      <c r="P238" s="3" t="n">
        <v>2</v>
      </c>
      <c r="Q238" s="3" t="n">
        <v>2</v>
      </c>
      <c r="R238" s="3" t="n">
        <v>2</v>
      </c>
      <c r="S238" s="3" t="n">
        <v>2</v>
      </c>
      <c r="T238" s="4" t="n">
        <v>11</v>
      </c>
      <c r="U238" s="3" t="n">
        <v>2</v>
      </c>
      <c r="V238" s="3" t="n">
        <v>10.54</v>
      </c>
      <c r="W238" s="3" t="n">
        <v>1.38</v>
      </c>
      <c r="X238" s="3" t="n">
        <v>4.6</v>
      </c>
      <c r="Y238" s="3" t="n">
        <v>244</v>
      </c>
      <c r="AA238" s="3" t="n">
        <v>0.41</v>
      </c>
      <c r="AB238" s="3" t="n">
        <v>6.4</v>
      </c>
      <c r="AC238" s="3" t="n">
        <v>1</v>
      </c>
      <c r="AD238" s="3" t="n">
        <v>2</v>
      </c>
      <c r="AE238" s="3" t="n">
        <v>2</v>
      </c>
      <c r="AF238" s="3" t="n">
        <v>1</v>
      </c>
      <c r="AG238" s="3" t="n">
        <v>2</v>
      </c>
      <c r="AH238" s="3" t="n">
        <v>2</v>
      </c>
      <c r="AI238" s="3" t="n">
        <v>1</v>
      </c>
      <c r="AJ238" s="3" t="n">
        <v>1</v>
      </c>
      <c r="AK238" s="3" t="n">
        <v>2</v>
      </c>
      <c r="AL238" s="3" t="n">
        <v>2</v>
      </c>
      <c r="AM238" s="3" t="n">
        <v>2</v>
      </c>
      <c r="AN238" s="3" t="n">
        <v>2</v>
      </c>
      <c r="AO238" s="3" t="n">
        <v>2</v>
      </c>
      <c r="AP238" s="3" t="n">
        <v>3</v>
      </c>
      <c r="AQ238" s="3" t="n">
        <v>4</v>
      </c>
      <c r="AR238" s="3" t="n">
        <v>4</v>
      </c>
      <c r="AS238" s="3" t="n">
        <v>6</v>
      </c>
      <c r="AT238" s="3" t="n">
        <v>4</v>
      </c>
      <c r="AU238" s="3" t="n">
        <v>4</v>
      </c>
      <c r="AV238" s="3" t="n">
        <v>6</v>
      </c>
      <c r="AW238" s="3" t="n">
        <v>6</v>
      </c>
      <c r="AX238" s="3" t="n">
        <v>3</v>
      </c>
      <c r="AY238" s="3" t="n">
        <v>3</v>
      </c>
      <c r="AZ238" s="3" t="n">
        <v>1</v>
      </c>
      <c r="BA238" s="5" t="n">
        <v>12</v>
      </c>
      <c r="BB238" s="3" t="n">
        <v>2</v>
      </c>
      <c r="BC238" s="3" t="n">
        <v>1</v>
      </c>
      <c r="BD238" s="3" t="n">
        <v>6</v>
      </c>
      <c r="BE238" s="3" t="n">
        <v>3</v>
      </c>
      <c r="BF238" s="3" t="n">
        <v>5</v>
      </c>
      <c r="BG238" s="3" t="n">
        <v>3</v>
      </c>
      <c r="BH238" s="3" t="n">
        <v>4</v>
      </c>
      <c r="BI238" s="3" t="n">
        <v>1</v>
      </c>
      <c r="BJ238" s="3" t="n">
        <v>1</v>
      </c>
      <c r="BK238" s="6" t="s">
        <v>789</v>
      </c>
    </row>
    <row r="239" customFormat="false" ht="15" hidden="false" customHeight="true" outlineLevel="0" collapsed="false">
      <c r="B239" s="2" t="s">
        <v>790</v>
      </c>
      <c r="C239" s="2" t="s">
        <v>178</v>
      </c>
      <c r="D239" s="2" t="s">
        <v>178</v>
      </c>
      <c r="E239" s="2" t="n">
        <v>170009</v>
      </c>
      <c r="F239" s="15" t="n">
        <v>43488</v>
      </c>
      <c r="G239" s="15" t="n">
        <v>43496</v>
      </c>
      <c r="H239" s="3" t="n">
        <v>8</v>
      </c>
      <c r="I239" s="3" t="n">
        <v>1</v>
      </c>
      <c r="J239" s="3" t="n">
        <v>76</v>
      </c>
      <c r="K239" s="3" t="n">
        <v>1</v>
      </c>
      <c r="L239" s="3" t="n">
        <v>2</v>
      </c>
      <c r="M239" s="3" t="n">
        <v>1</v>
      </c>
      <c r="N239" s="3" t="n">
        <v>2</v>
      </c>
      <c r="O239" s="3" t="n">
        <v>2</v>
      </c>
      <c r="P239" s="3" t="n">
        <v>2</v>
      </c>
      <c r="Q239" s="3" t="n">
        <v>2</v>
      </c>
      <c r="R239" s="3" t="n">
        <v>2</v>
      </c>
      <c r="S239" s="3" t="n">
        <v>2</v>
      </c>
      <c r="T239" s="4" t="n">
        <v>4</v>
      </c>
      <c r="U239" s="3" t="n">
        <v>4</v>
      </c>
      <c r="V239" s="3" t="n">
        <v>5.09</v>
      </c>
      <c r="W239" s="3" t="n">
        <v>1.17</v>
      </c>
      <c r="X239" s="3" t="n">
        <v>4.8</v>
      </c>
      <c r="Y239" s="3" t="n">
        <v>284</v>
      </c>
      <c r="AA239" s="3" t="n">
        <v>0.35</v>
      </c>
      <c r="AB239" s="3" t="n">
        <v>7.6</v>
      </c>
      <c r="AC239" s="3" t="n">
        <v>1</v>
      </c>
      <c r="AD239" s="3" t="n">
        <v>1</v>
      </c>
      <c r="AE239" s="3" t="n">
        <v>2</v>
      </c>
      <c r="AF239" s="3" t="n">
        <v>2</v>
      </c>
      <c r="AG239" s="3" t="n">
        <v>2</v>
      </c>
      <c r="AH239" s="3" t="n">
        <v>1</v>
      </c>
      <c r="AI239" s="3" t="n">
        <v>2</v>
      </c>
      <c r="AJ239" s="3" t="n">
        <v>1</v>
      </c>
      <c r="AK239" s="3" t="n">
        <v>2</v>
      </c>
      <c r="AL239" s="3" t="n">
        <v>2</v>
      </c>
      <c r="AM239" s="3" t="n">
        <v>2</v>
      </c>
      <c r="AN239" s="3" t="n">
        <v>2</v>
      </c>
      <c r="AO239" s="3" t="n">
        <v>2</v>
      </c>
      <c r="AP239" s="3" t="n">
        <v>3</v>
      </c>
      <c r="AQ239" s="3" t="n">
        <v>4</v>
      </c>
      <c r="AR239" s="3" t="n">
        <v>4</v>
      </c>
      <c r="AS239" s="3" t="n">
        <v>6</v>
      </c>
      <c r="AT239" s="3" t="n">
        <v>4</v>
      </c>
      <c r="AU239" s="3" t="n">
        <v>4</v>
      </c>
      <c r="AV239" s="3" t="n">
        <v>6</v>
      </c>
      <c r="AW239" s="3" t="n">
        <v>6</v>
      </c>
      <c r="AX239" s="3" t="n">
        <v>3</v>
      </c>
      <c r="AY239" s="3" t="n">
        <v>3</v>
      </c>
      <c r="AZ239" s="3" t="n">
        <v>1</v>
      </c>
      <c r="BA239" s="5" t="n">
        <v>10</v>
      </c>
      <c r="BB239" s="3" t="n">
        <v>2</v>
      </c>
      <c r="BC239" s="3" t="n">
        <v>1</v>
      </c>
      <c r="BD239" s="3" t="n">
        <v>6</v>
      </c>
      <c r="BE239" s="3" t="n">
        <v>3</v>
      </c>
      <c r="BF239" s="3" t="n">
        <v>5</v>
      </c>
      <c r="BG239" s="3" t="n">
        <v>3</v>
      </c>
      <c r="BH239" s="3" t="n">
        <v>4</v>
      </c>
      <c r="BI239" s="3" t="n">
        <v>1</v>
      </c>
      <c r="BJ239" s="3" t="n">
        <v>1</v>
      </c>
      <c r="BK239" s="6" t="s">
        <v>791</v>
      </c>
    </row>
    <row r="240" customFormat="false" ht="15" hidden="false" customHeight="true" outlineLevel="0" collapsed="false">
      <c r="B240" s="2" t="s">
        <v>156</v>
      </c>
      <c r="C240" s="2" t="s">
        <v>792</v>
      </c>
      <c r="D240" s="2" t="s">
        <v>66</v>
      </c>
      <c r="E240" s="2" t="n">
        <v>169051</v>
      </c>
      <c r="F240" s="15" t="n">
        <v>43483</v>
      </c>
      <c r="G240" s="15" t="n">
        <v>43496</v>
      </c>
      <c r="H240" s="3" t="n">
        <v>13</v>
      </c>
      <c r="I240" s="3" t="n">
        <v>2</v>
      </c>
      <c r="J240" s="3" t="n">
        <v>60</v>
      </c>
      <c r="K240" s="3" t="n">
        <v>1</v>
      </c>
      <c r="L240" s="3" t="n">
        <v>1</v>
      </c>
      <c r="M240" s="3" t="n">
        <v>1</v>
      </c>
      <c r="N240" s="3" t="n">
        <v>2</v>
      </c>
      <c r="O240" s="3" t="n">
        <v>2</v>
      </c>
      <c r="P240" s="3" t="n">
        <v>2</v>
      </c>
      <c r="Q240" s="3" t="n">
        <v>2</v>
      </c>
      <c r="R240" s="3" t="n">
        <v>2</v>
      </c>
      <c r="S240" s="3" t="n">
        <v>2</v>
      </c>
      <c r="T240" s="4" t="n">
        <v>2</v>
      </c>
      <c r="U240" s="3" t="n">
        <v>2</v>
      </c>
      <c r="V240" s="3" t="n">
        <v>4.4</v>
      </c>
      <c r="W240" s="3" t="n">
        <v>0.32</v>
      </c>
      <c r="X240" s="3" t="n">
        <v>8.4</v>
      </c>
      <c r="Y240" s="3" t="n">
        <v>186</v>
      </c>
      <c r="AA240" s="3" t="n">
        <v>0.4</v>
      </c>
      <c r="AB240" s="3" t="n">
        <v>12.4</v>
      </c>
      <c r="AC240" s="3" t="n">
        <v>2</v>
      </c>
      <c r="AD240" s="3" t="n">
        <v>1</v>
      </c>
      <c r="AE240" s="3" t="n">
        <v>1</v>
      </c>
      <c r="AF240" s="3" t="n">
        <v>1</v>
      </c>
      <c r="AG240" s="3" t="n">
        <v>2</v>
      </c>
      <c r="AH240" s="3" t="n">
        <v>2</v>
      </c>
      <c r="AI240" s="3" t="n">
        <v>1</v>
      </c>
      <c r="AJ240" s="3" t="n">
        <v>1</v>
      </c>
      <c r="AK240" s="3" t="n">
        <v>2</v>
      </c>
      <c r="AL240" s="3" t="n">
        <v>2</v>
      </c>
      <c r="AM240" s="3" t="n">
        <v>2</v>
      </c>
      <c r="AN240" s="3" t="n">
        <v>2</v>
      </c>
      <c r="AO240" s="3" t="n">
        <v>2</v>
      </c>
      <c r="AP240" s="3" t="n">
        <v>2</v>
      </c>
      <c r="AQ240" s="3" t="n">
        <v>3</v>
      </c>
      <c r="AR240" s="3" t="n">
        <v>8</v>
      </c>
      <c r="AS240" s="3" t="n">
        <v>5</v>
      </c>
      <c r="AT240" s="3" t="n">
        <v>2</v>
      </c>
      <c r="AU240" s="3" t="n">
        <v>1</v>
      </c>
      <c r="AV240" s="3" t="n">
        <v>1</v>
      </c>
      <c r="AW240" s="3" t="n">
        <v>1</v>
      </c>
      <c r="AX240" s="3" t="n">
        <v>2</v>
      </c>
      <c r="AY240" s="3" t="n">
        <v>2</v>
      </c>
      <c r="AZ240" s="3" t="n">
        <v>1</v>
      </c>
      <c r="BA240" s="5" t="n">
        <v>1</v>
      </c>
      <c r="BB240" s="3" t="n">
        <v>1</v>
      </c>
      <c r="BC240" s="3" t="n">
        <v>1</v>
      </c>
      <c r="BD240" s="3" t="n">
        <v>5</v>
      </c>
      <c r="BE240" s="3" t="n">
        <v>3</v>
      </c>
      <c r="BF240" s="3" t="n">
        <v>5</v>
      </c>
      <c r="BG240" s="3" t="n">
        <v>3</v>
      </c>
      <c r="BH240" s="3" t="n">
        <v>4</v>
      </c>
      <c r="BI240" s="3" t="n">
        <v>1</v>
      </c>
      <c r="BJ240" s="3" t="n">
        <v>1</v>
      </c>
      <c r="BK240" s="6" t="s">
        <v>793</v>
      </c>
    </row>
    <row r="241" customFormat="false" ht="15" hidden="false" customHeight="true" outlineLevel="0" collapsed="false">
      <c r="B241" s="2" t="s">
        <v>794</v>
      </c>
      <c r="C241" s="2" t="s">
        <v>795</v>
      </c>
      <c r="D241" s="2" t="s">
        <v>510</v>
      </c>
      <c r="E241" s="2" t="n">
        <v>170203</v>
      </c>
      <c r="F241" s="15" t="n">
        <v>43492</v>
      </c>
      <c r="G241" s="15" t="n">
        <v>43497</v>
      </c>
      <c r="H241" s="3" t="n">
        <v>5</v>
      </c>
      <c r="I241" s="3" t="n">
        <v>1</v>
      </c>
      <c r="J241" s="3" t="n">
        <v>89</v>
      </c>
      <c r="K241" s="3" t="n">
        <v>1</v>
      </c>
      <c r="L241" s="3" t="n">
        <v>2</v>
      </c>
      <c r="M241" s="3" t="n">
        <v>1</v>
      </c>
      <c r="N241" s="3" t="n">
        <v>2</v>
      </c>
      <c r="O241" s="3" t="n">
        <v>2</v>
      </c>
      <c r="P241" s="3" t="n">
        <v>2</v>
      </c>
      <c r="Q241" s="3" t="n">
        <v>1</v>
      </c>
      <c r="R241" s="3" t="n">
        <v>2</v>
      </c>
      <c r="S241" s="3" t="n">
        <v>1</v>
      </c>
      <c r="T241" s="4" t="n">
        <v>1</v>
      </c>
      <c r="U241" s="3" t="n">
        <v>1</v>
      </c>
      <c r="V241" s="3" t="n">
        <v>6.22</v>
      </c>
      <c r="W241" s="3" t="n">
        <v>1.98</v>
      </c>
      <c r="X241" s="3" t="n">
        <v>4.7</v>
      </c>
      <c r="Y241" s="3" t="n">
        <v>432</v>
      </c>
      <c r="AA241" s="3" t="n">
        <v>0.33</v>
      </c>
      <c r="AB241" s="3" t="n">
        <v>6.9</v>
      </c>
      <c r="AC241" s="3" t="n">
        <v>1</v>
      </c>
      <c r="AD241" s="3" t="n">
        <v>1</v>
      </c>
      <c r="AE241" s="3" t="n">
        <v>1</v>
      </c>
      <c r="AF241" s="3" t="n">
        <v>1</v>
      </c>
      <c r="AG241" s="3" t="n">
        <v>1</v>
      </c>
      <c r="AH241" s="3" t="n">
        <v>1</v>
      </c>
      <c r="AI241" s="3" t="n">
        <v>2</v>
      </c>
      <c r="AJ241" s="3" t="n">
        <v>1</v>
      </c>
      <c r="AK241" s="3" t="n">
        <v>2</v>
      </c>
      <c r="AL241" s="3" t="n">
        <v>2</v>
      </c>
      <c r="AM241" s="3" t="n">
        <v>1</v>
      </c>
      <c r="AN241" s="3" t="n">
        <v>2</v>
      </c>
      <c r="AO241" s="3" t="n">
        <v>2</v>
      </c>
      <c r="AP241" s="3" t="n">
        <v>3</v>
      </c>
      <c r="AQ241" s="3" t="n">
        <v>4</v>
      </c>
      <c r="AR241" s="3" t="n">
        <v>4</v>
      </c>
      <c r="AS241" s="3" t="n">
        <v>6</v>
      </c>
      <c r="AT241" s="3" t="n">
        <v>4</v>
      </c>
      <c r="AU241" s="3" t="n">
        <v>4</v>
      </c>
      <c r="AV241" s="3" t="n">
        <v>6</v>
      </c>
      <c r="AW241" s="3" t="n">
        <v>6</v>
      </c>
      <c r="AX241" s="3" t="n">
        <v>3</v>
      </c>
      <c r="AY241" s="3" t="n">
        <v>3</v>
      </c>
      <c r="AZ241" s="3" t="n">
        <v>1</v>
      </c>
      <c r="BA241" s="5" t="n">
        <v>5</v>
      </c>
      <c r="BB241" s="3" t="n">
        <v>2</v>
      </c>
      <c r="BC241" s="3" t="n">
        <v>1</v>
      </c>
      <c r="BD241" s="3" t="n">
        <v>6</v>
      </c>
      <c r="BE241" s="3" t="n">
        <v>3</v>
      </c>
      <c r="BF241" s="3" t="n">
        <v>5</v>
      </c>
      <c r="BG241" s="3" t="n">
        <v>3</v>
      </c>
      <c r="BH241" s="3" t="n">
        <v>4</v>
      </c>
      <c r="BI241" s="3" t="n">
        <v>1</v>
      </c>
      <c r="BJ241" s="3" t="n">
        <v>1</v>
      </c>
      <c r="BK241" s="6" t="s">
        <v>796</v>
      </c>
    </row>
    <row r="242" customFormat="false" ht="15" hidden="false" customHeight="true" outlineLevel="0" collapsed="false">
      <c r="B242" s="2" t="s">
        <v>601</v>
      </c>
      <c r="C242" s="2" t="s">
        <v>602</v>
      </c>
      <c r="D242" s="2" t="s">
        <v>94</v>
      </c>
      <c r="E242" s="2" t="n">
        <v>167261</v>
      </c>
      <c r="F242" s="15" t="n">
        <v>43488</v>
      </c>
      <c r="G242" s="15" t="n">
        <v>43497</v>
      </c>
      <c r="H242" s="3" t="n">
        <v>9</v>
      </c>
      <c r="I242" s="3" t="n">
        <v>1</v>
      </c>
      <c r="J242" s="3" t="n">
        <v>69</v>
      </c>
      <c r="K242" s="3" t="n">
        <v>1</v>
      </c>
      <c r="L242" s="3" t="n">
        <v>2</v>
      </c>
      <c r="M242" s="3" t="n">
        <v>1</v>
      </c>
      <c r="N242" s="3" t="n">
        <v>2</v>
      </c>
      <c r="O242" s="3" t="n">
        <v>2</v>
      </c>
      <c r="P242" s="3" t="n">
        <v>2</v>
      </c>
      <c r="Q242" s="3" t="n">
        <v>2</v>
      </c>
      <c r="R242" s="3" t="n">
        <v>2</v>
      </c>
      <c r="S242" s="3" t="n">
        <v>2</v>
      </c>
      <c r="T242" s="4" t="n">
        <v>1</v>
      </c>
      <c r="U242" s="3" t="n">
        <v>1</v>
      </c>
      <c r="V242" s="3" t="n">
        <v>2.23</v>
      </c>
      <c r="W242" s="3" t="n">
        <v>0.54</v>
      </c>
      <c r="X242" s="3" t="n">
        <v>3.4</v>
      </c>
      <c r="Y242" s="3" t="n">
        <v>173</v>
      </c>
      <c r="AA242" s="3" t="n">
        <v>0.37</v>
      </c>
      <c r="AB242" s="3" t="n">
        <v>6.8</v>
      </c>
      <c r="AC242" s="3" t="n">
        <v>1</v>
      </c>
      <c r="AD242" s="3" t="n">
        <v>1</v>
      </c>
      <c r="AE242" s="3" t="n">
        <v>2</v>
      </c>
      <c r="AF242" s="3" t="n">
        <v>1</v>
      </c>
      <c r="AG242" s="3" t="n">
        <v>1</v>
      </c>
      <c r="AH242" s="3" t="n">
        <v>1</v>
      </c>
      <c r="AI242" s="3" t="n">
        <v>2</v>
      </c>
      <c r="AJ242" s="3" t="n">
        <v>1</v>
      </c>
      <c r="AK242" s="3" t="n">
        <v>2</v>
      </c>
      <c r="AL242" s="3" t="n">
        <v>2</v>
      </c>
      <c r="AM242" s="3" t="n">
        <v>2</v>
      </c>
      <c r="AN242" s="3" t="n">
        <v>2</v>
      </c>
      <c r="AO242" s="3" t="n">
        <v>2</v>
      </c>
      <c r="AP242" s="3" t="n">
        <v>1</v>
      </c>
      <c r="AQ242" s="3" t="n">
        <v>1</v>
      </c>
      <c r="AR242" s="3" t="n">
        <v>4</v>
      </c>
      <c r="AS242" s="3" t="n">
        <v>6</v>
      </c>
      <c r="AT242" s="3" t="n">
        <v>4</v>
      </c>
      <c r="AU242" s="3" t="n">
        <v>4</v>
      </c>
      <c r="AV242" s="3" t="n">
        <v>1</v>
      </c>
      <c r="AW242" s="3" t="n">
        <v>6</v>
      </c>
      <c r="AX242" s="3" t="n">
        <v>2</v>
      </c>
      <c r="AY242" s="3" t="n">
        <v>1</v>
      </c>
      <c r="AZ242" s="3" t="n">
        <v>1</v>
      </c>
      <c r="BA242" s="5" t="n">
        <v>5</v>
      </c>
      <c r="BB242" s="3" t="n">
        <v>2</v>
      </c>
      <c r="BC242" s="3" t="n">
        <v>1</v>
      </c>
      <c r="BD242" s="3" t="n">
        <v>6</v>
      </c>
      <c r="BE242" s="3" t="n">
        <v>3</v>
      </c>
      <c r="BF242" s="3" t="n">
        <v>5</v>
      </c>
      <c r="BG242" s="3" t="n">
        <v>3</v>
      </c>
      <c r="BH242" s="3" t="n">
        <v>4</v>
      </c>
      <c r="BI242" s="3" t="n">
        <v>1</v>
      </c>
      <c r="BJ242" s="3" t="n">
        <v>1</v>
      </c>
      <c r="BK242" s="6" t="s">
        <v>797</v>
      </c>
    </row>
    <row r="243" customFormat="false" ht="15" hidden="false" customHeight="true" outlineLevel="0" collapsed="false">
      <c r="B243" s="2" t="s">
        <v>798</v>
      </c>
      <c r="C243" s="2" t="s">
        <v>799</v>
      </c>
      <c r="D243" s="2" t="s">
        <v>688</v>
      </c>
      <c r="E243" s="2" t="n">
        <v>170211</v>
      </c>
      <c r="F243" s="15" t="n">
        <v>43492</v>
      </c>
      <c r="G243" s="15" t="n">
        <v>43497</v>
      </c>
      <c r="H243" s="3" t="n">
        <v>5</v>
      </c>
      <c r="I243" s="3" t="n">
        <v>2</v>
      </c>
      <c r="J243" s="3" t="n">
        <v>102</v>
      </c>
      <c r="K243" s="3" t="n">
        <v>2</v>
      </c>
      <c r="L243" s="3" t="n">
        <v>2</v>
      </c>
      <c r="M243" s="3" t="n">
        <v>1</v>
      </c>
      <c r="N243" s="3" t="n">
        <v>2</v>
      </c>
      <c r="O243" s="3" t="n">
        <v>2</v>
      </c>
      <c r="P243" s="3" t="n">
        <v>2</v>
      </c>
      <c r="Q243" s="3" t="n">
        <v>2</v>
      </c>
      <c r="R243" s="3" t="n">
        <v>2</v>
      </c>
      <c r="S243" s="3" t="n">
        <v>2</v>
      </c>
      <c r="T243" s="4" t="n">
        <v>4</v>
      </c>
      <c r="U243" s="3" t="n">
        <v>4</v>
      </c>
      <c r="V243" s="3" t="n">
        <v>276</v>
      </c>
      <c r="W243" s="3" t="n">
        <v>0.83</v>
      </c>
      <c r="X243" s="3" t="n">
        <v>5.4</v>
      </c>
      <c r="AA243" s="3" t="n">
        <v>0.23</v>
      </c>
      <c r="AB243" s="3" t="n">
        <v>7.8</v>
      </c>
      <c r="AC243" s="3" t="n">
        <v>3</v>
      </c>
      <c r="AD243" s="3" t="n">
        <v>2</v>
      </c>
      <c r="AE243" s="3" t="n">
        <v>2</v>
      </c>
      <c r="AF243" s="3" t="n">
        <v>2</v>
      </c>
      <c r="AG243" s="3" t="n">
        <v>2</v>
      </c>
      <c r="AH243" s="3" t="n">
        <v>2</v>
      </c>
      <c r="AI243" s="3" t="n">
        <v>2</v>
      </c>
      <c r="AJ243" s="3" t="n">
        <v>1</v>
      </c>
      <c r="AK243" s="3" t="n">
        <v>2</v>
      </c>
      <c r="AL243" s="3" t="n">
        <v>2</v>
      </c>
      <c r="AM243" s="3" t="n">
        <v>2</v>
      </c>
      <c r="AN243" s="3" t="n">
        <v>2</v>
      </c>
      <c r="AO243" s="3" t="n">
        <v>2</v>
      </c>
      <c r="AP243" s="3" t="n">
        <v>3</v>
      </c>
      <c r="AQ243" s="3" t="n">
        <v>4</v>
      </c>
      <c r="AR243" s="3" t="n">
        <v>4</v>
      </c>
      <c r="AS243" s="3" t="n">
        <v>6</v>
      </c>
      <c r="AT243" s="3" t="n">
        <v>4</v>
      </c>
      <c r="AU243" s="3" t="n">
        <v>4</v>
      </c>
      <c r="AV243" s="3" t="n">
        <v>6</v>
      </c>
      <c r="AW243" s="3" t="n">
        <v>6</v>
      </c>
      <c r="AX243" s="3" t="n">
        <v>3</v>
      </c>
      <c r="AY243" s="3" t="n">
        <v>3</v>
      </c>
      <c r="AZ243" s="3" t="n">
        <v>1</v>
      </c>
      <c r="BA243" s="5" t="n">
        <v>10</v>
      </c>
      <c r="BB243" s="3" t="n">
        <v>2</v>
      </c>
      <c r="BC243" s="3" t="n">
        <v>1</v>
      </c>
      <c r="BD243" s="3" t="n">
        <v>6</v>
      </c>
      <c r="BE243" s="3" t="n">
        <v>3</v>
      </c>
      <c r="BF243" s="3" t="n">
        <v>5</v>
      </c>
      <c r="BG243" s="3" t="n">
        <v>3</v>
      </c>
      <c r="BH243" s="3" t="n">
        <v>4</v>
      </c>
      <c r="BI243" s="3" t="n">
        <v>1</v>
      </c>
      <c r="BJ243" s="3" t="n">
        <v>1</v>
      </c>
      <c r="BK243" s="6" t="s">
        <v>800</v>
      </c>
    </row>
    <row r="244" customFormat="false" ht="15" hidden="false" customHeight="true" outlineLevel="0" collapsed="false">
      <c r="B244" s="2" t="s">
        <v>801</v>
      </c>
      <c r="C244" s="2" t="s">
        <v>802</v>
      </c>
      <c r="D244" s="2" t="s">
        <v>172</v>
      </c>
      <c r="E244" s="2" t="n">
        <v>170564</v>
      </c>
      <c r="F244" s="15" t="n">
        <v>43496</v>
      </c>
      <c r="G244" s="15" t="n">
        <v>43497</v>
      </c>
      <c r="H244" s="3" t="n">
        <v>1</v>
      </c>
      <c r="I244" s="3" t="n">
        <v>1</v>
      </c>
      <c r="J244" s="3" t="n">
        <v>54</v>
      </c>
      <c r="K244" s="3" t="n">
        <v>2</v>
      </c>
      <c r="L244" s="3" t="n">
        <v>1</v>
      </c>
      <c r="M244" s="3" t="n">
        <v>1</v>
      </c>
      <c r="N244" s="3" t="n">
        <v>2</v>
      </c>
      <c r="O244" s="3" t="n">
        <v>2</v>
      </c>
      <c r="P244" s="3" t="n">
        <v>2</v>
      </c>
      <c r="Q244" s="3" t="n">
        <v>2</v>
      </c>
      <c r="R244" s="3" t="n">
        <v>2</v>
      </c>
      <c r="S244" s="3" t="n">
        <v>2</v>
      </c>
      <c r="T244" s="4" t="n">
        <v>1</v>
      </c>
      <c r="U244" s="3" t="n">
        <v>1</v>
      </c>
      <c r="V244" s="3" t="n">
        <v>4.61</v>
      </c>
      <c r="W244" s="3" t="n">
        <v>1.79</v>
      </c>
      <c r="X244" s="3" t="n">
        <v>5.3</v>
      </c>
      <c r="Y244" s="3" t="n">
        <v>230</v>
      </c>
      <c r="AA244" s="3" t="n">
        <v>0.41</v>
      </c>
      <c r="AB244" s="3" t="n">
        <v>8</v>
      </c>
      <c r="AC244" s="3" t="n">
        <v>3</v>
      </c>
      <c r="AD244" s="3" t="n">
        <v>1</v>
      </c>
      <c r="AE244" s="3" t="n">
        <v>1</v>
      </c>
      <c r="AF244" s="3" t="n">
        <v>1</v>
      </c>
      <c r="AG244" s="3" t="n">
        <v>2</v>
      </c>
      <c r="AH244" s="3" t="n">
        <v>1</v>
      </c>
      <c r="AI244" s="3" t="n">
        <v>1</v>
      </c>
      <c r="AJ244" s="3" t="n">
        <v>1</v>
      </c>
      <c r="AK244" s="3" t="n">
        <v>2</v>
      </c>
      <c r="AL244" s="3" t="n">
        <v>2</v>
      </c>
      <c r="AM244" s="3" t="n">
        <v>2</v>
      </c>
      <c r="AN244" s="3" t="n">
        <v>2</v>
      </c>
      <c r="AO244" s="3" t="n">
        <v>2</v>
      </c>
      <c r="AP244" s="3" t="n">
        <v>3</v>
      </c>
      <c r="AQ244" s="3" t="n">
        <v>4</v>
      </c>
      <c r="AR244" s="3" t="n">
        <v>4</v>
      </c>
      <c r="AS244" s="3" t="n">
        <v>6</v>
      </c>
      <c r="AT244" s="3" t="n">
        <v>4</v>
      </c>
      <c r="AU244" s="3" t="n">
        <v>4</v>
      </c>
      <c r="AV244" s="3" t="n">
        <v>6</v>
      </c>
      <c r="AW244" s="3" t="n">
        <v>6</v>
      </c>
      <c r="AX244" s="3" t="n">
        <v>3</v>
      </c>
      <c r="AY244" s="3" t="n">
        <v>3</v>
      </c>
      <c r="AZ244" s="3" t="n">
        <v>1</v>
      </c>
      <c r="BA244" s="5" t="n">
        <v>5</v>
      </c>
      <c r="BB244" s="3" t="n">
        <v>2</v>
      </c>
      <c r="BC244" s="3" t="n">
        <v>1</v>
      </c>
      <c r="BD244" s="3" t="n">
        <v>6</v>
      </c>
      <c r="BE244" s="3" t="n">
        <v>3</v>
      </c>
      <c r="BF244" s="3" t="n">
        <v>5</v>
      </c>
      <c r="BG244" s="3" t="n">
        <v>3</v>
      </c>
      <c r="BH244" s="3" t="n">
        <v>4</v>
      </c>
      <c r="BI244" s="3" t="n">
        <v>1</v>
      </c>
      <c r="BJ244" s="3" t="n">
        <v>1</v>
      </c>
      <c r="BK244" s="6" t="s">
        <v>803</v>
      </c>
    </row>
    <row r="245" customFormat="false" ht="15" hidden="false" customHeight="true" outlineLevel="0" collapsed="false">
      <c r="B245" s="2" t="s">
        <v>677</v>
      </c>
      <c r="C245" s="2" t="s">
        <v>804</v>
      </c>
      <c r="D245" s="2" t="s">
        <v>805</v>
      </c>
      <c r="E245" s="2" t="n">
        <v>170508</v>
      </c>
      <c r="F245" s="15" t="n">
        <v>43495</v>
      </c>
      <c r="G245" s="15" t="n">
        <v>43500</v>
      </c>
      <c r="H245" s="3" t="n">
        <v>5</v>
      </c>
      <c r="I245" s="3" t="n">
        <v>2</v>
      </c>
      <c r="J245" s="3" t="n">
        <v>56</v>
      </c>
      <c r="K245" s="3" t="n">
        <v>1</v>
      </c>
      <c r="L245" s="3" t="n">
        <v>2</v>
      </c>
      <c r="M245" s="3" t="n">
        <v>2</v>
      </c>
      <c r="N245" s="3" t="n">
        <v>2</v>
      </c>
      <c r="O245" s="3" t="n">
        <v>2</v>
      </c>
      <c r="P245" s="3" t="n">
        <v>2</v>
      </c>
      <c r="Q245" s="3" t="n">
        <v>2</v>
      </c>
      <c r="R245" s="3" t="n">
        <v>2</v>
      </c>
      <c r="S245" s="3" t="n">
        <v>2</v>
      </c>
      <c r="T245" s="4" t="n">
        <v>1</v>
      </c>
      <c r="U245" s="3" t="n">
        <v>1</v>
      </c>
      <c r="V245" s="3" t="n">
        <v>6.15</v>
      </c>
      <c r="W245" s="3" t="n">
        <v>1.06</v>
      </c>
      <c r="X245" s="3" t="n">
        <v>4.8</v>
      </c>
      <c r="Y245" s="3" t="n">
        <v>341</v>
      </c>
      <c r="AA245" s="3" t="n">
        <v>0.5</v>
      </c>
      <c r="AB245" s="3" t="n">
        <v>9.4</v>
      </c>
      <c r="AC245" s="3" t="n">
        <v>1</v>
      </c>
      <c r="AD245" s="3" t="n">
        <v>1</v>
      </c>
      <c r="AE245" s="3" t="n">
        <v>1</v>
      </c>
      <c r="AF245" s="3" t="n">
        <v>1</v>
      </c>
      <c r="AG245" s="3" t="n">
        <v>2</v>
      </c>
      <c r="AH245" s="3" t="n">
        <v>2</v>
      </c>
      <c r="AI245" s="3" t="n">
        <v>1</v>
      </c>
      <c r="AJ245" s="3" t="n">
        <v>1</v>
      </c>
      <c r="AK245" s="3" t="n">
        <v>2</v>
      </c>
      <c r="AL245" s="3" t="n">
        <v>2</v>
      </c>
      <c r="AM245" s="3" t="n">
        <v>2</v>
      </c>
      <c r="AN245" s="3" t="n">
        <v>2</v>
      </c>
      <c r="AO245" s="3" t="n">
        <v>2</v>
      </c>
      <c r="AP245" s="3" t="n">
        <v>3</v>
      </c>
      <c r="AQ245" s="3" t="n">
        <v>4</v>
      </c>
      <c r="AR245" s="3" t="n">
        <v>4</v>
      </c>
      <c r="AS245" s="3" t="n">
        <v>6</v>
      </c>
      <c r="AT245" s="3" t="n">
        <v>4</v>
      </c>
      <c r="AU245" s="3" t="n">
        <v>4</v>
      </c>
      <c r="AV245" s="3" t="n">
        <v>6</v>
      </c>
      <c r="AW245" s="3" t="n">
        <v>6</v>
      </c>
      <c r="AX245" s="3" t="n">
        <v>3</v>
      </c>
      <c r="AY245" s="3" t="n">
        <v>3</v>
      </c>
      <c r="AZ245" s="3" t="n">
        <v>1</v>
      </c>
      <c r="BA245" s="5" t="n">
        <v>5</v>
      </c>
      <c r="BB245" s="3" t="n">
        <v>2</v>
      </c>
      <c r="BC245" s="3" t="n">
        <v>1</v>
      </c>
      <c r="BD245" s="3" t="n">
        <v>6</v>
      </c>
      <c r="BE245" s="3" t="n">
        <v>3</v>
      </c>
      <c r="BF245" s="3" t="n">
        <v>5</v>
      </c>
      <c r="BG245" s="3" t="n">
        <v>3</v>
      </c>
      <c r="BH245" s="3" t="n">
        <v>4</v>
      </c>
      <c r="BI245" s="3" t="n">
        <v>1</v>
      </c>
      <c r="BJ245" s="3" t="n">
        <v>1</v>
      </c>
      <c r="BK245" s="6" t="s">
        <v>806</v>
      </c>
    </row>
    <row r="246" customFormat="false" ht="15" hidden="false" customHeight="true" outlineLevel="0" collapsed="false">
      <c r="B246" s="2" t="s">
        <v>807</v>
      </c>
      <c r="C246" s="2" t="s">
        <v>127</v>
      </c>
      <c r="D246" s="2" t="s">
        <v>808</v>
      </c>
      <c r="E246" s="2" t="n">
        <v>170542</v>
      </c>
      <c r="F246" s="15" t="n">
        <v>43496</v>
      </c>
      <c r="G246" s="15" t="n">
        <v>43500</v>
      </c>
      <c r="H246" s="3" t="n">
        <v>4</v>
      </c>
      <c r="I246" s="3" t="n">
        <v>1</v>
      </c>
      <c r="J246" s="3" t="n">
        <v>89</v>
      </c>
      <c r="K246" s="3" t="n">
        <v>1</v>
      </c>
      <c r="L246" s="3" t="n">
        <v>2</v>
      </c>
      <c r="M246" s="3" t="n">
        <v>2</v>
      </c>
      <c r="N246" s="3" t="n">
        <v>2</v>
      </c>
      <c r="O246" s="3" t="n">
        <v>2</v>
      </c>
      <c r="P246" s="3" t="n">
        <v>2</v>
      </c>
      <c r="Q246" s="3" t="n">
        <v>2</v>
      </c>
      <c r="R246" s="3" t="n">
        <v>2</v>
      </c>
      <c r="S246" s="3" t="n">
        <v>1</v>
      </c>
      <c r="T246" s="4" t="n">
        <v>3</v>
      </c>
      <c r="U246" s="3" t="n">
        <v>4</v>
      </c>
      <c r="V246" s="3" t="n">
        <v>4.3</v>
      </c>
      <c r="W246" s="3" t="n">
        <v>1.07</v>
      </c>
      <c r="X246" s="3" t="n">
        <v>4.2</v>
      </c>
      <c r="Y246" s="3" t="n">
        <v>662</v>
      </c>
      <c r="AA246" s="3" t="n">
        <v>0.39</v>
      </c>
      <c r="AB246" s="3" t="n">
        <v>7.4</v>
      </c>
      <c r="AC246" s="3" t="n">
        <v>2</v>
      </c>
      <c r="AD246" s="3" t="n">
        <v>1</v>
      </c>
      <c r="AE246" s="3" t="n">
        <v>1</v>
      </c>
      <c r="AF246" s="3" t="n">
        <v>1</v>
      </c>
      <c r="AG246" s="3" t="n">
        <v>2</v>
      </c>
      <c r="AH246" s="3" t="n">
        <v>2</v>
      </c>
      <c r="AI246" s="3" t="n">
        <v>2</v>
      </c>
      <c r="AJ246" s="3" t="n">
        <v>1</v>
      </c>
      <c r="AK246" s="3" t="n">
        <v>2</v>
      </c>
      <c r="AL246" s="3" t="n">
        <v>2</v>
      </c>
      <c r="AM246" s="3" t="n">
        <v>1</v>
      </c>
      <c r="AN246" s="3" t="n">
        <v>2</v>
      </c>
      <c r="AO246" s="3" t="n">
        <v>2</v>
      </c>
      <c r="AP246" s="3" t="n">
        <v>3</v>
      </c>
      <c r="AQ246" s="3" t="n">
        <v>4</v>
      </c>
      <c r="AR246" s="3" t="n">
        <v>4</v>
      </c>
      <c r="AS246" s="3" t="n">
        <v>6</v>
      </c>
      <c r="AT246" s="3" t="n">
        <v>4</v>
      </c>
      <c r="AU246" s="3" t="n">
        <v>4</v>
      </c>
      <c r="AV246" s="3" t="n">
        <v>6</v>
      </c>
      <c r="AW246" s="3" t="n">
        <v>6</v>
      </c>
      <c r="AX246" s="3" t="n">
        <v>3</v>
      </c>
      <c r="AY246" s="3" t="n">
        <v>3</v>
      </c>
      <c r="AZ246" s="3" t="n">
        <v>1</v>
      </c>
      <c r="BA246" s="5" t="n">
        <v>11</v>
      </c>
      <c r="BB246" s="3" t="n">
        <v>2</v>
      </c>
      <c r="BC246" s="3" t="n">
        <v>1</v>
      </c>
      <c r="BD246" s="3" t="n">
        <v>6</v>
      </c>
      <c r="BE246" s="3" t="n">
        <v>3</v>
      </c>
      <c r="BF246" s="3" t="n">
        <v>5</v>
      </c>
      <c r="BG246" s="3" t="n">
        <v>3</v>
      </c>
      <c r="BH246" s="3" t="n">
        <v>4</v>
      </c>
      <c r="BI246" s="3" t="n">
        <v>1</v>
      </c>
      <c r="BJ246" s="3" t="n">
        <v>1</v>
      </c>
      <c r="BK246" s="6" t="s">
        <v>809</v>
      </c>
    </row>
    <row r="247" customFormat="false" ht="15" hidden="false" customHeight="true" outlineLevel="0" collapsed="false">
      <c r="B247" s="2" t="s">
        <v>698</v>
      </c>
      <c r="C247" s="2" t="s">
        <v>699</v>
      </c>
      <c r="D247" s="2" t="s">
        <v>700</v>
      </c>
      <c r="E247" s="2" t="n">
        <v>170287</v>
      </c>
      <c r="F247" s="15" t="n">
        <v>43494</v>
      </c>
      <c r="G247" s="15" t="n">
        <v>43500</v>
      </c>
      <c r="H247" s="3" t="n">
        <v>6</v>
      </c>
      <c r="I247" s="3" t="n">
        <v>1</v>
      </c>
      <c r="J247" s="3" t="n">
        <v>58</v>
      </c>
      <c r="K247" s="3" t="n">
        <v>1</v>
      </c>
      <c r="L247" s="3" t="n">
        <v>2</v>
      </c>
      <c r="M247" s="3" t="n">
        <v>2</v>
      </c>
      <c r="N247" s="3" t="n">
        <v>2</v>
      </c>
      <c r="O247" s="3" t="n">
        <v>2</v>
      </c>
      <c r="P247" s="3" t="n">
        <v>2</v>
      </c>
      <c r="Q247" s="3" t="n">
        <v>2</v>
      </c>
      <c r="R247" s="3" t="n">
        <v>2</v>
      </c>
      <c r="S247" s="3" t="n">
        <v>2</v>
      </c>
      <c r="T247" s="4" t="n">
        <v>1</v>
      </c>
      <c r="U247" s="3" t="n">
        <v>1</v>
      </c>
      <c r="V247" s="3" t="n">
        <v>5.35</v>
      </c>
      <c r="W247" s="3" t="n">
        <v>0.91</v>
      </c>
      <c r="X247" s="3" t="n">
        <v>4.3</v>
      </c>
      <c r="Y247" s="3" t="n">
        <v>232</v>
      </c>
      <c r="AA247" s="3" t="n">
        <v>0.28</v>
      </c>
      <c r="AB247" s="3" t="n">
        <v>8.6</v>
      </c>
      <c r="AC247" s="3" t="n">
        <v>1</v>
      </c>
      <c r="AD247" s="3" t="n">
        <v>1</v>
      </c>
      <c r="AE247" s="3" t="n">
        <v>2</v>
      </c>
      <c r="AF247" s="3" t="n">
        <v>1</v>
      </c>
      <c r="AG247" s="3" t="n">
        <v>2</v>
      </c>
      <c r="AH247" s="3" t="n">
        <v>1</v>
      </c>
      <c r="AI247" s="3" t="n">
        <v>1</v>
      </c>
      <c r="AJ247" s="3" t="n">
        <v>2</v>
      </c>
      <c r="AK247" s="3" t="n">
        <v>2</v>
      </c>
      <c r="AL247" s="3" t="n">
        <v>2</v>
      </c>
      <c r="AM247" s="3" t="n">
        <v>2</v>
      </c>
      <c r="AN247" s="3" t="n">
        <v>2</v>
      </c>
      <c r="AO247" s="3" t="n">
        <v>2</v>
      </c>
      <c r="AP247" s="3" t="n">
        <v>3</v>
      </c>
      <c r="AQ247" s="3" t="n">
        <v>4</v>
      </c>
      <c r="AR247" s="3" t="n">
        <v>4</v>
      </c>
      <c r="AS247" s="3" t="n">
        <v>6</v>
      </c>
      <c r="AT247" s="3" t="n">
        <v>4</v>
      </c>
      <c r="AU247" s="3" t="n">
        <v>4</v>
      </c>
      <c r="AV247" s="3" t="n">
        <v>6</v>
      </c>
      <c r="AW247" s="3" t="n">
        <v>6</v>
      </c>
      <c r="AX247" s="3" t="n">
        <v>3</v>
      </c>
      <c r="AY247" s="3" t="n">
        <v>3</v>
      </c>
      <c r="AZ247" s="3" t="n">
        <v>1</v>
      </c>
      <c r="BA247" s="5" t="n">
        <v>5</v>
      </c>
      <c r="BB247" s="3" t="n">
        <v>2</v>
      </c>
      <c r="BC247" s="3" t="n">
        <v>1</v>
      </c>
      <c r="BD247" s="3" t="n">
        <v>6</v>
      </c>
      <c r="BE247" s="3" t="n">
        <v>3</v>
      </c>
      <c r="BF247" s="3" t="n">
        <v>5</v>
      </c>
      <c r="BG247" s="3" t="n">
        <v>3</v>
      </c>
      <c r="BH247" s="3" t="n">
        <v>4</v>
      </c>
      <c r="BI247" s="3" t="n">
        <v>1</v>
      </c>
      <c r="BJ247" s="3" t="n">
        <v>1</v>
      </c>
      <c r="BK247" s="6" t="s">
        <v>810</v>
      </c>
    </row>
    <row r="248" customFormat="false" ht="15" hidden="false" customHeight="true" outlineLevel="0" collapsed="false">
      <c r="B248" s="2" t="s">
        <v>811</v>
      </c>
      <c r="C248" s="2" t="s">
        <v>95</v>
      </c>
      <c r="D248" s="2" t="s">
        <v>812</v>
      </c>
      <c r="E248" s="2" t="s">
        <v>813</v>
      </c>
      <c r="F248" s="15" t="n">
        <v>43501</v>
      </c>
      <c r="G248" s="15" t="n">
        <v>43502</v>
      </c>
      <c r="H248" s="3" t="n">
        <v>1</v>
      </c>
      <c r="I248" s="3" t="n">
        <v>1</v>
      </c>
      <c r="J248" s="3" t="n">
        <v>64</v>
      </c>
      <c r="K248" s="3" t="n">
        <v>1</v>
      </c>
      <c r="L248" s="3" t="n">
        <v>2</v>
      </c>
      <c r="M248" s="3" t="n">
        <v>1</v>
      </c>
      <c r="N248" s="3" t="n">
        <v>2</v>
      </c>
      <c r="O248" s="3" t="n">
        <v>2</v>
      </c>
      <c r="P248" s="3" t="n">
        <v>2</v>
      </c>
      <c r="Q248" s="3" t="n">
        <v>2</v>
      </c>
      <c r="R248" s="3" t="n">
        <v>2</v>
      </c>
      <c r="S248" s="3" t="n">
        <v>1</v>
      </c>
      <c r="T248" s="4" t="n">
        <v>5</v>
      </c>
      <c r="U248" s="3" t="n">
        <v>1</v>
      </c>
      <c r="AC248" s="3" t="n">
        <v>3</v>
      </c>
      <c r="AD248" s="3" t="n">
        <v>1</v>
      </c>
      <c r="AE248" s="3" t="n">
        <v>2</v>
      </c>
      <c r="AF248" s="3" t="n">
        <v>1</v>
      </c>
      <c r="AG248" s="3" t="n">
        <v>1</v>
      </c>
      <c r="AH248" s="3" t="n">
        <v>2</v>
      </c>
      <c r="AI248" s="3" t="n">
        <v>1</v>
      </c>
      <c r="AJ248" s="3" t="n">
        <v>1</v>
      </c>
      <c r="AK248" s="3" t="n">
        <v>2</v>
      </c>
      <c r="AL248" s="3" t="n">
        <v>2</v>
      </c>
      <c r="AM248" s="3" t="n">
        <v>2</v>
      </c>
      <c r="AN248" s="3" t="n">
        <v>2</v>
      </c>
      <c r="AO248" s="3" t="n">
        <v>2</v>
      </c>
      <c r="AP248" s="3" t="n">
        <v>3</v>
      </c>
      <c r="AQ248" s="3" t="n">
        <v>4</v>
      </c>
      <c r="AR248" s="3" t="n">
        <v>4</v>
      </c>
      <c r="AS248" s="3" t="n">
        <v>6</v>
      </c>
      <c r="AT248" s="3" t="n">
        <v>4</v>
      </c>
      <c r="AU248" s="3" t="n">
        <v>4</v>
      </c>
      <c r="AV248" s="3" t="n">
        <v>6</v>
      </c>
      <c r="AW248" s="3" t="n">
        <v>6</v>
      </c>
      <c r="AX248" s="3" t="n">
        <v>3</v>
      </c>
      <c r="AY248" s="3" t="n">
        <v>3</v>
      </c>
      <c r="AZ248" s="3" t="n">
        <v>1</v>
      </c>
      <c r="BA248" s="5" t="n">
        <v>3</v>
      </c>
      <c r="BB248" s="3" t="n">
        <v>2</v>
      </c>
      <c r="BC248" s="3" t="n">
        <v>1</v>
      </c>
      <c r="BD248" s="3" t="n">
        <v>6</v>
      </c>
      <c r="BE248" s="3" t="n">
        <v>3</v>
      </c>
      <c r="BF248" s="3" t="n">
        <v>5</v>
      </c>
      <c r="BG248" s="3" t="n">
        <v>3</v>
      </c>
      <c r="BH248" s="3" t="n">
        <v>4</v>
      </c>
      <c r="BI248" s="3" t="n">
        <v>1</v>
      </c>
      <c r="BJ248" s="3" t="n">
        <v>1</v>
      </c>
      <c r="BK248" s="6" t="s">
        <v>814</v>
      </c>
    </row>
    <row r="249" customFormat="false" ht="15" hidden="false" customHeight="true" outlineLevel="0" collapsed="false">
      <c r="B249" s="2" t="s">
        <v>815</v>
      </c>
      <c r="C249" s="2" t="s">
        <v>816</v>
      </c>
      <c r="D249" s="2" t="s">
        <v>707</v>
      </c>
      <c r="E249" s="2" t="n">
        <v>170519</v>
      </c>
      <c r="F249" s="15" t="n">
        <v>43495</v>
      </c>
      <c r="G249" s="15" t="n">
        <v>43501</v>
      </c>
      <c r="H249" s="3" t="n">
        <v>6</v>
      </c>
      <c r="I249" s="3" t="n">
        <v>2</v>
      </c>
      <c r="J249" s="3" t="n">
        <v>43</v>
      </c>
      <c r="K249" s="3" t="n">
        <v>2</v>
      </c>
      <c r="L249" s="3" t="n">
        <v>2</v>
      </c>
      <c r="M249" s="3" t="n">
        <v>1</v>
      </c>
      <c r="N249" s="3" t="n">
        <v>2</v>
      </c>
      <c r="O249" s="3" t="n">
        <v>1</v>
      </c>
      <c r="P249" s="3" t="n">
        <v>2</v>
      </c>
      <c r="Q249" s="3" t="n">
        <v>2</v>
      </c>
      <c r="R249" s="3" t="n">
        <v>2</v>
      </c>
      <c r="S249" s="3" t="n">
        <v>2</v>
      </c>
      <c r="T249" s="4" t="n">
        <v>3</v>
      </c>
      <c r="U249" s="3" t="n">
        <v>4</v>
      </c>
      <c r="V249" s="3" t="n">
        <v>3.15</v>
      </c>
      <c r="W249" s="3" t="n">
        <v>0.92</v>
      </c>
      <c r="X249" s="3" t="n">
        <v>5.2</v>
      </c>
      <c r="Y249" s="3" t="n">
        <v>407</v>
      </c>
      <c r="AA249" s="3" t="n">
        <v>0.32</v>
      </c>
      <c r="AB249" s="3" t="n">
        <v>11.8</v>
      </c>
      <c r="AC249" s="3" t="n">
        <v>1</v>
      </c>
      <c r="AD249" s="3" t="n">
        <v>2</v>
      </c>
      <c r="AE249" s="3" t="n">
        <v>2</v>
      </c>
      <c r="AF249" s="3" t="n">
        <v>2</v>
      </c>
      <c r="AG249" s="3" t="n">
        <v>2</v>
      </c>
      <c r="AH249" s="3" t="n">
        <v>2</v>
      </c>
      <c r="AI249" s="3" t="n">
        <v>2</v>
      </c>
      <c r="AJ249" s="3" t="n">
        <v>1</v>
      </c>
      <c r="AK249" s="3" t="n">
        <v>2</v>
      </c>
      <c r="AL249" s="3" t="n">
        <v>2</v>
      </c>
      <c r="AM249" s="3" t="n">
        <v>1</v>
      </c>
      <c r="AN249" s="3" t="n">
        <v>2</v>
      </c>
      <c r="AO249" s="3" t="n">
        <v>1</v>
      </c>
      <c r="AP249" s="3" t="n">
        <v>3</v>
      </c>
      <c r="AQ249" s="3" t="n">
        <v>4</v>
      </c>
      <c r="AR249" s="3" t="n">
        <v>4</v>
      </c>
      <c r="AS249" s="3" t="n">
        <v>6</v>
      </c>
      <c r="AT249" s="3" t="n">
        <v>4</v>
      </c>
      <c r="AU249" s="3" t="n">
        <v>4</v>
      </c>
      <c r="AV249" s="3" t="n">
        <v>6</v>
      </c>
      <c r="AW249" s="3" t="n">
        <v>6</v>
      </c>
      <c r="AX249" s="3" t="n">
        <v>3</v>
      </c>
      <c r="AY249" s="3" t="n">
        <v>3</v>
      </c>
      <c r="AZ249" s="3" t="n">
        <v>1</v>
      </c>
      <c r="BA249" s="5" t="n">
        <v>11</v>
      </c>
      <c r="BB249" s="3" t="n">
        <v>2</v>
      </c>
      <c r="BC249" s="3" t="n">
        <v>1</v>
      </c>
      <c r="BD249" s="3" t="n">
        <v>6</v>
      </c>
      <c r="BE249" s="3" t="n">
        <v>3</v>
      </c>
      <c r="BF249" s="3" t="n">
        <v>5</v>
      </c>
      <c r="BG249" s="3" t="n">
        <v>3</v>
      </c>
      <c r="BH249" s="3" t="n">
        <v>4</v>
      </c>
      <c r="BI249" s="3" t="n">
        <v>1</v>
      </c>
      <c r="BJ249" s="3" t="n">
        <v>1</v>
      </c>
      <c r="BK249" s="6" t="s">
        <v>817</v>
      </c>
    </row>
    <row r="250" customFormat="false" ht="15" hidden="false" customHeight="true" outlineLevel="0" collapsed="false">
      <c r="B250" s="2" t="s">
        <v>156</v>
      </c>
      <c r="C250" s="2" t="s">
        <v>818</v>
      </c>
      <c r="D250" s="2" t="s">
        <v>819</v>
      </c>
      <c r="E250" s="2" t="n">
        <v>170569</v>
      </c>
      <c r="F250" s="15" t="n">
        <v>43497</v>
      </c>
      <c r="G250" s="15" t="n">
        <v>43501</v>
      </c>
      <c r="H250" s="3" t="n">
        <v>4</v>
      </c>
      <c r="I250" s="3" t="n">
        <v>2</v>
      </c>
      <c r="J250" s="3" t="n">
        <v>52</v>
      </c>
      <c r="K250" s="3" t="n">
        <v>2</v>
      </c>
      <c r="L250" s="3" t="n">
        <v>1</v>
      </c>
      <c r="M250" s="3" t="n">
        <v>2</v>
      </c>
      <c r="N250" s="3" t="n">
        <v>2</v>
      </c>
      <c r="O250" s="3" t="n">
        <v>1</v>
      </c>
      <c r="P250" s="3" t="n">
        <v>2</v>
      </c>
      <c r="Q250" s="3" t="n">
        <v>2</v>
      </c>
      <c r="R250" s="3" t="n">
        <v>2</v>
      </c>
      <c r="S250" s="3" t="n">
        <v>2</v>
      </c>
      <c r="T250" s="4" t="n">
        <v>3</v>
      </c>
      <c r="U250" s="3" t="n">
        <v>1</v>
      </c>
      <c r="V250" s="3" t="n">
        <v>5.93</v>
      </c>
      <c r="W250" s="3" t="n">
        <v>1.16</v>
      </c>
      <c r="X250" s="3" t="n">
        <v>6.6</v>
      </c>
      <c r="Y250" s="3" t="n">
        <v>417</v>
      </c>
      <c r="AA250" s="3" t="n">
        <v>0.42</v>
      </c>
      <c r="AB250" s="3" t="n">
        <v>14.9</v>
      </c>
      <c r="AC250" s="3" t="n">
        <v>1</v>
      </c>
      <c r="AD250" s="3" t="n">
        <v>1</v>
      </c>
      <c r="AE250" s="3" t="n">
        <v>1</v>
      </c>
      <c r="AF250" s="3" t="n">
        <v>1</v>
      </c>
      <c r="AG250" s="3" t="n">
        <v>2</v>
      </c>
      <c r="AH250" s="3" t="n">
        <v>1</v>
      </c>
      <c r="AI250" s="3" t="n">
        <v>2</v>
      </c>
      <c r="AJ250" s="3" t="n">
        <v>1</v>
      </c>
      <c r="AK250" s="3" t="n">
        <v>2</v>
      </c>
      <c r="AL250" s="3" t="n">
        <v>2</v>
      </c>
      <c r="AM250" s="3" t="n">
        <v>1</v>
      </c>
      <c r="AN250" s="3" t="n">
        <v>2</v>
      </c>
      <c r="AO250" s="3" t="n">
        <v>2</v>
      </c>
      <c r="AP250" s="3" t="n">
        <v>3</v>
      </c>
      <c r="AQ250" s="3" t="n">
        <v>4</v>
      </c>
      <c r="AR250" s="3" t="n">
        <v>4</v>
      </c>
      <c r="AS250" s="3" t="n">
        <v>6</v>
      </c>
      <c r="AT250" s="3" t="n">
        <v>4</v>
      </c>
      <c r="AU250" s="3" t="n">
        <v>4</v>
      </c>
      <c r="AV250" s="3" t="n">
        <v>6</v>
      </c>
      <c r="AW250" s="3" t="n">
        <v>6</v>
      </c>
      <c r="AX250" s="3" t="n">
        <v>3</v>
      </c>
      <c r="AY250" s="3" t="n">
        <v>3</v>
      </c>
      <c r="AZ250" s="3" t="n">
        <v>1</v>
      </c>
      <c r="BA250" s="5" t="n">
        <v>11</v>
      </c>
      <c r="BB250" s="3" t="n">
        <v>2</v>
      </c>
      <c r="BC250" s="3" t="n">
        <v>1</v>
      </c>
      <c r="BD250" s="3" t="n">
        <v>6</v>
      </c>
      <c r="BE250" s="3" t="n">
        <v>3</v>
      </c>
      <c r="BF250" s="3" t="n">
        <v>5</v>
      </c>
      <c r="BG250" s="3" t="n">
        <v>3</v>
      </c>
      <c r="BH250" s="3" t="n">
        <v>4</v>
      </c>
      <c r="BI250" s="3" t="n">
        <v>1</v>
      </c>
      <c r="BJ250" s="3" t="n">
        <v>1</v>
      </c>
      <c r="BK250" s="6" t="s">
        <v>820</v>
      </c>
    </row>
    <row r="251" customFormat="false" ht="15" hidden="false" customHeight="true" outlineLevel="0" collapsed="false">
      <c r="B251" s="2" t="s">
        <v>137</v>
      </c>
      <c r="C251" s="2" t="s">
        <v>691</v>
      </c>
      <c r="D251" s="2" t="s">
        <v>138</v>
      </c>
      <c r="E251" s="2" t="n">
        <v>170589</v>
      </c>
      <c r="F251" s="15" t="n">
        <v>43497</v>
      </c>
      <c r="G251" s="15" t="n">
        <v>43502</v>
      </c>
      <c r="H251" s="3" t="n">
        <v>5</v>
      </c>
      <c r="I251" s="3" t="n">
        <v>1</v>
      </c>
      <c r="J251" s="3" t="n">
        <v>63</v>
      </c>
      <c r="K251" s="3" t="n">
        <v>1</v>
      </c>
      <c r="L251" s="3" t="n">
        <v>2</v>
      </c>
      <c r="M251" s="3" t="n">
        <v>1</v>
      </c>
      <c r="N251" s="3" t="n">
        <v>1</v>
      </c>
      <c r="O251" s="3" t="n">
        <v>2</v>
      </c>
      <c r="P251" s="3" t="n">
        <v>2</v>
      </c>
      <c r="Q251" s="3" t="n">
        <v>2</v>
      </c>
      <c r="R251" s="3" t="n">
        <v>2</v>
      </c>
      <c r="S251" s="3" t="n">
        <v>1</v>
      </c>
      <c r="T251" s="4" t="n">
        <v>1</v>
      </c>
      <c r="U251" s="3" t="n">
        <v>1</v>
      </c>
      <c r="V251" s="3" t="n">
        <v>3.26</v>
      </c>
      <c r="W251" s="3" t="n">
        <v>1.25</v>
      </c>
      <c r="X251" s="3" t="n">
        <v>5.9</v>
      </c>
      <c r="Y251" s="3" t="n">
        <v>378</v>
      </c>
      <c r="AA251" s="3" t="n">
        <v>0.4</v>
      </c>
      <c r="AB251" s="3" t="n">
        <v>9</v>
      </c>
      <c r="AC251" s="3" t="n">
        <v>2</v>
      </c>
      <c r="AD251" s="3" t="n">
        <v>1</v>
      </c>
      <c r="AE251" s="3" t="n">
        <v>1</v>
      </c>
      <c r="AF251" s="3" t="n">
        <v>1</v>
      </c>
      <c r="AG251" s="3" t="n">
        <v>1</v>
      </c>
      <c r="AH251" s="3" t="n">
        <v>2</v>
      </c>
      <c r="AI251" s="3" t="n">
        <v>2</v>
      </c>
      <c r="AJ251" s="3" t="n">
        <v>2</v>
      </c>
      <c r="AK251" s="3" t="n">
        <v>2</v>
      </c>
      <c r="AL251" s="3" t="n">
        <v>2</v>
      </c>
      <c r="AM251" s="3" t="n">
        <v>2</v>
      </c>
      <c r="AN251" s="3" t="n">
        <v>2</v>
      </c>
      <c r="AO251" s="3" t="n">
        <v>2</v>
      </c>
      <c r="AP251" s="3" t="n">
        <v>3</v>
      </c>
      <c r="AQ251" s="3" t="n">
        <v>4</v>
      </c>
      <c r="AR251" s="3" t="n">
        <v>4</v>
      </c>
      <c r="AS251" s="3" t="n">
        <v>6</v>
      </c>
      <c r="AT251" s="3" t="n">
        <v>4</v>
      </c>
      <c r="AU251" s="3" t="n">
        <v>4</v>
      </c>
      <c r="AV251" s="3" t="n">
        <v>6</v>
      </c>
      <c r="AW251" s="3" t="n">
        <v>6</v>
      </c>
      <c r="AX251" s="3" t="n">
        <v>3</v>
      </c>
      <c r="AY251" s="3" t="n">
        <v>3</v>
      </c>
      <c r="AZ251" s="3" t="n">
        <v>1</v>
      </c>
      <c r="BA251" s="5" t="n">
        <v>5</v>
      </c>
      <c r="BB251" s="3" t="n">
        <v>2</v>
      </c>
      <c r="BC251" s="3" t="n">
        <v>1</v>
      </c>
      <c r="BD251" s="3" t="n">
        <v>6</v>
      </c>
      <c r="BE251" s="3" t="n">
        <v>3</v>
      </c>
      <c r="BF251" s="3" t="n">
        <v>5</v>
      </c>
      <c r="BG251" s="3" t="n">
        <v>3</v>
      </c>
      <c r="BH251" s="3" t="n">
        <v>4</v>
      </c>
      <c r="BI251" s="3" t="n">
        <v>1</v>
      </c>
      <c r="BJ251" s="3" t="n">
        <v>1</v>
      </c>
      <c r="BK251" s="6" t="s">
        <v>821</v>
      </c>
    </row>
    <row r="252" customFormat="false" ht="15" hidden="false" customHeight="true" outlineLevel="0" collapsed="false">
      <c r="B252" s="2" t="s">
        <v>822</v>
      </c>
      <c r="C252" s="2" t="s">
        <v>433</v>
      </c>
      <c r="D252" s="2" t="s">
        <v>823</v>
      </c>
      <c r="E252" s="2" t="n">
        <v>120625</v>
      </c>
      <c r="F252" s="15" t="n">
        <v>43499</v>
      </c>
      <c r="G252" s="15" t="n">
        <v>43502</v>
      </c>
      <c r="H252" s="3" t="n">
        <v>3</v>
      </c>
      <c r="I252" s="3" t="n">
        <v>1</v>
      </c>
      <c r="J252" s="3" t="n">
        <v>79</v>
      </c>
      <c r="K252" s="3" t="n">
        <v>2</v>
      </c>
      <c r="L252" s="3" t="n">
        <v>2</v>
      </c>
      <c r="M252" s="3" t="n">
        <v>1</v>
      </c>
      <c r="N252" s="3" t="n">
        <v>1</v>
      </c>
      <c r="O252" s="3" t="n">
        <v>2</v>
      </c>
      <c r="P252" s="3" t="n">
        <v>2</v>
      </c>
      <c r="Q252" s="3" t="n">
        <v>2</v>
      </c>
      <c r="R252" s="3" t="n">
        <v>2</v>
      </c>
      <c r="S252" s="3" t="n">
        <v>1</v>
      </c>
      <c r="T252" s="4" t="n">
        <v>12</v>
      </c>
      <c r="U252" s="3" t="n">
        <v>1</v>
      </c>
      <c r="V252" s="3" t="n">
        <v>3.72</v>
      </c>
      <c r="W252" s="3" t="n">
        <v>0.66</v>
      </c>
      <c r="X252" s="3" t="n">
        <v>4.93</v>
      </c>
      <c r="Y252" s="3" t="n">
        <v>387</v>
      </c>
      <c r="AA252" s="3" t="n">
        <v>0.39</v>
      </c>
      <c r="AB252" s="3" t="n">
        <v>11.6</v>
      </c>
      <c r="AC252" s="3" t="n">
        <v>3</v>
      </c>
      <c r="AD252" s="3" t="n">
        <v>1</v>
      </c>
      <c r="AE252" s="3" t="n">
        <v>2</v>
      </c>
      <c r="AF252" s="3" t="n">
        <v>2</v>
      </c>
      <c r="AG252" s="3" t="n">
        <v>2</v>
      </c>
      <c r="AH252" s="3" t="n">
        <v>2</v>
      </c>
      <c r="AI252" s="3" t="n">
        <v>2</v>
      </c>
      <c r="AJ252" s="3" t="n">
        <v>1</v>
      </c>
      <c r="AK252" s="3" t="n">
        <v>2</v>
      </c>
      <c r="AL252" s="3" t="n">
        <v>2</v>
      </c>
      <c r="AM252" s="3" t="n">
        <v>1</v>
      </c>
      <c r="AN252" s="3" t="n">
        <v>2</v>
      </c>
      <c r="AO252" s="3" t="n">
        <v>2</v>
      </c>
      <c r="AP252" s="3" t="n">
        <v>3</v>
      </c>
      <c r="AQ252" s="3" t="n">
        <v>4</v>
      </c>
      <c r="AR252" s="3" t="n">
        <v>4</v>
      </c>
      <c r="AS252" s="3" t="n">
        <v>6</v>
      </c>
      <c r="AT252" s="3" t="n">
        <v>4</v>
      </c>
      <c r="AU252" s="3" t="n">
        <v>4</v>
      </c>
      <c r="AV252" s="3" t="n">
        <v>6</v>
      </c>
      <c r="AW252" s="3" t="n">
        <v>6</v>
      </c>
      <c r="AX252" s="3" t="n">
        <v>3</v>
      </c>
      <c r="AY252" s="3" t="n">
        <v>3</v>
      </c>
      <c r="AZ252" s="3" t="n">
        <v>1</v>
      </c>
      <c r="BA252" s="5" t="n">
        <v>3</v>
      </c>
      <c r="BB252" s="3" t="n">
        <v>2</v>
      </c>
      <c r="BC252" s="3" t="n">
        <v>1</v>
      </c>
      <c r="BD252" s="3" t="n">
        <v>6</v>
      </c>
      <c r="BE252" s="3" t="n">
        <v>3</v>
      </c>
      <c r="BF252" s="3" t="n">
        <v>5</v>
      </c>
      <c r="BG252" s="3" t="n">
        <v>3</v>
      </c>
      <c r="BH252" s="3" t="n">
        <v>4</v>
      </c>
      <c r="BI252" s="3" t="n">
        <v>1</v>
      </c>
      <c r="BJ252" s="3" t="n">
        <v>1</v>
      </c>
      <c r="BK252" s="6" t="s">
        <v>824</v>
      </c>
    </row>
    <row r="253" customFormat="false" ht="15" hidden="false" customHeight="true" outlineLevel="0" collapsed="false">
      <c r="B253" s="2" t="s">
        <v>825</v>
      </c>
      <c r="C253" s="2" t="s">
        <v>127</v>
      </c>
      <c r="D253" s="2" t="s">
        <v>826</v>
      </c>
      <c r="E253" s="2" t="n">
        <v>170733</v>
      </c>
      <c r="F253" s="15" t="n">
        <v>43500</v>
      </c>
      <c r="G253" s="15" t="n">
        <v>43503</v>
      </c>
      <c r="H253" s="3" t="n">
        <v>3</v>
      </c>
      <c r="I253" s="3" t="n">
        <v>2</v>
      </c>
      <c r="J253" s="3" t="n">
        <v>56</v>
      </c>
      <c r="K253" s="3" t="n">
        <v>2</v>
      </c>
      <c r="L253" s="3" t="n">
        <v>2</v>
      </c>
      <c r="M253" s="3" t="n">
        <v>1</v>
      </c>
      <c r="N253" s="3" t="n">
        <v>1</v>
      </c>
      <c r="O253" s="3" t="n">
        <v>2</v>
      </c>
      <c r="P253" s="3" t="n">
        <v>2</v>
      </c>
      <c r="Q253" s="3" t="n">
        <v>2</v>
      </c>
      <c r="R253" s="3" t="n">
        <v>2</v>
      </c>
      <c r="S253" s="3" t="n">
        <v>1</v>
      </c>
      <c r="T253" s="4" t="n">
        <v>1</v>
      </c>
      <c r="U253" s="3" t="n">
        <v>1</v>
      </c>
      <c r="V253" s="3" t="n">
        <v>6.45</v>
      </c>
      <c r="W253" s="3" t="n">
        <v>3.02</v>
      </c>
      <c r="X253" s="3" t="n">
        <v>5.4</v>
      </c>
      <c r="Y253" s="3" t="n">
        <v>390</v>
      </c>
      <c r="AA253" s="3" t="n">
        <v>0.43</v>
      </c>
      <c r="AB253" s="3" t="n">
        <v>8.4</v>
      </c>
      <c r="AC253" s="3" t="n">
        <v>3</v>
      </c>
      <c r="AD253" s="3" t="n">
        <v>1</v>
      </c>
      <c r="AE253" s="3" t="n">
        <v>1</v>
      </c>
      <c r="AF253" s="3" t="n">
        <v>1</v>
      </c>
      <c r="AG253" s="3" t="n">
        <v>2</v>
      </c>
      <c r="AH253" s="3" t="n">
        <v>2</v>
      </c>
      <c r="AI253" s="3" t="n">
        <v>1</v>
      </c>
      <c r="AJ253" s="3" t="n">
        <v>1</v>
      </c>
      <c r="AK253" s="3" t="n">
        <v>2</v>
      </c>
      <c r="AL253" s="3" t="n">
        <v>2</v>
      </c>
      <c r="AM253" s="3" t="n">
        <v>1</v>
      </c>
      <c r="AN253" s="3" t="n">
        <v>2</v>
      </c>
      <c r="AO253" s="3" t="n">
        <v>2</v>
      </c>
      <c r="AP253" s="3" t="n">
        <v>1</v>
      </c>
      <c r="AQ253" s="3" t="n">
        <v>3</v>
      </c>
      <c r="AR253" s="3" t="n">
        <v>9</v>
      </c>
      <c r="AS253" s="3" t="n">
        <v>5</v>
      </c>
      <c r="AT253" s="3" t="n">
        <v>2</v>
      </c>
      <c r="AU253" s="3" t="n">
        <v>1</v>
      </c>
      <c r="AV253" s="3" t="n">
        <v>1</v>
      </c>
      <c r="AW253" s="3" t="n">
        <v>1</v>
      </c>
      <c r="AX253" s="3" t="n">
        <v>2</v>
      </c>
      <c r="AY253" s="3" t="n">
        <v>2</v>
      </c>
      <c r="AZ253" s="3" t="n">
        <v>1</v>
      </c>
      <c r="BA253" s="5" t="n">
        <v>5</v>
      </c>
      <c r="BB253" s="3" t="n">
        <v>2</v>
      </c>
      <c r="BC253" s="3" t="n">
        <v>1</v>
      </c>
      <c r="BD253" s="3" t="n">
        <v>6</v>
      </c>
      <c r="BE253" s="3" t="n">
        <v>3</v>
      </c>
      <c r="BF253" s="3" t="n">
        <v>5</v>
      </c>
      <c r="BG253" s="3" t="n">
        <v>3</v>
      </c>
      <c r="BH253" s="3" t="n">
        <v>4</v>
      </c>
      <c r="BI253" s="3" t="n">
        <v>1</v>
      </c>
      <c r="BJ253" s="3" t="n">
        <v>1</v>
      </c>
      <c r="BK253" s="6" t="s">
        <v>827</v>
      </c>
    </row>
    <row r="254" customFormat="false" ht="15" hidden="false" customHeight="true" outlineLevel="0" collapsed="false">
      <c r="B254" s="2" t="s">
        <v>828</v>
      </c>
      <c r="C254" s="2" t="s">
        <v>446</v>
      </c>
      <c r="D254" s="2" t="s">
        <v>829</v>
      </c>
      <c r="E254" s="2" t="n">
        <v>170702</v>
      </c>
      <c r="F254" s="15" t="n">
        <v>43498</v>
      </c>
      <c r="G254" s="15" t="n">
        <v>43504</v>
      </c>
      <c r="H254" s="3" t="n">
        <v>6</v>
      </c>
      <c r="I254" s="3" t="n">
        <v>1</v>
      </c>
      <c r="J254" s="3" t="n">
        <v>68</v>
      </c>
      <c r="K254" s="3" t="n">
        <v>1</v>
      </c>
      <c r="L254" s="3" t="n">
        <v>2</v>
      </c>
      <c r="M254" s="3" t="n">
        <v>1</v>
      </c>
      <c r="N254" s="3" t="n">
        <v>1</v>
      </c>
      <c r="O254" s="3" t="n">
        <v>2</v>
      </c>
      <c r="P254" s="3" t="n">
        <v>2</v>
      </c>
      <c r="Q254" s="3" t="n">
        <v>1</v>
      </c>
      <c r="R254" s="3" t="n">
        <v>1</v>
      </c>
      <c r="S254" s="3" t="n">
        <v>2</v>
      </c>
      <c r="T254" s="4" t="n">
        <v>1</v>
      </c>
      <c r="U254" s="3" t="n">
        <v>1</v>
      </c>
      <c r="V254" s="3" t="n">
        <v>6.13</v>
      </c>
      <c r="W254" s="3" t="n">
        <v>1.46</v>
      </c>
      <c r="X254" s="3" t="n">
        <v>3.66</v>
      </c>
      <c r="Y254" s="3" t="n">
        <v>425</v>
      </c>
      <c r="AA254" s="3" t="n">
        <v>0.35</v>
      </c>
      <c r="AB254" s="3" t="n">
        <v>11.6</v>
      </c>
      <c r="AC254" s="3" t="n">
        <v>1</v>
      </c>
      <c r="AD254" s="3" t="n">
        <v>1</v>
      </c>
      <c r="AE254" s="3" t="n">
        <v>1</v>
      </c>
      <c r="AF254" s="3" t="n">
        <v>1</v>
      </c>
      <c r="AG254" s="3" t="n">
        <v>2</v>
      </c>
      <c r="AH254" s="3" t="n">
        <v>2</v>
      </c>
      <c r="AI254" s="3" t="n">
        <v>1</v>
      </c>
      <c r="AJ254" s="3" t="n">
        <v>1</v>
      </c>
      <c r="AK254" s="3" t="n">
        <v>1</v>
      </c>
      <c r="AL254" s="3" t="n">
        <v>2</v>
      </c>
      <c r="AM254" s="3" t="n">
        <v>1</v>
      </c>
      <c r="AN254" s="3" t="n">
        <v>2</v>
      </c>
      <c r="AO254" s="3" t="n">
        <v>2</v>
      </c>
      <c r="AP254" s="3" t="n">
        <v>3</v>
      </c>
      <c r="AQ254" s="3" t="n">
        <v>4</v>
      </c>
      <c r="AR254" s="3" t="n">
        <v>4</v>
      </c>
      <c r="AS254" s="3" t="n">
        <v>6</v>
      </c>
      <c r="AT254" s="3" t="n">
        <v>4</v>
      </c>
      <c r="AU254" s="3" t="n">
        <v>4</v>
      </c>
      <c r="AV254" s="3" t="n">
        <v>6</v>
      </c>
      <c r="AW254" s="3" t="n">
        <v>6</v>
      </c>
      <c r="AX254" s="3" t="n">
        <v>3</v>
      </c>
      <c r="AY254" s="3" t="n">
        <v>3</v>
      </c>
      <c r="AZ254" s="3" t="n">
        <v>1</v>
      </c>
      <c r="BA254" s="5" t="n">
        <v>5</v>
      </c>
      <c r="BB254" s="3" t="n">
        <v>2</v>
      </c>
      <c r="BC254" s="3" t="n">
        <v>1</v>
      </c>
      <c r="BD254" s="3" t="n">
        <v>6</v>
      </c>
      <c r="BE254" s="3" t="n">
        <v>3</v>
      </c>
      <c r="BF254" s="3" t="n">
        <v>5</v>
      </c>
      <c r="BG254" s="3" t="n">
        <v>3</v>
      </c>
      <c r="BH254" s="3" t="n">
        <v>4</v>
      </c>
      <c r="BI254" s="3" t="n">
        <v>1</v>
      </c>
      <c r="BJ254" s="3" t="n">
        <v>1</v>
      </c>
      <c r="BK254" s="6" t="s">
        <v>830</v>
      </c>
    </row>
    <row r="255" customFormat="false" ht="15" hidden="false" customHeight="true" outlineLevel="0" collapsed="false">
      <c r="B255" s="2" t="s">
        <v>831</v>
      </c>
      <c r="C255" s="2" t="s">
        <v>91</v>
      </c>
      <c r="D255" s="2" t="s">
        <v>832</v>
      </c>
      <c r="E255" s="2" t="n">
        <v>170837</v>
      </c>
      <c r="F255" s="15" t="n">
        <v>43503</v>
      </c>
      <c r="G255" s="15" t="n">
        <v>43504</v>
      </c>
      <c r="H255" s="3" t="n">
        <v>1</v>
      </c>
      <c r="I255" s="3" t="n">
        <v>2</v>
      </c>
      <c r="J255" s="3" t="n">
        <v>45</v>
      </c>
      <c r="K255" s="3" t="n">
        <v>1</v>
      </c>
      <c r="L255" s="3" t="n">
        <v>1</v>
      </c>
      <c r="M255" s="3" t="n">
        <v>1</v>
      </c>
      <c r="N255" s="3" t="n">
        <v>1</v>
      </c>
      <c r="O255" s="3" t="n">
        <v>2</v>
      </c>
      <c r="P255" s="3" t="n">
        <v>2</v>
      </c>
      <c r="Q255" s="3" t="n">
        <v>2</v>
      </c>
      <c r="R255" s="3" t="n">
        <v>2</v>
      </c>
      <c r="S255" s="3" t="n">
        <v>1</v>
      </c>
      <c r="T255" s="4" t="n">
        <v>5</v>
      </c>
      <c r="U255" s="3" t="n">
        <v>1</v>
      </c>
      <c r="AC255" s="3" t="n">
        <v>3</v>
      </c>
      <c r="AD255" s="3" t="n">
        <v>2</v>
      </c>
      <c r="AE255" s="3" t="n">
        <v>2</v>
      </c>
      <c r="AF255" s="3" t="n">
        <v>1</v>
      </c>
      <c r="AG255" s="3" t="n">
        <v>2</v>
      </c>
      <c r="AH255" s="3" t="n">
        <v>1</v>
      </c>
      <c r="AI255" s="3" t="n">
        <v>1</v>
      </c>
      <c r="AJ255" s="3" t="n">
        <v>1</v>
      </c>
      <c r="AK255" s="3" t="n">
        <v>2</v>
      </c>
      <c r="AL255" s="3" t="n">
        <v>2</v>
      </c>
      <c r="AM255" s="3" t="n">
        <v>1</v>
      </c>
      <c r="AN255" s="3" t="n">
        <v>2</v>
      </c>
      <c r="AO255" s="3" t="n">
        <v>2</v>
      </c>
      <c r="BA255" s="5" t="n">
        <v>3</v>
      </c>
      <c r="BB255" s="3" t="n">
        <v>2</v>
      </c>
      <c r="BC255" s="3" t="n">
        <v>1</v>
      </c>
      <c r="BD255" s="3" t="n">
        <v>6</v>
      </c>
      <c r="BE255" s="3" t="n">
        <v>3</v>
      </c>
      <c r="BF255" s="3" t="n">
        <v>5</v>
      </c>
      <c r="BG255" s="3" t="n">
        <v>3</v>
      </c>
      <c r="BH255" s="3" t="n">
        <v>4</v>
      </c>
      <c r="BI255" s="3" t="n">
        <v>1</v>
      </c>
      <c r="BJ255" s="3" t="n">
        <v>1</v>
      </c>
      <c r="BK255" s="6" t="s">
        <v>833</v>
      </c>
    </row>
    <row r="256" customFormat="false" ht="15" hidden="false" customHeight="true" outlineLevel="0" collapsed="false">
      <c r="B256" s="2" t="s">
        <v>834</v>
      </c>
      <c r="C256" s="2" t="s">
        <v>835</v>
      </c>
      <c r="D256" s="2" t="s">
        <v>330</v>
      </c>
      <c r="E256" s="2" t="n">
        <v>170080</v>
      </c>
      <c r="F256" s="15" t="n">
        <v>43499</v>
      </c>
      <c r="G256" s="15" t="n">
        <v>43504</v>
      </c>
      <c r="H256" s="3" t="n">
        <v>5</v>
      </c>
      <c r="I256" s="3" t="n">
        <v>2</v>
      </c>
      <c r="J256" s="3" t="n">
        <v>45</v>
      </c>
      <c r="K256" s="3" t="n">
        <v>1</v>
      </c>
      <c r="L256" s="3" t="n">
        <v>2</v>
      </c>
      <c r="M256" s="3" t="n">
        <v>1</v>
      </c>
      <c r="N256" s="3" t="n">
        <v>2</v>
      </c>
      <c r="O256" s="3" t="n">
        <v>1</v>
      </c>
      <c r="P256" s="3" t="n">
        <v>2</v>
      </c>
      <c r="Q256" s="3" t="n">
        <v>1</v>
      </c>
      <c r="R256" s="3" t="n">
        <v>2</v>
      </c>
      <c r="S256" s="3" t="n">
        <v>2</v>
      </c>
      <c r="T256" s="4" t="n">
        <v>12</v>
      </c>
      <c r="U256" s="3" t="n">
        <v>1</v>
      </c>
      <c r="V256" s="3" t="n">
        <v>4.68</v>
      </c>
      <c r="W256" s="3" t="n">
        <v>2.14</v>
      </c>
      <c r="X256" s="3" t="n">
        <v>13.9</v>
      </c>
      <c r="Y256" s="3" t="n">
        <v>444</v>
      </c>
      <c r="AA256" s="3" t="n">
        <v>0.41</v>
      </c>
      <c r="AB256" s="3" t="n">
        <v>15.6</v>
      </c>
      <c r="AC256" s="3" t="n">
        <v>1</v>
      </c>
      <c r="AD256" s="3" t="n">
        <v>2</v>
      </c>
      <c r="AE256" s="3" t="n">
        <v>1</v>
      </c>
      <c r="AF256" s="3" t="n">
        <v>1</v>
      </c>
      <c r="AG256" s="3" t="n">
        <v>1</v>
      </c>
      <c r="AH256" s="3" t="n">
        <v>1</v>
      </c>
      <c r="AI256" s="3" t="n">
        <v>2</v>
      </c>
      <c r="AJ256" s="3" t="n">
        <v>1</v>
      </c>
      <c r="AK256" s="3" t="n">
        <v>1</v>
      </c>
      <c r="AL256" s="3" t="n">
        <v>2</v>
      </c>
      <c r="AM256" s="3" t="n">
        <v>1</v>
      </c>
      <c r="AN256" s="3" t="n">
        <v>2</v>
      </c>
      <c r="AO256" s="3" t="n">
        <v>2</v>
      </c>
      <c r="AP256" s="3" t="n">
        <v>3</v>
      </c>
      <c r="AQ256" s="3" t="n">
        <v>4</v>
      </c>
      <c r="AR256" s="3" t="n">
        <v>4</v>
      </c>
      <c r="AS256" s="3" t="n">
        <v>6</v>
      </c>
      <c r="AT256" s="3" t="n">
        <v>4</v>
      </c>
      <c r="AU256" s="3" t="n">
        <v>4</v>
      </c>
      <c r="AV256" s="3" t="n">
        <v>6</v>
      </c>
      <c r="AW256" s="3" t="n">
        <v>6</v>
      </c>
      <c r="AX256" s="3" t="n">
        <v>3</v>
      </c>
      <c r="AY256" s="3" t="n">
        <v>3</v>
      </c>
      <c r="AZ256" s="3" t="n">
        <v>1</v>
      </c>
      <c r="BA256" s="5" t="n">
        <v>3</v>
      </c>
      <c r="BB256" s="3" t="n">
        <v>2</v>
      </c>
      <c r="BC256" s="3" t="n">
        <v>1</v>
      </c>
      <c r="BD256" s="3" t="n">
        <v>6</v>
      </c>
      <c r="BE256" s="3" t="n">
        <v>3</v>
      </c>
      <c r="BF256" s="3" t="n">
        <v>5</v>
      </c>
      <c r="BG256" s="3" t="n">
        <v>3</v>
      </c>
      <c r="BH256" s="3" t="n">
        <v>4</v>
      </c>
      <c r="BI256" s="3" t="n">
        <v>1</v>
      </c>
      <c r="BJ256" s="3" t="n">
        <v>1</v>
      </c>
      <c r="BK256" s="6" t="s">
        <v>836</v>
      </c>
    </row>
    <row r="257" customFormat="false" ht="15" hidden="false" customHeight="true" outlineLevel="0" collapsed="false">
      <c r="B257" s="2" t="s">
        <v>837</v>
      </c>
      <c r="C257" s="2" t="s">
        <v>838</v>
      </c>
      <c r="D257" s="2" t="s">
        <v>839</v>
      </c>
      <c r="E257" s="2" t="n">
        <v>170880</v>
      </c>
      <c r="F257" s="15" t="n">
        <v>43504</v>
      </c>
      <c r="G257" s="15" t="n">
        <v>43507</v>
      </c>
      <c r="H257" s="3" t="n">
        <v>3</v>
      </c>
      <c r="I257" s="3" t="n">
        <v>1</v>
      </c>
      <c r="J257" s="3" t="n">
        <v>58</v>
      </c>
      <c r="K257" s="3" t="n">
        <v>1</v>
      </c>
      <c r="L257" s="3" t="n">
        <v>2</v>
      </c>
      <c r="M257" s="3" t="n">
        <v>1</v>
      </c>
      <c r="N257" s="3" t="n">
        <v>2</v>
      </c>
      <c r="O257" s="3" t="n">
        <v>2</v>
      </c>
      <c r="P257" s="3" t="n">
        <v>2</v>
      </c>
      <c r="Q257" s="3" t="n">
        <v>2</v>
      </c>
      <c r="R257" s="3" t="n">
        <v>2</v>
      </c>
      <c r="S257" s="3" t="n">
        <v>1</v>
      </c>
      <c r="T257" s="4" t="n">
        <v>3</v>
      </c>
      <c r="U257" s="3" t="n">
        <v>1</v>
      </c>
      <c r="AA257" s="3" t="n">
        <v>0.21</v>
      </c>
      <c r="AB257" s="3" t="n">
        <v>7.9</v>
      </c>
      <c r="AC257" s="3" t="n">
        <v>3</v>
      </c>
      <c r="AD257" s="3" t="n">
        <v>2</v>
      </c>
      <c r="AE257" s="3" t="n">
        <v>2</v>
      </c>
      <c r="AF257" s="3" t="n">
        <v>1</v>
      </c>
      <c r="AG257" s="3" t="n">
        <v>1</v>
      </c>
      <c r="AH257" s="3" t="n">
        <v>2</v>
      </c>
      <c r="AI257" s="3" t="n">
        <v>2</v>
      </c>
      <c r="AJ257" s="3" t="n">
        <v>1</v>
      </c>
      <c r="AK257" s="3" t="n">
        <v>2</v>
      </c>
      <c r="AL257" s="3" t="n">
        <v>2</v>
      </c>
      <c r="AM257" s="3" t="n">
        <v>2</v>
      </c>
      <c r="AN257" s="3" t="n">
        <v>2</v>
      </c>
      <c r="AO257" s="3" t="n">
        <v>2</v>
      </c>
      <c r="AP257" s="3" t="n">
        <v>3</v>
      </c>
      <c r="AQ257" s="3" t="n">
        <v>4</v>
      </c>
      <c r="AR257" s="3" t="n">
        <v>4</v>
      </c>
      <c r="AS257" s="3" t="n">
        <v>6</v>
      </c>
      <c r="AT257" s="3" t="n">
        <v>4</v>
      </c>
      <c r="AU257" s="3" t="n">
        <v>4</v>
      </c>
      <c r="AV257" s="3" t="n">
        <v>6</v>
      </c>
      <c r="AW257" s="3" t="n">
        <v>6</v>
      </c>
      <c r="AX257" s="3" t="n">
        <v>3</v>
      </c>
      <c r="AY257" s="3" t="n">
        <v>3</v>
      </c>
      <c r="AZ257" s="3" t="n">
        <v>1</v>
      </c>
      <c r="BA257" s="5" t="n">
        <v>11</v>
      </c>
      <c r="BB257" s="3" t="n">
        <v>2</v>
      </c>
      <c r="BC257" s="3" t="n">
        <v>1</v>
      </c>
      <c r="BD257" s="3" t="n">
        <v>6</v>
      </c>
      <c r="BE257" s="3" t="n">
        <v>3</v>
      </c>
      <c r="BF257" s="3" t="n">
        <v>5</v>
      </c>
      <c r="BG257" s="3" t="n">
        <v>3</v>
      </c>
      <c r="BH257" s="3" t="n">
        <v>4</v>
      </c>
      <c r="BI257" s="3" t="n">
        <v>1</v>
      </c>
      <c r="BJ257" s="3" t="n">
        <v>1</v>
      </c>
      <c r="BK257" s="6" t="s">
        <v>840</v>
      </c>
    </row>
    <row r="258" customFormat="false" ht="15" hidden="false" customHeight="true" outlineLevel="0" collapsed="false">
      <c r="B258" s="2" t="s">
        <v>841</v>
      </c>
      <c r="C258" s="2" t="s">
        <v>198</v>
      </c>
      <c r="D258" s="2" t="s">
        <v>842</v>
      </c>
      <c r="E258" s="2" t="n">
        <v>170805</v>
      </c>
      <c r="F258" s="15" t="n">
        <v>43502</v>
      </c>
      <c r="G258" s="15" t="n">
        <v>43507</v>
      </c>
      <c r="H258" s="3" t="n">
        <v>5</v>
      </c>
      <c r="I258" s="3" t="n">
        <v>2</v>
      </c>
      <c r="J258" s="3" t="n">
        <v>63</v>
      </c>
      <c r="K258" s="3" t="n">
        <v>1</v>
      </c>
      <c r="L258" s="3" t="n">
        <v>2</v>
      </c>
      <c r="M258" s="3" t="n">
        <v>1</v>
      </c>
      <c r="N258" s="3" t="n">
        <v>1</v>
      </c>
      <c r="O258" s="3" t="n">
        <v>2</v>
      </c>
      <c r="P258" s="3" t="n">
        <v>2</v>
      </c>
      <c r="Q258" s="3" t="n">
        <v>2</v>
      </c>
      <c r="R258" s="3" t="n">
        <v>2</v>
      </c>
      <c r="S258" s="3" t="n">
        <v>1</v>
      </c>
      <c r="T258" s="4" t="n">
        <v>1</v>
      </c>
      <c r="U258" s="3" t="n">
        <v>1</v>
      </c>
      <c r="V258" s="3" t="n">
        <v>7.91</v>
      </c>
      <c r="W258" s="3" t="n">
        <v>1.25</v>
      </c>
      <c r="X258" s="3" t="n">
        <v>5.5</v>
      </c>
      <c r="Y258" s="3" t="n">
        <v>415</v>
      </c>
      <c r="AA258" s="3" t="n">
        <v>0.45</v>
      </c>
      <c r="AB258" s="3" t="n">
        <v>7.6</v>
      </c>
      <c r="AC258" s="3" t="n">
        <v>1</v>
      </c>
      <c r="AD258" s="3" t="n">
        <v>1</v>
      </c>
      <c r="AE258" s="3" t="n">
        <v>1</v>
      </c>
      <c r="AF258" s="3" t="n">
        <v>1</v>
      </c>
      <c r="AG258" s="3" t="n">
        <v>2</v>
      </c>
      <c r="AH258" s="3" t="n">
        <v>1</v>
      </c>
      <c r="AI258" s="3" t="n">
        <v>1</v>
      </c>
      <c r="AJ258" s="3" t="n">
        <v>1</v>
      </c>
      <c r="AK258" s="3" t="n">
        <v>2</v>
      </c>
      <c r="AL258" s="3" t="n">
        <v>2</v>
      </c>
      <c r="AM258" s="3" t="n">
        <v>1</v>
      </c>
      <c r="AN258" s="3" t="n">
        <v>2</v>
      </c>
      <c r="AO258" s="3" t="n">
        <v>2</v>
      </c>
      <c r="AP258" s="3" t="n">
        <v>3</v>
      </c>
      <c r="AQ258" s="3" t="n">
        <v>4</v>
      </c>
      <c r="AR258" s="3" t="n">
        <v>4</v>
      </c>
      <c r="AS258" s="3" t="n">
        <v>6</v>
      </c>
      <c r="AT258" s="3" t="n">
        <v>4</v>
      </c>
      <c r="AU258" s="3" t="n">
        <v>4</v>
      </c>
      <c r="AV258" s="3" t="n">
        <v>6</v>
      </c>
      <c r="AW258" s="3" t="n">
        <v>6</v>
      </c>
      <c r="AX258" s="3" t="n">
        <v>3</v>
      </c>
      <c r="AY258" s="3" t="n">
        <v>3</v>
      </c>
      <c r="AZ258" s="3" t="n">
        <v>1</v>
      </c>
      <c r="BA258" s="5" t="n">
        <v>5</v>
      </c>
      <c r="BB258" s="3" t="n">
        <v>2</v>
      </c>
      <c r="BC258" s="3" t="n">
        <v>1</v>
      </c>
      <c r="BD258" s="3" t="n">
        <v>6</v>
      </c>
      <c r="BE258" s="3" t="n">
        <v>3</v>
      </c>
      <c r="BF258" s="3" t="n">
        <v>5</v>
      </c>
      <c r="BG258" s="3" t="n">
        <v>3</v>
      </c>
      <c r="BH258" s="3" t="n">
        <v>4</v>
      </c>
      <c r="BI258" s="3" t="n">
        <v>1</v>
      </c>
      <c r="BJ258" s="3" t="n">
        <v>1</v>
      </c>
      <c r="BK258" s="6" t="s">
        <v>843</v>
      </c>
    </row>
    <row r="259" customFormat="false" ht="15" hidden="false" customHeight="true" outlineLevel="0" collapsed="false">
      <c r="B259" s="2" t="s">
        <v>844</v>
      </c>
      <c r="C259" s="2" t="s">
        <v>845</v>
      </c>
      <c r="D259" s="2" t="s">
        <v>846</v>
      </c>
      <c r="E259" s="2" t="n">
        <v>170785</v>
      </c>
      <c r="F259" s="15" t="n">
        <v>43501</v>
      </c>
      <c r="G259" s="15" t="n">
        <v>43507</v>
      </c>
      <c r="H259" s="3" t="n">
        <v>6</v>
      </c>
      <c r="I259" s="3" t="n">
        <v>1</v>
      </c>
      <c r="J259" s="3" t="n">
        <v>63</v>
      </c>
      <c r="K259" s="3" t="n">
        <v>1</v>
      </c>
      <c r="L259" s="3" t="n">
        <v>1</v>
      </c>
      <c r="M259" s="3" t="n">
        <v>1</v>
      </c>
      <c r="N259" s="3" t="n">
        <v>1</v>
      </c>
      <c r="O259" s="3" t="n">
        <v>2</v>
      </c>
      <c r="P259" s="3" t="n">
        <v>2</v>
      </c>
      <c r="Q259" s="3" t="n">
        <v>2</v>
      </c>
      <c r="R259" s="3" t="n">
        <v>2</v>
      </c>
      <c r="S259" s="3" t="n">
        <v>2</v>
      </c>
      <c r="T259" s="4" t="n">
        <v>2</v>
      </c>
      <c r="U259" s="3" t="n">
        <v>2</v>
      </c>
      <c r="V259" s="3" t="n">
        <v>4.86</v>
      </c>
      <c r="W259" s="3" t="n">
        <v>1.01</v>
      </c>
      <c r="X259" s="3" t="n">
        <v>5.64</v>
      </c>
      <c r="Y259" s="3" t="n">
        <v>162</v>
      </c>
      <c r="AA259" s="3" t="n">
        <v>0.27</v>
      </c>
      <c r="AB259" s="3" t="n">
        <v>12</v>
      </c>
      <c r="AC259" s="3" t="n">
        <v>2</v>
      </c>
      <c r="AD259" s="3" t="n">
        <v>1</v>
      </c>
      <c r="AE259" s="3" t="n">
        <v>1</v>
      </c>
      <c r="AF259" s="3" t="n">
        <v>1</v>
      </c>
      <c r="AG259" s="3" t="n">
        <v>2</v>
      </c>
      <c r="AH259" s="3" t="n">
        <v>2</v>
      </c>
      <c r="AI259" s="3" t="n">
        <v>1</v>
      </c>
      <c r="AJ259" s="3" t="n">
        <v>2</v>
      </c>
      <c r="AK259" s="3" t="n">
        <v>2</v>
      </c>
      <c r="AL259" s="3" t="n">
        <v>2</v>
      </c>
      <c r="AM259" s="3" t="n">
        <v>2</v>
      </c>
      <c r="AN259" s="3" t="n">
        <v>2</v>
      </c>
      <c r="AO259" s="3" t="n">
        <v>2</v>
      </c>
      <c r="AP259" s="3" t="n">
        <v>3</v>
      </c>
      <c r="AQ259" s="3" t="n">
        <v>4</v>
      </c>
      <c r="AR259" s="3" t="n">
        <v>4</v>
      </c>
      <c r="AS259" s="3" t="n">
        <v>6</v>
      </c>
      <c r="AT259" s="3" t="n">
        <v>4</v>
      </c>
      <c r="AU259" s="3" t="n">
        <v>4</v>
      </c>
      <c r="AV259" s="3" t="n">
        <v>6</v>
      </c>
      <c r="AW259" s="3" t="n">
        <v>6</v>
      </c>
      <c r="AX259" s="3" t="n">
        <v>3</v>
      </c>
      <c r="AY259" s="3" t="n">
        <v>3</v>
      </c>
      <c r="AZ259" s="3" t="n">
        <v>1</v>
      </c>
      <c r="BA259" s="5" t="n">
        <v>1</v>
      </c>
      <c r="BB259" s="3" t="n">
        <v>1</v>
      </c>
      <c r="BC259" s="3" t="n">
        <v>1</v>
      </c>
      <c r="BD259" s="3" t="n">
        <v>2</v>
      </c>
      <c r="BE259" s="3" t="n">
        <v>3</v>
      </c>
      <c r="BF259" s="3" t="n">
        <v>5</v>
      </c>
      <c r="BG259" s="3" t="n">
        <v>3</v>
      </c>
      <c r="BH259" s="3" t="n">
        <v>4</v>
      </c>
      <c r="BI259" s="3" t="n">
        <v>1</v>
      </c>
      <c r="BJ259" s="3" t="n">
        <v>1</v>
      </c>
      <c r="BK259" s="6" t="s">
        <v>847</v>
      </c>
    </row>
    <row r="260" customFormat="false" ht="15" hidden="false" customHeight="true" outlineLevel="0" collapsed="false">
      <c r="B260" s="2" t="s">
        <v>848</v>
      </c>
      <c r="C260" s="2" t="s">
        <v>74</v>
      </c>
      <c r="D260" s="2" t="s">
        <v>849</v>
      </c>
      <c r="E260" s="2" t="n">
        <v>170555</v>
      </c>
      <c r="F260" s="15" t="n">
        <v>43496</v>
      </c>
      <c r="G260" s="15" t="n">
        <v>43508</v>
      </c>
      <c r="H260" s="3" t="n">
        <v>11</v>
      </c>
      <c r="I260" s="3" t="n">
        <v>1</v>
      </c>
      <c r="J260" s="3" t="n">
        <v>68</v>
      </c>
      <c r="K260" s="3" t="n">
        <v>1</v>
      </c>
      <c r="L260" s="3" t="n">
        <v>2</v>
      </c>
      <c r="M260" s="3" t="n">
        <v>1</v>
      </c>
      <c r="N260" s="3" t="n">
        <v>2</v>
      </c>
      <c r="O260" s="3" t="n">
        <v>2</v>
      </c>
      <c r="P260" s="3" t="n">
        <v>2</v>
      </c>
      <c r="Q260" s="3" t="n">
        <v>2</v>
      </c>
      <c r="R260" s="3" t="n">
        <v>2</v>
      </c>
      <c r="S260" s="3" t="n">
        <v>2</v>
      </c>
      <c r="T260" s="4" t="n">
        <v>4</v>
      </c>
      <c r="U260" s="3" t="n">
        <v>4</v>
      </c>
      <c r="V260" s="3" t="n">
        <v>5.42</v>
      </c>
      <c r="W260" s="3" t="n">
        <v>1.36</v>
      </c>
      <c r="X260" s="3" t="n">
        <v>4.8</v>
      </c>
      <c r="Y260" s="3" t="n">
        <v>347</v>
      </c>
      <c r="AA260" s="3" t="n">
        <v>0.38</v>
      </c>
      <c r="AB260" s="3" t="n">
        <v>8.1</v>
      </c>
      <c r="AC260" s="3" t="n">
        <v>3</v>
      </c>
      <c r="AD260" s="3" t="n">
        <v>2</v>
      </c>
      <c r="AE260" s="3" t="n">
        <v>2</v>
      </c>
      <c r="AF260" s="3" t="n">
        <v>2</v>
      </c>
      <c r="AG260" s="3" t="n">
        <v>2</v>
      </c>
      <c r="AH260" s="3" t="n">
        <v>2</v>
      </c>
      <c r="AI260" s="3" t="n">
        <v>2</v>
      </c>
      <c r="AJ260" s="3" t="n">
        <v>1</v>
      </c>
      <c r="AK260" s="3" t="n">
        <v>2</v>
      </c>
      <c r="AL260" s="3" t="n">
        <v>2</v>
      </c>
      <c r="AM260" s="3" t="n">
        <v>2</v>
      </c>
      <c r="AN260" s="3" t="n">
        <v>2</v>
      </c>
      <c r="AO260" s="3" t="n">
        <v>2</v>
      </c>
      <c r="AP260" s="3" t="n">
        <v>3</v>
      </c>
      <c r="AQ260" s="3" t="n">
        <v>4</v>
      </c>
      <c r="AR260" s="3" t="n">
        <v>4</v>
      </c>
      <c r="AS260" s="3" t="n">
        <v>6</v>
      </c>
      <c r="AT260" s="3" t="n">
        <v>4</v>
      </c>
      <c r="AU260" s="3" t="n">
        <v>4</v>
      </c>
      <c r="AV260" s="3" t="n">
        <v>6</v>
      </c>
      <c r="AW260" s="3" t="n">
        <v>6</v>
      </c>
      <c r="AX260" s="3" t="n">
        <v>3</v>
      </c>
      <c r="AY260" s="3" t="n">
        <v>3</v>
      </c>
      <c r="AZ260" s="3" t="n">
        <v>1</v>
      </c>
      <c r="BA260" s="5" t="n">
        <v>10</v>
      </c>
      <c r="BB260" s="3" t="n">
        <v>2</v>
      </c>
      <c r="BC260" s="3" t="n">
        <v>1</v>
      </c>
      <c r="BD260" s="3" t="n">
        <v>6</v>
      </c>
      <c r="BE260" s="3" t="n">
        <v>3</v>
      </c>
      <c r="BF260" s="3" t="n">
        <v>5</v>
      </c>
      <c r="BG260" s="3" t="n">
        <v>3</v>
      </c>
      <c r="BH260" s="3" t="n">
        <v>4</v>
      </c>
      <c r="BI260" s="3" t="n">
        <v>1</v>
      </c>
      <c r="BJ260" s="3" t="n">
        <v>1</v>
      </c>
      <c r="BK260" s="6" t="s">
        <v>850</v>
      </c>
    </row>
    <row r="261" customFormat="false" ht="15" hidden="false" customHeight="true" outlineLevel="0" collapsed="false">
      <c r="B261" s="2" t="s">
        <v>851</v>
      </c>
      <c r="C261" s="2" t="s">
        <v>699</v>
      </c>
      <c r="D261" s="2" t="s">
        <v>852</v>
      </c>
      <c r="E261" s="2" t="n">
        <v>170810</v>
      </c>
      <c r="F261" s="15" t="n">
        <v>43502</v>
      </c>
      <c r="G261" s="15" t="n">
        <v>43508</v>
      </c>
      <c r="H261" s="3" t="n">
        <v>6</v>
      </c>
      <c r="I261" s="3" t="n">
        <v>2</v>
      </c>
      <c r="J261" s="3" t="n">
        <v>75</v>
      </c>
      <c r="K261" s="3" t="n">
        <v>1</v>
      </c>
      <c r="L261" s="3" t="n">
        <v>1</v>
      </c>
      <c r="M261" s="3" t="n">
        <v>1</v>
      </c>
      <c r="N261" s="3" t="n">
        <v>2</v>
      </c>
      <c r="O261" s="3" t="n">
        <v>2</v>
      </c>
      <c r="P261" s="3" t="n">
        <v>2</v>
      </c>
      <c r="Q261" s="3" t="n">
        <v>2</v>
      </c>
      <c r="R261" s="3" t="n">
        <v>2</v>
      </c>
      <c r="S261" s="3" t="n">
        <v>1</v>
      </c>
      <c r="T261" s="4" t="n">
        <v>3</v>
      </c>
      <c r="U261" s="3" t="n">
        <v>1</v>
      </c>
      <c r="V261" s="3" t="n">
        <v>5.31</v>
      </c>
      <c r="W261" s="3" t="n">
        <v>1.01</v>
      </c>
      <c r="X261" s="3" t="n">
        <v>6.5</v>
      </c>
      <c r="Y261" s="3" t="n">
        <v>587</v>
      </c>
      <c r="AA261" s="3" t="n">
        <v>0.51</v>
      </c>
      <c r="AB261" s="3" t="n">
        <v>7.1</v>
      </c>
      <c r="AC261" s="3" t="n">
        <v>2</v>
      </c>
      <c r="AD261" s="3" t="n">
        <v>2</v>
      </c>
      <c r="AE261" s="3" t="n">
        <v>2</v>
      </c>
      <c r="AF261" s="3" t="n">
        <v>2</v>
      </c>
      <c r="AG261" s="3" t="n">
        <v>2</v>
      </c>
      <c r="AH261" s="3" t="n">
        <v>2</v>
      </c>
      <c r="AI261" s="3" t="n">
        <v>2</v>
      </c>
      <c r="AJ261" s="3" t="n">
        <v>1</v>
      </c>
      <c r="AK261" s="3" t="n">
        <v>2</v>
      </c>
      <c r="AL261" s="3" t="n">
        <v>2</v>
      </c>
      <c r="AM261" s="3" t="n">
        <v>1</v>
      </c>
      <c r="AN261" s="3" t="n">
        <v>2</v>
      </c>
      <c r="AO261" s="3" t="n">
        <v>2</v>
      </c>
      <c r="AP261" s="3" t="n">
        <v>3</v>
      </c>
      <c r="AQ261" s="3" t="n">
        <v>4</v>
      </c>
      <c r="AR261" s="3" t="n">
        <v>4</v>
      </c>
      <c r="AS261" s="3" t="n">
        <v>6</v>
      </c>
      <c r="AT261" s="3" t="n">
        <v>4</v>
      </c>
      <c r="AU261" s="3" t="n">
        <v>4</v>
      </c>
      <c r="AV261" s="3" t="n">
        <v>6</v>
      </c>
      <c r="AW261" s="3" t="n">
        <v>6</v>
      </c>
      <c r="AX261" s="3" t="n">
        <v>3</v>
      </c>
      <c r="AY261" s="3" t="n">
        <v>3</v>
      </c>
      <c r="AZ261" s="3" t="n">
        <v>1</v>
      </c>
      <c r="BA261" s="5" t="n">
        <v>11</v>
      </c>
      <c r="BB261" s="3" t="n">
        <v>2</v>
      </c>
      <c r="BC261" s="3" t="n">
        <v>1</v>
      </c>
      <c r="BD261" s="3" t="n">
        <v>6</v>
      </c>
      <c r="BE261" s="3" t="n">
        <v>3</v>
      </c>
      <c r="BF261" s="3" t="n">
        <v>5</v>
      </c>
      <c r="BG261" s="3" t="n">
        <v>3</v>
      </c>
      <c r="BH261" s="3" t="n">
        <v>4</v>
      </c>
      <c r="BI261" s="3" t="n">
        <v>1</v>
      </c>
      <c r="BJ261" s="3" t="n">
        <v>1</v>
      </c>
      <c r="BK261" s="6" t="s">
        <v>853</v>
      </c>
    </row>
    <row r="262" customFormat="false" ht="15" hidden="false" customHeight="true" outlineLevel="0" collapsed="false">
      <c r="B262" s="2" t="s">
        <v>335</v>
      </c>
      <c r="C262" s="2" t="s">
        <v>336</v>
      </c>
      <c r="D262" s="2" t="s">
        <v>337</v>
      </c>
      <c r="E262" s="2" t="n">
        <v>138647</v>
      </c>
      <c r="F262" s="15" t="n">
        <v>43503</v>
      </c>
      <c r="G262" s="15" t="n">
        <v>43508</v>
      </c>
      <c r="H262" s="3" t="n">
        <v>5</v>
      </c>
      <c r="I262" s="3" t="n">
        <v>1</v>
      </c>
      <c r="J262" s="3" t="n">
        <v>79</v>
      </c>
      <c r="K262" s="3" t="n">
        <v>2</v>
      </c>
      <c r="L262" s="3" t="n">
        <v>2</v>
      </c>
      <c r="M262" s="3" t="n">
        <v>1</v>
      </c>
      <c r="N262" s="3" t="n">
        <v>2</v>
      </c>
      <c r="O262" s="3" t="n">
        <v>2</v>
      </c>
      <c r="P262" s="3" t="n">
        <v>2</v>
      </c>
      <c r="Q262" s="3" t="n">
        <v>2</v>
      </c>
      <c r="R262" s="3" t="n">
        <v>2</v>
      </c>
      <c r="S262" s="3" t="n">
        <v>1</v>
      </c>
      <c r="T262" s="4" t="n">
        <v>1</v>
      </c>
      <c r="U262" s="3" t="n">
        <v>1</v>
      </c>
      <c r="V262" s="3" t="n">
        <v>5.95</v>
      </c>
      <c r="W262" s="3" t="n">
        <v>1.99</v>
      </c>
      <c r="X262" s="3" t="n">
        <v>5.5</v>
      </c>
      <c r="Y262" s="3" t="n">
        <v>364</v>
      </c>
      <c r="AA262" s="3" t="n">
        <v>55</v>
      </c>
      <c r="AB262" s="3" t="n">
        <v>8.7</v>
      </c>
      <c r="AC262" s="3" t="n">
        <v>3</v>
      </c>
      <c r="AD262" s="3" t="n">
        <v>2</v>
      </c>
      <c r="AE262" s="3" t="n">
        <v>1</v>
      </c>
      <c r="AF262" s="3" t="n">
        <v>1</v>
      </c>
      <c r="AG262" s="3" t="n">
        <v>1</v>
      </c>
      <c r="AH262" s="3" t="n">
        <v>1</v>
      </c>
      <c r="AI262" s="3" t="n">
        <v>1</v>
      </c>
      <c r="AJ262" s="3" t="n">
        <v>2</v>
      </c>
      <c r="AK262" s="3" t="n">
        <v>2</v>
      </c>
      <c r="AL262" s="3" t="n">
        <v>2</v>
      </c>
      <c r="AM262" s="3" t="n">
        <v>1</v>
      </c>
      <c r="AN262" s="3" t="n">
        <v>2</v>
      </c>
      <c r="AO262" s="3" t="n">
        <v>2</v>
      </c>
      <c r="AP262" s="3" t="n">
        <v>3</v>
      </c>
      <c r="AQ262" s="3" t="n">
        <v>4</v>
      </c>
      <c r="AR262" s="3" t="n">
        <v>4</v>
      </c>
      <c r="AS262" s="3" t="n">
        <v>6</v>
      </c>
      <c r="AT262" s="3" t="n">
        <v>4</v>
      </c>
      <c r="AU262" s="3" t="n">
        <v>4</v>
      </c>
      <c r="AV262" s="3" t="n">
        <v>6</v>
      </c>
      <c r="AW262" s="3" t="n">
        <v>6</v>
      </c>
      <c r="AX262" s="3" t="n">
        <v>3</v>
      </c>
      <c r="AY262" s="3" t="n">
        <v>3</v>
      </c>
      <c r="AZ262" s="3" t="n">
        <v>1</v>
      </c>
      <c r="BA262" s="5" t="n">
        <v>5</v>
      </c>
      <c r="BB262" s="3" t="n">
        <v>2</v>
      </c>
      <c r="BC262" s="3" t="n">
        <v>1</v>
      </c>
      <c r="BD262" s="3" t="n">
        <v>6</v>
      </c>
      <c r="BE262" s="3" t="n">
        <v>3</v>
      </c>
      <c r="BF262" s="3" t="n">
        <v>5</v>
      </c>
      <c r="BG262" s="3" t="n">
        <v>3</v>
      </c>
      <c r="BH262" s="3" t="n">
        <v>4</v>
      </c>
      <c r="BI262" s="3" t="n">
        <v>1</v>
      </c>
      <c r="BJ262" s="3" t="n">
        <v>1</v>
      </c>
      <c r="BK262" s="6" t="s">
        <v>854</v>
      </c>
    </row>
    <row r="263" customFormat="false" ht="15" hidden="false" customHeight="true" outlineLevel="0" collapsed="false">
      <c r="B263" s="2" t="s">
        <v>855</v>
      </c>
      <c r="C263" s="2" t="s">
        <v>153</v>
      </c>
      <c r="D263" s="2" t="s">
        <v>581</v>
      </c>
      <c r="E263" s="2" t="n">
        <v>170849</v>
      </c>
      <c r="F263" s="15" t="n">
        <v>43503</v>
      </c>
      <c r="G263" s="15" t="n">
        <v>43508</v>
      </c>
      <c r="H263" s="3" t="n">
        <v>5</v>
      </c>
      <c r="I263" s="3" t="n">
        <v>1</v>
      </c>
      <c r="J263" s="3" t="n">
        <v>73</v>
      </c>
      <c r="K263" s="3" t="n">
        <v>1</v>
      </c>
      <c r="L263" s="3" t="n">
        <v>1</v>
      </c>
      <c r="M263" s="3" t="n">
        <v>1</v>
      </c>
      <c r="N263" s="3" t="n">
        <v>2</v>
      </c>
      <c r="O263" s="3" t="n">
        <v>2</v>
      </c>
      <c r="P263" s="3" t="n">
        <v>2</v>
      </c>
      <c r="Q263" s="3" t="n">
        <v>2</v>
      </c>
      <c r="R263" s="3" t="n">
        <v>2</v>
      </c>
      <c r="S263" s="3" t="n">
        <v>1</v>
      </c>
      <c r="T263" s="4" t="n">
        <v>1</v>
      </c>
      <c r="U263" s="3" t="n">
        <v>1</v>
      </c>
      <c r="V263" s="3" t="n">
        <v>11.04</v>
      </c>
      <c r="W263" s="3" t="n">
        <v>3.25</v>
      </c>
      <c r="X263" s="3" t="n">
        <v>6.7</v>
      </c>
      <c r="Y263" s="3" t="n">
        <v>515</v>
      </c>
      <c r="AA263" s="3" t="n">
        <v>0.46</v>
      </c>
      <c r="AB263" s="3" t="n">
        <v>10</v>
      </c>
      <c r="AC263" s="3" t="n">
        <v>1</v>
      </c>
      <c r="AD263" s="3" t="n">
        <v>1</v>
      </c>
      <c r="AE263" s="3" t="n">
        <v>1</v>
      </c>
      <c r="AF263" s="3" t="n">
        <v>1</v>
      </c>
      <c r="AG263" s="3" t="n">
        <v>2</v>
      </c>
      <c r="AH263" s="3" t="n">
        <v>1</v>
      </c>
      <c r="AI263" s="3" t="n">
        <v>1</v>
      </c>
      <c r="AJ263" s="3" t="n">
        <v>1</v>
      </c>
      <c r="AK263" s="3" t="n">
        <v>2</v>
      </c>
      <c r="AL263" s="3" t="n">
        <v>2</v>
      </c>
      <c r="AM263" s="3" t="n">
        <v>1</v>
      </c>
      <c r="AN263" s="3" t="n">
        <v>2</v>
      </c>
      <c r="AO263" s="3" t="n">
        <v>2</v>
      </c>
      <c r="AP263" s="3" t="n">
        <v>3</v>
      </c>
      <c r="AQ263" s="3" t="n">
        <v>4</v>
      </c>
      <c r="AR263" s="3" t="n">
        <v>4</v>
      </c>
      <c r="AS263" s="3" t="n">
        <v>6</v>
      </c>
      <c r="AT263" s="3" t="n">
        <v>4</v>
      </c>
      <c r="AU263" s="3" t="n">
        <v>4</v>
      </c>
      <c r="AV263" s="3" t="n">
        <v>6</v>
      </c>
      <c r="AW263" s="3" t="n">
        <v>6</v>
      </c>
      <c r="AX263" s="3" t="n">
        <v>3</v>
      </c>
      <c r="AY263" s="3" t="n">
        <v>3</v>
      </c>
      <c r="AZ263" s="3" t="n">
        <v>1</v>
      </c>
      <c r="BA263" s="5" t="n">
        <v>5</v>
      </c>
      <c r="BB263" s="3" t="n">
        <v>2</v>
      </c>
      <c r="BC263" s="3" t="n">
        <v>1</v>
      </c>
      <c r="BD263" s="3" t="n">
        <v>6</v>
      </c>
      <c r="BE263" s="3" t="n">
        <v>3</v>
      </c>
      <c r="BF263" s="3" t="n">
        <v>5</v>
      </c>
      <c r="BG263" s="3" t="n">
        <v>3</v>
      </c>
      <c r="BH263" s="3" t="n">
        <v>4</v>
      </c>
      <c r="BI263" s="3" t="n">
        <v>1</v>
      </c>
      <c r="BJ263" s="3" t="n">
        <v>1</v>
      </c>
      <c r="BK263" s="6" t="s">
        <v>856</v>
      </c>
    </row>
    <row r="264" customFormat="false" ht="15" hidden="false" customHeight="true" outlineLevel="0" collapsed="false">
      <c r="B264" s="2" t="s">
        <v>857</v>
      </c>
      <c r="C264" s="2" t="s">
        <v>193</v>
      </c>
      <c r="D264" s="2" t="s">
        <v>858</v>
      </c>
      <c r="E264" s="2" t="n">
        <v>171176</v>
      </c>
      <c r="F264" s="15" t="n">
        <v>43506</v>
      </c>
      <c r="G264" s="15" t="n">
        <v>43510</v>
      </c>
      <c r="H264" s="3" t="n">
        <v>4</v>
      </c>
      <c r="I264" s="3" t="n">
        <v>1</v>
      </c>
      <c r="J264" s="3" t="n">
        <v>77</v>
      </c>
      <c r="K264" s="3" t="n">
        <v>2</v>
      </c>
      <c r="L264" s="3" t="n">
        <v>2</v>
      </c>
      <c r="M264" s="3" t="n">
        <v>1</v>
      </c>
      <c r="N264" s="3" t="n">
        <v>2</v>
      </c>
      <c r="O264" s="3" t="n">
        <v>1</v>
      </c>
      <c r="P264" s="3" t="n">
        <v>2</v>
      </c>
      <c r="Q264" s="3" t="n">
        <v>2</v>
      </c>
      <c r="R264" s="3" t="n">
        <v>2</v>
      </c>
      <c r="S264" s="3" t="n">
        <v>2</v>
      </c>
      <c r="T264" s="4" t="n">
        <v>1</v>
      </c>
      <c r="U264" s="3" t="n">
        <v>1</v>
      </c>
      <c r="V264" s="3" t="n">
        <v>4.91</v>
      </c>
      <c r="W264" s="3" t="n">
        <v>0.55</v>
      </c>
      <c r="X264" s="3" t="n">
        <v>7.9</v>
      </c>
      <c r="Y264" s="3" t="n">
        <v>318</v>
      </c>
      <c r="AA264" s="3" t="n">
        <v>0.4</v>
      </c>
      <c r="AB264" s="3" t="n">
        <v>7.1</v>
      </c>
      <c r="AC264" s="3" t="n">
        <v>1</v>
      </c>
      <c r="AD264" s="3" t="n">
        <v>1</v>
      </c>
      <c r="AE264" s="3" t="n">
        <v>1</v>
      </c>
      <c r="AF264" s="3" t="n">
        <v>1</v>
      </c>
      <c r="AG264" s="3" t="n">
        <v>2</v>
      </c>
      <c r="AH264" s="3" t="n">
        <v>1</v>
      </c>
      <c r="AI264" s="3" t="n">
        <v>1</v>
      </c>
      <c r="AJ264" s="3" t="n">
        <v>2</v>
      </c>
      <c r="AK264" s="3" t="n">
        <v>2</v>
      </c>
      <c r="AL264" s="3" t="n">
        <v>2</v>
      </c>
      <c r="AM264" s="3" t="n">
        <v>1</v>
      </c>
      <c r="AN264" s="3" t="n">
        <v>2</v>
      </c>
      <c r="AO264" s="3" t="n">
        <v>2</v>
      </c>
      <c r="AP264" s="3" t="n">
        <v>1</v>
      </c>
      <c r="AQ264" s="3" t="n">
        <v>1</v>
      </c>
      <c r="AR264" s="3" t="n">
        <v>4</v>
      </c>
      <c r="AS264" s="3" t="n">
        <v>6</v>
      </c>
      <c r="AT264" s="3" t="n">
        <v>4</v>
      </c>
      <c r="AU264" s="3" t="n">
        <v>4</v>
      </c>
      <c r="AV264" s="3" t="n">
        <v>6</v>
      </c>
      <c r="AW264" s="3" t="n">
        <v>6</v>
      </c>
      <c r="AX264" s="3" t="n">
        <v>3</v>
      </c>
      <c r="AY264" s="3" t="n">
        <v>3</v>
      </c>
      <c r="AZ264" s="3" t="n">
        <v>1</v>
      </c>
      <c r="BA264" s="5" t="n">
        <v>5</v>
      </c>
      <c r="BB264" s="3" t="n">
        <v>2</v>
      </c>
      <c r="BC264" s="3" t="n">
        <v>1</v>
      </c>
      <c r="BD264" s="3" t="n">
        <v>6</v>
      </c>
      <c r="BE264" s="3" t="n">
        <v>3</v>
      </c>
      <c r="BF264" s="3" t="n">
        <v>5</v>
      </c>
      <c r="BG264" s="3" t="n">
        <v>3</v>
      </c>
      <c r="BH264" s="3" t="n">
        <v>4</v>
      </c>
      <c r="BI264" s="3" t="n">
        <v>1</v>
      </c>
      <c r="BJ264" s="3" t="n">
        <v>1</v>
      </c>
      <c r="BK264" s="6" t="s">
        <v>859</v>
      </c>
    </row>
    <row r="265" customFormat="false" ht="15" hidden="false" customHeight="true" outlineLevel="0" collapsed="false">
      <c r="B265" s="2" t="s">
        <v>758</v>
      </c>
      <c r="C265" s="2" t="s">
        <v>210</v>
      </c>
      <c r="D265" s="2" t="s">
        <v>78</v>
      </c>
      <c r="E265" s="2" t="n">
        <v>162265</v>
      </c>
      <c r="F265" s="15" t="n">
        <v>43508</v>
      </c>
      <c r="G265" s="15" t="n">
        <v>43511</v>
      </c>
      <c r="H265" s="3" t="n">
        <v>3</v>
      </c>
      <c r="I265" s="3" t="n">
        <v>2</v>
      </c>
      <c r="J265" s="3" t="n">
        <v>62</v>
      </c>
      <c r="K265" s="3" t="n">
        <v>1</v>
      </c>
      <c r="L265" s="3" t="n">
        <v>2</v>
      </c>
      <c r="M265" s="3" t="n">
        <v>1</v>
      </c>
      <c r="N265" s="3" t="n">
        <v>2</v>
      </c>
      <c r="O265" s="3" t="n">
        <v>2</v>
      </c>
      <c r="P265" s="3" t="n">
        <v>2</v>
      </c>
      <c r="Q265" s="3" t="n">
        <v>2</v>
      </c>
      <c r="R265" s="3" t="n">
        <v>2</v>
      </c>
      <c r="S265" s="3" t="n">
        <v>1</v>
      </c>
      <c r="T265" s="4" t="n">
        <v>5</v>
      </c>
      <c r="U265" s="3" t="n">
        <v>1</v>
      </c>
      <c r="V265" s="3" t="n">
        <v>5.4</v>
      </c>
      <c r="W265" s="3" t="n">
        <v>9.78</v>
      </c>
      <c r="X265" s="3" t="n">
        <v>13.6</v>
      </c>
      <c r="Y265" s="3" t="n">
        <v>617</v>
      </c>
      <c r="AA265" s="3" t="n">
        <v>0.36</v>
      </c>
      <c r="AB265" s="3" t="n">
        <v>8.7</v>
      </c>
      <c r="AC265" s="3" t="n">
        <v>1</v>
      </c>
      <c r="AD265" s="3" t="n">
        <v>1</v>
      </c>
      <c r="AE265" s="3" t="n">
        <v>1</v>
      </c>
      <c r="AF265" s="3" t="n">
        <v>1</v>
      </c>
      <c r="AG265" s="3" t="n">
        <v>1</v>
      </c>
      <c r="AH265" s="3" t="n">
        <v>1</v>
      </c>
      <c r="AI265" s="3" t="n">
        <v>1</v>
      </c>
      <c r="AJ265" s="3" t="n">
        <v>1</v>
      </c>
      <c r="AK265" s="3" t="n">
        <v>2</v>
      </c>
      <c r="AL265" s="3" t="n">
        <v>2</v>
      </c>
      <c r="AM265" s="3" t="n">
        <v>2</v>
      </c>
      <c r="AN265" s="3" t="n">
        <v>2</v>
      </c>
      <c r="AO265" s="3" t="n">
        <v>2</v>
      </c>
      <c r="AP265" s="3" t="n">
        <v>1</v>
      </c>
      <c r="AQ265" s="3" t="n">
        <v>3</v>
      </c>
      <c r="AR265" s="3" t="n">
        <v>5</v>
      </c>
      <c r="AS265" s="3" t="n">
        <v>5</v>
      </c>
      <c r="AT265" s="3" t="n">
        <v>2</v>
      </c>
      <c r="AU265" s="3" t="n">
        <v>1</v>
      </c>
      <c r="AV265" s="3" t="n">
        <v>1</v>
      </c>
      <c r="AW265" s="3" t="n">
        <v>1</v>
      </c>
      <c r="AX265" s="3" t="n">
        <v>2</v>
      </c>
      <c r="AY265" s="3" t="n">
        <v>2</v>
      </c>
      <c r="AZ265" s="3" t="n">
        <v>1</v>
      </c>
      <c r="BA265" s="5" t="n">
        <v>3</v>
      </c>
      <c r="BB265" s="3" t="n">
        <v>2</v>
      </c>
      <c r="BC265" s="3" t="n">
        <v>1</v>
      </c>
      <c r="BD265" s="3" t="n">
        <v>6</v>
      </c>
      <c r="BE265" s="3" t="n">
        <v>3</v>
      </c>
      <c r="BF265" s="3" t="n">
        <v>5</v>
      </c>
      <c r="BG265" s="3" t="n">
        <v>3</v>
      </c>
      <c r="BH265" s="3" t="n">
        <v>4</v>
      </c>
      <c r="BI265" s="3" t="n">
        <v>1</v>
      </c>
      <c r="BJ265" s="3" t="n">
        <v>1</v>
      </c>
      <c r="BK265" s="6" t="s">
        <v>860</v>
      </c>
    </row>
    <row r="266" customFormat="false" ht="15" hidden="false" customHeight="true" outlineLevel="0" collapsed="false">
      <c r="B266" s="2" t="s">
        <v>174</v>
      </c>
      <c r="C266" s="2" t="s">
        <v>127</v>
      </c>
      <c r="D266" s="2" t="s">
        <v>175</v>
      </c>
      <c r="E266" s="2" t="n">
        <v>161437</v>
      </c>
      <c r="F266" s="15" t="n">
        <v>43508</v>
      </c>
      <c r="G266" s="15" t="n">
        <v>43511</v>
      </c>
      <c r="H266" s="3" t="n">
        <v>3</v>
      </c>
      <c r="I266" s="3" t="n">
        <v>2</v>
      </c>
      <c r="J266" s="3" t="n">
        <v>55</v>
      </c>
      <c r="K266" s="3" t="n">
        <v>1</v>
      </c>
      <c r="L266" s="3" t="n">
        <v>2</v>
      </c>
      <c r="M266" s="3" t="n">
        <v>1</v>
      </c>
      <c r="N266" s="3" t="n">
        <v>2</v>
      </c>
      <c r="O266" s="3" t="n">
        <v>2</v>
      </c>
      <c r="P266" s="3" t="n">
        <v>2</v>
      </c>
      <c r="Q266" s="3" t="n">
        <v>2</v>
      </c>
      <c r="R266" s="3" t="n">
        <v>2</v>
      </c>
      <c r="S266" s="3" t="n">
        <v>2</v>
      </c>
      <c r="T266" s="4" t="n">
        <v>1</v>
      </c>
      <c r="U266" s="3" t="n">
        <v>1</v>
      </c>
      <c r="V266" s="3" t="n">
        <v>6.83</v>
      </c>
      <c r="W266" s="3" t="n">
        <v>2</v>
      </c>
      <c r="X266" s="3" t="n">
        <v>4.9</v>
      </c>
      <c r="Y266" s="3" t="n">
        <v>538</v>
      </c>
      <c r="AA266" s="3" t="n">
        <v>0.4</v>
      </c>
      <c r="AB266" s="3" t="n">
        <v>7.6</v>
      </c>
      <c r="AC266" s="3" t="n">
        <v>1</v>
      </c>
      <c r="AD266" s="3" t="n">
        <v>1</v>
      </c>
      <c r="AE266" s="3" t="n">
        <v>1</v>
      </c>
      <c r="AF266" s="3" t="n">
        <v>1</v>
      </c>
      <c r="AG266" s="3" t="n">
        <v>2</v>
      </c>
      <c r="AH266" s="3" t="n">
        <v>2</v>
      </c>
      <c r="AI266" s="3" t="n">
        <v>1</v>
      </c>
      <c r="AJ266" s="3" t="n">
        <v>1</v>
      </c>
      <c r="AK266" s="3" t="n">
        <v>2</v>
      </c>
      <c r="AL266" s="3" t="n">
        <v>2</v>
      </c>
      <c r="AM266" s="3" t="n">
        <v>2</v>
      </c>
      <c r="AN266" s="3" t="n">
        <v>2</v>
      </c>
      <c r="AO266" s="3" t="n">
        <v>2</v>
      </c>
      <c r="AP266" s="3" t="n">
        <v>3</v>
      </c>
      <c r="AQ266" s="3" t="n">
        <v>4</v>
      </c>
      <c r="AR266" s="3" t="n">
        <v>4</v>
      </c>
      <c r="AS266" s="3" t="n">
        <v>6</v>
      </c>
      <c r="AT266" s="3" t="n">
        <v>4</v>
      </c>
      <c r="AU266" s="3" t="n">
        <v>4</v>
      </c>
      <c r="AV266" s="3" t="n">
        <v>6</v>
      </c>
      <c r="AW266" s="3" t="n">
        <v>6</v>
      </c>
      <c r="AX266" s="3" t="n">
        <v>3</v>
      </c>
      <c r="AY266" s="3" t="n">
        <v>3</v>
      </c>
      <c r="AZ266" s="3" t="n">
        <v>1</v>
      </c>
      <c r="BA266" s="5" t="n">
        <v>5</v>
      </c>
      <c r="BB266" s="3" t="n">
        <v>2</v>
      </c>
      <c r="BC266" s="3" t="n">
        <v>1</v>
      </c>
      <c r="BD266" s="3" t="n">
        <v>6</v>
      </c>
      <c r="BE266" s="3" t="n">
        <v>3</v>
      </c>
      <c r="BF266" s="3" t="n">
        <v>5</v>
      </c>
      <c r="BG266" s="3" t="n">
        <v>3</v>
      </c>
      <c r="BH266" s="3" t="n">
        <v>4</v>
      </c>
      <c r="BI266" s="3" t="n">
        <v>1</v>
      </c>
      <c r="BJ266" s="3" t="n">
        <v>1</v>
      </c>
      <c r="BK266" s="21" t="s">
        <v>861</v>
      </c>
    </row>
    <row r="267" customFormat="false" ht="15" hidden="false" customHeight="true" outlineLevel="0" collapsed="false">
      <c r="B267" s="2" t="s">
        <v>556</v>
      </c>
      <c r="C267" s="2" t="s">
        <v>467</v>
      </c>
      <c r="D267" s="2" t="s">
        <v>127</v>
      </c>
      <c r="E267" s="2" t="n">
        <v>171662</v>
      </c>
      <c r="F267" s="15" t="n">
        <v>43507</v>
      </c>
      <c r="G267" s="15" t="n">
        <v>43510</v>
      </c>
      <c r="H267" s="3" t="n">
        <v>3</v>
      </c>
      <c r="I267" s="3" t="n">
        <v>2</v>
      </c>
      <c r="J267" s="3" t="n">
        <v>82</v>
      </c>
      <c r="K267" s="3" t="n">
        <v>1</v>
      </c>
      <c r="L267" s="3" t="n">
        <v>2</v>
      </c>
      <c r="M267" s="3" t="n">
        <v>1</v>
      </c>
      <c r="N267" s="3" t="n">
        <v>2</v>
      </c>
      <c r="O267" s="3" t="n">
        <v>2</v>
      </c>
      <c r="P267" s="3" t="n">
        <v>2</v>
      </c>
      <c r="Q267" s="3" t="n">
        <v>2</v>
      </c>
      <c r="R267" s="3" t="n">
        <v>2</v>
      </c>
      <c r="S267" s="3" t="n">
        <v>2</v>
      </c>
      <c r="T267" s="4" t="n">
        <v>1</v>
      </c>
      <c r="U267" s="3" t="n">
        <v>4</v>
      </c>
      <c r="V267" s="3" t="n">
        <v>3.92</v>
      </c>
      <c r="W267" s="3" t="n">
        <v>1.04</v>
      </c>
      <c r="X267" s="3" t="n">
        <v>4.5</v>
      </c>
      <c r="Y267" s="3" t="n">
        <v>651</v>
      </c>
      <c r="AA267" s="3" t="n">
        <v>0.45</v>
      </c>
      <c r="AB267" s="3" t="n">
        <v>5.5</v>
      </c>
      <c r="AC267" s="3" t="n">
        <v>1</v>
      </c>
      <c r="AD267" s="3" t="n">
        <v>2</v>
      </c>
      <c r="AE267" s="3" t="n">
        <v>1</v>
      </c>
      <c r="AF267" s="3" t="n">
        <v>1</v>
      </c>
      <c r="AG267" s="3" t="n">
        <v>2</v>
      </c>
      <c r="AH267" s="3" t="n">
        <v>2</v>
      </c>
      <c r="AI267" s="3" t="n">
        <v>1</v>
      </c>
      <c r="AJ267" s="3" t="n">
        <v>1</v>
      </c>
      <c r="AK267" s="3" t="n">
        <v>2</v>
      </c>
      <c r="AL267" s="3" t="n">
        <v>1</v>
      </c>
      <c r="AM267" s="3" t="n">
        <v>1</v>
      </c>
      <c r="AN267" s="3" t="n">
        <v>2</v>
      </c>
      <c r="AO267" s="3" t="n">
        <v>2</v>
      </c>
      <c r="AP267" s="3" t="n">
        <v>3</v>
      </c>
      <c r="AQ267" s="3" t="n">
        <v>4</v>
      </c>
      <c r="AR267" s="3" t="n">
        <v>4</v>
      </c>
      <c r="AS267" s="3" t="n">
        <v>6</v>
      </c>
      <c r="AT267" s="3" t="n">
        <v>4</v>
      </c>
      <c r="AU267" s="3" t="n">
        <v>4</v>
      </c>
      <c r="AV267" s="3" t="n">
        <v>6</v>
      </c>
      <c r="AW267" s="3" t="n">
        <v>6</v>
      </c>
      <c r="AX267" s="3" t="n">
        <v>3</v>
      </c>
      <c r="AY267" s="3" t="n">
        <v>3</v>
      </c>
      <c r="AZ267" s="3" t="n">
        <v>1</v>
      </c>
      <c r="BA267" s="5" t="n">
        <v>5</v>
      </c>
      <c r="BB267" s="3" t="n">
        <v>2</v>
      </c>
      <c r="BC267" s="3" t="n">
        <v>1</v>
      </c>
      <c r="BD267" s="3" t="n">
        <v>6</v>
      </c>
      <c r="BE267" s="3" t="n">
        <v>3</v>
      </c>
      <c r="BF267" s="3" t="n">
        <v>5</v>
      </c>
      <c r="BG267" s="3" t="n">
        <v>3</v>
      </c>
      <c r="BH267" s="3" t="n">
        <v>4</v>
      </c>
      <c r="BI267" s="3" t="n">
        <v>1</v>
      </c>
      <c r="BJ267" s="3" t="n">
        <v>1</v>
      </c>
      <c r="BK267" s="6" t="s">
        <v>862</v>
      </c>
    </row>
    <row r="268" customFormat="false" ht="15" hidden="false" customHeight="true" outlineLevel="0" collapsed="false">
      <c r="B268" s="2" t="s">
        <v>863</v>
      </c>
      <c r="C268" s="2" t="s">
        <v>864</v>
      </c>
      <c r="D268" s="2" t="s">
        <v>66</v>
      </c>
      <c r="E268" s="2" t="n">
        <v>171130</v>
      </c>
      <c r="F268" s="15" t="n">
        <v>43508</v>
      </c>
      <c r="G268" s="15" t="n">
        <v>43510</v>
      </c>
      <c r="H268" s="3" t="n">
        <v>2</v>
      </c>
      <c r="I268" s="3" t="n">
        <v>2</v>
      </c>
      <c r="J268" s="3" t="n">
        <v>53</v>
      </c>
      <c r="K268" s="3" t="n">
        <v>1</v>
      </c>
      <c r="L268" s="3" t="n">
        <v>1</v>
      </c>
      <c r="M268" s="3" t="n">
        <v>1</v>
      </c>
      <c r="N268" s="3" t="n">
        <v>2</v>
      </c>
      <c r="O268" s="3" t="n">
        <v>2</v>
      </c>
      <c r="P268" s="3" t="n">
        <v>2</v>
      </c>
      <c r="Q268" s="3" t="n">
        <v>2</v>
      </c>
      <c r="R268" s="3" t="n">
        <v>2</v>
      </c>
      <c r="S268" s="3" t="n">
        <v>1</v>
      </c>
      <c r="T268" s="4" t="n">
        <v>5</v>
      </c>
      <c r="U268" s="3" t="n">
        <v>1</v>
      </c>
      <c r="V268" s="3" t="n">
        <v>9.09</v>
      </c>
      <c r="W268" s="3" t="n">
        <v>3.22</v>
      </c>
      <c r="X268" s="3" t="n">
        <v>5.5</v>
      </c>
      <c r="Y268" s="3" t="n">
        <v>530</v>
      </c>
      <c r="AA268" s="3" t="n">
        <v>0.41</v>
      </c>
      <c r="AB268" s="3" t="n">
        <v>8</v>
      </c>
      <c r="AC268" s="3" t="n">
        <v>1</v>
      </c>
      <c r="AD268" s="3" t="n">
        <v>1</v>
      </c>
      <c r="AE268" s="3" t="n">
        <v>1</v>
      </c>
      <c r="AF268" s="3" t="n">
        <v>1</v>
      </c>
      <c r="AG268" s="3" t="n">
        <v>1</v>
      </c>
      <c r="AH268" s="3" t="n">
        <v>1</v>
      </c>
      <c r="AI268" s="3" t="n">
        <v>1</v>
      </c>
      <c r="AJ268" s="3" t="n">
        <v>1</v>
      </c>
      <c r="AK268" s="3" t="n">
        <v>2</v>
      </c>
      <c r="AL268" s="3" t="n">
        <v>2</v>
      </c>
      <c r="AM268" s="3" t="n">
        <v>2</v>
      </c>
      <c r="AN268" s="3" t="n">
        <v>2</v>
      </c>
      <c r="AO268" s="3" t="n">
        <v>2</v>
      </c>
      <c r="AP268" s="3" t="n">
        <v>3</v>
      </c>
      <c r="AQ268" s="3" t="n">
        <v>4</v>
      </c>
      <c r="AR268" s="3" t="n">
        <v>4</v>
      </c>
      <c r="AS268" s="3" t="n">
        <v>6</v>
      </c>
      <c r="AT268" s="3" t="n">
        <v>4</v>
      </c>
      <c r="AU268" s="3" t="n">
        <v>4</v>
      </c>
      <c r="AV268" s="3" t="n">
        <v>6</v>
      </c>
      <c r="AW268" s="3" t="n">
        <v>6</v>
      </c>
      <c r="AX268" s="3" t="n">
        <v>3</v>
      </c>
      <c r="AY268" s="3" t="n">
        <v>3</v>
      </c>
      <c r="AZ268" s="3" t="n">
        <v>1</v>
      </c>
      <c r="BA268" s="5" t="n">
        <v>3</v>
      </c>
      <c r="BB268" s="3" t="n">
        <v>2</v>
      </c>
      <c r="BC268" s="3" t="n">
        <v>1</v>
      </c>
      <c r="BD268" s="3" t="n">
        <v>6</v>
      </c>
      <c r="BE268" s="3" t="n">
        <v>3</v>
      </c>
      <c r="BF268" s="3" t="n">
        <v>5</v>
      </c>
      <c r="BG268" s="3" t="n">
        <v>3</v>
      </c>
      <c r="BH268" s="3" t="n">
        <v>4</v>
      </c>
      <c r="BI268" s="3" t="n">
        <v>1</v>
      </c>
      <c r="BJ268" s="3" t="n">
        <v>1</v>
      </c>
      <c r="BK268" s="6" t="s">
        <v>865</v>
      </c>
    </row>
    <row r="269" customFormat="false" ht="15" hidden="false" customHeight="true" outlineLevel="0" collapsed="false">
      <c r="B269" s="2" t="s">
        <v>866</v>
      </c>
      <c r="C269" s="2" t="s">
        <v>325</v>
      </c>
      <c r="D269" s="2" t="s">
        <v>867</v>
      </c>
      <c r="E269" s="2" t="n">
        <v>165738</v>
      </c>
      <c r="F269" s="15" t="n">
        <v>43507</v>
      </c>
      <c r="G269" s="15" t="n">
        <v>43510</v>
      </c>
      <c r="H269" s="3" t="n">
        <v>3</v>
      </c>
      <c r="I269" s="3" t="n">
        <v>2</v>
      </c>
      <c r="J269" s="3" t="n">
        <v>64</v>
      </c>
      <c r="K269" s="3" t="n">
        <v>1</v>
      </c>
      <c r="L269" s="3" t="n">
        <v>2</v>
      </c>
      <c r="M269" s="3" t="n">
        <v>1</v>
      </c>
      <c r="N269" s="3" t="n">
        <v>2</v>
      </c>
      <c r="O269" s="3" t="n">
        <v>2</v>
      </c>
      <c r="P269" s="3" t="n">
        <v>2</v>
      </c>
      <c r="Q269" s="3" t="n">
        <v>2</v>
      </c>
      <c r="R269" s="3" t="n">
        <v>2</v>
      </c>
      <c r="S269" s="3" t="n">
        <v>2</v>
      </c>
      <c r="T269" s="4" t="n">
        <v>5</v>
      </c>
      <c r="U269" s="3" t="n">
        <v>1</v>
      </c>
      <c r="V269" s="3" t="n">
        <v>3.69</v>
      </c>
      <c r="W269" s="3" t="n">
        <v>1.27</v>
      </c>
      <c r="X269" s="3" t="n">
        <v>5.2</v>
      </c>
      <c r="Y269" s="3" t="n">
        <v>434</v>
      </c>
      <c r="AA269" s="3" t="n">
        <v>0.43</v>
      </c>
      <c r="AB269" s="3" t="n">
        <v>8.8</v>
      </c>
      <c r="AD269" s="3" t="n">
        <v>1</v>
      </c>
      <c r="AE269" s="3" t="n">
        <v>2</v>
      </c>
      <c r="AF269" s="3" t="n">
        <v>1</v>
      </c>
      <c r="AG269" s="3" t="n">
        <v>2</v>
      </c>
      <c r="AH269" s="3" t="n">
        <v>2</v>
      </c>
      <c r="AI269" s="3" t="n">
        <v>1</v>
      </c>
      <c r="AJ269" s="3" t="n">
        <v>1</v>
      </c>
      <c r="AK269" s="3" t="n">
        <v>2</v>
      </c>
      <c r="AL269" s="3" t="n">
        <v>2</v>
      </c>
      <c r="AM269" s="3" t="n">
        <v>2</v>
      </c>
      <c r="AN269" s="3" t="n">
        <v>2</v>
      </c>
      <c r="AO269" s="3" t="n">
        <v>2</v>
      </c>
      <c r="AP269" s="3" t="n">
        <v>1</v>
      </c>
      <c r="AQ269" s="3" t="n">
        <v>3</v>
      </c>
      <c r="AR269" s="3" t="n">
        <v>5</v>
      </c>
      <c r="AS269" s="3" t="n">
        <v>5</v>
      </c>
      <c r="AT269" s="3" t="n">
        <v>1</v>
      </c>
      <c r="AU269" s="3" t="n">
        <v>1</v>
      </c>
      <c r="AV269" s="3" t="n">
        <v>1</v>
      </c>
      <c r="AW269" s="3" t="n">
        <v>1</v>
      </c>
      <c r="AX269" s="3" t="n">
        <v>2</v>
      </c>
      <c r="AY269" s="3" t="n">
        <v>2</v>
      </c>
      <c r="AZ269" s="3" t="n">
        <v>1</v>
      </c>
      <c r="BA269" s="5" t="n">
        <v>3</v>
      </c>
      <c r="BB269" s="3" t="n">
        <v>2</v>
      </c>
      <c r="BC269" s="3" t="n">
        <v>1</v>
      </c>
      <c r="BD269" s="3" t="n">
        <v>6</v>
      </c>
      <c r="BE269" s="3" t="n">
        <v>3</v>
      </c>
      <c r="BF269" s="3" t="n">
        <v>5</v>
      </c>
      <c r="BG269" s="3" t="n">
        <v>3</v>
      </c>
      <c r="BH269" s="3" t="n">
        <v>4</v>
      </c>
      <c r="BI269" s="3" t="n">
        <v>1</v>
      </c>
      <c r="BJ269" s="3" t="n">
        <v>1</v>
      </c>
      <c r="BK269" s="6" t="s">
        <v>868</v>
      </c>
    </row>
    <row r="270" customFormat="false" ht="15" hidden="false" customHeight="true" outlineLevel="0" collapsed="false">
      <c r="B270" s="2" t="s">
        <v>869</v>
      </c>
      <c r="C270" s="2" t="s">
        <v>662</v>
      </c>
      <c r="D270" s="2" t="s">
        <v>870</v>
      </c>
      <c r="E270" s="2" t="n">
        <v>171114</v>
      </c>
      <c r="F270" s="15" t="n">
        <v>43509</v>
      </c>
      <c r="G270" s="15" t="n">
        <v>43515</v>
      </c>
      <c r="H270" s="3" t="n">
        <v>6</v>
      </c>
      <c r="I270" s="3" t="n">
        <v>1</v>
      </c>
      <c r="J270" s="3" t="n">
        <v>63</v>
      </c>
      <c r="K270" s="3" t="n">
        <v>2</v>
      </c>
      <c r="L270" s="3" t="n">
        <v>1</v>
      </c>
      <c r="M270" s="3" t="n">
        <v>1</v>
      </c>
      <c r="N270" s="3" t="n">
        <v>2</v>
      </c>
      <c r="O270" s="3" t="n">
        <v>2</v>
      </c>
      <c r="P270" s="3" t="n">
        <v>2</v>
      </c>
      <c r="Q270" s="3" t="n">
        <v>2</v>
      </c>
      <c r="R270" s="3" t="n">
        <v>1</v>
      </c>
      <c r="S270" s="3" t="n">
        <v>2</v>
      </c>
      <c r="T270" s="4" t="n">
        <v>3</v>
      </c>
      <c r="U270" s="3" t="n">
        <v>1</v>
      </c>
      <c r="V270" s="3" t="n">
        <v>2.75</v>
      </c>
      <c r="W270" s="3" t="n">
        <v>1.24</v>
      </c>
      <c r="X270" s="3" t="n">
        <v>3.99</v>
      </c>
      <c r="Y270" s="3" t="n">
        <v>505</v>
      </c>
      <c r="AA270" s="3" t="n">
        <v>0.45</v>
      </c>
      <c r="AB270" s="3" t="n">
        <v>12</v>
      </c>
      <c r="AC270" s="3" t="n">
        <v>1</v>
      </c>
      <c r="AD270" s="3" t="n">
        <v>2</v>
      </c>
      <c r="AE270" s="3" t="n">
        <v>1</v>
      </c>
      <c r="AF270" s="3" t="n">
        <v>1</v>
      </c>
      <c r="AG270" s="3" t="n">
        <v>2</v>
      </c>
      <c r="AH270" s="3" t="n">
        <v>2</v>
      </c>
      <c r="AI270" s="3" t="n">
        <v>2</v>
      </c>
      <c r="AJ270" s="3" t="n">
        <v>2</v>
      </c>
      <c r="AK270" s="3" t="n">
        <v>2</v>
      </c>
      <c r="AL270" s="3" t="n">
        <v>2</v>
      </c>
      <c r="AM270" s="3" t="n">
        <v>1</v>
      </c>
      <c r="AN270" s="3" t="n">
        <v>2</v>
      </c>
      <c r="AO270" s="3" t="n">
        <v>2</v>
      </c>
      <c r="AP270" s="3" t="n">
        <v>3</v>
      </c>
      <c r="AQ270" s="3" t="n">
        <v>4</v>
      </c>
      <c r="AR270" s="3" t="n">
        <v>4</v>
      </c>
      <c r="AS270" s="3" t="n">
        <v>6</v>
      </c>
      <c r="AT270" s="3" t="n">
        <v>4</v>
      </c>
      <c r="AU270" s="3" t="n">
        <v>4</v>
      </c>
      <c r="AV270" s="3" t="n">
        <v>6</v>
      </c>
      <c r="AW270" s="3" t="n">
        <v>6</v>
      </c>
      <c r="AX270" s="3" t="n">
        <v>3</v>
      </c>
      <c r="AY270" s="3" t="n">
        <v>3</v>
      </c>
      <c r="AZ270" s="3" t="n">
        <v>1</v>
      </c>
      <c r="BA270" s="5" t="n">
        <v>11</v>
      </c>
      <c r="BB270" s="3" t="n">
        <v>2</v>
      </c>
      <c r="BC270" s="3" t="n">
        <v>1</v>
      </c>
      <c r="BD270" s="3" t="n">
        <v>6</v>
      </c>
      <c r="BE270" s="3" t="n">
        <v>3</v>
      </c>
      <c r="BF270" s="3" t="n">
        <v>5</v>
      </c>
      <c r="BG270" s="3" t="n">
        <v>3</v>
      </c>
      <c r="BH270" s="3" t="n">
        <v>4</v>
      </c>
      <c r="BI270" s="3" t="n">
        <v>1</v>
      </c>
      <c r="BJ270" s="3" t="n">
        <v>1</v>
      </c>
      <c r="BK270" s="6" t="s">
        <v>871</v>
      </c>
    </row>
    <row r="271" customFormat="false" ht="15" hidden="false" customHeight="true" outlineLevel="0" collapsed="false">
      <c r="B271" s="2" t="s">
        <v>445</v>
      </c>
      <c r="C271" s="2" t="s">
        <v>294</v>
      </c>
      <c r="D271" s="2" t="s">
        <v>549</v>
      </c>
      <c r="E271" s="2" t="n">
        <v>171164</v>
      </c>
      <c r="F271" s="15" t="n">
        <v>43507</v>
      </c>
      <c r="G271" s="15" t="n">
        <v>43514</v>
      </c>
      <c r="H271" s="3" t="n">
        <v>7</v>
      </c>
      <c r="I271" s="3" t="n">
        <v>1</v>
      </c>
      <c r="J271" s="3" t="n">
        <v>74</v>
      </c>
      <c r="K271" s="3" t="n">
        <v>1</v>
      </c>
      <c r="L271" s="3" t="n">
        <v>2</v>
      </c>
      <c r="M271" s="3" t="n">
        <v>1</v>
      </c>
      <c r="N271" s="3" t="n">
        <v>2</v>
      </c>
      <c r="O271" s="3" t="n">
        <v>2</v>
      </c>
      <c r="P271" s="3" t="n">
        <v>2</v>
      </c>
      <c r="Q271" s="3" t="n">
        <v>2</v>
      </c>
      <c r="R271" s="3" t="n">
        <v>2</v>
      </c>
      <c r="S271" s="3" t="n">
        <v>1</v>
      </c>
      <c r="T271" s="4" t="n">
        <v>1</v>
      </c>
      <c r="U271" s="3" t="n">
        <v>1</v>
      </c>
      <c r="V271" s="3" t="n">
        <v>4.23</v>
      </c>
      <c r="W271" s="3" t="n">
        <v>2.01</v>
      </c>
      <c r="X271" s="3" t="n">
        <v>5.5</v>
      </c>
      <c r="Y271" s="3" t="n">
        <v>516</v>
      </c>
      <c r="AA271" s="3" t="n">
        <v>0.42</v>
      </c>
      <c r="AB271" s="3" t="n">
        <v>7.7</v>
      </c>
      <c r="AD271" s="3" t="n">
        <v>1</v>
      </c>
      <c r="AE271" s="3" t="n">
        <v>1</v>
      </c>
      <c r="AF271" s="3" t="n">
        <v>1</v>
      </c>
      <c r="AG271" s="3" t="n">
        <v>1</v>
      </c>
      <c r="AH271" s="3" t="n">
        <v>2</v>
      </c>
      <c r="AI271" s="3" t="n">
        <v>1</v>
      </c>
      <c r="AJ271" s="3" t="n">
        <v>2</v>
      </c>
      <c r="AK271" s="3" t="n">
        <v>2</v>
      </c>
      <c r="AL271" s="3" t="n">
        <v>2</v>
      </c>
      <c r="AM271" s="3" t="n">
        <v>1</v>
      </c>
      <c r="AN271" s="3" t="n">
        <v>2</v>
      </c>
      <c r="AO271" s="3" t="n">
        <v>2</v>
      </c>
      <c r="AP271" s="3" t="n">
        <v>3</v>
      </c>
      <c r="AQ271" s="3" t="n">
        <v>4</v>
      </c>
      <c r="AR271" s="3" t="n">
        <v>4</v>
      </c>
      <c r="AS271" s="3" t="n">
        <v>6</v>
      </c>
      <c r="AT271" s="3" t="n">
        <v>4</v>
      </c>
      <c r="AU271" s="3" t="n">
        <v>4</v>
      </c>
      <c r="AV271" s="3" t="n">
        <v>6</v>
      </c>
      <c r="AW271" s="3" t="n">
        <v>6</v>
      </c>
      <c r="AX271" s="3" t="n">
        <v>3</v>
      </c>
      <c r="AY271" s="3" t="n">
        <v>3</v>
      </c>
      <c r="AZ271" s="3" t="n">
        <v>1</v>
      </c>
      <c r="BA271" s="5" t="n">
        <v>5</v>
      </c>
      <c r="BB271" s="3" t="n">
        <v>2</v>
      </c>
      <c r="BC271" s="3" t="n">
        <v>1</v>
      </c>
      <c r="BD271" s="3" t="n">
        <v>6</v>
      </c>
      <c r="BE271" s="3" t="n">
        <v>3</v>
      </c>
      <c r="BF271" s="3" t="n">
        <v>5</v>
      </c>
      <c r="BG271" s="3" t="n">
        <v>3</v>
      </c>
      <c r="BH271" s="3" t="n">
        <v>4</v>
      </c>
      <c r="BI271" s="3" t="n">
        <v>1</v>
      </c>
      <c r="BJ271" s="3" t="n">
        <v>1</v>
      </c>
      <c r="BK271" s="6" t="s">
        <v>872</v>
      </c>
    </row>
    <row r="272" customFormat="false" ht="15" hidden="false" customHeight="true" outlineLevel="0" collapsed="false">
      <c r="B272" s="2" t="s">
        <v>228</v>
      </c>
      <c r="C272" s="2" t="s">
        <v>873</v>
      </c>
      <c r="D272" s="2" t="s">
        <v>874</v>
      </c>
      <c r="E272" s="2" t="n">
        <v>169087</v>
      </c>
      <c r="F272" s="15" t="n">
        <v>43509</v>
      </c>
      <c r="G272" s="15" t="n">
        <v>43514</v>
      </c>
      <c r="H272" s="3" t="n">
        <v>5</v>
      </c>
      <c r="I272" s="3" t="n">
        <v>2</v>
      </c>
      <c r="J272" s="3" t="n">
        <v>67</v>
      </c>
      <c r="K272" s="3" t="n">
        <v>1</v>
      </c>
      <c r="L272" s="3" t="n">
        <v>1</v>
      </c>
      <c r="M272" s="3" t="n">
        <v>1</v>
      </c>
      <c r="N272" s="3" t="n">
        <v>2</v>
      </c>
      <c r="O272" s="3" t="n">
        <v>1</v>
      </c>
      <c r="P272" s="3" t="n">
        <v>1</v>
      </c>
      <c r="Q272" s="3" t="n">
        <v>1</v>
      </c>
      <c r="R272" s="3" t="n">
        <v>2</v>
      </c>
      <c r="S272" s="3" t="n">
        <v>1</v>
      </c>
      <c r="T272" s="4" t="n">
        <v>3</v>
      </c>
      <c r="U272" s="3" t="n">
        <v>1</v>
      </c>
      <c r="V272" s="3" t="n">
        <v>4.15</v>
      </c>
      <c r="W272" s="3" t="n">
        <v>1.17</v>
      </c>
      <c r="X272" s="3" t="n">
        <v>7.24</v>
      </c>
      <c r="Y272" s="3" t="n">
        <v>499</v>
      </c>
      <c r="AA272" s="3" t="n">
        <v>0.5</v>
      </c>
      <c r="AB272" s="3" t="n">
        <v>9.5</v>
      </c>
      <c r="AC272" s="3" t="n">
        <v>1</v>
      </c>
      <c r="AD272" s="3" t="n">
        <v>2</v>
      </c>
      <c r="AE272" s="3" t="n">
        <v>1</v>
      </c>
      <c r="AF272" s="3" t="n">
        <v>1</v>
      </c>
      <c r="AG272" s="3" t="n">
        <v>2</v>
      </c>
      <c r="AH272" s="3" t="n">
        <v>1</v>
      </c>
      <c r="AI272" s="3" t="n">
        <v>1</v>
      </c>
      <c r="AJ272" s="3" t="n">
        <v>1</v>
      </c>
      <c r="AK272" s="3" t="n">
        <v>2</v>
      </c>
      <c r="AL272" s="3" t="n">
        <v>2</v>
      </c>
      <c r="AM272" s="3" t="n">
        <v>1</v>
      </c>
      <c r="AN272" s="3" t="n">
        <v>2</v>
      </c>
      <c r="AO272" s="3" t="n">
        <v>2</v>
      </c>
      <c r="AP272" s="3" t="n">
        <v>3</v>
      </c>
      <c r="AQ272" s="3" t="n">
        <v>4</v>
      </c>
      <c r="AR272" s="3" t="n">
        <v>4</v>
      </c>
      <c r="AS272" s="3" t="n">
        <v>6</v>
      </c>
      <c r="AT272" s="3" t="n">
        <v>4</v>
      </c>
      <c r="AU272" s="3" t="n">
        <v>4</v>
      </c>
      <c r="AV272" s="3" t="n">
        <v>6</v>
      </c>
      <c r="AW272" s="3" t="n">
        <v>6</v>
      </c>
      <c r="AX272" s="3" t="n">
        <v>3</v>
      </c>
      <c r="AY272" s="3" t="n">
        <v>3</v>
      </c>
      <c r="AZ272" s="3" t="n">
        <v>1</v>
      </c>
      <c r="BA272" s="5" t="n">
        <v>11</v>
      </c>
      <c r="BB272" s="3" t="n">
        <v>2</v>
      </c>
      <c r="BC272" s="3" t="n">
        <v>1</v>
      </c>
      <c r="BD272" s="3" t="n">
        <v>6</v>
      </c>
      <c r="BE272" s="3" t="n">
        <v>3</v>
      </c>
      <c r="BF272" s="3" t="n">
        <v>5</v>
      </c>
      <c r="BG272" s="3" t="n">
        <v>3</v>
      </c>
      <c r="BH272" s="3" t="n">
        <v>4</v>
      </c>
      <c r="BI272" s="3" t="n">
        <v>1</v>
      </c>
      <c r="BJ272" s="3" t="n">
        <v>1</v>
      </c>
      <c r="BK272" s="6" t="s">
        <v>875</v>
      </c>
    </row>
    <row r="273" customFormat="false" ht="15" hidden="false" customHeight="true" outlineLevel="0" collapsed="false">
      <c r="B273" s="2" t="s">
        <v>876</v>
      </c>
      <c r="C273" s="2" t="s">
        <v>160</v>
      </c>
      <c r="D273" s="2" t="s">
        <v>877</v>
      </c>
      <c r="E273" s="2" t="n">
        <v>171776</v>
      </c>
      <c r="F273" s="15" t="n">
        <v>43510</v>
      </c>
      <c r="G273" s="15" t="n">
        <v>43484</v>
      </c>
      <c r="H273" s="3" t="n">
        <v>5</v>
      </c>
      <c r="I273" s="3" t="n">
        <v>2</v>
      </c>
      <c r="J273" s="3" t="n">
        <v>81</v>
      </c>
      <c r="K273" s="3" t="n">
        <v>1</v>
      </c>
      <c r="L273" s="3" t="n">
        <v>2</v>
      </c>
      <c r="M273" s="3" t="n">
        <v>1</v>
      </c>
      <c r="N273" s="3" t="n">
        <v>2</v>
      </c>
      <c r="O273" s="3" t="n">
        <v>2</v>
      </c>
      <c r="P273" s="3" t="n">
        <v>2</v>
      </c>
      <c r="Q273" s="3" t="n">
        <v>2</v>
      </c>
      <c r="R273" s="3" t="n">
        <v>2</v>
      </c>
      <c r="S273" s="3" t="n">
        <v>2</v>
      </c>
      <c r="T273" s="4" t="n">
        <v>1</v>
      </c>
      <c r="U273" s="3" t="n">
        <v>1</v>
      </c>
      <c r="V273" s="3" t="n">
        <v>5.32</v>
      </c>
      <c r="W273" s="3" t="n">
        <v>1.36</v>
      </c>
      <c r="X273" s="3" t="n">
        <v>5.55</v>
      </c>
      <c r="Y273" s="3" t="n">
        <v>364</v>
      </c>
      <c r="AA273" s="3" t="n">
        <v>0.41</v>
      </c>
      <c r="AB273" s="3" t="n">
        <v>8.6</v>
      </c>
      <c r="AC273" s="3" t="n">
        <v>1</v>
      </c>
      <c r="AD273" s="3" t="n">
        <v>1</v>
      </c>
      <c r="AE273" s="3" t="n">
        <v>1</v>
      </c>
      <c r="AF273" s="3" t="n">
        <v>1</v>
      </c>
      <c r="AG273" s="3" t="n">
        <v>2</v>
      </c>
      <c r="AH273" s="3" t="n">
        <v>2</v>
      </c>
      <c r="AI273" s="3" t="n">
        <v>1</v>
      </c>
      <c r="AJ273" s="3" t="n">
        <v>1</v>
      </c>
      <c r="AK273" s="3" t="n">
        <v>2</v>
      </c>
      <c r="AL273" s="3" t="n">
        <v>2</v>
      </c>
      <c r="AM273" s="3" t="n">
        <v>2</v>
      </c>
      <c r="AN273" s="3" t="n">
        <v>2</v>
      </c>
      <c r="AO273" s="3" t="n">
        <v>2</v>
      </c>
      <c r="AP273" s="3" t="n">
        <v>3</v>
      </c>
      <c r="AQ273" s="3" t="n">
        <v>4</v>
      </c>
      <c r="AR273" s="3" t="n">
        <v>4</v>
      </c>
      <c r="AS273" s="3" t="n">
        <v>6</v>
      </c>
      <c r="AT273" s="3" t="n">
        <v>4</v>
      </c>
      <c r="AU273" s="3" t="n">
        <v>4</v>
      </c>
      <c r="AV273" s="3" t="n">
        <v>6</v>
      </c>
      <c r="AW273" s="3" t="n">
        <v>6</v>
      </c>
      <c r="AX273" s="3" t="n">
        <v>3</v>
      </c>
      <c r="AY273" s="3" t="n">
        <v>3</v>
      </c>
      <c r="AZ273" s="3" t="n">
        <v>1</v>
      </c>
      <c r="BA273" s="5" t="n">
        <v>5</v>
      </c>
      <c r="BB273" s="3" t="n">
        <v>2</v>
      </c>
      <c r="BC273" s="3" t="n">
        <v>1</v>
      </c>
      <c r="BD273" s="3" t="n">
        <v>6</v>
      </c>
      <c r="BE273" s="3" t="n">
        <v>3</v>
      </c>
      <c r="BF273" s="3" t="n">
        <v>5</v>
      </c>
      <c r="BG273" s="3" t="n">
        <v>3</v>
      </c>
      <c r="BH273" s="3" t="n">
        <v>4</v>
      </c>
      <c r="BI273" s="3" t="n">
        <v>1</v>
      </c>
      <c r="BJ273" s="3" t="n">
        <v>1</v>
      </c>
      <c r="BK273" s="6" t="s">
        <v>878</v>
      </c>
    </row>
    <row r="274" customFormat="false" ht="15" hidden="false" customHeight="true" outlineLevel="0" collapsed="false">
      <c r="B274" s="2" t="s">
        <v>569</v>
      </c>
      <c r="C274" s="2" t="s">
        <v>879</v>
      </c>
      <c r="D274" s="2" t="s">
        <v>802</v>
      </c>
      <c r="E274" s="2" t="n">
        <v>171744</v>
      </c>
      <c r="F274" s="15" t="n">
        <v>43511</v>
      </c>
      <c r="G274" s="15" t="n">
        <v>43516</v>
      </c>
      <c r="H274" s="3" t="n">
        <v>5</v>
      </c>
      <c r="I274" s="3" t="n">
        <v>2</v>
      </c>
      <c r="J274" s="3" t="n">
        <v>64</v>
      </c>
      <c r="K274" s="3" t="n">
        <v>1</v>
      </c>
      <c r="L274" s="3" t="n">
        <v>1</v>
      </c>
      <c r="M274" s="3" t="n">
        <v>2</v>
      </c>
      <c r="N274" s="3" t="n">
        <v>2</v>
      </c>
      <c r="O274" s="3" t="n">
        <v>2</v>
      </c>
      <c r="P274" s="3" t="n">
        <v>2</v>
      </c>
      <c r="Q274" s="3" t="n">
        <v>2</v>
      </c>
      <c r="R274" s="3" t="n">
        <v>2</v>
      </c>
      <c r="S274" s="3" t="n">
        <v>2</v>
      </c>
      <c r="T274" s="4" t="n">
        <v>1</v>
      </c>
      <c r="U274" s="3" t="n">
        <v>1</v>
      </c>
      <c r="V274" s="3" t="n">
        <v>5.41</v>
      </c>
      <c r="W274" s="3" t="n">
        <v>2.58</v>
      </c>
      <c r="X274" s="3" t="n">
        <v>5.6</v>
      </c>
      <c r="Y274" s="3" t="n">
        <v>454</v>
      </c>
      <c r="AA274" s="3" t="n">
        <v>0.4</v>
      </c>
      <c r="AB274" s="3" t="n">
        <v>7.6</v>
      </c>
      <c r="AC274" s="3" t="n">
        <v>1</v>
      </c>
      <c r="AD274" s="3" t="n">
        <v>1</v>
      </c>
      <c r="AE274" s="3" t="n">
        <v>1</v>
      </c>
      <c r="AF274" s="3" t="n">
        <v>1</v>
      </c>
      <c r="AG274" s="3" t="n">
        <v>2</v>
      </c>
      <c r="AH274" s="3" t="n">
        <v>2</v>
      </c>
      <c r="AI274" s="3" t="n">
        <v>1</v>
      </c>
      <c r="AJ274" s="3" t="n">
        <v>1</v>
      </c>
      <c r="AK274" s="3" t="n">
        <v>2</v>
      </c>
      <c r="AL274" s="3" t="n">
        <v>2</v>
      </c>
      <c r="AM274" s="3" t="n">
        <v>2</v>
      </c>
      <c r="AN274" s="3" t="n">
        <v>2</v>
      </c>
      <c r="AO274" s="3" t="n">
        <v>2</v>
      </c>
      <c r="AP274" s="3" t="n">
        <v>3</v>
      </c>
      <c r="AQ274" s="3" t="n">
        <v>4</v>
      </c>
      <c r="AR274" s="3" t="n">
        <v>4</v>
      </c>
      <c r="AS274" s="3" t="n">
        <v>6</v>
      </c>
      <c r="AT274" s="3" t="n">
        <v>4</v>
      </c>
      <c r="AU274" s="3" t="n">
        <v>4</v>
      </c>
      <c r="AV274" s="3" t="n">
        <v>6</v>
      </c>
      <c r="AW274" s="3" t="n">
        <v>6</v>
      </c>
      <c r="AX274" s="3" t="n">
        <v>3</v>
      </c>
      <c r="AY274" s="3" t="n">
        <v>3</v>
      </c>
      <c r="AZ274" s="3" t="n">
        <v>1</v>
      </c>
      <c r="BA274" s="5" t="n">
        <v>5</v>
      </c>
      <c r="BB274" s="3" t="n">
        <v>2</v>
      </c>
      <c r="BC274" s="3" t="n">
        <v>1</v>
      </c>
      <c r="BD274" s="3" t="n">
        <v>6</v>
      </c>
      <c r="BE274" s="3" t="n">
        <v>3</v>
      </c>
      <c r="BF274" s="3" t="n">
        <v>5</v>
      </c>
      <c r="BG274" s="3" t="n">
        <v>3</v>
      </c>
      <c r="BH274" s="3" t="n">
        <v>4</v>
      </c>
      <c r="BI274" s="3" t="n">
        <v>1</v>
      </c>
      <c r="BJ274" s="3" t="n">
        <v>1</v>
      </c>
      <c r="BK274" s="6" t="s">
        <v>880</v>
      </c>
    </row>
    <row r="275" customFormat="false" ht="15" hidden="false" customHeight="true" outlineLevel="0" collapsed="false">
      <c r="B275" s="2" t="s">
        <v>180</v>
      </c>
      <c r="C275" s="2" t="s">
        <v>197</v>
      </c>
      <c r="D275" s="2" t="s">
        <v>386</v>
      </c>
      <c r="E275" s="2" t="n">
        <v>172164</v>
      </c>
      <c r="F275" s="15" t="n">
        <v>43514</v>
      </c>
      <c r="G275" s="15" t="n">
        <v>43517</v>
      </c>
      <c r="H275" s="3" t="n">
        <v>3</v>
      </c>
      <c r="I275" s="3" t="n">
        <v>2</v>
      </c>
      <c r="J275" s="3" t="n">
        <v>46</v>
      </c>
      <c r="K275" s="3" t="n">
        <v>1</v>
      </c>
      <c r="L275" s="3" t="n">
        <v>2</v>
      </c>
      <c r="M275" s="3" t="n">
        <v>2</v>
      </c>
      <c r="N275" s="3" t="n">
        <v>1</v>
      </c>
      <c r="O275" s="3" t="n">
        <v>2</v>
      </c>
      <c r="P275" s="3" t="n">
        <v>2</v>
      </c>
      <c r="Q275" s="3" t="n">
        <v>2</v>
      </c>
      <c r="R275" s="3" t="n">
        <v>2</v>
      </c>
      <c r="S275" s="3" t="n">
        <v>2</v>
      </c>
      <c r="T275" s="4" t="n">
        <v>1</v>
      </c>
      <c r="U275" s="3" t="n">
        <v>1</v>
      </c>
      <c r="V275" s="3" t="n">
        <v>2.99</v>
      </c>
      <c r="W275" s="3" t="n">
        <v>1.11</v>
      </c>
      <c r="X275" s="3" t="n">
        <v>6.3</v>
      </c>
      <c r="Y275" s="3" t="n">
        <v>411</v>
      </c>
      <c r="AA275" s="3" t="n">
        <v>0.48</v>
      </c>
      <c r="AB275" s="3" t="n">
        <v>10</v>
      </c>
      <c r="AC275" s="3" t="n">
        <v>1</v>
      </c>
      <c r="AD275" s="3" t="n">
        <v>1</v>
      </c>
      <c r="AE275" s="3" t="n">
        <v>1</v>
      </c>
      <c r="AF275" s="3" t="n">
        <v>1</v>
      </c>
      <c r="AG275" s="3" t="n">
        <v>2</v>
      </c>
      <c r="AH275" s="3" t="n">
        <v>2</v>
      </c>
      <c r="AI275" s="3" t="n">
        <v>1</v>
      </c>
      <c r="AJ275" s="3" t="n">
        <v>2</v>
      </c>
      <c r="AK275" s="3" t="n">
        <v>2</v>
      </c>
      <c r="AL275" s="3" t="n">
        <v>2</v>
      </c>
      <c r="AM275" s="3" t="n">
        <v>2</v>
      </c>
      <c r="AN275" s="3" t="n">
        <v>2</v>
      </c>
      <c r="AO275" s="3" t="n">
        <v>2</v>
      </c>
      <c r="AP275" s="3" t="n">
        <v>4</v>
      </c>
      <c r="AQ275" s="3" t="n">
        <v>1</v>
      </c>
      <c r="AR275" s="3" t="n">
        <v>4</v>
      </c>
      <c r="AS275" s="3" t="n">
        <v>6</v>
      </c>
      <c r="AT275" s="3" t="n">
        <v>4</v>
      </c>
      <c r="AU275" s="3" t="n">
        <v>6</v>
      </c>
      <c r="AV275" s="3" t="n">
        <v>1</v>
      </c>
      <c r="AW275" s="3" t="n">
        <v>6</v>
      </c>
      <c r="AX275" s="3" t="n">
        <v>2</v>
      </c>
      <c r="AY275" s="3" t="n">
        <v>1</v>
      </c>
      <c r="AZ275" s="3" t="n">
        <v>1</v>
      </c>
      <c r="BA275" s="5" t="n">
        <v>5</v>
      </c>
      <c r="BB275" s="3" t="n">
        <v>2</v>
      </c>
      <c r="BC275" s="3" t="n">
        <v>1</v>
      </c>
      <c r="BD275" s="3" t="n">
        <v>6</v>
      </c>
      <c r="BE275" s="3" t="n">
        <v>3</v>
      </c>
      <c r="BF275" s="3" t="n">
        <v>5</v>
      </c>
      <c r="BG275" s="3" t="n">
        <v>3</v>
      </c>
      <c r="BH275" s="3" t="n">
        <v>4</v>
      </c>
      <c r="BI275" s="3" t="n">
        <v>1</v>
      </c>
      <c r="BJ275" s="3" t="n">
        <v>1</v>
      </c>
      <c r="BK275" s="6" t="s">
        <v>881</v>
      </c>
    </row>
    <row r="276" customFormat="false" ht="15" hidden="false" customHeight="true" outlineLevel="0" collapsed="false">
      <c r="B276" s="2" t="s">
        <v>171</v>
      </c>
      <c r="C276" s="2" t="s">
        <v>298</v>
      </c>
      <c r="D276" s="2" t="s">
        <v>882</v>
      </c>
      <c r="E276" s="2" t="n">
        <v>131694</v>
      </c>
      <c r="F276" s="15" t="n">
        <v>43515</v>
      </c>
      <c r="G276" s="15" t="n">
        <v>43517</v>
      </c>
      <c r="H276" s="3" t="n">
        <v>2</v>
      </c>
      <c r="I276" s="3" t="n">
        <v>2</v>
      </c>
      <c r="J276" s="3" t="n">
        <v>50</v>
      </c>
      <c r="K276" s="3" t="n">
        <v>1</v>
      </c>
      <c r="L276" s="3" t="n">
        <v>2</v>
      </c>
      <c r="M276" s="3" t="n">
        <v>2</v>
      </c>
      <c r="N276" s="3" t="n">
        <v>1</v>
      </c>
      <c r="O276" s="3" t="n">
        <v>2</v>
      </c>
      <c r="P276" s="3" t="n">
        <v>2</v>
      </c>
      <c r="Q276" s="3" t="n">
        <v>2</v>
      </c>
      <c r="R276" s="3" t="n">
        <v>2</v>
      </c>
      <c r="S276" s="3" t="n">
        <v>2</v>
      </c>
      <c r="T276" s="4" t="n">
        <v>5</v>
      </c>
      <c r="U276" s="3" t="n">
        <v>1</v>
      </c>
      <c r="V276" s="3" t="n">
        <v>3.6</v>
      </c>
      <c r="W276" s="3" t="n">
        <v>0.99</v>
      </c>
      <c r="X276" s="3" t="n">
        <v>4.6</v>
      </c>
      <c r="Y276" s="3" t="n">
        <v>331</v>
      </c>
      <c r="AA276" s="3" t="n">
        <v>0.45</v>
      </c>
      <c r="AB276" s="3" t="n">
        <v>7.2</v>
      </c>
      <c r="AC276" s="3" t="n">
        <v>3</v>
      </c>
      <c r="AD276" s="3" t="n">
        <v>1</v>
      </c>
      <c r="AE276" s="3" t="n">
        <v>1</v>
      </c>
      <c r="AF276" s="3" t="n">
        <v>1</v>
      </c>
      <c r="AG276" s="3" t="n">
        <v>1</v>
      </c>
      <c r="AH276" s="3" t="n">
        <v>2</v>
      </c>
      <c r="AI276" s="3" t="n">
        <v>2</v>
      </c>
      <c r="AJ276" s="3" t="n">
        <v>2</v>
      </c>
      <c r="AK276" s="3" t="n">
        <v>2</v>
      </c>
      <c r="AL276" s="3" t="n">
        <v>2</v>
      </c>
      <c r="AM276" s="3" t="n">
        <v>2</v>
      </c>
      <c r="AN276" s="3" t="n">
        <v>2</v>
      </c>
      <c r="AO276" s="3" t="n">
        <v>2</v>
      </c>
      <c r="AP276" s="3" t="n">
        <v>4</v>
      </c>
      <c r="AQ276" s="3" t="n">
        <v>1</v>
      </c>
      <c r="AR276" s="3" t="n">
        <v>4</v>
      </c>
      <c r="AS276" s="3" t="n">
        <v>6</v>
      </c>
      <c r="AT276" s="3" t="n">
        <v>4</v>
      </c>
      <c r="AU276" s="3" t="n">
        <v>6</v>
      </c>
      <c r="AV276" s="3" t="n">
        <v>1</v>
      </c>
      <c r="AW276" s="3" t="n">
        <v>6</v>
      </c>
      <c r="AX276" s="3" t="n">
        <v>2</v>
      </c>
      <c r="AY276" s="3" t="n">
        <v>1</v>
      </c>
      <c r="AZ276" s="3" t="n">
        <v>1</v>
      </c>
      <c r="BA276" s="5" t="n">
        <v>3</v>
      </c>
      <c r="BB276" s="3" t="n">
        <v>2</v>
      </c>
      <c r="BC276" s="3" t="n">
        <v>1</v>
      </c>
      <c r="BD276" s="3" t="n">
        <v>6</v>
      </c>
      <c r="BE276" s="3" t="n">
        <v>3</v>
      </c>
      <c r="BF276" s="3" t="n">
        <v>5</v>
      </c>
      <c r="BG276" s="3" t="n">
        <v>3</v>
      </c>
      <c r="BH276" s="3" t="n">
        <v>4</v>
      </c>
      <c r="BI276" s="3" t="n">
        <v>1</v>
      </c>
      <c r="BJ276" s="3" t="n">
        <v>1</v>
      </c>
      <c r="BK276" s="6" t="s">
        <v>883</v>
      </c>
    </row>
    <row r="277" customFormat="false" ht="15" hidden="false" customHeight="true" outlineLevel="0" collapsed="false">
      <c r="B277" s="2" t="s">
        <v>884</v>
      </c>
      <c r="C277" s="2" t="s">
        <v>275</v>
      </c>
      <c r="D277" s="2" t="s">
        <v>478</v>
      </c>
      <c r="E277" s="2" t="n">
        <v>171757</v>
      </c>
      <c r="F277" s="15" t="n">
        <v>43511</v>
      </c>
      <c r="G277" s="15" t="n">
        <v>43517</v>
      </c>
      <c r="H277" s="3" t="n">
        <v>6</v>
      </c>
      <c r="I277" s="3" t="n">
        <v>2</v>
      </c>
      <c r="J277" s="3" t="n">
        <v>74</v>
      </c>
      <c r="K277" s="3" t="n">
        <v>1</v>
      </c>
      <c r="L277" s="3" t="n">
        <v>2</v>
      </c>
      <c r="M277" s="3" t="n">
        <v>2</v>
      </c>
      <c r="N277" s="3" t="n">
        <v>1</v>
      </c>
      <c r="O277" s="3" t="n">
        <v>2</v>
      </c>
      <c r="P277" s="3" t="n">
        <v>2</v>
      </c>
      <c r="Q277" s="3" t="n">
        <v>2</v>
      </c>
      <c r="R277" s="3" t="n">
        <v>2</v>
      </c>
      <c r="S277" s="3" t="n">
        <v>2</v>
      </c>
      <c r="T277" s="4" t="n">
        <v>1</v>
      </c>
      <c r="U277" s="3" t="n">
        <v>1</v>
      </c>
      <c r="V277" s="3" t="n">
        <v>5.27</v>
      </c>
      <c r="W277" s="3" t="n">
        <v>1.35</v>
      </c>
      <c r="X277" s="3" t="n">
        <v>4.6</v>
      </c>
      <c r="Y277" s="3" t="n">
        <v>424</v>
      </c>
      <c r="AA277" s="3" t="n">
        <v>0.35</v>
      </c>
      <c r="AB277" s="3" t="n">
        <v>6.8</v>
      </c>
      <c r="AC277" s="3" t="n">
        <v>1</v>
      </c>
      <c r="AD277" s="3" t="n">
        <v>1</v>
      </c>
      <c r="AE277" s="3" t="n">
        <v>1</v>
      </c>
      <c r="AF277" s="3" t="n">
        <v>1</v>
      </c>
      <c r="AG277" s="3" t="n">
        <v>1</v>
      </c>
      <c r="AH277" s="3" t="n">
        <v>2</v>
      </c>
      <c r="AI277" s="3" t="n">
        <v>1</v>
      </c>
      <c r="AJ277" s="3" t="n">
        <v>2</v>
      </c>
      <c r="AK277" s="3" t="n">
        <v>2</v>
      </c>
      <c r="AL277" s="3" t="n">
        <v>2</v>
      </c>
      <c r="AM277" s="3" t="n">
        <v>2</v>
      </c>
      <c r="AN277" s="3" t="n">
        <v>2</v>
      </c>
      <c r="AO277" s="3" t="n">
        <v>2</v>
      </c>
      <c r="AP277" s="3" t="n">
        <v>3</v>
      </c>
      <c r="AQ277" s="3" t="n">
        <v>4</v>
      </c>
      <c r="AR277" s="3" t="n">
        <v>4</v>
      </c>
      <c r="AS277" s="3" t="n">
        <v>6</v>
      </c>
      <c r="AT277" s="3" t="n">
        <v>4</v>
      </c>
      <c r="AU277" s="3" t="n">
        <v>4</v>
      </c>
      <c r="AV277" s="3" t="n">
        <v>6</v>
      </c>
      <c r="AW277" s="3" t="n">
        <v>6</v>
      </c>
      <c r="AX277" s="3" t="n">
        <v>3</v>
      </c>
      <c r="AY277" s="3" t="n">
        <v>3</v>
      </c>
      <c r="AZ277" s="3" t="n">
        <v>1</v>
      </c>
      <c r="BA277" s="5" t="n">
        <v>5</v>
      </c>
      <c r="BB277" s="3" t="n">
        <v>2</v>
      </c>
      <c r="BC277" s="3" t="n">
        <v>1</v>
      </c>
      <c r="BD277" s="3" t="n">
        <v>6</v>
      </c>
      <c r="BE277" s="3" t="n">
        <v>3</v>
      </c>
      <c r="BF277" s="3" t="n">
        <v>5</v>
      </c>
      <c r="BG277" s="3" t="n">
        <v>3</v>
      </c>
      <c r="BH277" s="3" t="n">
        <v>4</v>
      </c>
      <c r="BI277" s="3" t="n">
        <v>1</v>
      </c>
      <c r="BJ277" s="3" t="n">
        <v>1</v>
      </c>
      <c r="BK277" s="6" t="s">
        <v>885</v>
      </c>
    </row>
    <row r="278" customFormat="false" ht="15" hidden="false" customHeight="true" outlineLevel="0" collapsed="false">
      <c r="B278" s="2" t="s">
        <v>886</v>
      </c>
      <c r="C278" s="2" t="s">
        <v>887</v>
      </c>
      <c r="D278" s="2" t="s">
        <v>127</v>
      </c>
      <c r="E278" s="2" t="n">
        <v>171631</v>
      </c>
      <c r="F278" s="15" t="n">
        <v>43510</v>
      </c>
      <c r="G278" s="15" t="n">
        <v>43518</v>
      </c>
      <c r="H278" s="3" t="n">
        <v>5</v>
      </c>
      <c r="I278" s="3" t="n">
        <v>2</v>
      </c>
      <c r="J278" s="3" t="n">
        <v>77</v>
      </c>
      <c r="K278" s="3" t="n">
        <v>1</v>
      </c>
      <c r="L278" s="3" t="n">
        <v>2</v>
      </c>
      <c r="M278" s="3" t="n">
        <v>1</v>
      </c>
      <c r="N278" s="3" t="n">
        <v>2</v>
      </c>
      <c r="O278" s="3" t="n">
        <v>2</v>
      </c>
      <c r="P278" s="3" t="n">
        <v>2</v>
      </c>
      <c r="Q278" s="3" t="n">
        <v>2</v>
      </c>
      <c r="R278" s="3" t="n">
        <v>2</v>
      </c>
      <c r="S278" s="3" t="n">
        <v>2</v>
      </c>
      <c r="T278" s="4" t="n">
        <v>2</v>
      </c>
      <c r="U278" s="3" t="n">
        <v>2</v>
      </c>
      <c r="V278" s="3" t="n">
        <v>2.52</v>
      </c>
      <c r="W278" s="3" t="n">
        <v>0.59</v>
      </c>
      <c r="X278" s="3" t="n">
        <v>8.57</v>
      </c>
      <c r="Y278" s="3" t="n">
        <v>415</v>
      </c>
      <c r="AA278" s="3" t="n">
        <v>0.48</v>
      </c>
      <c r="AB278" s="3" t="n">
        <v>12.3</v>
      </c>
      <c r="AC278" s="3" t="n">
        <v>1</v>
      </c>
      <c r="AD278" s="3" t="n">
        <v>2</v>
      </c>
      <c r="AE278" s="3" t="n">
        <v>1</v>
      </c>
      <c r="AF278" s="3" t="n">
        <v>2</v>
      </c>
      <c r="AG278" s="3" t="n">
        <v>1</v>
      </c>
      <c r="AH278" s="3" t="n">
        <v>2</v>
      </c>
      <c r="AI278" s="3" t="n">
        <v>1</v>
      </c>
      <c r="AJ278" s="3" t="n">
        <v>1</v>
      </c>
      <c r="AK278" s="3" t="n">
        <v>2</v>
      </c>
      <c r="AL278" s="3" t="n">
        <v>2</v>
      </c>
      <c r="AM278" s="3" t="n">
        <v>1</v>
      </c>
      <c r="AN278" s="3" t="n">
        <v>2</v>
      </c>
      <c r="AO278" s="3" t="n">
        <v>2</v>
      </c>
      <c r="AP278" s="3" t="n">
        <v>3</v>
      </c>
      <c r="AQ278" s="3" t="n">
        <v>4</v>
      </c>
      <c r="AR278" s="3" t="n">
        <v>4</v>
      </c>
      <c r="AS278" s="3" t="n">
        <v>6</v>
      </c>
      <c r="AT278" s="3" t="n">
        <v>4</v>
      </c>
      <c r="AU278" s="3" t="n">
        <v>4</v>
      </c>
      <c r="AV278" s="3" t="n">
        <v>6</v>
      </c>
      <c r="AW278" s="3" t="n">
        <v>6</v>
      </c>
      <c r="AX278" s="3" t="n">
        <v>3</v>
      </c>
      <c r="AY278" s="3" t="n">
        <v>3</v>
      </c>
      <c r="AZ278" s="3" t="n">
        <v>1</v>
      </c>
      <c r="BA278" s="5" t="n">
        <v>1</v>
      </c>
      <c r="BB278" s="3" t="n">
        <v>1</v>
      </c>
      <c r="BC278" s="3" t="n">
        <v>1</v>
      </c>
      <c r="BD278" s="3" t="n">
        <v>4</v>
      </c>
      <c r="BE278" s="3" t="n">
        <v>3</v>
      </c>
      <c r="BF278" s="3" t="n">
        <v>5</v>
      </c>
      <c r="BG278" s="3" t="n">
        <v>3</v>
      </c>
      <c r="BH278" s="3" t="n">
        <v>4</v>
      </c>
      <c r="BI278" s="3" t="n">
        <v>1</v>
      </c>
      <c r="BJ278" s="3" t="n">
        <v>1</v>
      </c>
      <c r="BK278" s="6" t="s">
        <v>888</v>
      </c>
    </row>
    <row r="279" customFormat="false" ht="15" hidden="false" customHeight="true" outlineLevel="0" collapsed="false">
      <c r="B279" s="2" t="s">
        <v>889</v>
      </c>
      <c r="C279" s="2" t="s">
        <v>890</v>
      </c>
      <c r="D279" s="2" t="s">
        <v>494</v>
      </c>
      <c r="E279" s="2" t="n">
        <v>171732</v>
      </c>
      <c r="F279" s="15" t="n">
        <v>43512</v>
      </c>
      <c r="G279" s="15" t="n">
        <v>43518</v>
      </c>
      <c r="H279" s="3" t="n">
        <v>6</v>
      </c>
      <c r="I279" s="3" t="n">
        <v>2</v>
      </c>
      <c r="J279" s="3" t="n">
        <v>76</v>
      </c>
      <c r="K279" s="3" t="n">
        <v>1</v>
      </c>
      <c r="L279" s="3" t="n">
        <v>2</v>
      </c>
      <c r="M279" s="3" t="n">
        <v>2</v>
      </c>
      <c r="N279" s="3" t="n">
        <v>2</v>
      </c>
      <c r="O279" s="3" t="n">
        <v>2</v>
      </c>
      <c r="P279" s="3" t="n">
        <v>2</v>
      </c>
      <c r="Q279" s="3" t="n">
        <v>2</v>
      </c>
      <c r="R279" s="3" t="n">
        <v>2</v>
      </c>
      <c r="S279" s="3" t="n">
        <v>2</v>
      </c>
      <c r="T279" s="4" t="n">
        <v>2</v>
      </c>
      <c r="U279" s="3" t="n">
        <v>2</v>
      </c>
      <c r="V279" s="3" t="n">
        <v>3.22</v>
      </c>
      <c r="W279" s="3" t="n">
        <v>0.2</v>
      </c>
      <c r="X279" s="3" t="n">
        <v>4.9</v>
      </c>
      <c r="Y279" s="3" t="n">
        <v>9</v>
      </c>
      <c r="AA279" s="3" t="n">
        <v>0.46</v>
      </c>
      <c r="AB279" s="3" t="n">
        <v>9.6</v>
      </c>
      <c r="AC279" s="3" t="n">
        <v>2</v>
      </c>
      <c r="AD279" s="3" t="n">
        <v>2</v>
      </c>
      <c r="AE279" s="3" t="n">
        <v>1</v>
      </c>
      <c r="AF279" s="3" t="n">
        <v>1</v>
      </c>
      <c r="AG279" s="3" t="n">
        <v>2</v>
      </c>
      <c r="AH279" s="3" t="n">
        <v>2</v>
      </c>
      <c r="AI279" s="3" t="n">
        <v>1</v>
      </c>
      <c r="AJ279" s="3" t="n">
        <v>1</v>
      </c>
      <c r="AK279" s="3" t="n">
        <v>2</v>
      </c>
      <c r="AL279" s="3" t="n">
        <v>2</v>
      </c>
      <c r="AM279" s="3" t="n">
        <v>2</v>
      </c>
      <c r="AN279" s="3" t="n">
        <v>2</v>
      </c>
      <c r="AO279" s="3" t="n">
        <v>2</v>
      </c>
      <c r="AP279" s="3" t="n">
        <v>3</v>
      </c>
      <c r="AQ279" s="3" t="n">
        <v>4</v>
      </c>
      <c r="AR279" s="3" t="n">
        <v>4</v>
      </c>
      <c r="AS279" s="3" t="n">
        <v>6</v>
      </c>
      <c r="AT279" s="3" t="n">
        <v>4</v>
      </c>
      <c r="AU279" s="3" t="n">
        <v>4</v>
      </c>
      <c r="AV279" s="3" t="n">
        <v>6</v>
      </c>
      <c r="AW279" s="3" t="n">
        <v>6</v>
      </c>
      <c r="AX279" s="3" t="n">
        <v>3</v>
      </c>
      <c r="AY279" s="3" t="n">
        <v>3</v>
      </c>
      <c r="AZ279" s="3" t="n">
        <v>1</v>
      </c>
      <c r="BA279" s="5" t="n">
        <v>1</v>
      </c>
      <c r="BB279" s="3" t="n">
        <v>1</v>
      </c>
      <c r="BC279" s="3" t="n">
        <v>1</v>
      </c>
      <c r="BD279" s="3" t="n">
        <v>2</v>
      </c>
      <c r="BE279" s="3" t="n">
        <v>1</v>
      </c>
      <c r="BF279" s="3" t="n">
        <v>2</v>
      </c>
      <c r="BG279" s="3" t="n">
        <v>1</v>
      </c>
      <c r="BH279" s="3" t="n">
        <v>4</v>
      </c>
      <c r="BI279" s="3" t="n">
        <v>1</v>
      </c>
      <c r="BJ279" s="3" t="n">
        <v>1</v>
      </c>
      <c r="BK279" s="6" t="s">
        <v>891</v>
      </c>
    </row>
    <row r="280" customFormat="false" ht="15" hidden="false" customHeight="true" outlineLevel="0" collapsed="false">
      <c r="B280" s="2" t="s">
        <v>231</v>
      </c>
      <c r="C280" s="2" t="s">
        <v>94</v>
      </c>
      <c r="D280" s="2" t="s">
        <v>232</v>
      </c>
      <c r="E280" s="2" t="n">
        <v>144082</v>
      </c>
      <c r="F280" s="15" t="n">
        <v>43513</v>
      </c>
      <c r="G280" s="15" t="n">
        <v>43519</v>
      </c>
      <c r="H280" s="3" t="n">
        <v>6</v>
      </c>
      <c r="I280" s="3" t="n">
        <v>2</v>
      </c>
      <c r="J280" s="3" t="n">
        <v>56</v>
      </c>
      <c r="K280" s="3" t="n">
        <v>1</v>
      </c>
      <c r="L280" s="3" t="n">
        <v>2</v>
      </c>
      <c r="M280" s="3" t="n">
        <v>1</v>
      </c>
      <c r="N280" s="3" t="n">
        <v>1</v>
      </c>
      <c r="O280" s="3" t="n">
        <v>1</v>
      </c>
      <c r="P280" s="3" t="n">
        <v>1</v>
      </c>
      <c r="Q280" s="3" t="n">
        <v>1</v>
      </c>
      <c r="R280" s="3" t="n">
        <v>1</v>
      </c>
      <c r="S280" s="3" t="n">
        <v>2</v>
      </c>
      <c r="T280" s="4" t="n">
        <v>1</v>
      </c>
      <c r="U280" s="3" t="n">
        <v>4</v>
      </c>
      <c r="V280" s="3" t="n">
        <v>5.3</v>
      </c>
      <c r="W280" s="3" t="n">
        <v>1.35</v>
      </c>
      <c r="X280" s="3" t="n">
        <v>14.2</v>
      </c>
      <c r="Y280" s="3" t="n">
        <v>506</v>
      </c>
      <c r="AA280" s="3" t="n">
        <v>0.4</v>
      </c>
      <c r="AB280" s="3" t="n">
        <v>10.1</v>
      </c>
      <c r="AC280" s="3" t="n">
        <v>3</v>
      </c>
      <c r="AD280" s="3" t="n">
        <v>1</v>
      </c>
      <c r="AE280" s="3" t="n">
        <v>1</v>
      </c>
      <c r="AF280" s="3" t="n">
        <v>1</v>
      </c>
      <c r="AG280" s="3" t="n">
        <v>2</v>
      </c>
      <c r="AH280" s="3" t="n">
        <v>2</v>
      </c>
      <c r="AI280" s="3" t="n">
        <v>2</v>
      </c>
      <c r="AJ280" s="3" t="n">
        <v>1</v>
      </c>
      <c r="AK280" s="3" t="n">
        <v>1</v>
      </c>
      <c r="AL280" s="3" t="n">
        <v>2</v>
      </c>
      <c r="AM280" s="3" t="n">
        <v>1</v>
      </c>
      <c r="AN280" s="3" t="n">
        <v>2</v>
      </c>
      <c r="AO280" s="3" t="n">
        <v>1</v>
      </c>
      <c r="AP280" s="3" t="n">
        <v>3</v>
      </c>
      <c r="AQ280" s="3" t="n">
        <v>4</v>
      </c>
      <c r="AR280" s="3" t="n">
        <v>4</v>
      </c>
      <c r="AS280" s="3" t="n">
        <v>6</v>
      </c>
      <c r="AT280" s="3" t="n">
        <v>4</v>
      </c>
      <c r="AU280" s="3" t="n">
        <v>4</v>
      </c>
      <c r="AV280" s="3" t="n">
        <v>6</v>
      </c>
      <c r="AW280" s="3" t="n">
        <v>6</v>
      </c>
      <c r="AX280" s="3" t="n">
        <v>3</v>
      </c>
      <c r="AY280" s="3" t="n">
        <v>3</v>
      </c>
      <c r="AZ280" s="3" t="n">
        <v>1</v>
      </c>
      <c r="BA280" s="5" t="n">
        <v>5</v>
      </c>
      <c r="BB280" s="3" t="n">
        <v>2</v>
      </c>
      <c r="BC280" s="3" t="n">
        <v>1</v>
      </c>
      <c r="BD280" s="3" t="n">
        <v>6</v>
      </c>
      <c r="BE280" s="3" t="n">
        <v>3</v>
      </c>
      <c r="BF280" s="3" t="n">
        <v>5</v>
      </c>
      <c r="BG280" s="3" t="n">
        <v>3</v>
      </c>
      <c r="BH280" s="3" t="n">
        <v>4</v>
      </c>
      <c r="BI280" s="3" t="n">
        <v>1</v>
      </c>
      <c r="BJ280" s="3" t="n">
        <v>1</v>
      </c>
      <c r="BK280" s="6" t="s">
        <v>892</v>
      </c>
    </row>
    <row r="281" s="30" customFormat="true" ht="15" hidden="false" customHeight="true" outlineLevel="0" collapsed="false">
      <c r="A281" s="24"/>
      <c r="B281" s="26" t="s">
        <v>556</v>
      </c>
      <c r="C281" s="26" t="s">
        <v>94</v>
      </c>
      <c r="D281" s="26" t="s">
        <v>127</v>
      </c>
      <c r="E281" s="26" t="n">
        <v>171705</v>
      </c>
      <c r="F281" s="27" t="n">
        <v>43513</v>
      </c>
      <c r="G281" s="27" t="n">
        <v>43519</v>
      </c>
      <c r="H281" s="30" t="n">
        <v>6</v>
      </c>
      <c r="I281" s="30" t="n">
        <v>2</v>
      </c>
      <c r="J281" s="30" t="n">
        <v>88</v>
      </c>
      <c r="K281" s="30" t="n">
        <v>2</v>
      </c>
      <c r="L281" s="30" t="n">
        <v>2</v>
      </c>
      <c r="M281" s="30" t="n">
        <v>1</v>
      </c>
      <c r="N281" s="30" t="n">
        <v>2</v>
      </c>
      <c r="O281" s="30" t="n">
        <v>2</v>
      </c>
      <c r="P281" s="30" t="n">
        <v>1</v>
      </c>
      <c r="Q281" s="30" t="n">
        <v>1</v>
      </c>
      <c r="R281" s="30" t="n">
        <v>1</v>
      </c>
      <c r="S281" s="30" t="n">
        <v>2</v>
      </c>
      <c r="T281" s="4" t="n">
        <v>2</v>
      </c>
      <c r="U281" s="30" t="n">
        <v>2</v>
      </c>
      <c r="V281" s="30" t="n">
        <v>4.46</v>
      </c>
      <c r="W281" s="30" t="n">
        <v>0.92</v>
      </c>
      <c r="X281" s="30" t="n">
        <v>8.1</v>
      </c>
      <c r="Y281" s="30" t="n">
        <v>791</v>
      </c>
      <c r="AA281" s="30" t="n">
        <v>0.38</v>
      </c>
      <c r="AB281" s="30" t="n">
        <v>11.8</v>
      </c>
      <c r="AC281" s="30" t="n">
        <v>3</v>
      </c>
      <c r="AD281" s="30" t="n">
        <v>2</v>
      </c>
      <c r="AE281" s="30" t="n">
        <v>1</v>
      </c>
      <c r="AF281" s="30" t="n">
        <v>1</v>
      </c>
      <c r="AG281" s="30" t="n">
        <v>2</v>
      </c>
      <c r="AH281" s="30" t="n">
        <v>2</v>
      </c>
      <c r="AI281" s="30" t="n">
        <v>1</v>
      </c>
      <c r="AJ281" s="30" t="n">
        <v>2</v>
      </c>
      <c r="AK281" s="30" t="n">
        <v>2</v>
      </c>
      <c r="AL281" s="30" t="n">
        <v>2</v>
      </c>
      <c r="AM281" s="30" t="n">
        <v>1</v>
      </c>
      <c r="AN281" s="30" t="n">
        <v>1</v>
      </c>
      <c r="AO281" s="30" t="n">
        <v>2</v>
      </c>
      <c r="AP281" s="30" t="n">
        <v>2</v>
      </c>
      <c r="AQ281" s="30" t="n">
        <v>2</v>
      </c>
      <c r="AR281" s="30" t="n">
        <v>1</v>
      </c>
      <c r="AS281" s="30" t="n">
        <v>3</v>
      </c>
      <c r="AT281" s="30" t="n">
        <v>1</v>
      </c>
      <c r="AU281" s="30" t="n">
        <v>1</v>
      </c>
      <c r="AV281" s="30" t="n">
        <v>1</v>
      </c>
      <c r="AW281" s="30" t="n">
        <v>1</v>
      </c>
      <c r="AX281" s="30" t="n">
        <v>2</v>
      </c>
      <c r="AY281" s="30" t="n">
        <v>2</v>
      </c>
      <c r="AZ281" s="30" t="n">
        <v>6</v>
      </c>
      <c r="BA281" s="5" t="n">
        <v>1</v>
      </c>
      <c r="BB281" s="30" t="n">
        <v>1</v>
      </c>
      <c r="BC281" s="30" t="n">
        <v>2</v>
      </c>
      <c r="BD281" s="30" t="n">
        <v>2</v>
      </c>
      <c r="BE281" s="30" t="n">
        <v>3</v>
      </c>
      <c r="BF281" s="30" t="n">
        <v>5</v>
      </c>
      <c r="BG281" s="30" t="n">
        <v>3</v>
      </c>
      <c r="BH281" s="30" t="n">
        <v>4</v>
      </c>
      <c r="BI281" s="30" t="n">
        <v>1</v>
      </c>
      <c r="BJ281" s="30" t="n">
        <v>1</v>
      </c>
      <c r="BK281" s="31" t="s">
        <v>893</v>
      </c>
    </row>
    <row r="282" customFormat="false" ht="15" hidden="false" customHeight="true" outlineLevel="0" collapsed="false">
      <c r="B282" s="2" t="s">
        <v>894</v>
      </c>
      <c r="C282" s="2" t="s">
        <v>895</v>
      </c>
      <c r="D282" s="2" t="s">
        <v>94</v>
      </c>
      <c r="E282" s="2" t="n">
        <v>171774</v>
      </c>
      <c r="F282" s="15" t="n">
        <v>43510</v>
      </c>
      <c r="G282" s="15" t="n">
        <v>43519</v>
      </c>
      <c r="H282" s="3" t="n">
        <v>9</v>
      </c>
      <c r="I282" s="3" t="n">
        <v>2</v>
      </c>
      <c r="J282" s="3" t="n">
        <v>61</v>
      </c>
      <c r="K282" s="3" t="n">
        <v>1</v>
      </c>
      <c r="L282" s="3" t="n">
        <v>1</v>
      </c>
      <c r="M282" s="3" t="n">
        <v>1</v>
      </c>
      <c r="N282" s="3" t="n">
        <v>2</v>
      </c>
      <c r="O282" s="3" t="n">
        <v>2</v>
      </c>
      <c r="P282" s="3" t="n">
        <v>2</v>
      </c>
      <c r="Q282" s="3" t="n">
        <v>2</v>
      </c>
      <c r="R282" s="3" t="n">
        <v>2</v>
      </c>
      <c r="S282" s="3" t="n">
        <v>2</v>
      </c>
      <c r="T282" s="4" t="n">
        <v>2</v>
      </c>
      <c r="U282" s="3" t="n">
        <v>2</v>
      </c>
      <c r="V282" s="3" t="n">
        <v>5.76</v>
      </c>
      <c r="W282" s="3" t="n">
        <v>2.51</v>
      </c>
      <c r="X282" s="3" t="n">
        <v>5.8</v>
      </c>
      <c r="Y282" s="3" t="n">
        <v>393</v>
      </c>
      <c r="AA282" s="3" t="n">
        <v>0.45</v>
      </c>
      <c r="AB282" s="3" t="n">
        <v>9.6</v>
      </c>
      <c r="AC282" s="3" t="n">
        <v>1</v>
      </c>
      <c r="AD282" s="3" t="n">
        <v>2</v>
      </c>
      <c r="AE282" s="3" t="n">
        <v>1</v>
      </c>
      <c r="AF282" s="3" t="n">
        <v>1</v>
      </c>
      <c r="AG282" s="3" t="n">
        <v>2</v>
      </c>
      <c r="AH282" s="3" t="n">
        <v>2</v>
      </c>
      <c r="AI282" s="3" t="n">
        <v>1</v>
      </c>
      <c r="AJ282" s="3" t="n">
        <v>1</v>
      </c>
      <c r="AK282" s="3" t="n">
        <v>2</v>
      </c>
      <c r="AL282" s="3" t="n">
        <v>2</v>
      </c>
      <c r="AM282" s="3" t="n">
        <v>1</v>
      </c>
      <c r="AN282" s="3" t="n">
        <v>2</v>
      </c>
      <c r="AO282" s="3" t="n">
        <v>2</v>
      </c>
      <c r="AP282" s="3" t="n">
        <v>2</v>
      </c>
      <c r="AQ282" s="3" t="n">
        <v>2</v>
      </c>
      <c r="AR282" s="3" t="n">
        <v>4</v>
      </c>
      <c r="AS282" s="3" t="n">
        <v>6</v>
      </c>
      <c r="AT282" s="3" t="n">
        <v>4</v>
      </c>
      <c r="AU282" s="3" t="n">
        <v>4</v>
      </c>
      <c r="AV282" s="3" t="n">
        <v>1</v>
      </c>
      <c r="AW282" s="3" t="n">
        <v>6</v>
      </c>
      <c r="AX282" s="3" t="n">
        <v>2</v>
      </c>
      <c r="AY282" s="3" t="n">
        <v>1</v>
      </c>
      <c r="AZ282" s="3" t="n">
        <v>1</v>
      </c>
      <c r="BA282" s="5" t="n">
        <v>1</v>
      </c>
      <c r="BB282" s="3" t="n">
        <v>1</v>
      </c>
      <c r="BC282" s="3" t="n">
        <v>1</v>
      </c>
      <c r="BD282" s="3" t="n">
        <v>2</v>
      </c>
      <c r="BE282" s="3" t="n">
        <v>1</v>
      </c>
      <c r="BF282" s="3" t="n">
        <v>2</v>
      </c>
      <c r="BG282" s="3" t="n">
        <v>1</v>
      </c>
      <c r="BH282" s="3" t="n">
        <v>4</v>
      </c>
      <c r="BI282" s="3" t="n">
        <v>1</v>
      </c>
      <c r="BJ282" s="3" t="n">
        <v>1</v>
      </c>
      <c r="BK282" s="6" t="s">
        <v>896</v>
      </c>
    </row>
    <row r="283" customFormat="false" ht="15" hidden="false" customHeight="true" outlineLevel="0" collapsed="false">
      <c r="B283" s="2" t="s">
        <v>897</v>
      </c>
      <c r="C283" s="2" t="s">
        <v>898</v>
      </c>
      <c r="D283" s="2" t="s">
        <v>433</v>
      </c>
      <c r="E283" s="2" t="n">
        <v>171686</v>
      </c>
      <c r="F283" s="15" t="n">
        <v>43517</v>
      </c>
      <c r="G283" s="15" t="n">
        <v>43521</v>
      </c>
      <c r="H283" s="3" t="n">
        <v>4</v>
      </c>
      <c r="I283" s="3" t="n">
        <v>1</v>
      </c>
      <c r="J283" s="3" t="n">
        <v>61</v>
      </c>
      <c r="K283" s="3" t="n">
        <v>1</v>
      </c>
      <c r="L283" s="3" t="n">
        <v>2</v>
      </c>
      <c r="M283" s="3" t="n">
        <v>2</v>
      </c>
      <c r="N283" s="3" t="n">
        <v>2</v>
      </c>
      <c r="O283" s="3" t="n">
        <v>2</v>
      </c>
      <c r="P283" s="3" t="n">
        <v>2</v>
      </c>
      <c r="Q283" s="3" t="n">
        <v>2</v>
      </c>
      <c r="R283" s="3" t="n">
        <v>2</v>
      </c>
      <c r="S283" s="3" t="n">
        <v>2</v>
      </c>
      <c r="T283" s="4" t="n">
        <v>12</v>
      </c>
      <c r="U283" s="3" t="n">
        <v>1</v>
      </c>
      <c r="V283" s="3" t="n">
        <v>4.92</v>
      </c>
      <c r="W283" s="3" t="n">
        <v>2.21</v>
      </c>
      <c r="X283" s="3" t="n">
        <v>5.1</v>
      </c>
      <c r="Y283" s="3" t="n">
        <v>297</v>
      </c>
      <c r="AA283" s="3" t="n">
        <v>0.44</v>
      </c>
      <c r="AB283" s="3" t="n">
        <v>5</v>
      </c>
      <c r="AC283" s="3" t="n">
        <v>3</v>
      </c>
      <c r="AD283" s="3" t="n">
        <v>2</v>
      </c>
      <c r="AE283" s="3" t="n">
        <v>2</v>
      </c>
      <c r="AF283" s="3" t="n">
        <v>2</v>
      </c>
      <c r="AG283" s="3" t="n">
        <v>2</v>
      </c>
      <c r="AH283" s="3" t="n">
        <v>2</v>
      </c>
      <c r="AI283" s="3" t="n">
        <v>2</v>
      </c>
      <c r="AJ283" s="3" t="n">
        <v>2</v>
      </c>
      <c r="AK283" s="3" t="n">
        <v>2</v>
      </c>
      <c r="AL283" s="3" t="n">
        <v>2</v>
      </c>
      <c r="AM283" s="3" t="n">
        <v>2</v>
      </c>
      <c r="AN283" s="3" t="n">
        <v>2</v>
      </c>
      <c r="AO283" s="3" t="n">
        <v>2</v>
      </c>
      <c r="AP283" s="3" t="n">
        <v>3</v>
      </c>
      <c r="AQ283" s="3" t="n">
        <v>4</v>
      </c>
      <c r="AR283" s="3" t="n">
        <v>4</v>
      </c>
      <c r="AS283" s="3" t="n">
        <v>6</v>
      </c>
      <c r="AT283" s="3" t="n">
        <v>4</v>
      </c>
      <c r="AU283" s="3" t="n">
        <v>4</v>
      </c>
      <c r="AV283" s="3" t="n">
        <v>6</v>
      </c>
      <c r="AW283" s="3" t="n">
        <v>6</v>
      </c>
      <c r="AX283" s="3" t="n">
        <v>3</v>
      </c>
      <c r="AY283" s="3" t="n">
        <v>3</v>
      </c>
      <c r="AZ283" s="3" t="n">
        <v>1</v>
      </c>
      <c r="BA283" s="5" t="n">
        <v>3</v>
      </c>
      <c r="BB283" s="3" t="n">
        <v>2</v>
      </c>
      <c r="BC283" s="3" t="n">
        <v>1</v>
      </c>
      <c r="BD283" s="3" t="n">
        <v>6</v>
      </c>
      <c r="BE283" s="3" t="n">
        <v>3</v>
      </c>
      <c r="BF283" s="3" t="n">
        <v>5</v>
      </c>
      <c r="BG283" s="3" t="n">
        <v>3</v>
      </c>
      <c r="BH283" s="3" t="n">
        <v>4</v>
      </c>
      <c r="BI283" s="3" t="n">
        <v>1</v>
      </c>
      <c r="BJ283" s="3" t="n">
        <v>1</v>
      </c>
      <c r="BK283" s="6" t="s">
        <v>899</v>
      </c>
    </row>
    <row r="284" customFormat="false" ht="15" hidden="false" customHeight="true" outlineLevel="0" collapsed="false">
      <c r="B284" s="2" t="s">
        <v>900</v>
      </c>
      <c r="C284" s="2" t="s">
        <v>688</v>
      </c>
      <c r="D284" s="2" t="s">
        <v>457</v>
      </c>
      <c r="E284" s="2" t="n">
        <v>171733</v>
      </c>
      <c r="F284" s="15" t="n">
        <v>43512</v>
      </c>
      <c r="G284" s="15" t="n">
        <v>43522</v>
      </c>
      <c r="H284" s="3" t="n">
        <v>10</v>
      </c>
      <c r="I284" s="3" t="n">
        <v>1</v>
      </c>
      <c r="J284" s="3" t="n">
        <v>61</v>
      </c>
      <c r="K284" s="3" t="n">
        <v>1</v>
      </c>
      <c r="L284" s="3" t="n">
        <v>2</v>
      </c>
      <c r="M284" s="3" t="n">
        <v>1</v>
      </c>
      <c r="N284" s="3" t="n">
        <v>2</v>
      </c>
      <c r="O284" s="3" t="n">
        <v>2</v>
      </c>
      <c r="P284" s="3" t="n">
        <v>2</v>
      </c>
      <c r="Q284" s="3" t="n">
        <v>1</v>
      </c>
      <c r="R284" s="3" t="n">
        <v>2</v>
      </c>
      <c r="S284" s="3" t="n">
        <v>2</v>
      </c>
      <c r="T284" s="4" t="n">
        <v>2</v>
      </c>
      <c r="U284" s="3" t="n">
        <v>2</v>
      </c>
      <c r="V284" s="3" t="n">
        <v>4.57</v>
      </c>
      <c r="W284" s="3" t="n">
        <v>1.46</v>
      </c>
      <c r="X284" s="3" t="n">
        <v>11.1</v>
      </c>
      <c r="Y284" s="3" t="n">
        <v>285</v>
      </c>
      <c r="AA284" s="3" t="n">
        <v>0.43</v>
      </c>
      <c r="AB284" s="3" t="n">
        <v>12.8</v>
      </c>
      <c r="AC284" s="3" t="n">
        <v>2</v>
      </c>
      <c r="AD284" s="3" t="n">
        <v>1</v>
      </c>
      <c r="AE284" s="3" t="n">
        <v>1</v>
      </c>
      <c r="AF284" s="3" t="n">
        <v>1</v>
      </c>
      <c r="AG284" s="3" t="n">
        <v>2</v>
      </c>
      <c r="AH284" s="3" t="n">
        <v>1</v>
      </c>
      <c r="AI284" s="3" t="n">
        <v>1</v>
      </c>
      <c r="AJ284" s="3" t="n">
        <v>2</v>
      </c>
      <c r="AK284" s="3" t="n">
        <v>2</v>
      </c>
      <c r="AL284" s="3" t="n">
        <v>2</v>
      </c>
      <c r="AM284" s="3" t="n">
        <v>2</v>
      </c>
      <c r="AN284" s="3" t="n">
        <v>2</v>
      </c>
      <c r="AO284" s="3" t="n">
        <v>2</v>
      </c>
      <c r="AP284" s="3" t="n">
        <v>2</v>
      </c>
      <c r="AQ284" s="3" t="n">
        <v>3</v>
      </c>
      <c r="AR284" s="3" t="n">
        <v>4</v>
      </c>
      <c r="AS284" s="3" t="n">
        <v>6</v>
      </c>
      <c r="AT284" s="3" t="n">
        <v>4</v>
      </c>
      <c r="AU284" s="3" t="n">
        <v>4</v>
      </c>
      <c r="AV284" s="3" t="n">
        <v>1</v>
      </c>
      <c r="AW284" s="3" t="n">
        <v>6</v>
      </c>
      <c r="AX284" s="3" t="n">
        <v>1</v>
      </c>
      <c r="AY284" s="3" t="n">
        <v>2</v>
      </c>
      <c r="AZ284" s="3" t="n">
        <v>5</v>
      </c>
      <c r="BA284" s="5" t="n">
        <v>1</v>
      </c>
      <c r="BB284" s="3" t="n">
        <v>1</v>
      </c>
      <c r="BC284" s="3" t="n">
        <v>1</v>
      </c>
      <c r="BD284" s="3" t="n">
        <v>4</v>
      </c>
      <c r="BE284" s="3" t="n">
        <v>1</v>
      </c>
      <c r="BF284" s="3" t="n">
        <v>2</v>
      </c>
      <c r="BG284" s="3" t="n">
        <v>1</v>
      </c>
      <c r="BH284" s="3" t="n">
        <v>4</v>
      </c>
      <c r="BI284" s="3" t="n">
        <v>1</v>
      </c>
      <c r="BJ284" s="3" t="n">
        <v>1</v>
      </c>
      <c r="BK284" s="6" t="s">
        <v>901</v>
      </c>
    </row>
    <row r="285" customFormat="false" ht="15" hidden="false" customHeight="true" outlineLevel="0" collapsed="false">
      <c r="B285" s="2" t="s">
        <v>392</v>
      </c>
      <c r="C285" s="2" t="s">
        <v>902</v>
      </c>
      <c r="D285" s="2" t="s">
        <v>382</v>
      </c>
      <c r="E285" s="2" t="n">
        <v>172154</v>
      </c>
      <c r="F285" s="15" t="n">
        <v>43516</v>
      </c>
      <c r="G285" s="15" t="n">
        <v>43735</v>
      </c>
      <c r="H285" s="3" t="n">
        <v>7</v>
      </c>
      <c r="I285" s="3" t="n">
        <v>2</v>
      </c>
      <c r="J285" s="3" t="n">
        <v>73</v>
      </c>
      <c r="K285" s="3" t="n">
        <v>1</v>
      </c>
      <c r="L285" s="3" t="n">
        <v>2</v>
      </c>
      <c r="M285" s="3" t="n">
        <v>1</v>
      </c>
      <c r="N285" s="3" t="n">
        <v>2</v>
      </c>
      <c r="O285" s="3" t="n">
        <v>2</v>
      </c>
      <c r="P285" s="3" t="n">
        <v>2</v>
      </c>
      <c r="Q285" s="3" t="n">
        <v>1</v>
      </c>
      <c r="R285" s="3" t="n">
        <v>2</v>
      </c>
      <c r="S285" s="3" t="n">
        <v>2</v>
      </c>
      <c r="T285" s="4" t="n">
        <v>2</v>
      </c>
      <c r="U285" s="3" t="n">
        <v>2</v>
      </c>
      <c r="V285" s="3" t="n">
        <v>5.62</v>
      </c>
      <c r="W285" s="3" t="n">
        <v>1.13</v>
      </c>
      <c r="X285" s="3" t="n">
        <v>6.5</v>
      </c>
      <c r="Y285" s="3" t="n">
        <v>473</v>
      </c>
      <c r="AA285" s="3" t="n">
        <v>0.49</v>
      </c>
      <c r="AB285" s="3" t="n">
        <v>9.4</v>
      </c>
      <c r="AC285" s="3" t="n">
        <v>1</v>
      </c>
      <c r="AD285" s="3" t="n">
        <v>1</v>
      </c>
      <c r="AE285" s="3" t="n">
        <v>1</v>
      </c>
      <c r="AF285" s="3" t="n">
        <v>1</v>
      </c>
      <c r="AG285" s="3" t="n">
        <v>2</v>
      </c>
      <c r="AH285" s="3" t="n">
        <v>1</v>
      </c>
      <c r="AI285" s="3" t="n">
        <v>1</v>
      </c>
      <c r="AJ285" s="3" t="n">
        <v>1</v>
      </c>
      <c r="AK285" s="3" t="n">
        <v>2</v>
      </c>
      <c r="AL285" s="3" t="n">
        <v>2</v>
      </c>
      <c r="AM285" s="3" t="n">
        <v>2</v>
      </c>
      <c r="AN285" s="3" t="n">
        <v>2</v>
      </c>
      <c r="AO285" s="3" t="n">
        <v>2</v>
      </c>
      <c r="AP285" s="3" t="n">
        <v>3</v>
      </c>
      <c r="AQ285" s="3" t="n">
        <v>4</v>
      </c>
      <c r="AR285" s="3" t="n">
        <v>4</v>
      </c>
      <c r="AS285" s="3" t="n">
        <v>6</v>
      </c>
      <c r="AT285" s="3" t="n">
        <v>4</v>
      </c>
      <c r="AU285" s="3" t="n">
        <v>4</v>
      </c>
      <c r="AV285" s="3" t="n">
        <v>6</v>
      </c>
      <c r="AW285" s="3" t="n">
        <v>6</v>
      </c>
      <c r="AX285" s="3" t="n">
        <v>3</v>
      </c>
      <c r="AY285" s="3" t="n">
        <v>3</v>
      </c>
      <c r="AZ285" s="3" t="n">
        <v>1</v>
      </c>
      <c r="BA285" s="5" t="n">
        <v>1</v>
      </c>
      <c r="BB285" s="3" t="n">
        <v>1</v>
      </c>
      <c r="BC285" s="3" t="n">
        <v>1</v>
      </c>
      <c r="BD285" s="3" t="n">
        <v>4</v>
      </c>
      <c r="BE285" s="3" t="n">
        <v>1</v>
      </c>
      <c r="BF285" s="3" t="n">
        <v>2</v>
      </c>
      <c r="BG285" s="3" t="n">
        <v>1</v>
      </c>
      <c r="BH285" s="3" t="n">
        <v>4</v>
      </c>
      <c r="BI285" s="3" t="n">
        <v>1</v>
      </c>
      <c r="BJ285" s="3" t="n">
        <v>1</v>
      </c>
      <c r="BK285" s="6" t="s">
        <v>903</v>
      </c>
    </row>
    <row r="286" customFormat="false" ht="15" hidden="false" customHeight="true" outlineLevel="0" collapsed="false">
      <c r="B286" s="2" t="s">
        <v>904</v>
      </c>
      <c r="C286" s="2" t="s">
        <v>66</v>
      </c>
      <c r="D286" s="2" t="s">
        <v>109</v>
      </c>
      <c r="E286" s="2" t="n">
        <v>172563</v>
      </c>
      <c r="F286" s="15" t="n">
        <v>43518</v>
      </c>
      <c r="G286" s="15" t="n">
        <v>43735</v>
      </c>
      <c r="H286" s="3" t="n">
        <v>5</v>
      </c>
      <c r="I286" s="3" t="n">
        <v>2</v>
      </c>
      <c r="J286" s="3" t="n">
        <v>43</v>
      </c>
      <c r="K286" s="3" t="n">
        <v>1</v>
      </c>
      <c r="L286" s="3" t="n">
        <v>1</v>
      </c>
      <c r="M286" s="3" t="n">
        <v>1</v>
      </c>
      <c r="N286" s="3" t="n">
        <v>2</v>
      </c>
      <c r="O286" s="3" t="n">
        <v>2</v>
      </c>
      <c r="P286" s="3" t="n">
        <v>2</v>
      </c>
      <c r="Q286" s="3" t="n">
        <v>2</v>
      </c>
      <c r="R286" s="3" t="n">
        <v>2</v>
      </c>
      <c r="S286" s="3" t="n">
        <v>2</v>
      </c>
      <c r="T286" s="4" t="n">
        <v>1</v>
      </c>
      <c r="U286" s="3" t="n">
        <v>1</v>
      </c>
      <c r="V286" s="3" t="n">
        <v>3.52</v>
      </c>
      <c r="W286" s="3" t="n">
        <v>1.31</v>
      </c>
      <c r="X286" s="3" t="n">
        <v>6.6</v>
      </c>
      <c r="Y286" s="3" t="n">
        <v>431</v>
      </c>
      <c r="AA286" s="3" t="n">
        <v>0.4</v>
      </c>
      <c r="AB286" s="3" t="n">
        <v>9.4</v>
      </c>
      <c r="AC286" s="3" t="n">
        <v>1</v>
      </c>
      <c r="AD286" s="3" t="n">
        <v>2</v>
      </c>
      <c r="AE286" s="3" t="n">
        <v>2</v>
      </c>
      <c r="AF286" s="3" t="n">
        <v>1</v>
      </c>
      <c r="AG286" s="3" t="n">
        <v>2</v>
      </c>
      <c r="AH286" s="3" t="n">
        <v>1</v>
      </c>
      <c r="AI286" s="3" t="n">
        <v>1</v>
      </c>
      <c r="AJ286" s="3" t="n">
        <v>1</v>
      </c>
      <c r="AK286" s="3" t="n">
        <v>2</v>
      </c>
      <c r="AL286" s="3" t="n">
        <v>2</v>
      </c>
      <c r="AM286" s="3" t="n">
        <v>1</v>
      </c>
      <c r="AN286" s="3" t="n">
        <v>2</v>
      </c>
      <c r="AO286" s="3" t="n">
        <v>2</v>
      </c>
      <c r="AP286" s="3" t="n">
        <v>4</v>
      </c>
      <c r="AQ286" s="3" t="n">
        <v>2</v>
      </c>
      <c r="AR286" s="3" t="n">
        <v>9</v>
      </c>
      <c r="AS286" s="3" t="n">
        <v>2</v>
      </c>
      <c r="AT286" s="3" t="n">
        <v>1</v>
      </c>
      <c r="AU286" s="3" t="n">
        <v>1</v>
      </c>
      <c r="AV286" s="3" t="n">
        <v>1</v>
      </c>
      <c r="AW286" s="3" t="n">
        <v>10</v>
      </c>
      <c r="AX286" s="3" t="n">
        <v>2</v>
      </c>
      <c r="AY286" s="3" t="n">
        <v>2</v>
      </c>
      <c r="AZ286" s="3" t="n">
        <v>1</v>
      </c>
      <c r="BA286" s="5" t="n">
        <v>1</v>
      </c>
      <c r="BB286" s="3" t="n">
        <v>1</v>
      </c>
      <c r="BC286" s="3" t="n">
        <v>1</v>
      </c>
      <c r="BD286" s="3" t="n">
        <v>2</v>
      </c>
      <c r="BE286" s="3" t="n">
        <v>3</v>
      </c>
      <c r="BF286" s="3" t="n">
        <v>5</v>
      </c>
      <c r="BG286" s="3" t="n">
        <v>3</v>
      </c>
      <c r="BH286" s="3" t="n">
        <v>4</v>
      </c>
      <c r="BI286" s="3" t="n">
        <v>1</v>
      </c>
      <c r="BJ286" s="3" t="n">
        <v>1</v>
      </c>
      <c r="BK286" s="6" t="s">
        <v>905</v>
      </c>
    </row>
    <row r="287" customFormat="false" ht="15" hidden="false" customHeight="true" outlineLevel="0" collapsed="false">
      <c r="B287" s="2" t="s">
        <v>906</v>
      </c>
      <c r="C287" s="2" t="s">
        <v>294</v>
      </c>
      <c r="D287" s="2" t="s">
        <v>127</v>
      </c>
      <c r="E287" s="2" t="n">
        <v>999748</v>
      </c>
      <c r="F287" s="15" t="n">
        <v>43522</v>
      </c>
      <c r="G287" s="15" t="n">
        <v>43524</v>
      </c>
      <c r="H287" s="3" t="n">
        <v>2</v>
      </c>
      <c r="I287" s="3" t="n">
        <v>1</v>
      </c>
      <c r="J287" s="3" t="n">
        <v>62</v>
      </c>
      <c r="K287" s="3" t="n">
        <v>1</v>
      </c>
      <c r="L287" s="3" t="n">
        <v>2</v>
      </c>
      <c r="M287" s="3" t="n">
        <v>1</v>
      </c>
      <c r="N287" s="3" t="n">
        <v>2</v>
      </c>
      <c r="O287" s="3" t="n">
        <v>2</v>
      </c>
      <c r="P287" s="3" t="n">
        <v>2</v>
      </c>
      <c r="Q287" s="3" t="n">
        <v>1</v>
      </c>
      <c r="R287" s="3" t="n">
        <v>2</v>
      </c>
      <c r="S287" s="3" t="n">
        <v>2</v>
      </c>
      <c r="T287" s="4" t="n">
        <v>1</v>
      </c>
      <c r="U287" s="3" t="n">
        <v>4</v>
      </c>
      <c r="V287" s="3" t="n">
        <v>8.9</v>
      </c>
      <c r="W287" s="3" t="n">
        <v>3.06</v>
      </c>
      <c r="X287" s="3" t="n">
        <v>8.5</v>
      </c>
      <c r="Y287" s="3" t="n">
        <v>570</v>
      </c>
      <c r="AA287" s="3" t="n">
        <v>0.39</v>
      </c>
      <c r="AB287" s="3" t="n">
        <v>10</v>
      </c>
      <c r="AC287" s="3" t="n">
        <v>3</v>
      </c>
      <c r="AD287" s="3" t="n">
        <v>1</v>
      </c>
      <c r="AE287" s="3" t="n">
        <v>2</v>
      </c>
      <c r="AF287" s="3" t="n">
        <v>1</v>
      </c>
      <c r="AG287" s="3" t="n">
        <v>2</v>
      </c>
      <c r="AH287" s="3" t="n">
        <v>1</v>
      </c>
      <c r="AI287" s="3" t="n">
        <v>2</v>
      </c>
      <c r="AJ287" s="3" t="n">
        <v>2</v>
      </c>
      <c r="AK287" s="3" t="n">
        <v>1</v>
      </c>
      <c r="AL287" s="3" t="n">
        <v>2</v>
      </c>
      <c r="AM287" s="3" t="n">
        <v>1</v>
      </c>
      <c r="AN287" s="3" t="n">
        <v>2</v>
      </c>
      <c r="AO287" s="3" t="n">
        <v>1</v>
      </c>
      <c r="AP287" s="3" t="n">
        <v>3</v>
      </c>
      <c r="AQ287" s="3" t="n">
        <v>4</v>
      </c>
      <c r="AR287" s="3" t="n">
        <v>4</v>
      </c>
      <c r="AS287" s="3" t="n">
        <v>6</v>
      </c>
      <c r="AT287" s="3" t="n">
        <v>4</v>
      </c>
      <c r="AU287" s="3" t="n">
        <v>4</v>
      </c>
      <c r="AV287" s="3" t="n">
        <v>6</v>
      </c>
      <c r="AW287" s="3" t="n">
        <v>6</v>
      </c>
      <c r="AX287" s="3" t="n">
        <v>3</v>
      </c>
      <c r="AY287" s="3" t="n">
        <v>3</v>
      </c>
      <c r="AZ287" s="3" t="n">
        <v>1</v>
      </c>
      <c r="BA287" s="5" t="n">
        <v>5</v>
      </c>
      <c r="BB287" s="3" t="n">
        <v>2</v>
      </c>
      <c r="BC287" s="3" t="n">
        <v>1</v>
      </c>
      <c r="BD287" s="3" t="n">
        <v>6</v>
      </c>
      <c r="BE287" s="3" t="n">
        <v>3</v>
      </c>
      <c r="BF287" s="3" t="n">
        <v>5</v>
      </c>
      <c r="BG287" s="3" t="n">
        <v>3</v>
      </c>
      <c r="BH287" s="3" t="n">
        <v>4</v>
      </c>
      <c r="BI287" s="3" t="n">
        <v>1</v>
      </c>
      <c r="BJ287" s="3" t="n">
        <v>1</v>
      </c>
      <c r="BK287" s="6" t="s">
        <v>907</v>
      </c>
    </row>
    <row r="288" customFormat="false" ht="15" hidden="false" customHeight="true" outlineLevel="0" collapsed="false">
      <c r="B288" s="2" t="s">
        <v>755</v>
      </c>
      <c r="C288" s="2" t="s">
        <v>70</v>
      </c>
      <c r="D288" s="2" t="s">
        <v>214</v>
      </c>
      <c r="E288" s="2" t="n">
        <v>161257</v>
      </c>
      <c r="F288" s="15" t="n">
        <v>43519</v>
      </c>
      <c r="G288" s="15" t="n">
        <v>43524</v>
      </c>
      <c r="H288" s="3" t="n">
        <v>5</v>
      </c>
      <c r="I288" s="3" t="n">
        <v>2</v>
      </c>
      <c r="J288" s="3" t="n">
        <v>72</v>
      </c>
      <c r="K288" s="3" t="n">
        <v>1</v>
      </c>
      <c r="L288" s="3" t="n">
        <v>1</v>
      </c>
      <c r="M288" s="3" t="n">
        <v>1</v>
      </c>
      <c r="N288" s="3" t="n">
        <v>1</v>
      </c>
      <c r="O288" s="3" t="n">
        <v>2</v>
      </c>
      <c r="P288" s="3" t="n">
        <v>2</v>
      </c>
      <c r="Q288" s="3" t="n">
        <v>2</v>
      </c>
      <c r="R288" s="3" t="n">
        <v>1</v>
      </c>
      <c r="S288" s="3" t="n">
        <v>1</v>
      </c>
      <c r="T288" s="4" t="n">
        <v>1</v>
      </c>
      <c r="U288" s="3" t="n">
        <v>4</v>
      </c>
      <c r="V288" s="3" t="n">
        <v>4.19</v>
      </c>
      <c r="W288" s="3" t="n">
        <v>1.39</v>
      </c>
      <c r="X288" s="3" t="n">
        <v>5.5</v>
      </c>
      <c r="Y288" s="3" t="n">
        <v>673</v>
      </c>
      <c r="AA288" s="3" t="n">
        <v>0.36</v>
      </c>
      <c r="AB288" s="3" t="n">
        <v>12.4</v>
      </c>
      <c r="AC288" s="3" t="n">
        <v>1</v>
      </c>
      <c r="AD288" s="3" t="n">
        <v>1</v>
      </c>
      <c r="AE288" s="3" t="n">
        <v>1</v>
      </c>
      <c r="AF288" s="3" t="n">
        <v>1</v>
      </c>
      <c r="AG288" s="3" t="n">
        <v>2</v>
      </c>
      <c r="AH288" s="3" t="n">
        <v>1</v>
      </c>
      <c r="AI288" s="3" t="n">
        <v>1</v>
      </c>
      <c r="AJ288" s="3" t="n">
        <v>2</v>
      </c>
      <c r="AK288" s="3" t="n">
        <v>2</v>
      </c>
      <c r="AL288" s="3" t="n">
        <v>2</v>
      </c>
      <c r="AM288" s="3" t="n">
        <v>1</v>
      </c>
      <c r="AN288" s="3" t="n">
        <v>2</v>
      </c>
      <c r="AO288" s="3" t="n">
        <v>1</v>
      </c>
      <c r="AP288" s="3" t="n">
        <v>3</v>
      </c>
      <c r="AQ288" s="3" t="n">
        <v>4</v>
      </c>
      <c r="AR288" s="3" t="n">
        <v>4</v>
      </c>
      <c r="AS288" s="3" t="n">
        <v>6</v>
      </c>
      <c r="AT288" s="3" t="n">
        <v>4</v>
      </c>
      <c r="AU288" s="3" t="n">
        <v>4</v>
      </c>
      <c r="AV288" s="3" t="n">
        <v>6</v>
      </c>
      <c r="AW288" s="3" t="n">
        <v>6</v>
      </c>
      <c r="AX288" s="3" t="n">
        <v>3</v>
      </c>
      <c r="AY288" s="3" t="n">
        <v>3</v>
      </c>
      <c r="AZ288" s="3" t="n">
        <v>1</v>
      </c>
      <c r="BA288" s="5" t="n">
        <v>5</v>
      </c>
      <c r="BB288" s="3" t="n">
        <v>2</v>
      </c>
      <c r="BC288" s="3" t="n">
        <v>1</v>
      </c>
      <c r="BD288" s="3" t="n">
        <v>6</v>
      </c>
      <c r="BE288" s="3" t="n">
        <v>3</v>
      </c>
      <c r="BF288" s="3" t="n">
        <v>5</v>
      </c>
      <c r="BG288" s="3" t="n">
        <v>3</v>
      </c>
      <c r="BH288" s="3" t="n">
        <v>4</v>
      </c>
      <c r="BI288" s="3" t="n">
        <v>1</v>
      </c>
      <c r="BJ288" s="3" t="n">
        <v>1</v>
      </c>
      <c r="BK288" s="6" t="s">
        <v>908</v>
      </c>
    </row>
    <row r="289" customFormat="false" ht="15" hidden="false" customHeight="true" outlineLevel="0" collapsed="false">
      <c r="B289" s="2" t="s">
        <v>909</v>
      </c>
      <c r="C289" s="2" t="s">
        <v>910</v>
      </c>
      <c r="D289" s="2" t="s">
        <v>127</v>
      </c>
      <c r="E289" s="2" t="n">
        <v>172596</v>
      </c>
      <c r="F289" s="15" t="n">
        <v>43521</v>
      </c>
      <c r="G289" s="15" t="n">
        <v>43524</v>
      </c>
      <c r="H289" s="3" t="n">
        <v>3</v>
      </c>
      <c r="I289" s="3" t="n">
        <v>1</v>
      </c>
      <c r="J289" s="3" t="n">
        <v>65</v>
      </c>
      <c r="K289" s="3" t="n">
        <v>1</v>
      </c>
      <c r="L289" s="3" t="n">
        <v>2</v>
      </c>
      <c r="M289" s="3" t="n">
        <v>2</v>
      </c>
      <c r="N289" s="3" t="n">
        <v>2</v>
      </c>
      <c r="O289" s="3" t="n">
        <v>2</v>
      </c>
      <c r="P289" s="3" t="n">
        <v>2</v>
      </c>
      <c r="Q289" s="3" t="n">
        <v>2</v>
      </c>
      <c r="R289" s="3" t="n">
        <v>2</v>
      </c>
      <c r="S289" s="3" t="n">
        <v>2</v>
      </c>
      <c r="T289" s="4" t="n">
        <v>5</v>
      </c>
      <c r="U289" s="3" t="n">
        <v>1</v>
      </c>
      <c r="V289" s="3" t="n">
        <v>6.7</v>
      </c>
      <c r="W289" s="3" t="n">
        <v>1.93</v>
      </c>
      <c r="X289" s="3" t="n">
        <v>4.2</v>
      </c>
      <c r="Y289" s="3" t="n">
        <v>311</v>
      </c>
      <c r="AA289" s="3" t="n">
        <v>0.39</v>
      </c>
      <c r="AB289" s="3" t="n">
        <v>10.8</v>
      </c>
      <c r="AC289" s="3" t="n">
        <v>1</v>
      </c>
      <c r="AD289" s="3" t="n">
        <v>1</v>
      </c>
      <c r="AE289" s="3" t="n">
        <v>1</v>
      </c>
      <c r="AF289" s="3" t="n">
        <v>1</v>
      </c>
      <c r="AG289" s="3" t="n">
        <v>2</v>
      </c>
      <c r="AH289" s="3" t="n">
        <v>1</v>
      </c>
      <c r="AI289" s="3" t="n">
        <v>1</v>
      </c>
      <c r="AJ289" s="3" t="n">
        <v>2</v>
      </c>
      <c r="AK289" s="3" t="n">
        <v>2</v>
      </c>
      <c r="AL289" s="3" t="n">
        <v>2</v>
      </c>
      <c r="AM289" s="3" t="n">
        <v>2</v>
      </c>
      <c r="AN289" s="3" t="n">
        <v>2</v>
      </c>
      <c r="AO289" s="3" t="n">
        <v>2</v>
      </c>
      <c r="AP289" s="3" t="n">
        <v>1</v>
      </c>
      <c r="AQ289" s="3" t="n">
        <v>1</v>
      </c>
      <c r="AR289" s="3" t="n">
        <v>4</v>
      </c>
      <c r="AS289" s="3" t="n">
        <v>6</v>
      </c>
      <c r="AT289" s="3" t="n">
        <v>4</v>
      </c>
      <c r="AU289" s="3" t="n">
        <v>4</v>
      </c>
      <c r="AV289" s="3" t="n">
        <v>1</v>
      </c>
      <c r="AW289" s="3" t="n">
        <v>6</v>
      </c>
      <c r="AX289" s="3" t="n">
        <v>2</v>
      </c>
      <c r="AY289" s="3" t="n">
        <v>1</v>
      </c>
      <c r="AZ289" s="3" t="n">
        <v>1</v>
      </c>
      <c r="BA289" s="5" t="n">
        <v>3</v>
      </c>
      <c r="BB289" s="3" t="n">
        <v>2</v>
      </c>
      <c r="BC289" s="3" t="n">
        <v>1</v>
      </c>
      <c r="BD289" s="3" t="n">
        <v>6</v>
      </c>
      <c r="BE289" s="3" t="n">
        <v>3</v>
      </c>
      <c r="BF289" s="3" t="n">
        <v>5</v>
      </c>
      <c r="BG289" s="3" t="n">
        <v>3</v>
      </c>
      <c r="BH289" s="3" t="n">
        <v>4</v>
      </c>
      <c r="BI289" s="3" t="n">
        <v>1</v>
      </c>
      <c r="BJ289" s="3" t="n">
        <v>1</v>
      </c>
      <c r="BK289" s="6" t="s">
        <v>911</v>
      </c>
    </row>
    <row r="290" customFormat="false" ht="15" hidden="false" customHeight="true" outlineLevel="0" collapsed="false">
      <c r="B290" s="2" t="s">
        <v>912</v>
      </c>
      <c r="C290" s="2" t="s">
        <v>913</v>
      </c>
      <c r="D290" s="2" t="s">
        <v>294</v>
      </c>
      <c r="E290" s="2" t="n">
        <v>172877</v>
      </c>
      <c r="F290" s="15" t="n">
        <v>43523</v>
      </c>
      <c r="G290" s="15" t="n">
        <v>43525</v>
      </c>
      <c r="H290" s="3" t="n">
        <v>2</v>
      </c>
      <c r="I290" s="3" t="n">
        <v>2</v>
      </c>
      <c r="J290" s="3" t="n">
        <v>68</v>
      </c>
      <c r="K290" s="3" t="n">
        <v>2</v>
      </c>
      <c r="L290" s="3" t="n">
        <v>2</v>
      </c>
      <c r="M290" s="3" t="n">
        <v>1</v>
      </c>
      <c r="N290" s="3" t="n">
        <v>2</v>
      </c>
      <c r="O290" s="3" t="n">
        <v>1</v>
      </c>
      <c r="P290" s="3" t="n">
        <v>1</v>
      </c>
      <c r="Q290" s="3" t="n">
        <v>1</v>
      </c>
      <c r="R290" s="3" t="n">
        <v>2</v>
      </c>
      <c r="S290" s="3" t="n">
        <v>1</v>
      </c>
      <c r="T290" s="4" t="n">
        <v>1</v>
      </c>
      <c r="U290" s="3" t="n">
        <v>1</v>
      </c>
      <c r="V290" s="3" t="n">
        <v>5.98</v>
      </c>
      <c r="W290" s="3" t="n">
        <v>0.51</v>
      </c>
      <c r="X290" s="3" t="n">
        <v>7.7</v>
      </c>
      <c r="Y290" s="3" t="n">
        <v>228</v>
      </c>
      <c r="AA290" s="3" t="n">
        <v>0.5</v>
      </c>
      <c r="AB290" s="3" t="n">
        <v>8</v>
      </c>
      <c r="AC290" s="3" t="n">
        <v>1</v>
      </c>
      <c r="AD290" s="3" t="n">
        <v>1</v>
      </c>
      <c r="AE290" s="3" t="n">
        <v>1</v>
      </c>
      <c r="AF290" s="3" t="n">
        <v>1</v>
      </c>
      <c r="AG290" s="3" t="n">
        <v>2</v>
      </c>
      <c r="AH290" s="3" t="n">
        <v>1</v>
      </c>
      <c r="AI290" s="3" t="n">
        <v>1</v>
      </c>
      <c r="AJ290" s="3" t="n">
        <v>1</v>
      </c>
      <c r="AK290" s="3" t="n">
        <v>1</v>
      </c>
      <c r="AL290" s="3" t="n">
        <v>2</v>
      </c>
      <c r="AM290" s="3" t="n">
        <v>2</v>
      </c>
      <c r="AN290" s="3" t="n">
        <v>2</v>
      </c>
      <c r="AO290" s="3" t="n">
        <v>2</v>
      </c>
      <c r="AP290" s="3" t="n">
        <v>1</v>
      </c>
      <c r="AQ290" s="3" t="n">
        <v>1</v>
      </c>
      <c r="AR290" s="3" t="n">
        <v>4</v>
      </c>
      <c r="AS290" s="3" t="n">
        <v>6</v>
      </c>
      <c r="AT290" s="3" t="n">
        <v>4</v>
      </c>
      <c r="AU290" s="3" t="n">
        <v>4</v>
      </c>
      <c r="AV290" s="3" t="n">
        <v>1</v>
      </c>
      <c r="AW290" s="3" t="n">
        <v>6</v>
      </c>
      <c r="AX290" s="3" t="n">
        <v>2</v>
      </c>
      <c r="AY290" s="3" t="n">
        <v>1</v>
      </c>
      <c r="AZ290" s="3" t="n">
        <v>1</v>
      </c>
      <c r="BA290" s="5" t="n">
        <v>5</v>
      </c>
      <c r="BB290" s="3" t="n">
        <v>2</v>
      </c>
      <c r="BC290" s="3" t="n">
        <v>1</v>
      </c>
      <c r="BD290" s="3" t="n">
        <v>6</v>
      </c>
      <c r="BE290" s="3" t="n">
        <v>3</v>
      </c>
      <c r="BF290" s="3" t="n">
        <v>5</v>
      </c>
      <c r="BG290" s="3" t="n">
        <v>3</v>
      </c>
      <c r="BH290" s="3" t="n">
        <v>4</v>
      </c>
      <c r="BI290" s="3" t="n">
        <v>1</v>
      </c>
      <c r="BJ290" s="3" t="n">
        <v>1</v>
      </c>
      <c r="BK290" s="6" t="s">
        <v>914</v>
      </c>
    </row>
    <row r="291" customFormat="false" ht="15" hidden="false" customHeight="true" outlineLevel="0" collapsed="false">
      <c r="B291" s="2" t="s">
        <v>915</v>
      </c>
      <c r="C291" s="2" t="s">
        <v>916</v>
      </c>
      <c r="D291" s="2" t="s">
        <v>178</v>
      </c>
      <c r="E291" s="2" t="n">
        <v>172605</v>
      </c>
      <c r="F291" s="15" t="n">
        <v>43524</v>
      </c>
      <c r="G291" s="15" t="n">
        <v>43526</v>
      </c>
      <c r="H291" s="3" t="n">
        <v>2</v>
      </c>
      <c r="I291" s="3" t="n">
        <v>2</v>
      </c>
      <c r="J291" s="3" t="n">
        <v>55</v>
      </c>
      <c r="K291" s="3" t="n">
        <v>1</v>
      </c>
      <c r="L291" s="3" t="n">
        <v>1</v>
      </c>
      <c r="M291" s="3" t="n">
        <v>2</v>
      </c>
      <c r="N291" s="3" t="n">
        <v>2</v>
      </c>
      <c r="O291" s="3" t="n">
        <v>2</v>
      </c>
      <c r="P291" s="3" t="n">
        <v>2</v>
      </c>
      <c r="Q291" s="3" t="n">
        <v>2</v>
      </c>
      <c r="R291" s="3" t="n">
        <v>2</v>
      </c>
      <c r="S291" s="3" t="n">
        <v>2</v>
      </c>
      <c r="T291" s="4" t="n">
        <v>5</v>
      </c>
      <c r="U291" s="3" t="n">
        <v>1</v>
      </c>
      <c r="V291" s="3" t="n">
        <v>3.83</v>
      </c>
      <c r="W291" s="3" t="n">
        <v>3.87</v>
      </c>
      <c r="X291" s="3" t="n">
        <v>3.16</v>
      </c>
      <c r="Y291" s="3" t="n">
        <v>349</v>
      </c>
      <c r="AA291" s="3" t="n">
        <v>0.49</v>
      </c>
      <c r="AB291" s="3" t="n">
        <v>8</v>
      </c>
      <c r="AC291" s="3" t="n">
        <v>1</v>
      </c>
      <c r="AD291" s="3" t="n">
        <v>1</v>
      </c>
      <c r="AE291" s="3" t="n">
        <v>2</v>
      </c>
      <c r="AF291" s="3" t="n">
        <v>1</v>
      </c>
      <c r="AG291" s="3" t="n">
        <v>2</v>
      </c>
      <c r="AH291" s="3" t="n">
        <v>1</v>
      </c>
      <c r="AI291" s="3" t="n">
        <v>2</v>
      </c>
      <c r="AJ291" s="3" t="n">
        <v>2</v>
      </c>
      <c r="AK291" s="3" t="n">
        <v>2</v>
      </c>
      <c r="AL291" s="3" t="n">
        <v>2</v>
      </c>
      <c r="AM291" s="3" t="n">
        <v>2</v>
      </c>
      <c r="AN291" s="3" t="n">
        <v>2</v>
      </c>
      <c r="AO291" s="3" t="n">
        <v>2</v>
      </c>
      <c r="AP291" s="3" t="n">
        <v>1</v>
      </c>
      <c r="AQ291" s="3" t="n">
        <v>2</v>
      </c>
      <c r="AR291" s="3" t="n">
        <v>9</v>
      </c>
      <c r="AS291" s="3" t="n">
        <v>4</v>
      </c>
      <c r="AT291" s="3" t="n">
        <v>1</v>
      </c>
      <c r="AU291" s="3" t="n">
        <v>1</v>
      </c>
      <c r="AV291" s="3" t="n">
        <v>1</v>
      </c>
      <c r="AW291" s="3" t="n">
        <v>1</v>
      </c>
      <c r="AX291" s="3" t="n">
        <v>2</v>
      </c>
      <c r="AY291" s="3" t="n">
        <v>2</v>
      </c>
      <c r="AZ291" s="3" t="n">
        <v>1</v>
      </c>
      <c r="BA291" s="5" t="n">
        <v>3</v>
      </c>
      <c r="BB291" s="3" t="n">
        <v>2</v>
      </c>
      <c r="BC291" s="3" t="n">
        <v>1</v>
      </c>
      <c r="BD291" s="3" t="n">
        <v>6</v>
      </c>
      <c r="BE291" s="3" t="n">
        <v>3</v>
      </c>
      <c r="BF291" s="3" t="n">
        <v>5</v>
      </c>
      <c r="BG291" s="3" t="n">
        <v>3</v>
      </c>
      <c r="BH291" s="3" t="n">
        <v>4</v>
      </c>
      <c r="BI291" s="3" t="n">
        <v>1</v>
      </c>
      <c r="BJ291" s="3" t="n">
        <v>1</v>
      </c>
      <c r="BK291" s="6" t="s">
        <v>917</v>
      </c>
    </row>
    <row r="292" customFormat="false" ht="15" hidden="false" customHeight="true" outlineLevel="0" collapsed="false">
      <c r="B292" s="2" t="s">
        <v>918</v>
      </c>
      <c r="C292" s="2" t="s">
        <v>919</v>
      </c>
      <c r="D292" s="2" t="s">
        <v>402</v>
      </c>
      <c r="E292" s="2" t="n">
        <v>172614</v>
      </c>
      <c r="F292" s="15" t="n">
        <v>43524</v>
      </c>
      <c r="G292" s="15" t="n">
        <v>43530</v>
      </c>
      <c r="H292" s="3" t="n">
        <v>6</v>
      </c>
      <c r="I292" s="3" t="n">
        <v>1</v>
      </c>
      <c r="J292" s="3" t="n">
        <v>51</v>
      </c>
      <c r="K292" s="3" t="n">
        <v>1</v>
      </c>
      <c r="L292" s="3" t="n">
        <v>1</v>
      </c>
      <c r="M292" s="3" t="n">
        <v>1</v>
      </c>
      <c r="N292" s="3" t="n">
        <v>2</v>
      </c>
      <c r="O292" s="3" t="n">
        <v>2</v>
      </c>
      <c r="P292" s="3" t="n">
        <v>2</v>
      </c>
      <c r="Q292" s="3" t="n">
        <v>2</v>
      </c>
      <c r="R292" s="3" t="n">
        <v>2</v>
      </c>
      <c r="S292" s="3" t="n">
        <v>1</v>
      </c>
      <c r="T292" s="4" t="n">
        <v>1</v>
      </c>
      <c r="U292" s="3" t="n">
        <v>1</v>
      </c>
      <c r="V292" s="3" t="n">
        <v>4.91</v>
      </c>
      <c r="W292" s="3" t="n">
        <v>1.98</v>
      </c>
      <c r="X292" s="3" t="n">
        <v>4.97</v>
      </c>
      <c r="Y292" s="3" t="n">
        <v>298</v>
      </c>
      <c r="AA292" s="3" t="n">
        <v>0.42</v>
      </c>
      <c r="AB292" s="3" t="n">
        <v>7</v>
      </c>
      <c r="AC292" s="3" t="n">
        <v>1</v>
      </c>
      <c r="AD292" s="3" t="n">
        <v>2</v>
      </c>
      <c r="AE292" s="3" t="n">
        <v>1</v>
      </c>
      <c r="AF292" s="3" t="n">
        <v>1</v>
      </c>
      <c r="AG292" s="3" t="n">
        <v>2</v>
      </c>
      <c r="AH292" s="3" t="n">
        <v>1</v>
      </c>
      <c r="AI292" s="3" t="n">
        <v>1</v>
      </c>
      <c r="AJ292" s="3" t="n">
        <v>2</v>
      </c>
      <c r="AK292" s="3" t="n">
        <v>2</v>
      </c>
      <c r="AL292" s="3" t="n">
        <v>2</v>
      </c>
      <c r="AM292" s="3" t="n">
        <v>2</v>
      </c>
      <c r="AN292" s="3" t="n">
        <v>2</v>
      </c>
      <c r="AO292" s="3" t="n">
        <v>2</v>
      </c>
      <c r="AP292" s="3" t="n">
        <v>3</v>
      </c>
      <c r="AQ292" s="3" t="n">
        <v>4</v>
      </c>
      <c r="AR292" s="3" t="n">
        <v>4</v>
      </c>
      <c r="AS292" s="3" t="n">
        <v>6</v>
      </c>
      <c r="AT292" s="3" t="n">
        <v>4</v>
      </c>
      <c r="AU292" s="3" t="n">
        <v>4</v>
      </c>
      <c r="AV292" s="3" t="n">
        <v>6</v>
      </c>
      <c r="AW292" s="3" t="n">
        <v>6</v>
      </c>
      <c r="AX292" s="3" t="n">
        <v>3</v>
      </c>
      <c r="AY292" s="3" t="n">
        <v>3</v>
      </c>
      <c r="AZ292" s="3" t="n">
        <v>1</v>
      </c>
      <c r="BA292" s="5" t="n">
        <v>5</v>
      </c>
      <c r="BB292" s="3" t="n">
        <v>2</v>
      </c>
      <c r="BC292" s="3" t="n">
        <v>1</v>
      </c>
      <c r="BD292" s="3" t="n">
        <v>6</v>
      </c>
      <c r="BE292" s="3" t="n">
        <v>3</v>
      </c>
      <c r="BF292" s="3" t="n">
        <v>5</v>
      </c>
      <c r="BG292" s="3" t="n">
        <v>3</v>
      </c>
      <c r="BH292" s="3" t="n">
        <v>4</v>
      </c>
      <c r="BI292" s="3" t="n">
        <v>1</v>
      </c>
      <c r="BJ292" s="3" t="n">
        <v>1</v>
      </c>
      <c r="BK292" s="6" t="s">
        <v>920</v>
      </c>
    </row>
    <row r="293" customFormat="false" ht="15" hidden="false" customHeight="true" outlineLevel="0" collapsed="false">
      <c r="B293" s="2" t="s">
        <v>672</v>
      </c>
      <c r="C293" s="2" t="s">
        <v>324</v>
      </c>
      <c r="D293" s="2" t="s">
        <v>921</v>
      </c>
      <c r="E293" s="2" t="n">
        <v>167937</v>
      </c>
      <c r="F293" s="15" t="n">
        <v>43522</v>
      </c>
      <c r="G293" s="15" t="n">
        <v>43528</v>
      </c>
      <c r="H293" s="3" t="n">
        <v>6</v>
      </c>
      <c r="I293" s="3" t="n">
        <v>2</v>
      </c>
      <c r="J293" s="3" t="n">
        <v>70</v>
      </c>
      <c r="K293" s="3" t="n">
        <v>1</v>
      </c>
      <c r="L293" s="3" t="n">
        <v>2</v>
      </c>
      <c r="M293" s="3" t="n">
        <v>1</v>
      </c>
      <c r="N293" s="3" t="n">
        <v>1</v>
      </c>
      <c r="O293" s="3" t="n">
        <v>2</v>
      </c>
      <c r="P293" s="3" t="n">
        <v>2</v>
      </c>
      <c r="Q293" s="3" t="n">
        <v>2</v>
      </c>
      <c r="R293" s="3" t="n">
        <v>2</v>
      </c>
      <c r="S293" s="3" t="n">
        <v>2</v>
      </c>
      <c r="T293" s="4" t="n">
        <v>12</v>
      </c>
      <c r="U293" s="3" t="n">
        <v>1</v>
      </c>
      <c r="V293" s="3" t="n">
        <v>3.46</v>
      </c>
      <c r="W293" s="3" t="n">
        <v>1.46</v>
      </c>
      <c r="X293" s="3" t="n">
        <v>5.8</v>
      </c>
      <c r="Y293" s="3" t="n">
        <v>1090</v>
      </c>
      <c r="AA293" s="3" t="n">
        <v>0.33</v>
      </c>
      <c r="AB293" s="3" t="n">
        <v>9</v>
      </c>
      <c r="AC293" s="3" t="n">
        <v>3</v>
      </c>
      <c r="AD293" s="3" t="n">
        <v>1</v>
      </c>
      <c r="AE293" s="3" t="n">
        <v>2</v>
      </c>
      <c r="AF293" s="3" t="n">
        <v>1</v>
      </c>
      <c r="AG293" s="3" t="n">
        <v>2</v>
      </c>
      <c r="AH293" s="3" t="n">
        <v>1</v>
      </c>
      <c r="AI293" s="3" t="n">
        <v>1</v>
      </c>
      <c r="AJ293" s="3" t="n">
        <v>2</v>
      </c>
      <c r="AK293" s="3" t="n">
        <v>2</v>
      </c>
      <c r="AL293" s="3" t="n">
        <v>2</v>
      </c>
      <c r="AM293" s="3" t="n">
        <v>1</v>
      </c>
      <c r="AN293" s="3" t="n">
        <v>2</v>
      </c>
      <c r="AO293" s="3" t="n">
        <v>2</v>
      </c>
      <c r="AP293" s="3" t="n">
        <v>3</v>
      </c>
      <c r="AQ293" s="3" t="n">
        <v>4</v>
      </c>
      <c r="AR293" s="3" t="n">
        <v>4</v>
      </c>
      <c r="AS293" s="3" t="n">
        <v>6</v>
      </c>
      <c r="AT293" s="3" t="n">
        <v>4</v>
      </c>
      <c r="AU293" s="3" t="n">
        <v>4</v>
      </c>
      <c r="AV293" s="3" t="n">
        <v>6</v>
      </c>
      <c r="AW293" s="3" t="n">
        <v>6</v>
      </c>
      <c r="AX293" s="3" t="n">
        <v>3</v>
      </c>
      <c r="AY293" s="3" t="n">
        <v>3</v>
      </c>
      <c r="AZ293" s="3" t="n">
        <v>1</v>
      </c>
      <c r="BA293" s="5" t="n">
        <v>3</v>
      </c>
      <c r="BB293" s="3" t="n">
        <v>2</v>
      </c>
      <c r="BC293" s="3" t="n">
        <v>1</v>
      </c>
      <c r="BD293" s="3" t="n">
        <v>6</v>
      </c>
      <c r="BE293" s="3" t="n">
        <v>3</v>
      </c>
      <c r="BF293" s="3" t="n">
        <v>5</v>
      </c>
      <c r="BG293" s="3" t="n">
        <v>3</v>
      </c>
      <c r="BH293" s="3" t="n">
        <v>4</v>
      </c>
      <c r="BI293" s="3" t="n">
        <v>1</v>
      </c>
      <c r="BJ293" s="3" t="n">
        <v>1</v>
      </c>
      <c r="BK293" s="6" t="s">
        <v>922</v>
      </c>
    </row>
    <row r="294" customFormat="false" ht="15" hidden="false" customHeight="true" outlineLevel="0" collapsed="false">
      <c r="B294" s="2" t="s">
        <v>923</v>
      </c>
      <c r="C294" s="2" t="s">
        <v>78</v>
      </c>
      <c r="D294" s="2" t="s">
        <v>108</v>
      </c>
      <c r="E294" s="2" t="n">
        <v>172683</v>
      </c>
      <c r="F294" s="15" t="n">
        <v>43525</v>
      </c>
      <c r="G294" s="15" t="n">
        <v>43530</v>
      </c>
      <c r="H294" s="3" t="n">
        <v>5</v>
      </c>
      <c r="I294" s="3" t="n">
        <v>1</v>
      </c>
      <c r="J294" s="3" t="n">
        <v>70</v>
      </c>
      <c r="K294" s="3" t="n">
        <v>1</v>
      </c>
      <c r="L294" s="3" t="n">
        <v>2</v>
      </c>
      <c r="M294" s="3" t="n">
        <v>1</v>
      </c>
      <c r="N294" s="3" t="n">
        <v>2</v>
      </c>
      <c r="O294" s="3" t="n">
        <v>2</v>
      </c>
      <c r="P294" s="3" t="n">
        <v>2</v>
      </c>
      <c r="Q294" s="3" t="n">
        <v>2</v>
      </c>
      <c r="R294" s="3" t="n">
        <v>2</v>
      </c>
      <c r="S294" s="3" t="n">
        <v>2</v>
      </c>
      <c r="T294" s="4" t="n">
        <v>6</v>
      </c>
      <c r="U294" s="3" t="n">
        <v>4</v>
      </c>
      <c r="V294" s="3" t="n">
        <v>5.58</v>
      </c>
      <c r="W294" s="3" t="n">
        <v>1.37</v>
      </c>
      <c r="X294" s="3" t="n">
        <v>5.32</v>
      </c>
      <c r="Y294" s="3" t="n">
        <v>242</v>
      </c>
      <c r="AB294" s="3" t="n">
        <v>8.8</v>
      </c>
      <c r="AC294" s="3" t="n">
        <v>1</v>
      </c>
      <c r="AD294" s="3" t="n">
        <v>1</v>
      </c>
      <c r="AE294" s="3" t="n">
        <v>1</v>
      </c>
      <c r="AF294" s="3" t="n">
        <v>1</v>
      </c>
      <c r="AG294" s="3" t="n">
        <v>2</v>
      </c>
      <c r="AH294" s="3" t="n">
        <v>2</v>
      </c>
      <c r="AI294" s="3" t="n">
        <v>1</v>
      </c>
      <c r="AJ294" s="3" t="n">
        <v>2</v>
      </c>
      <c r="AK294" s="3" t="n">
        <v>2</v>
      </c>
      <c r="AL294" s="3" t="n">
        <v>2</v>
      </c>
      <c r="AM294" s="3" t="n">
        <v>2</v>
      </c>
      <c r="AN294" s="3" t="n">
        <v>2</v>
      </c>
      <c r="AO294" s="3" t="n">
        <v>2</v>
      </c>
      <c r="AP294" s="3" t="n">
        <v>3</v>
      </c>
      <c r="AQ294" s="3" t="n">
        <v>4</v>
      </c>
      <c r="AR294" s="3" t="n">
        <v>4</v>
      </c>
      <c r="AS294" s="3" t="n">
        <v>6</v>
      </c>
      <c r="AT294" s="3" t="n">
        <v>4</v>
      </c>
      <c r="AU294" s="3" t="n">
        <v>4</v>
      </c>
      <c r="AV294" s="3" t="n">
        <v>6</v>
      </c>
      <c r="AW294" s="3" t="n">
        <v>6</v>
      </c>
      <c r="AX294" s="3" t="n">
        <v>3</v>
      </c>
      <c r="AY294" s="3" t="n">
        <v>3</v>
      </c>
      <c r="AZ294" s="3" t="n">
        <v>1</v>
      </c>
      <c r="BA294" s="5" t="n">
        <v>10</v>
      </c>
      <c r="BB294" s="3" t="n">
        <v>2</v>
      </c>
      <c r="BC294" s="3" t="n">
        <v>1</v>
      </c>
      <c r="BD294" s="3" t="n">
        <v>6</v>
      </c>
      <c r="BE294" s="3" t="n">
        <v>3</v>
      </c>
      <c r="BF294" s="3" t="n">
        <v>5</v>
      </c>
      <c r="BG294" s="3" t="n">
        <v>3</v>
      </c>
      <c r="BH294" s="3" t="n">
        <v>4</v>
      </c>
      <c r="BI294" s="3" t="n">
        <v>1</v>
      </c>
      <c r="BJ294" s="3" t="n">
        <v>1</v>
      </c>
      <c r="BK294" s="6" t="s">
        <v>924</v>
      </c>
    </row>
    <row r="295" customFormat="false" ht="15" hidden="false" customHeight="true" outlineLevel="0" collapsed="false">
      <c r="B295" s="2" t="s">
        <v>925</v>
      </c>
      <c r="C295" s="2" t="s">
        <v>161</v>
      </c>
      <c r="D295" s="2" t="s">
        <v>153</v>
      </c>
      <c r="E295" s="2" t="n">
        <v>172580</v>
      </c>
      <c r="F295" s="15" t="n">
        <v>43520</v>
      </c>
      <c r="G295" s="15" t="n">
        <v>43529</v>
      </c>
      <c r="H295" s="3" t="n">
        <v>9</v>
      </c>
      <c r="I295" s="3" t="n">
        <v>2</v>
      </c>
      <c r="J295" s="3" t="n">
        <v>49</v>
      </c>
      <c r="K295" s="3" t="n">
        <v>2</v>
      </c>
      <c r="L295" s="3" t="n">
        <v>1</v>
      </c>
      <c r="M295" s="3" t="n">
        <v>1</v>
      </c>
      <c r="N295" s="3" t="n">
        <v>2</v>
      </c>
      <c r="O295" s="3" t="n">
        <v>2</v>
      </c>
      <c r="P295" s="3" t="n">
        <v>2</v>
      </c>
      <c r="Q295" s="3" t="n">
        <v>2</v>
      </c>
      <c r="R295" s="3" t="n">
        <v>2</v>
      </c>
      <c r="S295" s="3" t="n">
        <v>1</v>
      </c>
      <c r="T295" s="4" t="n">
        <v>3</v>
      </c>
      <c r="U295" s="3" t="n">
        <v>4</v>
      </c>
      <c r="V295" s="3" t="n">
        <v>3.99</v>
      </c>
      <c r="W295" s="3" t="n">
        <v>1.48</v>
      </c>
      <c r="X295" s="3" t="n">
        <v>4.5</v>
      </c>
      <c r="Y295" s="3" t="n">
        <v>851</v>
      </c>
      <c r="AA295" s="3" t="n">
        <v>0.52</v>
      </c>
      <c r="AB295" s="3" t="n">
        <v>14</v>
      </c>
      <c r="AC295" s="3" t="n">
        <v>2</v>
      </c>
      <c r="AD295" s="3" t="n">
        <v>2</v>
      </c>
      <c r="AE295" s="3" t="n">
        <v>1</v>
      </c>
      <c r="AF295" s="3" t="n">
        <v>1</v>
      </c>
      <c r="AG295" s="3" t="n">
        <v>2</v>
      </c>
      <c r="AH295" s="3" t="n">
        <v>2</v>
      </c>
      <c r="AI295" s="3" t="n">
        <v>2</v>
      </c>
      <c r="AJ295" s="3" t="n">
        <v>1</v>
      </c>
      <c r="AK295" s="3" t="n">
        <v>2</v>
      </c>
      <c r="AL295" s="3" t="n">
        <v>1</v>
      </c>
      <c r="AM295" s="3" t="n">
        <v>1</v>
      </c>
      <c r="AN295" s="3" t="n">
        <v>2</v>
      </c>
      <c r="AO295" s="3" t="n">
        <v>2</v>
      </c>
      <c r="AP295" s="3" t="n">
        <v>3</v>
      </c>
      <c r="AQ295" s="3" t="n">
        <v>4</v>
      </c>
      <c r="AR295" s="3" t="n">
        <v>4</v>
      </c>
      <c r="AS295" s="3" t="n">
        <v>6</v>
      </c>
      <c r="AT295" s="3" t="n">
        <v>4</v>
      </c>
      <c r="AU295" s="3" t="n">
        <v>4</v>
      </c>
      <c r="AV295" s="3" t="n">
        <v>6</v>
      </c>
      <c r="AW295" s="3" t="n">
        <v>6</v>
      </c>
      <c r="AX295" s="3" t="n">
        <v>3</v>
      </c>
      <c r="AY295" s="3" t="n">
        <v>3</v>
      </c>
      <c r="AZ295" s="3" t="n">
        <v>1</v>
      </c>
      <c r="BA295" s="5" t="n">
        <v>11</v>
      </c>
      <c r="BB295" s="3" t="n">
        <v>2</v>
      </c>
      <c r="BC295" s="3" t="n">
        <v>1</v>
      </c>
      <c r="BD295" s="3" t="n">
        <v>6</v>
      </c>
      <c r="BE295" s="3" t="n">
        <v>3</v>
      </c>
      <c r="BF295" s="3" t="n">
        <v>5</v>
      </c>
      <c r="BG295" s="3" t="n">
        <v>3</v>
      </c>
      <c r="BH295" s="3" t="n">
        <v>4</v>
      </c>
      <c r="BI295" s="3" t="n">
        <v>1</v>
      </c>
      <c r="BJ295" s="3" t="n">
        <v>1</v>
      </c>
      <c r="BK295" s="6" t="s">
        <v>926</v>
      </c>
    </row>
    <row r="296" customFormat="false" ht="15" hidden="false" customHeight="true" outlineLevel="0" collapsed="false">
      <c r="B296" s="2" t="s">
        <v>927</v>
      </c>
      <c r="C296" s="2" t="s">
        <v>898</v>
      </c>
      <c r="E296" s="2" t="n">
        <v>172745</v>
      </c>
      <c r="F296" s="15" t="n">
        <v>43526</v>
      </c>
      <c r="G296" s="15" t="n">
        <v>43531</v>
      </c>
      <c r="H296" s="3" t="n">
        <v>5</v>
      </c>
      <c r="I296" s="3" t="n">
        <v>1</v>
      </c>
      <c r="J296" s="3" t="n">
        <v>85</v>
      </c>
      <c r="K296" s="3" t="n">
        <v>1</v>
      </c>
      <c r="L296" s="3" t="n">
        <v>2</v>
      </c>
      <c r="M296" s="3" t="n">
        <v>1</v>
      </c>
      <c r="N296" s="3" t="n">
        <v>1</v>
      </c>
      <c r="O296" s="3" t="n">
        <v>2</v>
      </c>
      <c r="P296" s="3" t="n">
        <v>2</v>
      </c>
      <c r="Q296" s="3" t="n">
        <v>2</v>
      </c>
      <c r="R296" s="3" t="n">
        <v>2</v>
      </c>
      <c r="S296" s="3" t="n">
        <v>2</v>
      </c>
      <c r="T296" s="4" t="n">
        <v>1</v>
      </c>
      <c r="U296" s="3" t="n">
        <v>1</v>
      </c>
      <c r="V296" s="3" t="s">
        <v>928</v>
      </c>
      <c r="W296" s="3" t="s">
        <v>929</v>
      </c>
      <c r="X296" s="3" t="s">
        <v>930</v>
      </c>
      <c r="Y296" s="3" t="n">
        <v>284</v>
      </c>
      <c r="AA296" s="3" t="s">
        <v>931</v>
      </c>
      <c r="AB296" s="3" t="s">
        <v>932</v>
      </c>
      <c r="AC296" s="3" t="n">
        <v>3</v>
      </c>
      <c r="AD296" s="3" t="n">
        <v>1</v>
      </c>
      <c r="AE296" s="3" t="n">
        <v>1</v>
      </c>
      <c r="AF296" s="3" t="n">
        <v>1</v>
      </c>
      <c r="AG296" s="3" t="n">
        <v>2</v>
      </c>
      <c r="AH296" s="3" t="n">
        <v>1</v>
      </c>
      <c r="AI296" s="3" t="n">
        <v>1</v>
      </c>
      <c r="AJ296" s="3" t="n">
        <v>2</v>
      </c>
      <c r="AK296" s="3" t="n">
        <v>2</v>
      </c>
      <c r="AL296" s="3" t="n">
        <v>2</v>
      </c>
      <c r="AM296" s="3" t="n">
        <v>1</v>
      </c>
      <c r="AN296" s="3" t="n">
        <v>2</v>
      </c>
      <c r="AO296" s="3" t="n">
        <v>2</v>
      </c>
      <c r="AP296" s="3" t="n">
        <v>3</v>
      </c>
      <c r="AQ296" s="3" t="n">
        <v>4</v>
      </c>
      <c r="AR296" s="3" t="n">
        <v>4</v>
      </c>
      <c r="AS296" s="3" t="n">
        <v>6</v>
      </c>
      <c r="AT296" s="3" t="n">
        <v>4</v>
      </c>
      <c r="AU296" s="3" t="n">
        <v>4</v>
      </c>
      <c r="AV296" s="3" t="n">
        <v>6</v>
      </c>
      <c r="AW296" s="3" t="n">
        <v>6</v>
      </c>
      <c r="AX296" s="3" t="n">
        <v>3</v>
      </c>
      <c r="AY296" s="3" t="n">
        <v>3</v>
      </c>
      <c r="AZ296" s="3" t="n">
        <v>1</v>
      </c>
      <c r="BA296" s="5" t="n">
        <v>5</v>
      </c>
      <c r="BB296" s="3" t="n">
        <v>2</v>
      </c>
      <c r="BC296" s="3" t="n">
        <v>1</v>
      </c>
      <c r="BD296" s="3" t="n">
        <v>6</v>
      </c>
      <c r="BE296" s="3" t="n">
        <v>3</v>
      </c>
      <c r="BF296" s="3" t="n">
        <v>5</v>
      </c>
      <c r="BG296" s="3" t="n">
        <v>3</v>
      </c>
      <c r="BH296" s="3" t="n">
        <v>4</v>
      </c>
      <c r="BI296" s="3" t="n">
        <v>1</v>
      </c>
      <c r="BJ296" s="3" t="n">
        <v>1</v>
      </c>
      <c r="BK296" s="6" t="s">
        <v>933</v>
      </c>
    </row>
    <row r="297" customFormat="false" ht="15" hidden="false" customHeight="true" outlineLevel="0" collapsed="false">
      <c r="B297" s="2" t="s">
        <v>934</v>
      </c>
      <c r="C297" s="2" t="s">
        <v>935</v>
      </c>
      <c r="D297" s="2" t="s">
        <v>936</v>
      </c>
      <c r="E297" s="2" t="n">
        <v>172530</v>
      </c>
      <c r="F297" s="15" t="n">
        <v>43521</v>
      </c>
      <c r="G297" s="15" t="n">
        <v>43531</v>
      </c>
      <c r="H297" s="3" t="n">
        <v>10</v>
      </c>
      <c r="I297" s="3" t="n">
        <v>2</v>
      </c>
      <c r="J297" s="3" t="n">
        <v>78</v>
      </c>
      <c r="K297" s="3" t="n">
        <v>1</v>
      </c>
      <c r="L297" s="3" t="n">
        <v>2</v>
      </c>
      <c r="M297" s="3" t="n">
        <v>1</v>
      </c>
      <c r="N297" s="3" t="n">
        <v>2</v>
      </c>
      <c r="O297" s="3" t="n">
        <v>2</v>
      </c>
      <c r="P297" s="3" t="n">
        <v>2</v>
      </c>
      <c r="Q297" s="3" t="n">
        <v>1</v>
      </c>
      <c r="R297" s="3" t="n">
        <v>2</v>
      </c>
      <c r="S297" s="3" t="n">
        <v>1</v>
      </c>
      <c r="T297" s="4" t="n">
        <v>1</v>
      </c>
      <c r="U297" s="3" t="n">
        <v>1</v>
      </c>
      <c r="V297" s="3" t="n">
        <v>3.85</v>
      </c>
      <c r="W297" s="3" t="n">
        <v>1.89</v>
      </c>
      <c r="X297" s="3" t="n">
        <v>6.7</v>
      </c>
      <c r="Y297" s="3" t="n">
        <v>700</v>
      </c>
      <c r="AA297" s="3" t="n">
        <v>0.38</v>
      </c>
      <c r="AB297" s="3" t="n">
        <v>10.5</v>
      </c>
      <c r="AC297" s="3" t="n">
        <v>1</v>
      </c>
      <c r="AD297" s="3" t="n">
        <v>1</v>
      </c>
      <c r="AE297" s="3" t="n">
        <v>1</v>
      </c>
      <c r="AF297" s="3" t="n">
        <v>1</v>
      </c>
      <c r="AG297" s="3" t="n">
        <v>2</v>
      </c>
      <c r="AH297" s="3" t="n">
        <v>2</v>
      </c>
      <c r="AI297" s="3" t="n">
        <v>1</v>
      </c>
      <c r="AJ297" s="3" t="n">
        <v>2</v>
      </c>
      <c r="AK297" s="3" t="n">
        <v>2</v>
      </c>
      <c r="AL297" s="3" t="n">
        <v>2</v>
      </c>
      <c r="AM297" s="3" t="n">
        <v>2</v>
      </c>
      <c r="AN297" s="3" t="n">
        <v>2</v>
      </c>
      <c r="AO297" s="3" t="n">
        <v>1</v>
      </c>
      <c r="AP297" s="3" t="n">
        <v>3</v>
      </c>
      <c r="AQ297" s="3" t="n">
        <v>4</v>
      </c>
      <c r="AR297" s="3" t="n">
        <v>4</v>
      </c>
      <c r="AS297" s="3" t="n">
        <v>6</v>
      </c>
      <c r="AT297" s="3" t="n">
        <v>4</v>
      </c>
      <c r="AU297" s="3" t="n">
        <v>4</v>
      </c>
      <c r="AV297" s="3" t="n">
        <v>6</v>
      </c>
      <c r="AW297" s="3" t="n">
        <v>6</v>
      </c>
      <c r="AX297" s="3" t="n">
        <v>3</v>
      </c>
      <c r="AY297" s="3" t="n">
        <v>3</v>
      </c>
      <c r="AZ297" s="3" t="n">
        <v>1</v>
      </c>
      <c r="BA297" s="5" t="n">
        <v>5</v>
      </c>
      <c r="BB297" s="3" t="n">
        <v>2</v>
      </c>
      <c r="BC297" s="3" t="n">
        <v>1</v>
      </c>
      <c r="BD297" s="3" t="n">
        <v>6</v>
      </c>
      <c r="BE297" s="3" t="n">
        <v>3</v>
      </c>
      <c r="BF297" s="3" t="n">
        <v>5</v>
      </c>
      <c r="BG297" s="3" t="n">
        <v>3</v>
      </c>
      <c r="BH297" s="3" t="n">
        <v>4</v>
      </c>
      <c r="BI297" s="3" t="n">
        <v>1</v>
      </c>
      <c r="BJ297" s="3" t="n">
        <v>1</v>
      </c>
      <c r="BK297" s="6" t="s">
        <v>937</v>
      </c>
    </row>
    <row r="298" customFormat="false" ht="15" hidden="false" customHeight="true" outlineLevel="0" collapsed="false">
      <c r="B298" s="2" t="s">
        <v>394</v>
      </c>
      <c r="C298" s="2" t="s">
        <v>808</v>
      </c>
      <c r="D298" s="2" t="s">
        <v>78</v>
      </c>
      <c r="E298" s="2" t="n">
        <v>172534</v>
      </c>
      <c r="F298" s="15" t="n">
        <v>43521</v>
      </c>
      <c r="G298" s="15" t="n">
        <v>43529</v>
      </c>
      <c r="H298" s="3" t="n">
        <v>8</v>
      </c>
      <c r="I298" s="3" t="n">
        <v>2</v>
      </c>
      <c r="J298" s="3" t="n">
        <v>62</v>
      </c>
      <c r="K298" s="3" t="n">
        <v>2</v>
      </c>
      <c r="L298" s="3" t="n">
        <v>1</v>
      </c>
      <c r="M298" s="3" t="n">
        <v>2</v>
      </c>
      <c r="N298" s="3" t="n">
        <v>2</v>
      </c>
      <c r="O298" s="3" t="n">
        <v>2</v>
      </c>
      <c r="P298" s="3" t="n">
        <v>2</v>
      </c>
      <c r="Q298" s="3" t="n">
        <v>2</v>
      </c>
      <c r="R298" s="3" t="n">
        <v>2</v>
      </c>
      <c r="S298" s="3" t="n">
        <v>2</v>
      </c>
      <c r="T298" s="4" t="n">
        <v>2</v>
      </c>
      <c r="U298" s="3" t="n">
        <v>2</v>
      </c>
      <c r="V298" s="3" t="n">
        <v>5.52</v>
      </c>
      <c r="W298" s="3" t="n">
        <v>1.7</v>
      </c>
      <c r="X298" s="3" t="n">
        <v>5</v>
      </c>
      <c r="Y298" s="3" t="n">
        <v>310</v>
      </c>
      <c r="AA298" s="3" t="n">
        <v>0.4</v>
      </c>
      <c r="AB298" s="3" t="n">
        <v>11.2</v>
      </c>
      <c r="AC298" s="3" t="n">
        <v>1</v>
      </c>
      <c r="AD298" s="3" t="n">
        <v>2</v>
      </c>
      <c r="AE298" s="3" t="n">
        <v>1</v>
      </c>
      <c r="AF298" s="3" t="n">
        <v>1</v>
      </c>
      <c r="AG298" s="3" t="n">
        <v>2</v>
      </c>
      <c r="AH298" s="3" t="n">
        <v>2</v>
      </c>
      <c r="AI298" s="3" t="n">
        <v>1</v>
      </c>
      <c r="AJ298" s="3" t="n">
        <v>2</v>
      </c>
      <c r="AK298" s="3" t="n">
        <v>2</v>
      </c>
      <c r="AL298" s="3" t="n">
        <v>2</v>
      </c>
      <c r="AM298" s="3" t="n">
        <v>1</v>
      </c>
      <c r="AN298" s="3" t="n">
        <v>2</v>
      </c>
      <c r="AO298" s="3" t="n">
        <v>2</v>
      </c>
      <c r="AP298" s="3" t="n">
        <v>3</v>
      </c>
      <c r="AQ298" s="3" t="n">
        <v>4</v>
      </c>
      <c r="AR298" s="3" t="n">
        <v>4</v>
      </c>
      <c r="AS298" s="3" t="n">
        <v>6</v>
      </c>
      <c r="AT298" s="3" t="n">
        <v>4</v>
      </c>
      <c r="AU298" s="3" t="n">
        <v>4</v>
      </c>
      <c r="AV298" s="3" t="n">
        <v>6</v>
      </c>
      <c r="AW298" s="3" t="n">
        <v>6</v>
      </c>
      <c r="AX298" s="3" t="n">
        <v>3</v>
      </c>
      <c r="AY298" s="3" t="n">
        <v>3</v>
      </c>
      <c r="AZ298" s="3" t="n">
        <v>1</v>
      </c>
      <c r="BA298" s="5" t="n">
        <v>1</v>
      </c>
      <c r="BB298" s="3" t="n">
        <v>1</v>
      </c>
      <c r="BC298" s="3" t="n">
        <v>1</v>
      </c>
      <c r="BD298" s="3" t="n">
        <v>4</v>
      </c>
      <c r="BE298" s="3" t="n">
        <v>1</v>
      </c>
      <c r="BF298" s="3" t="n">
        <v>2</v>
      </c>
      <c r="BG298" s="3" t="n">
        <v>1</v>
      </c>
      <c r="BH298" s="3" t="n">
        <v>4</v>
      </c>
      <c r="BI298" s="3" t="n">
        <v>1</v>
      </c>
      <c r="BJ298" s="3" t="n">
        <v>1</v>
      </c>
      <c r="BK298" s="6" t="s">
        <v>938</v>
      </c>
    </row>
    <row r="299" customFormat="false" ht="15" hidden="false" customHeight="true" outlineLevel="0" collapsed="false">
      <c r="B299" s="2" t="s">
        <v>939</v>
      </c>
      <c r="C299" s="2" t="s">
        <v>197</v>
      </c>
      <c r="D299" s="2" t="s">
        <v>940</v>
      </c>
      <c r="E299" s="2" t="n">
        <v>101080</v>
      </c>
      <c r="F299" s="15" t="n">
        <v>43524</v>
      </c>
      <c r="G299" s="15" t="n">
        <v>43529</v>
      </c>
      <c r="H299" s="3" t="n">
        <v>5</v>
      </c>
      <c r="I299" s="3" t="n">
        <v>1</v>
      </c>
      <c r="J299" s="3" t="n">
        <v>75</v>
      </c>
      <c r="K299" s="3" t="n">
        <v>1</v>
      </c>
      <c r="L299" s="3" t="n">
        <v>1</v>
      </c>
      <c r="M299" s="3" t="n">
        <v>1</v>
      </c>
      <c r="N299" s="3" t="n">
        <v>2</v>
      </c>
      <c r="O299" s="3" t="n">
        <v>2</v>
      </c>
      <c r="P299" s="3" t="n">
        <v>2</v>
      </c>
      <c r="Q299" s="3" t="n">
        <v>2</v>
      </c>
      <c r="R299" s="3" t="n">
        <v>2</v>
      </c>
      <c r="S299" s="3" t="n">
        <v>1</v>
      </c>
      <c r="T299" s="4" t="n">
        <v>3</v>
      </c>
      <c r="U299" s="3" t="n">
        <v>4</v>
      </c>
      <c r="V299" s="3" t="n">
        <v>6.7</v>
      </c>
      <c r="W299" s="3" t="n">
        <v>2.2</v>
      </c>
      <c r="Y299" s="3" t="n">
        <v>476</v>
      </c>
      <c r="AA299" s="3" t="n">
        <v>0.4</v>
      </c>
      <c r="AB299" s="3" t="n">
        <v>12</v>
      </c>
      <c r="AC299" s="3" t="n">
        <v>2</v>
      </c>
      <c r="AD299" s="3" t="n">
        <v>1</v>
      </c>
      <c r="AE299" s="3" t="n">
        <v>1</v>
      </c>
      <c r="AF299" s="3" t="n">
        <v>1</v>
      </c>
      <c r="AG299" s="3" t="n">
        <v>2</v>
      </c>
      <c r="AH299" s="3" t="n">
        <v>2</v>
      </c>
      <c r="AI299" s="3" t="n">
        <v>2</v>
      </c>
      <c r="AJ299" s="3" t="n">
        <v>1</v>
      </c>
      <c r="AK299" s="3" t="n">
        <v>2</v>
      </c>
      <c r="AL299" s="3" t="n">
        <v>2</v>
      </c>
      <c r="AM299" s="3" t="n">
        <v>1</v>
      </c>
      <c r="AN299" s="3" t="n">
        <v>2</v>
      </c>
      <c r="AO299" s="3" t="n">
        <v>2</v>
      </c>
      <c r="AP299" s="3" t="n">
        <v>3</v>
      </c>
      <c r="AQ299" s="3" t="n">
        <v>4</v>
      </c>
      <c r="AR299" s="3" t="n">
        <v>4</v>
      </c>
      <c r="AS299" s="3" t="n">
        <v>6</v>
      </c>
      <c r="AT299" s="3" t="n">
        <v>4</v>
      </c>
      <c r="AU299" s="3" t="n">
        <v>4</v>
      </c>
      <c r="AV299" s="3" t="n">
        <v>6</v>
      </c>
      <c r="AW299" s="3" t="n">
        <v>6</v>
      </c>
      <c r="AX299" s="3" t="n">
        <v>3</v>
      </c>
      <c r="AY299" s="3" t="n">
        <v>3</v>
      </c>
      <c r="AZ299" s="3" t="n">
        <v>1</v>
      </c>
      <c r="BA299" s="5" t="n">
        <v>11</v>
      </c>
      <c r="BB299" s="3" t="n">
        <v>2</v>
      </c>
      <c r="BC299" s="3" t="n">
        <v>1</v>
      </c>
      <c r="BD299" s="3" t="n">
        <v>6</v>
      </c>
      <c r="BE299" s="3" t="n">
        <v>3</v>
      </c>
      <c r="BF299" s="3" t="n">
        <v>5</v>
      </c>
      <c r="BG299" s="3" t="n">
        <v>3</v>
      </c>
      <c r="BH299" s="3" t="n">
        <v>4</v>
      </c>
      <c r="BI299" s="3" t="n">
        <v>1</v>
      </c>
      <c r="BJ299" s="3" t="n">
        <v>1</v>
      </c>
      <c r="BK299" s="6" t="s">
        <v>941</v>
      </c>
    </row>
    <row r="300" customFormat="false" ht="15" hidden="false" customHeight="true" outlineLevel="0" collapsed="false">
      <c r="B300" s="2" t="s">
        <v>942</v>
      </c>
      <c r="C300" s="2" t="s">
        <v>510</v>
      </c>
      <c r="D300" s="2" t="s">
        <v>153</v>
      </c>
      <c r="E300" s="2" t="n">
        <v>172650</v>
      </c>
      <c r="F300" s="15" t="n">
        <v>43523</v>
      </c>
      <c r="G300" s="15" t="n">
        <v>43530</v>
      </c>
      <c r="H300" s="3" t="n">
        <v>7</v>
      </c>
      <c r="I300" s="3" t="n">
        <v>1</v>
      </c>
      <c r="J300" s="3" t="n">
        <v>49</v>
      </c>
      <c r="K300" s="3" t="n">
        <v>1</v>
      </c>
      <c r="L300" s="3" t="n">
        <v>1</v>
      </c>
      <c r="M300" s="3" t="n">
        <v>1</v>
      </c>
      <c r="N300" s="3" t="n">
        <v>2</v>
      </c>
      <c r="O300" s="3" t="n">
        <v>2</v>
      </c>
      <c r="P300" s="3" t="n">
        <v>2</v>
      </c>
      <c r="Q300" s="3" t="n">
        <v>1</v>
      </c>
      <c r="R300" s="3" t="n">
        <v>2</v>
      </c>
      <c r="S300" s="3" t="n">
        <v>2</v>
      </c>
      <c r="T300" s="4" t="n">
        <v>2</v>
      </c>
      <c r="U300" s="3" t="n">
        <v>2</v>
      </c>
      <c r="V300" s="3" t="n">
        <v>3.15</v>
      </c>
      <c r="W300" s="3" t="n">
        <v>2.4</v>
      </c>
      <c r="X300" s="3" t="n">
        <v>6.3</v>
      </c>
      <c r="Y300" s="3" t="n">
        <v>352</v>
      </c>
      <c r="AA300" s="3" t="n">
        <v>0.38</v>
      </c>
      <c r="AB300" s="3" t="n">
        <v>10.4</v>
      </c>
      <c r="AC300" s="3" t="n">
        <v>1</v>
      </c>
      <c r="AD300" s="3" t="n">
        <v>2</v>
      </c>
      <c r="AE300" s="3" t="n">
        <v>1</v>
      </c>
      <c r="AF300" s="3" t="n">
        <v>1</v>
      </c>
      <c r="AG300" s="3" t="n">
        <v>2</v>
      </c>
      <c r="AH300" s="3" t="n">
        <v>2</v>
      </c>
      <c r="AI300" s="3" t="n">
        <v>2</v>
      </c>
      <c r="AJ300" s="3" t="n">
        <v>1</v>
      </c>
      <c r="AK300" s="3" t="n">
        <v>2</v>
      </c>
      <c r="AL300" s="3" t="n">
        <v>2</v>
      </c>
      <c r="AM300" s="3" t="n">
        <v>2</v>
      </c>
      <c r="AN300" s="3" t="n">
        <v>2</v>
      </c>
      <c r="AO300" s="3" t="n">
        <v>2</v>
      </c>
      <c r="AP300" s="3" t="n">
        <v>3</v>
      </c>
      <c r="AQ300" s="3" t="n">
        <v>4</v>
      </c>
      <c r="AR300" s="3" t="n">
        <v>4</v>
      </c>
      <c r="AS300" s="3" t="n">
        <v>6</v>
      </c>
      <c r="AT300" s="3" t="n">
        <v>4</v>
      </c>
      <c r="AU300" s="3" t="n">
        <v>4</v>
      </c>
      <c r="AV300" s="3" t="n">
        <v>6</v>
      </c>
      <c r="AW300" s="3" t="n">
        <v>6</v>
      </c>
      <c r="AX300" s="3" t="n">
        <v>3</v>
      </c>
      <c r="AY300" s="3" t="n">
        <v>3</v>
      </c>
      <c r="AZ300" s="3" t="n">
        <v>1</v>
      </c>
      <c r="BA300" s="5" t="n">
        <v>1</v>
      </c>
      <c r="BB300" s="3" t="n">
        <v>1</v>
      </c>
      <c r="BC300" s="3" t="n">
        <v>1</v>
      </c>
      <c r="BD300" s="3" t="n">
        <v>4</v>
      </c>
      <c r="BE300" s="3" t="n">
        <v>1</v>
      </c>
      <c r="BF300" s="3" t="n">
        <v>2</v>
      </c>
      <c r="BG300" s="3" t="n">
        <v>1</v>
      </c>
      <c r="BH300" s="3" t="n">
        <v>4</v>
      </c>
      <c r="BI300" s="3" t="n">
        <v>1</v>
      </c>
      <c r="BJ300" s="3" t="n">
        <v>1</v>
      </c>
      <c r="BK300" s="6" t="s">
        <v>943</v>
      </c>
    </row>
    <row r="301" customFormat="false" ht="15" hidden="false" customHeight="true" outlineLevel="0" collapsed="false">
      <c r="B301" s="2" t="s">
        <v>435</v>
      </c>
      <c r="C301" s="2" t="s">
        <v>944</v>
      </c>
      <c r="D301" s="2" t="s">
        <v>161</v>
      </c>
      <c r="E301" s="2" t="n">
        <v>172778</v>
      </c>
      <c r="F301" s="15" t="n">
        <v>43530</v>
      </c>
      <c r="G301" s="15" t="n">
        <v>43535</v>
      </c>
      <c r="H301" s="3" t="n">
        <v>5</v>
      </c>
      <c r="I301" s="3" t="n">
        <v>1</v>
      </c>
      <c r="J301" s="3" t="n">
        <v>45</v>
      </c>
      <c r="K301" s="3" t="n">
        <v>1</v>
      </c>
      <c r="L301" s="3" t="n">
        <v>1</v>
      </c>
      <c r="M301" s="3" t="n">
        <v>1</v>
      </c>
      <c r="N301" s="3" t="n">
        <v>2</v>
      </c>
      <c r="O301" s="3" t="n">
        <v>1</v>
      </c>
      <c r="P301" s="3" t="n">
        <v>1</v>
      </c>
      <c r="Q301" s="3" t="n">
        <v>1</v>
      </c>
      <c r="R301" s="3" t="n">
        <v>2</v>
      </c>
      <c r="S301" s="3" t="n">
        <v>2</v>
      </c>
      <c r="T301" s="4" t="n">
        <v>1</v>
      </c>
      <c r="U301" s="3" t="n">
        <v>1</v>
      </c>
      <c r="V301" s="3" t="n">
        <v>6.33</v>
      </c>
      <c r="W301" s="3" t="n">
        <v>5.41</v>
      </c>
      <c r="X301" s="3" t="n">
        <v>9.6</v>
      </c>
      <c r="Y301" s="3" t="n">
        <v>443</v>
      </c>
      <c r="AA301" s="3" t="n">
        <v>0.42</v>
      </c>
      <c r="AB301" s="3" t="n">
        <v>7.3</v>
      </c>
      <c r="AC301" s="3" t="n">
        <v>1</v>
      </c>
      <c r="AD301" s="3" t="n">
        <v>1</v>
      </c>
      <c r="AE301" s="3" t="n">
        <v>1</v>
      </c>
      <c r="AF301" s="3" t="n">
        <v>1</v>
      </c>
      <c r="AG301" s="3" t="n">
        <v>2</v>
      </c>
      <c r="AH301" s="3" t="n">
        <v>2</v>
      </c>
      <c r="AI301" s="3" t="n">
        <v>1</v>
      </c>
      <c r="AJ301" s="3" t="n">
        <v>1</v>
      </c>
      <c r="AK301" s="3" t="n">
        <v>2</v>
      </c>
      <c r="AL301" s="3" t="n">
        <v>2</v>
      </c>
      <c r="AM301" s="3" t="n">
        <v>1</v>
      </c>
      <c r="AN301" s="3" t="n">
        <v>2</v>
      </c>
      <c r="AO301" s="3" t="n">
        <v>2</v>
      </c>
      <c r="AP301" s="3" t="n">
        <v>3</v>
      </c>
      <c r="AQ301" s="3" t="n">
        <v>4</v>
      </c>
      <c r="AR301" s="3" t="n">
        <v>4</v>
      </c>
      <c r="AS301" s="3" t="n">
        <v>6</v>
      </c>
      <c r="AT301" s="3" t="n">
        <v>4</v>
      </c>
      <c r="AU301" s="3" t="n">
        <v>4</v>
      </c>
      <c r="AV301" s="3" t="n">
        <v>6</v>
      </c>
      <c r="AW301" s="3" t="n">
        <v>6</v>
      </c>
      <c r="AX301" s="3" t="n">
        <v>3</v>
      </c>
      <c r="AY301" s="3" t="n">
        <v>3</v>
      </c>
      <c r="AZ301" s="3" t="n">
        <v>1</v>
      </c>
      <c r="BA301" s="5" t="n">
        <v>5</v>
      </c>
      <c r="BB301" s="3" t="n">
        <v>2</v>
      </c>
      <c r="BC301" s="3" t="n">
        <v>1</v>
      </c>
      <c r="BD301" s="3" t="n">
        <v>6</v>
      </c>
      <c r="BE301" s="3" t="n">
        <v>3</v>
      </c>
      <c r="BF301" s="3" t="n">
        <v>5</v>
      </c>
      <c r="BG301" s="3" t="n">
        <v>3</v>
      </c>
      <c r="BH301" s="3" t="n">
        <v>4</v>
      </c>
      <c r="BI301" s="3" t="n">
        <v>1</v>
      </c>
      <c r="BJ301" s="3" t="n">
        <v>1</v>
      </c>
      <c r="BK301" s="6" t="s">
        <v>945</v>
      </c>
    </row>
    <row r="302" customFormat="false" ht="15" hidden="false" customHeight="true" outlineLevel="0" collapsed="false">
      <c r="B302" s="2" t="s">
        <v>456</v>
      </c>
      <c r="C302" s="2" t="s">
        <v>95</v>
      </c>
      <c r="D302" s="2" t="s">
        <v>458</v>
      </c>
      <c r="E302" s="2" t="n">
        <v>160493</v>
      </c>
      <c r="F302" s="15" t="n">
        <v>43521</v>
      </c>
      <c r="G302" s="15" t="n">
        <v>43536</v>
      </c>
      <c r="H302" s="3" t="n">
        <v>18</v>
      </c>
      <c r="I302" s="3" t="n">
        <v>2</v>
      </c>
      <c r="J302" s="3" t="n">
        <v>79</v>
      </c>
      <c r="K302" s="3" t="n">
        <v>1</v>
      </c>
      <c r="L302" s="3" t="n">
        <v>2</v>
      </c>
      <c r="M302" s="3" t="n">
        <v>2</v>
      </c>
      <c r="N302" s="3" t="n">
        <v>2</v>
      </c>
      <c r="O302" s="3" t="n">
        <v>2</v>
      </c>
      <c r="P302" s="3" t="n">
        <v>2</v>
      </c>
      <c r="Q302" s="3" t="n">
        <v>2</v>
      </c>
      <c r="R302" s="3" t="n">
        <v>2</v>
      </c>
      <c r="S302" s="3" t="n">
        <v>2</v>
      </c>
      <c r="T302" s="4" t="n">
        <v>1</v>
      </c>
      <c r="U302" s="3" t="n">
        <v>1</v>
      </c>
      <c r="V302" s="3" t="n">
        <v>4.73</v>
      </c>
      <c r="W302" s="3" t="n">
        <v>0.98</v>
      </c>
      <c r="X302" s="3" t="n">
        <v>4.6</v>
      </c>
      <c r="Y302" s="3" t="n">
        <v>343</v>
      </c>
      <c r="AA302" s="3" t="n">
        <v>0.4</v>
      </c>
      <c r="AB302" s="3" t="n">
        <v>8.2</v>
      </c>
      <c r="AC302" s="3" t="n">
        <v>1</v>
      </c>
      <c r="AD302" s="3" t="n">
        <v>1</v>
      </c>
      <c r="AE302" s="3" t="n">
        <v>1</v>
      </c>
      <c r="AF302" s="3" t="n">
        <v>1</v>
      </c>
      <c r="AG302" s="3" t="n">
        <v>2</v>
      </c>
      <c r="AH302" s="3" t="n">
        <v>2</v>
      </c>
      <c r="AI302" s="3" t="n">
        <v>1</v>
      </c>
      <c r="AJ302" s="3" t="n">
        <v>2</v>
      </c>
      <c r="AK302" s="3" t="n">
        <v>2</v>
      </c>
      <c r="AL302" s="3" t="n">
        <v>2</v>
      </c>
      <c r="AM302" s="3" t="n">
        <v>2</v>
      </c>
      <c r="AN302" s="3" t="n">
        <v>2</v>
      </c>
      <c r="AO302" s="3" t="n">
        <v>2</v>
      </c>
      <c r="AP302" s="3" t="n">
        <v>1</v>
      </c>
      <c r="AQ302" s="3" t="n">
        <v>2</v>
      </c>
      <c r="AR302" s="3" t="n">
        <v>4</v>
      </c>
      <c r="AS302" s="3" t="n">
        <v>6</v>
      </c>
      <c r="AT302" s="3" t="n">
        <v>4</v>
      </c>
      <c r="AU302" s="3" t="n">
        <v>4</v>
      </c>
      <c r="AV302" s="3" t="n">
        <v>1</v>
      </c>
      <c r="AW302" s="3" t="n">
        <v>6</v>
      </c>
      <c r="AX302" s="3" t="n">
        <v>2</v>
      </c>
      <c r="AY302" s="3" t="n">
        <v>1</v>
      </c>
      <c r="AZ302" s="3" t="n">
        <v>1</v>
      </c>
      <c r="BA302" s="5" t="n">
        <v>5</v>
      </c>
      <c r="BB302" s="3" t="n">
        <v>2</v>
      </c>
      <c r="BC302" s="3" t="n">
        <v>1</v>
      </c>
      <c r="BD302" s="3" t="n">
        <v>6</v>
      </c>
      <c r="BE302" s="3" t="n">
        <v>3</v>
      </c>
      <c r="BF302" s="3" t="n">
        <v>5</v>
      </c>
      <c r="BG302" s="3" t="n">
        <v>3</v>
      </c>
      <c r="BH302" s="3" t="n">
        <v>4</v>
      </c>
      <c r="BI302" s="3" t="n">
        <v>1</v>
      </c>
      <c r="BJ302" s="3" t="n">
        <v>1</v>
      </c>
      <c r="BK302" s="6" t="s">
        <v>946</v>
      </c>
    </row>
    <row r="303" customFormat="false" ht="15" hidden="false" customHeight="true" outlineLevel="0" collapsed="false">
      <c r="B303" s="2" t="s">
        <v>947</v>
      </c>
      <c r="C303" s="2" t="s">
        <v>948</v>
      </c>
      <c r="D303" s="2" t="s">
        <v>95</v>
      </c>
      <c r="E303" s="2" t="n">
        <v>125343</v>
      </c>
      <c r="F303" s="15" t="n">
        <v>43531</v>
      </c>
      <c r="G303" s="15" t="n">
        <v>43536</v>
      </c>
      <c r="H303" s="3" t="n">
        <v>5</v>
      </c>
      <c r="I303" s="3" t="n">
        <v>1</v>
      </c>
      <c r="J303" s="3" t="n">
        <v>80</v>
      </c>
      <c r="K303" s="3" t="n">
        <v>1</v>
      </c>
      <c r="L303" s="3" t="n">
        <v>2</v>
      </c>
      <c r="M303" s="3" t="n">
        <v>1</v>
      </c>
      <c r="N303" s="3" t="n">
        <v>2</v>
      </c>
      <c r="O303" s="3" t="n">
        <v>2</v>
      </c>
      <c r="P303" s="3" t="n">
        <v>2</v>
      </c>
      <c r="Q303" s="3" t="n">
        <v>2</v>
      </c>
      <c r="R303" s="3" t="n">
        <v>2</v>
      </c>
      <c r="S303" s="3" t="n">
        <v>1</v>
      </c>
      <c r="T303" s="4" t="n">
        <v>3</v>
      </c>
      <c r="U303" s="3" t="n">
        <v>1</v>
      </c>
      <c r="V303" s="3" t="n">
        <v>5.52</v>
      </c>
      <c r="W303" s="3" t="n">
        <v>0.54</v>
      </c>
      <c r="X303" s="3" t="n">
        <v>6.2</v>
      </c>
      <c r="Y303" s="3" t="n">
        <v>377</v>
      </c>
      <c r="AA303" s="3" t="n">
        <v>0.35</v>
      </c>
      <c r="AB303" s="3" t="n">
        <v>9.9</v>
      </c>
      <c r="AC303" s="3" t="n">
        <v>1</v>
      </c>
      <c r="AD303" s="3" t="n">
        <v>2</v>
      </c>
      <c r="AE303" s="3" t="n">
        <v>1</v>
      </c>
      <c r="AF303" s="3" t="n">
        <v>2</v>
      </c>
      <c r="AG303" s="3" t="n">
        <v>2</v>
      </c>
      <c r="AH303" s="3" t="n">
        <v>2</v>
      </c>
      <c r="AI303" s="3" t="n">
        <v>2</v>
      </c>
      <c r="AJ303" s="3" t="n">
        <v>1</v>
      </c>
      <c r="AK303" s="3" t="n">
        <v>2</v>
      </c>
      <c r="AL303" s="3" t="n">
        <v>1</v>
      </c>
      <c r="AM303" s="3" t="n">
        <v>1</v>
      </c>
      <c r="AN303" s="3" t="n">
        <v>2</v>
      </c>
      <c r="AO303" s="3" t="n">
        <v>2</v>
      </c>
      <c r="AP303" s="3" t="n">
        <v>3</v>
      </c>
      <c r="AQ303" s="3" t="n">
        <v>4</v>
      </c>
      <c r="AR303" s="3" t="n">
        <v>4</v>
      </c>
      <c r="AS303" s="3" t="n">
        <v>6</v>
      </c>
      <c r="AT303" s="3" t="n">
        <v>4</v>
      </c>
      <c r="AU303" s="3" t="n">
        <v>4</v>
      </c>
      <c r="AV303" s="3" t="n">
        <v>6</v>
      </c>
      <c r="AW303" s="3" t="n">
        <v>6</v>
      </c>
      <c r="AX303" s="3" t="n">
        <v>3</v>
      </c>
      <c r="AY303" s="3" t="n">
        <v>3</v>
      </c>
      <c r="AZ303" s="3" t="n">
        <v>1</v>
      </c>
      <c r="BA303" s="5" t="n">
        <v>11</v>
      </c>
      <c r="BB303" s="3" t="n">
        <v>2</v>
      </c>
      <c r="BC303" s="3" t="n">
        <v>1</v>
      </c>
      <c r="BD303" s="3" t="n">
        <v>6</v>
      </c>
      <c r="BE303" s="3" t="n">
        <v>3</v>
      </c>
      <c r="BF303" s="3" t="n">
        <v>5</v>
      </c>
      <c r="BG303" s="3" t="n">
        <v>3</v>
      </c>
      <c r="BH303" s="3" t="n">
        <v>4</v>
      </c>
      <c r="BI303" s="3" t="n">
        <v>1</v>
      </c>
      <c r="BJ303" s="3" t="n">
        <v>1</v>
      </c>
      <c r="BK303" s="6" t="s">
        <v>949</v>
      </c>
    </row>
    <row r="304" customFormat="false" ht="15" hidden="false" customHeight="true" outlineLevel="0" collapsed="false">
      <c r="B304" s="2" t="s">
        <v>950</v>
      </c>
      <c r="C304" s="2" t="s">
        <v>951</v>
      </c>
      <c r="D304" s="2" t="s">
        <v>66</v>
      </c>
      <c r="E304" s="2" t="n">
        <v>117521</v>
      </c>
      <c r="F304" s="15" t="n">
        <v>43531</v>
      </c>
      <c r="G304" s="15" t="n">
        <v>43537</v>
      </c>
      <c r="H304" s="3" t="n">
        <v>6</v>
      </c>
      <c r="I304" s="3" t="n">
        <v>2</v>
      </c>
      <c r="J304" s="3" t="n">
        <v>82</v>
      </c>
      <c r="K304" s="3" t="n">
        <v>1</v>
      </c>
      <c r="L304" s="3" t="n">
        <v>2</v>
      </c>
      <c r="M304" s="3" t="n">
        <v>2</v>
      </c>
      <c r="N304" s="3" t="n">
        <v>2</v>
      </c>
      <c r="O304" s="3" t="n">
        <v>2</v>
      </c>
      <c r="P304" s="3" t="n">
        <v>2</v>
      </c>
      <c r="Q304" s="3" t="n">
        <v>2</v>
      </c>
      <c r="R304" s="3" t="n">
        <v>2</v>
      </c>
      <c r="S304" s="3" t="n">
        <v>1</v>
      </c>
      <c r="T304" s="4" t="n">
        <v>3</v>
      </c>
      <c r="U304" s="3" t="n">
        <v>1</v>
      </c>
      <c r="V304" s="3" t="n">
        <v>3.48</v>
      </c>
      <c r="W304" s="3" t="n">
        <v>0.43</v>
      </c>
      <c r="X304" s="3" t="n">
        <v>5.1</v>
      </c>
      <c r="Y304" s="3" t="n">
        <v>414</v>
      </c>
      <c r="AA304" s="3" t="n">
        <v>0.33</v>
      </c>
      <c r="AB304" s="3" t="n">
        <v>6.4</v>
      </c>
      <c r="AC304" s="3" t="n">
        <v>1</v>
      </c>
      <c r="AD304" s="3" t="n">
        <v>2</v>
      </c>
      <c r="AE304" s="3" t="n">
        <v>2</v>
      </c>
      <c r="AF304" s="3" t="n">
        <v>2</v>
      </c>
      <c r="AG304" s="3" t="n">
        <v>2</v>
      </c>
      <c r="AH304" s="3" t="n">
        <v>2</v>
      </c>
      <c r="AI304" s="3" t="n">
        <v>2</v>
      </c>
      <c r="AJ304" s="3" t="n">
        <v>2</v>
      </c>
      <c r="AK304" s="3" t="n">
        <v>2</v>
      </c>
      <c r="AL304" s="3" t="n">
        <v>2</v>
      </c>
      <c r="AM304" s="3" t="n">
        <v>1</v>
      </c>
      <c r="AN304" s="3" t="n">
        <v>2</v>
      </c>
      <c r="AO304" s="3" t="n">
        <v>2</v>
      </c>
      <c r="AP304" s="3" t="n">
        <v>3</v>
      </c>
      <c r="AQ304" s="3" t="n">
        <v>4</v>
      </c>
      <c r="AR304" s="3" t="n">
        <v>4</v>
      </c>
      <c r="AS304" s="3" t="n">
        <v>6</v>
      </c>
      <c r="AT304" s="3" t="n">
        <v>4</v>
      </c>
      <c r="AU304" s="3" t="n">
        <v>4</v>
      </c>
      <c r="AV304" s="3" t="n">
        <v>6</v>
      </c>
      <c r="AW304" s="3" t="n">
        <v>6</v>
      </c>
      <c r="AX304" s="3" t="n">
        <v>3</v>
      </c>
      <c r="AY304" s="3" t="n">
        <v>3</v>
      </c>
      <c r="AZ304" s="3" t="n">
        <v>1</v>
      </c>
      <c r="BA304" s="5" t="n">
        <v>3</v>
      </c>
      <c r="BB304" s="3" t="n">
        <v>2</v>
      </c>
      <c r="BC304" s="3" t="n">
        <v>1</v>
      </c>
      <c r="BD304" s="3" t="n">
        <v>6</v>
      </c>
      <c r="BE304" s="3" t="n">
        <v>3</v>
      </c>
      <c r="BF304" s="3" t="n">
        <v>5</v>
      </c>
      <c r="BG304" s="3" t="n">
        <v>3</v>
      </c>
      <c r="BH304" s="3" t="n">
        <v>4</v>
      </c>
      <c r="BI304" s="3" t="n">
        <v>1</v>
      </c>
      <c r="BJ304" s="3" t="n">
        <v>1</v>
      </c>
      <c r="BK304" s="6" t="s">
        <v>952</v>
      </c>
    </row>
    <row r="305" customFormat="false" ht="15" hidden="false" customHeight="true" outlineLevel="0" collapsed="false">
      <c r="B305" s="2" t="s">
        <v>953</v>
      </c>
      <c r="C305" s="2" t="s">
        <v>153</v>
      </c>
      <c r="D305" s="2" t="s">
        <v>78</v>
      </c>
      <c r="E305" s="2" t="n">
        <v>173178</v>
      </c>
      <c r="F305" s="15" t="n">
        <v>43532</v>
      </c>
      <c r="G305" s="15" t="n">
        <v>43537</v>
      </c>
      <c r="H305" s="3" t="n">
        <v>5</v>
      </c>
      <c r="I305" s="3" t="n">
        <v>1</v>
      </c>
      <c r="J305" s="3" t="n">
        <v>67</v>
      </c>
      <c r="K305" s="3" t="n">
        <v>2</v>
      </c>
      <c r="L305" s="3" t="n">
        <v>2</v>
      </c>
      <c r="M305" s="3" t="n">
        <v>1</v>
      </c>
      <c r="N305" s="3" t="n">
        <v>2</v>
      </c>
      <c r="O305" s="3" t="n">
        <v>2</v>
      </c>
      <c r="P305" s="3" t="n">
        <v>1</v>
      </c>
      <c r="Q305" s="3" t="n">
        <v>1</v>
      </c>
      <c r="R305" s="3" t="n">
        <v>2</v>
      </c>
      <c r="S305" s="3" t="n">
        <v>1</v>
      </c>
      <c r="T305" s="4" t="n">
        <v>1</v>
      </c>
      <c r="U305" s="3" t="n">
        <v>1</v>
      </c>
      <c r="V305" s="3" t="n">
        <v>6.11</v>
      </c>
      <c r="W305" s="3" t="n">
        <v>2.54</v>
      </c>
      <c r="X305" s="3" t="n">
        <v>5.4</v>
      </c>
      <c r="Y305" s="3" t="n">
        <v>252</v>
      </c>
      <c r="AC305" s="3" t="n">
        <v>1</v>
      </c>
      <c r="AD305" s="3" t="n">
        <v>1</v>
      </c>
      <c r="AE305" s="3" t="n">
        <v>1</v>
      </c>
      <c r="AF305" s="3" t="n">
        <v>1</v>
      </c>
      <c r="AG305" s="3" t="n">
        <v>1</v>
      </c>
      <c r="AH305" s="3" t="n">
        <v>2</v>
      </c>
      <c r="AI305" s="3" t="n">
        <v>1</v>
      </c>
      <c r="AJ305" s="3" t="n">
        <v>1</v>
      </c>
      <c r="AK305" s="3" t="n">
        <v>2</v>
      </c>
      <c r="AL305" s="3" t="n">
        <v>2</v>
      </c>
      <c r="AM305" s="3" t="n">
        <v>1</v>
      </c>
      <c r="AN305" s="3" t="n">
        <v>2</v>
      </c>
      <c r="AO305" s="3" t="n">
        <v>2</v>
      </c>
      <c r="AP305" s="3" t="n">
        <v>3</v>
      </c>
      <c r="AQ305" s="3" t="n">
        <v>4</v>
      </c>
      <c r="AR305" s="3" t="n">
        <v>4</v>
      </c>
      <c r="AS305" s="3" t="n">
        <v>6</v>
      </c>
      <c r="AT305" s="3" t="n">
        <v>4</v>
      </c>
      <c r="AU305" s="3" t="n">
        <v>4</v>
      </c>
      <c r="AV305" s="3" t="n">
        <v>6</v>
      </c>
      <c r="AW305" s="3" t="n">
        <v>6</v>
      </c>
      <c r="AX305" s="3" t="n">
        <v>3</v>
      </c>
      <c r="AY305" s="3" t="n">
        <v>3</v>
      </c>
      <c r="AZ305" s="3" t="n">
        <v>1</v>
      </c>
      <c r="BA305" s="5" t="n">
        <v>5</v>
      </c>
      <c r="BB305" s="3" t="n">
        <v>2</v>
      </c>
      <c r="BC305" s="3" t="n">
        <v>1</v>
      </c>
      <c r="BD305" s="3" t="n">
        <v>6</v>
      </c>
      <c r="BE305" s="3" t="n">
        <v>3</v>
      </c>
      <c r="BF305" s="3" t="n">
        <v>5</v>
      </c>
      <c r="BG305" s="3" t="n">
        <v>3</v>
      </c>
      <c r="BH305" s="3" t="n">
        <v>4</v>
      </c>
      <c r="BI305" s="3" t="n">
        <v>1</v>
      </c>
      <c r="BJ305" s="3" t="n">
        <v>1</v>
      </c>
      <c r="BK305" s="6" t="s">
        <v>954</v>
      </c>
    </row>
    <row r="306" customFormat="false" ht="15" hidden="false" customHeight="true" outlineLevel="0" collapsed="false">
      <c r="B306" s="2" t="s">
        <v>955</v>
      </c>
      <c r="C306" s="2" t="s">
        <v>519</v>
      </c>
      <c r="D306" s="2" t="s">
        <v>956</v>
      </c>
      <c r="E306" s="2" t="n">
        <v>110180</v>
      </c>
      <c r="F306" s="15" t="n">
        <v>43533</v>
      </c>
      <c r="G306" s="15" t="n">
        <v>43538</v>
      </c>
      <c r="H306" s="3" t="n">
        <v>5</v>
      </c>
      <c r="I306" s="3" t="n">
        <v>2</v>
      </c>
      <c r="J306" s="3" t="n">
        <v>88</v>
      </c>
      <c r="K306" s="3" t="n">
        <v>1</v>
      </c>
      <c r="L306" s="3" t="n">
        <v>2</v>
      </c>
      <c r="M306" s="3" t="n">
        <v>1</v>
      </c>
      <c r="N306" s="3" t="n">
        <v>1</v>
      </c>
      <c r="O306" s="3" t="n">
        <v>2</v>
      </c>
      <c r="P306" s="3" t="n">
        <v>2</v>
      </c>
      <c r="Q306" s="3" t="n">
        <v>2</v>
      </c>
      <c r="R306" s="3" t="n">
        <v>2</v>
      </c>
      <c r="S306" s="3" t="n">
        <v>1</v>
      </c>
      <c r="T306" s="4" t="n">
        <v>1</v>
      </c>
      <c r="U306" s="3" t="n">
        <v>1</v>
      </c>
      <c r="V306" s="3" t="n">
        <v>3.42</v>
      </c>
      <c r="W306" s="3" t="n">
        <v>0.64</v>
      </c>
      <c r="X306" s="3" t="n">
        <v>5.1</v>
      </c>
      <c r="Y306" s="3" t="n">
        <v>325</v>
      </c>
      <c r="AA306" s="3" t="n">
        <v>0.34</v>
      </c>
      <c r="AB306" s="3" t="n">
        <v>8.1</v>
      </c>
      <c r="AC306" s="3" t="n">
        <v>1</v>
      </c>
      <c r="AD306" s="3" t="n">
        <v>1</v>
      </c>
      <c r="AE306" s="3" t="n">
        <v>1</v>
      </c>
      <c r="AF306" s="3" t="n">
        <v>1</v>
      </c>
      <c r="AG306" s="3" t="n">
        <v>2</v>
      </c>
      <c r="AH306" s="3" t="n">
        <v>2</v>
      </c>
      <c r="AI306" s="3" t="n">
        <v>1</v>
      </c>
      <c r="AJ306" s="3" t="n">
        <v>1</v>
      </c>
      <c r="AK306" s="3" t="n">
        <v>2</v>
      </c>
      <c r="AL306" s="3" t="n">
        <v>2</v>
      </c>
      <c r="AM306" s="3" t="n">
        <v>1</v>
      </c>
      <c r="AN306" s="3" t="n">
        <v>2</v>
      </c>
      <c r="AO306" s="3" t="n">
        <v>2</v>
      </c>
      <c r="AP306" s="3" t="n">
        <v>3</v>
      </c>
      <c r="AQ306" s="3" t="n">
        <v>4</v>
      </c>
      <c r="AR306" s="3" t="n">
        <v>4</v>
      </c>
      <c r="AS306" s="3" t="n">
        <v>6</v>
      </c>
      <c r="AT306" s="3" t="n">
        <v>4</v>
      </c>
      <c r="AU306" s="3" t="n">
        <v>4</v>
      </c>
      <c r="AV306" s="3" t="n">
        <v>6</v>
      </c>
      <c r="AW306" s="3" t="n">
        <v>6</v>
      </c>
      <c r="AX306" s="3" t="n">
        <v>3</v>
      </c>
      <c r="AY306" s="3" t="n">
        <v>3</v>
      </c>
      <c r="AZ306" s="3" t="n">
        <v>1</v>
      </c>
      <c r="BA306" s="5" t="n">
        <v>5</v>
      </c>
      <c r="BB306" s="3" t="n">
        <v>2</v>
      </c>
      <c r="BC306" s="3" t="n">
        <v>1</v>
      </c>
      <c r="BD306" s="3" t="n">
        <v>6</v>
      </c>
      <c r="BE306" s="3" t="n">
        <v>3</v>
      </c>
      <c r="BF306" s="3" t="n">
        <v>5</v>
      </c>
      <c r="BG306" s="3" t="n">
        <v>3</v>
      </c>
      <c r="BH306" s="3" t="n">
        <v>4</v>
      </c>
      <c r="BI306" s="3" t="n">
        <v>1</v>
      </c>
      <c r="BJ306" s="3" t="n">
        <v>1</v>
      </c>
      <c r="BK306" s="6" t="s">
        <v>957</v>
      </c>
    </row>
    <row r="307" customFormat="false" ht="15" hidden="false" customHeight="true" outlineLevel="0" collapsed="false">
      <c r="B307" s="2" t="s">
        <v>958</v>
      </c>
      <c r="C307" s="2" t="s">
        <v>127</v>
      </c>
      <c r="D307" s="2" t="s">
        <v>70</v>
      </c>
      <c r="E307" s="2" t="n">
        <v>173211</v>
      </c>
      <c r="F307" s="15" t="n">
        <v>43535</v>
      </c>
      <c r="G307" s="15" t="n">
        <v>43538</v>
      </c>
      <c r="H307" s="3" t="n">
        <v>3</v>
      </c>
      <c r="I307" s="3" t="n">
        <v>1</v>
      </c>
      <c r="J307" s="3" t="n">
        <v>44</v>
      </c>
      <c r="K307" s="3" t="n">
        <v>1</v>
      </c>
      <c r="L307" s="3" t="n">
        <v>2</v>
      </c>
      <c r="M307" s="3" t="n">
        <v>2</v>
      </c>
      <c r="N307" s="3" t="n">
        <v>2</v>
      </c>
      <c r="O307" s="3" t="n">
        <v>2</v>
      </c>
      <c r="P307" s="3" t="n">
        <v>2</v>
      </c>
      <c r="Q307" s="3" t="n">
        <v>2</v>
      </c>
      <c r="R307" s="3" t="n">
        <v>2</v>
      </c>
      <c r="S307" s="3" t="n">
        <v>2</v>
      </c>
      <c r="T307" s="4" t="n">
        <v>1</v>
      </c>
      <c r="U307" s="3" t="n">
        <v>1</v>
      </c>
      <c r="V307" s="3" t="n">
        <v>4.08</v>
      </c>
      <c r="W307" s="3" t="n">
        <v>0.95</v>
      </c>
      <c r="X307" s="3" t="n">
        <v>5.2</v>
      </c>
      <c r="Y307" s="3" t="n">
        <v>244</v>
      </c>
      <c r="AA307" s="3" t="n">
        <v>0.36</v>
      </c>
      <c r="AB307" s="3" t="n">
        <v>6.9</v>
      </c>
      <c r="AC307" s="3" t="n">
        <v>1</v>
      </c>
      <c r="AD307" s="3" t="n">
        <v>1</v>
      </c>
      <c r="AE307" s="3" t="n">
        <v>2</v>
      </c>
      <c r="AF307" s="3" t="n">
        <v>1</v>
      </c>
      <c r="AG307" s="3" t="n">
        <v>2</v>
      </c>
      <c r="AH307" s="3" t="n">
        <v>2</v>
      </c>
      <c r="AI307" s="3" t="n">
        <v>1</v>
      </c>
      <c r="AJ307" s="3" t="n">
        <v>2</v>
      </c>
      <c r="AK307" s="3" t="n">
        <v>2</v>
      </c>
      <c r="AL307" s="3" t="n">
        <v>2</v>
      </c>
      <c r="AM307" s="3" t="n">
        <v>2</v>
      </c>
      <c r="AN307" s="3" t="n">
        <v>2</v>
      </c>
      <c r="AO307" s="3" t="n">
        <v>2</v>
      </c>
      <c r="AP307" s="3" t="n">
        <v>3</v>
      </c>
      <c r="AQ307" s="3" t="n">
        <v>4</v>
      </c>
      <c r="AR307" s="3" t="n">
        <v>4</v>
      </c>
      <c r="AS307" s="3" t="n">
        <v>6</v>
      </c>
      <c r="AT307" s="3" t="n">
        <v>4</v>
      </c>
      <c r="AU307" s="3" t="n">
        <v>4</v>
      </c>
      <c r="AV307" s="3" t="n">
        <v>6</v>
      </c>
      <c r="AW307" s="3" t="n">
        <v>6</v>
      </c>
      <c r="AX307" s="3" t="n">
        <v>3</v>
      </c>
      <c r="AY307" s="3" t="n">
        <v>3</v>
      </c>
      <c r="AZ307" s="3" t="n">
        <v>1</v>
      </c>
      <c r="BA307" s="5" t="n">
        <v>5</v>
      </c>
      <c r="BB307" s="3" t="n">
        <v>2</v>
      </c>
      <c r="BC307" s="3" t="n">
        <v>1</v>
      </c>
      <c r="BD307" s="3" t="n">
        <v>6</v>
      </c>
      <c r="BE307" s="3" t="n">
        <v>3</v>
      </c>
      <c r="BF307" s="3" t="n">
        <v>5</v>
      </c>
      <c r="BG307" s="3" t="n">
        <v>3</v>
      </c>
      <c r="BH307" s="3" t="n">
        <v>4</v>
      </c>
      <c r="BI307" s="3" t="n">
        <v>1</v>
      </c>
      <c r="BJ307" s="3" t="n">
        <v>1</v>
      </c>
      <c r="BK307" s="6" t="s">
        <v>959</v>
      </c>
    </row>
    <row r="308" customFormat="false" ht="15" hidden="false" customHeight="true" outlineLevel="0" collapsed="false">
      <c r="B308" s="2" t="s">
        <v>960</v>
      </c>
      <c r="C308" s="2" t="s">
        <v>802</v>
      </c>
      <c r="D308" s="2" t="s">
        <v>293</v>
      </c>
      <c r="E308" s="2" t="n">
        <v>173154</v>
      </c>
      <c r="F308" s="15" t="n">
        <v>43535</v>
      </c>
      <c r="G308" s="15" t="n">
        <v>43538</v>
      </c>
      <c r="H308" s="3" t="n">
        <v>3</v>
      </c>
      <c r="I308" s="3" t="n">
        <v>1</v>
      </c>
      <c r="J308" s="3" t="n">
        <v>62</v>
      </c>
      <c r="K308" s="3" t="n">
        <v>1</v>
      </c>
      <c r="L308" s="3" t="n">
        <v>2</v>
      </c>
      <c r="M308" s="3" t="n">
        <v>2</v>
      </c>
      <c r="N308" s="3" t="n">
        <v>2</v>
      </c>
      <c r="O308" s="3" t="n">
        <v>1</v>
      </c>
      <c r="P308" s="3" t="n">
        <v>2</v>
      </c>
      <c r="Q308" s="3" t="n">
        <v>2</v>
      </c>
      <c r="R308" s="3" t="n">
        <v>2</v>
      </c>
      <c r="S308" s="3" t="n">
        <v>2</v>
      </c>
      <c r="T308" s="4" t="n">
        <v>3</v>
      </c>
      <c r="U308" s="3" t="n">
        <v>1</v>
      </c>
      <c r="V308" s="3" t="n">
        <v>5.88</v>
      </c>
      <c r="W308" s="3" t="n">
        <v>1.67</v>
      </c>
      <c r="X308" s="3" t="n">
        <v>5.5</v>
      </c>
      <c r="Y308" s="3" t="n">
        <v>424</v>
      </c>
      <c r="AA308" s="3" t="n">
        <v>0.43</v>
      </c>
      <c r="AB308" s="3" t="n">
        <v>7.1</v>
      </c>
      <c r="AC308" s="3" t="n">
        <v>1</v>
      </c>
      <c r="AD308" s="3" t="n">
        <v>2</v>
      </c>
      <c r="AE308" s="3" t="n">
        <v>2</v>
      </c>
      <c r="AF308" s="3" t="n">
        <v>2</v>
      </c>
      <c r="AG308" s="3" t="n">
        <v>2</v>
      </c>
      <c r="AH308" s="3" t="n">
        <v>2</v>
      </c>
      <c r="AI308" s="3" t="n">
        <v>2</v>
      </c>
      <c r="AJ308" s="3" t="n">
        <v>2</v>
      </c>
      <c r="AK308" s="3" t="n">
        <v>2</v>
      </c>
      <c r="AL308" s="3" t="n">
        <v>2</v>
      </c>
      <c r="AM308" s="3" t="n">
        <v>2</v>
      </c>
      <c r="AN308" s="3" t="n">
        <v>2</v>
      </c>
      <c r="AO308" s="3" t="n">
        <v>2</v>
      </c>
      <c r="AP308" s="3" t="n">
        <v>3</v>
      </c>
      <c r="AQ308" s="3" t="n">
        <v>4</v>
      </c>
      <c r="AR308" s="3" t="n">
        <v>4</v>
      </c>
      <c r="AS308" s="3" t="n">
        <v>6</v>
      </c>
      <c r="AT308" s="3" t="n">
        <v>4</v>
      </c>
      <c r="AU308" s="3" t="n">
        <v>4</v>
      </c>
      <c r="AV308" s="3" t="n">
        <v>6</v>
      </c>
      <c r="AW308" s="3" t="n">
        <v>6</v>
      </c>
      <c r="AX308" s="3" t="n">
        <v>3</v>
      </c>
      <c r="AY308" s="3" t="n">
        <v>3</v>
      </c>
      <c r="AZ308" s="3" t="n">
        <v>1</v>
      </c>
      <c r="BA308" s="5" t="n">
        <v>3</v>
      </c>
      <c r="BB308" s="3" t="n">
        <v>2</v>
      </c>
      <c r="BC308" s="3" t="n">
        <v>1</v>
      </c>
      <c r="BD308" s="3" t="n">
        <v>6</v>
      </c>
      <c r="BE308" s="3" t="n">
        <v>3</v>
      </c>
      <c r="BF308" s="3" t="n">
        <v>5</v>
      </c>
      <c r="BG308" s="3" t="n">
        <v>3</v>
      </c>
      <c r="BH308" s="3" t="n">
        <v>4</v>
      </c>
      <c r="BI308" s="3" t="n">
        <v>1</v>
      </c>
      <c r="BJ308" s="3" t="n">
        <v>1</v>
      </c>
      <c r="BK308" s="6" t="s">
        <v>961</v>
      </c>
    </row>
    <row r="309" customFormat="false" ht="15" hidden="false" customHeight="true" outlineLevel="0" collapsed="false">
      <c r="B309" s="2" t="s">
        <v>962</v>
      </c>
      <c r="C309" s="2" t="s">
        <v>963</v>
      </c>
      <c r="D309" s="2" t="s">
        <v>402</v>
      </c>
      <c r="E309" s="2" t="s">
        <v>964</v>
      </c>
      <c r="F309" s="15" t="n">
        <v>43536</v>
      </c>
      <c r="G309" s="15" t="n">
        <v>43539</v>
      </c>
      <c r="H309" s="3" t="n">
        <v>3</v>
      </c>
      <c r="I309" s="3" t="n">
        <v>1</v>
      </c>
      <c r="J309" s="3" t="n">
        <v>98</v>
      </c>
      <c r="K309" s="3" t="n">
        <v>1</v>
      </c>
      <c r="L309" s="3" t="n">
        <v>2</v>
      </c>
      <c r="M309" s="3" t="n">
        <v>2</v>
      </c>
      <c r="N309" s="3" t="n">
        <v>2</v>
      </c>
      <c r="O309" s="3" t="n">
        <v>2</v>
      </c>
      <c r="P309" s="3" t="n">
        <v>2</v>
      </c>
      <c r="Q309" s="3" t="n">
        <v>2</v>
      </c>
      <c r="R309" s="3" t="n">
        <v>2</v>
      </c>
      <c r="S309" s="3" t="n">
        <v>2</v>
      </c>
      <c r="T309" s="4" t="n">
        <v>3</v>
      </c>
      <c r="U309" s="3" t="n">
        <v>4</v>
      </c>
      <c r="V309" s="3" t="n">
        <v>5.1</v>
      </c>
      <c r="W309" s="3" t="n">
        <v>0.66</v>
      </c>
      <c r="X309" s="3" t="n">
        <v>4.4</v>
      </c>
      <c r="Y309" s="3" t="n">
        <v>416</v>
      </c>
      <c r="AA309" s="3" t="n">
        <v>0.39</v>
      </c>
      <c r="AB309" s="3" t="n">
        <v>6.3</v>
      </c>
      <c r="AC309" s="3" t="n">
        <v>1</v>
      </c>
      <c r="AD309" s="3" t="n">
        <v>2</v>
      </c>
      <c r="AE309" s="3" t="n">
        <v>1</v>
      </c>
      <c r="AF309" s="3" t="n">
        <v>2</v>
      </c>
      <c r="AG309" s="3" t="n">
        <v>2</v>
      </c>
      <c r="AH309" s="3" t="n">
        <v>2</v>
      </c>
      <c r="AI309" s="3" t="n">
        <v>2</v>
      </c>
      <c r="AJ309" s="3" t="n">
        <v>1</v>
      </c>
      <c r="AK309" s="3" t="n">
        <v>2</v>
      </c>
      <c r="AL309" s="3" t="n">
        <v>1</v>
      </c>
      <c r="AM309" s="3" t="n">
        <v>1</v>
      </c>
      <c r="AN309" s="3" t="n">
        <v>2</v>
      </c>
      <c r="AO309" s="3" t="n">
        <v>2</v>
      </c>
      <c r="AP309" s="3" t="n">
        <v>3</v>
      </c>
      <c r="AQ309" s="3" t="n">
        <v>4</v>
      </c>
      <c r="AR309" s="3" t="n">
        <v>4</v>
      </c>
      <c r="AS309" s="3" t="n">
        <v>6</v>
      </c>
      <c r="AT309" s="3" t="n">
        <v>4</v>
      </c>
      <c r="AU309" s="3" t="n">
        <v>4</v>
      </c>
      <c r="AV309" s="3" t="n">
        <v>6</v>
      </c>
      <c r="AW309" s="3" t="n">
        <v>6</v>
      </c>
      <c r="AX309" s="3" t="n">
        <v>3</v>
      </c>
      <c r="AY309" s="3" t="n">
        <v>3</v>
      </c>
      <c r="AZ309" s="3" t="n">
        <v>1</v>
      </c>
      <c r="BA309" s="5" t="n">
        <v>11</v>
      </c>
      <c r="BB309" s="3" t="n">
        <v>2</v>
      </c>
      <c r="BC309" s="3" t="n">
        <v>1</v>
      </c>
      <c r="BD309" s="3" t="n">
        <v>6</v>
      </c>
      <c r="BE309" s="3" t="n">
        <v>3</v>
      </c>
      <c r="BF309" s="3" t="n">
        <v>5</v>
      </c>
      <c r="BG309" s="3" t="n">
        <v>3</v>
      </c>
      <c r="BH309" s="3" t="n">
        <v>4</v>
      </c>
      <c r="BI309" s="3" t="n">
        <v>1</v>
      </c>
      <c r="BJ309" s="3" t="n">
        <v>1</v>
      </c>
      <c r="BK309" s="6" t="s">
        <v>965</v>
      </c>
    </row>
    <row r="310" customFormat="false" ht="15" hidden="false" customHeight="true" outlineLevel="0" collapsed="false">
      <c r="B310" s="2" t="s">
        <v>966</v>
      </c>
      <c r="C310" s="2" t="s">
        <v>260</v>
      </c>
      <c r="D310" s="2" t="s">
        <v>967</v>
      </c>
      <c r="E310" s="2" t="n">
        <v>173268</v>
      </c>
      <c r="F310" s="15" t="n">
        <v>43536</v>
      </c>
      <c r="G310" s="15" t="n">
        <v>43539</v>
      </c>
      <c r="H310" s="3" t="n">
        <v>3</v>
      </c>
      <c r="I310" s="3" t="n">
        <v>2</v>
      </c>
      <c r="J310" s="3" t="n">
        <v>52</v>
      </c>
      <c r="K310" s="3" t="n">
        <v>1</v>
      </c>
      <c r="L310" s="3" t="n">
        <v>1</v>
      </c>
      <c r="M310" s="3" t="n">
        <v>1</v>
      </c>
      <c r="N310" s="3" t="n">
        <v>2</v>
      </c>
      <c r="O310" s="3" t="n">
        <v>2</v>
      </c>
      <c r="P310" s="3" t="n">
        <v>2</v>
      </c>
      <c r="Q310" s="3" t="n">
        <v>2</v>
      </c>
      <c r="R310" s="3" t="n">
        <v>2</v>
      </c>
      <c r="S310" s="3" t="n">
        <v>2</v>
      </c>
      <c r="T310" s="4" t="n">
        <v>1</v>
      </c>
      <c r="U310" s="3" t="n">
        <v>1</v>
      </c>
      <c r="V310" s="3" t="n">
        <v>4.32</v>
      </c>
      <c r="W310" s="3" t="n">
        <v>1.18</v>
      </c>
      <c r="X310" s="3" t="n">
        <v>5</v>
      </c>
      <c r="Y310" s="3" t="n">
        <v>287</v>
      </c>
      <c r="AA310" s="3" t="n">
        <v>0.4</v>
      </c>
      <c r="AB310" s="3" t="n">
        <v>9</v>
      </c>
      <c r="AC310" s="3" t="n">
        <v>1</v>
      </c>
      <c r="AD310" s="3" t="n">
        <v>1</v>
      </c>
      <c r="AE310" s="3" t="n">
        <v>1</v>
      </c>
      <c r="AF310" s="3" t="n">
        <v>1</v>
      </c>
      <c r="AG310" s="3" t="n">
        <v>2</v>
      </c>
      <c r="AH310" s="3" t="n">
        <v>2</v>
      </c>
      <c r="AI310" s="3" t="n">
        <v>1</v>
      </c>
      <c r="AJ310" s="3" t="n">
        <v>1</v>
      </c>
      <c r="AK310" s="3" t="n">
        <v>2</v>
      </c>
      <c r="AL310" s="3" t="n">
        <v>2</v>
      </c>
      <c r="AM310" s="3" t="n">
        <v>2</v>
      </c>
      <c r="AN310" s="3" t="n">
        <v>2</v>
      </c>
      <c r="AO310" s="3" t="n">
        <v>2</v>
      </c>
      <c r="AP310" s="3" t="n">
        <v>3</v>
      </c>
      <c r="AQ310" s="3" t="n">
        <v>4</v>
      </c>
      <c r="AR310" s="3" t="n">
        <v>4</v>
      </c>
      <c r="AS310" s="3" t="n">
        <v>6</v>
      </c>
      <c r="AT310" s="3" t="n">
        <v>4</v>
      </c>
      <c r="AU310" s="3" t="n">
        <v>4</v>
      </c>
      <c r="AV310" s="3" t="n">
        <v>6</v>
      </c>
      <c r="AW310" s="3" t="n">
        <v>6</v>
      </c>
      <c r="AX310" s="3" t="n">
        <v>3</v>
      </c>
      <c r="AY310" s="3" t="n">
        <v>3</v>
      </c>
      <c r="AZ310" s="3" t="n">
        <v>1</v>
      </c>
      <c r="BA310" s="5" t="n">
        <v>5</v>
      </c>
      <c r="BB310" s="3" t="n">
        <v>2</v>
      </c>
      <c r="BC310" s="3" t="n">
        <v>1</v>
      </c>
      <c r="BD310" s="3" t="n">
        <v>6</v>
      </c>
      <c r="BE310" s="3" t="n">
        <v>3</v>
      </c>
      <c r="BF310" s="3" t="n">
        <v>5</v>
      </c>
      <c r="BG310" s="3" t="n">
        <v>3</v>
      </c>
      <c r="BH310" s="3" t="n">
        <v>4</v>
      </c>
      <c r="BI310" s="3" t="n">
        <v>1</v>
      </c>
      <c r="BJ310" s="3" t="n">
        <v>1</v>
      </c>
      <c r="BK310" s="6" t="s">
        <v>968</v>
      </c>
    </row>
    <row r="311" customFormat="false" ht="15" hidden="false" customHeight="true" outlineLevel="0" collapsed="false">
      <c r="B311" s="2" t="s">
        <v>969</v>
      </c>
      <c r="C311" s="2" t="s">
        <v>94</v>
      </c>
      <c r="D311" s="2" t="s">
        <v>375</v>
      </c>
      <c r="E311" s="2" t="n">
        <v>163684</v>
      </c>
      <c r="F311" s="15" t="n">
        <v>43536</v>
      </c>
      <c r="G311" s="15" t="n">
        <v>43539</v>
      </c>
      <c r="H311" s="3" t="n">
        <v>3</v>
      </c>
      <c r="I311" s="3" t="n">
        <v>2</v>
      </c>
      <c r="J311" s="3" t="n">
        <v>80</v>
      </c>
      <c r="K311" s="3" t="n">
        <v>1</v>
      </c>
      <c r="L311" s="3" t="n">
        <v>2</v>
      </c>
      <c r="M311" s="3" t="n">
        <v>1</v>
      </c>
      <c r="N311" s="3" t="n">
        <v>1</v>
      </c>
      <c r="O311" s="3" t="n">
        <v>2</v>
      </c>
      <c r="P311" s="3" t="n">
        <v>2</v>
      </c>
      <c r="Q311" s="3" t="n">
        <v>1</v>
      </c>
      <c r="R311" s="3" t="n">
        <v>1</v>
      </c>
      <c r="S311" s="3" t="n">
        <v>2</v>
      </c>
      <c r="T311" s="4" t="n">
        <v>5</v>
      </c>
      <c r="U311" s="3" t="n">
        <v>1</v>
      </c>
      <c r="V311" s="3" t="n">
        <v>7.1</v>
      </c>
      <c r="W311" s="3" t="n">
        <v>3.35</v>
      </c>
      <c r="X311" s="3" t="n">
        <v>7.9</v>
      </c>
      <c r="Y311" s="3" t="n">
        <v>572</v>
      </c>
      <c r="AA311" s="3" t="n">
        <v>0.46</v>
      </c>
      <c r="AB311" s="3" t="n">
        <v>10.8</v>
      </c>
      <c r="AC311" s="3" t="n">
        <v>3</v>
      </c>
      <c r="AD311" s="3" t="n">
        <v>1</v>
      </c>
      <c r="AE311" s="3" t="n">
        <v>1</v>
      </c>
      <c r="AF311" s="3" t="n">
        <v>1</v>
      </c>
      <c r="AG311" s="3" t="n">
        <v>1</v>
      </c>
      <c r="AH311" s="3" t="n">
        <v>2</v>
      </c>
      <c r="AI311" s="3" t="n">
        <v>1</v>
      </c>
      <c r="AJ311" s="3" t="n">
        <v>1</v>
      </c>
      <c r="AK311" s="3" t="n">
        <v>1</v>
      </c>
      <c r="AL311" s="3" t="n">
        <v>2</v>
      </c>
      <c r="AM311" s="3" t="n">
        <v>1</v>
      </c>
      <c r="AN311" s="3" t="n">
        <v>2</v>
      </c>
      <c r="AO311" s="3" t="n">
        <v>2</v>
      </c>
      <c r="AP311" s="3" t="n">
        <v>1</v>
      </c>
      <c r="AQ311" s="3" t="n">
        <v>3</v>
      </c>
      <c r="AR311" s="3" t="n">
        <v>9</v>
      </c>
      <c r="AS311" s="3" t="n">
        <v>2</v>
      </c>
      <c r="AT311" s="3" t="n">
        <v>2</v>
      </c>
      <c r="AU311" s="3" t="n">
        <v>1</v>
      </c>
      <c r="AV311" s="3" t="n">
        <v>1</v>
      </c>
      <c r="AW311" s="3" t="n">
        <v>1</v>
      </c>
      <c r="AX311" s="3" t="n">
        <v>2</v>
      </c>
      <c r="AY311" s="3" t="n">
        <v>2</v>
      </c>
      <c r="AZ311" s="3" t="n">
        <v>1</v>
      </c>
      <c r="BA311" s="5" t="n">
        <v>3</v>
      </c>
      <c r="BB311" s="3" t="n">
        <v>2</v>
      </c>
      <c r="BC311" s="3" t="n">
        <v>1</v>
      </c>
      <c r="BD311" s="3" t="n">
        <v>6</v>
      </c>
      <c r="BE311" s="3" t="n">
        <v>3</v>
      </c>
      <c r="BF311" s="3" t="n">
        <v>5</v>
      </c>
      <c r="BG311" s="3" t="n">
        <v>3</v>
      </c>
      <c r="BH311" s="3" t="n">
        <v>4</v>
      </c>
      <c r="BI311" s="3" t="n">
        <v>1</v>
      </c>
      <c r="BJ311" s="3" t="n">
        <v>1</v>
      </c>
      <c r="BK311" s="6" t="s">
        <v>970</v>
      </c>
    </row>
    <row r="312" customFormat="false" ht="15" hidden="false" customHeight="true" outlineLevel="0" collapsed="false">
      <c r="B312" s="2" t="s">
        <v>794</v>
      </c>
      <c r="C312" s="2" t="s">
        <v>66</v>
      </c>
      <c r="D312" s="2" t="s">
        <v>971</v>
      </c>
      <c r="E312" s="2" t="n">
        <v>173118</v>
      </c>
      <c r="F312" s="15" t="n">
        <v>43532</v>
      </c>
      <c r="G312" s="15" t="n">
        <v>43540</v>
      </c>
      <c r="H312" s="3" t="n">
        <v>8</v>
      </c>
      <c r="I312" s="3" t="n">
        <v>1</v>
      </c>
      <c r="J312" s="3" t="n">
        <v>72</v>
      </c>
      <c r="K312" s="3" t="n">
        <v>2</v>
      </c>
      <c r="L312" s="3" t="n">
        <v>2</v>
      </c>
      <c r="M312" s="3" t="n">
        <v>1</v>
      </c>
      <c r="N312" s="3" t="n">
        <v>2</v>
      </c>
      <c r="O312" s="3" t="n">
        <v>2</v>
      </c>
      <c r="P312" s="3" t="n">
        <v>2</v>
      </c>
      <c r="Q312" s="3" t="n">
        <v>1</v>
      </c>
      <c r="R312" s="3" t="n">
        <v>2</v>
      </c>
      <c r="S312" s="3" t="n">
        <v>2</v>
      </c>
      <c r="T312" s="4" t="n">
        <v>1</v>
      </c>
      <c r="U312" s="3" t="n">
        <v>1</v>
      </c>
      <c r="V312" s="3" t="n">
        <v>7.41</v>
      </c>
      <c r="W312" s="3" t="n">
        <v>2.28</v>
      </c>
      <c r="X312" s="3" t="n">
        <v>7.1</v>
      </c>
      <c r="Y312" s="3" t="n">
        <v>273</v>
      </c>
      <c r="AA312" s="3" t="n">
        <v>0.39</v>
      </c>
      <c r="AB312" s="3" t="n">
        <v>9.3</v>
      </c>
      <c r="AC312" s="3" t="n">
        <v>1</v>
      </c>
      <c r="AD312" s="3" t="n">
        <v>1</v>
      </c>
      <c r="AE312" s="3" t="n">
        <v>1</v>
      </c>
      <c r="AF312" s="3" t="n">
        <v>1</v>
      </c>
      <c r="AG312" s="3" t="n">
        <v>1</v>
      </c>
      <c r="AH312" s="3" t="n">
        <v>2</v>
      </c>
      <c r="AI312" s="3" t="n">
        <v>1</v>
      </c>
      <c r="AJ312" s="3" t="n">
        <v>1</v>
      </c>
      <c r="AK312" s="3" t="n">
        <v>2</v>
      </c>
      <c r="AL312" s="3" t="n">
        <v>2</v>
      </c>
      <c r="AM312" s="3" t="n">
        <v>2</v>
      </c>
      <c r="AN312" s="3" t="n">
        <v>2</v>
      </c>
      <c r="AO312" s="3" t="n">
        <v>2</v>
      </c>
      <c r="AP312" s="3" t="n">
        <v>1</v>
      </c>
      <c r="AQ312" s="3" t="n">
        <v>3</v>
      </c>
      <c r="AR312" s="3" t="n">
        <v>5</v>
      </c>
      <c r="AS312" s="3" t="n">
        <v>5</v>
      </c>
      <c r="AT312" s="3" t="n">
        <v>1</v>
      </c>
      <c r="AU312" s="3" t="n">
        <v>1</v>
      </c>
      <c r="AV312" s="3" t="n">
        <v>1</v>
      </c>
      <c r="AW312" s="3" t="n">
        <v>1</v>
      </c>
      <c r="AX312" s="3" t="n">
        <v>2</v>
      </c>
      <c r="AY312" s="3" t="n">
        <v>2</v>
      </c>
      <c r="AZ312" s="3" t="n">
        <v>1</v>
      </c>
      <c r="BA312" s="5" t="n">
        <v>5</v>
      </c>
      <c r="BB312" s="3" t="n">
        <v>2</v>
      </c>
      <c r="BC312" s="3" t="n">
        <v>1</v>
      </c>
      <c r="BD312" s="3" t="n">
        <v>6</v>
      </c>
      <c r="BE312" s="3" t="n">
        <v>3</v>
      </c>
      <c r="BF312" s="3" t="n">
        <v>5</v>
      </c>
      <c r="BG312" s="3" t="n">
        <v>3</v>
      </c>
      <c r="BH312" s="3" t="n">
        <v>4</v>
      </c>
      <c r="BI312" s="3" t="n">
        <v>1</v>
      </c>
      <c r="BJ312" s="3" t="n">
        <v>1</v>
      </c>
      <c r="BK312" s="6" t="s">
        <v>972</v>
      </c>
    </row>
    <row r="313" customFormat="false" ht="15" hidden="false" customHeight="true" outlineLevel="0" collapsed="false">
      <c r="B313" s="2" t="s">
        <v>973</v>
      </c>
      <c r="C313" s="2" t="s">
        <v>153</v>
      </c>
      <c r="D313" s="2" t="s">
        <v>974</v>
      </c>
      <c r="E313" s="2" t="n">
        <v>173240</v>
      </c>
      <c r="F313" s="15" t="n">
        <v>43537</v>
      </c>
      <c r="G313" s="15" t="n">
        <v>43726</v>
      </c>
      <c r="H313" s="3" t="n">
        <v>5</v>
      </c>
      <c r="I313" s="3" t="n">
        <v>2</v>
      </c>
      <c r="J313" s="3" t="n">
        <v>73</v>
      </c>
      <c r="K313" s="3" t="n">
        <v>1</v>
      </c>
      <c r="L313" s="3" t="n">
        <v>2</v>
      </c>
      <c r="M313" s="3" t="n">
        <v>2</v>
      </c>
      <c r="N313" s="3" t="n">
        <v>2</v>
      </c>
      <c r="O313" s="3" t="n">
        <v>2</v>
      </c>
      <c r="P313" s="3" t="n">
        <v>2</v>
      </c>
      <c r="Q313" s="3" t="n">
        <v>2</v>
      </c>
      <c r="R313" s="3" t="n">
        <v>2</v>
      </c>
      <c r="S313" s="3" t="n">
        <v>2</v>
      </c>
      <c r="T313" s="4" t="n">
        <v>3</v>
      </c>
      <c r="U313" s="3" t="n">
        <v>4</v>
      </c>
      <c r="V313" s="3" t="n">
        <v>3.34</v>
      </c>
      <c r="W313" s="3" t="n">
        <v>0.53</v>
      </c>
      <c r="X313" s="3" t="n">
        <v>5.7</v>
      </c>
      <c r="Y313" s="3" t="n">
        <v>659</v>
      </c>
      <c r="AA313" s="3" t="n">
        <v>0.5</v>
      </c>
      <c r="AB313" s="3" t="n">
        <v>12.1</v>
      </c>
      <c r="AC313" s="3" t="n">
        <v>1</v>
      </c>
      <c r="AD313" s="3" t="n">
        <v>2</v>
      </c>
      <c r="AE313" s="3" t="n">
        <v>1</v>
      </c>
      <c r="AF313" s="3" t="n">
        <v>1</v>
      </c>
      <c r="AG313" s="3" t="n">
        <v>2</v>
      </c>
      <c r="AH313" s="3" t="n">
        <v>2</v>
      </c>
      <c r="AI313" s="3" t="n">
        <v>2</v>
      </c>
      <c r="AJ313" s="3" t="n">
        <v>2</v>
      </c>
      <c r="AK313" s="3" t="n">
        <v>2</v>
      </c>
      <c r="AL313" s="3" t="n">
        <v>1</v>
      </c>
      <c r="AM313" s="3" t="n">
        <v>1</v>
      </c>
      <c r="AN313" s="3" t="n">
        <v>2</v>
      </c>
      <c r="AO313" s="3" t="n">
        <v>2</v>
      </c>
      <c r="AP313" s="3" t="n">
        <v>3</v>
      </c>
      <c r="AQ313" s="3" t="n">
        <v>4</v>
      </c>
      <c r="AR313" s="3" t="n">
        <v>4</v>
      </c>
      <c r="AS313" s="3" t="n">
        <v>6</v>
      </c>
      <c r="AT313" s="3" t="n">
        <v>4</v>
      </c>
      <c r="AU313" s="3" t="n">
        <v>4</v>
      </c>
      <c r="AV313" s="3" t="n">
        <v>6</v>
      </c>
      <c r="AW313" s="3" t="n">
        <v>6</v>
      </c>
      <c r="AX313" s="3" t="n">
        <v>3</v>
      </c>
      <c r="AY313" s="3" t="n">
        <v>3</v>
      </c>
      <c r="AZ313" s="3" t="n">
        <v>1</v>
      </c>
      <c r="BA313" s="5" t="n">
        <v>11</v>
      </c>
      <c r="BB313" s="3" t="n">
        <v>2</v>
      </c>
      <c r="BC313" s="3" t="n">
        <v>1</v>
      </c>
      <c r="BD313" s="3" t="n">
        <v>6</v>
      </c>
      <c r="BE313" s="3" t="n">
        <v>3</v>
      </c>
      <c r="BF313" s="3" t="n">
        <v>5</v>
      </c>
      <c r="BG313" s="3" t="n">
        <v>3</v>
      </c>
      <c r="BH313" s="3" t="n">
        <v>4</v>
      </c>
      <c r="BI313" s="3" t="n">
        <v>1</v>
      </c>
      <c r="BJ313" s="3" t="n">
        <v>1</v>
      </c>
      <c r="BK313" s="6" t="s">
        <v>975</v>
      </c>
    </row>
    <row r="314" customFormat="false" ht="15" hidden="false" customHeight="true" outlineLevel="0" collapsed="false">
      <c r="B314" s="2" t="s">
        <v>976</v>
      </c>
      <c r="C314" s="2" t="s">
        <v>99</v>
      </c>
      <c r="D314" s="2" t="s">
        <v>94</v>
      </c>
      <c r="E314" s="2" t="n">
        <v>160731</v>
      </c>
      <c r="F314" s="15" t="n">
        <v>43528</v>
      </c>
      <c r="G314" s="15" t="n">
        <v>43543</v>
      </c>
      <c r="H314" s="3" t="n">
        <v>15</v>
      </c>
      <c r="I314" s="3" t="n">
        <v>1</v>
      </c>
      <c r="J314" s="3" t="n">
        <v>55</v>
      </c>
      <c r="K314" s="3" t="n">
        <v>1</v>
      </c>
      <c r="L314" s="3" t="n">
        <v>2</v>
      </c>
      <c r="M314" s="3" t="n">
        <v>1</v>
      </c>
      <c r="N314" s="3" t="n">
        <v>2</v>
      </c>
      <c r="O314" s="3" t="n">
        <v>1</v>
      </c>
      <c r="P314" s="3" t="n">
        <v>1</v>
      </c>
      <c r="Q314" s="3" t="n">
        <v>1</v>
      </c>
      <c r="R314" s="3" t="n">
        <v>2</v>
      </c>
      <c r="S314" s="3" t="n">
        <v>2</v>
      </c>
      <c r="T314" s="4" t="n">
        <v>2</v>
      </c>
      <c r="U314" s="3" t="n">
        <v>2</v>
      </c>
      <c r="V314" s="3" t="n">
        <v>5.71</v>
      </c>
      <c r="W314" s="3" t="n">
        <v>2.36</v>
      </c>
      <c r="X314" s="3" t="n">
        <v>8.49</v>
      </c>
      <c r="Y314" s="3" t="n">
        <v>294</v>
      </c>
      <c r="AA314" s="3" t="n">
        <v>0.47</v>
      </c>
      <c r="AB314" s="3" t="n">
        <v>11.4</v>
      </c>
      <c r="AC314" s="3" t="n">
        <v>1</v>
      </c>
      <c r="AD314" s="3" t="n">
        <v>1</v>
      </c>
      <c r="AE314" s="3" t="n">
        <v>1</v>
      </c>
      <c r="AF314" s="3" t="n">
        <v>1</v>
      </c>
      <c r="AG314" s="3" t="n">
        <v>2</v>
      </c>
      <c r="AH314" s="3" t="n">
        <v>2</v>
      </c>
      <c r="AI314" s="3" t="n">
        <v>1</v>
      </c>
      <c r="AJ314" s="3" t="n">
        <v>1</v>
      </c>
      <c r="AK314" s="3" t="n">
        <v>2</v>
      </c>
      <c r="AL314" s="3" t="n">
        <v>2</v>
      </c>
      <c r="AM314" s="3" t="n">
        <v>2</v>
      </c>
      <c r="AN314" s="3" t="n">
        <v>2</v>
      </c>
      <c r="AO314" s="3" t="n">
        <v>2</v>
      </c>
      <c r="AP314" s="3" t="n">
        <v>2</v>
      </c>
      <c r="AQ314" s="3" t="n">
        <v>2</v>
      </c>
      <c r="AR314" s="3" t="n">
        <v>7</v>
      </c>
      <c r="AS314" s="3" t="n">
        <v>2</v>
      </c>
      <c r="AT314" s="3" t="n">
        <v>1</v>
      </c>
      <c r="AU314" s="3" t="n">
        <v>1</v>
      </c>
      <c r="AV314" s="3" t="n">
        <v>1</v>
      </c>
      <c r="AW314" s="3" t="n">
        <v>1</v>
      </c>
      <c r="AX314" s="3" t="n">
        <v>2</v>
      </c>
      <c r="AY314" s="3" t="n">
        <v>1</v>
      </c>
      <c r="AZ314" s="3" t="n">
        <v>1</v>
      </c>
      <c r="BA314" s="5" t="n">
        <v>1</v>
      </c>
      <c r="BB314" s="3" t="n">
        <v>1</v>
      </c>
      <c r="BC314" s="3" t="n">
        <v>1</v>
      </c>
      <c r="BD314" s="3" t="n">
        <v>2</v>
      </c>
      <c r="BE314" s="3" t="n">
        <v>1</v>
      </c>
      <c r="BF314" s="3" t="n">
        <v>2</v>
      </c>
      <c r="BG314" s="3" t="n">
        <v>1</v>
      </c>
      <c r="BH314" s="3" t="n">
        <v>4</v>
      </c>
      <c r="BI314" s="3" t="n">
        <v>1</v>
      </c>
      <c r="BJ314" s="3" t="n">
        <v>1</v>
      </c>
      <c r="BK314" s="6" t="s">
        <v>977</v>
      </c>
    </row>
    <row r="315" customFormat="false" ht="15" hidden="false" customHeight="true" outlineLevel="0" collapsed="false">
      <c r="B315" s="2" t="s">
        <v>978</v>
      </c>
      <c r="C315" s="2" t="s">
        <v>623</v>
      </c>
      <c r="D315" s="2" t="s">
        <v>979</v>
      </c>
      <c r="E315" s="2" t="n">
        <v>173262</v>
      </c>
      <c r="F315" s="15" t="n">
        <v>43536</v>
      </c>
      <c r="G315" s="15" t="n">
        <v>43542</v>
      </c>
      <c r="H315" s="3" t="n">
        <v>6</v>
      </c>
      <c r="I315" s="3" t="n">
        <v>1</v>
      </c>
      <c r="J315" s="3" t="n">
        <v>49</v>
      </c>
      <c r="K315" s="3" t="n">
        <v>2</v>
      </c>
      <c r="L315" s="3" t="n">
        <v>2</v>
      </c>
      <c r="M315" s="3" t="n">
        <v>2</v>
      </c>
      <c r="N315" s="3" t="n">
        <v>2</v>
      </c>
      <c r="O315" s="3" t="n">
        <v>2</v>
      </c>
      <c r="P315" s="3" t="n">
        <v>2</v>
      </c>
      <c r="Q315" s="3" t="n">
        <v>2</v>
      </c>
      <c r="R315" s="3" t="n">
        <v>2</v>
      </c>
      <c r="S315" s="3" t="n">
        <v>2</v>
      </c>
      <c r="T315" s="4" t="n">
        <v>2</v>
      </c>
      <c r="U315" s="3" t="n">
        <v>2</v>
      </c>
      <c r="V315" s="3" t="n">
        <v>3.9</v>
      </c>
      <c r="W315" s="3" t="n">
        <v>2.57</v>
      </c>
      <c r="X315" s="3" t="n">
        <v>7.5</v>
      </c>
      <c r="Y315" s="3" t="n">
        <v>302</v>
      </c>
      <c r="AA315" s="3" t="n">
        <v>0.35</v>
      </c>
      <c r="AB315" s="3" t="n">
        <v>10</v>
      </c>
      <c r="AC315" s="3" t="n">
        <v>1</v>
      </c>
      <c r="AD315" s="3" t="n">
        <v>1</v>
      </c>
      <c r="AE315" s="3" t="n">
        <v>1</v>
      </c>
      <c r="AF315" s="3" t="n">
        <v>1</v>
      </c>
      <c r="AG315" s="3" t="n">
        <v>2</v>
      </c>
      <c r="AH315" s="3" t="n">
        <v>2</v>
      </c>
      <c r="AI315" s="3" t="n">
        <v>1</v>
      </c>
      <c r="AJ315" s="3" t="n">
        <v>2</v>
      </c>
      <c r="AK315" s="3" t="n">
        <v>2</v>
      </c>
      <c r="AL315" s="3" t="n">
        <v>2</v>
      </c>
      <c r="AM315" s="3" t="n">
        <v>2</v>
      </c>
      <c r="AN315" s="3" t="n">
        <v>2</v>
      </c>
      <c r="AO315" s="3" t="n">
        <v>2</v>
      </c>
      <c r="AP315" s="3" t="n">
        <v>3</v>
      </c>
      <c r="AQ315" s="3" t="n">
        <v>4</v>
      </c>
      <c r="AR315" s="3" t="n">
        <v>4</v>
      </c>
      <c r="AS315" s="3" t="n">
        <v>6</v>
      </c>
      <c r="AT315" s="3" t="n">
        <v>4</v>
      </c>
      <c r="AU315" s="3" t="n">
        <v>4</v>
      </c>
      <c r="AV315" s="3" t="n">
        <v>6</v>
      </c>
      <c r="AW315" s="3" t="n">
        <v>6</v>
      </c>
      <c r="AX315" s="3" t="n">
        <v>3</v>
      </c>
      <c r="AY315" s="3" t="n">
        <v>3</v>
      </c>
      <c r="AZ315" s="3" t="n">
        <v>1</v>
      </c>
      <c r="BA315" s="5" t="n">
        <v>1</v>
      </c>
      <c r="BB315" s="3" t="n">
        <v>1</v>
      </c>
      <c r="BC315" s="3" t="n">
        <v>1</v>
      </c>
      <c r="BD315" s="3" t="n">
        <v>2</v>
      </c>
      <c r="BE315" s="3" t="n">
        <v>3</v>
      </c>
      <c r="BF315" s="3" t="n">
        <v>5</v>
      </c>
      <c r="BG315" s="3" t="n">
        <v>3</v>
      </c>
      <c r="BH315" s="3" t="n">
        <v>4</v>
      </c>
      <c r="BI315" s="3" t="n">
        <v>1</v>
      </c>
      <c r="BJ315" s="3" t="n">
        <v>1</v>
      </c>
      <c r="BK315" s="6" t="s">
        <v>980</v>
      </c>
    </row>
    <row r="316" customFormat="false" ht="15" hidden="false" customHeight="true" outlineLevel="0" collapsed="false">
      <c r="B316" s="2" t="s">
        <v>981</v>
      </c>
      <c r="C316" s="2" t="s">
        <v>668</v>
      </c>
      <c r="D316" s="2" t="s">
        <v>308</v>
      </c>
      <c r="E316" s="2" t="n">
        <v>173238</v>
      </c>
      <c r="F316" s="15" t="n">
        <v>43537</v>
      </c>
      <c r="G316" s="15" t="n">
        <v>43542</v>
      </c>
      <c r="H316" s="3" t="n">
        <v>5</v>
      </c>
      <c r="I316" s="3" t="n">
        <v>1</v>
      </c>
      <c r="J316" s="3" t="n">
        <v>73</v>
      </c>
      <c r="K316" s="3" t="n">
        <v>1</v>
      </c>
      <c r="L316" s="3" t="n">
        <v>1</v>
      </c>
      <c r="M316" s="3" t="n">
        <v>2</v>
      </c>
      <c r="N316" s="3" t="n">
        <v>2</v>
      </c>
      <c r="O316" s="3" t="n">
        <v>2</v>
      </c>
      <c r="P316" s="3" t="n">
        <v>2</v>
      </c>
      <c r="Q316" s="3" t="n">
        <v>2</v>
      </c>
      <c r="R316" s="3" t="n">
        <v>2</v>
      </c>
      <c r="S316" s="3" t="n">
        <v>2</v>
      </c>
      <c r="T316" s="4" t="n">
        <v>1</v>
      </c>
      <c r="U316" s="3" t="n">
        <v>1</v>
      </c>
      <c r="V316" s="3" t="n">
        <v>5.34</v>
      </c>
      <c r="W316" s="3" t="n">
        <v>1.04</v>
      </c>
      <c r="X316" s="3" t="n">
        <v>6</v>
      </c>
      <c r="Y316" s="3" t="n">
        <v>164</v>
      </c>
      <c r="AA316" s="3" t="n">
        <v>0.44</v>
      </c>
      <c r="AB316" s="3" t="n">
        <v>10.1</v>
      </c>
      <c r="AC316" s="3" t="n">
        <v>1</v>
      </c>
      <c r="AD316" s="3" t="n">
        <v>1</v>
      </c>
      <c r="AE316" s="3" t="n">
        <v>1</v>
      </c>
      <c r="AF316" s="3" t="n">
        <v>1</v>
      </c>
      <c r="AG316" s="3" t="n">
        <v>2</v>
      </c>
      <c r="AH316" s="3" t="n">
        <v>1</v>
      </c>
      <c r="AI316" s="3" t="n">
        <v>1</v>
      </c>
      <c r="AJ316" s="3" t="n">
        <v>1</v>
      </c>
      <c r="AK316" s="3" t="n">
        <v>2</v>
      </c>
      <c r="AL316" s="3" t="n">
        <v>2</v>
      </c>
      <c r="AM316" s="3" t="n">
        <v>1</v>
      </c>
      <c r="AN316" s="3" t="n">
        <v>2</v>
      </c>
      <c r="AO316" s="3" t="n">
        <v>2</v>
      </c>
      <c r="AP316" s="3" t="n">
        <v>3</v>
      </c>
      <c r="AQ316" s="3" t="n">
        <v>4</v>
      </c>
      <c r="AR316" s="3" t="n">
        <v>4</v>
      </c>
      <c r="AS316" s="3" t="n">
        <v>6</v>
      </c>
      <c r="AT316" s="3" t="n">
        <v>4</v>
      </c>
      <c r="AU316" s="3" t="n">
        <v>4</v>
      </c>
      <c r="AV316" s="3" t="n">
        <v>6</v>
      </c>
      <c r="AW316" s="3" t="n">
        <v>6</v>
      </c>
      <c r="AX316" s="3" t="n">
        <v>3</v>
      </c>
      <c r="AY316" s="3" t="n">
        <v>3</v>
      </c>
      <c r="AZ316" s="3" t="n">
        <v>1</v>
      </c>
      <c r="BA316" s="5" t="n">
        <v>1</v>
      </c>
      <c r="BB316" s="3" t="n">
        <v>1</v>
      </c>
      <c r="BC316" s="3" t="n">
        <v>1</v>
      </c>
      <c r="BD316" s="3" t="n">
        <v>3</v>
      </c>
      <c r="BE316" s="3" t="n">
        <v>3</v>
      </c>
      <c r="BF316" s="3" t="n">
        <v>5</v>
      </c>
      <c r="BG316" s="3" t="n">
        <v>3</v>
      </c>
      <c r="BH316" s="3" t="n">
        <v>4</v>
      </c>
      <c r="BI316" s="3" t="n">
        <v>1</v>
      </c>
      <c r="BJ316" s="3" t="n">
        <v>1</v>
      </c>
      <c r="BK316" s="6" t="s">
        <v>982</v>
      </c>
    </row>
    <row r="317" customFormat="false" ht="15" hidden="false" customHeight="true" outlineLevel="0" collapsed="false">
      <c r="B317" s="2" t="s">
        <v>983</v>
      </c>
      <c r="C317" s="2" t="s">
        <v>414</v>
      </c>
      <c r="D317" s="2" t="s">
        <v>127</v>
      </c>
      <c r="E317" s="2" t="n">
        <v>173295</v>
      </c>
      <c r="F317" s="15" t="n">
        <v>43538</v>
      </c>
      <c r="G317" s="15" t="n">
        <v>43543</v>
      </c>
      <c r="H317" s="3" t="n">
        <v>5</v>
      </c>
      <c r="I317" s="3" t="n">
        <v>2</v>
      </c>
      <c r="J317" s="3" t="n">
        <v>60</v>
      </c>
      <c r="K317" s="3" t="n">
        <v>1</v>
      </c>
      <c r="L317" s="3" t="n">
        <v>2</v>
      </c>
      <c r="M317" s="3" t="n">
        <v>1</v>
      </c>
      <c r="N317" s="3" t="n">
        <v>2</v>
      </c>
      <c r="O317" s="3" t="n">
        <v>2</v>
      </c>
      <c r="P317" s="3" t="n">
        <v>2</v>
      </c>
      <c r="Q317" s="3" t="n">
        <v>2</v>
      </c>
      <c r="R317" s="3" t="n">
        <v>2</v>
      </c>
      <c r="S317" s="3" t="n">
        <v>2</v>
      </c>
      <c r="T317" s="4" t="n">
        <v>1</v>
      </c>
      <c r="U317" s="3" t="n">
        <v>1</v>
      </c>
      <c r="V317" s="3" t="n">
        <v>4.9</v>
      </c>
      <c r="W317" s="3" t="n">
        <v>0.82</v>
      </c>
      <c r="X317" s="3" t="n">
        <v>4.9</v>
      </c>
      <c r="Y317" s="3" t="n">
        <v>446</v>
      </c>
      <c r="AA317" s="3" t="n">
        <v>0.42</v>
      </c>
      <c r="AB317" s="3" t="n">
        <v>7.4</v>
      </c>
      <c r="AC317" s="3" t="n">
        <v>1</v>
      </c>
      <c r="AD317" s="3" t="n">
        <v>1</v>
      </c>
      <c r="AE317" s="3" t="n">
        <v>1</v>
      </c>
      <c r="AF317" s="3" t="n">
        <v>1</v>
      </c>
      <c r="AG317" s="3" t="n">
        <v>2</v>
      </c>
      <c r="AH317" s="3" t="n">
        <v>2</v>
      </c>
      <c r="AI317" s="3" t="n">
        <v>1</v>
      </c>
      <c r="AJ317" s="3" t="n">
        <v>1</v>
      </c>
      <c r="AK317" s="3" t="n">
        <v>2</v>
      </c>
      <c r="AL317" s="3" t="n">
        <v>2</v>
      </c>
      <c r="AM317" s="3" t="n">
        <v>2</v>
      </c>
      <c r="AN317" s="3" t="n">
        <v>2</v>
      </c>
      <c r="AO317" s="3" t="n">
        <v>2</v>
      </c>
      <c r="AP317" s="3" t="n">
        <v>3</v>
      </c>
      <c r="AQ317" s="3" t="n">
        <v>4</v>
      </c>
      <c r="AR317" s="3" t="n">
        <v>4</v>
      </c>
      <c r="AS317" s="3" t="n">
        <v>6</v>
      </c>
      <c r="AT317" s="3" t="n">
        <v>4</v>
      </c>
      <c r="AU317" s="3" t="n">
        <v>4</v>
      </c>
      <c r="AV317" s="3" t="n">
        <v>6</v>
      </c>
      <c r="AW317" s="3" t="n">
        <v>6</v>
      </c>
      <c r="AX317" s="3" t="n">
        <v>3</v>
      </c>
      <c r="AY317" s="3" t="n">
        <v>3</v>
      </c>
      <c r="AZ317" s="3" t="n">
        <v>1</v>
      </c>
      <c r="BA317" s="5" t="n">
        <v>5</v>
      </c>
      <c r="BB317" s="3" t="n">
        <v>2</v>
      </c>
      <c r="BC317" s="3" t="n">
        <v>1</v>
      </c>
      <c r="BD317" s="3" t="n">
        <v>6</v>
      </c>
      <c r="BE317" s="3" t="n">
        <v>3</v>
      </c>
      <c r="BF317" s="3" t="n">
        <v>5</v>
      </c>
      <c r="BG317" s="3" t="n">
        <v>3</v>
      </c>
      <c r="BH317" s="3" t="n">
        <v>4</v>
      </c>
      <c r="BI317" s="3" t="n">
        <v>1</v>
      </c>
      <c r="BJ317" s="3" t="n">
        <v>1</v>
      </c>
      <c r="BK317" s="6" t="s">
        <v>984</v>
      </c>
    </row>
    <row r="318" customFormat="false" ht="15" hidden="false" customHeight="true" outlineLevel="0" collapsed="false">
      <c r="B318" s="2" t="s">
        <v>345</v>
      </c>
      <c r="C318" s="2" t="s">
        <v>808</v>
      </c>
      <c r="D318" s="2" t="s">
        <v>127</v>
      </c>
      <c r="E318" s="2" t="n">
        <v>173283</v>
      </c>
      <c r="F318" s="15" t="n">
        <v>43537</v>
      </c>
      <c r="G318" s="15" t="n">
        <v>43543</v>
      </c>
      <c r="H318" s="3" t="n">
        <v>6</v>
      </c>
      <c r="I318" s="3" t="n">
        <v>2</v>
      </c>
      <c r="J318" s="3" t="n">
        <v>57</v>
      </c>
      <c r="K318" s="3" t="n">
        <v>2</v>
      </c>
      <c r="L318" s="3" t="n">
        <v>1</v>
      </c>
      <c r="M318" s="3" t="n">
        <v>1</v>
      </c>
      <c r="N318" s="3" t="n">
        <v>2</v>
      </c>
      <c r="O318" s="3" t="n">
        <v>2</v>
      </c>
      <c r="P318" s="3" t="n">
        <v>2</v>
      </c>
      <c r="Q318" s="3" t="n">
        <v>2</v>
      </c>
      <c r="R318" s="3" t="n">
        <v>2</v>
      </c>
      <c r="S318" s="3" t="n">
        <v>2</v>
      </c>
      <c r="T318" s="4" t="n">
        <v>12</v>
      </c>
      <c r="U318" s="3" t="n">
        <v>1</v>
      </c>
      <c r="V318" s="3" t="n">
        <v>5.6</v>
      </c>
      <c r="W318" s="3" t="n">
        <v>0.58</v>
      </c>
      <c r="X318" s="3" t="n">
        <v>4.3</v>
      </c>
      <c r="Y318" s="3" t="n">
        <v>175</v>
      </c>
      <c r="AA318" s="3" t="n">
        <v>0.5</v>
      </c>
      <c r="AB318" s="3" t="n">
        <v>7.9</v>
      </c>
      <c r="AC318" s="3" t="n">
        <v>1</v>
      </c>
      <c r="AD318" s="3" t="n">
        <v>2</v>
      </c>
      <c r="AE318" s="3" t="n">
        <v>2</v>
      </c>
      <c r="AF318" s="3" t="n">
        <v>2</v>
      </c>
      <c r="AG318" s="3" t="n">
        <v>2</v>
      </c>
      <c r="AH318" s="3" t="n">
        <v>2</v>
      </c>
      <c r="AI318" s="3" t="n">
        <v>2</v>
      </c>
      <c r="AJ318" s="3" t="n">
        <v>1</v>
      </c>
      <c r="AK318" s="3" t="n">
        <v>2</v>
      </c>
      <c r="AL318" s="3" t="n">
        <v>2</v>
      </c>
      <c r="AM318" s="3" t="n">
        <v>1</v>
      </c>
      <c r="AN318" s="3" t="n">
        <v>2</v>
      </c>
      <c r="AO318" s="3" t="n">
        <v>2</v>
      </c>
      <c r="AP318" s="3" t="n">
        <v>3</v>
      </c>
      <c r="AQ318" s="3" t="n">
        <v>4</v>
      </c>
      <c r="AR318" s="3" t="n">
        <v>4</v>
      </c>
      <c r="AS318" s="3" t="n">
        <v>6</v>
      </c>
      <c r="AT318" s="3" t="n">
        <v>4</v>
      </c>
      <c r="AU318" s="3" t="n">
        <v>4</v>
      </c>
      <c r="AV318" s="3" t="n">
        <v>6</v>
      </c>
      <c r="AW318" s="3" t="n">
        <v>6</v>
      </c>
      <c r="AX318" s="3" t="n">
        <v>3</v>
      </c>
      <c r="AY318" s="3" t="n">
        <v>3</v>
      </c>
      <c r="AZ318" s="3" t="n">
        <v>1</v>
      </c>
      <c r="BA318" s="5" t="n">
        <v>3</v>
      </c>
      <c r="BB318" s="3" t="n">
        <v>2</v>
      </c>
      <c r="BC318" s="3" t="n">
        <v>1</v>
      </c>
      <c r="BD318" s="3" t="n">
        <v>6</v>
      </c>
      <c r="BE318" s="3" t="n">
        <v>3</v>
      </c>
      <c r="BF318" s="3" t="n">
        <v>5</v>
      </c>
      <c r="BG318" s="3" t="n">
        <v>3</v>
      </c>
      <c r="BH318" s="3" t="n">
        <v>4</v>
      </c>
      <c r="BI318" s="3" t="n">
        <v>1</v>
      </c>
      <c r="BJ318" s="3" t="n">
        <v>1</v>
      </c>
      <c r="BK318" s="6" t="s">
        <v>985</v>
      </c>
    </row>
    <row r="319" customFormat="false" ht="15" hidden="false" customHeight="true" outlineLevel="0" collapsed="false">
      <c r="B319" s="2" t="s">
        <v>986</v>
      </c>
      <c r="C319" s="2" t="s">
        <v>987</v>
      </c>
      <c r="D319" s="2" t="s">
        <v>988</v>
      </c>
      <c r="E319" s="2" t="n">
        <v>173244</v>
      </c>
      <c r="F319" s="15" t="n">
        <v>43537</v>
      </c>
      <c r="G319" s="15" t="n">
        <v>43544</v>
      </c>
      <c r="H319" s="3" t="n">
        <v>7</v>
      </c>
      <c r="I319" s="3" t="n">
        <v>1</v>
      </c>
      <c r="J319" s="3" t="n">
        <v>66</v>
      </c>
      <c r="K319" s="3" t="n">
        <v>2</v>
      </c>
      <c r="L319" s="3" t="n">
        <v>1</v>
      </c>
      <c r="M319" s="3" t="n">
        <v>1</v>
      </c>
      <c r="N319" s="3" t="n">
        <v>2</v>
      </c>
      <c r="O319" s="3" t="n">
        <v>2</v>
      </c>
      <c r="P319" s="3" t="n">
        <v>2</v>
      </c>
      <c r="Q319" s="3" t="n">
        <v>1</v>
      </c>
      <c r="R319" s="3" t="n">
        <v>2</v>
      </c>
      <c r="S319" s="3" t="n">
        <v>2</v>
      </c>
      <c r="T319" s="4" t="n">
        <v>2</v>
      </c>
      <c r="U319" s="3" t="n">
        <v>2</v>
      </c>
      <c r="V319" s="3" t="n">
        <v>4.46</v>
      </c>
      <c r="W319" s="3" t="n">
        <v>1.55</v>
      </c>
      <c r="X319" s="3" t="n">
        <v>17.2</v>
      </c>
      <c r="Y319" s="3" t="n">
        <v>329</v>
      </c>
      <c r="AA319" s="3" t="n">
        <v>0.37</v>
      </c>
      <c r="AB319" s="3" t="n">
        <v>11.4</v>
      </c>
      <c r="AC319" s="3" t="n">
        <v>1</v>
      </c>
      <c r="AD319" s="3" t="n">
        <v>1</v>
      </c>
      <c r="AE319" s="3" t="n">
        <v>1</v>
      </c>
      <c r="AF319" s="3" t="n">
        <v>1</v>
      </c>
      <c r="AG319" s="3" t="n">
        <v>2</v>
      </c>
      <c r="AH319" s="3" t="n">
        <v>1</v>
      </c>
      <c r="AI319" s="3" t="n">
        <v>1</v>
      </c>
      <c r="AJ319" s="3" t="n">
        <v>1</v>
      </c>
      <c r="AK319" s="3" t="n">
        <v>2</v>
      </c>
      <c r="AL319" s="3" t="n">
        <v>2</v>
      </c>
      <c r="AM319" s="3" t="n">
        <v>2</v>
      </c>
      <c r="AN319" s="3" t="n">
        <v>2</v>
      </c>
      <c r="AO319" s="3" t="n">
        <v>2</v>
      </c>
      <c r="AP319" s="3" t="n">
        <v>3</v>
      </c>
      <c r="AQ319" s="3" t="n">
        <v>4</v>
      </c>
      <c r="AR319" s="3" t="n">
        <v>4</v>
      </c>
      <c r="AS319" s="3" t="n">
        <v>6</v>
      </c>
      <c r="AT319" s="3" t="n">
        <v>4</v>
      </c>
      <c r="AU319" s="3" t="n">
        <v>4</v>
      </c>
      <c r="AV319" s="3" t="n">
        <v>6</v>
      </c>
      <c r="AW319" s="3" t="n">
        <v>6</v>
      </c>
      <c r="AX319" s="3" t="n">
        <v>3</v>
      </c>
      <c r="AY319" s="3" t="n">
        <v>3</v>
      </c>
      <c r="AZ319" s="3" t="n">
        <v>1</v>
      </c>
      <c r="BA319" s="5" t="n">
        <v>1</v>
      </c>
      <c r="BB319" s="3" t="n">
        <v>1</v>
      </c>
      <c r="BC319" s="3" t="n">
        <v>1</v>
      </c>
      <c r="BD319" s="3" t="n">
        <v>4</v>
      </c>
      <c r="BE319" s="3" t="n">
        <v>3</v>
      </c>
      <c r="BF319" s="3" t="n">
        <v>5</v>
      </c>
      <c r="BG319" s="3" t="n">
        <v>3</v>
      </c>
      <c r="BH319" s="3" t="n">
        <v>4</v>
      </c>
      <c r="BI319" s="3" t="n">
        <v>1</v>
      </c>
      <c r="BJ319" s="3" t="n">
        <v>1</v>
      </c>
      <c r="BK319" s="6" t="s">
        <v>989</v>
      </c>
    </row>
    <row r="320" customFormat="false" ht="15" hidden="false" customHeight="true" outlineLevel="0" collapsed="false">
      <c r="B320" s="2" t="s">
        <v>990</v>
      </c>
      <c r="C320" s="2" t="s">
        <v>991</v>
      </c>
      <c r="D320" s="2" t="s">
        <v>992</v>
      </c>
      <c r="E320" s="2" t="n">
        <v>173296</v>
      </c>
      <c r="F320" s="15" t="n">
        <v>43538</v>
      </c>
      <c r="G320" s="15" t="n">
        <v>43545</v>
      </c>
      <c r="H320" s="3" t="n">
        <v>7</v>
      </c>
      <c r="I320" s="3" t="n">
        <v>1</v>
      </c>
      <c r="J320" s="3" t="n">
        <v>69</v>
      </c>
      <c r="K320" s="3" t="n">
        <v>1</v>
      </c>
      <c r="L320" s="3" t="n">
        <v>2</v>
      </c>
      <c r="M320" s="3" t="n">
        <v>1</v>
      </c>
      <c r="N320" s="3" t="n">
        <v>2</v>
      </c>
      <c r="O320" s="3" t="n">
        <v>1</v>
      </c>
      <c r="P320" s="3" t="n">
        <v>1</v>
      </c>
      <c r="Q320" s="3" t="n">
        <v>1</v>
      </c>
      <c r="R320" s="3" t="n">
        <v>2</v>
      </c>
      <c r="S320" s="3" t="n">
        <v>2</v>
      </c>
      <c r="T320" s="4" t="n">
        <v>1</v>
      </c>
      <c r="U320" s="3" t="n">
        <v>1</v>
      </c>
      <c r="V320" s="3" t="n">
        <v>4.7</v>
      </c>
      <c r="W320" s="3" t="n">
        <v>0.67</v>
      </c>
      <c r="X320" s="3" t="n">
        <v>5.6</v>
      </c>
      <c r="Y320" s="3" t="n">
        <v>368</v>
      </c>
      <c r="AA320" s="3" t="n">
        <v>0.39</v>
      </c>
      <c r="AB320" s="3" t="n">
        <v>7.1</v>
      </c>
      <c r="AC320" s="3" t="n">
        <v>1</v>
      </c>
      <c r="AD320" s="3" t="n">
        <v>1</v>
      </c>
      <c r="AE320" s="3" t="n">
        <v>1</v>
      </c>
      <c r="AF320" s="3" t="n">
        <v>1</v>
      </c>
      <c r="AG320" s="3" t="n">
        <v>1</v>
      </c>
      <c r="AH320" s="3" t="n">
        <v>2</v>
      </c>
      <c r="AI320" s="3" t="n">
        <v>1</v>
      </c>
      <c r="AJ320" s="3" t="n">
        <v>1</v>
      </c>
      <c r="AK320" s="3" t="n">
        <v>2</v>
      </c>
      <c r="AL320" s="3" t="n">
        <v>2</v>
      </c>
      <c r="AM320" s="3" t="n">
        <v>1</v>
      </c>
      <c r="AN320" s="3" t="n">
        <v>2</v>
      </c>
      <c r="AO320" s="3" t="n">
        <v>2</v>
      </c>
      <c r="AP320" s="3" t="n">
        <v>3</v>
      </c>
      <c r="AQ320" s="3" t="n">
        <v>4</v>
      </c>
      <c r="AR320" s="3" t="n">
        <v>4</v>
      </c>
      <c r="AS320" s="3" t="n">
        <v>6</v>
      </c>
      <c r="AT320" s="3" t="n">
        <v>4</v>
      </c>
      <c r="AU320" s="3" t="n">
        <v>4</v>
      </c>
      <c r="AV320" s="3" t="n">
        <v>6</v>
      </c>
      <c r="AW320" s="3" t="n">
        <v>6</v>
      </c>
      <c r="AX320" s="3" t="n">
        <v>3</v>
      </c>
      <c r="AY320" s="3" t="n">
        <v>3</v>
      </c>
      <c r="AZ320" s="3" t="n">
        <v>1</v>
      </c>
      <c r="BA320" s="5" t="n">
        <v>5</v>
      </c>
      <c r="BB320" s="3" t="n">
        <v>2</v>
      </c>
      <c r="BC320" s="3" t="n">
        <v>1</v>
      </c>
      <c r="BD320" s="3" t="n">
        <v>6</v>
      </c>
      <c r="BE320" s="3" t="n">
        <v>3</v>
      </c>
      <c r="BF320" s="3" t="n">
        <v>5</v>
      </c>
      <c r="BG320" s="3" t="n">
        <v>3</v>
      </c>
      <c r="BH320" s="3" t="n">
        <v>4</v>
      </c>
      <c r="BI320" s="3" t="n">
        <v>1</v>
      </c>
      <c r="BJ320" s="3" t="n">
        <v>1</v>
      </c>
      <c r="BK320" s="6" t="s">
        <v>993</v>
      </c>
    </row>
    <row r="321" customFormat="false" ht="15" hidden="false" customHeight="true" outlineLevel="0" collapsed="false">
      <c r="B321" s="2" t="s">
        <v>994</v>
      </c>
      <c r="C321" s="2" t="s">
        <v>995</v>
      </c>
      <c r="D321" s="2" t="s">
        <v>996</v>
      </c>
      <c r="E321" s="2" t="n">
        <v>173668</v>
      </c>
      <c r="F321" s="15" t="n">
        <v>43541</v>
      </c>
      <c r="G321" s="15" t="n">
        <v>43545</v>
      </c>
      <c r="H321" s="3" t="n">
        <v>4</v>
      </c>
      <c r="I321" s="3" t="n">
        <v>1</v>
      </c>
      <c r="J321" s="3" t="n">
        <v>64</v>
      </c>
      <c r="K321" s="3" t="n">
        <v>2</v>
      </c>
      <c r="L321" s="3" t="n">
        <v>2</v>
      </c>
      <c r="M321" s="3" t="n">
        <v>1</v>
      </c>
      <c r="N321" s="3" t="n">
        <v>2</v>
      </c>
      <c r="O321" s="3" t="n">
        <v>2</v>
      </c>
      <c r="P321" s="3" t="n">
        <v>2</v>
      </c>
      <c r="Q321" s="3" t="n">
        <v>1</v>
      </c>
      <c r="R321" s="3" t="n">
        <v>2</v>
      </c>
      <c r="S321" s="3" t="n">
        <v>2</v>
      </c>
      <c r="T321" s="4" t="n">
        <v>5</v>
      </c>
      <c r="U321" s="3" t="n">
        <v>1</v>
      </c>
      <c r="V321" s="3" t="n">
        <v>5.11</v>
      </c>
      <c r="W321" s="3" t="n">
        <v>0.82</v>
      </c>
      <c r="X321" s="3" t="n">
        <v>5.6</v>
      </c>
      <c r="Y321" s="3" t="n">
        <v>439</v>
      </c>
      <c r="AA321" s="3" t="n">
        <v>0.36</v>
      </c>
      <c r="AB321" s="3" t="n">
        <v>8.6</v>
      </c>
      <c r="AC321" s="3" t="n">
        <v>2</v>
      </c>
      <c r="AD321" s="3" t="n">
        <v>2</v>
      </c>
      <c r="AE321" s="3" t="n">
        <v>2</v>
      </c>
      <c r="AF321" s="3" t="n">
        <v>1</v>
      </c>
      <c r="AG321" s="3" t="n">
        <v>1</v>
      </c>
      <c r="AH321" s="3" t="n">
        <v>1</v>
      </c>
      <c r="AI321" s="3" t="n">
        <v>1</v>
      </c>
      <c r="AJ321" s="3" t="n">
        <v>1</v>
      </c>
      <c r="AK321" s="3" t="n">
        <v>1</v>
      </c>
      <c r="AL321" s="3" t="n">
        <v>2</v>
      </c>
      <c r="AM321" s="3" t="n">
        <v>1</v>
      </c>
      <c r="AN321" s="3" t="n">
        <v>2</v>
      </c>
      <c r="AO321" s="3" t="n">
        <v>2</v>
      </c>
      <c r="AP321" s="3" t="n">
        <v>4</v>
      </c>
      <c r="AQ321" s="3" t="n">
        <v>2</v>
      </c>
      <c r="AR321" s="3" t="n">
        <v>4</v>
      </c>
      <c r="AS321" s="3" t="n">
        <v>6</v>
      </c>
      <c r="AT321" s="3" t="n">
        <v>4</v>
      </c>
      <c r="AU321" s="3" t="n">
        <v>4</v>
      </c>
      <c r="AV321" s="3" t="n">
        <v>1</v>
      </c>
      <c r="AW321" s="3" t="n">
        <v>6</v>
      </c>
      <c r="AX321" s="3" t="n">
        <v>2</v>
      </c>
      <c r="AY321" s="3" t="n">
        <v>1</v>
      </c>
      <c r="AZ321" s="3" t="n">
        <v>1</v>
      </c>
      <c r="BA321" s="5" t="n">
        <v>3</v>
      </c>
      <c r="BB321" s="3" t="n">
        <v>2</v>
      </c>
      <c r="BC321" s="3" t="n">
        <v>1</v>
      </c>
      <c r="BD321" s="3" t="n">
        <v>6</v>
      </c>
      <c r="BE321" s="3" t="n">
        <v>3</v>
      </c>
      <c r="BF321" s="3" t="n">
        <v>5</v>
      </c>
      <c r="BG321" s="3" t="n">
        <v>3</v>
      </c>
      <c r="BH321" s="3" t="n">
        <v>4</v>
      </c>
      <c r="BI321" s="3" t="n">
        <v>1</v>
      </c>
      <c r="BJ321" s="3" t="n">
        <v>1</v>
      </c>
      <c r="BK321" s="6" t="s">
        <v>997</v>
      </c>
    </row>
    <row r="322" customFormat="false" ht="15" hidden="false" customHeight="true" outlineLevel="0" collapsed="false">
      <c r="B322" s="2" t="s">
        <v>998</v>
      </c>
      <c r="C322" s="2" t="s">
        <v>386</v>
      </c>
      <c r="D322" s="2" t="s">
        <v>999</v>
      </c>
      <c r="E322" s="2" t="n">
        <v>173666</v>
      </c>
      <c r="F322" s="15" t="n">
        <v>43541</v>
      </c>
      <c r="G322" s="15" t="n">
        <v>43546</v>
      </c>
      <c r="H322" s="3" t="n">
        <v>5</v>
      </c>
      <c r="I322" s="3" t="n">
        <v>2</v>
      </c>
      <c r="J322" s="3" t="n">
        <v>34</v>
      </c>
      <c r="K322" s="3" t="n">
        <v>2</v>
      </c>
      <c r="L322" s="3" t="n">
        <v>1</v>
      </c>
      <c r="M322" s="3" t="n">
        <v>2</v>
      </c>
      <c r="N322" s="3" t="n">
        <v>2</v>
      </c>
      <c r="O322" s="3" t="n">
        <v>2</v>
      </c>
      <c r="P322" s="3" t="n">
        <v>2</v>
      </c>
      <c r="Q322" s="3" t="n">
        <v>2</v>
      </c>
      <c r="R322" s="3" t="n">
        <v>2</v>
      </c>
      <c r="S322" s="3" t="n">
        <v>2</v>
      </c>
      <c r="T322" s="4" t="n">
        <v>3</v>
      </c>
      <c r="U322" s="3" t="n">
        <v>4</v>
      </c>
      <c r="V322" s="3" t="n">
        <v>3.08</v>
      </c>
      <c r="W322" s="3" t="n">
        <v>0.86</v>
      </c>
      <c r="X322" s="3" t="n">
        <v>4.68</v>
      </c>
      <c r="Y322" s="3" t="n">
        <v>473</v>
      </c>
      <c r="AA322" s="3" t="n">
        <v>0.5</v>
      </c>
      <c r="AB322" s="3" t="n">
        <v>8.1</v>
      </c>
      <c r="AC322" s="3" t="n">
        <v>2</v>
      </c>
      <c r="AD322" s="3" t="n">
        <v>2</v>
      </c>
      <c r="AE322" s="3" t="n">
        <v>1</v>
      </c>
      <c r="AF322" s="3" t="n">
        <v>1</v>
      </c>
      <c r="AG322" s="3" t="n">
        <v>2</v>
      </c>
      <c r="AH322" s="3" t="n">
        <v>2</v>
      </c>
      <c r="AI322" s="3" t="n">
        <v>2</v>
      </c>
      <c r="AJ322" s="3" t="n">
        <v>2</v>
      </c>
      <c r="AK322" s="3" t="n">
        <v>1</v>
      </c>
      <c r="AL322" s="3" t="n">
        <v>1</v>
      </c>
      <c r="AM322" s="3" t="n">
        <v>1</v>
      </c>
      <c r="AN322" s="3" t="n">
        <v>2</v>
      </c>
      <c r="AO322" s="3" t="n">
        <v>2</v>
      </c>
      <c r="AP322" s="3" t="n">
        <v>3</v>
      </c>
      <c r="AQ322" s="3" t="n">
        <v>4</v>
      </c>
      <c r="AR322" s="3" t="n">
        <v>4</v>
      </c>
      <c r="AS322" s="3" t="n">
        <v>6</v>
      </c>
      <c r="AT322" s="3" t="n">
        <v>4</v>
      </c>
      <c r="AU322" s="3" t="n">
        <v>4</v>
      </c>
      <c r="AV322" s="3" t="n">
        <v>6</v>
      </c>
      <c r="AW322" s="3" t="n">
        <v>6</v>
      </c>
      <c r="AX322" s="3" t="n">
        <v>3</v>
      </c>
      <c r="AY322" s="3" t="n">
        <v>3</v>
      </c>
      <c r="AZ322" s="3" t="n">
        <v>1</v>
      </c>
      <c r="BA322" s="5" t="n">
        <v>11</v>
      </c>
      <c r="BB322" s="3" t="n">
        <v>2</v>
      </c>
      <c r="BC322" s="3" t="n">
        <v>1</v>
      </c>
      <c r="BD322" s="3" t="n">
        <v>6</v>
      </c>
      <c r="BE322" s="3" t="n">
        <v>3</v>
      </c>
      <c r="BF322" s="3" t="n">
        <v>5</v>
      </c>
      <c r="BG322" s="3" t="n">
        <v>3</v>
      </c>
      <c r="BH322" s="3" t="n">
        <v>4</v>
      </c>
      <c r="BI322" s="3" t="n">
        <v>1</v>
      </c>
      <c r="BJ322" s="3" t="n">
        <v>1</v>
      </c>
      <c r="BK322" s="6" t="s">
        <v>1000</v>
      </c>
    </row>
    <row r="323" customFormat="false" ht="15" hidden="false" customHeight="true" outlineLevel="0" collapsed="false">
      <c r="B323" s="2" t="s">
        <v>140</v>
      </c>
      <c r="C323" s="2" t="s">
        <v>194</v>
      </c>
      <c r="D323" s="2" t="s">
        <v>450</v>
      </c>
      <c r="E323" s="2" t="n">
        <v>0.18066</v>
      </c>
      <c r="F323" s="15" t="n">
        <v>43542</v>
      </c>
      <c r="G323" s="15" t="n">
        <v>43547</v>
      </c>
      <c r="H323" s="3" t="n">
        <v>5</v>
      </c>
      <c r="I323" s="3" t="n">
        <v>2</v>
      </c>
      <c r="J323" s="3" t="n">
        <v>76</v>
      </c>
      <c r="K323" s="3" t="n">
        <v>1</v>
      </c>
      <c r="L323" s="3" t="n">
        <v>2</v>
      </c>
      <c r="M323" s="3" t="n">
        <v>1</v>
      </c>
      <c r="N323" s="3" t="n">
        <v>2</v>
      </c>
      <c r="O323" s="3" t="n">
        <v>2</v>
      </c>
      <c r="P323" s="3" t="n">
        <v>2</v>
      </c>
      <c r="Q323" s="3" t="n">
        <v>2</v>
      </c>
      <c r="R323" s="3" t="n">
        <v>2</v>
      </c>
      <c r="S323" s="3" t="n">
        <v>2</v>
      </c>
      <c r="T323" s="4" t="n">
        <v>1</v>
      </c>
      <c r="U323" s="3" t="n">
        <v>1</v>
      </c>
      <c r="V323" s="3" t="n">
        <v>3.6</v>
      </c>
      <c r="W323" s="3" t="n">
        <v>1.37</v>
      </c>
      <c r="X323" s="3" t="n">
        <v>3.81</v>
      </c>
      <c r="Y323" s="3" t="n">
        <v>404</v>
      </c>
      <c r="AA323" s="3" t="n">
        <v>0.38</v>
      </c>
      <c r="AB323" s="3" t="n">
        <v>9.5</v>
      </c>
      <c r="AC323" s="3" t="n">
        <v>1</v>
      </c>
      <c r="AD323" s="3" t="n">
        <v>2</v>
      </c>
      <c r="AE323" s="3" t="n">
        <v>1</v>
      </c>
      <c r="AF323" s="3" t="n">
        <v>1</v>
      </c>
      <c r="AG323" s="3" t="n">
        <v>2</v>
      </c>
      <c r="AH323" s="3" t="n">
        <v>2</v>
      </c>
      <c r="AI323" s="3" t="n">
        <v>1</v>
      </c>
      <c r="AJ323" s="3" t="n">
        <v>1</v>
      </c>
      <c r="AK323" s="3" t="n">
        <v>2</v>
      </c>
      <c r="AL323" s="3" t="n">
        <v>2</v>
      </c>
      <c r="AM323" s="3" t="n">
        <v>2</v>
      </c>
      <c r="AN323" s="3" t="n">
        <v>2</v>
      </c>
      <c r="AO323" s="3" t="n">
        <v>2</v>
      </c>
      <c r="AP323" s="3" t="n">
        <v>3</v>
      </c>
      <c r="AQ323" s="3" t="n">
        <v>4</v>
      </c>
      <c r="AR323" s="3" t="n">
        <v>4</v>
      </c>
      <c r="AS323" s="3" t="n">
        <v>6</v>
      </c>
      <c r="AT323" s="3" t="n">
        <v>4</v>
      </c>
      <c r="AU323" s="3" t="n">
        <v>4</v>
      </c>
      <c r="AV323" s="3" t="n">
        <v>6</v>
      </c>
      <c r="AW323" s="3" t="n">
        <v>6</v>
      </c>
      <c r="AX323" s="3" t="n">
        <v>3</v>
      </c>
      <c r="AY323" s="3" t="n">
        <v>3</v>
      </c>
      <c r="AZ323" s="3" t="n">
        <v>1</v>
      </c>
      <c r="BA323" s="5" t="n">
        <v>5</v>
      </c>
      <c r="BB323" s="3" t="n">
        <v>2</v>
      </c>
      <c r="BC323" s="3" t="n">
        <v>1</v>
      </c>
      <c r="BD323" s="3" t="n">
        <v>6</v>
      </c>
      <c r="BE323" s="3" t="n">
        <v>3</v>
      </c>
      <c r="BF323" s="3" t="n">
        <v>5</v>
      </c>
      <c r="BG323" s="3" t="n">
        <v>3</v>
      </c>
      <c r="BH323" s="3" t="n">
        <v>4</v>
      </c>
      <c r="BI323" s="3" t="n">
        <v>1</v>
      </c>
      <c r="BJ323" s="3" t="n">
        <v>1</v>
      </c>
      <c r="BK323" s="6" t="s">
        <v>1001</v>
      </c>
    </row>
    <row r="324" s="35" customFormat="true" ht="15" hidden="false" customHeight="true" outlineLevel="0" collapsed="false">
      <c r="A324" s="34"/>
      <c r="B324" s="35" t="s">
        <v>61</v>
      </c>
      <c r="C324" s="35" t="s">
        <v>1002</v>
      </c>
      <c r="D324" s="35" t="s">
        <v>1003</v>
      </c>
      <c r="E324" s="35" t="n">
        <v>173688</v>
      </c>
      <c r="F324" s="36" t="n">
        <v>43542</v>
      </c>
      <c r="G324" s="36" t="n">
        <v>43547</v>
      </c>
      <c r="H324" s="37" t="n">
        <v>5</v>
      </c>
      <c r="I324" s="35" t="n">
        <v>2</v>
      </c>
      <c r="J324" s="35" t="n">
        <v>71</v>
      </c>
      <c r="K324" s="35" t="n">
        <v>2</v>
      </c>
      <c r="L324" s="35" t="n">
        <v>2</v>
      </c>
      <c r="M324" s="35" t="n">
        <v>1</v>
      </c>
      <c r="N324" s="35" t="n">
        <v>2</v>
      </c>
      <c r="O324" s="35" t="n">
        <v>2</v>
      </c>
      <c r="P324" s="35" t="n">
        <v>2</v>
      </c>
      <c r="Q324" s="35" t="n">
        <v>2</v>
      </c>
      <c r="R324" s="35" t="n">
        <v>1</v>
      </c>
      <c r="S324" s="35" t="n">
        <v>2</v>
      </c>
      <c r="T324" s="4" t="n">
        <v>1</v>
      </c>
      <c r="U324" s="35" t="n">
        <v>1</v>
      </c>
      <c r="V324" s="35" t="n">
        <v>3.68</v>
      </c>
      <c r="W324" s="35" t="n">
        <v>0.97</v>
      </c>
      <c r="X324" s="35" t="n">
        <v>4.98</v>
      </c>
      <c r="Y324" s="35" t="n">
        <v>3.18</v>
      </c>
      <c r="AA324" s="35" t="n">
        <v>0.4</v>
      </c>
      <c r="AB324" s="35" t="n">
        <v>8.3</v>
      </c>
      <c r="AC324" s="35" t="n">
        <v>1</v>
      </c>
      <c r="AD324" s="35" t="n">
        <v>1</v>
      </c>
      <c r="AE324" s="35" t="n">
        <v>1</v>
      </c>
      <c r="AF324" s="35" t="n">
        <v>1</v>
      </c>
      <c r="AG324" s="35" t="n">
        <v>2</v>
      </c>
      <c r="AH324" s="35" t="n">
        <v>2</v>
      </c>
      <c r="AI324" s="35" t="n">
        <v>1</v>
      </c>
      <c r="AJ324" s="35" t="n">
        <v>1</v>
      </c>
      <c r="AK324" s="35" t="n">
        <v>2</v>
      </c>
      <c r="AL324" s="35" t="n">
        <v>2</v>
      </c>
      <c r="AM324" s="35" t="n">
        <v>1</v>
      </c>
      <c r="AN324" s="35" t="n">
        <v>2</v>
      </c>
      <c r="AO324" s="35" t="n">
        <v>2</v>
      </c>
      <c r="AP324" s="35" t="n">
        <v>3</v>
      </c>
      <c r="AQ324" s="35" t="n">
        <v>4</v>
      </c>
      <c r="AR324" s="35" t="n">
        <v>4</v>
      </c>
      <c r="AS324" s="35" t="n">
        <v>6</v>
      </c>
      <c r="AT324" s="35" t="n">
        <v>4</v>
      </c>
      <c r="AU324" s="35" t="n">
        <v>4</v>
      </c>
      <c r="AV324" s="35" t="n">
        <v>6</v>
      </c>
      <c r="AW324" s="35" t="n">
        <v>6</v>
      </c>
      <c r="AX324" s="35" t="n">
        <v>3</v>
      </c>
      <c r="AY324" s="35" t="n">
        <v>3</v>
      </c>
      <c r="AZ324" s="35" t="n">
        <v>1</v>
      </c>
      <c r="BA324" s="38" t="n">
        <v>5</v>
      </c>
      <c r="BB324" s="35" t="n">
        <v>2</v>
      </c>
      <c r="BC324" s="35" t="n">
        <v>1</v>
      </c>
      <c r="BD324" s="35" t="n">
        <v>6</v>
      </c>
      <c r="BE324" s="35" t="n">
        <v>3</v>
      </c>
      <c r="BF324" s="35" t="n">
        <v>5</v>
      </c>
      <c r="BG324" s="35" t="n">
        <v>3</v>
      </c>
      <c r="BH324" s="35" t="n">
        <v>4</v>
      </c>
      <c r="BI324" s="35" t="n">
        <v>1</v>
      </c>
      <c r="BJ324" s="35" t="n">
        <v>1</v>
      </c>
      <c r="BK324" s="39" t="s">
        <v>1004</v>
      </c>
    </row>
    <row r="325" customFormat="false" ht="15" hidden="false" customHeight="true" outlineLevel="0" collapsed="false">
      <c r="B325" s="2" t="s">
        <v>1005</v>
      </c>
      <c r="C325" s="2" t="s">
        <v>454</v>
      </c>
      <c r="D325" s="2" t="s">
        <v>95</v>
      </c>
      <c r="E325" s="2" t="n">
        <v>173644</v>
      </c>
      <c r="F325" s="15" t="n">
        <v>43540</v>
      </c>
      <c r="G325" s="15" t="n">
        <v>43550</v>
      </c>
      <c r="H325" s="3" t="n">
        <v>10</v>
      </c>
      <c r="I325" s="3" t="n">
        <v>2</v>
      </c>
      <c r="J325" s="3" t="n">
        <v>60</v>
      </c>
      <c r="K325" s="3" t="n">
        <v>1</v>
      </c>
      <c r="L325" s="3" t="n">
        <v>2</v>
      </c>
      <c r="M325" s="3" t="n">
        <v>1</v>
      </c>
      <c r="N325" s="3" t="n">
        <v>2</v>
      </c>
      <c r="O325" s="3" t="n">
        <v>2</v>
      </c>
      <c r="P325" s="3" t="n">
        <v>2</v>
      </c>
      <c r="Q325" s="3" t="n">
        <v>2</v>
      </c>
      <c r="R325" s="3" t="n">
        <v>2</v>
      </c>
      <c r="S325" s="3" t="n">
        <v>2</v>
      </c>
      <c r="T325" s="4" t="n">
        <v>2</v>
      </c>
      <c r="U325" s="3" t="n">
        <v>2</v>
      </c>
      <c r="V325" s="3" t="n">
        <v>3.88</v>
      </c>
      <c r="W325" s="3" t="n">
        <v>0.87</v>
      </c>
      <c r="X325" s="3" t="n">
        <v>7.88</v>
      </c>
      <c r="Y325" s="3" t="n">
        <v>385</v>
      </c>
      <c r="AA325" s="3" t="n">
        <v>0.45</v>
      </c>
      <c r="AB325" s="3" t="n">
        <v>12</v>
      </c>
      <c r="AC325" s="3" t="n">
        <v>2</v>
      </c>
      <c r="AD325" s="3" t="n">
        <v>2</v>
      </c>
      <c r="AE325" s="3" t="n">
        <v>1</v>
      </c>
      <c r="AF325" s="3" t="n">
        <v>1</v>
      </c>
      <c r="AG325" s="3" t="n">
        <v>2</v>
      </c>
      <c r="AH325" s="3" t="n">
        <v>2</v>
      </c>
      <c r="AI325" s="3" t="n">
        <v>1</v>
      </c>
      <c r="AJ325" s="3" t="n">
        <v>2</v>
      </c>
      <c r="AK325" s="3" t="n">
        <v>2</v>
      </c>
      <c r="AL325" s="3" t="n">
        <v>2</v>
      </c>
      <c r="AM325" s="3" t="n">
        <v>1</v>
      </c>
      <c r="AN325" s="3" t="n">
        <v>2</v>
      </c>
      <c r="AO325" s="3" t="n">
        <v>2</v>
      </c>
      <c r="AP325" s="3" t="n">
        <v>3</v>
      </c>
      <c r="AQ325" s="3" t="n">
        <v>4</v>
      </c>
      <c r="AR325" s="3" t="n">
        <v>4</v>
      </c>
      <c r="AS325" s="3" t="n">
        <v>6</v>
      </c>
      <c r="AT325" s="3" t="n">
        <v>4</v>
      </c>
      <c r="AU325" s="3" t="n">
        <v>4</v>
      </c>
      <c r="AV325" s="3" t="n">
        <v>6</v>
      </c>
      <c r="AW325" s="3" t="n">
        <v>6</v>
      </c>
      <c r="AX325" s="3" t="n">
        <v>3</v>
      </c>
      <c r="AY325" s="3" t="n">
        <v>3</v>
      </c>
      <c r="AZ325" s="3" t="n">
        <v>4</v>
      </c>
      <c r="BA325" s="5" t="n">
        <v>1</v>
      </c>
      <c r="BB325" s="3" t="n">
        <v>1</v>
      </c>
      <c r="BC325" s="3" t="n">
        <v>1</v>
      </c>
      <c r="BD325" s="3" t="n">
        <v>2</v>
      </c>
      <c r="BE325" s="3" t="n">
        <v>1</v>
      </c>
      <c r="BF325" s="3" t="n">
        <v>2</v>
      </c>
      <c r="BG325" s="3" t="n">
        <v>1</v>
      </c>
      <c r="BH325" s="3" t="n">
        <v>4</v>
      </c>
      <c r="BI325" s="3" t="n">
        <v>1</v>
      </c>
      <c r="BJ325" s="3" t="n">
        <v>1</v>
      </c>
      <c r="BK325" s="6" t="s">
        <v>1006</v>
      </c>
    </row>
    <row r="326" customFormat="false" ht="15" hidden="false" customHeight="true" outlineLevel="0" collapsed="false">
      <c r="B326" s="2" t="s">
        <v>278</v>
      </c>
      <c r="C326" s="2" t="s">
        <v>1007</v>
      </c>
      <c r="D326" s="2" t="s">
        <v>66</v>
      </c>
      <c r="E326" s="2" t="n">
        <v>145785</v>
      </c>
      <c r="F326" s="15" t="n">
        <v>43544</v>
      </c>
      <c r="G326" s="15" t="n">
        <v>43550</v>
      </c>
      <c r="H326" s="3" t="n">
        <v>6</v>
      </c>
      <c r="I326" s="3" t="n">
        <v>2</v>
      </c>
      <c r="J326" s="3" t="n">
        <v>68</v>
      </c>
      <c r="K326" s="3" t="n">
        <v>1</v>
      </c>
      <c r="L326" s="3" t="n">
        <v>1</v>
      </c>
      <c r="M326" s="3" t="n">
        <v>1</v>
      </c>
      <c r="N326" s="3" t="n">
        <v>2</v>
      </c>
      <c r="O326" s="3" t="n">
        <v>1</v>
      </c>
      <c r="P326" s="3" t="n">
        <v>2</v>
      </c>
      <c r="Q326" s="3" t="n">
        <v>2</v>
      </c>
      <c r="R326" s="3" t="n">
        <v>2</v>
      </c>
      <c r="S326" s="3" t="n">
        <v>2</v>
      </c>
      <c r="T326" s="4" t="n">
        <v>1</v>
      </c>
      <c r="U326" s="3" t="n">
        <v>4</v>
      </c>
      <c r="V326" s="3" t="n">
        <v>2.67</v>
      </c>
      <c r="W326" s="3" t="n">
        <v>0.44</v>
      </c>
      <c r="X326" s="3" t="n">
        <v>5.8</v>
      </c>
      <c r="Y326" s="3" t="n">
        <v>592</v>
      </c>
      <c r="AA326" s="3" t="n">
        <v>0.31</v>
      </c>
      <c r="AB326" s="3" t="n">
        <v>11.6</v>
      </c>
      <c r="AC326" s="3" t="n">
        <v>2</v>
      </c>
      <c r="AD326" s="3" t="n">
        <v>2</v>
      </c>
      <c r="AE326" s="3" t="n">
        <v>1</v>
      </c>
      <c r="AF326" s="3" t="n">
        <v>1</v>
      </c>
      <c r="AG326" s="3" t="n">
        <v>2</v>
      </c>
      <c r="AH326" s="3" t="n">
        <v>2</v>
      </c>
      <c r="AI326" s="3" t="n">
        <v>1</v>
      </c>
      <c r="AJ326" s="3" t="n">
        <v>2</v>
      </c>
      <c r="AK326" s="3" t="n">
        <v>2</v>
      </c>
      <c r="AL326" s="3" t="n">
        <v>1</v>
      </c>
      <c r="AM326" s="3" t="n">
        <v>1</v>
      </c>
      <c r="AN326" s="3" t="n">
        <v>1</v>
      </c>
      <c r="AO326" s="3" t="n">
        <v>2</v>
      </c>
      <c r="AP326" s="3" t="n">
        <v>3</v>
      </c>
      <c r="AQ326" s="3" t="n">
        <v>4</v>
      </c>
      <c r="AR326" s="3" t="n">
        <v>4</v>
      </c>
      <c r="AS326" s="3" t="n">
        <v>6</v>
      </c>
      <c r="AT326" s="3" t="n">
        <v>4</v>
      </c>
      <c r="AU326" s="3" t="n">
        <v>4</v>
      </c>
      <c r="AV326" s="3" t="n">
        <v>6</v>
      </c>
      <c r="AW326" s="3" t="n">
        <v>6</v>
      </c>
      <c r="AX326" s="3" t="n">
        <v>3</v>
      </c>
      <c r="AY326" s="3" t="n">
        <v>3</v>
      </c>
      <c r="AZ326" s="3" t="n">
        <v>1</v>
      </c>
      <c r="BA326" s="5" t="n">
        <v>5</v>
      </c>
      <c r="BB326" s="3" t="n">
        <v>2</v>
      </c>
      <c r="BC326" s="3" t="n">
        <v>1</v>
      </c>
      <c r="BD326" s="3" t="n">
        <v>6</v>
      </c>
      <c r="BE326" s="3" t="n">
        <v>3</v>
      </c>
      <c r="BF326" s="3" t="n">
        <v>5</v>
      </c>
      <c r="BG326" s="3" t="n">
        <v>3</v>
      </c>
      <c r="BH326" s="3" t="n">
        <v>4</v>
      </c>
      <c r="BI326" s="3" t="n">
        <v>1</v>
      </c>
      <c r="BJ326" s="3" t="n">
        <v>1</v>
      </c>
      <c r="BK326" s="6" t="s">
        <v>1008</v>
      </c>
    </row>
    <row r="327" customFormat="false" ht="15" hidden="false" customHeight="true" outlineLevel="0" collapsed="false">
      <c r="B327" s="2" t="s">
        <v>986</v>
      </c>
      <c r="C327" s="2" t="s">
        <v>244</v>
      </c>
      <c r="D327" s="2" t="s">
        <v>91</v>
      </c>
      <c r="E327" s="2" t="n">
        <v>167207</v>
      </c>
      <c r="F327" s="15" t="n">
        <v>43545</v>
      </c>
      <c r="G327" s="15" t="n">
        <v>43550</v>
      </c>
      <c r="H327" s="3" t="n">
        <v>5</v>
      </c>
      <c r="I327" s="3" t="n">
        <v>1</v>
      </c>
      <c r="J327" s="3" t="n">
        <v>58</v>
      </c>
      <c r="K327" s="3" t="n">
        <v>2</v>
      </c>
      <c r="L327" s="3" t="n">
        <v>2</v>
      </c>
      <c r="M327" s="3" t="n">
        <v>1</v>
      </c>
      <c r="N327" s="3" t="n">
        <v>2</v>
      </c>
      <c r="O327" s="3" t="n">
        <v>2</v>
      </c>
      <c r="P327" s="3" t="n">
        <v>2</v>
      </c>
      <c r="Q327" s="3" t="n">
        <v>2</v>
      </c>
      <c r="R327" s="3" t="n">
        <v>2</v>
      </c>
      <c r="S327" s="3" t="n">
        <v>2</v>
      </c>
      <c r="T327" s="4" t="n">
        <v>3</v>
      </c>
      <c r="U327" s="3" t="n">
        <v>1</v>
      </c>
      <c r="V327" s="3" t="n">
        <v>4.67</v>
      </c>
      <c r="W327" s="3" t="n">
        <v>1.06</v>
      </c>
      <c r="X327" s="3" t="n">
        <v>9.76</v>
      </c>
      <c r="Y327" s="3" t="n">
        <v>303</v>
      </c>
      <c r="AA327" s="3" t="n">
        <v>0.26</v>
      </c>
      <c r="AB327" s="3" t="n">
        <v>13.9</v>
      </c>
      <c r="AC327" s="3" t="n">
        <v>2</v>
      </c>
      <c r="AD327" s="3" t="n">
        <v>2</v>
      </c>
      <c r="AE327" s="3" t="n">
        <v>1</v>
      </c>
      <c r="AF327" s="3" t="n">
        <v>2</v>
      </c>
      <c r="AG327" s="3" t="n">
        <v>2</v>
      </c>
      <c r="AH327" s="3" t="n">
        <v>2</v>
      </c>
      <c r="AI327" s="3" t="n">
        <v>2</v>
      </c>
      <c r="AJ327" s="3" t="n">
        <v>2</v>
      </c>
      <c r="AK327" s="3" t="n">
        <v>2</v>
      </c>
      <c r="AL327" s="3" t="n">
        <v>1</v>
      </c>
      <c r="AM327" s="3" t="n">
        <v>1</v>
      </c>
      <c r="AN327" s="3" t="n">
        <v>2</v>
      </c>
      <c r="AO327" s="3" t="n">
        <v>2</v>
      </c>
      <c r="AP327" s="3" t="n">
        <v>3</v>
      </c>
      <c r="AQ327" s="3" t="n">
        <v>4</v>
      </c>
      <c r="AR327" s="3" t="n">
        <v>4</v>
      </c>
      <c r="AS327" s="3" t="n">
        <v>6</v>
      </c>
      <c r="AT327" s="3" t="n">
        <v>4</v>
      </c>
      <c r="AU327" s="3" t="n">
        <v>4</v>
      </c>
      <c r="AV327" s="3" t="n">
        <v>6</v>
      </c>
      <c r="AW327" s="3" t="n">
        <v>6</v>
      </c>
      <c r="AX327" s="3" t="n">
        <v>3</v>
      </c>
      <c r="AY327" s="3" t="n">
        <v>3</v>
      </c>
      <c r="AZ327" s="3" t="n">
        <v>1</v>
      </c>
      <c r="BA327" s="5" t="n">
        <v>11</v>
      </c>
      <c r="BB327" s="3" t="n">
        <v>2</v>
      </c>
      <c r="BC327" s="3" t="n">
        <v>1</v>
      </c>
      <c r="BD327" s="3" t="n">
        <v>6</v>
      </c>
      <c r="BE327" s="3" t="n">
        <v>3</v>
      </c>
      <c r="BF327" s="3" t="n">
        <v>5</v>
      </c>
      <c r="BG327" s="3" t="n">
        <v>3</v>
      </c>
      <c r="BH327" s="3" t="n">
        <v>4</v>
      </c>
      <c r="BI327" s="3" t="n">
        <v>1</v>
      </c>
      <c r="BJ327" s="3" t="n">
        <v>1</v>
      </c>
      <c r="BK327" s="6" t="s">
        <v>1009</v>
      </c>
    </row>
    <row r="328" customFormat="false" ht="15" hidden="false" customHeight="true" outlineLevel="0" collapsed="false">
      <c r="B328" s="2" t="s">
        <v>1010</v>
      </c>
      <c r="C328" s="2" t="s">
        <v>1011</v>
      </c>
      <c r="D328" s="2" t="s">
        <v>1011</v>
      </c>
      <c r="E328" s="2" t="n">
        <v>173678</v>
      </c>
      <c r="F328" s="15" t="n">
        <v>43542</v>
      </c>
      <c r="G328" s="15" t="n">
        <v>43551</v>
      </c>
      <c r="H328" s="3" t="n">
        <v>9</v>
      </c>
      <c r="I328" s="3" t="n">
        <v>2</v>
      </c>
      <c r="J328" s="3" t="n">
        <v>51</v>
      </c>
      <c r="K328" s="3" t="n">
        <v>1</v>
      </c>
      <c r="L328" s="3" t="n">
        <v>2</v>
      </c>
      <c r="M328" s="3" t="n">
        <v>1</v>
      </c>
      <c r="N328" s="3" t="n">
        <v>2</v>
      </c>
      <c r="O328" s="3" t="n">
        <v>2</v>
      </c>
      <c r="P328" s="3" t="n">
        <v>2</v>
      </c>
      <c r="Q328" s="3" t="n">
        <v>2</v>
      </c>
      <c r="R328" s="3" t="n">
        <v>2</v>
      </c>
      <c r="S328" s="3" t="n">
        <v>2</v>
      </c>
      <c r="T328" s="4" t="n">
        <v>2</v>
      </c>
      <c r="U328" s="3" t="n">
        <v>2</v>
      </c>
      <c r="V328" s="3" t="n">
        <v>4.4</v>
      </c>
      <c r="W328" s="3" t="n">
        <v>1.36</v>
      </c>
      <c r="X328" s="3" t="n">
        <v>7.19</v>
      </c>
      <c r="Y328" s="3" t="n">
        <v>398</v>
      </c>
      <c r="AA328" s="3" t="n">
        <v>0.46</v>
      </c>
      <c r="AB328" s="3" t="n">
        <v>9.8</v>
      </c>
      <c r="AC328" s="3" t="n">
        <v>2</v>
      </c>
      <c r="AD328" s="3" t="n">
        <v>2</v>
      </c>
      <c r="AE328" s="3" t="n">
        <v>1</v>
      </c>
      <c r="AF328" s="3" t="n">
        <v>1</v>
      </c>
      <c r="AG328" s="3" t="n">
        <v>2</v>
      </c>
      <c r="AH328" s="3" t="n">
        <v>2</v>
      </c>
      <c r="AI328" s="3" t="n">
        <v>1</v>
      </c>
      <c r="AJ328" s="3" t="n">
        <v>1</v>
      </c>
      <c r="AK328" s="3" t="n">
        <v>2</v>
      </c>
      <c r="AL328" s="3" t="n">
        <v>2</v>
      </c>
      <c r="AM328" s="3" t="n">
        <v>2</v>
      </c>
      <c r="AN328" s="3" t="n">
        <v>1</v>
      </c>
      <c r="AO328" s="3" t="n">
        <v>2</v>
      </c>
      <c r="AP328" s="3" t="n">
        <v>3</v>
      </c>
      <c r="AQ328" s="3" t="n">
        <v>4</v>
      </c>
      <c r="AR328" s="3" t="n">
        <v>4</v>
      </c>
      <c r="AS328" s="3" t="n">
        <v>6</v>
      </c>
      <c r="AT328" s="3" t="n">
        <v>4</v>
      </c>
      <c r="AU328" s="3" t="n">
        <v>4</v>
      </c>
      <c r="AV328" s="3" t="n">
        <v>6</v>
      </c>
      <c r="AW328" s="3" t="n">
        <v>6</v>
      </c>
      <c r="AX328" s="3" t="n">
        <v>3</v>
      </c>
      <c r="AY328" s="3" t="n">
        <v>3</v>
      </c>
      <c r="AZ328" s="3" t="n">
        <v>6</v>
      </c>
      <c r="BA328" s="5" t="n">
        <v>1</v>
      </c>
      <c r="BB328" s="3" t="n">
        <v>1</v>
      </c>
      <c r="BC328" s="3" t="n">
        <v>1</v>
      </c>
      <c r="BD328" s="3" t="n">
        <v>2</v>
      </c>
      <c r="BE328" s="3" t="n">
        <v>1</v>
      </c>
      <c r="BF328" s="3" t="n">
        <v>2</v>
      </c>
      <c r="BG328" s="3" t="n">
        <v>1</v>
      </c>
      <c r="BH328" s="3" t="n">
        <v>4</v>
      </c>
      <c r="BI328" s="3" t="n">
        <v>1</v>
      </c>
      <c r="BJ328" s="3" t="n">
        <v>1</v>
      </c>
      <c r="BK328" s="6" t="s">
        <v>1012</v>
      </c>
    </row>
    <row r="329" s="30" customFormat="true" ht="15" hidden="false" customHeight="true" outlineLevel="0" collapsed="false">
      <c r="A329" s="24"/>
      <c r="B329" s="26" t="s">
        <v>1013</v>
      </c>
      <c r="C329" s="26" t="s">
        <v>168</v>
      </c>
      <c r="D329" s="26" t="s">
        <v>244</v>
      </c>
      <c r="E329" s="26" t="n">
        <v>174181</v>
      </c>
      <c r="F329" s="27" t="n">
        <v>43546</v>
      </c>
      <c r="G329" s="27" t="n">
        <v>43546</v>
      </c>
      <c r="H329" s="30" t="n">
        <v>0</v>
      </c>
      <c r="I329" s="30" t="n">
        <v>1</v>
      </c>
      <c r="J329" s="30" t="n">
        <v>57</v>
      </c>
      <c r="K329" s="30" t="n">
        <v>2</v>
      </c>
      <c r="L329" s="30" t="n">
        <v>1</v>
      </c>
      <c r="M329" s="30" t="n">
        <v>1</v>
      </c>
      <c r="N329" s="30" t="n">
        <v>2</v>
      </c>
      <c r="O329" s="30" t="n">
        <v>2</v>
      </c>
      <c r="P329" s="30" t="n">
        <v>2</v>
      </c>
      <c r="Q329" s="30" t="n">
        <v>2</v>
      </c>
      <c r="R329" s="30" t="n">
        <v>2</v>
      </c>
      <c r="S329" s="30" t="n">
        <v>2</v>
      </c>
      <c r="T329" s="4" t="n">
        <v>2</v>
      </c>
      <c r="U329" s="30" t="n">
        <v>2</v>
      </c>
      <c r="AC329" s="30" t="n">
        <v>3</v>
      </c>
      <c r="AD329" s="30" t="n">
        <v>2</v>
      </c>
      <c r="AE329" s="30" t="n">
        <v>1</v>
      </c>
      <c r="AF329" s="30" t="n">
        <v>1</v>
      </c>
      <c r="AG329" s="30" t="n">
        <v>2</v>
      </c>
      <c r="AH329" s="30" t="n">
        <v>2</v>
      </c>
      <c r="AI329" s="30" t="n">
        <v>1</v>
      </c>
      <c r="AJ329" s="30" t="n">
        <v>1</v>
      </c>
      <c r="AK329" s="30" t="n">
        <v>2</v>
      </c>
      <c r="AL329" s="30" t="n">
        <v>2</v>
      </c>
      <c r="AM329" s="30" t="n">
        <v>1</v>
      </c>
      <c r="AN329" s="30" t="n">
        <v>1</v>
      </c>
      <c r="AO329" s="30" t="n">
        <v>2</v>
      </c>
      <c r="AP329" s="30" t="n">
        <v>3</v>
      </c>
      <c r="AQ329" s="30" t="n">
        <v>4</v>
      </c>
      <c r="AR329" s="30" t="n">
        <v>4</v>
      </c>
      <c r="AS329" s="30" t="n">
        <v>6</v>
      </c>
      <c r="AT329" s="30" t="n">
        <v>4</v>
      </c>
      <c r="AU329" s="30" t="n">
        <v>4</v>
      </c>
      <c r="AV329" s="30" t="n">
        <v>6</v>
      </c>
      <c r="AW329" s="30" t="n">
        <v>6</v>
      </c>
      <c r="AX329" s="30" t="n">
        <v>3</v>
      </c>
      <c r="AY329" s="30" t="n">
        <v>3</v>
      </c>
      <c r="AZ329" s="30" t="n">
        <v>10</v>
      </c>
      <c r="BA329" s="5" t="n">
        <v>1</v>
      </c>
      <c r="BB329" s="30" t="n">
        <v>1</v>
      </c>
      <c r="BC329" s="30" t="n">
        <v>2</v>
      </c>
      <c r="BD329" s="30" t="n">
        <v>3</v>
      </c>
      <c r="BE329" s="30" t="n">
        <v>1</v>
      </c>
      <c r="BF329" s="30" t="n">
        <v>2</v>
      </c>
      <c r="BG329" s="30" t="n">
        <v>1</v>
      </c>
      <c r="BH329" s="30" t="n">
        <v>4</v>
      </c>
      <c r="BI329" s="30" t="n">
        <v>2</v>
      </c>
      <c r="BJ329" s="30" t="n">
        <v>2</v>
      </c>
      <c r="BK329" s="31" t="s">
        <v>1014</v>
      </c>
    </row>
    <row r="330" customFormat="false" ht="15" hidden="false" customHeight="true" outlineLevel="0" collapsed="false">
      <c r="B330" s="2" t="s">
        <v>1015</v>
      </c>
      <c r="C330" s="2" t="s">
        <v>987</v>
      </c>
      <c r="D330" s="2" t="s">
        <v>304</v>
      </c>
      <c r="E330" s="2" t="n">
        <v>174176</v>
      </c>
      <c r="F330" s="15" t="n">
        <v>43546</v>
      </c>
      <c r="G330" s="15" t="n">
        <v>43551</v>
      </c>
      <c r="H330" s="3" t="n">
        <v>5</v>
      </c>
      <c r="I330" s="3" t="n">
        <v>1</v>
      </c>
      <c r="J330" s="3" t="n">
        <v>51</v>
      </c>
      <c r="K330" s="3" t="n">
        <v>1</v>
      </c>
      <c r="L330" s="3" t="n">
        <v>2</v>
      </c>
      <c r="M330" s="3" t="n">
        <v>1</v>
      </c>
      <c r="N330" s="3" t="n">
        <v>2</v>
      </c>
      <c r="O330" s="3" t="n">
        <v>2</v>
      </c>
      <c r="P330" s="3" t="n">
        <v>2</v>
      </c>
      <c r="Q330" s="3" t="n">
        <v>2</v>
      </c>
      <c r="R330" s="3" t="n">
        <v>2</v>
      </c>
      <c r="S330" s="3" t="n">
        <v>2</v>
      </c>
      <c r="T330" s="4" t="n">
        <v>1</v>
      </c>
      <c r="U330" s="3" t="n">
        <v>1</v>
      </c>
      <c r="V330" s="3" t="n">
        <v>4.34</v>
      </c>
      <c r="W330" s="3" t="n">
        <v>2.13</v>
      </c>
      <c r="X330" s="3" t="n">
        <v>4.81</v>
      </c>
      <c r="Y330" s="3" t="n">
        <v>272</v>
      </c>
      <c r="AA330" s="3" t="n">
        <v>0.38</v>
      </c>
      <c r="AB330" s="3" t="n">
        <v>9.5</v>
      </c>
      <c r="AC330" s="3" t="n">
        <v>1</v>
      </c>
      <c r="AD330" s="3" t="n">
        <v>1</v>
      </c>
      <c r="AE330" s="3" t="n">
        <v>1</v>
      </c>
      <c r="AF330" s="3" t="n">
        <v>1</v>
      </c>
      <c r="AG330" s="3" t="n">
        <v>2</v>
      </c>
      <c r="AH330" s="3" t="n">
        <v>2</v>
      </c>
      <c r="AI330" s="3" t="n">
        <v>1</v>
      </c>
      <c r="AJ330" s="3" t="n">
        <v>1</v>
      </c>
      <c r="AK330" s="3" t="n">
        <v>2</v>
      </c>
      <c r="AL330" s="3" t="n">
        <v>2</v>
      </c>
      <c r="AM330" s="3" t="n">
        <v>2</v>
      </c>
      <c r="AN330" s="3" t="n">
        <v>2</v>
      </c>
      <c r="AO330" s="3" t="n">
        <v>2</v>
      </c>
      <c r="AP330" s="3" t="n">
        <v>3</v>
      </c>
      <c r="AQ330" s="3" t="n">
        <v>4</v>
      </c>
      <c r="AR330" s="3" t="n">
        <v>4</v>
      </c>
      <c r="AS330" s="3" t="n">
        <v>6</v>
      </c>
      <c r="AT330" s="3" t="n">
        <v>4</v>
      </c>
      <c r="AU330" s="3" t="n">
        <v>4</v>
      </c>
      <c r="AV330" s="3" t="n">
        <v>6</v>
      </c>
      <c r="AW330" s="3" t="n">
        <v>6</v>
      </c>
      <c r="AX330" s="3" t="n">
        <v>3</v>
      </c>
      <c r="AY330" s="3" t="n">
        <v>3</v>
      </c>
      <c r="AZ330" s="3" t="n">
        <v>1</v>
      </c>
      <c r="BA330" s="5" t="n">
        <v>5</v>
      </c>
      <c r="BB330" s="3" t="n">
        <v>2</v>
      </c>
      <c r="BC330" s="3" t="n">
        <v>1</v>
      </c>
      <c r="BD330" s="3" t="n">
        <v>6</v>
      </c>
      <c r="BE330" s="3" t="n">
        <v>3</v>
      </c>
      <c r="BF330" s="3" t="n">
        <v>5</v>
      </c>
      <c r="BG330" s="3" t="n">
        <v>3</v>
      </c>
      <c r="BH330" s="3" t="n">
        <v>4</v>
      </c>
      <c r="BI330" s="3" t="n">
        <v>1</v>
      </c>
      <c r="BJ330" s="3" t="n">
        <v>1</v>
      </c>
      <c r="BK330" s="6" t="s">
        <v>1016</v>
      </c>
    </row>
    <row r="331" customFormat="false" ht="15" hidden="false" customHeight="true" outlineLevel="0" collapsed="false">
      <c r="B331" s="2" t="s">
        <v>1017</v>
      </c>
      <c r="C331" s="2" t="s">
        <v>1018</v>
      </c>
      <c r="D331" s="2" t="s">
        <v>66</v>
      </c>
      <c r="E331" s="2" t="n">
        <v>174147</v>
      </c>
      <c r="F331" s="15" t="n">
        <v>43544</v>
      </c>
      <c r="G331" s="15" t="n">
        <v>43551</v>
      </c>
      <c r="H331" s="3" t="n">
        <v>7</v>
      </c>
      <c r="I331" s="3" t="n">
        <v>1</v>
      </c>
      <c r="J331" s="3" t="n">
        <v>55</v>
      </c>
      <c r="K331" s="3" t="n">
        <v>1</v>
      </c>
      <c r="L331" s="3" t="n">
        <v>2</v>
      </c>
      <c r="M331" s="3" t="n">
        <v>1</v>
      </c>
      <c r="N331" s="3" t="n">
        <v>2</v>
      </c>
      <c r="O331" s="3" t="n">
        <v>2</v>
      </c>
      <c r="P331" s="3" t="n">
        <v>2</v>
      </c>
      <c r="Q331" s="3" t="n">
        <v>2</v>
      </c>
      <c r="R331" s="3" t="n">
        <v>2</v>
      </c>
      <c r="S331" s="3" t="n">
        <v>2</v>
      </c>
      <c r="T331" s="4" t="n">
        <v>2</v>
      </c>
      <c r="U331" s="3" t="n">
        <v>2</v>
      </c>
      <c r="V331" s="3" t="n">
        <v>5.86</v>
      </c>
      <c r="W331" s="3" t="n">
        <v>2.07</v>
      </c>
      <c r="X331" s="3" t="n">
        <v>6.2</v>
      </c>
      <c r="Y331" s="3" t="n">
        <v>235</v>
      </c>
      <c r="AA331" s="3" t="n">
        <v>0.35</v>
      </c>
      <c r="AB331" s="3" t="n">
        <v>9.5</v>
      </c>
      <c r="AC331" s="3" t="n">
        <v>1</v>
      </c>
      <c r="AD331" s="3" t="n">
        <v>2</v>
      </c>
      <c r="AE331" s="3" t="n">
        <v>1</v>
      </c>
      <c r="AF331" s="3" t="n">
        <v>1</v>
      </c>
      <c r="AG331" s="3" t="n">
        <v>2</v>
      </c>
      <c r="AH331" s="3" t="n">
        <v>2</v>
      </c>
      <c r="AI331" s="3" t="n">
        <v>1</v>
      </c>
      <c r="AJ331" s="3" t="n">
        <v>1</v>
      </c>
      <c r="AK331" s="3" t="n">
        <v>2</v>
      </c>
      <c r="AL331" s="3" t="n">
        <v>2</v>
      </c>
      <c r="AM331" s="3" t="n">
        <v>2</v>
      </c>
      <c r="AN331" s="3" t="n">
        <v>2</v>
      </c>
      <c r="AO331" s="3" t="n">
        <v>2</v>
      </c>
      <c r="AP331" s="3" t="n">
        <v>3</v>
      </c>
      <c r="AQ331" s="3" t="n">
        <v>4</v>
      </c>
      <c r="AR331" s="3" t="n">
        <v>4</v>
      </c>
      <c r="AS331" s="3" t="n">
        <v>6</v>
      </c>
      <c r="AT331" s="3" t="n">
        <v>4</v>
      </c>
      <c r="AU331" s="3" t="n">
        <v>4</v>
      </c>
      <c r="AV331" s="3" t="n">
        <v>6</v>
      </c>
      <c r="AW331" s="3" t="n">
        <v>6</v>
      </c>
      <c r="AX331" s="3" t="n">
        <v>3</v>
      </c>
      <c r="AY331" s="3" t="n">
        <v>3</v>
      </c>
      <c r="AZ331" s="3" t="n">
        <v>1</v>
      </c>
      <c r="BA331" s="5" t="n">
        <v>1</v>
      </c>
      <c r="BB331" s="3" t="n">
        <v>1</v>
      </c>
      <c r="BC331" s="3" t="n">
        <v>1</v>
      </c>
      <c r="BD331" s="3" t="n">
        <v>3</v>
      </c>
      <c r="BE331" s="3" t="n">
        <v>1</v>
      </c>
      <c r="BF331" s="3" t="n">
        <v>2</v>
      </c>
      <c r="BG331" s="3" t="n">
        <v>1</v>
      </c>
      <c r="BH331" s="3" t="n">
        <v>4</v>
      </c>
      <c r="BI331" s="3" t="n">
        <v>1</v>
      </c>
      <c r="BJ331" s="3" t="n">
        <v>1</v>
      </c>
      <c r="BK331" s="6" t="s">
        <v>1019</v>
      </c>
    </row>
    <row r="332" customFormat="false" ht="15" hidden="false" customHeight="true" outlineLevel="0" collapsed="false">
      <c r="B332" s="2" t="s">
        <v>1020</v>
      </c>
      <c r="C332" s="2" t="s">
        <v>898</v>
      </c>
      <c r="D332" s="2" t="s">
        <v>160</v>
      </c>
      <c r="E332" s="2" t="n">
        <v>174205</v>
      </c>
      <c r="F332" s="15" t="n">
        <v>43547</v>
      </c>
      <c r="G332" s="15" t="n">
        <v>43551</v>
      </c>
      <c r="H332" s="3" t="n">
        <v>4</v>
      </c>
      <c r="I332" s="3" t="n">
        <v>1</v>
      </c>
      <c r="J332" s="3" t="n">
        <v>51</v>
      </c>
      <c r="K332" s="3" t="n">
        <v>1</v>
      </c>
      <c r="L332" s="3" t="n">
        <v>2</v>
      </c>
      <c r="M332" s="3" t="n">
        <v>1</v>
      </c>
      <c r="N332" s="3" t="n">
        <v>2</v>
      </c>
      <c r="O332" s="3" t="n">
        <v>2</v>
      </c>
      <c r="P332" s="3" t="n">
        <v>2</v>
      </c>
      <c r="Q332" s="3" t="n">
        <v>2</v>
      </c>
      <c r="R332" s="3" t="n">
        <v>2</v>
      </c>
      <c r="S332" s="3" t="n">
        <v>2</v>
      </c>
      <c r="T332" s="4" t="n">
        <v>1</v>
      </c>
      <c r="U332" s="3" t="n">
        <v>1</v>
      </c>
      <c r="V332" s="3" t="s">
        <v>1021</v>
      </c>
      <c r="W332" s="3" t="n">
        <v>1.12</v>
      </c>
      <c r="X332" s="3" t="n">
        <v>4.79</v>
      </c>
      <c r="Y332" s="3" t="n">
        <v>425</v>
      </c>
      <c r="AA332" s="3" t="n">
        <v>0.35</v>
      </c>
      <c r="AB332" s="3" t="n">
        <v>8.2</v>
      </c>
      <c r="AC332" s="3" t="n">
        <v>1</v>
      </c>
      <c r="AD332" s="3" t="n">
        <v>1</v>
      </c>
      <c r="AE332" s="3" t="n">
        <v>1</v>
      </c>
      <c r="AF332" s="3" t="n">
        <v>1</v>
      </c>
      <c r="AG332" s="3" t="n">
        <v>2</v>
      </c>
      <c r="AH332" s="3" t="n">
        <v>1</v>
      </c>
      <c r="AI332" s="3" t="n">
        <v>1</v>
      </c>
      <c r="AJ332" s="3" t="n">
        <v>2</v>
      </c>
      <c r="AK332" s="3" t="n">
        <v>2</v>
      </c>
      <c r="AL332" s="3" t="n">
        <v>2</v>
      </c>
      <c r="AM332" s="3" t="n">
        <v>1</v>
      </c>
      <c r="AN332" s="3" t="n">
        <v>2</v>
      </c>
      <c r="AO332" s="3" t="n">
        <v>2</v>
      </c>
      <c r="AP332" s="3" t="n">
        <v>3</v>
      </c>
      <c r="AQ332" s="3" t="n">
        <v>4</v>
      </c>
      <c r="AR332" s="3" t="n">
        <v>4</v>
      </c>
      <c r="AS332" s="3" t="n">
        <v>6</v>
      </c>
      <c r="AT332" s="3" t="n">
        <v>4</v>
      </c>
      <c r="AU332" s="3" t="n">
        <v>4</v>
      </c>
      <c r="AV332" s="3" t="n">
        <v>6</v>
      </c>
      <c r="AW332" s="3" t="n">
        <v>6</v>
      </c>
      <c r="AX332" s="3" t="n">
        <v>3</v>
      </c>
      <c r="AY332" s="3" t="n">
        <v>3</v>
      </c>
      <c r="AZ332" s="3" t="n">
        <v>1</v>
      </c>
      <c r="BA332" s="5" t="n">
        <v>5</v>
      </c>
      <c r="BB332" s="3" t="n">
        <v>2</v>
      </c>
      <c r="BC332" s="3" t="n">
        <v>1</v>
      </c>
      <c r="BD332" s="3" t="n">
        <v>6</v>
      </c>
      <c r="BE332" s="3" t="n">
        <v>3</v>
      </c>
      <c r="BF332" s="3" t="n">
        <v>5</v>
      </c>
      <c r="BG332" s="3" t="n">
        <v>3</v>
      </c>
      <c r="BH332" s="3" t="n">
        <v>4</v>
      </c>
      <c r="BI332" s="3" t="n">
        <v>1</v>
      </c>
      <c r="BJ332" s="3" t="n">
        <v>1</v>
      </c>
      <c r="BK332" s="6" t="s">
        <v>1022</v>
      </c>
    </row>
    <row r="333" customFormat="false" ht="15" hidden="false" customHeight="true" outlineLevel="0" collapsed="false">
      <c r="B333" s="2" t="s">
        <v>228</v>
      </c>
      <c r="C333" s="2" t="s">
        <v>414</v>
      </c>
      <c r="D333" s="2" t="s">
        <v>160</v>
      </c>
      <c r="E333" s="2" t="n">
        <v>173694</v>
      </c>
      <c r="F333" s="15" t="n">
        <v>43545</v>
      </c>
      <c r="G333" s="15" t="n">
        <v>43552</v>
      </c>
      <c r="H333" s="3" t="n">
        <v>7</v>
      </c>
      <c r="I333" s="3" t="n">
        <v>2</v>
      </c>
      <c r="J333" s="3" t="n">
        <v>66</v>
      </c>
      <c r="K333" s="3" t="n">
        <v>1</v>
      </c>
      <c r="L333" s="3" t="n">
        <v>1</v>
      </c>
      <c r="M333" s="3" t="n">
        <v>2</v>
      </c>
      <c r="N333" s="3" t="n">
        <v>1</v>
      </c>
      <c r="O333" s="3" t="n">
        <v>1</v>
      </c>
      <c r="P333" s="3" t="n">
        <v>2</v>
      </c>
      <c r="Q333" s="3" t="n">
        <v>2</v>
      </c>
      <c r="R333" s="3" t="n">
        <v>2</v>
      </c>
      <c r="S333" s="3" t="n">
        <v>2</v>
      </c>
      <c r="T333" s="4" t="n">
        <v>2</v>
      </c>
      <c r="U333" s="3" t="n">
        <v>2</v>
      </c>
      <c r="V333" s="3" t="n">
        <v>2.8</v>
      </c>
      <c r="W333" s="3" t="n">
        <v>0.88</v>
      </c>
      <c r="X333" s="3" t="n">
        <v>4.8</v>
      </c>
      <c r="Y333" s="3" t="n">
        <v>596</v>
      </c>
      <c r="AA333" s="3" t="n">
        <v>0.25</v>
      </c>
      <c r="AB333" s="3" t="n">
        <v>11.9</v>
      </c>
      <c r="AC333" s="3" t="n">
        <v>2</v>
      </c>
      <c r="AD333" s="3" t="n">
        <v>1</v>
      </c>
      <c r="AE333" s="3" t="n">
        <v>1</v>
      </c>
      <c r="AF333" s="3" t="n">
        <v>1</v>
      </c>
      <c r="AG333" s="3" t="n">
        <v>2</v>
      </c>
      <c r="AH333" s="3" t="n">
        <v>2</v>
      </c>
      <c r="AI333" s="3" t="n">
        <v>1</v>
      </c>
      <c r="AJ333" s="3" t="n">
        <v>1</v>
      </c>
      <c r="AK333" s="3" t="n">
        <v>2</v>
      </c>
      <c r="AL333" s="3" t="n">
        <v>2</v>
      </c>
      <c r="AM333" s="3" t="n">
        <v>1</v>
      </c>
      <c r="AN333" s="3" t="n">
        <v>2</v>
      </c>
      <c r="AO333" s="3" t="n">
        <v>2</v>
      </c>
      <c r="AP333" s="3" t="n">
        <v>3</v>
      </c>
      <c r="AQ333" s="3" t="n">
        <v>4</v>
      </c>
      <c r="AR333" s="3" t="n">
        <v>4</v>
      </c>
      <c r="AS333" s="3" t="n">
        <v>6</v>
      </c>
      <c r="AT333" s="3" t="n">
        <v>4</v>
      </c>
      <c r="AU333" s="3" t="n">
        <v>4</v>
      </c>
      <c r="AV333" s="3" t="n">
        <v>6</v>
      </c>
      <c r="AW333" s="3" t="n">
        <v>6</v>
      </c>
      <c r="AX333" s="3" t="n">
        <v>3</v>
      </c>
      <c r="AY333" s="3" t="n">
        <v>3</v>
      </c>
      <c r="AZ333" s="3" t="n">
        <v>1</v>
      </c>
      <c r="BA333" s="5" t="n">
        <v>1</v>
      </c>
      <c r="BB333" s="3" t="n">
        <v>1</v>
      </c>
      <c r="BC333" s="3" t="n">
        <v>1</v>
      </c>
      <c r="BD333" s="3" t="n">
        <v>4</v>
      </c>
      <c r="BE333" s="3" t="n">
        <v>1</v>
      </c>
      <c r="BF333" s="3" t="n">
        <v>2</v>
      </c>
      <c r="BG333" s="3" t="n">
        <v>1</v>
      </c>
      <c r="BH333" s="3" t="n">
        <v>4</v>
      </c>
      <c r="BI333" s="3" t="n">
        <v>1</v>
      </c>
      <c r="BJ333" s="3" t="n">
        <v>1</v>
      </c>
      <c r="BK333" s="6" t="s">
        <v>1023</v>
      </c>
    </row>
    <row r="334" customFormat="false" ht="15" hidden="false" customHeight="true" outlineLevel="0" collapsed="false">
      <c r="B334" s="2" t="s">
        <v>1024</v>
      </c>
      <c r="C334" s="2" t="s">
        <v>127</v>
      </c>
      <c r="D334" s="2" t="s">
        <v>61</v>
      </c>
      <c r="E334" s="2" t="n">
        <v>174183</v>
      </c>
      <c r="F334" s="15" t="n">
        <v>43546</v>
      </c>
      <c r="G334" s="15" t="n">
        <v>43552</v>
      </c>
      <c r="H334" s="3" t="n">
        <v>6</v>
      </c>
      <c r="I334" s="3" t="n">
        <v>2</v>
      </c>
      <c r="J334" s="3" t="n">
        <v>82</v>
      </c>
      <c r="K334" s="3" t="n">
        <v>1</v>
      </c>
      <c r="L334" s="3" t="n">
        <v>2</v>
      </c>
      <c r="M334" s="3" t="n">
        <v>1</v>
      </c>
      <c r="N334" s="3" t="n">
        <v>2</v>
      </c>
      <c r="O334" s="3" t="n">
        <v>2</v>
      </c>
      <c r="P334" s="3" t="n">
        <v>2</v>
      </c>
      <c r="Q334" s="3" t="n">
        <v>2</v>
      </c>
      <c r="R334" s="3" t="n">
        <v>2</v>
      </c>
      <c r="S334" s="3" t="n">
        <v>1</v>
      </c>
      <c r="T334" s="4" t="n">
        <v>4</v>
      </c>
      <c r="U334" s="3" t="n">
        <v>4</v>
      </c>
      <c r="V334" s="3" t="n">
        <v>3.04</v>
      </c>
      <c r="W334" s="3" t="n">
        <v>0.82</v>
      </c>
      <c r="X334" s="3" t="n">
        <v>3.83</v>
      </c>
      <c r="Y334" s="3" t="n">
        <v>411</v>
      </c>
      <c r="AA334" s="3" t="n">
        <v>0.41</v>
      </c>
      <c r="AB334" s="3" t="n">
        <v>9.9</v>
      </c>
      <c r="AC334" s="3" t="n">
        <v>1</v>
      </c>
      <c r="AD334" s="3" t="n">
        <v>2</v>
      </c>
      <c r="AE334" s="3" t="n">
        <v>2</v>
      </c>
      <c r="AF334" s="3" t="n">
        <v>2</v>
      </c>
      <c r="AG334" s="3" t="n">
        <v>2</v>
      </c>
      <c r="AH334" s="3" t="n">
        <v>2</v>
      </c>
      <c r="AI334" s="3" t="n">
        <v>2</v>
      </c>
      <c r="AJ334" s="3" t="n">
        <v>1</v>
      </c>
      <c r="AK334" s="3" t="n">
        <v>2</v>
      </c>
      <c r="AL334" s="3" t="n">
        <v>2</v>
      </c>
      <c r="AM334" s="3" t="n">
        <v>2</v>
      </c>
      <c r="AN334" s="3" t="n">
        <v>2</v>
      </c>
      <c r="AO334" s="3" t="n">
        <v>2</v>
      </c>
      <c r="AP334" s="3" t="n">
        <v>3</v>
      </c>
      <c r="AQ334" s="3" t="n">
        <v>4</v>
      </c>
      <c r="AR334" s="3" t="n">
        <v>4</v>
      </c>
      <c r="AS334" s="3" t="n">
        <v>6</v>
      </c>
      <c r="AT334" s="3" t="n">
        <v>4</v>
      </c>
      <c r="AU334" s="3" t="n">
        <v>4</v>
      </c>
      <c r="AV334" s="3" t="n">
        <v>6</v>
      </c>
      <c r="AW334" s="3" t="n">
        <v>6</v>
      </c>
      <c r="AX334" s="3" t="n">
        <v>3</v>
      </c>
      <c r="AY334" s="3" t="n">
        <v>3</v>
      </c>
      <c r="AZ334" s="3" t="n">
        <v>1</v>
      </c>
      <c r="BA334" s="5" t="n">
        <v>10</v>
      </c>
      <c r="BB334" s="3" t="n">
        <v>2</v>
      </c>
      <c r="BC334" s="3" t="n">
        <v>1</v>
      </c>
      <c r="BD334" s="3" t="n">
        <v>6</v>
      </c>
      <c r="BE334" s="3" t="n">
        <v>3</v>
      </c>
      <c r="BF334" s="3" t="n">
        <v>5</v>
      </c>
      <c r="BG334" s="3" t="n">
        <v>3</v>
      </c>
      <c r="BH334" s="3" t="n">
        <v>4</v>
      </c>
      <c r="BI334" s="3" t="n">
        <v>1</v>
      </c>
      <c r="BJ334" s="3" t="n">
        <v>1</v>
      </c>
      <c r="BK334" s="6" t="s">
        <v>1025</v>
      </c>
    </row>
    <row r="335" customFormat="false" ht="15" hidden="false" customHeight="true" outlineLevel="0" collapsed="false">
      <c r="B335" s="2" t="s">
        <v>828</v>
      </c>
      <c r="C335" s="2" t="s">
        <v>1026</v>
      </c>
      <c r="D335" s="2" t="s">
        <v>1027</v>
      </c>
      <c r="E335" s="2" t="n">
        <v>165536</v>
      </c>
      <c r="F335" s="15" t="n">
        <v>43546</v>
      </c>
      <c r="G335" s="15" t="n">
        <v>43553</v>
      </c>
      <c r="H335" s="3" t="n">
        <v>7</v>
      </c>
      <c r="I335" s="3" t="n">
        <v>1</v>
      </c>
      <c r="J335" s="3" t="n">
        <v>83</v>
      </c>
      <c r="K335" s="3" t="n">
        <v>1</v>
      </c>
      <c r="L335" s="3" t="n">
        <v>2</v>
      </c>
      <c r="M335" s="3" t="n">
        <v>1</v>
      </c>
      <c r="N335" s="3" t="n">
        <v>2</v>
      </c>
      <c r="O335" s="3" t="n">
        <v>2</v>
      </c>
      <c r="P335" s="3" t="n">
        <v>2</v>
      </c>
      <c r="Q335" s="3" t="n">
        <v>2</v>
      </c>
      <c r="R335" s="3" t="n">
        <v>2</v>
      </c>
      <c r="S335" s="3" t="n">
        <v>1</v>
      </c>
      <c r="T335" s="4" t="n">
        <v>1</v>
      </c>
      <c r="U335" s="3" t="n">
        <v>1</v>
      </c>
      <c r="V335" s="3" t="n">
        <v>4.5</v>
      </c>
      <c r="W335" s="3" t="n">
        <v>0.75</v>
      </c>
      <c r="X335" s="3" t="n">
        <v>7.46</v>
      </c>
      <c r="Y335" s="3" t="n">
        <v>261</v>
      </c>
      <c r="AA335" s="3" t="n">
        <v>0.4</v>
      </c>
      <c r="AB335" s="3" t="n">
        <v>12.3</v>
      </c>
      <c r="AD335" s="3" t="n">
        <v>1</v>
      </c>
      <c r="AE335" s="3" t="n">
        <v>1</v>
      </c>
      <c r="AF335" s="3" t="n">
        <v>1</v>
      </c>
      <c r="AG335" s="3" t="n">
        <v>2</v>
      </c>
      <c r="AH335" s="3" t="n">
        <v>2</v>
      </c>
      <c r="AI335" s="3" t="n">
        <v>1</v>
      </c>
      <c r="AJ335" s="3" t="n">
        <v>1</v>
      </c>
      <c r="AK335" s="3" t="n">
        <v>2</v>
      </c>
      <c r="AL335" s="3" t="n">
        <v>2</v>
      </c>
      <c r="AM335" s="3" t="n">
        <v>2</v>
      </c>
      <c r="AN335" s="3" t="n">
        <v>2</v>
      </c>
      <c r="AO335" s="3" t="n">
        <v>2</v>
      </c>
      <c r="AP335" s="3" t="n">
        <v>3</v>
      </c>
      <c r="AQ335" s="3" t="n">
        <v>4</v>
      </c>
      <c r="AR335" s="3" t="n">
        <v>4</v>
      </c>
      <c r="AS335" s="3" t="n">
        <v>6</v>
      </c>
      <c r="AT335" s="3" t="n">
        <v>4</v>
      </c>
      <c r="AU335" s="3" t="n">
        <v>4</v>
      </c>
      <c r="AV335" s="3" t="n">
        <v>6</v>
      </c>
      <c r="AW335" s="3" t="n">
        <v>6</v>
      </c>
      <c r="AX335" s="3" t="n">
        <v>3</v>
      </c>
      <c r="AY335" s="3" t="n">
        <v>3</v>
      </c>
      <c r="AZ335" s="3" t="n">
        <v>1</v>
      </c>
      <c r="BA335" s="5" t="n">
        <v>5</v>
      </c>
      <c r="BB335" s="3" t="n">
        <v>2</v>
      </c>
      <c r="BC335" s="3" t="n">
        <v>1</v>
      </c>
      <c r="BD335" s="3" t="n">
        <v>6</v>
      </c>
      <c r="BE335" s="3" t="n">
        <v>3</v>
      </c>
      <c r="BF335" s="3" t="n">
        <v>5</v>
      </c>
      <c r="BG335" s="3" t="n">
        <v>3</v>
      </c>
      <c r="BH335" s="3" t="n">
        <v>4</v>
      </c>
      <c r="BI335" s="3" t="n">
        <v>1</v>
      </c>
      <c r="BJ335" s="3" t="n">
        <v>1</v>
      </c>
      <c r="BK335" s="6" t="s">
        <v>1028</v>
      </c>
    </row>
    <row r="336" customFormat="false" ht="15" hidden="false" customHeight="true" outlineLevel="0" collapsed="false">
      <c r="B336" s="2" t="s">
        <v>1029</v>
      </c>
      <c r="C336" s="17" t="s">
        <v>95</v>
      </c>
      <c r="D336" s="17" t="s">
        <v>1030</v>
      </c>
      <c r="E336" s="2" t="n">
        <v>174216</v>
      </c>
      <c r="F336" s="15" t="n">
        <v>43547</v>
      </c>
      <c r="G336" s="15" t="n">
        <v>43556</v>
      </c>
      <c r="H336" s="3" t="n">
        <v>9</v>
      </c>
      <c r="I336" s="3" t="n">
        <v>1</v>
      </c>
      <c r="J336" s="3" t="n">
        <v>73</v>
      </c>
      <c r="K336" s="3" t="n">
        <v>2</v>
      </c>
      <c r="L336" s="3" t="n">
        <v>1</v>
      </c>
      <c r="M336" s="3" t="n">
        <v>1</v>
      </c>
      <c r="N336" s="3" t="n">
        <v>2</v>
      </c>
      <c r="O336" s="3" t="n">
        <v>2</v>
      </c>
      <c r="P336" s="3" t="n">
        <v>2</v>
      </c>
      <c r="Q336" s="3" t="n">
        <v>2</v>
      </c>
      <c r="R336" s="3" t="n">
        <v>2</v>
      </c>
      <c r="S336" s="3" t="n">
        <v>1</v>
      </c>
      <c r="T336" s="4" t="n">
        <v>1</v>
      </c>
      <c r="U336" s="3" t="n">
        <v>1</v>
      </c>
      <c r="V336" s="3" t="n">
        <v>3.31</v>
      </c>
      <c r="W336" s="3" t="n">
        <v>1.21</v>
      </c>
      <c r="X336" s="3" t="n">
        <v>4.84</v>
      </c>
      <c r="Y336" s="3" t="n">
        <v>434</v>
      </c>
      <c r="AA336" s="3" t="n">
        <v>0.27</v>
      </c>
      <c r="AB336" s="3" t="n">
        <v>9.6</v>
      </c>
      <c r="AD336" s="3" t="n">
        <v>1</v>
      </c>
      <c r="AE336" s="3" t="n">
        <v>1</v>
      </c>
      <c r="AF336" s="3" t="n">
        <v>1</v>
      </c>
      <c r="AG336" s="3" t="n">
        <v>2</v>
      </c>
      <c r="AH336" s="3" t="n">
        <v>1</v>
      </c>
      <c r="AI336" s="3" t="n">
        <v>1</v>
      </c>
      <c r="AJ336" s="3" t="n">
        <v>1</v>
      </c>
      <c r="AK336" s="3" t="n">
        <v>2</v>
      </c>
      <c r="AL336" s="3" t="n">
        <v>2</v>
      </c>
      <c r="AM336" s="3" t="n">
        <v>1</v>
      </c>
      <c r="AN336" s="3" t="n">
        <v>2</v>
      </c>
      <c r="AO336" s="3" t="n">
        <v>2</v>
      </c>
      <c r="AP336" s="3" t="n">
        <v>3</v>
      </c>
      <c r="AQ336" s="3" t="n">
        <v>4</v>
      </c>
      <c r="AR336" s="3" t="n">
        <v>4</v>
      </c>
      <c r="AS336" s="3" t="n">
        <v>6</v>
      </c>
      <c r="AT336" s="3" t="n">
        <v>4</v>
      </c>
      <c r="AU336" s="3" t="n">
        <v>4</v>
      </c>
      <c r="AV336" s="3" t="n">
        <v>6</v>
      </c>
      <c r="AW336" s="3" t="n">
        <v>6</v>
      </c>
      <c r="AX336" s="3" t="n">
        <v>3</v>
      </c>
      <c r="AY336" s="3" t="n">
        <v>3</v>
      </c>
      <c r="AZ336" s="3" t="n">
        <v>1</v>
      </c>
      <c r="BA336" s="5" t="n">
        <v>5</v>
      </c>
      <c r="BB336" s="3" t="n">
        <v>2</v>
      </c>
      <c r="BC336" s="3" t="n">
        <v>1</v>
      </c>
      <c r="BD336" s="3" t="n">
        <v>6</v>
      </c>
      <c r="BE336" s="3" t="n">
        <v>3</v>
      </c>
      <c r="BF336" s="3" t="n">
        <v>5</v>
      </c>
      <c r="BG336" s="3" t="n">
        <v>3</v>
      </c>
      <c r="BH336" s="3" t="n">
        <v>4</v>
      </c>
      <c r="BI336" s="3" t="n">
        <v>1</v>
      </c>
      <c r="BJ336" s="3" t="n">
        <v>1</v>
      </c>
      <c r="BK336" s="6" t="s">
        <v>1031</v>
      </c>
    </row>
    <row r="337" customFormat="false" ht="15" hidden="false" customHeight="true" outlineLevel="0" collapsed="false">
      <c r="B337" s="2" t="s">
        <v>440</v>
      </c>
      <c r="C337" s="2" t="s">
        <v>94</v>
      </c>
      <c r="D337" s="2" t="s">
        <v>94</v>
      </c>
      <c r="E337" s="2" t="n">
        <v>174500</v>
      </c>
      <c r="F337" s="15" t="n">
        <v>43550</v>
      </c>
      <c r="G337" s="15" t="n">
        <v>43558</v>
      </c>
      <c r="H337" s="3" t="n">
        <v>8</v>
      </c>
      <c r="I337" s="3" t="n">
        <v>2</v>
      </c>
      <c r="J337" s="3" t="n">
        <v>81</v>
      </c>
      <c r="K337" s="3" t="n">
        <v>1</v>
      </c>
      <c r="L337" s="3" t="n">
        <v>1</v>
      </c>
      <c r="M337" s="3" t="n">
        <v>1</v>
      </c>
      <c r="N337" s="3" t="n">
        <v>1</v>
      </c>
      <c r="O337" s="3" t="n">
        <v>2</v>
      </c>
      <c r="P337" s="3" t="n">
        <v>2</v>
      </c>
      <c r="Q337" s="3" t="n">
        <v>2</v>
      </c>
      <c r="R337" s="3" t="n">
        <v>2</v>
      </c>
      <c r="S337" s="3" t="n">
        <v>1</v>
      </c>
      <c r="T337" s="4" t="n">
        <v>2</v>
      </c>
      <c r="U337" s="3" t="n">
        <v>2</v>
      </c>
      <c r="V337" s="3" t="n">
        <v>2.88</v>
      </c>
      <c r="W337" s="3" t="n">
        <v>0.6</v>
      </c>
      <c r="X337" s="3" t="n">
        <v>5.5</v>
      </c>
      <c r="Y337" s="3" t="n">
        <v>355</v>
      </c>
      <c r="AA337" s="3" t="n">
        <v>0.45</v>
      </c>
      <c r="AB337" s="3" t="n">
        <v>13</v>
      </c>
      <c r="AC337" s="3" t="n">
        <v>2</v>
      </c>
      <c r="AD337" s="3" t="n">
        <v>1</v>
      </c>
      <c r="AE337" s="3" t="n">
        <v>1</v>
      </c>
      <c r="AF337" s="3" t="n">
        <v>1</v>
      </c>
      <c r="AG337" s="3" t="n">
        <v>2</v>
      </c>
      <c r="AH337" s="3" t="n">
        <v>2</v>
      </c>
      <c r="AI337" s="3" t="n">
        <v>1</v>
      </c>
      <c r="AJ337" s="3" t="n">
        <v>1</v>
      </c>
      <c r="AK337" s="3" t="n">
        <v>2</v>
      </c>
      <c r="AL337" s="3" t="n">
        <v>2</v>
      </c>
      <c r="AM337" s="3" t="n">
        <v>1</v>
      </c>
      <c r="AN337" s="3" t="n">
        <v>2</v>
      </c>
      <c r="AO337" s="3" t="n">
        <v>2</v>
      </c>
      <c r="AP337" s="3" t="n">
        <v>3</v>
      </c>
      <c r="AQ337" s="3" t="n">
        <v>4</v>
      </c>
      <c r="AR337" s="3" t="n">
        <v>4</v>
      </c>
      <c r="AS337" s="3" t="n">
        <v>6</v>
      </c>
      <c r="AT337" s="3" t="n">
        <v>4</v>
      </c>
      <c r="AU337" s="3" t="n">
        <v>4</v>
      </c>
      <c r="AV337" s="3" t="n">
        <v>6</v>
      </c>
      <c r="AW337" s="3" t="n">
        <v>6</v>
      </c>
      <c r="AX337" s="3" t="n">
        <v>3</v>
      </c>
      <c r="AY337" s="3" t="n">
        <v>3</v>
      </c>
      <c r="AZ337" s="3" t="n">
        <v>1</v>
      </c>
      <c r="BA337" s="5" t="n">
        <v>1</v>
      </c>
      <c r="BB337" s="3" t="n">
        <v>2</v>
      </c>
      <c r="BC337" s="3" t="n">
        <v>1</v>
      </c>
      <c r="BD337" s="3" t="n">
        <v>2</v>
      </c>
      <c r="BE337" s="3" t="n">
        <v>1</v>
      </c>
      <c r="BF337" s="3" t="n">
        <v>2</v>
      </c>
      <c r="BG337" s="3" t="n">
        <v>1</v>
      </c>
      <c r="BH337" s="3" t="n">
        <v>4</v>
      </c>
      <c r="BI337" s="3" t="n">
        <v>1</v>
      </c>
      <c r="BJ337" s="3" t="n">
        <v>1</v>
      </c>
      <c r="BK337" s="6" t="s">
        <v>1032</v>
      </c>
    </row>
    <row r="338" customFormat="false" ht="15" hidden="false" customHeight="true" outlineLevel="0" collapsed="false">
      <c r="B338" s="2" t="s">
        <v>1033</v>
      </c>
      <c r="C338" s="2" t="s">
        <v>1034</v>
      </c>
      <c r="D338" s="2" t="s">
        <v>1035</v>
      </c>
      <c r="E338" s="2" t="n">
        <v>174267</v>
      </c>
      <c r="F338" s="15" t="n">
        <v>43549</v>
      </c>
      <c r="G338" s="15" t="n">
        <v>43558</v>
      </c>
      <c r="H338" s="3" t="n">
        <v>8</v>
      </c>
      <c r="I338" s="3" t="n">
        <v>2</v>
      </c>
      <c r="J338" s="3" t="n">
        <v>58</v>
      </c>
      <c r="K338" s="3" t="n">
        <v>1</v>
      </c>
      <c r="L338" s="3" t="n">
        <v>2</v>
      </c>
      <c r="M338" s="3" t="n">
        <v>2</v>
      </c>
      <c r="N338" s="3" t="n">
        <v>2</v>
      </c>
      <c r="O338" s="3" t="n">
        <v>2</v>
      </c>
      <c r="P338" s="3" t="n">
        <v>2</v>
      </c>
      <c r="Q338" s="3" t="n">
        <v>2</v>
      </c>
      <c r="R338" s="3" t="n">
        <v>2</v>
      </c>
      <c r="S338" s="3" t="n">
        <v>2</v>
      </c>
      <c r="T338" s="4" t="n">
        <v>1</v>
      </c>
      <c r="U338" s="3" t="n">
        <v>1</v>
      </c>
      <c r="V338" s="3" t="n">
        <v>4.7</v>
      </c>
      <c r="W338" s="3" t="n">
        <v>0.72</v>
      </c>
      <c r="X338" s="3" t="n">
        <v>3.3</v>
      </c>
      <c r="Y338" s="3" t="n">
        <v>446</v>
      </c>
      <c r="AA338" s="3" t="n">
        <v>0.44</v>
      </c>
      <c r="AB338" s="3" t="n">
        <v>11.9</v>
      </c>
      <c r="AC338" s="3" t="n">
        <v>1</v>
      </c>
      <c r="AD338" s="3" t="n">
        <v>1</v>
      </c>
      <c r="AE338" s="3" t="n">
        <v>1</v>
      </c>
      <c r="AF338" s="3" t="n">
        <v>1</v>
      </c>
      <c r="AG338" s="3" t="n">
        <v>2</v>
      </c>
      <c r="AH338" s="3" t="n">
        <v>2</v>
      </c>
      <c r="AI338" s="3" t="n">
        <v>1</v>
      </c>
      <c r="AJ338" s="3" t="n">
        <v>2</v>
      </c>
      <c r="AK338" s="3" t="n">
        <v>2</v>
      </c>
      <c r="AL338" s="3" t="n">
        <v>2</v>
      </c>
      <c r="AM338" s="3" t="n">
        <v>2</v>
      </c>
      <c r="AN338" s="3" t="n">
        <v>2</v>
      </c>
      <c r="AO338" s="3" t="n">
        <v>2</v>
      </c>
      <c r="AP338" s="3" t="n">
        <v>3</v>
      </c>
      <c r="AQ338" s="3" t="n">
        <v>4</v>
      </c>
      <c r="AR338" s="3" t="n">
        <v>4</v>
      </c>
      <c r="AS338" s="3" t="n">
        <v>6</v>
      </c>
      <c r="AT338" s="3" t="n">
        <v>4</v>
      </c>
      <c r="AU338" s="3" t="n">
        <v>4</v>
      </c>
      <c r="AV338" s="3" t="n">
        <v>6</v>
      </c>
      <c r="AW338" s="3" t="n">
        <v>6</v>
      </c>
      <c r="AX338" s="3" t="n">
        <v>3</v>
      </c>
      <c r="AY338" s="3" t="n">
        <v>3</v>
      </c>
      <c r="AZ338" s="3" t="n">
        <v>1</v>
      </c>
      <c r="BA338" s="5" t="n">
        <v>5</v>
      </c>
      <c r="BB338" s="3" t="n">
        <v>2</v>
      </c>
      <c r="BC338" s="3" t="n">
        <v>1</v>
      </c>
      <c r="BD338" s="3" t="n">
        <v>6</v>
      </c>
      <c r="BE338" s="3" t="n">
        <v>3</v>
      </c>
      <c r="BF338" s="3" t="n">
        <v>5</v>
      </c>
      <c r="BG338" s="3" t="n">
        <v>3</v>
      </c>
      <c r="BH338" s="3" t="n">
        <v>4</v>
      </c>
      <c r="BI338" s="3" t="n">
        <v>1</v>
      </c>
      <c r="BJ338" s="3" t="n">
        <v>1</v>
      </c>
      <c r="BK338" s="6" t="s">
        <v>1036</v>
      </c>
    </row>
    <row r="339" customFormat="false" ht="15" hidden="false" customHeight="true" outlineLevel="0" collapsed="false">
      <c r="B339" s="2" t="s">
        <v>653</v>
      </c>
      <c r="C339" s="2" t="s">
        <v>127</v>
      </c>
      <c r="D339" s="2" t="s">
        <v>525</v>
      </c>
      <c r="E339" s="2" t="n">
        <v>174530</v>
      </c>
      <c r="F339" s="15" t="n">
        <v>43551</v>
      </c>
      <c r="G339" s="15" t="n">
        <v>43558</v>
      </c>
      <c r="H339" s="3" t="n">
        <v>7</v>
      </c>
      <c r="I339" s="3" t="n">
        <v>2</v>
      </c>
      <c r="J339" s="3" t="n">
        <v>82</v>
      </c>
      <c r="K339" s="3" t="n">
        <v>1</v>
      </c>
      <c r="L339" s="3" t="n">
        <v>2</v>
      </c>
      <c r="M339" s="3" t="n">
        <v>1</v>
      </c>
      <c r="N339" s="3" t="n">
        <v>2</v>
      </c>
      <c r="O339" s="3" t="n">
        <v>2</v>
      </c>
      <c r="P339" s="3" t="n">
        <v>2</v>
      </c>
      <c r="Q339" s="3" t="n">
        <v>1</v>
      </c>
      <c r="R339" s="3" t="n">
        <v>2</v>
      </c>
      <c r="S339" s="3" t="n">
        <v>1</v>
      </c>
      <c r="T339" s="4" t="n">
        <v>1</v>
      </c>
      <c r="U339" s="3" t="n">
        <v>1</v>
      </c>
      <c r="V339" s="3" t="n">
        <v>3.3</v>
      </c>
      <c r="X339" s="3" t="n">
        <v>14.7</v>
      </c>
      <c r="Y339" s="3" t="n">
        <v>372</v>
      </c>
      <c r="AA339" s="3" t="n">
        <v>0.41</v>
      </c>
      <c r="AB339" s="3" t="n">
        <v>13.8</v>
      </c>
      <c r="AD339" s="3" t="n">
        <v>1</v>
      </c>
      <c r="AE339" s="3" t="n">
        <v>1</v>
      </c>
      <c r="AF339" s="3" t="n">
        <v>1</v>
      </c>
      <c r="AG339" s="3" t="n">
        <v>2</v>
      </c>
      <c r="AH339" s="3" t="n">
        <v>2</v>
      </c>
      <c r="AI339" s="3" t="n">
        <v>1</v>
      </c>
      <c r="AJ339" s="3" t="n">
        <v>1</v>
      </c>
      <c r="AK339" s="3" t="n">
        <v>2</v>
      </c>
      <c r="AL339" s="3" t="n">
        <v>2</v>
      </c>
      <c r="AM339" s="3" t="n">
        <v>1</v>
      </c>
      <c r="AN339" s="3" t="n">
        <v>2</v>
      </c>
      <c r="AO339" s="3" t="n">
        <v>2</v>
      </c>
      <c r="AP339" s="3" t="n">
        <v>3</v>
      </c>
      <c r="AQ339" s="3" t="n">
        <v>4</v>
      </c>
      <c r="AR339" s="3" t="n">
        <v>4</v>
      </c>
      <c r="AS339" s="3" t="n">
        <v>6</v>
      </c>
      <c r="AT339" s="3" t="n">
        <v>4</v>
      </c>
      <c r="AU339" s="3" t="n">
        <v>4</v>
      </c>
      <c r="AV339" s="3" t="n">
        <v>6</v>
      </c>
      <c r="AW339" s="3" t="n">
        <v>6</v>
      </c>
      <c r="AX339" s="3" t="n">
        <v>3</v>
      </c>
      <c r="AY339" s="3" t="n">
        <v>3</v>
      </c>
      <c r="AZ339" s="3" t="n">
        <v>1</v>
      </c>
      <c r="BA339" s="5" t="n">
        <v>5</v>
      </c>
      <c r="BB339" s="3" t="n">
        <v>2</v>
      </c>
      <c r="BC339" s="3" t="n">
        <v>1</v>
      </c>
      <c r="BD339" s="3" t="n">
        <v>6</v>
      </c>
      <c r="BE339" s="3" t="n">
        <v>3</v>
      </c>
      <c r="BF339" s="3" t="n">
        <v>5</v>
      </c>
      <c r="BG339" s="3" t="n">
        <v>3</v>
      </c>
      <c r="BH339" s="3" t="n">
        <v>4</v>
      </c>
      <c r="BI339" s="3" t="n">
        <v>1</v>
      </c>
      <c r="BJ339" s="3" t="n">
        <v>1</v>
      </c>
      <c r="BK339" s="6" t="s">
        <v>1037</v>
      </c>
    </row>
    <row r="340" customFormat="false" ht="15" hidden="false" customHeight="true" outlineLevel="0" collapsed="false">
      <c r="B340" s="2" t="s">
        <v>335</v>
      </c>
      <c r="C340" s="2" t="s">
        <v>1038</v>
      </c>
      <c r="D340" s="2" t="s">
        <v>95</v>
      </c>
      <c r="E340" s="2" t="n">
        <v>174585</v>
      </c>
      <c r="F340" s="15" t="n">
        <v>43553</v>
      </c>
      <c r="G340" s="15" t="n">
        <v>43558</v>
      </c>
      <c r="H340" s="3" t="n">
        <v>5</v>
      </c>
      <c r="I340" s="3" t="n">
        <v>1</v>
      </c>
      <c r="J340" s="3" t="n">
        <v>67</v>
      </c>
      <c r="K340" s="3" t="n">
        <v>2</v>
      </c>
      <c r="L340" s="3" t="n">
        <v>2</v>
      </c>
      <c r="M340" s="3" t="n">
        <v>1</v>
      </c>
      <c r="N340" s="3" t="n">
        <v>2</v>
      </c>
      <c r="O340" s="3" t="n">
        <v>2</v>
      </c>
      <c r="P340" s="3" t="n">
        <v>2</v>
      </c>
      <c r="Q340" s="3" t="n">
        <v>2</v>
      </c>
      <c r="R340" s="3" t="n">
        <v>2</v>
      </c>
      <c r="S340" s="3" t="n">
        <v>1</v>
      </c>
      <c r="T340" s="4" t="n">
        <v>6</v>
      </c>
      <c r="U340" s="3" t="n">
        <v>1</v>
      </c>
      <c r="V340" s="3" t="n">
        <v>5.1</v>
      </c>
      <c r="W340" s="3" t="n">
        <v>0.43</v>
      </c>
      <c r="X340" s="3" t="n">
        <v>8.2</v>
      </c>
      <c r="Y340" s="3" t="n">
        <v>497</v>
      </c>
      <c r="AA340" s="3" t="n">
        <v>0.55</v>
      </c>
      <c r="AB340" s="3" t="n">
        <v>10.2</v>
      </c>
      <c r="AC340" s="3" t="n">
        <v>1</v>
      </c>
      <c r="AD340" s="3" t="n">
        <v>1</v>
      </c>
      <c r="AE340" s="3" t="n">
        <v>1</v>
      </c>
      <c r="AF340" s="3" t="n">
        <v>1</v>
      </c>
      <c r="AG340" s="3" t="n">
        <v>1</v>
      </c>
      <c r="AH340" s="3" t="n">
        <v>1</v>
      </c>
      <c r="AI340" s="3" t="n">
        <v>1</v>
      </c>
      <c r="AJ340" s="3" t="n">
        <v>1</v>
      </c>
      <c r="AK340" s="3" t="n">
        <v>2</v>
      </c>
      <c r="AL340" s="3" t="n">
        <v>2</v>
      </c>
      <c r="AM340" s="3" t="n">
        <v>1</v>
      </c>
      <c r="AN340" s="3" t="n">
        <v>2</v>
      </c>
      <c r="AO340" s="3" t="n">
        <v>2</v>
      </c>
      <c r="AP340" s="3" t="n">
        <v>3</v>
      </c>
      <c r="AQ340" s="3" t="n">
        <v>4</v>
      </c>
      <c r="AR340" s="3" t="n">
        <v>4</v>
      </c>
      <c r="AS340" s="3" t="n">
        <v>6</v>
      </c>
      <c r="AT340" s="3" t="n">
        <v>4</v>
      </c>
      <c r="AU340" s="3" t="n">
        <v>4</v>
      </c>
      <c r="AV340" s="3" t="n">
        <v>6</v>
      </c>
      <c r="AW340" s="3" t="n">
        <v>6</v>
      </c>
      <c r="AX340" s="3" t="n">
        <v>3</v>
      </c>
      <c r="AY340" s="3" t="n">
        <v>3</v>
      </c>
      <c r="AZ340" s="3" t="n">
        <v>1</v>
      </c>
      <c r="BA340" s="5" t="n">
        <v>3</v>
      </c>
      <c r="BB340" s="3" t="n">
        <v>2</v>
      </c>
      <c r="BC340" s="3" t="n">
        <v>1</v>
      </c>
      <c r="BD340" s="3" t="n">
        <v>6</v>
      </c>
      <c r="BE340" s="3" t="n">
        <v>3</v>
      </c>
      <c r="BF340" s="3" t="n">
        <v>5</v>
      </c>
      <c r="BG340" s="3" t="n">
        <v>3</v>
      </c>
      <c r="BH340" s="3" t="n">
        <v>4</v>
      </c>
      <c r="BI340" s="3" t="n">
        <v>1</v>
      </c>
      <c r="BJ340" s="3" t="n">
        <v>1</v>
      </c>
      <c r="BK340" s="6" t="s">
        <v>1039</v>
      </c>
    </row>
    <row r="341" s="30" customFormat="true" ht="15" hidden="false" customHeight="true" outlineLevel="0" collapsed="false">
      <c r="A341" s="24"/>
      <c r="B341" s="26" t="s">
        <v>1005</v>
      </c>
      <c r="C341" s="26" t="s">
        <v>454</v>
      </c>
      <c r="D341" s="26" t="s">
        <v>95</v>
      </c>
      <c r="E341" s="26" t="n">
        <v>173644</v>
      </c>
      <c r="F341" s="27" t="n">
        <v>43555</v>
      </c>
      <c r="G341" s="27" t="n">
        <v>43559</v>
      </c>
      <c r="H341" s="30" t="n">
        <v>5</v>
      </c>
      <c r="I341" s="30" t="n">
        <v>2</v>
      </c>
      <c r="J341" s="30" t="n">
        <v>60</v>
      </c>
      <c r="K341" s="30" t="n">
        <v>1</v>
      </c>
      <c r="L341" s="30" t="n">
        <v>2</v>
      </c>
      <c r="M341" s="30" t="n">
        <v>1</v>
      </c>
      <c r="N341" s="30" t="n">
        <v>1</v>
      </c>
      <c r="O341" s="30" t="n">
        <v>2</v>
      </c>
      <c r="P341" s="30" t="n">
        <v>2</v>
      </c>
      <c r="Q341" s="30" t="n">
        <v>2</v>
      </c>
      <c r="R341" s="30" t="n">
        <v>2</v>
      </c>
      <c r="S341" s="30" t="n">
        <v>2</v>
      </c>
      <c r="T341" s="4" t="n">
        <v>3</v>
      </c>
      <c r="U341" s="30" t="n">
        <v>3</v>
      </c>
      <c r="V341" s="30" t="n">
        <v>4.39</v>
      </c>
      <c r="W341" s="30" t="n">
        <v>1.37</v>
      </c>
      <c r="X341" s="30" t="n">
        <v>8.1</v>
      </c>
      <c r="Y341" s="30" t="n">
        <v>444</v>
      </c>
      <c r="AA341" s="30" t="n">
        <v>0.36</v>
      </c>
      <c r="AB341" s="30" t="n">
        <v>12.4</v>
      </c>
      <c r="AC341" s="30" t="n">
        <v>2</v>
      </c>
      <c r="AD341" s="30" t="n">
        <v>2</v>
      </c>
      <c r="AE341" s="30" t="n">
        <v>1</v>
      </c>
      <c r="AF341" s="30" t="n">
        <v>1</v>
      </c>
      <c r="AG341" s="30" t="n">
        <v>2</v>
      </c>
      <c r="AH341" s="30" t="n">
        <v>2</v>
      </c>
      <c r="AI341" s="30" t="n">
        <v>1</v>
      </c>
      <c r="AJ341" s="30" t="n">
        <v>2</v>
      </c>
      <c r="AK341" s="30" t="n">
        <v>2</v>
      </c>
      <c r="AL341" s="30" t="n">
        <v>2</v>
      </c>
      <c r="AM341" s="30" t="n">
        <v>1</v>
      </c>
      <c r="AN341" s="30" t="n">
        <v>1</v>
      </c>
      <c r="AO341" s="30" t="n">
        <v>2</v>
      </c>
      <c r="AP341" s="30" t="n">
        <v>3</v>
      </c>
      <c r="AQ341" s="30" t="n">
        <v>4</v>
      </c>
      <c r="AR341" s="30" t="n">
        <v>4</v>
      </c>
      <c r="AS341" s="30" t="n">
        <v>6</v>
      </c>
      <c r="AT341" s="30" t="n">
        <v>4</v>
      </c>
      <c r="AU341" s="30" t="n">
        <v>4</v>
      </c>
      <c r="AV341" s="30" t="n">
        <v>6</v>
      </c>
      <c r="AW341" s="30" t="n">
        <v>6</v>
      </c>
      <c r="AX341" s="30" t="n">
        <v>3</v>
      </c>
      <c r="AY341" s="30" t="n">
        <v>3</v>
      </c>
      <c r="AZ341" s="30" t="n">
        <v>4</v>
      </c>
      <c r="BA341" s="5" t="n">
        <v>11</v>
      </c>
      <c r="BB341" s="30" t="n">
        <v>2</v>
      </c>
      <c r="BC341" s="30" t="n">
        <v>2</v>
      </c>
      <c r="BD341" s="30" t="n">
        <v>6</v>
      </c>
      <c r="BE341" s="30" t="n">
        <v>3</v>
      </c>
      <c r="BF341" s="30" t="n">
        <v>5</v>
      </c>
      <c r="BG341" s="30" t="n">
        <v>3</v>
      </c>
      <c r="BH341" s="30" t="n">
        <v>4</v>
      </c>
      <c r="BI341" s="30" t="n">
        <v>1</v>
      </c>
      <c r="BJ341" s="30" t="n">
        <v>1</v>
      </c>
      <c r="BK341" s="31" t="s">
        <v>1040</v>
      </c>
    </row>
    <row r="342" customFormat="false" ht="15" hidden="false" customHeight="true" outlineLevel="0" collapsed="false">
      <c r="B342" s="2" t="s">
        <v>1041</v>
      </c>
      <c r="C342" s="2" t="s">
        <v>1042</v>
      </c>
      <c r="D342" s="2" t="s">
        <v>118</v>
      </c>
      <c r="E342" s="2" t="n">
        <v>129008</v>
      </c>
      <c r="F342" s="15" t="n">
        <v>43557</v>
      </c>
      <c r="G342" s="15" t="n">
        <v>43559</v>
      </c>
      <c r="H342" s="3" t="n">
        <v>2</v>
      </c>
      <c r="I342" s="3" t="n">
        <v>1</v>
      </c>
      <c r="J342" s="3" t="n">
        <v>79</v>
      </c>
      <c r="K342" s="3" t="n">
        <v>1</v>
      </c>
      <c r="L342" s="3" t="n">
        <v>2</v>
      </c>
      <c r="M342" s="3" t="n">
        <v>1</v>
      </c>
      <c r="N342" s="3" t="n">
        <v>2</v>
      </c>
      <c r="O342" s="3" t="n">
        <v>2</v>
      </c>
      <c r="P342" s="3" t="n">
        <v>2</v>
      </c>
      <c r="Q342" s="3" t="n">
        <v>2</v>
      </c>
      <c r="R342" s="3" t="n">
        <v>2</v>
      </c>
      <c r="S342" s="3" t="n">
        <v>2</v>
      </c>
      <c r="T342" s="4" t="n">
        <v>1</v>
      </c>
      <c r="U342" s="3" t="n">
        <v>1</v>
      </c>
      <c r="V342" s="3" t="n">
        <v>6.9</v>
      </c>
      <c r="W342" s="3" t="n">
        <v>1.15</v>
      </c>
      <c r="X342" s="3" t="n">
        <v>6.1</v>
      </c>
      <c r="Y342" s="3" t="n">
        <v>287</v>
      </c>
      <c r="AA342" s="3" t="n">
        <v>0.35</v>
      </c>
      <c r="AC342" s="3" t="n">
        <v>2</v>
      </c>
      <c r="AD342" s="3" t="n">
        <v>1</v>
      </c>
      <c r="AE342" s="3" t="n">
        <v>2</v>
      </c>
      <c r="AF342" s="3" t="n">
        <v>1</v>
      </c>
      <c r="AG342" s="3" t="n">
        <v>2</v>
      </c>
      <c r="AH342" s="3" t="n">
        <v>2</v>
      </c>
      <c r="AI342" s="3" t="n">
        <v>2</v>
      </c>
      <c r="AJ342" s="3" t="n">
        <v>2</v>
      </c>
      <c r="AK342" s="3" t="n">
        <v>2</v>
      </c>
      <c r="AL342" s="3" t="n">
        <v>2</v>
      </c>
      <c r="AM342" s="3" t="n">
        <v>1</v>
      </c>
      <c r="AN342" s="3" t="n">
        <v>2</v>
      </c>
      <c r="AO342" s="3" t="n">
        <v>2</v>
      </c>
      <c r="AP342" s="3" t="n">
        <v>3</v>
      </c>
      <c r="AQ342" s="3" t="n">
        <v>4</v>
      </c>
      <c r="AR342" s="3" t="n">
        <v>4</v>
      </c>
      <c r="AS342" s="3" t="n">
        <v>6</v>
      </c>
      <c r="AT342" s="3" t="n">
        <v>4</v>
      </c>
      <c r="AU342" s="3" t="n">
        <v>4</v>
      </c>
      <c r="AV342" s="3" t="n">
        <v>6</v>
      </c>
      <c r="AW342" s="3" t="n">
        <v>6</v>
      </c>
      <c r="AX342" s="3" t="n">
        <v>3</v>
      </c>
      <c r="AY342" s="3" t="n">
        <v>3</v>
      </c>
      <c r="AZ342" s="3" t="n">
        <v>1</v>
      </c>
      <c r="BA342" s="5" t="n">
        <v>5</v>
      </c>
      <c r="BB342" s="3" t="n">
        <v>2</v>
      </c>
      <c r="BC342" s="3" t="n">
        <v>1</v>
      </c>
      <c r="BD342" s="3" t="n">
        <v>6</v>
      </c>
      <c r="BE342" s="3" t="n">
        <v>3</v>
      </c>
      <c r="BF342" s="3" t="n">
        <v>5</v>
      </c>
      <c r="BG342" s="3" t="n">
        <v>3</v>
      </c>
      <c r="BH342" s="3" t="n">
        <v>4</v>
      </c>
      <c r="BI342" s="3" t="n">
        <v>1</v>
      </c>
      <c r="BJ342" s="3" t="n">
        <v>1</v>
      </c>
      <c r="BK342" s="6" t="s">
        <v>1043</v>
      </c>
    </row>
    <row r="343" customFormat="false" ht="15" hidden="false" customHeight="true" outlineLevel="0" collapsed="false">
      <c r="B343" s="2" t="s">
        <v>1044</v>
      </c>
      <c r="C343" s="2" t="s">
        <v>63</v>
      </c>
      <c r="D343" s="2" t="s">
        <v>1045</v>
      </c>
      <c r="E343" s="2" t="n">
        <v>174879</v>
      </c>
      <c r="F343" s="15" t="n">
        <v>43557</v>
      </c>
      <c r="G343" s="15" t="n">
        <v>43560</v>
      </c>
      <c r="H343" s="3" t="n">
        <v>3</v>
      </c>
      <c r="I343" s="3" t="n">
        <v>2</v>
      </c>
      <c r="J343" s="3" t="n">
        <v>50</v>
      </c>
      <c r="K343" s="3" t="n">
        <v>1</v>
      </c>
      <c r="L343" s="3" t="n">
        <v>2</v>
      </c>
      <c r="M343" s="3" t="n">
        <v>1</v>
      </c>
      <c r="N343" s="3" t="n">
        <v>2</v>
      </c>
      <c r="O343" s="3" t="n">
        <v>1</v>
      </c>
      <c r="P343" s="3" t="n">
        <v>2</v>
      </c>
      <c r="Q343" s="3" t="n">
        <v>2</v>
      </c>
      <c r="R343" s="3" t="n">
        <v>2</v>
      </c>
      <c r="S343" s="3" t="n">
        <v>1</v>
      </c>
      <c r="T343" s="4" t="n">
        <v>1</v>
      </c>
      <c r="U343" s="3" t="n">
        <v>1</v>
      </c>
      <c r="V343" s="3" t="n">
        <v>7.63</v>
      </c>
      <c r="W343" s="3" t="n">
        <v>2.43</v>
      </c>
      <c r="X343" s="3" t="n">
        <v>6.91</v>
      </c>
      <c r="Y343" s="3" t="n">
        <v>517</v>
      </c>
      <c r="AA343" s="3" t="n">
        <v>0.46</v>
      </c>
      <c r="AB343" s="3" t="n">
        <v>10</v>
      </c>
      <c r="AC343" s="3" t="n">
        <v>1</v>
      </c>
      <c r="AD343" s="3" t="n">
        <v>1</v>
      </c>
      <c r="AE343" s="3" t="n">
        <v>1</v>
      </c>
      <c r="AF343" s="3" t="n">
        <v>1</v>
      </c>
      <c r="AG343" s="3" t="n">
        <v>2</v>
      </c>
      <c r="AH343" s="3" t="n">
        <v>2</v>
      </c>
      <c r="AI343" s="3" t="n">
        <v>1</v>
      </c>
      <c r="AJ343" s="3" t="n">
        <v>1</v>
      </c>
      <c r="AK343" s="3" t="n">
        <v>2</v>
      </c>
      <c r="AL343" s="3" t="n">
        <v>2</v>
      </c>
      <c r="AM343" s="3" t="n">
        <v>2</v>
      </c>
      <c r="AN343" s="3" t="n">
        <v>2</v>
      </c>
      <c r="AO343" s="3" t="n">
        <v>2</v>
      </c>
      <c r="AP343" s="3" t="n">
        <v>3</v>
      </c>
      <c r="AQ343" s="3" t="n">
        <v>4</v>
      </c>
      <c r="AR343" s="3" t="n">
        <v>4</v>
      </c>
      <c r="AS343" s="3" t="n">
        <v>6</v>
      </c>
      <c r="AT343" s="3" t="n">
        <v>4</v>
      </c>
      <c r="AU343" s="3" t="n">
        <v>4</v>
      </c>
      <c r="AV343" s="3" t="n">
        <v>6</v>
      </c>
      <c r="AW343" s="3" t="n">
        <v>6</v>
      </c>
      <c r="AX343" s="3" t="n">
        <v>3</v>
      </c>
      <c r="AY343" s="3" t="n">
        <v>3</v>
      </c>
      <c r="AZ343" s="3" t="n">
        <v>4</v>
      </c>
      <c r="BA343" s="5" t="n">
        <v>3</v>
      </c>
      <c r="BB343" s="3" t="n">
        <v>2</v>
      </c>
      <c r="BC343" s="3" t="n">
        <v>1</v>
      </c>
      <c r="BD343" s="3" t="n">
        <v>6</v>
      </c>
      <c r="BE343" s="3" t="n">
        <v>3</v>
      </c>
      <c r="BF343" s="3" t="n">
        <v>5</v>
      </c>
      <c r="BG343" s="3" t="n">
        <v>3</v>
      </c>
      <c r="BH343" s="3" t="n">
        <v>4</v>
      </c>
      <c r="BI343" s="3" t="n">
        <v>1</v>
      </c>
      <c r="BJ343" s="3" t="n">
        <v>1</v>
      </c>
      <c r="BK343" s="6" t="s">
        <v>1046</v>
      </c>
    </row>
    <row r="344" customFormat="false" ht="15" hidden="false" customHeight="true" outlineLevel="0" collapsed="false">
      <c r="B344" s="2" t="s">
        <v>150</v>
      </c>
      <c r="C344" s="2" t="s">
        <v>127</v>
      </c>
      <c r="D344" s="2" t="s">
        <v>175</v>
      </c>
      <c r="E344" s="2" t="n">
        <v>161437</v>
      </c>
      <c r="F344" s="15" t="n">
        <v>43550</v>
      </c>
      <c r="G344" s="15" t="n">
        <v>43560</v>
      </c>
      <c r="H344" s="3" t="n">
        <v>10</v>
      </c>
      <c r="I344" s="3" t="n">
        <v>2</v>
      </c>
      <c r="J344" s="3" t="n">
        <v>54</v>
      </c>
      <c r="K344" s="3" t="n">
        <v>1</v>
      </c>
      <c r="L344" s="3" t="n">
        <v>2</v>
      </c>
      <c r="M344" s="3" t="n">
        <v>1</v>
      </c>
      <c r="N344" s="3" t="n">
        <v>1</v>
      </c>
      <c r="O344" s="3" t="n">
        <v>2</v>
      </c>
      <c r="P344" s="3" t="n">
        <v>2</v>
      </c>
      <c r="Q344" s="3" t="n">
        <v>2</v>
      </c>
      <c r="R344" s="3" t="n">
        <v>2</v>
      </c>
      <c r="S344" s="3" t="n">
        <v>1</v>
      </c>
      <c r="T344" s="4" t="n">
        <v>1</v>
      </c>
      <c r="U344" s="3" t="n">
        <v>1</v>
      </c>
      <c r="V344" s="3" t="n">
        <v>3.73</v>
      </c>
      <c r="W344" s="3" t="n">
        <v>1</v>
      </c>
      <c r="X344" s="3" t="n">
        <v>5.6</v>
      </c>
      <c r="Y344" s="3" t="n">
        <v>313</v>
      </c>
      <c r="AA344" s="3" t="n">
        <v>0.33</v>
      </c>
      <c r="AB344" s="3" t="n">
        <v>10.8</v>
      </c>
      <c r="AC344" s="3" t="n">
        <v>1</v>
      </c>
      <c r="AD344" s="3" t="n">
        <v>1</v>
      </c>
      <c r="AE344" s="3" t="n">
        <v>1</v>
      </c>
      <c r="AF344" s="3" t="n">
        <v>1</v>
      </c>
      <c r="AG344" s="3" t="n">
        <v>1</v>
      </c>
      <c r="AH344" s="3" t="n">
        <v>2</v>
      </c>
      <c r="AI344" s="3" t="n">
        <v>1</v>
      </c>
      <c r="AJ344" s="3" t="n">
        <v>1</v>
      </c>
      <c r="AK344" s="3" t="n">
        <v>2</v>
      </c>
      <c r="AL344" s="3" t="n">
        <v>2</v>
      </c>
      <c r="AM344" s="3" t="n">
        <v>2</v>
      </c>
      <c r="AN344" s="3" t="n">
        <v>2</v>
      </c>
      <c r="AO344" s="3" t="n">
        <v>2</v>
      </c>
      <c r="AP344" s="3" t="n">
        <v>1</v>
      </c>
      <c r="AQ344" s="3" t="n">
        <v>3</v>
      </c>
      <c r="AR344" s="3" t="n">
        <v>5</v>
      </c>
      <c r="AS344" s="3" t="n">
        <v>5</v>
      </c>
      <c r="AT344" s="3" t="n">
        <v>5</v>
      </c>
      <c r="AU344" s="3" t="n">
        <v>1</v>
      </c>
      <c r="AV344" s="3" t="n">
        <v>1</v>
      </c>
      <c r="AW344" s="3" t="n">
        <v>1</v>
      </c>
      <c r="AX344" s="3" t="n">
        <v>2</v>
      </c>
      <c r="AY344" s="3" t="n">
        <v>2</v>
      </c>
      <c r="AZ344" s="3" t="n">
        <v>1</v>
      </c>
      <c r="BA344" s="5" t="n">
        <v>5</v>
      </c>
      <c r="BB344" s="3" t="n">
        <v>2</v>
      </c>
      <c r="BC344" s="3" t="n">
        <v>1</v>
      </c>
      <c r="BD344" s="3" t="n">
        <v>6</v>
      </c>
      <c r="BE344" s="3" t="n">
        <v>3</v>
      </c>
      <c r="BF344" s="3" t="n">
        <v>5</v>
      </c>
      <c r="BG344" s="3" t="n">
        <v>3</v>
      </c>
      <c r="BH344" s="3" t="n">
        <v>4</v>
      </c>
      <c r="BI344" s="3" t="n">
        <v>1</v>
      </c>
      <c r="BJ344" s="3" t="n">
        <v>1</v>
      </c>
      <c r="BK344" s="6" t="s">
        <v>1047</v>
      </c>
    </row>
    <row r="345" customFormat="false" ht="15" hidden="false" customHeight="true" outlineLevel="0" collapsed="false">
      <c r="B345" s="2" t="s">
        <v>831</v>
      </c>
      <c r="C345" s="2" t="s">
        <v>1048</v>
      </c>
      <c r="D345" s="2" t="s">
        <v>577</v>
      </c>
      <c r="E345" s="2" t="n">
        <v>174561</v>
      </c>
      <c r="F345" s="15" t="n">
        <v>43552</v>
      </c>
      <c r="G345" s="15" t="n">
        <v>43560</v>
      </c>
      <c r="H345" s="3" t="n">
        <v>8</v>
      </c>
      <c r="I345" s="3" t="n">
        <v>2</v>
      </c>
      <c r="J345" s="3" t="n">
        <v>43</v>
      </c>
      <c r="K345" s="3" t="n">
        <v>2</v>
      </c>
      <c r="L345" s="3" t="n">
        <v>1</v>
      </c>
      <c r="M345" s="3" t="n">
        <v>2</v>
      </c>
      <c r="N345" s="3" t="n">
        <v>2</v>
      </c>
      <c r="O345" s="3" t="n">
        <v>2</v>
      </c>
      <c r="P345" s="3" t="n">
        <v>2</v>
      </c>
      <c r="Q345" s="3" t="n">
        <v>2</v>
      </c>
      <c r="R345" s="3" t="n">
        <v>2</v>
      </c>
      <c r="S345" s="3" t="n">
        <v>2</v>
      </c>
      <c r="T345" s="4" t="n">
        <v>2</v>
      </c>
      <c r="U345" s="3" t="n">
        <v>2</v>
      </c>
      <c r="V345" s="3" t="n">
        <v>7.61</v>
      </c>
      <c r="W345" s="3" t="n">
        <v>0.96</v>
      </c>
      <c r="X345" s="3" t="n">
        <v>6.9</v>
      </c>
      <c r="Y345" s="3" t="n">
        <v>281</v>
      </c>
      <c r="AA345" s="3" t="n">
        <v>0.42</v>
      </c>
      <c r="AB345" s="3" t="n">
        <v>13.6</v>
      </c>
      <c r="AC345" s="3" t="n">
        <v>1</v>
      </c>
      <c r="AD345" s="3" t="n">
        <v>2</v>
      </c>
      <c r="AE345" s="3" t="n">
        <v>1</v>
      </c>
      <c r="AF345" s="3" t="n">
        <v>1</v>
      </c>
      <c r="AG345" s="3" t="n">
        <v>1</v>
      </c>
      <c r="AH345" s="3" t="n">
        <v>2</v>
      </c>
      <c r="AI345" s="3" t="n">
        <v>1</v>
      </c>
      <c r="AJ345" s="3" t="n">
        <v>1</v>
      </c>
      <c r="AK345" s="3" t="n">
        <v>2</v>
      </c>
      <c r="AL345" s="3" t="n">
        <v>2</v>
      </c>
      <c r="AM345" s="3" t="n">
        <v>2</v>
      </c>
      <c r="AN345" s="3" t="n">
        <v>2</v>
      </c>
      <c r="AO345" s="3" t="n">
        <v>2</v>
      </c>
      <c r="AP345" s="3" t="n">
        <v>3</v>
      </c>
      <c r="AQ345" s="3" t="n">
        <v>4</v>
      </c>
      <c r="AR345" s="3" t="n">
        <v>4</v>
      </c>
      <c r="AS345" s="3" t="n">
        <v>6</v>
      </c>
      <c r="AT345" s="3" t="n">
        <v>4</v>
      </c>
      <c r="AU345" s="3" t="n">
        <v>4</v>
      </c>
      <c r="AV345" s="3" t="n">
        <v>6</v>
      </c>
      <c r="AW345" s="3" t="n">
        <v>6</v>
      </c>
      <c r="AX345" s="3" t="n">
        <v>3</v>
      </c>
      <c r="AY345" s="3" t="n">
        <v>3</v>
      </c>
      <c r="AZ345" s="3" t="n">
        <v>1</v>
      </c>
      <c r="BA345" s="5" t="n">
        <v>1</v>
      </c>
      <c r="BB345" s="3" t="n">
        <v>1</v>
      </c>
      <c r="BC345" s="3" t="n">
        <v>1</v>
      </c>
      <c r="BD345" s="3" t="n">
        <v>2</v>
      </c>
      <c r="BE345" s="3" t="n">
        <v>1</v>
      </c>
      <c r="BF345" s="3" t="n">
        <v>3</v>
      </c>
      <c r="BG345" s="3" t="n">
        <v>1</v>
      </c>
      <c r="BH345" s="3" t="n">
        <v>4</v>
      </c>
      <c r="BI345" s="3" t="n">
        <v>1</v>
      </c>
      <c r="BJ345" s="3" t="n">
        <v>1</v>
      </c>
      <c r="BK345" s="6" t="s">
        <v>1049</v>
      </c>
    </row>
    <row r="346" customFormat="false" ht="15" hidden="false" customHeight="true" outlineLevel="0" collapsed="false">
      <c r="B346" s="2" t="s">
        <v>1050</v>
      </c>
      <c r="C346" s="2" t="s">
        <v>1051</v>
      </c>
      <c r="D346" s="2" t="s">
        <v>1052</v>
      </c>
      <c r="E346" s="2" t="n">
        <v>174839</v>
      </c>
      <c r="F346" s="15" t="n">
        <v>43556</v>
      </c>
      <c r="G346" s="15" t="n">
        <v>43563</v>
      </c>
      <c r="H346" s="3" t="n">
        <v>7</v>
      </c>
      <c r="I346" s="3" t="n">
        <v>1</v>
      </c>
      <c r="J346" s="3" t="n">
        <v>72</v>
      </c>
      <c r="K346" s="3" t="n">
        <v>2</v>
      </c>
      <c r="L346" s="3" t="n">
        <v>1</v>
      </c>
      <c r="M346" s="3" t="n">
        <v>1</v>
      </c>
      <c r="N346" s="3" t="n">
        <v>2</v>
      </c>
      <c r="O346" s="3" t="n">
        <v>2</v>
      </c>
      <c r="P346" s="3" t="n">
        <v>2</v>
      </c>
      <c r="Q346" s="3" t="n">
        <v>1</v>
      </c>
      <c r="R346" s="3" t="n">
        <v>2</v>
      </c>
      <c r="S346" s="3" t="n">
        <v>2</v>
      </c>
      <c r="T346" s="4" t="n">
        <v>2</v>
      </c>
      <c r="U346" s="3" t="n">
        <v>2</v>
      </c>
      <c r="V346" s="3" t="n">
        <v>7.21</v>
      </c>
      <c r="X346" s="3" t="n">
        <v>6.3</v>
      </c>
      <c r="Y346" s="3" t="n">
        <v>337</v>
      </c>
      <c r="AA346" s="3" t="n">
        <v>0.38</v>
      </c>
      <c r="AB346" s="3" t="n">
        <v>8.6</v>
      </c>
      <c r="AC346" s="3" t="n">
        <v>1</v>
      </c>
      <c r="AD346" s="3" t="n">
        <v>2</v>
      </c>
      <c r="AE346" s="3" t="n">
        <v>1</v>
      </c>
      <c r="AF346" s="3" t="n">
        <v>1</v>
      </c>
      <c r="AG346" s="3" t="n">
        <v>2</v>
      </c>
      <c r="AH346" s="3" t="n">
        <v>2</v>
      </c>
      <c r="AI346" s="3" t="n">
        <v>1</v>
      </c>
      <c r="AJ346" s="3" t="n">
        <v>1</v>
      </c>
      <c r="AK346" s="3" t="n">
        <v>2</v>
      </c>
      <c r="AL346" s="3" t="n">
        <v>2</v>
      </c>
      <c r="AM346" s="3" t="n">
        <v>1</v>
      </c>
      <c r="AN346" s="3" t="n">
        <v>2</v>
      </c>
      <c r="AO346" s="3" t="n">
        <v>2</v>
      </c>
      <c r="AP346" s="3" t="n">
        <v>3</v>
      </c>
      <c r="AQ346" s="3" t="n">
        <v>4</v>
      </c>
      <c r="AR346" s="3" t="n">
        <v>4</v>
      </c>
      <c r="AS346" s="3" t="n">
        <v>6</v>
      </c>
      <c r="AT346" s="3" t="n">
        <v>4</v>
      </c>
      <c r="AU346" s="3" t="n">
        <v>4</v>
      </c>
      <c r="AV346" s="3" t="n">
        <v>6</v>
      </c>
      <c r="AW346" s="3" t="n">
        <v>6</v>
      </c>
      <c r="AX346" s="3" t="n">
        <v>3</v>
      </c>
      <c r="AY346" s="3" t="n">
        <v>3</v>
      </c>
      <c r="AZ346" s="3" t="n">
        <v>1</v>
      </c>
      <c r="BA346" s="5" t="n">
        <v>1</v>
      </c>
      <c r="BB346" s="3" t="n">
        <v>1</v>
      </c>
      <c r="BC346" s="3" t="n">
        <v>1</v>
      </c>
      <c r="BD346" s="3" t="n">
        <v>4</v>
      </c>
      <c r="BE346" s="3" t="n">
        <v>3</v>
      </c>
      <c r="BF346" s="3" t="n">
        <v>5</v>
      </c>
      <c r="BG346" s="3" t="n">
        <v>3</v>
      </c>
      <c r="BH346" s="3" t="n">
        <v>4</v>
      </c>
      <c r="BI346" s="3" t="n">
        <v>1</v>
      </c>
      <c r="BJ346" s="3" t="n">
        <v>1</v>
      </c>
      <c r="BK346" s="6" t="s">
        <v>1053</v>
      </c>
    </row>
    <row r="347" customFormat="false" ht="15" hidden="false" customHeight="true" outlineLevel="0" collapsed="false">
      <c r="B347" s="2" t="s">
        <v>556</v>
      </c>
      <c r="C347" s="2" t="s">
        <v>467</v>
      </c>
      <c r="D347" s="2" t="s">
        <v>127</v>
      </c>
      <c r="E347" s="2" t="n">
        <v>171662</v>
      </c>
      <c r="F347" s="15" t="n">
        <v>43558</v>
      </c>
      <c r="G347" s="15" t="n">
        <v>43563</v>
      </c>
      <c r="H347" s="3" t="n">
        <v>5</v>
      </c>
      <c r="I347" s="3" t="n">
        <v>2</v>
      </c>
      <c r="J347" s="3" t="n">
        <v>82</v>
      </c>
      <c r="K347" s="3" t="n">
        <v>1</v>
      </c>
      <c r="L347" s="3" t="n">
        <v>2</v>
      </c>
      <c r="M347" s="3" t="n">
        <v>1</v>
      </c>
      <c r="N347" s="3" t="n">
        <v>2</v>
      </c>
      <c r="O347" s="3" t="n">
        <v>2</v>
      </c>
      <c r="P347" s="3" t="n">
        <v>2</v>
      </c>
      <c r="Q347" s="3" t="n">
        <v>2</v>
      </c>
      <c r="R347" s="3" t="n">
        <v>2</v>
      </c>
      <c r="S347" s="3" t="n">
        <v>1</v>
      </c>
      <c r="T347" s="4" t="n">
        <v>1</v>
      </c>
      <c r="U347" s="3" t="n">
        <v>4</v>
      </c>
      <c r="V347" s="3" t="n">
        <v>5.28</v>
      </c>
      <c r="W347" s="3" t="n">
        <v>1.3</v>
      </c>
      <c r="X347" s="3" t="n">
        <v>4.63</v>
      </c>
      <c r="Y347" s="3" t="n">
        <v>671</v>
      </c>
      <c r="AA347" s="3" t="n">
        <v>0.37</v>
      </c>
      <c r="AB347" s="3" t="n">
        <v>8.6</v>
      </c>
      <c r="AC347" s="3" t="n">
        <v>1</v>
      </c>
      <c r="AD347" s="3" t="n">
        <v>1</v>
      </c>
      <c r="AE347" s="3" t="n">
        <v>2</v>
      </c>
      <c r="AF347" s="3" t="n">
        <v>1</v>
      </c>
      <c r="AG347" s="3" t="n">
        <v>1</v>
      </c>
      <c r="AH347" s="3" t="n">
        <v>2</v>
      </c>
      <c r="AI347" s="3" t="n">
        <v>1</v>
      </c>
      <c r="AJ347" s="3" t="n">
        <v>1</v>
      </c>
      <c r="AK347" s="3" t="n">
        <v>2</v>
      </c>
      <c r="AL347" s="3" t="n">
        <v>2</v>
      </c>
      <c r="AM347" s="3" t="n">
        <v>2</v>
      </c>
      <c r="AN347" s="3" t="n">
        <v>2</v>
      </c>
      <c r="AO347" s="3" t="n">
        <v>2</v>
      </c>
      <c r="AP347" s="3" t="n">
        <v>3</v>
      </c>
      <c r="AQ347" s="3" t="n">
        <v>4</v>
      </c>
      <c r="AR347" s="3" t="n">
        <v>4</v>
      </c>
      <c r="AS347" s="3" t="n">
        <v>6</v>
      </c>
      <c r="AT347" s="3" t="n">
        <v>4</v>
      </c>
      <c r="AU347" s="3" t="n">
        <v>4</v>
      </c>
      <c r="AV347" s="3" t="n">
        <v>6</v>
      </c>
      <c r="AW347" s="3" t="n">
        <v>6</v>
      </c>
      <c r="AX347" s="3" t="n">
        <v>3</v>
      </c>
      <c r="AY347" s="3" t="n">
        <v>3</v>
      </c>
      <c r="AZ347" s="3" t="n">
        <v>1</v>
      </c>
      <c r="BA347" s="5" t="n">
        <v>5</v>
      </c>
      <c r="BB347" s="3" t="n">
        <v>2</v>
      </c>
      <c r="BC347" s="3" t="n">
        <v>1</v>
      </c>
      <c r="BD347" s="3" t="n">
        <v>6</v>
      </c>
      <c r="BE347" s="3" t="n">
        <v>3</v>
      </c>
      <c r="BF347" s="3" t="n">
        <v>5</v>
      </c>
      <c r="BG347" s="3" t="n">
        <v>3</v>
      </c>
      <c r="BH347" s="3" t="n">
        <v>4</v>
      </c>
      <c r="BI347" s="3" t="n">
        <v>1</v>
      </c>
      <c r="BJ347" s="3" t="n">
        <v>1</v>
      </c>
      <c r="BK347" s="6" t="s">
        <v>1054</v>
      </c>
    </row>
    <row r="348" customFormat="false" ht="15" hidden="false" customHeight="true" outlineLevel="0" collapsed="false">
      <c r="B348" s="2" t="s">
        <v>1055</v>
      </c>
      <c r="C348" s="2" t="s">
        <v>456</v>
      </c>
      <c r="D348" s="2" t="s">
        <v>276</v>
      </c>
      <c r="E348" s="2" t="n">
        <v>175388</v>
      </c>
      <c r="F348" s="15" t="n">
        <v>43560</v>
      </c>
      <c r="G348" s="15" t="n">
        <v>43563</v>
      </c>
      <c r="H348" s="3" t="n">
        <v>3</v>
      </c>
      <c r="I348" s="3" t="n">
        <v>2</v>
      </c>
      <c r="J348" s="3" t="n">
        <v>76</v>
      </c>
      <c r="K348" s="3" t="n">
        <v>1</v>
      </c>
      <c r="L348" s="3" t="n">
        <v>1</v>
      </c>
      <c r="M348" s="3" t="n">
        <v>1</v>
      </c>
      <c r="N348" s="3" t="n">
        <v>2</v>
      </c>
      <c r="O348" s="3" t="n">
        <v>2</v>
      </c>
      <c r="P348" s="3" t="n">
        <v>2</v>
      </c>
      <c r="Q348" s="3" t="n">
        <v>2</v>
      </c>
      <c r="R348" s="3" t="n">
        <v>2</v>
      </c>
      <c r="S348" s="3" t="n">
        <v>2</v>
      </c>
      <c r="T348" s="4" t="n">
        <v>12</v>
      </c>
      <c r="U348" s="3" t="n">
        <v>1</v>
      </c>
      <c r="V348" s="3" t="n">
        <v>7.34</v>
      </c>
      <c r="W348" s="3" t="n">
        <v>1.85</v>
      </c>
      <c r="X348" s="3" t="n">
        <v>8.77</v>
      </c>
      <c r="Y348" s="3" t="n">
        <v>890</v>
      </c>
      <c r="AA348" s="3" t="n">
        <v>0.5</v>
      </c>
      <c r="AB348" s="3" t="n">
        <v>14.6</v>
      </c>
      <c r="AC348" s="3" t="n">
        <v>3</v>
      </c>
      <c r="AD348" s="3" t="n">
        <v>2</v>
      </c>
      <c r="AE348" s="3" t="n">
        <v>2</v>
      </c>
      <c r="AF348" s="3" t="n">
        <v>2</v>
      </c>
      <c r="AG348" s="3" t="n">
        <v>1</v>
      </c>
      <c r="AH348" s="3" t="n">
        <v>2</v>
      </c>
      <c r="AI348" s="3" t="n">
        <v>2</v>
      </c>
      <c r="AJ348" s="3" t="n">
        <v>2</v>
      </c>
      <c r="AK348" s="3" t="n">
        <v>2</v>
      </c>
      <c r="AL348" s="3" t="n">
        <v>2</v>
      </c>
      <c r="AM348" s="3" t="n">
        <v>1</v>
      </c>
      <c r="AN348" s="3" t="n">
        <v>2</v>
      </c>
      <c r="AO348" s="3" t="n">
        <v>2</v>
      </c>
      <c r="AP348" s="3" t="n">
        <v>3</v>
      </c>
      <c r="AQ348" s="3" t="n">
        <v>4</v>
      </c>
      <c r="AR348" s="3" t="n">
        <v>4</v>
      </c>
      <c r="AS348" s="3" t="n">
        <v>6</v>
      </c>
      <c r="AT348" s="3" t="n">
        <v>4</v>
      </c>
      <c r="AU348" s="3" t="n">
        <v>4</v>
      </c>
      <c r="AV348" s="3" t="n">
        <v>6</v>
      </c>
      <c r="AW348" s="3" t="n">
        <v>6</v>
      </c>
      <c r="AX348" s="3" t="n">
        <v>3</v>
      </c>
      <c r="AY348" s="3" t="n">
        <v>3</v>
      </c>
      <c r="AZ348" s="3" t="n">
        <v>1</v>
      </c>
      <c r="BA348" s="5" t="n">
        <v>3</v>
      </c>
      <c r="BB348" s="3" t="n">
        <v>2</v>
      </c>
      <c r="BC348" s="3" t="n">
        <v>1</v>
      </c>
      <c r="BD348" s="3" t="n">
        <v>6</v>
      </c>
      <c r="BE348" s="3" t="n">
        <v>3</v>
      </c>
      <c r="BF348" s="3" t="n">
        <v>5</v>
      </c>
      <c r="BG348" s="3" t="n">
        <v>3</v>
      </c>
      <c r="BH348" s="3" t="n">
        <v>4</v>
      </c>
      <c r="BI348" s="3" t="n">
        <v>1</v>
      </c>
      <c r="BJ348" s="3" t="n">
        <v>1</v>
      </c>
      <c r="BK348" s="6" t="s">
        <v>1056</v>
      </c>
    </row>
    <row r="349" customFormat="false" ht="15" hidden="false" customHeight="true" outlineLevel="0" collapsed="false">
      <c r="B349" s="2" t="s">
        <v>1057</v>
      </c>
      <c r="C349" s="2" t="s">
        <v>1058</v>
      </c>
      <c r="D349" s="2" t="s">
        <v>1059</v>
      </c>
      <c r="E349" s="2" t="n">
        <v>174890</v>
      </c>
      <c r="F349" s="15" t="n">
        <v>43557</v>
      </c>
      <c r="G349" s="15" t="n">
        <v>43564</v>
      </c>
      <c r="H349" s="3" t="n">
        <v>7</v>
      </c>
      <c r="I349" s="3" t="n">
        <v>1</v>
      </c>
      <c r="J349" s="3" t="n">
        <v>83</v>
      </c>
      <c r="K349" s="3" t="n">
        <v>1</v>
      </c>
      <c r="L349" s="3" t="n">
        <v>2</v>
      </c>
      <c r="M349" s="3" t="n">
        <v>1</v>
      </c>
      <c r="N349" s="3" t="n">
        <v>2</v>
      </c>
      <c r="O349" s="3" t="n">
        <v>2</v>
      </c>
      <c r="P349" s="3" t="n">
        <v>2</v>
      </c>
      <c r="Q349" s="3" t="n">
        <v>1</v>
      </c>
      <c r="R349" s="3" t="n">
        <v>2</v>
      </c>
      <c r="S349" s="3" t="n">
        <v>1</v>
      </c>
      <c r="T349" s="4" t="n">
        <v>4</v>
      </c>
      <c r="U349" s="3" t="n">
        <v>4</v>
      </c>
      <c r="V349" s="3" t="n">
        <v>3.43</v>
      </c>
      <c r="W349" s="3" t="n">
        <v>2.08</v>
      </c>
      <c r="X349" s="3" t="n">
        <v>3.13</v>
      </c>
      <c r="Y349" s="3" t="n">
        <v>335</v>
      </c>
      <c r="AA349" s="3" t="n">
        <v>0.26</v>
      </c>
      <c r="AB349" s="3" t="n">
        <v>12.6</v>
      </c>
      <c r="AC349" s="3" t="n">
        <v>1</v>
      </c>
      <c r="AD349" s="3" t="n">
        <v>2</v>
      </c>
      <c r="AE349" s="3" t="n">
        <v>2</v>
      </c>
      <c r="AF349" s="3" t="n">
        <v>2</v>
      </c>
      <c r="AG349" s="3" t="n">
        <v>2</v>
      </c>
      <c r="AH349" s="3" t="n">
        <v>2</v>
      </c>
      <c r="AI349" s="3" t="n">
        <v>2</v>
      </c>
      <c r="AJ349" s="3" t="n">
        <v>2</v>
      </c>
      <c r="AK349" s="3" t="n">
        <v>2</v>
      </c>
      <c r="AL349" s="3" t="n">
        <v>2</v>
      </c>
      <c r="AM349" s="3" t="n">
        <v>2</v>
      </c>
      <c r="AN349" s="3" t="n">
        <v>2</v>
      </c>
      <c r="AO349" s="3" t="n">
        <v>2</v>
      </c>
      <c r="AP349" s="3" t="n">
        <v>3</v>
      </c>
      <c r="AQ349" s="3" t="n">
        <v>4</v>
      </c>
      <c r="AR349" s="3" t="n">
        <v>4</v>
      </c>
      <c r="AS349" s="3" t="n">
        <v>6</v>
      </c>
      <c r="AT349" s="3" t="n">
        <v>4</v>
      </c>
      <c r="AU349" s="3" t="n">
        <v>4</v>
      </c>
      <c r="AV349" s="3" t="n">
        <v>6</v>
      </c>
      <c r="AW349" s="3" t="n">
        <v>6</v>
      </c>
      <c r="AX349" s="3" t="n">
        <v>3</v>
      </c>
      <c r="AY349" s="3" t="n">
        <v>3</v>
      </c>
      <c r="AZ349" s="3" t="n">
        <v>1</v>
      </c>
      <c r="BA349" s="5" t="n">
        <v>10</v>
      </c>
      <c r="BB349" s="3" t="n">
        <v>2</v>
      </c>
      <c r="BC349" s="3" t="n">
        <v>1</v>
      </c>
      <c r="BD349" s="3" t="n">
        <v>6</v>
      </c>
      <c r="BE349" s="3" t="n">
        <v>3</v>
      </c>
      <c r="BF349" s="3" t="n">
        <v>5</v>
      </c>
      <c r="BG349" s="3" t="n">
        <v>3</v>
      </c>
      <c r="BH349" s="3" t="n">
        <v>4</v>
      </c>
      <c r="BI349" s="3" t="n">
        <v>1</v>
      </c>
      <c r="BJ349" s="3" t="n">
        <v>1</v>
      </c>
      <c r="BK349" s="6" t="s">
        <v>1060</v>
      </c>
    </row>
    <row r="350" customFormat="false" ht="15" hidden="false" customHeight="true" outlineLevel="0" collapsed="false">
      <c r="B350" s="2" t="s">
        <v>145</v>
      </c>
      <c r="C350" s="2" t="s">
        <v>1061</v>
      </c>
      <c r="D350" s="2" t="s">
        <v>1062</v>
      </c>
      <c r="E350" s="2" t="n">
        <v>174891</v>
      </c>
      <c r="F350" s="15" t="n">
        <v>43557</v>
      </c>
      <c r="G350" s="15" t="n">
        <v>43564</v>
      </c>
      <c r="H350" s="3" t="n">
        <v>7</v>
      </c>
      <c r="I350" s="3" t="n">
        <v>2</v>
      </c>
      <c r="J350" s="3" t="n">
        <v>67</v>
      </c>
      <c r="K350" s="3" t="n">
        <v>1</v>
      </c>
      <c r="L350" s="3" t="n">
        <v>2</v>
      </c>
      <c r="M350" s="3" t="n">
        <v>1</v>
      </c>
      <c r="N350" s="3" t="n">
        <v>2</v>
      </c>
      <c r="O350" s="3" t="n">
        <v>2</v>
      </c>
      <c r="P350" s="3" t="n">
        <v>2</v>
      </c>
      <c r="Q350" s="3" t="n">
        <v>2</v>
      </c>
      <c r="R350" s="3" t="n">
        <v>2</v>
      </c>
      <c r="S350" s="3" t="n">
        <v>1</v>
      </c>
      <c r="T350" s="4" t="n">
        <v>2</v>
      </c>
      <c r="U350" s="3" t="n">
        <v>2</v>
      </c>
      <c r="V350" s="3" t="n">
        <v>5.74</v>
      </c>
      <c r="W350" s="3" t="s">
        <v>1063</v>
      </c>
      <c r="X350" s="3" t="n">
        <v>7.33</v>
      </c>
      <c r="Y350" s="3" t="n">
        <v>486</v>
      </c>
      <c r="AA350" s="3" t="n">
        <v>0.41</v>
      </c>
      <c r="AB350" s="3" t="n">
        <v>12.2</v>
      </c>
      <c r="AC350" s="3" t="n">
        <v>1</v>
      </c>
      <c r="AD350" s="3" t="n">
        <v>2</v>
      </c>
      <c r="AE350" s="3" t="n">
        <v>1</v>
      </c>
      <c r="AF350" s="3" t="n">
        <v>1</v>
      </c>
      <c r="AG350" s="3" t="n">
        <v>2</v>
      </c>
      <c r="AH350" s="3" t="n">
        <v>2</v>
      </c>
      <c r="AI350" s="3" t="n">
        <v>1</v>
      </c>
      <c r="AJ350" s="3" t="n">
        <v>1</v>
      </c>
      <c r="AK350" s="3" t="n">
        <v>2</v>
      </c>
      <c r="AL350" s="3" t="n">
        <v>2</v>
      </c>
      <c r="AM350" s="3" t="n">
        <v>2</v>
      </c>
      <c r="AN350" s="3" t="n">
        <v>2</v>
      </c>
      <c r="AO350" s="3" t="n">
        <v>2</v>
      </c>
      <c r="AP350" s="3" t="n">
        <v>3</v>
      </c>
      <c r="AQ350" s="3" t="n">
        <v>4</v>
      </c>
      <c r="AR350" s="3" t="n">
        <v>4</v>
      </c>
      <c r="AS350" s="3" t="n">
        <v>6</v>
      </c>
      <c r="AT350" s="3" t="n">
        <v>4</v>
      </c>
      <c r="AU350" s="3" t="n">
        <v>4</v>
      </c>
      <c r="AV350" s="3" t="n">
        <v>6</v>
      </c>
      <c r="AW350" s="3" t="n">
        <v>6</v>
      </c>
      <c r="AX350" s="3" t="n">
        <v>3</v>
      </c>
      <c r="AY350" s="3" t="n">
        <v>3</v>
      </c>
      <c r="AZ350" s="3" t="n">
        <v>1</v>
      </c>
      <c r="BA350" s="5" t="n">
        <v>1</v>
      </c>
      <c r="BB350" s="3" t="n">
        <v>1</v>
      </c>
      <c r="BC350" s="3" t="n">
        <v>1</v>
      </c>
      <c r="BD350" s="3" t="n">
        <v>4</v>
      </c>
      <c r="BE350" s="3" t="n">
        <v>1</v>
      </c>
      <c r="BF350" s="3" t="n">
        <v>1</v>
      </c>
      <c r="BG350" s="3" t="n">
        <v>1</v>
      </c>
      <c r="BH350" s="3" t="n">
        <v>4</v>
      </c>
      <c r="BI350" s="3" t="n">
        <v>1</v>
      </c>
      <c r="BJ350" s="3" t="n">
        <v>1</v>
      </c>
      <c r="BK350" s="6" t="s">
        <v>1064</v>
      </c>
    </row>
    <row r="351" customFormat="false" ht="15" hidden="false" customHeight="true" outlineLevel="0" collapsed="false">
      <c r="B351" s="2" t="s">
        <v>1065</v>
      </c>
      <c r="C351" s="2" t="s">
        <v>66</v>
      </c>
      <c r="D351" s="2" t="s">
        <v>78</v>
      </c>
      <c r="E351" s="2" t="n">
        <v>174186</v>
      </c>
      <c r="F351" s="15" t="n">
        <v>43546</v>
      </c>
      <c r="G351" s="15" t="n">
        <v>43565</v>
      </c>
      <c r="H351" s="3" t="n">
        <v>19</v>
      </c>
      <c r="I351" s="3" t="n">
        <v>2</v>
      </c>
      <c r="J351" s="3" t="n">
        <v>76</v>
      </c>
      <c r="K351" s="3" t="n">
        <v>1</v>
      </c>
      <c r="L351" s="3" t="n">
        <v>1</v>
      </c>
      <c r="M351" s="3" t="n">
        <v>1</v>
      </c>
      <c r="N351" s="3" t="n">
        <v>2</v>
      </c>
      <c r="O351" s="3" t="n">
        <v>2</v>
      </c>
      <c r="P351" s="3" t="n">
        <v>2</v>
      </c>
      <c r="Q351" s="3" t="n">
        <v>2</v>
      </c>
      <c r="R351" s="3" t="n">
        <v>2</v>
      </c>
      <c r="S351" s="3" t="n">
        <v>2</v>
      </c>
      <c r="T351" s="4" t="n">
        <v>1</v>
      </c>
      <c r="U351" s="3" t="n">
        <v>1</v>
      </c>
      <c r="V351" s="3" t="n">
        <v>6.43</v>
      </c>
      <c r="W351" s="3" t="n">
        <v>2.43</v>
      </c>
      <c r="X351" s="3" t="n">
        <v>3.93</v>
      </c>
      <c r="Y351" s="3" t="n">
        <v>492</v>
      </c>
      <c r="AA351" s="3" t="n">
        <v>0.46</v>
      </c>
      <c r="AB351" s="3" t="n">
        <v>6.2</v>
      </c>
      <c r="AC351" s="3" t="n">
        <v>1</v>
      </c>
      <c r="AD351" s="3" t="n">
        <v>1</v>
      </c>
      <c r="AE351" s="3" t="n">
        <v>1</v>
      </c>
      <c r="AF351" s="3" t="n">
        <v>1</v>
      </c>
      <c r="AG351" s="3" t="n">
        <v>1</v>
      </c>
      <c r="AH351" s="3" t="n">
        <v>2</v>
      </c>
      <c r="AI351" s="3" t="n">
        <v>1</v>
      </c>
      <c r="AJ351" s="3" t="n">
        <v>1</v>
      </c>
      <c r="AK351" s="3" t="n">
        <v>2</v>
      </c>
      <c r="AL351" s="3" t="n">
        <v>2</v>
      </c>
      <c r="AM351" s="3" t="n">
        <v>2</v>
      </c>
      <c r="AN351" s="3" t="n">
        <v>2</v>
      </c>
      <c r="AO351" s="3" t="n">
        <v>2</v>
      </c>
      <c r="AP351" s="3" t="n">
        <v>1</v>
      </c>
      <c r="AQ351" s="3" t="n">
        <v>2</v>
      </c>
      <c r="AR351" s="3" t="n">
        <v>4</v>
      </c>
      <c r="AS351" s="3" t="n">
        <v>6</v>
      </c>
      <c r="AT351" s="3" t="n">
        <v>4</v>
      </c>
      <c r="AU351" s="3" t="n">
        <v>4</v>
      </c>
      <c r="AV351" s="3" t="n">
        <v>1</v>
      </c>
      <c r="AW351" s="3" t="n">
        <v>6</v>
      </c>
      <c r="AX351" s="3" t="n">
        <v>2</v>
      </c>
      <c r="AY351" s="3" t="n">
        <v>1</v>
      </c>
      <c r="AZ351" s="3" t="n">
        <v>1</v>
      </c>
      <c r="BA351" s="5" t="n">
        <v>5</v>
      </c>
      <c r="BB351" s="3" t="n">
        <v>2</v>
      </c>
      <c r="BC351" s="3" t="n">
        <v>1</v>
      </c>
      <c r="BD351" s="3" t="n">
        <v>6</v>
      </c>
      <c r="BE351" s="3" t="n">
        <v>3</v>
      </c>
      <c r="BF351" s="3" t="n">
        <v>5</v>
      </c>
      <c r="BG351" s="3" t="n">
        <v>3</v>
      </c>
      <c r="BH351" s="3" t="n">
        <v>4</v>
      </c>
      <c r="BI351" s="3" t="n">
        <v>1</v>
      </c>
      <c r="BJ351" s="3" t="n">
        <v>1</v>
      </c>
      <c r="BK351" s="6" t="s">
        <v>1066</v>
      </c>
    </row>
    <row r="352" customFormat="false" ht="15" hidden="false" customHeight="true" outlineLevel="0" collapsed="false">
      <c r="B352" s="2" t="s">
        <v>900</v>
      </c>
      <c r="C352" s="2" t="s">
        <v>1067</v>
      </c>
      <c r="D352" s="2" t="s">
        <v>294</v>
      </c>
      <c r="E352" s="2" t="n">
        <v>175346</v>
      </c>
      <c r="F352" s="15" t="n">
        <v>43559</v>
      </c>
      <c r="G352" s="15" t="n">
        <v>43565</v>
      </c>
      <c r="H352" s="3" t="n">
        <v>6</v>
      </c>
      <c r="I352" s="3" t="n">
        <v>1</v>
      </c>
      <c r="J352" s="3" t="n">
        <v>72</v>
      </c>
      <c r="K352" s="3" t="n">
        <v>1</v>
      </c>
      <c r="L352" s="3" t="n">
        <v>2</v>
      </c>
      <c r="M352" s="3" t="n">
        <v>2</v>
      </c>
      <c r="N352" s="3" t="n">
        <v>2</v>
      </c>
      <c r="O352" s="3" t="n">
        <v>1</v>
      </c>
      <c r="P352" s="3" t="n">
        <v>2</v>
      </c>
      <c r="Q352" s="3" t="n">
        <v>2</v>
      </c>
      <c r="R352" s="3" t="n">
        <v>2</v>
      </c>
      <c r="S352" s="3" t="n">
        <v>2</v>
      </c>
      <c r="T352" s="4" t="n">
        <v>3</v>
      </c>
      <c r="U352" s="3" t="n">
        <v>4</v>
      </c>
      <c r="V352" s="3" t="n">
        <v>5.95</v>
      </c>
      <c r="X352" s="3" t="n">
        <v>6</v>
      </c>
      <c r="Y352" s="3" t="n">
        <v>448</v>
      </c>
      <c r="AA352" s="3" t="n">
        <v>0.4</v>
      </c>
      <c r="AB352" s="3" t="n">
        <v>10.2</v>
      </c>
      <c r="AC352" s="3" t="n">
        <v>1</v>
      </c>
      <c r="AD352" s="3" t="n">
        <v>2</v>
      </c>
      <c r="AE352" s="3" t="n">
        <v>1</v>
      </c>
      <c r="AF352" s="3" t="n">
        <v>2</v>
      </c>
      <c r="AG352" s="3" t="n">
        <v>2</v>
      </c>
      <c r="AH352" s="3" t="n">
        <v>2</v>
      </c>
      <c r="AI352" s="3" t="n">
        <v>1</v>
      </c>
      <c r="AJ352" s="3" t="n">
        <v>1</v>
      </c>
      <c r="AK352" s="3" t="n">
        <v>2</v>
      </c>
      <c r="AL352" s="3" t="n">
        <v>1</v>
      </c>
      <c r="AM352" s="3" t="n">
        <v>1</v>
      </c>
      <c r="AN352" s="3" t="n">
        <v>2</v>
      </c>
      <c r="AO352" s="3" t="n">
        <v>2</v>
      </c>
      <c r="AP352" s="3" t="n">
        <v>3</v>
      </c>
      <c r="AQ352" s="3" t="n">
        <v>4</v>
      </c>
      <c r="AR352" s="3" t="n">
        <v>4</v>
      </c>
      <c r="AS352" s="3" t="n">
        <v>6</v>
      </c>
      <c r="AT352" s="3" t="n">
        <v>4</v>
      </c>
      <c r="AU352" s="3" t="n">
        <v>4</v>
      </c>
      <c r="AV352" s="3" t="n">
        <v>6</v>
      </c>
      <c r="AW352" s="3" t="n">
        <v>6</v>
      </c>
      <c r="AX352" s="3" t="n">
        <v>3</v>
      </c>
      <c r="AY352" s="3" t="n">
        <v>3</v>
      </c>
      <c r="AZ352" s="3" t="n">
        <v>1</v>
      </c>
      <c r="BA352" s="5" t="n">
        <v>11</v>
      </c>
      <c r="BB352" s="3" t="n">
        <v>2</v>
      </c>
      <c r="BC352" s="3" t="n">
        <v>1</v>
      </c>
      <c r="BD352" s="3" t="n">
        <v>6</v>
      </c>
      <c r="BE352" s="3" t="n">
        <v>3</v>
      </c>
      <c r="BF352" s="3" t="n">
        <v>5</v>
      </c>
      <c r="BG352" s="3" t="n">
        <v>3</v>
      </c>
      <c r="BH352" s="3" t="n">
        <v>4</v>
      </c>
      <c r="BI352" s="3" t="n">
        <v>1</v>
      </c>
      <c r="BJ352" s="3" t="n">
        <v>1</v>
      </c>
      <c r="BK352" s="6" t="s">
        <v>1068</v>
      </c>
    </row>
    <row r="353" customFormat="false" ht="15" hidden="false" customHeight="true" outlineLevel="0" collapsed="false">
      <c r="B353" s="2" t="s">
        <v>1069</v>
      </c>
      <c r="C353" s="2" t="s">
        <v>1070</v>
      </c>
      <c r="D353" s="2" t="s">
        <v>94</v>
      </c>
      <c r="E353" s="2" t="n">
        <v>175729</v>
      </c>
      <c r="F353" s="15" t="n">
        <v>43564</v>
      </c>
      <c r="G353" s="15" t="n">
        <v>43567</v>
      </c>
      <c r="H353" s="3" t="n">
        <v>3</v>
      </c>
      <c r="I353" s="3" t="n">
        <v>1</v>
      </c>
      <c r="J353" s="3" t="n">
        <v>66</v>
      </c>
      <c r="K353" s="3" t="n">
        <v>2</v>
      </c>
      <c r="L353" s="3" t="n">
        <v>2</v>
      </c>
      <c r="M353" s="3" t="n">
        <v>1</v>
      </c>
      <c r="N353" s="3" t="n">
        <v>2</v>
      </c>
      <c r="O353" s="3" t="n">
        <v>1</v>
      </c>
      <c r="P353" s="3" t="n">
        <v>2</v>
      </c>
      <c r="Q353" s="3" t="n">
        <v>2</v>
      </c>
      <c r="R353" s="3" t="n">
        <v>1</v>
      </c>
      <c r="S353" s="3" t="n">
        <v>2</v>
      </c>
      <c r="T353" s="4" t="n">
        <v>4</v>
      </c>
      <c r="U353" s="3" t="n">
        <v>4</v>
      </c>
      <c r="V353" s="3" t="n">
        <v>8.74</v>
      </c>
      <c r="W353" s="3" t="n">
        <v>1.31</v>
      </c>
      <c r="X353" s="3" t="n">
        <v>5.5</v>
      </c>
      <c r="Y353" s="3" t="n">
        <v>930</v>
      </c>
      <c r="AA353" s="3" t="n">
        <v>0.45</v>
      </c>
      <c r="AB353" s="3" t="n">
        <v>10.1</v>
      </c>
      <c r="AC353" s="3" t="n">
        <v>1</v>
      </c>
      <c r="AD353" s="3" t="n">
        <v>2</v>
      </c>
      <c r="AE353" s="3" t="n">
        <v>2</v>
      </c>
      <c r="AF353" s="3" t="n">
        <v>2</v>
      </c>
      <c r="AG353" s="3" t="n">
        <v>2</v>
      </c>
      <c r="AH353" s="3" t="n">
        <v>1</v>
      </c>
      <c r="AI353" s="3" t="n">
        <v>1</v>
      </c>
      <c r="AJ353" s="3" t="n">
        <v>2</v>
      </c>
      <c r="AK353" s="3" t="n">
        <v>2</v>
      </c>
      <c r="AL353" s="3" t="n">
        <v>2</v>
      </c>
      <c r="AM353" s="3" t="n">
        <v>1</v>
      </c>
      <c r="AN353" s="3" t="n">
        <v>2</v>
      </c>
      <c r="AO353" s="3" t="n">
        <v>2</v>
      </c>
      <c r="AP353" s="3" t="n">
        <v>3</v>
      </c>
      <c r="AQ353" s="3" t="n">
        <v>4</v>
      </c>
      <c r="AR353" s="3" t="n">
        <v>4</v>
      </c>
      <c r="AS353" s="3" t="n">
        <v>6</v>
      </c>
      <c r="AT353" s="3" t="n">
        <v>4</v>
      </c>
      <c r="AU353" s="3" t="n">
        <v>4</v>
      </c>
      <c r="AV353" s="3" t="n">
        <v>6</v>
      </c>
      <c r="AW353" s="3" t="n">
        <v>6</v>
      </c>
      <c r="AX353" s="3" t="n">
        <v>3</v>
      </c>
      <c r="AY353" s="3" t="n">
        <v>3</v>
      </c>
      <c r="AZ353" s="3" t="n">
        <v>1</v>
      </c>
      <c r="BA353" s="5" t="n">
        <v>10</v>
      </c>
      <c r="BB353" s="3" t="n">
        <v>2</v>
      </c>
      <c r="BC353" s="3" t="n">
        <v>1</v>
      </c>
      <c r="BD353" s="3" t="n">
        <v>6</v>
      </c>
      <c r="BE353" s="3" t="n">
        <v>3</v>
      </c>
      <c r="BF353" s="3" t="n">
        <v>5</v>
      </c>
      <c r="BG353" s="3" t="n">
        <v>3</v>
      </c>
      <c r="BH353" s="3" t="n">
        <v>4</v>
      </c>
      <c r="BI353" s="3" t="n">
        <v>1</v>
      </c>
      <c r="BJ353" s="3" t="n">
        <v>1</v>
      </c>
      <c r="BK353" s="6" t="s">
        <v>1071</v>
      </c>
    </row>
    <row r="354" customFormat="false" ht="15" hidden="false" customHeight="true" outlineLevel="0" collapsed="false">
      <c r="B354" s="2" t="s">
        <v>1072</v>
      </c>
      <c r="C354" s="2" t="s">
        <v>66</v>
      </c>
      <c r="D354" s="2" t="s">
        <v>1073</v>
      </c>
      <c r="E354" s="2" t="n">
        <v>175707</v>
      </c>
      <c r="F354" s="15" t="n">
        <v>43563</v>
      </c>
      <c r="G354" s="15" t="n">
        <v>43567</v>
      </c>
      <c r="H354" s="3" t="n">
        <v>4</v>
      </c>
      <c r="I354" s="3" t="n">
        <v>1</v>
      </c>
      <c r="J354" s="3" t="n">
        <v>72</v>
      </c>
      <c r="K354" s="3" t="n">
        <v>1</v>
      </c>
      <c r="L354" s="3" t="n">
        <v>2</v>
      </c>
      <c r="M354" s="3" t="n">
        <v>1</v>
      </c>
      <c r="N354" s="3" t="n">
        <v>2</v>
      </c>
      <c r="O354" s="3" t="n">
        <v>2</v>
      </c>
      <c r="P354" s="3" t="n">
        <v>1</v>
      </c>
      <c r="Q354" s="3" t="n">
        <v>1</v>
      </c>
      <c r="R354" s="3" t="n">
        <v>2</v>
      </c>
      <c r="S354" s="3" t="n">
        <v>2</v>
      </c>
      <c r="T354" s="4" t="n">
        <v>1</v>
      </c>
      <c r="U354" s="3" t="n">
        <v>1</v>
      </c>
      <c r="V354" s="3" t="n">
        <v>11.2</v>
      </c>
      <c r="W354" s="3" t="n">
        <v>2.95</v>
      </c>
      <c r="X354" s="3" t="n">
        <v>82</v>
      </c>
      <c r="Y354" s="3" t="n">
        <v>346</v>
      </c>
      <c r="AA354" s="3" t="n">
        <v>0.43</v>
      </c>
      <c r="AB354" s="3" t="n">
        <v>7.3</v>
      </c>
      <c r="AC354" s="3" t="n">
        <v>1</v>
      </c>
      <c r="AD354" s="3" t="n">
        <v>1</v>
      </c>
      <c r="AE354" s="3" t="n">
        <v>1</v>
      </c>
      <c r="AF354" s="3" t="n">
        <v>1</v>
      </c>
      <c r="AG354" s="3" t="n">
        <v>1</v>
      </c>
      <c r="AH354" s="3" t="n">
        <v>1</v>
      </c>
      <c r="AI354" s="3" t="n">
        <v>1</v>
      </c>
      <c r="AJ354" s="3" t="n">
        <v>2</v>
      </c>
      <c r="AK354" s="3" t="n">
        <v>1</v>
      </c>
      <c r="AL354" s="3" t="n">
        <v>2</v>
      </c>
      <c r="AM354" s="3" t="n">
        <v>1</v>
      </c>
      <c r="AN354" s="3" t="n">
        <v>2</v>
      </c>
      <c r="AO354" s="3" t="n">
        <v>2</v>
      </c>
      <c r="AP354" s="3" t="n">
        <v>3</v>
      </c>
      <c r="AQ354" s="3" t="n">
        <v>4</v>
      </c>
      <c r="AR354" s="3" t="n">
        <v>4</v>
      </c>
      <c r="AS354" s="3" t="n">
        <v>6</v>
      </c>
      <c r="AT354" s="3" t="n">
        <v>4</v>
      </c>
      <c r="AU354" s="3" t="n">
        <v>4</v>
      </c>
      <c r="AV354" s="3" t="n">
        <v>6</v>
      </c>
      <c r="AW354" s="3" t="n">
        <v>6</v>
      </c>
      <c r="AX354" s="3" t="n">
        <v>3</v>
      </c>
      <c r="AY354" s="3" t="n">
        <v>3</v>
      </c>
      <c r="AZ354" s="3" t="n">
        <v>1</v>
      </c>
      <c r="BA354" s="5" t="n">
        <v>5</v>
      </c>
      <c r="BB354" s="3" t="n">
        <v>2</v>
      </c>
      <c r="BC354" s="3" t="n">
        <v>1</v>
      </c>
      <c r="BD354" s="3" t="n">
        <v>6</v>
      </c>
      <c r="BE354" s="3" t="n">
        <v>3</v>
      </c>
      <c r="BF354" s="3" t="n">
        <v>5</v>
      </c>
      <c r="BG354" s="3" t="n">
        <v>3</v>
      </c>
      <c r="BH354" s="3" t="n">
        <v>4</v>
      </c>
      <c r="BI354" s="3" t="n">
        <v>1</v>
      </c>
      <c r="BJ354" s="3" t="n">
        <v>1</v>
      </c>
      <c r="BK354" s="6" t="s">
        <v>1074</v>
      </c>
    </row>
    <row r="355" customFormat="false" ht="15" hidden="false" customHeight="true" outlineLevel="0" collapsed="false">
      <c r="B355" s="2" t="s">
        <v>1075</v>
      </c>
      <c r="C355" s="2" t="s">
        <v>386</v>
      </c>
      <c r="D355" s="2" t="s">
        <v>1076</v>
      </c>
      <c r="E355" s="2" t="n">
        <v>175730</v>
      </c>
      <c r="F355" s="15" t="n">
        <v>43564</v>
      </c>
      <c r="G355" s="15" t="n">
        <v>43567</v>
      </c>
      <c r="H355" s="3" t="n">
        <v>3</v>
      </c>
      <c r="I355" s="3" t="n">
        <v>2</v>
      </c>
      <c r="J355" s="3" t="n">
        <v>34</v>
      </c>
      <c r="K355" s="3" t="n">
        <v>2</v>
      </c>
      <c r="L355" s="3" t="n">
        <v>2</v>
      </c>
      <c r="M355" s="3" t="n">
        <v>1</v>
      </c>
      <c r="N355" s="3" t="n">
        <v>2</v>
      </c>
      <c r="O355" s="3" t="n">
        <v>2</v>
      </c>
      <c r="P355" s="3" t="n">
        <v>2</v>
      </c>
      <c r="Q355" s="3" t="n">
        <v>2</v>
      </c>
      <c r="R355" s="3" t="n">
        <v>2</v>
      </c>
      <c r="S355" s="3" t="n">
        <v>2</v>
      </c>
      <c r="T355" s="4" t="n">
        <v>1</v>
      </c>
      <c r="U355" s="3" t="n">
        <v>1</v>
      </c>
      <c r="V355" s="3" t="n">
        <v>6.41</v>
      </c>
      <c r="W355" s="3" t="n">
        <v>0.95</v>
      </c>
      <c r="X355" s="3" t="n">
        <v>5.8</v>
      </c>
      <c r="Y355" s="3" t="n">
        <v>557</v>
      </c>
      <c r="AA355" s="3" t="n">
        <v>0.55</v>
      </c>
      <c r="AB355" s="3" t="n">
        <v>8.3</v>
      </c>
      <c r="AC355" s="3" t="n">
        <v>1</v>
      </c>
      <c r="AD355" s="3" t="n">
        <v>2</v>
      </c>
      <c r="AE355" s="3" t="n">
        <v>2</v>
      </c>
      <c r="AF355" s="3" t="n">
        <v>1</v>
      </c>
      <c r="AG355" s="3" t="n">
        <v>2</v>
      </c>
      <c r="AH355" s="3" t="n">
        <v>1</v>
      </c>
      <c r="AI355" s="3" t="n">
        <v>1</v>
      </c>
      <c r="AJ355" s="3" t="n">
        <v>1</v>
      </c>
      <c r="AK355" s="3" t="n">
        <v>2</v>
      </c>
      <c r="AL355" s="3" t="n">
        <v>2</v>
      </c>
      <c r="AM355" s="3" t="n">
        <v>1</v>
      </c>
      <c r="AN355" s="3" t="n">
        <v>2</v>
      </c>
      <c r="AO355" s="3" t="n">
        <v>2</v>
      </c>
      <c r="AP355" s="3" t="n">
        <v>3</v>
      </c>
      <c r="AQ355" s="3" t="n">
        <v>4</v>
      </c>
      <c r="AR355" s="3" t="n">
        <v>4</v>
      </c>
      <c r="AS355" s="3" t="n">
        <v>6</v>
      </c>
      <c r="AT355" s="3" t="n">
        <v>4</v>
      </c>
      <c r="AU355" s="3" t="n">
        <v>4</v>
      </c>
      <c r="AV355" s="3" t="n">
        <v>6</v>
      </c>
      <c r="AW355" s="3" t="n">
        <v>6</v>
      </c>
      <c r="AX355" s="3" t="n">
        <v>3</v>
      </c>
      <c r="AY355" s="3" t="n">
        <v>3</v>
      </c>
      <c r="AZ355" s="3" t="n">
        <v>1</v>
      </c>
      <c r="BA355" s="5" t="n">
        <v>5</v>
      </c>
      <c r="BB355" s="3" t="n">
        <v>2</v>
      </c>
      <c r="BC355" s="3" t="n">
        <v>1</v>
      </c>
      <c r="BD355" s="3" t="n">
        <v>6</v>
      </c>
      <c r="BE355" s="3" t="n">
        <v>3</v>
      </c>
      <c r="BF355" s="3" t="n">
        <v>5</v>
      </c>
      <c r="BG355" s="3" t="n">
        <v>3</v>
      </c>
      <c r="BH355" s="3" t="n">
        <v>4</v>
      </c>
      <c r="BI355" s="3" t="n">
        <v>1</v>
      </c>
      <c r="BJ355" s="3" t="n">
        <v>1</v>
      </c>
      <c r="BK355" s="6" t="s">
        <v>1077</v>
      </c>
    </row>
    <row r="356" customFormat="false" ht="15" hidden="false" customHeight="true" outlineLevel="0" collapsed="false">
      <c r="B356" s="2" t="s">
        <v>1078</v>
      </c>
      <c r="C356" s="2" t="s">
        <v>197</v>
      </c>
      <c r="D356" s="2" t="s">
        <v>94</v>
      </c>
      <c r="E356" s="2" t="n">
        <v>175518</v>
      </c>
      <c r="F356" s="15" t="n">
        <v>43562</v>
      </c>
      <c r="G356" s="15" t="n">
        <v>43570</v>
      </c>
      <c r="H356" s="3" t="n">
        <v>8</v>
      </c>
      <c r="I356" s="3" t="n">
        <v>2</v>
      </c>
      <c r="J356" s="3" t="n">
        <v>81</v>
      </c>
      <c r="K356" s="3" t="n">
        <v>2</v>
      </c>
      <c r="L356" s="3" t="n">
        <v>1</v>
      </c>
      <c r="M356" s="3" t="n">
        <v>1</v>
      </c>
      <c r="N356" s="3" t="n">
        <v>1</v>
      </c>
      <c r="O356" s="3" t="n">
        <v>2</v>
      </c>
      <c r="P356" s="3" t="n">
        <v>2</v>
      </c>
      <c r="Q356" s="3" t="n">
        <v>2</v>
      </c>
      <c r="R356" s="3" t="n">
        <v>2</v>
      </c>
      <c r="S356" s="3" t="n">
        <v>2</v>
      </c>
      <c r="T356" s="4" t="n">
        <v>2</v>
      </c>
      <c r="U356" s="3" t="n">
        <v>2</v>
      </c>
      <c r="V356" s="3" t="n">
        <v>6.96</v>
      </c>
      <c r="X356" s="3" t="n">
        <v>7.6</v>
      </c>
      <c r="Y356" s="3" t="n">
        <v>682</v>
      </c>
      <c r="AA356" s="3" t="n">
        <v>0.48</v>
      </c>
      <c r="AB356" s="3" t="n">
        <v>11.3</v>
      </c>
      <c r="AC356" s="3" t="n">
        <v>1</v>
      </c>
      <c r="AD356" s="3" t="n">
        <v>1</v>
      </c>
      <c r="AE356" s="3" t="n">
        <v>1</v>
      </c>
      <c r="AF356" s="3" t="n">
        <v>1</v>
      </c>
      <c r="AG356" s="3" t="n">
        <v>2</v>
      </c>
      <c r="AH356" s="3" t="n">
        <v>2</v>
      </c>
      <c r="AI356" s="3" t="n">
        <v>1</v>
      </c>
      <c r="AJ356" s="3" t="n">
        <v>2</v>
      </c>
      <c r="AK356" s="3" t="n">
        <v>2</v>
      </c>
      <c r="AL356" s="3" t="n">
        <v>2</v>
      </c>
      <c r="AM356" s="3" t="n">
        <v>1</v>
      </c>
      <c r="AN356" s="3" t="n">
        <v>2</v>
      </c>
      <c r="AO356" s="3" t="n">
        <v>2</v>
      </c>
      <c r="AP356" s="3" t="n">
        <v>3</v>
      </c>
      <c r="AQ356" s="3" t="n">
        <v>4</v>
      </c>
      <c r="AR356" s="3" t="n">
        <v>4</v>
      </c>
      <c r="AS356" s="3" t="n">
        <v>6</v>
      </c>
      <c r="AT356" s="3" t="n">
        <v>4</v>
      </c>
      <c r="AU356" s="3" t="n">
        <v>4</v>
      </c>
      <c r="AV356" s="3" t="n">
        <v>6</v>
      </c>
      <c r="AW356" s="3" t="n">
        <v>6</v>
      </c>
      <c r="AX356" s="3" t="n">
        <v>3</v>
      </c>
      <c r="AY356" s="3" t="n">
        <v>3</v>
      </c>
      <c r="AZ356" s="3" t="n">
        <v>1</v>
      </c>
      <c r="BA356" s="5" t="n">
        <v>1</v>
      </c>
      <c r="BB356" s="3" t="n">
        <v>1</v>
      </c>
      <c r="BC356" s="3" t="n">
        <v>1</v>
      </c>
      <c r="BD356" s="3" t="n">
        <v>4</v>
      </c>
      <c r="BE356" s="3" t="n">
        <v>1</v>
      </c>
      <c r="BF356" s="3" t="n">
        <v>2</v>
      </c>
      <c r="BG356" s="3" t="n">
        <v>1</v>
      </c>
      <c r="BH356" s="3" t="n">
        <v>4</v>
      </c>
      <c r="BI356" s="3" t="n">
        <v>1</v>
      </c>
      <c r="BJ356" s="3" t="n">
        <v>1</v>
      </c>
      <c r="BK356" s="6" t="s">
        <v>1079</v>
      </c>
    </row>
    <row r="357" s="30" customFormat="true" ht="15" hidden="false" customHeight="true" outlineLevel="0" collapsed="false">
      <c r="A357" s="24"/>
      <c r="B357" s="26" t="s">
        <v>1080</v>
      </c>
      <c r="C357" s="26" t="s">
        <v>467</v>
      </c>
      <c r="D357" s="26" t="s">
        <v>1081</v>
      </c>
      <c r="E357" s="26" t="n">
        <v>175512</v>
      </c>
      <c r="F357" s="27" t="n">
        <v>43561</v>
      </c>
      <c r="G357" s="27" t="n">
        <v>43570</v>
      </c>
      <c r="H357" s="30" t="n">
        <v>9</v>
      </c>
      <c r="I357" s="30" t="n">
        <v>2</v>
      </c>
      <c r="J357" s="30" t="n">
        <v>75</v>
      </c>
      <c r="K357" s="30" t="n">
        <v>1</v>
      </c>
      <c r="L357" s="30" t="n">
        <v>1</v>
      </c>
      <c r="M357" s="30" t="n">
        <v>1</v>
      </c>
      <c r="N357" s="30" t="n">
        <v>2</v>
      </c>
      <c r="O357" s="30" t="n">
        <v>2</v>
      </c>
      <c r="P357" s="30" t="n">
        <v>2</v>
      </c>
      <c r="Q357" s="30" t="n">
        <v>1</v>
      </c>
      <c r="R357" s="30" t="n">
        <v>2</v>
      </c>
      <c r="S357" s="30" t="n">
        <v>2</v>
      </c>
      <c r="T357" s="4" t="n">
        <v>2</v>
      </c>
      <c r="U357" s="30" t="n">
        <v>2</v>
      </c>
      <c r="V357" s="30" t="n">
        <v>4.94</v>
      </c>
      <c r="X357" s="30" t="n">
        <v>7</v>
      </c>
      <c r="Y357" s="30" t="n">
        <v>284</v>
      </c>
      <c r="AA357" s="30" t="n">
        <v>0.37</v>
      </c>
      <c r="AB357" s="30" t="n">
        <v>8.6</v>
      </c>
      <c r="AC357" s="30" t="n">
        <v>2</v>
      </c>
      <c r="AD357" s="30" t="n">
        <v>2</v>
      </c>
      <c r="AE357" s="30" t="n">
        <v>1</v>
      </c>
      <c r="AF357" s="30" t="n">
        <v>1</v>
      </c>
      <c r="AG357" s="30" t="n">
        <v>2</v>
      </c>
      <c r="AH357" s="30" t="n">
        <v>2</v>
      </c>
      <c r="AI357" s="30" t="n">
        <v>1</v>
      </c>
      <c r="AJ357" s="30" t="n">
        <v>2</v>
      </c>
      <c r="AK357" s="30" t="n">
        <v>2</v>
      </c>
      <c r="AL357" s="30" t="n">
        <v>2</v>
      </c>
      <c r="AM357" s="30" t="n">
        <v>2</v>
      </c>
      <c r="AN357" s="30" t="n">
        <v>2</v>
      </c>
      <c r="AO357" s="30" t="n">
        <v>2</v>
      </c>
      <c r="AP357" s="30" t="n">
        <v>3</v>
      </c>
      <c r="AQ357" s="30" t="n">
        <v>4</v>
      </c>
      <c r="AR357" s="30" t="n">
        <v>4</v>
      </c>
      <c r="AS357" s="30" t="n">
        <v>6</v>
      </c>
      <c r="AT357" s="30" t="n">
        <v>4</v>
      </c>
      <c r="AU357" s="30" t="n">
        <v>4</v>
      </c>
      <c r="AV357" s="30" t="n">
        <v>6</v>
      </c>
      <c r="AW357" s="30" t="n">
        <v>6</v>
      </c>
      <c r="AX357" s="30" t="n">
        <v>3</v>
      </c>
      <c r="AY357" s="30" t="n">
        <v>3</v>
      </c>
      <c r="AZ357" s="30" t="n">
        <v>2</v>
      </c>
      <c r="BA357" s="5" t="n">
        <v>1</v>
      </c>
      <c r="BB357" s="30" t="n">
        <v>1</v>
      </c>
      <c r="BC357" s="30" t="n">
        <v>2</v>
      </c>
      <c r="BD357" s="30" t="n">
        <v>4</v>
      </c>
      <c r="BE357" s="30" t="n">
        <v>3</v>
      </c>
      <c r="BF357" s="30" t="n">
        <v>5</v>
      </c>
      <c r="BG357" s="30" t="n">
        <v>3</v>
      </c>
      <c r="BH357" s="30" t="n">
        <v>4</v>
      </c>
      <c r="BI357" s="30" t="n">
        <v>1</v>
      </c>
      <c r="BJ357" s="30" t="n">
        <v>1</v>
      </c>
      <c r="BK357" s="31" t="s">
        <v>1082</v>
      </c>
    </row>
    <row r="358" customFormat="false" ht="15" hidden="false" customHeight="true" outlineLevel="0" collapsed="false">
      <c r="B358" s="2" t="s">
        <v>1083</v>
      </c>
      <c r="C358" s="2" t="s">
        <v>1084</v>
      </c>
      <c r="D358" s="2" t="s">
        <v>1042</v>
      </c>
      <c r="E358" s="2" t="n">
        <v>175523</v>
      </c>
      <c r="F358" s="15" t="n">
        <v>43562</v>
      </c>
      <c r="G358" s="15" t="n">
        <v>43570</v>
      </c>
      <c r="H358" s="3" t="n">
        <v>8</v>
      </c>
      <c r="I358" s="3" t="n">
        <v>1</v>
      </c>
      <c r="J358" s="3" t="n">
        <v>56</v>
      </c>
      <c r="K358" s="3" t="n">
        <v>1</v>
      </c>
      <c r="L358" s="3" t="n">
        <v>2</v>
      </c>
      <c r="M358" s="3" t="n">
        <v>2</v>
      </c>
      <c r="N358" s="3" t="n">
        <v>2</v>
      </c>
      <c r="O358" s="3" t="n">
        <v>2</v>
      </c>
      <c r="P358" s="3" t="n">
        <v>2</v>
      </c>
      <c r="Q358" s="3" t="n">
        <v>2</v>
      </c>
      <c r="R358" s="3" t="n">
        <v>2</v>
      </c>
      <c r="S358" s="3" t="n">
        <v>2</v>
      </c>
      <c r="T358" s="4" t="n">
        <v>1</v>
      </c>
      <c r="U358" s="3" t="n">
        <v>1</v>
      </c>
      <c r="V358" s="3" t="n">
        <v>7.65</v>
      </c>
      <c r="X358" s="3" t="n">
        <v>5.5</v>
      </c>
      <c r="Y358" s="3" t="n">
        <v>339</v>
      </c>
      <c r="AA358" s="3" t="n">
        <v>0.4</v>
      </c>
      <c r="AB358" s="3" t="n">
        <v>7.1</v>
      </c>
      <c r="AC358" s="3" t="n">
        <v>1</v>
      </c>
      <c r="AD358" s="3" t="n">
        <v>1</v>
      </c>
      <c r="AE358" s="3" t="n">
        <v>1</v>
      </c>
      <c r="AF358" s="3" t="n">
        <v>1</v>
      </c>
      <c r="AG358" s="3" t="n">
        <v>2</v>
      </c>
      <c r="AH358" s="3" t="n">
        <v>2</v>
      </c>
      <c r="AI358" s="3" t="n">
        <v>1</v>
      </c>
      <c r="AJ358" s="3" t="n">
        <v>2</v>
      </c>
      <c r="AK358" s="3" t="n">
        <v>2</v>
      </c>
      <c r="AL358" s="3" t="n">
        <v>2</v>
      </c>
      <c r="AM358" s="3" t="n">
        <v>2</v>
      </c>
      <c r="AN358" s="3" t="n">
        <v>2</v>
      </c>
      <c r="AO358" s="3" t="n">
        <v>2</v>
      </c>
      <c r="AP358" s="3" t="n">
        <v>3</v>
      </c>
      <c r="AQ358" s="3" t="n">
        <v>4</v>
      </c>
      <c r="AR358" s="3" t="n">
        <v>4</v>
      </c>
      <c r="AS358" s="3" t="n">
        <v>6</v>
      </c>
      <c r="AT358" s="3" t="n">
        <v>4</v>
      </c>
      <c r="AU358" s="3" t="n">
        <v>4</v>
      </c>
      <c r="AV358" s="3" t="n">
        <v>6</v>
      </c>
      <c r="AW358" s="3" t="n">
        <v>6</v>
      </c>
      <c r="AX358" s="3" t="n">
        <v>3</v>
      </c>
      <c r="AY358" s="3" t="n">
        <v>3</v>
      </c>
      <c r="AZ358" s="3" t="n">
        <v>1</v>
      </c>
      <c r="BA358" s="5" t="n">
        <v>5</v>
      </c>
      <c r="BB358" s="3" t="n">
        <v>2</v>
      </c>
      <c r="BC358" s="3" t="n">
        <v>1</v>
      </c>
      <c r="BD358" s="3" t="n">
        <v>6</v>
      </c>
      <c r="BE358" s="3" t="n">
        <v>3</v>
      </c>
      <c r="BF358" s="3" t="n">
        <v>5</v>
      </c>
      <c r="BG358" s="3" t="n">
        <v>3</v>
      </c>
      <c r="BH358" s="3" t="n">
        <v>4</v>
      </c>
      <c r="BI358" s="3" t="n">
        <v>1</v>
      </c>
      <c r="BJ358" s="3" t="n">
        <v>1</v>
      </c>
      <c r="BK358" s="6" t="s">
        <v>1085</v>
      </c>
    </row>
    <row r="359" customFormat="false" ht="15" hidden="false" customHeight="true" outlineLevel="0" collapsed="false">
      <c r="B359" s="2" t="s">
        <v>1086</v>
      </c>
      <c r="C359" s="2" t="s">
        <v>846</v>
      </c>
      <c r="D359" s="2" t="s">
        <v>1087</v>
      </c>
      <c r="E359" s="2" t="n">
        <v>175744</v>
      </c>
      <c r="F359" s="15" t="n">
        <v>43566</v>
      </c>
      <c r="G359" s="15" t="n">
        <v>43571</v>
      </c>
      <c r="H359" s="3" t="n">
        <v>5</v>
      </c>
      <c r="I359" s="3" t="n">
        <v>1</v>
      </c>
      <c r="J359" s="3" t="n">
        <v>42</v>
      </c>
      <c r="K359" s="3" t="n">
        <v>1</v>
      </c>
      <c r="L359" s="3" t="n">
        <v>1</v>
      </c>
      <c r="M359" s="3" t="n">
        <v>1</v>
      </c>
      <c r="N359" s="3" t="n">
        <v>1</v>
      </c>
      <c r="O359" s="3" t="n">
        <v>2</v>
      </c>
      <c r="P359" s="3" t="n">
        <v>2</v>
      </c>
      <c r="Q359" s="3" t="n">
        <v>2</v>
      </c>
      <c r="R359" s="3" t="n">
        <v>2</v>
      </c>
      <c r="S359" s="3" t="n">
        <v>1</v>
      </c>
      <c r="T359" s="4" t="n">
        <v>1</v>
      </c>
      <c r="U359" s="3" t="n">
        <v>1</v>
      </c>
      <c r="AC359" s="3" t="n">
        <v>1</v>
      </c>
      <c r="AD359" s="3" t="n">
        <v>1</v>
      </c>
      <c r="AE359" s="3" t="n">
        <v>1</v>
      </c>
      <c r="AF359" s="3" t="n">
        <v>1</v>
      </c>
      <c r="AG359" s="3" t="n">
        <v>1</v>
      </c>
      <c r="AH359" s="3" t="n">
        <v>2</v>
      </c>
      <c r="AI359" s="3" t="n">
        <v>1</v>
      </c>
      <c r="AJ359" s="3" t="n">
        <v>1</v>
      </c>
      <c r="AK359" s="3" t="n">
        <v>2</v>
      </c>
      <c r="AL359" s="3" t="n">
        <v>2</v>
      </c>
      <c r="AM359" s="3" t="n">
        <v>2</v>
      </c>
      <c r="AN359" s="3" t="n">
        <v>2</v>
      </c>
      <c r="AO359" s="3" t="n">
        <v>2</v>
      </c>
      <c r="AP359" s="3" t="n">
        <v>3</v>
      </c>
      <c r="AQ359" s="3" t="n">
        <v>4</v>
      </c>
      <c r="AR359" s="3" t="n">
        <v>4</v>
      </c>
      <c r="AS359" s="3" t="n">
        <v>6</v>
      </c>
      <c r="AT359" s="3" t="n">
        <v>4</v>
      </c>
      <c r="AU359" s="3" t="n">
        <v>4</v>
      </c>
      <c r="AV359" s="3" t="n">
        <v>6</v>
      </c>
      <c r="AW359" s="3" t="n">
        <v>6</v>
      </c>
      <c r="AX359" s="3" t="n">
        <v>3</v>
      </c>
      <c r="AY359" s="3" t="n">
        <v>3</v>
      </c>
      <c r="AZ359" s="3" t="n">
        <v>1</v>
      </c>
      <c r="BA359" s="5" t="n">
        <v>5</v>
      </c>
      <c r="BB359" s="3" t="n">
        <v>2</v>
      </c>
      <c r="BC359" s="3" t="n">
        <v>1</v>
      </c>
      <c r="BD359" s="3" t="n">
        <v>6</v>
      </c>
      <c r="BE359" s="3" t="n">
        <v>3</v>
      </c>
      <c r="BF359" s="3" t="n">
        <v>5</v>
      </c>
      <c r="BG359" s="3" t="n">
        <v>3</v>
      </c>
      <c r="BH359" s="3" t="n">
        <v>4</v>
      </c>
      <c r="BI359" s="3" t="n">
        <v>1</v>
      </c>
      <c r="BJ359" s="3" t="n">
        <v>1</v>
      </c>
      <c r="BK359" s="6" t="s">
        <v>1088</v>
      </c>
    </row>
    <row r="360" customFormat="false" ht="15" hidden="false" customHeight="true" outlineLevel="0" collapsed="false">
      <c r="B360" s="2" t="s">
        <v>1089</v>
      </c>
      <c r="C360" s="2" t="s">
        <v>522</v>
      </c>
      <c r="D360" s="2" t="s">
        <v>94</v>
      </c>
      <c r="E360" s="2" t="n">
        <v>175720</v>
      </c>
      <c r="F360" s="15" t="n">
        <v>43564</v>
      </c>
      <c r="G360" s="15" t="n">
        <v>43572</v>
      </c>
      <c r="H360" s="3" t="n">
        <v>8</v>
      </c>
      <c r="I360" s="3" t="n">
        <v>1</v>
      </c>
      <c r="J360" s="3" t="n">
        <v>87</v>
      </c>
      <c r="K360" s="3" t="n">
        <v>1</v>
      </c>
      <c r="L360" s="3" t="n">
        <v>2</v>
      </c>
      <c r="M360" s="3" t="n">
        <v>1</v>
      </c>
      <c r="N360" s="3" t="n">
        <v>1</v>
      </c>
      <c r="O360" s="3" t="n">
        <v>2</v>
      </c>
      <c r="P360" s="3" t="n">
        <v>2</v>
      </c>
      <c r="Q360" s="3" t="n">
        <v>1</v>
      </c>
      <c r="R360" s="3" t="n">
        <v>2</v>
      </c>
      <c r="S360" s="3" t="n">
        <v>2</v>
      </c>
      <c r="T360" s="4" t="n">
        <v>3</v>
      </c>
      <c r="U360" s="3" t="n">
        <v>1</v>
      </c>
      <c r="V360" s="3" t="n">
        <v>8.22</v>
      </c>
      <c r="W360" s="3" t="n">
        <v>0.37</v>
      </c>
      <c r="X360" s="3" t="n">
        <v>3.6</v>
      </c>
      <c r="Y360" s="3" t="n">
        <v>730</v>
      </c>
      <c r="AA360" s="3" t="n">
        <v>0.34</v>
      </c>
      <c r="AB360" s="3" t="n">
        <v>10.2</v>
      </c>
      <c r="AC360" s="3" t="n">
        <v>1</v>
      </c>
      <c r="AD360" s="3" t="n">
        <v>2</v>
      </c>
      <c r="AE360" s="3" t="n">
        <v>1</v>
      </c>
      <c r="AF360" s="3" t="n">
        <v>1</v>
      </c>
      <c r="AG360" s="3" t="n">
        <v>2</v>
      </c>
      <c r="AH360" s="3" t="n">
        <v>2</v>
      </c>
      <c r="AI360" s="3" t="n">
        <v>1</v>
      </c>
      <c r="AJ360" s="3" t="n">
        <v>2</v>
      </c>
      <c r="AK360" s="3" t="n">
        <v>2</v>
      </c>
      <c r="AL360" s="3" t="n">
        <v>2</v>
      </c>
      <c r="AM360" s="3" t="n">
        <v>1</v>
      </c>
      <c r="AN360" s="3" t="n">
        <v>2</v>
      </c>
      <c r="AO360" s="3" t="n">
        <v>2</v>
      </c>
      <c r="AP360" s="3" t="n">
        <v>3</v>
      </c>
      <c r="AQ360" s="3" t="n">
        <v>4</v>
      </c>
      <c r="AR360" s="3" t="n">
        <v>4</v>
      </c>
      <c r="AS360" s="3" t="n">
        <v>6</v>
      </c>
      <c r="AT360" s="3" t="n">
        <v>4</v>
      </c>
      <c r="AU360" s="3" t="n">
        <v>4</v>
      </c>
      <c r="AV360" s="3" t="n">
        <v>6</v>
      </c>
      <c r="AW360" s="3" t="n">
        <v>6</v>
      </c>
      <c r="AX360" s="3" t="n">
        <v>3</v>
      </c>
      <c r="AY360" s="3" t="n">
        <v>3</v>
      </c>
      <c r="AZ360" s="3" t="n">
        <v>1</v>
      </c>
      <c r="BA360" s="5" t="n">
        <v>11</v>
      </c>
      <c r="BB360" s="3" t="n">
        <v>2</v>
      </c>
      <c r="BC360" s="3" t="n">
        <v>1</v>
      </c>
      <c r="BD360" s="3" t="n">
        <v>6</v>
      </c>
      <c r="BE360" s="3" t="n">
        <v>3</v>
      </c>
      <c r="BF360" s="3" t="n">
        <v>5</v>
      </c>
      <c r="BG360" s="3" t="n">
        <v>3</v>
      </c>
      <c r="BH360" s="3" t="n">
        <v>4</v>
      </c>
      <c r="BI360" s="3" t="n">
        <v>1</v>
      </c>
      <c r="BJ360" s="3" t="n">
        <v>1</v>
      </c>
      <c r="BK360" s="6" t="s">
        <v>1090</v>
      </c>
    </row>
    <row r="361" s="30" customFormat="true" ht="15" hidden="false" customHeight="true" outlineLevel="0" collapsed="false">
      <c r="A361" s="24"/>
      <c r="B361" s="26" t="s">
        <v>1091</v>
      </c>
      <c r="C361" s="26" t="s">
        <v>1092</v>
      </c>
      <c r="D361" s="26" t="s">
        <v>1093</v>
      </c>
      <c r="E361" s="26" t="n">
        <v>175775</v>
      </c>
      <c r="F361" s="27" t="n">
        <v>43570</v>
      </c>
      <c r="G361" s="27" t="n">
        <v>43571</v>
      </c>
      <c r="H361" s="30" t="n">
        <v>1</v>
      </c>
      <c r="I361" s="30" t="n">
        <v>1</v>
      </c>
      <c r="J361" s="30" t="n">
        <v>88</v>
      </c>
      <c r="K361" s="30" t="n">
        <v>2</v>
      </c>
      <c r="L361" s="30" t="n">
        <v>2</v>
      </c>
      <c r="M361" s="30" t="n">
        <v>1</v>
      </c>
      <c r="N361" s="30" t="n">
        <v>2</v>
      </c>
      <c r="O361" s="30" t="n">
        <v>2</v>
      </c>
      <c r="P361" s="30" t="n">
        <v>2</v>
      </c>
      <c r="Q361" s="30" t="n">
        <v>2</v>
      </c>
      <c r="R361" s="30" t="n">
        <v>2</v>
      </c>
      <c r="S361" s="30" t="n">
        <v>2</v>
      </c>
      <c r="T361" s="4" t="n">
        <v>1</v>
      </c>
      <c r="U361" s="30" t="n">
        <v>1</v>
      </c>
      <c r="V361" s="30" t="n">
        <v>4.9</v>
      </c>
      <c r="W361" s="30" t="n">
        <v>0.32</v>
      </c>
      <c r="X361" s="30" t="n">
        <v>4.5</v>
      </c>
      <c r="Y361" s="30" t="n">
        <v>296</v>
      </c>
      <c r="AA361" s="30" t="n">
        <v>0.38</v>
      </c>
      <c r="AB361" s="30" t="n">
        <v>4.1</v>
      </c>
      <c r="AC361" s="30" t="n">
        <v>3</v>
      </c>
      <c r="AD361" s="30" t="n">
        <v>2</v>
      </c>
      <c r="AE361" s="30" t="n">
        <v>1</v>
      </c>
      <c r="AF361" s="30" t="n">
        <v>1</v>
      </c>
      <c r="AG361" s="30" t="n">
        <v>2</v>
      </c>
      <c r="AH361" s="30" t="n">
        <v>2</v>
      </c>
      <c r="AI361" s="30" t="n">
        <v>2</v>
      </c>
      <c r="AJ361" s="30" t="n">
        <v>2</v>
      </c>
      <c r="AK361" s="30" t="n">
        <v>2</v>
      </c>
      <c r="AL361" s="30" t="n">
        <v>2</v>
      </c>
      <c r="AM361" s="30" t="n">
        <v>1</v>
      </c>
      <c r="AN361" s="30" t="n">
        <v>2</v>
      </c>
      <c r="AO361" s="30" t="n">
        <v>2</v>
      </c>
      <c r="AP361" s="30" t="n">
        <v>3</v>
      </c>
      <c r="AQ361" s="30" t="n">
        <v>4</v>
      </c>
      <c r="AR361" s="30" t="n">
        <v>4</v>
      </c>
      <c r="AS361" s="30" t="n">
        <v>6</v>
      </c>
      <c r="AT361" s="30" t="n">
        <v>4</v>
      </c>
      <c r="AU361" s="30" t="n">
        <v>4</v>
      </c>
      <c r="AV361" s="30" t="n">
        <v>6</v>
      </c>
      <c r="AW361" s="30" t="n">
        <v>6</v>
      </c>
      <c r="AX361" s="30" t="n">
        <v>3</v>
      </c>
      <c r="AY361" s="30" t="n">
        <v>3</v>
      </c>
      <c r="AZ361" s="30" t="n">
        <v>1</v>
      </c>
      <c r="BA361" s="5" t="n">
        <v>5</v>
      </c>
      <c r="BB361" s="30" t="n">
        <v>2</v>
      </c>
      <c r="BC361" s="30" t="n">
        <v>2</v>
      </c>
      <c r="BD361" s="30" t="n">
        <v>6</v>
      </c>
      <c r="BE361" s="30" t="n">
        <v>3</v>
      </c>
      <c r="BF361" s="30" t="n">
        <v>5</v>
      </c>
      <c r="BG361" s="30" t="n">
        <v>3</v>
      </c>
      <c r="BH361" s="30" t="n">
        <v>4</v>
      </c>
      <c r="BI361" s="30" t="n">
        <v>3</v>
      </c>
      <c r="BJ361" s="30" t="n">
        <v>1</v>
      </c>
      <c r="BK361" s="31" t="s">
        <v>1094</v>
      </c>
    </row>
    <row r="362" customFormat="false" ht="15" hidden="false" customHeight="true" outlineLevel="0" collapsed="false">
      <c r="B362" s="2" t="s">
        <v>1095</v>
      </c>
      <c r="C362" s="2" t="s">
        <v>78</v>
      </c>
      <c r="D362" s="2" t="s">
        <v>1096</v>
      </c>
      <c r="E362" s="2" t="n">
        <v>175585</v>
      </c>
      <c r="F362" s="15" t="n">
        <v>43566</v>
      </c>
      <c r="G362" s="15" t="n">
        <v>43572</v>
      </c>
      <c r="H362" s="3" t="n">
        <v>6</v>
      </c>
      <c r="I362" s="3" t="n">
        <v>2</v>
      </c>
      <c r="J362" s="3" t="n">
        <v>81</v>
      </c>
      <c r="K362" s="3" t="n">
        <v>1</v>
      </c>
      <c r="L362" s="3" t="n">
        <v>2</v>
      </c>
      <c r="M362" s="3" t="n">
        <v>1</v>
      </c>
      <c r="N362" s="3" t="n">
        <v>2</v>
      </c>
      <c r="O362" s="3" t="n">
        <v>2</v>
      </c>
      <c r="P362" s="3" t="n">
        <v>2</v>
      </c>
      <c r="Q362" s="3" t="n">
        <v>1</v>
      </c>
      <c r="R362" s="3" t="n">
        <v>2</v>
      </c>
      <c r="S362" s="3" t="n">
        <v>2</v>
      </c>
      <c r="T362" s="4" t="n">
        <v>3</v>
      </c>
      <c r="U362" s="3" t="n">
        <v>1</v>
      </c>
      <c r="AA362" s="3" t="n">
        <v>0.45</v>
      </c>
      <c r="AB362" s="3" t="n">
        <v>9.4</v>
      </c>
      <c r="AC362" s="3" t="n">
        <v>2</v>
      </c>
      <c r="AD362" s="3" t="n">
        <v>1</v>
      </c>
      <c r="AE362" s="3" t="n">
        <v>2</v>
      </c>
      <c r="AF362" s="3" t="n">
        <v>1</v>
      </c>
      <c r="AG362" s="3" t="n">
        <v>2</v>
      </c>
      <c r="AH362" s="3" t="n">
        <v>2</v>
      </c>
      <c r="AI362" s="3" t="n">
        <v>2</v>
      </c>
      <c r="AJ362" s="3" t="n">
        <v>2</v>
      </c>
      <c r="AK362" s="3" t="n">
        <v>2</v>
      </c>
      <c r="AL362" s="3" t="n">
        <v>2</v>
      </c>
      <c r="AM362" s="3" t="n">
        <v>1</v>
      </c>
      <c r="AN362" s="3" t="n">
        <v>2</v>
      </c>
      <c r="AO362" s="3" t="n">
        <v>2</v>
      </c>
      <c r="AP362" s="3" t="n">
        <v>3</v>
      </c>
      <c r="AQ362" s="3" t="n">
        <v>4</v>
      </c>
      <c r="AR362" s="3" t="n">
        <v>4</v>
      </c>
      <c r="AS362" s="3" t="n">
        <v>6</v>
      </c>
      <c r="AT362" s="3" t="n">
        <v>4</v>
      </c>
      <c r="AU362" s="3" t="n">
        <v>4</v>
      </c>
      <c r="AV362" s="3" t="n">
        <v>6</v>
      </c>
      <c r="AW362" s="3" t="n">
        <v>6</v>
      </c>
      <c r="AX362" s="3" t="n">
        <v>3</v>
      </c>
      <c r="AY362" s="3" t="n">
        <v>3</v>
      </c>
      <c r="AZ362" s="3" t="n">
        <v>1</v>
      </c>
      <c r="BA362" s="5" t="n">
        <v>11</v>
      </c>
      <c r="BB362" s="3" t="n">
        <v>2</v>
      </c>
      <c r="BC362" s="3" t="n">
        <v>1</v>
      </c>
      <c r="BD362" s="3" t="n">
        <v>6</v>
      </c>
      <c r="BE362" s="3" t="n">
        <v>3</v>
      </c>
      <c r="BF362" s="3" t="n">
        <v>5</v>
      </c>
      <c r="BG362" s="3" t="n">
        <v>3</v>
      </c>
      <c r="BH362" s="3" t="n">
        <v>4</v>
      </c>
      <c r="BI362" s="3" t="n">
        <v>1</v>
      </c>
      <c r="BJ362" s="3" t="n">
        <v>1</v>
      </c>
      <c r="BK362" s="6" t="s">
        <v>1097</v>
      </c>
    </row>
    <row r="363" customFormat="false" ht="15" hidden="false" customHeight="true" outlineLevel="0" collapsed="false">
      <c r="B363" s="2" t="s">
        <v>101</v>
      </c>
      <c r="C363" s="2" t="s">
        <v>1098</v>
      </c>
      <c r="D363" s="2" t="s">
        <v>1099</v>
      </c>
      <c r="E363" s="2" t="n">
        <v>175401</v>
      </c>
      <c r="F363" s="15" t="n">
        <v>43567</v>
      </c>
      <c r="G363" s="15" t="n">
        <v>43572</v>
      </c>
      <c r="H363" s="3" t="n">
        <v>5</v>
      </c>
      <c r="I363" s="3" t="n">
        <v>1</v>
      </c>
      <c r="J363" s="3" t="n">
        <v>70</v>
      </c>
      <c r="K363" s="3" t="n">
        <v>1</v>
      </c>
      <c r="L363" s="3" t="n">
        <v>1</v>
      </c>
      <c r="M363" s="3" t="n">
        <v>1</v>
      </c>
      <c r="N363" s="3" t="n">
        <v>2</v>
      </c>
      <c r="O363" s="3" t="n">
        <v>2</v>
      </c>
      <c r="P363" s="3" t="n">
        <v>2</v>
      </c>
      <c r="Q363" s="3" t="n">
        <v>1</v>
      </c>
      <c r="R363" s="3" t="n">
        <v>2</v>
      </c>
      <c r="S363" s="3" t="n">
        <v>2</v>
      </c>
      <c r="T363" s="4" t="n">
        <v>1</v>
      </c>
      <c r="U363" s="3" t="n">
        <v>1</v>
      </c>
      <c r="V363" s="3" t="n">
        <v>6.08</v>
      </c>
      <c r="W363" s="3" t="n">
        <v>0.08</v>
      </c>
      <c r="X363" s="3" t="n">
        <v>5.3</v>
      </c>
      <c r="Y363" s="3" t="n">
        <v>31</v>
      </c>
      <c r="AA363" s="3" t="n">
        <v>0.37</v>
      </c>
      <c r="AB363" s="3" t="n">
        <v>9.8</v>
      </c>
      <c r="AC363" s="3" t="n">
        <v>1</v>
      </c>
      <c r="AD363" s="3" t="n">
        <v>1</v>
      </c>
      <c r="AE363" s="3" t="n">
        <v>1</v>
      </c>
      <c r="AF363" s="3" t="n">
        <v>1</v>
      </c>
      <c r="AG363" s="3" t="n">
        <v>2</v>
      </c>
      <c r="AH363" s="3" t="n">
        <v>2</v>
      </c>
      <c r="AI363" s="3" t="n">
        <v>1</v>
      </c>
      <c r="AJ363" s="3" t="n">
        <v>1</v>
      </c>
      <c r="AK363" s="3" t="n">
        <v>2</v>
      </c>
      <c r="AL363" s="3" t="n">
        <v>2</v>
      </c>
      <c r="AM363" s="3" t="n">
        <v>1</v>
      </c>
      <c r="AN363" s="3" t="n">
        <v>2</v>
      </c>
      <c r="AO363" s="3" t="n">
        <v>2</v>
      </c>
      <c r="AP363" s="3" t="n">
        <v>3</v>
      </c>
      <c r="AQ363" s="3" t="n">
        <v>4</v>
      </c>
      <c r="AR363" s="3" t="n">
        <v>4</v>
      </c>
      <c r="AS363" s="3" t="n">
        <v>6</v>
      </c>
      <c r="AT363" s="3" t="n">
        <v>4</v>
      </c>
      <c r="AU363" s="3" t="n">
        <v>4</v>
      </c>
      <c r="AV363" s="3" t="n">
        <v>6</v>
      </c>
      <c r="AW363" s="3" t="n">
        <v>6</v>
      </c>
      <c r="AX363" s="3" t="n">
        <v>3</v>
      </c>
      <c r="AY363" s="3" t="n">
        <v>3</v>
      </c>
      <c r="AZ363" s="3" t="n">
        <v>1</v>
      </c>
      <c r="BA363" s="5" t="n">
        <v>5</v>
      </c>
      <c r="BB363" s="3" t="n">
        <v>2</v>
      </c>
      <c r="BC363" s="3" t="n">
        <v>1</v>
      </c>
      <c r="BD363" s="3" t="n">
        <v>6</v>
      </c>
      <c r="BE363" s="3" t="n">
        <v>3</v>
      </c>
      <c r="BF363" s="3" t="n">
        <v>5</v>
      </c>
      <c r="BG363" s="3" t="n">
        <v>3</v>
      </c>
      <c r="BH363" s="3" t="n">
        <v>4</v>
      </c>
      <c r="BI363" s="3" t="n">
        <v>1</v>
      </c>
      <c r="BJ363" s="3" t="n">
        <v>1</v>
      </c>
      <c r="BK363" s="6" t="s">
        <v>1100</v>
      </c>
    </row>
    <row r="364" customFormat="false" ht="15" hidden="false" customHeight="true" outlineLevel="0" collapsed="false">
      <c r="B364" s="2" t="s">
        <v>1101</v>
      </c>
      <c r="C364" s="2" t="s">
        <v>1102</v>
      </c>
      <c r="D364" s="2" t="s">
        <v>1103</v>
      </c>
      <c r="E364" s="2" t="n">
        <v>175716</v>
      </c>
      <c r="F364" s="15" t="n">
        <v>43563</v>
      </c>
      <c r="G364" s="15" t="n">
        <v>43573</v>
      </c>
      <c r="H364" s="3" t="n">
        <v>10</v>
      </c>
      <c r="I364" s="3" t="n">
        <v>1</v>
      </c>
      <c r="J364" s="3" t="n">
        <v>50</v>
      </c>
      <c r="K364" s="3" t="n">
        <v>2</v>
      </c>
      <c r="L364" s="3" t="n">
        <v>1</v>
      </c>
      <c r="M364" s="3" t="n">
        <v>1</v>
      </c>
      <c r="N364" s="3" t="n">
        <v>2</v>
      </c>
      <c r="O364" s="3" t="n">
        <v>2</v>
      </c>
      <c r="P364" s="3" t="n">
        <v>2</v>
      </c>
      <c r="Q364" s="3" t="n">
        <v>2</v>
      </c>
      <c r="R364" s="3" t="n">
        <v>2</v>
      </c>
      <c r="S364" s="3" t="n">
        <v>2</v>
      </c>
      <c r="T364" s="4" t="n">
        <v>1</v>
      </c>
      <c r="U364" s="3" t="n">
        <v>1</v>
      </c>
      <c r="V364" s="3" t="n">
        <v>10.86</v>
      </c>
      <c r="W364" s="3" t="n">
        <v>1.94</v>
      </c>
      <c r="X364" s="3" t="n">
        <v>7.04</v>
      </c>
      <c r="Y364" s="3" t="n">
        <v>355</v>
      </c>
      <c r="AA364" s="3" t="n">
        <v>0.4</v>
      </c>
      <c r="AB364" s="3" t="n">
        <v>9.5</v>
      </c>
      <c r="AC364" s="3" t="n">
        <v>1</v>
      </c>
      <c r="AD364" s="3" t="n">
        <v>1</v>
      </c>
      <c r="AE364" s="3" t="n">
        <v>1</v>
      </c>
      <c r="AF364" s="3" t="n">
        <v>1</v>
      </c>
      <c r="AG364" s="3" t="n">
        <v>2</v>
      </c>
      <c r="AH364" s="3" t="n">
        <v>2</v>
      </c>
      <c r="AI364" s="3" t="n">
        <v>1</v>
      </c>
      <c r="AJ364" s="3" t="n">
        <v>1</v>
      </c>
      <c r="AK364" s="3" t="n">
        <v>2</v>
      </c>
      <c r="AL364" s="3" t="n">
        <v>2</v>
      </c>
      <c r="AM364" s="3" t="n">
        <v>1</v>
      </c>
      <c r="AN364" s="3" t="n">
        <v>2</v>
      </c>
      <c r="AO364" s="3" t="n">
        <v>2</v>
      </c>
      <c r="AP364" s="3" t="n">
        <v>3</v>
      </c>
      <c r="AQ364" s="3" t="n">
        <v>4</v>
      </c>
      <c r="AR364" s="3" t="n">
        <v>4</v>
      </c>
      <c r="AS364" s="3" t="n">
        <v>6</v>
      </c>
      <c r="AT364" s="3" t="n">
        <v>4</v>
      </c>
      <c r="AU364" s="3" t="n">
        <v>4</v>
      </c>
      <c r="AV364" s="3" t="n">
        <v>6</v>
      </c>
      <c r="AW364" s="3" t="n">
        <v>6</v>
      </c>
      <c r="AX364" s="3" t="n">
        <v>3</v>
      </c>
      <c r="AY364" s="3" t="n">
        <v>3</v>
      </c>
      <c r="AZ364" s="3" t="n">
        <v>1</v>
      </c>
      <c r="BA364" s="5" t="n">
        <v>5</v>
      </c>
      <c r="BB364" s="3" t="n">
        <v>2</v>
      </c>
      <c r="BC364" s="3" t="n">
        <v>1</v>
      </c>
      <c r="BD364" s="3" t="n">
        <v>6</v>
      </c>
      <c r="BE364" s="3" t="n">
        <v>3</v>
      </c>
      <c r="BF364" s="3" t="n">
        <v>5</v>
      </c>
      <c r="BG364" s="3" t="n">
        <v>3</v>
      </c>
      <c r="BH364" s="3" t="n">
        <v>4</v>
      </c>
      <c r="BI364" s="3" t="n">
        <v>1</v>
      </c>
      <c r="BJ364" s="3" t="n">
        <v>1</v>
      </c>
      <c r="BK364" s="6" t="s">
        <v>1104</v>
      </c>
    </row>
    <row r="365" customFormat="false" ht="15" hidden="false" customHeight="true" outlineLevel="0" collapsed="false">
      <c r="B365" s="2" t="s">
        <v>918</v>
      </c>
      <c r="C365" s="2" t="s">
        <v>75</v>
      </c>
      <c r="D365" s="2" t="s">
        <v>1105</v>
      </c>
      <c r="E365" s="2" t="n">
        <v>175883</v>
      </c>
      <c r="F365" s="15" t="n">
        <v>43570</v>
      </c>
      <c r="G365" s="15" t="n">
        <v>43574</v>
      </c>
      <c r="H365" s="3" t="n">
        <v>4</v>
      </c>
      <c r="I365" s="3" t="n">
        <v>1</v>
      </c>
      <c r="J365" s="3" t="n">
        <v>75</v>
      </c>
      <c r="K365" s="3" t="n">
        <v>1</v>
      </c>
      <c r="L365" s="3" t="n">
        <v>2</v>
      </c>
      <c r="M365" s="3" t="n">
        <v>1</v>
      </c>
      <c r="N365" s="3" t="n">
        <v>1</v>
      </c>
      <c r="O365" s="3" t="n">
        <v>2</v>
      </c>
      <c r="P365" s="3" t="n">
        <v>2</v>
      </c>
      <c r="Q365" s="3" t="n">
        <v>2</v>
      </c>
      <c r="R365" s="3" t="n">
        <v>2</v>
      </c>
      <c r="S365" s="3" t="n">
        <v>1</v>
      </c>
      <c r="T365" s="4" t="n">
        <v>1</v>
      </c>
      <c r="U365" s="3" t="n">
        <v>1</v>
      </c>
      <c r="V365" s="3" t="n">
        <v>12.18</v>
      </c>
      <c r="W365" s="3" t="n">
        <v>0.63</v>
      </c>
      <c r="X365" s="3" t="n">
        <v>5.6</v>
      </c>
      <c r="Y365" s="3" t="n">
        <v>325</v>
      </c>
      <c r="AA365" s="3" t="n">
        <v>0.46</v>
      </c>
      <c r="AB365" s="3" t="n">
        <v>9.4</v>
      </c>
      <c r="AC365" s="3" t="n">
        <v>1</v>
      </c>
      <c r="AD365" s="3" t="n">
        <v>1</v>
      </c>
      <c r="AE365" s="3" t="n">
        <v>1</v>
      </c>
      <c r="AF365" s="3" t="n">
        <v>1</v>
      </c>
      <c r="AG365" s="3" t="n">
        <v>1</v>
      </c>
      <c r="AH365" s="3" t="n">
        <v>1</v>
      </c>
      <c r="AI365" s="3" t="n">
        <v>1</v>
      </c>
      <c r="AJ365" s="3" t="n">
        <v>1</v>
      </c>
      <c r="AK365" s="3" t="n">
        <v>2</v>
      </c>
      <c r="AL365" s="3" t="n">
        <v>2</v>
      </c>
      <c r="AM365" s="3" t="n">
        <v>2</v>
      </c>
      <c r="AN365" s="3" t="n">
        <v>2</v>
      </c>
      <c r="AO365" s="3" t="n">
        <v>2</v>
      </c>
      <c r="AP365" s="3" t="n">
        <v>3</v>
      </c>
      <c r="AQ365" s="3" t="n">
        <v>4</v>
      </c>
      <c r="AR365" s="3" t="n">
        <v>4</v>
      </c>
      <c r="AS365" s="3" t="n">
        <v>6</v>
      </c>
      <c r="AT365" s="3" t="n">
        <v>4</v>
      </c>
      <c r="AU365" s="3" t="n">
        <v>4</v>
      </c>
      <c r="AV365" s="3" t="n">
        <v>6</v>
      </c>
      <c r="AW365" s="3" t="n">
        <v>6</v>
      </c>
      <c r="AX365" s="3" t="n">
        <v>3</v>
      </c>
      <c r="AY365" s="3" t="n">
        <v>3</v>
      </c>
      <c r="AZ365" s="3" t="n">
        <v>1</v>
      </c>
      <c r="BA365" s="5" t="n">
        <v>5</v>
      </c>
      <c r="BB365" s="3" t="n">
        <v>2</v>
      </c>
      <c r="BC365" s="3" t="n">
        <v>1</v>
      </c>
      <c r="BD365" s="3" t="n">
        <v>6</v>
      </c>
      <c r="BE365" s="3" t="n">
        <v>3</v>
      </c>
      <c r="BF365" s="3" t="n">
        <v>5</v>
      </c>
      <c r="BG365" s="3" t="n">
        <v>3</v>
      </c>
      <c r="BH365" s="3" t="n">
        <v>4</v>
      </c>
      <c r="BI365" s="3" t="n">
        <v>1</v>
      </c>
      <c r="BJ365" s="3" t="n">
        <v>1</v>
      </c>
      <c r="BK365" s="6" t="s">
        <v>1106</v>
      </c>
    </row>
    <row r="366" customFormat="false" ht="15" hidden="false" customHeight="true" outlineLevel="0" collapsed="false">
      <c r="B366" s="2" t="s">
        <v>912</v>
      </c>
      <c r="C366" s="2" t="s">
        <v>118</v>
      </c>
      <c r="D366" s="2" t="s">
        <v>118</v>
      </c>
      <c r="E366" s="2" t="n">
        <v>175872</v>
      </c>
      <c r="F366" s="15" t="n">
        <v>43571</v>
      </c>
      <c r="G366" s="15" t="n">
        <v>43575</v>
      </c>
      <c r="H366" s="3" t="n">
        <v>4</v>
      </c>
      <c r="I366" s="3" t="n">
        <v>2</v>
      </c>
      <c r="J366" s="3" t="n">
        <v>59</v>
      </c>
      <c r="K366" s="3" t="n">
        <v>1</v>
      </c>
      <c r="L366" s="3" t="n">
        <v>2</v>
      </c>
      <c r="M366" s="3" t="n">
        <v>1</v>
      </c>
      <c r="N366" s="3" t="n">
        <v>2</v>
      </c>
      <c r="O366" s="3" t="n">
        <v>2</v>
      </c>
      <c r="P366" s="3" t="n">
        <v>2</v>
      </c>
      <c r="Q366" s="3" t="n">
        <v>2</v>
      </c>
      <c r="R366" s="3" t="n">
        <v>2</v>
      </c>
      <c r="S366" s="3" t="n">
        <v>2</v>
      </c>
      <c r="T366" s="4" t="n">
        <v>1</v>
      </c>
      <c r="U366" s="3" t="n">
        <v>1</v>
      </c>
      <c r="V366" s="3" t="n">
        <v>7.62</v>
      </c>
      <c r="W366" s="3" t="n">
        <v>0.64</v>
      </c>
      <c r="X366" s="3" t="n">
        <v>5.7</v>
      </c>
      <c r="Y366" s="3" t="n">
        <v>494</v>
      </c>
      <c r="AA366" s="3" t="n">
        <v>0.43</v>
      </c>
      <c r="AB366" s="3" t="n">
        <v>9.82</v>
      </c>
      <c r="AC366" s="3" t="n">
        <v>2</v>
      </c>
      <c r="AD366" s="3" t="n">
        <v>1</v>
      </c>
      <c r="AE366" s="3" t="n">
        <v>1</v>
      </c>
      <c r="AF366" s="3" t="n">
        <v>1</v>
      </c>
      <c r="AG366" s="3" t="n">
        <v>2</v>
      </c>
      <c r="AH366" s="3" t="n">
        <v>2</v>
      </c>
      <c r="AI366" s="3" t="n">
        <v>1</v>
      </c>
      <c r="AJ366" s="3" t="n">
        <v>1</v>
      </c>
      <c r="AK366" s="3" t="n">
        <v>2</v>
      </c>
      <c r="AL366" s="3" t="n">
        <v>2</v>
      </c>
      <c r="AM366" s="3" t="n">
        <v>1</v>
      </c>
      <c r="AN366" s="3" t="n">
        <v>2</v>
      </c>
      <c r="AO366" s="3" t="n">
        <v>2</v>
      </c>
      <c r="AP366" s="3" t="n">
        <v>3</v>
      </c>
      <c r="AQ366" s="3" t="n">
        <v>4</v>
      </c>
      <c r="AR366" s="3" t="n">
        <v>4</v>
      </c>
      <c r="AS366" s="3" t="n">
        <v>6</v>
      </c>
      <c r="AT366" s="3" t="n">
        <v>4</v>
      </c>
      <c r="AU366" s="3" t="n">
        <v>4</v>
      </c>
      <c r="AV366" s="3" t="n">
        <v>6</v>
      </c>
      <c r="AW366" s="3" t="n">
        <v>6</v>
      </c>
      <c r="AX366" s="3" t="n">
        <v>3</v>
      </c>
      <c r="AY366" s="3" t="n">
        <v>3</v>
      </c>
      <c r="AZ366" s="3" t="n">
        <v>1</v>
      </c>
      <c r="BA366" s="5" t="n">
        <v>5</v>
      </c>
      <c r="BB366" s="3" t="n">
        <v>2</v>
      </c>
      <c r="BC366" s="3" t="n">
        <v>1</v>
      </c>
      <c r="BD366" s="3" t="n">
        <v>6</v>
      </c>
      <c r="BE366" s="3" t="n">
        <v>3</v>
      </c>
      <c r="BF366" s="3" t="n">
        <v>5</v>
      </c>
      <c r="BG366" s="3" t="n">
        <v>3</v>
      </c>
      <c r="BH366" s="3" t="n">
        <v>4</v>
      </c>
      <c r="BI366" s="3" t="n">
        <v>1</v>
      </c>
      <c r="BJ366" s="3" t="n">
        <v>1</v>
      </c>
      <c r="BK366" s="6" t="s">
        <v>1107</v>
      </c>
    </row>
    <row r="367" customFormat="false" ht="15" hidden="false" customHeight="true" outlineLevel="0" collapsed="false">
      <c r="B367" s="2" t="s">
        <v>339</v>
      </c>
      <c r="C367" s="2" t="s">
        <v>275</v>
      </c>
      <c r="D367" s="2" t="s">
        <v>275</v>
      </c>
      <c r="E367" s="2" t="n">
        <v>998175</v>
      </c>
      <c r="F367" s="15" t="n">
        <v>43572</v>
      </c>
      <c r="G367" s="15" t="n">
        <v>43578</v>
      </c>
      <c r="H367" s="3" t="n">
        <v>6</v>
      </c>
      <c r="I367" s="3" t="n">
        <v>1</v>
      </c>
      <c r="J367" s="3" t="n">
        <v>88</v>
      </c>
      <c r="K367" s="3" t="n">
        <v>1</v>
      </c>
      <c r="L367" s="3" t="n">
        <v>2</v>
      </c>
      <c r="M367" s="3" t="n">
        <v>1</v>
      </c>
      <c r="N367" s="3" t="n">
        <v>1</v>
      </c>
      <c r="O367" s="3" t="n">
        <v>1</v>
      </c>
      <c r="P367" s="3" t="n">
        <v>2</v>
      </c>
      <c r="Q367" s="3" t="n">
        <v>1</v>
      </c>
      <c r="R367" s="3" t="n">
        <v>2</v>
      </c>
      <c r="S367" s="3" t="n">
        <v>1</v>
      </c>
      <c r="T367" s="4" t="n">
        <v>3</v>
      </c>
      <c r="U367" s="3" t="n">
        <v>1</v>
      </c>
      <c r="V367" s="3" t="n">
        <v>6.75</v>
      </c>
      <c r="W367" s="3" t="n">
        <v>0.51</v>
      </c>
      <c r="X367" s="3" t="n">
        <v>5.4</v>
      </c>
      <c r="Y367" s="3" t="n">
        <v>599</v>
      </c>
      <c r="AA367" s="3" t="n">
        <v>0.32</v>
      </c>
      <c r="AB367" s="3" t="n">
        <v>14.1</v>
      </c>
      <c r="AC367" s="3" t="n">
        <v>2</v>
      </c>
      <c r="AD367" s="3" t="n">
        <v>2</v>
      </c>
      <c r="AE367" s="3" t="n">
        <v>1</v>
      </c>
      <c r="AF367" s="3" t="n">
        <v>1</v>
      </c>
      <c r="AG367" s="3" t="n">
        <v>2</v>
      </c>
      <c r="AH367" s="3" t="n">
        <v>1</v>
      </c>
      <c r="AI367" s="3" t="n">
        <v>1</v>
      </c>
      <c r="AJ367" s="3" t="n">
        <v>2</v>
      </c>
      <c r="AK367" s="3" t="n">
        <v>2</v>
      </c>
      <c r="AL367" s="3" t="n">
        <v>2</v>
      </c>
      <c r="AM367" s="3" t="n">
        <v>1</v>
      </c>
      <c r="AN367" s="3" t="n">
        <v>2</v>
      </c>
      <c r="AO367" s="3" t="n">
        <v>2</v>
      </c>
      <c r="AP367" s="3" t="n">
        <v>3</v>
      </c>
      <c r="AQ367" s="3" t="n">
        <v>4</v>
      </c>
      <c r="AR367" s="3" t="n">
        <v>4</v>
      </c>
      <c r="AS367" s="3" t="n">
        <v>6</v>
      </c>
      <c r="AT367" s="3" t="n">
        <v>4</v>
      </c>
      <c r="AU367" s="3" t="n">
        <v>4</v>
      </c>
      <c r="AV367" s="3" t="n">
        <v>6</v>
      </c>
      <c r="AW367" s="3" t="n">
        <v>6</v>
      </c>
      <c r="AX367" s="3" t="n">
        <v>3</v>
      </c>
      <c r="AY367" s="3" t="n">
        <v>3</v>
      </c>
      <c r="AZ367" s="3" t="n">
        <v>1</v>
      </c>
      <c r="BA367" s="5" t="n">
        <v>11</v>
      </c>
      <c r="BB367" s="3" t="n">
        <v>2</v>
      </c>
      <c r="BC367" s="3" t="n">
        <v>1</v>
      </c>
      <c r="BD367" s="3" t="n">
        <v>6</v>
      </c>
      <c r="BE367" s="3" t="n">
        <v>3</v>
      </c>
      <c r="BF367" s="3" t="n">
        <v>5</v>
      </c>
      <c r="BG367" s="3" t="n">
        <v>3</v>
      </c>
      <c r="BH367" s="3" t="n">
        <v>4</v>
      </c>
      <c r="BI367" s="3" t="n">
        <v>1</v>
      </c>
      <c r="BJ367" s="3" t="n">
        <v>1</v>
      </c>
      <c r="BK367" s="6" t="s">
        <v>1108</v>
      </c>
    </row>
    <row r="368" customFormat="false" ht="15" hidden="false" customHeight="true" outlineLevel="0" collapsed="false">
      <c r="B368" s="2" t="s">
        <v>1109</v>
      </c>
      <c r="C368" s="2" t="s">
        <v>1110</v>
      </c>
      <c r="D368" s="2" t="s">
        <v>1111</v>
      </c>
      <c r="E368" s="2" t="n">
        <v>176217</v>
      </c>
      <c r="F368" s="15" t="n">
        <v>43573</v>
      </c>
      <c r="G368" s="15" t="n">
        <v>43578</v>
      </c>
      <c r="H368" s="3" t="n">
        <v>5</v>
      </c>
      <c r="I368" s="3" t="n">
        <v>1</v>
      </c>
      <c r="J368" s="3" t="n">
        <v>63</v>
      </c>
      <c r="K368" s="3" t="n">
        <v>2</v>
      </c>
      <c r="L368" s="3" t="n">
        <v>2</v>
      </c>
      <c r="M368" s="3" t="n">
        <v>1</v>
      </c>
      <c r="N368" s="3" t="n">
        <v>2</v>
      </c>
      <c r="O368" s="3" t="n">
        <v>2</v>
      </c>
      <c r="P368" s="3" t="n">
        <v>2</v>
      </c>
      <c r="Q368" s="3" t="n">
        <v>1</v>
      </c>
      <c r="R368" s="3" t="n">
        <v>2</v>
      </c>
      <c r="S368" s="3" t="n">
        <v>2</v>
      </c>
      <c r="T368" s="4" t="n">
        <v>1</v>
      </c>
      <c r="U368" s="3" t="n">
        <v>1</v>
      </c>
      <c r="V368" s="3" t="n">
        <v>6.78</v>
      </c>
      <c r="W368" s="3" t="n">
        <v>0.33</v>
      </c>
      <c r="X368" s="3" t="n">
        <v>5.9</v>
      </c>
      <c r="Y368" s="3" t="n">
        <v>470</v>
      </c>
      <c r="AA368" s="3" t="n">
        <v>0.38</v>
      </c>
      <c r="AB368" s="3" t="n">
        <v>9</v>
      </c>
      <c r="AC368" s="3" t="n">
        <v>1</v>
      </c>
      <c r="AD368" s="3" t="n">
        <v>1</v>
      </c>
      <c r="AE368" s="3" t="n">
        <v>1</v>
      </c>
      <c r="AF368" s="3" t="n">
        <v>1</v>
      </c>
      <c r="AG368" s="3" t="n">
        <v>2</v>
      </c>
      <c r="AH368" s="3" t="n">
        <v>2</v>
      </c>
      <c r="AI368" s="3" t="n">
        <v>1</v>
      </c>
      <c r="AJ368" s="3" t="n">
        <v>2</v>
      </c>
      <c r="AK368" s="3" t="n">
        <v>2</v>
      </c>
      <c r="AL368" s="3" t="n">
        <v>2</v>
      </c>
      <c r="AM368" s="3" t="n">
        <v>2</v>
      </c>
      <c r="AN368" s="3" t="n">
        <v>2</v>
      </c>
      <c r="AO368" s="3" t="n">
        <v>2</v>
      </c>
      <c r="AP368" s="3" t="n">
        <v>3</v>
      </c>
      <c r="AQ368" s="3" t="n">
        <v>4</v>
      </c>
      <c r="AR368" s="3" t="n">
        <v>4</v>
      </c>
      <c r="AS368" s="3" t="n">
        <v>6</v>
      </c>
      <c r="AT368" s="3" t="n">
        <v>4</v>
      </c>
      <c r="AU368" s="3" t="n">
        <v>4</v>
      </c>
      <c r="AV368" s="3" t="n">
        <v>6</v>
      </c>
      <c r="AW368" s="3" t="n">
        <v>6</v>
      </c>
      <c r="AX368" s="3" t="n">
        <v>3</v>
      </c>
      <c r="AY368" s="3" t="n">
        <v>3</v>
      </c>
      <c r="AZ368" s="3" t="n">
        <v>1</v>
      </c>
      <c r="BA368" s="5" t="n">
        <v>5</v>
      </c>
      <c r="BB368" s="3" t="n">
        <v>2</v>
      </c>
      <c r="BC368" s="3" t="n">
        <v>1</v>
      </c>
      <c r="BD368" s="3" t="n">
        <v>6</v>
      </c>
      <c r="BE368" s="3" t="n">
        <v>3</v>
      </c>
      <c r="BF368" s="3" t="n">
        <v>5</v>
      </c>
      <c r="BG368" s="3" t="n">
        <v>3</v>
      </c>
      <c r="BH368" s="3" t="n">
        <v>4</v>
      </c>
      <c r="BI368" s="3" t="n">
        <v>1</v>
      </c>
      <c r="BJ368" s="3" t="n">
        <v>1</v>
      </c>
      <c r="BK368" s="6" t="s">
        <v>1112</v>
      </c>
    </row>
    <row r="369" customFormat="false" ht="15" hidden="false" customHeight="true" outlineLevel="0" collapsed="false">
      <c r="B369" s="2" t="s">
        <v>630</v>
      </c>
      <c r="C369" s="2" t="s">
        <v>1113</v>
      </c>
      <c r="D369" s="2" t="s">
        <v>1114</v>
      </c>
      <c r="E369" s="2" t="n">
        <v>140820</v>
      </c>
      <c r="F369" s="15" t="n">
        <v>43571</v>
      </c>
      <c r="G369" s="15" t="n">
        <v>43578</v>
      </c>
      <c r="H369" s="3" t="n">
        <v>7</v>
      </c>
      <c r="I369" s="3" t="n">
        <v>1</v>
      </c>
      <c r="J369" s="3" t="n">
        <v>80</v>
      </c>
      <c r="K369" s="3" t="n">
        <v>1</v>
      </c>
      <c r="L369" s="3" t="n">
        <v>2</v>
      </c>
      <c r="M369" s="3" t="n">
        <v>1</v>
      </c>
      <c r="N369" s="3" t="n">
        <v>2</v>
      </c>
      <c r="O369" s="3" t="n">
        <v>2</v>
      </c>
      <c r="P369" s="3" t="n">
        <v>2</v>
      </c>
      <c r="Q369" s="3" t="n">
        <v>2</v>
      </c>
      <c r="R369" s="3" t="n">
        <v>2</v>
      </c>
      <c r="S369" s="3" t="n">
        <v>1</v>
      </c>
      <c r="T369" s="4" t="n">
        <v>1</v>
      </c>
      <c r="U369" s="3" t="n">
        <v>4</v>
      </c>
      <c r="V369" s="3" t="n">
        <v>6.8</v>
      </c>
      <c r="W369" s="3" t="n">
        <v>0.72</v>
      </c>
      <c r="X369" s="3" t="n">
        <v>14.04</v>
      </c>
      <c r="Y369" s="3" t="n">
        <v>337</v>
      </c>
      <c r="AA369" s="3" t="n">
        <v>0.37</v>
      </c>
      <c r="AB369" s="3" t="n">
        <v>8.1</v>
      </c>
      <c r="AC369" s="3" t="n">
        <v>1</v>
      </c>
      <c r="AD369" s="3" t="n">
        <v>2</v>
      </c>
      <c r="AE369" s="3" t="n">
        <v>1</v>
      </c>
      <c r="AF369" s="3" t="n">
        <v>1</v>
      </c>
      <c r="AG369" s="3" t="n">
        <v>2</v>
      </c>
      <c r="AH369" s="3" t="n">
        <v>2</v>
      </c>
      <c r="AI369" s="3" t="n">
        <v>1</v>
      </c>
      <c r="AJ369" s="3" t="n">
        <v>1</v>
      </c>
      <c r="AK369" s="3" t="n">
        <v>1</v>
      </c>
      <c r="AL369" s="3" t="n">
        <v>1</v>
      </c>
      <c r="AM369" s="3" t="n">
        <v>1</v>
      </c>
      <c r="AN369" s="3" t="n">
        <v>2</v>
      </c>
      <c r="AO369" s="3" t="n">
        <v>1</v>
      </c>
      <c r="AP369" s="3" t="n">
        <v>3</v>
      </c>
      <c r="AQ369" s="3" t="n">
        <v>4</v>
      </c>
      <c r="AR369" s="3" t="n">
        <v>4</v>
      </c>
      <c r="AS369" s="3" t="n">
        <v>6</v>
      </c>
      <c r="AT369" s="3" t="n">
        <v>4</v>
      </c>
      <c r="AU369" s="3" t="n">
        <v>4</v>
      </c>
      <c r="AV369" s="3" t="n">
        <v>6</v>
      </c>
      <c r="AW369" s="3" t="n">
        <v>6</v>
      </c>
      <c r="AX369" s="3" t="n">
        <v>3</v>
      </c>
      <c r="AY369" s="3" t="n">
        <v>3</v>
      </c>
      <c r="AZ369" s="3" t="n">
        <v>4</v>
      </c>
      <c r="BA369" s="5" t="n">
        <v>5</v>
      </c>
      <c r="BB369" s="3" t="n">
        <v>2</v>
      </c>
      <c r="BC369" s="3" t="n">
        <v>1</v>
      </c>
      <c r="BD369" s="3" t="n">
        <v>6</v>
      </c>
      <c r="BE369" s="3" t="n">
        <v>3</v>
      </c>
      <c r="BF369" s="3" t="n">
        <v>5</v>
      </c>
      <c r="BG369" s="3" t="n">
        <v>3</v>
      </c>
      <c r="BH369" s="3" t="n">
        <v>1</v>
      </c>
      <c r="BI369" s="3" t="n">
        <v>1</v>
      </c>
      <c r="BK369" s="6" t="s">
        <v>1115</v>
      </c>
    </row>
    <row r="370" customFormat="false" ht="15" hidden="false" customHeight="true" outlineLevel="0" collapsed="false">
      <c r="B370" s="2" t="s">
        <v>1116</v>
      </c>
      <c r="C370" s="2" t="s">
        <v>95</v>
      </c>
      <c r="D370" s="2" t="s">
        <v>1117</v>
      </c>
      <c r="E370" s="2" t="n">
        <v>175529</v>
      </c>
      <c r="F370" s="15" t="n">
        <v>43562</v>
      </c>
      <c r="G370" s="15" t="n">
        <v>43578</v>
      </c>
      <c r="H370" s="3" t="n">
        <v>16</v>
      </c>
      <c r="I370" s="3" t="n">
        <v>2</v>
      </c>
      <c r="J370" s="3" t="n">
        <v>73</v>
      </c>
      <c r="K370" s="3" t="n">
        <v>2</v>
      </c>
      <c r="L370" s="3" t="n">
        <v>1</v>
      </c>
      <c r="M370" s="3" t="n">
        <v>1</v>
      </c>
      <c r="N370" s="3" t="n">
        <v>2</v>
      </c>
      <c r="O370" s="3" t="n">
        <v>2</v>
      </c>
      <c r="P370" s="3" t="n">
        <v>2</v>
      </c>
      <c r="Q370" s="3" t="n">
        <v>2</v>
      </c>
      <c r="R370" s="3" t="n">
        <v>2</v>
      </c>
      <c r="S370" s="3" t="n">
        <v>2</v>
      </c>
      <c r="T370" s="4" t="n">
        <v>6</v>
      </c>
      <c r="U370" s="3" t="n">
        <v>4</v>
      </c>
      <c r="V370" s="3" t="n">
        <v>4.37</v>
      </c>
      <c r="X370" s="3" t="n">
        <v>5.4</v>
      </c>
      <c r="Y370" s="3" t="n">
        <v>572</v>
      </c>
      <c r="AA370" s="3" t="n">
        <v>0.37</v>
      </c>
      <c r="AB370" s="3" t="n">
        <v>7.1</v>
      </c>
      <c r="AC370" s="3" t="n">
        <v>1</v>
      </c>
      <c r="AD370" s="3" t="n">
        <v>1</v>
      </c>
      <c r="AE370" s="3" t="n">
        <v>2</v>
      </c>
      <c r="AF370" s="3" t="n">
        <v>1</v>
      </c>
      <c r="AG370" s="3" t="n">
        <v>2</v>
      </c>
      <c r="AH370" s="3" t="n">
        <v>2</v>
      </c>
      <c r="AI370" s="3" t="n">
        <v>1</v>
      </c>
      <c r="AJ370" s="3" t="n">
        <v>2</v>
      </c>
      <c r="AK370" s="3" t="n">
        <v>2</v>
      </c>
      <c r="AL370" s="3" t="n">
        <v>2</v>
      </c>
      <c r="AM370" s="3" t="n">
        <v>1</v>
      </c>
      <c r="AN370" s="3" t="n">
        <v>2</v>
      </c>
      <c r="AO370" s="3" t="n">
        <v>2</v>
      </c>
      <c r="AP370" s="3" t="n">
        <v>1</v>
      </c>
      <c r="AQ370" s="3" t="n">
        <v>1</v>
      </c>
      <c r="AR370" s="3" t="n">
        <v>4</v>
      </c>
      <c r="AS370" s="3" t="n">
        <v>6</v>
      </c>
      <c r="AT370" s="3" t="n">
        <v>4</v>
      </c>
      <c r="AU370" s="3" t="n">
        <v>4</v>
      </c>
      <c r="AV370" s="3" t="n">
        <v>1</v>
      </c>
      <c r="AW370" s="3" t="n">
        <v>6</v>
      </c>
      <c r="AX370" s="3" t="n">
        <v>2</v>
      </c>
      <c r="AY370" s="3" t="n">
        <v>1</v>
      </c>
      <c r="AZ370" s="3" t="n">
        <v>1</v>
      </c>
      <c r="BA370" s="5" t="n">
        <v>10</v>
      </c>
      <c r="BB370" s="3" t="n">
        <v>2</v>
      </c>
      <c r="BC370" s="3" t="n">
        <v>1</v>
      </c>
      <c r="BD370" s="3" t="n">
        <v>6</v>
      </c>
      <c r="BE370" s="3" t="n">
        <v>3</v>
      </c>
      <c r="BF370" s="3" t="n">
        <v>5</v>
      </c>
      <c r="BG370" s="3" t="n">
        <v>3</v>
      </c>
      <c r="BH370" s="3" t="n">
        <v>4</v>
      </c>
      <c r="BI370" s="3" t="n">
        <v>1</v>
      </c>
      <c r="BJ370" s="3" t="n">
        <v>1</v>
      </c>
      <c r="BK370" s="6" t="s">
        <v>1118</v>
      </c>
    </row>
    <row r="371" customFormat="false" ht="15" hidden="false" customHeight="true" outlineLevel="0" collapsed="false">
      <c r="B371" s="2" t="s">
        <v>1024</v>
      </c>
      <c r="C371" s="2" t="s">
        <v>78</v>
      </c>
      <c r="D371" s="2" t="s">
        <v>746</v>
      </c>
      <c r="E371" s="2" t="n">
        <v>176206</v>
      </c>
      <c r="F371" s="15" t="n">
        <v>43572</v>
      </c>
      <c r="G371" s="15" t="n">
        <v>43578</v>
      </c>
      <c r="H371" s="3" t="n">
        <v>6</v>
      </c>
      <c r="I371" s="3" t="n">
        <v>2</v>
      </c>
      <c r="J371" s="3" t="n">
        <v>74</v>
      </c>
      <c r="K371" s="3" t="n">
        <v>1</v>
      </c>
      <c r="L371" s="3" t="n">
        <v>2</v>
      </c>
      <c r="M371" s="3" t="n">
        <v>1</v>
      </c>
      <c r="N371" s="3" t="n">
        <v>2</v>
      </c>
      <c r="O371" s="3" t="n">
        <v>2</v>
      </c>
      <c r="P371" s="3" t="n">
        <v>2</v>
      </c>
      <c r="Q371" s="3" t="n">
        <v>2</v>
      </c>
      <c r="R371" s="3" t="n">
        <v>2</v>
      </c>
      <c r="S371" s="3" t="n">
        <v>2</v>
      </c>
      <c r="T371" s="4" t="n">
        <v>1</v>
      </c>
      <c r="U371" s="3" t="n">
        <v>1</v>
      </c>
      <c r="V371" s="3" t="n">
        <v>4.97</v>
      </c>
      <c r="W371" s="3" t="n">
        <v>0.76</v>
      </c>
      <c r="X371" s="3" t="n">
        <v>5.1</v>
      </c>
      <c r="Y371" s="3" t="n">
        <v>470</v>
      </c>
      <c r="AA371" s="3" t="n">
        <v>0.42</v>
      </c>
      <c r="AB371" s="3" t="n">
        <v>10.2</v>
      </c>
      <c r="AC371" s="3" t="n">
        <v>1</v>
      </c>
      <c r="AD371" s="3" t="n">
        <v>1</v>
      </c>
      <c r="AE371" s="3" t="n">
        <v>1</v>
      </c>
      <c r="AF371" s="3" t="n">
        <v>1</v>
      </c>
      <c r="AG371" s="3" t="n">
        <v>2</v>
      </c>
      <c r="AH371" s="3" t="n">
        <v>2</v>
      </c>
      <c r="AI371" s="3" t="n">
        <v>1</v>
      </c>
      <c r="AJ371" s="3" t="n">
        <v>1</v>
      </c>
      <c r="AK371" s="3" t="n">
        <v>2</v>
      </c>
      <c r="AL371" s="3" t="n">
        <v>2</v>
      </c>
      <c r="AM371" s="3" t="n">
        <v>2</v>
      </c>
      <c r="AN371" s="3" t="n">
        <v>2</v>
      </c>
      <c r="AO371" s="3" t="n">
        <v>2</v>
      </c>
      <c r="AP371" s="3" t="n">
        <v>3</v>
      </c>
      <c r="AQ371" s="3" t="n">
        <v>4</v>
      </c>
      <c r="AR371" s="3" t="n">
        <v>4</v>
      </c>
      <c r="AS371" s="3" t="n">
        <v>6</v>
      </c>
      <c r="AT371" s="3" t="n">
        <v>4</v>
      </c>
      <c r="AU371" s="3" t="n">
        <v>4</v>
      </c>
      <c r="AV371" s="3" t="n">
        <v>6</v>
      </c>
      <c r="AW371" s="3" t="n">
        <v>6</v>
      </c>
      <c r="AX371" s="3" t="n">
        <v>3</v>
      </c>
      <c r="AY371" s="3" t="n">
        <v>3</v>
      </c>
      <c r="AZ371" s="3" t="n">
        <v>1</v>
      </c>
      <c r="BA371" s="5" t="n">
        <v>5</v>
      </c>
      <c r="BB371" s="3" t="n">
        <v>2</v>
      </c>
      <c r="BC371" s="3" t="n">
        <v>1</v>
      </c>
      <c r="BD371" s="3" t="n">
        <v>6</v>
      </c>
      <c r="BE371" s="3" t="n">
        <v>3</v>
      </c>
      <c r="BF371" s="3" t="n">
        <v>5</v>
      </c>
      <c r="BG371" s="3" t="n">
        <v>3</v>
      </c>
      <c r="BH371" s="3" t="n">
        <v>4</v>
      </c>
      <c r="BI371" s="3" t="n">
        <v>1</v>
      </c>
      <c r="BJ371" s="3" t="n">
        <v>1</v>
      </c>
      <c r="BK371" s="6" t="s">
        <v>1119</v>
      </c>
    </row>
    <row r="372" customFormat="false" ht="15" hidden="false" customHeight="true" outlineLevel="0" collapsed="false">
      <c r="B372" s="2" t="s">
        <v>566</v>
      </c>
      <c r="C372" s="2" t="s">
        <v>244</v>
      </c>
      <c r="D372" s="2" t="s">
        <v>70</v>
      </c>
      <c r="E372" s="2" t="s">
        <v>567</v>
      </c>
      <c r="F372" s="15" t="n">
        <v>43571</v>
      </c>
      <c r="G372" s="15" t="n">
        <v>43578</v>
      </c>
      <c r="H372" s="3" t="n">
        <v>7</v>
      </c>
      <c r="I372" s="3" t="n">
        <v>1</v>
      </c>
      <c r="J372" s="3" t="n">
        <v>84</v>
      </c>
      <c r="K372" s="3" t="n">
        <v>1</v>
      </c>
      <c r="L372" s="3" t="n">
        <v>2</v>
      </c>
      <c r="M372" s="3" t="n">
        <v>1</v>
      </c>
      <c r="N372" s="3" t="n">
        <v>2</v>
      </c>
      <c r="O372" s="3" t="n">
        <v>2</v>
      </c>
      <c r="P372" s="3" t="n">
        <v>2</v>
      </c>
      <c r="Q372" s="3" t="n">
        <v>2</v>
      </c>
      <c r="R372" s="3" t="n">
        <v>2</v>
      </c>
      <c r="S372" s="3" t="n">
        <v>1</v>
      </c>
      <c r="T372" s="4" t="n">
        <v>12</v>
      </c>
      <c r="U372" s="3" t="n">
        <v>4</v>
      </c>
      <c r="V372" s="3" t="n">
        <v>2.67</v>
      </c>
      <c r="W372" s="3" t="n">
        <v>1.39</v>
      </c>
      <c r="X372" s="3" t="n">
        <v>8.29</v>
      </c>
      <c r="Y372" s="3" t="n">
        <v>363</v>
      </c>
      <c r="AA372" s="3" t="n">
        <v>0.35</v>
      </c>
      <c r="AB372" s="3" t="n">
        <v>8.1</v>
      </c>
      <c r="AC372" s="3" t="n">
        <v>3</v>
      </c>
      <c r="AD372" s="3" t="n">
        <v>1</v>
      </c>
      <c r="AE372" s="3" t="n">
        <v>2</v>
      </c>
      <c r="AF372" s="3" t="n">
        <v>2</v>
      </c>
      <c r="AG372" s="3" t="n">
        <v>2</v>
      </c>
      <c r="AH372" s="3" t="n">
        <v>2</v>
      </c>
      <c r="AI372" s="3" t="n">
        <v>1</v>
      </c>
      <c r="AJ372" s="3" t="n">
        <v>1</v>
      </c>
      <c r="AK372" s="3" t="n">
        <v>1</v>
      </c>
      <c r="AL372" s="3" t="n">
        <v>1</v>
      </c>
      <c r="AM372" s="3" t="n">
        <v>1</v>
      </c>
      <c r="AN372" s="3" t="n">
        <v>2</v>
      </c>
      <c r="AO372" s="3" t="n">
        <v>2</v>
      </c>
      <c r="AP372" s="3" t="n">
        <v>3</v>
      </c>
      <c r="AQ372" s="3" t="n">
        <v>4</v>
      </c>
      <c r="AR372" s="3" t="n">
        <v>4</v>
      </c>
      <c r="AS372" s="3" t="n">
        <v>6</v>
      </c>
      <c r="AT372" s="3" t="n">
        <v>4</v>
      </c>
      <c r="AU372" s="3" t="n">
        <v>4</v>
      </c>
      <c r="AV372" s="3" t="n">
        <v>6</v>
      </c>
      <c r="AW372" s="3" t="n">
        <v>6</v>
      </c>
      <c r="AX372" s="3" t="n">
        <v>3</v>
      </c>
      <c r="AY372" s="3" t="n">
        <v>3</v>
      </c>
      <c r="AZ372" s="3" t="n">
        <v>1</v>
      </c>
      <c r="BA372" s="5" t="n">
        <v>3</v>
      </c>
      <c r="BB372" s="3" t="n">
        <v>2</v>
      </c>
      <c r="BC372" s="3" t="n">
        <v>1</v>
      </c>
      <c r="BD372" s="3" t="n">
        <v>6</v>
      </c>
      <c r="BE372" s="3" t="n">
        <v>3</v>
      </c>
      <c r="BF372" s="3" t="n">
        <v>5</v>
      </c>
      <c r="BG372" s="3" t="n">
        <v>3</v>
      </c>
      <c r="BH372" s="3" t="n">
        <v>4</v>
      </c>
      <c r="BI372" s="3" t="n">
        <v>1</v>
      </c>
      <c r="BJ372" s="3" t="n">
        <v>1</v>
      </c>
      <c r="BK372" s="6" t="s">
        <v>1120</v>
      </c>
    </row>
    <row r="373" customFormat="false" ht="15" hidden="false" customHeight="true" outlineLevel="0" collapsed="false">
      <c r="B373" s="2" t="s">
        <v>1121</v>
      </c>
      <c r="C373" s="2" t="s">
        <v>1122</v>
      </c>
      <c r="D373" s="2" t="s">
        <v>95</v>
      </c>
      <c r="E373" s="2" t="n">
        <v>175803</v>
      </c>
      <c r="F373" s="15" t="n">
        <v>43567</v>
      </c>
      <c r="G373" s="15" t="n">
        <v>43579</v>
      </c>
      <c r="H373" s="3" t="n">
        <v>12</v>
      </c>
      <c r="I373" s="3" t="n">
        <v>2</v>
      </c>
      <c r="J373" s="3" t="n">
        <v>48</v>
      </c>
      <c r="K373" s="3" t="n">
        <v>1</v>
      </c>
      <c r="L373" s="3" t="n">
        <v>2</v>
      </c>
      <c r="M373" s="3" t="n">
        <v>1</v>
      </c>
      <c r="N373" s="3" t="n">
        <v>2</v>
      </c>
      <c r="O373" s="3" t="n">
        <v>1</v>
      </c>
      <c r="P373" s="3" t="n">
        <v>2</v>
      </c>
      <c r="Q373" s="3" t="n">
        <v>2</v>
      </c>
      <c r="R373" s="3" t="n">
        <v>2</v>
      </c>
      <c r="S373" s="3" t="n">
        <v>2</v>
      </c>
      <c r="T373" s="4" t="n">
        <v>3</v>
      </c>
      <c r="U373" s="3" t="n">
        <v>1</v>
      </c>
      <c r="V373" s="3" t="n">
        <v>4.29</v>
      </c>
      <c r="X373" s="3" t="n">
        <v>6.6</v>
      </c>
      <c r="Y373" s="3" t="n">
        <v>397</v>
      </c>
      <c r="AA373" s="3" t="n">
        <v>0.45</v>
      </c>
      <c r="AB373" s="3" t="n">
        <v>8.7</v>
      </c>
      <c r="AC373" s="3" t="n">
        <v>1</v>
      </c>
      <c r="AD373" s="3" t="n">
        <v>1</v>
      </c>
      <c r="AE373" s="3" t="n">
        <v>2</v>
      </c>
      <c r="AF373" s="3" t="n">
        <v>2</v>
      </c>
      <c r="AG373" s="3" t="n">
        <v>2</v>
      </c>
      <c r="AH373" s="3" t="n">
        <v>2</v>
      </c>
      <c r="AI373" s="3" t="n">
        <v>2</v>
      </c>
      <c r="AJ373" s="3" t="n">
        <v>1</v>
      </c>
      <c r="AK373" s="3" t="n">
        <v>2</v>
      </c>
      <c r="AL373" s="3" t="n">
        <v>2</v>
      </c>
      <c r="AM373" s="3" t="n">
        <v>1</v>
      </c>
      <c r="AN373" s="3" t="n">
        <v>2</v>
      </c>
      <c r="AO373" s="3" t="n">
        <v>2</v>
      </c>
      <c r="AP373" s="3" t="n">
        <v>3</v>
      </c>
      <c r="AQ373" s="3" t="n">
        <v>4</v>
      </c>
      <c r="AR373" s="3" t="n">
        <v>4</v>
      </c>
      <c r="AS373" s="3" t="n">
        <v>6</v>
      </c>
      <c r="AT373" s="3" t="n">
        <v>4</v>
      </c>
      <c r="AU373" s="3" t="n">
        <v>4</v>
      </c>
      <c r="AV373" s="3" t="n">
        <v>6</v>
      </c>
      <c r="AW373" s="3" t="n">
        <v>6</v>
      </c>
      <c r="AX373" s="3" t="n">
        <v>3</v>
      </c>
      <c r="AY373" s="3" t="n">
        <v>3</v>
      </c>
      <c r="AZ373" s="3" t="n">
        <v>1</v>
      </c>
      <c r="BA373" s="5" t="n">
        <v>3</v>
      </c>
      <c r="BB373" s="3" t="n">
        <v>2</v>
      </c>
      <c r="BC373" s="3" t="n">
        <v>1</v>
      </c>
      <c r="BD373" s="3" t="n">
        <v>6</v>
      </c>
      <c r="BE373" s="3" t="n">
        <v>3</v>
      </c>
      <c r="BF373" s="3" t="n">
        <v>5</v>
      </c>
      <c r="BG373" s="3" t="n">
        <v>3</v>
      </c>
      <c r="BH373" s="3" t="n">
        <v>4</v>
      </c>
      <c r="BI373" s="3" t="n">
        <v>1</v>
      </c>
      <c r="BJ373" s="3" t="n">
        <v>1</v>
      </c>
      <c r="BK373" s="6" t="s">
        <v>1123</v>
      </c>
    </row>
    <row r="374" customFormat="false" ht="15" hidden="false" customHeight="true" outlineLevel="0" collapsed="false">
      <c r="B374" s="2" t="s">
        <v>1124</v>
      </c>
      <c r="C374" s="2" t="s">
        <v>1125</v>
      </c>
      <c r="D374" s="2" t="s">
        <v>298</v>
      </c>
      <c r="E374" s="2" t="n">
        <v>961838</v>
      </c>
      <c r="F374" s="15" t="n">
        <v>43572</v>
      </c>
      <c r="G374" s="15" t="n">
        <v>43580</v>
      </c>
      <c r="H374" s="3" t="n">
        <v>8</v>
      </c>
      <c r="I374" s="3" t="n">
        <v>1</v>
      </c>
      <c r="J374" s="3" t="n">
        <v>56</v>
      </c>
      <c r="K374" s="3" t="n">
        <v>1</v>
      </c>
      <c r="L374" s="3" t="n">
        <v>2</v>
      </c>
      <c r="M374" s="3" t="n">
        <v>1</v>
      </c>
      <c r="N374" s="3" t="n">
        <v>2</v>
      </c>
      <c r="O374" s="3" t="n">
        <v>2</v>
      </c>
      <c r="P374" s="3" t="n">
        <v>2</v>
      </c>
      <c r="Q374" s="3" t="n">
        <v>1</v>
      </c>
      <c r="R374" s="3" t="n">
        <v>2</v>
      </c>
      <c r="S374" s="3" t="n">
        <v>2</v>
      </c>
      <c r="T374" s="4" t="n">
        <v>1</v>
      </c>
      <c r="U374" s="3" t="n">
        <v>1</v>
      </c>
      <c r="V374" s="3" t="n">
        <v>8.52</v>
      </c>
      <c r="W374" s="3" t="n">
        <v>1</v>
      </c>
      <c r="X374" s="3" t="n">
        <v>7.4</v>
      </c>
      <c r="Y374" s="3" t="n">
        <v>528</v>
      </c>
      <c r="AA374" s="3" t="n">
        <v>0.46</v>
      </c>
      <c r="AB374" s="3" t="n">
        <v>9.6</v>
      </c>
      <c r="AC374" s="3" t="n">
        <v>1</v>
      </c>
      <c r="AD374" s="3" t="n">
        <v>1</v>
      </c>
      <c r="AE374" s="3" t="n">
        <v>1</v>
      </c>
      <c r="AF374" s="3" t="n">
        <v>2</v>
      </c>
      <c r="AG374" s="3" t="n">
        <v>1</v>
      </c>
      <c r="AH374" s="3" t="n">
        <v>2</v>
      </c>
      <c r="AI374" s="3" t="n">
        <v>1</v>
      </c>
      <c r="AJ374" s="3" t="n">
        <v>2</v>
      </c>
      <c r="AK374" s="3" t="n">
        <v>1</v>
      </c>
      <c r="AL374" s="3" t="n">
        <v>2</v>
      </c>
      <c r="AM374" s="3" t="n">
        <v>1</v>
      </c>
      <c r="AN374" s="3" t="n">
        <v>2</v>
      </c>
      <c r="AO374" s="3" t="n">
        <v>2</v>
      </c>
      <c r="AP374" s="3" t="n">
        <v>1</v>
      </c>
      <c r="AQ374" s="3" t="n">
        <v>2</v>
      </c>
      <c r="AR374" s="3" t="n">
        <v>5</v>
      </c>
      <c r="AS374" s="3" t="n">
        <v>4</v>
      </c>
      <c r="AT374" s="3" t="n">
        <v>2</v>
      </c>
      <c r="AU374" s="3" t="n">
        <v>1</v>
      </c>
      <c r="AV374" s="3" t="n">
        <v>1</v>
      </c>
      <c r="AW374" s="3" t="n">
        <v>1</v>
      </c>
      <c r="AX374" s="3" t="n">
        <v>2</v>
      </c>
      <c r="AY374" s="3" t="n">
        <v>2</v>
      </c>
      <c r="AZ374" s="3" t="n">
        <v>1</v>
      </c>
      <c r="BA374" s="5" t="n">
        <v>5</v>
      </c>
      <c r="BB374" s="3" t="n">
        <v>2</v>
      </c>
      <c r="BC374" s="3" t="n">
        <v>1</v>
      </c>
      <c r="BD374" s="3" t="n">
        <v>6</v>
      </c>
      <c r="BE374" s="3" t="n">
        <v>3</v>
      </c>
      <c r="BF374" s="3" t="n">
        <v>5</v>
      </c>
      <c r="BG374" s="3" t="n">
        <v>3</v>
      </c>
      <c r="BH374" s="3" t="n">
        <v>4</v>
      </c>
      <c r="BI374" s="3" t="n">
        <v>1</v>
      </c>
      <c r="BJ374" s="3" t="n">
        <v>1</v>
      </c>
      <c r="BK374" s="6" t="s">
        <v>1126</v>
      </c>
    </row>
    <row r="375" customFormat="false" ht="15" hidden="false" customHeight="true" outlineLevel="0" collapsed="false">
      <c r="B375" s="2" t="s">
        <v>278</v>
      </c>
      <c r="C375" s="2" t="s">
        <v>1007</v>
      </c>
      <c r="D375" s="2" t="s">
        <v>66</v>
      </c>
      <c r="E375" s="2" t="n">
        <v>145785</v>
      </c>
      <c r="F375" s="15" t="n">
        <v>43568</v>
      </c>
      <c r="G375" s="15" t="n">
        <v>43580</v>
      </c>
      <c r="H375" s="3" t="n">
        <v>12</v>
      </c>
      <c r="I375" s="3" t="n">
        <v>2</v>
      </c>
      <c r="J375" s="3" t="n">
        <v>68</v>
      </c>
      <c r="K375" s="3" t="n">
        <v>1</v>
      </c>
      <c r="L375" s="3" t="n">
        <v>2</v>
      </c>
      <c r="M375" s="3" t="n">
        <v>1</v>
      </c>
      <c r="N375" s="3" t="n">
        <v>2</v>
      </c>
      <c r="O375" s="3" t="n">
        <v>1</v>
      </c>
      <c r="P375" s="3" t="n">
        <v>2</v>
      </c>
      <c r="Q375" s="3" t="n">
        <v>2</v>
      </c>
      <c r="R375" s="3" t="n">
        <v>2</v>
      </c>
      <c r="S375" s="3" t="n">
        <v>2</v>
      </c>
      <c r="T375" s="4" t="n">
        <v>1</v>
      </c>
      <c r="U375" s="3" t="n">
        <v>4</v>
      </c>
      <c r="V375" s="3" t="n">
        <v>3.92</v>
      </c>
      <c r="W375" s="3" t="n">
        <v>0.52</v>
      </c>
      <c r="X375" s="3" t="n">
        <v>6.7</v>
      </c>
      <c r="Y375" s="3" t="n">
        <v>587</v>
      </c>
      <c r="AA375" s="3" t="n">
        <v>0.44</v>
      </c>
      <c r="AB375" s="3" t="n">
        <v>8</v>
      </c>
      <c r="AC375" s="3" t="n">
        <v>2</v>
      </c>
      <c r="AD375" s="3" t="n">
        <v>1</v>
      </c>
      <c r="AE375" s="3" t="n">
        <v>1</v>
      </c>
      <c r="AF375" s="3" t="n">
        <v>1</v>
      </c>
      <c r="AG375" s="3" t="n">
        <v>2</v>
      </c>
      <c r="AH375" s="3" t="n">
        <v>2</v>
      </c>
      <c r="AI375" s="3" t="n">
        <v>1</v>
      </c>
      <c r="AJ375" s="3" t="n">
        <v>2</v>
      </c>
      <c r="AK375" s="3" t="n">
        <v>2</v>
      </c>
      <c r="AL375" s="3" t="n">
        <v>1</v>
      </c>
      <c r="AM375" s="3" t="n">
        <v>1</v>
      </c>
      <c r="AN375" s="3" t="n">
        <v>1</v>
      </c>
      <c r="AO375" s="3" t="n">
        <v>2</v>
      </c>
      <c r="AP375" s="3" t="n">
        <v>3</v>
      </c>
      <c r="AQ375" s="3" t="n">
        <v>4</v>
      </c>
      <c r="AR375" s="3" t="n">
        <v>4</v>
      </c>
      <c r="AS375" s="3" t="n">
        <v>6</v>
      </c>
      <c r="AT375" s="3" t="n">
        <v>4</v>
      </c>
      <c r="AU375" s="3" t="n">
        <v>4</v>
      </c>
      <c r="AV375" s="3" t="n">
        <v>6</v>
      </c>
      <c r="AW375" s="3" t="n">
        <v>6</v>
      </c>
      <c r="AX375" s="3" t="n">
        <v>3</v>
      </c>
      <c r="AY375" s="3" t="n">
        <v>3</v>
      </c>
      <c r="AZ375" s="3" t="n">
        <v>1</v>
      </c>
      <c r="BA375" s="5" t="n">
        <v>5</v>
      </c>
      <c r="BB375" s="3" t="n">
        <v>2</v>
      </c>
      <c r="BC375" s="3" t="n">
        <v>1</v>
      </c>
      <c r="BD375" s="3" t="n">
        <v>6</v>
      </c>
      <c r="BE375" s="3" t="n">
        <v>3</v>
      </c>
      <c r="BF375" s="3" t="n">
        <v>5</v>
      </c>
      <c r="BG375" s="3" t="n">
        <v>3</v>
      </c>
      <c r="BH375" s="3" t="n">
        <v>4</v>
      </c>
      <c r="BI375" s="3" t="n">
        <v>1</v>
      </c>
      <c r="BJ375" s="3" t="n">
        <v>1</v>
      </c>
      <c r="BK375" s="6" t="s">
        <v>1127</v>
      </c>
    </row>
    <row r="376" customFormat="false" ht="15" hidden="false" customHeight="true" outlineLevel="0" collapsed="false">
      <c r="B376" s="2" t="s">
        <v>180</v>
      </c>
      <c r="C376" s="2" t="s">
        <v>1128</v>
      </c>
      <c r="D376" s="2" t="s">
        <v>275</v>
      </c>
      <c r="E376" s="2" t="n">
        <v>176403</v>
      </c>
      <c r="F376" s="15" t="n">
        <v>43577</v>
      </c>
      <c r="G376" s="15" t="n">
        <v>43580</v>
      </c>
      <c r="H376" s="3" t="n">
        <v>3</v>
      </c>
      <c r="I376" s="3" t="n">
        <v>2</v>
      </c>
      <c r="J376" s="3" t="n">
        <v>48</v>
      </c>
      <c r="K376" s="3" t="n">
        <v>1</v>
      </c>
      <c r="L376" s="3" t="n">
        <v>1</v>
      </c>
      <c r="M376" s="3" t="n">
        <v>1</v>
      </c>
      <c r="N376" s="3" t="n">
        <v>2</v>
      </c>
      <c r="O376" s="3" t="n">
        <v>2</v>
      </c>
      <c r="P376" s="3" t="n">
        <v>2</v>
      </c>
      <c r="Q376" s="3" t="n">
        <v>2</v>
      </c>
      <c r="R376" s="3" t="n">
        <v>2</v>
      </c>
      <c r="S376" s="3" t="n">
        <v>1</v>
      </c>
      <c r="T376" s="4" t="n">
        <v>1</v>
      </c>
      <c r="U376" s="3" t="n">
        <v>1</v>
      </c>
      <c r="V376" s="3" t="n">
        <v>6.32</v>
      </c>
      <c r="W376" s="3" t="n">
        <v>1.81</v>
      </c>
      <c r="X376" s="3" t="n">
        <v>3.28</v>
      </c>
      <c r="Y376" s="3" t="n">
        <v>413</v>
      </c>
      <c r="AA376" s="3" t="n">
        <v>0.45</v>
      </c>
      <c r="AB376" s="3" t="n">
        <v>7.9</v>
      </c>
      <c r="AC376" s="3" t="n">
        <v>1</v>
      </c>
      <c r="AD376" s="3" t="n">
        <v>2</v>
      </c>
      <c r="AE376" s="3" t="n">
        <v>1</v>
      </c>
      <c r="AF376" s="3" t="n">
        <v>1</v>
      </c>
      <c r="AG376" s="3" t="n">
        <v>2</v>
      </c>
      <c r="AH376" s="3" t="n">
        <v>2</v>
      </c>
      <c r="AI376" s="3" t="n">
        <v>2</v>
      </c>
      <c r="AJ376" s="3" t="n">
        <v>1</v>
      </c>
      <c r="AK376" s="3" t="n">
        <v>2</v>
      </c>
      <c r="AL376" s="3" t="n">
        <v>2</v>
      </c>
      <c r="AM376" s="3" t="n">
        <v>2</v>
      </c>
      <c r="AN376" s="3" t="n">
        <v>2</v>
      </c>
      <c r="AO376" s="3" t="n">
        <v>2</v>
      </c>
      <c r="AP376" s="3" t="n">
        <v>3</v>
      </c>
      <c r="AQ376" s="3" t="n">
        <v>4</v>
      </c>
      <c r="AR376" s="3" t="n">
        <v>4</v>
      </c>
      <c r="AS376" s="3" t="n">
        <v>6</v>
      </c>
      <c r="AT376" s="3" t="n">
        <v>4</v>
      </c>
      <c r="AU376" s="3" t="n">
        <v>4</v>
      </c>
      <c r="AV376" s="3" t="n">
        <v>6</v>
      </c>
      <c r="AW376" s="3" t="n">
        <v>6</v>
      </c>
      <c r="AX376" s="3" t="n">
        <v>3</v>
      </c>
      <c r="AY376" s="3" t="n">
        <v>3</v>
      </c>
      <c r="AZ376" s="3" t="n">
        <v>1</v>
      </c>
      <c r="BA376" s="5" t="n">
        <v>5</v>
      </c>
      <c r="BB376" s="3" t="n">
        <v>2</v>
      </c>
      <c r="BC376" s="3" t="n">
        <v>1</v>
      </c>
      <c r="BD376" s="3" t="n">
        <v>6</v>
      </c>
      <c r="BE376" s="3" t="n">
        <v>3</v>
      </c>
      <c r="BF376" s="3" t="n">
        <v>5</v>
      </c>
      <c r="BG376" s="3" t="n">
        <v>3</v>
      </c>
      <c r="BH376" s="3" t="n">
        <v>4</v>
      </c>
      <c r="BI376" s="3" t="n">
        <v>1</v>
      </c>
      <c r="BJ376" s="3" t="n">
        <v>1</v>
      </c>
      <c r="BK376" s="6" t="s">
        <v>1129</v>
      </c>
    </row>
    <row r="377" customFormat="false" ht="15" hidden="false" customHeight="true" outlineLevel="0" collapsed="false">
      <c r="B377" s="2" t="s">
        <v>1130</v>
      </c>
      <c r="C377" s="2" t="s">
        <v>308</v>
      </c>
      <c r="D377" s="2" t="s">
        <v>1131</v>
      </c>
      <c r="E377" s="2" t="n">
        <v>176442</v>
      </c>
      <c r="F377" s="15" t="n">
        <v>43578</v>
      </c>
      <c r="G377" s="15" t="n">
        <v>43581</v>
      </c>
      <c r="H377" s="3" t="n">
        <v>3</v>
      </c>
      <c r="I377" s="3" t="n">
        <v>1</v>
      </c>
      <c r="J377" s="3" t="n">
        <v>83</v>
      </c>
      <c r="K377" s="3" t="n">
        <v>1</v>
      </c>
      <c r="L377" s="3" t="n">
        <v>2</v>
      </c>
      <c r="M377" s="3" t="n">
        <v>2</v>
      </c>
      <c r="N377" s="3" t="n">
        <v>2</v>
      </c>
      <c r="O377" s="3" t="n">
        <v>2</v>
      </c>
      <c r="P377" s="3" t="n">
        <v>2</v>
      </c>
      <c r="Q377" s="3" t="n">
        <v>1</v>
      </c>
      <c r="R377" s="3" t="n">
        <v>2</v>
      </c>
      <c r="S377" s="3" t="n">
        <v>2</v>
      </c>
      <c r="T377" s="4" t="n">
        <v>6</v>
      </c>
      <c r="U377" s="3" t="n">
        <v>4</v>
      </c>
      <c r="V377" s="3" t="n">
        <v>2.66</v>
      </c>
      <c r="W377" s="3" t="n">
        <v>0.74</v>
      </c>
      <c r="X377" s="3" t="n">
        <v>8.6</v>
      </c>
      <c r="Y377" s="3" t="n">
        <v>472</v>
      </c>
      <c r="AA377" s="3" t="n">
        <v>0.29</v>
      </c>
      <c r="AB377" s="3" t="n">
        <v>9.6</v>
      </c>
      <c r="AC377" s="3" t="n">
        <v>3</v>
      </c>
      <c r="AD377" s="3" t="n">
        <v>2</v>
      </c>
      <c r="AE377" s="3" t="n">
        <v>2</v>
      </c>
      <c r="AF377" s="3" t="n">
        <v>2</v>
      </c>
      <c r="AG377" s="3" t="n">
        <v>2</v>
      </c>
      <c r="AH377" s="3" t="n">
        <v>2</v>
      </c>
      <c r="AI377" s="3" t="n">
        <v>2</v>
      </c>
      <c r="AJ377" s="3" t="n">
        <v>2</v>
      </c>
      <c r="AK377" s="3" t="n">
        <v>2</v>
      </c>
      <c r="AL377" s="3" t="n">
        <v>2</v>
      </c>
      <c r="AM377" s="3" t="n">
        <v>2</v>
      </c>
      <c r="AN377" s="3" t="n">
        <v>1</v>
      </c>
      <c r="AO377" s="3" t="n">
        <v>2</v>
      </c>
      <c r="AP377" s="3" t="n">
        <v>3</v>
      </c>
      <c r="AQ377" s="3" t="n">
        <v>4</v>
      </c>
      <c r="AR377" s="3" t="n">
        <v>4</v>
      </c>
      <c r="AS377" s="3" t="n">
        <v>6</v>
      </c>
      <c r="AT377" s="3" t="n">
        <v>4</v>
      </c>
      <c r="AU377" s="3" t="n">
        <v>4</v>
      </c>
      <c r="AV377" s="3" t="n">
        <v>6</v>
      </c>
      <c r="AW377" s="3" t="n">
        <v>6</v>
      </c>
      <c r="AX377" s="3" t="n">
        <v>3</v>
      </c>
      <c r="AY377" s="3" t="n">
        <v>3</v>
      </c>
      <c r="AZ377" s="3" t="n">
        <v>1</v>
      </c>
      <c r="BA377" s="5" t="n">
        <v>10</v>
      </c>
      <c r="BB377" s="3" t="n">
        <v>2</v>
      </c>
      <c r="BC377" s="3" t="n">
        <v>1</v>
      </c>
      <c r="BD377" s="3" t="n">
        <v>6</v>
      </c>
      <c r="BE377" s="3" t="n">
        <v>3</v>
      </c>
      <c r="BF377" s="3" t="n">
        <v>5</v>
      </c>
      <c r="BG377" s="3" t="n">
        <v>3</v>
      </c>
      <c r="BH377" s="3" t="n">
        <v>4</v>
      </c>
      <c r="BI377" s="3" t="n">
        <v>1</v>
      </c>
      <c r="BJ377" s="3" t="n">
        <v>1</v>
      </c>
      <c r="BK377" s="6" t="s">
        <v>1132</v>
      </c>
    </row>
    <row r="378" customFormat="false" ht="15" hidden="false" customHeight="true" outlineLevel="0" collapsed="false">
      <c r="B378" s="2" t="s">
        <v>1133</v>
      </c>
      <c r="C378" s="2" t="s">
        <v>272</v>
      </c>
      <c r="D378" s="2" t="s">
        <v>153</v>
      </c>
      <c r="E378" s="2" t="n">
        <v>132578</v>
      </c>
      <c r="F378" s="15" t="n">
        <v>43577</v>
      </c>
      <c r="G378" s="15" t="n">
        <v>43735</v>
      </c>
      <c r="H378" s="3" t="n">
        <v>5</v>
      </c>
      <c r="I378" s="3" t="n">
        <v>1</v>
      </c>
      <c r="J378" s="3" t="n">
        <v>68</v>
      </c>
      <c r="K378" s="3" t="n">
        <v>1</v>
      </c>
      <c r="L378" s="3" t="n">
        <v>2</v>
      </c>
      <c r="M378" s="3" t="n">
        <v>1</v>
      </c>
      <c r="N378" s="3" t="n">
        <v>2</v>
      </c>
      <c r="O378" s="3" t="n">
        <v>1</v>
      </c>
      <c r="P378" s="3" t="n">
        <v>2</v>
      </c>
      <c r="Q378" s="3" t="n">
        <v>1</v>
      </c>
      <c r="R378" s="3" t="n">
        <v>2</v>
      </c>
      <c r="S378" s="3" t="n">
        <v>2</v>
      </c>
      <c r="T378" s="4" t="n">
        <v>3</v>
      </c>
      <c r="U378" s="3" t="n">
        <v>1</v>
      </c>
      <c r="V378" s="3" t="n">
        <v>4.18</v>
      </c>
      <c r="W378" s="3" t="n">
        <v>1.83</v>
      </c>
      <c r="X378" s="3" t="n">
        <v>7.7</v>
      </c>
      <c r="Y378" s="3" t="n">
        <v>434</v>
      </c>
      <c r="AA378" s="3" t="n">
        <v>0.47</v>
      </c>
      <c r="AB378" s="3" t="n">
        <v>12.5</v>
      </c>
      <c r="AC378" s="3" t="n">
        <v>2</v>
      </c>
      <c r="AD378" s="3" t="n">
        <v>1</v>
      </c>
      <c r="AE378" s="3" t="n">
        <v>2</v>
      </c>
      <c r="AF378" s="3" t="n">
        <v>1</v>
      </c>
      <c r="AG378" s="3" t="n">
        <v>2</v>
      </c>
      <c r="AH378" s="3" t="n">
        <v>2</v>
      </c>
      <c r="AI378" s="3" t="n">
        <v>1</v>
      </c>
      <c r="AJ378" s="3" t="n">
        <v>2</v>
      </c>
      <c r="AK378" s="3" t="n">
        <v>1</v>
      </c>
      <c r="AL378" s="3" t="n">
        <v>2</v>
      </c>
      <c r="AM378" s="3" t="n">
        <v>1</v>
      </c>
      <c r="AN378" s="3" t="n">
        <v>2</v>
      </c>
      <c r="AO378" s="3" t="n">
        <v>2</v>
      </c>
      <c r="AP378" s="3" t="n">
        <v>3</v>
      </c>
      <c r="AQ378" s="3" t="n">
        <v>4</v>
      </c>
      <c r="AR378" s="3" t="n">
        <v>4</v>
      </c>
      <c r="AS378" s="3" t="n">
        <v>6</v>
      </c>
      <c r="AT378" s="3" t="n">
        <v>4</v>
      </c>
      <c r="AU378" s="3" t="n">
        <v>4</v>
      </c>
      <c r="AV378" s="3" t="n">
        <v>6</v>
      </c>
      <c r="AW378" s="3" t="n">
        <v>6</v>
      </c>
      <c r="AX378" s="3" t="n">
        <v>3</v>
      </c>
      <c r="AY378" s="3" t="n">
        <v>3</v>
      </c>
      <c r="AZ378" s="3" t="n">
        <v>1</v>
      </c>
      <c r="BA378" s="5" t="n">
        <v>11</v>
      </c>
      <c r="BB378" s="3" t="n">
        <v>2</v>
      </c>
      <c r="BC378" s="3" t="n">
        <v>1</v>
      </c>
      <c r="BD378" s="3" t="n">
        <v>6</v>
      </c>
      <c r="BE378" s="3" t="n">
        <v>3</v>
      </c>
      <c r="BF378" s="3" t="n">
        <v>5</v>
      </c>
      <c r="BG378" s="3" t="n">
        <v>3</v>
      </c>
      <c r="BH378" s="3" t="n">
        <v>4</v>
      </c>
      <c r="BI378" s="3" t="n">
        <v>1</v>
      </c>
      <c r="BJ378" s="3" t="n">
        <v>1</v>
      </c>
      <c r="BK378" s="6" t="s">
        <v>1134</v>
      </c>
    </row>
    <row r="379" customFormat="false" ht="15" hidden="false" customHeight="true" outlineLevel="0" collapsed="false">
      <c r="B379" s="2" t="s">
        <v>1135</v>
      </c>
      <c r="C379" s="2" t="s">
        <v>1136</v>
      </c>
      <c r="D379" s="2" t="s">
        <v>127</v>
      </c>
      <c r="E379" s="2" t="n">
        <v>169085</v>
      </c>
      <c r="F379" s="15" t="n">
        <v>43579</v>
      </c>
      <c r="G379" s="15" t="n">
        <v>43584</v>
      </c>
      <c r="H379" s="3" t="n">
        <v>5</v>
      </c>
      <c r="I379" s="3" t="n">
        <v>1</v>
      </c>
      <c r="J379" s="3" t="n">
        <v>84</v>
      </c>
      <c r="K379" s="3" t="n">
        <v>1</v>
      </c>
      <c r="L379" s="3" t="n">
        <v>2</v>
      </c>
      <c r="M379" s="3" t="n">
        <v>1</v>
      </c>
      <c r="N379" s="3" t="n">
        <v>2</v>
      </c>
      <c r="O379" s="3" t="n">
        <v>2</v>
      </c>
      <c r="P379" s="3" t="n">
        <v>2</v>
      </c>
      <c r="Q379" s="3" t="n">
        <v>1</v>
      </c>
      <c r="R379" s="3" t="n">
        <v>1</v>
      </c>
      <c r="S379" s="3" t="n">
        <v>2</v>
      </c>
      <c r="T379" s="4" t="n">
        <v>3</v>
      </c>
      <c r="U379" s="3" t="n">
        <v>4</v>
      </c>
      <c r="V379" s="3" t="n">
        <v>6.19</v>
      </c>
      <c r="W379" s="3" t="n">
        <v>2.54</v>
      </c>
      <c r="X379" s="3" t="n">
        <v>5.6</v>
      </c>
      <c r="Y379" s="3" t="n">
        <v>695</v>
      </c>
      <c r="AA379" s="3" t="n">
        <v>0.26</v>
      </c>
      <c r="AB379" s="3" t="n">
        <v>8.4</v>
      </c>
      <c r="AC379" s="3" t="n">
        <v>3</v>
      </c>
      <c r="AD379" s="3" t="n">
        <v>2</v>
      </c>
      <c r="AE379" s="3" t="n">
        <v>1</v>
      </c>
      <c r="AF379" s="3" t="n">
        <v>1</v>
      </c>
      <c r="AG379" s="3" t="n">
        <v>2</v>
      </c>
      <c r="AH379" s="3" t="n">
        <v>1</v>
      </c>
      <c r="AI379" s="3" t="n">
        <v>1</v>
      </c>
      <c r="AJ379" s="3" t="n">
        <v>1</v>
      </c>
      <c r="AK379" s="3" t="n">
        <v>2</v>
      </c>
      <c r="AL379" s="3" t="n">
        <v>1</v>
      </c>
      <c r="AM379" s="3" t="n">
        <v>1</v>
      </c>
      <c r="AN379" s="3" t="n">
        <v>2</v>
      </c>
      <c r="AO379" s="3" t="n">
        <v>2</v>
      </c>
      <c r="AP379" s="3" t="n">
        <v>3</v>
      </c>
      <c r="AQ379" s="3" t="n">
        <v>4</v>
      </c>
      <c r="AR379" s="3" t="n">
        <v>4</v>
      </c>
      <c r="AS379" s="3" t="n">
        <v>6</v>
      </c>
      <c r="AT379" s="3" t="n">
        <v>4</v>
      </c>
      <c r="AU379" s="3" t="n">
        <v>4</v>
      </c>
      <c r="AV379" s="3" t="n">
        <v>6</v>
      </c>
      <c r="AW379" s="3" t="n">
        <v>6</v>
      </c>
      <c r="AX379" s="3" t="n">
        <v>3</v>
      </c>
      <c r="AY379" s="3" t="n">
        <v>3</v>
      </c>
      <c r="AZ379" s="3" t="n">
        <v>1</v>
      </c>
      <c r="BA379" s="5" t="n">
        <v>11</v>
      </c>
      <c r="BB379" s="3" t="n">
        <v>2</v>
      </c>
      <c r="BC379" s="3" t="n">
        <v>1</v>
      </c>
      <c r="BD379" s="3" t="n">
        <v>6</v>
      </c>
      <c r="BE379" s="3" t="n">
        <v>3</v>
      </c>
      <c r="BF379" s="3" t="n">
        <v>5</v>
      </c>
      <c r="BG379" s="3" t="n">
        <v>3</v>
      </c>
      <c r="BH379" s="3" t="n">
        <v>4</v>
      </c>
      <c r="BI379" s="3" t="n">
        <v>1</v>
      </c>
      <c r="BJ379" s="3" t="n">
        <v>1</v>
      </c>
      <c r="BK379" s="6" t="s">
        <v>1137</v>
      </c>
    </row>
    <row r="380" customFormat="false" ht="15" hidden="false" customHeight="true" outlineLevel="0" collapsed="false">
      <c r="B380" s="2" t="s">
        <v>1138</v>
      </c>
      <c r="C380" s="2" t="s">
        <v>382</v>
      </c>
      <c r="D380" s="2" t="s">
        <v>662</v>
      </c>
      <c r="E380" s="2" t="n">
        <v>176266</v>
      </c>
      <c r="F380" s="15" t="n">
        <v>43575</v>
      </c>
      <c r="G380" s="15" t="n">
        <v>43584</v>
      </c>
      <c r="H380" s="3" t="n">
        <v>9</v>
      </c>
      <c r="I380" s="3" t="n">
        <v>2</v>
      </c>
      <c r="J380" s="3" t="n">
        <v>57</v>
      </c>
      <c r="K380" s="3" t="n">
        <v>1</v>
      </c>
      <c r="L380" s="3" t="n">
        <v>1</v>
      </c>
      <c r="M380" s="3" t="n">
        <v>1</v>
      </c>
      <c r="N380" s="3" t="n">
        <v>2</v>
      </c>
      <c r="O380" s="3" t="n">
        <v>2</v>
      </c>
      <c r="P380" s="3" t="n">
        <v>2</v>
      </c>
      <c r="Q380" s="3" t="n">
        <v>2</v>
      </c>
      <c r="R380" s="3" t="n">
        <v>2</v>
      </c>
      <c r="S380" s="3" t="n">
        <v>2</v>
      </c>
      <c r="T380" s="4" t="n">
        <v>2</v>
      </c>
      <c r="U380" s="3" t="n">
        <v>2</v>
      </c>
      <c r="V380" s="3" t="n">
        <v>3.81</v>
      </c>
      <c r="W380" s="3" t="n">
        <v>0.88</v>
      </c>
      <c r="X380" s="3" t="n">
        <v>5.08</v>
      </c>
      <c r="Y380" s="3" t="n">
        <v>327</v>
      </c>
      <c r="AA380" s="3" t="n">
        <v>0.47</v>
      </c>
      <c r="AB380" s="3" t="n">
        <v>12</v>
      </c>
      <c r="AC380" s="3" t="n">
        <v>1</v>
      </c>
      <c r="AD380" s="3" t="n">
        <v>2</v>
      </c>
      <c r="AE380" s="3" t="n">
        <v>1</v>
      </c>
      <c r="AF380" s="3" t="n">
        <v>1</v>
      </c>
      <c r="AG380" s="3" t="n">
        <v>2</v>
      </c>
      <c r="AH380" s="3" t="n">
        <v>2</v>
      </c>
      <c r="AI380" s="3" t="n">
        <v>1</v>
      </c>
      <c r="AJ380" s="3" t="n">
        <v>1</v>
      </c>
      <c r="AK380" s="3" t="n">
        <v>2</v>
      </c>
      <c r="AL380" s="3" t="n">
        <v>2</v>
      </c>
      <c r="AM380" s="3" t="n">
        <v>2</v>
      </c>
      <c r="AN380" s="3" t="n">
        <v>2</v>
      </c>
      <c r="AO380" s="3" t="n">
        <v>1</v>
      </c>
      <c r="AP380" s="3" t="n">
        <v>3</v>
      </c>
      <c r="AQ380" s="3" t="n">
        <v>4</v>
      </c>
      <c r="AR380" s="3" t="n">
        <v>4</v>
      </c>
      <c r="AS380" s="3" t="n">
        <v>6</v>
      </c>
      <c r="AT380" s="3" t="n">
        <v>4</v>
      </c>
      <c r="AU380" s="3" t="n">
        <v>4</v>
      </c>
      <c r="AV380" s="3" t="n">
        <v>6</v>
      </c>
      <c r="AW380" s="3" t="n">
        <v>6</v>
      </c>
      <c r="AX380" s="3" t="n">
        <v>3</v>
      </c>
      <c r="AY380" s="3" t="n">
        <v>3</v>
      </c>
      <c r="AZ380" s="3" t="n">
        <v>1</v>
      </c>
      <c r="BA380" s="5" t="n">
        <v>1</v>
      </c>
      <c r="BB380" s="3" t="n">
        <v>1</v>
      </c>
      <c r="BC380" s="3" t="n">
        <v>1</v>
      </c>
      <c r="BD380" s="3" t="n">
        <v>2</v>
      </c>
      <c r="BE380" s="3" t="n">
        <v>1</v>
      </c>
      <c r="BF380" s="3" t="n">
        <v>1</v>
      </c>
      <c r="BG380" s="3" t="n">
        <v>1</v>
      </c>
      <c r="BH380" s="3" t="n">
        <v>4</v>
      </c>
      <c r="BI380" s="3" t="n">
        <v>1</v>
      </c>
      <c r="BJ380" s="3" t="n">
        <v>1</v>
      </c>
      <c r="BK380" s="6" t="s">
        <v>1139</v>
      </c>
    </row>
    <row r="381" customFormat="false" ht="15" hidden="false" customHeight="true" outlineLevel="0" collapsed="false">
      <c r="B381" s="2" t="s">
        <v>1140</v>
      </c>
      <c r="C381" s="2" t="s">
        <v>78</v>
      </c>
      <c r="D381" s="2" t="s">
        <v>1141</v>
      </c>
      <c r="E381" s="2" t="n">
        <v>176533</v>
      </c>
      <c r="F381" s="15" t="n">
        <v>43582</v>
      </c>
      <c r="G381" s="15" t="n">
        <v>43585</v>
      </c>
      <c r="H381" s="3" t="n">
        <v>3</v>
      </c>
      <c r="I381" s="3" t="n">
        <v>1</v>
      </c>
      <c r="J381" s="3" t="n">
        <v>82</v>
      </c>
      <c r="K381" s="3" t="n">
        <v>1</v>
      </c>
      <c r="L381" s="3" t="n">
        <v>2</v>
      </c>
      <c r="M381" s="3" t="n">
        <v>1</v>
      </c>
      <c r="N381" s="3" t="n">
        <v>2</v>
      </c>
      <c r="O381" s="3" t="n">
        <v>2</v>
      </c>
      <c r="P381" s="3" t="n">
        <v>2</v>
      </c>
      <c r="Q381" s="3" t="n">
        <v>1</v>
      </c>
      <c r="R381" s="3" t="n">
        <v>2</v>
      </c>
      <c r="S381" s="3" t="n">
        <v>1</v>
      </c>
      <c r="T381" s="4" t="n">
        <v>3</v>
      </c>
      <c r="U381" s="3" t="n">
        <v>4</v>
      </c>
      <c r="AD381" s="3" t="n">
        <v>2</v>
      </c>
      <c r="AE381" s="3" t="n">
        <v>2</v>
      </c>
      <c r="AF381" s="3" t="n">
        <v>1</v>
      </c>
      <c r="AG381" s="3" t="n">
        <v>2</v>
      </c>
      <c r="AH381" s="3" t="n">
        <v>2</v>
      </c>
      <c r="AI381" s="3" t="n">
        <v>2</v>
      </c>
      <c r="AJ381" s="3" t="n">
        <v>1</v>
      </c>
      <c r="AK381" s="3" t="n">
        <v>1</v>
      </c>
      <c r="AL381" s="3" t="n">
        <v>1</v>
      </c>
      <c r="AM381" s="3" t="n">
        <v>1</v>
      </c>
      <c r="AN381" s="3" t="n">
        <v>2</v>
      </c>
      <c r="AO381" s="3" t="n">
        <v>2</v>
      </c>
      <c r="AP381" s="3" t="n">
        <v>3</v>
      </c>
      <c r="AQ381" s="3" t="n">
        <v>4</v>
      </c>
      <c r="AR381" s="3" t="n">
        <v>4</v>
      </c>
      <c r="AS381" s="3" t="n">
        <v>6</v>
      </c>
      <c r="AT381" s="3" t="n">
        <v>4</v>
      </c>
      <c r="AU381" s="3" t="n">
        <v>4</v>
      </c>
      <c r="AV381" s="3" t="n">
        <v>6</v>
      </c>
      <c r="AW381" s="3" t="n">
        <v>6</v>
      </c>
      <c r="AX381" s="3" t="n">
        <v>3</v>
      </c>
      <c r="AY381" s="3" t="n">
        <v>3</v>
      </c>
      <c r="AZ381" s="3" t="n">
        <v>1</v>
      </c>
      <c r="BA381" s="5" t="n">
        <v>3</v>
      </c>
      <c r="BB381" s="3" t="n">
        <v>2</v>
      </c>
      <c r="BC381" s="3" t="n">
        <v>1</v>
      </c>
      <c r="BD381" s="3" t="n">
        <v>6</v>
      </c>
      <c r="BE381" s="3" t="n">
        <v>3</v>
      </c>
      <c r="BF381" s="3" t="n">
        <v>5</v>
      </c>
      <c r="BG381" s="3" t="n">
        <v>3</v>
      </c>
      <c r="BH381" s="3" t="n">
        <v>4</v>
      </c>
      <c r="BI381" s="3" t="n">
        <v>1</v>
      </c>
      <c r="BJ381" s="3" t="n">
        <v>1</v>
      </c>
      <c r="BK381" s="6" t="s">
        <v>1142</v>
      </c>
    </row>
    <row r="382" customFormat="false" ht="15" hidden="false" customHeight="true" outlineLevel="0" collapsed="false">
      <c r="B382" s="2" t="s">
        <v>1143</v>
      </c>
      <c r="C382" s="2" t="s">
        <v>1144</v>
      </c>
      <c r="D382" s="2" t="s">
        <v>898</v>
      </c>
      <c r="E382" s="2" t="n">
        <v>176438</v>
      </c>
      <c r="F382" s="15" t="n">
        <v>43578</v>
      </c>
      <c r="G382" s="15" t="n">
        <v>43585</v>
      </c>
      <c r="H382" s="3" t="n">
        <v>7</v>
      </c>
      <c r="I382" s="3" t="n">
        <v>2</v>
      </c>
      <c r="J382" s="3" t="n">
        <v>51</v>
      </c>
      <c r="K382" s="3" t="n">
        <v>2</v>
      </c>
      <c r="L382" s="3" t="n">
        <v>1</v>
      </c>
      <c r="M382" s="3" t="n">
        <v>1</v>
      </c>
      <c r="N382" s="3" t="n">
        <v>2</v>
      </c>
      <c r="O382" s="3" t="n">
        <v>2</v>
      </c>
      <c r="P382" s="3" t="n">
        <v>2</v>
      </c>
      <c r="Q382" s="3" t="n">
        <v>2</v>
      </c>
      <c r="R382" s="3" t="n">
        <v>2</v>
      </c>
      <c r="S382" s="3" t="n">
        <v>2</v>
      </c>
      <c r="T382" s="4" t="n">
        <v>2</v>
      </c>
      <c r="U382" s="3" t="n">
        <v>2</v>
      </c>
      <c r="V382" s="3" t="n">
        <v>3.9</v>
      </c>
      <c r="W382" s="3" t="n">
        <v>0.9</v>
      </c>
      <c r="X382" s="3" t="n">
        <v>5.2</v>
      </c>
      <c r="Y382" s="3" t="n">
        <v>359</v>
      </c>
      <c r="AA382" s="3" t="n">
        <v>0.4</v>
      </c>
      <c r="AB382" s="3" t="n">
        <v>12.4</v>
      </c>
      <c r="AC382" s="3" t="n">
        <v>1</v>
      </c>
      <c r="AD382" s="3" t="n">
        <v>2</v>
      </c>
      <c r="AE382" s="3" t="n">
        <v>1</v>
      </c>
      <c r="AF382" s="3" t="n">
        <v>1</v>
      </c>
      <c r="AG382" s="3" t="n">
        <v>2</v>
      </c>
      <c r="AH382" s="3" t="n">
        <v>2</v>
      </c>
      <c r="AI382" s="3" t="n">
        <v>1</v>
      </c>
      <c r="AJ382" s="3" t="n">
        <v>1</v>
      </c>
      <c r="AK382" s="3" t="n">
        <v>2</v>
      </c>
      <c r="AL382" s="3" t="n">
        <v>2</v>
      </c>
      <c r="AM382" s="3" t="n">
        <v>2</v>
      </c>
      <c r="AN382" s="3" t="n">
        <v>2</v>
      </c>
      <c r="AO382" s="3" t="n">
        <v>2</v>
      </c>
      <c r="AP382" s="3" t="n">
        <v>3</v>
      </c>
      <c r="AQ382" s="3" t="n">
        <v>4</v>
      </c>
      <c r="AR382" s="3" t="n">
        <v>4</v>
      </c>
      <c r="AS382" s="3" t="n">
        <v>6</v>
      </c>
      <c r="AT382" s="3" t="n">
        <v>4</v>
      </c>
      <c r="AU382" s="3" t="n">
        <v>4</v>
      </c>
      <c r="AV382" s="3" t="n">
        <v>6</v>
      </c>
      <c r="AW382" s="3" t="n">
        <v>6</v>
      </c>
      <c r="AX382" s="3" t="n">
        <v>3</v>
      </c>
      <c r="AY382" s="3" t="n">
        <v>3</v>
      </c>
      <c r="AZ382" s="3" t="n">
        <v>1</v>
      </c>
      <c r="BA382" s="5" t="n">
        <v>1</v>
      </c>
      <c r="BB382" s="3" t="n">
        <v>1</v>
      </c>
      <c r="BC382" s="3" t="n">
        <v>1</v>
      </c>
      <c r="BD382" s="3" t="n">
        <v>4</v>
      </c>
      <c r="BE382" s="3" t="n">
        <v>3</v>
      </c>
      <c r="BF382" s="3" t="n">
        <v>5</v>
      </c>
      <c r="BG382" s="3" t="n">
        <v>3</v>
      </c>
      <c r="BH382" s="3" t="n">
        <v>4</v>
      </c>
      <c r="BI382" s="3" t="n">
        <v>1</v>
      </c>
      <c r="BJ382" s="3" t="n">
        <v>1</v>
      </c>
      <c r="BK382" s="6" t="s">
        <v>1145</v>
      </c>
    </row>
    <row r="383" customFormat="false" ht="15" hidden="false" customHeight="true" outlineLevel="0" collapsed="false">
      <c r="B383" s="2" t="s">
        <v>1138</v>
      </c>
      <c r="C383" s="2" t="s">
        <v>433</v>
      </c>
      <c r="D383" s="2" t="s">
        <v>626</v>
      </c>
      <c r="E383" s="2" t="n">
        <v>176605</v>
      </c>
      <c r="F383" s="15" t="n">
        <v>43585</v>
      </c>
      <c r="G383" s="15" t="n">
        <v>43589</v>
      </c>
      <c r="H383" s="3" t="n">
        <v>5</v>
      </c>
      <c r="I383" s="3" t="n">
        <v>2</v>
      </c>
      <c r="J383" s="3" t="n">
        <v>44</v>
      </c>
      <c r="K383" s="3" t="n">
        <v>2</v>
      </c>
      <c r="L383" s="3" t="n">
        <v>2</v>
      </c>
      <c r="M383" s="3" t="n">
        <v>1</v>
      </c>
      <c r="N383" s="3" t="n">
        <v>2</v>
      </c>
      <c r="O383" s="3" t="n">
        <v>2</v>
      </c>
      <c r="P383" s="3" t="n">
        <v>2</v>
      </c>
      <c r="Q383" s="3" t="n">
        <v>2</v>
      </c>
      <c r="R383" s="3" t="n">
        <v>2</v>
      </c>
      <c r="S383" s="3" t="n">
        <v>2</v>
      </c>
      <c r="T383" s="4" t="n">
        <v>1</v>
      </c>
      <c r="U383" s="3" t="n">
        <v>1</v>
      </c>
      <c r="V383" s="3" t="n">
        <v>5.42</v>
      </c>
      <c r="W383" s="3" t="n">
        <v>1.09</v>
      </c>
      <c r="X383" s="3" t="n">
        <v>4.5</v>
      </c>
      <c r="Y383" s="3" t="n">
        <v>311</v>
      </c>
      <c r="AA383" s="3" t="n">
        <v>0.46</v>
      </c>
      <c r="AB383" s="3" t="n">
        <v>9.3</v>
      </c>
      <c r="AC383" s="3" t="n">
        <v>1</v>
      </c>
      <c r="AD383" s="3" t="n">
        <v>1</v>
      </c>
      <c r="AE383" s="3" t="n">
        <v>1</v>
      </c>
      <c r="AF383" s="3" t="n">
        <v>1</v>
      </c>
      <c r="AG383" s="3" t="n">
        <v>2</v>
      </c>
      <c r="AH383" s="3" t="n">
        <v>2</v>
      </c>
      <c r="AI383" s="3" t="n">
        <v>2</v>
      </c>
      <c r="AJ383" s="3" t="n">
        <v>1</v>
      </c>
      <c r="AK383" s="3" t="n">
        <v>2</v>
      </c>
      <c r="AL383" s="3" t="n">
        <v>2</v>
      </c>
      <c r="AM383" s="3" t="n">
        <v>2</v>
      </c>
      <c r="AN383" s="3" t="n">
        <v>2</v>
      </c>
      <c r="AO383" s="3" t="n">
        <v>2</v>
      </c>
      <c r="AP383" s="3" t="n">
        <v>3</v>
      </c>
      <c r="AQ383" s="3" t="n">
        <v>4</v>
      </c>
      <c r="AR383" s="3" t="n">
        <v>4</v>
      </c>
      <c r="AS383" s="3" t="n">
        <v>6</v>
      </c>
      <c r="AT383" s="3" t="n">
        <v>4</v>
      </c>
      <c r="AU383" s="3" t="n">
        <v>4</v>
      </c>
      <c r="AV383" s="3" t="n">
        <v>6</v>
      </c>
      <c r="AW383" s="3" t="n">
        <v>6</v>
      </c>
      <c r="AX383" s="3" t="n">
        <v>3</v>
      </c>
      <c r="AY383" s="3" t="n">
        <v>3</v>
      </c>
      <c r="AZ383" s="3" t="n">
        <v>1</v>
      </c>
      <c r="BA383" s="5" t="n">
        <v>4</v>
      </c>
      <c r="BB383" s="3" t="n">
        <v>2</v>
      </c>
      <c r="BC383" s="3" t="n">
        <v>1</v>
      </c>
      <c r="BD383" s="3" t="n">
        <v>6</v>
      </c>
      <c r="BE383" s="3" t="n">
        <v>3</v>
      </c>
      <c r="BF383" s="3" t="n">
        <v>5</v>
      </c>
      <c r="BG383" s="3" t="n">
        <v>3</v>
      </c>
      <c r="BH383" s="3" t="n">
        <v>4</v>
      </c>
      <c r="BI383" s="3" t="n">
        <v>1</v>
      </c>
      <c r="BJ383" s="3" t="n">
        <v>1</v>
      </c>
      <c r="BK383" s="6" t="s">
        <v>1146</v>
      </c>
    </row>
    <row r="384" customFormat="false" ht="15" hidden="false" customHeight="true" outlineLevel="0" collapsed="false">
      <c r="B384" s="2" t="s">
        <v>1147</v>
      </c>
      <c r="C384" s="2" t="s">
        <v>66</v>
      </c>
      <c r="D384" s="2" t="s">
        <v>770</v>
      </c>
      <c r="E384" s="2" t="n">
        <v>144886</v>
      </c>
      <c r="F384" s="15" t="n">
        <v>43586</v>
      </c>
      <c r="G384" s="15" t="n">
        <v>43588</v>
      </c>
      <c r="H384" s="3" t="n">
        <v>2</v>
      </c>
      <c r="I384" s="3" t="n">
        <v>2</v>
      </c>
      <c r="J384" s="3" t="n">
        <v>60</v>
      </c>
      <c r="K384" s="3" t="n">
        <v>1</v>
      </c>
      <c r="L384" s="3" t="n">
        <v>2</v>
      </c>
      <c r="M384" s="3" t="n">
        <v>1</v>
      </c>
      <c r="N384" s="3" t="n">
        <v>1</v>
      </c>
      <c r="O384" s="3" t="n">
        <v>2</v>
      </c>
      <c r="P384" s="3" t="n">
        <v>2</v>
      </c>
      <c r="Q384" s="3" t="n">
        <v>2</v>
      </c>
      <c r="R384" s="3" t="n">
        <v>2</v>
      </c>
      <c r="S384" s="3" t="n">
        <v>2</v>
      </c>
      <c r="T384" s="4" t="n">
        <v>1</v>
      </c>
      <c r="U384" s="3" t="n">
        <v>1</v>
      </c>
      <c r="AD384" s="3" t="n">
        <v>2</v>
      </c>
      <c r="AE384" s="3" t="n">
        <v>1</v>
      </c>
      <c r="AF384" s="3" t="n">
        <v>1</v>
      </c>
      <c r="AG384" s="3" t="n">
        <v>2</v>
      </c>
      <c r="AH384" s="3" t="n">
        <v>2</v>
      </c>
      <c r="AI384" s="3" t="n">
        <v>1</v>
      </c>
      <c r="AJ384" s="3" t="n">
        <v>1</v>
      </c>
      <c r="AK384" s="3" t="n">
        <v>2</v>
      </c>
      <c r="AL384" s="3" t="n">
        <v>2</v>
      </c>
      <c r="AM384" s="3" t="n">
        <v>2</v>
      </c>
      <c r="AN384" s="3" t="n">
        <v>2</v>
      </c>
      <c r="AO384" s="3" t="n">
        <v>2</v>
      </c>
      <c r="AP384" s="3" t="n">
        <v>3</v>
      </c>
      <c r="AQ384" s="3" t="n">
        <v>4</v>
      </c>
      <c r="AR384" s="3" t="n">
        <v>4</v>
      </c>
      <c r="AS384" s="3" t="n">
        <v>6</v>
      </c>
      <c r="AT384" s="3" t="n">
        <v>4</v>
      </c>
      <c r="AU384" s="3" t="n">
        <v>4</v>
      </c>
      <c r="AV384" s="3" t="n">
        <v>6</v>
      </c>
      <c r="AW384" s="3" t="n">
        <v>6</v>
      </c>
      <c r="AX384" s="3" t="n">
        <v>3</v>
      </c>
      <c r="AY384" s="3" t="n">
        <v>3</v>
      </c>
      <c r="AZ384" s="3" t="n">
        <v>1</v>
      </c>
      <c r="BA384" s="5" t="n">
        <v>5</v>
      </c>
      <c r="BB384" s="3" t="n">
        <v>2</v>
      </c>
      <c r="BC384" s="3" t="n">
        <v>1</v>
      </c>
      <c r="BD384" s="3" t="n">
        <v>6</v>
      </c>
      <c r="BE384" s="3" t="n">
        <v>3</v>
      </c>
      <c r="BF384" s="3" t="n">
        <v>5</v>
      </c>
      <c r="BG384" s="3" t="n">
        <v>3</v>
      </c>
      <c r="BH384" s="3" t="n">
        <v>4</v>
      </c>
      <c r="BI384" s="3" t="n">
        <v>1</v>
      </c>
      <c r="BJ384" s="3" t="n">
        <v>1</v>
      </c>
      <c r="BK384" s="6" t="s">
        <v>1148</v>
      </c>
    </row>
    <row r="385" customFormat="false" ht="15" hidden="false" customHeight="true" outlineLevel="0" collapsed="false">
      <c r="B385" s="2" t="s">
        <v>1149</v>
      </c>
      <c r="C385" s="2" t="s">
        <v>66</v>
      </c>
      <c r="D385" s="2" t="s">
        <v>1150</v>
      </c>
      <c r="E385" s="2" t="n">
        <v>176607</v>
      </c>
      <c r="F385" s="15" t="n">
        <v>43585</v>
      </c>
      <c r="G385" s="15" t="n">
        <v>43589</v>
      </c>
      <c r="H385" s="3" t="n">
        <v>4</v>
      </c>
      <c r="I385" s="3" t="n">
        <v>1</v>
      </c>
      <c r="J385" s="3" t="n">
        <v>81</v>
      </c>
      <c r="K385" s="3" t="n">
        <v>1</v>
      </c>
      <c r="L385" s="3" t="n">
        <v>2</v>
      </c>
      <c r="M385" s="3" t="n">
        <v>1</v>
      </c>
      <c r="N385" s="3" t="n">
        <v>2</v>
      </c>
      <c r="O385" s="3" t="n">
        <v>2</v>
      </c>
      <c r="P385" s="3" t="n">
        <v>2</v>
      </c>
      <c r="Q385" s="3" t="n">
        <v>2</v>
      </c>
      <c r="R385" s="3" t="n">
        <v>2</v>
      </c>
      <c r="S385" s="3" t="n">
        <v>2</v>
      </c>
      <c r="T385" s="4" t="n">
        <v>3</v>
      </c>
      <c r="U385" s="3" t="n">
        <v>4</v>
      </c>
      <c r="AC385" s="3" t="n">
        <v>2</v>
      </c>
      <c r="AD385" s="3" t="n">
        <v>2</v>
      </c>
      <c r="AE385" s="3" t="n">
        <v>1</v>
      </c>
      <c r="AF385" s="3" t="n">
        <v>1</v>
      </c>
      <c r="AG385" s="3" t="n">
        <v>2</v>
      </c>
      <c r="AH385" s="3" t="n">
        <v>2</v>
      </c>
      <c r="AI385" s="3" t="n">
        <v>1</v>
      </c>
      <c r="AJ385" s="3" t="n">
        <v>2</v>
      </c>
      <c r="AK385" s="3" t="n">
        <v>2</v>
      </c>
      <c r="AL385" s="3" t="n">
        <v>1</v>
      </c>
      <c r="AM385" s="3" t="n">
        <v>1</v>
      </c>
      <c r="AN385" s="3" t="n">
        <v>2</v>
      </c>
      <c r="AO385" s="3" t="n">
        <v>2</v>
      </c>
      <c r="AP385" s="3" t="n">
        <v>3</v>
      </c>
      <c r="AQ385" s="3" t="n">
        <v>4</v>
      </c>
      <c r="AR385" s="3" t="n">
        <v>4</v>
      </c>
      <c r="AS385" s="3" t="n">
        <v>6</v>
      </c>
      <c r="AT385" s="3" t="n">
        <v>4</v>
      </c>
      <c r="AU385" s="3" t="n">
        <v>4</v>
      </c>
      <c r="AV385" s="3" t="n">
        <v>6</v>
      </c>
      <c r="AW385" s="3" t="n">
        <v>6</v>
      </c>
      <c r="AX385" s="3" t="n">
        <v>3</v>
      </c>
      <c r="AY385" s="3" t="n">
        <v>3</v>
      </c>
      <c r="AZ385" s="3" t="n">
        <v>1</v>
      </c>
      <c r="BA385" s="5" t="n">
        <v>11</v>
      </c>
      <c r="BB385" s="3" t="n">
        <v>2</v>
      </c>
      <c r="BC385" s="3" t="n">
        <v>1</v>
      </c>
      <c r="BD385" s="3" t="n">
        <v>6</v>
      </c>
      <c r="BE385" s="3" t="n">
        <v>3</v>
      </c>
      <c r="BF385" s="3" t="n">
        <v>5</v>
      </c>
      <c r="BG385" s="3" t="n">
        <v>3</v>
      </c>
      <c r="BH385" s="3" t="n">
        <v>4</v>
      </c>
      <c r="BI385" s="3" t="n">
        <v>1</v>
      </c>
      <c r="BJ385" s="3" t="n">
        <v>1</v>
      </c>
      <c r="BK385" s="6" t="s">
        <v>1151</v>
      </c>
    </row>
    <row r="386" customFormat="false" ht="15" hidden="false" customHeight="true" outlineLevel="0" collapsed="false">
      <c r="B386" s="2" t="s">
        <v>1152</v>
      </c>
      <c r="C386" s="2" t="s">
        <v>1153</v>
      </c>
      <c r="D386" s="2" t="s">
        <v>1154</v>
      </c>
      <c r="E386" s="2" t="n">
        <v>176538</v>
      </c>
      <c r="F386" s="15" t="n">
        <v>43582</v>
      </c>
      <c r="G386" s="15" t="n">
        <v>43587</v>
      </c>
      <c r="H386" s="3" t="n">
        <v>5</v>
      </c>
      <c r="I386" s="3" t="n">
        <v>1</v>
      </c>
      <c r="J386" s="3" t="n">
        <v>49</v>
      </c>
      <c r="K386" s="3" t="n">
        <v>1</v>
      </c>
      <c r="L386" s="3" t="n">
        <v>1</v>
      </c>
      <c r="M386" s="3" t="n">
        <v>1</v>
      </c>
      <c r="N386" s="3" t="n">
        <v>1</v>
      </c>
      <c r="O386" s="3" t="n">
        <v>2</v>
      </c>
      <c r="P386" s="3" t="n">
        <v>2</v>
      </c>
      <c r="Q386" s="3" t="n">
        <v>2</v>
      </c>
      <c r="R386" s="3" t="n">
        <v>2</v>
      </c>
      <c r="S386" s="3" t="n">
        <v>2</v>
      </c>
      <c r="T386" s="4" t="n">
        <v>2</v>
      </c>
      <c r="U386" s="3" t="n">
        <v>2</v>
      </c>
      <c r="AD386" s="3" t="n">
        <v>2</v>
      </c>
      <c r="AE386" s="3" t="n">
        <v>1</v>
      </c>
      <c r="AF386" s="3" t="n">
        <v>1</v>
      </c>
      <c r="AG386" s="3" t="n">
        <v>2</v>
      </c>
      <c r="AH386" s="3" t="n">
        <v>2</v>
      </c>
      <c r="AI386" s="3" t="n">
        <v>1</v>
      </c>
      <c r="AJ386" s="3" t="n">
        <v>1</v>
      </c>
      <c r="AK386" s="3" t="n">
        <v>1</v>
      </c>
      <c r="AL386" s="3" t="n">
        <v>2</v>
      </c>
      <c r="AM386" s="3" t="n">
        <v>1</v>
      </c>
      <c r="AN386" s="3" t="n">
        <v>2</v>
      </c>
      <c r="AO386" s="3" t="n">
        <v>2</v>
      </c>
      <c r="AP386" s="3" t="n">
        <v>3</v>
      </c>
      <c r="AQ386" s="3" t="n">
        <v>4</v>
      </c>
      <c r="AR386" s="3" t="n">
        <v>4</v>
      </c>
      <c r="AS386" s="3" t="n">
        <v>6</v>
      </c>
      <c r="AT386" s="3" t="n">
        <v>4</v>
      </c>
      <c r="AU386" s="3" t="n">
        <v>4</v>
      </c>
      <c r="AV386" s="3" t="n">
        <v>6</v>
      </c>
      <c r="AW386" s="3" t="n">
        <v>6</v>
      </c>
      <c r="AX386" s="3" t="n">
        <v>3</v>
      </c>
      <c r="AY386" s="3" t="n">
        <v>3</v>
      </c>
      <c r="AZ386" s="3" t="n">
        <v>1</v>
      </c>
      <c r="BA386" s="5" t="n">
        <v>5</v>
      </c>
      <c r="BB386" s="3" t="n">
        <v>2</v>
      </c>
      <c r="BC386" s="3" t="n">
        <v>1</v>
      </c>
      <c r="BD386" s="3" t="n">
        <v>6</v>
      </c>
      <c r="BE386" s="3" t="n">
        <v>3</v>
      </c>
      <c r="BF386" s="3" t="n">
        <v>5</v>
      </c>
      <c r="BG386" s="3" t="n">
        <v>3</v>
      </c>
      <c r="BH386" s="3" t="n">
        <v>4</v>
      </c>
      <c r="BI386" s="3" t="n">
        <v>1</v>
      </c>
      <c r="BJ386" s="3" t="n">
        <v>1</v>
      </c>
      <c r="BK386" s="6" t="s">
        <v>1155</v>
      </c>
    </row>
    <row r="387" customFormat="false" ht="15" hidden="false" customHeight="true" outlineLevel="0" collapsed="false">
      <c r="B387" s="2" t="s">
        <v>1156</v>
      </c>
      <c r="C387" s="2" t="s">
        <v>1157</v>
      </c>
      <c r="D387" s="2" t="s">
        <v>94</v>
      </c>
      <c r="E387" s="2" t="n">
        <v>176585</v>
      </c>
      <c r="F387" s="15" t="n">
        <v>43584</v>
      </c>
      <c r="G387" s="15" t="n">
        <v>43587</v>
      </c>
      <c r="H387" s="3" t="n">
        <v>4</v>
      </c>
      <c r="I387" s="3" t="n">
        <v>1</v>
      </c>
      <c r="J387" s="3" t="n">
        <v>74</v>
      </c>
      <c r="K387" s="3" t="n">
        <v>1</v>
      </c>
      <c r="L387" s="3" t="n">
        <v>2</v>
      </c>
      <c r="M387" s="3" t="n">
        <v>1</v>
      </c>
      <c r="N387" s="3" t="n">
        <v>2</v>
      </c>
      <c r="O387" s="3" t="n">
        <v>2</v>
      </c>
      <c r="P387" s="3" t="n">
        <v>2</v>
      </c>
      <c r="Q387" s="3" t="n">
        <v>2</v>
      </c>
      <c r="R387" s="3" t="n">
        <v>2</v>
      </c>
      <c r="S387" s="3" t="n">
        <v>1</v>
      </c>
      <c r="T387" s="4" t="n">
        <v>3</v>
      </c>
      <c r="U387" s="3" t="n">
        <v>1</v>
      </c>
      <c r="AC387" s="3" t="n">
        <v>1</v>
      </c>
      <c r="AD387" s="3" t="n">
        <v>2</v>
      </c>
      <c r="AE387" s="3" t="n">
        <v>2</v>
      </c>
      <c r="AF387" s="3" t="n">
        <v>2</v>
      </c>
      <c r="AG387" s="3" t="n">
        <v>2</v>
      </c>
      <c r="AH387" s="3" t="n">
        <v>2</v>
      </c>
      <c r="AI387" s="3" t="n">
        <v>2</v>
      </c>
      <c r="AJ387" s="3" t="n">
        <v>2</v>
      </c>
      <c r="AK387" s="3" t="n">
        <v>2</v>
      </c>
      <c r="AL387" s="3" t="n">
        <v>2</v>
      </c>
      <c r="AM387" s="3" t="n">
        <v>1</v>
      </c>
      <c r="AN387" s="3" t="n">
        <v>2</v>
      </c>
      <c r="AO387" s="3" t="n">
        <v>2</v>
      </c>
      <c r="AP387" s="3" t="n">
        <v>3</v>
      </c>
      <c r="AQ387" s="3" t="n">
        <v>4</v>
      </c>
      <c r="AR387" s="3" t="n">
        <v>4</v>
      </c>
      <c r="AS387" s="3" t="n">
        <v>6</v>
      </c>
      <c r="AT387" s="3" t="n">
        <v>4</v>
      </c>
      <c r="AU387" s="3" t="n">
        <v>4</v>
      </c>
      <c r="AV387" s="3" t="n">
        <v>6</v>
      </c>
      <c r="AW387" s="3" t="n">
        <v>6</v>
      </c>
      <c r="AX387" s="3" t="n">
        <v>3</v>
      </c>
      <c r="AY387" s="3" t="n">
        <v>3</v>
      </c>
      <c r="AZ387" s="3" t="n">
        <v>1</v>
      </c>
      <c r="BA387" s="5" t="n">
        <v>11</v>
      </c>
      <c r="BB387" s="3" t="n">
        <v>2</v>
      </c>
      <c r="BC387" s="3" t="n">
        <v>1</v>
      </c>
      <c r="BD387" s="3" t="n">
        <v>6</v>
      </c>
      <c r="BE387" s="3" t="n">
        <v>3</v>
      </c>
      <c r="BF387" s="3" t="n">
        <v>5</v>
      </c>
      <c r="BG387" s="3" t="n">
        <v>3</v>
      </c>
      <c r="BH387" s="3" t="n">
        <v>4</v>
      </c>
      <c r="BI387" s="3" t="n">
        <v>1</v>
      </c>
      <c r="BJ387" s="3" t="n">
        <v>1</v>
      </c>
      <c r="BK387" s="6" t="s">
        <v>1158</v>
      </c>
    </row>
    <row r="388" customFormat="false" ht="15" hidden="false" customHeight="true" outlineLevel="0" collapsed="false">
      <c r="B388" s="2" t="s">
        <v>1159</v>
      </c>
      <c r="C388" s="2" t="s">
        <v>1160</v>
      </c>
      <c r="D388" s="2" t="s">
        <v>935</v>
      </c>
      <c r="E388" s="2" t="n">
        <v>176630</v>
      </c>
      <c r="F388" s="15" t="n">
        <v>43586</v>
      </c>
      <c r="G388" s="15" t="n">
        <v>43591</v>
      </c>
      <c r="H388" s="3" t="n">
        <v>5</v>
      </c>
      <c r="I388" s="3" t="n">
        <v>1</v>
      </c>
      <c r="J388" s="3" t="n">
        <v>52</v>
      </c>
      <c r="K388" s="3" t="n">
        <v>1</v>
      </c>
      <c r="L388" s="3" t="n">
        <v>1</v>
      </c>
      <c r="M388" s="3" t="n">
        <v>1</v>
      </c>
      <c r="N388" s="3" t="n">
        <v>2</v>
      </c>
      <c r="O388" s="3" t="n">
        <v>2</v>
      </c>
      <c r="P388" s="3" t="n">
        <v>2</v>
      </c>
      <c r="Q388" s="3" t="n">
        <v>2</v>
      </c>
      <c r="R388" s="3" t="n">
        <v>2</v>
      </c>
      <c r="S388" s="3" t="n">
        <v>1</v>
      </c>
      <c r="T388" s="4" t="n">
        <v>1</v>
      </c>
      <c r="U388" s="3" t="n">
        <v>1</v>
      </c>
      <c r="V388" s="3" t="n">
        <v>5.64</v>
      </c>
      <c r="W388" s="3" t="n">
        <v>0.98</v>
      </c>
      <c r="X388" s="3" t="n">
        <v>5.3</v>
      </c>
      <c r="Y388" s="3" t="n">
        <v>520</v>
      </c>
      <c r="AA388" s="3" t="n">
        <v>0.4</v>
      </c>
      <c r="AB388" s="3" t="n">
        <v>9.3</v>
      </c>
      <c r="AC388" s="3" t="n">
        <v>1</v>
      </c>
      <c r="AD388" s="3" t="n">
        <v>1</v>
      </c>
      <c r="AE388" s="3" t="n">
        <v>1</v>
      </c>
      <c r="AF388" s="3" t="n">
        <v>1</v>
      </c>
      <c r="AG388" s="3" t="n">
        <v>2</v>
      </c>
      <c r="AH388" s="3" t="n">
        <v>2</v>
      </c>
      <c r="AI388" s="3" t="n">
        <v>1</v>
      </c>
      <c r="AJ388" s="3" t="n">
        <v>1</v>
      </c>
      <c r="AK388" s="3" t="n">
        <v>2</v>
      </c>
      <c r="AL388" s="3" t="n">
        <v>2</v>
      </c>
      <c r="AM388" s="3" t="n">
        <v>1</v>
      </c>
      <c r="AN388" s="3" t="n">
        <v>2</v>
      </c>
      <c r="AO388" s="3" t="n">
        <v>2</v>
      </c>
      <c r="AP388" s="3" t="n">
        <v>3</v>
      </c>
      <c r="AQ388" s="3" t="n">
        <v>4</v>
      </c>
      <c r="AR388" s="3" t="n">
        <v>4</v>
      </c>
      <c r="AS388" s="3" t="n">
        <v>6</v>
      </c>
      <c r="AT388" s="3" t="n">
        <v>4</v>
      </c>
      <c r="AU388" s="3" t="n">
        <v>4</v>
      </c>
      <c r="AV388" s="3" t="n">
        <v>6</v>
      </c>
      <c r="AW388" s="3" t="n">
        <v>6</v>
      </c>
      <c r="AX388" s="3" t="n">
        <v>3</v>
      </c>
      <c r="AY388" s="3" t="n">
        <v>3</v>
      </c>
      <c r="AZ388" s="3" t="n">
        <v>1</v>
      </c>
      <c r="BA388" s="5" t="n">
        <v>5</v>
      </c>
      <c r="BB388" s="3" t="n">
        <v>2</v>
      </c>
      <c r="BC388" s="3" t="n">
        <v>1</v>
      </c>
      <c r="BD388" s="3" t="n">
        <v>6</v>
      </c>
      <c r="BE388" s="3" t="n">
        <v>3</v>
      </c>
      <c r="BF388" s="3" t="n">
        <v>5</v>
      </c>
      <c r="BG388" s="3" t="n">
        <v>3</v>
      </c>
      <c r="BH388" s="3" t="n">
        <v>4</v>
      </c>
      <c r="BI388" s="3" t="n">
        <v>1</v>
      </c>
      <c r="BJ388" s="3" t="n">
        <v>1</v>
      </c>
      <c r="BK388" s="6" t="s">
        <v>1161</v>
      </c>
    </row>
    <row r="389" customFormat="false" ht="15" hidden="false" customHeight="true" outlineLevel="0" collapsed="false">
      <c r="B389" s="2" t="s">
        <v>1162</v>
      </c>
      <c r="C389" s="2" t="s">
        <v>1098</v>
      </c>
      <c r="D389" s="2" t="s">
        <v>1163</v>
      </c>
      <c r="E389" s="2" t="n">
        <v>176491</v>
      </c>
      <c r="F389" s="15" t="n">
        <v>43580</v>
      </c>
      <c r="G389" s="15" t="n">
        <v>43591</v>
      </c>
      <c r="H389" s="3" t="n">
        <v>11</v>
      </c>
      <c r="I389" s="3" t="n">
        <v>2</v>
      </c>
      <c r="J389" s="3" t="n">
        <v>63</v>
      </c>
      <c r="K389" s="3" t="n">
        <v>1</v>
      </c>
      <c r="L389" s="3" t="n">
        <v>1</v>
      </c>
      <c r="M389" s="3" t="n">
        <v>1</v>
      </c>
      <c r="N389" s="3" t="n">
        <v>2</v>
      </c>
      <c r="O389" s="3" t="n">
        <v>2</v>
      </c>
      <c r="P389" s="3" t="n">
        <v>2</v>
      </c>
      <c r="Q389" s="3" t="n">
        <v>2</v>
      </c>
      <c r="R389" s="3" t="n">
        <v>2</v>
      </c>
      <c r="S389" s="3" t="n">
        <v>2</v>
      </c>
      <c r="T389" s="4" t="n">
        <v>1</v>
      </c>
      <c r="U389" s="3" t="n">
        <v>1</v>
      </c>
      <c r="V389" s="3" t="n">
        <v>8.38</v>
      </c>
      <c r="W389" s="3" t="n">
        <v>1.28</v>
      </c>
      <c r="X389" s="3" t="n">
        <v>6</v>
      </c>
      <c r="Y389" s="3" t="n">
        <v>420</v>
      </c>
      <c r="AA389" s="3" t="n">
        <v>0.45</v>
      </c>
      <c r="AB389" s="3" t="n">
        <v>10.2</v>
      </c>
      <c r="AC389" s="3" t="n">
        <v>1</v>
      </c>
      <c r="AD389" s="3" t="n">
        <v>1</v>
      </c>
      <c r="AE389" s="3" t="n">
        <v>1</v>
      </c>
      <c r="AF389" s="3" t="n">
        <v>1</v>
      </c>
      <c r="AG389" s="3" t="n">
        <v>2</v>
      </c>
      <c r="AH389" s="3" t="n">
        <v>1</v>
      </c>
      <c r="AI389" s="3" t="n">
        <v>1</v>
      </c>
      <c r="AJ389" s="3" t="n">
        <v>2</v>
      </c>
      <c r="AK389" s="3" t="n">
        <v>2</v>
      </c>
      <c r="AL389" s="3" t="n">
        <v>2</v>
      </c>
      <c r="AM389" s="3" t="n">
        <v>1</v>
      </c>
      <c r="AN389" s="3" t="n">
        <v>2</v>
      </c>
      <c r="AO389" s="3" t="n">
        <v>2</v>
      </c>
      <c r="AP389" s="3" t="n">
        <v>3</v>
      </c>
      <c r="AQ389" s="3" t="n">
        <v>4</v>
      </c>
      <c r="AR389" s="3" t="n">
        <v>4</v>
      </c>
      <c r="AS389" s="3" t="n">
        <v>6</v>
      </c>
      <c r="AT389" s="3" t="n">
        <v>4</v>
      </c>
      <c r="AU389" s="3" t="n">
        <v>4</v>
      </c>
      <c r="AV389" s="3" t="n">
        <v>6</v>
      </c>
      <c r="AW389" s="3" t="n">
        <v>6</v>
      </c>
      <c r="AX389" s="3" t="n">
        <v>3</v>
      </c>
      <c r="AY389" s="3" t="n">
        <v>3</v>
      </c>
      <c r="AZ389" s="3" t="n">
        <v>13</v>
      </c>
      <c r="BA389" s="5" t="n">
        <v>1</v>
      </c>
      <c r="BB389" s="3" t="n">
        <v>1</v>
      </c>
      <c r="BC389" s="3" t="n">
        <v>1</v>
      </c>
      <c r="BD389" s="3" t="n">
        <v>6</v>
      </c>
      <c r="BE389" s="3" t="n">
        <v>3</v>
      </c>
      <c r="BF389" s="3" t="n">
        <v>5</v>
      </c>
      <c r="BG389" s="3" t="n">
        <v>3</v>
      </c>
      <c r="BH389" s="3" t="n">
        <v>4</v>
      </c>
      <c r="BI389" s="3" t="n">
        <v>1</v>
      </c>
      <c r="BJ389" s="3" t="n">
        <v>1</v>
      </c>
      <c r="BK389" s="6" t="s">
        <v>1164</v>
      </c>
    </row>
    <row r="390" customFormat="false" ht="15" hidden="false" customHeight="true" outlineLevel="0" collapsed="false">
      <c r="B390" s="2" t="s">
        <v>1165</v>
      </c>
      <c r="C390" s="2" t="s">
        <v>1166</v>
      </c>
      <c r="D390" s="2" t="s">
        <v>232</v>
      </c>
      <c r="E390" s="2" t="n">
        <v>176736</v>
      </c>
      <c r="F390" s="15" t="n">
        <v>43588</v>
      </c>
      <c r="G390" s="15" t="n">
        <v>43592</v>
      </c>
      <c r="H390" s="3" t="n">
        <v>4</v>
      </c>
      <c r="I390" s="3" t="n">
        <v>1</v>
      </c>
      <c r="J390" s="3" t="n">
        <v>88</v>
      </c>
      <c r="K390" s="3" t="n">
        <v>1</v>
      </c>
      <c r="L390" s="3" t="n">
        <v>2</v>
      </c>
      <c r="M390" s="3" t="n">
        <v>1</v>
      </c>
      <c r="N390" s="3" t="n">
        <v>2</v>
      </c>
      <c r="O390" s="3" t="n">
        <v>1</v>
      </c>
      <c r="P390" s="3" t="n">
        <v>2</v>
      </c>
      <c r="Q390" s="3" t="n">
        <v>1</v>
      </c>
      <c r="R390" s="3" t="n">
        <v>2</v>
      </c>
      <c r="S390" s="3" t="n">
        <v>2</v>
      </c>
      <c r="T390" s="4" t="n">
        <v>4</v>
      </c>
      <c r="U390" s="3" t="n">
        <v>4</v>
      </c>
      <c r="V390" s="3" t="n">
        <v>2.66</v>
      </c>
      <c r="W390" s="3" t="n">
        <v>1.35</v>
      </c>
      <c r="X390" s="3" t="n">
        <v>8.83</v>
      </c>
      <c r="Y390" s="3" t="n">
        <v>301</v>
      </c>
      <c r="AA390" s="3" t="n">
        <v>0.37</v>
      </c>
      <c r="AB390" s="3" t="n">
        <v>11</v>
      </c>
      <c r="AC390" s="3" t="n">
        <v>1</v>
      </c>
      <c r="AD390" s="3" t="n">
        <v>2</v>
      </c>
      <c r="AE390" s="3" t="n">
        <v>1</v>
      </c>
      <c r="AF390" s="3" t="n">
        <v>2</v>
      </c>
      <c r="AG390" s="3" t="n">
        <v>2</v>
      </c>
      <c r="AH390" s="3" t="n">
        <v>2</v>
      </c>
      <c r="AI390" s="3" t="n">
        <v>2</v>
      </c>
      <c r="AJ390" s="3" t="n">
        <v>1</v>
      </c>
      <c r="AK390" s="3" t="n">
        <v>2</v>
      </c>
      <c r="AL390" s="3" t="n">
        <v>2</v>
      </c>
      <c r="AM390" s="3" t="n">
        <v>1</v>
      </c>
      <c r="AN390" s="3" t="n">
        <v>2</v>
      </c>
      <c r="AO390" s="3" t="n">
        <v>1</v>
      </c>
      <c r="AP390" s="3" t="n">
        <v>3</v>
      </c>
      <c r="AQ390" s="3" t="n">
        <v>4</v>
      </c>
      <c r="AR390" s="3" t="n">
        <v>4</v>
      </c>
      <c r="AS390" s="3" t="n">
        <v>6</v>
      </c>
      <c r="AT390" s="3" t="n">
        <v>4</v>
      </c>
      <c r="AU390" s="3" t="n">
        <v>4</v>
      </c>
      <c r="AV390" s="3" t="n">
        <v>6</v>
      </c>
      <c r="AW390" s="3" t="n">
        <v>6</v>
      </c>
      <c r="AX390" s="3" t="n">
        <v>3</v>
      </c>
      <c r="AY390" s="3" t="n">
        <v>3</v>
      </c>
      <c r="AZ390" s="3" t="n">
        <v>1</v>
      </c>
      <c r="BA390" s="5" t="n">
        <v>10</v>
      </c>
      <c r="BB390" s="3" t="n">
        <v>2</v>
      </c>
      <c r="BC390" s="3" t="n">
        <v>1</v>
      </c>
      <c r="BD390" s="3" t="n">
        <v>6</v>
      </c>
      <c r="BE390" s="3" t="n">
        <v>3</v>
      </c>
      <c r="BF390" s="3" t="n">
        <v>5</v>
      </c>
      <c r="BG390" s="3" t="n">
        <v>3</v>
      </c>
      <c r="BH390" s="3" t="n">
        <v>4</v>
      </c>
      <c r="BI390" s="3" t="n">
        <v>1</v>
      </c>
      <c r="BJ390" s="3" t="n">
        <v>1</v>
      </c>
      <c r="BK390" s="6" t="s">
        <v>1167</v>
      </c>
    </row>
    <row r="391" customFormat="false" ht="15" hidden="false" customHeight="true" outlineLevel="0" collapsed="false">
      <c r="B391" s="2" t="s">
        <v>1168</v>
      </c>
      <c r="C391" s="2" t="s">
        <v>94</v>
      </c>
      <c r="D391" s="2" t="s">
        <v>1169</v>
      </c>
      <c r="E391" s="2" t="n">
        <v>176651</v>
      </c>
      <c r="F391" s="15" t="n">
        <v>43592</v>
      </c>
      <c r="G391" s="15" t="n">
        <v>43595</v>
      </c>
      <c r="H391" s="3" t="n">
        <v>3</v>
      </c>
      <c r="I391" s="3" t="n">
        <v>1</v>
      </c>
      <c r="J391" s="3" t="n">
        <v>73</v>
      </c>
      <c r="K391" s="3" t="n">
        <v>1</v>
      </c>
      <c r="L391" s="3" t="n">
        <v>2</v>
      </c>
      <c r="M391" s="3" t="n">
        <v>1</v>
      </c>
      <c r="N391" s="3" t="n">
        <v>2</v>
      </c>
      <c r="O391" s="3" t="n">
        <v>2</v>
      </c>
      <c r="P391" s="3" t="n">
        <v>2</v>
      </c>
      <c r="Q391" s="3" t="n">
        <v>2</v>
      </c>
      <c r="R391" s="3" t="n">
        <v>2</v>
      </c>
      <c r="S391" s="3" t="n">
        <v>2</v>
      </c>
      <c r="T391" s="4" t="n">
        <v>3</v>
      </c>
      <c r="U391" s="3" t="n">
        <v>1</v>
      </c>
      <c r="V391" s="3" t="n">
        <v>5.37</v>
      </c>
      <c r="W391" s="3" t="n">
        <v>1.76</v>
      </c>
      <c r="X391" s="3" t="n">
        <v>6.51</v>
      </c>
      <c r="Y391" s="3" t="n">
        <v>376</v>
      </c>
      <c r="AA391" s="3" t="n">
        <v>0.49</v>
      </c>
      <c r="AB391" s="3" t="n">
        <v>11.3</v>
      </c>
      <c r="AC391" s="3" t="n">
        <v>1</v>
      </c>
      <c r="AD391" s="3" t="n">
        <v>2</v>
      </c>
      <c r="AE391" s="3" t="n">
        <v>1</v>
      </c>
      <c r="AF391" s="3" t="n">
        <v>2</v>
      </c>
      <c r="AG391" s="3" t="n">
        <v>2</v>
      </c>
      <c r="AH391" s="3" t="n">
        <v>1</v>
      </c>
      <c r="AI391" s="3" t="n">
        <v>2</v>
      </c>
      <c r="AJ391" s="3" t="n">
        <v>1</v>
      </c>
      <c r="AK391" s="3" t="n">
        <v>2</v>
      </c>
      <c r="AL391" s="3" t="n">
        <v>2</v>
      </c>
      <c r="AM391" s="3" t="n">
        <v>1</v>
      </c>
      <c r="AN391" s="3" t="n">
        <v>2</v>
      </c>
      <c r="AO391" s="3" t="n">
        <v>2</v>
      </c>
      <c r="AP391" s="3" t="n">
        <v>3</v>
      </c>
      <c r="AQ391" s="3" t="n">
        <v>4</v>
      </c>
      <c r="AR391" s="3" t="n">
        <v>4</v>
      </c>
      <c r="AS391" s="3" t="n">
        <v>6</v>
      </c>
      <c r="AT391" s="3" t="n">
        <v>4</v>
      </c>
      <c r="AU391" s="3" t="n">
        <v>4</v>
      </c>
      <c r="AV391" s="3" t="n">
        <v>6</v>
      </c>
      <c r="AW391" s="3" t="n">
        <v>6</v>
      </c>
      <c r="AX391" s="3" t="n">
        <v>3</v>
      </c>
      <c r="AY391" s="3" t="n">
        <v>3</v>
      </c>
      <c r="AZ391" s="3" t="n">
        <v>15</v>
      </c>
      <c r="BA391" s="5" t="n">
        <v>7</v>
      </c>
      <c r="BB391" s="3" t="n">
        <v>2</v>
      </c>
      <c r="BC391" s="3" t="n">
        <v>1</v>
      </c>
      <c r="BD391" s="3" t="n">
        <v>6</v>
      </c>
      <c r="BE391" s="3" t="n">
        <v>3</v>
      </c>
      <c r="BF391" s="3" t="n">
        <v>5</v>
      </c>
      <c r="BG391" s="3" t="n">
        <v>3</v>
      </c>
      <c r="BH391" s="3" t="n">
        <v>4</v>
      </c>
      <c r="BI391" s="3" t="n">
        <v>1</v>
      </c>
      <c r="BJ391" s="3" t="n">
        <v>1</v>
      </c>
      <c r="BK391" s="6" t="s">
        <v>1170</v>
      </c>
    </row>
    <row r="392" customFormat="false" ht="15" hidden="false" customHeight="true" outlineLevel="0" collapsed="false">
      <c r="B392" s="2" t="s">
        <v>1171</v>
      </c>
      <c r="C392" s="2" t="s">
        <v>440</v>
      </c>
      <c r="D392" s="2" t="s">
        <v>846</v>
      </c>
      <c r="E392" s="2" t="n">
        <v>176752</v>
      </c>
      <c r="F392" s="15" t="n">
        <v>43590</v>
      </c>
      <c r="G392" s="15" t="n">
        <v>43592</v>
      </c>
      <c r="H392" s="3" t="n">
        <v>2</v>
      </c>
      <c r="I392" s="3" t="n">
        <v>2</v>
      </c>
      <c r="J392" s="3" t="n">
        <v>53</v>
      </c>
      <c r="K392" s="3" t="n">
        <v>1</v>
      </c>
      <c r="L392" s="3" t="n">
        <v>1</v>
      </c>
      <c r="M392" s="3" t="n">
        <v>1</v>
      </c>
      <c r="N392" s="3" t="n">
        <v>2</v>
      </c>
      <c r="O392" s="3" t="n">
        <v>2</v>
      </c>
      <c r="P392" s="3" t="n">
        <v>2</v>
      </c>
      <c r="Q392" s="3" t="n">
        <v>2</v>
      </c>
      <c r="R392" s="3" t="n">
        <v>2</v>
      </c>
      <c r="S392" s="3" t="n">
        <v>2</v>
      </c>
      <c r="T392" s="4" t="n">
        <v>1</v>
      </c>
      <c r="U392" s="3" t="n">
        <v>2</v>
      </c>
      <c r="AC392" s="3" t="n">
        <v>1</v>
      </c>
      <c r="AD392" s="3" t="n">
        <v>1</v>
      </c>
      <c r="AE392" s="3" t="n">
        <v>1</v>
      </c>
      <c r="AF392" s="3" t="n">
        <v>1</v>
      </c>
      <c r="AG392" s="3" t="n">
        <v>2</v>
      </c>
      <c r="AH392" s="3" t="n">
        <v>2</v>
      </c>
      <c r="AI392" s="3" t="n">
        <v>1</v>
      </c>
      <c r="AJ392" s="3" t="n">
        <v>2</v>
      </c>
      <c r="AK392" s="3" t="n">
        <v>2</v>
      </c>
      <c r="AL392" s="3" t="n">
        <v>2</v>
      </c>
      <c r="AM392" s="3" t="n">
        <v>2</v>
      </c>
      <c r="AN392" s="3" t="n">
        <v>2</v>
      </c>
      <c r="AO392" s="3" t="n">
        <v>2</v>
      </c>
      <c r="AP392" s="3" t="n">
        <v>3</v>
      </c>
      <c r="AQ392" s="3" t="n">
        <v>4</v>
      </c>
      <c r="AR392" s="3" t="n">
        <v>4</v>
      </c>
      <c r="AS392" s="3" t="n">
        <v>6</v>
      </c>
      <c r="AT392" s="3" t="n">
        <v>4</v>
      </c>
      <c r="AU392" s="3" t="n">
        <v>4</v>
      </c>
      <c r="AV392" s="3" t="n">
        <v>6</v>
      </c>
      <c r="AW392" s="3" t="n">
        <v>6</v>
      </c>
      <c r="AX392" s="3" t="n">
        <v>3</v>
      </c>
      <c r="AY392" s="3" t="n">
        <v>3</v>
      </c>
      <c r="AZ392" s="3" t="n">
        <v>1</v>
      </c>
      <c r="BA392" s="5" t="n">
        <v>12</v>
      </c>
      <c r="BB392" s="3" t="n">
        <v>2</v>
      </c>
      <c r="BC392" s="3" t="n">
        <v>1</v>
      </c>
      <c r="BD392" s="3" t="n">
        <v>6</v>
      </c>
      <c r="BE392" s="3" t="n">
        <v>3</v>
      </c>
      <c r="BF392" s="3" t="n">
        <v>5</v>
      </c>
      <c r="BG392" s="3" t="n">
        <v>3</v>
      </c>
      <c r="BH392" s="3" t="n">
        <v>4</v>
      </c>
      <c r="BI392" s="3" t="n">
        <v>1</v>
      </c>
      <c r="BJ392" s="3" t="n">
        <v>1</v>
      </c>
      <c r="BK392" s="6" t="s">
        <v>1172</v>
      </c>
    </row>
    <row r="393" customFormat="false" ht="15" hidden="false" customHeight="true" outlineLevel="0" collapsed="false">
      <c r="B393" s="2" t="s">
        <v>1173</v>
      </c>
      <c r="C393" s="2" t="s">
        <v>1174</v>
      </c>
      <c r="D393" s="2" t="s">
        <v>756</v>
      </c>
      <c r="E393" s="2" t="n">
        <v>177418</v>
      </c>
      <c r="F393" s="15" t="n">
        <v>43595</v>
      </c>
      <c r="G393" s="15" t="n">
        <v>43601</v>
      </c>
      <c r="H393" s="3" t="n">
        <v>6</v>
      </c>
      <c r="I393" s="3" t="n">
        <v>2</v>
      </c>
      <c r="J393" s="3" t="n">
        <v>78</v>
      </c>
      <c r="K393" s="3" t="n">
        <v>1</v>
      </c>
      <c r="L393" s="3" t="n">
        <v>2</v>
      </c>
      <c r="M393" s="3" t="n">
        <v>1</v>
      </c>
      <c r="N393" s="3" t="n">
        <v>2</v>
      </c>
      <c r="O393" s="3" t="n">
        <v>2</v>
      </c>
      <c r="P393" s="3" t="n">
        <v>2</v>
      </c>
      <c r="Q393" s="3" t="n">
        <v>1</v>
      </c>
      <c r="R393" s="3" t="n">
        <v>2</v>
      </c>
      <c r="S393" s="3" t="n">
        <v>2</v>
      </c>
      <c r="T393" s="4" t="n">
        <v>1</v>
      </c>
      <c r="U393" s="3" t="n">
        <v>1</v>
      </c>
      <c r="V393" s="3" t="n">
        <v>6.82</v>
      </c>
      <c r="W393" s="3" t="n">
        <v>2.08</v>
      </c>
      <c r="X393" s="3" t="n">
        <v>4.9</v>
      </c>
      <c r="Y393" s="3" t="n">
        <v>575</v>
      </c>
      <c r="AA393" s="3" t="n">
        <v>0.44</v>
      </c>
      <c r="AB393" s="3" t="n">
        <v>13.8</v>
      </c>
      <c r="AC393" s="3" t="n">
        <v>2</v>
      </c>
      <c r="AD393" s="3" t="n">
        <v>1</v>
      </c>
      <c r="AE393" s="3" t="n">
        <v>1</v>
      </c>
      <c r="AF393" s="3" t="n">
        <v>1</v>
      </c>
      <c r="AG393" s="3" t="n">
        <v>2</v>
      </c>
      <c r="AH393" s="3" t="n">
        <v>1</v>
      </c>
      <c r="AI393" s="3" t="n">
        <v>1</v>
      </c>
      <c r="AJ393" s="3" t="n">
        <v>2</v>
      </c>
      <c r="AK393" s="3" t="n">
        <v>1</v>
      </c>
      <c r="AL393" s="3" t="n">
        <v>2</v>
      </c>
      <c r="AM393" s="3" t="n">
        <v>1</v>
      </c>
      <c r="AN393" s="3" t="n">
        <v>2</v>
      </c>
      <c r="AO393" s="3" t="n">
        <v>2</v>
      </c>
      <c r="AP393" s="3" t="n">
        <v>3</v>
      </c>
      <c r="AQ393" s="3" t="n">
        <v>4</v>
      </c>
      <c r="AR393" s="3" t="n">
        <v>4</v>
      </c>
      <c r="AS393" s="3" t="n">
        <v>6</v>
      </c>
      <c r="AT393" s="3" t="n">
        <v>4</v>
      </c>
      <c r="AU393" s="3" t="n">
        <v>4</v>
      </c>
      <c r="AV393" s="3" t="n">
        <v>6</v>
      </c>
      <c r="AW393" s="3" t="n">
        <v>6</v>
      </c>
      <c r="AX393" s="3" t="n">
        <v>3</v>
      </c>
      <c r="AY393" s="3" t="n">
        <v>3</v>
      </c>
      <c r="AZ393" s="3" t="n">
        <v>1</v>
      </c>
      <c r="BA393" s="5" t="n">
        <v>5</v>
      </c>
      <c r="BB393" s="3" t="n">
        <v>2</v>
      </c>
      <c r="BC393" s="3" t="n">
        <v>1</v>
      </c>
      <c r="BD393" s="3" t="n">
        <v>6</v>
      </c>
      <c r="BE393" s="3" t="n">
        <v>3</v>
      </c>
      <c r="BF393" s="3" t="n">
        <v>5</v>
      </c>
      <c r="BG393" s="3" t="n">
        <v>3</v>
      </c>
      <c r="BH393" s="3" t="n">
        <v>4</v>
      </c>
      <c r="BI393" s="3" t="n">
        <v>1</v>
      </c>
      <c r="BJ393" s="3" t="n">
        <v>1</v>
      </c>
      <c r="BK393" s="6" t="s">
        <v>1175</v>
      </c>
    </row>
    <row r="394" customFormat="false" ht="15" hidden="false" customHeight="true" outlineLevel="0" collapsed="false">
      <c r="B394" s="2" t="s">
        <v>1140</v>
      </c>
      <c r="C394" s="2" t="s">
        <v>91</v>
      </c>
      <c r="D394" s="2" t="s">
        <v>1176</v>
      </c>
      <c r="E394" s="2" t="n">
        <v>176472</v>
      </c>
      <c r="F394" s="15" t="n">
        <v>43581</v>
      </c>
      <c r="G394" s="15" t="n">
        <v>43601</v>
      </c>
      <c r="H394" s="3" t="n">
        <v>20</v>
      </c>
      <c r="I394" s="3" t="n">
        <v>1</v>
      </c>
      <c r="J394" s="3" t="n">
        <v>76</v>
      </c>
      <c r="K394" s="3" t="n">
        <v>2</v>
      </c>
      <c r="L394" s="3" t="n">
        <v>1</v>
      </c>
      <c r="M394" s="3" t="n">
        <v>1</v>
      </c>
      <c r="N394" s="3" t="n">
        <v>2</v>
      </c>
      <c r="O394" s="3" t="n">
        <v>1</v>
      </c>
      <c r="P394" s="3" t="n">
        <v>2</v>
      </c>
      <c r="Q394" s="3" t="n">
        <v>1</v>
      </c>
      <c r="R394" s="3" t="n">
        <v>2</v>
      </c>
      <c r="S394" s="3" t="n">
        <v>1</v>
      </c>
      <c r="T394" s="4" t="n">
        <v>1</v>
      </c>
      <c r="U394" s="3" t="n">
        <v>1</v>
      </c>
      <c r="V394" s="3" t="n">
        <v>7.34</v>
      </c>
      <c r="W394" s="3" t="n">
        <v>0.69</v>
      </c>
      <c r="X394" s="3" t="n">
        <v>16.2</v>
      </c>
      <c r="Y394" s="3" t="n">
        <v>273</v>
      </c>
      <c r="AA394" s="3" t="n">
        <v>0.46</v>
      </c>
      <c r="AB394" s="3" t="n">
        <v>9.9</v>
      </c>
      <c r="AC394" s="3" t="n">
        <v>1</v>
      </c>
      <c r="AD394" s="3" t="n">
        <v>1</v>
      </c>
      <c r="AE394" s="3" t="n">
        <v>1</v>
      </c>
      <c r="AF394" s="3" t="n">
        <v>2</v>
      </c>
      <c r="AG394" s="3" t="n">
        <v>2</v>
      </c>
      <c r="AH394" s="3" t="n">
        <v>2</v>
      </c>
      <c r="AI394" s="3" t="n">
        <v>1</v>
      </c>
      <c r="AJ394" s="3" t="n">
        <v>1</v>
      </c>
      <c r="AK394" s="3" t="n">
        <v>1</v>
      </c>
      <c r="AL394" s="3" t="n">
        <v>2</v>
      </c>
      <c r="AM394" s="3" t="n">
        <v>2</v>
      </c>
      <c r="AN394" s="3" t="n">
        <v>2</v>
      </c>
      <c r="AO394" s="3" t="n">
        <v>2</v>
      </c>
      <c r="AP394" s="3" t="n">
        <v>1</v>
      </c>
      <c r="AQ394" s="3" t="n">
        <v>3</v>
      </c>
      <c r="AR394" s="3" t="n">
        <v>4</v>
      </c>
      <c r="AS394" s="3" t="n">
        <v>6</v>
      </c>
      <c r="AT394" s="3" t="n">
        <v>4</v>
      </c>
      <c r="AU394" s="3" t="n">
        <v>4</v>
      </c>
      <c r="AV394" s="3" t="n">
        <v>1</v>
      </c>
      <c r="AW394" s="3" t="n">
        <v>6</v>
      </c>
      <c r="AX394" s="3" t="n">
        <v>1</v>
      </c>
      <c r="AY394" s="3" t="n">
        <v>2</v>
      </c>
      <c r="AZ394" s="3" t="n">
        <v>1</v>
      </c>
      <c r="BA394" s="5" t="n">
        <v>5</v>
      </c>
      <c r="BB394" s="3" t="n">
        <v>2</v>
      </c>
      <c r="BC394" s="3" t="n">
        <v>1</v>
      </c>
      <c r="BD394" s="3" t="n">
        <v>6</v>
      </c>
      <c r="BE394" s="3" t="n">
        <v>3</v>
      </c>
      <c r="BF394" s="3" t="n">
        <v>5</v>
      </c>
      <c r="BG394" s="3" t="n">
        <v>3</v>
      </c>
      <c r="BH394" s="3" t="n">
        <v>4</v>
      </c>
      <c r="BI394" s="3" t="n">
        <v>1</v>
      </c>
      <c r="BJ394" s="3" t="n">
        <v>1</v>
      </c>
      <c r="BK394" s="6" t="s">
        <v>1177</v>
      </c>
    </row>
    <row r="395" customFormat="false" ht="15" hidden="false" customHeight="true" outlineLevel="0" collapsed="false">
      <c r="B395" s="2" t="s">
        <v>1178</v>
      </c>
      <c r="C395" s="2" t="s">
        <v>275</v>
      </c>
      <c r="D395" s="2" t="s">
        <v>256</v>
      </c>
      <c r="E395" s="2" t="n">
        <v>159453</v>
      </c>
      <c r="F395" s="15" t="n">
        <v>43596</v>
      </c>
      <c r="G395" s="15" t="n">
        <v>43601</v>
      </c>
      <c r="H395" s="3" t="n">
        <v>5</v>
      </c>
      <c r="I395" s="3" t="n">
        <v>2</v>
      </c>
      <c r="J395" s="3" t="n">
        <v>67</v>
      </c>
      <c r="K395" s="3" t="n">
        <v>1</v>
      </c>
      <c r="L395" s="3" t="n">
        <v>2</v>
      </c>
      <c r="M395" s="3" t="n">
        <v>1</v>
      </c>
      <c r="N395" s="3" t="n">
        <v>2</v>
      </c>
      <c r="O395" s="3" t="n">
        <v>1</v>
      </c>
      <c r="P395" s="3" t="n">
        <v>1</v>
      </c>
      <c r="Q395" s="3" t="n">
        <v>1</v>
      </c>
      <c r="R395" s="3" t="n">
        <v>2</v>
      </c>
      <c r="S395" s="3" t="n">
        <v>1</v>
      </c>
      <c r="T395" s="4" t="n">
        <v>1</v>
      </c>
      <c r="U395" s="3" t="n">
        <v>1</v>
      </c>
      <c r="V395" s="3" t="n">
        <v>3.69</v>
      </c>
      <c r="W395" s="3" t="n">
        <v>1.62</v>
      </c>
      <c r="X395" s="3" t="n">
        <v>6.71</v>
      </c>
      <c r="Y395" s="3" t="n">
        <v>418</v>
      </c>
      <c r="AA395" s="3" t="n">
        <v>0.42</v>
      </c>
      <c r="AB395" s="3" t="n">
        <v>9.3</v>
      </c>
      <c r="AC395" s="3" t="n">
        <v>3</v>
      </c>
      <c r="AD395" s="3" t="n">
        <v>1</v>
      </c>
      <c r="AE395" s="3" t="n">
        <v>1</v>
      </c>
      <c r="AF395" s="3" t="n">
        <v>1</v>
      </c>
      <c r="AG395" s="3" t="n">
        <v>2</v>
      </c>
      <c r="AH395" s="3" t="n">
        <v>2</v>
      </c>
      <c r="AI395" s="3" t="n">
        <v>1</v>
      </c>
      <c r="AJ395" s="3" t="n">
        <v>2</v>
      </c>
      <c r="AK395" s="3" t="n">
        <v>2</v>
      </c>
      <c r="AL395" s="3" t="n">
        <v>2</v>
      </c>
      <c r="AM395" s="3" t="n">
        <v>2</v>
      </c>
      <c r="AN395" s="3" t="n">
        <v>2</v>
      </c>
      <c r="AO395" s="3" t="n">
        <v>2</v>
      </c>
      <c r="AP395" s="3" t="n">
        <v>3</v>
      </c>
      <c r="AQ395" s="3" t="n">
        <v>4</v>
      </c>
      <c r="AR395" s="3" t="n">
        <v>4</v>
      </c>
      <c r="AS395" s="3" t="n">
        <v>6</v>
      </c>
      <c r="AT395" s="3" t="n">
        <v>4</v>
      </c>
      <c r="AU395" s="3" t="n">
        <v>4</v>
      </c>
      <c r="AV395" s="3" t="n">
        <v>6</v>
      </c>
      <c r="AW395" s="3" t="n">
        <v>6</v>
      </c>
      <c r="AX395" s="3" t="n">
        <v>3</v>
      </c>
      <c r="AY395" s="3" t="n">
        <v>3</v>
      </c>
      <c r="AZ395" s="3" t="n">
        <v>1</v>
      </c>
      <c r="BA395" s="5" t="n">
        <v>5</v>
      </c>
      <c r="BB395" s="3" t="n">
        <v>2</v>
      </c>
      <c r="BC395" s="3" t="n">
        <v>1</v>
      </c>
      <c r="BD395" s="3" t="n">
        <v>6</v>
      </c>
      <c r="BE395" s="3" t="n">
        <v>3</v>
      </c>
      <c r="BF395" s="3" t="n">
        <v>5</v>
      </c>
      <c r="BG395" s="3" t="n">
        <v>3</v>
      </c>
      <c r="BH395" s="3" t="n">
        <v>4</v>
      </c>
      <c r="BI395" s="3" t="n">
        <v>1</v>
      </c>
      <c r="BJ395" s="3" t="n">
        <v>1</v>
      </c>
      <c r="BK395" s="6" t="s">
        <v>1179</v>
      </c>
    </row>
    <row r="396" customFormat="false" ht="15" hidden="false" customHeight="true" outlineLevel="0" collapsed="false">
      <c r="B396" s="2" t="s">
        <v>1180</v>
      </c>
      <c r="C396" s="2" t="s">
        <v>66</v>
      </c>
      <c r="D396" s="2" t="s">
        <v>160</v>
      </c>
      <c r="E396" s="2" t="n">
        <v>177904</v>
      </c>
      <c r="F396" s="15" t="n">
        <v>43600</v>
      </c>
      <c r="G396" s="15" t="n">
        <v>43605</v>
      </c>
      <c r="H396" s="3" t="n">
        <v>5</v>
      </c>
      <c r="I396" s="3" t="n">
        <v>2</v>
      </c>
      <c r="J396" s="3" t="n">
        <v>79</v>
      </c>
      <c r="K396" s="3" t="n">
        <v>1</v>
      </c>
      <c r="L396" s="3" t="n">
        <v>1</v>
      </c>
      <c r="M396" s="3" t="n">
        <v>1</v>
      </c>
      <c r="N396" s="3" t="n">
        <v>2</v>
      </c>
      <c r="O396" s="3" t="n">
        <v>2</v>
      </c>
      <c r="P396" s="3" t="n">
        <v>2</v>
      </c>
      <c r="Q396" s="3" t="n">
        <v>2</v>
      </c>
      <c r="R396" s="3" t="n">
        <v>2</v>
      </c>
      <c r="S396" s="3" t="n">
        <v>1</v>
      </c>
      <c r="T396" s="4" t="n">
        <v>3</v>
      </c>
      <c r="U396" s="3" t="n">
        <v>4</v>
      </c>
      <c r="V396" s="3" t="n">
        <v>3.97</v>
      </c>
      <c r="W396" s="3" t="n">
        <v>1.13</v>
      </c>
      <c r="X396" s="3" t="n">
        <v>3.7</v>
      </c>
      <c r="Y396" s="3" t="n">
        <v>436</v>
      </c>
      <c r="AA396" s="3" t="n">
        <v>0.45</v>
      </c>
      <c r="AB396" s="3" t="n">
        <v>10.1</v>
      </c>
      <c r="AC396" s="3" t="n">
        <v>1</v>
      </c>
      <c r="AD396" s="3" t="n">
        <v>2</v>
      </c>
      <c r="AE396" s="3" t="n">
        <v>2</v>
      </c>
      <c r="AF396" s="3" t="n">
        <v>2</v>
      </c>
      <c r="AG396" s="3" t="n">
        <v>2</v>
      </c>
      <c r="AH396" s="3" t="n">
        <v>1</v>
      </c>
      <c r="AI396" s="3" t="n">
        <v>2</v>
      </c>
      <c r="AJ396" s="3" t="n">
        <v>2</v>
      </c>
      <c r="AK396" s="3" t="n">
        <v>1</v>
      </c>
      <c r="AL396" s="3" t="n">
        <v>2</v>
      </c>
      <c r="AM396" s="3" t="n">
        <v>2</v>
      </c>
      <c r="AN396" s="3" t="n">
        <v>3</v>
      </c>
      <c r="AO396" s="3" t="n">
        <v>4</v>
      </c>
      <c r="AP396" s="3" t="n">
        <v>4</v>
      </c>
      <c r="AQ396" s="3" t="n">
        <v>6</v>
      </c>
      <c r="AR396" s="3" t="n">
        <v>4</v>
      </c>
      <c r="AS396" s="3" t="n">
        <v>4</v>
      </c>
      <c r="AT396" s="3" t="n">
        <v>6</v>
      </c>
      <c r="AU396" s="3" t="n">
        <v>6</v>
      </c>
      <c r="AV396" s="3" t="n">
        <v>3</v>
      </c>
      <c r="AW396" s="3" t="n">
        <v>3</v>
      </c>
      <c r="AX396" s="3" t="n">
        <v>1</v>
      </c>
      <c r="AY396" s="40" t="n">
        <v>1</v>
      </c>
      <c r="AZ396" s="3" t="n">
        <v>2</v>
      </c>
      <c r="BA396" s="30" t="n">
        <v>11</v>
      </c>
      <c r="BB396" s="3" t="n">
        <v>6</v>
      </c>
      <c r="BC396" s="3" t="n">
        <v>1</v>
      </c>
      <c r="BD396" s="3" t="n">
        <v>5</v>
      </c>
      <c r="BE396" s="3" t="n">
        <v>3</v>
      </c>
      <c r="BF396" s="3" t="n">
        <v>4</v>
      </c>
      <c r="BG396" s="3" t="n">
        <v>1</v>
      </c>
      <c r="BH396" s="3" t="n">
        <v>1</v>
      </c>
      <c r="BI396" s="3" t="n">
        <v>1</v>
      </c>
      <c r="BJ396" s="3" t="n">
        <v>1</v>
      </c>
      <c r="BK396" s="16" t="s">
        <v>1181</v>
      </c>
    </row>
    <row r="397" customFormat="false" ht="15" hidden="false" customHeight="true" outlineLevel="0" collapsed="false">
      <c r="B397" s="2" t="s">
        <v>1010</v>
      </c>
      <c r="C397" s="2" t="s">
        <v>95</v>
      </c>
      <c r="D397" s="2" t="s">
        <v>95</v>
      </c>
      <c r="E397" s="2" t="n">
        <v>177469</v>
      </c>
      <c r="F397" s="15" t="n">
        <v>43599</v>
      </c>
      <c r="G397" s="15" t="n">
        <v>43605</v>
      </c>
      <c r="H397" s="3" t="n">
        <v>6</v>
      </c>
      <c r="I397" s="3" t="n">
        <v>2</v>
      </c>
      <c r="J397" s="3" t="n">
        <v>47</v>
      </c>
      <c r="K397" s="3" t="n">
        <v>1</v>
      </c>
      <c r="L397" s="3" t="n">
        <v>1</v>
      </c>
      <c r="M397" s="3" t="n">
        <v>2</v>
      </c>
      <c r="N397" s="3" t="n">
        <v>2</v>
      </c>
      <c r="O397" s="3" t="n">
        <v>2</v>
      </c>
      <c r="P397" s="3" t="n">
        <v>2</v>
      </c>
      <c r="Q397" s="3" t="n">
        <v>2</v>
      </c>
      <c r="R397" s="3" t="n">
        <v>2</v>
      </c>
      <c r="S397" s="3" t="n">
        <v>2</v>
      </c>
      <c r="T397" s="4" t="n">
        <v>2</v>
      </c>
      <c r="U397" s="3" t="n">
        <v>2</v>
      </c>
      <c r="V397" s="3" t="n">
        <v>5.44</v>
      </c>
      <c r="W397" s="3" t="n">
        <v>2.36</v>
      </c>
      <c r="X397" s="3" t="n">
        <v>5.9</v>
      </c>
      <c r="Y397" s="3" t="n">
        <v>508</v>
      </c>
      <c r="AA397" s="3" t="n">
        <v>0.47</v>
      </c>
      <c r="AB397" s="3" t="n">
        <v>15.6</v>
      </c>
      <c r="AC397" s="3" t="n">
        <v>1</v>
      </c>
      <c r="AD397" s="3" t="n">
        <v>1</v>
      </c>
      <c r="AE397" s="3" t="n">
        <v>1</v>
      </c>
      <c r="AF397" s="3" t="n">
        <v>1</v>
      </c>
      <c r="AG397" s="3" t="n">
        <v>2</v>
      </c>
      <c r="AH397" s="3" t="n">
        <v>2</v>
      </c>
      <c r="AI397" s="3" t="n">
        <v>1</v>
      </c>
      <c r="AJ397" s="3" t="n">
        <v>2</v>
      </c>
      <c r="AK397" s="3" t="n">
        <v>2</v>
      </c>
      <c r="AL397" s="3" t="n">
        <v>2</v>
      </c>
      <c r="AM397" s="3" t="n">
        <v>2</v>
      </c>
      <c r="AN397" s="3" t="n">
        <v>2</v>
      </c>
      <c r="AO397" s="3" t="n">
        <v>2</v>
      </c>
      <c r="AP397" s="3" t="n">
        <v>3</v>
      </c>
      <c r="AQ397" s="3" t="n">
        <v>4</v>
      </c>
      <c r="AR397" s="3" t="n">
        <v>4</v>
      </c>
      <c r="AS397" s="3" t="n">
        <v>6</v>
      </c>
      <c r="AT397" s="3" t="n">
        <v>4</v>
      </c>
      <c r="AU397" s="3" t="n">
        <v>4</v>
      </c>
      <c r="AV397" s="3" t="n">
        <v>6</v>
      </c>
      <c r="AW397" s="3" t="n">
        <v>6</v>
      </c>
      <c r="AX397" s="3" t="n">
        <v>3</v>
      </c>
      <c r="AY397" s="3" t="n">
        <v>3</v>
      </c>
      <c r="AZ397" s="3" t="n">
        <v>1</v>
      </c>
      <c r="BA397" s="5" t="n">
        <v>1</v>
      </c>
      <c r="BB397" s="3" t="n">
        <v>1</v>
      </c>
      <c r="BC397" s="3" t="n">
        <v>1</v>
      </c>
      <c r="BD397" s="3" t="n">
        <v>4</v>
      </c>
      <c r="BE397" s="3" t="n">
        <v>1</v>
      </c>
      <c r="BF397" s="3" t="n">
        <v>2</v>
      </c>
      <c r="BG397" s="3" t="n">
        <v>1</v>
      </c>
      <c r="BH397" s="3" t="n">
        <v>4</v>
      </c>
      <c r="BI397" s="3" t="n">
        <v>1</v>
      </c>
      <c r="BJ397" s="3" t="n">
        <v>1</v>
      </c>
      <c r="BK397" s="6" t="s">
        <v>1182</v>
      </c>
    </row>
    <row r="398" customFormat="false" ht="15" hidden="false" customHeight="true" outlineLevel="0" collapsed="false">
      <c r="B398" s="2" t="s">
        <v>1183</v>
      </c>
      <c r="C398" s="2" t="s">
        <v>127</v>
      </c>
      <c r="D398" s="2" t="s">
        <v>66</v>
      </c>
      <c r="E398" s="2" t="n">
        <v>177476</v>
      </c>
      <c r="F398" s="15" t="n">
        <v>43598</v>
      </c>
      <c r="G398" s="15" t="n">
        <v>43605</v>
      </c>
      <c r="H398" s="3" t="n">
        <v>7</v>
      </c>
      <c r="I398" s="3" t="n">
        <v>1</v>
      </c>
      <c r="J398" s="3" t="n">
        <v>55</v>
      </c>
      <c r="K398" s="3" t="n">
        <v>1</v>
      </c>
      <c r="L398" s="3" t="n">
        <v>1</v>
      </c>
      <c r="M398" s="3" t="n">
        <v>1</v>
      </c>
      <c r="N398" s="3" t="n">
        <v>2</v>
      </c>
      <c r="O398" s="3" t="n">
        <v>2</v>
      </c>
      <c r="P398" s="3" t="n">
        <v>2</v>
      </c>
      <c r="Q398" s="3" t="n">
        <v>2</v>
      </c>
      <c r="R398" s="3" t="n">
        <v>2</v>
      </c>
      <c r="S398" s="3" t="n">
        <v>2</v>
      </c>
      <c r="T398" s="4" t="n">
        <v>2</v>
      </c>
      <c r="U398" s="3" t="n">
        <v>2</v>
      </c>
      <c r="V398" s="3" t="n">
        <v>10.27</v>
      </c>
      <c r="W398" s="3" t="n">
        <v>2.58</v>
      </c>
      <c r="X398" s="3" t="n">
        <v>5.4</v>
      </c>
      <c r="Y398" s="3" t="n">
        <v>421</v>
      </c>
      <c r="AA398" s="3" t="n">
        <v>0.42</v>
      </c>
      <c r="AB398" s="3" t="n">
        <v>10.9</v>
      </c>
      <c r="AC398" s="3" t="n">
        <v>1</v>
      </c>
      <c r="AD398" s="3" t="n">
        <v>1</v>
      </c>
      <c r="AE398" s="3" t="n">
        <v>1</v>
      </c>
      <c r="AF398" s="3" t="n">
        <v>1</v>
      </c>
      <c r="AG398" s="3" t="n">
        <v>2</v>
      </c>
      <c r="AH398" s="3" t="n">
        <v>2</v>
      </c>
      <c r="AI398" s="3" t="n">
        <v>1</v>
      </c>
      <c r="AJ398" s="3" t="n">
        <v>1</v>
      </c>
      <c r="AK398" s="3" t="n">
        <v>2</v>
      </c>
      <c r="AL398" s="3" t="n">
        <v>2</v>
      </c>
      <c r="AM398" s="3" t="n">
        <v>2</v>
      </c>
      <c r="AN398" s="3" t="n">
        <v>2</v>
      </c>
      <c r="AO398" s="3" t="n">
        <v>2</v>
      </c>
      <c r="AP398" s="3" t="n">
        <v>3</v>
      </c>
      <c r="AQ398" s="3" t="n">
        <v>4</v>
      </c>
      <c r="AR398" s="3" t="n">
        <v>4</v>
      </c>
      <c r="AS398" s="3" t="n">
        <v>6</v>
      </c>
      <c r="AT398" s="3" t="n">
        <v>4</v>
      </c>
      <c r="AU398" s="3" t="n">
        <v>4</v>
      </c>
      <c r="AV398" s="3" t="n">
        <v>6</v>
      </c>
      <c r="AW398" s="3" t="n">
        <v>6</v>
      </c>
      <c r="AX398" s="3" t="n">
        <v>3</v>
      </c>
      <c r="AY398" s="3" t="n">
        <v>3</v>
      </c>
      <c r="AZ398" s="3" t="n">
        <v>1</v>
      </c>
      <c r="BA398" s="5" t="n">
        <v>1</v>
      </c>
      <c r="BB398" s="3" t="n">
        <v>1</v>
      </c>
      <c r="BC398" s="3" t="n">
        <v>1</v>
      </c>
      <c r="BD398" s="3" t="n">
        <v>4</v>
      </c>
      <c r="BE398" s="3" t="n">
        <v>3</v>
      </c>
      <c r="BF398" s="3" t="n">
        <v>5</v>
      </c>
      <c r="BG398" s="3" t="n">
        <v>3</v>
      </c>
      <c r="BH398" s="3" t="n">
        <v>4</v>
      </c>
      <c r="BI398" s="3" t="n">
        <v>1</v>
      </c>
      <c r="BJ398" s="3" t="n">
        <v>1</v>
      </c>
      <c r="BK398" s="6" t="s">
        <v>1184</v>
      </c>
    </row>
    <row r="399" customFormat="false" ht="15" hidden="false" customHeight="true" outlineLevel="0" collapsed="false">
      <c r="B399" s="2" t="s">
        <v>1185</v>
      </c>
      <c r="C399" s="2" t="s">
        <v>298</v>
      </c>
      <c r="D399" s="2" t="s">
        <v>1186</v>
      </c>
      <c r="E399" s="2" t="n">
        <v>177451</v>
      </c>
      <c r="F399" s="15" t="n">
        <v>43597</v>
      </c>
      <c r="G399" s="15" t="n">
        <v>43602</v>
      </c>
      <c r="H399" s="3" t="n">
        <v>5</v>
      </c>
      <c r="I399" s="3" t="n">
        <v>2</v>
      </c>
      <c r="J399" s="3" t="n">
        <v>84</v>
      </c>
      <c r="K399" s="3" t="n">
        <v>1</v>
      </c>
      <c r="L399" s="3" t="n">
        <v>2</v>
      </c>
      <c r="M399" s="3" t="n">
        <v>1</v>
      </c>
      <c r="N399" s="3" t="n">
        <v>2</v>
      </c>
      <c r="O399" s="3" t="n">
        <v>2</v>
      </c>
      <c r="P399" s="3" t="n">
        <v>2</v>
      </c>
      <c r="Q399" s="3" t="n">
        <v>2</v>
      </c>
      <c r="R399" s="3" t="n">
        <v>2</v>
      </c>
      <c r="S399" s="3" t="n">
        <v>1</v>
      </c>
      <c r="T399" s="4" t="n">
        <v>1</v>
      </c>
      <c r="U399" s="3" t="n">
        <v>4</v>
      </c>
      <c r="V399" s="3" t="n">
        <v>3.87</v>
      </c>
      <c r="W399" s="3" t="n">
        <v>0.47</v>
      </c>
      <c r="X399" s="3" t="n">
        <v>8.93</v>
      </c>
      <c r="Y399" s="3" t="n">
        <v>342</v>
      </c>
      <c r="AA399" s="3" t="n">
        <v>0.45</v>
      </c>
      <c r="AB399" s="3" t="n">
        <v>10.9</v>
      </c>
      <c r="AC399" s="3" t="n">
        <v>2</v>
      </c>
      <c r="AD399" s="3" t="n">
        <v>1</v>
      </c>
      <c r="AE399" s="3" t="n">
        <v>1</v>
      </c>
      <c r="AF399" s="3" t="n">
        <v>1</v>
      </c>
      <c r="AG399" s="3" t="n">
        <v>1</v>
      </c>
      <c r="AH399" s="3" t="n">
        <v>2</v>
      </c>
      <c r="AI399" s="3" t="n">
        <v>1</v>
      </c>
      <c r="AJ399" s="3" t="n">
        <v>1</v>
      </c>
      <c r="AK399" s="3" t="n">
        <v>2</v>
      </c>
      <c r="AL399" s="3" t="n">
        <v>2</v>
      </c>
      <c r="AM399" s="3" t="n">
        <v>1</v>
      </c>
      <c r="AN399" s="3" t="n">
        <v>2</v>
      </c>
      <c r="AO399" s="3" t="n">
        <v>2</v>
      </c>
      <c r="AP399" s="3" t="n">
        <v>3</v>
      </c>
      <c r="AQ399" s="3" t="n">
        <v>4</v>
      </c>
      <c r="AR399" s="3" t="n">
        <v>4</v>
      </c>
      <c r="AS399" s="3" t="n">
        <v>6</v>
      </c>
      <c r="AT399" s="3" t="n">
        <v>4</v>
      </c>
      <c r="AU399" s="3" t="n">
        <v>4</v>
      </c>
      <c r="AV399" s="3" t="n">
        <v>6</v>
      </c>
      <c r="AW399" s="3" t="n">
        <v>6</v>
      </c>
      <c r="AX399" s="3" t="n">
        <v>3</v>
      </c>
      <c r="AY399" s="3" t="n">
        <v>3</v>
      </c>
      <c r="AZ399" s="3" t="n">
        <v>1</v>
      </c>
      <c r="BA399" s="5" t="n">
        <v>5</v>
      </c>
      <c r="BB399" s="3" t="n">
        <v>2</v>
      </c>
      <c r="BC399" s="3" t="n">
        <v>1</v>
      </c>
      <c r="BD399" s="3" t="n">
        <v>6</v>
      </c>
      <c r="BE399" s="3" t="n">
        <v>3</v>
      </c>
      <c r="BF399" s="3" t="n">
        <v>5</v>
      </c>
      <c r="BG399" s="3" t="n">
        <v>3</v>
      </c>
      <c r="BH399" s="3" t="n">
        <v>4</v>
      </c>
      <c r="BI399" s="3" t="n">
        <v>1</v>
      </c>
      <c r="BJ399" s="3" t="n">
        <v>1</v>
      </c>
      <c r="BK399" s="6" t="s">
        <v>1187</v>
      </c>
    </row>
    <row r="400" customFormat="false" ht="15" hidden="false" customHeight="true" outlineLevel="0" collapsed="false">
      <c r="B400" s="2" t="s">
        <v>286</v>
      </c>
      <c r="C400" s="2" t="s">
        <v>808</v>
      </c>
      <c r="D400" s="2" t="s">
        <v>95</v>
      </c>
      <c r="E400" s="2" t="n">
        <v>177910</v>
      </c>
      <c r="F400" s="15" t="n">
        <v>43601</v>
      </c>
      <c r="G400" s="15" t="n">
        <v>43607</v>
      </c>
      <c r="H400" s="3" t="n">
        <v>6</v>
      </c>
      <c r="I400" s="3" t="n">
        <v>2</v>
      </c>
      <c r="J400" s="3" t="n">
        <v>70</v>
      </c>
      <c r="K400" s="3" t="n">
        <v>1</v>
      </c>
      <c r="L400" s="3" t="n">
        <v>2</v>
      </c>
      <c r="M400" s="3" t="n">
        <v>2</v>
      </c>
      <c r="N400" s="3" t="n">
        <v>2</v>
      </c>
      <c r="O400" s="3" t="n">
        <v>2</v>
      </c>
      <c r="P400" s="3" t="n">
        <v>2</v>
      </c>
      <c r="Q400" s="3" t="n">
        <v>2</v>
      </c>
      <c r="R400" s="3" t="n">
        <v>2</v>
      </c>
      <c r="S400" s="3" t="n">
        <v>2</v>
      </c>
      <c r="T400" s="4" t="n">
        <v>1</v>
      </c>
      <c r="U400" s="3" t="n">
        <v>1</v>
      </c>
      <c r="V400" s="3" t="n">
        <v>3.11</v>
      </c>
      <c r="W400" s="3" t="n">
        <v>0.98</v>
      </c>
      <c r="X400" s="3" t="n">
        <v>6.86</v>
      </c>
      <c r="Y400" s="3" t="n">
        <v>283</v>
      </c>
      <c r="AA400" s="3" t="n">
        <v>0.38</v>
      </c>
      <c r="AB400" s="3" t="n">
        <v>11.2</v>
      </c>
      <c r="AC400" s="3" t="n">
        <v>1</v>
      </c>
      <c r="AD400" s="3" t="n">
        <v>2</v>
      </c>
      <c r="AE400" s="3" t="n">
        <v>1</v>
      </c>
      <c r="AF400" s="3" t="n">
        <v>1</v>
      </c>
      <c r="AG400" s="3" t="n">
        <v>2</v>
      </c>
      <c r="AH400" s="3" t="n">
        <v>2</v>
      </c>
      <c r="AI400" s="3" t="n">
        <v>1</v>
      </c>
      <c r="AJ400" s="3" t="n">
        <v>1</v>
      </c>
      <c r="AK400" s="3" t="n">
        <v>2</v>
      </c>
      <c r="AL400" s="3" t="n">
        <v>2</v>
      </c>
      <c r="AM400" s="3" t="n">
        <v>1</v>
      </c>
      <c r="AN400" s="3" t="n">
        <v>2</v>
      </c>
      <c r="AO400" s="3" t="n">
        <v>2</v>
      </c>
      <c r="AP400" s="3" t="n">
        <v>3</v>
      </c>
      <c r="AQ400" s="3" t="n">
        <v>4</v>
      </c>
      <c r="AR400" s="3" t="n">
        <v>4</v>
      </c>
      <c r="AS400" s="3" t="n">
        <v>6</v>
      </c>
      <c r="AT400" s="3" t="n">
        <v>4</v>
      </c>
      <c r="AU400" s="3" t="n">
        <v>4</v>
      </c>
      <c r="AV400" s="3" t="n">
        <v>6</v>
      </c>
      <c r="AW400" s="3" t="n">
        <v>6</v>
      </c>
      <c r="AX400" s="3" t="n">
        <v>3</v>
      </c>
      <c r="AY400" s="3" t="n">
        <v>3</v>
      </c>
      <c r="AZ400" s="3" t="n">
        <v>10</v>
      </c>
      <c r="BA400" s="5" t="n">
        <v>1</v>
      </c>
      <c r="BB400" s="3" t="n">
        <v>1</v>
      </c>
      <c r="BC400" s="3" t="n">
        <v>1</v>
      </c>
      <c r="BD400" s="3" t="n">
        <v>4</v>
      </c>
      <c r="BE400" s="3" t="n">
        <v>2</v>
      </c>
      <c r="BF400" s="3" t="n">
        <v>2</v>
      </c>
      <c r="BG400" s="3" t="n">
        <v>1</v>
      </c>
      <c r="BH400" s="3" t="n">
        <v>4</v>
      </c>
      <c r="BI400" s="3" t="n">
        <v>1</v>
      </c>
      <c r="BJ400" s="3" t="n">
        <v>1</v>
      </c>
      <c r="BK400" s="6" t="s">
        <v>1188</v>
      </c>
    </row>
    <row r="401" customFormat="false" ht="15" hidden="false" customHeight="true" outlineLevel="0" collapsed="false">
      <c r="B401" s="2" t="s">
        <v>1189</v>
      </c>
      <c r="C401" s="2" t="s">
        <v>153</v>
      </c>
      <c r="D401" s="2" t="s">
        <v>118</v>
      </c>
      <c r="E401" s="2" t="n">
        <v>132669</v>
      </c>
      <c r="F401" s="15" t="n">
        <v>43602</v>
      </c>
      <c r="G401" s="15" t="n">
        <v>43607</v>
      </c>
      <c r="H401" s="3" t="n">
        <v>5</v>
      </c>
      <c r="I401" s="3" t="n">
        <v>1</v>
      </c>
      <c r="J401" s="3" t="n">
        <v>74</v>
      </c>
      <c r="K401" s="3" t="n">
        <v>1</v>
      </c>
      <c r="L401" s="3" t="n">
        <v>2</v>
      </c>
      <c r="M401" s="3" t="n">
        <v>1</v>
      </c>
      <c r="N401" s="3" t="n">
        <v>2</v>
      </c>
      <c r="O401" s="3" t="n">
        <v>2</v>
      </c>
      <c r="P401" s="3" t="n">
        <v>2</v>
      </c>
      <c r="Q401" s="3" t="n">
        <v>1</v>
      </c>
      <c r="R401" s="3" t="n">
        <v>1</v>
      </c>
      <c r="S401" s="3" t="n">
        <v>1</v>
      </c>
      <c r="T401" s="4" t="n">
        <v>1</v>
      </c>
      <c r="U401" s="3" t="n">
        <v>1</v>
      </c>
      <c r="AC401" s="3" t="n">
        <v>1</v>
      </c>
      <c r="AD401" s="3" t="n">
        <v>1</v>
      </c>
      <c r="AE401" s="3" t="n">
        <v>1</v>
      </c>
      <c r="AF401" s="3" t="n">
        <v>1</v>
      </c>
      <c r="AG401" s="3" t="n">
        <v>2</v>
      </c>
      <c r="AH401" s="3" t="n">
        <v>2</v>
      </c>
      <c r="AI401" s="3" t="n">
        <v>1</v>
      </c>
      <c r="AJ401" s="3" t="n">
        <v>1</v>
      </c>
      <c r="AK401" s="3" t="n">
        <v>1</v>
      </c>
      <c r="AL401" s="3" t="n">
        <v>2</v>
      </c>
      <c r="AM401" s="3" t="n">
        <v>1</v>
      </c>
      <c r="AN401" s="3" t="n">
        <v>2</v>
      </c>
      <c r="AO401" s="3" t="n">
        <v>2</v>
      </c>
      <c r="AP401" s="3" t="n">
        <v>3</v>
      </c>
      <c r="AQ401" s="3" t="n">
        <v>4</v>
      </c>
      <c r="AR401" s="3" t="n">
        <v>4</v>
      </c>
      <c r="AS401" s="3" t="n">
        <v>6</v>
      </c>
      <c r="AT401" s="3" t="n">
        <v>4</v>
      </c>
      <c r="AU401" s="3" t="n">
        <v>4</v>
      </c>
      <c r="AV401" s="3" t="n">
        <v>6</v>
      </c>
      <c r="AW401" s="3" t="n">
        <v>6</v>
      </c>
      <c r="AX401" s="3" t="n">
        <v>3</v>
      </c>
      <c r="AY401" s="3" t="n">
        <v>3</v>
      </c>
      <c r="AZ401" s="3" t="n">
        <v>1</v>
      </c>
      <c r="BA401" s="5" t="n">
        <v>5</v>
      </c>
      <c r="BB401" s="3" t="n">
        <v>2</v>
      </c>
      <c r="BC401" s="3" t="n">
        <v>1</v>
      </c>
      <c r="BD401" s="3" t="n">
        <v>6</v>
      </c>
      <c r="BE401" s="3" t="n">
        <v>3</v>
      </c>
      <c r="BF401" s="3" t="n">
        <v>5</v>
      </c>
      <c r="BG401" s="3" t="n">
        <v>3</v>
      </c>
      <c r="BH401" s="3" t="n">
        <v>4</v>
      </c>
      <c r="BI401" s="3" t="n">
        <v>1</v>
      </c>
      <c r="BJ401" s="3" t="n">
        <v>1</v>
      </c>
      <c r="BK401" s="6" t="s">
        <v>1190</v>
      </c>
    </row>
    <row r="402" customFormat="false" ht="15" hidden="false" customHeight="true" outlineLevel="0" collapsed="false">
      <c r="B402" s="2" t="s">
        <v>1191</v>
      </c>
      <c r="C402" s="2" t="s">
        <v>293</v>
      </c>
      <c r="D402" s="2" t="s">
        <v>528</v>
      </c>
      <c r="E402" s="2" t="n">
        <v>178102</v>
      </c>
      <c r="F402" s="15" t="n">
        <v>43604</v>
      </c>
      <c r="G402" s="15" t="n">
        <v>43607</v>
      </c>
      <c r="H402" s="3" t="n">
        <v>4</v>
      </c>
      <c r="I402" s="3" t="n">
        <v>1</v>
      </c>
      <c r="J402" s="3" t="n">
        <v>68</v>
      </c>
      <c r="K402" s="3" t="n">
        <v>2</v>
      </c>
      <c r="L402" s="3" t="n">
        <v>2</v>
      </c>
      <c r="M402" s="3" t="n">
        <v>1</v>
      </c>
      <c r="N402" s="3" t="n">
        <v>1</v>
      </c>
      <c r="O402" s="3" t="n">
        <v>2</v>
      </c>
      <c r="P402" s="3" t="n">
        <v>2</v>
      </c>
      <c r="Q402" s="3" t="n">
        <v>2</v>
      </c>
      <c r="R402" s="3" t="n">
        <v>2</v>
      </c>
      <c r="S402" s="3" t="n">
        <v>2</v>
      </c>
      <c r="T402" s="4" t="n">
        <v>1</v>
      </c>
      <c r="U402" s="3" t="n">
        <v>1</v>
      </c>
      <c r="AC402" s="3" t="n">
        <v>1</v>
      </c>
      <c r="AD402" s="3" t="n">
        <v>1</v>
      </c>
      <c r="AE402" s="3" t="n">
        <v>1</v>
      </c>
      <c r="AF402" s="3" t="n">
        <v>1</v>
      </c>
      <c r="AG402" s="3" t="n">
        <v>1</v>
      </c>
      <c r="AH402" s="3" t="n">
        <v>1</v>
      </c>
      <c r="AI402" s="3" t="n">
        <v>2</v>
      </c>
      <c r="AJ402" s="3" t="n">
        <v>2</v>
      </c>
      <c r="AK402" s="3" t="n">
        <v>2</v>
      </c>
      <c r="AL402" s="3" t="n">
        <v>2</v>
      </c>
      <c r="AM402" s="3" t="n">
        <v>2</v>
      </c>
      <c r="AN402" s="3" t="n">
        <v>2</v>
      </c>
      <c r="AO402" s="3" t="n">
        <v>2</v>
      </c>
      <c r="AP402" s="3" t="n">
        <v>3</v>
      </c>
      <c r="AQ402" s="3" t="n">
        <v>4</v>
      </c>
      <c r="AR402" s="3" t="n">
        <v>4</v>
      </c>
      <c r="AS402" s="3" t="n">
        <v>6</v>
      </c>
      <c r="AT402" s="3" t="n">
        <v>4</v>
      </c>
      <c r="AU402" s="3" t="n">
        <v>4</v>
      </c>
      <c r="AV402" s="3" t="n">
        <v>6</v>
      </c>
      <c r="AW402" s="3" t="n">
        <v>6</v>
      </c>
      <c r="AX402" s="3" t="n">
        <v>3</v>
      </c>
      <c r="AY402" s="3" t="n">
        <v>3</v>
      </c>
      <c r="AZ402" s="3" t="n">
        <v>1</v>
      </c>
      <c r="BA402" s="5" t="n">
        <v>5</v>
      </c>
      <c r="BB402" s="3" t="n">
        <v>2</v>
      </c>
      <c r="BC402" s="3" t="n">
        <v>1</v>
      </c>
      <c r="BD402" s="3" t="n">
        <v>6</v>
      </c>
      <c r="BE402" s="3" t="n">
        <v>3</v>
      </c>
      <c r="BF402" s="3" t="n">
        <v>5</v>
      </c>
      <c r="BG402" s="3" t="n">
        <v>3</v>
      </c>
      <c r="BH402" s="3" t="n">
        <v>4</v>
      </c>
      <c r="BI402" s="3" t="n">
        <v>1</v>
      </c>
      <c r="BJ402" s="3" t="n">
        <v>1</v>
      </c>
      <c r="BK402" s="6" t="s">
        <v>1192</v>
      </c>
    </row>
    <row r="403" customFormat="false" ht="15" hidden="false" customHeight="true" outlineLevel="0" collapsed="false">
      <c r="B403" s="2" t="s">
        <v>1193</v>
      </c>
      <c r="C403" s="2" t="s">
        <v>1194</v>
      </c>
      <c r="D403" s="2" t="s">
        <v>746</v>
      </c>
      <c r="E403" s="2" t="n">
        <v>178221</v>
      </c>
      <c r="F403" s="15" t="n">
        <v>43606</v>
      </c>
      <c r="G403" s="15" t="n">
        <v>43607</v>
      </c>
      <c r="H403" s="3" t="n">
        <v>1</v>
      </c>
      <c r="I403" s="3" t="n">
        <v>2</v>
      </c>
      <c r="J403" s="3" t="n">
        <v>42</v>
      </c>
      <c r="K403" s="3" t="n">
        <v>2</v>
      </c>
      <c r="L403" s="3" t="n">
        <v>2</v>
      </c>
      <c r="M403" s="3" t="n">
        <v>2</v>
      </c>
      <c r="N403" s="3" t="n">
        <v>2</v>
      </c>
      <c r="O403" s="3" t="n">
        <v>2</v>
      </c>
      <c r="P403" s="3" t="n">
        <v>2</v>
      </c>
      <c r="Q403" s="3" t="n">
        <v>2</v>
      </c>
      <c r="R403" s="3" t="n">
        <v>2</v>
      </c>
      <c r="S403" s="3" t="n">
        <v>2</v>
      </c>
      <c r="T403" s="4" t="n">
        <v>5</v>
      </c>
      <c r="U403" s="3" t="n">
        <v>1</v>
      </c>
      <c r="AC403" s="3" t="n">
        <v>3</v>
      </c>
      <c r="AD403" s="3" t="n">
        <v>2</v>
      </c>
      <c r="AE403" s="3" t="n">
        <v>2</v>
      </c>
      <c r="AF403" s="3" t="n">
        <v>1</v>
      </c>
      <c r="AG403" s="3" t="n">
        <v>2</v>
      </c>
      <c r="AH403" s="3" t="n">
        <v>2</v>
      </c>
      <c r="AI403" s="3" t="n">
        <v>2</v>
      </c>
      <c r="AJ403" s="3" t="n">
        <v>2</v>
      </c>
      <c r="AK403" s="3" t="n">
        <v>2</v>
      </c>
      <c r="AL403" s="3" t="n">
        <v>2</v>
      </c>
      <c r="AM403" s="3" t="n">
        <v>2</v>
      </c>
      <c r="AN403" s="3" t="n">
        <v>2</v>
      </c>
      <c r="AO403" s="3" t="n">
        <v>2</v>
      </c>
      <c r="AP403" s="3" t="n">
        <v>3</v>
      </c>
      <c r="AQ403" s="3" t="n">
        <v>4</v>
      </c>
      <c r="AR403" s="3" t="n">
        <v>4</v>
      </c>
      <c r="AS403" s="3" t="n">
        <v>6</v>
      </c>
      <c r="AT403" s="3" t="n">
        <v>4</v>
      </c>
      <c r="AU403" s="3" t="n">
        <v>4</v>
      </c>
      <c r="AV403" s="3" t="n">
        <v>6</v>
      </c>
      <c r="AW403" s="3" t="n">
        <v>6</v>
      </c>
      <c r="AX403" s="3" t="n">
        <v>3</v>
      </c>
      <c r="AY403" s="3" t="n">
        <v>3</v>
      </c>
      <c r="AZ403" s="3" t="n">
        <v>1</v>
      </c>
      <c r="BA403" s="5" t="n">
        <v>3</v>
      </c>
      <c r="BB403" s="3" t="n">
        <v>2</v>
      </c>
      <c r="BC403" s="3" t="n">
        <v>1</v>
      </c>
      <c r="BD403" s="3" t="n">
        <v>6</v>
      </c>
      <c r="BE403" s="3" t="n">
        <v>3</v>
      </c>
      <c r="BF403" s="3" t="n">
        <v>5</v>
      </c>
      <c r="BG403" s="3" t="n">
        <v>3</v>
      </c>
      <c r="BH403" s="3" t="n">
        <v>4</v>
      </c>
      <c r="BI403" s="3" t="n">
        <v>1</v>
      </c>
      <c r="BJ403" s="3" t="n">
        <v>1</v>
      </c>
      <c r="BK403" s="6" t="s">
        <v>1195</v>
      </c>
    </row>
    <row r="404" customFormat="false" ht="15" hidden="false" customHeight="true" outlineLevel="0" collapsed="false">
      <c r="B404" s="2" t="s">
        <v>1196</v>
      </c>
      <c r="C404" s="2" t="s">
        <v>783</v>
      </c>
      <c r="D404" s="2" t="s">
        <v>1197</v>
      </c>
      <c r="E404" s="2" t="n">
        <v>178222</v>
      </c>
      <c r="F404" s="15" t="n">
        <v>43606</v>
      </c>
      <c r="G404" s="15" t="n">
        <v>43607</v>
      </c>
      <c r="H404" s="3" t="n">
        <v>1</v>
      </c>
      <c r="I404" s="3" t="n">
        <v>1</v>
      </c>
      <c r="J404" s="3" t="n">
        <v>62</v>
      </c>
      <c r="K404" s="3" t="n">
        <v>2</v>
      </c>
      <c r="L404" s="3" t="n">
        <v>2</v>
      </c>
      <c r="M404" s="3" t="n">
        <v>1</v>
      </c>
      <c r="N404" s="3" t="n">
        <v>2</v>
      </c>
      <c r="O404" s="3" t="n">
        <v>2</v>
      </c>
      <c r="P404" s="3" t="n">
        <v>2</v>
      </c>
      <c r="Q404" s="3" t="n">
        <v>1</v>
      </c>
      <c r="R404" s="3" t="n">
        <v>2</v>
      </c>
      <c r="S404" s="3" t="n">
        <v>2</v>
      </c>
      <c r="T404" s="4" t="n">
        <v>5</v>
      </c>
      <c r="U404" s="3" t="n">
        <v>1</v>
      </c>
      <c r="AC404" s="3" t="n">
        <v>3</v>
      </c>
      <c r="AD404" s="3" t="n">
        <v>1</v>
      </c>
      <c r="AE404" s="3" t="n">
        <v>1</v>
      </c>
      <c r="AF404" s="3" t="n">
        <v>1</v>
      </c>
      <c r="AG404" s="3" t="n">
        <v>2</v>
      </c>
      <c r="AH404" s="3" t="n">
        <v>1</v>
      </c>
      <c r="AI404" s="3" t="n">
        <v>1</v>
      </c>
      <c r="AJ404" s="3" t="n">
        <v>1</v>
      </c>
      <c r="AK404" s="3" t="n">
        <v>2</v>
      </c>
      <c r="AL404" s="3" t="n">
        <v>2</v>
      </c>
      <c r="AM404" s="3" t="n">
        <v>2</v>
      </c>
      <c r="AN404" s="3" t="n">
        <v>2</v>
      </c>
      <c r="AO404" s="3" t="n">
        <v>2</v>
      </c>
      <c r="AP404" s="3" t="n">
        <v>3</v>
      </c>
      <c r="AQ404" s="3" t="n">
        <v>4</v>
      </c>
      <c r="AR404" s="3" t="n">
        <v>4</v>
      </c>
      <c r="AS404" s="3" t="n">
        <v>6</v>
      </c>
      <c r="AT404" s="3" t="n">
        <v>4</v>
      </c>
      <c r="AU404" s="3" t="n">
        <v>4</v>
      </c>
      <c r="AV404" s="3" t="n">
        <v>6</v>
      </c>
      <c r="AW404" s="3" t="n">
        <v>6</v>
      </c>
      <c r="AX404" s="3" t="n">
        <v>3</v>
      </c>
      <c r="AY404" s="3" t="n">
        <v>3</v>
      </c>
      <c r="AZ404" s="3" t="n">
        <v>1</v>
      </c>
      <c r="BA404" s="5" t="n">
        <v>3</v>
      </c>
      <c r="BB404" s="3" t="n">
        <v>2</v>
      </c>
      <c r="BC404" s="3" t="n">
        <v>1</v>
      </c>
      <c r="BD404" s="3" t="n">
        <v>6</v>
      </c>
      <c r="BE404" s="3" t="n">
        <v>3</v>
      </c>
      <c r="BF404" s="3" t="n">
        <v>5</v>
      </c>
      <c r="BG404" s="3" t="n">
        <v>3</v>
      </c>
      <c r="BH404" s="3" t="n">
        <v>4</v>
      </c>
      <c r="BI404" s="3" t="n">
        <v>1</v>
      </c>
      <c r="BJ404" s="3" t="n">
        <v>1</v>
      </c>
      <c r="BK404" s="6" t="s">
        <v>1198</v>
      </c>
    </row>
    <row r="405" customFormat="false" ht="15" hidden="false" customHeight="true" outlineLevel="0" collapsed="false">
      <c r="B405" s="2" t="s">
        <v>1199</v>
      </c>
      <c r="C405" s="2" t="s">
        <v>153</v>
      </c>
      <c r="D405" s="2" t="s">
        <v>118</v>
      </c>
      <c r="E405" s="2" t="n">
        <v>17913</v>
      </c>
      <c r="F405" s="15" t="n">
        <v>43604</v>
      </c>
      <c r="G405" s="15" t="n">
        <v>43609</v>
      </c>
      <c r="H405" s="3" t="n">
        <v>5</v>
      </c>
      <c r="I405" s="3" t="n">
        <v>1</v>
      </c>
      <c r="J405" s="3" t="n">
        <v>70</v>
      </c>
      <c r="K405" s="3" t="n">
        <v>1</v>
      </c>
      <c r="L405" s="3" t="n">
        <v>2</v>
      </c>
      <c r="M405" s="3" t="n">
        <v>1</v>
      </c>
      <c r="N405" s="3" t="n">
        <v>1</v>
      </c>
      <c r="O405" s="3" t="n">
        <v>1</v>
      </c>
      <c r="P405" s="3" t="n">
        <v>1</v>
      </c>
      <c r="Q405" s="3" t="n">
        <v>1</v>
      </c>
      <c r="R405" s="3" t="n">
        <v>2</v>
      </c>
      <c r="S405" s="3" t="n">
        <v>2</v>
      </c>
      <c r="T405" s="4" t="n">
        <v>1</v>
      </c>
      <c r="U405" s="3" t="n">
        <v>4</v>
      </c>
      <c r="V405" s="3" t="n">
        <v>4.29</v>
      </c>
      <c r="W405" s="3" t="n">
        <v>1.05</v>
      </c>
      <c r="X405" s="3" t="n">
        <v>5.89</v>
      </c>
      <c r="Y405" s="3" t="n">
        <v>342</v>
      </c>
      <c r="AA405" s="3" t="n">
        <v>0.43</v>
      </c>
      <c r="AB405" s="3" t="n">
        <v>11.9</v>
      </c>
      <c r="AC405" s="3" t="n">
        <v>3</v>
      </c>
      <c r="AD405" s="3" t="n">
        <v>1</v>
      </c>
      <c r="AE405" s="3" t="n">
        <v>1</v>
      </c>
      <c r="AF405" s="3" t="n">
        <v>2</v>
      </c>
      <c r="AG405" s="3" t="n">
        <v>2</v>
      </c>
      <c r="AH405" s="3" t="n">
        <v>1</v>
      </c>
      <c r="AI405" s="3" t="n">
        <v>1</v>
      </c>
      <c r="AJ405" s="3" t="n">
        <v>1</v>
      </c>
      <c r="AK405" s="3" t="n">
        <v>1</v>
      </c>
      <c r="AL405" s="3" t="n">
        <v>2</v>
      </c>
      <c r="AM405" s="3" t="n">
        <v>2</v>
      </c>
      <c r="AN405" s="3" t="n">
        <v>2</v>
      </c>
      <c r="AO405" s="3" t="n">
        <v>1</v>
      </c>
      <c r="AP405" s="3" t="n">
        <v>3</v>
      </c>
      <c r="AQ405" s="3" t="n">
        <v>4</v>
      </c>
      <c r="AR405" s="3" t="n">
        <v>4</v>
      </c>
      <c r="AS405" s="3" t="n">
        <v>6</v>
      </c>
      <c r="AT405" s="3" t="n">
        <v>4</v>
      </c>
      <c r="AU405" s="3" t="n">
        <v>4</v>
      </c>
      <c r="AV405" s="3" t="n">
        <v>6</v>
      </c>
      <c r="AW405" s="3" t="n">
        <v>6</v>
      </c>
      <c r="AX405" s="3" t="n">
        <v>3</v>
      </c>
      <c r="AY405" s="3" t="n">
        <v>3</v>
      </c>
      <c r="AZ405" s="3" t="n">
        <v>1</v>
      </c>
      <c r="BA405" s="5" t="n">
        <v>5</v>
      </c>
      <c r="BB405" s="3" t="n">
        <v>2</v>
      </c>
      <c r="BC405" s="3" t="n">
        <v>1</v>
      </c>
      <c r="BD405" s="3" t="n">
        <v>6</v>
      </c>
      <c r="BE405" s="3" t="n">
        <v>3</v>
      </c>
      <c r="BF405" s="3" t="n">
        <v>5</v>
      </c>
      <c r="BG405" s="3" t="n">
        <v>3</v>
      </c>
      <c r="BH405" s="3" t="n">
        <v>4</v>
      </c>
      <c r="BI405" s="3" t="n">
        <v>1</v>
      </c>
      <c r="BJ405" s="3" t="n">
        <v>1</v>
      </c>
      <c r="BK405" s="6" t="s">
        <v>1200</v>
      </c>
    </row>
    <row r="406" customFormat="false" ht="15" hidden="false" customHeight="true" outlineLevel="0" collapsed="false">
      <c r="B406" s="2" t="s">
        <v>394</v>
      </c>
      <c r="C406" s="2" t="s">
        <v>294</v>
      </c>
      <c r="D406" s="2" t="s">
        <v>1201</v>
      </c>
      <c r="E406" s="2" t="n">
        <v>178100</v>
      </c>
      <c r="F406" s="15" t="n">
        <v>43604</v>
      </c>
      <c r="G406" s="15" t="n">
        <v>43609</v>
      </c>
      <c r="H406" s="3" t="n">
        <v>5</v>
      </c>
      <c r="I406" s="3" t="n">
        <v>2</v>
      </c>
      <c r="J406" s="3" t="n">
        <v>62</v>
      </c>
      <c r="K406" s="3" t="n">
        <v>2</v>
      </c>
      <c r="L406" s="3" t="n">
        <v>2</v>
      </c>
      <c r="M406" s="3" t="n">
        <v>1</v>
      </c>
      <c r="N406" s="3" t="n">
        <v>2</v>
      </c>
      <c r="O406" s="3" t="n">
        <v>2</v>
      </c>
      <c r="P406" s="3" t="n">
        <v>2</v>
      </c>
      <c r="Q406" s="3" t="n">
        <v>2</v>
      </c>
      <c r="R406" s="3" t="n">
        <v>2</v>
      </c>
      <c r="S406" s="3" t="n">
        <v>2</v>
      </c>
      <c r="T406" s="4" t="n">
        <v>1</v>
      </c>
      <c r="U406" s="3" t="n">
        <v>1</v>
      </c>
      <c r="V406" s="3" t="n">
        <v>3.33</v>
      </c>
      <c r="W406" s="3" t="n">
        <v>1.27</v>
      </c>
      <c r="X406" s="3" t="n">
        <v>6.26</v>
      </c>
      <c r="Y406" s="3" t="n">
        <v>579</v>
      </c>
      <c r="AC406" s="3" t="n">
        <v>1</v>
      </c>
      <c r="AD406" s="3" t="n">
        <v>1</v>
      </c>
      <c r="AE406" s="3" t="n">
        <v>1</v>
      </c>
      <c r="AF406" s="3" t="n">
        <v>1</v>
      </c>
      <c r="AG406" s="3" t="n">
        <v>1</v>
      </c>
      <c r="AH406" s="3" t="n">
        <v>1</v>
      </c>
      <c r="AI406" s="3" t="n">
        <v>1</v>
      </c>
      <c r="AJ406" s="3" t="n">
        <v>1</v>
      </c>
      <c r="AK406" s="3" t="n">
        <v>2</v>
      </c>
      <c r="AL406" s="3" t="n">
        <v>2</v>
      </c>
      <c r="AM406" s="3" t="n">
        <v>2</v>
      </c>
      <c r="AN406" s="3" t="n">
        <v>2</v>
      </c>
      <c r="AO406" s="3" t="n">
        <v>2</v>
      </c>
      <c r="AP406" s="3" t="n">
        <v>3</v>
      </c>
      <c r="AQ406" s="3" t="n">
        <v>4</v>
      </c>
      <c r="AR406" s="3" t="n">
        <v>4</v>
      </c>
      <c r="AS406" s="3" t="n">
        <v>6</v>
      </c>
      <c r="AT406" s="3" t="n">
        <v>4</v>
      </c>
      <c r="AU406" s="3" t="n">
        <v>4</v>
      </c>
      <c r="AV406" s="3" t="n">
        <v>6</v>
      </c>
      <c r="AW406" s="3" t="n">
        <v>6</v>
      </c>
      <c r="AX406" s="3" t="n">
        <v>3</v>
      </c>
      <c r="AY406" s="3" t="n">
        <v>3</v>
      </c>
      <c r="AZ406" s="3" t="n">
        <v>1</v>
      </c>
      <c r="BA406" s="5" t="n">
        <v>5</v>
      </c>
      <c r="BB406" s="3" t="n">
        <v>2</v>
      </c>
      <c r="BC406" s="3" t="n">
        <v>1</v>
      </c>
      <c r="BD406" s="3" t="n">
        <v>6</v>
      </c>
      <c r="BE406" s="3" t="n">
        <v>3</v>
      </c>
      <c r="BF406" s="3" t="n">
        <v>5</v>
      </c>
      <c r="BG406" s="3" t="n">
        <v>3</v>
      </c>
      <c r="BH406" s="3" t="n">
        <v>4</v>
      </c>
      <c r="BI406" s="3" t="n">
        <v>1</v>
      </c>
      <c r="BJ406" s="3" t="n">
        <v>1</v>
      </c>
      <c r="BK406" s="6" t="s">
        <v>1202</v>
      </c>
    </row>
    <row r="407" customFormat="false" ht="15" hidden="false" customHeight="true" outlineLevel="0" collapsed="false">
      <c r="B407" s="2" t="s">
        <v>357</v>
      </c>
      <c r="C407" s="2" t="s">
        <v>94</v>
      </c>
      <c r="D407" s="2" t="s">
        <v>79</v>
      </c>
      <c r="E407" s="2" t="n">
        <v>177457</v>
      </c>
      <c r="F407" s="15" t="n">
        <v>43598</v>
      </c>
      <c r="G407" s="15" t="n">
        <v>43609</v>
      </c>
      <c r="H407" s="3" t="n">
        <v>11</v>
      </c>
      <c r="I407" s="3" t="n">
        <v>1</v>
      </c>
      <c r="J407" s="3" t="n">
        <v>66</v>
      </c>
      <c r="K407" s="3" t="n">
        <v>1</v>
      </c>
      <c r="L407" s="3" t="n">
        <v>2</v>
      </c>
      <c r="M407" s="3" t="n">
        <v>1</v>
      </c>
      <c r="N407" s="3" t="n">
        <v>2</v>
      </c>
      <c r="O407" s="3" t="n">
        <v>1</v>
      </c>
      <c r="P407" s="3" t="n">
        <v>2</v>
      </c>
      <c r="Q407" s="3" t="n">
        <v>1</v>
      </c>
      <c r="R407" s="3" t="n">
        <v>2</v>
      </c>
      <c r="S407" s="3" t="n">
        <v>2</v>
      </c>
      <c r="T407" s="4" t="n">
        <v>1</v>
      </c>
      <c r="U407" s="3" t="n">
        <v>1</v>
      </c>
      <c r="V407" s="3" t="n">
        <v>5.68</v>
      </c>
      <c r="W407" s="3" t="n">
        <v>2.89</v>
      </c>
      <c r="X407" s="3" t="n">
        <v>5.7</v>
      </c>
      <c r="Y407" s="3" t="n">
        <v>494</v>
      </c>
      <c r="AA407" s="3" t="n">
        <v>0.35</v>
      </c>
      <c r="AB407" s="3" t="n">
        <v>8.6</v>
      </c>
      <c r="AC407" s="3" t="n">
        <v>1</v>
      </c>
      <c r="AD407" s="3" t="n">
        <v>1</v>
      </c>
      <c r="AE407" s="3" t="n">
        <v>1</v>
      </c>
      <c r="AF407" s="3" t="n">
        <v>1</v>
      </c>
      <c r="AG407" s="3" t="n">
        <v>2</v>
      </c>
      <c r="AH407" s="3" t="n">
        <v>1</v>
      </c>
      <c r="AI407" s="3" t="n">
        <v>1</v>
      </c>
      <c r="AJ407" s="3" t="n">
        <v>1</v>
      </c>
      <c r="AK407" s="3" t="n">
        <v>1</v>
      </c>
      <c r="AL407" s="3" t="n">
        <v>2</v>
      </c>
      <c r="AM407" s="3" t="n">
        <v>1</v>
      </c>
      <c r="AN407" s="3" t="n">
        <v>2</v>
      </c>
      <c r="AO407" s="3" t="n">
        <v>2</v>
      </c>
      <c r="AP407" s="3" t="n">
        <v>1</v>
      </c>
      <c r="AQ407" s="3" t="n">
        <v>3</v>
      </c>
      <c r="AR407" s="3" t="n">
        <v>4</v>
      </c>
      <c r="AS407" s="3" t="n">
        <v>6</v>
      </c>
      <c r="AT407" s="3" t="n">
        <v>4</v>
      </c>
      <c r="AU407" s="3" t="n">
        <v>4</v>
      </c>
      <c r="AV407" s="3" t="n">
        <v>1</v>
      </c>
      <c r="AW407" s="3" t="n">
        <v>6</v>
      </c>
      <c r="AX407" s="3" t="n">
        <v>1</v>
      </c>
      <c r="AY407" s="3" t="n">
        <v>2</v>
      </c>
      <c r="AZ407" s="3" t="n">
        <v>1</v>
      </c>
      <c r="BA407" s="5" t="n">
        <v>5</v>
      </c>
      <c r="BB407" s="3" t="n">
        <v>2</v>
      </c>
      <c r="BC407" s="3" t="n">
        <v>1</v>
      </c>
      <c r="BD407" s="3" t="n">
        <v>6</v>
      </c>
      <c r="BE407" s="3" t="n">
        <v>3</v>
      </c>
      <c r="BF407" s="3" t="n">
        <v>5</v>
      </c>
      <c r="BG407" s="3" t="n">
        <v>3</v>
      </c>
      <c r="BH407" s="3" t="n">
        <v>4</v>
      </c>
      <c r="BI407" s="3" t="n">
        <v>1</v>
      </c>
      <c r="BJ407" s="3" t="n">
        <v>1</v>
      </c>
      <c r="BK407" s="6" t="s">
        <v>1203</v>
      </c>
    </row>
    <row r="408" customFormat="false" ht="15" hidden="false" customHeight="true" outlineLevel="0" collapsed="false">
      <c r="B408" s="2" t="s">
        <v>228</v>
      </c>
      <c r="C408" s="2" t="s">
        <v>457</v>
      </c>
      <c r="D408" s="2" t="s">
        <v>1204</v>
      </c>
      <c r="E408" s="2" t="n">
        <v>177949</v>
      </c>
      <c r="F408" s="15" t="n">
        <v>43602</v>
      </c>
      <c r="G408" s="15" t="n">
        <v>43608</v>
      </c>
      <c r="H408" s="3" t="n">
        <v>6</v>
      </c>
      <c r="I408" s="3" t="n">
        <v>2</v>
      </c>
      <c r="J408" s="3" t="n">
        <v>72</v>
      </c>
      <c r="K408" s="3" t="n">
        <v>1</v>
      </c>
      <c r="L408" s="3" t="n">
        <v>2</v>
      </c>
      <c r="M408" s="3" t="n">
        <v>1</v>
      </c>
      <c r="N408" s="3" t="n">
        <v>2</v>
      </c>
      <c r="O408" s="3" t="n">
        <v>2</v>
      </c>
      <c r="P408" s="3" t="n">
        <v>2</v>
      </c>
      <c r="Q408" s="3" t="n">
        <v>2</v>
      </c>
      <c r="R408" s="3" t="n">
        <v>2</v>
      </c>
      <c r="S408" s="3" t="n">
        <v>2</v>
      </c>
      <c r="T408" s="4" t="n">
        <v>1</v>
      </c>
      <c r="U408" s="3" t="n">
        <v>1</v>
      </c>
      <c r="V408" s="3" t="n">
        <v>5.75</v>
      </c>
      <c r="W408" s="3" t="n">
        <v>1.05</v>
      </c>
      <c r="X408" s="3" t="n">
        <v>4.26</v>
      </c>
      <c r="Y408" s="3" t="n">
        <v>363</v>
      </c>
      <c r="AA408" s="3" t="n">
        <v>0.52</v>
      </c>
      <c r="AB408" s="3" t="n">
        <v>10.5</v>
      </c>
      <c r="AC408" s="3" t="n">
        <v>1</v>
      </c>
      <c r="AD408" s="3" t="n">
        <v>1</v>
      </c>
      <c r="AE408" s="3" t="n">
        <v>1</v>
      </c>
      <c r="AF408" s="3" t="n">
        <v>1</v>
      </c>
      <c r="AG408" s="3" t="n">
        <v>2</v>
      </c>
      <c r="AH408" s="3" t="n">
        <v>2</v>
      </c>
      <c r="AI408" s="3" t="n">
        <v>1</v>
      </c>
      <c r="AJ408" s="3" t="n">
        <v>1</v>
      </c>
      <c r="AK408" s="3" t="n">
        <v>2</v>
      </c>
      <c r="AL408" s="3" t="n">
        <v>2</v>
      </c>
      <c r="AM408" s="3" t="n">
        <v>1</v>
      </c>
      <c r="AN408" s="3" t="n">
        <v>2</v>
      </c>
      <c r="AO408" s="3" t="n">
        <v>2</v>
      </c>
      <c r="AP408" s="3" t="n">
        <v>3</v>
      </c>
      <c r="AQ408" s="3" t="n">
        <v>4</v>
      </c>
      <c r="AR408" s="3" t="n">
        <v>4</v>
      </c>
      <c r="AS408" s="3" t="n">
        <v>6</v>
      </c>
      <c r="AT408" s="3" t="n">
        <v>4</v>
      </c>
      <c r="AU408" s="3" t="n">
        <v>4</v>
      </c>
      <c r="AV408" s="3" t="n">
        <v>6</v>
      </c>
      <c r="AW408" s="3" t="n">
        <v>6</v>
      </c>
      <c r="AX408" s="3" t="n">
        <v>3</v>
      </c>
      <c r="AY408" s="3" t="n">
        <v>3</v>
      </c>
      <c r="AZ408" s="3" t="n">
        <v>1</v>
      </c>
      <c r="BA408" s="5" t="n">
        <v>5</v>
      </c>
      <c r="BB408" s="3" t="n">
        <v>2</v>
      </c>
      <c r="BC408" s="3" t="n">
        <v>1</v>
      </c>
      <c r="BD408" s="3" t="n">
        <v>6</v>
      </c>
      <c r="BE408" s="3" t="n">
        <v>3</v>
      </c>
      <c r="BF408" s="3" t="n">
        <v>5</v>
      </c>
      <c r="BG408" s="3" t="n">
        <v>3</v>
      </c>
      <c r="BH408" s="3" t="n">
        <v>4</v>
      </c>
      <c r="BI408" s="3" t="n">
        <v>1</v>
      </c>
      <c r="BJ408" s="3" t="n">
        <v>1</v>
      </c>
      <c r="BK408" s="6" t="s">
        <v>1205</v>
      </c>
    </row>
    <row r="409" customFormat="false" ht="15" hidden="false" customHeight="true" outlineLevel="0" collapsed="false">
      <c r="B409" s="2" t="s">
        <v>1206</v>
      </c>
      <c r="C409" s="2" t="s">
        <v>1207</v>
      </c>
      <c r="D409" s="2" t="s">
        <v>118</v>
      </c>
      <c r="E409" s="2" t="n">
        <v>178124</v>
      </c>
      <c r="F409" s="15" t="n">
        <v>43608</v>
      </c>
      <c r="G409" s="15" t="n">
        <v>43612</v>
      </c>
      <c r="H409" s="3" t="n">
        <v>4</v>
      </c>
      <c r="I409" s="3" t="n">
        <v>2</v>
      </c>
      <c r="J409" s="3" t="n">
        <v>86</v>
      </c>
      <c r="K409" s="3" t="n">
        <v>1</v>
      </c>
      <c r="L409" s="3" t="n">
        <v>1</v>
      </c>
      <c r="M409" s="3" t="n">
        <v>1</v>
      </c>
      <c r="N409" s="3" t="n">
        <v>2</v>
      </c>
      <c r="O409" s="3" t="n">
        <v>2</v>
      </c>
      <c r="P409" s="3" t="n">
        <v>2</v>
      </c>
      <c r="Q409" s="3" t="n">
        <v>2</v>
      </c>
      <c r="R409" s="3" t="n">
        <v>2</v>
      </c>
      <c r="S409" s="3" t="n">
        <v>2</v>
      </c>
      <c r="T409" s="4" t="n">
        <v>1</v>
      </c>
      <c r="U409" s="3" t="n">
        <v>1</v>
      </c>
      <c r="V409" s="3" t="n">
        <v>4.83</v>
      </c>
      <c r="W409" s="3" t="n">
        <v>1.23</v>
      </c>
      <c r="X409" s="3" t="n">
        <v>5.8</v>
      </c>
      <c r="Y409" s="3" t="n">
        <v>431</v>
      </c>
      <c r="AA409" s="3" t="n">
        <v>0.43</v>
      </c>
      <c r="AB409" s="3" t="n">
        <v>7.9</v>
      </c>
      <c r="AC409" s="3" t="n">
        <v>1</v>
      </c>
      <c r="AD409" s="3" t="n">
        <v>1</v>
      </c>
      <c r="AE409" s="3" t="n">
        <v>1</v>
      </c>
      <c r="AF409" s="3" t="n">
        <v>1</v>
      </c>
      <c r="AG409" s="3" t="n">
        <v>2</v>
      </c>
      <c r="AH409" s="3" t="n">
        <v>2</v>
      </c>
      <c r="AI409" s="3" t="n">
        <v>1</v>
      </c>
      <c r="AJ409" s="3" t="n">
        <v>1</v>
      </c>
      <c r="AK409" s="3" t="n">
        <v>2</v>
      </c>
      <c r="AL409" s="3" t="n">
        <v>2</v>
      </c>
      <c r="AM409" s="3" t="n">
        <v>1</v>
      </c>
      <c r="AN409" s="3" t="n">
        <v>2</v>
      </c>
      <c r="AO409" s="3" t="n">
        <v>2</v>
      </c>
      <c r="AP409" s="3" t="n">
        <v>3</v>
      </c>
      <c r="AQ409" s="3" t="n">
        <v>4</v>
      </c>
      <c r="AR409" s="3" t="n">
        <v>4</v>
      </c>
      <c r="AS409" s="3" t="n">
        <v>6</v>
      </c>
      <c r="AT409" s="3" t="n">
        <v>4</v>
      </c>
      <c r="AU409" s="3" t="n">
        <v>4</v>
      </c>
      <c r="AV409" s="3" t="n">
        <v>6</v>
      </c>
      <c r="AW409" s="3" t="n">
        <v>6</v>
      </c>
      <c r="AX409" s="3" t="n">
        <v>3</v>
      </c>
      <c r="AY409" s="3" t="n">
        <v>3</v>
      </c>
      <c r="AZ409" s="3" t="n">
        <v>1</v>
      </c>
      <c r="BA409" s="5" t="n">
        <v>5</v>
      </c>
      <c r="BB409" s="3" t="n">
        <v>2</v>
      </c>
      <c r="BC409" s="3" t="n">
        <v>1</v>
      </c>
      <c r="BD409" s="3" t="n">
        <v>6</v>
      </c>
      <c r="BE409" s="3" t="n">
        <v>3</v>
      </c>
      <c r="BF409" s="3" t="n">
        <v>5</v>
      </c>
      <c r="BG409" s="3" t="n">
        <v>3</v>
      </c>
      <c r="BH409" s="3" t="n">
        <v>4</v>
      </c>
      <c r="BI409" s="3" t="n">
        <v>1</v>
      </c>
      <c r="BJ409" s="3" t="n">
        <v>1</v>
      </c>
      <c r="BK409" s="6" t="s">
        <v>125</v>
      </c>
    </row>
    <row r="410" customFormat="false" ht="15" hidden="false" customHeight="true" outlineLevel="0" collapsed="false">
      <c r="B410" s="2" t="s">
        <v>1208</v>
      </c>
      <c r="C410" s="2" t="s">
        <v>433</v>
      </c>
      <c r="D410" s="2" t="s">
        <v>940</v>
      </c>
      <c r="E410" s="2" t="n">
        <v>120625</v>
      </c>
      <c r="F410" s="15" t="n">
        <v>43609</v>
      </c>
      <c r="G410" s="15" t="n">
        <v>43615</v>
      </c>
      <c r="H410" s="3" t="n">
        <v>6</v>
      </c>
      <c r="I410" s="3" t="n">
        <v>1</v>
      </c>
      <c r="J410" s="3" t="n">
        <v>82</v>
      </c>
      <c r="K410" s="3" t="n">
        <v>2</v>
      </c>
      <c r="L410" s="3" t="n">
        <v>2</v>
      </c>
      <c r="M410" s="3" t="n">
        <v>1</v>
      </c>
      <c r="N410" s="3" t="n">
        <v>2</v>
      </c>
      <c r="O410" s="3" t="n">
        <v>1</v>
      </c>
      <c r="P410" s="3" t="n">
        <v>2</v>
      </c>
      <c r="Q410" s="3" t="n">
        <v>2</v>
      </c>
      <c r="R410" s="3" t="n">
        <v>2</v>
      </c>
      <c r="S410" s="3" t="n">
        <v>2</v>
      </c>
      <c r="T410" s="4" t="n">
        <v>3</v>
      </c>
      <c r="U410" s="3" t="n">
        <v>4</v>
      </c>
      <c r="V410" s="3" t="n">
        <v>4.97</v>
      </c>
      <c r="W410" s="3" t="n">
        <v>0.76</v>
      </c>
      <c r="X410" s="3" t="n">
        <v>5.6</v>
      </c>
      <c r="Y410" s="3" t="n">
        <v>393</v>
      </c>
      <c r="AA410" s="3" t="n">
        <v>0.45</v>
      </c>
      <c r="AB410" s="3" t="n">
        <v>9.8</v>
      </c>
      <c r="AC410" s="3" t="n">
        <v>2</v>
      </c>
      <c r="AD410" s="3" t="n">
        <v>1</v>
      </c>
      <c r="AE410" s="3" t="n">
        <v>1</v>
      </c>
      <c r="AF410" s="3" t="n">
        <v>1</v>
      </c>
      <c r="AG410" s="3" t="n">
        <v>2</v>
      </c>
      <c r="AH410" s="3" t="n">
        <v>2</v>
      </c>
      <c r="AI410" s="3" t="n">
        <v>1</v>
      </c>
      <c r="AJ410" s="3" t="n">
        <v>1</v>
      </c>
      <c r="AK410" s="3" t="n">
        <v>2</v>
      </c>
      <c r="AL410" s="3" t="n">
        <v>2</v>
      </c>
      <c r="AM410" s="3" t="n">
        <v>1</v>
      </c>
      <c r="AN410" s="3" t="n">
        <v>2</v>
      </c>
      <c r="AO410" s="3" t="n">
        <v>2</v>
      </c>
      <c r="AP410" s="3" t="n">
        <v>3</v>
      </c>
      <c r="AQ410" s="3" t="n">
        <v>4</v>
      </c>
      <c r="AR410" s="3" t="n">
        <v>4</v>
      </c>
      <c r="AS410" s="3" t="n">
        <v>6</v>
      </c>
      <c r="AT410" s="3" t="n">
        <v>4</v>
      </c>
      <c r="AU410" s="3" t="n">
        <v>4</v>
      </c>
      <c r="AV410" s="3" t="n">
        <v>6</v>
      </c>
      <c r="AW410" s="3" t="n">
        <v>6</v>
      </c>
      <c r="AX410" s="3" t="n">
        <v>3</v>
      </c>
      <c r="AY410" s="3" t="n">
        <v>3</v>
      </c>
      <c r="AZ410" s="3" t="n">
        <v>1</v>
      </c>
      <c r="BA410" s="5" t="n">
        <v>11</v>
      </c>
      <c r="BB410" s="3" t="n">
        <v>2</v>
      </c>
      <c r="BC410" s="3" t="n">
        <v>1</v>
      </c>
      <c r="BD410" s="3" t="n">
        <v>6</v>
      </c>
      <c r="BE410" s="3" t="n">
        <v>3</v>
      </c>
      <c r="BF410" s="3" t="n">
        <v>5</v>
      </c>
      <c r="BG410" s="3" t="n">
        <v>3</v>
      </c>
      <c r="BH410" s="3" t="n">
        <v>4</v>
      </c>
      <c r="BI410" s="3" t="n">
        <v>1</v>
      </c>
      <c r="BJ410" s="3" t="n">
        <v>1</v>
      </c>
      <c r="BK410" s="6" t="s">
        <v>1209</v>
      </c>
    </row>
    <row r="411" customFormat="false" ht="15" hidden="false" customHeight="true" outlineLevel="0" collapsed="false">
      <c r="B411" s="2" t="s">
        <v>1210</v>
      </c>
      <c r="C411" s="2" t="s">
        <v>66</v>
      </c>
      <c r="D411" s="2" t="s">
        <v>1211</v>
      </c>
      <c r="E411" s="2" t="n">
        <v>178151</v>
      </c>
      <c r="F411" s="15" t="n">
        <v>43609</v>
      </c>
      <c r="G411" s="15" t="n">
        <v>43614</v>
      </c>
      <c r="H411" s="3" t="n">
        <v>5</v>
      </c>
      <c r="I411" s="3" t="n">
        <v>1</v>
      </c>
      <c r="J411" s="3" t="n">
        <v>50</v>
      </c>
      <c r="K411" s="3" t="n">
        <v>2</v>
      </c>
      <c r="L411" s="3" t="n">
        <v>1</v>
      </c>
      <c r="M411" s="3" t="n">
        <v>1</v>
      </c>
      <c r="N411" s="3" t="n">
        <v>2</v>
      </c>
      <c r="O411" s="3" t="n">
        <v>1</v>
      </c>
      <c r="P411" s="3" t="n">
        <v>1</v>
      </c>
      <c r="Q411" s="3" t="n">
        <v>1</v>
      </c>
      <c r="R411" s="3" t="n">
        <v>2</v>
      </c>
      <c r="S411" s="3" t="n">
        <v>2</v>
      </c>
      <c r="T411" s="4" t="n">
        <v>1</v>
      </c>
      <c r="U411" s="3" t="n">
        <v>1</v>
      </c>
      <c r="AA411" s="3" t="n">
        <v>0.45</v>
      </c>
      <c r="AB411" s="3" t="n">
        <v>10</v>
      </c>
      <c r="AC411" s="3" t="n">
        <v>1</v>
      </c>
      <c r="AD411" s="3" t="n">
        <v>1</v>
      </c>
      <c r="AE411" s="3" t="n">
        <v>1</v>
      </c>
      <c r="AF411" s="3" t="n">
        <v>1</v>
      </c>
      <c r="AG411" s="3" t="n">
        <v>2</v>
      </c>
      <c r="AH411" s="3" t="n">
        <v>2</v>
      </c>
      <c r="AI411" s="3" t="n">
        <v>1</v>
      </c>
      <c r="AJ411" s="3" t="n">
        <v>1</v>
      </c>
      <c r="AK411" s="3" t="n">
        <v>2</v>
      </c>
      <c r="AL411" s="3" t="n">
        <v>2</v>
      </c>
      <c r="AM411" s="3" t="n">
        <v>1</v>
      </c>
      <c r="AN411" s="3" t="n">
        <v>2</v>
      </c>
      <c r="AO411" s="3" t="n">
        <v>2</v>
      </c>
      <c r="AP411" s="3" t="n">
        <v>3</v>
      </c>
      <c r="AQ411" s="3" t="n">
        <v>4</v>
      </c>
      <c r="AR411" s="3" t="n">
        <v>4</v>
      </c>
      <c r="AS411" s="3" t="n">
        <v>6</v>
      </c>
      <c r="AT411" s="3" t="n">
        <v>4</v>
      </c>
      <c r="AU411" s="3" t="n">
        <v>4</v>
      </c>
      <c r="AV411" s="3" t="n">
        <v>6</v>
      </c>
      <c r="AW411" s="3" t="n">
        <v>6</v>
      </c>
      <c r="AX411" s="3" t="n">
        <v>3</v>
      </c>
      <c r="AY411" s="3" t="n">
        <v>3</v>
      </c>
      <c r="AZ411" s="3" t="n">
        <v>1</v>
      </c>
      <c r="BA411" s="5" t="n">
        <v>5</v>
      </c>
      <c r="BB411" s="3" t="n">
        <v>2</v>
      </c>
      <c r="BC411" s="3" t="n">
        <v>1</v>
      </c>
      <c r="BD411" s="3" t="n">
        <v>6</v>
      </c>
      <c r="BE411" s="3" t="n">
        <v>3</v>
      </c>
      <c r="BF411" s="3" t="n">
        <v>5</v>
      </c>
      <c r="BG411" s="3" t="n">
        <v>3</v>
      </c>
      <c r="BH411" s="3" t="n">
        <v>4</v>
      </c>
      <c r="BI411" s="3" t="n">
        <v>1</v>
      </c>
      <c r="BJ411" s="3" t="n">
        <v>1</v>
      </c>
      <c r="BK411" s="6" t="s">
        <v>1212</v>
      </c>
    </row>
    <row r="412" customFormat="false" ht="15" hidden="false" customHeight="true" outlineLevel="0" collapsed="false">
      <c r="B412" s="2" t="s">
        <v>1213</v>
      </c>
      <c r="C412" s="2" t="s">
        <v>1214</v>
      </c>
      <c r="D412" s="2" t="s">
        <v>1215</v>
      </c>
      <c r="E412" s="2" t="n">
        <v>178214</v>
      </c>
      <c r="F412" s="15" t="n">
        <v>43608</v>
      </c>
      <c r="G412" s="15" t="n">
        <v>43612</v>
      </c>
      <c r="H412" s="3" t="n">
        <v>4</v>
      </c>
      <c r="I412" s="3" t="n">
        <v>1</v>
      </c>
      <c r="J412" s="3" t="n">
        <v>76</v>
      </c>
      <c r="K412" s="3" t="n">
        <v>1</v>
      </c>
      <c r="L412" s="3" t="n">
        <v>2</v>
      </c>
      <c r="M412" s="3" t="n">
        <v>1</v>
      </c>
      <c r="N412" s="3" t="n">
        <v>2</v>
      </c>
      <c r="O412" s="3" t="n">
        <v>2</v>
      </c>
      <c r="P412" s="3" t="n">
        <v>2</v>
      </c>
      <c r="Q412" s="3" t="n">
        <v>2</v>
      </c>
      <c r="R412" s="3" t="n">
        <v>2</v>
      </c>
      <c r="S412" s="3" t="n">
        <v>2</v>
      </c>
      <c r="T412" s="4" t="n">
        <v>13</v>
      </c>
      <c r="U412" s="3" t="n">
        <v>1</v>
      </c>
      <c r="AA412" s="3" t="n">
        <v>0.42</v>
      </c>
      <c r="AB412" s="3" t="n">
        <v>11.5</v>
      </c>
      <c r="AC412" s="3" t="n">
        <v>3</v>
      </c>
      <c r="AD412" s="3" t="n">
        <v>2</v>
      </c>
      <c r="AE412" s="3" t="n">
        <v>1</v>
      </c>
      <c r="AF412" s="3" t="n">
        <v>2</v>
      </c>
      <c r="AG412" s="3" t="n">
        <v>2</v>
      </c>
      <c r="AH412" s="3" t="n">
        <v>2</v>
      </c>
      <c r="AI412" s="3" t="n">
        <v>2</v>
      </c>
      <c r="AJ412" s="3" t="n">
        <v>2</v>
      </c>
      <c r="AK412" s="3" t="n">
        <v>2</v>
      </c>
      <c r="AL412" s="3" t="n">
        <v>2</v>
      </c>
      <c r="AM412" s="3" t="n">
        <v>2</v>
      </c>
      <c r="AN412" s="3" t="n">
        <v>2</v>
      </c>
      <c r="AO412" s="3" t="n">
        <v>2</v>
      </c>
      <c r="AP412" s="3" t="n">
        <v>3</v>
      </c>
      <c r="AQ412" s="3" t="n">
        <v>4</v>
      </c>
      <c r="AR412" s="3" t="n">
        <v>4</v>
      </c>
      <c r="AS412" s="3" t="n">
        <v>6</v>
      </c>
      <c r="AT412" s="3" t="n">
        <v>4</v>
      </c>
      <c r="AU412" s="3" t="n">
        <v>4</v>
      </c>
      <c r="AV412" s="3" t="n">
        <v>6</v>
      </c>
      <c r="AW412" s="3" t="n">
        <v>6</v>
      </c>
      <c r="AX412" s="3" t="n">
        <v>3</v>
      </c>
      <c r="AY412" s="3" t="n">
        <v>3</v>
      </c>
      <c r="AZ412" s="3" t="n">
        <v>1</v>
      </c>
      <c r="BA412" s="5" t="n">
        <v>12</v>
      </c>
      <c r="BB412" s="3" t="n">
        <v>2</v>
      </c>
      <c r="BC412" s="3" t="n">
        <v>1</v>
      </c>
      <c r="BD412" s="3" t="n">
        <v>6</v>
      </c>
      <c r="BE412" s="3" t="n">
        <v>3</v>
      </c>
      <c r="BF412" s="3" t="n">
        <v>5</v>
      </c>
      <c r="BG412" s="3" t="n">
        <v>3</v>
      </c>
      <c r="BH412" s="3" t="n">
        <v>4</v>
      </c>
      <c r="BI412" s="3" t="n">
        <v>1</v>
      </c>
      <c r="BJ412" s="3" t="n">
        <v>1</v>
      </c>
      <c r="BK412" s="6" t="s">
        <v>1216</v>
      </c>
    </row>
    <row r="413" customFormat="false" ht="15" hidden="false" customHeight="true" outlineLevel="0" collapsed="false">
      <c r="B413" s="2" t="s">
        <v>1217</v>
      </c>
      <c r="C413" s="2" t="s">
        <v>536</v>
      </c>
      <c r="D413" s="2" t="s">
        <v>160</v>
      </c>
      <c r="E413" s="2" t="s">
        <v>1218</v>
      </c>
      <c r="F413" s="15" t="n">
        <v>43609</v>
      </c>
      <c r="G413" s="15" t="n">
        <v>43615</v>
      </c>
      <c r="H413" s="3" t="n">
        <v>6</v>
      </c>
      <c r="I413" s="3" t="n">
        <v>1</v>
      </c>
      <c r="J413" s="3" t="n">
        <v>87</v>
      </c>
      <c r="K413" s="3" t="n">
        <v>1</v>
      </c>
      <c r="L413" s="3" t="n">
        <v>1</v>
      </c>
      <c r="M413" s="3" t="n">
        <v>1</v>
      </c>
      <c r="N413" s="3" t="n">
        <v>2</v>
      </c>
      <c r="O413" s="3" t="n">
        <v>2</v>
      </c>
      <c r="P413" s="3" t="n">
        <v>2</v>
      </c>
      <c r="Q413" s="3" t="n">
        <v>2</v>
      </c>
      <c r="R413" s="3" t="n">
        <v>2</v>
      </c>
      <c r="S413" s="3" t="n">
        <v>2</v>
      </c>
      <c r="T413" s="4" t="n">
        <v>4</v>
      </c>
      <c r="U413" s="3" t="n">
        <v>4</v>
      </c>
      <c r="V413" s="3" t="n">
        <v>4.14</v>
      </c>
      <c r="W413" s="3" t="n">
        <v>0.76</v>
      </c>
      <c r="X413" s="3" t="n">
        <v>2.7</v>
      </c>
      <c r="Y413" s="3" t="n">
        <v>639</v>
      </c>
      <c r="AA413" s="3" t="n">
        <v>0.4</v>
      </c>
      <c r="AB413" s="3" t="n">
        <v>12.6</v>
      </c>
      <c r="AC413" s="3" t="n">
        <v>1</v>
      </c>
      <c r="AD413" s="3" t="n">
        <v>1</v>
      </c>
      <c r="AE413" s="3" t="n">
        <v>1</v>
      </c>
      <c r="AF413" s="3" t="n">
        <v>1</v>
      </c>
      <c r="AG413" s="3" t="n">
        <v>2</v>
      </c>
      <c r="AH413" s="3" t="n">
        <v>2</v>
      </c>
      <c r="AI413" s="3" t="n">
        <v>1</v>
      </c>
      <c r="AJ413" s="3" t="n">
        <v>2</v>
      </c>
      <c r="AK413" s="3" t="n">
        <v>2</v>
      </c>
      <c r="AL413" s="3" t="n">
        <v>2</v>
      </c>
      <c r="AM413" s="3" t="n">
        <v>1</v>
      </c>
      <c r="AN413" s="3" t="n">
        <v>2</v>
      </c>
      <c r="AO413" s="3" t="n">
        <v>2</v>
      </c>
      <c r="AP413" s="3" t="n">
        <v>3</v>
      </c>
      <c r="AQ413" s="3" t="n">
        <v>4</v>
      </c>
      <c r="AR413" s="3" t="n">
        <v>4</v>
      </c>
      <c r="AS413" s="3" t="n">
        <v>6</v>
      </c>
      <c r="AT413" s="3" t="n">
        <v>4</v>
      </c>
      <c r="AU413" s="3" t="n">
        <v>4</v>
      </c>
      <c r="AV413" s="3" t="n">
        <v>6</v>
      </c>
      <c r="AW413" s="3" t="n">
        <v>6</v>
      </c>
      <c r="AX413" s="3" t="n">
        <v>3</v>
      </c>
      <c r="AY413" s="3" t="n">
        <v>3</v>
      </c>
      <c r="AZ413" s="3" t="n">
        <v>1</v>
      </c>
      <c r="BA413" s="5" t="n">
        <v>10</v>
      </c>
      <c r="BB413" s="3" t="n">
        <v>2</v>
      </c>
      <c r="BC413" s="3" t="n">
        <v>1</v>
      </c>
      <c r="BD413" s="3" t="n">
        <v>6</v>
      </c>
      <c r="BE413" s="3" t="n">
        <v>3</v>
      </c>
      <c r="BF413" s="3" t="n">
        <v>5</v>
      </c>
      <c r="BG413" s="3" t="n">
        <v>3</v>
      </c>
      <c r="BH413" s="3" t="n">
        <v>4</v>
      </c>
      <c r="BI413" s="3" t="n">
        <v>1</v>
      </c>
      <c r="BJ413" s="3" t="n">
        <v>1</v>
      </c>
      <c r="BK413" s="6" t="s">
        <v>1219</v>
      </c>
    </row>
    <row r="414" customFormat="false" ht="15" hidden="false" customHeight="true" outlineLevel="0" collapsed="false">
      <c r="B414" s="2" t="s">
        <v>966</v>
      </c>
      <c r="C414" s="2" t="s">
        <v>1220</v>
      </c>
      <c r="D414" s="2" t="s">
        <v>1221</v>
      </c>
      <c r="E414" s="2" t="n">
        <v>178268</v>
      </c>
      <c r="F414" s="15" t="n">
        <v>43607</v>
      </c>
      <c r="G414" s="15" t="n">
        <v>43614</v>
      </c>
      <c r="H414" s="3" t="n">
        <v>8</v>
      </c>
      <c r="I414" s="3" t="n">
        <v>2</v>
      </c>
      <c r="J414" s="3" t="n">
        <v>56</v>
      </c>
      <c r="K414" s="3" t="n">
        <v>2</v>
      </c>
      <c r="L414" s="3" t="n">
        <v>2</v>
      </c>
      <c r="M414" s="3" t="n">
        <v>2</v>
      </c>
      <c r="N414" s="3" t="n">
        <v>2</v>
      </c>
      <c r="O414" s="3" t="n">
        <v>1</v>
      </c>
      <c r="P414" s="3" t="n">
        <v>2</v>
      </c>
      <c r="Q414" s="3" t="n">
        <v>2</v>
      </c>
      <c r="R414" s="3" t="n">
        <v>2</v>
      </c>
      <c r="S414" s="3" t="n">
        <v>2</v>
      </c>
      <c r="T414" s="4" t="n">
        <v>1</v>
      </c>
      <c r="U414" s="3" t="n">
        <v>2</v>
      </c>
      <c r="V414" s="3" t="n">
        <v>4.32</v>
      </c>
      <c r="W414" s="3" t="n">
        <v>0.92</v>
      </c>
      <c r="X414" s="3" t="n">
        <v>19.29</v>
      </c>
      <c r="Y414" s="3" t="n">
        <v>442</v>
      </c>
      <c r="AA414" s="3" t="n">
        <v>0.43</v>
      </c>
      <c r="AB414" s="3" t="n">
        <v>9.7</v>
      </c>
      <c r="AC414" s="3" t="n">
        <v>2</v>
      </c>
      <c r="AD414" s="3" t="n">
        <v>2</v>
      </c>
      <c r="AE414" s="3" t="n">
        <v>1</v>
      </c>
      <c r="AF414" s="3" t="n">
        <v>1</v>
      </c>
      <c r="AG414" s="3" t="n">
        <v>1</v>
      </c>
      <c r="AH414" s="3" t="n">
        <v>2</v>
      </c>
      <c r="AI414" s="3" t="n">
        <v>1</v>
      </c>
      <c r="AJ414" s="3" t="n">
        <v>1</v>
      </c>
      <c r="AK414" s="3" t="n">
        <v>2</v>
      </c>
      <c r="AL414" s="3" t="n">
        <v>1</v>
      </c>
      <c r="AM414" s="3" t="n">
        <v>2</v>
      </c>
      <c r="AN414" s="3" t="n">
        <v>2</v>
      </c>
      <c r="AO414" s="3" t="n">
        <v>2</v>
      </c>
      <c r="AP414" s="3" t="n">
        <v>3</v>
      </c>
      <c r="AQ414" s="3" t="n">
        <v>4</v>
      </c>
      <c r="AR414" s="3" t="n">
        <v>4</v>
      </c>
      <c r="AS414" s="3" t="n">
        <v>6</v>
      </c>
      <c r="AT414" s="3" t="n">
        <v>4</v>
      </c>
      <c r="AU414" s="3" t="n">
        <v>4</v>
      </c>
      <c r="AV414" s="3" t="n">
        <v>6</v>
      </c>
      <c r="AW414" s="3" t="n">
        <v>6</v>
      </c>
      <c r="AX414" s="3" t="n">
        <v>3</v>
      </c>
      <c r="AY414" s="3" t="n">
        <v>3</v>
      </c>
      <c r="AZ414" s="3" t="n">
        <v>4</v>
      </c>
      <c r="BA414" s="5" t="n">
        <v>1</v>
      </c>
      <c r="BB414" s="3" t="n">
        <v>1</v>
      </c>
      <c r="BC414" s="3" t="n">
        <v>1</v>
      </c>
      <c r="BD414" s="3" t="n">
        <v>2</v>
      </c>
      <c r="BE414" s="3" t="n">
        <v>3</v>
      </c>
      <c r="BF414" s="3" t="n">
        <v>5</v>
      </c>
      <c r="BG414" s="3" t="n">
        <v>3</v>
      </c>
      <c r="BH414" s="3" t="n">
        <v>4</v>
      </c>
      <c r="BI414" s="3" t="n">
        <v>1</v>
      </c>
      <c r="BJ414" s="3" t="n">
        <v>1</v>
      </c>
      <c r="BK414" s="6" t="s">
        <v>1222</v>
      </c>
    </row>
    <row r="415" customFormat="false" ht="15" hidden="false" customHeight="false" outlineLevel="0" collapsed="false">
      <c r="B415" s="2" t="s">
        <v>1223</v>
      </c>
      <c r="C415" s="2" t="s">
        <v>1224</v>
      </c>
      <c r="D415" s="2" t="s">
        <v>94</v>
      </c>
      <c r="E415" s="2" t="n">
        <v>178193</v>
      </c>
      <c r="F415" s="15" t="n">
        <v>43611</v>
      </c>
      <c r="G415" s="15" t="n">
        <v>43616</v>
      </c>
      <c r="H415" s="3" t="n">
        <v>5</v>
      </c>
      <c r="I415" s="3" t="n">
        <v>2</v>
      </c>
      <c r="J415" s="3" t="n">
        <v>60</v>
      </c>
      <c r="K415" s="3" t="n">
        <v>2</v>
      </c>
      <c r="L415" s="3" t="n">
        <v>2</v>
      </c>
      <c r="M415" s="3" t="n">
        <v>1</v>
      </c>
      <c r="N415" s="3" t="n">
        <v>2</v>
      </c>
      <c r="O415" s="3" t="n">
        <v>1</v>
      </c>
      <c r="P415" s="3" t="n">
        <v>2</v>
      </c>
      <c r="Q415" s="3" t="n">
        <v>2</v>
      </c>
      <c r="R415" s="3" t="n">
        <v>2</v>
      </c>
      <c r="S415" s="3" t="n">
        <v>2</v>
      </c>
      <c r="T415" s="4" t="n">
        <v>2</v>
      </c>
      <c r="U415" s="3" t="n">
        <v>2</v>
      </c>
      <c r="V415" s="3" t="n">
        <v>5.71</v>
      </c>
      <c r="W415" s="3" t="n">
        <v>1.4</v>
      </c>
      <c r="X415" s="3" t="n">
        <v>7.4</v>
      </c>
      <c r="Y415" s="3" t="n">
        <v>601</v>
      </c>
      <c r="AA415" s="3" t="n">
        <v>0.45</v>
      </c>
      <c r="AB415" s="3" t="n">
        <v>9.9</v>
      </c>
      <c r="AC415" s="3" t="n">
        <v>2</v>
      </c>
      <c r="AD415" s="3" t="n">
        <v>1</v>
      </c>
      <c r="AE415" s="3" t="n">
        <v>1</v>
      </c>
      <c r="AF415" s="3" t="n">
        <v>1</v>
      </c>
      <c r="AG415" s="3" t="n">
        <v>2</v>
      </c>
      <c r="AH415" s="3" t="n">
        <v>1</v>
      </c>
      <c r="AI415" s="3" t="n">
        <v>1</v>
      </c>
      <c r="AJ415" s="3" t="n">
        <v>1</v>
      </c>
      <c r="AK415" s="3" t="n">
        <v>2</v>
      </c>
      <c r="AL415" s="3" t="n">
        <v>2</v>
      </c>
      <c r="AM415" s="3" t="n">
        <v>1</v>
      </c>
      <c r="AN415" s="3" t="n">
        <v>2</v>
      </c>
      <c r="AO415" s="3" t="n">
        <v>2</v>
      </c>
      <c r="AP415" s="3" t="n">
        <v>2</v>
      </c>
      <c r="AQ415" s="3" t="n">
        <v>1</v>
      </c>
      <c r="AR415" s="3" t="n">
        <v>4</v>
      </c>
      <c r="AS415" s="3" t="n">
        <v>6</v>
      </c>
      <c r="AT415" s="3" t="n">
        <v>4</v>
      </c>
      <c r="AU415" s="3" t="n">
        <v>4</v>
      </c>
      <c r="AV415" s="3" t="n">
        <v>1</v>
      </c>
      <c r="AW415" s="3" t="n">
        <v>6</v>
      </c>
      <c r="AX415" s="3" t="n">
        <v>2</v>
      </c>
      <c r="AY415" s="3" t="n">
        <v>1</v>
      </c>
      <c r="AZ415" s="3" t="n">
        <v>1</v>
      </c>
      <c r="BA415" s="5" t="n">
        <v>1</v>
      </c>
      <c r="BB415" s="3" t="n">
        <v>1</v>
      </c>
      <c r="BC415" s="3" t="n">
        <v>1</v>
      </c>
      <c r="BD415" s="3" t="n">
        <v>2</v>
      </c>
      <c r="BE415" s="3" t="n">
        <v>1</v>
      </c>
      <c r="BF415" s="3" t="n">
        <v>2</v>
      </c>
      <c r="BG415" s="3" t="n">
        <v>1</v>
      </c>
      <c r="BH415" s="3" t="n">
        <v>4</v>
      </c>
      <c r="BI415" s="3" t="n">
        <v>1</v>
      </c>
      <c r="BJ415" s="3" t="n">
        <v>1</v>
      </c>
      <c r="BK415" s="6" t="s">
        <v>1225</v>
      </c>
    </row>
    <row r="416" customFormat="false" ht="15" hidden="false" customHeight="true" outlineLevel="0" collapsed="false">
      <c r="B416" s="2" t="s">
        <v>1226</v>
      </c>
      <c r="C416" s="2" t="s">
        <v>510</v>
      </c>
      <c r="D416" s="2" t="s">
        <v>153</v>
      </c>
      <c r="E416" s="2" t="n">
        <v>178527</v>
      </c>
      <c r="F416" s="15" t="n">
        <v>43612</v>
      </c>
      <c r="G416" s="15" t="n">
        <v>43619</v>
      </c>
      <c r="H416" s="3" t="n">
        <v>7</v>
      </c>
      <c r="I416" s="3" t="n">
        <v>2</v>
      </c>
      <c r="J416" s="3" t="n">
        <v>56</v>
      </c>
      <c r="K416" s="3" t="n">
        <v>2</v>
      </c>
      <c r="L416" s="3" t="n">
        <v>1</v>
      </c>
      <c r="M416" s="3" t="n">
        <v>1</v>
      </c>
      <c r="N416" s="3" t="n">
        <v>2</v>
      </c>
      <c r="O416" s="3" t="n">
        <v>2</v>
      </c>
      <c r="P416" s="3" t="n">
        <v>2</v>
      </c>
      <c r="Q416" s="3" t="n">
        <v>2</v>
      </c>
      <c r="R416" s="3" t="n">
        <v>2</v>
      </c>
      <c r="S416" s="3" t="n">
        <v>2</v>
      </c>
      <c r="T416" s="4" t="n">
        <v>1</v>
      </c>
      <c r="U416" s="3" t="n">
        <v>1</v>
      </c>
      <c r="V416" s="3" t="n">
        <v>6.73</v>
      </c>
      <c r="W416" s="3" t="n">
        <v>2.87</v>
      </c>
      <c r="X416" s="3" t="n">
        <v>8</v>
      </c>
      <c r="Y416" s="3" t="n">
        <v>485</v>
      </c>
      <c r="AA416" s="3" t="n">
        <v>0.47</v>
      </c>
      <c r="AB416" s="3" t="n">
        <v>7.6</v>
      </c>
      <c r="AC416" s="3" t="n">
        <v>1</v>
      </c>
      <c r="AD416" s="3" t="n">
        <v>2</v>
      </c>
      <c r="AE416" s="3" t="n">
        <v>1</v>
      </c>
      <c r="AF416" s="3" t="n">
        <v>1</v>
      </c>
      <c r="AG416" s="3" t="n">
        <v>2</v>
      </c>
      <c r="AH416" s="3" t="n">
        <v>2</v>
      </c>
      <c r="AI416" s="3" t="n">
        <v>1</v>
      </c>
      <c r="AJ416" s="3" t="n">
        <v>1</v>
      </c>
      <c r="AK416" s="3" t="n">
        <v>2</v>
      </c>
      <c r="AL416" s="3" t="n">
        <v>2</v>
      </c>
      <c r="AM416" s="3" t="n">
        <v>2</v>
      </c>
      <c r="AN416" s="3" t="n">
        <v>2</v>
      </c>
      <c r="AO416" s="3" t="n">
        <v>2</v>
      </c>
      <c r="AP416" s="3" t="n">
        <v>3</v>
      </c>
      <c r="AQ416" s="3" t="n">
        <v>4</v>
      </c>
      <c r="AR416" s="3" t="n">
        <v>4</v>
      </c>
      <c r="AS416" s="3" t="n">
        <v>6</v>
      </c>
      <c r="AT416" s="3" t="n">
        <v>4</v>
      </c>
      <c r="AU416" s="3" t="n">
        <v>4</v>
      </c>
      <c r="AV416" s="3" t="n">
        <v>6</v>
      </c>
      <c r="AW416" s="3" t="n">
        <v>6</v>
      </c>
      <c r="AX416" s="3" t="n">
        <v>3</v>
      </c>
      <c r="AY416" s="3" t="n">
        <v>3</v>
      </c>
      <c r="AZ416" s="3" t="n">
        <v>1</v>
      </c>
      <c r="BA416" s="5" t="n">
        <v>5</v>
      </c>
      <c r="BB416" s="3" t="n">
        <v>2</v>
      </c>
      <c r="BC416" s="3" t="n">
        <v>1</v>
      </c>
      <c r="BD416" s="3" t="n">
        <v>6</v>
      </c>
      <c r="BE416" s="3" t="n">
        <v>3</v>
      </c>
      <c r="BF416" s="3" t="n">
        <v>5</v>
      </c>
      <c r="BG416" s="3" t="n">
        <v>3</v>
      </c>
      <c r="BH416" s="3" t="n">
        <v>4</v>
      </c>
      <c r="BI416" s="3" t="n">
        <v>1</v>
      </c>
      <c r="BJ416" s="3" t="n">
        <v>1</v>
      </c>
      <c r="BK416" s="6" t="s">
        <v>1227</v>
      </c>
    </row>
    <row r="417" customFormat="false" ht="15" hidden="false" customHeight="true" outlineLevel="0" collapsed="false">
      <c r="B417" s="2" t="s">
        <v>848</v>
      </c>
      <c r="C417" s="2" t="s">
        <v>157</v>
      </c>
      <c r="D417" s="2" t="s">
        <v>161</v>
      </c>
      <c r="E417" s="2" t="n">
        <v>101139</v>
      </c>
      <c r="F417" s="15" t="n">
        <v>43615</v>
      </c>
      <c r="G417" s="15" t="n">
        <v>43621</v>
      </c>
      <c r="H417" s="3" t="n">
        <v>6</v>
      </c>
      <c r="I417" s="3" t="n">
        <v>1</v>
      </c>
      <c r="J417" s="3" t="n">
        <v>76</v>
      </c>
      <c r="K417" s="3" t="n">
        <v>1</v>
      </c>
      <c r="L417" s="3" t="n">
        <v>2</v>
      </c>
      <c r="M417" s="3" t="n">
        <v>1</v>
      </c>
      <c r="N417" s="3" t="n">
        <v>2</v>
      </c>
      <c r="O417" s="3" t="n">
        <v>1</v>
      </c>
      <c r="P417" s="3" t="n">
        <v>2</v>
      </c>
      <c r="Q417" s="3" t="n">
        <v>1</v>
      </c>
      <c r="R417" s="3" t="n">
        <v>2</v>
      </c>
      <c r="S417" s="3" t="n">
        <v>2</v>
      </c>
      <c r="T417" s="4" t="n">
        <v>1</v>
      </c>
      <c r="U417" s="3" t="n">
        <v>1</v>
      </c>
      <c r="AD417" s="3" t="n">
        <v>1</v>
      </c>
      <c r="AE417" s="3" t="n">
        <v>1</v>
      </c>
      <c r="AF417" s="3" t="n">
        <v>1</v>
      </c>
      <c r="AG417" s="3" t="n">
        <v>2</v>
      </c>
      <c r="AH417" s="3" t="n">
        <v>1</v>
      </c>
      <c r="AI417" s="3" t="n">
        <v>1</v>
      </c>
      <c r="AJ417" s="3" t="n">
        <v>2</v>
      </c>
      <c r="AK417" s="3" t="n">
        <v>1</v>
      </c>
      <c r="AL417" s="3" t="n">
        <v>2</v>
      </c>
      <c r="AM417" s="3" t="n">
        <v>1</v>
      </c>
      <c r="AN417" s="3" t="n">
        <v>2</v>
      </c>
      <c r="AO417" s="3" t="n">
        <v>2</v>
      </c>
      <c r="AP417" s="3" t="n">
        <v>3</v>
      </c>
      <c r="AQ417" s="3" t="n">
        <v>4</v>
      </c>
      <c r="AR417" s="3" t="n">
        <v>4</v>
      </c>
      <c r="AS417" s="3" t="n">
        <v>6</v>
      </c>
      <c r="AT417" s="3" t="n">
        <v>4</v>
      </c>
      <c r="AU417" s="3" t="n">
        <v>4</v>
      </c>
      <c r="AV417" s="3" t="n">
        <v>6</v>
      </c>
      <c r="AW417" s="3" t="n">
        <v>6</v>
      </c>
      <c r="AX417" s="3" t="n">
        <v>3</v>
      </c>
      <c r="AY417" s="3" t="n">
        <v>3</v>
      </c>
      <c r="AZ417" s="3" t="n">
        <v>1</v>
      </c>
      <c r="BA417" s="5" t="n">
        <v>5</v>
      </c>
      <c r="BB417" s="3" t="n">
        <v>2</v>
      </c>
      <c r="BC417" s="3" t="n">
        <v>1</v>
      </c>
      <c r="BD417" s="3" t="n">
        <v>6</v>
      </c>
      <c r="BE417" s="3" t="n">
        <v>3</v>
      </c>
      <c r="BF417" s="3" t="n">
        <v>5</v>
      </c>
      <c r="BG417" s="3" t="n">
        <v>3</v>
      </c>
      <c r="BH417" s="3" t="n">
        <v>4</v>
      </c>
      <c r="BI417" s="3" t="n">
        <v>1</v>
      </c>
      <c r="BJ417" s="3" t="n">
        <v>1</v>
      </c>
      <c r="BK417" s="6" t="s">
        <v>1228</v>
      </c>
    </row>
    <row r="418" customFormat="false" ht="15" hidden="false" customHeight="true" outlineLevel="0" collapsed="false">
      <c r="B418" s="2" t="s">
        <v>1229</v>
      </c>
      <c r="C418" s="2" t="s">
        <v>66</v>
      </c>
      <c r="D418" s="2" t="s">
        <v>1230</v>
      </c>
      <c r="E418" s="2" t="s">
        <v>1231</v>
      </c>
      <c r="F418" s="15" t="n">
        <v>43615</v>
      </c>
      <c r="G418" s="15" t="n">
        <v>43621</v>
      </c>
      <c r="H418" s="3" t="n">
        <v>6</v>
      </c>
      <c r="I418" s="3" t="n">
        <v>2</v>
      </c>
      <c r="J418" s="3" t="n">
        <v>73</v>
      </c>
      <c r="K418" s="3" t="n">
        <v>1</v>
      </c>
      <c r="L418" s="3" t="n">
        <v>2</v>
      </c>
      <c r="M418" s="3" t="n">
        <v>1</v>
      </c>
      <c r="N418" s="3" t="n">
        <v>2</v>
      </c>
      <c r="O418" s="3" t="n">
        <v>2</v>
      </c>
      <c r="P418" s="3" t="n">
        <v>2</v>
      </c>
      <c r="Q418" s="3" t="n">
        <v>2</v>
      </c>
      <c r="R418" s="3" t="n">
        <v>2</v>
      </c>
      <c r="S418" s="3" t="n">
        <v>2</v>
      </c>
      <c r="T418" s="4" t="n">
        <v>3</v>
      </c>
      <c r="U418" s="3" t="n">
        <v>4</v>
      </c>
      <c r="AD418" s="3" t="n">
        <v>2</v>
      </c>
      <c r="AE418" s="3" t="n">
        <v>1</v>
      </c>
      <c r="AF418" s="3" t="n">
        <v>1</v>
      </c>
      <c r="AG418" s="3" t="n">
        <v>2</v>
      </c>
      <c r="AH418" s="3" t="n">
        <v>2</v>
      </c>
      <c r="AI418" s="3" t="n">
        <v>2</v>
      </c>
      <c r="AJ418" s="3" t="n">
        <v>1</v>
      </c>
      <c r="AK418" s="3" t="n">
        <v>2</v>
      </c>
      <c r="AL418" s="3" t="n">
        <v>2</v>
      </c>
      <c r="AM418" s="3" t="n">
        <v>1</v>
      </c>
      <c r="AN418" s="3" t="n">
        <v>2</v>
      </c>
      <c r="AO418" s="3" t="n">
        <v>2</v>
      </c>
      <c r="AP418" s="3" t="n">
        <v>3</v>
      </c>
      <c r="AQ418" s="3" t="n">
        <v>4</v>
      </c>
      <c r="AR418" s="3" t="n">
        <v>4</v>
      </c>
      <c r="AS418" s="3" t="n">
        <v>6</v>
      </c>
      <c r="AT418" s="3" t="n">
        <v>4</v>
      </c>
      <c r="AU418" s="3" t="n">
        <v>4</v>
      </c>
      <c r="AV418" s="3" t="n">
        <v>6</v>
      </c>
      <c r="AW418" s="3" t="n">
        <v>6</v>
      </c>
      <c r="AX418" s="3" t="n">
        <v>3</v>
      </c>
      <c r="AY418" s="3" t="n">
        <v>3</v>
      </c>
      <c r="AZ418" s="3" t="n">
        <v>1</v>
      </c>
      <c r="BA418" s="5" t="n">
        <v>11</v>
      </c>
      <c r="BB418" s="3" t="n">
        <v>2</v>
      </c>
      <c r="BC418" s="3" t="n">
        <v>1</v>
      </c>
      <c r="BD418" s="3" t="n">
        <v>6</v>
      </c>
      <c r="BE418" s="3" t="n">
        <v>3</v>
      </c>
      <c r="BF418" s="3" t="n">
        <v>5</v>
      </c>
      <c r="BG418" s="3" t="n">
        <v>3</v>
      </c>
      <c r="BH418" s="3" t="n">
        <v>4</v>
      </c>
      <c r="BI418" s="3" t="n">
        <v>1</v>
      </c>
      <c r="BJ418" s="3" t="n">
        <v>1</v>
      </c>
      <c r="BK418" s="6" t="s">
        <v>1232</v>
      </c>
    </row>
    <row r="419" customFormat="false" ht="14.25" hidden="false" customHeight="true" outlineLevel="0" collapsed="false">
      <c r="B419" s="2" t="s">
        <v>1233</v>
      </c>
      <c r="C419" s="2" t="s">
        <v>1171</v>
      </c>
      <c r="D419" s="2" t="s">
        <v>1234</v>
      </c>
      <c r="E419" s="2" t="n">
        <v>178573</v>
      </c>
      <c r="F419" s="15" t="n">
        <v>43614</v>
      </c>
      <c r="G419" s="15" t="n">
        <v>43619</v>
      </c>
      <c r="H419" s="3" t="n">
        <v>5</v>
      </c>
      <c r="I419" s="3" t="n">
        <v>1</v>
      </c>
      <c r="J419" s="3" t="n">
        <v>78</v>
      </c>
      <c r="K419" s="3" t="n">
        <v>1</v>
      </c>
      <c r="L419" s="3" t="n">
        <v>2</v>
      </c>
      <c r="M419" s="3" t="n">
        <v>1</v>
      </c>
      <c r="N419" s="3" t="n">
        <v>2</v>
      </c>
      <c r="O419" s="3" t="n">
        <v>2</v>
      </c>
      <c r="P419" s="3" t="n">
        <v>2</v>
      </c>
      <c r="Q419" s="3" t="n">
        <v>2</v>
      </c>
      <c r="R419" s="3" t="n">
        <v>2</v>
      </c>
      <c r="S419" s="3" t="n">
        <v>2</v>
      </c>
      <c r="T419" s="4" t="n">
        <v>1</v>
      </c>
      <c r="U419" s="3" t="n">
        <v>1</v>
      </c>
      <c r="V419" s="3" t="n">
        <v>7.41</v>
      </c>
      <c r="W419" s="3" t="n">
        <v>2.31</v>
      </c>
      <c r="X419" s="3" t="n">
        <v>9.7</v>
      </c>
      <c r="Y419" s="3" t="n">
        <v>479</v>
      </c>
      <c r="AA419" s="3" t="n">
        <v>0.45</v>
      </c>
      <c r="AB419" s="3" t="n">
        <v>9.6</v>
      </c>
      <c r="AD419" s="3" t="n">
        <v>1</v>
      </c>
      <c r="AE419" s="3" t="n">
        <v>1</v>
      </c>
      <c r="AF419" s="3" t="n">
        <v>1</v>
      </c>
      <c r="AG419" s="3" t="n">
        <v>1</v>
      </c>
      <c r="AH419" s="3" t="n">
        <v>2</v>
      </c>
      <c r="AI419" s="3" t="n">
        <v>1</v>
      </c>
      <c r="AJ419" s="3" t="n">
        <v>2</v>
      </c>
      <c r="AK419" s="3" t="n">
        <v>2</v>
      </c>
      <c r="AL419" s="3" t="n">
        <v>2</v>
      </c>
      <c r="AM419" s="3" t="n">
        <v>1</v>
      </c>
      <c r="AN419" s="3" t="n">
        <v>2</v>
      </c>
      <c r="AO419" s="3" t="n">
        <v>2</v>
      </c>
      <c r="AP419" s="3" t="n">
        <v>3</v>
      </c>
      <c r="AQ419" s="3" t="n">
        <v>4</v>
      </c>
      <c r="AR419" s="3" t="n">
        <v>4</v>
      </c>
      <c r="AS419" s="3" t="n">
        <v>6</v>
      </c>
      <c r="AT419" s="3" t="n">
        <v>4</v>
      </c>
      <c r="AU419" s="3" t="n">
        <v>4</v>
      </c>
      <c r="AV419" s="3" t="n">
        <v>6</v>
      </c>
      <c r="AW419" s="3" t="n">
        <v>6</v>
      </c>
      <c r="AX419" s="3" t="n">
        <v>3</v>
      </c>
      <c r="AY419" s="3" t="n">
        <v>3</v>
      </c>
      <c r="AZ419" s="3" t="n">
        <v>1</v>
      </c>
      <c r="BA419" s="5" t="n">
        <v>5</v>
      </c>
      <c r="BB419" s="3" t="n">
        <v>2</v>
      </c>
      <c r="BC419" s="3" t="n">
        <v>1</v>
      </c>
      <c r="BD419" s="3" t="n">
        <v>6</v>
      </c>
      <c r="BE419" s="3" t="n">
        <v>3</v>
      </c>
      <c r="BF419" s="3" t="n">
        <v>5</v>
      </c>
      <c r="BG419" s="3" t="n">
        <v>3</v>
      </c>
      <c r="BH419" s="3" t="n">
        <v>4</v>
      </c>
      <c r="BI419" s="3" t="n">
        <v>1</v>
      </c>
      <c r="BJ419" s="3" t="n">
        <v>1</v>
      </c>
      <c r="BK419" s="6" t="s">
        <v>1235</v>
      </c>
    </row>
    <row r="420" customFormat="false" ht="15.75" hidden="false" customHeight="true" outlineLevel="0" collapsed="false">
      <c r="B420" s="2" t="s">
        <v>1236</v>
      </c>
      <c r="C420" s="2" t="s">
        <v>992</v>
      </c>
      <c r="D420" s="2" t="s">
        <v>1237</v>
      </c>
      <c r="E420" s="2" t="n">
        <v>178587</v>
      </c>
      <c r="F420" s="15" t="n">
        <v>43614</v>
      </c>
      <c r="G420" s="15" t="n">
        <v>43621</v>
      </c>
      <c r="H420" s="3" t="n">
        <v>7</v>
      </c>
      <c r="I420" s="3" t="n">
        <v>1</v>
      </c>
      <c r="J420" s="3" t="n">
        <v>56</v>
      </c>
      <c r="K420" s="3" t="n">
        <v>2</v>
      </c>
      <c r="L420" s="3" t="n">
        <v>1</v>
      </c>
      <c r="M420" s="3" t="n">
        <v>1</v>
      </c>
      <c r="N420" s="3" t="n">
        <v>2</v>
      </c>
      <c r="O420" s="3" t="n">
        <v>2</v>
      </c>
      <c r="P420" s="3" t="n">
        <v>2</v>
      </c>
      <c r="Q420" s="3" t="n">
        <v>2</v>
      </c>
      <c r="R420" s="3" t="n">
        <v>2</v>
      </c>
      <c r="S420" s="3" t="n">
        <v>2</v>
      </c>
      <c r="T420" s="4" t="n">
        <v>2</v>
      </c>
      <c r="U420" s="3" t="n">
        <v>2</v>
      </c>
      <c r="V420" s="3" t="n">
        <v>6.49</v>
      </c>
      <c r="W420" s="3" t="n">
        <v>1.11</v>
      </c>
      <c r="X420" s="3" t="n">
        <v>8.1</v>
      </c>
      <c r="Y420" s="3" t="n">
        <v>283</v>
      </c>
      <c r="AA420" s="3" t="n">
        <v>0.44</v>
      </c>
      <c r="AB420" s="3" t="n">
        <v>11.2</v>
      </c>
      <c r="AD420" s="3" t="n">
        <v>2</v>
      </c>
      <c r="AE420" s="3" t="n">
        <v>1</v>
      </c>
      <c r="AF420" s="3" t="n">
        <v>1</v>
      </c>
      <c r="AG420" s="3" t="n">
        <v>2</v>
      </c>
      <c r="AH420" s="3" t="n">
        <v>2</v>
      </c>
      <c r="AI420" s="3" t="n">
        <v>1</v>
      </c>
      <c r="AJ420" s="3" t="n">
        <v>2</v>
      </c>
      <c r="AK420" s="3" t="n">
        <v>2</v>
      </c>
      <c r="AL420" s="3" t="n">
        <v>2</v>
      </c>
      <c r="AM420" s="3" t="n">
        <v>2</v>
      </c>
      <c r="AN420" s="3" t="n">
        <v>2</v>
      </c>
      <c r="AO420" s="3" t="n">
        <v>2</v>
      </c>
      <c r="AP420" s="3" t="n">
        <v>3</v>
      </c>
      <c r="AQ420" s="3" t="n">
        <v>4</v>
      </c>
      <c r="AR420" s="3" t="n">
        <v>4</v>
      </c>
      <c r="AS420" s="3" t="n">
        <v>6</v>
      </c>
      <c r="AT420" s="3" t="n">
        <v>4</v>
      </c>
      <c r="AU420" s="3" t="n">
        <v>4</v>
      </c>
      <c r="AV420" s="3" t="n">
        <v>6</v>
      </c>
      <c r="AW420" s="3" t="n">
        <v>6</v>
      </c>
      <c r="AX420" s="3" t="n">
        <v>3</v>
      </c>
      <c r="AY420" s="3" t="n">
        <v>3</v>
      </c>
      <c r="AZ420" s="3" t="n">
        <v>1</v>
      </c>
      <c r="BA420" s="5" t="n">
        <v>1</v>
      </c>
      <c r="BB420" s="3" t="n">
        <v>1</v>
      </c>
      <c r="BC420" s="3" t="n">
        <v>1</v>
      </c>
      <c r="BD420" s="3" t="n">
        <v>4</v>
      </c>
      <c r="BE420" s="3" t="n">
        <v>1</v>
      </c>
      <c r="BF420" s="3" t="n">
        <v>2</v>
      </c>
      <c r="BG420" s="3" t="n">
        <v>2</v>
      </c>
      <c r="BH420" s="3" t="n">
        <v>4</v>
      </c>
      <c r="BI420" s="3" t="n">
        <v>1</v>
      </c>
      <c r="BJ420" s="3" t="n">
        <v>1</v>
      </c>
      <c r="BK420" s="6" t="s">
        <v>1238</v>
      </c>
    </row>
    <row r="421" customFormat="false" ht="14.25" hidden="false" customHeight="true" outlineLevel="0" collapsed="false">
      <c r="B421" s="2" t="s">
        <v>1239</v>
      </c>
      <c r="C421" s="2" t="s">
        <v>1240</v>
      </c>
      <c r="D421" s="2" t="s">
        <v>95</v>
      </c>
      <c r="E421" s="2" t="n">
        <v>178553</v>
      </c>
      <c r="F421" s="15" t="n">
        <v>43613</v>
      </c>
      <c r="G421" s="15" t="n">
        <v>43619</v>
      </c>
      <c r="H421" s="3" t="n">
        <v>6</v>
      </c>
      <c r="I421" s="3" t="n">
        <v>2</v>
      </c>
      <c r="J421" s="3" t="n">
        <v>54</v>
      </c>
      <c r="K421" s="3" t="n">
        <v>1</v>
      </c>
      <c r="L421" s="3" t="n">
        <v>2</v>
      </c>
      <c r="M421" s="3" t="n">
        <v>1</v>
      </c>
      <c r="N421" s="3" t="n">
        <v>2</v>
      </c>
      <c r="O421" s="3" t="n">
        <v>2</v>
      </c>
      <c r="P421" s="3" t="n">
        <v>2</v>
      </c>
      <c r="Q421" s="3" t="n">
        <v>2</v>
      </c>
      <c r="R421" s="3" t="n">
        <v>2</v>
      </c>
      <c r="S421" s="3" t="n">
        <v>2</v>
      </c>
      <c r="T421" s="4" t="n">
        <v>12</v>
      </c>
      <c r="U421" s="3" t="n">
        <v>1</v>
      </c>
      <c r="V421" s="3" t="n">
        <v>5.05</v>
      </c>
      <c r="W421" s="3" t="n">
        <v>1.35</v>
      </c>
      <c r="X421" s="3" t="n">
        <v>3.37</v>
      </c>
      <c r="Y421" s="3" t="n">
        <v>308</v>
      </c>
      <c r="AA421" s="3" t="n">
        <v>0.46</v>
      </c>
      <c r="AB421" s="3" t="n">
        <v>11.9</v>
      </c>
      <c r="AC421" s="3" t="n">
        <v>1</v>
      </c>
      <c r="AD421" s="3" t="n">
        <v>2</v>
      </c>
      <c r="AE421" s="3" t="n">
        <v>2</v>
      </c>
      <c r="AF421" s="3" t="n">
        <v>1</v>
      </c>
      <c r="AG421" s="3" t="n">
        <v>2</v>
      </c>
      <c r="AH421" s="3" t="n">
        <v>2</v>
      </c>
      <c r="AI421" s="3" t="n">
        <v>2</v>
      </c>
      <c r="AJ421" s="3" t="n">
        <v>2</v>
      </c>
      <c r="AK421" s="3" t="n">
        <v>2</v>
      </c>
      <c r="AL421" s="3" t="n">
        <v>2</v>
      </c>
      <c r="AM421" s="3" t="n">
        <v>2</v>
      </c>
      <c r="AN421" s="3" t="n">
        <v>2</v>
      </c>
      <c r="AO421" s="3" t="n">
        <v>2</v>
      </c>
      <c r="AP421" s="3" t="n">
        <v>3</v>
      </c>
      <c r="AQ421" s="3" t="n">
        <v>4</v>
      </c>
      <c r="AR421" s="3" t="n">
        <v>4</v>
      </c>
      <c r="AS421" s="3" t="n">
        <v>6</v>
      </c>
      <c r="AT421" s="3" t="n">
        <v>4</v>
      </c>
      <c r="AU421" s="3" t="n">
        <v>4</v>
      </c>
      <c r="AV421" s="3" t="n">
        <v>6</v>
      </c>
      <c r="AW421" s="3" t="n">
        <v>6</v>
      </c>
      <c r="AX421" s="3" t="n">
        <v>3</v>
      </c>
      <c r="AY421" s="3" t="n">
        <v>3</v>
      </c>
      <c r="AZ421" s="3" t="n">
        <v>1</v>
      </c>
      <c r="BA421" s="5" t="n">
        <v>11</v>
      </c>
      <c r="BB421" s="3" t="n">
        <v>2</v>
      </c>
      <c r="BC421" s="3" t="n">
        <v>1</v>
      </c>
      <c r="BD421" s="3" t="n">
        <v>6</v>
      </c>
      <c r="BE421" s="3" t="n">
        <v>3</v>
      </c>
      <c r="BF421" s="3" t="n">
        <v>5</v>
      </c>
      <c r="BG421" s="3" t="n">
        <v>3</v>
      </c>
      <c r="BH421" s="3" t="n">
        <v>4</v>
      </c>
      <c r="BI421" s="3" t="n">
        <v>1</v>
      </c>
      <c r="BJ421" s="3" t="n">
        <v>1</v>
      </c>
      <c r="BK421" s="6" t="s">
        <v>1241</v>
      </c>
    </row>
    <row r="422" customFormat="false" ht="15" hidden="false" customHeight="true" outlineLevel="0" collapsed="false">
      <c r="B422" s="2" t="s">
        <v>1242</v>
      </c>
      <c r="C422" s="2" t="s">
        <v>1243</v>
      </c>
      <c r="D422" s="2" t="s">
        <v>70</v>
      </c>
      <c r="E422" s="2" t="n">
        <v>178872</v>
      </c>
      <c r="F422" s="15" t="n">
        <v>43618</v>
      </c>
      <c r="G422" s="15" t="n">
        <v>43626</v>
      </c>
      <c r="H422" s="3" t="n">
        <v>8</v>
      </c>
      <c r="I422" s="3" t="n">
        <v>2</v>
      </c>
      <c r="J422" s="3" t="n">
        <v>68</v>
      </c>
      <c r="K422" s="3" t="n">
        <v>1</v>
      </c>
      <c r="L422" s="3" t="n">
        <v>2</v>
      </c>
      <c r="M422" s="3" t="n">
        <v>1</v>
      </c>
      <c r="N422" s="3" t="n">
        <v>2</v>
      </c>
      <c r="O422" s="3" t="n">
        <v>2</v>
      </c>
      <c r="P422" s="3" t="n">
        <v>1</v>
      </c>
      <c r="Q422" s="3" t="n">
        <v>1</v>
      </c>
      <c r="R422" s="3" t="n">
        <v>1</v>
      </c>
      <c r="S422" s="3" t="n">
        <v>2</v>
      </c>
      <c r="T422" s="4" t="n">
        <v>2</v>
      </c>
      <c r="U422" s="3" t="n">
        <v>1</v>
      </c>
      <c r="V422" s="3" t="s">
        <v>1244</v>
      </c>
      <c r="W422" s="3" t="s">
        <v>1245</v>
      </c>
      <c r="X422" s="3" t="s">
        <v>1246</v>
      </c>
      <c r="Y422" s="3" t="n">
        <v>617</v>
      </c>
      <c r="AA422" s="3" t="s">
        <v>1247</v>
      </c>
      <c r="AB422" s="3" t="s">
        <v>1248</v>
      </c>
      <c r="AC422" s="3" t="n">
        <v>1</v>
      </c>
      <c r="AD422" s="3" t="n">
        <v>1</v>
      </c>
      <c r="AE422" s="3" t="n">
        <v>1</v>
      </c>
      <c r="AF422" s="3" t="n">
        <v>1</v>
      </c>
      <c r="AG422" s="3" t="n">
        <v>2</v>
      </c>
      <c r="AH422" s="3" t="n">
        <v>1</v>
      </c>
      <c r="AI422" s="3" t="n">
        <v>1</v>
      </c>
      <c r="AJ422" s="3" t="n">
        <v>2</v>
      </c>
      <c r="AK422" s="3" t="n">
        <v>1</v>
      </c>
      <c r="AL422" s="3" t="n">
        <v>2</v>
      </c>
      <c r="AM422" s="3" t="n">
        <v>1</v>
      </c>
      <c r="AN422" s="3" t="n">
        <v>2</v>
      </c>
      <c r="AO422" s="3" t="n">
        <v>2</v>
      </c>
      <c r="AP422" s="3" t="n">
        <v>3</v>
      </c>
      <c r="AQ422" s="3" t="n">
        <v>4</v>
      </c>
      <c r="AR422" s="3" t="n">
        <v>4</v>
      </c>
      <c r="AS422" s="3" t="n">
        <v>6</v>
      </c>
      <c r="AT422" s="3" t="n">
        <v>4</v>
      </c>
      <c r="AU422" s="3" t="n">
        <v>4</v>
      </c>
      <c r="AV422" s="3" t="n">
        <v>6</v>
      </c>
      <c r="AW422" s="3" t="n">
        <v>6</v>
      </c>
      <c r="AX422" s="3" t="n">
        <v>3</v>
      </c>
      <c r="AY422" s="3" t="n">
        <v>3</v>
      </c>
      <c r="AZ422" s="3" t="n">
        <v>1</v>
      </c>
      <c r="BA422" s="5" t="n">
        <v>5</v>
      </c>
      <c r="BB422" s="3" t="n">
        <v>2</v>
      </c>
      <c r="BC422" s="3" t="n">
        <v>1</v>
      </c>
      <c r="BD422" s="3" t="n">
        <v>6</v>
      </c>
      <c r="BE422" s="3" t="n">
        <v>3</v>
      </c>
      <c r="BF422" s="3" t="n">
        <v>5</v>
      </c>
      <c r="BG422" s="3" t="n">
        <v>3</v>
      </c>
      <c r="BH422" s="3" t="n">
        <v>4</v>
      </c>
      <c r="BI422" s="3" t="n">
        <v>1</v>
      </c>
      <c r="BJ422" s="3" t="n">
        <v>1</v>
      </c>
    </row>
    <row r="423" s="30" customFormat="true" ht="15" hidden="false" customHeight="true" outlineLevel="0" collapsed="false">
      <c r="A423" s="24"/>
      <c r="B423" s="26" t="s">
        <v>1249</v>
      </c>
      <c r="C423" s="26" t="s">
        <v>474</v>
      </c>
      <c r="D423" s="26" t="s">
        <v>428</v>
      </c>
      <c r="E423" s="26" t="n">
        <v>178863</v>
      </c>
      <c r="F423" s="27" t="n">
        <v>43617</v>
      </c>
      <c r="G423" s="27" t="n">
        <v>43627</v>
      </c>
      <c r="H423" s="30" t="n">
        <v>9</v>
      </c>
      <c r="I423" s="30" t="n">
        <v>2</v>
      </c>
      <c r="J423" s="30" t="n">
        <v>47</v>
      </c>
      <c r="K423" s="30" t="n">
        <v>2</v>
      </c>
      <c r="L423" s="30" t="n">
        <v>2</v>
      </c>
      <c r="M423" s="30" t="n">
        <v>1</v>
      </c>
      <c r="N423" s="30" t="n">
        <v>2</v>
      </c>
      <c r="O423" s="30" t="n">
        <v>1</v>
      </c>
      <c r="P423" s="30" t="n">
        <v>2</v>
      </c>
      <c r="Q423" s="30" t="n">
        <v>2</v>
      </c>
      <c r="R423" s="30" t="n">
        <v>2</v>
      </c>
      <c r="S423" s="30" t="n">
        <v>1</v>
      </c>
      <c r="T423" s="4" t="n">
        <v>3</v>
      </c>
      <c r="U423" s="30" t="n">
        <v>1</v>
      </c>
      <c r="V423" s="30" t="s">
        <v>1250</v>
      </c>
      <c r="W423" s="30" t="s">
        <v>1251</v>
      </c>
      <c r="X423" s="30" t="s">
        <v>1252</v>
      </c>
      <c r="Y423" s="30" t="n">
        <v>529</v>
      </c>
      <c r="AA423" s="30" t="s">
        <v>1253</v>
      </c>
      <c r="AB423" s="30" t="s">
        <v>1254</v>
      </c>
      <c r="AC423" s="30" t="n">
        <v>2</v>
      </c>
      <c r="AD423" s="30" t="n">
        <v>2</v>
      </c>
      <c r="AE423" s="30" t="n">
        <v>1</v>
      </c>
      <c r="AF423" s="30" t="n">
        <v>1</v>
      </c>
      <c r="AG423" s="30" t="n">
        <v>2</v>
      </c>
      <c r="AH423" s="30" t="n">
        <v>2</v>
      </c>
      <c r="AI423" s="30" t="n">
        <v>2</v>
      </c>
      <c r="AJ423" s="30" t="n">
        <v>1</v>
      </c>
      <c r="AK423" s="30" t="n">
        <v>2</v>
      </c>
      <c r="AL423" s="30" t="n">
        <v>2</v>
      </c>
      <c r="AM423" s="30" t="n">
        <v>1</v>
      </c>
      <c r="AN423" s="30" t="n">
        <v>2</v>
      </c>
      <c r="AO423" s="30" t="n">
        <v>2</v>
      </c>
      <c r="AP423" s="30" t="n">
        <v>3</v>
      </c>
      <c r="AQ423" s="30" t="n">
        <v>4</v>
      </c>
      <c r="AR423" s="30" t="n">
        <v>4</v>
      </c>
      <c r="AS423" s="30" t="n">
        <v>6</v>
      </c>
      <c r="AT423" s="30" t="n">
        <v>4</v>
      </c>
      <c r="AU423" s="30" t="n">
        <v>4</v>
      </c>
      <c r="AV423" s="30" t="n">
        <v>6</v>
      </c>
      <c r="AW423" s="30" t="n">
        <v>6</v>
      </c>
      <c r="AX423" s="30" t="n">
        <v>3</v>
      </c>
      <c r="AY423" s="30" t="n">
        <v>3</v>
      </c>
      <c r="AZ423" s="30" t="n">
        <v>6</v>
      </c>
      <c r="BA423" s="5" t="n">
        <v>3</v>
      </c>
      <c r="BB423" s="30" t="n">
        <v>2</v>
      </c>
      <c r="BC423" s="30" t="n">
        <v>2</v>
      </c>
      <c r="BD423" s="30" t="n">
        <v>6</v>
      </c>
      <c r="BE423" s="30" t="n">
        <v>3</v>
      </c>
      <c r="BF423" s="30" t="n">
        <v>5</v>
      </c>
      <c r="BG423" s="30" t="n">
        <v>3</v>
      </c>
      <c r="BH423" s="30" t="n">
        <v>4</v>
      </c>
      <c r="BI423" s="30" t="n">
        <v>1</v>
      </c>
      <c r="BJ423" s="30" t="n">
        <v>1</v>
      </c>
      <c r="BK423" s="31" t="s">
        <v>1255</v>
      </c>
    </row>
    <row r="424" s="30" customFormat="true" ht="15.75" hidden="false" customHeight="true" outlineLevel="0" collapsed="false">
      <c r="A424" s="24"/>
      <c r="B424" s="26" t="s">
        <v>1256</v>
      </c>
      <c r="C424" s="26" t="s">
        <v>1257</v>
      </c>
      <c r="D424" s="26" t="s">
        <v>386</v>
      </c>
      <c r="E424" s="26" t="n">
        <v>178521</v>
      </c>
      <c r="F424" s="27" t="n">
        <v>43612</v>
      </c>
      <c r="G424" s="27" t="n">
        <v>43622</v>
      </c>
      <c r="H424" s="30" t="n">
        <v>10</v>
      </c>
      <c r="I424" s="30" t="n">
        <v>1</v>
      </c>
      <c r="J424" s="30" t="n">
        <v>72</v>
      </c>
      <c r="K424" s="30" t="n">
        <v>1</v>
      </c>
      <c r="L424" s="30" t="n">
        <v>1</v>
      </c>
      <c r="M424" s="30" t="n">
        <v>2</v>
      </c>
      <c r="N424" s="30" t="n">
        <v>2</v>
      </c>
      <c r="O424" s="30" t="n">
        <v>2</v>
      </c>
      <c r="P424" s="30" t="n">
        <v>2</v>
      </c>
      <c r="Q424" s="30" t="n">
        <v>2</v>
      </c>
      <c r="R424" s="30" t="n">
        <v>2</v>
      </c>
      <c r="S424" s="30" t="n">
        <v>2</v>
      </c>
      <c r="T424" s="4" t="n">
        <v>2</v>
      </c>
      <c r="U424" s="30" t="n">
        <v>2</v>
      </c>
      <c r="V424" s="30" t="n">
        <v>4.67</v>
      </c>
      <c r="W424" s="30" t="n">
        <v>2.55</v>
      </c>
      <c r="X424" s="30" t="n">
        <v>7.4</v>
      </c>
      <c r="Y424" s="30" t="n">
        <v>721</v>
      </c>
      <c r="AA424" s="30" t="n">
        <v>0.3</v>
      </c>
      <c r="AB424" s="30" t="n">
        <v>8.2</v>
      </c>
      <c r="AC424" s="30" t="n">
        <v>2</v>
      </c>
      <c r="AD424" s="30" t="n">
        <v>1</v>
      </c>
      <c r="AE424" s="30" t="n">
        <v>1</v>
      </c>
      <c r="AF424" s="30" t="n">
        <v>1</v>
      </c>
      <c r="AG424" s="30" t="n">
        <v>2</v>
      </c>
      <c r="AH424" s="30" t="n">
        <v>2</v>
      </c>
      <c r="AI424" s="30" t="n">
        <v>1</v>
      </c>
      <c r="AJ424" s="30" t="n">
        <v>1</v>
      </c>
      <c r="AK424" s="30" t="n">
        <v>2</v>
      </c>
      <c r="AL424" s="30" t="n">
        <v>2</v>
      </c>
      <c r="AM424" s="30" t="n">
        <v>2</v>
      </c>
      <c r="AN424" s="30" t="n">
        <v>1</v>
      </c>
      <c r="AO424" s="30" t="n">
        <v>2</v>
      </c>
      <c r="AP424" s="30" t="n">
        <v>2</v>
      </c>
      <c r="AQ424" s="30" t="n">
        <v>3</v>
      </c>
      <c r="AR424" s="30" t="n">
        <v>9</v>
      </c>
      <c r="AS424" s="30" t="n">
        <v>5</v>
      </c>
      <c r="AT424" s="30" t="n">
        <v>2</v>
      </c>
      <c r="AU424" s="30" t="n">
        <v>4</v>
      </c>
      <c r="AV424" s="30" t="n">
        <v>2</v>
      </c>
      <c r="AW424" s="30" t="n">
        <v>8</v>
      </c>
      <c r="AX424" s="30" t="n">
        <v>2</v>
      </c>
      <c r="AY424" s="30" t="n">
        <v>1</v>
      </c>
      <c r="AZ424" s="30" t="n">
        <v>6</v>
      </c>
      <c r="BA424" s="5" t="n">
        <v>1</v>
      </c>
      <c r="BB424" s="30" t="n">
        <v>1</v>
      </c>
      <c r="BC424" s="30" t="n">
        <v>2</v>
      </c>
      <c r="BD424" s="30" t="n">
        <v>2</v>
      </c>
      <c r="BE424" s="30" t="n">
        <v>3</v>
      </c>
      <c r="BF424" s="30" t="n">
        <v>5</v>
      </c>
      <c r="BG424" s="30" t="n">
        <v>3</v>
      </c>
      <c r="BH424" s="30" t="n">
        <v>4</v>
      </c>
      <c r="BI424" s="30" t="n">
        <v>1</v>
      </c>
      <c r="BJ424" s="30" t="n">
        <v>1</v>
      </c>
      <c r="BK424" s="31" t="s">
        <v>1258</v>
      </c>
    </row>
    <row r="425" customFormat="false" ht="17.25" hidden="false" customHeight="true" outlineLevel="0" collapsed="false">
      <c r="B425" s="2" t="s">
        <v>278</v>
      </c>
      <c r="C425" s="2" t="s">
        <v>1259</v>
      </c>
      <c r="D425" s="2" t="s">
        <v>298</v>
      </c>
      <c r="E425" s="2" t="n">
        <v>178862</v>
      </c>
      <c r="F425" s="15" t="n">
        <v>43617</v>
      </c>
      <c r="G425" s="15" t="n">
        <v>43623</v>
      </c>
      <c r="H425" s="3" t="n">
        <v>6</v>
      </c>
      <c r="I425" s="3" t="n">
        <v>2</v>
      </c>
      <c r="J425" s="3" t="n">
        <v>79</v>
      </c>
      <c r="K425" s="3" t="n">
        <v>2</v>
      </c>
      <c r="L425" s="3" t="n">
        <v>1</v>
      </c>
      <c r="M425" s="3" t="n">
        <v>2</v>
      </c>
      <c r="N425" s="3" t="n">
        <v>2</v>
      </c>
      <c r="O425" s="3" t="n">
        <v>1</v>
      </c>
      <c r="P425" s="3" t="n">
        <v>2</v>
      </c>
      <c r="Q425" s="3" t="n">
        <v>2</v>
      </c>
      <c r="R425" s="3" t="n">
        <v>2</v>
      </c>
      <c r="S425" s="3" t="n">
        <v>1</v>
      </c>
      <c r="T425" s="4" t="n">
        <v>2</v>
      </c>
      <c r="U425" s="3" t="n">
        <v>1</v>
      </c>
      <c r="W425" s="3" t="s">
        <v>1260</v>
      </c>
      <c r="X425" s="3" t="s">
        <v>1261</v>
      </c>
      <c r="Y425" s="3" t="n">
        <v>374</v>
      </c>
      <c r="AA425" s="3" t="s">
        <v>1262</v>
      </c>
      <c r="AB425" s="3" t="s">
        <v>1263</v>
      </c>
      <c r="AC425" s="3" t="n">
        <v>2</v>
      </c>
      <c r="AD425" s="3" t="n">
        <v>2</v>
      </c>
      <c r="AE425" s="3" t="n">
        <v>1</v>
      </c>
      <c r="AF425" s="3" t="n">
        <v>1</v>
      </c>
      <c r="AG425" s="3" t="n">
        <v>2</v>
      </c>
      <c r="AH425" s="3" t="n">
        <v>1</v>
      </c>
      <c r="AI425" s="3" t="n">
        <v>1</v>
      </c>
      <c r="AJ425" s="3" t="n">
        <v>1</v>
      </c>
      <c r="AK425" s="3" t="n">
        <v>1</v>
      </c>
      <c r="AL425" s="3" t="n">
        <v>2</v>
      </c>
      <c r="AM425" s="3" t="n">
        <v>1</v>
      </c>
      <c r="AN425" s="3" t="n">
        <v>2</v>
      </c>
      <c r="AO425" s="3" t="n">
        <v>2</v>
      </c>
      <c r="AP425" s="3" t="n">
        <v>3</v>
      </c>
      <c r="AQ425" s="3" t="n">
        <v>4</v>
      </c>
      <c r="AR425" s="3" t="n">
        <v>4</v>
      </c>
      <c r="AS425" s="3" t="n">
        <v>6</v>
      </c>
      <c r="AT425" s="3" t="n">
        <v>4</v>
      </c>
      <c r="AU425" s="3" t="n">
        <v>4</v>
      </c>
      <c r="AV425" s="3" t="n">
        <v>6</v>
      </c>
      <c r="AW425" s="3" t="n">
        <v>6</v>
      </c>
      <c r="AX425" s="3" t="n">
        <v>3</v>
      </c>
      <c r="AY425" s="3" t="n">
        <v>3</v>
      </c>
      <c r="AZ425" s="3" t="n">
        <v>1</v>
      </c>
      <c r="BA425" s="5" t="n">
        <v>1</v>
      </c>
      <c r="BB425" s="3" t="n">
        <v>1</v>
      </c>
      <c r="BC425" s="3" t="n">
        <v>1</v>
      </c>
      <c r="BD425" s="3" t="n">
        <v>4</v>
      </c>
      <c r="BE425" s="3" t="n">
        <v>1</v>
      </c>
      <c r="BF425" s="3" t="n">
        <v>2</v>
      </c>
      <c r="BG425" s="3" t="n">
        <v>1</v>
      </c>
      <c r="BH425" s="3" t="n">
        <v>4</v>
      </c>
      <c r="BI425" s="3" t="n">
        <v>1</v>
      </c>
      <c r="BJ425" s="3" t="n">
        <v>1</v>
      </c>
    </row>
    <row r="426" s="11" customFormat="true" ht="15" hidden="false" customHeight="true" outlineLevel="0" collapsed="false">
      <c r="A426" s="1"/>
      <c r="B426" s="2" t="s">
        <v>543</v>
      </c>
      <c r="C426" s="2" t="s">
        <v>869</v>
      </c>
      <c r="D426" s="2" t="s">
        <v>1243</v>
      </c>
      <c r="E426" s="2" t="n">
        <v>178839</v>
      </c>
      <c r="F426" s="15" t="n">
        <v>43619</v>
      </c>
      <c r="G426" s="15" t="n">
        <v>43626</v>
      </c>
      <c r="H426" s="3" t="n">
        <v>7</v>
      </c>
      <c r="I426" s="3" t="n">
        <v>2</v>
      </c>
      <c r="J426" s="3" t="n">
        <v>56</v>
      </c>
      <c r="K426" s="3" t="n">
        <v>1</v>
      </c>
      <c r="L426" s="3" t="n">
        <v>1</v>
      </c>
      <c r="M426" s="3" t="n">
        <v>1</v>
      </c>
      <c r="N426" s="3" t="n">
        <v>2</v>
      </c>
      <c r="O426" s="3" t="n">
        <v>2</v>
      </c>
      <c r="P426" s="3" t="n">
        <v>2</v>
      </c>
      <c r="Q426" s="3" t="n">
        <v>2</v>
      </c>
      <c r="R426" s="3" t="n">
        <v>2</v>
      </c>
      <c r="S426" s="3" t="n">
        <v>1</v>
      </c>
      <c r="T426" s="4" t="n">
        <v>1</v>
      </c>
      <c r="U426" s="3" t="n">
        <v>2</v>
      </c>
      <c r="V426" s="3" t="s">
        <v>1264</v>
      </c>
      <c r="W426" s="3" t="s">
        <v>1265</v>
      </c>
      <c r="X426" s="3" t="s">
        <v>1266</v>
      </c>
      <c r="Y426" s="3" t="n">
        <v>292</v>
      </c>
      <c r="Z426" s="3"/>
      <c r="AA426" s="3" t="s">
        <v>1267</v>
      </c>
      <c r="AB426" s="3" t="s">
        <v>1268</v>
      </c>
      <c r="AC426" s="3"/>
      <c r="AD426" s="3" t="n">
        <v>1</v>
      </c>
      <c r="AE426" s="3" t="n">
        <v>1</v>
      </c>
      <c r="AF426" s="3" t="n">
        <v>1</v>
      </c>
      <c r="AG426" s="3" t="n">
        <v>1</v>
      </c>
      <c r="AH426" s="3" t="n">
        <v>2</v>
      </c>
      <c r="AI426" s="3" t="n">
        <v>2</v>
      </c>
      <c r="AJ426" s="3" t="n">
        <v>2</v>
      </c>
      <c r="AK426" s="3" t="n">
        <v>2</v>
      </c>
      <c r="AL426" s="3" t="n">
        <v>2</v>
      </c>
      <c r="AM426" s="3" t="n">
        <v>2</v>
      </c>
      <c r="AN426" s="3" t="n">
        <v>2</v>
      </c>
      <c r="AO426" s="3" t="n">
        <v>2</v>
      </c>
      <c r="AP426" s="3" t="n">
        <v>3</v>
      </c>
      <c r="AQ426" s="3" t="n">
        <v>4</v>
      </c>
      <c r="AR426" s="3" t="n">
        <v>4</v>
      </c>
      <c r="AS426" s="3" t="n">
        <v>6</v>
      </c>
      <c r="AT426" s="3" t="n">
        <v>4</v>
      </c>
      <c r="AU426" s="3" t="n">
        <v>4</v>
      </c>
      <c r="AV426" s="3" t="n">
        <v>6</v>
      </c>
      <c r="AW426" s="3" t="n">
        <v>6</v>
      </c>
      <c r="AX426" s="3" t="n">
        <v>3</v>
      </c>
      <c r="AY426" s="3" t="n">
        <v>3</v>
      </c>
      <c r="AZ426" s="3" t="n">
        <v>1</v>
      </c>
      <c r="BA426" s="5" t="n">
        <v>1</v>
      </c>
      <c r="BB426" s="3" t="n">
        <v>1</v>
      </c>
      <c r="BC426" s="3" t="n">
        <v>1</v>
      </c>
      <c r="BD426" s="3" t="n">
        <v>4</v>
      </c>
      <c r="BE426" s="3" t="n">
        <v>3</v>
      </c>
      <c r="BF426" s="3" t="n">
        <v>5</v>
      </c>
      <c r="BG426" s="3" t="n">
        <v>3</v>
      </c>
      <c r="BH426" s="3" t="n">
        <v>4</v>
      </c>
      <c r="BI426" s="3" t="n">
        <v>1</v>
      </c>
      <c r="BJ426" s="3" t="n">
        <v>1</v>
      </c>
      <c r="BK426" s="6"/>
    </row>
    <row r="427" customFormat="false" ht="16.5" hidden="false" customHeight="true" outlineLevel="0" collapsed="false">
      <c r="B427" s="2" t="s">
        <v>278</v>
      </c>
      <c r="C427" s="2" t="s">
        <v>1007</v>
      </c>
      <c r="D427" s="2" t="s">
        <v>66</v>
      </c>
      <c r="E427" s="2" t="n">
        <v>178130</v>
      </c>
      <c r="F427" s="15" t="n">
        <v>43609</v>
      </c>
      <c r="G427" s="15" t="n">
        <v>43622</v>
      </c>
      <c r="H427" s="3" t="n">
        <v>13</v>
      </c>
      <c r="I427" s="3" t="n">
        <v>2</v>
      </c>
      <c r="J427" s="3" t="n">
        <v>68</v>
      </c>
      <c r="K427" s="3" t="n">
        <v>1</v>
      </c>
      <c r="L427" s="3" t="n">
        <v>2</v>
      </c>
      <c r="M427" s="3" t="n">
        <v>1</v>
      </c>
      <c r="N427" s="3" t="n">
        <v>1</v>
      </c>
      <c r="O427" s="3" t="n">
        <v>1</v>
      </c>
      <c r="P427" s="3" t="n">
        <v>2</v>
      </c>
      <c r="Q427" s="3" t="n">
        <v>2</v>
      </c>
      <c r="R427" s="3" t="n">
        <v>2</v>
      </c>
      <c r="S427" s="3" t="n">
        <v>2</v>
      </c>
      <c r="T427" s="4" t="n">
        <v>1</v>
      </c>
      <c r="U427" s="3" t="n">
        <v>4</v>
      </c>
      <c r="V427" s="3" t="n">
        <v>3.19</v>
      </c>
      <c r="W427" s="3" t="n">
        <v>0.63</v>
      </c>
      <c r="X427" s="3" t="n">
        <v>5.4</v>
      </c>
      <c r="Y427" s="3" t="n">
        <v>618</v>
      </c>
      <c r="AA427" s="3" t="n">
        <v>0.43</v>
      </c>
      <c r="AB427" s="3" t="n">
        <v>11.16</v>
      </c>
      <c r="AC427" s="3" t="n">
        <v>2</v>
      </c>
      <c r="AD427" s="3" t="n">
        <v>1</v>
      </c>
      <c r="AE427" s="3" t="n">
        <v>1</v>
      </c>
      <c r="AF427" s="3" t="n">
        <v>1</v>
      </c>
      <c r="AG427" s="3" t="n">
        <v>2</v>
      </c>
      <c r="AH427" s="3" t="n">
        <v>2</v>
      </c>
      <c r="AI427" s="3" t="n">
        <v>1</v>
      </c>
      <c r="AJ427" s="3" t="n">
        <v>2</v>
      </c>
      <c r="AK427" s="3" t="n">
        <v>2</v>
      </c>
      <c r="AL427" s="3" t="n">
        <v>1</v>
      </c>
      <c r="AM427" s="3" t="n">
        <v>1</v>
      </c>
      <c r="AN427" s="3" t="n">
        <v>1</v>
      </c>
      <c r="AO427" s="3" t="n">
        <v>2</v>
      </c>
      <c r="AP427" s="3" t="n">
        <v>3</v>
      </c>
      <c r="AQ427" s="3" t="n">
        <v>4</v>
      </c>
      <c r="AR427" s="3" t="n">
        <v>4</v>
      </c>
      <c r="AS427" s="3" t="n">
        <v>6</v>
      </c>
      <c r="AT427" s="3" t="n">
        <v>4</v>
      </c>
      <c r="AU427" s="3" t="n">
        <v>4</v>
      </c>
      <c r="AV427" s="3" t="n">
        <v>6</v>
      </c>
      <c r="AW427" s="3" t="n">
        <v>6</v>
      </c>
      <c r="AX427" s="3" t="n">
        <v>3</v>
      </c>
      <c r="AY427" s="3" t="n">
        <v>3</v>
      </c>
      <c r="AZ427" s="3" t="n">
        <v>1</v>
      </c>
      <c r="BA427" s="5" t="n">
        <v>5</v>
      </c>
      <c r="BB427" s="3" t="n">
        <v>2</v>
      </c>
      <c r="BC427" s="3" t="n">
        <v>1</v>
      </c>
      <c r="BD427" s="3" t="n">
        <v>6</v>
      </c>
      <c r="BE427" s="3" t="n">
        <v>3</v>
      </c>
      <c r="BF427" s="3" t="n">
        <v>5</v>
      </c>
      <c r="BG427" s="3" t="n">
        <v>3</v>
      </c>
      <c r="BH427" s="3" t="n">
        <v>4</v>
      </c>
      <c r="BI427" s="3" t="n">
        <v>1</v>
      </c>
      <c r="BJ427" s="3" t="n">
        <v>1</v>
      </c>
      <c r="BK427" s="6" t="s">
        <v>1269</v>
      </c>
    </row>
    <row r="428" customFormat="false" ht="17.25" hidden="false" customHeight="true" outlineLevel="0" collapsed="false">
      <c r="B428" s="2" t="s">
        <v>1270</v>
      </c>
      <c r="C428" s="2" t="s">
        <v>95</v>
      </c>
      <c r="D428" s="2" t="s">
        <v>763</v>
      </c>
      <c r="E428" s="2" t="n">
        <v>178592</v>
      </c>
      <c r="F428" s="15" t="n">
        <v>43617</v>
      </c>
      <c r="G428" s="15" t="n">
        <v>43624</v>
      </c>
      <c r="H428" s="3" t="n">
        <v>7</v>
      </c>
      <c r="I428" s="3" t="n">
        <v>2</v>
      </c>
      <c r="J428" s="3" t="n">
        <v>58</v>
      </c>
      <c r="K428" s="3" t="n">
        <v>1</v>
      </c>
      <c r="L428" s="3" t="n">
        <v>1</v>
      </c>
      <c r="M428" s="3" t="n">
        <v>2</v>
      </c>
      <c r="N428" s="3" t="n">
        <v>2</v>
      </c>
      <c r="O428" s="3" t="n">
        <v>2</v>
      </c>
      <c r="P428" s="3" t="n">
        <v>2</v>
      </c>
      <c r="Q428" s="3" t="n">
        <v>2</v>
      </c>
      <c r="R428" s="3" t="n">
        <v>2</v>
      </c>
      <c r="S428" s="3" t="n">
        <v>2</v>
      </c>
      <c r="T428" s="4" t="n">
        <v>2</v>
      </c>
      <c r="U428" s="3" t="n">
        <v>2</v>
      </c>
      <c r="V428" s="3" t="s">
        <v>1271</v>
      </c>
      <c r="W428" s="3" t="s">
        <v>1272</v>
      </c>
      <c r="X428" s="3" t="s">
        <v>1273</v>
      </c>
      <c r="Y428" s="3" t="n">
        <v>167</v>
      </c>
      <c r="AA428" s="3" t="s">
        <v>1274</v>
      </c>
      <c r="AB428" s="3" t="s">
        <v>1275</v>
      </c>
      <c r="AD428" s="3" t="n">
        <v>2</v>
      </c>
      <c r="AE428" s="3" t="n">
        <v>1</v>
      </c>
      <c r="AF428" s="3" t="n">
        <v>1</v>
      </c>
      <c r="AG428" s="3" t="n">
        <v>2</v>
      </c>
      <c r="AH428" s="3" t="n">
        <v>2</v>
      </c>
      <c r="AI428" s="3" t="n">
        <v>2</v>
      </c>
      <c r="AJ428" s="3" t="n">
        <v>2</v>
      </c>
      <c r="AK428" s="3" t="n">
        <v>2</v>
      </c>
      <c r="AL428" s="3" t="n">
        <v>2</v>
      </c>
      <c r="AM428" s="3" t="n">
        <v>2</v>
      </c>
      <c r="AN428" s="3" t="n">
        <v>2</v>
      </c>
      <c r="AO428" s="3" t="n">
        <v>2</v>
      </c>
      <c r="AP428" s="3" t="n">
        <v>3</v>
      </c>
      <c r="AQ428" s="3" t="n">
        <v>4</v>
      </c>
      <c r="AR428" s="3" t="n">
        <v>4</v>
      </c>
      <c r="AS428" s="3" t="n">
        <v>6</v>
      </c>
      <c r="AT428" s="3" t="n">
        <v>4</v>
      </c>
      <c r="AU428" s="3" t="n">
        <v>4</v>
      </c>
      <c r="AV428" s="3" t="n">
        <v>6</v>
      </c>
      <c r="AW428" s="3" t="n">
        <v>6</v>
      </c>
      <c r="AX428" s="3" t="n">
        <v>3</v>
      </c>
      <c r="AY428" s="3" t="n">
        <v>3</v>
      </c>
      <c r="AZ428" s="3" t="n">
        <v>1</v>
      </c>
      <c r="BA428" s="5" t="n">
        <v>1</v>
      </c>
      <c r="BB428" s="3" t="n">
        <v>1</v>
      </c>
      <c r="BC428" s="3" t="n">
        <v>1</v>
      </c>
      <c r="BD428" s="3" t="n">
        <v>4</v>
      </c>
      <c r="BE428" s="3" t="n">
        <v>1</v>
      </c>
      <c r="BF428" s="3" t="n">
        <v>2</v>
      </c>
      <c r="BG428" s="3" t="n">
        <v>1</v>
      </c>
      <c r="BH428" s="3" t="n">
        <v>4</v>
      </c>
      <c r="BI428" s="3" t="n">
        <v>1</v>
      </c>
      <c r="BJ428" s="3" t="n">
        <v>1</v>
      </c>
    </row>
    <row r="429" customFormat="false" ht="18" hidden="false" customHeight="true" outlineLevel="0" collapsed="false">
      <c r="B429" s="2" t="s">
        <v>1276</v>
      </c>
      <c r="C429" s="2" t="s">
        <v>144</v>
      </c>
      <c r="D429" s="2" t="s">
        <v>161</v>
      </c>
      <c r="E429" s="2" t="n">
        <v>178977</v>
      </c>
      <c r="F429" s="15" t="n">
        <v>43620</v>
      </c>
      <c r="G429" s="15" t="n">
        <v>43623</v>
      </c>
      <c r="H429" s="3" t="n">
        <v>3</v>
      </c>
      <c r="I429" s="3" t="n">
        <v>2</v>
      </c>
      <c r="J429" s="3" t="n">
        <v>59</v>
      </c>
      <c r="K429" s="3" t="n">
        <v>1</v>
      </c>
      <c r="L429" s="3" t="n">
        <v>1</v>
      </c>
      <c r="M429" s="3" t="n">
        <v>2</v>
      </c>
      <c r="N429" s="3" t="n">
        <v>2</v>
      </c>
      <c r="O429" s="3" t="n">
        <v>2</v>
      </c>
      <c r="P429" s="3" t="n">
        <v>2</v>
      </c>
      <c r="Q429" s="3" t="n">
        <v>2</v>
      </c>
      <c r="R429" s="3" t="n">
        <v>2</v>
      </c>
      <c r="S429" s="3" t="n">
        <v>2</v>
      </c>
      <c r="T429" s="4" t="n">
        <v>12</v>
      </c>
      <c r="U429" s="3" t="n">
        <v>1</v>
      </c>
      <c r="V429" s="3" t="s">
        <v>1277</v>
      </c>
      <c r="W429" s="3" t="s">
        <v>1278</v>
      </c>
      <c r="X429" s="3" t="s">
        <v>1279</v>
      </c>
      <c r="Y429" s="3" t="n">
        <v>398</v>
      </c>
      <c r="AA429" s="3" t="s">
        <v>1267</v>
      </c>
      <c r="AB429" s="3" t="n">
        <v>13</v>
      </c>
      <c r="AD429" s="3" t="n">
        <v>2</v>
      </c>
      <c r="AE429" s="3" t="n">
        <v>2</v>
      </c>
      <c r="AF429" s="3" t="n">
        <v>1</v>
      </c>
      <c r="AG429" s="3" t="n">
        <v>2</v>
      </c>
      <c r="AH429" s="3" t="n">
        <v>2</v>
      </c>
      <c r="AI429" s="3" t="n">
        <v>2</v>
      </c>
      <c r="AJ429" s="3" t="n">
        <v>2</v>
      </c>
      <c r="AK429" s="3" t="n">
        <v>2</v>
      </c>
      <c r="AL429" s="3" t="n">
        <v>2</v>
      </c>
      <c r="AM429" s="3" t="n">
        <v>1</v>
      </c>
      <c r="AN429" s="3" t="n">
        <v>2</v>
      </c>
      <c r="AO429" s="3" t="n">
        <v>2</v>
      </c>
      <c r="AP429" s="3" t="n">
        <v>3</v>
      </c>
      <c r="AQ429" s="3" t="n">
        <v>4</v>
      </c>
      <c r="AR429" s="3" t="n">
        <v>4</v>
      </c>
      <c r="AS429" s="3" t="n">
        <v>6</v>
      </c>
      <c r="AT429" s="3" t="n">
        <v>4</v>
      </c>
      <c r="AU429" s="3" t="n">
        <v>4</v>
      </c>
      <c r="AV429" s="3" t="n">
        <v>6</v>
      </c>
      <c r="AW429" s="3" t="n">
        <v>6</v>
      </c>
      <c r="AX429" s="3" t="n">
        <v>3</v>
      </c>
      <c r="AY429" s="3" t="n">
        <v>3</v>
      </c>
      <c r="AZ429" s="3" t="n">
        <v>1</v>
      </c>
      <c r="BA429" s="5" t="n">
        <v>3</v>
      </c>
      <c r="BB429" s="3" t="n">
        <v>2</v>
      </c>
      <c r="BC429" s="3" t="n">
        <v>1</v>
      </c>
      <c r="BD429" s="3" t="n">
        <v>6</v>
      </c>
      <c r="BE429" s="3" t="n">
        <v>3</v>
      </c>
      <c r="BF429" s="3" t="n">
        <v>5</v>
      </c>
      <c r="BG429" s="3" t="n">
        <v>3</v>
      </c>
      <c r="BH429" s="3" t="n">
        <v>4</v>
      </c>
      <c r="BI429" s="3" t="n">
        <v>1</v>
      </c>
      <c r="BJ429" s="3" t="n">
        <v>1</v>
      </c>
      <c r="BK429" s="6" t="s">
        <v>1280</v>
      </c>
    </row>
    <row r="430" customFormat="false" ht="15" hidden="false" customHeight="true" outlineLevel="0" collapsed="false">
      <c r="B430" s="2" t="s">
        <v>1281</v>
      </c>
      <c r="C430" s="2" t="s">
        <v>95</v>
      </c>
      <c r="D430" s="2" t="s">
        <v>118</v>
      </c>
      <c r="E430" s="2" t="n">
        <v>178243</v>
      </c>
      <c r="F430" s="15" t="n">
        <v>43606</v>
      </c>
      <c r="G430" s="15" t="n">
        <v>43623</v>
      </c>
      <c r="H430" s="3" t="n">
        <v>17</v>
      </c>
      <c r="I430" s="3" t="n">
        <v>2</v>
      </c>
      <c r="J430" s="3" t="n">
        <v>67</v>
      </c>
      <c r="K430" s="3" t="n">
        <v>1</v>
      </c>
      <c r="L430" s="3" t="n">
        <v>2</v>
      </c>
      <c r="M430" s="3" t="n">
        <v>1</v>
      </c>
      <c r="N430" s="3" t="n">
        <v>1</v>
      </c>
      <c r="O430" s="3" t="n">
        <v>2</v>
      </c>
      <c r="P430" s="3" t="n">
        <v>2</v>
      </c>
      <c r="Q430" s="3" t="n">
        <v>2</v>
      </c>
      <c r="R430" s="3" t="n">
        <v>2</v>
      </c>
      <c r="S430" s="3" t="n">
        <v>1</v>
      </c>
      <c r="T430" s="4" t="n">
        <v>1</v>
      </c>
      <c r="U430" s="3" t="n">
        <v>1</v>
      </c>
      <c r="V430" s="3" t="n">
        <v>2.6</v>
      </c>
      <c r="W430" s="3" t="n">
        <v>0.49</v>
      </c>
      <c r="X430" s="3" t="n">
        <v>5.19</v>
      </c>
      <c r="Y430" s="3" t="n">
        <v>515</v>
      </c>
      <c r="AA430" s="3" t="n">
        <v>0.45</v>
      </c>
      <c r="AB430" s="3" t="n">
        <v>9.6</v>
      </c>
      <c r="AC430" s="3" t="n">
        <v>1</v>
      </c>
      <c r="AD430" s="3" t="n">
        <v>1</v>
      </c>
      <c r="AE430" s="3" t="n">
        <v>1</v>
      </c>
      <c r="AF430" s="3" t="n">
        <v>1</v>
      </c>
      <c r="AG430" s="3" t="n">
        <v>1</v>
      </c>
      <c r="AH430" s="3" t="n">
        <v>2</v>
      </c>
      <c r="AI430" s="3" t="n">
        <v>1</v>
      </c>
      <c r="AJ430" s="3" t="n">
        <v>1</v>
      </c>
      <c r="AK430" s="3" t="n">
        <v>2</v>
      </c>
      <c r="AL430" s="3" t="n">
        <v>2</v>
      </c>
      <c r="AM430" s="3" t="n">
        <v>2</v>
      </c>
      <c r="AN430" s="3" t="n">
        <v>2</v>
      </c>
      <c r="AO430" s="3" t="n">
        <v>2</v>
      </c>
      <c r="AP430" s="3" t="n">
        <v>3</v>
      </c>
      <c r="AQ430" s="3" t="n">
        <v>4</v>
      </c>
      <c r="AR430" s="3" t="n">
        <v>4</v>
      </c>
      <c r="AS430" s="3" t="n">
        <v>6</v>
      </c>
      <c r="AT430" s="3" t="n">
        <v>4</v>
      </c>
      <c r="AU430" s="3" t="n">
        <v>4</v>
      </c>
      <c r="AV430" s="3" t="n">
        <v>6</v>
      </c>
      <c r="AW430" s="3" t="n">
        <v>6</v>
      </c>
      <c r="AX430" s="3" t="n">
        <v>3</v>
      </c>
      <c r="AY430" s="3" t="n">
        <v>3</v>
      </c>
      <c r="AZ430" s="3" t="n">
        <v>1</v>
      </c>
      <c r="BA430" s="5" t="n">
        <v>5</v>
      </c>
      <c r="BB430" s="3" t="n">
        <v>2</v>
      </c>
      <c r="BC430" s="3" t="n">
        <v>1</v>
      </c>
      <c r="BD430" s="3" t="n">
        <v>6</v>
      </c>
      <c r="BE430" s="3" t="n">
        <v>3</v>
      </c>
      <c r="BF430" s="3" t="n">
        <v>5</v>
      </c>
      <c r="BG430" s="3" t="n">
        <v>3</v>
      </c>
      <c r="BH430" s="3" t="n">
        <v>4</v>
      </c>
      <c r="BI430" s="3" t="n">
        <v>1</v>
      </c>
      <c r="BJ430" s="3" t="n">
        <v>1</v>
      </c>
      <c r="BK430" s="6" t="s">
        <v>1282</v>
      </c>
    </row>
    <row r="431" customFormat="false" ht="15" hidden="false" customHeight="true" outlineLevel="0" collapsed="false">
      <c r="B431" s="2" t="s">
        <v>1283</v>
      </c>
      <c r="C431" s="2" t="s">
        <v>1284</v>
      </c>
      <c r="D431" s="2" t="s">
        <v>1285</v>
      </c>
      <c r="E431" s="2" t="n">
        <v>179328</v>
      </c>
      <c r="F431" s="15" t="n">
        <v>43627</v>
      </c>
      <c r="G431" s="15" t="n">
        <v>43633</v>
      </c>
      <c r="H431" s="3" t="n">
        <v>6</v>
      </c>
      <c r="I431" s="3" t="n">
        <v>2</v>
      </c>
      <c r="J431" s="3" t="n">
        <v>69</v>
      </c>
      <c r="K431" s="3" t="n">
        <v>2</v>
      </c>
      <c r="L431" s="3" t="n">
        <v>1</v>
      </c>
      <c r="M431" s="3" t="n">
        <v>1</v>
      </c>
      <c r="N431" s="3" t="n">
        <v>2</v>
      </c>
      <c r="O431" s="3" t="n">
        <v>2</v>
      </c>
      <c r="P431" s="3" t="n">
        <v>1</v>
      </c>
      <c r="Q431" s="3" t="n">
        <v>1</v>
      </c>
      <c r="R431" s="3" t="n">
        <v>2</v>
      </c>
      <c r="S431" s="3" t="n">
        <v>1</v>
      </c>
      <c r="T431" s="4" t="n">
        <v>1</v>
      </c>
      <c r="U431" s="3" t="n">
        <v>1</v>
      </c>
      <c r="V431" s="3" t="n">
        <v>4.67</v>
      </c>
      <c r="W431" s="3" t="n">
        <v>1.23</v>
      </c>
      <c r="X431" s="3" t="n">
        <v>7.8</v>
      </c>
      <c r="Y431" s="3" t="n">
        <v>535</v>
      </c>
      <c r="AA431" s="3" t="n">
        <v>0.45</v>
      </c>
      <c r="AB431" s="3" t="n">
        <v>8.3</v>
      </c>
      <c r="AC431" s="3" t="n">
        <v>1</v>
      </c>
      <c r="AD431" s="3" t="n">
        <v>1</v>
      </c>
      <c r="AE431" s="3" t="n">
        <v>1</v>
      </c>
      <c r="AF431" s="3" t="n">
        <v>1</v>
      </c>
      <c r="AG431" s="3" t="n">
        <v>2</v>
      </c>
      <c r="AH431" s="3" t="n">
        <v>1</v>
      </c>
      <c r="AI431" s="3" t="n">
        <v>1</v>
      </c>
      <c r="AJ431" s="3" t="n">
        <v>1</v>
      </c>
      <c r="AK431" s="3" t="n">
        <v>2</v>
      </c>
      <c r="AL431" s="3" t="n">
        <v>2</v>
      </c>
      <c r="AM431" s="3" t="n">
        <v>1</v>
      </c>
      <c r="AN431" s="3" t="n">
        <v>2</v>
      </c>
      <c r="AO431" s="3" t="n">
        <v>2</v>
      </c>
      <c r="AP431" s="3" t="n">
        <v>3</v>
      </c>
      <c r="AQ431" s="3" t="n">
        <v>4</v>
      </c>
      <c r="AR431" s="3" t="n">
        <v>4</v>
      </c>
      <c r="AS431" s="3" t="n">
        <v>6</v>
      </c>
      <c r="AT431" s="3" t="n">
        <v>4</v>
      </c>
      <c r="AU431" s="3" t="n">
        <v>4</v>
      </c>
      <c r="AV431" s="3" t="n">
        <v>6</v>
      </c>
      <c r="AW431" s="3" t="n">
        <v>6</v>
      </c>
      <c r="AX431" s="3" t="n">
        <v>3</v>
      </c>
      <c r="AY431" s="3" t="n">
        <v>3</v>
      </c>
      <c r="AZ431" s="3" t="n">
        <v>1</v>
      </c>
      <c r="BA431" s="5" t="n">
        <v>5</v>
      </c>
      <c r="BB431" s="3" t="n">
        <v>2</v>
      </c>
      <c r="BC431" s="3" t="n">
        <v>1</v>
      </c>
      <c r="BD431" s="3" t="n">
        <v>6</v>
      </c>
      <c r="BE431" s="3" t="n">
        <v>3</v>
      </c>
      <c r="BF431" s="3" t="n">
        <v>5</v>
      </c>
      <c r="BG431" s="3" t="n">
        <v>3</v>
      </c>
      <c r="BH431" s="3" t="n">
        <v>4</v>
      </c>
      <c r="BI431" s="3" t="n">
        <v>1</v>
      </c>
      <c r="BJ431" s="3" t="n">
        <v>1</v>
      </c>
      <c r="BK431" s="6" t="s">
        <v>1286</v>
      </c>
    </row>
    <row r="432" customFormat="false" ht="15" hidden="false" customHeight="true" outlineLevel="0" collapsed="false">
      <c r="B432" s="2" t="s">
        <v>1287</v>
      </c>
      <c r="C432" s="2" t="s">
        <v>336</v>
      </c>
      <c r="D432" s="2" t="s">
        <v>598</v>
      </c>
      <c r="E432" s="2" t="n">
        <v>179367</v>
      </c>
      <c r="F432" s="15" t="n">
        <v>43626</v>
      </c>
      <c r="G432" s="15" t="n">
        <v>43633</v>
      </c>
      <c r="H432" s="3" t="n">
        <v>7</v>
      </c>
      <c r="I432" s="3" t="n">
        <v>2</v>
      </c>
      <c r="J432" s="3" t="n">
        <v>49</v>
      </c>
      <c r="K432" s="3" t="n">
        <v>2</v>
      </c>
      <c r="L432" s="3" t="n">
        <v>1</v>
      </c>
      <c r="M432" s="3" t="n">
        <v>1</v>
      </c>
      <c r="N432" s="3" t="n">
        <v>2</v>
      </c>
      <c r="O432" s="3" t="n">
        <v>2</v>
      </c>
      <c r="P432" s="3" t="n">
        <v>2</v>
      </c>
      <c r="Q432" s="3" t="n">
        <v>2</v>
      </c>
      <c r="R432" s="3" t="n">
        <v>2</v>
      </c>
      <c r="S432" s="3" t="n">
        <v>2</v>
      </c>
      <c r="T432" s="4" t="n">
        <v>1</v>
      </c>
      <c r="U432" s="3" t="n">
        <v>1</v>
      </c>
      <c r="V432" s="3" t="n">
        <v>4.53</v>
      </c>
      <c r="W432" s="3" t="n">
        <v>0.78</v>
      </c>
      <c r="X432" s="3" t="n">
        <v>3.42</v>
      </c>
      <c r="Y432" s="3" t="n">
        <v>409</v>
      </c>
      <c r="AA432" s="3" t="n">
        <v>0.46</v>
      </c>
      <c r="AB432" s="3" t="n">
        <v>8.2</v>
      </c>
      <c r="AC432" s="3" t="n">
        <v>1</v>
      </c>
      <c r="AD432" s="3" t="n">
        <v>1</v>
      </c>
      <c r="AE432" s="3" t="n">
        <v>1</v>
      </c>
      <c r="AF432" s="3" t="n">
        <v>1</v>
      </c>
      <c r="AG432" s="3" t="n">
        <v>1</v>
      </c>
      <c r="AH432" s="3" t="n">
        <v>1</v>
      </c>
      <c r="AI432" s="3" t="n">
        <v>1</v>
      </c>
      <c r="AJ432" s="3" t="n">
        <v>1</v>
      </c>
      <c r="AK432" s="3" t="n">
        <v>2</v>
      </c>
      <c r="AL432" s="3" t="n">
        <v>2</v>
      </c>
      <c r="AM432" s="3" t="n">
        <v>1</v>
      </c>
      <c r="AN432" s="3" t="n">
        <v>2</v>
      </c>
      <c r="AO432" s="3" t="n">
        <v>2</v>
      </c>
      <c r="AP432" s="3" t="n">
        <v>3</v>
      </c>
      <c r="AQ432" s="3" t="n">
        <v>4</v>
      </c>
      <c r="AR432" s="3" t="n">
        <v>4</v>
      </c>
      <c r="AS432" s="3" t="n">
        <v>6</v>
      </c>
      <c r="AT432" s="3" t="n">
        <v>4</v>
      </c>
      <c r="AU432" s="3" t="n">
        <v>4</v>
      </c>
      <c r="AV432" s="3" t="n">
        <v>6</v>
      </c>
      <c r="AW432" s="3" t="n">
        <v>6</v>
      </c>
      <c r="AX432" s="3" t="n">
        <v>3</v>
      </c>
      <c r="AY432" s="3" t="n">
        <v>3</v>
      </c>
      <c r="AZ432" s="3" t="n">
        <v>1</v>
      </c>
      <c r="BA432" s="5" t="n">
        <v>4</v>
      </c>
      <c r="BB432" s="3" t="n">
        <v>2</v>
      </c>
      <c r="BC432" s="3" t="n">
        <v>1</v>
      </c>
      <c r="BD432" s="3" t="n">
        <v>6</v>
      </c>
      <c r="BE432" s="3" t="n">
        <v>3</v>
      </c>
      <c r="BF432" s="3" t="n">
        <v>5</v>
      </c>
      <c r="BG432" s="3" t="n">
        <v>3</v>
      </c>
      <c r="BH432" s="3" t="n">
        <v>4</v>
      </c>
      <c r="BI432" s="3" t="n">
        <v>1</v>
      </c>
      <c r="BJ432" s="3" t="n">
        <v>1</v>
      </c>
      <c r="BK432" s="6" t="s">
        <v>1288</v>
      </c>
    </row>
    <row r="433" customFormat="false" ht="15" hidden="false" customHeight="true" outlineLevel="0" collapsed="false">
      <c r="B433" s="2" t="s">
        <v>1289</v>
      </c>
      <c r="C433" s="2" t="s">
        <v>458</v>
      </c>
      <c r="D433" s="2" t="s">
        <v>414</v>
      </c>
      <c r="E433" s="2" t="n">
        <v>106698</v>
      </c>
      <c r="F433" s="15" t="n">
        <v>43626</v>
      </c>
      <c r="G433" s="15" t="n">
        <v>43631</v>
      </c>
      <c r="H433" s="3" t="n">
        <v>5</v>
      </c>
      <c r="I433" s="3" t="n">
        <v>1</v>
      </c>
      <c r="J433" s="3" t="n">
        <v>87</v>
      </c>
      <c r="K433" s="3" t="n">
        <v>1</v>
      </c>
      <c r="L433" s="3" t="n">
        <v>2</v>
      </c>
      <c r="M433" s="3" t="n">
        <v>1</v>
      </c>
      <c r="N433" s="3" t="n">
        <v>2</v>
      </c>
      <c r="O433" s="3" t="n">
        <v>2</v>
      </c>
      <c r="P433" s="3" t="n">
        <v>2</v>
      </c>
      <c r="Q433" s="3" t="n">
        <v>2</v>
      </c>
      <c r="R433" s="3" t="n">
        <v>2</v>
      </c>
      <c r="S433" s="3" t="n">
        <v>1</v>
      </c>
      <c r="T433" s="4" t="n">
        <v>3</v>
      </c>
      <c r="U433" s="3" t="n">
        <v>4</v>
      </c>
      <c r="V433" s="3" t="n">
        <v>2.68</v>
      </c>
      <c r="W433" s="3" t="n">
        <v>0.83</v>
      </c>
      <c r="X433" s="3" t="n">
        <v>3.73</v>
      </c>
      <c r="Y433" s="3" t="n">
        <v>926</v>
      </c>
      <c r="AA433" s="3" t="n">
        <v>0.48</v>
      </c>
      <c r="AB433" s="3" t="n">
        <v>8.9</v>
      </c>
      <c r="AC433" s="3" t="n">
        <v>2</v>
      </c>
      <c r="AD433" s="3" t="n">
        <v>2</v>
      </c>
      <c r="AE433" s="3" t="n">
        <v>1</v>
      </c>
      <c r="AF433" s="3" t="n">
        <v>1</v>
      </c>
      <c r="AG433" s="3" t="n">
        <v>2</v>
      </c>
      <c r="AH433" s="3" t="n">
        <v>2</v>
      </c>
      <c r="AI433" s="3" t="n">
        <v>1</v>
      </c>
      <c r="AJ433" s="3" t="n">
        <v>2</v>
      </c>
      <c r="AK433" s="3" t="n">
        <v>2</v>
      </c>
      <c r="AL433" s="3" t="n">
        <v>1</v>
      </c>
      <c r="AM433" s="3" t="n">
        <v>1</v>
      </c>
      <c r="AN433" s="3" t="n">
        <v>1</v>
      </c>
      <c r="AO433" s="3" t="n">
        <v>2</v>
      </c>
      <c r="AP433" s="3" t="n">
        <v>3</v>
      </c>
      <c r="AQ433" s="3" t="n">
        <v>4</v>
      </c>
      <c r="AR433" s="3" t="n">
        <v>4</v>
      </c>
      <c r="AS433" s="3" t="n">
        <v>6</v>
      </c>
      <c r="AT433" s="3" t="n">
        <v>4</v>
      </c>
      <c r="AU433" s="3" t="n">
        <v>4</v>
      </c>
      <c r="AV433" s="3" t="n">
        <v>6</v>
      </c>
      <c r="AW433" s="3" t="n">
        <v>6</v>
      </c>
      <c r="AX433" s="3" t="n">
        <v>3</v>
      </c>
      <c r="AY433" s="3" t="n">
        <v>3</v>
      </c>
      <c r="AZ433" s="3" t="n">
        <v>6</v>
      </c>
      <c r="BA433" s="5" t="n">
        <v>11</v>
      </c>
      <c r="BB433" s="3" t="n">
        <v>2</v>
      </c>
      <c r="BC433" s="3" t="n">
        <v>1</v>
      </c>
      <c r="BD433" s="3" t="n">
        <v>6</v>
      </c>
      <c r="BE433" s="3" t="n">
        <v>3</v>
      </c>
      <c r="BF433" s="3" t="n">
        <v>5</v>
      </c>
      <c r="BG433" s="3" t="n">
        <v>3</v>
      </c>
      <c r="BH433" s="3" t="n">
        <v>4</v>
      </c>
      <c r="BI433" s="3" t="n">
        <v>1</v>
      </c>
      <c r="BJ433" s="3" t="n">
        <v>1</v>
      </c>
      <c r="BK433" s="6" t="s">
        <v>1290</v>
      </c>
    </row>
    <row r="434" customFormat="false" ht="15" hidden="false" customHeight="true" outlineLevel="0" collapsed="false">
      <c r="B434" s="2" t="s">
        <v>1291</v>
      </c>
      <c r="C434" s="2" t="s">
        <v>66</v>
      </c>
      <c r="D434" s="2" t="s">
        <v>410</v>
      </c>
      <c r="E434" s="2" t="n">
        <v>177608</v>
      </c>
      <c r="F434" s="15" t="n">
        <v>43627</v>
      </c>
      <c r="G434" s="15" t="n">
        <v>43633</v>
      </c>
      <c r="H434" s="3" t="n">
        <v>6</v>
      </c>
      <c r="I434" s="3" t="n">
        <v>2</v>
      </c>
      <c r="J434" s="3" t="n">
        <v>79</v>
      </c>
      <c r="K434" s="3" t="n">
        <v>1</v>
      </c>
      <c r="L434" s="3" t="n">
        <v>2</v>
      </c>
      <c r="M434" s="3" t="n">
        <v>1</v>
      </c>
      <c r="N434" s="3" t="n">
        <v>2</v>
      </c>
      <c r="O434" s="3" t="n">
        <v>2</v>
      </c>
      <c r="P434" s="3" t="n">
        <v>2</v>
      </c>
      <c r="Q434" s="3" t="n">
        <v>2</v>
      </c>
      <c r="R434" s="3" t="n">
        <v>2</v>
      </c>
      <c r="S434" s="3" t="n">
        <v>1</v>
      </c>
      <c r="T434" s="4" t="n">
        <v>1</v>
      </c>
      <c r="U434" s="3" t="n">
        <v>1</v>
      </c>
      <c r="V434" s="3" t="n">
        <v>3.11</v>
      </c>
      <c r="W434" s="3" t="n">
        <v>0.98</v>
      </c>
      <c r="X434" s="3" t="n">
        <v>4.89</v>
      </c>
      <c r="Y434" s="3" t="n">
        <v>503</v>
      </c>
      <c r="AA434" s="3" t="n">
        <v>0.37</v>
      </c>
      <c r="AB434" s="3" t="n">
        <v>11.2</v>
      </c>
      <c r="AC434" s="3" t="n">
        <v>1</v>
      </c>
      <c r="AD434" s="3" t="n">
        <v>1</v>
      </c>
      <c r="AE434" s="3" t="n">
        <v>1</v>
      </c>
      <c r="AF434" s="3" t="n">
        <v>1</v>
      </c>
      <c r="AG434" s="3" t="n">
        <v>1</v>
      </c>
      <c r="AH434" s="3" t="n">
        <v>2</v>
      </c>
      <c r="AI434" s="3" t="n">
        <v>1</v>
      </c>
      <c r="AJ434" s="3" t="n">
        <v>1</v>
      </c>
      <c r="AK434" s="3" t="n">
        <v>2</v>
      </c>
      <c r="AL434" s="3" t="n">
        <v>2</v>
      </c>
      <c r="AM434" s="3" t="n">
        <v>1</v>
      </c>
      <c r="AN434" s="3" t="n">
        <v>2</v>
      </c>
      <c r="AO434" s="3" t="n">
        <v>2</v>
      </c>
      <c r="AP434" s="3" t="n">
        <v>3</v>
      </c>
      <c r="AQ434" s="3" t="n">
        <v>4</v>
      </c>
      <c r="AR434" s="3" t="n">
        <v>4</v>
      </c>
      <c r="AS434" s="3" t="n">
        <v>6</v>
      </c>
      <c r="AT434" s="3" t="n">
        <v>4</v>
      </c>
      <c r="AU434" s="3" t="n">
        <v>4</v>
      </c>
      <c r="AV434" s="3" t="n">
        <v>6</v>
      </c>
      <c r="AW434" s="3" t="n">
        <v>6</v>
      </c>
      <c r="AX434" s="3" t="n">
        <v>3</v>
      </c>
      <c r="AY434" s="3" t="n">
        <v>3</v>
      </c>
      <c r="AZ434" s="3" t="n">
        <v>1</v>
      </c>
      <c r="BA434" s="5" t="n">
        <v>5</v>
      </c>
      <c r="BB434" s="3" t="n">
        <v>2</v>
      </c>
      <c r="BC434" s="3" t="n">
        <v>1</v>
      </c>
      <c r="BD434" s="3" t="n">
        <v>6</v>
      </c>
      <c r="BE434" s="3" t="n">
        <v>3</v>
      </c>
      <c r="BF434" s="3" t="n">
        <v>5</v>
      </c>
      <c r="BG434" s="3" t="n">
        <v>3</v>
      </c>
      <c r="BH434" s="3" t="n">
        <v>4</v>
      </c>
      <c r="BI434" s="3" t="n">
        <v>1</v>
      </c>
      <c r="BJ434" s="3" t="n">
        <v>1</v>
      </c>
      <c r="BK434" s="6" t="s">
        <v>1292</v>
      </c>
    </row>
    <row r="435" s="23" customFormat="true" ht="16.5" hidden="false" customHeight="true" outlineLevel="0" collapsed="false">
      <c r="A435" s="1"/>
      <c r="B435" s="2" t="s">
        <v>1293</v>
      </c>
      <c r="C435" s="2" t="s">
        <v>1294</v>
      </c>
      <c r="D435" s="2" t="s">
        <v>204</v>
      </c>
      <c r="E435" s="2" t="n">
        <v>179127</v>
      </c>
      <c r="F435" s="15" t="n">
        <v>43619</v>
      </c>
      <c r="G435" s="15" t="n">
        <v>43634</v>
      </c>
      <c r="H435" s="3" t="n">
        <v>15</v>
      </c>
      <c r="I435" s="3" t="n">
        <v>2</v>
      </c>
      <c r="J435" s="3" t="n">
        <v>80</v>
      </c>
      <c r="K435" s="3" t="n">
        <v>1</v>
      </c>
      <c r="L435" s="3" t="n">
        <v>1</v>
      </c>
      <c r="M435" s="3" t="n">
        <v>1</v>
      </c>
      <c r="N435" s="3" t="n">
        <v>2</v>
      </c>
      <c r="O435" s="3" t="n">
        <v>2</v>
      </c>
      <c r="P435" s="3" t="n">
        <v>2</v>
      </c>
      <c r="Q435" s="3" t="n">
        <v>1</v>
      </c>
      <c r="R435" s="3" t="n">
        <v>2</v>
      </c>
      <c r="S435" s="3" t="n">
        <v>1</v>
      </c>
      <c r="T435" s="4" t="n">
        <v>4</v>
      </c>
      <c r="U435" s="3" t="n">
        <v>4</v>
      </c>
      <c r="V435" s="3" t="s">
        <v>1295</v>
      </c>
      <c r="W435" s="3" t="s">
        <v>1296</v>
      </c>
      <c r="X435" s="3" t="n">
        <v>7.5</v>
      </c>
      <c r="Y435" s="3" t="n">
        <v>806</v>
      </c>
      <c r="Z435" s="3"/>
      <c r="AA435" s="3" t="s">
        <v>1267</v>
      </c>
      <c r="AB435" s="3" t="s">
        <v>1297</v>
      </c>
      <c r="AC435" s="3" t="n">
        <v>2</v>
      </c>
      <c r="AD435" s="3" t="n">
        <v>2</v>
      </c>
      <c r="AE435" s="3" t="n">
        <v>1</v>
      </c>
      <c r="AF435" s="3" t="n">
        <v>2</v>
      </c>
      <c r="AG435" s="3" t="n">
        <v>2</v>
      </c>
      <c r="AH435" s="3" t="n">
        <v>2</v>
      </c>
      <c r="AI435" s="3" t="n">
        <v>2</v>
      </c>
      <c r="AJ435" s="3" t="n">
        <v>2</v>
      </c>
      <c r="AK435" s="3" t="n">
        <v>2</v>
      </c>
      <c r="AL435" s="3" t="n">
        <v>2</v>
      </c>
      <c r="AM435" s="3" t="n">
        <v>1</v>
      </c>
      <c r="AN435" s="3" t="n">
        <v>2</v>
      </c>
      <c r="AO435" s="3" t="n">
        <v>2</v>
      </c>
      <c r="AP435" s="3" t="n">
        <v>3</v>
      </c>
      <c r="AQ435" s="3" t="n">
        <v>4</v>
      </c>
      <c r="AR435" s="3" t="n">
        <v>4</v>
      </c>
      <c r="AS435" s="3" t="n">
        <v>6</v>
      </c>
      <c r="AT435" s="3" t="n">
        <v>4</v>
      </c>
      <c r="AU435" s="3" t="n">
        <v>4</v>
      </c>
      <c r="AV435" s="3" t="n">
        <v>6</v>
      </c>
      <c r="AW435" s="3" t="n">
        <v>6</v>
      </c>
      <c r="AX435" s="3" t="n">
        <v>3</v>
      </c>
      <c r="AY435" s="3" t="n">
        <v>3</v>
      </c>
      <c r="AZ435" s="3" t="n">
        <v>1</v>
      </c>
      <c r="BA435" s="5" t="n">
        <v>10</v>
      </c>
      <c r="BB435" s="3" t="n">
        <v>2</v>
      </c>
      <c r="BC435" s="3" t="n">
        <v>1</v>
      </c>
      <c r="BD435" s="3" t="n">
        <v>6</v>
      </c>
      <c r="BE435" s="3" t="n">
        <v>3</v>
      </c>
      <c r="BF435" s="3" t="n">
        <v>5</v>
      </c>
      <c r="BG435" s="3" t="n">
        <v>3</v>
      </c>
      <c r="BH435" s="3" t="n">
        <v>4</v>
      </c>
      <c r="BI435" s="3" t="n">
        <v>1</v>
      </c>
      <c r="BJ435" s="3" t="n">
        <v>1</v>
      </c>
      <c r="BK435" s="6" t="s">
        <v>1298</v>
      </c>
    </row>
    <row r="436" customFormat="false" ht="15" hidden="false" customHeight="true" outlineLevel="0" collapsed="false">
      <c r="B436" s="2" t="s">
        <v>1017</v>
      </c>
      <c r="C436" s="2" t="s">
        <v>967</v>
      </c>
      <c r="D436" s="2" t="s">
        <v>423</v>
      </c>
      <c r="E436" s="2" t="n">
        <v>177187</v>
      </c>
      <c r="F436" s="15" t="n">
        <v>43629</v>
      </c>
      <c r="G436" s="15" t="n">
        <v>43634</v>
      </c>
      <c r="H436" s="3" t="n">
        <v>5</v>
      </c>
      <c r="I436" s="3" t="n">
        <v>1</v>
      </c>
      <c r="J436" s="3" t="n">
        <v>70</v>
      </c>
      <c r="K436" s="3" t="n">
        <v>1</v>
      </c>
      <c r="L436" s="3" t="n">
        <v>2</v>
      </c>
      <c r="M436" s="3" t="n">
        <v>1</v>
      </c>
      <c r="N436" s="3" t="n">
        <v>2</v>
      </c>
      <c r="O436" s="3" t="n">
        <v>2</v>
      </c>
      <c r="P436" s="3" t="n">
        <v>2</v>
      </c>
      <c r="Q436" s="3" t="n">
        <v>2</v>
      </c>
      <c r="R436" s="3" t="n">
        <v>2</v>
      </c>
      <c r="S436" s="3" t="n">
        <v>2</v>
      </c>
      <c r="T436" s="4" t="n">
        <v>1</v>
      </c>
      <c r="U436" s="3" t="n">
        <v>1</v>
      </c>
      <c r="V436" s="3" t="n">
        <v>5.77</v>
      </c>
      <c r="W436" s="3" t="n">
        <v>0.99</v>
      </c>
      <c r="X436" s="3" t="n">
        <v>6.7</v>
      </c>
      <c r="Y436" s="3" t="n">
        <v>378</v>
      </c>
      <c r="AA436" s="3" t="n">
        <v>0.41</v>
      </c>
      <c r="AC436" s="3" t="n">
        <v>1</v>
      </c>
      <c r="AD436" s="3" t="n">
        <v>1</v>
      </c>
      <c r="AE436" s="3" t="n">
        <v>1</v>
      </c>
      <c r="AF436" s="3" t="n">
        <v>1</v>
      </c>
      <c r="AG436" s="3" t="n">
        <v>1</v>
      </c>
      <c r="AH436" s="3" t="n">
        <v>2</v>
      </c>
      <c r="AI436" s="3" t="n">
        <v>1</v>
      </c>
      <c r="AJ436" s="3" t="n">
        <v>1</v>
      </c>
      <c r="AK436" s="3" t="n">
        <v>2</v>
      </c>
      <c r="AL436" s="3" t="n">
        <v>2</v>
      </c>
      <c r="AM436" s="3" t="n">
        <v>1</v>
      </c>
      <c r="AN436" s="3" t="n">
        <v>2</v>
      </c>
      <c r="AO436" s="3" t="n">
        <v>2</v>
      </c>
      <c r="AP436" s="3" t="n">
        <v>3</v>
      </c>
      <c r="AQ436" s="3" t="n">
        <v>4</v>
      </c>
      <c r="AR436" s="3" t="n">
        <v>4</v>
      </c>
      <c r="AS436" s="3" t="n">
        <v>6</v>
      </c>
      <c r="AT436" s="3" t="n">
        <v>4</v>
      </c>
      <c r="AU436" s="3" t="n">
        <v>4</v>
      </c>
      <c r="AV436" s="3" t="n">
        <v>6</v>
      </c>
      <c r="AW436" s="3" t="n">
        <v>6</v>
      </c>
      <c r="AX436" s="3" t="n">
        <v>3</v>
      </c>
      <c r="AY436" s="3" t="n">
        <v>3</v>
      </c>
      <c r="AZ436" s="3" t="n">
        <v>1</v>
      </c>
      <c r="BA436" s="5" t="n">
        <v>5</v>
      </c>
      <c r="BB436" s="3" t="n">
        <v>2</v>
      </c>
      <c r="BC436" s="3" t="n">
        <v>1</v>
      </c>
      <c r="BD436" s="3" t="n">
        <v>6</v>
      </c>
      <c r="BE436" s="3" t="n">
        <v>3</v>
      </c>
      <c r="BF436" s="3" t="n">
        <v>5</v>
      </c>
      <c r="BG436" s="3" t="n">
        <v>3</v>
      </c>
      <c r="BH436" s="3" t="n">
        <v>4</v>
      </c>
      <c r="BI436" s="3" t="n">
        <v>1</v>
      </c>
      <c r="BJ436" s="3" t="n">
        <v>1</v>
      </c>
      <c r="BK436" s="6" t="s">
        <v>1299</v>
      </c>
    </row>
    <row r="437" customFormat="false" ht="15" hidden="false" customHeight="true" outlineLevel="0" collapsed="false">
      <c r="B437" s="2" t="s">
        <v>228</v>
      </c>
      <c r="C437" s="2" t="s">
        <v>127</v>
      </c>
      <c r="D437" s="2" t="s">
        <v>61</v>
      </c>
      <c r="E437" s="2" t="n">
        <v>179609</v>
      </c>
      <c r="F437" s="15" t="n">
        <v>43630</v>
      </c>
      <c r="G437" s="15" t="n">
        <v>43637</v>
      </c>
      <c r="H437" s="3" t="n">
        <v>7</v>
      </c>
      <c r="I437" s="3" t="n">
        <v>2</v>
      </c>
      <c r="J437" s="3" t="n">
        <v>87</v>
      </c>
      <c r="K437" s="3" t="n">
        <v>1</v>
      </c>
      <c r="L437" s="3" t="n">
        <v>2</v>
      </c>
      <c r="M437" s="3" t="n">
        <v>1</v>
      </c>
      <c r="N437" s="3" t="n">
        <v>2</v>
      </c>
      <c r="O437" s="3" t="n">
        <v>2</v>
      </c>
      <c r="P437" s="3" t="n">
        <v>2</v>
      </c>
      <c r="Q437" s="3" t="n">
        <v>2</v>
      </c>
      <c r="R437" s="3" t="n">
        <v>2</v>
      </c>
      <c r="S437" s="3" t="n">
        <v>2</v>
      </c>
      <c r="T437" s="4" t="n">
        <v>2</v>
      </c>
      <c r="U437" s="3" t="n">
        <v>2</v>
      </c>
      <c r="V437" s="3" t="n">
        <v>3.95</v>
      </c>
      <c r="W437" s="3" t="n">
        <v>0.5</v>
      </c>
      <c r="X437" s="3" t="n">
        <v>7.77</v>
      </c>
      <c r="Y437" s="3" t="n">
        <v>428</v>
      </c>
      <c r="Z437" s="3" t="n">
        <v>86</v>
      </c>
      <c r="AA437" s="3" t="n">
        <v>0.38</v>
      </c>
      <c r="AB437" s="3" t="n">
        <v>10.8</v>
      </c>
      <c r="AC437" s="3" t="n">
        <v>2</v>
      </c>
      <c r="AD437" s="3" t="n">
        <v>2</v>
      </c>
      <c r="AE437" s="3" t="n">
        <v>1</v>
      </c>
      <c r="AF437" s="3" t="n">
        <v>1</v>
      </c>
      <c r="AG437" s="3" t="n">
        <v>2</v>
      </c>
      <c r="AH437" s="3" t="n">
        <v>2</v>
      </c>
      <c r="AI437" s="3" t="n">
        <v>1</v>
      </c>
      <c r="AJ437" s="3" t="n">
        <v>1</v>
      </c>
      <c r="AK437" s="3" t="n">
        <v>2</v>
      </c>
      <c r="AL437" s="3" t="n">
        <v>2</v>
      </c>
      <c r="AM437" s="3" t="n">
        <v>1</v>
      </c>
      <c r="AN437" s="3" t="n">
        <v>1</v>
      </c>
      <c r="AO437" s="3" t="n">
        <v>2</v>
      </c>
      <c r="AP437" s="3" t="n">
        <v>3</v>
      </c>
      <c r="AQ437" s="3" t="n">
        <v>4</v>
      </c>
      <c r="AR437" s="3" t="n">
        <v>4</v>
      </c>
      <c r="AS437" s="3" t="n">
        <v>6</v>
      </c>
      <c r="AT437" s="3" t="n">
        <v>4</v>
      </c>
      <c r="AU437" s="3" t="n">
        <v>4</v>
      </c>
      <c r="AV437" s="3" t="n">
        <v>6</v>
      </c>
      <c r="AW437" s="3" t="n">
        <v>6</v>
      </c>
      <c r="AX437" s="3" t="n">
        <v>3</v>
      </c>
      <c r="AY437" s="3" t="n">
        <v>3</v>
      </c>
      <c r="AZ437" s="3" t="n">
        <v>4</v>
      </c>
      <c r="BA437" s="5" t="n">
        <v>1</v>
      </c>
      <c r="BB437" s="3" t="n">
        <v>1</v>
      </c>
      <c r="BC437" s="3" t="n">
        <v>1</v>
      </c>
      <c r="BD437" s="3" t="n">
        <v>2</v>
      </c>
      <c r="BE437" s="3" t="n">
        <v>1</v>
      </c>
      <c r="BF437" s="3" t="n">
        <v>2</v>
      </c>
      <c r="BG437" s="3" t="n">
        <v>1</v>
      </c>
      <c r="BH437" s="3" t="n">
        <v>4</v>
      </c>
      <c r="BI437" s="3" t="n">
        <v>1</v>
      </c>
      <c r="BJ437" s="3" t="n">
        <v>1</v>
      </c>
      <c r="BK437" s="6" t="s">
        <v>1300</v>
      </c>
    </row>
    <row r="438" customFormat="false" ht="15" hidden="false" customHeight="true" outlineLevel="0" collapsed="false">
      <c r="B438" s="2" t="s">
        <v>1301</v>
      </c>
      <c r="C438" s="2" t="s">
        <v>1302</v>
      </c>
      <c r="D438" s="2" t="s">
        <v>525</v>
      </c>
      <c r="E438" s="2" t="n">
        <v>179646</v>
      </c>
      <c r="F438" s="15" t="n">
        <v>43512</v>
      </c>
      <c r="G438" s="15" t="n">
        <v>43637</v>
      </c>
      <c r="H438" s="3" t="n">
        <v>5</v>
      </c>
      <c r="I438" s="3" t="n">
        <v>2</v>
      </c>
      <c r="J438" s="3" t="n">
        <v>52</v>
      </c>
      <c r="K438" s="3" t="n">
        <v>1</v>
      </c>
      <c r="L438" s="3" t="n">
        <v>1</v>
      </c>
      <c r="M438" s="3" t="n">
        <v>1</v>
      </c>
      <c r="N438" s="3" t="n">
        <v>1</v>
      </c>
      <c r="O438" s="3" t="n">
        <v>2</v>
      </c>
      <c r="P438" s="3" t="n">
        <v>2</v>
      </c>
      <c r="Q438" s="3" t="n">
        <v>2</v>
      </c>
      <c r="R438" s="3" t="n">
        <v>2</v>
      </c>
      <c r="S438" s="3" t="n">
        <v>2</v>
      </c>
      <c r="T438" s="4" t="n">
        <v>1</v>
      </c>
      <c r="U438" s="3" t="n">
        <v>1</v>
      </c>
      <c r="V438" s="3" t="n">
        <v>4.9</v>
      </c>
      <c r="W438" s="3" t="n">
        <v>1.55</v>
      </c>
      <c r="X438" s="3" t="n">
        <v>6.2</v>
      </c>
      <c r="Y438" s="3" t="n">
        <v>159</v>
      </c>
      <c r="Z438" s="3" t="n">
        <v>26</v>
      </c>
      <c r="AA438" s="3" t="n">
        <v>0.45</v>
      </c>
      <c r="AB438" s="3" t="n">
        <v>10.3</v>
      </c>
      <c r="AC438" s="3" t="n">
        <v>1</v>
      </c>
      <c r="AD438" s="3" t="n">
        <v>1</v>
      </c>
      <c r="AE438" s="3" t="n">
        <v>1</v>
      </c>
      <c r="AF438" s="3" t="n">
        <v>1</v>
      </c>
      <c r="AG438" s="3" t="n">
        <v>1</v>
      </c>
      <c r="AH438" s="3" t="n">
        <v>2</v>
      </c>
      <c r="AI438" s="3" t="n">
        <v>1</v>
      </c>
      <c r="AJ438" s="3" t="n">
        <v>1</v>
      </c>
      <c r="AK438" s="3" t="n">
        <v>2</v>
      </c>
      <c r="AL438" s="3" t="n">
        <v>2</v>
      </c>
      <c r="AM438" s="3" t="n">
        <v>2</v>
      </c>
      <c r="AN438" s="3" t="n">
        <v>2</v>
      </c>
      <c r="AO438" s="3" t="n">
        <v>2</v>
      </c>
      <c r="AP438" s="3" t="n">
        <v>3</v>
      </c>
      <c r="AQ438" s="3" t="n">
        <v>4</v>
      </c>
      <c r="AR438" s="3" t="n">
        <v>4</v>
      </c>
      <c r="AS438" s="3" t="n">
        <v>6</v>
      </c>
      <c r="AT438" s="3" t="n">
        <v>4</v>
      </c>
      <c r="AU438" s="3" t="n">
        <v>4</v>
      </c>
      <c r="AV438" s="3" t="n">
        <v>6</v>
      </c>
      <c r="AW438" s="3" t="n">
        <v>6</v>
      </c>
      <c r="AX438" s="3" t="n">
        <v>3</v>
      </c>
      <c r="AY438" s="3" t="n">
        <v>3</v>
      </c>
      <c r="AZ438" s="3" t="n">
        <v>1</v>
      </c>
      <c r="BA438" s="5" t="n">
        <v>5</v>
      </c>
      <c r="BB438" s="3" t="n">
        <v>2</v>
      </c>
      <c r="BC438" s="3" t="n">
        <v>1</v>
      </c>
      <c r="BD438" s="3" t="n">
        <v>6</v>
      </c>
      <c r="BE438" s="3" t="n">
        <v>3</v>
      </c>
      <c r="BF438" s="3" t="n">
        <v>5</v>
      </c>
      <c r="BG438" s="3" t="n">
        <v>3</v>
      </c>
      <c r="BH438" s="3" t="n">
        <v>4</v>
      </c>
      <c r="BI438" s="3" t="n">
        <v>1</v>
      </c>
      <c r="BJ438" s="3" t="n">
        <v>1</v>
      </c>
      <c r="BK438" s="6" t="s">
        <v>1303</v>
      </c>
    </row>
    <row r="439" customFormat="false" ht="15" hidden="false" customHeight="true" outlineLevel="0" collapsed="false">
      <c r="B439" s="2" t="s">
        <v>1193</v>
      </c>
      <c r="C439" s="2" t="s">
        <v>1194</v>
      </c>
      <c r="D439" s="2" t="s">
        <v>746</v>
      </c>
      <c r="E439" s="2" t="n">
        <v>178221</v>
      </c>
      <c r="F439" s="15" t="n">
        <v>43622</v>
      </c>
      <c r="G439" s="15" t="n">
        <v>43637</v>
      </c>
      <c r="H439" s="3" t="n">
        <v>15</v>
      </c>
      <c r="I439" s="3" t="n">
        <v>2</v>
      </c>
      <c r="J439" s="3" t="n">
        <v>42</v>
      </c>
      <c r="K439" s="3" t="n">
        <v>2</v>
      </c>
      <c r="L439" s="3" t="n">
        <v>2</v>
      </c>
      <c r="M439" s="3" t="n">
        <v>2</v>
      </c>
      <c r="N439" s="3" t="n">
        <v>2</v>
      </c>
      <c r="O439" s="3" t="n">
        <v>2</v>
      </c>
      <c r="P439" s="3" t="n">
        <v>2</v>
      </c>
      <c r="Q439" s="3" t="n">
        <v>2</v>
      </c>
      <c r="R439" s="3" t="n">
        <v>2</v>
      </c>
      <c r="S439" s="3" t="n">
        <v>2</v>
      </c>
      <c r="T439" s="4" t="n">
        <v>5</v>
      </c>
      <c r="U439" s="3" t="n">
        <v>1</v>
      </c>
      <c r="V439" s="3" t="n">
        <v>4.16</v>
      </c>
      <c r="W439" s="3" t="n">
        <v>1.35</v>
      </c>
      <c r="X439" s="3" t="n">
        <v>3.87</v>
      </c>
      <c r="Z439" s="3" t="n">
        <v>77</v>
      </c>
      <c r="AA439" s="3" t="n">
        <v>0.43</v>
      </c>
      <c r="AB439" s="3" t="n">
        <v>7.1</v>
      </c>
      <c r="AC439" s="3" t="n">
        <v>1</v>
      </c>
      <c r="AD439" s="3" t="n">
        <v>1</v>
      </c>
      <c r="AE439" s="3" t="n">
        <v>2</v>
      </c>
      <c r="AF439" s="3" t="n">
        <v>1</v>
      </c>
      <c r="AG439" s="3" t="n">
        <v>1</v>
      </c>
      <c r="AH439" s="3" t="n">
        <v>2</v>
      </c>
      <c r="AI439" s="3" t="n">
        <v>1</v>
      </c>
      <c r="AJ439" s="3" t="n">
        <v>1</v>
      </c>
      <c r="AK439" s="3" t="n">
        <v>2</v>
      </c>
      <c r="AL439" s="3" t="n">
        <v>2</v>
      </c>
      <c r="AM439" s="3" t="n">
        <v>2</v>
      </c>
      <c r="AN439" s="3" t="n">
        <v>2</v>
      </c>
      <c r="AO439" s="3" t="n">
        <v>2</v>
      </c>
      <c r="AP439" s="3" t="n">
        <v>1</v>
      </c>
      <c r="AQ439" s="3" t="n">
        <v>3</v>
      </c>
      <c r="AR439" s="3" t="n">
        <v>5</v>
      </c>
      <c r="AS439" s="3" t="n">
        <v>5</v>
      </c>
      <c r="AT439" s="3" t="n">
        <v>1</v>
      </c>
      <c r="AU439" s="3" t="n">
        <v>1</v>
      </c>
      <c r="AV439" s="3" t="n">
        <v>1</v>
      </c>
      <c r="AW439" s="3" t="n">
        <v>1</v>
      </c>
      <c r="AX439" s="3" t="n">
        <v>2</v>
      </c>
      <c r="AY439" s="3" t="n">
        <v>2</v>
      </c>
      <c r="AZ439" s="3" t="n">
        <v>1</v>
      </c>
      <c r="BA439" s="5" t="n">
        <v>3</v>
      </c>
      <c r="BB439" s="3" t="n">
        <v>2</v>
      </c>
      <c r="BC439" s="3" t="n">
        <v>1</v>
      </c>
      <c r="BD439" s="3" t="n">
        <v>6</v>
      </c>
      <c r="BE439" s="3" t="n">
        <v>3</v>
      </c>
      <c r="BF439" s="3" t="n">
        <v>5</v>
      </c>
      <c r="BG439" s="3" t="n">
        <v>3</v>
      </c>
      <c r="BH439" s="3" t="n">
        <v>4</v>
      </c>
      <c r="BI439" s="3" t="n">
        <v>1</v>
      </c>
      <c r="BJ439" s="3" t="n">
        <v>1</v>
      </c>
      <c r="BK439" s="6" t="s">
        <v>1304</v>
      </c>
    </row>
    <row r="440" customFormat="false" ht="15" hidden="false" customHeight="true" outlineLevel="0" collapsed="false">
      <c r="B440" s="2" t="s">
        <v>1305</v>
      </c>
      <c r="C440" s="2" t="s">
        <v>172</v>
      </c>
      <c r="D440" s="2" t="s">
        <v>276</v>
      </c>
      <c r="E440" s="2" t="n">
        <v>179931</v>
      </c>
      <c r="F440" s="15" t="n">
        <v>43635</v>
      </c>
      <c r="G440" s="15" t="n">
        <v>43641</v>
      </c>
      <c r="H440" s="3" t="n">
        <v>6</v>
      </c>
      <c r="I440" s="3" t="n">
        <v>2</v>
      </c>
      <c r="J440" s="3" t="n">
        <v>83</v>
      </c>
      <c r="K440" s="3" t="n">
        <v>1</v>
      </c>
      <c r="L440" s="3" t="n">
        <v>2</v>
      </c>
      <c r="M440" s="3" t="n">
        <v>1</v>
      </c>
      <c r="N440" s="3" t="n">
        <v>2</v>
      </c>
      <c r="O440" s="3" t="n">
        <v>2</v>
      </c>
      <c r="P440" s="3" t="n">
        <v>2</v>
      </c>
      <c r="Q440" s="3" t="n">
        <v>1</v>
      </c>
      <c r="R440" s="3" t="n">
        <v>2</v>
      </c>
      <c r="S440" s="3" t="n">
        <v>2</v>
      </c>
      <c r="T440" s="4" t="n">
        <v>4</v>
      </c>
      <c r="U440" s="3" t="n">
        <v>4</v>
      </c>
      <c r="V440" s="3" t="n">
        <v>3.74</v>
      </c>
      <c r="W440" s="3" t="n">
        <v>3.46</v>
      </c>
      <c r="X440" s="3" t="n">
        <v>8.83</v>
      </c>
      <c r="Y440" s="3" t="n">
        <v>560</v>
      </c>
      <c r="Z440" s="3" t="n">
        <v>102</v>
      </c>
      <c r="AA440" s="3" t="n">
        <v>0.4</v>
      </c>
      <c r="AB440" s="3" t="n">
        <v>8</v>
      </c>
      <c r="AC440" s="3" t="n">
        <v>1</v>
      </c>
      <c r="AD440" s="3" t="n">
        <v>1</v>
      </c>
      <c r="AE440" s="3" t="n">
        <v>2</v>
      </c>
      <c r="AF440" s="3" t="n">
        <v>2</v>
      </c>
      <c r="AG440" s="3" t="n">
        <v>2</v>
      </c>
      <c r="AH440" s="3" t="n">
        <v>2</v>
      </c>
      <c r="AI440" s="3" t="n">
        <v>1</v>
      </c>
      <c r="AJ440" s="3" t="n">
        <v>1</v>
      </c>
      <c r="AK440" s="3" t="n">
        <v>2</v>
      </c>
      <c r="AL440" s="3" t="n">
        <v>2</v>
      </c>
      <c r="AM440" s="3" t="n">
        <v>2</v>
      </c>
      <c r="AN440" s="3" t="n">
        <v>2</v>
      </c>
      <c r="AO440" s="3" t="n">
        <v>2</v>
      </c>
      <c r="AP440" s="3" t="n">
        <v>3</v>
      </c>
      <c r="AQ440" s="3" t="n">
        <v>4</v>
      </c>
      <c r="AR440" s="3" t="n">
        <v>4</v>
      </c>
      <c r="AS440" s="3" t="n">
        <v>6</v>
      </c>
      <c r="AT440" s="3" t="n">
        <v>4</v>
      </c>
      <c r="AU440" s="3" t="n">
        <v>4</v>
      </c>
      <c r="AV440" s="3" t="n">
        <v>6</v>
      </c>
      <c r="AW440" s="3" t="n">
        <v>6</v>
      </c>
      <c r="AX440" s="3" t="n">
        <v>3</v>
      </c>
      <c r="AY440" s="3" t="n">
        <v>3</v>
      </c>
      <c r="AZ440" s="3" t="n">
        <v>1</v>
      </c>
      <c r="BA440" s="5" t="n">
        <v>10</v>
      </c>
      <c r="BB440" s="3" t="n">
        <v>2</v>
      </c>
      <c r="BC440" s="3" t="n">
        <v>1</v>
      </c>
      <c r="BD440" s="3" t="n">
        <v>6</v>
      </c>
      <c r="BE440" s="3" t="n">
        <v>3</v>
      </c>
      <c r="BF440" s="3" t="n">
        <v>5</v>
      </c>
      <c r="BG440" s="3" t="n">
        <v>3</v>
      </c>
      <c r="BH440" s="3" t="n">
        <v>4</v>
      </c>
      <c r="BI440" s="3" t="n">
        <v>1</v>
      </c>
      <c r="BJ440" s="3" t="n">
        <v>1</v>
      </c>
      <c r="BK440" s="6" t="s">
        <v>1306</v>
      </c>
    </row>
    <row r="441" customFormat="false" ht="15" hidden="false" customHeight="true" outlineLevel="0" collapsed="false">
      <c r="B441" s="2" t="s">
        <v>569</v>
      </c>
      <c r="C441" s="2" t="s">
        <v>127</v>
      </c>
      <c r="D441" s="2" t="s">
        <v>510</v>
      </c>
      <c r="E441" s="2" t="n">
        <v>180109</v>
      </c>
      <c r="F441" s="15" t="n">
        <v>43639</v>
      </c>
      <c r="G441" s="15" t="n">
        <v>43641</v>
      </c>
      <c r="H441" s="3" t="n">
        <v>2</v>
      </c>
      <c r="I441" s="3" t="n">
        <v>2</v>
      </c>
      <c r="J441" s="3" t="n">
        <v>69</v>
      </c>
      <c r="K441" s="3" t="n">
        <v>1</v>
      </c>
      <c r="L441" s="3" t="n">
        <v>1</v>
      </c>
      <c r="M441" s="3" t="n">
        <v>1</v>
      </c>
      <c r="N441" s="3" t="n">
        <v>2</v>
      </c>
      <c r="O441" s="3" t="n">
        <v>2</v>
      </c>
      <c r="P441" s="3" t="n">
        <v>2</v>
      </c>
      <c r="Q441" s="3" t="n">
        <v>2</v>
      </c>
      <c r="R441" s="3" t="n">
        <v>2</v>
      </c>
      <c r="S441" s="3" t="n">
        <v>2</v>
      </c>
      <c r="T441" s="4" t="n">
        <v>2</v>
      </c>
      <c r="U441" s="3" t="n">
        <v>4</v>
      </c>
      <c r="V441" s="3" t="n">
        <v>5.94</v>
      </c>
      <c r="W441" s="3" t="n">
        <v>1.88</v>
      </c>
      <c r="X441" s="3" t="n">
        <v>5.2</v>
      </c>
      <c r="Y441" s="3" t="n">
        <v>449</v>
      </c>
      <c r="Z441" s="3" t="n">
        <v>108</v>
      </c>
      <c r="AA441" s="3" t="n">
        <v>0.45</v>
      </c>
      <c r="AB441" s="3" t="n">
        <v>9.2</v>
      </c>
      <c r="AC441" s="3" t="n">
        <v>1</v>
      </c>
      <c r="AD441" s="3" t="n">
        <v>2</v>
      </c>
      <c r="AE441" s="3" t="n">
        <v>1</v>
      </c>
      <c r="AF441" s="3" t="n">
        <v>1</v>
      </c>
      <c r="AG441" s="3" t="n">
        <v>2</v>
      </c>
      <c r="AH441" s="3" t="n">
        <v>2</v>
      </c>
      <c r="AI441" s="3" t="n">
        <v>1</v>
      </c>
      <c r="AJ441" s="3" t="n">
        <v>1</v>
      </c>
      <c r="AK441" s="3" t="n">
        <v>2</v>
      </c>
      <c r="AL441" s="3" t="n">
        <v>2</v>
      </c>
      <c r="AM441" s="3" t="n">
        <v>2</v>
      </c>
      <c r="AN441" s="3" t="n">
        <v>2</v>
      </c>
      <c r="AO441" s="3" t="n">
        <v>2</v>
      </c>
      <c r="AP441" s="3" t="n">
        <v>3</v>
      </c>
      <c r="AQ441" s="3" t="n">
        <v>4</v>
      </c>
      <c r="AR441" s="3" t="n">
        <v>4</v>
      </c>
      <c r="AS441" s="3" t="n">
        <v>6</v>
      </c>
      <c r="AT441" s="3" t="n">
        <v>4</v>
      </c>
      <c r="AU441" s="3" t="n">
        <v>4</v>
      </c>
      <c r="AV441" s="3" t="n">
        <v>6</v>
      </c>
      <c r="AW441" s="3" t="n">
        <v>6</v>
      </c>
      <c r="AX441" s="3" t="n">
        <v>3</v>
      </c>
      <c r="AY441" s="3" t="n">
        <v>3</v>
      </c>
      <c r="AZ441" s="3" t="n">
        <v>1</v>
      </c>
      <c r="BA441" s="5" t="n">
        <v>3</v>
      </c>
      <c r="BB441" s="3" t="n">
        <v>2</v>
      </c>
      <c r="BC441" s="3" t="n">
        <v>1</v>
      </c>
      <c r="BD441" s="3" t="n">
        <v>6</v>
      </c>
      <c r="BE441" s="3" t="n">
        <v>2</v>
      </c>
      <c r="BF441" s="3" t="n">
        <v>2</v>
      </c>
      <c r="BG441" s="3" t="n">
        <v>3</v>
      </c>
      <c r="BH441" s="3" t="n">
        <v>4</v>
      </c>
      <c r="BI441" s="3" t="n">
        <v>1</v>
      </c>
      <c r="BJ441" s="3" t="n">
        <v>1</v>
      </c>
      <c r="BK441" s="6" t="s">
        <v>1307</v>
      </c>
    </row>
    <row r="442" customFormat="false" ht="15" hidden="false" customHeight="true" outlineLevel="0" collapsed="false">
      <c r="B442" s="2" t="s">
        <v>1308</v>
      </c>
      <c r="C442" s="2" t="s">
        <v>1309</v>
      </c>
      <c r="D442" s="2" t="s">
        <v>94</v>
      </c>
      <c r="E442" s="2" t="n">
        <v>179679</v>
      </c>
      <c r="F442" s="15" t="n">
        <v>43633</v>
      </c>
      <c r="G442" s="15" t="n">
        <v>43640</v>
      </c>
      <c r="H442" s="3" t="n">
        <v>7</v>
      </c>
      <c r="I442" s="3" t="n">
        <v>2</v>
      </c>
      <c r="J442" s="3" t="n">
        <v>80</v>
      </c>
      <c r="K442" s="3" t="n">
        <v>1</v>
      </c>
      <c r="L442" s="3" t="n">
        <v>2</v>
      </c>
      <c r="M442" s="3" t="n">
        <v>1</v>
      </c>
      <c r="N442" s="3" t="n">
        <v>2</v>
      </c>
      <c r="O442" s="3" t="n">
        <v>2</v>
      </c>
      <c r="P442" s="3" t="n">
        <v>2</v>
      </c>
      <c r="Q442" s="3" t="n">
        <v>2</v>
      </c>
      <c r="R442" s="3" t="n">
        <v>2</v>
      </c>
      <c r="S442" s="3" t="n">
        <v>2</v>
      </c>
      <c r="T442" s="4" t="n">
        <v>1</v>
      </c>
      <c r="U442" s="3" t="n">
        <v>1</v>
      </c>
      <c r="V442" s="3" t="n">
        <v>3.13</v>
      </c>
      <c r="W442" s="3" t="n">
        <v>1.73</v>
      </c>
      <c r="X442" s="3" t="n">
        <v>6.49</v>
      </c>
      <c r="Y442" s="3" t="n">
        <v>730</v>
      </c>
      <c r="Z442" s="3" t="n">
        <v>279</v>
      </c>
      <c r="AA442" s="3" t="n">
        <v>0.35</v>
      </c>
      <c r="AB442" s="3" t="n">
        <v>10.6</v>
      </c>
      <c r="AC442" s="3" t="n">
        <v>2</v>
      </c>
      <c r="AD442" s="3" t="n">
        <v>1</v>
      </c>
      <c r="AE442" s="3" t="n">
        <v>1</v>
      </c>
      <c r="AF442" s="3" t="n">
        <v>1</v>
      </c>
      <c r="AG442" s="3" t="n">
        <v>2</v>
      </c>
      <c r="AH442" s="3" t="n">
        <v>2</v>
      </c>
      <c r="AI442" s="3" t="n">
        <v>2</v>
      </c>
      <c r="AJ442" s="3" t="n">
        <v>1</v>
      </c>
      <c r="AK442" s="3" t="n">
        <v>2</v>
      </c>
      <c r="AL442" s="3" t="n">
        <v>1</v>
      </c>
      <c r="AM442" s="3" t="n">
        <v>1</v>
      </c>
      <c r="AN442" s="3" t="n">
        <v>2</v>
      </c>
      <c r="AO442" s="3" t="n">
        <v>2</v>
      </c>
      <c r="AP442" s="3" t="n">
        <v>3</v>
      </c>
      <c r="AQ442" s="3" t="n">
        <v>4</v>
      </c>
      <c r="AR442" s="3" t="n">
        <v>4</v>
      </c>
      <c r="AS442" s="3" t="n">
        <v>6</v>
      </c>
      <c r="AT442" s="3" t="n">
        <v>4</v>
      </c>
      <c r="AU442" s="3" t="n">
        <v>4</v>
      </c>
      <c r="AV442" s="3" t="n">
        <v>6</v>
      </c>
      <c r="AW442" s="3" t="n">
        <v>6</v>
      </c>
      <c r="AX442" s="3" t="n">
        <v>3</v>
      </c>
      <c r="AY442" s="3" t="n">
        <v>3</v>
      </c>
      <c r="AZ442" s="3" t="n">
        <v>1</v>
      </c>
      <c r="BA442" s="5" t="n">
        <v>11</v>
      </c>
      <c r="BB442" s="3" t="n">
        <v>2</v>
      </c>
      <c r="BC442" s="3" t="n">
        <v>1</v>
      </c>
      <c r="BD442" s="3" t="n">
        <v>6</v>
      </c>
      <c r="BE442" s="3" t="n">
        <v>3</v>
      </c>
      <c r="BF442" s="3" t="n">
        <v>5</v>
      </c>
      <c r="BG442" s="3" t="n">
        <v>3</v>
      </c>
      <c r="BH442" s="3" t="n">
        <v>4</v>
      </c>
      <c r="BI442" s="3" t="n">
        <v>1</v>
      </c>
      <c r="BJ442" s="3" t="n">
        <v>1</v>
      </c>
      <c r="BK442" s="6" t="s">
        <v>1310</v>
      </c>
    </row>
    <row r="443" customFormat="false" ht="15" hidden="false" customHeight="true" outlineLevel="0" collapsed="false">
      <c r="B443" s="2" t="s">
        <v>1311</v>
      </c>
      <c r="C443" s="2" t="s">
        <v>1312</v>
      </c>
      <c r="D443" s="2" t="s">
        <v>197</v>
      </c>
      <c r="E443" s="2" t="n">
        <v>179633</v>
      </c>
      <c r="F443" s="15" t="n">
        <v>43631</v>
      </c>
      <c r="G443" s="15" t="n">
        <v>43640</v>
      </c>
      <c r="H443" s="3" t="n">
        <v>9</v>
      </c>
      <c r="I443" s="3" t="n">
        <v>1</v>
      </c>
      <c r="J443" s="3" t="n">
        <v>62</v>
      </c>
      <c r="K443" s="3" t="n">
        <v>1</v>
      </c>
      <c r="L443" s="3" t="n">
        <v>1</v>
      </c>
      <c r="M443" s="3" t="n">
        <v>1</v>
      </c>
      <c r="N443" s="3" t="n">
        <v>2</v>
      </c>
      <c r="O443" s="3" t="n">
        <v>2</v>
      </c>
      <c r="P443" s="3" t="n">
        <v>2</v>
      </c>
      <c r="Q443" s="3" t="n">
        <v>1</v>
      </c>
      <c r="R443" s="3" t="n">
        <v>2</v>
      </c>
      <c r="S443" s="3" t="n">
        <v>2</v>
      </c>
      <c r="T443" s="4" t="n">
        <v>2</v>
      </c>
      <c r="U443" s="3" t="n">
        <v>2</v>
      </c>
      <c r="V443" s="3" t="n">
        <v>5.93</v>
      </c>
      <c r="W443" s="3" t="n">
        <v>3.87</v>
      </c>
      <c r="X443" s="3" t="n">
        <v>7.72</v>
      </c>
      <c r="Y443" s="3" t="n">
        <v>368</v>
      </c>
      <c r="Z443" s="3" t="n">
        <v>59</v>
      </c>
      <c r="AA443" s="3" t="n">
        <v>0.46</v>
      </c>
      <c r="AB443" s="3" t="n">
        <v>12.3</v>
      </c>
      <c r="AC443" s="3" t="n">
        <v>2</v>
      </c>
      <c r="AD443" s="3" t="n">
        <v>2</v>
      </c>
      <c r="AE443" s="3" t="n">
        <v>1</v>
      </c>
      <c r="AF443" s="3" t="n">
        <v>1</v>
      </c>
      <c r="AG443" s="3" t="n">
        <v>2</v>
      </c>
      <c r="AH443" s="3" t="n">
        <v>2</v>
      </c>
      <c r="AI443" s="3" t="n">
        <v>1</v>
      </c>
      <c r="AJ443" s="3" t="n">
        <v>1</v>
      </c>
      <c r="AK443" s="3" t="n">
        <v>2</v>
      </c>
      <c r="AL443" s="3" t="n">
        <v>2</v>
      </c>
      <c r="AM443" s="3" t="n">
        <v>1</v>
      </c>
      <c r="AN443" s="3" t="n">
        <v>2</v>
      </c>
      <c r="AO443" s="3" t="n">
        <v>2</v>
      </c>
      <c r="AP443" s="3" t="n">
        <v>3</v>
      </c>
      <c r="AQ443" s="3" t="n">
        <v>4</v>
      </c>
      <c r="AR443" s="3" t="n">
        <v>4</v>
      </c>
      <c r="AS443" s="3" t="n">
        <v>6</v>
      </c>
      <c r="AT443" s="3" t="n">
        <v>4</v>
      </c>
      <c r="AU443" s="3" t="n">
        <v>4</v>
      </c>
      <c r="AV443" s="3" t="n">
        <v>6</v>
      </c>
      <c r="AW443" s="3" t="n">
        <v>6</v>
      </c>
      <c r="AX443" s="3" t="n">
        <v>3</v>
      </c>
      <c r="AY443" s="3" t="n">
        <v>3</v>
      </c>
      <c r="AZ443" s="3" t="n">
        <v>2</v>
      </c>
      <c r="BA443" s="5" t="n">
        <v>1</v>
      </c>
      <c r="BB443" s="3" t="n">
        <v>1</v>
      </c>
      <c r="BC443" s="3" t="n">
        <v>1</v>
      </c>
      <c r="BD443" s="3" t="n">
        <v>2</v>
      </c>
      <c r="BE443" s="3" t="n">
        <v>1</v>
      </c>
      <c r="BF443" s="3" t="n">
        <v>2</v>
      </c>
      <c r="BG443" s="3" t="n">
        <v>1</v>
      </c>
      <c r="BH443" s="3" t="n">
        <v>4</v>
      </c>
      <c r="BI443" s="3" t="n">
        <v>1</v>
      </c>
      <c r="BJ443" s="3" t="n">
        <v>1</v>
      </c>
      <c r="BK443" s="6" t="s">
        <v>1313</v>
      </c>
    </row>
    <row r="444" customFormat="false" ht="15" hidden="false" customHeight="true" outlineLevel="0" collapsed="false">
      <c r="B444" s="2" t="s">
        <v>145</v>
      </c>
      <c r="C444" s="2" t="s">
        <v>95</v>
      </c>
      <c r="D444" s="2" t="s">
        <v>127</v>
      </c>
      <c r="E444" s="2" t="n">
        <v>179909</v>
      </c>
      <c r="F444" s="15" t="n">
        <v>43634</v>
      </c>
      <c r="G444" s="15" t="n">
        <v>43641</v>
      </c>
      <c r="H444" s="3" t="n">
        <v>7</v>
      </c>
      <c r="I444" s="3" t="n">
        <v>2</v>
      </c>
      <c r="J444" s="3" t="n">
        <v>76</v>
      </c>
      <c r="K444" s="3" t="n">
        <v>2</v>
      </c>
      <c r="L444" s="3" t="n">
        <v>2</v>
      </c>
      <c r="M444" s="3" t="n">
        <v>1</v>
      </c>
      <c r="N444" s="3" t="n">
        <v>2</v>
      </c>
      <c r="O444" s="3" t="n">
        <v>2</v>
      </c>
      <c r="P444" s="3" t="n">
        <v>2</v>
      </c>
      <c r="Q444" s="3" t="n">
        <v>1</v>
      </c>
      <c r="R444" s="3" t="n">
        <v>2</v>
      </c>
      <c r="S444" s="3" t="n">
        <v>2</v>
      </c>
      <c r="T444" s="4" t="n">
        <v>2</v>
      </c>
      <c r="U444" s="3" t="n">
        <v>2</v>
      </c>
      <c r="V444" s="3" t="n">
        <v>5.86</v>
      </c>
      <c r="W444" s="3" t="n">
        <v>1.97</v>
      </c>
      <c r="X444" s="3" t="n">
        <v>6.16</v>
      </c>
      <c r="Y444" s="3" t="n">
        <v>423</v>
      </c>
      <c r="Z444" s="3" t="n">
        <v>55</v>
      </c>
      <c r="AA444" s="3" t="n">
        <v>0.4</v>
      </c>
      <c r="AB444" s="3" t="n">
        <v>7.8</v>
      </c>
      <c r="AC444" s="3" t="n">
        <v>2</v>
      </c>
      <c r="AD444" s="3" t="n">
        <v>2</v>
      </c>
      <c r="AE444" s="3" t="n">
        <v>1</v>
      </c>
      <c r="AF444" s="3" t="n">
        <v>1</v>
      </c>
      <c r="AG444" s="3" t="n">
        <v>2</v>
      </c>
      <c r="AH444" s="3" t="n">
        <v>2</v>
      </c>
      <c r="AI444" s="3" t="n">
        <v>1</v>
      </c>
      <c r="AJ444" s="3" t="n">
        <v>1</v>
      </c>
      <c r="AK444" s="3" t="n">
        <v>2</v>
      </c>
      <c r="AL444" s="3" t="n">
        <v>2</v>
      </c>
      <c r="AM444" s="3" t="n">
        <v>2</v>
      </c>
      <c r="AN444" s="3" t="n">
        <v>2</v>
      </c>
      <c r="AO444" s="3" t="n">
        <v>2</v>
      </c>
      <c r="AP444" s="3" t="n">
        <v>3</v>
      </c>
      <c r="AQ444" s="3" t="n">
        <v>4</v>
      </c>
      <c r="AR444" s="3" t="n">
        <v>4</v>
      </c>
      <c r="AS444" s="3" t="n">
        <v>6</v>
      </c>
      <c r="AT444" s="3" t="n">
        <v>4</v>
      </c>
      <c r="AU444" s="3" t="n">
        <v>4</v>
      </c>
      <c r="AV444" s="3" t="n">
        <v>6</v>
      </c>
      <c r="AW444" s="3" t="n">
        <v>6</v>
      </c>
      <c r="AX444" s="3" t="n">
        <v>3</v>
      </c>
      <c r="AY444" s="3" t="n">
        <v>3</v>
      </c>
      <c r="AZ444" s="3" t="n">
        <v>1</v>
      </c>
      <c r="BA444" s="5" t="n">
        <v>1</v>
      </c>
      <c r="BB444" s="3" t="n">
        <v>1</v>
      </c>
      <c r="BC444" s="3" t="n">
        <v>1</v>
      </c>
      <c r="BD444" s="3" t="n">
        <v>2</v>
      </c>
      <c r="BE444" s="3" t="n">
        <v>1</v>
      </c>
      <c r="BF444" s="3" t="n">
        <v>2</v>
      </c>
      <c r="BG444" s="3" t="n">
        <v>1</v>
      </c>
      <c r="BH444" s="3" t="n">
        <v>4</v>
      </c>
      <c r="BI444" s="3" t="n">
        <v>1</v>
      </c>
      <c r="BJ444" s="3" t="n">
        <v>1</v>
      </c>
      <c r="BK444" s="6" t="s">
        <v>1314</v>
      </c>
    </row>
    <row r="445" customFormat="false" ht="15" hidden="false" customHeight="true" outlineLevel="0" collapsed="false">
      <c r="B445" s="2" t="s">
        <v>1315</v>
      </c>
      <c r="C445" s="2" t="s">
        <v>386</v>
      </c>
      <c r="D445" s="2" t="s">
        <v>232</v>
      </c>
      <c r="E445" s="2" t="n">
        <v>179922</v>
      </c>
      <c r="F445" s="15" t="n">
        <v>43635</v>
      </c>
      <c r="G445" s="15" t="n">
        <v>43641</v>
      </c>
      <c r="H445" s="3" t="n">
        <v>6</v>
      </c>
      <c r="I445" s="3" t="n">
        <v>2</v>
      </c>
      <c r="J445" s="3" t="n">
        <v>71</v>
      </c>
      <c r="K445" s="3" t="n">
        <v>1</v>
      </c>
      <c r="L445" s="3" t="n">
        <v>2</v>
      </c>
      <c r="M445" s="3" t="n">
        <v>1</v>
      </c>
      <c r="N445" s="3" t="n">
        <v>2</v>
      </c>
      <c r="O445" s="3" t="n">
        <v>2</v>
      </c>
      <c r="P445" s="3" t="n">
        <v>2</v>
      </c>
      <c r="Q445" s="3" t="n">
        <v>2</v>
      </c>
      <c r="R445" s="3" t="n">
        <v>2</v>
      </c>
      <c r="S445" s="3" t="n">
        <v>1</v>
      </c>
      <c r="T445" s="4" t="n">
        <v>1</v>
      </c>
      <c r="U445" s="3" t="n">
        <v>4</v>
      </c>
      <c r="V445" s="3" t="n">
        <v>2.72</v>
      </c>
      <c r="W445" s="3" t="n">
        <v>0.36</v>
      </c>
      <c r="X445" s="3" t="n">
        <v>7.01</v>
      </c>
      <c r="Y445" s="3" t="n">
        <v>387</v>
      </c>
      <c r="Z445" s="3" t="n">
        <v>53</v>
      </c>
      <c r="AA445" s="3" t="n">
        <v>0.37</v>
      </c>
      <c r="AB445" s="3" t="n">
        <v>7.6</v>
      </c>
      <c r="AC445" s="3" t="n">
        <v>1</v>
      </c>
      <c r="AD445" s="3" t="n">
        <v>1</v>
      </c>
      <c r="AE445" s="3" t="n">
        <v>1</v>
      </c>
      <c r="AF445" s="3" t="n">
        <v>1</v>
      </c>
      <c r="AG445" s="3" t="n">
        <v>2</v>
      </c>
      <c r="AH445" s="3" t="n">
        <v>2</v>
      </c>
      <c r="AI445" s="3" t="n">
        <v>1</v>
      </c>
      <c r="AJ445" s="3" t="n">
        <v>1</v>
      </c>
      <c r="AK445" s="3" t="n">
        <v>2</v>
      </c>
      <c r="AL445" s="3" t="n">
        <v>2</v>
      </c>
      <c r="AM445" s="3" t="n">
        <v>1</v>
      </c>
      <c r="AN445" s="3" t="n">
        <v>2</v>
      </c>
      <c r="AO445" s="3" t="n">
        <v>1</v>
      </c>
      <c r="AP445" s="3" t="n">
        <v>3</v>
      </c>
      <c r="AQ445" s="3" t="n">
        <v>4</v>
      </c>
      <c r="AR445" s="3" t="n">
        <v>4</v>
      </c>
      <c r="AS445" s="3" t="n">
        <v>6</v>
      </c>
      <c r="AT445" s="3" t="n">
        <v>4</v>
      </c>
      <c r="AU445" s="3" t="n">
        <v>4</v>
      </c>
      <c r="AV445" s="3" t="n">
        <v>6</v>
      </c>
      <c r="AW445" s="3" t="n">
        <v>6</v>
      </c>
      <c r="AX445" s="3" t="n">
        <v>3</v>
      </c>
      <c r="AY445" s="3" t="n">
        <v>3</v>
      </c>
      <c r="AZ445" s="3" t="n">
        <v>1</v>
      </c>
      <c r="BA445" s="5" t="n">
        <v>5</v>
      </c>
      <c r="BB445" s="3" t="n">
        <v>2</v>
      </c>
      <c r="BC445" s="3" t="n">
        <v>1</v>
      </c>
      <c r="BD445" s="3" t="n">
        <v>6</v>
      </c>
      <c r="BE445" s="3" t="n">
        <v>3</v>
      </c>
      <c r="BF445" s="3" t="n">
        <v>5</v>
      </c>
      <c r="BG445" s="3" t="n">
        <v>3</v>
      </c>
      <c r="BH445" s="3" t="n">
        <v>4</v>
      </c>
      <c r="BI445" s="3" t="n">
        <v>1</v>
      </c>
      <c r="BJ445" s="3" t="n">
        <v>1</v>
      </c>
      <c r="BK445" s="6" t="s">
        <v>1316</v>
      </c>
    </row>
    <row r="446" customFormat="false" ht="15" hidden="false" customHeight="true" outlineLevel="0" collapsed="false">
      <c r="B446" s="2" t="s">
        <v>440</v>
      </c>
      <c r="C446" s="2" t="s">
        <v>1317</v>
      </c>
      <c r="D446" s="2" t="s">
        <v>1318</v>
      </c>
      <c r="E446" s="2" t="n">
        <v>117763</v>
      </c>
      <c r="F446" s="15" t="n">
        <v>43634</v>
      </c>
      <c r="G446" s="15" t="n">
        <v>43640</v>
      </c>
      <c r="H446" s="3" t="n">
        <v>6</v>
      </c>
      <c r="I446" s="3" t="n">
        <v>2</v>
      </c>
      <c r="J446" s="3" t="n">
        <v>79</v>
      </c>
      <c r="K446" s="3" t="n">
        <v>1</v>
      </c>
      <c r="L446" s="3" t="n">
        <v>2</v>
      </c>
      <c r="M446" s="3" t="n">
        <v>1</v>
      </c>
      <c r="N446" s="3" t="n">
        <v>1</v>
      </c>
      <c r="O446" s="3" t="n">
        <v>2</v>
      </c>
      <c r="P446" s="3" t="n">
        <v>2</v>
      </c>
      <c r="Q446" s="3" t="n">
        <v>2</v>
      </c>
      <c r="R446" s="3" t="n">
        <v>2</v>
      </c>
      <c r="S446" s="3" t="n">
        <v>2</v>
      </c>
      <c r="T446" s="4" t="n">
        <v>3</v>
      </c>
      <c r="U446" s="3" t="n">
        <v>1</v>
      </c>
      <c r="V446" s="3" t="n">
        <v>4.6</v>
      </c>
      <c r="W446" s="3" t="n">
        <v>0.7</v>
      </c>
      <c r="X446" s="3" t="n">
        <v>6.7</v>
      </c>
      <c r="Y446" s="3" t="n">
        <v>346</v>
      </c>
      <c r="Z446" s="3" t="n">
        <v>89</v>
      </c>
      <c r="AA446" s="3" t="n">
        <v>0.4</v>
      </c>
      <c r="AB446" s="3" t="n">
        <v>8.6</v>
      </c>
      <c r="AC446" s="3" t="n">
        <v>2</v>
      </c>
      <c r="AD446" s="3" t="n">
        <v>2</v>
      </c>
      <c r="AE446" s="3" t="n">
        <v>1</v>
      </c>
      <c r="AF446" s="3" t="n">
        <v>1</v>
      </c>
      <c r="AG446" s="3" t="n">
        <v>1</v>
      </c>
      <c r="AH446" s="3" t="n">
        <v>2</v>
      </c>
      <c r="AI446" s="3" t="n">
        <v>1</v>
      </c>
      <c r="AJ446" s="3" t="n">
        <v>1</v>
      </c>
      <c r="AK446" s="3" t="n">
        <v>2</v>
      </c>
      <c r="AL446" s="3" t="n">
        <v>2</v>
      </c>
      <c r="AM446" s="3" t="n">
        <v>1</v>
      </c>
      <c r="AN446" s="3" t="n">
        <v>2</v>
      </c>
      <c r="AO446" s="3" t="n">
        <v>2</v>
      </c>
      <c r="AP446" s="3" t="n">
        <v>3</v>
      </c>
      <c r="AQ446" s="3" t="n">
        <v>4</v>
      </c>
      <c r="AR446" s="3" t="n">
        <v>4</v>
      </c>
      <c r="AS446" s="3" t="n">
        <v>6</v>
      </c>
      <c r="AT446" s="3" t="n">
        <v>4</v>
      </c>
      <c r="AU446" s="3" t="n">
        <v>4</v>
      </c>
      <c r="AV446" s="3" t="n">
        <v>6</v>
      </c>
      <c r="AW446" s="3" t="n">
        <v>6</v>
      </c>
      <c r="AX446" s="3" t="n">
        <v>3</v>
      </c>
      <c r="AY446" s="3" t="n">
        <v>3</v>
      </c>
      <c r="AZ446" s="3" t="n">
        <v>1</v>
      </c>
      <c r="BA446" s="5" t="n">
        <v>11</v>
      </c>
      <c r="BB446" s="3" t="n">
        <v>2</v>
      </c>
      <c r="BC446" s="3" t="n">
        <v>1</v>
      </c>
      <c r="BD446" s="3" t="n">
        <v>6</v>
      </c>
      <c r="BE446" s="3" t="n">
        <v>3</v>
      </c>
      <c r="BF446" s="3" t="n">
        <v>5</v>
      </c>
      <c r="BG446" s="3" t="n">
        <v>3</v>
      </c>
      <c r="BH446" s="3" t="n">
        <v>4</v>
      </c>
      <c r="BI446" s="3" t="n">
        <v>1</v>
      </c>
      <c r="BJ446" s="3" t="n">
        <v>1</v>
      </c>
      <c r="BK446" s="6" t="s">
        <v>1319</v>
      </c>
    </row>
    <row r="447" customFormat="false" ht="15" hidden="false" customHeight="true" outlineLevel="0" collapsed="false">
      <c r="B447" s="2" t="s">
        <v>1320</v>
      </c>
      <c r="C447" s="2" t="s">
        <v>1321</v>
      </c>
      <c r="D447" s="2" t="s">
        <v>1322</v>
      </c>
      <c r="E447" s="2" t="n">
        <v>770361</v>
      </c>
      <c r="F447" s="15" t="n">
        <v>43635</v>
      </c>
      <c r="G447" s="15" t="n">
        <v>43640</v>
      </c>
      <c r="H447" s="3" t="n">
        <v>5</v>
      </c>
      <c r="I447" s="3" t="n">
        <v>2</v>
      </c>
      <c r="J447" s="3" t="n">
        <v>61</v>
      </c>
      <c r="K447" s="3" t="n">
        <v>1</v>
      </c>
      <c r="L447" s="3" t="n">
        <v>2</v>
      </c>
      <c r="M447" s="3" t="n">
        <v>2</v>
      </c>
      <c r="N447" s="3" t="n">
        <v>2</v>
      </c>
      <c r="O447" s="3" t="n">
        <v>2</v>
      </c>
      <c r="P447" s="3" t="n">
        <v>2</v>
      </c>
      <c r="Q447" s="3" t="n">
        <v>2</v>
      </c>
      <c r="R447" s="3" t="n">
        <v>2</v>
      </c>
      <c r="S447" s="3" t="n">
        <v>2</v>
      </c>
      <c r="T447" s="4" t="n">
        <v>1</v>
      </c>
      <c r="U447" s="3" t="n">
        <v>1</v>
      </c>
      <c r="V447" s="3" t="n">
        <v>4.09</v>
      </c>
      <c r="W447" s="3" t="n">
        <v>3.79</v>
      </c>
      <c r="X447" s="3" t="n">
        <v>4.74</v>
      </c>
      <c r="Y447" s="3" t="n">
        <v>396</v>
      </c>
      <c r="Z447" s="3" t="n">
        <v>60</v>
      </c>
      <c r="AA447" s="3" t="n">
        <v>0.41</v>
      </c>
      <c r="AB447" s="3" t="n">
        <v>7</v>
      </c>
      <c r="AD447" s="3" t="n">
        <v>1</v>
      </c>
      <c r="AE447" s="3" t="n">
        <v>1</v>
      </c>
      <c r="AF447" s="3" t="n">
        <v>1</v>
      </c>
      <c r="AG447" s="3" t="n">
        <v>2</v>
      </c>
      <c r="AH447" s="3" t="n">
        <v>2</v>
      </c>
      <c r="AI447" s="3" t="n">
        <v>1</v>
      </c>
      <c r="AJ447" s="3" t="n">
        <v>2</v>
      </c>
      <c r="AK447" s="3" t="n">
        <v>2</v>
      </c>
      <c r="AL447" s="3" t="n">
        <v>2</v>
      </c>
      <c r="AM447" s="3" t="n">
        <v>2</v>
      </c>
      <c r="AN447" s="3" t="n">
        <v>2</v>
      </c>
      <c r="AO447" s="3" t="n">
        <v>2</v>
      </c>
      <c r="AP447" s="3" t="n">
        <v>3</v>
      </c>
      <c r="AQ447" s="3" t="n">
        <v>4</v>
      </c>
      <c r="AR447" s="3" t="n">
        <v>4</v>
      </c>
      <c r="AS447" s="3" t="n">
        <v>6</v>
      </c>
      <c r="AT447" s="3" t="n">
        <v>4</v>
      </c>
      <c r="AU447" s="3" t="n">
        <v>4</v>
      </c>
      <c r="AV447" s="3" t="n">
        <v>6</v>
      </c>
      <c r="AW447" s="3" t="n">
        <v>6</v>
      </c>
      <c r="AX447" s="3" t="n">
        <v>3</v>
      </c>
      <c r="AY447" s="3" t="n">
        <v>3</v>
      </c>
      <c r="AZ447" s="3" t="n">
        <v>1</v>
      </c>
      <c r="BA447" s="5" t="n">
        <v>5</v>
      </c>
      <c r="BB447" s="3" t="n">
        <v>2</v>
      </c>
      <c r="BC447" s="3" t="n">
        <v>1</v>
      </c>
      <c r="BD447" s="3" t="n">
        <v>6</v>
      </c>
      <c r="BE447" s="3" t="n">
        <v>3</v>
      </c>
      <c r="BF447" s="3" t="n">
        <v>5</v>
      </c>
      <c r="BG447" s="3" t="n">
        <v>3</v>
      </c>
      <c r="BH447" s="3" t="n">
        <v>4</v>
      </c>
      <c r="BI447" s="3" t="n">
        <v>1</v>
      </c>
      <c r="BJ447" s="3" t="n">
        <v>1</v>
      </c>
      <c r="BK447" s="6" t="s">
        <v>1323</v>
      </c>
    </row>
    <row r="448" customFormat="false" ht="15" hidden="false" customHeight="true" outlineLevel="0" collapsed="false">
      <c r="B448" s="2" t="s">
        <v>278</v>
      </c>
      <c r="C448" s="2" t="s">
        <v>118</v>
      </c>
      <c r="D448" s="2" t="s">
        <v>433</v>
      </c>
      <c r="E448" s="2" t="n">
        <v>179924</v>
      </c>
      <c r="F448" s="15" t="n">
        <v>43635</v>
      </c>
      <c r="G448" s="15" t="n">
        <v>43642</v>
      </c>
      <c r="H448" s="3" t="n">
        <v>7</v>
      </c>
      <c r="I448" s="3" t="n">
        <v>2</v>
      </c>
      <c r="J448" s="3" t="n">
        <v>70</v>
      </c>
      <c r="K448" s="3" t="n">
        <v>1</v>
      </c>
      <c r="L448" s="3" t="n">
        <v>2</v>
      </c>
      <c r="M448" s="3" t="n">
        <v>1</v>
      </c>
      <c r="N448" s="3" t="n">
        <v>2</v>
      </c>
      <c r="O448" s="3" t="n">
        <v>2</v>
      </c>
      <c r="P448" s="3" t="n">
        <v>2</v>
      </c>
      <c r="Q448" s="3" t="n">
        <v>2</v>
      </c>
      <c r="R448" s="3" t="n">
        <v>2</v>
      </c>
      <c r="S448" s="3" t="n">
        <v>2</v>
      </c>
      <c r="T448" s="4" t="n">
        <v>2</v>
      </c>
      <c r="U448" s="3" t="n">
        <v>2</v>
      </c>
      <c r="V448" s="3" t="n">
        <v>3.89</v>
      </c>
      <c r="W448" s="3" t="s">
        <v>1324</v>
      </c>
      <c r="X448" s="3" t="n">
        <v>5.55</v>
      </c>
      <c r="Y448" s="3" t="n">
        <v>422</v>
      </c>
      <c r="Z448" s="3" t="n">
        <v>75</v>
      </c>
      <c r="AA448" s="3" t="n">
        <v>0.38</v>
      </c>
      <c r="AB448" s="3" t="n">
        <v>12.6</v>
      </c>
      <c r="AD448" s="3" t="n">
        <v>1</v>
      </c>
      <c r="AE448" s="3" t="n">
        <v>1</v>
      </c>
      <c r="AF448" s="3" t="n">
        <v>1</v>
      </c>
      <c r="AG448" s="3" t="n">
        <v>1</v>
      </c>
      <c r="AH448" s="3" t="n">
        <v>2</v>
      </c>
      <c r="AI448" s="3" t="n">
        <v>1</v>
      </c>
      <c r="AJ448" s="3" t="n">
        <v>1</v>
      </c>
      <c r="AK448" s="3" t="n">
        <v>2</v>
      </c>
      <c r="AL448" s="3" t="n">
        <v>2</v>
      </c>
      <c r="AM448" s="3" t="n">
        <v>2</v>
      </c>
      <c r="AN448" s="3" t="n">
        <v>2</v>
      </c>
      <c r="AO448" s="3" t="n">
        <v>2</v>
      </c>
      <c r="AP448" s="3" t="n">
        <v>3</v>
      </c>
      <c r="AQ448" s="3" t="n">
        <v>4</v>
      </c>
      <c r="AR448" s="3" t="n">
        <v>4</v>
      </c>
      <c r="AS448" s="3" t="n">
        <v>6</v>
      </c>
      <c r="AT448" s="3" t="n">
        <v>4</v>
      </c>
      <c r="AU448" s="3" t="n">
        <v>4</v>
      </c>
      <c r="AV448" s="3" t="n">
        <v>6</v>
      </c>
      <c r="AW448" s="3" t="n">
        <v>6</v>
      </c>
      <c r="AX448" s="3" t="n">
        <v>3</v>
      </c>
      <c r="AY448" s="3" t="n">
        <v>3</v>
      </c>
      <c r="AZ448" s="3" t="n">
        <v>1</v>
      </c>
      <c r="BA448" s="5" t="n">
        <v>1</v>
      </c>
      <c r="BB448" s="3" t="n">
        <v>1</v>
      </c>
      <c r="BC448" s="3" t="n">
        <v>1</v>
      </c>
      <c r="BD448" s="3" t="n">
        <v>2</v>
      </c>
      <c r="BE448" s="3" t="n">
        <v>1</v>
      </c>
      <c r="BF448" s="3" t="n">
        <v>2</v>
      </c>
      <c r="BG448" s="3" t="n">
        <v>1</v>
      </c>
      <c r="BH448" s="3" t="n">
        <v>4</v>
      </c>
      <c r="BI448" s="3" t="n">
        <v>1</v>
      </c>
      <c r="BJ448" s="3" t="n">
        <v>1</v>
      </c>
      <c r="BK448" s="6" t="s">
        <v>1325</v>
      </c>
    </row>
    <row r="449" customFormat="false" ht="15" hidden="false" customHeight="true" outlineLevel="0" collapsed="false">
      <c r="B449" s="2" t="s">
        <v>137</v>
      </c>
      <c r="C449" s="2" t="s">
        <v>239</v>
      </c>
      <c r="D449" s="2" t="s">
        <v>433</v>
      </c>
      <c r="E449" s="2" t="n">
        <v>179953</v>
      </c>
      <c r="F449" s="15" t="n">
        <v>43636</v>
      </c>
      <c r="G449" s="15" t="n">
        <v>43642</v>
      </c>
      <c r="H449" s="3" t="n">
        <v>6</v>
      </c>
      <c r="I449" s="3" t="n">
        <v>1</v>
      </c>
      <c r="J449" s="3" t="n">
        <v>65</v>
      </c>
      <c r="K449" s="3" t="n">
        <v>1</v>
      </c>
      <c r="L449" s="3" t="n">
        <v>2</v>
      </c>
      <c r="M449" s="3" t="n">
        <v>1</v>
      </c>
      <c r="N449" s="3" t="n">
        <v>2</v>
      </c>
      <c r="O449" s="3" t="n">
        <v>2</v>
      </c>
      <c r="P449" s="3" t="n">
        <v>2</v>
      </c>
      <c r="Q449" s="3" t="n">
        <v>2</v>
      </c>
      <c r="R449" s="3" t="n">
        <v>2</v>
      </c>
      <c r="S449" s="3" t="n">
        <v>1</v>
      </c>
      <c r="T449" s="4" t="n">
        <v>1</v>
      </c>
      <c r="U449" s="3" t="n">
        <v>1</v>
      </c>
      <c r="V449" s="3" t="n">
        <v>5.74</v>
      </c>
      <c r="W449" s="3" t="n">
        <v>1.67</v>
      </c>
      <c r="X449" s="3" t="n">
        <v>6.8</v>
      </c>
      <c r="Y449" s="3" t="n">
        <v>313</v>
      </c>
      <c r="Z449" s="3" t="n">
        <v>84</v>
      </c>
      <c r="AA449" s="3" t="n">
        <v>0.37</v>
      </c>
      <c r="AB449" s="3" t="n">
        <v>9.1</v>
      </c>
      <c r="AC449" s="3" t="n">
        <v>1</v>
      </c>
      <c r="AD449" s="3" t="n">
        <v>1</v>
      </c>
      <c r="AE449" s="3" t="n">
        <v>1</v>
      </c>
      <c r="AF449" s="3" t="n">
        <v>1</v>
      </c>
      <c r="AG449" s="3" t="n">
        <v>1</v>
      </c>
      <c r="AH449" s="3" t="n">
        <v>2</v>
      </c>
      <c r="AI449" s="3" t="n">
        <v>1</v>
      </c>
      <c r="AJ449" s="3" t="n">
        <v>1</v>
      </c>
      <c r="AK449" s="3" t="n">
        <v>2</v>
      </c>
      <c r="AL449" s="3" t="n">
        <v>2</v>
      </c>
      <c r="AM449" s="3" t="n">
        <v>2</v>
      </c>
      <c r="AN449" s="3" t="n">
        <v>2</v>
      </c>
      <c r="AO449" s="3" t="n">
        <v>2</v>
      </c>
      <c r="AP449" s="3" t="n">
        <v>3</v>
      </c>
      <c r="AQ449" s="3" t="n">
        <v>4</v>
      </c>
      <c r="AR449" s="3" t="n">
        <v>4</v>
      </c>
      <c r="AS449" s="3" t="n">
        <v>6</v>
      </c>
      <c r="AT449" s="3" t="n">
        <v>4</v>
      </c>
      <c r="AU449" s="3" t="n">
        <v>4</v>
      </c>
      <c r="AV449" s="3" t="n">
        <v>6</v>
      </c>
      <c r="AW449" s="3" t="n">
        <v>6</v>
      </c>
      <c r="AX449" s="3" t="n">
        <v>3</v>
      </c>
      <c r="AY449" s="3" t="n">
        <v>3</v>
      </c>
      <c r="AZ449" s="3" t="n">
        <v>1</v>
      </c>
      <c r="BA449" s="5" t="n">
        <v>5</v>
      </c>
      <c r="BB449" s="3" t="n">
        <v>2</v>
      </c>
      <c r="BC449" s="3" t="n">
        <v>1</v>
      </c>
      <c r="BD449" s="3" t="n">
        <v>6</v>
      </c>
      <c r="BE449" s="3" t="n">
        <v>3</v>
      </c>
      <c r="BF449" s="3" t="n">
        <v>5</v>
      </c>
      <c r="BG449" s="3" t="n">
        <v>3</v>
      </c>
      <c r="BH449" s="3" t="n">
        <v>4</v>
      </c>
      <c r="BI449" s="3" t="n">
        <v>1</v>
      </c>
      <c r="BJ449" s="3" t="n">
        <v>1</v>
      </c>
      <c r="BK449" s="6" t="s">
        <v>1326</v>
      </c>
    </row>
    <row r="450" customFormat="false" ht="15" hidden="false" customHeight="true" outlineLevel="0" collapsed="false">
      <c r="B450" s="2" t="s">
        <v>1327</v>
      </c>
      <c r="C450" s="2" t="s">
        <v>1328</v>
      </c>
      <c r="D450" s="2" t="s">
        <v>168</v>
      </c>
      <c r="E450" s="2" t="n">
        <v>180134</v>
      </c>
      <c r="F450" s="15" t="n">
        <v>43638</v>
      </c>
      <c r="G450" s="15" t="n">
        <v>43643</v>
      </c>
      <c r="H450" s="3" t="n">
        <v>5</v>
      </c>
      <c r="I450" s="3" t="n">
        <v>2</v>
      </c>
      <c r="J450" s="3" t="n">
        <v>54</v>
      </c>
      <c r="K450" s="3" t="n">
        <v>2</v>
      </c>
      <c r="L450" s="3" t="n">
        <v>1</v>
      </c>
      <c r="M450" s="3" t="n">
        <v>1</v>
      </c>
      <c r="N450" s="3" t="n">
        <v>2</v>
      </c>
      <c r="O450" s="3" t="n">
        <v>2</v>
      </c>
      <c r="P450" s="3" t="n">
        <v>2</v>
      </c>
      <c r="Q450" s="3" t="n">
        <v>2</v>
      </c>
      <c r="R450" s="3" t="n">
        <v>2</v>
      </c>
      <c r="S450" s="3" t="n">
        <v>2</v>
      </c>
      <c r="T450" s="4" t="n">
        <v>1</v>
      </c>
      <c r="U450" s="3" t="n">
        <v>1</v>
      </c>
      <c r="V450" s="3" t="n">
        <v>5.08</v>
      </c>
      <c r="W450" s="3" t="n">
        <v>2.99</v>
      </c>
      <c r="X450" s="3" t="n">
        <v>7.5</v>
      </c>
      <c r="Y450" s="3" t="n">
        <v>412</v>
      </c>
      <c r="Z450" s="3" t="n">
        <v>66</v>
      </c>
      <c r="AA450" s="3" t="n">
        <v>0.43</v>
      </c>
      <c r="AB450" s="3" t="n">
        <v>9.6</v>
      </c>
      <c r="AC450" s="3" t="n">
        <v>1</v>
      </c>
      <c r="AD450" s="3" t="n">
        <v>1</v>
      </c>
      <c r="AE450" s="3" t="n">
        <v>1</v>
      </c>
      <c r="AF450" s="3" t="n">
        <v>1</v>
      </c>
      <c r="AG450" s="3" t="n">
        <v>2</v>
      </c>
      <c r="AH450" s="3" t="n">
        <v>2</v>
      </c>
      <c r="AI450" s="3" t="n">
        <v>1</v>
      </c>
      <c r="AJ450" s="3" t="n">
        <v>1</v>
      </c>
      <c r="AK450" s="3" t="n">
        <v>2</v>
      </c>
      <c r="AL450" s="3" t="n">
        <v>2</v>
      </c>
      <c r="AM450" s="3" t="n">
        <v>2</v>
      </c>
      <c r="AN450" s="3" t="n">
        <v>2</v>
      </c>
      <c r="AO450" s="3" t="n">
        <v>2</v>
      </c>
      <c r="AP450" s="3" t="n">
        <v>3</v>
      </c>
      <c r="AQ450" s="3" t="n">
        <v>4</v>
      </c>
      <c r="AR450" s="3" t="n">
        <v>4</v>
      </c>
      <c r="AS450" s="3" t="n">
        <v>6</v>
      </c>
      <c r="AT450" s="3" t="n">
        <v>4</v>
      </c>
      <c r="AU450" s="3" t="n">
        <v>4</v>
      </c>
      <c r="AV450" s="3" t="n">
        <v>6</v>
      </c>
      <c r="AW450" s="3" t="n">
        <v>6</v>
      </c>
      <c r="AX450" s="3" t="n">
        <v>3</v>
      </c>
      <c r="AY450" s="3" t="n">
        <v>3</v>
      </c>
      <c r="AZ450" s="3" t="n">
        <v>1</v>
      </c>
      <c r="BA450" s="5" t="n">
        <v>5</v>
      </c>
      <c r="BB450" s="3" t="n">
        <v>2</v>
      </c>
      <c r="BC450" s="3" t="n">
        <v>1</v>
      </c>
      <c r="BD450" s="3" t="n">
        <v>6</v>
      </c>
      <c r="BE450" s="3" t="n">
        <v>3</v>
      </c>
      <c r="BF450" s="3" t="n">
        <v>5</v>
      </c>
      <c r="BG450" s="3" t="n">
        <v>3</v>
      </c>
      <c r="BH450" s="3" t="n">
        <v>4</v>
      </c>
      <c r="BI450" s="3" t="n">
        <v>1</v>
      </c>
      <c r="BJ450" s="3" t="n">
        <v>1</v>
      </c>
      <c r="BK450" s="6" t="s">
        <v>1329</v>
      </c>
    </row>
    <row r="451" customFormat="false" ht="15" hidden="false" customHeight="true" outlineLevel="0" collapsed="false">
      <c r="B451" s="2" t="s">
        <v>187</v>
      </c>
      <c r="C451" s="2" t="s">
        <v>1330</v>
      </c>
      <c r="D451" s="2" t="s">
        <v>198</v>
      </c>
      <c r="E451" s="2" t="n">
        <v>179970</v>
      </c>
      <c r="F451" s="15" t="n">
        <v>43636</v>
      </c>
      <c r="G451" s="15" t="n">
        <v>43643</v>
      </c>
      <c r="H451" s="3" t="n">
        <v>7</v>
      </c>
      <c r="I451" s="3" t="n">
        <v>2</v>
      </c>
      <c r="J451" s="3" t="n">
        <v>42</v>
      </c>
      <c r="K451" s="3" t="n">
        <v>1</v>
      </c>
      <c r="L451" s="3" t="n">
        <v>2</v>
      </c>
      <c r="M451" s="3" t="n">
        <v>1</v>
      </c>
      <c r="N451" s="3" t="n">
        <v>2</v>
      </c>
      <c r="O451" s="3" t="n">
        <v>2</v>
      </c>
      <c r="P451" s="3" t="n">
        <v>2</v>
      </c>
      <c r="Q451" s="3" t="n">
        <v>2</v>
      </c>
      <c r="R451" s="3" t="n">
        <v>2</v>
      </c>
      <c r="S451" s="3" t="n">
        <v>1</v>
      </c>
      <c r="T451" s="4" t="n">
        <v>2</v>
      </c>
      <c r="U451" s="3" t="n">
        <v>2</v>
      </c>
      <c r="V451" s="3" t="n">
        <v>5.04</v>
      </c>
      <c r="W451" s="3" t="n">
        <v>2.77</v>
      </c>
      <c r="X451" s="3" t="n">
        <v>7.7</v>
      </c>
      <c r="Y451" s="3" t="n">
        <v>340</v>
      </c>
      <c r="Z451" s="3" t="n">
        <v>62</v>
      </c>
      <c r="AA451" s="3" t="n">
        <v>0.45</v>
      </c>
      <c r="AB451" s="3" t="n">
        <v>13</v>
      </c>
      <c r="AC451" s="3" t="n">
        <v>1</v>
      </c>
      <c r="AD451" s="3" t="n">
        <v>2</v>
      </c>
      <c r="AE451" s="3" t="n">
        <v>1</v>
      </c>
      <c r="AF451" s="3" t="n">
        <v>1</v>
      </c>
      <c r="AG451" s="3" t="n">
        <v>2</v>
      </c>
      <c r="AH451" s="3" t="n">
        <v>1</v>
      </c>
      <c r="AI451" s="3" t="n">
        <v>1</v>
      </c>
      <c r="AJ451" s="3" t="n">
        <v>1</v>
      </c>
      <c r="AK451" s="3" t="n">
        <v>2</v>
      </c>
      <c r="AL451" s="3" t="n">
        <v>2</v>
      </c>
      <c r="AM451" s="3" t="n">
        <v>2</v>
      </c>
      <c r="AN451" s="3" t="n">
        <v>2</v>
      </c>
      <c r="AO451" s="3" t="n">
        <v>2</v>
      </c>
      <c r="AP451" s="3" t="n">
        <v>3</v>
      </c>
      <c r="AQ451" s="3" t="n">
        <v>4</v>
      </c>
      <c r="AR451" s="3" t="n">
        <v>4</v>
      </c>
      <c r="AS451" s="3" t="n">
        <v>6</v>
      </c>
      <c r="AT451" s="3" t="n">
        <v>4</v>
      </c>
      <c r="AU451" s="3" t="n">
        <v>4</v>
      </c>
      <c r="AV451" s="3" t="n">
        <v>6</v>
      </c>
      <c r="AW451" s="3" t="n">
        <v>6</v>
      </c>
      <c r="AX451" s="3" t="n">
        <v>3</v>
      </c>
      <c r="AY451" s="3" t="n">
        <v>3</v>
      </c>
      <c r="AZ451" s="3" t="n">
        <v>1</v>
      </c>
      <c r="BA451" s="5" t="n">
        <v>1</v>
      </c>
      <c r="BB451" s="3" t="n">
        <v>1</v>
      </c>
      <c r="BC451" s="3" t="n">
        <v>1</v>
      </c>
      <c r="BD451" s="3" t="n">
        <v>2</v>
      </c>
      <c r="BE451" s="3" t="n">
        <v>1</v>
      </c>
      <c r="BF451" s="3" t="n">
        <v>3</v>
      </c>
      <c r="BG451" s="3" t="n">
        <v>1</v>
      </c>
      <c r="BH451" s="3" t="n">
        <v>4</v>
      </c>
      <c r="BI451" s="3" t="n">
        <v>1</v>
      </c>
      <c r="BJ451" s="3" t="n">
        <v>1</v>
      </c>
      <c r="BK451" s="6" t="s">
        <v>1331</v>
      </c>
    </row>
    <row r="452" customFormat="false" ht="16.5" hidden="false" customHeight="true" outlineLevel="0" collapsed="false">
      <c r="B452" s="2" t="s">
        <v>278</v>
      </c>
      <c r="C452" s="2" t="s">
        <v>1007</v>
      </c>
      <c r="D452" s="2" t="s">
        <v>66</v>
      </c>
      <c r="E452" s="2" t="n">
        <v>178130</v>
      </c>
      <c r="F452" s="15" t="n">
        <v>43639</v>
      </c>
      <c r="G452" s="15" t="n">
        <v>43644</v>
      </c>
      <c r="H452" s="3" t="n">
        <v>5</v>
      </c>
      <c r="I452" s="3" t="n">
        <v>2</v>
      </c>
      <c r="J452" s="3" t="n">
        <v>68</v>
      </c>
      <c r="K452" s="3" t="n">
        <v>1</v>
      </c>
      <c r="L452" s="3" t="n">
        <v>2</v>
      </c>
      <c r="M452" s="3" t="n">
        <v>1</v>
      </c>
      <c r="N452" s="3" t="n">
        <v>1</v>
      </c>
      <c r="O452" s="3" t="n">
        <v>1</v>
      </c>
      <c r="P452" s="3" t="n">
        <v>2</v>
      </c>
      <c r="Q452" s="3" t="n">
        <v>2</v>
      </c>
      <c r="R452" s="3" t="n">
        <v>2</v>
      </c>
      <c r="S452" s="3" t="n">
        <v>2</v>
      </c>
      <c r="T452" s="4" t="n">
        <v>1</v>
      </c>
      <c r="U452" s="3" t="n">
        <v>4</v>
      </c>
      <c r="V452" s="3" t="n">
        <v>2.67</v>
      </c>
      <c r="W452" s="3" t="n">
        <v>0.97</v>
      </c>
      <c r="X452" s="3" t="n">
        <v>4.4</v>
      </c>
      <c r="Y452" s="3" t="n">
        <v>793</v>
      </c>
      <c r="Z452" s="3" t="n">
        <v>86</v>
      </c>
      <c r="AA452" s="3" t="n">
        <v>0.4</v>
      </c>
      <c r="AB452" s="3" t="n">
        <v>6.8</v>
      </c>
      <c r="AC452" s="3" t="n">
        <v>1</v>
      </c>
      <c r="AD452" s="3" t="n">
        <v>1</v>
      </c>
      <c r="AE452" s="3" t="n">
        <v>1</v>
      </c>
      <c r="AF452" s="3" t="n">
        <v>1</v>
      </c>
      <c r="AG452" s="3" t="n">
        <v>2</v>
      </c>
      <c r="AH452" s="3" t="n">
        <v>2</v>
      </c>
      <c r="AI452" s="3" t="n">
        <v>1</v>
      </c>
      <c r="AJ452" s="3" t="n">
        <v>2</v>
      </c>
      <c r="AK452" s="3" t="n">
        <v>2</v>
      </c>
      <c r="AL452" s="3" t="n">
        <v>1</v>
      </c>
      <c r="AM452" s="3" t="n">
        <v>1</v>
      </c>
      <c r="AN452" s="3" t="n">
        <v>1</v>
      </c>
      <c r="AO452" s="3" t="n">
        <v>2</v>
      </c>
      <c r="AP452" s="3" t="n">
        <v>3</v>
      </c>
      <c r="AQ452" s="3" t="n">
        <v>4</v>
      </c>
      <c r="AR452" s="3" t="n">
        <v>4</v>
      </c>
      <c r="AS452" s="3" t="n">
        <v>6</v>
      </c>
      <c r="AT452" s="3" t="n">
        <v>4</v>
      </c>
      <c r="AU452" s="3" t="n">
        <v>4</v>
      </c>
      <c r="AV452" s="3" t="n">
        <v>6</v>
      </c>
      <c r="AW452" s="3" t="n">
        <v>6</v>
      </c>
      <c r="AX452" s="3" t="n">
        <v>3</v>
      </c>
      <c r="AY452" s="3" t="n">
        <v>3</v>
      </c>
      <c r="AZ452" s="3" t="n">
        <v>1</v>
      </c>
      <c r="BA452" s="5" t="n">
        <v>5</v>
      </c>
      <c r="BB452" s="3" t="n">
        <v>2</v>
      </c>
      <c r="BC452" s="3" t="n">
        <v>1</v>
      </c>
      <c r="BD452" s="3" t="n">
        <v>6</v>
      </c>
      <c r="BE452" s="3" t="n">
        <v>3</v>
      </c>
      <c r="BF452" s="3" t="n">
        <v>5</v>
      </c>
      <c r="BG452" s="3" t="n">
        <v>3</v>
      </c>
      <c r="BH452" s="3" t="n">
        <v>4</v>
      </c>
      <c r="BI452" s="3" t="n">
        <v>1</v>
      </c>
      <c r="BJ452" s="3" t="n">
        <v>1</v>
      </c>
      <c r="BK452" s="6" t="s">
        <v>1332</v>
      </c>
    </row>
    <row r="453" customFormat="false" ht="15" hidden="false" customHeight="true" outlineLevel="0" collapsed="false">
      <c r="B453" s="2" t="s">
        <v>1333</v>
      </c>
      <c r="C453" s="2" t="s">
        <v>1334</v>
      </c>
      <c r="D453" s="2" t="s">
        <v>1335</v>
      </c>
      <c r="E453" s="2" t="n">
        <v>180370</v>
      </c>
      <c r="F453" s="15" t="n">
        <v>43641</v>
      </c>
      <c r="G453" s="15" t="n">
        <v>43645</v>
      </c>
      <c r="H453" s="3" t="n">
        <v>4</v>
      </c>
      <c r="I453" s="3" t="n">
        <v>1</v>
      </c>
      <c r="J453" s="3" t="n">
        <v>67</v>
      </c>
      <c r="K453" s="3" t="n">
        <v>1</v>
      </c>
      <c r="L453" s="3" t="n">
        <v>1</v>
      </c>
      <c r="M453" s="3" t="n">
        <v>1</v>
      </c>
      <c r="N453" s="3" t="n">
        <v>1</v>
      </c>
      <c r="O453" s="3" t="n">
        <v>2</v>
      </c>
      <c r="P453" s="3" t="n">
        <v>2</v>
      </c>
      <c r="Q453" s="3" t="n">
        <v>2</v>
      </c>
      <c r="R453" s="3" t="n">
        <v>1</v>
      </c>
      <c r="S453" s="3" t="n">
        <v>2</v>
      </c>
      <c r="T453" s="4" t="n">
        <v>1</v>
      </c>
      <c r="U453" s="3" t="n">
        <v>1</v>
      </c>
      <c r="V453" s="3" t="n">
        <v>5.84</v>
      </c>
      <c r="W453" s="3" t="n">
        <v>1.45</v>
      </c>
      <c r="X453" s="3" t="n">
        <v>5.56</v>
      </c>
      <c r="Y453" s="3" t="n">
        <v>252</v>
      </c>
      <c r="Z453" s="3" t="n">
        <v>74</v>
      </c>
      <c r="AA453" s="3" t="n">
        <v>0.38</v>
      </c>
      <c r="AB453" s="3" t="n">
        <v>6.8</v>
      </c>
      <c r="AC453" s="3" t="n">
        <v>1</v>
      </c>
      <c r="AD453" s="3" t="n">
        <v>1</v>
      </c>
      <c r="AE453" s="3" t="n">
        <v>1</v>
      </c>
      <c r="AF453" s="3" t="n">
        <v>1</v>
      </c>
      <c r="AG453" s="3" t="n">
        <v>1</v>
      </c>
      <c r="AH453" s="3" t="n">
        <v>2</v>
      </c>
      <c r="AI453" s="3" t="n">
        <v>1</v>
      </c>
      <c r="AJ453" s="3" t="n">
        <v>2</v>
      </c>
      <c r="AK453" s="3" t="n">
        <v>2</v>
      </c>
      <c r="AL453" s="3" t="n">
        <v>2</v>
      </c>
      <c r="AM453" s="3" t="n">
        <v>2</v>
      </c>
      <c r="AN453" s="3" t="n">
        <v>2</v>
      </c>
      <c r="AO453" s="3" t="n">
        <v>2</v>
      </c>
      <c r="AP453" s="3" t="n">
        <v>3</v>
      </c>
      <c r="AQ453" s="3" t="n">
        <v>4</v>
      </c>
      <c r="AR453" s="3" t="n">
        <v>4</v>
      </c>
      <c r="AS453" s="3" t="n">
        <v>6</v>
      </c>
      <c r="AT453" s="3" t="n">
        <v>4</v>
      </c>
      <c r="AU453" s="3" t="n">
        <v>4</v>
      </c>
      <c r="AV453" s="3" t="n">
        <v>6</v>
      </c>
      <c r="AW453" s="3" t="n">
        <v>6</v>
      </c>
      <c r="AX453" s="3" t="n">
        <v>3</v>
      </c>
      <c r="AY453" s="3" t="n">
        <v>3</v>
      </c>
      <c r="AZ453" s="3" t="n">
        <v>1</v>
      </c>
      <c r="BA453" s="5" t="n">
        <v>5</v>
      </c>
      <c r="BB453" s="3" t="n">
        <v>2</v>
      </c>
      <c r="BC453" s="3" t="n">
        <v>1</v>
      </c>
      <c r="BD453" s="3" t="n">
        <v>6</v>
      </c>
      <c r="BE453" s="3" t="n">
        <v>3</v>
      </c>
      <c r="BF453" s="3" t="n">
        <v>5</v>
      </c>
      <c r="BG453" s="3" t="n">
        <v>3</v>
      </c>
      <c r="BH453" s="3" t="n">
        <v>4</v>
      </c>
      <c r="BI453" s="3" t="n">
        <v>1</v>
      </c>
      <c r="BJ453" s="3" t="n">
        <v>1</v>
      </c>
      <c r="BK453" s="6" t="s">
        <v>1336</v>
      </c>
    </row>
    <row r="454" customFormat="false" ht="15" hidden="false" customHeight="true" outlineLevel="0" collapsed="false">
      <c r="B454" s="2" t="s">
        <v>180</v>
      </c>
      <c r="C454" s="2" t="s">
        <v>684</v>
      </c>
      <c r="D454" s="2" t="s">
        <v>685</v>
      </c>
      <c r="E454" s="2" t="n">
        <v>180341</v>
      </c>
      <c r="F454" s="15" t="n">
        <v>43640</v>
      </c>
      <c r="G454" s="15" t="n">
        <v>43647</v>
      </c>
      <c r="H454" s="3" t="n">
        <v>7</v>
      </c>
      <c r="I454" s="3" t="n">
        <v>2</v>
      </c>
      <c r="J454" s="3" t="n">
        <v>55</v>
      </c>
      <c r="K454" s="3" t="n">
        <v>1</v>
      </c>
      <c r="L454" s="3" t="n">
        <v>1</v>
      </c>
      <c r="M454" s="3" t="n">
        <v>2</v>
      </c>
      <c r="N454" s="3" t="n">
        <v>2</v>
      </c>
      <c r="O454" s="3" t="n">
        <v>2</v>
      </c>
      <c r="P454" s="3" t="n">
        <v>1</v>
      </c>
      <c r="Q454" s="3" t="n">
        <v>2</v>
      </c>
      <c r="R454" s="3" t="n">
        <v>2</v>
      </c>
      <c r="S454" s="3" t="n">
        <v>2</v>
      </c>
      <c r="T454" s="4" t="n">
        <v>2</v>
      </c>
      <c r="U454" s="3" t="n">
        <v>2</v>
      </c>
      <c r="V454" s="3" t="n">
        <v>4.9</v>
      </c>
      <c r="W454" s="3" t="n">
        <v>2.19</v>
      </c>
      <c r="X454" s="3" t="n">
        <v>5.1</v>
      </c>
      <c r="Y454" s="3" t="n">
        <v>397</v>
      </c>
      <c r="Z454" s="3" t="n">
        <v>70</v>
      </c>
      <c r="AA454" s="3" t="n">
        <v>0.48</v>
      </c>
      <c r="AB454" s="3" t="n">
        <v>12.3</v>
      </c>
      <c r="AC454" s="3" t="n">
        <v>1</v>
      </c>
      <c r="AD454" s="3" t="n">
        <v>2</v>
      </c>
      <c r="AE454" s="3" t="n">
        <v>1</v>
      </c>
      <c r="AF454" s="3" t="n">
        <v>1</v>
      </c>
      <c r="AG454" s="3" t="n">
        <v>2</v>
      </c>
      <c r="AH454" s="3" t="n">
        <v>2</v>
      </c>
      <c r="AI454" s="3" t="n">
        <v>1</v>
      </c>
      <c r="AJ454" s="3" t="n">
        <v>1</v>
      </c>
      <c r="AK454" s="3" t="n">
        <v>2</v>
      </c>
      <c r="AL454" s="3" t="n">
        <v>2</v>
      </c>
      <c r="AM454" s="3" t="n">
        <v>2</v>
      </c>
      <c r="AN454" s="3" t="n">
        <v>2</v>
      </c>
      <c r="AO454" s="3" t="n">
        <v>2</v>
      </c>
      <c r="AP454" s="3" t="n">
        <v>3</v>
      </c>
      <c r="AQ454" s="3" t="n">
        <v>4</v>
      </c>
      <c r="AR454" s="3" t="n">
        <v>4</v>
      </c>
      <c r="AS454" s="3" t="n">
        <v>6</v>
      </c>
      <c r="AT454" s="3" t="n">
        <v>4</v>
      </c>
      <c r="AU454" s="3" t="n">
        <v>4</v>
      </c>
      <c r="AV454" s="3" t="n">
        <v>6</v>
      </c>
      <c r="AW454" s="3" t="n">
        <v>6</v>
      </c>
      <c r="AX454" s="3" t="n">
        <v>3</v>
      </c>
      <c r="AY454" s="3" t="n">
        <v>3</v>
      </c>
      <c r="AZ454" s="3" t="n">
        <v>1</v>
      </c>
      <c r="BA454" s="5" t="n">
        <v>1</v>
      </c>
      <c r="BB454" s="3" t="n">
        <v>1</v>
      </c>
      <c r="BC454" s="3" t="n">
        <v>1</v>
      </c>
      <c r="BD454" s="3" t="n">
        <v>4</v>
      </c>
      <c r="BE454" s="3" t="n">
        <v>1</v>
      </c>
      <c r="BF454" s="3" t="n">
        <v>2</v>
      </c>
      <c r="BG454" s="3" t="n">
        <v>1</v>
      </c>
      <c r="BH454" s="3" t="n">
        <v>4</v>
      </c>
      <c r="BI454" s="3" t="n">
        <v>1</v>
      </c>
      <c r="BJ454" s="3" t="n">
        <v>1</v>
      </c>
      <c r="BK454" s="6" t="s">
        <v>1337</v>
      </c>
    </row>
    <row r="455" customFormat="false" ht="15" hidden="false" customHeight="true" outlineLevel="0" collapsed="false">
      <c r="B455" s="2" t="s">
        <v>1338</v>
      </c>
      <c r="C455" s="2" t="s">
        <v>198</v>
      </c>
      <c r="D455" s="2" t="s">
        <v>94</v>
      </c>
      <c r="E455" s="2" t="n">
        <v>180347</v>
      </c>
      <c r="F455" s="15" t="n">
        <v>43641</v>
      </c>
      <c r="G455" s="15" t="n">
        <v>43647</v>
      </c>
      <c r="H455" s="3" t="n">
        <v>6</v>
      </c>
      <c r="I455" s="3" t="n">
        <v>1</v>
      </c>
      <c r="J455" s="3" t="n">
        <v>53</v>
      </c>
      <c r="K455" s="3" t="n">
        <v>1</v>
      </c>
      <c r="L455" s="3" t="n">
        <v>2</v>
      </c>
      <c r="M455" s="3" t="n">
        <v>2</v>
      </c>
      <c r="N455" s="3" t="n">
        <v>2</v>
      </c>
      <c r="O455" s="3" t="n">
        <v>2</v>
      </c>
      <c r="P455" s="3" t="n">
        <v>2</v>
      </c>
      <c r="Q455" s="3" t="n">
        <v>1</v>
      </c>
      <c r="R455" s="3" t="n">
        <v>2</v>
      </c>
      <c r="S455" s="3" t="n">
        <v>2</v>
      </c>
      <c r="T455" s="4" t="n">
        <v>1</v>
      </c>
      <c r="U455" s="3" t="n">
        <v>1</v>
      </c>
      <c r="V455" s="3" t="n">
        <v>6.5</v>
      </c>
      <c r="W455" s="3" t="n">
        <v>12.9</v>
      </c>
      <c r="X455" s="3" t="n">
        <v>10.43</v>
      </c>
      <c r="Y455" s="3" t="n">
        <v>322</v>
      </c>
      <c r="Z455" s="3" t="n">
        <v>23</v>
      </c>
      <c r="AA455" s="3" t="n">
        <v>0.45</v>
      </c>
      <c r="AB455" s="3" t="n">
        <v>8.8</v>
      </c>
      <c r="AC455" s="3" t="n">
        <v>1</v>
      </c>
      <c r="AD455" s="3" t="n">
        <v>1</v>
      </c>
      <c r="AE455" s="3" t="n">
        <v>1</v>
      </c>
      <c r="AF455" s="3" t="n">
        <v>1</v>
      </c>
      <c r="AG455" s="3" t="n">
        <v>1</v>
      </c>
      <c r="AH455" s="3" t="n">
        <v>2</v>
      </c>
      <c r="AI455" s="3" t="n">
        <v>1</v>
      </c>
      <c r="AJ455" s="3" t="n">
        <v>1</v>
      </c>
      <c r="AK455" s="3" t="n">
        <v>2</v>
      </c>
      <c r="AL455" s="3" t="n">
        <v>2</v>
      </c>
      <c r="AM455" s="3" t="n">
        <v>2</v>
      </c>
      <c r="AN455" s="3" t="n">
        <v>2</v>
      </c>
      <c r="AO455" s="3" t="n">
        <v>2</v>
      </c>
      <c r="AP455" s="3" t="n">
        <v>3</v>
      </c>
      <c r="AQ455" s="3" t="n">
        <v>4</v>
      </c>
      <c r="AR455" s="3" t="n">
        <v>4</v>
      </c>
      <c r="AS455" s="3" t="n">
        <v>6</v>
      </c>
      <c r="AT455" s="3" t="n">
        <v>4</v>
      </c>
      <c r="AU455" s="3" t="n">
        <v>4</v>
      </c>
      <c r="AV455" s="3" t="n">
        <v>6</v>
      </c>
      <c r="AW455" s="3" t="n">
        <v>6</v>
      </c>
      <c r="AX455" s="3" t="n">
        <v>3</v>
      </c>
      <c r="AY455" s="3" t="n">
        <v>3</v>
      </c>
      <c r="AZ455" s="3" t="n">
        <v>1</v>
      </c>
      <c r="BA455" s="5" t="n">
        <v>5</v>
      </c>
      <c r="BB455" s="3" t="n">
        <v>2</v>
      </c>
      <c r="BC455" s="3" t="n">
        <v>1</v>
      </c>
      <c r="BD455" s="3" t="n">
        <v>6</v>
      </c>
      <c r="BE455" s="3" t="n">
        <v>3</v>
      </c>
      <c r="BF455" s="3" t="n">
        <v>5</v>
      </c>
      <c r="BG455" s="3" t="n">
        <v>3</v>
      </c>
      <c r="BH455" s="3" t="n">
        <v>4</v>
      </c>
      <c r="BI455" s="3" t="n">
        <v>1</v>
      </c>
      <c r="BJ455" s="3" t="n">
        <v>1</v>
      </c>
      <c r="BK455" s="6" t="s">
        <v>1339</v>
      </c>
    </row>
    <row r="456" s="23" customFormat="true" ht="16.5" hidden="false" customHeight="true" outlineLevel="0" collapsed="false">
      <c r="A456" s="1"/>
      <c r="B456" s="2" t="s">
        <v>1293</v>
      </c>
      <c r="C456" s="2" t="s">
        <v>1294</v>
      </c>
      <c r="D456" s="2" t="s">
        <v>204</v>
      </c>
      <c r="E456" s="2" t="n">
        <v>179127</v>
      </c>
      <c r="F456" s="15" t="n">
        <v>43643</v>
      </c>
      <c r="G456" s="15" t="n">
        <v>43647</v>
      </c>
      <c r="H456" s="3" t="n">
        <v>4</v>
      </c>
      <c r="I456" s="3" t="n">
        <v>2</v>
      </c>
      <c r="J456" s="3" t="n">
        <v>80</v>
      </c>
      <c r="K456" s="3" t="n">
        <v>1</v>
      </c>
      <c r="L456" s="3" t="n">
        <v>1</v>
      </c>
      <c r="M456" s="3" t="n">
        <v>1</v>
      </c>
      <c r="N456" s="3" t="n">
        <v>2</v>
      </c>
      <c r="O456" s="3" t="n">
        <v>2</v>
      </c>
      <c r="P456" s="3" t="n">
        <v>2</v>
      </c>
      <c r="Q456" s="3" t="n">
        <v>1</v>
      </c>
      <c r="R456" s="3" t="n">
        <v>2</v>
      </c>
      <c r="S456" s="3" t="n">
        <v>1</v>
      </c>
      <c r="T456" s="4" t="n">
        <v>4</v>
      </c>
      <c r="U456" s="3" t="n">
        <v>4</v>
      </c>
      <c r="V456" s="3" t="n">
        <v>3.46</v>
      </c>
      <c r="W456" s="3" t="n">
        <v>0.89</v>
      </c>
      <c r="X456" s="3" t="n">
        <v>10.06</v>
      </c>
      <c r="Y456" s="3" t="n">
        <v>328</v>
      </c>
      <c r="Z456" s="3" t="n">
        <v>62</v>
      </c>
      <c r="AA456" s="3" t="n">
        <v>0.3</v>
      </c>
      <c r="AB456" s="3" t="n">
        <v>11.2</v>
      </c>
      <c r="AC456" s="3" t="n">
        <v>3</v>
      </c>
      <c r="AD456" s="3" t="n">
        <v>2</v>
      </c>
      <c r="AE456" s="3" t="n">
        <v>1</v>
      </c>
      <c r="AF456" s="3" t="n">
        <v>2</v>
      </c>
      <c r="AG456" s="3" t="n">
        <v>2</v>
      </c>
      <c r="AH456" s="3" t="n">
        <v>2</v>
      </c>
      <c r="AI456" s="3" t="n">
        <v>2</v>
      </c>
      <c r="AJ456" s="3" t="n">
        <v>2</v>
      </c>
      <c r="AK456" s="3" t="n">
        <v>2</v>
      </c>
      <c r="AL456" s="3" t="n">
        <v>2</v>
      </c>
      <c r="AM456" s="3" t="n">
        <v>1</v>
      </c>
      <c r="AN456" s="3" t="n">
        <v>2</v>
      </c>
      <c r="AO456" s="3" t="n">
        <v>2</v>
      </c>
      <c r="AP456" s="3" t="n">
        <v>3</v>
      </c>
      <c r="AQ456" s="3" t="n">
        <v>4</v>
      </c>
      <c r="AR456" s="3" t="n">
        <v>4</v>
      </c>
      <c r="AS456" s="3" t="n">
        <v>6</v>
      </c>
      <c r="AT456" s="3" t="n">
        <v>4</v>
      </c>
      <c r="AU456" s="3" t="n">
        <v>4</v>
      </c>
      <c r="AV456" s="3" t="n">
        <v>6</v>
      </c>
      <c r="AW456" s="3" t="n">
        <v>6</v>
      </c>
      <c r="AX456" s="3" t="n">
        <v>3</v>
      </c>
      <c r="AY456" s="3" t="n">
        <v>3</v>
      </c>
      <c r="AZ456" s="3" t="n">
        <v>1</v>
      </c>
      <c r="BA456" s="5" t="n">
        <v>10</v>
      </c>
      <c r="BB456" s="3" t="n">
        <v>2</v>
      </c>
      <c r="BC456" s="3" t="n">
        <v>1</v>
      </c>
      <c r="BD456" s="3" t="n">
        <v>6</v>
      </c>
      <c r="BE456" s="3" t="n">
        <v>3</v>
      </c>
      <c r="BF456" s="3" t="n">
        <v>5</v>
      </c>
      <c r="BG456" s="3" t="n">
        <v>3</v>
      </c>
      <c r="BH456" s="3" t="n">
        <v>4</v>
      </c>
      <c r="BI456" s="3" t="n">
        <v>1</v>
      </c>
      <c r="BJ456" s="3" t="n">
        <v>1</v>
      </c>
      <c r="BK456" s="6" t="s">
        <v>1340</v>
      </c>
    </row>
    <row r="457" customFormat="false" ht="15" hidden="false" customHeight="true" outlineLevel="0" collapsed="false">
      <c r="B457" s="2" t="s">
        <v>1341</v>
      </c>
      <c r="C457" s="2" t="s">
        <v>808</v>
      </c>
      <c r="D457" s="2" t="s">
        <v>95</v>
      </c>
      <c r="E457" s="2" t="n">
        <v>177910</v>
      </c>
      <c r="F457" s="15" t="n">
        <v>43647</v>
      </c>
      <c r="G457" s="15" t="n">
        <v>43650</v>
      </c>
      <c r="H457" s="3" t="n">
        <v>3</v>
      </c>
      <c r="I457" s="3" t="n">
        <v>2</v>
      </c>
      <c r="J457" s="3" t="n">
        <v>70</v>
      </c>
      <c r="K457" s="3" t="n">
        <v>1</v>
      </c>
      <c r="L457" s="3" t="n">
        <v>2</v>
      </c>
      <c r="M457" s="3" t="n">
        <v>1</v>
      </c>
      <c r="N457" s="3" t="n">
        <v>1</v>
      </c>
      <c r="O457" s="3" t="n">
        <v>2</v>
      </c>
      <c r="P457" s="3" t="n">
        <v>2</v>
      </c>
      <c r="Q457" s="3" t="n">
        <v>2</v>
      </c>
      <c r="R457" s="3" t="n">
        <v>2</v>
      </c>
      <c r="S457" s="3" t="n">
        <v>2</v>
      </c>
      <c r="T457" s="4" t="n">
        <v>1</v>
      </c>
      <c r="U457" s="3" t="n">
        <v>1</v>
      </c>
      <c r="V457" s="3" t="n">
        <v>4.56</v>
      </c>
      <c r="W457" s="3" t="n">
        <v>1.89</v>
      </c>
      <c r="X457" s="3" t="n">
        <v>6.4</v>
      </c>
      <c r="Y457" s="3" t="n">
        <v>344</v>
      </c>
      <c r="Z457" s="3" t="n">
        <v>78</v>
      </c>
      <c r="AA457" s="3" t="n">
        <v>0.41</v>
      </c>
      <c r="AB457" s="3" t="n">
        <v>8.9</v>
      </c>
      <c r="AC457" s="3" t="n">
        <v>3</v>
      </c>
      <c r="AD457" s="3" t="n">
        <v>1</v>
      </c>
      <c r="AE457" s="3" t="n">
        <v>1</v>
      </c>
      <c r="AF457" s="3" t="n">
        <v>1</v>
      </c>
      <c r="AG457" s="3" t="n">
        <v>1</v>
      </c>
      <c r="AH457" s="3" t="n">
        <v>2</v>
      </c>
      <c r="AI457" s="3" t="n">
        <v>1</v>
      </c>
      <c r="AJ457" s="3" t="n">
        <v>1</v>
      </c>
      <c r="AK457" s="3" t="n">
        <v>2</v>
      </c>
      <c r="AL457" s="3" t="n">
        <v>2</v>
      </c>
      <c r="AM457" s="3" t="n">
        <v>1</v>
      </c>
      <c r="AN457" s="3" t="n">
        <v>2</v>
      </c>
      <c r="AO457" s="3" t="n">
        <v>2</v>
      </c>
      <c r="AP457" s="3" t="n">
        <v>1</v>
      </c>
      <c r="AQ457" s="3" t="n">
        <v>2</v>
      </c>
      <c r="AR457" s="3" t="n">
        <v>5</v>
      </c>
      <c r="AS457" s="3" t="n">
        <v>2</v>
      </c>
      <c r="AT457" s="3" t="n">
        <v>1</v>
      </c>
      <c r="AU457" s="3" t="n">
        <v>1</v>
      </c>
      <c r="AV457" s="3" t="n">
        <v>1</v>
      </c>
      <c r="AW457" s="3" t="n">
        <v>1</v>
      </c>
      <c r="AX457" s="3" t="n">
        <v>2</v>
      </c>
      <c r="AY457" s="3" t="n">
        <v>2</v>
      </c>
      <c r="AZ457" s="3" t="n">
        <v>1</v>
      </c>
      <c r="BA457" s="5" t="n">
        <v>5</v>
      </c>
      <c r="BB457" s="3" t="n">
        <v>2</v>
      </c>
      <c r="BC457" s="3" t="n">
        <v>1</v>
      </c>
      <c r="BD457" s="3" t="n">
        <v>6</v>
      </c>
      <c r="BE457" s="3" t="n">
        <v>3</v>
      </c>
      <c r="BF457" s="3" t="n">
        <v>5</v>
      </c>
      <c r="BG457" s="3" t="n">
        <v>3</v>
      </c>
      <c r="BH457" s="3" t="n">
        <v>4</v>
      </c>
      <c r="BI457" s="3" t="n">
        <v>1</v>
      </c>
      <c r="BJ457" s="3" t="n">
        <v>1</v>
      </c>
      <c r="BK457" s="6" t="s">
        <v>1342</v>
      </c>
    </row>
    <row r="458" s="30" customFormat="true" ht="15" hidden="false" customHeight="true" outlineLevel="0" collapsed="false">
      <c r="A458" s="24"/>
      <c r="B458" s="26" t="s">
        <v>394</v>
      </c>
      <c r="C458" s="26" t="s">
        <v>127</v>
      </c>
      <c r="D458" s="26" t="s">
        <v>1343</v>
      </c>
      <c r="E458" s="26" t="n">
        <v>180764</v>
      </c>
      <c r="F458" s="27" t="n">
        <v>43647</v>
      </c>
      <c r="G458" s="27" t="n">
        <v>43648</v>
      </c>
      <c r="H458" s="30" t="n">
        <v>1</v>
      </c>
      <c r="I458" s="30" t="n">
        <v>2</v>
      </c>
      <c r="J458" s="30" t="n">
        <v>56</v>
      </c>
      <c r="K458" s="30" t="n">
        <v>1</v>
      </c>
      <c r="L458" s="30" t="n">
        <v>1</v>
      </c>
      <c r="M458" s="30" t="n">
        <v>2</v>
      </c>
      <c r="N458" s="30" t="n">
        <v>2</v>
      </c>
      <c r="O458" s="30" t="n">
        <v>2</v>
      </c>
      <c r="P458" s="30" t="n">
        <v>2</v>
      </c>
      <c r="Q458" s="30" t="n">
        <v>2</v>
      </c>
      <c r="R458" s="30" t="n">
        <v>2</v>
      </c>
      <c r="S458" s="30" t="n">
        <v>2</v>
      </c>
      <c r="T458" s="4" t="n">
        <v>3</v>
      </c>
      <c r="U458" s="30" t="n">
        <v>4</v>
      </c>
      <c r="AD458" s="30" t="n">
        <v>2</v>
      </c>
      <c r="AE458" s="30" t="n">
        <v>1</v>
      </c>
      <c r="AF458" s="30" t="n">
        <v>2</v>
      </c>
      <c r="AG458" s="30" t="n">
        <v>2</v>
      </c>
      <c r="AH458" s="30" t="n">
        <v>2</v>
      </c>
      <c r="AI458" s="30" t="n">
        <v>2</v>
      </c>
      <c r="AJ458" s="30" t="n">
        <v>2</v>
      </c>
      <c r="AK458" s="30" t="n">
        <v>2</v>
      </c>
      <c r="AL458" s="30" t="n">
        <v>1</v>
      </c>
      <c r="AM458" s="30" t="n">
        <v>1</v>
      </c>
      <c r="AN458" s="30" t="n">
        <v>1</v>
      </c>
      <c r="AO458" s="30" t="n">
        <v>2</v>
      </c>
      <c r="AP458" s="30" t="n">
        <v>3</v>
      </c>
      <c r="AQ458" s="30" t="n">
        <v>4</v>
      </c>
      <c r="AR458" s="30" t="n">
        <v>4</v>
      </c>
      <c r="AS458" s="30" t="n">
        <v>6</v>
      </c>
      <c r="AT458" s="30" t="n">
        <v>4</v>
      </c>
      <c r="AU458" s="30" t="n">
        <v>4</v>
      </c>
      <c r="AV458" s="30" t="n">
        <v>6</v>
      </c>
      <c r="AW458" s="30" t="n">
        <v>6</v>
      </c>
      <c r="AX458" s="30" t="n">
        <v>3</v>
      </c>
      <c r="AY458" s="30" t="n">
        <v>3</v>
      </c>
      <c r="AZ458" s="30" t="n">
        <v>1</v>
      </c>
      <c r="BA458" s="5" t="n">
        <v>11</v>
      </c>
      <c r="BB458" s="30" t="n">
        <v>2</v>
      </c>
      <c r="BC458" s="30" t="n">
        <v>1</v>
      </c>
      <c r="BD458" s="30" t="n">
        <v>6</v>
      </c>
      <c r="BE458" s="30" t="n">
        <v>3</v>
      </c>
      <c r="BF458" s="30" t="n">
        <v>5</v>
      </c>
      <c r="BG458" s="30" t="n">
        <v>3</v>
      </c>
      <c r="BH458" s="30" t="n">
        <v>4</v>
      </c>
      <c r="BI458" s="30" t="n">
        <v>1</v>
      </c>
      <c r="BJ458" s="30" t="n">
        <v>1</v>
      </c>
      <c r="BK458" s="31" t="s">
        <v>1344</v>
      </c>
    </row>
    <row r="459" customFormat="false" ht="15" hidden="false" customHeight="true" outlineLevel="0" collapsed="false">
      <c r="B459" s="2" t="s">
        <v>442</v>
      </c>
      <c r="C459" s="2" t="s">
        <v>999</v>
      </c>
      <c r="D459" s="2" t="s">
        <v>94</v>
      </c>
      <c r="E459" s="2" t="n">
        <v>180523</v>
      </c>
      <c r="F459" s="15" t="n">
        <v>43643</v>
      </c>
      <c r="G459" s="15" t="n">
        <v>43650</v>
      </c>
      <c r="H459" s="3" t="n">
        <v>7</v>
      </c>
      <c r="I459" s="3" t="n">
        <v>2</v>
      </c>
      <c r="J459" s="3" t="n">
        <v>65</v>
      </c>
      <c r="K459" s="3" t="n">
        <v>1</v>
      </c>
      <c r="L459" s="3" t="n">
        <v>1</v>
      </c>
      <c r="M459" s="3" t="n">
        <v>1</v>
      </c>
      <c r="N459" s="3" t="n">
        <v>2</v>
      </c>
      <c r="O459" s="3" t="n">
        <v>1</v>
      </c>
      <c r="P459" s="3" t="n">
        <v>2</v>
      </c>
      <c r="Q459" s="3" t="n">
        <v>2</v>
      </c>
      <c r="R459" s="3" t="n">
        <v>2</v>
      </c>
      <c r="S459" s="3" t="n">
        <v>2</v>
      </c>
      <c r="T459" s="4" t="n">
        <v>2</v>
      </c>
      <c r="U459" s="3" t="n">
        <v>2</v>
      </c>
      <c r="V459" s="3" t="n">
        <v>5.48</v>
      </c>
      <c r="W459" s="3" t="n">
        <v>2.33</v>
      </c>
      <c r="X459" s="3" t="n">
        <v>5.5</v>
      </c>
      <c r="Y459" s="3" t="n">
        <v>392</v>
      </c>
      <c r="Z459" s="3" t="n">
        <v>83</v>
      </c>
      <c r="AA459" s="3" t="n">
        <v>0.47</v>
      </c>
      <c r="AB459" s="3" t="n">
        <v>11.8</v>
      </c>
      <c r="AD459" s="3" t="n">
        <v>2</v>
      </c>
      <c r="AE459" s="3" t="n">
        <v>1</v>
      </c>
      <c r="AF459" s="3" t="n">
        <v>1</v>
      </c>
      <c r="AG459" s="3" t="n">
        <v>2</v>
      </c>
      <c r="AH459" s="3" t="n">
        <v>2</v>
      </c>
      <c r="AI459" s="3" t="n">
        <v>1</v>
      </c>
      <c r="AJ459" s="3" t="n">
        <v>1</v>
      </c>
      <c r="AK459" s="3" t="n">
        <v>2</v>
      </c>
      <c r="AL459" s="3" t="n">
        <v>2</v>
      </c>
      <c r="AM459" s="3" t="n">
        <v>2</v>
      </c>
      <c r="AN459" s="3" t="n">
        <v>2</v>
      </c>
      <c r="AO459" s="3" t="n">
        <v>2</v>
      </c>
      <c r="AP459" s="3" t="n">
        <v>3</v>
      </c>
      <c r="AQ459" s="3" t="n">
        <v>4</v>
      </c>
      <c r="AR459" s="3" t="n">
        <v>4</v>
      </c>
      <c r="AS459" s="3" t="n">
        <v>6</v>
      </c>
      <c r="AT459" s="3" t="n">
        <v>4</v>
      </c>
      <c r="AU459" s="3" t="n">
        <v>4</v>
      </c>
      <c r="AV459" s="3" t="n">
        <v>6</v>
      </c>
      <c r="AW459" s="3" t="n">
        <v>6</v>
      </c>
      <c r="AX459" s="3" t="n">
        <v>3</v>
      </c>
      <c r="AY459" s="3" t="n">
        <v>3</v>
      </c>
      <c r="AZ459" s="3" t="n">
        <v>1</v>
      </c>
      <c r="BA459" s="5" t="n">
        <v>1</v>
      </c>
      <c r="BB459" s="3" t="n">
        <v>1</v>
      </c>
      <c r="BC459" s="3" t="n">
        <v>1</v>
      </c>
      <c r="BD459" s="3" t="n">
        <v>4</v>
      </c>
      <c r="BE459" s="3" t="n">
        <v>1</v>
      </c>
      <c r="BF459" s="3" t="n">
        <v>2</v>
      </c>
      <c r="BG459" s="3" t="n">
        <v>1</v>
      </c>
      <c r="BH459" s="3" t="n">
        <v>4</v>
      </c>
      <c r="BI459" s="3" t="n">
        <v>1</v>
      </c>
      <c r="BJ459" s="3" t="n">
        <v>1</v>
      </c>
      <c r="BK459" s="6" t="s">
        <v>1345</v>
      </c>
    </row>
    <row r="460" customFormat="false" ht="15" hidden="false" customHeight="true" outlineLevel="0" collapsed="false">
      <c r="B460" s="2" t="s">
        <v>1346</v>
      </c>
      <c r="C460" s="2" t="s">
        <v>294</v>
      </c>
      <c r="D460" s="2" t="s">
        <v>222</v>
      </c>
      <c r="E460" s="2" t="n">
        <v>180773</v>
      </c>
      <c r="F460" s="15" t="n">
        <v>43648</v>
      </c>
      <c r="G460" s="15" t="n">
        <v>43652</v>
      </c>
      <c r="H460" s="3" t="n">
        <v>4</v>
      </c>
      <c r="I460" s="3" t="n">
        <v>2</v>
      </c>
      <c r="J460" s="3" t="n">
        <v>86</v>
      </c>
      <c r="K460" s="3" t="n">
        <v>2</v>
      </c>
      <c r="L460" s="3" t="n">
        <v>2</v>
      </c>
      <c r="M460" s="3" t="n">
        <v>2</v>
      </c>
      <c r="N460" s="3" t="n">
        <v>2</v>
      </c>
      <c r="O460" s="3" t="n">
        <v>2</v>
      </c>
      <c r="P460" s="3" t="n">
        <v>2</v>
      </c>
      <c r="Q460" s="3" t="n">
        <v>2</v>
      </c>
      <c r="R460" s="3" t="n">
        <v>2</v>
      </c>
      <c r="S460" s="3" t="n">
        <v>2</v>
      </c>
      <c r="T460" s="4" t="n">
        <v>3</v>
      </c>
      <c r="U460" s="3" t="n">
        <v>4</v>
      </c>
      <c r="V460" s="3" t="n">
        <v>4.32</v>
      </c>
      <c r="W460" s="3" t="n">
        <v>0.93</v>
      </c>
      <c r="Y460" s="3" t="n">
        <v>348</v>
      </c>
      <c r="Z460" s="3" t="n">
        <v>45</v>
      </c>
      <c r="AA460" s="3" t="n">
        <v>0.38</v>
      </c>
      <c r="AB460" s="3" t="n">
        <v>5</v>
      </c>
      <c r="AC460" s="3" t="s">
        <v>125</v>
      </c>
      <c r="AD460" s="3" t="n">
        <v>2</v>
      </c>
      <c r="AE460" s="3" t="n">
        <v>2</v>
      </c>
      <c r="AF460" s="3" t="n">
        <v>2</v>
      </c>
      <c r="AG460" s="3" t="n">
        <v>2</v>
      </c>
      <c r="AH460" s="3" t="n">
        <v>2</v>
      </c>
      <c r="AI460" s="3" t="n">
        <v>2</v>
      </c>
      <c r="AJ460" s="3" t="n">
        <v>2</v>
      </c>
      <c r="AK460" s="3" t="n">
        <v>2</v>
      </c>
      <c r="AL460" s="3" t="n">
        <v>2</v>
      </c>
      <c r="AM460" s="3" t="n">
        <v>2</v>
      </c>
      <c r="AN460" s="3" t="n">
        <v>2</v>
      </c>
      <c r="AO460" s="3" t="n">
        <v>2</v>
      </c>
      <c r="AP460" s="3" t="n">
        <v>3</v>
      </c>
      <c r="AQ460" s="3" t="n">
        <v>4</v>
      </c>
      <c r="AR460" s="3" t="n">
        <v>4</v>
      </c>
      <c r="AS460" s="3" t="n">
        <v>6</v>
      </c>
      <c r="AT460" s="3" t="n">
        <v>4</v>
      </c>
      <c r="AU460" s="3" t="n">
        <v>4</v>
      </c>
      <c r="AV460" s="3" t="n">
        <v>6</v>
      </c>
      <c r="AW460" s="3" t="n">
        <v>6</v>
      </c>
      <c r="AX460" s="3" t="n">
        <v>3</v>
      </c>
      <c r="AY460" s="3" t="n">
        <v>3</v>
      </c>
      <c r="AZ460" s="3" t="n">
        <v>1</v>
      </c>
      <c r="BA460" s="5" t="n">
        <v>10</v>
      </c>
      <c r="BB460" s="3" t="n">
        <v>2</v>
      </c>
      <c r="BC460" s="3" t="n">
        <v>1</v>
      </c>
      <c r="BD460" s="3" t="n">
        <v>6</v>
      </c>
      <c r="BE460" s="3" t="n">
        <v>3</v>
      </c>
      <c r="BF460" s="3" t="n">
        <v>5</v>
      </c>
      <c r="BG460" s="3" t="n">
        <v>3</v>
      </c>
      <c r="BH460" s="3" t="n">
        <v>4</v>
      </c>
      <c r="BI460" s="3" t="n">
        <v>1</v>
      </c>
      <c r="BJ460" s="3" t="n">
        <v>1</v>
      </c>
      <c r="BK460" s="6" t="s">
        <v>1347</v>
      </c>
    </row>
    <row r="461" customFormat="false" ht="15" hidden="false" customHeight="true" outlineLevel="0" collapsed="false">
      <c r="B461" s="2" t="s">
        <v>352</v>
      </c>
      <c r="C461" s="2" t="s">
        <v>1348</v>
      </c>
      <c r="D461" s="2" t="s">
        <v>999</v>
      </c>
      <c r="E461" s="2" t="n">
        <v>180736</v>
      </c>
      <c r="F461" s="15" t="n">
        <v>43647</v>
      </c>
      <c r="G461" s="15" t="n">
        <v>43654</v>
      </c>
      <c r="H461" s="3" t="n">
        <v>7</v>
      </c>
      <c r="I461" s="3" t="n">
        <v>2</v>
      </c>
      <c r="J461" s="3" t="n">
        <v>81</v>
      </c>
      <c r="K461" s="3" t="n">
        <v>1</v>
      </c>
      <c r="L461" s="3" t="n">
        <v>2</v>
      </c>
      <c r="M461" s="3" t="n">
        <v>1</v>
      </c>
      <c r="N461" s="3" t="n">
        <v>1</v>
      </c>
      <c r="O461" s="3" t="n">
        <v>2</v>
      </c>
      <c r="P461" s="3" t="n">
        <v>2</v>
      </c>
      <c r="Q461" s="3" t="n">
        <v>1</v>
      </c>
      <c r="R461" s="3" t="n">
        <v>2</v>
      </c>
      <c r="S461" s="3" t="n">
        <v>2</v>
      </c>
      <c r="T461" s="4" t="n">
        <v>2</v>
      </c>
      <c r="U461" s="3" t="n">
        <v>2</v>
      </c>
      <c r="V461" s="3" t="n">
        <v>2.39</v>
      </c>
      <c r="W461" s="3" t="n">
        <v>0.61</v>
      </c>
      <c r="X461" s="3" t="n">
        <v>10.14</v>
      </c>
      <c r="Y461" s="3" t="n">
        <v>312</v>
      </c>
      <c r="Z461" s="3" t="n">
        <v>63</v>
      </c>
      <c r="AA461" s="3" t="n">
        <v>6.35</v>
      </c>
      <c r="AB461" s="3" t="n">
        <v>6</v>
      </c>
      <c r="AD461" s="3" t="n">
        <v>1</v>
      </c>
      <c r="AE461" s="3" t="n">
        <v>1</v>
      </c>
      <c r="AF461" s="3" t="n">
        <v>1</v>
      </c>
      <c r="AG461" s="3" t="n">
        <v>2</v>
      </c>
      <c r="AH461" s="3" t="n">
        <v>2</v>
      </c>
      <c r="AI461" s="3" t="n">
        <v>1</v>
      </c>
      <c r="AJ461" s="3" t="n">
        <v>1</v>
      </c>
      <c r="AK461" s="3" t="n">
        <v>2</v>
      </c>
      <c r="AL461" s="3" t="n">
        <v>2</v>
      </c>
      <c r="AM461" s="3" t="n">
        <v>2</v>
      </c>
      <c r="AN461" s="3" t="n">
        <v>2</v>
      </c>
      <c r="AO461" s="3" t="n">
        <v>2</v>
      </c>
      <c r="AP461" s="3" t="n">
        <v>3</v>
      </c>
      <c r="AQ461" s="3" t="n">
        <v>4</v>
      </c>
      <c r="AR461" s="3" t="n">
        <v>4</v>
      </c>
      <c r="AS461" s="3" t="n">
        <v>6</v>
      </c>
      <c r="AT461" s="3" t="n">
        <v>4</v>
      </c>
      <c r="AU461" s="3" t="n">
        <v>4</v>
      </c>
      <c r="AV461" s="3" t="n">
        <v>6</v>
      </c>
      <c r="AW461" s="3" t="n">
        <v>6</v>
      </c>
      <c r="AX461" s="3" t="n">
        <v>3</v>
      </c>
      <c r="AY461" s="3" t="n">
        <v>3</v>
      </c>
      <c r="AZ461" s="3" t="n">
        <v>1</v>
      </c>
      <c r="BA461" s="5" t="n">
        <v>1</v>
      </c>
      <c r="BB461" s="3" t="n">
        <v>1</v>
      </c>
      <c r="BC461" s="3" t="n">
        <v>1</v>
      </c>
      <c r="BD461" s="3" t="n">
        <v>4</v>
      </c>
      <c r="BE461" s="3" t="n">
        <v>3</v>
      </c>
      <c r="BF461" s="3" t="n">
        <v>5</v>
      </c>
      <c r="BG461" s="3" t="n">
        <v>3</v>
      </c>
      <c r="BH461" s="3" t="n">
        <v>4</v>
      </c>
      <c r="BI461" s="3" t="n">
        <v>1</v>
      </c>
      <c r="BJ461" s="3" t="n">
        <v>1</v>
      </c>
      <c r="BK461" s="6" t="s">
        <v>1349</v>
      </c>
    </row>
    <row r="462" customFormat="false" ht="15" hidden="false" customHeight="true" outlineLevel="0" collapsed="false">
      <c r="B462" s="2" t="s">
        <v>1350</v>
      </c>
      <c r="C462" s="2" t="s">
        <v>127</v>
      </c>
      <c r="D462" s="2" t="s">
        <v>802</v>
      </c>
      <c r="E462" s="2" t="n">
        <v>180565</v>
      </c>
      <c r="F462" s="15" t="n">
        <v>43644</v>
      </c>
      <c r="G462" s="15" t="n">
        <v>43655</v>
      </c>
      <c r="H462" s="3" t="n">
        <v>11</v>
      </c>
      <c r="I462" s="3" t="n">
        <v>1</v>
      </c>
      <c r="J462" s="3" t="n">
        <v>76</v>
      </c>
      <c r="K462" s="3" t="n">
        <v>1</v>
      </c>
      <c r="L462" s="3" t="n">
        <v>2</v>
      </c>
      <c r="M462" s="3" t="n">
        <v>1</v>
      </c>
      <c r="N462" s="3" t="n">
        <v>2</v>
      </c>
      <c r="O462" s="3" t="n">
        <v>2</v>
      </c>
      <c r="P462" s="3" t="n">
        <v>2</v>
      </c>
      <c r="Q462" s="3" t="n">
        <v>1</v>
      </c>
      <c r="R462" s="3" t="n">
        <v>2</v>
      </c>
      <c r="S462" s="3" t="n">
        <v>2</v>
      </c>
      <c r="T462" s="4" t="n">
        <v>1</v>
      </c>
      <c r="U462" s="3" t="n">
        <v>1</v>
      </c>
      <c r="V462" s="3" t="n">
        <v>5.82</v>
      </c>
      <c r="W462" s="3" t="n">
        <v>2.32</v>
      </c>
      <c r="Y462" s="3" t="n">
        <v>480</v>
      </c>
      <c r="Z462" s="3" t="n">
        <v>141</v>
      </c>
      <c r="AA462" s="3" t="n">
        <v>0.48</v>
      </c>
      <c r="AB462" s="3" t="n">
        <v>13.8</v>
      </c>
      <c r="AC462" s="3" t="n">
        <v>1</v>
      </c>
      <c r="AD462" s="3" t="n">
        <v>1</v>
      </c>
      <c r="AE462" s="3" t="n">
        <v>1</v>
      </c>
      <c r="AF462" s="3" t="n">
        <v>1</v>
      </c>
      <c r="AG462" s="3" t="n">
        <v>1</v>
      </c>
      <c r="AH462" s="3" t="n">
        <v>2</v>
      </c>
      <c r="AI462" s="3" t="n">
        <v>1</v>
      </c>
      <c r="AJ462" s="3" t="n">
        <v>1</v>
      </c>
      <c r="AK462" s="3" t="n">
        <v>2</v>
      </c>
      <c r="AL462" s="3" t="n">
        <v>2</v>
      </c>
      <c r="AM462" s="3" t="n">
        <v>2</v>
      </c>
      <c r="AN462" s="3" t="n">
        <v>2</v>
      </c>
      <c r="AO462" s="3" t="n">
        <v>2</v>
      </c>
      <c r="AP462" s="3" t="n">
        <v>3</v>
      </c>
      <c r="AQ462" s="3" t="n">
        <v>4</v>
      </c>
      <c r="AR462" s="3" t="n">
        <v>4</v>
      </c>
      <c r="AS462" s="3" t="n">
        <v>6</v>
      </c>
      <c r="AT462" s="3" t="n">
        <v>4</v>
      </c>
      <c r="AU462" s="3" t="n">
        <v>4</v>
      </c>
      <c r="AV462" s="3" t="n">
        <v>6</v>
      </c>
      <c r="AW462" s="3" t="n">
        <v>6</v>
      </c>
      <c r="AX462" s="3" t="n">
        <v>3</v>
      </c>
      <c r="AY462" s="3" t="n">
        <v>3</v>
      </c>
      <c r="AZ462" s="3" t="n">
        <v>13</v>
      </c>
      <c r="BA462" s="5" t="n">
        <v>1</v>
      </c>
      <c r="BB462" s="3" t="n">
        <v>1</v>
      </c>
      <c r="BC462" s="3" t="n">
        <v>1</v>
      </c>
      <c r="BD462" s="3" t="n">
        <v>4</v>
      </c>
      <c r="BE462" s="3" t="n">
        <v>1</v>
      </c>
      <c r="BF462" s="3" t="n">
        <v>1</v>
      </c>
      <c r="BG462" s="3" t="n">
        <v>1</v>
      </c>
      <c r="BH462" s="3" t="n">
        <v>4</v>
      </c>
      <c r="BI462" s="3" t="n">
        <v>1</v>
      </c>
      <c r="BJ462" s="3" t="n">
        <v>1</v>
      </c>
      <c r="BK462" s="6" t="s">
        <v>1351</v>
      </c>
    </row>
    <row r="463" customFormat="false" ht="15" hidden="false" customHeight="true" outlineLevel="0" collapsed="false">
      <c r="B463" s="2" t="s">
        <v>1352</v>
      </c>
      <c r="C463" s="2" t="s">
        <v>428</v>
      </c>
      <c r="D463" s="2" t="s">
        <v>78</v>
      </c>
      <c r="E463" s="2" t="n">
        <v>180951</v>
      </c>
      <c r="F463" s="15" t="n">
        <v>43651</v>
      </c>
      <c r="G463" s="15" t="n">
        <v>43658</v>
      </c>
      <c r="H463" s="3" t="n">
        <v>7</v>
      </c>
      <c r="I463" s="3" t="n">
        <v>2</v>
      </c>
      <c r="J463" s="3" t="n">
        <v>44</v>
      </c>
      <c r="K463" s="3" t="n">
        <v>1</v>
      </c>
      <c r="L463" s="3" t="n">
        <v>1</v>
      </c>
      <c r="M463" s="3" t="n">
        <v>1</v>
      </c>
      <c r="N463" s="3" t="n">
        <v>2</v>
      </c>
      <c r="O463" s="3" t="n">
        <v>2</v>
      </c>
      <c r="P463" s="3" t="n">
        <v>2</v>
      </c>
      <c r="Q463" s="3" t="n">
        <v>2</v>
      </c>
      <c r="R463" s="3" t="n">
        <v>2</v>
      </c>
      <c r="S463" s="3" t="n">
        <v>2</v>
      </c>
      <c r="T463" s="4" t="n">
        <v>2</v>
      </c>
      <c r="U463" s="3" t="n">
        <v>2</v>
      </c>
      <c r="V463" s="3" t="n">
        <v>5.39</v>
      </c>
      <c r="W463" s="3" t="n">
        <v>3.02</v>
      </c>
      <c r="X463" s="3" t="n">
        <v>6.35</v>
      </c>
      <c r="Y463" s="3" t="n">
        <v>467</v>
      </c>
      <c r="Z463" s="3" t="n">
        <v>67</v>
      </c>
      <c r="AA463" s="3" t="n">
        <v>0.51</v>
      </c>
      <c r="AB463" s="3" t="n">
        <v>4</v>
      </c>
      <c r="AC463" s="3" t="n">
        <v>1</v>
      </c>
      <c r="AD463" s="3" t="n">
        <v>1</v>
      </c>
      <c r="AE463" s="3" t="n">
        <v>1</v>
      </c>
      <c r="AF463" s="3" t="n">
        <v>1</v>
      </c>
      <c r="AG463" s="3" t="n">
        <v>1</v>
      </c>
      <c r="AH463" s="3" t="n">
        <v>2</v>
      </c>
      <c r="AI463" s="3" t="n">
        <v>1</v>
      </c>
      <c r="AJ463" s="3" t="n">
        <v>1</v>
      </c>
      <c r="AK463" s="3" t="n">
        <v>2</v>
      </c>
      <c r="AL463" s="3" t="n">
        <v>2</v>
      </c>
      <c r="AM463" s="3" t="n">
        <v>1</v>
      </c>
      <c r="AN463" s="3" t="n">
        <v>2</v>
      </c>
      <c r="AO463" s="3" t="n">
        <v>2</v>
      </c>
      <c r="AP463" s="3" t="n">
        <v>3</v>
      </c>
      <c r="AQ463" s="3" t="n">
        <v>4</v>
      </c>
      <c r="AR463" s="3" t="n">
        <v>4</v>
      </c>
      <c r="AS463" s="3" t="n">
        <v>6</v>
      </c>
      <c r="AT463" s="3" t="n">
        <v>4</v>
      </c>
      <c r="AU463" s="3" t="n">
        <v>4</v>
      </c>
      <c r="AV463" s="3" t="n">
        <v>6</v>
      </c>
      <c r="AW463" s="3" t="n">
        <v>6</v>
      </c>
      <c r="AX463" s="3" t="n">
        <v>3</v>
      </c>
      <c r="AY463" s="3" t="n">
        <v>3</v>
      </c>
      <c r="AZ463" s="3" t="n">
        <v>1</v>
      </c>
      <c r="BA463" s="5" t="n">
        <v>1</v>
      </c>
      <c r="BB463" s="3" t="n">
        <v>2</v>
      </c>
      <c r="BC463" s="3" t="n">
        <v>1</v>
      </c>
      <c r="BD463" s="3" t="n">
        <v>2</v>
      </c>
      <c r="BE463" s="3" t="n">
        <v>3</v>
      </c>
      <c r="BF463" s="3" t="n">
        <v>5</v>
      </c>
      <c r="BG463" s="3" t="n">
        <v>3</v>
      </c>
      <c r="BH463" s="3" t="n">
        <v>4</v>
      </c>
      <c r="BI463" s="3" t="n">
        <v>1</v>
      </c>
      <c r="BJ463" s="3" t="n">
        <v>1</v>
      </c>
      <c r="BK463" s="6" t="s">
        <v>1353</v>
      </c>
    </row>
    <row r="464" customFormat="false" ht="15" hidden="false" customHeight="true" outlineLevel="0" collapsed="false">
      <c r="B464" s="2" t="s">
        <v>1354</v>
      </c>
      <c r="C464" s="2" t="s">
        <v>222</v>
      </c>
      <c r="D464" s="2" t="s">
        <v>222</v>
      </c>
      <c r="E464" s="2" t="n">
        <v>181038</v>
      </c>
      <c r="F464" s="15" t="n">
        <v>43654</v>
      </c>
      <c r="G464" s="15" t="n">
        <v>43658</v>
      </c>
      <c r="H464" s="3" t="n">
        <v>4</v>
      </c>
      <c r="I464" s="3" t="n">
        <v>1</v>
      </c>
      <c r="J464" s="3" t="n">
        <v>76</v>
      </c>
      <c r="K464" s="3" t="n">
        <v>1</v>
      </c>
      <c r="L464" s="3" t="n">
        <v>2</v>
      </c>
      <c r="M464" s="3" t="n">
        <v>1</v>
      </c>
      <c r="N464" s="3" t="n">
        <v>2</v>
      </c>
      <c r="O464" s="3" t="n">
        <v>2</v>
      </c>
      <c r="P464" s="3" t="n">
        <v>2</v>
      </c>
      <c r="Q464" s="3" t="n">
        <v>1</v>
      </c>
      <c r="R464" s="3" t="n">
        <v>2</v>
      </c>
      <c r="S464" s="3" t="n">
        <v>2</v>
      </c>
      <c r="T464" s="4" t="n">
        <v>1</v>
      </c>
      <c r="U464" s="3" t="n">
        <v>4</v>
      </c>
      <c r="V464" s="3" t="n">
        <v>4.36</v>
      </c>
      <c r="W464" s="3" t="n">
        <v>1.79</v>
      </c>
      <c r="X464" s="3" t="n">
        <v>9.92</v>
      </c>
      <c r="Y464" s="3" t="n">
        <v>594</v>
      </c>
      <c r="Z464" s="3" t="n">
        <v>93</v>
      </c>
      <c r="AA464" s="3" t="n">
        <v>0.35</v>
      </c>
      <c r="AB464" s="3" t="n">
        <v>11</v>
      </c>
      <c r="AC464" s="3" t="n">
        <v>1</v>
      </c>
      <c r="AD464" s="3" t="n">
        <v>2</v>
      </c>
      <c r="AE464" s="3" t="n">
        <v>1</v>
      </c>
      <c r="AF464" s="3" t="n">
        <v>1</v>
      </c>
      <c r="AG464" s="3" t="n">
        <v>1</v>
      </c>
      <c r="AH464" s="3" t="n">
        <v>1</v>
      </c>
      <c r="AI464" s="3" t="n">
        <v>1</v>
      </c>
      <c r="AJ464" s="3" t="n">
        <v>2</v>
      </c>
      <c r="AK464" s="3" t="n">
        <v>1</v>
      </c>
      <c r="AL464" s="3" t="n">
        <v>2</v>
      </c>
      <c r="AM464" s="3" t="n">
        <v>1</v>
      </c>
      <c r="AN464" s="3" t="n">
        <v>2</v>
      </c>
      <c r="AO464" s="3" t="n">
        <v>2</v>
      </c>
      <c r="AP464" s="3" t="n">
        <v>3</v>
      </c>
      <c r="AQ464" s="3" t="n">
        <v>4</v>
      </c>
      <c r="AR464" s="3" t="n">
        <v>4</v>
      </c>
      <c r="AS464" s="3" t="n">
        <v>6</v>
      </c>
      <c r="AT464" s="3" t="n">
        <v>4</v>
      </c>
      <c r="AU464" s="3" t="n">
        <v>4</v>
      </c>
      <c r="AV464" s="3" t="n">
        <v>6</v>
      </c>
      <c r="AW464" s="3" t="n">
        <v>6</v>
      </c>
      <c r="AX464" s="3" t="n">
        <v>3</v>
      </c>
      <c r="AY464" s="3" t="n">
        <v>3</v>
      </c>
      <c r="AZ464" s="3" t="n">
        <v>1</v>
      </c>
      <c r="BA464" s="5" t="n">
        <v>5</v>
      </c>
      <c r="BB464" s="3" t="n">
        <v>2</v>
      </c>
      <c r="BC464" s="3" t="n">
        <v>1</v>
      </c>
      <c r="BD464" s="3" t="n">
        <v>6</v>
      </c>
      <c r="BE464" s="3" t="n">
        <v>3</v>
      </c>
      <c r="BF464" s="3" t="n">
        <v>5</v>
      </c>
      <c r="BG464" s="3" t="n">
        <v>3</v>
      </c>
      <c r="BH464" s="3" t="n">
        <v>4</v>
      </c>
      <c r="BI464" s="3" t="n">
        <v>1</v>
      </c>
      <c r="BJ464" s="3" t="n">
        <v>1</v>
      </c>
    </row>
    <row r="465" customFormat="false" ht="15" hidden="false" customHeight="true" outlineLevel="0" collapsed="false">
      <c r="B465" s="2" t="s">
        <v>1355</v>
      </c>
      <c r="C465" s="2" t="s">
        <v>1356</v>
      </c>
      <c r="D465" s="2" t="s">
        <v>1357</v>
      </c>
      <c r="E465" s="2" t="n">
        <v>180755</v>
      </c>
      <c r="F465" s="15" t="n">
        <v>43647</v>
      </c>
      <c r="G465" s="15" t="n">
        <v>43658</v>
      </c>
      <c r="H465" s="3" t="n">
        <v>11</v>
      </c>
      <c r="I465" s="3" t="n">
        <v>1</v>
      </c>
      <c r="J465" s="3" t="n">
        <v>45</v>
      </c>
      <c r="K465" s="3" t="n">
        <v>1</v>
      </c>
      <c r="L465" s="3" t="n">
        <v>2</v>
      </c>
      <c r="M465" s="3" t="n">
        <v>1</v>
      </c>
      <c r="N465" s="3" t="n">
        <v>2</v>
      </c>
      <c r="O465" s="3" t="n">
        <v>2</v>
      </c>
      <c r="P465" s="3" t="n">
        <v>2</v>
      </c>
      <c r="Q465" s="3" t="n">
        <v>1</v>
      </c>
      <c r="R465" s="3" t="n">
        <v>2</v>
      </c>
      <c r="S465" s="3" t="n">
        <v>2</v>
      </c>
      <c r="T465" s="4" t="n">
        <v>1</v>
      </c>
      <c r="U465" s="3" t="n">
        <v>1</v>
      </c>
      <c r="V465" s="3" t="n">
        <v>5.23</v>
      </c>
      <c r="W465" s="3" t="n">
        <v>2.84</v>
      </c>
      <c r="X465" s="3" t="n">
        <v>7.43</v>
      </c>
      <c r="Y465" s="3" t="n">
        <v>516</v>
      </c>
      <c r="Z465" s="3" t="n">
        <v>44</v>
      </c>
      <c r="AA465" s="3" t="n">
        <v>0.41</v>
      </c>
      <c r="AB465" s="3" t="n">
        <v>3.5</v>
      </c>
      <c r="AC465" s="3" t="n">
        <v>1</v>
      </c>
      <c r="AD465" s="3" t="n">
        <v>1</v>
      </c>
      <c r="AE465" s="3" t="n">
        <v>1</v>
      </c>
      <c r="AF465" s="3" t="n">
        <v>1</v>
      </c>
      <c r="AG465" s="3" t="n">
        <v>2</v>
      </c>
      <c r="AH465" s="3" t="n">
        <v>2</v>
      </c>
      <c r="AI465" s="3" t="n">
        <v>1</v>
      </c>
      <c r="AJ465" s="3" t="n">
        <v>1</v>
      </c>
      <c r="AK465" s="3" t="n">
        <v>1</v>
      </c>
      <c r="AL465" s="3" t="n">
        <v>2</v>
      </c>
      <c r="AM465" s="3" t="n">
        <v>1</v>
      </c>
      <c r="AN465" s="3" t="n">
        <v>2</v>
      </c>
      <c r="AO465" s="3" t="n">
        <v>2</v>
      </c>
      <c r="AP465" s="3" t="n">
        <v>1</v>
      </c>
      <c r="AQ465" s="3" t="n">
        <v>3</v>
      </c>
      <c r="AR465" s="3" t="n">
        <v>5</v>
      </c>
      <c r="AS465" s="3" t="n">
        <v>5</v>
      </c>
      <c r="AT465" s="3" t="n">
        <v>1</v>
      </c>
      <c r="AU465" s="3" t="n">
        <v>1</v>
      </c>
      <c r="AV465" s="3" t="n">
        <v>1</v>
      </c>
      <c r="AW465" s="3" t="n">
        <v>1</v>
      </c>
      <c r="AX465" s="3" t="n">
        <v>2</v>
      </c>
      <c r="AY465" s="3" t="n">
        <v>2</v>
      </c>
      <c r="AZ465" s="3" t="n">
        <v>1</v>
      </c>
      <c r="BA465" s="5" t="n">
        <v>5</v>
      </c>
      <c r="BB465" s="3" t="n">
        <v>2</v>
      </c>
      <c r="BC465" s="3" t="n">
        <v>1</v>
      </c>
      <c r="BD465" s="3" t="n">
        <v>6</v>
      </c>
      <c r="BE465" s="3" t="n">
        <v>3</v>
      </c>
      <c r="BF465" s="3" t="n">
        <v>5</v>
      </c>
      <c r="BG465" s="3" t="n">
        <v>3</v>
      </c>
      <c r="BH465" s="3" t="n">
        <v>4</v>
      </c>
      <c r="BI465" s="3" t="n">
        <v>1</v>
      </c>
      <c r="BJ465" s="3" t="n">
        <v>1</v>
      </c>
      <c r="BK465" s="6" t="s">
        <v>1358</v>
      </c>
    </row>
    <row r="466" customFormat="false" ht="15" hidden="false" customHeight="true" outlineLevel="0" collapsed="false">
      <c r="B466" s="2" t="s">
        <v>1359</v>
      </c>
      <c r="C466" s="2" t="s">
        <v>1360</v>
      </c>
      <c r="D466" s="2" t="s">
        <v>1361</v>
      </c>
      <c r="E466" s="2" t="n">
        <v>180329</v>
      </c>
      <c r="F466" s="15" t="n">
        <v>43647</v>
      </c>
      <c r="G466" s="15" t="n">
        <v>43659</v>
      </c>
      <c r="H466" s="3" t="n">
        <v>12</v>
      </c>
      <c r="I466" s="3" t="n">
        <v>2</v>
      </c>
      <c r="J466" s="3" t="n">
        <v>40</v>
      </c>
      <c r="K466" s="3" t="n">
        <v>1</v>
      </c>
      <c r="L466" s="3" t="n">
        <v>1</v>
      </c>
      <c r="M466" s="3" t="n">
        <v>2</v>
      </c>
      <c r="N466" s="3" t="n">
        <v>2</v>
      </c>
      <c r="O466" s="3" t="n">
        <v>2</v>
      </c>
      <c r="P466" s="3" t="n">
        <v>2</v>
      </c>
      <c r="Q466" s="3" t="n">
        <v>1</v>
      </c>
      <c r="R466" s="3" t="n">
        <v>2</v>
      </c>
      <c r="S466" s="3" t="n">
        <v>2</v>
      </c>
      <c r="T466" s="4" t="n">
        <v>3</v>
      </c>
      <c r="U466" s="3" t="n">
        <v>1</v>
      </c>
      <c r="V466" s="3" t="n">
        <v>5.38</v>
      </c>
      <c r="W466" s="3" t="n">
        <v>3.13</v>
      </c>
      <c r="X466" s="3" t="n">
        <v>8.32</v>
      </c>
      <c r="Y466" s="3" t="n">
        <v>556</v>
      </c>
      <c r="Z466" s="3" t="n">
        <v>51</v>
      </c>
      <c r="AA466" s="3" t="n">
        <v>0.35</v>
      </c>
      <c r="AB466" s="3" t="n">
        <v>6.1</v>
      </c>
      <c r="AC466" s="3" t="n">
        <v>1</v>
      </c>
      <c r="AD466" s="3" t="n">
        <v>2</v>
      </c>
      <c r="AE466" s="3" t="n">
        <v>1</v>
      </c>
      <c r="AF466" s="3" t="n">
        <v>2</v>
      </c>
      <c r="AG466" s="3" t="n">
        <v>2</v>
      </c>
      <c r="AH466" s="3" t="n">
        <v>2</v>
      </c>
      <c r="AI466" s="3" t="n">
        <v>2</v>
      </c>
      <c r="AJ466" s="3" t="n">
        <v>2</v>
      </c>
      <c r="AK466" s="3" t="n">
        <v>1</v>
      </c>
      <c r="AL466" s="3" t="n">
        <v>2</v>
      </c>
      <c r="AM466" s="3" t="n">
        <v>2</v>
      </c>
      <c r="AN466" s="3" t="n">
        <v>2</v>
      </c>
      <c r="AO466" s="3" t="n">
        <v>2</v>
      </c>
      <c r="AP466" s="3" t="n">
        <v>3</v>
      </c>
      <c r="AQ466" s="3" t="n">
        <v>4</v>
      </c>
      <c r="AR466" s="3" t="n">
        <v>4</v>
      </c>
      <c r="AS466" s="3" t="n">
        <v>6</v>
      </c>
      <c r="AT466" s="3" t="n">
        <v>4</v>
      </c>
      <c r="AU466" s="3" t="n">
        <v>4</v>
      </c>
      <c r="AV466" s="3" t="n">
        <v>6</v>
      </c>
      <c r="AW466" s="3" t="n">
        <v>6</v>
      </c>
      <c r="AX466" s="3" t="n">
        <v>3</v>
      </c>
      <c r="AY466" s="3" t="n">
        <v>3</v>
      </c>
      <c r="AZ466" s="3" t="n">
        <v>1</v>
      </c>
      <c r="BA466" s="5" t="n">
        <v>7</v>
      </c>
      <c r="BB466" s="3" t="n">
        <v>2</v>
      </c>
      <c r="BC466" s="3" t="n">
        <v>1</v>
      </c>
      <c r="BD466" s="3" t="n">
        <v>6</v>
      </c>
      <c r="BE466" s="3" t="n">
        <v>3</v>
      </c>
      <c r="BF466" s="3" t="n">
        <v>5</v>
      </c>
      <c r="BG466" s="3" t="n">
        <v>3</v>
      </c>
      <c r="BH466" s="3" t="n">
        <v>4</v>
      </c>
      <c r="BI466" s="3" t="n">
        <v>1</v>
      </c>
      <c r="BJ466" s="3" t="n">
        <v>1</v>
      </c>
      <c r="BK466" s="6" t="s">
        <v>1362</v>
      </c>
    </row>
    <row r="467" customFormat="false" ht="15" hidden="false" customHeight="true" outlineLevel="0" collapsed="false">
      <c r="B467" s="2" t="s">
        <v>1363</v>
      </c>
      <c r="C467" s="2" t="s">
        <v>691</v>
      </c>
      <c r="D467" s="2" t="s">
        <v>1364</v>
      </c>
      <c r="E467" s="2" t="n">
        <v>180777</v>
      </c>
      <c r="F467" s="15" t="n">
        <v>43649</v>
      </c>
      <c r="G467" s="15" t="n">
        <v>43661</v>
      </c>
      <c r="H467" s="3" t="n">
        <v>12</v>
      </c>
      <c r="I467" s="3" t="n">
        <v>2</v>
      </c>
      <c r="J467" s="3" t="n">
        <v>44</v>
      </c>
      <c r="K467" s="3" t="n">
        <v>1</v>
      </c>
      <c r="L467" s="3" t="n">
        <v>1</v>
      </c>
      <c r="M467" s="3" t="n">
        <v>2</v>
      </c>
      <c r="N467" s="3" t="n">
        <v>2</v>
      </c>
      <c r="O467" s="3" t="n">
        <v>2</v>
      </c>
      <c r="P467" s="3" t="n">
        <v>2</v>
      </c>
      <c r="Q467" s="3" t="n">
        <v>2</v>
      </c>
      <c r="R467" s="3" t="n">
        <v>2</v>
      </c>
      <c r="S467" s="3" t="n">
        <v>2</v>
      </c>
      <c r="T467" s="4" t="n">
        <v>11</v>
      </c>
      <c r="U467" s="3" t="n">
        <v>1</v>
      </c>
      <c r="V467" s="3" t="n">
        <v>3.12</v>
      </c>
      <c r="W467" s="3" t="n">
        <v>1.02</v>
      </c>
      <c r="Y467" s="3" t="n">
        <v>287</v>
      </c>
      <c r="Z467" s="3" t="n">
        <v>66</v>
      </c>
      <c r="AA467" s="3" t="n">
        <v>0.41</v>
      </c>
      <c r="AB467" s="3" t="n">
        <v>11</v>
      </c>
      <c r="AC467" s="3" t="n">
        <v>1</v>
      </c>
      <c r="AD467" s="3" t="n">
        <v>2</v>
      </c>
      <c r="AE467" s="3" t="n">
        <v>1</v>
      </c>
      <c r="AF467" s="3" t="n">
        <v>2</v>
      </c>
      <c r="AG467" s="3" t="n">
        <v>2</v>
      </c>
      <c r="AH467" s="3" t="n">
        <v>2</v>
      </c>
      <c r="AI467" s="3" t="n">
        <v>2</v>
      </c>
      <c r="AJ467" s="3" t="n">
        <v>2</v>
      </c>
      <c r="AK467" s="3" t="n">
        <v>2</v>
      </c>
      <c r="AL467" s="3" t="n">
        <v>2</v>
      </c>
      <c r="AM467" s="3" t="n">
        <v>2</v>
      </c>
      <c r="AN467" s="3" t="n">
        <v>2</v>
      </c>
      <c r="AO467" s="3" t="n">
        <v>2</v>
      </c>
      <c r="AP467" s="3" t="n">
        <v>3</v>
      </c>
      <c r="AQ467" s="3" t="n">
        <v>4</v>
      </c>
      <c r="AR467" s="3" t="n">
        <v>4</v>
      </c>
      <c r="AS467" s="3" t="n">
        <v>6</v>
      </c>
      <c r="AT467" s="3" t="n">
        <v>4</v>
      </c>
      <c r="AU467" s="3" t="n">
        <v>4</v>
      </c>
      <c r="AV467" s="3" t="n">
        <v>6</v>
      </c>
      <c r="AW467" s="3" t="n">
        <v>6</v>
      </c>
      <c r="AX467" s="3" t="n">
        <v>3</v>
      </c>
      <c r="AY467" s="3" t="n">
        <v>3</v>
      </c>
      <c r="AZ467" s="3" t="n">
        <v>1</v>
      </c>
      <c r="BA467" s="5" t="n">
        <v>7</v>
      </c>
      <c r="BB467" s="3" t="n">
        <v>2</v>
      </c>
      <c r="BC467" s="3" t="n">
        <v>1</v>
      </c>
      <c r="BD467" s="3" t="n">
        <v>6</v>
      </c>
      <c r="BE467" s="3" t="n">
        <v>3</v>
      </c>
      <c r="BF467" s="3" t="n">
        <v>5</v>
      </c>
      <c r="BG467" s="3" t="n">
        <v>3</v>
      </c>
      <c r="BH467" s="3" t="n">
        <v>4</v>
      </c>
      <c r="BI467" s="3" t="n">
        <v>1</v>
      </c>
      <c r="BJ467" s="3" t="n">
        <v>1</v>
      </c>
      <c r="BK467" s="6" t="s">
        <v>1365</v>
      </c>
    </row>
    <row r="468" customFormat="false" ht="15" hidden="false" customHeight="true" outlineLevel="0" collapsed="false">
      <c r="B468" s="2" t="s">
        <v>1366</v>
      </c>
      <c r="C468" s="2" t="s">
        <v>197</v>
      </c>
      <c r="D468" s="2" t="s">
        <v>197</v>
      </c>
      <c r="E468" s="2" t="n">
        <v>181091</v>
      </c>
      <c r="F468" s="15" t="n">
        <v>43656</v>
      </c>
      <c r="G468" s="15" t="n">
        <v>43661</v>
      </c>
      <c r="H468" s="3" t="n">
        <v>5</v>
      </c>
      <c r="I468" s="3" t="n">
        <v>1</v>
      </c>
      <c r="J468" s="3" t="n">
        <v>53</v>
      </c>
      <c r="K468" s="3" t="n">
        <v>1</v>
      </c>
      <c r="L468" s="3" t="n">
        <v>2</v>
      </c>
      <c r="M468" s="3" t="n">
        <v>2</v>
      </c>
      <c r="N468" s="3" t="n">
        <v>2</v>
      </c>
      <c r="O468" s="3" t="n">
        <v>2</v>
      </c>
      <c r="P468" s="3" t="n">
        <v>2</v>
      </c>
      <c r="Q468" s="3" t="n">
        <v>2</v>
      </c>
      <c r="R468" s="3" t="n">
        <v>2</v>
      </c>
      <c r="S468" s="3" t="n">
        <v>2</v>
      </c>
      <c r="T468" s="4" t="n">
        <v>1</v>
      </c>
      <c r="U468" s="3" t="n">
        <v>1</v>
      </c>
      <c r="V468" s="3" t="n">
        <v>7.43</v>
      </c>
      <c r="W468" s="3" t="n">
        <v>2.39</v>
      </c>
      <c r="X468" s="3" t="n">
        <v>6.5</v>
      </c>
      <c r="Y468" s="3" t="n">
        <v>347</v>
      </c>
      <c r="Z468" s="3" t="n">
        <v>186</v>
      </c>
      <c r="AA468" s="3" t="n">
        <v>0.44</v>
      </c>
      <c r="AB468" s="3" t="n">
        <v>7</v>
      </c>
      <c r="AC468" s="3" t="n">
        <v>1</v>
      </c>
      <c r="AD468" s="3" t="n">
        <v>2</v>
      </c>
      <c r="AE468" s="3" t="n">
        <v>1</v>
      </c>
      <c r="AF468" s="3" t="n">
        <v>1</v>
      </c>
      <c r="AG468" s="3" t="n">
        <v>2</v>
      </c>
      <c r="AH468" s="3" t="n">
        <v>1</v>
      </c>
      <c r="AI468" s="3" t="n">
        <v>1</v>
      </c>
      <c r="AJ468" s="3" t="n">
        <v>2</v>
      </c>
      <c r="AK468" s="3" t="n">
        <v>2</v>
      </c>
      <c r="AL468" s="3" t="n">
        <v>2</v>
      </c>
      <c r="AM468" s="3" t="n">
        <v>2</v>
      </c>
      <c r="AN468" s="3" t="n">
        <v>2</v>
      </c>
      <c r="AO468" s="3" t="n">
        <v>2</v>
      </c>
      <c r="AP468" s="3" t="n">
        <v>3</v>
      </c>
      <c r="AQ468" s="3" t="n">
        <v>4</v>
      </c>
      <c r="AR468" s="3" t="n">
        <v>4</v>
      </c>
      <c r="AS468" s="3" t="n">
        <v>6</v>
      </c>
      <c r="AT468" s="3" t="n">
        <v>4</v>
      </c>
      <c r="AU468" s="3" t="n">
        <v>4</v>
      </c>
      <c r="AV468" s="3" t="n">
        <v>6</v>
      </c>
      <c r="AW468" s="3" t="n">
        <v>6</v>
      </c>
      <c r="AX468" s="3" t="n">
        <v>3</v>
      </c>
      <c r="AY468" s="3" t="n">
        <v>3</v>
      </c>
      <c r="AZ468" s="3" t="n">
        <v>1</v>
      </c>
      <c r="BA468" s="5" t="n">
        <v>5</v>
      </c>
      <c r="BB468" s="3" t="n">
        <v>2</v>
      </c>
      <c r="BC468" s="3" t="n">
        <v>1</v>
      </c>
      <c r="BD468" s="3" t="n">
        <v>6</v>
      </c>
      <c r="BE468" s="3" t="n">
        <v>3</v>
      </c>
      <c r="BF468" s="3" t="n">
        <v>5</v>
      </c>
      <c r="BG468" s="3" t="n">
        <v>3</v>
      </c>
      <c r="BH468" s="3" t="n">
        <v>4</v>
      </c>
      <c r="BI468" s="3" t="n">
        <v>1</v>
      </c>
      <c r="BJ468" s="3" t="n">
        <v>1</v>
      </c>
      <c r="BK468" s="6" t="s">
        <v>1367</v>
      </c>
    </row>
    <row r="469" customFormat="false" ht="15" hidden="false" customHeight="true" outlineLevel="0" collapsed="false">
      <c r="A469" s="1" t="s">
        <v>391</v>
      </c>
      <c r="B469" s="2" t="s">
        <v>1368</v>
      </c>
      <c r="C469" s="2" t="s">
        <v>78</v>
      </c>
      <c r="D469" s="2" t="s">
        <v>232</v>
      </c>
      <c r="E469" s="2" t="n">
        <v>181073</v>
      </c>
      <c r="F469" s="15" t="n">
        <v>43655</v>
      </c>
      <c r="G469" s="15" t="n">
        <v>43661</v>
      </c>
      <c r="H469" s="3" t="n">
        <v>6</v>
      </c>
      <c r="I469" s="3" t="n">
        <v>2</v>
      </c>
      <c r="J469" s="3" t="n">
        <v>78</v>
      </c>
      <c r="K469" s="3" t="n">
        <v>1</v>
      </c>
      <c r="L469" s="3" t="n">
        <v>1</v>
      </c>
      <c r="M469" s="3" t="n">
        <v>2</v>
      </c>
      <c r="N469" s="3" t="n">
        <v>2</v>
      </c>
      <c r="O469" s="3" t="n">
        <v>2</v>
      </c>
      <c r="P469" s="3" t="n">
        <v>2</v>
      </c>
      <c r="Q469" s="3" t="n">
        <v>2</v>
      </c>
      <c r="R469" s="3" t="n">
        <v>2</v>
      </c>
      <c r="S469" s="3" t="n">
        <v>2</v>
      </c>
      <c r="T469" s="4" t="n">
        <v>1</v>
      </c>
      <c r="U469" s="3" t="n">
        <v>1</v>
      </c>
      <c r="V469" s="3" t="n">
        <v>5.57</v>
      </c>
      <c r="W469" s="3" t="n">
        <v>1.18</v>
      </c>
      <c r="X469" s="3" t="n">
        <v>5.58</v>
      </c>
      <c r="Y469" s="3" t="n">
        <v>379</v>
      </c>
      <c r="Z469" s="3" t="n">
        <v>79</v>
      </c>
      <c r="AA469" s="3" t="n">
        <v>0.44</v>
      </c>
      <c r="AB469" s="3" t="n">
        <v>7.3</v>
      </c>
      <c r="AC469" s="3" t="n">
        <v>1</v>
      </c>
      <c r="AD469" s="3" t="n">
        <v>1</v>
      </c>
      <c r="AE469" s="3" t="n">
        <v>1</v>
      </c>
      <c r="AF469" s="3" t="n">
        <v>1</v>
      </c>
      <c r="AG469" s="3" t="n">
        <v>2</v>
      </c>
      <c r="AH469" s="3" t="n">
        <v>2</v>
      </c>
      <c r="AI469" s="3" t="n">
        <v>1</v>
      </c>
      <c r="AJ469" s="3" t="n">
        <v>1</v>
      </c>
      <c r="AK469" s="3" t="n">
        <v>2</v>
      </c>
      <c r="AL469" s="3" t="n">
        <v>2</v>
      </c>
      <c r="AM469" s="3" t="n">
        <v>2</v>
      </c>
      <c r="AN469" s="3" t="n">
        <v>2</v>
      </c>
      <c r="AO469" s="3" t="n">
        <v>2</v>
      </c>
      <c r="AP469" s="3" t="n">
        <v>3</v>
      </c>
      <c r="AQ469" s="3" t="n">
        <v>4</v>
      </c>
      <c r="AR469" s="3" t="n">
        <v>4</v>
      </c>
      <c r="AS469" s="3" t="n">
        <v>6</v>
      </c>
      <c r="AT469" s="3" t="n">
        <v>4</v>
      </c>
      <c r="AU469" s="3" t="n">
        <v>4</v>
      </c>
      <c r="AV469" s="3" t="n">
        <v>6</v>
      </c>
      <c r="AW469" s="3" t="n">
        <v>6</v>
      </c>
      <c r="AX469" s="3" t="n">
        <v>3</v>
      </c>
      <c r="AY469" s="3" t="n">
        <v>3</v>
      </c>
      <c r="AZ469" s="3" t="n">
        <v>1</v>
      </c>
      <c r="BA469" s="5" t="n">
        <v>5</v>
      </c>
      <c r="BB469" s="3" t="n">
        <v>2</v>
      </c>
      <c r="BC469" s="3" t="n">
        <v>1</v>
      </c>
      <c r="BD469" s="3" t="n">
        <v>6</v>
      </c>
      <c r="BE469" s="3" t="n">
        <v>3</v>
      </c>
      <c r="BF469" s="3" t="n">
        <v>5</v>
      </c>
      <c r="BG469" s="3" t="n">
        <v>3</v>
      </c>
      <c r="BH469" s="3" t="n">
        <v>4</v>
      </c>
      <c r="BI469" s="3" t="n">
        <v>1</v>
      </c>
      <c r="BJ469" s="3" t="n">
        <v>1</v>
      </c>
      <c r="BK469" s="6" t="s">
        <v>1369</v>
      </c>
    </row>
    <row r="470" customFormat="false" ht="15" hidden="false" customHeight="true" outlineLevel="0" collapsed="false">
      <c r="B470" s="2" t="s">
        <v>1370</v>
      </c>
      <c r="C470" s="2" t="s">
        <v>988</v>
      </c>
      <c r="D470" s="2" t="s">
        <v>345</v>
      </c>
      <c r="E470" s="2" t="n">
        <v>181492</v>
      </c>
      <c r="F470" s="15" t="n">
        <v>43659</v>
      </c>
      <c r="G470" s="15" t="n">
        <v>43661</v>
      </c>
      <c r="H470" s="3" t="n">
        <v>2</v>
      </c>
      <c r="I470" s="3" t="n">
        <v>1</v>
      </c>
      <c r="J470" s="3" t="n">
        <v>50</v>
      </c>
      <c r="K470" s="3" t="n">
        <v>1</v>
      </c>
      <c r="L470" s="3" t="n">
        <v>2</v>
      </c>
      <c r="M470" s="3" t="n">
        <v>1</v>
      </c>
      <c r="N470" s="3" t="n">
        <v>2</v>
      </c>
      <c r="O470" s="3" t="n">
        <v>2</v>
      </c>
      <c r="P470" s="3" t="n">
        <v>2</v>
      </c>
      <c r="Q470" s="3" t="n">
        <v>2</v>
      </c>
      <c r="R470" s="3" t="n">
        <v>2</v>
      </c>
      <c r="S470" s="3" t="n">
        <v>2</v>
      </c>
      <c r="T470" s="4" t="n">
        <v>3</v>
      </c>
      <c r="U470" s="3" t="n">
        <v>1</v>
      </c>
      <c r="AC470" s="3" t="n">
        <v>2</v>
      </c>
      <c r="AD470" s="3" t="n">
        <v>1</v>
      </c>
      <c r="AE470" s="3" t="n">
        <v>1</v>
      </c>
      <c r="AF470" s="3" t="n">
        <v>1</v>
      </c>
      <c r="AG470" s="3" t="n">
        <v>2</v>
      </c>
      <c r="AH470" s="3" t="n">
        <v>2</v>
      </c>
      <c r="AI470" s="3" t="n">
        <v>2</v>
      </c>
      <c r="AJ470" s="3" t="n">
        <v>1</v>
      </c>
      <c r="AK470" s="3" t="n">
        <v>2</v>
      </c>
      <c r="AL470" s="3" t="n">
        <v>1</v>
      </c>
      <c r="AM470" s="3" t="n">
        <v>1</v>
      </c>
      <c r="AN470" s="3" t="n">
        <v>2</v>
      </c>
      <c r="AO470" s="3" t="n">
        <v>2</v>
      </c>
      <c r="AP470" s="3" t="n">
        <v>3</v>
      </c>
      <c r="AQ470" s="3" t="n">
        <v>4</v>
      </c>
      <c r="AR470" s="3" t="n">
        <v>4</v>
      </c>
      <c r="AS470" s="3" t="n">
        <v>6</v>
      </c>
      <c r="AT470" s="3" t="n">
        <v>4</v>
      </c>
      <c r="AU470" s="3" t="n">
        <v>4</v>
      </c>
      <c r="AV470" s="3" t="n">
        <v>6</v>
      </c>
      <c r="AW470" s="3" t="n">
        <v>6</v>
      </c>
      <c r="AX470" s="3" t="n">
        <v>3</v>
      </c>
      <c r="AY470" s="3" t="n">
        <v>3</v>
      </c>
      <c r="AZ470" s="3" t="n">
        <v>1</v>
      </c>
      <c r="BA470" s="5" t="n">
        <v>11</v>
      </c>
      <c r="BB470" s="3" t="n">
        <v>2</v>
      </c>
      <c r="BC470" s="3" t="n">
        <v>1</v>
      </c>
      <c r="BD470" s="3" t="n">
        <v>6</v>
      </c>
      <c r="BE470" s="3" t="n">
        <v>3</v>
      </c>
      <c r="BF470" s="3" t="n">
        <v>5</v>
      </c>
      <c r="BG470" s="3" t="n">
        <v>3</v>
      </c>
      <c r="BH470" s="3" t="n">
        <v>4</v>
      </c>
      <c r="BI470" s="3" t="n">
        <v>1</v>
      </c>
      <c r="BJ470" s="3" t="n">
        <v>1</v>
      </c>
      <c r="BK470" s="6" t="s">
        <v>1371</v>
      </c>
    </row>
    <row r="471" customFormat="false" ht="15" hidden="false" customHeight="true" outlineLevel="0" collapsed="false">
      <c r="B471" s="2" t="s">
        <v>1372</v>
      </c>
      <c r="C471" s="2" t="s">
        <v>1373</v>
      </c>
      <c r="D471" s="2" t="s">
        <v>1374</v>
      </c>
      <c r="E471" s="2" t="n">
        <v>181437</v>
      </c>
      <c r="F471" s="15" t="n">
        <v>43658</v>
      </c>
      <c r="G471" s="15" t="n">
        <v>43662</v>
      </c>
      <c r="H471" s="3" t="n">
        <v>4</v>
      </c>
      <c r="I471" s="3" t="n">
        <v>2</v>
      </c>
      <c r="J471" s="3" t="n">
        <v>63</v>
      </c>
      <c r="K471" s="3" t="n">
        <v>1</v>
      </c>
      <c r="L471" s="3" t="n">
        <v>1</v>
      </c>
      <c r="M471" s="3" t="n">
        <v>1</v>
      </c>
      <c r="N471" s="3" t="n">
        <v>2</v>
      </c>
      <c r="O471" s="3" t="n">
        <v>2</v>
      </c>
      <c r="P471" s="3" t="n">
        <v>2</v>
      </c>
      <c r="Q471" s="3" t="n">
        <v>2</v>
      </c>
      <c r="R471" s="3" t="n">
        <v>2</v>
      </c>
      <c r="S471" s="3" t="n">
        <v>2</v>
      </c>
      <c r="T471" s="4" t="n">
        <v>1</v>
      </c>
      <c r="U471" s="3" t="n">
        <v>1</v>
      </c>
      <c r="V471" s="3" t="n">
        <v>4.83</v>
      </c>
      <c r="W471" s="3" t="n">
        <v>2.11</v>
      </c>
      <c r="X471" s="3" t="n">
        <v>7.18</v>
      </c>
      <c r="Y471" s="3" t="n">
        <v>582</v>
      </c>
      <c r="Z471" s="3" t="n">
        <v>63</v>
      </c>
      <c r="AA471" s="3" t="n">
        <v>0.35</v>
      </c>
      <c r="AB471" s="3" t="n">
        <v>13</v>
      </c>
      <c r="AC471" s="3" t="n">
        <v>1</v>
      </c>
      <c r="AD471" s="3" t="n">
        <v>1</v>
      </c>
      <c r="AE471" s="3" t="n">
        <v>1</v>
      </c>
      <c r="AF471" s="3" t="n">
        <v>1</v>
      </c>
      <c r="AG471" s="3" t="n">
        <v>2</v>
      </c>
      <c r="AH471" s="3" t="n">
        <v>1</v>
      </c>
      <c r="AI471" s="3" t="n">
        <v>1</v>
      </c>
      <c r="AJ471" s="3" t="n">
        <v>1</v>
      </c>
      <c r="AK471" s="3" t="n">
        <v>2</v>
      </c>
      <c r="AL471" s="3" t="n">
        <v>2</v>
      </c>
      <c r="AM471" s="3" t="n">
        <v>1</v>
      </c>
      <c r="AN471" s="3" t="n">
        <v>2</v>
      </c>
      <c r="AO471" s="3" t="n">
        <v>2</v>
      </c>
      <c r="AP471" s="3" t="n">
        <v>3</v>
      </c>
      <c r="AQ471" s="3" t="n">
        <v>4</v>
      </c>
      <c r="AR471" s="3" t="n">
        <v>4</v>
      </c>
      <c r="AS471" s="3" t="n">
        <v>6</v>
      </c>
      <c r="AT471" s="3" t="n">
        <v>4</v>
      </c>
      <c r="AU471" s="3" t="n">
        <v>4</v>
      </c>
      <c r="AV471" s="3" t="n">
        <v>6</v>
      </c>
      <c r="AW471" s="3" t="n">
        <v>6</v>
      </c>
      <c r="AX471" s="3" t="n">
        <v>3</v>
      </c>
      <c r="AY471" s="3" t="n">
        <v>3</v>
      </c>
      <c r="AZ471" s="3" t="n">
        <v>1</v>
      </c>
      <c r="BA471" s="5" t="n">
        <v>5</v>
      </c>
      <c r="BB471" s="3" t="n">
        <v>2</v>
      </c>
      <c r="BC471" s="3" t="n">
        <v>1</v>
      </c>
      <c r="BD471" s="3" t="n">
        <v>6</v>
      </c>
      <c r="BE471" s="3" t="n">
        <v>3</v>
      </c>
      <c r="BF471" s="3" t="n">
        <v>5</v>
      </c>
      <c r="BG471" s="3" t="n">
        <v>3</v>
      </c>
      <c r="BH471" s="3" t="n">
        <v>4</v>
      </c>
      <c r="BI471" s="3" t="n">
        <v>1</v>
      </c>
      <c r="BJ471" s="3" t="n">
        <v>1</v>
      </c>
      <c r="BK471" s="6" t="s">
        <v>1375</v>
      </c>
    </row>
    <row r="472" customFormat="false" ht="16.5" hidden="false" customHeight="true" outlineLevel="0" collapsed="false">
      <c r="B472" s="2" t="s">
        <v>1376</v>
      </c>
      <c r="C472" s="2" t="s">
        <v>94</v>
      </c>
      <c r="D472" s="2" t="s">
        <v>1377</v>
      </c>
      <c r="E472" s="2" t="n">
        <v>181461</v>
      </c>
      <c r="F472" s="15" t="n">
        <v>43658</v>
      </c>
      <c r="G472" s="15" t="n">
        <v>43663</v>
      </c>
      <c r="H472" s="3" t="n">
        <v>5</v>
      </c>
      <c r="I472" s="3" t="n">
        <v>1</v>
      </c>
      <c r="J472" s="3" t="n">
        <v>67</v>
      </c>
      <c r="K472" s="3" t="n">
        <v>1</v>
      </c>
      <c r="L472" s="3" t="n">
        <v>2</v>
      </c>
      <c r="M472" s="3" t="n">
        <v>1</v>
      </c>
      <c r="N472" s="3" t="n">
        <v>2</v>
      </c>
      <c r="O472" s="3" t="n">
        <v>2</v>
      </c>
      <c r="P472" s="3" t="n">
        <v>2</v>
      </c>
      <c r="Q472" s="3" t="n">
        <v>2</v>
      </c>
      <c r="R472" s="3" t="n">
        <v>2</v>
      </c>
      <c r="S472" s="3" t="n">
        <v>2</v>
      </c>
      <c r="T472" s="4" t="n">
        <v>1</v>
      </c>
      <c r="U472" s="3" t="n">
        <v>4</v>
      </c>
      <c r="V472" s="3" t="n">
        <v>3.86</v>
      </c>
      <c r="W472" s="3" t="n">
        <v>0.99</v>
      </c>
      <c r="X472" s="3" t="n">
        <v>8.2</v>
      </c>
      <c r="Y472" s="3" t="n">
        <v>538</v>
      </c>
      <c r="Z472" s="3" t="n">
        <v>85</v>
      </c>
      <c r="AA472" s="3" t="n">
        <v>0.47</v>
      </c>
      <c r="AB472" s="3" t="n">
        <v>13.6</v>
      </c>
      <c r="AC472" s="3" t="n">
        <v>2</v>
      </c>
      <c r="AD472" s="3" t="n">
        <v>2</v>
      </c>
      <c r="AE472" s="3" t="n">
        <v>1</v>
      </c>
      <c r="AF472" s="3" t="n">
        <v>1</v>
      </c>
      <c r="AG472" s="3" t="n">
        <v>2</v>
      </c>
      <c r="AH472" s="3" t="n">
        <v>2</v>
      </c>
      <c r="AI472" s="3" t="n">
        <v>1</v>
      </c>
      <c r="AJ472" s="3" t="n">
        <v>2</v>
      </c>
      <c r="AK472" s="3" t="n">
        <v>2</v>
      </c>
      <c r="AL472" s="3" t="n">
        <v>2</v>
      </c>
      <c r="AM472" s="3" t="n">
        <v>1</v>
      </c>
      <c r="AN472" s="3" t="n">
        <v>2</v>
      </c>
      <c r="AO472" s="3" t="n">
        <v>2</v>
      </c>
      <c r="AP472" s="3" t="n">
        <v>3</v>
      </c>
      <c r="AQ472" s="3" t="n">
        <v>4</v>
      </c>
      <c r="AR472" s="3" t="n">
        <v>4</v>
      </c>
      <c r="AS472" s="3" t="n">
        <v>6</v>
      </c>
      <c r="AT472" s="3" t="n">
        <v>4</v>
      </c>
      <c r="AU472" s="3" t="n">
        <v>4</v>
      </c>
      <c r="AV472" s="3" t="n">
        <v>6</v>
      </c>
      <c r="AW472" s="3" t="n">
        <v>6</v>
      </c>
      <c r="AX472" s="3" t="n">
        <v>3</v>
      </c>
      <c r="AY472" s="3" t="n">
        <v>3</v>
      </c>
      <c r="AZ472" s="3" t="n">
        <v>1</v>
      </c>
      <c r="BA472" s="5" t="n">
        <v>5</v>
      </c>
      <c r="BB472" s="3" t="n">
        <v>2</v>
      </c>
      <c r="BC472" s="3" t="n">
        <v>1</v>
      </c>
      <c r="BD472" s="3" t="n">
        <v>6</v>
      </c>
      <c r="BE472" s="3" t="n">
        <v>3</v>
      </c>
      <c r="BF472" s="3" t="n">
        <v>5</v>
      </c>
      <c r="BG472" s="3" t="n">
        <v>3</v>
      </c>
      <c r="BH472" s="3" t="n">
        <v>4</v>
      </c>
      <c r="BI472" s="3" t="n">
        <v>1</v>
      </c>
      <c r="BJ472" s="3" t="n">
        <v>1</v>
      </c>
      <c r="BK472" s="6" t="s">
        <v>1378</v>
      </c>
    </row>
    <row r="473" s="7" customFormat="true" ht="15" hidden="false" customHeight="true" outlineLevel="0" collapsed="false">
      <c r="A473" s="1"/>
      <c r="B473" s="2" t="s">
        <v>1379</v>
      </c>
      <c r="C473" s="2" t="s">
        <v>1380</v>
      </c>
      <c r="D473" s="2" t="s">
        <v>1243</v>
      </c>
      <c r="E473" s="2" t="n">
        <v>987812</v>
      </c>
      <c r="F473" s="15" t="n">
        <v>43661</v>
      </c>
      <c r="G473" s="15" t="n">
        <v>43668</v>
      </c>
      <c r="H473" s="3" t="n">
        <v>7</v>
      </c>
      <c r="I473" s="3" t="n">
        <v>2</v>
      </c>
      <c r="J473" s="3" t="n">
        <v>72</v>
      </c>
      <c r="K473" s="3" t="n">
        <v>1</v>
      </c>
      <c r="L473" s="3" t="n">
        <v>2</v>
      </c>
      <c r="M473" s="3" t="n">
        <v>1</v>
      </c>
      <c r="N473" s="3" t="n">
        <v>1</v>
      </c>
      <c r="O473" s="3" t="n">
        <v>2</v>
      </c>
      <c r="P473" s="3" t="n">
        <v>2</v>
      </c>
      <c r="Q473" s="3" t="n">
        <v>2</v>
      </c>
      <c r="R473" s="3" t="n">
        <v>2</v>
      </c>
      <c r="S473" s="3" t="n">
        <v>2</v>
      </c>
      <c r="T473" s="4" t="n">
        <v>3</v>
      </c>
      <c r="U473" s="3" t="n">
        <v>1</v>
      </c>
      <c r="V473" s="3" t="n">
        <v>4.61</v>
      </c>
      <c r="W473" s="3" t="n">
        <v>2.03</v>
      </c>
      <c r="X473" s="3" t="n">
        <v>7.67</v>
      </c>
      <c r="Y473" s="3" t="n">
        <v>597</v>
      </c>
      <c r="Z473" s="3" t="n">
        <v>79</v>
      </c>
      <c r="AA473" s="3" t="n">
        <v>0.45</v>
      </c>
      <c r="AB473" s="3" t="n">
        <v>13.6</v>
      </c>
      <c r="AC473" s="3" t="n">
        <v>1</v>
      </c>
      <c r="AD473" s="3" t="n">
        <v>1</v>
      </c>
      <c r="AE473" s="3" t="n">
        <v>1</v>
      </c>
      <c r="AF473" s="3" t="n">
        <v>1</v>
      </c>
      <c r="AG473" s="3" t="n">
        <v>1</v>
      </c>
      <c r="AH473" s="3" t="n">
        <v>2</v>
      </c>
      <c r="AI473" s="3" t="n">
        <v>1</v>
      </c>
      <c r="AJ473" s="3" t="n">
        <v>2</v>
      </c>
      <c r="AK473" s="3" t="n">
        <v>2</v>
      </c>
      <c r="AL473" s="3" t="n">
        <v>2</v>
      </c>
      <c r="AM473" s="3" t="n">
        <v>1</v>
      </c>
      <c r="AN473" s="3" t="n">
        <v>2</v>
      </c>
      <c r="AO473" s="3" t="n">
        <v>2</v>
      </c>
      <c r="AP473" s="3" t="n">
        <v>3</v>
      </c>
      <c r="AQ473" s="3" t="n">
        <v>4</v>
      </c>
      <c r="AR473" s="3" t="n">
        <v>4</v>
      </c>
      <c r="AS473" s="3" t="n">
        <v>6</v>
      </c>
      <c r="AT473" s="3" t="n">
        <v>4</v>
      </c>
      <c r="AU473" s="3" t="n">
        <v>4</v>
      </c>
      <c r="AV473" s="3" t="n">
        <v>6</v>
      </c>
      <c r="AW473" s="3" t="n">
        <v>6</v>
      </c>
      <c r="AX473" s="3" t="n">
        <v>3</v>
      </c>
      <c r="AY473" s="3" t="n">
        <v>3</v>
      </c>
      <c r="AZ473" s="3" t="n">
        <v>1</v>
      </c>
      <c r="BA473" s="5" t="n">
        <v>11</v>
      </c>
      <c r="BB473" s="3" t="n">
        <v>2</v>
      </c>
      <c r="BC473" s="3" t="n">
        <v>1</v>
      </c>
      <c r="BD473" s="3" t="n">
        <v>6</v>
      </c>
      <c r="BE473" s="3" t="n">
        <v>3</v>
      </c>
      <c r="BF473" s="3" t="n">
        <v>5</v>
      </c>
      <c r="BG473" s="3" t="n">
        <v>3</v>
      </c>
      <c r="BH473" s="3" t="n">
        <v>4</v>
      </c>
      <c r="BI473" s="3" t="n">
        <v>1</v>
      </c>
      <c r="BJ473" s="3" t="n">
        <v>1</v>
      </c>
      <c r="BK473" s="6" t="s">
        <v>1381</v>
      </c>
    </row>
    <row r="474" customFormat="false" ht="15" hidden="false" customHeight="true" outlineLevel="0" collapsed="false">
      <c r="B474" s="2" t="s">
        <v>1382</v>
      </c>
      <c r="C474" s="2" t="s">
        <v>1383</v>
      </c>
      <c r="D474" s="2" t="s">
        <v>1384</v>
      </c>
      <c r="E474" s="2" t="n">
        <v>181689</v>
      </c>
      <c r="F474" s="15" t="n">
        <v>43664</v>
      </c>
      <c r="G474" s="15" t="n">
        <v>43668</v>
      </c>
      <c r="H474" s="3" t="n">
        <v>4</v>
      </c>
      <c r="I474" s="3" t="n">
        <v>1</v>
      </c>
      <c r="J474" s="3" t="n">
        <v>80</v>
      </c>
      <c r="K474" s="3" t="n">
        <v>2</v>
      </c>
      <c r="L474" s="3" t="n">
        <v>2</v>
      </c>
      <c r="M474" s="3" t="n">
        <v>1</v>
      </c>
      <c r="N474" s="3" t="n">
        <v>2</v>
      </c>
      <c r="O474" s="3" t="n">
        <v>2</v>
      </c>
      <c r="P474" s="3" t="n">
        <v>2</v>
      </c>
      <c r="Q474" s="3" t="n">
        <v>1</v>
      </c>
      <c r="R474" s="3" t="n">
        <v>2</v>
      </c>
      <c r="S474" s="3" t="n">
        <v>1</v>
      </c>
      <c r="T474" s="4" t="n">
        <v>1</v>
      </c>
      <c r="U474" s="3" t="n">
        <v>1</v>
      </c>
      <c r="V474" s="3" t="s">
        <v>1385</v>
      </c>
      <c r="W474" s="3" t="s">
        <v>1386</v>
      </c>
      <c r="X474" s="3" t="s">
        <v>1387</v>
      </c>
      <c r="Y474" s="3" t="n">
        <v>583</v>
      </c>
      <c r="Z474" s="3" t="n">
        <v>79</v>
      </c>
      <c r="AA474" s="3" t="s">
        <v>1267</v>
      </c>
      <c r="AB474" s="3" t="s">
        <v>1388</v>
      </c>
      <c r="AC474" s="3" t="n">
        <v>1</v>
      </c>
      <c r="AD474" s="3" t="n">
        <v>1</v>
      </c>
      <c r="AE474" s="3" t="n">
        <v>1</v>
      </c>
      <c r="AF474" s="3" t="n">
        <v>1</v>
      </c>
      <c r="AG474" s="3" t="n">
        <v>1</v>
      </c>
      <c r="AH474" s="3" t="n">
        <v>2</v>
      </c>
      <c r="AI474" s="3" t="n">
        <v>1</v>
      </c>
      <c r="AJ474" s="3" t="n">
        <v>1</v>
      </c>
      <c r="AK474" s="3" t="n">
        <v>2</v>
      </c>
      <c r="AL474" s="3" t="n">
        <v>2</v>
      </c>
      <c r="AM474" s="3" t="n">
        <v>1</v>
      </c>
      <c r="AN474" s="3" t="n">
        <v>2</v>
      </c>
      <c r="AO474" s="3" t="n">
        <v>2</v>
      </c>
      <c r="AP474" s="3" t="n">
        <v>3</v>
      </c>
      <c r="AQ474" s="3" t="n">
        <v>4</v>
      </c>
      <c r="AR474" s="3" t="n">
        <v>4</v>
      </c>
      <c r="AS474" s="3" t="n">
        <v>6</v>
      </c>
      <c r="AT474" s="3" t="n">
        <v>4</v>
      </c>
      <c r="AU474" s="3" t="n">
        <v>4</v>
      </c>
      <c r="AV474" s="3" t="n">
        <v>6</v>
      </c>
      <c r="AW474" s="3" t="n">
        <v>6</v>
      </c>
      <c r="AX474" s="3" t="n">
        <v>3</v>
      </c>
      <c r="AY474" s="3" t="n">
        <v>3</v>
      </c>
      <c r="AZ474" s="3" t="n">
        <v>1</v>
      </c>
      <c r="BA474" s="5" t="n">
        <v>5</v>
      </c>
      <c r="BB474" s="3" t="n">
        <v>2</v>
      </c>
      <c r="BC474" s="3" t="n">
        <v>1</v>
      </c>
      <c r="BD474" s="3" t="n">
        <v>6</v>
      </c>
      <c r="BE474" s="3" t="n">
        <v>3</v>
      </c>
      <c r="BF474" s="3" t="n">
        <v>5</v>
      </c>
      <c r="BG474" s="3" t="n">
        <v>3</v>
      </c>
      <c r="BH474" s="3" t="n">
        <v>4</v>
      </c>
      <c r="BI474" s="3" t="n">
        <v>1</v>
      </c>
      <c r="BJ474" s="3" t="n">
        <v>1</v>
      </c>
      <c r="BK474" s="6" t="s">
        <v>1389</v>
      </c>
    </row>
    <row r="475" customFormat="false" ht="15" hidden="false" customHeight="true" outlineLevel="0" collapsed="false">
      <c r="A475" s="40"/>
      <c r="B475" s="2" t="s">
        <v>456</v>
      </c>
      <c r="C475" s="2" t="s">
        <v>536</v>
      </c>
      <c r="D475" s="2" t="s">
        <v>760</v>
      </c>
      <c r="E475" s="2" t="n">
        <v>153562</v>
      </c>
      <c r="F475" s="15" t="n">
        <v>43664</v>
      </c>
      <c r="G475" s="41" t="n">
        <v>43671</v>
      </c>
      <c r="H475" s="3" t="n">
        <v>7</v>
      </c>
      <c r="I475" s="3" t="n">
        <v>2</v>
      </c>
      <c r="J475" s="3" t="n">
        <v>71</v>
      </c>
      <c r="K475" s="3" t="n">
        <v>1</v>
      </c>
      <c r="L475" s="3" t="n">
        <v>2</v>
      </c>
      <c r="M475" s="3" t="n">
        <v>1</v>
      </c>
      <c r="N475" s="3" t="n">
        <v>2</v>
      </c>
      <c r="O475" s="3" t="n">
        <v>2</v>
      </c>
      <c r="P475" s="3" t="n">
        <v>2</v>
      </c>
      <c r="Q475" s="3" t="n">
        <v>1</v>
      </c>
      <c r="R475" s="3" t="n">
        <v>2</v>
      </c>
      <c r="S475" s="3" t="n">
        <v>2</v>
      </c>
      <c r="T475" s="4" t="n">
        <v>3</v>
      </c>
      <c r="U475" s="3" t="n">
        <v>4</v>
      </c>
      <c r="V475" s="3" t="s">
        <v>1390</v>
      </c>
      <c r="W475" s="3" t="s">
        <v>1391</v>
      </c>
      <c r="X475" s="3" t="s">
        <v>1392</v>
      </c>
      <c r="Y475" s="3" t="n">
        <v>507</v>
      </c>
      <c r="Z475" s="3" t="n">
        <v>106</v>
      </c>
      <c r="AA475" s="3" t="n">
        <v>0.4</v>
      </c>
      <c r="AB475" s="3" t="n">
        <v>13.6</v>
      </c>
      <c r="AC475" s="3" t="n">
        <v>1</v>
      </c>
      <c r="AD475" s="3" t="n">
        <v>2</v>
      </c>
      <c r="AE475" s="3" t="n">
        <v>2</v>
      </c>
      <c r="AF475" s="3" t="n">
        <v>2</v>
      </c>
      <c r="AG475" s="3" t="n">
        <v>2</v>
      </c>
      <c r="AH475" s="3" t="n">
        <v>2</v>
      </c>
      <c r="AI475" s="3" t="n">
        <v>2</v>
      </c>
      <c r="AJ475" s="3" t="n">
        <v>1</v>
      </c>
      <c r="AK475" s="3" t="n">
        <v>2</v>
      </c>
      <c r="AL475" s="3" t="n">
        <v>1</v>
      </c>
      <c r="AM475" s="3" t="n">
        <v>1</v>
      </c>
      <c r="AN475" s="3" t="n">
        <v>2</v>
      </c>
      <c r="AO475" s="3" t="n">
        <v>1</v>
      </c>
      <c r="AP475" s="3" t="n">
        <v>3</v>
      </c>
      <c r="AQ475" s="3" t="n">
        <v>4</v>
      </c>
      <c r="AR475" s="3" t="n">
        <v>4</v>
      </c>
      <c r="AS475" s="3" t="n">
        <v>6</v>
      </c>
      <c r="AT475" s="3" t="n">
        <v>4</v>
      </c>
      <c r="AU475" s="3" t="n">
        <v>4</v>
      </c>
      <c r="AV475" s="3" t="n">
        <v>6</v>
      </c>
      <c r="AW475" s="3" t="n">
        <v>6</v>
      </c>
      <c r="AX475" s="3" t="n">
        <v>3</v>
      </c>
      <c r="AY475" s="3" t="n">
        <v>3</v>
      </c>
      <c r="AZ475" s="3" t="n">
        <v>1</v>
      </c>
      <c r="BA475" s="30" t="n">
        <v>11</v>
      </c>
      <c r="BB475" s="3" t="n">
        <v>2</v>
      </c>
      <c r="BC475" s="3" t="n">
        <v>1</v>
      </c>
      <c r="BD475" s="3" t="n">
        <v>6</v>
      </c>
      <c r="BE475" s="3" t="n">
        <v>3</v>
      </c>
      <c r="BF475" s="3" t="n">
        <v>5</v>
      </c>
      <c r="BG475" s="3" t="n">
        <v>3</v>
      </c>
      <c r="BH475" s="3" t="n">
        <v>4</v>
      </c>
      <c r="BI475" s="3" t="n">
        <v>1</v>
      </c>
      <c r="BJ475" s="3" t="n">
        <v>1</v>
      </c>
    </row>
    <row r="476" s="2" customFormat="true" ht="15" hidden="false" customHeight="true" outlineLevel="0" collapsed="false">
      <c r="A476" s="42"/>
      <c r="B476" s="2" t="s">
        <v>1140</v>
      </c>
      <c r="C476" s="2" t="s">
        <v>1393</v>
      </c>
      <c r="D476" s="2" t="s">
        <v>877</v>
      </c>
      <c r="E476" s="2" t="n">
        <v>182096</v>
      </c>
      <c r="F476" s="15" t="n">
        <v>43667</v>
      </c>
      <c r="G476" s="15" t="n">
        <v>43675</v>
      </c>
      <c r="H476" s="2" t="n">
        <v>8</v>
      </c>
      <c r="I476" s="2" t="n">
        <v>1</v>
      </c>
      <c r="J476" s="2" t="n">
        <v>77</v>
      </c>
      <c r="K476" s="2" t="n">
        <v>1</v>
      </c>
      <c r="L476" s="2" t="n">
        <v>2</v>
      </c>
      <c r="M476" s="2" t="n">
        <v>1</v>
      </c>
      <c r="N476" s="2" t="n">
        <v>2</v>
      </c>
      <c r="O476" s="2" t="n">
        <v>2</v>
      </c>
      <c r="P476" s="2" t="n">
        <v>2</v>
      </c>
      <c r="Q476" s="2" t="n">
        <v>1</v>
      </c>
      <c r="R476" s="2" t="n">
        <v>2</v>
      </c>
      <c r="S476" s="2" t="n">
        <v>1</v>
      </c>
      <c r="T476" s="4" t="n">
        <v>1</v>
      </c>
      <c r="U476" s="2" t="n">
        <v>2</v>
      </c>
      <c r="AC476" s="2" t="n">
        <v>1</v>
      </c>
      <c r="AD476" s="2" t="n">
        <v>1</v>
      </c>
      <c r="AE476" s="2" t="n">
        <v>1</v>
      </c>
      <c r="AF476" s="2" t="n">
        <v>1</v>
      </c>
      <c r="AG476" s="2" t="n">
        <v>2</v>
      </c>
      <c r="AH476" s="2" t="n">
        <v>1</v>
      </c>
      <c r="AI476" s="2" t="n">
        <v>1</v>
      </c>
      <c r="AJ476" s="2" t="n">
        <v>1</v>
      </c>
      <c r="AK476" s="2" t="n">
        <v>2</v>
      </c>
      <c r="AL476" s="2" t="n">
        <v>2</v>
      </c>
      <c r="AM476" s="2" t="n">
        <v>1</v>
      </c>
      <c r="AN476" s="2" t="n">
        <v>2</v>
      </c>
      <c r="AO476" s="2" t="n">
        <v>2</v>
      </c>
      <c r="AP476" s="2" t="n">
        <v>3</v>
      </c>
      <c r="AQ476" s="2" t="n">
        <v>4</v>
      </c>
      <c r="AR476" s="2" t="n">
        <v>4</v>
      </c>
      <c r="AS476" s="2" t="n">
        <v>6</v>
      </c>
      <c r="AT476" s="2" t="n">
        <v>4</v>
      </c>
      <c r="AU476" s="2" t="n">
        <v>4</v>
      </c>
      <c r="AV476" s="2" t="n">
        <v>6</v>
      </c>
      <c r="AW476" s="2" t="n">
        <v>6</v>
      </c>
      <c r="AX476" s="2" t="n">
        <v>3</v>
      </c>
      <c r="AY476" s="2" t="n">
        <v>3</v>
      </c>
      <c r="AZ476" s="2" t="n">
        <v>1</v>
      </c>
      <c r="BA476" s="38" t="n">
        <v>5</v>
      </c>
      <c r="BB476" s="2" t="n">
        <v>2</v>
      </c>
      <c r="BC476" s="2" t="n">
        <v>1</v>
      </c>
      <c r="BD476" s="2" t="n">
        <v>6</v>
      </c>
      <c r="BE476" s="2" t="n">
        <v>3</v>
      </c>
      <c r="BF476" s="2" t="n">
        <v>5</v>
      </c>
      <c r="BG476" s="2" t="n">
        <v>3</v>
      </c>
      <c r="BH476" s="2" t="n">
        <v>4</v>
      </c>
      <c r="BI476" s="2" t="n">
        <v>1</v>
      </c>
      <c r="BJ476" s="2" t="n">
        <v>1</v>
      </c>
      <c r="BK476" s="43"/>
    </row>
    <row r="477" customFormat="false" ht="15" hidden="false" customHeight="true" outlineLevel="0" collapsed="false">
      <c r="B477" s="2" t="s">
        <v>1394</v>
      </c>
      <c r="C477" s="2" t="s">
        <v>66</v>
      </c>
      <c r="D477" s="2" t="s">
        <v>94</v>
      </c>
      <c r="E477" s="2" t="n">
        <v>181511</v>
      </c>
      <c r="F477" s="15" t="n">
        <v>43660</v>
      </c>
      <c r="G477" s="15" t="n">
        <v>43665</v>
      </c>
      <c r="H477" s="3" t="n">
        <v>5</v>
      </c>
      <c r="I477" s="3" t="n">
        <v>2</v>
      </c>
      <c r="J477" s="3" t="n">
        <v>65</v>
      </c>
      <c r="K477" s="3" t="n">
        <v>2</v>
      </c>
      <c r="L477" s="3" t="n">
        <v>2</v>
      </c>
      <c r="M477" s="3" t="n">
        <v>1</v>
      </c>
      <c r="N477" s="3" t="n">
        <v>2</v>
      </c>
      <c r="O477" s="3" t="n">
        <v>1</v>
      </c>
      <c r="P477" s="3" t="n">
        <v>2</v>
      </c>
      <c r="Q477" s="3" t="n">
        <v>2</v>
      </c>
      <c r="R477" s="3" t="n">
        <v>2</v>
      </c>
      <c r="S477" s="3" t="n">
        <v>1</v>
      </c>
      <c r="T477" s="4" t="n">
        <v>1</v>
      </c>
      <c r="U477" s="3" t="n">
        <v>1</v>
      </c>
      <c r="V477" s="3" t="n">
        <v>4.72</v>
      </c>
      <c r="W477" s="3" t="n">
        <v>1.84</v>
      </c>
      <c r="X477" s="3" t="n">
        <v>7.08</v>
      </c>
      <c r="Y477" s="3" t="n">
        <v>567</v>
      </c>
      <c r="Z477" s="3" t="n">
        <v>90</v>
      </c>
      <c r="AA477" s="3" t="n">
        <v>0.42</v>
      </c>
      <c r="AB477" s="3" t="n">
        <v>2.5</v>
      </c>
      <c r="AC477" s="3" t="n">
        <v>1</v>
      </c>
      <c r="AD477" s="3" t="n">
        <v>1</v>
      </c>
      <c r="AE477" s="3" t="n">
        <v>1</v>
      </c>
      <c r="AF477" s="3" t="n">
        <v>1</v>
      </c>
      <c r="AG477" s="3" t="n">
        <v>2</v>
      </c>
      <c r="AH477" s="3" t="n">
        <v>2</v>
      </c>
      <c r="AI477" s="3" t="n">
        <v>1</v>
      </c>
      <c r="AJ477" s="3" t="n">
        <v>1</v>
      </c>
      <c r="AK477" s="3" t="n">
        <v>2</v>
      </c>
      <c r="AL477" s="3" t="n">
        <v>2</v>
      </c>
      <c r="AM477" s="3" t="n">
        <v>2</v>
      </c>
      <c r="AN477" s="3" t="n">
        <v>2</v>
      </c>
      <c r="AO477" s="3" t="n">
        <v>2</v>
      </c>
      <c r="AP477" s="3" t="n">
        <v>3</v>
      </c>
      <c r="AQ477" s="3" t="n">
        <v>4</v>
      </c>
      <c r="AR477" s="3" t="n">
        <v>4</v>
      </c>
      <c r="AS477" s="3" t="n">
        <v>6</v>
      </c>
      <c r="AT477" s="3" t="n">
        <v>4</v>
      </c>
      <c r="AU477" s="3" t="n">
        <v>4</v>
      </c>
      <c r="AV477" s="3" t="n">
        <v>6</v>
      </c>
      <c r="AW477" s="3" t="n">
        <v>6</v>
      </c>
      <c r="AX477" s="3" t="n">
        <v>3</v>
      </c>
      <c r="AY477" s="3" t="n">
        <v>3</v>
      </c>
      <c r="AZ477" s="3" t="n">
        <v>1</v>
      </c>
      <c r="BA477" s="5" t="n">
        <v>5</v>
      </c>
      <c r="BB477" s="3" t="n">
        <v>2</v>
      </c>
      <c r="BC477" s="3" t="n">
        <v>1</v>
      </c>
      <c r="BD477" s="3" t="n">
        <v>6</v>
      </c>
      <c r="BE477" s="3" t="n">
        <v>3</v>
      </c>
      <c r="BF477" s="3" t="n">
        <v>5</v>
      </c>
      <c r="BG477" s="3" t="n">
        <v>3</v>
      </c>
      <c r="BH477" s="3" t="n">
        <v>4</v>
      </c>
      <c r="BI477" s="3" t="n">
        <v>1</v>
      </c>
      <c r="BJ477" s="3" t="n">
        <v>1</v>
      </c>
    </row>
    <row r="478" customFormat="false" ht="15" hidden="false" customHeight="true" outlineLevel="0" collapsed="false">
      <c r="B478" s="2" t="s">
        <v>1395</v>
      </c>
      <c r="C478" s="2" t="s">
        <v>178</v>
      </c>
      <c r="D478" s="2" t="s">
        <v>1396</v>
      </c>
      <c r="E478" s="2" t="n">
        <v>181429</v>
      </c>
      <c r="F478" s="15" t="n">
        <v>43657</v>
      </c>
      <c r="G478" s="15" t="n">
        <v>43664</v>
      </c>
      <c r="H478" s="3" t="n">
        <v>7</v>
      </c>
      <c r="I478" s="3" t="n">
        <v>1</v>
      </c>
      <c r="J478" s="3" t="n">
        <v>80</v>
      </c>
      <c r="K478" s="3" t="n">
        <v>1</v>
      </c>
      <c r="L478" s="3" t="n">
        <v>2</v>
      </c>
      <c r="M478" s="3" t="n">
        <v>2</v>
      </c>
      <c r="N478" s="3" t="n">
        <v>2</v>
      </c>
      <c r="O478" s="3" t="n">
        <v>2</v>
      </c>
      <c r="P478" s="3" t="n">
        <v>2</v>
      </c>
      <c r="Q478" s="3" t="n">
        <v>2</v>
      </c>
      <c r="R478" s="3" t="n">
        <v>2</v>
      </c>
      <c r="S478" s="3" t="n">
        <v>2</v>
      </c>
      <c r="T478" s="4" t="n">
        <v>2</v>
      </c>
      <c r="U478" s="3" t="n">
        <v>2</v>
      </c>
      <c r="V478" s="3" t="n">
        <v>6.05</v>
      </c>
      <c r="W478" s="3" t="n">
        <v>0.95</v>
      </c>
      <c r="X478" s="3" t="n">
        <v>7.3</v>
      </c>
      <c r="Y478" s="3" t="n">
        <v>425</v>
      </c>
      <c r="Z478" s="3" t="n">
        <v>41</v>
      </c>
      <c r="AA478" s="3" t="n">
        <v>0.43</v>
      </c>
      <c r="AB478" s="3" t="n">
        <v>12.06</v>
      </c>
      <c r="AC478" s="3" t="n">
        <v>1</v>
      </c>
      <c r="AD478" s="3" t="n">
        <v>2</v>
      </c>
      <c r="AE478" s="3" t="n">
        <v>1</v>
      </c>
      <c r="AF478" s="3" t="n">
        <v>1</v>
      </c>
      <c r="AG478" s="3" t="n">
        <v>2</v>
      </c>
      <c r="AH478" s="3" t="n">
        <v>2</v>
      </c>
      <c r="AI478" s="3" t="n">
        <v>1</v>
      </c>
      <c r="AJ478" s="3" t="n">
        <v>2</v>
      </c>
      <c r="AK478" s="3" t="n">
        <v>2</v>
      </c>
      <c r="AL478" s="3" t="n">
        <v>2</v>
      </c>
      <c r="AM478" s="3" t="n">
        <v>2</v>
      </c>
      <c r="AN478" s="3" t="n">
        <v>1</v>
      </c>
      <c r="AO478" s="3" t="n">
        <v>2</v>
      </c>
      <c r="AP478" s="3" t="n">
        <v>3</v>
      </c>
      <c r="AQ478" s="3" t="n">
        <v>4</v>
      </c>
      <c r="AR478" s="3" t="n">
        <v>4</v>
      </c>
      <c r="AS478" s="3" t="n">
        <v>6</v>
      </c>
      <c r="AT478" s="3" t="n">
        <v>4</v>
      </c>
      <c r="AU478" s="3" t="n">
        <v>4</v>
      </c>
      <c r="AV478" s="3" t="n">
        <v>6</v>
      </c>
      <c r="AW478" s="3" t="n">
        <v>6</v>
      </c>
      <c r="AX478" s="3" t="n">
        <v>3</v>
      </c>
      <c r="AY478" s="3" t="n">
        <v>3</v>
      </c>
      <c r="AZ478" s="3" t="n">
        <v>1</v>
      </c>
      <c r="BA478" s="5" t="n">
        <v>1</v>
      </c>
      <c r="BB478" s="3" t="n">
        <v>1</v>
      </c>
      <c r="BC478" s="3" t="n">
        <v>1</v>
      </c>
      <c r="BD478" s="3" t="n">
        <v>4</v>
      </c>
      <c r="BE478" s="3" t="n">
        <v>1</v>
      </c>
      <c r="BF478" s="3" t="n">
        <v>2</v>
      </c>
      <c r="BG478" s="3" t="n">
        <v>1</v>
      </c>
      <c r="BH478" s="3" t="n">
        <v>4</v>
      </c>
      <c r="BI478" s="3" t="n">
        <v>1</v>
      </c>
      <c r="BJ478" s="3" t="n">
        <v>1</v>
      </c>
      <c r="BK478" s="6" t="s">
        <v>1397</v>
      </c>
    </row>
    <row r="479" customFormat="false" ht="15" hidden="false" customHeight="true" outlineLevel="0" collapsed="false">
      <c r="B479" s="2" t="s">
        <v>1398</v>
      </c>
      <c r="C479" s="2" t="s">
        <v>639</v>
      </c>
      <c r="D479" s="2" t="s">
        <v>94</v>
      </c>
      <c r="E479" s="2" t="n">
        <v>182078</v>
      </c>
      <c r="F479" s="15" t="n">
        <v>43667</v>
      </c>
      <c r="G479" s="15" t="n">
        <v>43672</v>
      </c>
      <c r="H479" s="3" t="n">
        <v>5</v>
      </c>
      <c r="I479" s="3" t="n">
        <v>2</v>
      </c>
      <c r="J479" s="3" t="n">
        <v>52</v>
      </c>
      <c r="K479" s="3" t="n">
        <v>1</v>
      </c>
      <c r="L479" s="3" t="n">
        <v>1</v>
      </c>
      <c r="M479" s="3" t="n">
        <v>2</v>
      </c>
      <c r="N479" s="3" t="n">
        <v>1</v>
      </c>
      <c r="O479" s="3" t="n">
        <v>2</v>
      </c>
      <c r="Q479" s="3" t="n">
        <v>2</v>
      </c>
      <c r="R479" s="3" t="n">
        <v>2</v>
      </c>
      <c r="S479" s="3" t="n">
        <v>2</v>
      </c>
      <c r="T479" s="4" t="n">
        <v>1</v>
      </c>
      <c r="U479" s="3" t="n">
        <v>1</v>
      </c>
      <c r="AC479" s="3" t="n">
        <v>1</v>
      </c>
      <c r="AD479" s="3" t="n">
        <v>1</v>
      </c>
      <c r="AE479" s="3" t="n">
        <v>1</v>
      </c>
      <c r="AF479" s="3" t="n">
        <v>1</v>
      </c>
      <c r="AG479" s="3" t="n">
        <v>2</v>
      </c>
      <c r="AH479" s="3" t="n">
        <v>2</v>
      </c>
      <c r="AI479" s="3" t="n">
        <v>1</v>
      </c>
      <c r="AJ479" s="3" t="n">
        <v>1</v>
      </c>
      <c r="AK479" s="3" t="n">
        <v>2</v>
      </c>
      <c r="AL479" s="3" t="n">
        <v>2</v>
      </c>
      <c r="AM479" s="3" t="n">
        <v>2</v>
      </c>
      <c r="AN479" s="3" t="n">
        <v>2</v>
      </c>
      <c r="AO479" s="3" t="n">
        <v>2</v>
      </c>
      <c r="AP479" s="3" t="n">
        <v>3</v>
      </c>
      <c r="AQ479" s="3" t="n">
        <v>4</v>
      </c>
      <c r="AR479" s="3" t="n">
        <v>4</v>
      </c>
      <c r="AS479" s="3" t="n">
        <v>6</v>
      </c>
      <c r="AT479" s="3" t="n">
        <v>4</v>
      </c>
      <c r="AU479" s="3" t="n">
        <v>4</v>
      </c>
      <c r="AV479" s="3" t="n">
        <v>6</v>
      </c>
      <c r="AW479" s="3" t="n">
        <v>6</v>
      </c>
      <c r="AX479" s="3" t="n">
        <v>3</v>
      </c>
      <c r="AY479" s="3" t="n">
        <v>3</v>
      </c>
      <c r="AZ479" s="3" t="n">
        <v>1</v>
      </c>
      <c r="BB479" s="3" t="n">
        <v>2</v>
      </c>
      <c r="BC479" s="3" t="n">
        <v>1</v>
      </c>
      <c r="BD479" s="3" t="n">
        <v>6</v>
      </c>
      <c r="BE479" s="3" t="n">
        <v>3</v>
      </c>
      <c r="BF479" s="3" t="n">
        <v>5</v>
      </c>
      <c r="BG479" s="3" t="n">
        <v>3</v>
      </c>
      <c r="BH479" s="3" t="n">
        <v>4</v>
      </c>
      <c r="BI479" s="3" t="n">
        <v>1</v>
      </c>
      <c r="BJ479" s="3" t="n">
        <v>1</v>
      </c>
    </row>
    <row r="480" s="30" customFormat="true" ht="15" hidden="false" customHeight="true" outlineLevel="0" collapsed="false">
      <c r="A480" s="24"/>
      <c r="B480" s="26" t="s">
        <v>1399</v>
      </c>
      <c r="C480" s="26" t="s">
        <v>1400</v>
      </c>
      <c r="D480" s="26" t="s">
        <v>1401</v>
      </c>
      <c r="E480" s="26" t="n">
        <v>182344</v>
      </c>
      <c r="F480" s="27" t="n">
        <v>43671</v>
      </c>
      <c r="G480" s="27" t="n">
        <v>43675</v>
      </c>
      <c r="H480" s="30" t="n">
        <v>4</v>
      </c>
      <c r="I480" s="30" t="n">
        <v>1</v>
      </c>
      <c r="J480" s="30" t="n">
        <v>88</v>
      </c>
      <c r="K480" s="30" t="n">
        <v>1</v>
      </c>
      <c r="L480" s="30" t="n">
        <v>2</v>
      </c>
      <c r="M480" s="30" t="n">
        <v>1</v>
      </c>
      <c r="N480" s="30" t="n">
        <v>1</v>
      </c>
      <c r="O480" s="30" t="n">
        <v>2</v>
      </c>
      <c r="P480" s="30" t="n">
        <v>2</v>
      </c>
      <c r="Q480" s="30" t="n">
        <v>2</v>
      </c>
      <c r="R480" s="30" t="n">
        <v>1</v>
      </c>
      <c r="S480" s="30" t="n">
        <v>1</v>
      </c>
      <c r="T480" s="4" t="n">
        <v>3</v>
      </c>
      <c r="U480" s="30" t="n">
        <v>4</v>
      </c>
      <c r="X480" s="30" t="n">
        <v>10</v>
      </c>
      <c r="Y480" s="30" t="n">
        <v>620</v>
      </c>
      <c r="Z480" s="30" t="n">
        <v>136</v>
      </c>
      <c r="AA480" s="30" t="s">
        <v>1402</v>
      </c>
      <c r="AB480" s="30" t="n">
        <v>12.9</v>
      </c>
      <c r="AC480" s="30" t="n">
        <v>2</v>
      </c>
      <c r="AD480" s="30" t="n">
        <v>1</v>
      </c>
      <c r="AE480" s="30" t="n">
        <v>1</v>
      </c>
      <c r="AF480" s="30" t="n">
        <v>1</v>
      </c>
      <c r="AG480" s="30" t="n">
        <v>1</v>
      </c>
      <c r="AH480" s="30" t="n">
        <v>2</v>
      </c>
      <c r="AI480" s="30" t="n">
        <v>2</v>
      </c>
      <c r="AJ480" s="30" t="n">
        <v>2</v>
      </c>
      <c r="AK480" s="30" t="n">
        <v>2</v>
      </c>
      <c r="AL480" s="30" t="n">
        <v>1</v>
      </c>
      <c r="AM480" s="30" t="n">
        <v>1</v>
      </c>
      <c r="AN480" s="30" t="n">
        <v>1</v>
      </c>
      <c r="AO480" s="30" t="n">
        <v>1</v>
      </c>
      <c r="AP480" s="30" t="n">
        <v>3</v>
      </c>
      <c r="AQ480" s="30" t="n">
        <v>4</v>
      </c>
      <c r="AR480" s="30" t="n">
        <v>4</v>
      </c>
      <c r="AS480" s="30" t="n">
        <v>6</v>
      </c>
      <c r="AT480" s="30" t="n">
        <v>4</v>
      </c>
      <c r="AU480" s="30" t="n">
        <v>4</v>
      </c>
      <c r="AV480" s="30" t="n">
        <v>6</v>
      </c>
      <c r="AW480" s="30" t="n">
        <v>6</v>
      </c>
      <c r="AX480" s="30" t="n">
        <v>3</v>
      </c>
      <c r="AY480" s="30" t="n">
        <v>3</v>
      </c>
      <c r="AZ480" s="30" t="n">
        <v>6</v>
      </c>
      <c r="BA480" s="5" t="n">
        <v>11</v>
      </c>
      <c r="BB480" s="30" t="n">
        <v>2</v>
      </c>
      <c r="BC480" s="30" t="n">
        <v>1</v>
      </c>
      <c r="BD480" s="30" t="n">
        <v>6</v>
      </c>
      <c r="BE480" s="30" t="n">
        <v>3</v>
      </c>
      <c r="BF480" s="30" t="n">
        <v>5</v>
      </c>
      <c r="BG480" s="30" t="n">
        <v>3</v>
      </c>
      <c r="BH480" s="30" t="n">
        <v>4</v>
      </c>
      <c r="BI480" s="30" t="n">
        <v>1</v>
      </c>
      <c r="BJ480" s="30" t="n">
        <v>1</v>
      </c>
      <c r="BK480" s="31" t="s">
        <v>1403</v>
      </c>
    </row>
    <row r="481" customFormat="false" ht="13.5" hidden="false" customHeight="true" outlineLevel="0" collapsed="false">
      <c r="B481" s="3" t="s">
        <v>1404</v>
      </c>
      <c r="C481" s="3" t="s">
        <v>1383</v>
      </c>
      <c r="D481" s="3" t="s">
        <v>1405</v>
      </c>
      <c r="E481" s="3" t="n">
        <v>182322</v>
      </c>
      <c r="F481" s="41" t="n">
        <v>43670</v>
      </c>
      <c r="G481" s="41" t="n">
        <v>43676</v>
      </c>
      <c r="H481" s="3" t="n">
        <v>6</v>
      </c>
      <c r="I481" s="3" t="n">
        <v>1</v>
      </c>
      <c r="J481" s="3" t="n">
        <v>49</v>
      </c>
      <c r="K481" s="3" t="n">
        <v>2</v>
      </c>
      <c r="L481" s="3" t="n">
        <v>2</v>
      </c>
      <c r="M481" s="3" t="n">
        <v>1</v>
      </c>
      <c r="N481" s="3" t="n">
        <v>2</v>
      </c>
      <c r="O481" s="3" t="n">
        <v>1</v>
      </c>
      <c r="P481" s="3" t="n">
        <v>2</v>
      </c>
      <c r="Q481" s="3" t="n">
        <v>2</v>
      </c>
      <c r="R481" s="3" t="n">
        <v>2</v>
      </c>
      <c r="S481" s="3" t="n">
        <v>2</v>
      </c>
      <c r="T481" s="4" t="n">
        <v>7</v>
      </c>
      <c r="U481" s="3" t="n">
        <v>1</v>
      </c>
      <c r="V481" s="3" t="s">
        <v>1406</v>
      </c>
      <c r="W481" s="3" t="s">
        <v>1407</v>
      </c>
      <c r="X481" s="3" t="s">
        <v>1408</v>
      </c>
      <c r="Y481" s="3" t="n">
        <v>405</v>
      </c>
      <c r="Z481" s="3" t="n">
        <v>63</v>
      </c>
      <c r="AA481" s="3" t="s">
        <v>1409</v>
      </c>
      <c r="AB481" s="3" t="n">
        <v>13</v>
      </c>
      <c r="AC481" s="3" t="n">
        <v>1</v>
      </c>
      <c r="AD481" s="3" t="n">
        <v>2</v>
      </c>
      <c r="AE481" s="3" t="n">
        <v>2</v>
      </c>
      <c r="AF481" s="3" t="n">
        <v>1</v>
      </c>
      <c r="AG481" s="3" t="n">
        <v>2</v>
      </c>
      <c r="AH481" s="3" t="n">
        <v>2</v>
      </c>
      <c r="AI481" s="3" t="n">
        <v>2</v>
      </c>
      <c r="AJ481" s="3" t="n">
        <v>2</v>
      </c>
      <c r="AK481" s="3" t="n">
        <v>2</v>
      </c>
      <c r="AL481" s="3" t="n">
        <v>2</v>
      </c>
      <c r="AM481" s="3" t="n">
        <v>1</v>
      </c>
      <c r="AN481" s="3" t="n">
        <v>2</v>
      </c>
      <c r="AO481" s="3" t="n">
        <v>2</v>
      </c>
      <c r="AP481" s="3" t="n">
        <v>3</v>
      </c>
      <c r="AQ481" s="3" t="n">
        <v>4</v>
      </c>
      <c r="AR481" s="3" t="n">
        <v>4</v>
      </c>
      <c r="AS481" s="3" t="n">
        <v>6</v>
      </c>
      <c r="AT481" s="3" t="n">
        <v>4</v>
      </c>
      <c r="AU481" s="3" t="n">
        <v>4</v>
      </c>
      <c r="AV481" s="3" t="n">
        <v>6</v>
      </c>
      <c r="AW481" s="3" t="n">
        <v>6</v>
      </c>
      <c r="AX481" s="3" t="n">
        <v>3</v>
      </c>
      <c r="AY481" s="3" t="n">
        <v>3</v>
      </c>
      <c r="AZ481" s="3" t="n">
        <v>1</v>
      </c>
      <c r="BA481" s="4" t="n">
        <v>12</v>
      </c>
      <c r="BB481" s="3" t="n">
        <v>2</v>
      </c>
      <c r="BC481" s="3" t="n">
        <v>1</v>
      </c>
      <c r="BD481" s="3" t="n">
        <v>6</v>
      </c>
      <c r="BE481" s="3" t="n">
        <v>3</v>
      </c>
      <c r="BF481" s="3" t="n">
        <v>5</v>
      </c>
      <c r="BG481" s="3" t="n">
        <v>3</v>
      </c>
      <c r="BH481" s="3" t="n">
        <v>4</v>
      </c>
      <c r="BI481" s="3" t="n">
        <v>1</v>
      </c>
      <c r="BJ481" s="3" t="n">
        <v>1</v>
      </c>
      <c r="BK481" s="16" t="s">
        <v>1410</v>
      </c>
    </row>
    <row r="482" customFormat="false" ht="13.5" hidden="false" customHeight="true" outlineLevel="0" collapsed="false">
      <c r="B482" s="3" t="s">
        <v>1411</v>
      </c>
      <c r="C482" s="3" t="s">
        <v>1405</v>
      </c>
      <c r="D482" s="3" t="s">
        <v>1412</v>
      </c>
      <c r="E482" s="3" t="n">
        <v>182327</v>
      </c>
      <c r="F482" s="41" t="n">
        <v>43670</v>
      </c>
      <c r="G482" s="41" t="n">
        <v>43677</v>
      </c>
      <c r="H482" s="3" t="n">
        <v>6</v>
      </c>
      <c r="I482" s="3" t="n">
        <v>1</v>
      </c>
      <c r="J482" s="3" t="n">
        <v>70</v>
      </c>
      <c r="K482" s="3" t="n">
        <v>1</v>
      </c>
      <c r="L482" s="3" t="n">
        <v>1</v>
      </c>
      <c r="M482" s="3" t="n">
        <v>1</v>
      </c>
      <c r="N482" s="3" t="n">
        <v>2</v>
      </c>
      <c r="O482" s="3" t="n">
        <v>2</v>
      </c>
      <c r="P482" s="3" t="n">
        <v>1</v>
      </c>
      <c r="Q482" s="3" t="n">
        <v>1</v>
      </c>
      <c r="R482" s="3" t="n">
        <v>2</v>
      </c>
      <c r="S482" s="3" t="n">
        <v>1</v>
      </c>
      <c r="T482" s="4" t="n">
        <v>1</v>
      </c>
      <c r="U482" s="3" t="n">
        <v>1</v>
      </c>
      <c r="V482" s="3" t="s">
        <v>1413</v>
      </c>
      <c r="W482" s="3" t="n">
        <v>2.6</v>
      </c>
      <c r="X482" s="3" t="s">
        <v>1414</v>
      </c>
      <c r="Y482" s="3" t="n">
        <v>393</v>
      </c>
      <c r="Z482" s="3" t="n">
        <v>70</v>
      </c>
      <c r="AA482" s="3" t="s">
        <v>1415</v>
      </c>
      <c r="AB482" s="3" t="n">
        <v>9</v>
      </c>
      <c r="AC482" s="3" t="n">
        <v>1</v>
      </c>
      <c r="AD482" s="3" t="n">
        <v>1</v>
      </c>
      <c r="AE482" s="3" t="n">
        <v>1</v>
      </c>
      <c r="AF482" s="3" t="n">
        <v>1</v>
      </c>
      <c r="AG482" s="3" t="n">
        <v>2</v>
      </c>
      <c r="AH482" s="3" t="n">
        <v>2</v>
      </c>
      <c r="AI482" s="3" t="n">
        <v>1</v>
      </c>
      <c r="AJ482" s="3" t="n">
        <v>1</v>
      </c>
      <c r="AK482" s="3" t="n">
        <v>2</v>
      </c>
      <c r="AL482" s="3" t="n">
        <v>2</v>
      </c>
      <c r="AM482" s="3" t="n">
        <v>2</v>
      </c>
      <c r="AN482" s="3" t="n">
        <v>2</v>
      </c>
      <c r="AO482" s="3" t="n">
        <v>2</v>
      </c>
      <c r="AP482" s="3" t="n">
        <v>3</v>
      </c>
      <c r="AQ482" s="3" t="n">
        <v>4</v>
      </c>
      <c r="AR482" s="3" t="n">
        <v>4</v>
      </c>
      <c r="AS482" s="3" t="n">
        <v>6</v>
      </c>
      <c r="AT482" s="3" t="n">
        <v>4</v>
      </c>
      <c r="AU482" s="3" t="n">
        <v>4</v>
      </c>
      <c r="AV482" s="3" t="n">
        <v>6</v>
      </c>
      <c r="AW482" s="3" t="n">
        <v>6</v>
      </c>
      <c r="AX482" s="3" t="n">
        <v>3</v>
      </c>
      <c r="AY482" s="3" t="n">
        <v>3</v>
      </c>
      <c r="AZ482" s="3" t="n">
        <v>1</v>
      </c>
      <c r="BA482" s="4" t="n">
        <v>5</v>
      </c>
      <c r="BB482" s="3" t="n">
        <v>2</v>
      </c>
      <c r="BC482" s="3" t="n">
        <v>1</v>
      </c>
      <c r="BD482" s="3" t="n">
        <v>6</v>
      </c>
      <c r="BE482" s="3" t="n">
        <v>3</v>
      </c>
      <c r="BF482" s="3" t="n">
        <v>5</v>
      </c>
      <c r="BG482" s="3" t="n">
        <v>3</v>
      </c>
      <c r="BH482" s="3" t="n">
        <v>4</v>
      </c>
      <c r="BI482" s="3" t="n">
        <v>1</v>
      </c>
      <c r="BJ482" s="3" t="n">
        <v>1</v>
      </c>
      <c r="BK482" s="16"/>
    </row>
    <row r="483" customFormat="false" ht="13.5" hidden="false" customHeight="true" outlineLevel="0" collapsed="false">
      <c r="B483" s="3" t="s">
        <v>1416</v>
      </c>
      <c r="C483" s="3" t="s">
        <v>1243</v>
      </c>
      <c r="D483" s="3" t="s">
        <v>1417</v>
      </c>
      <c r="E483" s="3" t="n">
        <v>182335</v>
      </c>
      <c r="F483" s="41" t="n">
        <v>43671</v>
      </c>
      <c r="G483" s="41" t="n">
        <v>43678</v>
      </c>
      <c r="H483" s="3" t="n">
        <v>7</v>
      </c>
      <c r="I483" s="3" t="n">
        <v>1</v>
      </c>
      <c r="J483" s="3" t="n">
        <v>54</v>
      </c>
      <c r="K483" s="3" t="n">
        <v>2</v>
      </c>
      <c r="L483" s="3" t="n">
        <v>2</v>
      </c>
      <c r="M483" s="3" t="n">
        <v>1</v>
      </c>
      <c r="N483" s="3" t="n">
        <v>2</v>
      </c>
      <c r="O483" s="3" t="n">
        <v>1</v>
      </c>
      <c r="P483" s="3" t="n">
        <v>2</v>
      </c>
      <c r="Q483" s="3" t="n">
        <v>2</v>
      </c>
      <c r="R483" s="3" t="n">
        <v>2</v>
      </c>
      <c r="S483" s="3" t="n">
        <v>1</v>
      </c>
      <c r="T483" s="4" t="n">
        <v>2</v>
      </c>
      <c r="U483" s="3" t="n">
        <v>1</v>
      </c>
      <c r="V483" s="3" t="s">
        <v>1418</v>
      </c>
      <c r="W483" s="3" t="s">
        <v>1419</v>
      </c>
      <c r="X483" s="3" t="s">
        <v>1420</v>
      </c>
      <c r="Y483" s="3" t="s">
        <v>1421</v>
      </c>
      <c r="Z483" s="3" t="n">
        <v>60</v>
      </c>
      <c r="AA483" s="3" t="s">
        <v>1402</v>
      </c>
      <c r="AB483" s="3" t="s">
        <v>1422</v>
      </c>
      <c r="AC483" s="3" t="n">
        <v>1</v>
      </c>
      <c r="AD483" s="3" t="n">
        <v>1</v>
      </c>
      <c r="AE483" s="3" t="n">
        <v>1</v>
      </c>
      <c r="AF483" s="3" t="n">
        <v>1</v>
      </c>
      <c r="AG483" s="3" t="n">
        <v>2</v>
      </c>
      <c r="AH483" s="3" t="n">
        <v>2</v>
      </c>
      <c r="AI483" s="3" t="n">
        <v>1</v>
      </c>
      <c r="AJ483" s="3" t="n">
        <v>1</v>
      </c>
      <c r="AK483" s="3" t="n">
        <v>2</v>
      </c>
      <c r="AL483" s="3" t="n">
        <v>2</v>
      </c>
      <c r="AM483" s="3" t="n">
        <v>2</v>
      </c>
      <c r="AN483" s="3" t="n">
        <v>2</v>
      </c>
      <c r="AO483" s="3" t="n">
        <v>2</v>
      </c>
      <c r="AP483" s="3" t="n">
        <v>3</v>
      </c>
      <c r="AQ483" s="3" t="n">
        <v>4</v>
      </c>
      <c r="AR483" s="3" t="n">
        <v>4</v>
      </c>
      <c r="AS483" s="3" t="n">
        <v>6</v>
      </c>
      <c r="AT483" s="3" t="n">
        <v>4</v>
      </c>
      <c r="AU483" s="3" t="n">
        <v>4</v>
      </c>
      <c r="AV483" s="3" t="n">
        <v>6</v>
      </c>
      <c r="AW483" s="3" t="n">
        <v>6</v>
      </c>
      <c r="AX483" s="3" t="n">
        <v>3</v>
      </c>
      <c r="AY483" s="3" t="n">
        <v>3</v>
      </c>
      <c r="AZ483" s="3" t="n">
        <v>1</v>
      </c>
      <c r="BA483" s="4" t="n">
        <v>1</v>
      </c>
      <c r="BB483" s="3" t="n">
        <v>1</v>
      </c>
      <c r="BC483" s="3" t="n">
        <v>1</v>
      </c>
      <c r="BD483" s="3" t="n">
        <v>4</v>
      </c>
      <c r="BE483" s="3" t="n">
        <v>3</v>
      </c>
      <c r="BF483" s="3" t="n">
        <v>5</v>
      </c>
      <c r="BG483" s="3" t="n">
        <v>3</v>
      </c>
      <c r="BH483" s="3" t="n">
        <v>4</v>
      </c>
      <c r="BI483" s="3" t="n">
        <v>1</v>
      </c>
      <c r="BJ483" s="3" t="n">
        <v>1</v>
      </c>
      <c r="BK483" s="16"/>
    </row>
    <row r="484" customFormat="false" ht="13.5" hidden="false" customHeight="true" outlineLevel="0" collapsed="false">
      <c r="B484" s="2" t="s">
        <v>1423</v>
      </c>
      <c r="C484" s="2" t="s">
        <v>127</v>
      </c>
      <c r="D484" s="2" t="s">
        <v>175</v>
      </c>
      <c r="E484" s="2" t="n">
        <v>161437</v>
      </c>
      <c r="F484" s="15" t="n">
        <v>43662</v>
      </c>
      <c r="G484" s="15" t="n">
        <v>43679</v>
      </c>
      <c r="H484" s="3" t="n">
        <v>15</v>
      </c>
      <c r="I484" s="3" t="n">
        <v>2</v>
      </c>
      <c r="J484" s="3" t="n">
        <v>55</v>
      </c>
      <c r="K484" s="3" t="n">
        <v>1</v>
      </c>
      <c r="L484" s="3" t="n">
        <v>2</v>
      </c>
      <c r="M484" s="3" t="n">
        <v>1</v>
      </c>
      <c r="N484" s="3" t="n">
        <v>1</v>
      </c>
      <c r="O484" s="3" t="n">
        <v>2</v>
      </c>
      <c r="P484" s="3" t="n">
        <v>2</v>
      </c>
      <c r="Q484" s="3" t="n">
        <v>2</v>
      </c>
      <c r="R484" s="3" t="n">
        <v>2</v>
      </c>
      <c r="S484" s="3" t="n">
        <v>1</v>
      </c>
      <c r="T484" s="4" t="n">
        <v>1</v>
      </c>
      <c r="U484" s="3" t="n">
        <v>1</v>
      </c>
      <c r="V484" s="3" t="s">
        <v>1424</v>
      </c>
      <c r="W484" s="3" t="s">
        <v>1425</v>
      </c>
      <c r="X484" s="3" t="s">
        <v>1426</v>
      </c>
      <c r="Y484" s="3" t="n">
        <v>307</v>
      </c>
      <c r="Z484" s="3" t="n">
        <v>69</v>
      </c>
      <c r="AA484" s="3" t="s">
        <v>1427</v>
      </c>
      <c r="AB484" s="3" t="s">
        <v>1268</v>
      </c>
      <c r="AC484" s="3" t="n">
        <v>1</v>
      </c>
      <c r="AD484" s="3" t="n">
        <v>2</v>
      </c>
      <c r="AE484" s="3" t="n">
        <v>1</v>
      </c>
      <c r="AF484" s="3" t="n">
        <v>1</v>
      </c>
      <c r="AG484" s="3" t="n">
        <v>2</v>
      </c>
      <c r="AH484" s="3" t="n">
        <v>2</v>
      </c>
      <c r="AI484" s="3" t="n">
        <v>1</v>
      </c>
      <c r="AJ484" s="3" t="n">
        <v>1</v>
      </c>
      <c r="AK484" s="3" t="n">
        <v>2</v>
      </c>
      <c r="AL484" s="3" t="n">
        <v>2</v>
      </c>
      <c r="AM484" s="3" t="n">
        <v>2</v>
      </c>
      <c r="AN484" s="3" t="n">
        <v>2</v>
      </c>
      <c r="AO484" s="3" t="n">
        <v>2</v>
      </c>
      <c r="AP484" s="3" t="n">
        <v>1</v>
      </c>
      <c r="AQ484" s="3" t="n">
        <v>3</v>
      </c>
      <c r="AR484" s="3" t="n">
        <v>5</v>
      </c>
      <c r="AS484" s="3" t="n">
        <v>5</v>
      </c>
      <c r="AT484" s="3" t="n">
        <v>5</v>
      </c>
      <c r="AU484" s="3" t="n">
        <v>1</v>
      </c>
      <c r="AV484" s="3" t="n">
        <v>1</v>
      </c>
      <c r="AW484" s="3" t="n">
        <v>1</v>
      </c>
      <c r="AX484" s="3" t="n">
        <v>2</v>
      </c>
      <c r="AY484" s="3" t="n">
        <v>2</v>
      </c>
      <c r="AZ484" s="3" t="n">
        <v>1</v>
      </c>
      <c r="BA484" s="5" t="n">
        <v>5</v>
      </c>
      <c r="BB484" s="3" t="n">
        <v>2</v>
      </c>
      <c r="BC484" s="3" t="n">
        <v>1</v>
      </c>
      <c r="BD484" s="3" t="n">
        <v>6</v>
      </c>
      <c r="BE484" s="3" t="n">
        <v>3</v>
      </c>
      <c r="BF484" s="3" t="n">
        <v>5</v>
      </c>
      <c r="BG484" s="3" t="n">
        <v>3</v>
      </c>
      <c r="BH484" s="3" t="n">
        <v>4</v>
      </c>
      <c r="BI484" s="3" t="n">
        <v>1</v>
      </c>
      <c r="BJ484" s="3" t="n">
        <v>1</v>
      </c>
      <c r="BK484" s="21" t="s">
        <v>1428</v>
      </c>
    </row>
    <row r="485" customFormat="false" ht="13.5" hidden="false" customHeight="true" outlineLevel="0" collapsed="false">
      <c r="B485" s="3" t="s">
        <v>440</v>
      </c>
      <c r="C485" s="3" t="s">
        <v>1429</v>
      </c>
      <c r="D485" s="3" t="s">
        <v>462</v>
      </c>
      <c r="E485" s="3" t="n">
        <v>182488</v>
      </c>
      <c r="F485" s="41" t="n">
        <v>43675</v>
      </c>
      <c r="G485" s="41" t="n">
        <v>43682</v>
      </c>
      <c r="H485" s="3" t="n">
        <v>7</v>
      </c>
      <c r="I485" s="3" t="n">
        <v>2</v>
      </c>
      <c r="J485" s="3" t="n">
        <v>62</v>
      </c>
      <c r="K485" s="3" t="n">
        <v>2</v>
      </c>
      <c r="L485" s="3" t="n">
        <v>1</v>
      </c>
      <c r="M485" s="3" t="n">
        <v>1</v>
      </c>
      <c r="N485" s="3" t="n">
        <v>2</v>
      </c>
      <c r="O485" s="3" t="n">
        <v>2</v>
      </c>
      <c r="P485" s="3" t="n">
        <v>2</v>
      </c>
      <c r="Q485" s="3" t="n">
        <v>2</v>
      </c>
      <c r="R485" s="3" t="n">
        <v>2</v>
      </c>
      <c r="S485" s="3" t="n">
        <v>2</v>
      </c>
      <c r="T485" s="4" t="n">
        <v>2</v>
      </c>
      <c r="U485" s="3" t="n">
        <v>2</v>
      </c>
      <c r="V485" s="3" t="n">
        <v>5.17</v>
      </c>
      <c r="W485" s="3" t="n">
        <v>1.18</v>
      </c>
      <c r="X485" s="3" t="n">
        <v>3.94</v>
      </c>
      <c r="Y485" s="3" t="n">
        <v>477</v>
      </c>
      <c r="Z485" s="3" t="n">
        <v>88</v>
      </c>
      <c r="AA485" s="3" t="n">
        <v>0.41</v>
      </c>
      <c r="AB485" s="3" t="n">
        <v>10.6</v>
      </c>
      <c r="AC485" s="3" t="n">
        <v>1</v>
      </c>
      <c r="AD485" s="3" t="n">
        <v>1</v>
      </c>
      <c r="AE485" s="3" t="n">
        <v>1</v>
      </c>
      <c r="AF485" s="3" t="n">
        <v>1</v>
      </c>
      <c r="AG485" s="3" t="n">
        <v>2</v>
      </c>
      <c r="AH485" s="3" t="n">
        <v>2</v>
      </c>
      <c r="AI485" s="3" t="n">
        <v>1</v>
      </c>
      <c r="AJ485" s="3" t="n">
        <v>1</v>
      </c>
      <c r="AK485" s="3" t="n">
        <v>2</v>
      </c>
      <c r="AL485" s="3" t="n">
        <v>2</v>
      </c>
      <c r="AM485" s="3" t="n">
        <v>2</v>
      </c>
      <c r="AN485" s="3" t="n">
        <v>2</v>
      </c>
      <c r="AO485" s="3" t="n">
        <v>2</v>
      </c>
      <c r="AP485" s="3" t="n">
        <v>3</v>
      </c>
      <c r="AQ485" s="3" t="n">
        <v>4</v>
      </c>
      <c r="AR485" s="3" t="n">
        <v>4</v>
      </c>
      <c r="AS485" s="3" t="n">
        <v>6</v>
      </c>
      <c r="AT485" s="3" t="n">
        <v>4</v>
      </c>
      <c r="AU485" s="3" t="n">
        <v>4</v>
      </c>
      <c r="AV485" s="3" t="n">
        <v>6</v>
      </c>
      <c r="AW485" s="3" t="n">
        <v>6</v>
      </c>
      <c r="AX485" s="3" t="n">
        <v>3</v>
      </c>
      <c r="AY485" s="3" t="n">
        <v>3</v>
      </c>
      <c r="AZ485" s="3" t="n">
        <v>1</v>
      </c>
      <c r="BA485" s="4" t="n">
        <v>1</v>
      </c>
      <c r="BB485" s="3" t="n">
        <v>1</v>
      </c>
      <c r="BC485" s="3" t="n">
        <v>1</v>
      </c>
      <c r="BD485" s="3" t="n">
        <v>4</v>
      </c>
      <c r="BE485" s="3" t="n">
        <v>3</v>
      </c>
      <c r="BF485" s="3" t="n">
        <v>5</v>
      </c>
      <c r="BG485" s="3" t="n">
        <v>3</v>
      </c>
      <c r="BH485" s="3" t="n">
        <v>4</v>
      </c>
      <c r="BI485" s="3" t="n">
        <v>1</v>
      </c>
      <c r="BJ485" s="3" t="n">
        <v>1</v>
      </c>
      <c r="BK485" s="21" t="s">
        <v>1430</v>
      </c>
    </row>
    <row r="486" customFormat="false" ht="13.5" hidden="false" customHeight="true" outlineLevel="0" collapsed="false">
      <c r="B486" s="19" t="s">
        <v>1431</v>
      </c>
      <c r="C486" s="19" t="s">
        <v>1432</v>
      </c>
      <c r="D486" s="19" t="s">
        <v>398</v>
      </c>
      <c r="E486" s="3" t="n">
        <v>182048</v>
      </c>
      <c r="F486" s="41" t="n">
        <v>43676</v>
      </c>
      <c r="G486" s="41" t="n">
        <v>43681</v>
      </c>
      <c r="H486" s="3" t="n">
        <v>5</v>
      </c>
      <c r="I486" s="3" t="n">
        <v>2</v>
      </c>
      <c r="J486" s="3" t="n">
        <v>69</v>
      </c>
      <c r="K486" s="3" t="n">
        <v>1</v>
      </c>
      <c r="L486" s="3" t="n">
        <v>1</v>
      </c>
      <c r="M486" s="3" t="n">
        <v>2</v>
      </c>
      <c r="N486" s="3" t="n">
        <v>2</v>
      </c>
      <c r="O486" s="3" t="n">
        <v>2</v>
      </c>
      <c r="P486" s="3" t="n">
        <v>2</v>
      </c>
      <c r="Q486" s="3" t="n">
        <v>2</v>
      </c>
      <c r="R486" s="3" t="n">
        <v>2</v>
      </c>
      <c r="S486" s="3" t="n">
        <v>2</v>
      </c>
      <c r="T486" s="4" t="n">
        <v>1</v>
      </c>
      <c r="U486" s="3" t="n">
        <v>1</v>
      </c>
      <c r="V486" s="3" t="n">
        <v>6.4</v>
      </c>
      <c r="W486" s="3" t="n">
        <v>2.29</v>
      </c>
      <c r="X486" s="3" t="n">
        <v>5.83</v>
      </c>
      <c r="Y486" s="3" t="n">
        <v>370</v>
      </c>
      <c r="Z486" s="3" t="n">
        <v>76</v>
      </c>
      <c r="AA486" s="3" t="n">
        <v>0.47</v>
      </c>
      <c r="AB486" s="3" t="n">
        <v>9</v>
      </c>
      <c r="AC486" s="3" t="n">
        <v>1</v>
      </c>
      <c r="AD486" s="3" t="n">
        <v>1</v>
      </c>
      <c r="AE486" s="3" t="n">
        <v>1</v>
      </c>
      <c r="AF486" s="3" t="n">
        <v>1</v>
      </c>
      <c r="AG486" s="3" t="n">
        <v>11</v>
      </c>
      <c r="AH486" s="3" t="n">
        <v>2</v>
      </c>
      <c r="AI486" s="3" t="n">
        <v>1</v>
      </c>
      <c r="AJ486" s="3" t="n">
        <v>1</v>
      </c>
      <c r="AK486" s="3" t="n">
        <v>2</v>
      </c>
      <c r="AL486" s="3" t="n">
        <v>2</v>
      </c>
      <c r="AM486" s="3" t="n">
        <v>2</v>
      </c>
      <c r="AN486" s="3" t="n">
        <v>2</v>
      </c>
      <c r="AO486" s="3" t="n">
        <v>2</v>
      </c>
      <c r="AP486" s="3" t="n">
        <v>3</v>
      </c>
      <c r="AQ486" s="3" t="n">
        <v>4</v>
      </c>
      <c r="AR486" s="3" t="n">
        <v>4</v>
      </c>
      <c r="AS486" s="3" t="n">
        <v>6</v>
      </c>
      <c r="AT486" s="3" t="n">
        <v>4</v>
      </c>
      <c r="AU486" s="3" t="n">
        <v>4</v>
      </c>
      <c r="AV486" s="3" t="n">
        <v>6</v>
      </c>
      <c r="AW486" s="3" t="n">
        <v>6</v>
      </c>
      <c r="AX486" s="3" t="n">
        <v>3</v>
      </c>
      <c r="AY486" s="3" t="n">
        <v>3</v>
      </c>
      <c r="AZ486" s="3" t="n">
        <v>1</v>
      </c>
      <c r="BA486" s="4" t="n">
        <v>5</v>
      </c>
      <c r="BB486" s="3" t="n">
        <v>2</v>
      </c>
      <c r="BC486" s="3" t="n">
        <v>1</v>
      </c>
      <c r="BD486" s="3" t="n">
        <v>6</v>
      </c>
      <c r="BE486" s="3" t="n">
        <v>3</v>
      </c>
      <c r="BF486" s="3" t="n">
        <v>5</v>
      </c>
      <c r="BG486" s="3" t="n">
        <v>3</v>
      </c>
      <c r="BH486" s="3" t="n">
        <v>4</v>
      </c>
      <c r="BI486" s="3" t="n">
        <v>1</v>
      </c>
      <c r="BJ486" s="3" t="n">
        <v>1</v>
      </c>
      <c r="BK486" s="21" t="s">
        <v>1433</v>
      </c>
    </row>
    <row r="487" s="30" customFormat="true" ht="13.5" hidden="false" customHeight="true" outlineLevel="0" collapsed="false">
      <c r="A487" s="24"/>
      <c r="B487" s="26" t="s">
        <v>1434</v>
      </c>
      <c r="C487" s="26" t="s">
        <v>1435</v>
      </c>
      <c r="D487" s="26" t="s">
        <v>1436</v>
      </c>
      <c r="E487" s="26" t="n">
        <v>180531</v>
      </c>
      <c r="F487" s="27" t="n">
        <v>43643</v>
      </c>
      <c r="G487" s="27" t="n">
        <v>43681</v>
      </c>
      <c r="H487" s="30" t="n">
        <v>37</v>
      </c>
      <c r="I487" s="30" t="n">
        <v>2</v>
      </c>
      <c r="J487" s="30" t="n">
        <v>80</v>
      </c>
      <c r="K487" s="30" t="n">
        <v>2</v>
      </c>
      <c r="L487" s="30" t="n">
        <v>2</v>
      </c>
      <c r="M487" s="30" t="n">
        <v>2</v>
      </c>
      <c r="N487" s="30" t="n">
        <v>2</v>
      </c>
      <c r="O487" s="30" t="n">
        <v>2</v>
      </c>
      <c r="P487" s="30" t="n">
        <v>2</v>
      </c>
      <c r="Q487" s="30" t="n">
        <v>2</v>
      </c>
      <c r="R487" s="30" t="n">
        <v>2</v>
      </c>
      <c r="S487" s="30" t="n">
        <v>2</v>
      </c>
      <c r="T487" s="4" t="n">
        <v>11</v>
      </c>
      <c r="U487" s="30" t="n">
        <v>10</v>
      </c>
      <c r="V487" s="30" t="n">
        <v>3.42</v>
      </c>
      <c r="W487" s="30" t="n">
        <v>1.34</v>
      </c>
      <c r="X487" s="30" t="n">
        <v>4.25</v>
      </c>
      <c r="Z487" s="30" t="n">
        <v>232</v>
      </c>
      <c r="AA487" s="30" t="n">
        <v>0.21</v>
      </c>
      <c r="AB487" s="30" t="n">
        <v>16</v>
      </c>
      <c r="AC487" s="30" t="n">
        <v>1</v>
      </c>
      <c r="AD487" s="30" t="n">
        <v>2</v>
      </c>
      <c r="AE487" s="30" t="n">
        <v>1</v>
      </c>
      <c r="AF487" s="30" t="n">
        <v>2</v>
      </c>
      <c r="AG487" s="30" t="n">
        <v>2</v>
      </c>
      <c r="AH487" s="30" t="n">
        <v>2</v>
      </c>
      <c r="AI487" s="30" t="n">
        <v>2</v>
      </c>
      <c r="AJ487" s="30" t="n">
        <v>2</v>
      </c>
      <c r="AK487" s="30" t="n">
        <v>2</v>
      </c>
      <c r="AL487" s="30" t="n">
        <v>2</v>
      </c>
      <c r="AM487" s="30" t="n">
        <v>2</v>
      </c>
      <c r="AN487" s="30" t="n">
        <v>2</v>
      </c>
      <c r="AO487" s="30" t="n">
        <v>2</v>
      </c>
      <c r="AP487" s="30" t="n">
        <v>3</v>
      </c>
      <c r="AQ487" s="30" t="n">
        <v>4</v>
      </c>
      <c r="AR487" s="30" t="n">
        <v>4</v>
      </c>
      <c r="AS487" s="30" t="n">
        <v>6</v>
      </c>
      <c r="AT487" s="30" t="n">
        <v>4</v>
      </c>
      <c r="AU487" s="30" t="n">
        <v>4</v>
      </c>
      <c r="AV487" s="30" t="n">
        <v>6</v>
      </c>
      <c r="AW487" s="30" t="n">
        <v>6</v>
      </c>
      <c r="AX487" s="30" t="n">
        <v>3</v>
      </c>
      <c r="AY487" s="30" t="n">
        <v>3</v>
      </c>
      <c r="AZ487" s="30" t="n">
        <v>1</v>
      </c>
      <c r="BA487" s="5" t="n">
        <v>10</v>
      </c>
      <c r="BB487" s="30" t="n">
        <v>2</v>
      </c>
      <c r="BC487" s="30" t="n">
        <v>2</v>
      </c>
      <c r="BD487" s="30" t="n">
        <v>6</v>
      </c>
      <c r="BE487" s="30" t="n">
        <v>3</v>
      </c>
      <c r="BF487" s="30" t="n">
        <v>5</v>
      </c>
      <c r="BG487" s="30" t="n">
        <v>3</v>
      </c>
      <c r="BH487" s="30" t="n">
        <v>4</v>
      </c>
      <c r="BI487" s="30" t="n">
        <v>1</v>
      </c>
      <c r="BJ487" s="30" t="n">
        <v>1</v>
      </c>
      <c r="BK487" s="44" t="s">
        <v>1437</v>
      </c>
    </row>
    <row r="488" customFormat="false" ht="15" hidden="false" customHeight="true" outlineLevel="0" collapsed="false">
      <c r="B488" s="17" t="s">
        <v>1438</v>
      </c>
      <c r="C488" s="17" t="s">
        <v>474</v>
      </c>
      <c r="D488" s="17" t="s">
        <v>767</v>
      </c>
      <c r="E488" s="2" t="n">
        <v>102608</v>
      </c>
      <c r="F488" s="15" t="n">
        <v>43677</v>
      </c>
      <c r="G488" s="15" t="n">
        <v>43684</v>
      </c>
      <c r="H488" s="3" t="n">
        <v>7</v>
      </c>
      <c r="I488" s="3" t="n">
        <v>2</v>
      </c>
      <c r="J488" s="3" t="n">
        <v>71</v>
      </c>
      <c r="K488" s="3" t="n">
        <v>1</v>
      </c>
      <c r="L488" s="3" t="n">
        <v>2</v>
      </c>
      <c r="M488" s="3" t="n">
        <v>2</v>
      </c>
      <c r="N488" s="3" t="n">
        <v>2</v>
      </c>
      <c r="O488" s="3" t="n">
        <v>2</v>
      </c>
      <c r="P488" s="3" t="n">
        <v>2</v>
      </c>
      <c r="Q488" s="3" t="n">
        <v>1</v>
      </c>
      <c r="R488" s="3" t="n">
        <v>2</v>
      </c>
      <c r="S488" s="3" t="n">
        <v>2</v>
      </c>
      <c r="T488" s="4" t="n">
        <v>3</v>
      </c>
      <c r="U488" s="3" t="n">
        <v>4</v>
      </c>
      <c r="V488" s="3" t="n">
        <v>2.41</v>
      </c>
      <c r="W488" s="3" t="n">
        <v>0.57</v>
      </c>
      <c r="X488" s="3" t="n">
        <v>4.6</v>
      </c>
      <c r="Y488" s="3" t="n">
        <v>731</v>
      </c>
      <c r="Z488" s="3" t="n">
        <v>502</v>
      </c>
      <c r="AA488" s="3" t="n">
        <v>0.45</v>
      </c>
      <c r="AB488" s="3" t="n">
        <v>13.2</v>
      </c>
      <c r="AC488" s="3" t="n">
        <v>1</v>
      </c>
      <c r="AD488" s="3" t="n">
        <v>2</v>
      </c>
      <c r="AE488" s="3" t="n">
        <v>1</v>
      </c>
      <c r="AF488" s="3" t="n">
        <v>1</v>
      </c>
      <c r="AG488" s="3" t="n">
        <v>2</v>
      </c>
      <c r="AH488" s="3" t="n">
        <v>2</v>
      </c>
      <c r="AI488" s="3" t="n">
        <v>1</v>
      </c>
      <c r="AJ488" s="3" t="n">
        <v>2</v>
      </c>
      <c r="AK488" s="3" t="n">
        <v>2</v>
      </c>
      <c r="AL488" s="3" t="n">
        <v>2</v>
      </c>
      <c r="AM488" s="3" t="n">
        <v>1</v>
      </c>
      <c r="AN488" s="3" t="n">
        <v>2</v>
      </c>
      <c r="AO488" s="3" t="n">
        <v>2</v>
      </c>
      <c r="AP488" s="3" t="n">
        <v>3</v>
      </c>
      <c r="AQ488" s="3" t="n">
        <v>4</v>
      </c>
      <c r="AR488" s="3" t="n">
        <v>4</v>
      </c>
      <c r="AS488" s="3" t="n">
        <v>6</v>
      </c>
      <c r="AT488" s="3" t="n">
        <v>4</v>
      </c>
      <c r="AU488" s="3" t="n">
        <v>4</v>
      </c>
      <c r="AV488" s="3" t="n">
        <v>6</v>
      </c>
      <c r="AW488" s="3" t="n">
        <v>6</v>
      </c>
      <c r="AX488" s="3" t="n">
        <v>3</v>
      </c>
      <c r="AY488" s="3" t="n">
        <v>3</v>
      </c>
      <c r="AZ488" s="3" t="n">
        <v>1</v>
      </c>
      <c r="BA488" s="5" t="n">
        <v>11</v>
      </c>
      <c r="BB488" s="3" t="n">
        <v>2</v>
      </c>
      <c r="BC488" s="3" t="n">
        <v>1</v>
      </c>
      <c r="BD488" s="3" t="n">
        <v>6</v>
      </c>
      <c r="BE488" s="3" t="n">
        <v>3</v>
      </c>
      <c r="BF488" s="3" t="n">
        <v>5</v>
      </c>
      <c r="BG488" s="3" t="n">
        <v>3</v>
      </c>
      <c r="BH488" s="3" t="n">
        <v>4</v>
      </c>
      <c r="BI488" s="3" t="n">
        <v>1</v>
      </c>
      <c r="BJ488" s="3" t="n">
        <v>1</v>
      </c>
      <c r="BK488" s="16" t="s">
        <v>1439</v>
      </c>
    </row>
    <row r="489" customFormat="false" ht="15" hidden="false" customHeight="true" outlineLevel="0" collapsed="false">
      <c r="B489" s="2" t="s">
        <v>1440</v>
      </c>
      <c r="C489" s="2" t="s">
        <v>1441</v>
      </c>
      <c r="D489" s="2" t="s">
        <v>623</v>
      </c>
      <c r="E489" s="2" t="n">
        <v>181942</v>
      </c>
      <c r="F489" s="15" t="n">
        <v>43678</v>
      </c>
      <c r="G489" s="15" t="n">
        <v>43684</v>
      </c>
      <c r="H489" s="3" t="n">
        <v>6</v>
      </c>
      <c r="I489" s="3" t="n">
        <v>1</v>
      </c>
      <c r="J489" s="3" t="n">
        <v>53</v>
      </c>
      <c r="K489" s="3" t="n">
        <v>1</v>
      </c>
      <c r="L489" s="3" t="n">
        <v>1</v>
      </c>
      <c r="M489" s="3" t="n">
        <v>2</v>
      </c>
      <c r="N489" s="3" t="n">
        <v>2</v>
      </c>
      <c r="O489" s="3" t="n">
        <v>2</v>
      </c>
      <c r="P489" s="3" t="n">
        <v>2</v>
      </c>
      <c r="Q489" s="3" t="n">
        <v>1</v>
      </c>
      <c r="R489" s="3" t="n">
        <v>2</v>
      </c>
      <c r="S489" s="3" t="n">
        <v>2</v>
      </c>
      <c r="T489" s="4" t="n">
        <v>1</v>
      </c>
      <c r="U489" s="3" t="n">
        <v>1</v>
      </c>
      <c r="V489" s="3" t="n">
        <v>4.72</v>
      </c>
      <c r="W489" s="3" t="n">
        <v>0.9</v>
      </c>
      <c r="X489" s="3" t="n">
        <v>5.1</v>
      </c>
      <c r="Y489" s="3" t="n">
        <v>723</v>
      </c>
      <c r="Z489" s="3" t="n">
        <v>69</v>
      </c>
      <c r="AA489" s="3" t="n">
        <v>0.4</v>
      </c>
      <c r="AC489" s="3" t="n">
        <v>1</v>
      </c>
      <c r="AD489" s="3" t="n">
        <v>1</v>
      </c>
      <c r="AE489" s="3" t="n">
        <v>1</v>
      </c>
      <c r="AF489" s="3" t="n">
        <v>1</v>
      </c>
      <c r="AG489" s="3" t="n">
        <v>2</v>
      </c>
      <c r="AH489" s="3" t="n">
        <v>2</v>
      </c>
      <c r="AI489" s="3" t="n">
        <v>1</v>
      </c>
      <c r="AJ489" s="3" t="n">
        <v>2</v>
      </c>
      <c r="AK489" s="3" t="n">
        <v>2</v>
      </c>
      <c r="AL489" s="3" t="n">
        <v>2</v>
      </c>
      <c r="AM489" s="3" t="n">
        <v>1</v>
      </c>
      <c r="AN489" s="3" t="n">
        <v>2</v>
      </c>
      <c r="AO489" s="3" t="n">
        <v>2</v>
      </c>
      <c r="AP489" s="3" t="n">
        <v>3</v>
      </c>
      <c r="AQ489" s="3" t="n">
        <v>4</v>
      </c>
      <c r="AR489" s="3" t="n">
        <v>4</v>
      </c>
      <c r="AS489" s="3" t="n">
        <v>6</v>
      </c>
      <c r="AT489" s="3" t="n">
        <v>4</v>
      </c>
      <c r="AU489" s="3" t="n">
        <v>4</v>
      </c>
      <c r="AV489" s="3" t="n">
        <v>6</v>
      </c>
      <c r="AW489" s="3" t="n">
        <v>6</v>
      </c>
      <c r="AX489" s="3" t="n">
        <v>3</v>
      </c>
      <c r="AY489" s="3" t="n">
        <v>3</v>
      </c>
      <c r="AZ489" s="3" t="n">
        <v>1</v>
      </c>
      <c r="BA489" s="5" t="n">
        <v>5</v>
      </c>
      <c r="BB489" s="3" t="n">
        <v>2</v>
      </c>
      <c r="BC489" s="3" t="n">
        <v>1</v>
      </c>
      <c r="BD489" s="3" t="n">
        <v>6</v>
      </c>
      <c r="BE489" s="3" t="n">
        <v>3</v>
      </c>
      <c r="BF489" s="3" t="n">
        <v>5</v>
      </c>
      <c r="BG489" s="3" t="n">
        <v>3</v>
      </c>
      <c r="BH489" s="3" t="n">
        <v>4</v>
      </c>
      <c r="BI489" s="3" t="n">
        <v>1</v>
      </c>
      <c r="BJ489" s="3" t="n">
        <v>1</v>
      </c>
      <c r="BK489" s="16" t="s">
        <v>1442</v>
      </c>
    </row>
    <row r="490" customFormat="false" ht="15" hidden="false" customHeight="true" outlineLevel="0" collapsed="false">
      <c r="B490" s="2" t="s">
        <v>1443</v>
      </c>
      <c r="C490" s="2" t="s">
        <v>294</v>
      </c>
      <c r="D490" s="2" t="s">
        <v>127</v>
      </c>
      <c r="E490" s="2" t="n">
        <v>139191</v>
      </c>
      <c r="F490" s="15" t="n">
        <v>43679</v>
      </c>
      <c r="G490" s="15" t="n">
        <v>43682</v>
      </c>
      <c r="H490" s="3" t="n">
        <v>3</v>
      </c>
      <c r="I490" s="3" t="n">
        <v>1</v>
      </c>
      <c r="J490" s="3" t="n">
        <v>62</v>
      </c>
      <c r="K490" s="3" t="n">
        <v>1</v>
      </c>
      <c r="L490" s="3" t="n">
        <v>2</v>
      </c>
      <c r="M490" s="3" t="n">
        <v>1</v>
      </c>
      <c r="N490" s="3" t="n">
        <v>2</v>
      </c>
      <c r="O490" s="3" t="n">
        <v>2</v>
      </c>
      <c r="P490" s="3" t="n">
        <v>2</v>
      </c>
      <c r="Q490" s="3" t="n">
        <v>1</v>
      </c>
      <c r="R490" s="3" t="n">
        <v>2</v>
      </c>
      <c r="S490" s="3" t="n">
        <v>2</v>
      </c>
      <c r="T490" s="4" t="n">
        <v>1</v>
      </c>
      <c r="U490" s="3" t="n">
        <v>4</v>
      </c>
      <c r="V490" s="3" t="n">
        <v>7.1</v>
      </c>
      <c r="W490" s="3" t="n">
        <v>2.81</v>
      </c>
      <c r="X490" s="3" t="n">
        <v>6.1</v>
      </c>
      <c r="Y490" s="3" t="n">
        <v>304</v>
      </c>
      <c r="Z490" s="3" t="n">
        <v>90</v>
      </c>
      <c r="AC490" s="3" t="n">
        <v>1</v>
      </c>
      <c r="AD490" s="3" t="n">
        <v>1</v>
      </c>
      <c r="AE490" s="3" t="n">
        <v>1</v>
      </c>
      <c r="AF490" s="3" t="n">
        <v>1</v>
      </c>
      <c r="AG490" s="3" t="n">
        <v>2</v>
      </c>
      <c r="AH490" s="3" t="n">
        <v>1</v>
      </c>
      <c r="AI490" s="3" t="n">
        <v>1</v>
      </c>
      <c r="AJ490" s="3" t="n">
        <v>1</v>
      </c>
      <c r="AK490" s="3" t="n">
        <v>2</v>
      </c>
      <c r="AL490" s="3" t="n">
        <v>2</v>
      </c>
      <c r="AM490" s="3" t="n">
        <v>1</v>
      </c>
      <c r="AN490" s="3" t="n">
        <v>2</v>
      </c>
      <c r="AO490" s="3" t="n">
        <v>1</v>
      </c>
      <c r="AP490" s="3" t="n">
        <v>3</v>
      </c>
      <c r="AQ490" s="3" t="n">
        <v>4</v>
      </c>
      <c r="AR490" s="3" t="n">
        <v>4</v>
      </c>
      <c r="AS490" s="3" t="n">
        <v>6</v>
      </c>
      <c r="AT490" s="3" t="n">
        <v>4</v>
      </c>
      <c r="AU490" s="3" t="n">
        <v>4</v>
      </c>
      <c r="AV490" s="3" t="n">
        <v>6</v>
      </c>
      <c r="AW490" s="3" t="n">
        <v>6</v>
      </c>
      <c r="AX490" s="3" t="n">
        <v>3</v>
      </c>
      <c r="AY490" s="3" t="n">
        <v>3</v>
      </c>
      <c r="AZ490" s="3" t="n">
        <v>1</v>
      </c>
      <c r="BA490" s="5" t="n">
        <v>5</v>
      </c>
      <c r="BB490" s="3" t="n">
        <v>2</v>
      </c>
      <c r="BC490" s="3" t="n">
        <v>1</v>
      </c>
      <c r="BD490" s="3" t="n">
        <v>6</v>
      </c>
      <c r="BE490" s="3" t="n">
        <v>3</v>
      </c>
      <c r="BF490" s="3" t="n">
        <v>5</v>
      </c>
      <c r="BG490" s="3" t="n">
        <v>3</v>
      </c>
      <c r="BH490" s="3" t="n">
        <v>4</v>
      </c>
      <c r="BI490" s="3" t="n">
        <v>1</v>
      </c>
      <c r="BJ490" s="3" t="n">
        <v>1</v>
      </c>
      <c r="BK490" s="16" t="s">
        <v>1444</v>
      </c>
    </row>
    <row r="491" customFormat="false" ht="13.5" hidden="false" customHeight="true" outlineLevel="0" collapsed="false">
      <c r="B491" s="3" t="s">
        <v>1445</v>
      </c>
      <c r="C491" s="3" t="s">
        <v>1383</v>
      </c>
      <c r="D491" s="3" t="s">
        <v>1383</v>
      </c>
      <c r="E491" s="3" t="n">
        <v>182490</v>
      </c>
      <c r="F491" s="41" t="n">
        <v>43675</v>
      </c>
      <c r="G491" s="41" t="n">
        <v>43682</v>
      </c>
      <c r="H491" s="3" t="n">
        <v>8</v>
      </c>
      <c r="I491" s="3" t="n">
        <v>2</v>
      </c>
      <c r="J491" s="3" t="n">
        <v>62</v>
      </c>
      <c r="K491" s="3" t="n">
        <v>1</v>
      </c>
      <c r="L491" s="3" t="n">
        <v>2</v>
      </c>
      <c r="M491" s="3" t="n">
        <v>1</v>
      </c>
      <c r="N491" s="3" t="n">
        <v>1</v>
      </c>
      <c r="O491" s="3" t="n">
        <v>2</v>
      </c>
      <c r="P491" s="3" t="n">
        <v>2</v>
      </c>
      <c r="Q491" s="3" t="n">
        <v>2</v>
      </c>
      <c r="R491" s="3" t="n">
        <v>2</v>
      </c>
      <c r="S491" s="3" t="n">
        <v>1</v>
      </c>
      <c r="T491" s="4" t="n">
        <v>2</v>
      </c>
      <c r="U491" s="3" t="n">
        <v>2</v>
      </c>
      <c r="V491" s="3" t="n">
        <v>5.35</v>
      </c>
      <c r="W491" s="3" t="n">
        <v>1.68</v>
      </c>
      <c r="X491" s="3" t="n">
        <v>5.7</v>
      </c>
      <c r="Y491" s="3" t="n">
        <v>310</v>
      </c>
      <c r="AA491" s="3" t="n">
        <v>0.43</v>
      </c>
      <c r="AB491" s="3" t="n">
        <v>11.2</v>
      </c>
      <c r="AC491" s="3" t="n">
        <v>1</v>
      </c>
      <c r="AD491" s="3" t="n">
        <v>1</v>
      </c>
      <c r="AE491" s="3" t="n">
        <v>1</v>
      </c>
      <c r="AF491" s="3" t="n">
        <v>1</v>
      </c>
      <c r="AG491" s="3" t="n">
        <v>2</v>
      </c>
      <c r="AH491" s="3" t="n">
        <v>1</v>
      </c>
      <c r="AI491" s="3" t="n">
        <v>1</v>
      </c>
      <c r="AJ491" s="3" t="n">
        <v>1</v>
      </c>
      <c r="AK491" s="3" t="n">
        <v>2</v>
      </c>
      <c r="AL491" s="3" t="n">
        <v>2</v>
      </c>
      <c r="AM491" s="3" t="n">
        <v>2</v>
      </c>
      <c r="AN491" s="3" t="n">
        <v>2</v>
      </c>
      <c r="AO491" s="3" t="n">
        <v>2</v>
      </c>
      <c r="AP491" s="3" t="n">
        <v>3</v>
      </c>
      <c r="AQ491" s="3" t="n">
        <v>4</v>
      </c>
      <c r="AR491" s="3" t="n">
        <v>4</v>
      </c>
      <c r="AS491" s="3" t="n">
        <v>6</v>
      </c>
      <c r="AT491" s="3" t="n">
        <v>4</v>
      </c>
      <c r="AU491" s="3" t="n">
        <v>4</v>
      </c>
      <c r="AV491" s="3" t="n">
        <v>6</v>
      </c>
      <c r="AW491" s="3" t="n">
        <v>6</v>
      </c>
      <c r="AX491" s="3" t="n">
        <v>3</v>
      </c>
      <c r="AY491" s="3" t="n">
        <v>3</v>
      </c>
      <c r="AZ491" s="3" t="n">
        <v>1</v>
      </c>
      <c r="BA491" s="4" t="n">
        <v>1</v>
      </c>
      <c r="BB491" s="3" t="n">
        <v>1</v>
      </c>
      <c r="BC491" s="3" t="n">
        <v>1</v>
      </c>
      <c r="BD491" s="3" t="n">
        <v>4</v>
      </c>
      <c r="BE491" s="3" t="n">
        <v>3</v>
      </c>
      <c r="BF491" s="3" t="n">
        <v>5</v>
      </c>
      <c r="BG491" s="3" t="n">
        <v>3</v>
      </c>
      <c r="BH491" s="3" t="n">
        <v>4</v>
      </c>
      <c r="BI491" s="3" t="n">
        <v>1</v>
      </c>
      <c r="BJ491" s="3" t="n">
        <v>1</v>
      </c>
      <c r="BK491" s="21" t="s">
        <v>1446</v>
      </c>
    </row>
    <row r="492" customFormat="false" ht="15" hidden="false" customHeight="true" outlineLevel="0" collapsed="false">
      <c r="B492" s="2" t="s">
        <v>1447</v>
      </c>
      <c r="C492" s="2" t="s">
        <v>1448</v>
      </c>
      <c r="D492" s="2" t="s">
        <v>308</v>
      </c>
      <c r="E492" s="2" t="n">
        <v>181903</v>
      </c>
      <c r="F492" s="15" t="n">
        <v>43679</v>
      </c>
      <c r="G492" s="15" t="n">
        <v>43684</v>
      </c>
      <c r="H492" s="3" t="n">
        <v>5</v>
      </c>
      <c r="I492" s="3" t="n">
        <v>2</v>
      </c>
      <c r="J492" s="3" t="n">
        <v>78</v>
      </c>
      <c r="K492" s="3" t="n">
        <v>2</v>
      </c>
      <c r="L492" s="3" t="n">
        <v>1</v>
      </c>
      <c r="M492" s="3" t="n">
        <v>1</v>
      </c>
      <c r="N492" s="3" t="n">
        <v>2</v>
      </c>
      <c r="O492" s="3" t="n">
        <v>2</v>
      </c>
      <c r="P492" s="3" t="n">
        <v>2</v>
      </c>
      <c r="Q492" s="3" t="n">
        <v>1</v>
      </c>
      <c r="R492" s="3" t="n">
        <v>2</v>
      </c>
      <c r="S492" s="3" t="n">
        <v>2</v>
      </c>
      <c r="T492" s="4" t="n">
        <v>3</v>
      </c>
      <c r="U492" s="3" t="n">
        <v>4</v>
      </c>
      <c r="V492" s="3" t="n">
        <v>3.54</v>
      </c>
      <c r="W492" s="3" t="n">
        <v>1.33</v>
      </c>
      <c r="X492" s="3" t="n">
        <v>4.3</v>
      </c>
      <c r="Y492" s="3" t="n">
        <v>631</v>
      </c>
      <c r="Z492" s="3" t="n">
        <v>49</v>
      </c>
      <c r="AA492" s="3" t="n">
        <v>0.42</v>
      </c>
      <c r="AB492" s="3" t="n">
        <v>14.6</v>
      </c>
      <c r="AC492" s="3" t="n">
        <v>2</v>
      </c>
      <c r="AD492" s="3" t="n">
        <v>2</v>
      </c>
      <c r="AE492" s="3" t="n">
        <v>1</v>
      </c>
      <c r="AF492" s="3" t="n">
        <v>2</v>
      </c>
      <c r="AG492" s="3" t="n">
        <v>2</v>
      </c>
      <c r="AH492" s="3" t="n">
        <v>2</v>
      </c>
      <c r="AI492" s="3" t="n">
        <v>2</v>
      </c>
      <c r="AJ492" s="3" t="n">
        <v>2</v>
      </c>
      <c r="AK492" s="3" t="n">
        <v>2</v>
      </c>
      <c r="AL492" s="3" t="n">
        <v>1</v>
      </c>
      <c r="AM492" s="3" t="n">
        <v>1</v>
      </c>
      <c r="AN492" s="3" t="n">
        <v>2</v>
      </c>
      <c r="AO492" s="3" t="n">
        <v>2</v>
      </c>
      <c r="AP492" s="3" t="n">
        <v>3</v>
      </c>
      <c r="AQ492" s="3" t="n">
        <v>4</v>
      </c>
      <c r="AR492" s="3" t="n">
        <v>4</v>
      </c>
      <c r="AS492" s="3" t="n">
        <v>6</v>
      </c>
      <c r="AT492" s="3" t="n">
        <v>4</v>
      </c>
      <c r="AU492" s="3" t="n">
        <v>4</v>
      </c>
      <c r="AV492" s="3" t="n">
        <v>6</v>
      </c>
      <c r="AW492" s="3" t="n">
        <v>6</v>
      </c>
      <c r="AX492" s="3" t="n">
        <v>3</v>
      </c>
      <c r="AY492" s="3" t="n">
        <v>3</v>
      </c>
      <c r="AZ492" s="3" t="n">
        <v>1</v>
      </c>
      <c r="BA492" s="5" t="n">
        <v>11</v>
      </c>
      <c r="BB492" s="3" t="n">
        <v>2</v>
      </c>
      <c r="BC492" s="3" t="n">
        <v>1</v>
      </c>
      <c r="BD492" s="3" t="n">
        <v>6</v>
      </c>
      <c r="BE492" s="3" t="n">
        <v>3</v>
      </c>
      <c r="BF492" s="3" t="n">
        <v>5</v>
      </c>
      <c r="BG492" s="3" t="n">
        <v>3</v>
      </c>
      <c r="BH492" s="3" t="n">
        <v>4</v>
      </c>
      <c r="BI492" s="3" t="n">
        <v>1</v>
      </c>
      <c r="BJ492" s="3" t="n">
        <v>1</v>
      </c>
      <c r="BK492" s="6" t="s">
        <v>1449</v>
      </c>
    </row>
    <row r="493" customFormat="false" ht="15" hidden="false" customHeight="true" outlineLevel="0" collapsed="false">
      <c r="B493" s="2" t="s">
        <v>782</v>
      </c>
      <c r="C493" s="2" t="s">
        <v>1450</v>
      </c>
      <c r="D493" s="2" t="s">
        <v>1451</v>
      </c>
      <c r="E493" s="2" t="n">
        <v>181933</v>
      </c>
      <c r="F493" s="15" t="n">
        <v>43682</v>
      </c>
      <c r="G493" s="15" t="n">
        <v>43686</v>
      </c>
      <c r="H493" s="3" t="n">
        <v>4</v>
      </c>
      <c r="I493" s="3" t="n">
        <v>1</v>
      </c>
      <c r="J493" s="3" t="n">
        <v>86</v>
      </c>
      <c r="K493" s="3" t="n">
        <v>1</v>
      </c>
      <c r="L493" s="3" t="n">
        <v>2</v>
      </c>
      <c r="M493" s="3" t="n">
        <v>1</v>
      </c>
      <c r="N493" s="3" t="n">
        <v>2</v>
      </c>
      <c r="O493" s="3" t="n">
        <v>2</v>
      </c>
      <c r="P493" s="3" t="n">
        <v>2</v>
      </c>
      <c r="Q493" s="3" t="n">
        <v>2</v>
      </c>
      <c r="R493" s="3" t="n">
        <v>2</v>
      </c>
      <c r="S493" s="3" t="n">
        <v>2</v>
      </c>
      <c r="T493" s="4" t="n">
        <v>1</v>
      </c>
      <c r="U493" s="3" t="n">
        <v>4</v>
      </c>
      <c r="V493" s="3" t="n">
        <v>6.72</v>
      </c>
      <c r="W493" s="3" t="n">
        <v>1.99</v>
      </c>
      <c r="X493" s="3" t="n">
        <v>8.02</v>
      </c>
      <c r="Y493" s="3" t="n">
        <v>483</v>
      </c>
      <c r="Z493" s="3" t="n">
        <v>49</v>
      </c>
      <c r="AA493" s="3" t="n">
        <v>0.45</v>
      </c>
      <c r="AB493" s="3" t="n">
        <v>14</v>
      </c>
      <c r="AC493" s="3" t="n">
        <v>1</v>
      </c>
      <c r="AD493" s="3" t="n">
        <v>1</v>
      </c>
      <c r="AE493" s="3" t="n">
        <v>1</v>
      </c>
      <c r="AF493" s="3" t="n">
        <v>1</v>
      </c>
      <c r="AG493" s="3" t="n">
        <v>1</v>
      </c>
      <c r="AH493" s="3" t="n">
        <v>2</v>
      </c>
      <c r="AI493" s="3" t="n">
        <v>1</v>
      </c>
      <c r="AJ493" s="3" t="n">
        <v>1</v>
      </c>
      <c r="AK493" s="3" t="n">
        <v>2</v>
      </c>
      <c r="AL493" s="3" t="n">
        <v>2</v>
      </c>
      <c r="AM493" s="3" t="n">
        <v>1</v>
      </c>
      <c r="AN493" s="3" t="n">
        <v>1</v>
      </c>
      <c r="AO493" s="3" t="n">
        <v>2</v>
      </c>
      <c r="AP493" s="3" t="n">
        <v>3</v>
      </c>
      <c r="AQ493" s="3" t="n">
        <v>4</v>
      </c>
      <c r="AR493" s="3" t="n">
        <v>4</v>
      </c>
      <c r="AS493" s="3" t="n">
        <v>6</v>
      </c>
      <c r="AT493" s="3" t="n">
        <v>4</v>
      </c>
      <c r="AU493" s="3" t="n">
        <v>4</v>
      </c>
      <c r="AV493" s="3" t="n">
        <v>6</v>
      </c>
      <c r="AW493" s="3" t="n">
        <v>6</v>
      </c>
      <c r="AX493" s="3" t="n">
        <v>3</v>
      </c>
      <c r="AY493" s="3" t="n">
        <v>3</v>
      </c>
      <c r="AZ493" s="3" t="n">
        <v>6</v>
      </c>
      <c r="BA493" s="5" t="n">
        <v>5</v>
      </c>
      <c r="BB493" s="3" t="n">
        <v>2</v>
      </c>
      <c r="BC493" s="3" t="n">
        <v>1</v>
      </c>
      <c r="BD493" s="3" t="n">
        <v>6</v>
      </c>
      <c r="BE493" s="3" t="n">
        <v>3</v>
      </c>
      <c r="BF493" s="3" t="n">
        <v>5</v>
      </c>
      <c r="BG493" s="3" t="n">
        <v>3</v>
      </c>
      <c r="BH493" s="3" t="n">
        <v>4</v>
      </c>
      <c r="BI493" s="3" t="n">
        <v>1</v>
      </c>
      <c r="BJ493" s="3" t="n">
        <v>1</v>
      </c>
      <c r="BK493" s="6" t="s">
        <v>1452</v>
      </c>
    </row>
    <row r="494" customFormat="false" ht="13.5" hidden="false" customHeight="true" outlineLevel="0" collapsed="false">
      <c r="B494" s="3" t="s">
        <v>1143</v>
      </c>
      <c r="C494" s="3" t="s">
        <v>66</v>
      </c>
      <c r="D494" s="3" t="s">
        <v>438</v>
      </c>
      <c r="E494" s="3" t="n">
        <v>181912</v>
      </c>
      <c r="F494" s="41" t="n">
        <v>43679</v>
      </c>
      <c r="G494" s="41" t="n">
        <v>43686</v>
      </c>
      <c r="H494" s="3" t="n">
        <v>7</v>
      </c>
      <c r="I494" s="3" t="n">
        <v>2</v>
      </c>
      <c r="J494" s="3" t="n">
        <v>50</v>
      </c>
      <c r="K494" s="3" t="n">
        <v>2</v>
      </c>
      <c r="L494" s="3" t="n">
        <v>2</v>
      </c>
      <c r="M494" s="3" t="n">
        <v>2</v>
      </c>
      <c r="N494" s="3" t="n">
        <v>2</v>
      </c>
      <c r="O494" s="3" t="n">
        <v>2</v>
      </c>
      <c r="P494" s="3" t="n">
        <v>2</v>
      </c>
      <c r="Q494" s="3" t="n">
        <v>1</v>
      </c>
      <c r="R494" s="3" t="n">
        <v>2</v>
      </c>
      <c r="S494" s="3" t="n">
        <v>2</v>
      </c>
      <c r="T494" s="4" t="n">
        <v>2</v>
      </c>
      <c r="U494" s="3" t="n">
        <v>2</v>
      </c>
      <c r="V494" s="3" t="n">
        <v>7.45</v>
      </c>
      <c r="W494" s="3" t="n">
        <v>1.64</v>
      </c>
      <c r="X494" s="3" t="n">
        <v>9.2</v>
      </c>
      <c r="Y494" s="3" t="n">
        <v>522</v>
      </c>
      <c r="Z494" s="3" t="n">
        <v>194</v>
      </c>
      <c r="AA494" s="3" t="n">
        <v>0.52</v>
      </c>
      <c r="AB494" s="3" t="n">
        <v>18.4</v>
      </c>
      <c r="AC494" s="3" t="n">
        <v>2</v>
      </c>
      <c r="AD494" s="3" t="n">
        <v>2</v>
      </c>
      <c r="AE494" s="3" t="n">
        <v>1</v>
      </c>
      <c r="AF494" s="3" t="n">
        <v>1</v>
      </c>
      <c r="AG494" s="3" t="n">
        <v>2</v>
      </c>
      <c r="AH494" s="3" t="n">
        <v>2</v>
      </c>
      <c r="AI494" s="3" t="n">
        <v>1</v>
      </c>
      <c r="AJ494" s="3" t="n">
        <v>1</v>
      </c>
      <c r="AK494" s="3" t="n">
        <v>2</v>
      </c>
      <c r="AL494" s="3" t="n">
        <v>2</v>
      </c>
      <c r="AM494" s="3" t="n">
        <v>1</v>
      </c>
      <c r="AN494" s="3" t="n">
        <v>2</v>
      </c>
      <c r="AO494" s="3" t="n">
        <v>2</v>
      </c>
      <c r="AP494" s="3" t="n">
        <v>3</v>
      </c>
      <c r="AQ494" s="3" t="n">
        <v>4</v>
      </c>
      <c r="AR494" s="3" t="n">
        <v>4</v>
      </c>
      <c r="AS494" s="3" t="n">
        <v>6</v>
      </c>
      <c r="AT494" s="3" t="n">
        <v>4</v>
      </c>
      <c r="AU494" s="3" t="n">
        <v>4</v>
      </c>
      <c r="AV494" s="3" t="n">
        <v>6</v>
      </c>
      <c r="AW494" s="3" t="n">
        <v>6</v>
      </c>
      <c r="AX494" s="3" t="n">
        <v>3</v>
      </c>
      <c r="AY494" s="3" t="n">
        <v>3</v>
      </c>
      <c r="AZ494" s="3" t="n">
        <v>4</v>
      </c>
      <c r="BA494" s="4" t="n">
        <v>1</v>
      </c>
      <c r="BB494" s="3" t="n">
        <v>1</v>
      </c>
      <c r="BC494" s="3" t="n">
        <v>1</v>
      </c>
      <c r="BD494" s="3" t="n">
        <v>2</v>
      </c>
      <c r="BE494" s="3" t="n">
        <v>1</v>
      </c>
      <c r="BF494" s="3" t="n">
        <v>2</v>
      </c>
      <c r="BG494" s="3" t="n">
        <v>1</v>
      </c>
      <c r="BH494" s="3" t="n">
        <v>4</v>
      </c>
      <c r="BI494" s="3" t="n">
        <v>1</v>
      </c>
      <c r="BJ494" s="3" t="n">
        <v>1</v>
      </c>
      <c r="BK494" s="16" t="s">
        <v>1453</v>
      </c>
    </row>
    <row r="495" customFormat="false" ht="15" hidden="false" customHeight="true" outlineLevel="0" collapsed="false">
      <c r="B495" s="2" t="s">
        <v>456</v>
      </c>
      <c r="C495" s="2" t="s">
        <v>536</v>
      </c>
      <c r="D495" s="2" t="s">
        <v>760</v>
      </c>
      <c r="E495" s="2" t="s">
        <v>1454</v>
      </c>
      <c r="F495" s="15" t="n">
        <v>43683</v>
      </c>
      <c r="G495" s="15" t="n">
        <v>43688</v>
      </c>
      <c r="H495" s="3" t="n">
        <v>5</v>
      </c>
      <c r="I495" s="3" t="n">
        <v>2</v>
      </c>
      <c r="J495" s="3" t="n">
        <v>71</v>
      </c>
      <c r="K495" s="3" t="n">
        <v>1</v>
      </c>
      <c r="L495" s="3" t="n">
        <v>2</v>
      </c>
      <c r="M495" s="3" t="n">
        <v>1</v>
      </c>
      <c r="N495" s="3" t="n">
        <v>2</v>
      </c>
      <c r="O495" s="3" t="n">
        <v>2</v>
      </c>
      <c r="P495" s="3" t="n">
        <v>2</v>
      </c>
      <c r="Q495" s="3" t="n">
        <v>2</v>
      </c>
      <c r="R495" s="3" t="n">
        <v>2</v>
      </c>
      <c r="S495" s="3" t="n">
        <v>2</v>
      </c>
      <c r="T495" s="4" t="n">
        <v>3</v>
      </c>
      <c r="U495" s="3" t="n">
        <v>4</v>
      </c>
      <c r="V495" s="3" t="n">
        <v>3.1</v>
      </c>
      <c r="W495" s="3" t="n">
        <v>0.87</v>
      </c>
      <c r="X495" s="3" t="n">
        <v>6.41</v>
      </c>
      <c r="Y495" s="3" t="n">
        <v>626</v>
      </c>
      <c r="Z495" s="3" t="n">
        <v>125</v>
      </c>
      <c r="AA495" s="3" t="s">
        <v>1455</v>
      </c>
      <c r="AC495" s="3" t="n">
        <v>2</v>
      </c>
      <c r="AD495" s="3" t="n">
        <v>2</v>
      </c>
      <c r="AE495" s="3" t="n">
        <v>2</v>
      </c>
      <c r="AF495" s="3" t="n">
        <v>2</v>
      </c>
      <c r="AG495" s="3" t="n">
        <v>2</v>
      </c>
      <c r="AH495" s="3" t="n">
        <v>2</v>
      </c>
      <c r="AI495" s="3" t="n">
        <v>2</v>
      </c>
      <c r="AJ495" s="3" t="n">
        <v>2</v>
      </c>
      <c r="AK495" s="3" t="n">
        <v>2</v>
      </c>
      <c r="AL495" s="3" t="n">
        <v>1</v>
      </c>
      <c r="AM495" s="3" t="n">
        <v>1</v>
      </c>
      <c r="AN495" s="3" t="n">
        <v>2</v>
      </c>
      <c r="AO495" s="3" t="n">
        <v>1</v>
      </c>
      <c r="AP495" s="3" t="n">
        <v>3</v>
      </c>
      <c r="AQ495" s="3" t="n">
        <v>4</v>
      </c>
      <c r="AR495" s="3" t="n">
        <v>4</v>
      </c>
      <c r="AS495" s="3" t="n">
        <v>6</v>
      </c>
      <c r="AT495" s="3" t="n">
        <v>4</v>
      </c>
      <c r="AU495" s="3" t="n">
        <v>4</v>
      </c>
      <c r="AV495" s="3" t="n">
        <v>6</v>
      </c>
      <c r="AW495" s="3" t="n">
        <v>6</v>
      </c>
      <c r="AX495" s="3" t="n">
        <v>3</v>
      </c>
      <c r="AY495" s="3" t="n">
        <v>3</v>
      </c>
      <c r="AZ495" s="3" t="n">
        <v>1</v>
      </c>
      <c r="BA495" s="5" t="n">
        <v>11</v>
      </c>
      <c r="BB495" s="3" t="n">
        <v>2</v>
      </c>
      <c r="BC495" s="3" t="n">
        <v>1</v>
      </c>
      <c r="BD495" s="3" t="n">
        <v>6</v>
      </c>
      <c r="BE495" s="3" t="n">
        <v>3</v>
      </c>
      <c r="BF495" s="3" t="n">
        <v>5</v>
      </c>
      <c r="BG495" s="3" t="n">
        <v>3</v>
      </c>
      <c r="BH495" s="3" t="n">
        <v>4</v>
      </c>
      <c r="BI495" s="3" t="n">
        <v>1</v>
      </c>
      <c r="BJ495" s="3" t="n">
        <v>1</v>
      </c>
      <c r="BK495" s="6" t="s">
        <v>1456</v>
      </c>
    </row>
    <row r="496" customFormat="false" ht="15" hidden="false" customHeight="true" outlineLevel="0" collapsed="false">
      <c r="B496" s="2" t="s">
        <v>1366</v>
      </c>
      <c r="C496" s="2" t="s">
        <v>275</v>
      </c>
      <c r="D496" s="2" t="s">
        <v>1457</v>
      </c>
      <c r="E496" s="2" t="n">
        <v>182579</v>
      </c>
      <c r="F496" s="15" t="n">
        <v>43683</v>
      </c>
      <c r="G496" s="15" t="n">
        <v>43687</v>
      </c>
      <c r="H496" s="3" t="n">
        <v>4</v>
      </c>
      <c r="I496" s="3" t="n">
        <v>1</v>
      </c>
      <c r="J496" s="3" t="n">
        <v>70</v>
      </c>
      <c r="K496" s="3" t="n">
        <v>1</v>
      </c>
      <c r="L496" s="3" t="n">
        <v>2</v>
      </c>
      <c r="M496" s="3" t="n">
        <v>1</v>
      </c>
      <c r="N496" s="3" t="n">
        <v>2</v>
      </c>
      <c r="O496" s="3" t="n">
        <v>1</v>
      </c>
      <c r="P496" s="3" t="n">
        <v>1</v>
      </c>
      <c r="Q496" s="3" t="n">
        <v>1</v>
      </c>
      <c r="R496" s="3" t="n">
        <v>2</v>
      </c>
      <c r="S496" s="3" t="n">
        <v>1</v>
      </c>
      <c r="T496" s="4" t="n">
        <v>3</v>
      </c>
      <c r="U496" s="3" t="n">
        <v>4</v>
      </c>
      <c r="V496" s="3" t="n">
        <v>4.76</v>
      </c>
      <c r="W496" s="3" t="n">
        <v>1.5</v>
      </c>
      <c r="X496" s="3" t="n">
        <v>10.95</v>
      </c>
      <c r="Y496" s="3" t="n">
        <v>532</v>
      </c>
      <c r="Z496" s="3" t="n">
        <v>73</v>
      </c>
      <c r="AA496" s="3" t="n">
        <v>0.35</v>
      </c>
      <c r="AB496" s="3" t="n">
        <v>10</v>
      </c>
      <c r="AC496" s="3" t="n">
        <v>1</v>
      </c>
      <c r="AD496" s="3" t="n">
        <v>1</v>
      </c>
      <c r="AE496" s="3" t="n">
        <v>1</v>
      </c>
      <c r="AF496" s="3" t="n">
        <v>1</v>
      </c>
      <c r="AG496" s="3" t="n">
        <v>2</v>
      </c>
      <c r="AH496" s="3" t="n">
        <v>2</v>
      </c>
      <c r="AI496" s="3" t="n">
        <v>2</v>
      </c>
      <c r="AJ496" s="3" t="n">
        <v>2</v>
      </c>
      <c r="AK496" s="3" t="n">
        <v>2</v>
      </c>
      <c r="AL496" s="3" t="n">
        <v>1</v>
      </c>
      <c r="AM496" s="3" t="n">
        <v>1</v>
      </c>
      <c r="AN496" s="3" t="n">
        <v>2</v>
      </c>
      <c r="AO496" s="3" t="n">
        <v>2</v>
      </c>
      <c r="AP496" s="3" t="n">
        <v>3</v>
      </c>
      <c r="AQ496" s="3" t="n">
        <v>4</v>
      </c>
      <c r="AR496" s="3" t="n">
        <v>4</v>
      </c>
      <c r="AS496" s="3" t="n">
        <v>6</v>
      </c>
      <c r="AT496" s="3" t="n">
        <v>4</v>
      </c>
      <c r="AU496" s="3" t="n">
        <v>4</v>
      </c>
      <c r="AV496" s="3" t="n">
        <v>6</v>
      </c>
      <c r="AW496" s="3" t="n">
        <v>6</v>
      </c>
      <c r="AX496" s="3" t="n">
        <v>3</v>
      </c>
      <c r="AY496" s="3" t="n">
        <v>3</v>
      </c>
      <c r="AZ496" s="3" t="n">
        <v>4</v>
      </c>
      <c r="BA496" s="5" t="n">
        <v>5</v>
      </c>
      <c r="BB496" s="3" t="n">
        <v>2</v>
      </c>
      <c r="BC496" s="3" t="n">
        <v>1</v>
      </c>
      <c r="BD496" s="3" t="n">
        <v>6</v>
      </c>
      <c r="BE496" s="3" t="n">
        <v>3</v>
      </c>
      <c r="BF496" s="3" t="n">
        <v>5</v>
      </c>
      <c r="BG496" s="3" t="n">
        <v>3</v>
      </c>
      <c r="BH496" s="3" t="n">
        <v>4</v>
      </c>
      <c r="BI496" s="3" t="n">
        <v>1</v>
      </c>
      <c r="BJ496" s="3" t="n">
        <v>1</v>
      </c>
      <c r="BK496" s="6" t="s">
        <v>1458</v>
      </c>
    </row>
    <row r="497" customFormat="false" ht="13.5" hidden="false" customHeight="true" outlineLevel="0" collapsed="false">
      <c r="B497" s="2" t="s">
        <v>986</v>
      </c>
      <c r="C497" s="2" t="s">
        <v>898</v>
      </c>
      <c r="D497" s="2" t="s">
        <v>127</v>
      </c>
      <c r="E497" s="2" t="n">
        <v>182903</v>
      </c>
      <c r="F497" s="15" t="n">
        <v>43682</v>
      </c>
      <c r="G497" s="15" t="n">
        <v>43686</v>
      </c>
      <c r="H497" s="3" t="n">
        <v>4</v>
      </c>
      <c r="I497" s="3" t="n">
        <v>1</v>
      </c>
      <c r="J497" s="3" t="n">
        <v>55</v>
      </c>
      <c r="K497" s="3" t="n">
        <v>2</v>
      </c>
      <c r="L497" s="3" t="n">
        <v>2</v>
      </c>
      <c r="M497" s="3" t="n">
        <v>1</v>
      </c>
      <c r="N497" s="3" t="n">
        <v>2</v>
      </c>
      <c r="O497" s="3" t="n">
        <v>2</v>
      </c>
      <c r="P497" s="3" t="n">
        <v>2</v>
      </c>
      <c r="Q497" s="3" t="n">
        <v>2</v>
      </c>
      <c r="R497" s="3" t="n">
        <v>2</v>
      </c>
      <c r="S497" s="3" t="n">
        <v>2</v>
      </c>
      <c r="T497" s="4" t="n">
        <v>12</v>
      </c>
      <c r="U497" s="3" t="n">
        <v>1</v>
      </c>
      <c r="V497" s="3" t="n">
        <v>5.39</v>
      </c>
      <c r="W497" s="3" t="n">
        <v>1.95</v>
      </c>
      <c r="X497" s="3" t="n">
        <v>7.79</v>
      </c>
      <c r="Y497" s="3" t="n">
        <v>370</v>
      </c>
      <c r="Z497" s="3" t="n">
        <v>49</v>
      </c>
      <c r="AA497" s="3" t="n">
        <v>0.4</v>
      </c>
      <c r="AB497" s="3" t="n">
        <v>9.3</v>
      </c>
      <c r="AC497" s="3" t="n">
        <v>1</v>
      </c>
      <c r="AD497" s="3" t="n">
        <v>2</v>
      </c>
      <c r="AE497" s="3" t="n">
        <v>2</v>
      </c>
      <c r="AF497" s="3" t="n">
        <v>2</v>
      </c>
      <c r="AG497" s="3" t="n">
        <v>1</v>
      </c>
      <c r="AH497" s="3" t="n">
        <v>1</v>
      </c>
      <c r="AI497" s="3" t="n">
        <v>1</v>
      </c>
      <c r="AJ497" s="3" t="n">
        <v>1</v>
      </c>
      <c r="AK497" s="3" t="n">
        <v>2</v>
      </c>
      <c r="AL497" s="3" t="n">
        <v>2</v>
      </c>
      <c r="AM497" s="3" t="n">
        <v>1</v>
      </c>
      <c r="AN497" s="3" t="n">
        <v>2</v>
      </c>
      <c r="AO497" s="3" t="n">
        <v>2</v>
      </c>
      <c r="AP497" s="3" t="n">
        <v>3</v>
      </c>
      <c r="AQ497" s="3" t="n">
        <v>4</v>
      </c>
      <c r="AR497" s="3" t="n">
        <v>4</v>
      </c>
      <c r="AS497" s="3" t="n">
        <v>6</v>
      </c>
      <c r="AT497" s="3" t="n">
        <v>4</v>
      </c>
      <c r="AU497" s="3" t="n">
        <v>4</v>
      </c>
      <c r="AV497" s="3" t="n">
        <v>6</v>
      </c>
      <c r="AW497" s="3" t="n">
        <v>6</v>
      </c>
      <c r="AX497" s="3" t="n">
        <v>3</v>
      </c>
      <c r="AY497" s="3" t="n">
        <v>3</v>
      </c>
      <c r="AZ497" s="3" t="n">
        <v>1</v>
      </c>
      <c r="BA497" s="5" t="n">
        <v>3</v>
      </c>
      <c r="BB497" s="3" t="n">
        <v>2</v>
      </c>
      <c r="BC497" s="3" t="n">
        <v>1</v>
      </c>
      <c r="BD497" s="3" t="n">
        <v>6</v>
      </c>
      <c r="BE497" s="3" t="n">
        <v>3</v>
      </c>
      <c r="BF497" s="3" t="n">
        <v>5</v>
      </c>
      <c r="BG497" s="3" t="n">
        <v>3</v>
      </c>
      <c r="BH497" s="3" t="n">
        <v>4</v>
      </c>
      <c r="BI497" s="3" t="n">
        <v>1</v>
      </c>
      <c r="BJ497" s="3" t="n">
        <v>1</v>
      </c>
      <c r="BK497" s="6" t="s">
        <v>1459</v>
      </c>
    </row>
    <row r="498" customFormat="false" ht="15" hidden="false" customHeight="true" outlineLevel="0" collapsed="false">
      <c r="B498" s="2" t="s">
        <v>1460</v>
      </c>
      <c r="C498" s="2" t="s">
        <v>528</v>
      </c>
      <c r="D498" s="2" t="s">
        <v>118</v>
      </c>
      <c r="E498" s="2" t="n">
        <v>182909</v>
      </c>
      <c r="F498" s="15" t="n">
        <v>43682</v>
      </c>
      <c r="G498" s="15" t="n">
        <v>43689</v>
      </c>
      <c r="H498" s="3" t="n">
        <v>7</v>
      </c>
      <c r="I498" s="3" t="n">
        <v>1</v>
      </c>
      <c r="J498" s="3" t="n">
        <v>82</v>
      </c>
      <c r="K498" s="3" t="n">
        <v>1</v>
      </c>
      <c r="L498" s="3" t="n">
        <v>2</v>
      </c>
      <c r="M498" s="3" t="n">
        <v>1</v>
      </c>
      <c r="N498" s="3" t="n">
        <v>2</v>
      </c>
      <c r="O498" s="3" t="n">
        <v>2</v>
      </c>
      <c r="P498" s="3" t="n">
        <v>2</v>
      </c>
      <c r="Q498" s="3" t="n">
        <v>2</v>
      </c>
      <c r="R498" s="3" t="n">
        <v>2</v>
      </c>
      <c r="S498" s="3" t="n">
        <v>2</v>
      </c>
      <c r="T498" s="4" t="n">
        <v>2</v>
      </c>
      <c r="U498" s="3" t="n">
        <v>2</v>
      </c>
      <c r="V498" s="3" t="n">
        <v>5.57</v>
      </c>
      <c r="W498" s="3" t="n">
        <v>2.1</v>
      </c>
      <c r="X498" s="3" t="n">
        <v>7.9</v>
      </c>
      <c r="Y498" s="3" t="n">
        <v>242</v>
      </c>
      <c r="Z498" s="3" t="n">
        <v>76</v>
      </c>
      <c r="AA498" s="3" t="n">
        <v>0.44</v>
      </c>
      <c r="AB498" s="3" t="n">
        <v>13.4</v>
      </c>
      <c r="AC498" s="3" t="n">
        <v>1</v>
      </c>
      <c r="AD498" s="3" t="n">
        <v>2</v>
      </c>
      <c r="AE498" s="3" t="n">
        <v>1</v>
      </c>
      <c r="AF498" s="3" t="n">
        <v>1</v>
      </c>
      <c r="AG498" s="3" t="n">
        <v>2</v>
      </c>
      <c r="AH498" s="3" t="n">
        <v>2</v>
      </c>
      <c r="AI498" s="3" t="n">
        <v>1</v>
      </c>
      <c r="AJ498" s="3" t="n">
        <v>1</v>
      </c>
      <c r="AK498" s="3" t="n">
        <v>2</v>
      </c>
      <c r="AL498" s="3" t="n">
        <v>2</v>
      </c>
      <c r="AM498" s="3" t="n">
        <v>2</v>
      </c>
      <c r="AN498" s="3" t="n">
        <v>2</v>
      </c>
      <c r="AO498" s="3" t="n">
        <v>2</v>
      </c>
      <c r="AP498" s="3" t="n">
        <v>3</v>
      </c>
      <c r="AQ498" s="3" t="n">
        <v>4</v>
      </c>
      <c r="AR498" s="3" t="n">
        <v>4</v>
      </c>
      <c r="AS498" s="3" t="n">
        <v>6</v>
      </c>
      <c r="AT498" s="3" t="n">
        <v>4</v>
      </c>
      <c r="AU498" s="3" t="n">
        <v>4</v>
      </c>
      <c r="AV498" s="3" t="n">
        <v>6</v>
      </c>
      <c r="AW498" s="3" t="n">
        <v>6</v>
      </c>
      <c r="AX498" s="3" t="n">
        <v>3</v>
      </c>
      <c r="AY498" s="3" t="n">
        <v>3</v>
      </c>
      <c r="AZ498" s="3" t="n">
        <v>1</v>
      </c>
      <c r="BA498" s="5" t="n">
        <v>1</v>
      </c>
      <c r="BB498" s="3" t="n">
        <v>1</v>
      </c>
      <c r="BC498" s="3" t="n">
        <v>1</v>
      </c>
      <c r="BD498" s="3" t="n">
        <v>4</v>
      </c>
      <c r="BE498" s="3" t="n">
        <v>1</v>
      </c>
      <c r="BF498" s="3" t="n">
        <v>2</v>
      </c>
      <c r="BG498" s="3" t="n">
        <v>1</v>
      </c>
      <c r="BH498" s="3" t="n">
        <v>4</v>
      </c>
      <c r="BI498" s="3" t="n">
        <v>1</v>
      </c>
      <c r="BJ498" s="3" t="n">
        <v>1</v>
      </c>
      <c r="BK498" s="6" t="s">
        <v>1461</v>
      </c>
    </row>
    <row r="499" customFormat="false" ht="15" hidden="false" customHeight="true" outlineLevel="0" collapsed="false">
      <c r="B499" s="2" t="s">
        <v>1229</v>
      </c>
      <c r="C499" s="2" t="s">
        <v>1462</v>
      </c>
      <c r="D499" s="2" t="s">
        <v>1463</v>
      </c>
      <c r="E499" s="2" t="n">
        <v>182902</v>
      </c>
      <c r="F499" s="15" t="n">
        <v>43682</v>
      </c>
      <c r="G499" s="15" t="n">
        <v>43689</v>
      </c>
      <c r="H499" s="3" t="n">
        <v>7</v>
      </c>
      <c r="I499" s="3" t="n">
        <v>2</v>
      </c>
      <c r="J499" s="3" t="n">
        <v>61</v>
      </c>
      <c r="K499" s="3" t="n">
        <v>1</v>
      </c>
      <c r="L499" s="3" t="n">
        <v>2</v>
      </c>
      <c r="M499" s="3" t="n">
        <v>1</v>
      </c>
      <c r="N499" s="3" t="n">
        <v>2</v>
      </c>
      <c r="O499" s="3" t="n">
        <v>2</v>
      </c>
      <c r="P499" s="3" t="n">
        <v>2</v>
      </c>
      <c r="Q499" s="3" t="n">
        <v>2</v>
      </c>
      <c r="R499" s="3" t="n">
        <v>2</v>
      </c>
      <c r="S499" s="3" t="n">
        <v>2</v>
      </c>
      <c r="T499" s="4" t="n">
        <v>2</v>
      </c>
      <c r="U499" s="3" t="n">
        <v>2</v>
      </c>
      <c r="V499" s="3" t="n">
        <v>4.22</v>
      </c>
      <c r="W499" s="3" t="n">
        <v>0.53</v>
      </c>
      <c r="X499" s="3" t="n">
        <v>9.08</v>
      </c>
      <c r="Y499" s="3" t="n">
        <v>497</v>
      </c>
      <c r="Z499" s="3" t="n">
        <v>77</v>
      </c>
      <c r="AA499" s="3" t="n">
        <v>0.5</v>
      </c>
      <c r="AB499" s="3" t="n">
        <v>13.2</v>
      </c>
      <c r="AC499" s="3" t="n">
        <v>1</v>
      </c>
      <c r="AD499" s="3" t="n">
        <v>1</v>
      </c>
      <c r="AE499" s="3" t="n">
        <v>1</v>
      </c>
      <c r="AF499" s="3" t="n">
        <v>1</v>
      </c>
      <c r="AG499" s="3" t="n">
        <v>2</v>
      </c>
      <c r="AH499" s="3" t="n">
        <v>2</v>
      </c>
      <c r="AI499" s="3" t="n">
        <v>1</v>
      </c>
      <c r="AJ499" s="3" t="n">
        <v>1</v>
      </c>
      <c r="AK499" s="3" t="n">
        <v>2</v>
      </c>
      <c r="AL499" s="3" t="n">
        <v>2</v>
      </c>
      <c r="AM499" s="3" t="n">
        <v>2</v>
      </c>
      <c r="AN499" s="3" t="n">
        <v>2</v>
      </c>
      <c r="AO499" s="3" t="n">
        <v>2</v>
      </c>
      <c r="AP499" s="3" t="n">
        <v>3</v>
      </c>
      <c r="AQ499" s="3" t="n">
        <v>4</v>
      </c>
      <c r="AR499" s="3" t="n">
        <v>4</v>
      </c>
      <c r="AS499" s="3" t="n">
        <v>6</v>
      </c>
      <c r="AT499" s="3" t="n">
        <v>4</v>
      </c>
      <c r="AU499" s="3" t="n">
        <v>4</v>
      </c>
      <c r="AV499" s="3" t="n">
        <v>6</v>
      </c>
      <c r="AW499" s="3" t="n">
        <v>6</v>
      </c>
      <c r="AX499" s="3" t="n">
        <v>3</v>
      </c>
      <c r="AY499" s="3" t="n">
        <v>3</v>
      </c>
      <c r="AZ499" s="3" t="n">
        <v>10</v>
      </c>
      <c r="BA499" s="5" t="n">
        <v>1</v>
      </c>
      <c r="BB499" s="3" t="n">
        <v>1</v>
      </c>
      <c r="BC499" s="3" t="n">
        <v>1</v>
      </c>
      <c r="BD499" s="3" t="n">
        <v>3</v>
      </c>
      <c r="BE499" s="3" t="n">
        <v>3</v>
      </c>
      <c r="BF499" s="3" t="n">
        <v>5</v>
      </c>
      <c r="BG499" s="3" t="n">
        <v>3</v>
      </c>
      <c r="BH499" s="3" t="n">
        <v>4</v>
      </c>
      <c r="BI499" s="3" t="n">
        <v>1</v>
      </c>
      <c r="BJ499" s="3" t="n">
        <v>1</v>
      </c>
      <c r="BK499" s="6" t="s">
        <v>1464</v>
      </c>
    </row>
    <row r="500" customFormat="false" ht="15" hidden="false" customHeight="true" outlineLevel="0" collapsed="false">
      <c r="B500" s="2" t="s">
        <v>1465</v>
      </c>
      <c r="C500" s="2" t="s">
        <v>1466</v>
      </c>
      <c r="D500" s="2" t="s">
        <v>1467</v>
      </c>
      <c r="E500" s="2" t="n">
        <v>182939</v>
      </c>
      <c r="F500" s="15" t="n">
        <v>43681</v>
      </c>
      <c r="G500" s="15" t="n">
        <v>43689</v>
      </c>
      <c r="H500" s="3" t="n">
        <v>8</v>
      </c>
      <c r="I500" s="3" t="n">
        <v>1</v>
      </c>
      <c r="J500" s="3" t="n">
        <v>71</v>
      </c>
      <c r="K500" s="3" t="n">
        <v>2</v>
      </c>
      <c r="L500" s="3" t="n">
        <v>2</v>
      </c>
      <c r="M500" s="3" t="n">
        <v>1</v>
      </c>
      <c r="N500" s="3" t="n">
        <v>2</v>
      </c>
      <c r="O500" s="3" t="n">
        <v>2</v>
      </c>
      <c r="P500" s="3" t="n">
        <v>2</v>
      </c>
      <c r="Q500" s="3" t="n">
        <v>2</v>
      </c>
      <c r="R500" s="3" t="n">
        <v>2</v>
      </c>
      <c r="S500" s="3" t="n">
        <v>2</v>
      </c>
      <c r="T500" s="4" t="n">
        <v>2</v>
      </c>
      <c r="U500" s="3" t="n">
        <v>2</v>
      </c>
      <c r="V500" s="3" t="n">
        <v>6.35</v>
      </c>
      <c r="W500" s="3" t="n">
        <v>0.96</v>
      </c>
      <c r="X500" s="3" t="n">
        <v>6.8</v>
      </c>
      <c r="Y500" s="3" t="n">
        <v>572</v>
      </c>
      <c r="Z500" s="3" t="n">
        <v>64</v>
      </c>
      <c r="AA500" s="3" t="n">
        <v>0.49</v>
      </c>
      <c r="AB500" s="3" t="n">
        <v>13</v>
      </c>
      <c r="AC500" s="3" t="n">
        <v>1</v>
      </c>
      <c r="AD500" s="3" t="n">
        <v>2</v>
      </c>
      <c r="AE500" s="3" t="n">
        <v>1</v>
      </c>
      <c r="AF500" s="3" t="n">
        <v>1</v>
      </c>
      <c r="AG500" s="3" t="n">
        <v>1</v>
      </c>
      <c r="AH500" s="3" t="n">
        <v>1</v>
      </c>
      <c r="AI500" s="3" t="n">
        <v>1</v>
      </c>
      <c r="AJ500" s="3" t="n">
        <v>1</v>
      </c>
      <c r="AK500" s="3" t="n">
        <v>2</v>
      </c>
      <c r="AL500" s="3" t="n">
        <v>2</v>
      </c>
      <c r="AM500" s="3" t="n">
        <v>1</v>
      </c>
      <c r="AN500" s="3" t="n">
        <v>2</v>
      </c>
      <c r="AO500" s="3" t="n">
        <v>2</v>
      </c>
      <c r="AP500" s="3" t="n">
        <v>3</v>
      </c>
      <c r="AQ500" s="3" t="n">
        <v>4</v>
      </c>
      <c r="AR500" s="3" t="n">
        <v>4</v>
      </c>
      <c r="AS500" s="3" t="n">
        <v>6</v>
      </c>
      <c r="AT500" s="3" t="n">
        <v>4</v>
      </c>
      <c r="AU500" s="3" t="n">
        <v>4</v>
      </c>
      <c r="AV500" s="3" t="n">
        <v>6</v>
      </c>
      <c r="AW500" s="3" t="n">
        <v>6</v>
      </c>
      <c r="AX500" s="3" t="n">
        <v>3</v>
      </c>
      <c r="AY500" s="3" t="n">
        <v>3</v>
      </c>
      <c r="AZ500" s="3" t="n">
        <v>1</v>
      </c>
      <c r="BA500" s="5" t="n">
        <v>1</v>
      </c>
      <c r="BB500" s="3" t="n">
        <v>1</v>
      </c>
      <c r="BC500" s="3" t="n">
        <v>1</v>
      </c>
      <c r="BD500" s="3" t="n">
        <v>2</v>
      </c>
      <c r="BE500" s="3" t="n">
        <v>1</v>
      </c>
      <c r="BF500" s="3" t="n">
        <v>2</v>
      </c>
      <c r="BG500" s="3" t="n">
        <v>1</v>
      </c>
      <c r="BH500" s="3" t="n">
        <v>4</v>
      </c>
      <c r="BI500" s="3" t="n">
        <v>1</v>
      </c>
      <c r="BJ500" s="3" t="n">
        <v>1</v>
      </c>
      <c r="BK500" s="6" t="s">
        <v>1468</v>
      </c>
    </row>
    <row r="501" customFormat="false" ht="15" hidden="false" customHeight="true" outlineLevel="0" collapsed="false">
      <c r="B501" s="17" t="s">
        <v>335</v>
      </c>
      <c r="C501" s="17" t="s">
        <v>846</v>
      </c>
      <c r="D501" s="17" t="s">
        <v>839</v>
      </c>
      <c r="E501" s="2" t="n">
        <v>182659</v>
      </c>
      <c r="F501" s="15" t="n">
        <v>43688</v>
      </c>
      <c r="G501" s="15" t="n">
        <v>43692</v>
      </c>
      <c r="H501" s="3" t="n">
        <v>4</v>
      </c>
      <c r="I501" s="3" t="n">
        <v>1</v>
      </c>
      <c r="J501" s="3" t="n">
        <v>89</v>
      </c>
      <c r="K501" s="3" t="n">
        <v>1</v>
      </c>
      <c r="L501" s="3" t="n">
        <v>2</v>
      </c>
      <c r="M501" s="3" t="n">
        <v>1</v>
      </c>
      <c r="N501" s="3" t="n">
        <v>2</v>
      </c>
      <c r="O501" s="3" t="n">
        <v>2</v>
      </c>
      <c r="P501" s="3" t="n">
        <v>2</v>
      </c>
      <c r="Q501" s="3" t="n">
        <v>2</v>
      </c>
      <c r="R501" s="3" t="n">
        <v>2</v>
      </c>
      <c r="S501" s="3" t="n">
        <v>1</v>
      </c>
      <c r="T501" s="4" t="n">
        <v>6</v>
      </c>
      <c r="U501" s="3" t="n">
        <v>4</v>
      </c>
      <c r="V501" s="3" t="n">
        <v>6.12</v>
      </c>
      <c r="W501" s="3" t="n">
        <v>1.11</v>
      </c>
      <c r="X501" s="3" t="n">
        <v>3.86</v>
      </c>
      <c r="Y501" s="3" t="n">
        <v>246</v>
      </c>
      <c r="Z501" s="3" t="n">
        <v>80</v>
      </c>
      <c r="AA501" s="3" t="n">
        <v>0.53</v>
      </c>
      <c r="AB501" s="3" t="n">
        <v>9.6</v>
      </c>
      <c r="AC501" s="3" t="n">
        <v>1</v>
      </c>
      <c r="AD501" s="3" t="n">
        <v>2</v>
      </c>
      <c r="AE501" s="3" t="n">
        <v>1</v>
      </c>
      <c r="AF501" s="3" t="n">
        <v>1</v>
      </c>
      <c r="AG501" s="3" t="n">
        <v>2</v>
      </c>
      <c r="AH501" s="3" t="n">
        <v>2</v>
      </c>
      <c r="AI501" s="3" t="n">
        <v>2</v>
      </c>
      <c r="AJ501" s="3" t="n">
        <v>1</v>
      </c>
      <c r="AK501" s="3" t="n">
        <v>2</v>
      </c>
      <c r="AL501" s="3" t="n">
        <v>1</v>
      </c>
      <c r="AM501" s="3" t="n">
        <v>2</v>
      </c>
      <c r="AN501" s="3" t="n">
        <v>2</v>
      </c>
      <c r="AO501" s="3" t="n">
        <v>2</v>
      </c>
      <c r="AP501" s="3" t="n">
        <v>3</v>
      </c>
      <c r="AQ501" s="3" t="n">
        <v>4</v>
      </c>
      <c r="AR501" s="3" t="n">
        <v>4</v>
      </c>
      <c r="AS501" s="3" t="n">
        <v>6</v>
      </c>
      <c r="AT501" s="3" t="n">
        <v>4</v>
      </c>
      <c r="AU501" s="3" t="n">
        <v>4</v>
      </c>
      <c r="AV501" s="3" t="n">
        <v>6</v>
      </c>
      <c r="AW501" s="3" t="n">
        <v>6</v>
      </c>
      <c r="AX501" s="3" t="n">
        <v>3</v>
      </c>
      <c r="AY501" s="3" t="n">
        <v>3</v>
      </c>
      <c r="AZ501" s="3" t="n">
        <v>1</v>
      </c>
      <c r="BA501" s="5" t="n">
        <v>10</v>
      </c>
      <c r="BB501" s="3" t="n">
        <v>2</v>
      </c>
      <c r="BC501" s="3" t="n">
        <v>1</v>
      </c>
      <c r="BD501" s="3" t="n">
        <v>6</v>
      </c>
      <c r="BE501" s="3" t="n">
        <v>3</v>
      </c>
      <c r="BF501" s="3" t="n">
        <v>5</v>
      </c>
      <c r="BG501" s="3" t="n">
        <v>3</v>
      </c>
      <c r="BH501" s="3" t="n">
        <v>4</v>
      </c>
      <c r="BI501" s="3" t="n">
        <v>1</v>
      </c>
      <c r="BJ501" s="3" t="n">
        <v>1</v>
      </c>
      <c r="BK501" s="21" t="s">
        <v>1469</v>
      </c>
    </row>
    <row r="502" customFormat="false" ht="15" hidden="false" customHeight="true" outlineLevel="0" collapsed="false">
      <c r="B502" s="2" t="s">
        <v>1470</v>
      </c>
      <c r="C502" s="2" t="s">
        <v>410</v>
      </c>
      <c r="D502" s="2" t="s">
        <v>438</v>
      </c>
      <c r="E502" s="2" t="n">
        <v>182581</v>
      </c>
      <c r="F502" s="15" t="n">
        <v>43683</v>
      </c>
      <c r="G502" s="15" t="n">
        <v>43689</v>
      </c>
      <c r="H502" s="3" t="n">
        <v>6</v>
      </c>
      <c r="I502" s="3" t="n">
        <v>1</v>
      </c>
      <c r="J502" s="3" t="n">
        <v>63</v>
      </c>
      <c r="K502" s="3" t="n">
        <v>2</v>
      </c>
      <c r="L502" s="3" t="n">
        <v>1</v>
      </c>
      <c r="M502" s="3" t="n">
        <v>2</v>
      </c>
      <c r="N502" s="3" t="n">
        <v>2</v>
      </c>
      <c r="O502" s="3" t="n">
        <v>2</v>
      </c>
      <c r="P502" s="3" t="n">
        <v>2</v>
      </c>
      <c r="Q502" s="3" t="n">
        <v>2</v>
      </c>
      <c r="R502" s="3" t="n">
        <v>2</v>
      </c>
      <c r="S502" s="3" t="n">
        <v>2</v>
      </c>
      <c r="T502" s="4" t="n">
        <v>1</v>
      </c>
      <c r="U502" s="3" t="n">
        <v>2</v>
      </c>
      <c r="V502" s="3" t="n">
        <v>3.56</v>
      </c>
      <c r="W502" s="3" t="n">
        <v>1.33</v>
      </c>
      <c r="X502" s="3" t="n">
        <v>5.2</v>
      </c>
      <c r="Y502" s="3" t="n">
        <v>287</v>
      </c>
      <c r="Z502" s="3" t="n">
        <v>62</v>
      </c>
      <c r="AA502" s="3" t="n">
        <v>0.41</v>
      </c>
      <c r="AB502" s="3" t="n">
        <v>11.8</v>
      </c>
      <c r="AC502" s="3" t="n">
        <v>1</v>
      </c>
      <c r="AD502" s="3" t="n">
        <v>1</v>
      </c>
      <c r="AE502" s="3" t="n">
        <v>1</v>
      </c>
      <c r="AF502" s="3" t="n">
        <v>1</v>
      </c>
      <c r="AG502" s="3" t="n">
        <v>2</v>
      </c>
      <c r="AH502" s="3" t="n">
        <v>1</v>
      </c>
      <c r="AI502" s="3" t="n">
        <v>1</v>
      </c>
      <c r="AJ502" s="3" t="n">
        <v>2</v>
      </c>
      <c r="AK502" s="3" t="n">
        <v>2</v>
      </c>
      <c r="AL502" s="3" t="n">
        <v>2</v>
      </c>
      <c r="AM502" s="3" t="n">
        <v>2</v>
      </c>
      <c r="AN502" s="3" t="n">
        <v>2</v>
      </c>
      <c r="AO502" s="3" t="n">
        <v>2</v>
      </c>
      <c r="AP502" s="3" t="n">
        <v>3</v>
      </c>
      <c r="AQ502" s="3" t="n">
        <v>4</v>
      </c>
      <c r="AR502" s="3" t="n">
        <v>4</v>
      </c>
      <c r="AS502" s="3" t="n">
        <v>6</v>
      </c>
      <c r="AT502" s="3" t="n">
        <v>4</v>
      </c>
      <c r="AU502" s="3" t="n">
        <v>4</v>
      </c>
      <c r="AV502" s="3" t="n">
        <v>6</v>
      </c>
      <c r="AW502" s="3" t="n">
        <v>6</v>
      </c>
      <c r="AX502" s="3" t="n">
        <v>3</v>
      </c>
      <c r="AY502" s="3" t="n">
        <v>3</v>
      </c>
      <c r="AZ502" s="3" t="n">
        <v>1</v>
      </c>
      <c r="BA502" s="5" t="n">
        <v>5</v>
      </c>
      <c r="BB502" s="3" t="n">
        <v>2</v>
      </c>
      <c r="BC502" s="3" t="n">
        <v>1</v>
      </c>
      <c r="BD502" s="3" t="n">
        <v>6</v>
      </c>
      <c r="BE502" s="3" t="n">
        <v>3</v>
      </c>
      <c r="BF502" s="3" t="n">
        <v>5</v>
      </c>
      <c r="BG502" s="3" t="n">
        <v>3</v>
      </c>
      <c r="BH502" s="3" t="n">
        <v>4</v>
      </c>
      <c r="BI502" s="3" t="n">
        <v>1</v>
      </c>
      <c r="BJ502" s="3" t="n">
        <v>1</v>
      </c>
      <c r="BK502" s="6" t="s">
        <v>1471</v>
      </c>
    </row>
    <row r="503" customFormat="false" ht="15" hidden="false" customHeight="true" outlineLevel="0" collapsed="false">
      <c r="B503" s="17" t="s">
        <v>1338</v>
      </c>
      <c r="C503" s="17" t="s">
        <v>1472</v>
      </c>
      <c r="D503" s="17" t="s">
        <v>770</v>
      </c>
      <c r="E503" s="2" t="n">
        <v>182601</v>
      </c>
      <c r="F503" s="15" t="n">
        <v>43687</v>
      </c>
      <c r="G503" s="15" t="n">
        <v>43689</v>
      </c>
      <c r="H503" s="3" t="n">
        <v>2</v>
      </c>
      <c r="I503" s="3" t="n">
        <v>1</v>
      </c>
      <c r="J503" s="3" t="n">
        <v>52</v>
      </c>
      <c r="K503" s="3" t="n">
        <v>2</v>
      </c>
      <c r="L503" s="3" t="n">
        <v>1</v>
      </c>
      <c r="M503" s="3" t="n">
        <v>2</v>
      </c>
      <c r="N503" s="3" t="n">
        <v>2</v>
      </c>
      <c r="O503" s="3" t="n">
        <v>2</v>
      </c>
      <c r="P503" s="3" t="n">
        <v>2</v>
      </c>
      <c r="Q503" s="3" t="n">
        <v>2</v>
      </c>
      <c r="R503" s="3" t="n">
        <v>2</v>
      </c>
      <c r="S503" s="3" t="n">
        <v>2</v>
      </c>
      <c r="T503" s="4" t="n">
        <v>4</v>
      </c>
      <c r="U503" s="3" t="n">
        <v>4</v>
      </c>
      <c r="AC503" s="3" t="n">
        <v>1</v>
      </c>
      <c r="AD503" s="3" t="n">
        <v>2</v>
      </c>
      <c r="AE503" s="3" t="n">
        <v>1</v>
      </c>
      <c r="AF503" s="3" t="n">
        <v>1</v>
      </c>
      <c r="AG503" s="3" t="n">
        <v>2</v>
      </c>
      <c r="AH503" s="3" t="n">
        <v>2</v>
      </c>
      <c r="AI503" s="3" t="n">
        <v>2</v>
      </c>
      <c r="AJ503" s="3" t="n">
        <v>2</v>
      </c>
      <c r="AK503" s="3" t="n">
        <v>2</v>
      </c>
      <c r="AL503" s="3" t="n">
        <v>2</v>
      </c>
      <c r="AM503" s="3" t="n">
        <v>2</v>
      </c>
      <c r="AN503" s="3" t="n">
        <v>2</v>
      </c>
      <c r="AO503" s="3" t="n">
        <v>1</v>
      </c>
      <c r="AP503" s="3" t="n">
        <v>3</v>
      </c>
      <c r="AQ503" s="3" t="n">
        <v>4</v>
      </c>
      <c r="AR503" s="3" t="n">
        <v>4</v>
      </c>
      <c r="AS503" s="3" t="n">
        <v>6</v>
      </c>
      <c r="AT503" s="3" t="n">
        <v>4</v>
      </c>
      <c r="AU503" s="3" t="n">
        <v>4</v>
      </c>
      <c r="AV503" s="3" t="n">
        <v>6</v>
      </c>
      <c r="AW503" s="3" t="n">
        <v>6</v>
      </c>
      <c r="AX503" s="3" t="n">
        <v>3</v>
      </c>
      <c r="AY503" s="3" t="n">
        <v>3</v>
      </c>
      <c r="AZ503" s="3" t="n">
        <v>1</v>
      </c>
      <c r="BA503" s="5" t="n">
        <v>10</v>
      </c>
      <c r="BB503" s="3" t="n">
        <v>2</v>
      </c>
      <c r="BC503" s="3" t="n">
        <v>1</v>
      </c>
      <c r="BD503" s="3" t="n">
        <v>6</v>
      </c>
      <c r="BE503" s="3" t="n">
        <v>3</v>
      </c>
      <c r="BF503" s="3" t="n">
        <v>5</v>
      </c>
      <c r="BG503" s="3" t="n">
        <v>3</v>
      </c>
      <c r="BH503" s="3" t="n">
        <v>4</v>
      </c>
      <c r="BI503" s="3" t="n">
        <v>1</v>
      </c>
      <c r="BJ503" s="3" t="n">
        <v>1</v>
      </c>
      <c r="BK503" s="21" t="s">
        <v>1473</v>
      </c>
    </row>
    <row r="504" customFormat="false" ht="15" hidden="false" customHeight="true" outlineLevel="0" collapsed="false">
      <c r="B504" s="2" t="s">
        <v>677</v>
      </c>
      <c r="C504" s="2" t="s">
        <v>66</v>
      </c>
      <c r="D504" s="2" t="s">
        <v>1474</v>
      </c>
      <c r="E504" s="2" t="n">
        <v>183313</v>
      </c>
      <c r="F504" s="15" t="n">
        <v>43688</v>
      </c>
      <c r="G504" s="15" t="n">
        <v>43690</v>
      </c>
      <c r="H504" s="3" t="n">
        <v>2</v>
      </c>
      <c r="I504" s="3" t="n">
        <v>2</v>
      </c>
      <c r="J504" s="3" t="n">
        <v>53</v>
      </c>
      <c r="K504" s="3" t="n">
        <v>1</v>
      </c>
      <c r="L504" s="3" t="n">
        <v>2</v>
      </c>
      <c r="M504" s="3" t="n">
        <v>1</v>
      </c>
      <c r="N504" s="3" t="n">
        <v>2</v>
      </c>
      <c r="O504" s="3" t="n">
        <v>1</v>
      </c>
      <c r="P504" s="3" t="n">
        <v>2</v>
      </c>
      <c r="Q504" s="3" t="n">
        <v>2</v>
      </c>
      <c r="R504" s="3" t="n">
        <v>2</v>
      </c>
      <c r="S504" s="3" t="n">
        <v>2</v>
      </c>
      <c r="T504" s="4" t="n">
        <v>12</v>
      </c>
      <c r="U504" s="3" t="n">
        <v>1</v>
      </c>
      <c r="V504" s="3" t="n">
        <v>6.07</v>
      </c>
      <c r="W504" s="3" t="n">
        <v>1.12</v>
      </c>
      <c r="X504" s="3" t="n">
        <v>8.03</v>
      </c>
      <c r="Z504" s="3" t="n">
        <v>97</v>
      </c>
      <c r="AA504" s="3" t="n">
        <v>0.46</v>
      </c>
      <c r="AB504" s="3" t="n">
        <v>6.7</v>
      </c>
      <c r="AC504" s="3" t="n">
        <v>1</v>
      </c>
      <c r="AD504" s="3" t="n">
        <v>2</v>
      </c>
      <c r="AE504" s="3" t="n">
        <v>2</v>
      </c>
      <c r="AF504" s="3" t="n">
        <v>2</v>
      </c>
      <c r="AG504" s="3" t="n">
        <v>2</v>
      </c>
      <c r="AH504" s="3" t="n">
        <v>2</v>
      </c>
      <c r="AI504" s="3" t="n">
        <v>2</v>
      </c>
      <c r="AJ504" s="3" t="n">
        <v>2</v>
      </c>
      <c r="AK504" s="3" t="n">
        <v>2</v>
      </c>
      <c r="AL504" s="3" t="n">
        <v>2</v>
      </c>
      <c r="AM504" s="3" t="n">
        <v>1</v>
      </c>
      <c r="AN504" s="3" t="n">
        <v>2</v>
      </c>
      <c r="AO504" s="3" t="n">
        <v>2</v>
      </c>
      <c r="AP504" s="3" t="n">
        <v>3</v>
      </c>
      <c r="AQ504" s="3" t="n">
        <v>4</v>
      </c>
      <c r="AR504" s="3" t="n">
        <v>4</v>
      </c>
      <c r="AS504" s="3" t="n">
        <v>6</v>
      </c>
      <c r="AT504" s="3" t="n">
        <v>4</v>
      </c>
      <c r="AU504" s="3" t="n">
        <v>4</v>
      </c>
      <c r="AV504" s="3" t="n">
        <v>6</v>
      </c>
      <c r="AW504" s="3" t="n">
        <v>6</v>
      </c>
      <c r="AX504" s="3" t="n">
        <v>3</v>
      </c>
      <c r="AY504" s="3" t="n">
        <v>3</v>
      </c>
      <c r="AZ504" s="3" t="n">
        <v>1</v>
      </c>
      <c r="BA504" s="5" t="n">
        <v>3</v>
      </c>
      <c r="BB504" s="3" t="n">
        <v>2</v>
      </c>
      <c r="BC504" s="3" t="n">
        <v>1</v>
      </c>
      <c r="BD504" s="3" t="n">
        <v>6</v>
      </c>
      <c r="BE504" s="3" t="n">
        <v>3</v>
      </c>
      <c r="BF504" s="3" t="n">
        <v>5</v>
      </c>
      <c r="BG504" s="3" t="n">
        <v>3</v>
      </c>
      <c r="BH504" s="3" t="n">
        <v>4</v>
      </c>
      <c r="BI504" s="3" t="n">
        <v>1</v>
      </c>
      <c r="BJ504" s="3" t="n">
        <v>1</v>
      </c>
      <c r="BK504" s="6" t="s">
        <v>1475</v>
      </c>
    </row>
    <row r="505" customFormat="false" ht="15" hidden="false" customHeight="true" outlineLevel="0" collapsed="false">
      <c r="B505" s="17" t="s">
        <v>394</v>
      </c>
      <c r="C505" s="17" t="s">
        <v>118</v>
      </c>
      <c r="D505" s="17" t="s">
        <v>165</v>
      </c>
      <c r="E505" s="2" t="n">
        <v>0.01231</v>
      </c>
      <c r="F505" s="15" t="n">
        <v>43688</v>
      </c>
      <c r="G505" s="15" t="n">
        <v>43692</v>
      </c>
      <c r="H505" s="3" t="n">
        <v>4</v>
      </c>
      <c r="I505" s="3" t="n">
        <v>2</v>
      </c>
      <c r="J505" s="3" t="n">
        <v>72</v>
      </c>
      <c r="K505" s="3" t="n">
        <v>1</v>
      </c>
      <c r="L505" s="3" t="n">
        <v>2</v>
      </c>
      <c r="M505" s="3" t="n">
        <v>1</v>
      </c>
      <c r="N505" s="3" t="n">
        <v>2</v>
      </c>
      <c r="O505" s="3" t="n">
        <v>2</v>
      </c>
      <c r="P505" s="3" t="n">
        <v>2</v>
      </c>
      <c r="Q505" s="3" t="n">
        <v>2</v>
      </c>
      <c r="R505" s="3" t="n">
        <v>2</v>
      </c>
      <c r="S505" s="3" t="n">
        <v>2</v>
      </c>
      <c r="T505" s="4" t="n">
        <v>1</v>
      </c>
      <c r="U505" s="3" t="n">
        <v>1</v>
      </c>
      <c r="V505" s="3" t="n">
        <v>3.4</v>
      </c>
      <c r="W505" s="3" t="n">
        <v>1.46</v>
      </c>
      <c r="X505" s="3" t="n">
        <v>8.2</v>
      </c>
      <c r="Y505" s="3" t="n">
        <v>211</v>
      </c>
      <c r="Z505" s="3" t="n">
        <v>54</v>
      </c>
      <c r="AA505" s="3" t="n">
        <v>0.26</v>
      </c>
      <c r="AB505" s="3" t="n">
        <v>10</v>
      </c>
      <c r="AC505" s="3" t="n">
        <v>3</v>
      </c>
      <c r="AD505" s="3" t="n">
        <v>1</v>
      </c>
      <c r="AE505" s="3" t="n">
        <v>1</v>
      </c>
      <c r="AF505" s="3" t="n">
        <v>1</v>
      </c>
      <c r="AG505" s="3" t="n">
        <v>2</v>
      </c>
      <c r="AH505" s="3" t="n">
        <v>2</v>
      </c>
      <c r="AI505" s="3" t="n">
        <v>1</v>
      </c>
      <c r="AJ505" s="3" t="n">
        <v>2</v>
      </c>
      <c r="AK505" s="3" t="n">
        <v>2</v>
      </c>
      <c r="AL505" s="3" t="n">
        <v>2</v>
      </c>
      <c r="AM505" s="3" t="n">
        <v>2</v>
      </c>
      <c r="AN505" s="3" t="n">
        <v>2</v>
      </c>
      <c r="AO505" s="3" t="n">
        <v>2</v>
      </c>
      <c r="AP505" s="3" t="n">
        <v>3</v>
      </c>
      <c r="AQ505" s="3" t="n">
        <v>4</v>
      </c>
      <c r="AR505" s="3" t="n">
        <v>4</v>
      </c>
      <c r="AS505" s="3" t="n">
        <v>6</v>
      </c>
      <c r="AT505" s="3" t="n">
        <v>4</v>
      </c>
      <c r="AU505" s="3" t="n">
        <v>4</v>
      </c>
      <c r="AV505" s="3" t="n">
        <v>6</v>
      </c>
      <c r="AW505" s="3" t="n">
        <v>6</v>
      </c>
      <c r="AX505" s="3" t="n">
        <v>3</v>
      </c>
      <c r="AY505" s="3" t="n">
        <v>3</v>
      </c>
      <c r="AZ505" s="3" t="n">
        <v>1</v>
      </c>
      <c r="BA505" s="5" t="n">
        <v>5</v>
      </c>
      <c r="BB505" s="3" t="n">
        <v>2</v>
      </c>
      <c r="BC505" s="3" t="n">
        <v>1</v>
      </c>
      <c r="BD505" s="3" t="n">
        <v>6</v>
      </c>
      <c r="BE505" s="3" t="n">
        <v>3</v>
      </c>
      <c r="BF505" s="3" t="n">
        <v>5</v>
      </c>
      <c r="BG505" s="3" t="n">
        <v>3</v>
      </c>
      <c r="BH505" s="3" t="n">
        <v>4</v>
      </c>
      <c r="BI505" s="3" t="n">
        <v>1</v>
      </c>
      <c r="BJ505" s="3" t="n">
        <v>1</v>
      </c>
      <c r="BK505" s="21" t="s">
        <v>1476</v>
      </c>
    </row>
    <row r="506" customFormat="false" ht="15" hidden="false" customHeight="true" outlineLevel="0" collapsed="false">
      <c r="B506" s="17" t="s">
        <v>1477</v>
      </c>
      <c r="C506" s="17" t="s">
        <v>1478</v>
      </c>
      <c r="D506" s="17" t="s">
        <v>1479</v>
      </c>
      <c r="E506" s="2" t="n">
        <v>182626</v>
      </c>
      <c r="F506" s="15" t="n">
        <v>43686</v>
      </c>
      <c r="G506" s="15" t="n">
        <v>43692</v>
      </c>
      <c r="H506" s="3" t="n">
        <v>6</v>
      </c>
      <c r="I506" s="3" t="n">
        <v>2</v>
      </c>
      <c r="J506" s="3" t="n">
        <v>54</v>
      </c>
      <c r="K506" s="3" t="n">
        <v>2</v>
      </c>
      <c r="L506" s="3" t="n">
        <v>1</v>
      </c>
      <c r="M506" s="3" t="n">
        <v>1</v>
      </c>
      <c r="N506" s="3" t="n">
        <v>2</v>
      </c>
      <c r="O506" s="3" t="n">
        <v>2</v>
      </c>
      <c r="P506" s="3" t="n">
        <v>2</v>
      </c>
      <c r="Q506" s="3" t="n">
        <v>2</v>
      </c>
      <c r="R506" s="3" t="n">
        <v>2</v>
      </c>
      <c r="S506" s="3" t="n">
        <v>2</v>
      </c>
      <c r="T506" s="4" t="n">
        <v>1</v>
      </c>
      <c r="U506" s="3" t="n">
        <v>1</v>
      </c>
      <c r="V506" s="3" t="n">
        <v>3.93</v>
      </c>
      <c r="W506" s="3" t="n">
        <v>1.66</v>
      </c>
      <c r="X506" s="3" t="n">
        <v>5.87</v>
      </c>
      <c r="Y506" s="3" t="n">
        <v>463</v>
      </c>
      <c r="Z506" s="3" t="n">
        <v>71</v>
      </c>
      <c r="AA506" s="3" t="n">
        <v>0.41</v>
      </c>
      <c r="AB506" s="3" t="n">
        <v>10.9</v>
      </c>
      <c r="AC506" s="3" t="n">
        <v>1</v>
      </c>
      <c r="AD506" s="3" t="n">
        <v>2</v>
      </c>
      <c r="AE506" s="3" t="n">
        <v>1</v>
      </c>
      <c r="AF506" s="3" t="n">
        <v>1</v>
      </c>
      <c r="AG506" s="3" t="n">
        <v>1</v>
      </c>
      <c r="AH506" s="3" t="n">
        <v>1</v>
      </c>
      <c r="AI506" s="3" t="n">
        <v>1</v>
      </c>
      <c r="AJ506" s="3" t="n">
        <v>2</v>
      </c>
      <c r="AK506" s="3" t="n">
        <v>2</v>
      </c>
      <c r="AL506" s="3" t="n">
        <v>2</v>
      </c>
      <c r="AM506" s="3" t="n">
        <v>1</v>
      </c>
      <c r="AN506" s="3" t="n">
        <v>2</v>
      </c>
      <c r="AO506" s="3" t="n">
        <v>2</v>
      </c>
      <c r="AP506" s="3" t="n">
        <v>3</v>
      </c>
      <c r="AQ506" s="3" t="n">
        <v>4</v>
      </c>
      <c r="AR506" s="3" t="n">
        <v>4</v>
      </c>
      <c r="AS506" s="3" t="n">
        <v>6</v>
      </c>
      <c r="AT506" s="3" t="n">
        <v>4</v>
      </c>
      <c r="AU506" s="3" t="n">
        <v>4</v>
      </c>
      <c r="AV506" s="3" t="n">
        <v>6</v>
      </c>
      <c r="AW506" s="3" t="n">
        <v>6</v>
      </c>
      <c r="AX506" s="3" t="n">
        <v>3</v>
      </c>
      <c r="AY506" s="3" t="n">
        <v>3</v>
      </c>
      <c r="AZ506" s="3" t="n">
        <v>1</v>
      </c>
      <c r="BA506" s="5" t="n">
        <v>5</v>
      </c>
      <c r="BB506" s="3" t="n">
        <v>2</v>
      </c>
      <c r="BC506" s="3" t="n">
        <v>1</v>
      </c>
      <c r="BD506" s="3" t="n">
        <v>6</v>
      </c>
      <c r="BE506" s="3" t="n">
        <v>3</v>
      </c>
      <c r="BF506" s="3" t="n">
        <v>5</v>
      </c>
      <c r="BG506" s="3" t="n">
        <v>3</v>
      </c>
      <c r="BH506" s="3" t="n">
        <v>4</v>
      </c>
      <c r="BI506" s="3" t="n">
        <v>1</v>
      </c>
      <c r="BJ506" s="3" t="n">
        <v>1</v>
      </c>
      <c r="BK506" s="21" t="s">
        <v>1480</v>
      </c>
    </row>
    <row r="507" customFormat="false" ht="15" hidden="false" customHeight="true" outlineLevel="0" collapsed="false">
      <c r="B507" s="2" t="s">
        <v>278</v>
      </c>
      <c r="C507" s="2" t="s">
        <v>1481</v>
      </c>
      <c r="D507" s="2" t="s">
        <v>1482</v>
      </c>
      <c r="E507" s="2" t="n">
        <v>183213</v>
      </c>
      <c r="F507" s="15" t="n">
        <v>43690</v>
      </c>
      <c r="G507" s="15" t="n">
        <v>43696</v>
      </c>
      <c r="H507" s="3" t="n">
        <v>6</v>
      </c>
      <c r="I507" s="3" t="n">
        <v>2</v>
      </c>
      <c r="J507" s="3" t="n">
        <v>61</v>
      </c>
      <c r="K507" s="3" t="n">
        <v>1</v>
      </c>
      <c r="L507" s="3" t="n">
        <v>2</v>
      </c>
      <c r="M507" s="3" t="n">
        <v>2</v>
      </c>
      <c r="N507" s="3" t="n">
        <v>2</v>
      </c>
      <c r="O507" s="3" t="n">
        <v>2</v>
      </c>
      <c r="P507" s="3" t="n">
        <v>2</v>
      </c>
      <c r="Q507" s="3" t="n">
        <v>2</v>
      </c>
      <c r="R507" s="3" t="n">
        <v>2</v>
      </c>
      <c r="S507" s="3" t="n">
        <v>2</v>
      </c>
      <c r="T507" s="4" t="n">
        <v>1</v>
      </c>
      <c r="U507" s="3" t="n">
        <v>1</v>
      </c>
      <c r="V507" s="3" t="n">
        <v>4.24</v>
      </c>
      <c r="W507" s="3" t="n">
        <v>1.97</v>
      </c>
      <c r="X507" s="3" t="n">
        <v>5.53</v>
      </c>
      <c r="Y507" s="3" t="n">
        <v>413</v>
      </c>
      <c r="Z507" s="3" t="n">
        <v>82</v>
      </c>
      <c r="AA507" s="3" t="n">
        <v>0.46</v>
      </c>
      <c r="AB507" s="3" t="n">
        <v>8.3</v>
      </c>
      <c r="AD507" s="3" t="n">
        <v>1</v>
      </c>
      <c r="AE507" s="3" t="n">
        <v>1</v>
      </c>
      <c r="AF507" s="3" t="n">
        <v>1</v>
      </c>
      <c r="AG507" s="3" t="n">
        <v>1</v>
      </c>
      <c r="AH507" s="3" t="n">
        <v>2</v>
      </c>
      <c r="AI507" s="3" t="n">
        <v>1</v>
      </c>
      <c r="AJ507" s="3" t="n">
        <v>1</v>
      </c>
      <c r="AK507" s="3" t="n">
        <v>2</v>
      </c>
      <c r="AL507" s="3" t="n">
        <v>2</v>
      </c>
      <c r="AM507" s="3" t="n">
        <v>2</v>
      </c>
      <c r="AN507" s="3" t="n">
        <v>2</v>
      </c>
      <c r="AO507" s="3" t="n">
        <v>2</v>
      </c>
      <c r="AP507" s="3" t="n">
        <v>3</v>
      </c>
      <c r="AQ507" s="3" t="n">
        <v>4</v>
      </c>
      <c r="AR507" s="3" t="n">
        <v>4</v>
      </c>
      <c r="AS507" s="3" t="n">
        <v>6</v>
      </c>
      <c r="AT507" s="3" t="n">
        <v>4</v>
      </c>
      <c r="AU507" s="3" t="n">
        <v>4</v>
      </c>
      <c r="AV507" s="3" t="n">
        <v>6</v>
      </c>
      <c r="AW507" s="3" t="n">
        <v>6</v>
      </c>
      <c r="AX507" s="3" t="n">
        <v>3</v>
      </c>
      <c r="AY507" s="3" t="n">
        <v>3</v>
      </c>
      <c r="AZ507" s="3" t="n">
        <v>1</v>
      </c>
      <c r="BA507" s="5" t="n">
        <v>5</v>
      </c>
      <c r="BB507" s="3" t="n">
        <v>2</v>
      </c>
      <c r="BC507" s="3" t="n">
        <v>1</v>
      </c>
      <c r="BD507" s="3" t="n">
        <v>6</v>
      </c>
      <c r="BE507" s="3" t="n">
        <v>3</v>
      </c>
      <c r="BF507" s="3" t="n">
        <v>5</v>
      </c>
      <c r="BG507" s="3" t="n">
        <v>3</v>
      </c>
      <c r="BH507" s="3" t="n">
        <v>4</v>
      </c>
      <c r="BI507" s="3" t="n">
        <v>1</v>
      </c>
      <c r="BJ507" s="3" t="n">
        <v>1</v>
      </c>
      <c r="BK507" s="6" t="s">
        <v>1483</v>
      </c>
    </row>
    <row r="508" customFormat="false" ht="15" hidden="false" customHeight="true" outlineLevel="0" collapsed="false">
      <c r="B508" s="2" t="s">
        <v>1484</v>
      </c>
      <c r="C508" s="2" t="s">
        <v>210</v>
      </c>
      <c r="D508" s="2" t="s">
        <v>118</v>
      </c>
      <c r="E508" s="2" t="n">
        <v>159308</v>
      </c>
      <c r="F508" s="15" t="n">
        <v>43690</v>
      </c>
      <c r="G508" s="15" t="n">
        <v>43693</v>
      </c>
      <c r="H508" s="3" t="n">
        <v>3</v>
      </c>
      <c r="I508" s="3" t="n">
        <v>1</v>
      </c>
      <c r="J508" s="3" t="n">
        <v>57</v>
      </c>
      <c r="K508" s="3" t="n">
        <v>1</v>
      </c>
      <c r="L508" s="3" t="n">
        <v>1</v>
      </c>
      <c r="M508" s="3" t="n">
        <v>1</v>
      </c>
      <c r="N508" s="3" t="n">
        <v>2</v>
      </c>
      <c r="O508" s="3" t="n">
        <v>2</v>
      </c>
      <c r="P508" s="3" t="n">
        <v>2</v>
      </c>
      <c r="Q508" s="3" t="n">
        <v>2</v>
      </c>
      <c r="R508" s="3" t="n">
        <v>2</v>
      </c>
      <c r="S508" s="3" t="n">
        <v>2</v>
      </c>
      <c r="T508" s="4" t="n">
        <v>1</v>
      </c>
      <c r="U508" s="3" t="n">
        <v>1</v>
      </c>
      <c r="V508" s="3" t="n">
        <v>6.74</v>
      </c>
      <c r="W508" s="3" t="n">
        <v>0.97</v>
      </c>
      <c r="X508" s="3" t="n">
        <v>7.97</v>
      </c>
      <c r="Y508" s="3" t="n">
        <v>227</v>
      </c>
      <c r="Z508" s="3" t="n">
        <v>63</v>
      </c>
      <c r="AA508" s="3" t="n">
        <v>0.45</v>
      </c>
      <c r="AB508" s="3" t="n">
        <v>11.8</v>
      </c>
      <c r="AD508" s="3" t="n">
        <v>1</v>
      </c>
      <c r="AE508" s="3" t="n">
        <v>1</v>
      </c>
      <c r="AF508" s="3" t="n">
        <v>1</v>
      </c>
      <c r="AG508" s="3" t="n">
        <v>2</v>
      </c>
      <c r="AH508" s="3" t="n">
        <v>2</v>
      </c>
      <c r="AI508" s="3" t="n">
        <v>1</v>
      </c>
      <c r="AJ508" s="3" t="n">
        <v>1</v>
      </c>
      <c r="AK508" s="3" t="n">
        <v>2</v>
      </c>
      <c r="AL508" s="3" t="n">
        <v>2</v>
      </c>
      <c r="AM508" s="3" t="n">
        <v>2</v>
      </c>
      <c r="AN508" s="3" t="n">
        <v>2</v>
      </c>
      <c r="AO508" s="3" t="n">
        <v>2</v>
      </c>
      <c r="AP508" s="3" t="n">
        <v>3</v>
      </c>
      <c r="AQ508" s="3" t="n">
        <v>4</v>
      </c>
      <c r="AR508" s="3" t="n">
        <v>4</v>
      </c>
      <c r="AS508" s="3" t="n">
        <v>6</v>
      </c>
      <c r="AT508" s="3" t="n">
        <v>4</v>
      </c>
      <c r="AU508" s="3" t="n">
        <v>4</v>
      </c>
      <c r="AV508" s="3" t="n">
        <v>6</v>
      </c>
      <c r="AW508" s="3" t="n">
        <v>6</v>
      </c>
      <c r="AX508" s="3" t="n">
        <v>3</v>
      </c>
      <c r="AY508" s="3" t="n">
        <v>3</v>
      </c>
      <c r="AZ508" s="3" t="n">
        <v>1</v>
      </c>
      <c r="BA508" s="5" t="n">
        <v>5</v>
      </c>
      <c r="BB508" s="3" t="n">
        <v>2</v>
      </c>
      <c r="BC508" s="3" t="n">
        <v>1</v>
      </c>
      <c r="BD508" s="3" t="n">
        <v>6</v>
      </c>
      <c r="BE508" s="3" t="n">
        <v>3</v>
      </c>
      <c r="BF508" s="3" t="n">
        <v>5</v>
      </c>
      <c r="BG508" s="3" t="n">
        <v>3</v>
      </c>
      <c r="BH508" s="3" t="n">
        <v>4</v>
      </c>
      <c r="BI508" s="3" t="n">
        <v>1</v>
      </c>
      <c r="BJ508" s="3" t="n">
        <v>1</v>
      </c>
      <c r="BK508" s="6" t="s">
        <v>1485</v>
      </c>
    </row>
    <row r="509" customFormat="false" ht="15" hidden="false" customHeight="true" outlineLevel="0" collapsed="false">
      <c r="B509" s="2" t="s">
        <v>1486</v>
      </c>
      <c r="C509" s="2" t="s">
        <v>153</v>
      </c>
      <c r="D509" s="2" t="s">
        <v>127</v>
      </c>
      <c r="E509" s="2" t="n">
        <v>183345</v>
      </c>
      <c r="F509" s="15" t="n">
        <v>43689</v>
      </c>
      <c r="G509" s="15" t="n">
        <v>43696</v>
      </c>
      <c r="H509" s="3" t="n">
        <v>7</v>
      </c>
      <c r="I509" s="3" t="n">
        <v>1</v>
      </c>
      <c r="J509" s="3" t="n">
        <v>40</v>
      </c>
      <c r="K509" s="3" t="n">
        <v>1</v>
      </c>
      <c r="L509" s="3" t="n">
        <v>2</v>
      </c>
      <c r="M509" s="3" t="n">
        <v>2</v>
      </c>
      <c r="N509" s="3" t="n">
        <v>2</v>
      </c>
      <c r="O509" s="3" t="n">
        <v>2</v>
      </c>
      <c r="P509" s="3" t="n">
        <v>2</v>
      </c>
      <c r="Q509" s="3" t="n">
        <v>2</v>
      </c>
      <c r="R509" s="3" t="n">
        <v>2</v>
      </c>
      <c r="S509" s="3" t="n">
        <v>2</v>
      </c>
      <c r="T509" s="4" t="n">
        <v>1</v>
      </c>
      <c r="U509" s="3" t="n">
        <v>4</v>
      </c>
      <c r="V509" s="3" t="n">
        <v>4.78</v>
      </c>
      <c r="W509" s="3" t="n">
        <v>0.87</v>
      </c>
      <c r="X509" s="3" t="n">
        <v>5.25</v>
      </c>
      <c r="Y509" s="3" t="n">
        <v>237</v>
      </c>
      <c r="Z509" s="3" t="n">
        <v>53</v>
      </c>
      <c r="AA509" s="3" t="n">
        <v>0.45</v>
      </c>
      <c r="AB509" s="3" t="n">
        <v>13.5</v>
      </c>
      <c r="AD509" s="3" t="n">
        <v>2</v>
      </c>
      <c r="AE509" s="3" t="n">
        <v>1</v>
      </c>
      <c r="AF509" s="3" t="n">
        <v>2</v>
      </c>
      <c r="AG509" s="3" t="n">
        <v>2</v>
      </c>
      <c r="AH509" s="3" t="n">
        <v>2</v>
      </c>
      <c r="AI509" s="3" t="n">
        <v>2</v>
      </c>
      <c r="AJ509" s="3" t="n">
        <v>2</v>
      </c>
      <c r="AK509" s="3" t="n">
        <v>2</v>
      </c>
      <c r="AL509" s="3" t="n">
        <v>2</v>
      </c>
      <c r="AM509" s="3" t="n">
        <v>2</v>
      </c>
      <c r="AN509" s="3" t="n">
        <v>2</v>
      </c>
      <c r="AO509" s="3" t="n">
        <v>2</v>
      </c>
      <c r="AP509" s="3" t="n">
        <v>3</v>
      </c>
      <c r="AQ509" s="3" t="n">
        <v>4</v>
      </c>
      <c r="AR509" s="3" t="n">
        <v>4</v>
      </c>
      <c r="AS509" s="3" t="n">
        <v>6</v>
      </c>
      <c r="AT509" s="3" t="n">
        <v>4</v>
      </c>
      <c r="AU509" s="3" t="n">
        <v>4</v>
      </c>
      <c r="AV509" s="3" t="n">
        <v>6</v>
      </c>
      <c r="AW509" s="3" t="n">
        <v>6</v>
      </c>
      <c r="AX509" s="3" t="n">
        <v>3</v>
      </c>
      <c r="AY509" s="3" t="n">
        <v>3</v>
      </c>
      <c r="AZ509" s="3" t="n">
        <v>1</v>
      </c>
      <c r="BA509" s="5" t="n">
        <v>10</v>
      </c>
      <c r="BB509" s="3" t="n">
        <v>2</v>
      </c>
      <c r="BC509" s="3" t="n">
        <v>1</v>
      </c>
      <c r="BD509" s="3" t="n">
        <v>6</v>
      </c>
      <c r="BE509" s="3" t="n">
        <v>3</v>
      </c>
      <c r="BF509" s="3" t="n">
        <v>5</v>
      </c>
      <c r="BG509" s="3" t="n">
        <v>3</v>
      </c>
      <c r="BH509" s="3" t="n">
        <v>4</v>
      </c>
      <c r="BI509" s="3" t="n">
        <v>1</v>
      </c>
      <c r="BJ509" s="3" t="n">
        <v>1</v>
      </c>
      <c r="BK509" s="6" t="s">
        <v>1487</v>
      </c>
    </row>
    <row r="510" customFormat="false" ht="15" hidden="false" customHeight="true" outlineLevel="0" collapsed="false">
      <c r="B510" s="2" t="s">
        <v>335</v>
      </c>
      <c r="C510" s="2" t="s">
        <v>846</v>
      </c>
      <c r="D510" s="2" t="s">
        <v>443</v>
      </c>
      <c r="E510" s="2" t="n">
        <v>182659</v>
      </c>
      <c r="F510" s="15" t="n">
        <v>43689</v>
      </c>
      <c r="G510" s="15" t="n">
        <v>43692</v>
      </c>
      <c r="H510" s="3" t="n">
        <v>3</v>
      </c>
      <c r="I510" s="3" t="n">
        <v>1</v>
      </c>
      <c r="J510" s="3" t="n">
        <v>80</v>
      </c>
      <c r="K510" s="3" t="n">
        <v>1</v>
      </c>
      <c r="L510" s="3" t="n">
        <v>2</v>
      </c>
      <c r="M510" s="3" t="n">
        <v>1</v>
      </c>
      <c r="N510" s="3" t="n">
        <v>2</v>
      </c>
      <c r="O510" s="3" t="n">
        <v>2</v>
      </c>
      <c r="P510" s="3" t="n">
        <v>1</v>
      </c>
      <c r="Q510" s="3" t="n">
        <v>2</v>
      </c>
      <c r="R510" s="3" t="n">
        <v>2</v>
      </c>
      <c r="S510" s="3" t="n">
        <v>1</v>
      </c>
      <c r="T510" s="4" t="n">
        <v>6</v>
      </c>
      <c r="U510" s="3" t="n">
        <v>4</v>
      </c>
      <c r="AD510" s="3" t="n">
        <v>2</v>
      </c>
      <c r="AE510" s="3" t="n">
        <v>1</v>
      </c>
      <c r="AF510" s="3" t="n">
        <v>1</v>
      </c>
      <c r="AG510" s="3" t="n">
        <v>1</v>
      </c>
      <c r="AH510" s="3" t="n">
        <v>2</v>
      </c>
      <c r="AI510" s="3" t="n">
        <v>1</v>
      </c>
      <c r="AJ510" s="3" t="n">
        <v>1</v>
      </c>
      <c r="AK510" s="3" t="n">
        <v>2</v>
      </c>
      <c r="AL510" s="3" t="n">
        <v>2</v>
      </c>
      <c r="AM510" s="3" t="n">
        <v>2</v>
      </c>
      <c r="AN510" s="3" t="n">
        <v>2</v>
      </c>
      <c r="AO510" s="3" t="n">
        <v>2</v>
      </c>
      <c r="AP510" s="3" t="n">
        <v>3</v>
      </c>
      <c r="AQ510" s="3" t="n">
        <v>4</v>
      </c>
      <c r="AR510" s="3" t="n">
        <v>4</v>
      </c>
      <c r="AS510" s="3" t="n">
        <v>6</v>
      </c>
      <c r="AT510" s="3" t="n">
        <v>4</v>
      </c>
      <c r="AU510" s="3" t="n">
        <v>4</v>
      </c>
      <c r="AV510" s="3" t="n">
        <v>6</v>
      </c>
      <c r="AW510" s="3" t="n">
        <v>6</v>
      </c>
      <c r="AX510" s="3" t="n">
        <v>3</v>
      </c>
      <c r="AY510" s="3" t="n">
        <v>3</v>
      </c>
      <c r="AZ510" s="3" t="n">
        <v>1</v>
      </c>
      <c r="BA510" s="5" t="n">
        <v>10</v>
      </c>
      <c r="BB510" s="3" t="n">
        <v>2</v>
      </c>
      <c r="BC510" s="3" t="n">
        <v>1</v>
      </c>
      <c r="BD510" s="3" t="n">
        <v>6</v>
      </c>
      <c r="BE510" s="3" t="n">
        <v>3</v>
      </c>
      <c r="BF510" s="3" t="n">
        <v>5</v>
      </c>
      <c r="BG510" s="3" t="n">
        <v>3</v>
      </c>
      <c r="BH510" s="3" t="n">
        <v>4</v>
      </c>
      <c r="BI510" s="3" t="n">
        <v>1</v>
      </c>
      <c r="BJ510" s="3" t="n">
        <v>1</v>
      </c>
      <c r="BK510" s="6" t="s">
        <v>1488</v>
      </c>
    </row>
    <row r="511" customFormat="false" ht="15" hidden="false" customHeight="true" outlineLevel="0" collapsed="false">
      <c r="B511" s="2" t="s">
        <v>1138</v>
      </c>
      <c r="C511" s="2" t="s">
        <v>1489</v>
      </c>
      <c r="D511" s="2" t="s">
        <v>1490</v>
      </c>
      <c r="E511" s="2" t="n">
        <v>183349</v>
      </c>
      <c r="F511" s="15" t="n">
        <v>43689</v>
      </c>
      <c r="G511" s="15" t="n">
        <v>43694</v>
      </c>
      <c r="H511" s="3" t="n">
        <v>5</v>
      </c>
      <c r="I511" s="3" t="n">
        <v>2</v>
      </c>
      <c r="J511" s="3" t="n">
        <v>58</v>
      </c>
      <c r="K511" s="3" t="n">
        <v>1</v>
      </c>
      <c r="L511" s="3" t="n">
        <v>2</v>
      </c>
      <c r="M511" s="3" t="n">
        <v>2</v>
      </c>
      <c r="N511" s="3" t="n">
        <v>2</v>
      </c>
      <c r="O511" s="3" t="n">
        <v>2</v>
      </c>
      <c r="P511" s="3" t="n">
        <v>2</v>
      </c>
      <c r="Q511" s="3" t="n">
        <v>1</v>
      </c>
      <c r="R511" s="3" t="n">
        <v>2</v>
      </c>
      <c r="S511" s="3" t="n">
        <v>2</v>
      </c>
      <c r="T511" s="4" t="n">
        <v>3</v>
      </c>
      <c r="U511" s="3" t="n">
        <v>1</v>
      </c>
      <c r="V511" s="3" t="n">
        <v>3.59</v>
      </c>
      <c r="W511" s="3" t="n">
        <v>1.09</v>
      </c>
      <c r="X511" s="3" t="n">
        <v>11.24</v>
      </c>
      <c r="Y511" s="3" t="n">
        <v>551</v>
      </c>
      <c r="Z511" s="3" t="n">
        <v>90</v>
      </c>
      <c r="AA511" s="3" t="n">
        <v>0.4</v>
      </c>
      <c r="AB511" s="3" t="n">
        <v>14</v>
      </c>
      <c r="AD511" s="3" t="n">
        <v>2</v>
      </c>
      <c r="AE511" s="3" t="n">
        <v>2</v>
      </c>
      <c r="AF511" s="3" t="n">
        <v>2</v>
      </c>
      <c r="AG511" s="3" t="n">
        <v>2</v>
      </c>
      <c r="AH511" s="3" t="n">
        <v>2</v>
      </c>
      <c r="AI511" s="3" t="n">
        <v>2</v>
      </c>
      <c r="AJ511" s="3" t="n">
        <v>2</v>
      </c>
      <c r="AK511" s="3" t="n">
        <v>1</v>
      </c>
      <c r="AL511" s="3" t="n">
        <v>1</v>
      </c>
      <c r="AM511" s="3" t="n">
        <v>1</v>
      </c>
      <c r="AN511" s="3" t="n">
        <v>2</v>
      </c>
      <c r="AO511" s="3" t="n">
        <v>2</v>
      </c>
      <c r="AP511" s="3" t="n">
        <v>3</v>
      </c>
      <c r="AQ511" s="3" t="n">
        <v>4</v>
      </c>
      <c r="AR511" s="3" t="n">
        <v>4</v>
      </c>
      <c r="AS511" s="3" t="n">
        <v>6</v>
      </c>
      <c r="AT511" s="3" t="n">
        <v>4</v>
      </c>
      <c r="AU511" s="3" t="n">
        <v>4</v>
      </c>
      <c r="AV511" s="3" t="n">
        <v>6</v>
      </c>
      <c r="AW511" s="3" t="n">
        <v>6</v>
      </c>
      <c r="AX511" s="3" t="n">
        <v>3</v>
      </c>
      <c r="AY511" s="3" t="n">
        <v>3</v>
      </c>
      <c r="AZ511" s="3" t="n">
        <v>1</v>
      </c>
      <c r="BA511" s="5" t="n">
        <v>11</v>
      </c>
      <c r="BB511" s="3" t="n">
        <v>2</v>
      </c>
      <c r="BC511" s="3" t="n">
        <v>1</v>
      </c>
      <c r="BD511" s="3" t="n">
        <v>6</v>
      </c>
      <c r="BE511" s="3" t="n">
        <v>3</v>
      </c>
      <c r="BF511" s="3" t="n">
        <v>5</v>
      </c>
      <c r="BG511" s="3" t="n">
        <v>3</v>
      </c>
      <c r="BH511" s="3" t="n">
        <v>4</v>
      </c>
      <c r="BI511" s="3" t="n">
        <v>1</v>
      </c>
      <c r="BJ511" s="3" t="n">
        <v>1</v>
      </c>
      <c r="BK511" s="6" t="s">
        <v>1491</v>
      </c>
    </row>
    <row r="512" customFormat="false" ht="15" hidden="false" customHeight="true" outlineLevel="0" collapsed="false">
      <c r="B512" s="2" t="s">
        <v>831</v>
      </c>
      <c r="C512" s="2" t="s">
        <v>109</v>
      </c>
      <c r="D512" s="2" t="s">
        <v>433</v>
      </c>
      <c r="E512" s="2" t="n">
        <v>183242</v>
      </c>
      <c r="F512" s="15" t="n">
        <v>43691</v>
      </c>
      <c r="G512" s="15" t="n">
        <v>43697</v>
      </c>
      <c r="H512" s="3" t="n">
        <v>6</v>
      </c>
      <c r="I512" s="3" t="n">
        <v>2</v>
      </c>
      <c r="J512" s="3" t="n">
        <v>51</v>
      </c>
      <c r="K512" s="3" t="n">
        <v>2</v>
      </c>
      <c r="L512" s="3" t="n">
        <v>2</v>
      </c>
      <c r="M512" s="3" t="n">
        <v>1</v>
      </c>
      <c r="N512" s="3" t="n">
        <v>1</v>
      </c>
      <c r="O512" s="3" t="n">
        <v>2</v>
      </c>
      <c r="P512" s="3" t="n">
        <v>1</v>
      </c>
      <c r="Q512" s="3" t="n">
        <v>1</v>
      </c>
      <c r="R512" s="3" t="n">
        <v>2</v>
      </c>
      <c r="S512" s="3" t="n">
        <v>1</v>
      </c>
      <c r="T512" s="4" t="n">
        <v>1</v>
      </c>
      <c r="U512" s="3" t="n">
        <v>1</v>
      </c>
      <c r="V512" s="3" t="n">
        <v>2.38</v>
      </c>
      <c r="W512" s="3" t="n">
        <v>2.52</v>
      </c>
      <c r="X512" s="3" t="n">
        <v>6.99</v>
      </c>
      <c r="Y512" s="3" t="n">
        <v>370</v>
      </c>
      <c r="Z512" s="3" t="n">
        <v>91</v>
      </c>
      <c r="AA512" s="3" t="n">
        <v>0.42</v>
      </c>
      <c r="AB512" s="3" t="n">
        <v>9.9</v>
      </c>
      <c r="AD512" s="3" t="n">
        <v>1</v>
      </c>
      <c r="AE512" s="3" t="n">
        <v>1</v>
      </c>
      <c r="AF512" s="3" t="n">
        <v>1</v>
      </c>
      <c r="AG512" s="3" t="n">
        <v>2</v>
      </c>
      <c r="AH512" s="3" t="n">
        <v>1</v>
      </c>
      <c r="AI512" s="3" t="n">
        <v>1</v>
      </c>
      <c r="AJ512" s="3" t="n">
        <v>1</v>
      </c>
      <c r="AK512" s="3" t="n">
        <v>2</v>
      </c>
      <c r="AL512" s="3" t="n">
        <v>2</v>
      </c>
      <c r="AM512" s="3" t="n">
        <v>1</v>
      </c>
      <c r="AN512" s="3" t="n">
        <v>2</v>
      </c>
      <c r="AO512" s="3" t="n">
        <v>2</v>
      </c>
      <c r="AP512" s="3" t="n">
        <v>3</v>
      </c>
      <c r="AQ512" s="3" t="n">
        <v>4</v>
      </c>
      <c r="AR512" s="3" t="n">
        <v>4</v>
      </c>
      <c r="AS512" s="3" t="n">
        <v>6</v>
      </c>
      <c r="AT512" s="3" t="n">
        <v>4</v>
      </c>
      <c r="AU512" s="3" t="n">
        <v>4</v>
      </c>
      <c r="AV512" s="3" t="n">
        <v>6</v>
      </c>
      <c r="AW512" s="3" t="n">
        <v>6</v>
      </c>
      <c r="AX512" s="3" t="n">
        <v>3</v>
      </c>
      <c r="AY512" s="3" t="n">
        <v>3</v>
      </c>
      <c r="AZ512" s="3" t="n">
        <v>1</v>
      </c>
      <c r="BA512" s="5" t="n">
        <v>5</v>
      </c>
      <c r="BB512" s="3" t="n">
        <v>2</v>
      </c>
      <c r="BC512" s="3" t="n">
        <v>1</v>
      </c>
      <c r="BD512" s="3" t="n">
        <v>6</v>
      </c>
      <c r="BE512" s="3" t="n">
        <v>3</v>
      </c>
      <c r="BF512" s="3" t="n">
        <v>5</v>
      </c>
      <c r="BG512" s="3" t="n">
        <v>3</v>
      </c>
      <c r="BH512" s="3" t="n">
        <v>4</v>
      </c>
      <c r="BI512" s="3" t="n">
        <v>1</v>
      </c>
      <c r="BJ512" s="3" t="n">
        <v>1</v>
      </c>
      <c r="BK512" s="6" t="s">
        <v>1492</v>
      </c>
    </row>
    <row r="513" customFormat="false" ht="15" hidden="false" customHeight="true" outlineLevel="0" collapsed="false">
      <c r="B513" s="2" t="s">
        <v>1493</v>
      </c>
      <c r="C513" s="2" t="s">
        <v>1494</v>
      </c>
      <c r="D513" s="2" t="s">
        <v>109</v>
      </c>
      <c r="E513" s="2" t="n">
        <v>184387</v>
      </c>
      <c r="F513" s="15" t="n">
        <v>43706</v>
      </c>
      <c r="G513" s="15" t="n">
        <v>43708</v>
      </c>
      <c r="H513" s="3" t="n">
        <v>3</v>
      </c>
      <c r="I513" s="3" t="n">
        <v>2</v>
      </c>
      <c r="J513" s="3" t="n">
        <v>73</v>
      </c>
      <c r="K513" s="3" t="n">
        <v>1</v>
      </c>
      <c r="L513" s="3" t="n">
        <v>2</v>
      </c>
      <c r="M513" s="3" t="n">
        <v>1</v>
      </c>
      <c r="N513" s="3" t="n">
        <v>1</v>
      </c>
      <c r="O513" s="3" t="n">
        <v>2</v>
      </c>
      <c r="P513" s="3" t="n">
        <v>2</v>
      </c>
      <c r="Q513" s="3" t="n">
        <v>2</v>
      </c>
      <c r="R513" s="3" t="n">
        <v>2</v>
      </c>
      <c r="S513" s="3" t="n">
        <v>1</v>
      </c>
      <c r="T513" s="4" t="n">
        <v>1</v>
      </c>
      <c r="U513" s="3" t="n">
        <v>1</v>
      </c>
      <c r="V513" s="3" t="n">
        <v>5.54</v>
      </c>
      <c r="W513" s="3" t="n">
        <v>4.9</v>
      </c>
      <c r="X513" s="3" t="n">
        <v>6.5</v>
      </c>
      <c r="Y513" s="3" t="n">
        <v>513</v>
      </c>
      <c r="Z513" s="3" t="n">
        <v>76</v>
      </c>
      <c r="AA513" s="3" t="n">
        <v>0.49</v>
      </c>
      <c r="AB513" s="3" t="n">
        <v>10.8</v>
      </c>
      <c r="AC513" s="3" t="n">
        <v>3</v>
      </c>
      <c r="AD513" s="3" t="n">
        <v>2</v>
      </c>
      <c r="AE513" s="3" t="n">
        <v>1</v>
      </c>
      <c r="AF513" s="3" t="n">
        <v>1</v>
      </c>
      <c r="AG513" s="3" t="n">
        <v>1</v>
      </c>
      <c r="AH513" s="3" t="n">
        <v>2</v>
      </c>
      <c r="AI513" s="3" t="n">
        <v>1</v>
      </c>
      <c r="AJ513" s="3" t="n">
        <v>1</v>
      </c>
      <c r="AK513" s="3" t="n">
        <v>2</v>
      </c>
      <c r="AL513" s="3" t="n">
        <v>2</v>
      </c>
      <c r="AM513" s="3" t="n">
        <v>2</v>
      </c>
      <c r="AN513" s="3" t="n">
        <v>2</v>
      </c>
      <c r="AO513" s="3" t="n">
        <v>2</v>
      </c>
      <c r="AP513" s="3" t="n">
        <v>3</v>
      </c>
      <c r="AQ513" s="3" t="n">
        <v>4</v>
      </c>
      <c r="AR513" s="3" t="n">
        <v>4</v>
      </c>
      <c r="AS513" s="3" t="n">
        <v>6</v>
      </c>
      <c r="AT513" s="3" t="n">
        <v>4</v>
      </c>
      <c r="AU513" s="3" t="n">
        <v>4</v>
      </c>
      <c r="AV513" s="3" t="n">
        <v>6</v>
      </c>
      <c r="AW513" s="3" t="n">
        <v>6</v>
      </c>
      <c r="AX513" s="3" t="n">
        <v>3</v>
      </c>
      <c r="AY513" s="3" t="n">
        <v>3</v>
      </c>
      <c r="AZ513" s="3" t="n">
        <v>1</v>
      </c>
      <c r="BA513" s="5" t="n">
        <v>5</v>
      </c>
      <c r="BB513" s="3" t="n">
        <v>2</v>
      </c>
      <c r="BC513" s="3" t="n">
        <v>1</v>
      </c>
      <c r="BD513" s="3" t="n">
        <v>6</v>
      </c>
      <c r="BE513" s="3" t="n">
        <v>3</v>
      </c>
      <c r="BF513" s="3" t="n">
        <v>5</v>
      </c>
      <c r="BG513" s="3" t="n">
        <v>3</v>
      </c>
      <c r="BH513" s="3" t="n">
        <v>4</v>
      </c>
      <c r="BI513" s="3" t="n">
        <v>1</v>
      </c>
      <c r="BJ513" s="3" t="n">
        <v>1</v>
      </c>
      <c r="BK513" s="6" t="s">
        <v>1495</v>
      </c>
    </row>
    <row r="514" customFormat="false" ht="15" hidden="false" customHeight="false" outlineLevel="0" collapsed="false">
      <c r="A514" s="1" t="s">
        <v>125</v>
      </c>
      <c r="B514" s="14" t="s">
        <v>1496</v>
      </c>
      <c r="C514" s="14" t="s">
        <v>1497</v>
      </c>
      <c r="D514" s="14" t="s">
        <v>1498</v>
      </c>
      <c r="E514" s="14" t="n">
        <v>184006</v>
      </c>
      <c r="F514" s="22" t="n">
        <v>43697</v>
      </c>
      <c r="G514" s="22" t="n">
        <v>43704</v>
      </c>
      <c r="H514" s="3" t="n">
        <v>7</v>
      </c>
      <c r="I514" s="3" t="n">
        <v>2</v>
      </c>
      <c r="J514" s="3" t="n">
        <v>63</v>
      </c>
      <c r="K514" s="3" t="n">
        <v>1</v>
      </c>
      <c r="L514" s="3" t="n">
        <v>1</v>
      </c>
      <c r="M514" s="3" t="n">
        <v>1</v>
      </c>
      <c r="N514" s="3" t="n">
        <v>2</v>
      </c>
      <c r="O514" s="3" t="n">
        <v>1</v>
      </c>
      <c r="P514" s="3" t="n">
        <v>1</v>
      </c>
      <c r="Q514" s="3" t="n">
        <v>2</v>
      </c>
      <c r="R514" s="3" t="n">
        <v>2</v>
      </c>
      <c r="S514" s="3" t="n">
        <v>1</v>
      </c>
      <c r="T514" s="4" t="n">
        <v>2</v>
      </c>
      <c r="U514" s="3" t="n">
        <v>2</v>
      </c>
      <c r="AC514" s="3" t="n">
        <v>1</v>
      </c>
      <c r="AD514" s="3" t="n">
        <v>2</v>
      </c>
      <c r="AE514" s="3" t="n">
        <v>1</v>
      </c>
      <c r="AF514" s="3" t="n">
        <v>1</v>
      </c>
      <c r="AG514" s="3" t="n">
        <v>1</v>
      </c>
      <c r="AH514" s="3" t="n">
        <v>2</v>
      </c>
      <c r="AI514" s="3" t="n">
        <v>1</v>
      </c>
      <c r="AJ514" s="3" t="n">
        <v>1</v>
      </c>
      <c r="AK514" s="3" t="n">
        <v>2</v>
      </c>
      <c r="AL514" s="3" t="n">
        <v>2</v>
      </c>
      <c r="AM514" s="3" t="n">
        <v>2</v>
      </c>
      <c r="AN514" s="3" t="n">
        <v>2</v>
      </c>
      <c r="AO514" s="3" t="n">
        <v>2</v>
      </c>
      <c r="AP514" s="3" t="n">
        <v>2</v>
      </c>
      <c r="AQ514" s="3" t="n">
        <v>3</v>
      </c>
      <c r="AR514" s="3" t="n">
        <v>4</v>
      </c>
      <c r="AS514" s="3" t="n">
        <v>6</v>
      </c>
      <c r="AT514" s="3" t="n">
        <v>4</v>
      </c>
      <c r="AU514" s="3" t="n">
        <v>4</v>
      </c>
      <c r="AV514" s="3" t="n">
        <v>1</v>
      </c>
      <c r="AW514" s="3" t="n">
        <v>6</v>
      </c>
      <c r="AX514" s="3" t="n">
        <v>2</v>
      </c>
      <c r="AY514" s="3" t="n">
        <v>1</v>
      </c>
      <c r="AZ514" s="3" t="n">
        <v>1</v>
      </c>
      <c r="BA514" s="5" t="n">
        <v>1</v>
      </c>
      <c r="BB514" s="3" t="n">
        <v>1</v>
      </c>
      <c r="BC514" s="3" t="n">
        <v>1</v>
      </c>
      <c r="BD514" s="3" t="n">
        <v>4</v>
      </c>
      <c r="BE514" s="3" t="n">
        <v>1</v>
      </c>
      <c r="BF514" s="3" t="n">
        <v>1</v>
      </c>
      <c r="BG514" s="3" t="n">
        <v>1</v>
      </c>
      <c r="BH514" s="3" t="n">
        <v>4</v>
      </c>
      <c r="BI514" s="3" t="n">
        <v>4</v>
      </c>
      <c r="BJ514" s="3" t="n">
        <v>1</v>
      </c>
      <c r="BK514" s="16" t="s">
        <v>1499</v>
      </c>
    </row>
    <row r="515" customFormat="false" ht="15" hidden="false" customHeight="true" outlineLevel="0" collapsed="false">
      <c r="B515" s="2" t="s">
        <v>254</v>
      </c>
      <c r="C515" s="2" t="s">
        <v>1500</v>
      </c>
      <c r="D515" s="2" t="s">
        <v>1501</v>
      </c>
      <c r="E515" s="2" t="n">
        <v>866171</v>
      </c>
      <c r="F515" s="15" t="n">
        <v>43696</v>
      </c>
      <c r="G515" s="15" t="n">
        <v>43701</v>
      </c>
      <c r="H515" s="3" t="n">
        <v>5</v>
      </c>
      <c r="I515" s="3" t="n">
        <v>2</v>
      </c>
      <c r="J515" s="3" t="n">
        <v>51</v>
      </c>
      <c r="K515" s="3" t="n">
        <v>2</v>
      </c>
      <c r="L515" s="3" t="n">
        <v>2</v>
      </c>
      <c r="M515" s="3" t="n">
        <v>1</v>
      </c>
      <c r="N515" s="3" t="n">
        <v>2</v>
      </c>
      <c r="O515" s="3" t="n">
        <v>2</v>
      </c>
      <c r="P515" s="3" t="n">
        <v>2</v>
      </c>
      <c r="Q515" s="3" t="n">
        <v>2</v>
      </c>
      <c r="R515" s="3" t="n">
        <v>2</v>
      </c>
      <c r="S515" s="3" t="n">
        <v>1</v>
      </c>
      <c r="T515" s="4" t="n">
        <v>3</v>
      </c>
      <c r="U515" s="3" t="n">
        <v>4</v>
      </c>
      <c r="AC515" s="3" t="n">
        <v>2</v>
      </c>
      <c r="AD515" s="3" t="n">
        <v>2</v>
      </c>
      <c r="AE515" s="3" t="n">
        <v>1</v>
      </c>
      <c r="AF515" s="3" t="n">
        <v>1</v>
      </c>
      <c r="AG515" s="3" t="n">
        <v>2</v>
      </c>
      <c r="AH515" s="3" t="n">
        <v>2</v>
      </c>
      <c r="AI515" s="3" t="n">
        <v>2</v>
      </c>
      <c r="AJ515" s="3" t="n">
        <v>1</v>
      </c>
      <c r="AK515" s="3" t="n">
        <v>2</v>
      </c>
      <c r="AL515" s="3" t="n">
        <v>2</v>
      </c>
      <c r="AM515" s="3" t="n">
        <v>2</v>
      </c>
      <c r="AN515" s="3" t="n">
        <v>2</v>
      </c>
      <c r="AO515" s="3" t="n">
        <v>2</v>
      </c>
      <c r="AP515" s="3" t="n">
        <v>3</v>
      </c>
      <c r="AQ515" s="3" t="n">
        <v>4</v>
      </c>
      <c r="AR515" s="3" t="n">
        <v>4</v>
      </c>
      <c r="AS515" s="3" t="n">
        <v>6</v>
      </c>
      <c r="AT515" s="3" t="n">
        <v>4</v>
      </c>
      <c r="AU515" s="3" t="n">
        <v>4</v>
      </c>
      <c r="AV515" s="3" t="n">
        <v>6</v>
      </c>
      <c r="AW515" s="3" t="n">
        <v>6</v>
      </c>
      <c r="AX515" s="3" t="n">
        <v>3</v>
      </c>
      <c r="AY515" s="3" t="n">
        <v>3</v>
      </c>
      <c r="AZ515" s="3" t="n">
        <v>1</v>
      </c>
      <c r="BA515" s="5" t="n">
        <v>11</v>
      </c>
      <c r="BB515" s="3" t="n">
        <v>2</v>
      </c>
      <c r="BC515" s="3" t="n">
        <v>1</v>
      </c>
      <c r="BD515" s="3" t="n">
        <v>6</v>
      </c>
      <c r="BE515" s="3" t="n">
        <v>3</v>
      </c>
      <c r="BF515" s="3" t="n">
        <v>5</v>
      </c>
      <c r="BG515" s="3" t="n">
        <v>3</v>
      </c>
      <c r="BH515" s="3" t="n">
        <v>4</v>
      </c>
      <c r="BI515" s="3" t="n">
        <v>1</v>
      </c>
      <c r="BJ515" s="3" t="n">
        <v>1</v>
      </c>
    </row>
    <row r="516" customFormat="false" ht="15.75" hidden="false" customHeight="true" outlineLevel="0" collapsed="false">
      <c r="B516" s="14" t="s">
        <v>427</v>
      </c>
      <c r="C516" s="14" t="s">
        <v>1417</v>
      </c>
      <c r="D516" s="14" t="s">
        <v>1502</v>
      </c>
      <c r="E516" s="14" t="n">
        <v>183445</v>
      </c>
      <c r="F516" s="22" t="n">
        <v>43695</v>
      </c>
      <c r="G516" s="22" t="n">
        <v>43701</v>
      </c>
      <c r="H516" s="3" t="n">
        <v>6</v>
      </c>
      <c r="I516" s="3" t="n">
        <v>2</v>
      </c>
      <c r="J516" s="3" t="n">
        <v>65</v>
      </c>
      <c r="K516" s="3" t="n">
        <v>1</v>
      </c>
      <c r="L516" s="3" t="n">
        <v>2</v>
      </c>
      <c r="M516" s="3" t="n">
        <v>1</v>
      </c>
      <c r="N516" s="3" t="n">
        <v>2</v>
      </c>
      <c r="O516" s="3" t="n">
        <v>2</v>
      </c>
      <c r="P516" s="3" t="n">
        <v>2</v>
      </c>
      <c r="Q516" s="3" t="n">
        <v>2</v>
      </c>
      <c r="R516" s="3" t="n">
        <v>2</v>
      </c>
      <c r="S516" s="3" t="n">
        <v>1</v>
      </c>
      <c r="T516" s="4" t="n">
        <v>4</v>
      </c>
      <c r="U516" s="3" t="n">
        <v>4</v>
      </c>
      <c r="V516" s="3" t="s">
        <v>1503</v>
      </c>
      <c r="W516" s="3" t="s">
        <v>1504</v>
      </c>
      <c r="X516" s="3" t="s">
        <v>1503</v>
      </c>
      <c r="Y516" s="3" t="s">
        <v>1505</v>
      </c>
      <c r="Z516" s="3" t="n">
        <v>64</v>
      </c>
      <c r="AA516" s="3" t="s">
        <v>1506</v>
      </c>
      <c r="AB516" s="3" t="n">
        <v>7.24</v>
      </c>
      <c r="AC516" s="3" t="n">
        <v>1</v>
      </c>
      <c r="AD516" s="3" t="n">
        <v>1</v>
      </c>
      <c r="AE516" s="3" t="n">
        <v>1</v>
      </c>
      <c r="AF516" s="3" t="n">
        <v>1</v>
      </c>
      <c r="AG516" s="3" t="n">
        <v>2</v>
      </c>
      <c r="AH516" s="3" t="n">
        <v>1</v>
      </c>
      <c r="AI516" s="3" t="n">
        <v>1</v>
      </c>
      <c r="AJ516" s="3" t="n">
        <v>1</v>
      </c>
      <c r="AK516" s="3" t="n">
        <v>2</v>
      </c>
      <c r="AL516" s="3" t="n">
        <v>1</v>
      </c>
      <c r="AM516" s="3" t="n">
        <v>2</v>
      </c>
      <c r="AN516" s="3" t="n">
        <v>2</v>
      </c>
      <c r="AO516" s="3" t="n">
        <v>2</v>
      </c>
      <c r="AP516" s="3" t="n">
        <v>3</v>
      </c>
      <c r="AQ516" s="3" t="n">
        <v>4</v>
      </c>
      <c r="AR516" s="3" t="n">
        <v>4</v>
      </c>
      <c r="AS516" s="3" t="n">
        <v>6</v>
      </c>
      <c r="AT516" s="3" t="n">
        <v>4</v>
      </c>
      <c r="AU516" s="3" t="n">
        <v>4</v>
      </c>
      <c r="AV516" s="3" t="n">
        <v>6</v>
      </c>
      <c r="AW516" s="3" t="n">
        <v>6</v>
      </c>
      <c r="AX516" s="3" t="n">
        <v>2</v>
      </c>
      <c r="AY516" s="3" t="n">
        <v>3</v>
      </c>
      <c r="AZ516" s="3" t="n">
        <v>1</v>
      </c>
      <c r="BA516" s="5" t="n">
        <v>10</v>
      </c>
      <c r="BB516" s="3" t="n">
        <v>2</v>
      </c>
      <c r="BC516" s="3" t="n">
        <v>1</v>
      </c>
      <c r="BD516" s="3" t="n">
        <v>6</v>
      </c>
      <c r="BE516" s="3" t="n">
        <v>3</v>
      </c>
      <c r="BF516" s="3" t="n">
        <v>5</v>
      </c>
      <c r="BG516" s="3" t="n">
        <v>3</v>
      </c>
      <c r="BH516" s="3" t="n">
        <v>4</v>
      </c>
      <c r="BI516" s="3" t="n">
        <v>1</v>
      </c>
      <c r="BJ516" s="3" t="n">
        <v>1</v>
      </c>
      <c r="BK516" s="16" t="s">
        <v>1507</v>
      </c>
    </row>
    <row r="517" customFormat="false" ht="16.5" hidden="false" customHeight="true" outlineLevel="0" collapsed="false">
      <c r="B517" s="2" t="s">
        <v>1508</v>
      </c>
      <c r="C517" s="2" t="s">
        <v>1509</v>
      </c>
      <c r="D517" s="2" t="s">
        <v>1510</v>
      </c>
      <c r="E517" s="2" t="n">
        <v>179633</v>
      </c>
      <c r="F517" s="15" t="n">
        <v>43696</v>
      </c>
      <c r="G517" s="15" t="n">
        <v>43703</v>
      </c>
      <c r="H517" s="3" t="n">
        <v>7</v>
      </c>
      <c r="I517" s="3" t="n">
        <v>1</v>
      </c>
      <c r="J517" s="3" t="n">
        <v>62</v>
      </c>
      <c r="K517" s="3" t="n">
        <v>1</v>
      </c>
      <c r="L517" s="3" t="n">
        <v>1</v>
      </c>
      <c r="M517" s="3" t="n">
        <v>1</v>
      </c>
      <c r="N517" s="3" t="n">
        <v>1</v>
      </c>
      <c r="O517" s="3" t="n">
        <v>1</v>
      </c>
      <c r="P517" s="3" t="n">
        <v>1</v>
      </c>
      <c r="Q517" s="3" t="n">
        <v>1</v>
      </c>
      <c r="R517" s="3" t="n">
        <v>2</v>
      </c>
      <c r="S517" s="3" t="n">
        <v>1</v>
      </c>
      <c r="T517" s="4" t="n">
        <v>1</v>
      </c>
      <c r="U517" s="3" t="n">
        <v>1</v>
      </c>
      <c r="AD517" s="3" t="n">
        <v>1</v>
      </c>
      <c r="AE517" s="3" t="n">
        <v>1</v>
      </c>
      <c r="AF517" s="3" t="n">
        <v>1</v>
      </c>
      <c r="AG517" s="3" t="n">
        <v>2</v>
      </c>
      <c r="AH517" s="3" t="n">
        <v>2</v>
      </c>
      <c r="AI517" s="3" t="n">
        <v>1</v>
      </c>
      <c r="AJ517" s="3" t="n">
        <v>1</v>
      </c>
      <c r="AK517" s="3" t="n">
        <v>2</v>
      </c>
      <c r="AL517" s="3" t="n">
        <v>2</v>
      </c>
      <c r="AM517" s="3" t="n">
        <v>2</v>
      </c>
      <c r="AN517" s="3" t="n">
        <v>2</v>
      </c>
      <c r="AO517" s="3" t="n">
        <v>2</v>
      </c>
      <c r="AP517" s="3" t="n">
        <v>3</v>
      </c>
      <c r="AQ517" s="3" t="n">
        <v>4</v>
      </c>
      <c r="AR517" s="3" t="n">
        <v>4</v>
      </c>
      <c r="AS517" s="3" t="n">
        <v>6</v>
      </c>
      <c r="AT517" s="3" t="n">
        <v>4</v>
      </c>
      <c r="AU517" s="3" t="n">
        <v>4</v>
      </c>
      <c r="AV517" s="3" t="n">
        <v>6</v>
      </c>
      <c r="AW517" s="3" t="n">
        <v>6</v>
      </c>
      <c r="AX517" s="3" t="n">
        <v>3</v>
      </c>
      <c r="AY517" s="3" t="n">
        <v>3</v>
      </c>
      <c r="AZ517" s="3" t="n">
        <v>1</v>
      </c>
      <c r="BA517" s="5" t="n">
        <v>5</v>
      </c>
      <c r="BB517" s="3" t="n">
        <v>2</v>
      </c>
      <c r="BC517" s="3" t="n">
        <v>1</v>
      </c>
      <c r="BD517" s="3" t="n">
        <v>6</v>
      </c>
      <c r="BE517" s="3" t="n">
        <v>3</v>
      </c>
      <c r="BF517" s="3" t="n">
        <v>5</v>
      </c>
      <c r="BG517" s="3" t="n">
        <v>3</v>
      </c>
      <c r="BH517" s="3" t="n">
        <v>4</v>
      </c>
      <c r="BI517" s="3" t="n">
        <v>1</v>
      </c>
      <c r="BJ517" s="3" t="n">
        <v>1</v>
      </c>
    </row>
    <row r="518" customFormat="false" ht="15" hidden="false" customHeight="true" outlineLevel="0" collapsed="false">
      <c r="B518" s="2" t="s">
        <v>1511</v>
      </c>
      <c r="C518" s="2" t="s">
        <v>1512</v>
      </c>
      <c r="D518" s="2" t="s">
        <v>1513</v>
      </c>
      <c r="E518" s="2" t="n">
        <v>183229</v>
      </c>
      <c r="F518" s="15" t="n">
        <v>43691</v>
      </c>
      <c r="G518" s="15" t="n">
        <v>43699</v>
      </c>
      <c r="H518" s="3" t="n">
        <v>7</v>
      </c>
      <c r="I518" s="3" t="n">
        <v>2</v>
      </c>
      <c r="J518" s="3" t="n">
        <v>56</v>
      </c>
      <c r="K518" s="3" t="n">
        <v>1</v>
      </c>
      <c r="L518" s="3" t="n">
        <v>2</v>
      </c>
      <c r="M518" s="3" t="n">
        <v>1</v>
      </c>
      <c r="N518" s="3" t="n">
        <v>2</v>
      </c>
      <c r="O518" s="3" t="n">
        <v>1</v>
      </c>
      <c r="P518" s="3" t="n">
        <v>2</v>
      </c>
      <c r="Q518" s="3" t="n">
        <v>1</v>
      </c>
      <c r="R518" s="3" t="n">
        <v>2</v>
      </c>
      <c r="S518" s="3" t="n">
        <v>2</v>
      </c>
      <c r="T518" s="4" t="n">
        <v>3</v>
      </c>
      <c r="U518" s="3" t="n">
        <v>1</v>
      </c>
      <c r="V518" s="3" t="n">
        <v>4.14</v>
      </c>
      <c r="W518" s="3" t="n">
        <v>2.02</v>
      </c>
      <c r="X518" s="3" t="n">
        <v>8.82</v>
      </c>
      <c r="Y518" s="3" t="n">
        <v>516</v>
      </c>
      <c r="Z518" s="3" t="n">
        <v>65</v>
      </c>
      <c r="AA518" s="3" t="n">
        <v>0.55</v>
      </c>
      <c r="AB518" s="3" t="n">
        <v>8.4</v>
      </c>
      <c r="AD518" s="3" t="n">
        <v>2</v>
      </c>
      <c r="AE518" s="3" t="n">
        <v>2</v>
      </c>
      <c r="AF518" s="3" t="n">
        <v>2</v>
      </c>
      <c r="AG518" s="3" t="n">
        <v>2</v>
      </c>
      <c r="AH518" s="3" t="n">
        <v>2</v>
      </c>
      <c r="AI518" s="3" t="n">
        <v>2</v>
      </c>
      <c r="AJ518" s="3" t="n">
        <v>2</v>
      </c>
      <c r="AK518" s="3" t="n">
        <v>1</v>
      </c>
      <c r="AL518" s="3" t="n">
        <v>2</v>
      </c>
      <c r="AM518" s="3" t="n">
        <v>1</v>
      </c>
      <c r="AN518" s="3" t="n">
        <v>2</v>
      </c>
      <c r="AO518" s="3" t="n">
        <v>2</v>
      </c>
      <c r="AP518" s="3" t="n">
        <v>3</v>
      </c>
      <c r="AQ518" s="3" t="n">
        <v>4</v>
      </c>
      <c r="AR518" s="3" t="n">
        <v>4</v>
      </c>
      <c r="AS518" s="3" t="n">
        <v>6</v>
      </c>
      <c r="AT518" s="3" t="n">
        <v>4</v>
      </c>
      <c r="AU518" s="3" t="n">
        <v>4</v>
      </c>
      <c r="AV518" s="3" t="n">
        <v>6</v>
      </c>
      <c r="AW518" s="3" t="n">
        <v>6</v>
      </c>
      <c r="AX518" s="3" t="n">
        <v>3</v>
      </c>
      <c r="AY518" s="3" t="n">
        <v>3</v>
      </c>
      <c r="AZ518" s="3" t="n">
        <v>1</v>
      </c>
      <c r="BA518" s="5" t="n">
        <v>11</v>
      </c>
      <c r="BB518" s="3" t="n">
        <v>2</v>
      </c>
      <c r="BC518" s="3" t="n">
        <v>1</v>
      </c>
      <c r="BD518" s="3" t="n">
        <v>6</v>
      </c>
      <c r="BE518" s="3" t="n">
        <v>3</v>
      </c>
      <c r="BF518" s="3" t="n">
        <v>5</v>
      </c>
      <c r="BG518" s="3" t="n">
        <v>3</v>
      </c>
      <c r="BH518" s="3" t="n">
        <v>4</v>
      </c>
      <c r="BI518" s="3" t="n">
        <v>1</v>
      </c>
      <c r="BJ518" s="3" t="n">
        <v>1</v>
      </c>
      <c r="BK518" s="6" t="s">
        <v>1514</v>
      </c>
    </row>
    <row r="519" customFormat="false" ht="15" hidden="false" customHeight="true" outlineLevel="0" collapsed="false">
      <c r="B519" s="2" t="s">
        <v>467</v>
      </c>
      <c r="C519" s="2" t="s">
        <v>153</v>
      </c>
      <c r="D519" s="2" t="s">
        <v>153</v>
      </c>
      <c r="E519" s="2" t="n">
        <v>140201</v>
      </c>
      <c r="F519" s="15" t="n">
        <v>43697</v>
      </c>
      <c r="G519" s="15" t="n">
        <v>43704</v>
      </c>
      <c r="H519" s="3" t="n">
        <v>7</v>
      </c>
      <c r="I519" s="3" t="n">
        <v>2</v>
      </c>
      <c r="J519" s="3" t="n">
        <v>79</v>
      </c>
      <c r="K519" s="3" t="n">
        <v>1</v>
      </c>
      <c r="L519" s="3" t="n">
        <v>1</v>
      </c>
      <c r="M519" s="3" t="n">
        <v>1</v>
      </c>
      <c r="N519" s="3" t="n">
        <v>2</v>
      </c>
      <c r="O519" s="3" t="n">
        <v>2</v>
      </c>
      <c r="P519" s="3" t="n">
        <v>2</v>
      </c>
      <c r="Q519" s="3" t="n">
        <v>2</v>
      </c>
      <c r="R519" s="3" t="n">
        <v>2</v>
      </c>
      <c r="S519" s="3" t="n">
        <v>2</v>
      </c>
      <c r="T519" s="4" t="n">
        <v>3</v>
      </c>
      <c r="U519" s="3" t="n">
        <v>4</v>
      </c>
      <c r="AD519" s="3" t="n">
        <v>2</v>
      </c>
      <c r="AE519" s="3" t="n">
        <v>1</v>
      </c>
      <c r="AF519" s="3" t="n">
        <v>1</v>
      </c>
      <c r="AG519" s="3" t="n">
        <v>2</v>
      </c>
      <c r="AH519" s="3" t="n">
        <v>1</v>
      </c>
      <c r="AI519" s="3" t="n">
        <v>1</v>
      </c>
      <c r="AJ519" s="3" t="n">
        <v>1</v>
      </c>
      <c r="AK519" s="3" t="n">
        <v>2</v>
      </c>
      <c r="AL519" s="3" t="n">
        <v>1</v>
      </c>
      <c r="AM519" s="3" t="n">
        <v>1</v>
      </c>
      <c r="AN519" s="3" t="n">
        <v>2</v>
      </c>
      <c r="AO519" s="3" t="n">
        <v>2</v>
      </c>
      <c r="AP519" s="3" t="n">
        <v>3</v>
      </c>
      <c r="AQ519" s="3" t="n">
        <v>4</v>
      </c>
      <c r="AR519" s="3" t="n">
        <v>4</v>
      </c>
      <c r="AS519" s="3" t="n">
        <v>6</v>
      </c>
      <c r="AT519" s="3" t="n">
        <v>4</v>
      </c>
      <c r="AU519" s="3" t="n">
        <v>4</v>
      </c>
      <c r="AV519" s="3" t="n">
        <v>6</v>
      </c>
      <c r="AW519" s="3" t="n">
        <v>6</v>
      </c>
      <c r="AX519" s="3" t="n">
        <v>3</v>
      </c>
      <c r="AY519" s="3" t="n">
        <v>3</v>
      </c>
      <c r="AZ519" s="3" t="n">
        <v>1</v>
      </c>
      <c r="BA519" s="5" t="n">
        <v>11</v>
      </c>
      <c r="BB519" s="3" t="n">
        <v>2</v>
      </c>
      <c r="BC519" s="3" t="n">
        <v>1</v>
      </c>
      <c r="BD519" s="3" t="n">
        <v>6</v>
      </c>
      <c r="BE519" s="3" t="n">
        <v>3</v>
      </c>
      <c r="BF519" s="3" t="n">
        <v>5</v>
      </c>
      <c r="BG519" s="3" t="n">
        <v>3</v>
      </c>
      <c r="BH519" s="3" t="n">
        <v>4</v>
      </c>
      <c r="BI519" s="3" t="n">
        <v>1</v>
      </c>
      <c r="BJ519" s="3" t="n">
        <v>1</v>
      </c>
      <c r="BK519" s="6" t="s">
        <v>1515</v>
      </c>
    </row>
    <row r="520" customFormat="false" ht="15" hidden="false" customHeight="true" outlineLevel="0" collapsed="false">
      <c r="B520" s="2" t="s">
        <v>1460</v>
      </c>
      <c r="C520" s="2" t="s">
        <v>528</v>
      </c>
      <c r="D520" s="2" t="s">
        <v>118</v>
      </c>
      <c r="E520" s="2" t="n">
        <v>182909</v>
      </c>
      <c r="F520" s="15" t="n">
        <v>43698</v>
      </c>
      <c r="G520" s="15" t="n">
        <v>43707</v>
      </c>
      <c r="H520" s="3" t="n">
        <v>9</v>
      </c>
      <c r="I520" s="3" t="n">
        <v>1</v>
      </c>
      <c r="J520" s="3" t="n">
        <v>82</v>
      </c>
      <c r="K520" s="3" t="n">
        <v>1</v>
      </c>
      <c r="L520" s="3" t="n">
        <v>2</v>
      </c>
      <c r="M520" s="3" t="n">
        <v>1</v>
      </c>
      <c r="N520" s="3" t="n">
        <v>1</v>
      </c>
      <c r="O520" s="3" t="n">
        <v>2</v>
      </c>
      <c r="P520" s="3" t="n">
        <v>2</v>
      </c>
      <c r="Q520" s="3" t="n">
        <v>2</v>
      </c>
      <c r="R520" s="3" t="n">
        <v>2</v>
      </c>
      <c r="S520" s="3" t="n">
        <v>2</v>
      </c>
      <c r="T520" s="4" t="n">
        <v>1</v>
      </c>
      <c r="U520" s="3" t="n">
        <v>1</v>
      </c>
      <c r="V520" s="3" t="n">
        <v>5.57</v>
      </c>
      <c r="W520" s="3" t="n">
        <v>2.1</v>
      </c>
      <c r="X520" s="3" t="n">
        <v>7.9</v>
      </c>
      <c r="Y520" s="3" t="n">
        <v>242</v>
      </c>
      <c r="Z520" s="3" t="n">
        <v>76</v>
      </c>
      <c r="AA520" s="3" t="n">
        <v>0.44</v>
      </c>
      <c r="AB520" s="3" t="n">
        <v>13.4</v>
      </c>
      <c r="AC520" s="3" t="n">
        <v>1</v>
      </c>
      <c r="AD520" s="3" t="n">
        <v>2</v>
      </c>
      <c r="AE520" s="3" t="n">
        <v>1</v>
      </c>
      <c r="AF520" s="3" t="n">
        <v>1</v>
      </c>
      <c r="AG520" s="3" t="n">
        <v>2</v>
      </c>
      <c r="AH520" s="3" t="n">
        <v>2</v>
      </c>
      <c r="AI520" s="3" t="n">
        <v>1</v>
      </c>
      <c r="AJ520" s="3" t="n">
        <v>1</v>
      </c>
      <c r="AK520" s="3" t="n">
        <v>2</v>
      </c>
      <c r="AL520" s="3" t="n">
        <v>2</v>
      </c>
      <c r="AM520" s="3" t="n">
        <v>2</v>
      </c>
      <c r="AN520" s="3" t="n">
        <v>2</v>
      </c>
      <c r="AO520" s="3" t="n">
        <v>2</v>
      </c>
      <c r="AP520" s="3" t="n">
        <v>1</v>
      </c>
      <c r="AX520" s="3" t="n">
        <v>3</v>
      </c>
      <c r="AY520" s="3" t="n">
        <v>3</v>
      </c>
      <c r="AZ520" s="3" t="n">
        <v>1</v>
      </c>
      <c r="BA520" s="5" t="n">
        <v>5</v>
      </c>
      <c r="BB520" s="3" t="n">
        <v>2</v>
      </c>
      <c r="BC520" s="3" t="n">
        <v>1</v>
      </c>
      <c r="BD520" s="3" t="n">
        <v>6</v>
      </c>
      <c r="BE520" s="3" t="n">
        <v>3</v>
      </c>
      <c r="BF520" s="3" t="n">
        <v>5</v>
      </c>
      <c r="BG520" s="3" t="n">
        <v>3</v>
      </c>
      <c r="BH520" s="3" t="n">
        <v>4</v>
      </c>
      <c r="BI520" s="3" t="n">
        <v>1</v>
      </c>
      <c r="BJ520" s="3" t="n">
        <v>1</v>
      </c>
      <c r="BK520" s="6" t="s">
        <v>1516</v>
      </c>
    </row>
    <row r="521" customFormat="false" ht="15" hidden="false" customHeight="true" outlineLevel="0" collapsed="false">
      <c r="B521" s="17" t="s">
        <v>1517</v>
      </c>
      <c r="C521" s="17" t="s">
        <v>1518</v>
      </c>
      <c r="D521" s="17" t="s">
        <v>1519</v>
      </c>
      <c r="E521" s="2" t="n">
        <v>184086</v>
      </c>
      <c r="F521" s="15" t="n">
        <v>43699</v>
      </c>
      <c r="G521" s="15" t="n">
        <v>43707</v>
      </c>
      <c r="H521" s="3" t="n">
        <v>8</v>
      </c>
      <c r="I521" s="3" t="n">
        <v>2</v>
      </c>
      <c r="J521" s="3" t="n">
        <v>45</v>
      </c>
      <c r="K521" s="3" t="n">
        <v>1</v>
      </c>
      <c r="L521" s="3" t="n">
        <v>1</v>
      </c>
      <c r="M521" s="3" t="n">
        <v>1</v>
      </c>
      <c r="N521" s="3" t="n">
        <v>2</v>
      </c>
      <c r="O521" s="3" t="n">
        <v>1</v>
      </c>
      <c r="P521" s="3" t="n">
        <v>1</v>
      </c>
      <c r="Q521" s="3" t="n">
        <v>1</v>
      </c>
      <c r="R521" s="3" t="n">
        <v>2</v>
      </c>
      <c r="S521" s="3" t="n">
        <v>1</v>
      </c>
      <c r="T521" s="4" t="n">
        <v>2</v>
      </c>
      <c r="U521" s="3" t="n">
        <v>1</v>
      </c>
      <c r="AC521" s="3" t="n">
        <v>1</v>
      </c>
      <c r="AD521" s="3" t="n">
        <v>1</v>
      </c>
      <c r="AE521" s="3" t="n">
        <v>1</v>
      </c>
      <c r="AF521" s="3" t="n">
        <v>1</v>
      </c>
      <c r="AG521" s="3" t="n">
        <v>2</v>
      </c>
      <c r="AH521" s="3" t="n">
        <v>1</v>
      </c>
      <c r="AI521" s="3" t="n">
        <v>1</v>
      </c>
      <c r="AJ521" s="3" t="n">
        <v>2</v>
      </c>
      <c r="AK521" s="3" t="n">
        <v>2</v>
      </c>
      <c r="AL521" s="3" t="n">
        <v>2</v>
      </c>
      <c r="AM521" s="3" t="n">
        <v>2</v>
      </c>
      <c r="AN521" s="3" t="n">
        <v>2</v>
      </c>
      <c r="AO521" s="3" t="n">
        <v>2</v>
      </c>
      <c r="AP521" s="3" t="n">
        <v>3</v>
      </c>
      <c r="AQ521" s="3" t="n">
        <v>4</v>
      </c>
      <c r="AR521" s="3" t="n">
        <v>4</v>
      </c>
      <c r="AS521" s="3" t="n">
        <v>6</v>
      </c>
      <c r="AT521" s="3" t="n">
        <v>4</v>
      </c>
      <c r="AU521" s="3" t="n">
        <v>4</v>
      </c>
      <c r="AV521" s="3" t="n">
        <v>6</v>
      </c>
      <c r="AW521" s="3" t="n">
        <v>6</v>
      </c>
      <c r="AX521" s="3" t="n">
        <v>3</v>
      </c>
      <c r="AY521" s="3" t="n">
        <v>3</v>
      </c>
      <c r="AZ521" s="3" t="n">
        <v>1</v>
      </c>
      <c r="BA521" s="5" t="n">
        <v>5</v>
      </c>
      <c r="BB521" s="3" t="n">
        <v>2</v>
      </c>
      <c r="BC521" s="3" t="n">
        <v>1</v>
      </c>
      <c r="BD521" s="3" t="n">
        <v>6</v>
      </c>
      <c r="BE521" s="3" t="n">
        <v>3</v>
      </c>
      <c r="BF521" s="3" t="n">
        <v>5</v>
      </c>
      <c r="BG521" s="3" t="n">
        <v>3</v>
      </c>
      <c r="BH521" s="3" t="n">
        <v>4</v>
      </c>
      <c r="BI521" s="3" t="n">
        <v>1</v>
      </c>
      <c r="BJ521" s="3" t="n">
        <v>1</v>
      </c>
      <c r="BK521" s="21" t="s">
        <v>1520</v>
      </c>
    </row>
    <row r="522" customFormat="false" ht="15" hidden="false" customHeight="true" outlineLevel="0" collapsed="false">
      <c r="B522" s="17" t="s">
        <v>1521</v>
      </c>
      <c r="C522" s="17" t="s">
        <v>739</v>
      </c>
      <c r="D522" s="17" t="s">
        <v>611</v>
      </c>
      <c r="E522" s="2" t="n">
        <v>184022</v>
      </c>
      <c r="F522" s="15" t="n">
        <v>43697</v>
      </c>
      <c r="G522" s="15" t="n">
        <v>43701</v>
      </c>
      <c r="H522" s="3" t="n">
        <v>4</v>
      </c>
      <c r="I522" s="3" t="n">
        <v>2</v>
      </c>
      <c r="J522" s="3" t="n">
        <v>74</v>
      </c>
      <c r="K522" s="3" t="n">
        <v>1</v>
      </c>
      <c r="L522" s="3" t="n">
        <v>1</v>
      </c>
      <c r="M522" s="19" t="n">
        <v>1</v>
      </c>
      <c r="N522" s="3" t="n">
        <v>1</v>
      </c>
      <c r="O522" s="3" t="n">
        <v>2</v>
      </c>
      <c r="P522" s="3" t="n">
        <v>2</v>
      </c>
      <c r="Q522" s="3" t="n">
        <v>2</v>
      </c>
      <c r="R522" s="3" t="n">
        <v>2</v>
      </c>
      <c r="S522" s="3" t="n">
        <v>2</v>
      </c>
      <c r="T522" s="4" t="n">
        <v>2</v>
      </c>
      <c r="U522" s="3" t="n">
        <v>2</v>
      </c>
      <c r="AC522" s="3" t="n">
        <v>1</v>
      </c>
      <c r="AD522" s="3" t="n">
        <v>1</v>
      </c>
      <c r="AE522" s="3" t="n">
        <v>1</v>
      </c>
      <c r="AF522" s="3" t="n">
        <v>1</v>
      </c>
      <c r="AG522" s="3" t="n">
        <v>2</v>
      </c>
      <c r="AH522" s="3" t="n">
        <v>1</v>
      </c>
      <c r="AI522" s="3" t="n">
        <v>1</v>
      </c>
      <c r="AJ522" s="3" t="n">
        <v>1</v>
      </c>
      <c r="AK522" s="3" t="n">
        <v>2</v>
      </c>
      <c r="AL522" s="3" t="n">
        <v>2</v>
      </c>
      <c r="AM522" s="3" t="n">
        <v>2</v>
      </c>
      <c r="AN522" s="3" t="n">
        <v>2</v>
      </c>
      <c r="AO522" s="3" t="n">
        <v>2</v>
      </c>
      <c r="AP522" s="3" t="n">
        <v>3</v>
      </c>
      <c r="AQ522" s="3" t="n">
        <v>4</v>
      </c>
      <c r="AR522" s="3" t="n">
        <v>4</v>
      </c>
      <c r="AS522" s="3" t="n">
        <v>6</v>
      </c>
      <c r="AT522" s="3" t="n">
        <v>4</v>
      </c>
      <c r="AU522" s="3" t="n">
        <v>4</v>
      </c>
      <c r="AV522" s="3" t="n">
        <v>6</v>
      </c>
      <c r="AW522" s="3" t="n">
        <v>6</v>
      </c>
      <c r="AX522" s="3" t="n">
        <v>3</v>
      </c>
      <c r="AY522" s="3" t="n">
        <v>3</v>
      </c>
      <c r="AZ522" s="3" t="n">
        <v>1</v>
      </c>
      <c r="BA522" s="5" t="n">
        <v>1</v>
      </c>
      <c r="BB522" s="3" t="n">
        <v>1</v>
      </c>
      <c r="BC522" s="3" t="n">
        <v>1</v>
      </c>
      <c r="BD522" s="3" t="n">
        <v>2</v>
      </c>
      <c r="BE522" s="3" t="n">
        <v>3</v>
      </c>
      <c r="BF522" s="3" t="n">
        <v>5</v>
      </c>
      <c r="BG522" s="3" t="n">
        <v>3</v>
      </c>
      <c r="BH522" s="3" t="n">
        <v>4</v>
      </c>
      <c r="BI522" s="3" t="n">
        <v>1</v>
      </c>
      <c r="BJ522" s="3" t="n">
        <v>1</v>
      </c>
      <c r="BK522" s="21" t="s">
        <v>1522</v>
      </c>
    </row>
    <row r="523" customFormat="false" ht="15" hidden="false" customHeight="true" outlineLevel="0" collapsed="false">
      <c r="B523" s="17" t="s">
        <v>1523</v>
      </c>
      <c r="C523" s="17" t="s">
        <v>168</v>
      </c>
      <c r="D523" s="17" t="s">
        <v>839</v>
      </c>
      <c r="E523" s="2" t="n">
        <v>184033</v>
      </c>
      <c r="F523" s="15" t="n">
        <v>43697</v>
      </c>
      <c r="G523" s="15" t="n">
        <v>43700</v>
      </c>
      <c r="H523" s="3" t="n">
        <v>3</v>
      </c>
      <c r="I523" s="3" t="n">
        <v>2</v>
      </c>
      <c r="J523" s="3" t="n">
        <v>66</v>
      </c>
      <c r="K523" s="3" t="n">
        <v>1</v>
      </c>
      <c r="L523" s="3" t="n">
        <v>1</v>
      </c>
      <c r="M523" s="3" t="n">
        <v>1</v>
      </c>
      <c r="N523" s="3" t="n">
        <v>2</v>
      </c>
      <c r="O523" s="3" t="n">
        <v>2</v>
      </c>
      <c r="P523" s="3" t="n">
        <v>2</v>
      </c>
      <c r="Q523" s="3" t="n">
        <v>2</v>
      </c>
      <c r="R523" s="3" t="n">
        <v>2</v>
      </c>
      <c r="S523" s="3" t="n">
        <v>2</v>
      </c>
      <c r="T523" s="4" t="n">
        <v>6</v>
      </c>
      <c r="U523" s="3" t="n">
        <v>4</v>
      </c>
      <c r="AC523" s="3" t="n">
        <v>1</v>
      </c>
      <c r="AD523" s="3" t="n">
        <v>2</v>
      </c>
      <c r="AE523" s="3" t="n">
        <v>2</v>
      </c>
      <c r="AF523" s="3" t="n">
        <v>2</v>
      </c>
      <c r="AG523" s="3" t="n">
        <v>2</v>
      </c>
      <c r="AH523" s="3" t="n">
        <v>2</v>
      </c>
      <c r="AI523" s="3" t="n">
        <v>2</v>
      </c>
      <c r="AJ523" s="3" t="n">
        <v>1</v>
      </c>
      <c r="AK523" s="3" t="n">
        <v>2</v>
      </c>
      <c r="AL523" s="3" t="n">
        <v>2</v>
      </c>
      <c r="AM523" s="3" t="n">
        <v>2</v>
      </c>
      <c r="AN523" s="3" t="n">
        <v>2</v>
      </c>
      <c r="AO523" s="3" t="n">
        <v>2</v>
      </c>
      <c r="AP523" s="3" t="n">
        <v>3</v>
      </c>
      <c r="AQ523" s="3" t="n">
        <v>4</v>
      </c>
      <c r="AR523" s="3" t="n">
        <v>4</v>
      </c>
      <c r="AS523" s="3" t="n">
        <v>6</v>
      </c>
      <c r="AT523" s="3" t="n">
        <v>4</v>
      </c>
      <c r="AU523" s="3" t="n">
        <v>4</v>
      </c>
      <c r="AV523" s="3" t="n">
        <v>6</v>
      </c>
      <c r="AW523" s="3" t="n">
        <v>6</v>
      </c>
      <c r="AX523" s="3" t="n">
        <v>3</v>
      </c>
      <c r="AY523" s="3" t="n">
        <v>3</v>
      </c>
      <c r="AZ523" s="3" t="n">
        <v>1</v>
      </c>
      <c r="BA523" s="5" t="n">
        <v>10</v>
      </c>
      <c r="BB523" s="3" t="n">
        <v>2</v>
      </c>
      <c r="BC523" s="3" t="n">
        <v>1</v>
      </c>
      <c r="BD523" s="3" t="n">
        <v>6</v>
      </c>
      <c r="BE523" s="3" t="n">
        <v>3</v>
      </c>
      <c r="BF523" s="3" t="n">
        <v>5</v>
      </c>
      <c r="BG523" s="3" t="n">
        <v>3</v>
      </c>
      <c r="BH523" s="3" t="n">
        <v>4</v>
      </c>
      <c r="BI523" s="3" t="n">
        <v>1</v>
      </c>
      <c r="BJ523" s="3" t="n">
        <v>1</v>
      </c>
      <c r="BK523" s="21" t="s">
        <v>1524</v>
      </c>
    </row>
    <row r="524" customFormat="false" ht="15" hidden="false" customHeight="true" outlineLevel="0" collapsed="false">
      <c r="B524" s="17" t="s">
        <v>1525</v>
      </c>
      <c r="C524" s="17" t="s">
        <v>1526</v>
      </c>
      <c r="D524" s="17" t="s">
        <v>66</v>
      </c>
      <c r="E524" s="2" t="n">
        <v>184179</v>
      </c>
      <c r="F524" s="15" t="n">
        <v>43700</v>
      </c>
      <c r="G524" s="15" t="n">
        <v>43707</v>
      </c>
      <c r="H524" s="3" t="n">
        <v>7</v>
      </c>
      <c r="I524" s="3" t="n">
        <v>2</v>
      </c>
      <c r="J524" s="3" t="n">
        <v>71</v>
      </c>
      <c r="K524" s="3" t="n">
        <v>1</v>
      </c>
      <c r="L524" s="3" t="n">
        <v>1</v>
      </c>
      <c r="M524" s="3" t="n">
        <v>1</v>
      </c>
      <c r="N524" s="3" t="n">
        <v>2</v>
      </c>
      <c r="O524" s="3" t="n">
        <v>2</v>
      </c>
      <c r="P524" s="3" t="n">
        <v>2</v>
      </c>
      <c r="Q524" s="3" t="n">
        <v>2</v>
      </c>
      <c r="R524" s="3" t="n">
        <v>2</v>
      </c>
      <c r="S524" s="3" t="n">
        <v>2</v>
      </c>
      <c r="T524" s="4" t="n">
        <v>1</v>
      </c>
      <c r="U524" s="3" t="n">
        <v>1</v>
      </c>
      <c r="AC524" s="3" t="n">
        <v>1</v>
      </c>
      <c r="AD524" s="3" t="n">
        <v>1</v>
      </c>
      <c r="AE524" s="3" t="n">
        <v>1</v>
      </c>
      <c r="AF524" s="3" t="n">
        <v>1</v>
      </c>
      <c r="AG524" s="3" t="n">
        <v>2</v>
      </c>
      <c r="AH524" s="3" t="n">
        <v>2</v>
      </c>
      <c r="AI524" s="3" t="n">
        <v>1</v>
      </c>
      <c r="AJ524" s="3" t="n">
        <v>2</v>
      </c>
      <c r="AK524" s="3" t="n">
        <v>2</v>
      </c>
      <c r="AL524" s="3" t="n">
        <v>2</v>
      </c>
      <c r="AM524" s="3" t="n">
        <v>2</v>
      </c>
      <c r="AN524" s="3" t="n">
        <v>2</v>
      </c>
      <c r="AO524" s="3" t="n">
        <v>2</v>
      </c>
      <c r="AP524" s="3" t="n">
        <v>3</v>
      </c>
      <c r="AQ524" s="3" t="n">
        <v>4</v>
      </c>
      <c r="AR524" s="3" t="n">
        <v>4</v>
      </c>
      <c r="AS524" s="3" t="n">
        <v>6</v>
      </c>
      <c r="AT524" s="3" t="n">
        <v>4</v>
      </c>
      <c r="AU524" s="3" t="n">
        <v>4</v>
      </c>
      <c r="AV524" s="3" t="n">
        <v>6</v>
      </c>
      <c r="AW524" s="3" t="n">
        <v>6</v>
      </c>
      <c r="AX524" s="3" t="n">
        <v>3</v>
      </c>
      <c r="AY524" s="3" t="n">
        <v>3</v>
      </c>
      <c r="AZ524" s="3" t="n">
        <v>1</v>
      </c>
      <c r="BA524" s="5" t="n">
        <v>5</v>
      </c>
      <c r="BB524" s="3" t="n">
        <v>2</v>
      </c>
      <c r="BC524" s="3" t="n">
        <v>1</v>
      </c>
      <c r="BD524" s="3" t="n">
        <v>6</v>
      </c>
      <c r="BE524" s="3" t="n">
        <v>3</v>
      </c>
      <c r="BF524" s="3" t="n">
        <v>5</v>
      </c>
      <c r="BG524" s="3" t="n">
        <v>3</v>
      </c>
      <c r="BH524" s="3" t="n">
        <v>4</v>
      </c>
      <c r="BI524" s="3" t="n">
        <v>1</v>
      </c>
      <c r="BJ524" s="3" t="n">
        <v>1</v>
      </c>
      <c r="BK524" s="21" t="s">
        <v>1527</v>
      </c>
    </row>
    <row r="525" customFormat="false" ht="15" hidden="false" customHeight="true" outlineLevel="0" collapsed="false">
      <c r="B525" s="2" t="s">
        <v>1178</v>
      </c>
      <c r="C525" s="2" t="s">
        <v>1383</v>
      </c>
      <c r="D525" s="2" t="s">
        <v>1510</v>
      </c>
      <c r="E525" s="2" t="n">
        <v>184088</v>
      </c>
      <c r="F525" s="15" t="n">
        <v>43699</v>
      </c>
      <c r="G525" s="15" t="n">
        <v>43706</v>
      </c>
      <c r="H525" s="3" t="n">
        <v>7</v>
      </c>
      <c r="I525" s="3" t="n">
        <v>2</v>
      </c>
      <c r="J525" s="3" t="n">
        <v>54</v>
      </c>
      <c r="K525" s="3" t="n">
        <v>1</v>
      </c>
      <c r="L525" s="3" t="n">
        <v>1</v>
      </c>
      <c r="M525" s="3" t="n">
        <v>1</v>
      </c>
      <c r="N525" s="3" t="n">
        <v>2</v>
      </c>
      <c r="O525" s="3" t="n">
        <v>2</v>
      </c>
      <c r="P525" s="3" t="n">
        <v>1</v>
      </c>
      <c r="Q525" s="3" t="n">
        <v>2</v>
      </c>
      <c r="R525" s="3" t="n">
        <v>2</v>
      </c>
      <c r="S525" s="3" t="n">
        <v>2</v>
      </c>
      <c r="T525" s="4" t="n">
        <v>1</v>
      </c>
      <c r="U525" s="3" t="n">
        <v>1</v>
      </c>
      <c r="AC525" s="3" t="n">
        <v>1</v>
      </c>
      <c r="AD525" s="3" t="n">
        <v>2</v>
      </c>
      <c r="AE525" s="3" t="n">
        <v>1</v>
      </c>
      <c r="AF525" s="3" t="n">
        <v>1</v>
      </c>
      <c r="AG525" s="3" t="n">
        <v>2</v>
      </c>
      <c r="AH525" s="3" t="n">
        <v>2</v>
      </c>
      <c r="AI525" s="3" t="n">
        <v>1</v>
      </c>
      <c r="AJ525" s="3" t="n">
        <v>1</v>
      </c>
      <c r="AK525" s="3" t="n">
        <v>2</v>
      </c>
      <c r="AL525" s="3" t="n">
        <v>2</v>
      </c>
      <c r="AM525" s="3" t="n">
        <v>2</v>
      </c>
      <c r="AN525" s="3" t="n">
        <v>2</v>
      </c>
      <c r="AO525" s="3" t="n">
        <v>2</v>
      </c>
      <c r="AP525" s="3" t="n">
        <v>3</v>
      </c>
      <c r="AQ525" s="3" t="n">
        <v>4</v>
      </c>
      <c r="AR525" s="3" t="n">
        <v>4</v>
      </c>
      <c r="AS525" s="3" t="n">
        <v>6</v>
      </c>
      <c r="AT525" s="3" t="n">
        <v>4</v>
      </c>
      <c r="AU525" s="3" t="n">
        <v>4</v>
      </c>
      <c r="AV525" s="3" t="n">
        <v>6</v>
      </c>
      <c r="AW525" s="3" t="n">
        <v>6</v>
      </c>
      <c r="AX525" s="3" t="n">
        <v>3</v>
      </c>
      <c r="AY525" s="3" t="n">
        <v>3</v>
      </c>
      <c r="AZ525" s="3" t="n">
        <v>1</v>
      </c>
      <c r="BA525" s="5" t="n">
        <v>1</v>
      </c>
      <c r="BB525" s="3" t="n">
        <v>1</v>
      </c>
      <c r="BC525" s="3" t="n">
        <v>1</v>
      </c>
      <c r="BD525" s="3" t="n">
        <v>4</v>
      </c>
      <c r="BE525" s="3" t="n">
        <v>1</v>
      </c>
      <c r="BF525" s="3" t="n">
        <v>2</v>
      </c>
      <c r="BG525" s="3" t="n">
        <v>1</v>
      </c>
      <c r="BH525" s="3" t="n">
        <v>4</v>
      </c>
      <c r="BI525" s="3" t="n">
        <v>1</v>
      </c>
      <c r="BJ525" s="3" t="n">
        <v>1</v>
      </c>
      <c r="BK525" s="21" t="s">
        <v>1528</v>
      </c>
    </row>
    <row r="526" customFormat="false" ht="15" hidden="false" customHeight="true" outlineLevel="0" collapsed="false">
      <c r="B526" s="17" t="s">
        <v>1529</v>
      </c>
      <c r="C526" s="17" t="s">
        <v>1530</v>
      </c>
      <c r="D526" s="17" t="s">
        <v>1531</v>
      </c>
      <c r="E526" s="2" t="n">
        <v>184173</v>
      </c>
      <c r="F526" s="15" t="n">
        <v>43699</v>
      </c>
      <c r="G526" s="15" t="n">
        <v>43705</v>
      </c>
      <c r="H526" s="3" t="n">
        <v>6</v>
      </c>
      <c r="I526" s="3" t="n">
        <v>2</v>
      </c>
      <c r="J526" s="3" t="n">
        <v>75</v>
      </c>
      <c r="K526" s="3" t="n">
        <v>2</v>
      </c>
      <c r="L526" s="3" t="n">
        <v>2</v>
      </c>
      <c r="M526" s="3" t="n">
        <v>1</v>
      </c>
      <c r="N526" s="3" t="n">
        <v>2</v>
      </c>
      <c r="O526" s="3" t="n">
        <v>2</v>
      </c>
      <c r="P526" s="3" t="n">
        <v>2</v>
      </c>
      <c r="Q526" s="3" t="n">
        <v>2</v>
      </c>
      <c r="R526" s="3" t="n">
        <v>2</v>
      </c>
      <c r="S526" s="3" t="n">
        <v>2</v>
      </c>
      <c r="T526" s="4" t="n">
        <v>12</v>
      </c>
      <c r="U526" s="3" t="n">
        <v>1</v>
      </c>
      <c r="AC526" s="3" t="n">
        <v>1</v>
      </c>
      <c r="AD526" s="3" t="n">
        <v>2</v>
      </c>
      <c r="AE526" s="3" t="n">
        <v>1</v>
      </c>
      <c r="AF526" s="3" t="n">
        <v>1</v>
      </c>
      <c r="AG526" s="3" t="n">
        <v>1</v>
      </c>
      <c r="AH526" s="3" t="n">
        <v>1</v>
      </c>
      <c r="AI526" s="3" t="n">
        <v>1</v>
      </c>
      <c r="AJ526" s="3" t="n">
        <v>2</v>
      </c>
      <c r="AK526" s="3" t="n">
        <v>2</v>
      </c>
      <c r="AL526" s="3" t="n">
        <v>2</v>
      </c>
      <c r="AM526" s="3" t="n">
        <v>2</v>
      </c>
      <c r="AN526" s="3" t="n">
        <v>2</v>
      </c>
      <c r="AO526" s="3" t="n">
        <v>2</v>
      </c>
      <c r="AP526" s="3" t="n">
        <v>3</v>
      </c>
      <c r="AQ526" s="3" t="n">
        <v>4</v>
      </c>
      <c r="AR526" s="3" t="n">
        <v>4</v>
      </c>
      <c r="AS526" s="3" t="n">
        <v>6</v>
      </c>
      <c r="AT526" s="3" t="n">
        <v>4</v>
      </c>
      <c r="AU526" s="3" t="n">
        <v>4</v>
      </c>
      <c r="AV526" s="3" t="n">
        <v>6</v>
      </c>
      <c r="AW526" s="3" t="n">
        <v>6</v>
      </c>
      <c r="AX526" s="3" t="n">
        <v>3</v>
      </c>
      <c r="AY526" s="3" t="n">
        <v>3</v>
      </c>
      <c r="AZ526" s="3" t="n">
        <v>1</v>
      </c>
      <c r="BA526" s="5" t="n">
        <v>3</v>
      </c>
      <c r="BB526" s="3" t="n">
        <v>2</v>
      </c>
      <c r="BC526" s="3" t="n">
        <v>1</v>
      </c>
      <c r="BD526" s="3" t="n">
        <v>6</v>
      </c>
      <c r="BE526" s="3" t="n">
        <v>3</v>
      </c>
      <c r="BF526" s="3" t="n">
        <v>5</v>
      </c>
      <c r="BG526" s="3" t="n">
        <v>3</v>
      </c>
      <c r="BH526" s="3" t="n">
        <v>4</v>
      </c>
      <c r="BI526" s="3" t="n">
        <v>1</v>
      </c>
      <c r="BJ526" s="3" t="n">
        <v>1</v>
      </c>
      <c r="BK526" s="21" t="s">
        <v>1532</v>
      </c>
    </row>
    <row r="527" customFormat="false" ht="15" hidden="false" customHeight="true" outlineLevel="0" collapsed="false">
      <c r="B527" s="17" t="s">
        <v>1533</v>
      </c>
      <c r="C527" s="17" t="s">
        <v>1534</v>
      </c>
      <c r="D527" s="17" t="s">
        <v>438</v>
      </c>
      <c r="E527" s="2" t="n">
        <v>184128</v>
      </c>
      <c r="F527" s="15" t="n">
        <v>43703</v>
      </c>
      <c r="G527" s="15" t="n">
        <v>43708</v>
      </c>
      <c r="H527" s="3" t="n">
        <v>5</v>
      </c>
      <c r="I527" s="3" t="n">
        <v>2</v>
      </c>
      <c r="J527" s="3" t="n">
        <v>76</v>
      </c>
      <c r="K527" s="3" t="n">
        <v>1</v>
      </c>
      <c r="L527" s="3" t="n">
        <v>1</v>
      </c>
      <c r="M527" s="3" t="n">
        <v>1</v>
      </c>
      <c r="N527" s="3" t="n">
        <v>2</v>
      </c>
      <c r="O527" s="3" t="n">
        <v>2</v>
      </c>
      <c r="P527" s="3" t="n">
        <v>2</v>
      </c>
      <c r="Q527" s="3" t="n">
        <v>2</v>
      </c>
      <c r="R527" s="3" t="n">
        <v>2</v>
      </c>
      <c r="S527" s="3" t="n">
        <v>2</v>
      </c>
      <c r="T527" s="4" t="n">
        <v>1</v>
      </c>
      <c r="U527" s="3" t="n">
        <v>1</v>
      </c>
      <c r="AC527" s="3" t="n">
        <v>1</v>
      </c>
      <c r="AD527" s="3" t="n">
        <v>1</v>
      </c>
      <c r="AE527" s="3" t="n">
        <v>1</v>
      </c>
      <c r="AF527" s="3" t="n">
        <v>1</v>
      </c>
      <c r="AG527" s="3" t="n">
        <v>2</v>
      </c>
      <c r="AH527" s="3" t="n">
        <v>2</v>
      </c>
      <c r="AI527" s="3" t="n">
        <v>1</v>
      </c>
      <c r="AJ527" s="3" t="n">
        <v>1</v>
      </c>
      <c r="AK527" s="3" t="n">
        <v>2</v>
      </c>
      <c r="AL527" s="3" t="n">
        <v>2</v>
      </c>
      <c r="AM527" s="3" t="n">
        <v>2</v>
      </c>
      <c r="AN527" s="3" t="n">
        <v>2</v>
      </c>
      <c r="AO527" s="3" t="n">
        <v>2</v>
      </c>
      <c r="AP527" s="3" t="n">
        <v>3</v>
      </c>
      <c r="AQ527" s="3" t="n">
        <v>4</v>
      </c>
      <c r="AR527" s="3" t="n">
        <v>4</v>
      </c>
      <c r="AS527" s="3" t="n">
        <v>6</v>
      </c>
      <c r="AT527" s="3" t="n">
        <v>4</v>
      </c>
      <c r="AU527" s="3" t="n">
        <v>4</v>
      </c>
      <c r="AV527" s="3" t="n">
        <v>6</v>
      </c>
      <c r="AW527" s="3" t="n">
        <v>6</v>
      </c>
      <c r="AX527" s="3" t="n">
        <v>3</v>
      </c>
      <c r="AY527" s="3" t="n">
        <v>3</v>
      </c>
      <c r="AZ527" s="3" t="n">
        <v>1</v>
      </c>
      <c r="BA527" s="5" t="n">
        <v>5</v>
      </c>
      <c r="BB527" s="3" t="n">
        <v>2</v>
      </c>
      <c r="BC527" s="3" t="n">
        <v>1</v>
      </c>
      <c r="BD527" s="3" t="n">
        <v>6</v>
      </c>
      <c r="BE527" s="3" t="n">
        <v>3</v>
      </c>
      <c r="BF527" s="3" t="n">
        <v>5</v>
      </c>
      <c r="BG527" s="3" t="n">
        <v>3</v>
      </c>
      <c r="BH527" s="3" t="n">
        <v>4</v>
      </c>
      <c r="BI527" s="3" t="n">
        <v>1</v>
      </c>
      <c r="BJ527" s="3" t="n">
        <v>1</v>
      </c>
      <c r="BK527" s="21" t="s">
        <v>1535</v>
      </c>
    </row>
    <row r="528" customFormat="false" ht="15" hidden="false" customHeight="true" outlineLevel="0" collapsed="false">
      <c r="B528" s="17" t="s">
        <v>1440</v>
      </c>
      <c r="C528" s="17" t="s">
        <v>611</v>
      </c>
      <c r="D528" s="17" t="s">
        <v>1536</v>
      </c>
      <c r="E528" s="2" t="n">
        <v>184318</v>
      </c>
      <c r="F528" s="15" t="n">
        <v>43703</v>
      </c>
      <c r="G528" s="15" t="n">
        <v>43709</v>
      </c>
      <c r="H528" s="3" t="n">
        <v>6</v>
      </c>
      <c r="I528" s="3" t="n">
        <v>1</v>
      </c>
      <c r="J528" s="3" t="n">
        <v>64</v>
      </c>
      <c r="K528" s="3" t="n">
        <v>1</v>
      </c>
      <c r="L528" s="3" t="n">
        <v>2</v>
      </c>
      <c r="M528" s="3" t="n">
        <v>1</v>
      </c>
      <c r="N528" s="3" t="n">
        <v>2</v>
      </c>
      <c r="O528" s="3" t="n">
        <v>2</v>
      </c>
      <c r="P528" s="3" t="n">
        <v>2</v>
      </c>
      <c r="Q528" s="3" t="n">
        <v>2</v>
      </c>
      <c r="R528" s="3" t="n">
        <v>2</v>
      </c>
      <c r="S528" s="3" t="n">
        <v>2</v>
      </c>
      <c r="T528" s="4" t="n">
        <v>1</v>
      </c>
      <c r="U528" s="3" t="n">
        <v>1</v>
      </c>
      <c r="V528" s="3" t="n">
        <v>6.43</v>
      </c>
      <c r="W528" s="3" t="n">
        <v>0.96</v>
      </c>
      <c r="X528" s="3" t="n">
        <v>5.83</v>
      </c>
      <c r="Y528" s="3" t="n">
        <v>312</v>
      </c>
      <c r="Z528" s="3" t="n">
        <v>36</v>
      </c>
      <c r="AA528" s="3" t="n">
        <v>0.41</v>
      </c>
      <c r="AB528" s="3" t="n">
        <v>12.1</v>
      </c>
      <c r="AC528" s="3" t="n">
        <v>1</v>
      </c>
      <c r="AD528" s="3" t="n">
        <v>2</v>
      </c>
      <c r="AE528" s="3" t="n">
        <v>1</v>
      </c>
      <c r="AF528" s="3" t="n">
        <v>1</v>
      </c>
      <c r="AG528" s="3" t="n">
        <v>1</v>
      </c>
      <c r="AH528" s="3" t="n">
        <v>2</v>
      </c>
      <c r="AI528" s="3" t="n">
        <v>1</v>
      </c>
      <c r="AJ528" s="3" t="n">
        <v>1</v>
      </c>
      <c r="AK528" s="3" t="n">
        <v>2</v>
      </c>
      <c r="AL528" s="3" t="n">
        <v>2</v>
      </c>
      <c r="AM528" s="3" t="n">
        <v>1</v>
      </c>
      <c r="AN528" s="3" t="n">
        <v>2</v>
      </c>
      <c r="AO528" s="3" t="n">
        <v>2</v>
      </c>
      <c r="AP528" s="3" t="n">
        <v>3</v>
      </c>
      <c r="AQ528" s="3" t="n">
        <v>4</v>
      </c>
      <c r="AR528" s="3" t="n">
        <v>4</v>
      </c>
      <c r="AS528" s="3" t="n">
        <v>6</v>
      </c>
      <c r="AT528" s="3" t="n">
        <v>4</v>
      </c>
      <c r="AU528" s="3" t="n">
        <v>4</v>
      </c>
      <c r="AV528" s="3" t="n">
        <v>6</v>
      </c>
      <c r="AW528" s="3" t="n">
        <v>6</v>
      </c>
      <c r="AX528" s="3" t="n">
        <v>3</v>
      </c>
      <c r="AY528" s="3" t="n">
        <v>3</v>
      </c>
      <c r="AZ528" s="3" t="n">
        <v>1</v>
      </c>
      <c r="BA528" s="5" t="n">
        <v>5</v>
      </c>
      <c r="BB528" s="3" t="n">
        <v>2</v>
      </c>
      <c r="BC528" s="3" t="n">
        <v>1</v>
      </c>
      <c r="BD528" s="3" t="n">
        <v>6</v>
      </c>
      <c r="BE528" s="3" t="n">
        <v>3</v>
      </c>
      <c r="BF528" s="3" t="n">
        <v>5</v>
      </c>
      <c r="BG528" s="3" t="n">
        <v>3</v>
      </c>
      <c r="BH528" s="3" t="n">
        <v>4</v>
      </c>
      <c r="BI528" s="3" t="n">
        <v>1</v>
      </c>
      <c r="BJ528" s="3" t="n">
        <v>1</v>
      </c>
      <c r="BK528" s="21" t="s">
        <v>1537</v>
      </c>
    </row>
    <row r="529" customFormat="false" ht="15" hidden="false" customHeight="true" outlineLevel="0" collapsed="false">
      <c r="B529" s="17" t="s">
        <v>467</v>
      </c>
      <c r="C529" s="17" t="s">
        <v>1538</v>
      </c>
      <c r="D529" s="17" t="s">
        <v>128</v>
      </c>
      <c r="E529" s="2" t="n">
        <v>184113</v>
      </c>
      <c r="F529" s="15" t="n">
        <v>43702</v>
      </c>
      <c r="G529" s="15" t="n">
        <v>43709</v>
      </c>
      <c r="H529" s="3" t="n">
        <v>7</v>
      </c>
      <c r="I529" s="3" t="n">
        <v>2</v>
      </c>
      <c r="J529" s="3" t="n">
        <v>58</v>
      </c>
      <c r="K529" s="3" t="n">
        <v>1</v>
      </c>
      <c r="L529" s="3" t="n">
        <v>2</v>
      </c>
      <c r="M529" s="3" t="n">
        <v>2</v>
      </c>
      <c r="N529" s="3" t="n">
        <v>2</v>
      </c>
      <c r="O529" s="3" t="n">
        <v>2</v>
      </c>
      <c r="P529" s="3" t="n">
        <v>2</v>
      </c>
      <c r="Q529" s="3" t="n">
        <v>2</v>
      </c>
      <c r="R529" s="3" t="n">
        <v>2</v>
      </c>
      <c r="S529" s="3" t="n">
        <v>2</v>
      </c>
      <c r="T529" s="4" t="n">
        <v>2</v>
      </c>
      <c r="U529" s="3" t="n">
        <v>2</v>
      </c>
      <c r="V529" s="3" t="n">
        <v>5.6</v>
      </c>
      <c r="W529" s="3" t="n">
        <v>2.69</v>
      </c>
      <c r="X529" s="3" t="n">
        <v>6.2</v>
      </c>
      <c r="Y529" s="3" t="n">
        <v>572</v>
      </c>
      <c r="Z529" s="3" t="n">
        <v>78</v>
      </c>
      <c r="AA529" s="3" t="n">
        <v>0.37</v>
      </c>
      <c r="AB529" s="3" t="n">
        <v>12.3</v>
      </c>
      <c r="AC529" s="3" t="n">
        <v>1</v>
      </c>
      <c r="AD529" s="3" t="n">
        <v>2</v>
      </c>
      <c r="AE529" s="3" t="n">
        <v>1</v>
      </c>
      <c r="AF529" s="3" t="n">
        <v>1</v>
      </c>
      <c r="AG529" s="3" t="n">
        <v>2</v>
      </c>
      <c r="AH529" s="3" t="n">
        <v>2</v>
      </c>
      <c r="AI529" s="3" t="n">
        <v>1</v>
      </c>
      <c r="AJ529" s="3" t="n">
        <v>2</v>
      </c>
      <c r="AK529" s="3" t="n">
        <v>2</v>
      </c>
      <c r="AL529" s="3" t="n">
        <v>2</v>
      </c>
      <c r="AM529" s="3" t="n">
        <v>1</v>
      </c>
      <c r="AN529" s="3" t="n">
        <v>2</v>
      </c>
      <c r="AO529" s="3" t="n">
        <v>2</v>
      </c>
      <c r="AP529" s="3" t="n">
        <v>3</v>
      </c>
      <c r="AQ529" s="3" t="n">
        <v>4</v>
      </c>
      <c r="AR529" s="3" t="n">
        <v>4</v>
      </c>
      <c r="AS529" s="3" t="n">
        <v>6</v>
      </c>
      <c r="AT529" s="3" t="n">
        <v>4</v>
      </c>
      <c r="AU529" s="3" t="n">
        <v>4</v>
      </c>
      <c r="AV529" s="3" t="n">
        <v>6</v>
      </c>
      <c r="AW529" s="3" t="n">
        <v>6</v>
      </c>
      <c r="AX529" s="3" t="n">
        <v>3</v>
      </c>
      <c r="AY529" s="3" t="n">
        <v>3</v>
      </c>
      <c r="AZ529" s="3" t="n">
        <v>1</v>
      </c>
      <c r="BA529" s="5" t="n">
        <v>1</v>
      </c>
      <c r="BB529" s="3" t="n">
        <v>1</v>
      </c>
      <c r="BC529" s="3" t="n">
        <v>1</v>
      </c>
      <c r="BD529" s="3" t="n">
        <v>4</v>
      </c>
      <c r="BE529" s="3" t="n">
        <v>3</v>
      </c>
      <c r="BF529" s="3" t="n">
        <v>5</v>
      </c>
      <c r="BG529" s="3" t="n">
        <v>3</v>
      </c>
      <c r="BH529" s="3" t="n">
        <v>4</v>
      </c>
      <c r="BI529" s="3" t="n">
        <v>1</v>
      </c>
      <c r="BJ529" s="3" t="n">
        <v>1</v>
      </c>
      <c r="BK529" s="21" t="s">
        <v>1539</v>
      </c>
    </row>
    <row r="530" customFormat="false" ht="15" hidden="false" customHeight="true" outlineLevel="0" collapsed="false">
      <c r="B530" s="17" t="s">
        <v>445</v>
      </c>
      <c r="C530" s="17" t="s">
        <v>308</v>
      </c>
      <c r="D530" s="17" t="s">
        <v>1540</v>
      </c>
      <c r="E530" s="2" t="n">
        <v>184117</v>
      </c>
      <c r="F530" s="15" t="n">
        <v>43702</v>
      </c>
      <c r="G530" s="15" t="n">
        <v>43709</v>
      </c>
      <c r="H530" s="3" t="n">
        <v>7</v>
      </c>
      <c r="I530" s="3" t="n">
        <v>1</v>
      </c>
      <c r="J530" s="3" t="n">
        <v>55</v>
      </c>
      <c r="K530" s="3" t="n">
        <v>1</v>
      </c>
      <c r="L530" s="3" t="n">
        <v>1</v>
      </c>
      <c r="M530" s="3" t="n">
        <v>1</v>
      </c>
      <c r="N530" s="3" t="n">
        <v>2</v>
      </c>
      <c r="O530" s="3" t="n">
        <v>2</v>
      </c>
      <c r="P530" s="3" t="n">
        <v>2</v>
      </c>
      <c r="Q530" s="3" t="n">
        <v>1</v>
      </c>
      <c r="R530" s="3" t="n">
        <v>2</v>
      </c>
      <c r="S530" s="3" t="n">
        <v>2</v>
      </c>
      <c r="T530" s="4" t="n">
        <v>2</v>
      </c>
      <c r="U530" s="3" t="n">
        <v>2</v>
      </c>
      <c r="V530" s="3" t="n">
        <v>4.94</v>
      </c>
      <c r="W530" s="3" t="n">
        <v>1.31</v>
      </c>
      <c r="X530" s="3" t="n">
        <v>7.8</v>
      </c>
      <c r="Y530" s="3" t="n">
        <v>453</v>
      </c>
      <c r="Z530" s="3" t="n">
        <v>60</v>
      </c>
      <c r="AA530" s="3" t="n">
        <v>12</v>
      </c>
      <c r="AB530" s="3" t="n">
        <v>0.45</v>
      </c>
      <c r="AC530" s="3" t="n">
        <v>1</v>
      </c>
      <c r="AD530" s="3" t="n">
        <v>2</v>
      </c>
      <c r="AE530" s="3" t="n">
        <v>1</v>
      </c>
      <c r="AF530" s="3" t="n">
        <v>1</v>
      </c>
      <c r="AG530" s="3" t="n">
        <v>2</v>
      </c>
      <c r="AH530" s="3" t="n">
        <v>2</v>
      </c>
      <c r="AI530" s="3" t="n">
        <v>1</v>
      </c>
      <c r="AJ530" s="3" t="n">
        <v>1</v>
      </c>
      <c r="AK530" s="3" t="n">
        <v>2</v>
      </c>
      <c r="AL530" s="3" t="n">
        <v>2</v>
      </c>
      <c r="AM530" s="3" t="n">
        <v>2</v>
      </c>
      <c r="AN530" s="3" t="n">
        <v>2</v>
      </c>
      <c r="AO530" s="3" t="n">
        <v>2</v>
      </c>
      <c r="AP530" s="3" t="n">
        <v>3</v>
      </c>
      <c r="AQ530" s="3" t="n">
        <v>4</v>
      </c>
      <c r="AR530" s="3" t="n">
        <v>4</v>
      </c>
      <c r="AS530" s="3" t="n">
        <v>6</v>
      </c>
      <c r="AT530" s="3" t="n">
        <v>4</v>
      </c>
      <c r="AU530" s="3" t="n">
        <v>4</v>
      </c>
      <c r="AV530" s="3" t="n">
        <v>6</v>
      </c>
      <c r="AW530" s="3" t="n">
        <v>6</v>
      </c>
      <c r="AX530" s="3" t="n">
        <v>3</v>
      </c>
      <c r="AY530" s="3" t="n">
        <v>3</v>
      </c>
      <c r="AZ530" s="3" t="n">
        <v>1</v>
      </c>
      <c r="BA530" s="5" t="n">
        <v>1</v>
      </c>
      <c r="BB530" s="3" t="n">
        <v>1</v>
      </c>
      <c r="BC530" s="3" t="n">
        <v>1</v>
      </c>
      <c r="BD530" s="3" t="n">
        <v>4</v>
      </c>
      <c r="BE530" s="3" t="n">
        <v>1</v>
      </c>
      <c r="BF530" s="3" t="n">
        <v>3</v>
      </c>
      <c r="BG530" s="3" t="n">
        <v>1</v>
      </c>
      <c r="BH530" s="3" t="n">
        <v>4</v>
      </c>
      <c r="BI530" s="3" t="n">
        <v>1</v>
      </c>
      <c r="BJ530" s="3" t="n">
        <v>1</v>
      </c>
      <c r="BK530" s="21" t="s">
        <v>1541</v>
      </c>
    </row>
    <row r="531" customFormat="false" ht="15" hidden="false" customHeight="true" outlineLevel="0" collapsed="false">
      <c r="B531" s="17" t="s">
        <v>278</v>
      </c>
      <c r="C531" s="17" t="s">
        <v>1007</v>
      </c>
      <c r="D531" s="17" t="s">
        <v>66</v>
      </c>
      <c r="E531" s="2" t="n">
        <v>178430</v>
      </c>
      <c r="F531" s="15" t="n">
        <v>43708</v>
      </c>
      <c r="G531" s="15" t="n">
        <v>43711</v>
      </c>
      <c r="H531" s="3" t="n">
        <v>3</v>
      </c>
      <c r="I531" s="3" t="n">
        <v>2</v>
      </c>
      <c r="J531" s="3" t="n">
        <v>69</v>
      </c>
      <c r="K531" s="3" t="n">
        <v>1</v>
      </c>
      <c r="L531" s="3" t="n">
        <v>2</v>
      </c>
      <c r="M531" s="3" t="n">
        <v>1</v>
      </c>
      <c r="N531" s="3" t="n">
        <v>2</v>
      </c>
      <c r="O531" s="3" t="n">
        <v>2</v>
      </c>
      <c r="P531" s="3" t="n">
        <v>2</v>
      </c>
      <c r="Q531" s="3" t="n">
        <v>2</v>
      </c>
      <c r="R531" s="3" t="n">
        <v>2</v>
      </c>
      <c r="S531" s="3" t="n">
        <v>2</v>
      </c>
      <c r="T531" s="4" t="n">
        <v>3</v>
      </c>
      <c r="U531" s="3" t="n">
        <v>1</v>
      </c>
      <c r="V531" s="3" t="n">
        <v>3.2</v>
      </c>
      <c r="W531" s="3" t="n">
        <v>0.69</v>
      </c>
      <c r="X531" s="3" t="n">
        <v>6.98</v>
      </c>
      <c r="Y531" s="3" t="n">
        <v>763</v>
      </c>
      <c r="Z531" s="3" t="n">
        <v>82</v>
      </c>
      <c r="AA531" s="3" t="n">
        <v>0.45</v>
      </c>
      <c r="AB531" s="3" t="n">
        <v>12.9</v>
      </c>
      <c r="AC531" s="3" t="n">
        <v>3</v>
      </c>
      <c r="AD531" s="3" t="n">
        <v>2</v>
      </c>
      <c r="AE531" s="3" t="n">
        <v>1</v>
      </c>
      <c r="AF531" s="3" t="n">
        <v>1</v>
      </c>
      <c r="AG531" s="3" t="n">
        <v>1</v>
      </c>
      <c r="AH531" s="3" t="n">
        <v>2</v>
      </c>
      <c r="AI531" s="3" t="n">
        <v>1</v>
      </c>
      <c r="AJ531" s="3" t="n">
        <v>2</v>
      </c>
      <c r="AK531" s="3" t="n">
        <v>2</v>
      </c>
      <c r="AL531" s="3" t="n">
        <v>1</v>
      </c>
      <c r="AM531" s="3" t="n">
        <v>1</v>
      </c>
      <c r="AN531" s="3" t="n">
        <v>2</v>
      </c>
      <c r="AO531" s="3" t="n">
        <v>2</v>
      </c>
      <c r="AP531" s="3" t="n">
        <v>3</v>
      </c>
      <c r="AQ531" s="3" t="n">
        <v>4</v>
      </c>
      <c r="AR531" s="3" t="n">
        <v>4</v>
      </c>
      <c r="AS531" s="3" t="n">
        <v>6</v>
      </c>
      <c r="AT531" s="3" t="n">
        <v>4</v>
      </c>
      <c r="AU531" s="3" t="n">
        <v>4</v>
      </c>
      <c r="AV531" s="3" t="n">
        <v>6</v>
      </c>
      <c r="AW531" s="3" t="n">
        <v>6</v>
      </c>
      <c r="AX531" s="3" t="n">
        <v>3</v>
      </c>
      <c r="AY531" s="3" t="n">
        <v>3</v>
      </c>
      <c r="AZ531" s="3" t="n">
        <v>1</v>
      </c>
      <c r="BA531" s="5" t="n">
        <v>11</v>
      </c>
      <c r="BB531" s="3" t="n">
        <v>2</v>
      </c>
      <c r="BC531" s="3" t="n">
        <v>1</v>
      </c>
      <c r="BD531" s="3" t="n">
        <v>6</v>
      </c>
      <c r="BE531" s="3" t="n">
        <v>3</v>
      </c>
      <c r="BF531" s="3" t="n">
        <v>5</v>
      </c>
      <c r="BG531" s="3" t="n">
        <v>3</v>
      </c>
      <c r="BH531" s="3" t="n">
        <v>4</v>
      </c>
      <c r="BI531" s="3" t="n">
        <v>1</v>
      </c>
      <c r="BJ531" s="3" t="n">
        <v>1</v>
      </c>
      <c r="BK531" s="21" t="s">
        <v>1542</v>
      </c>
    </row>
    <row r="532" customFormat="false" ht="15" hidden="false" customHeight="true" outlineLevel="0" collapsed="false">
      <c r="B532" s="17" t="s">
        <v>339</v>
      </c>
      <c r="C532" s="17" t="s">
        <v>94</v>
      </c>
      <c r="D532" s="17" t="s">
        <v>78</v>
      </c>
      <c r="E532" s="2" t="n">
        <v>184411</v>
      </c>
      <c r="F532" s="15" t="n">
        <v>43707</v>
      </c>
      <c r="G532" s="15" t="n">
        <v>43712</v>
      </c>
      <c r="H532" s="3" t="n">
        <v>5</v>
      </c>
      <c r="I532" s="3" t="n">
        <v>1</v>
      </c>
      <c r="J532" s="3" t="n">
        <v>82</v>
      </c>
      <c r="K532" s="3" t="n">
        <v>1</v>
      </c>
      <c r="L532" s="3" t="n">
        <v>1</v>
      </c>
      <c r="M532" s="3" t="n">
        <v>2</v>
      </c>
      <c r="N532" s="3" t="n">
        <v>2</v>
      </c>
      <c r="O532" s="3" t="n">
        <v>2</v>
      </c>
      <c r="P532" s="3" t="n">
        <v>2</v>
      </c>
      <c r="Q532" s="3" t="n">
        <v>2</v>
      </c>
      <c r="R532" s="3" t="n">
        <v>2</v>
      </c>
      <c r="S532" s="3" t="n">
        <v>2</v>
      </c>
      <c r="T532" s="4" t="n">
        <v>1</v>
      </c>
      <c r="U532" s="3" t="n">
        <v>4</v>
      </c>
      <c r="V532" s="3" t="n">
        <v>6.32</v>
      </c>
      <c r="W532" s="3" t="n">
        <v>2.23</v>
      </c>
      <c r="X532" s="3" t="n">
        <v>5</v>
      </c>
      <c r="Y532" s="3" t="n">
        <v>310</v>
      </c>
      <c r="Z532" s="3" t="n">
        <v>105</v>
      </c>
      <c r="AA532" s="3" t="n">
        <v>0.4</v>
      </c>
      <c r="AB532" s="3" t="n">
        <v>12</v>
      </c>
      <c r="AD532" s="3" t="n">
        <v>2</v>
      </c>
      <c r="AE532" s="3" t="n">
        <v>1</v>
      </c>
      <c r="AF532" s="3" t="n">
        <v>1</v>
      </c>
      <c r="AG532" s="3" t="n">
        <v>2</v>
      </c>
      <c r="AH532" s="3" t="n">
        <v>2</v>
      </c>
      <c r="AI532" s="3" t="n">
        <v>1</v>
      </c>
      <c r="AJ532" s="3" t="n">
        <v>1</v>
      </c>
      <c r="AK532" s="3" t="n">
        <v>2</v>
      </c>
      <c r="AL532" s="3" t="n">
        <v>2</v>
      </c>
      <c r="AM532" s="3" t="n">
        <v>2</v>
      </c>
      <c r="AN532" s="3" t="n">
        <v>2</v>
      </c>
      <c r="AO532" s="3" t="n">
        <v>2</v>
      </c>
      <c r="AP532" s="3" t="n">
        <v>3</v>
      </c>
      <c r="AQ532" s="3" t="n">
        <v>4</v>
      </c>
      <c r="AR532" s="3" t="n">
        <v>4</v>
      </c>
      <c r="AS532" s="3" t="n">
        <v>6</v>
      </c>
      <c r="AT532" s="3" t="n">
        <v>4</v>
      </c>
      <c r="AU532" s="3" t="n">
        <v>4</v>
      </c>
      <c r="AV532" s="3" t="n">
        <v>6</v>
      </c>
      <c r="AW532" s="3" t="n">
        <v>6</v>
      </c>
      <c r="AX532" s="3" t="n">
        <v>3</v>
      </c>
      <c r="AY532" s="3" t="n">
        <v>3</v>
      </c>
      <c r="AZ532" s="3" t="n">
        <v>1</v>
      </c>
      <c r="BA532" s="5" t="n">
        <v>5</v>
      </c>
      <c r="BB532" s="3" t="n">
        <v>2</v>
      </c>
      <c r="BC532" s="3" t="n">
        <v>1</v>
      </c>
      <c r="BD532" s="3" t="n">
        <v>6</v>
      </c>
      <c r="BE532" s="3" t="n">
        <v>3</v>
      </c>
      <c r="BF532" s="3" t="n">
        <v>5</v>
      </c>
      <c r="BG532" s="3" t="n">
        <v>3</v>
      </c>
      <c r="BH532" s="3" t="n">
        <v>4</v>
      </c>
      <c r="BI532" s="3" t="n">
        <v>1</v>
      </c>
      <c r="BJ532" s="3" t="n">
        <v>1</v>
      </c>
      <c r="BK532" s="21" t="s">
        <v>1543</v>
      </c>
    </row>
    <row r="533" customFormat="false" ht="15" hidden="false" customHeight="true" outlineLevel="0" collapsed="false">
      <c r="B533" s="17" t="s">
        <v>258</v>
      </c>
      <c r="C533" s="17" t="s">
        <v>494</v>
      </c>
      <c r="D533" s="17" t="s">
        <v>528</v>
      </c>
      <c r="E533" s="2" t="n">
        <v>184408</v>
      </c>
      <c r="F533" s="15" t="n">
        <v>43707</v>
      </c>
      <c r="G533" s="15" t="n">
        <v>43712</v>
      </c>
      <c r="H533" s="3" t="n">
        <v>5</v>
      </c>
      <c r="I533" s="3" t="n">
        <v>2</v>
      </c>
      <c r="J533" s="3" t="n">
        <v>58</v>
      </c>
      <c r="K533" s="3" t="n">
        <v>1</v>
      </c>
      <c r="L533" s="3" t="n">
        <v>1</v>
      </c>
      <c r="M533" s="3" t="n">
        <v>1</v>
      </c>
      <c r="N533" s="3" t="n">
        <v>2</v>
      </c>
      <c r="O533" s="3" t="n">
        <v>2</v>
      </c>
      <c r="P533" s="3" t="n">
        <v>2</v>
      </c>
      <c r="Q533" s="3" t="n">
        <v>1</v>
      </c>
      <c r="R533" s="3" t="n">
        <v>2</v>
      </c>
      <c r="S533" s="3" t="n">
        <v>2</v>
      </c>
      <c r="T533" s="4" t="n">
        <v>2</v>
      </c>
      <c r="U533" s="3" t="n">
        <v>2</v>
      </c>
      <c r="V533" s="3" t="n">
        <v>4.14</v>
      </c>
      <c r="W533" s="3" t="n">
        <v>1.92</v>
      </c>
      <c r="X533" s="3" t="n">
        <v>18.3</v>
      </c>
      <c r="Y533" s="3" t="n">
        <v>567</v>
      </c>
      <c r="Z533" s="3" t="n">
        <v>148</v>
      </c>
      <c r="AA533" s="3" t="n">
        <v>0.41</v>
      </c>
      <c r="AB533" s="3" t="n">
        <v>22.4</v>
      </c>
      <c r="AC533" s="3" t="n">
        <v>1</v>
      </c>
      <c r="AD533" s="3" t="n">
        <v>2</v>
      </c>
      <c r="AE533" s="3" t="n">
        <v>1</v>
      </c>
      <c r="AF533" s="3" t="n">
        <v>1</v>
      </c>
      <c r="AG533" s="3" t="n">
        <v>2</v>
      </c>
      <c r="AH533" s="3" t="n">
        <v>2</v>
      </c>
      <c r="AI533" s="3" t="n">
        <v>1</v>
      </c>
      <c r="AJ533" s="3" t="n">
        <v>2</v>
      </c>
      <c r="AK533" s="3" t="n">
        <v>1</v>
      </c>
      <c r="AL533" s="3" t="n">
        <v>2</v>
      </c>
      <c r="AM533" s="3" t="n">
        <v>1</v>
      </c>
      <c r="AN533" s="3" t="n">
        <v>2</v>
      </c>
      <c r="AO533" s="3" t="n">
        <v>2</v>
      </c>
      <c r="AP533" s="3" t="n">
        <v>3</v>
      </c>
      <c r="AQ533" s="3" t="n">
        <v>4</v>
      </c>
      <c r="AR533" s="3" t="n">
        <v>4</v>
      </c>
      <c r="AS533" s="3" t="n">
        <v>6</v>
      </c>
      <c r="AT533" s="3" t="n">
        <v>4</v>
      </c>
      <c r="AU533" s="3" t="n">
        <v>4</v>
      </c>
      <c r="AV533" s="3" t="n">
        <v>6</v>
      </c>
      <c r="AW533" s="3" t="n">
        <v>6</v>
      </c>
      <c r="AX533" s="3" t="n">
        <v>3</v>
      </c>
      <c r="AY533" s="3" t="n">
        <v>3</v>
      </c>
      <c r="AZ533" s="3" t="n">
        <v>16</v>
      </c>
      <c r="BA533" s="5" t="n">
        <v>1</v>
      </c>
      <c r="BB533" s="3" t="n">
        <v>1</v>
      </c>
      <c r="BC533" s="3" t="n">
        <v>1</v>
      </c>
      <c r="BD533" s="3" t="n">
        <v>4</v>
      </c>
      <c r="BE533" s="3" t="n">
        <v>3</v>
      </c>
      <c r="BF533" s="3" t="n">
        <v>5</v>
      </c>
      <c r="BG533" s="3" t="n">
        <v>3</v>
      </c>
      <c r="BH533" s="3" t="n">
        <v>4</v>
      </c>
      <c r="BI533" s="3" t="n">
        <v>1</v>
      </c>
      <c r="BJ533" s="3" t="n">
        <v>1</v>
      </c>
      <c r="BK533" s="21" t="s">
        <v>1544</v>
      </c>
    </row>
    <row r="534" customFormat="false" ht="15" hidden="false" customHeight="true" outlineLevel="0" collapsed="false">
      <c r="B534" s="17" t="s">
        <v>1545</v>
      </c>
      <c r="C534" s="17" t="s">
        <v>491</v>
      </c>
      <c r="D534" s="17" t="s">
        <v>160</v>
      </c>
      <c r="E534" s="2" t="n">
        <v>184389</v>
      </c>
      <c r="F534" s="15" t="n">
        <v>43706</v>
      </c>
      <c r="G534" s="15" t="n">
        <v>43713</v>
      </c>
      <c r="H534" s="3" t="n">
        <v>8</v>
      </c>
      <c r="I534" s="3" t="n">
        <v>2</v>
      </c>
      <c r="J534" s="3" t="n">
        <v>87</v>
      </c>
      <c r="K534" s="3" t="n">
        <v>2</v>
      </c>
      <c r="L534" s="3" t="n">
        <v>2</v>
      </c>
      <c r="M534" s="3" t="n">
        <v>1</v>
      </c>
      <c r="N534" s="3" t="n">
        <v>2</v>
      </c>
      <c r="O534" s="3" t="n">
        <v>2</v>
      </c>
      <c r="P534" s="3" t="n">
        <v>2</v>
      </c>
      <c r="Q534" s="3" t="n">
        <v>2</v>
      </c>
      <c r="R534" s="3" t="n">
        <v>1</v>
      </c>
      <c r="S534" s="3" t="n">
        <v>2</v>
      </c>
      <c r="T534" s="4" t="n">
        <v>4</v>
      </c>
      <c r="U534" s="3" t="n">
        <v>4</v>
      </c>
      <c r="V534" s="3" t="n">
        <v>4.59</v>
      </c>
      <c r="W534" s="3" t="n">
        <v>0.99</v>
      </c>
      <c r="X534" s="3" t="n">
        <v>4.33</v>
      </c>
      <c r="Y534" s="3" t="n">
        <v>630</v>
      </c>
      <c r="Z534" s="3" t="n">
        <v>421</v>
      </c>
      <c r="AA534" s="3" t="n">
        <v>0.27</v>
      </c>
      <c r="AB534" s="3" t="n">
        <v>14.3</v>
      </c>
      <c r="AC534" s="3" t="n">
        <v>1</v>
      </c>
      <c r="AD534" s="3" t="n">
        <v>2</v>
      </c>
      <c r="AE534" s="3" t="n">
        <v>2</v>
      </c>
      <c r="AF534" s="3" t="n">
        <v>2</v>
      </c>
      <c r="AG534" s="3" t="n">
        <v>2</v>
      </c>
      <c r="AH534" s="3" t="n">
        <v>2</v>
      </c>
      <c r="AI534" s="3" t="n">
        <v>2</v>
      </c>
      <c r="AJ534" s="3" t="n">
        <v>2</v>
      </c>
      <c r="AK534" s="3" t="n">
        <v>2</v>
      </c>
      <c r="AL534" s="3" t="n">
        <v>2</v>
      </c>
      <c r="AM534" s="3" t="n">
        <v>1</v>
      </c>
      <c r="AN534" s="3" t="n">
        <v>2</v>
      </c>
      <c r="AO534" s="3" t="n">
        <v>2</v>
      </c>
      <c r="AP534" s="3" t="n">
        <v>3</v>
      </c>
      <c r="AQ534" s="3" t="n">
        <v>4</v>
      </c>
      <c r="AR534" s="3" t="n">
        <v>4</v>
      </c>
      <c r="AS534" s="3" t="n">
        <v>6</v>
      </c>
      <c r="AT534" s="3" t="n">
        <v>4</v>
      </c>
      <c r="AU534" s="3" t="n">
        <v>4</v>
      </c>
      <c r="AV534" s="3" t="n">
        <v>6</v>
      </c>
      <c r="AW534" s="3" t="n">
        <v>6</v>
      </c>
      <c r="AX534" s="3" t="n">
        <v>3</v>
      </c>
      <c r="AY534" s="3" t="n">
        <v>3</v>
      </c>
      <c r="AZ534" s="3" t="n">
        <v>1</v>
      </c>
      <c r="BA534" s="5" t="n">
        <v>10</v>
      </c>
      <c r="BB534" s="3" t="n">
        <v>2</v>
      </c>
      <c r="BC534" s="3" t="n">
        <v>1</v>
      </c>
      <c r="BD534" s="3" t="n">
        <v>6</v>
      </c>
      <c r="BE534" s="3" t="n">
        <v>3</v>
      </c>
      <c r="BF534" s="3" t="n">
        <v>5</v>
      </c>
      <c r="BG534" s="3" t="n">
        <v>3</v>
      </c>
      <c r="BH534" s="3" t="n">
        <v>4</v>
      </c>
      <c r="BI534" s="3" t="n">
        <v>1</v>
      </c>
      <c r="BJ534" s="3" t="n">
        <v>1</v>
      </c>
      <c r="BK534" s="21" t="s">
        <v>1546</v>
      </c>
    </row>
    <row r="535" customFormat="false" ht="15" hidden="false" customHeight="true" outlineLevel="0" collapsed="false">
      <c r="B535" s="17" t="s">
        <v>1116</v>
      </c>
      <c r="C535" s="17" t="s">
        <v>1547</v>
      </c>
      <c r="D535" s="17" t="s">
        <v>308</v>
      </c>
      <c r="E535" s="2" t="n">
        <v>184301</v>
      </c>
      <c r="F535" s="15" t="n">
        <v>43705</v>
      </c>
      <c r="G535" s="15" t="n">
        <v>43712</v>
      </c>
      <c r="H535" s="3" t="n">
        <v>7</v>
      </c>
      <c r="I535" s="3" t="n">
        <v>2</v>
      </c>
      <c r="J535" s="3" t="n">
        <v>61</v>
      </c>
      <c r="K535" s="3" t="n">
        <v>1</v>
      </c>
      <c r="L535" s="3" t="n">
        <v>1</v>
      </c>
      <c r="M535" s="3" t="n">
        <v>1</v>
      </c>
      <c r="N535" s="3" t="n">
        <v>2</v>
      </c>
      <c r="O535" s="3" t="n">
        <v>2</v>
      </c>
      <c r="P535" s="3" t="n">
        <v>2</v>
      </c>
      <c r="Q535" s="3" t="n">
        <v>2</v>
      </c>
      <c r="R535" s="3" t="n">
        <v>2</v>
      </c>
      <c r="S535" s="3" t="n">
        <v>2</v>
      </c>
      <c r="T535" s="4" t="n">
        <v>2</v>
      </c>
      <c r="U535" s="3" t="n">
        <v>2</v>
      </c>
      <c r="V535" s="3" t="n">
        <v>5.19</v>
      </c>
      <c r="W535" s="3" t="n">
        <v>1.56</v>
      </c>
      <c r="X535" s="3" t="n">
        <v>5.69</v>
      </c>
      <c r="Y535" s="3" t="n">
        <v>680</v>
      </c>
      <c r="Z535" s="3" t="n">
        <v>92</v>
      </c>
      <c r="AA535" s="3" t="n">
        <v>0.46</v>
      </c>
      <c r="AB535" s="3" t="n">
        <v>13</v>
      </c>
      <c r="AC535" s="3" t="n">
        <v>1</v>
      </c>
      <c r="AD535" s="3" t="n">
        <v>2</v>
      </c>
      <c r="AE535" s="3" t="n">
        <v>1</v>
      </c>
      <c r="AF535" s="3" t="n">
        <v>1</v>
      </c>
      <c r="AG535" s="3" t="n">
        <v>1</v>
      </c>
      <c r="AH535" s="3" t="n">
        <v>2</v>
      </c>
      <c r="AI535" s="3" t="n">
        <v>1</v>
      </c>
      <c r="AJ535" s="3" t="n">
        <v>1</v>
      </c>
      <c r="AK535" s="3" t="n">
        <v>2</v>
      </c>
      <c r="AL535" s="3" t="n">
        <v>2</v>
      </c>
      <c r="AM535" s="3" t="n">
        <v>2</v>
      </c>
      <c r="AN535" s="3" t="n">
        <v>2</v>
      </c>
      <c r="AO535" s="3" t="n">
        <v>2</v>
      </c>
      <c r="AP535" s="3" t="n">
        <v>3</v>
      </c>
      <c r="AQ535" s="3" t="n">
        <v>4</v>
      </c>
      <c r="AR535" s="3" t="n">
        <v>4</v>
      </c>
      <c r="AS535" s="3" t="n">
        <v>6</v>
      </c>
      <c r="AT535" s="3" t="n">
        <v>4</v>
      </c>
      <c r="AU535" s="3" t="n">
        <v>4</v>
      </c>
      <c r="AV535" s="3" t="n">
        <v>6</v>
      </c>
      <c r="AW535" s="3" t="n">
        <v>6</v>
      </c>
      <c r="AX535" s="3" t="n">
        <v>3</v>
      </c>
      <c r="AY535" s="3" t="n">
        <v>3</v>
      </c>
      <c r="AZ535" s="3" t="n">
        <v>1</v>
      </c>
      <c r="BA535" s="5" t="n">
        <v>1</v>
      </c>
      <c r="BB535" s="3" t="n">
        <v>1</v>
      </c>
      <c r="BC535" s="3" t="n">
        <v>1</v>
      </c>
      <c r="BD535" s="3" t="n">
        <v>2</v>
      </c>
      <c r="BE535" s="3" t="n">
        <v>3</v>
      </c>
      <c r="BF535" s="3" t="n">
        <v>5</v>
      </c>
      <c r="BG535" s="3" t="n">
        <v>3</v>
      </c>
      <c r="BH535" s="3" t="n">
        <v>4</v>
      </c>
      <c r="BI535" s="3" t="n">
        <v>1</v>
      </c>
      <c r="BJ535" s="3" t="n">
        <v>1</v>
      </c>
      <c r="BK535" s="21" t="s">
        <v>1548</v>
      </c>
    </row>
    <row r="536" customFormat="false" ht="15" hidden="false" customHeight="true" outlineLevel="0" collapsed="false">
      <c r="B536" s="17" t="s">
        <v>1549</v>
      </c>
      <c r="C536" s="17" t="s">
        <v>304</v>
      </c>
      <c r="D536" s="17" t="s">
        <v>1550</v>
      </c>
      <c r="E536" s="2" t="n">
        <v>184413</v>
      </c>
      <c r="F536" s="15" t="n">
        <v>43707</v>
      </c>
      <c r="G536" s="15" t="n">
        <v>43713</v>
      </c>
      <c r="H536" s="3" t="n">
        <v>6</v>
      </c>
      <c r="I536" s="3" t="n">
        <v>2</v>
      </c>
      <c r="J536" s="3" t="n">
        <v>60</v>
      </c>
      <c r="K536" s="3" t="n">
        <v>1</v>
      </c>
      <c r="L536" s="3" t="n">
        <v>2</v>
      </c>
      <c r="M536" s="3" t="n">
        <v>1</v>
      </c>
      <c r="N536" s="3" t="n">
        <v>2</v>
      </c>
      <c r="O536" s="3" t="n">
        <v>2</v>
      </c>
      <c r="P536" s="3" t="n">
        <v>1</v>
      </c>
      <c r="Q536" s="3" t="n">
        <v>1</v>
      </c>
      <c r="R536" s="3" t="n">
        <v>2</v>
      </c>
      <c r="S536" s="3" t="n">
        <v>1</v>
      </c>
      <c r="T536" s="4" t="n">
        <v>2</v>
      </c>
      <c r="U536" s="3" t="n">
        <v>2</v>
      </c>
      <c r="V536" s="3" t="n">
        <v>5.49</v>
      </c>
      <c r="W536" s="3" t="n">
        <v>2.29</v>
      </c>
      <c r="X536" s="3" t="n">
        <v>8.1</v>
      </c>
      <c r="Y536" s="3" t="n">
        <v>446</v>
      </c>
      <c r="Z536" s="3" t="n">
        <v>81</v>
      </c>
      <c r="AA536" s="3" t="n">
        <v>0.47</v>
      </c>
      <c r="AB536" s="3" t="n">
        <v>7.6</v>
      </c>
      <c r="AC536" s="3" t="n">
        <v>1</v>
      </c>
      <c r="AD536" s="3" t="n">
        <v>2</v>
      </c>
      <c r="AE536" s="3" t="n">
        <v>1</v>
      </c>
      <c r="AF536" s="3" t="n">
        <v>1</v>
      </c>
      <c r="AG536" s="3" t="n">
        <v>1</v>
      </c>
      <c r="AH536" s="3" t="n">
        <v>2</v>
      </c>
      <c r="AI536" s="3" t="n">
        <v>1</v>
      </c>
      <c r="AJ536" s="3" t="n">
        <v>1</v>
      </c>
      <c r="AK536" s="3" t="n">
        <v>2</v>
      </c>
      <c r="AL536" s="3" t="n">
        <v>2</v>
      </c>
      <c r="AM536" s="3" t="n">
        <v>2</v>
      </c>
      <c r="AN536" s="3" t="n">
        <v>2</v>
      </c>
      <c r="AO536" s="3" t="n">
        <v>2</v>
      </c>
      <c r="AP536" s="3" t="n">
        <v>3</v>
      </c>
      <c r="AQ536" s="3" t="n">
        <v>4</v>
      </c>
      <c r="AR536" s="3" t="n">
        <v>4</v>
      </c>
      <c r="AS536" s="3" t="n">
        <v>6</v>
      </c>
      <c r="AT536" s="3" t="n">
        <v>4</v>
      </c>
      <c r="AU536" s="3" t="n">
        <v>4</v>
      </c>
      <c r="AV536" s="3" t="n">
        <v>6</v>
      </c>
      <c r="AW536" s="3" t="n">
        <v>6</v>
      </c>
      <c r="AX536" s="3" t="n">
        <v>3</v>
      </c>
      <c r="AY536" s="3" t="n">
        <v>3</v>
      </c>
      <c r="AZ536" s="3" t="n">
        <v>1</v>
      </c>
      <c r="BA536" s="5" t="n">
        <v>1</v>
      </c>
      <c r="BB536" s="3" t="n">
        <v>1</v>
      </c>
      <c r="BC536" s="3" t="n">
        <v>1</v>
      </c>
      <c r="BD536" s="3" t="n">
        <v>3</v>
      </c>
      <c r="BE536" s="3" t="n">
        <v>3</v>
      </c>
      <c r="BF536" s="3" t="n">
        <v>5</v>
      </c>
      <c r="BG536" s="3" t="n">
        <v>3</v>
      </c>
      <c r="BH536" s="3" t="n">
        <v>4</v>
      </c>
      <c r="BI536" s="3" t="n">
        <v>1</v>
      </c>
      <c r="BJ536" s="3" t="n">
        <v>1</v>
      </c>
      <c r="BK536" s="21" t="s">
        <v>1551</v>
      </c>
    </row>
    <row r="537" customFormat="false" ht="15" hidden="false" customHeight="true" outlineLevel="0" collapsed="false">
      <c r="B537" s="17" t="s">
        <v>323</v>
      </c>
      <c r="C537" s="17" t="s">
        <v>1482</v>
      </c>
      <c r="D537" s="17" t="s">
        <v>1552</v>
      </c>
      <c r="E537" s="2" t="n">
        <v>184462</v>
      </c>
      <c r="F537" s="15" t="n">
        <v>43708</v>
      </c>
      <c r="G537" s="15" t="n">
        <v>43715</v>
      </c>
      <c r="H537" s="3" t="n">
        <v>8</v>
      </c>
      <c r="I537" s="3" t="n">
        <v>2</v>
      </c>
      <c r="J537" s="3" t="n">
        <v>61</v>
      </c>
      <c r="K537" s="3" t="n">
        <v>1</v>
      </c>
      <c r="L537" s="3" t="n">
        <v>1</v>
      </c>
      <c r="M537" s="3" t="n">
        <v>1</v>
      </c>
      <c r="N537" s="3" t="n">
        <v>2</v>
      </c>
      <c r="O537" s="3" t="n">
        <v>2</v>
      </c>
      <c r="P537" s="3" t="n">
        <v>2</v>
      </c>
      <c r="Q537" s="3" t="n">
        <v>2</v>
      </c>
      <c r="R537" s="3" t="n">
        <v>2</v>
      </c>
      <c r="S537" s="3" t="n">
        <v>2</v>
      </c>
      <c r="T537" s="4" t="n">
        <v>2</v>
      </c>
      <c r="U537" s="3" t="n">
        <v>2</v>
      </c>
      <c r="V537" s="3" t="n">
        <v>4.44</v>
      </c>
      <c r="W537" s="3" t="n">
        <v>1.24</v>
      </c>
      <c r="X537" s="3" t="n">
        <v>4.51</v>
      </c>
      <c r="Y537" s="3" t="n">
        <v>367</v>
      </c>
      <c r="Z537" s="3" t="n">
        <v>54</v>
      </c>
      <c r="AA537" s="3" t="n">
        <v>0.45</v>
      </c>
      <c r="AB537" s="3" t="n">
        <v>15.6</v>
      </c>
      <c r="AC537" s="3" t="n">
        <v>1</v>
      </c>
      <c r="AD537" s="3" t="n">
        <v>2</v>
      </c>
      <c r="AE537" s="3" t="n">
        <v>1</v>
      </c>
      <c r="AF537" s="3" t="n">
        <v>1</v>
      </c>
      <c r="AG537" s="3" t="n">
        <v>2</v>
      </c>
      <c r="AH537" s="3" t="n">
        <v>2</v>
      </c>
      <c r="AI537" s="3" t="n">
        <v>1</v>
      </c>
      <c r="AJ537" s="3" t="n">
        <v>1</v>
      </c>
      <c r="AK537" s="3" t="n">
        <v>2</v>
      </c>
      <c r="AL537" s="3" t="n">
        <v>2</v>
      </c>
      <c r="AM537" s="3" t="n">
        <v>2</v>
      </c>
      <c r="AN537" s="3" t="n">
        <v>2</v>
      </c>
      <c r="AO537" s="3" t="n">
        <v>2</v>
      </c>
      <c r="AP537" s="3" t="n">
        <v>3</v>
      </c>
      <c r="AQ537" s="3" t="n">
        <v>4</v>
      </c>
      <c r="AR537" s="3" t="n">
        <v>4</v>
      </c>
      <c r="AS537" s="3" t="n">
        <v>6</v>
      </c>
      <c r="AT537" s="3" t="n">
        <v>4</v>
      </c>
      <c r="AU537" s="3" t="n">
        <v>4</v>
      </c>
      <c r="AV537" s="3" t="n">
        <v>6</v>
      </c>
      <c r="AW537" s="3" t="n">
        <v>6</v>
      </c>
      <c r="AX537" s="3" t="n">
        <v>3</v>
      </c>
      <c r="AY537" s="3" t="n">
        <v>3</v>
      </c>
      <c r="AZ537" s="3" t="n">
        <v>1</v>
      </c>
      <c r="BA537" s="5" t="n">
        <v>1</v>
      </c>
      <c r="BB537" s="3" t="n">
        <v>1</v>
      </c>
      <c r="BC537" s="3" t="n">
        <v>1</v>
      </c>
      <c r="BD537" s="3" t="n">
        <v>4</v>
      </c>
      <c r="BE537" s="3" t="n">
        <v>1</v>
      </c>
      <c r="BF537" s="3" t="n">
        <v>2</v>
      </c>
      <c r="BG537" s="3" t="n">
        <v>3</v>
      </c>
      <c r="BH537" s="3" t="n">
        <v>4</v>
      </c>
      <c r="BI537" s="3" t="n">
        <v>1</v>
      </c>
      <c r="BJ537" s="3" t="n">
        <v>1</v>
      </c>
      <c r="BK537" s="21" t="s">
        <v>1182</v>
      </c>
    </row>
    <row r="538" customFormat="false" ht="15" hidden="false" customHeight="true" outlineLevel="0" collapsed="false">
      <c r="B538" s="2" t="s">
        <v>758</v>
      </c>
      <c r="C538" s="2" t="s">
        <v>127</v>
      </c>
      <c r="D538" s="2" t="s">
        <v>454</v>
      </c>
      <c r="E538" s="2" t="n">
        <v>184498</v>
      </c>
      <c r="F538" s="15" t="n">
        <v>43710</v>
      </c>
      <c r="G538" s="15" t="n">
        <v>43717</v>
      </c>
      <c r="H538" s="3" t="n">
        <v>7</v>
      </c>
      <c r="I538" s="3" t="n">
        <v>2</v>
      </c>
      <c r="J538" s="3" t="n">
        <v>63</v>
      </c>
      <c r="K538" s="3" t="n">
        <v>1</v>
      </c>
      <c r="L538" s="3" t="n">
        <v>1</v>
      </c>
      <c r="M538" s="3" t="n">
        <v>2</v>
      </c>
      <c r="N538" s="3" t="n">
        <v>2</v>
      </c>
      <c r="O538" s="3" t="n">
        <v>2</v>
      </c>
      <c r="P538" s="3" t="n">
        <v>2</v>
      </c>
      <c r="Q538" s="3" t="n">
        <v>2</v>
      </c>
      <c r="R538" s="3" t="n">
        <v>2</v>
      </c>
      <c r="S538" s="3" t="n">
        <v>2</v>
      </c>
      <c r="T538" s="4" t="n">
        <v>2</v>
      </c>
      <c r="U538" s="3" t="n">
        <v>2</v>
      </c>
      <c r="V538" s="3" t="n">
        <v>4.62</v>
      </c>
      <c r="W538" s="3" t="n">
        <v>2.76</v>
      </c>
      <c r="X538" s="3" t="n">
        <v>9.9</v>
      </c>
      <c r="Y538" s="3" t="n">
        <v>486</v>
      </c>
      <c r="Z538" s="3" t="n">
        <v>47</v>
      </c>
      <c r="AA538" s="3" t="n">
        <v>0.47</v>
      </c>
      <c r="AB538" s="3" t="n">
        <v>13</v>
      </c>
      <c r="AC538" s="3" t="n">
        <v>1</v>
      </c>
      <c r="AD538" s="3" t="n">
        <v>2</v>
      </c>
      <c r="AE538" s="3" t="n">
        <v>1</v>
      </c>
      <c r="AF538" s="3" t="n">
        <v>1</v>
      </c>
      <c r="AG538" s="3" t="n">
        <v>2</v>
      </c>
      <c r="AH538" s="3" t="n">
        <v>2</v>
      </c>
      <c r="AI538" s="3" t="n">
        <v>1</v>
      </c>
      <c r="AJ538" s="3" t="n">
        <v>1</v>
      </c>
      <c r="AK538" s="3" t="n">
        <v>2</v>
      </c>
      <c r="AL538" s="3" t="n">
        <v>2</v>
      </c>
      <c r="AM538" s="3" t="n">
        <v>2</v>
      </c>
      <c r="AN538" s="3" t="n">
        <v>2</v>
      </c>
      <c r="AO538" s="3" t="n">
        <v>2</v>
      </c>
      <c r="AP538" s="3" t="n">
        <v>3</v>
      </c>
      <c r="AQ538" s="3" t="n">
        <v>4</v>
      </c>
      <c r="AR538" s="3" t="n">
        <v>4</v>
      </c>
      <c r="AS538" s="3" t="n">
        <v>6</v>
      </c>
      <c r="AT538" s="3" t="n">
        <v>4</v>
      </c>
      <c r="AU538" s="3" t="n">
        <v>4</v>
      </c>
      <c r="AV538" s="3" t="n">
        <v>6</v>
      </c>
      <c r="AW538" s="3" t="n">
        <v>6</v>
      </c>
      <c r="AX538" s="3" t="n">
        <v>3</v>
      </c>
      <c r="AY538" s="3" t="n">
        <v>3</v>
      </c>
      <c r="AZ538" s="3" t="n">
        <v>1</v>
      </c>
      <c r="BA538" s="5" t="n">
        <v>1</v>
      </c>
      <c r="BB538" s="3" t="n">
        <v>1</v>
      </c>
      <c r="BC538" s="3" t="n">
        <v>1</v>
      </c>
      <c r="BD538" s="3" t="n">
        <v>4</v>
      </c>
      <c r="BE538" s="3" t="n">
        <v>1</v>
      </c>
      <c r="BF538" s="3" t="n">
        <v>2</v>
      </c>
      <c r="BG538" s="3" t="n">
        <v>1</v>
      </c>
      <c r="BH538" s="3" t="n">
        <v>4</v>
      </c>
      <c r="BI538" s="3" t="n">
        <v>1</v>
      </c>
      <c r="BJ538" s="3" t="n">
        <v>1</v>
      </c>
      <c r="BK538" s="21" t="s">
        <v>1182</v>
      </c>
    </row>
    <row r="539" customFormat="false" ht="15" hidden="false" customHeight="true" outlineLevel="0" collapsed="false">
      <c r="B539" s="2" t="s">
        <v>1553</v>
      </c>
      <c r="C539" s="2" t="s">
        <v>127</v>
      </c>
      <c r="D539" s="2" t="s">
        <v>294</v>
      </c>
      <c r="E539" s="2" t="n">
        <v>184692</v>
      </c>
      <c r="F539" s="15" t="n">
        <v>43713</v>
      </c>
      <c r="G539" s="15" t="n">
        <v>43717</v>
      </c>
      <c r="H539" s="3" t="n">
        <v>4</v>
      </c>
      <c r="I539" s="3" t="n">
        <v>2</v>
      </c>
      <c r="J539" s="3" t="n">
        <v>63</v>
      </c>
      <c r="K539" s="3" t="n">
        <v>2</v>
      </c>
      <c r="L539" s="3" t="n">
        <v>2</v>
      </c>
      <c r="M539" s="3" t="n">
        <v>1</v>
      </c>
      <c r="N539" s="3" t="n">
        <v>2</v>
      </c>
      <c r="O539" s="3" t="n">
        <v>2</v>
      </c>
      <c r="P539" s="3" t="n">
        <v>2</v>
      </c>
      <c r="Q539" s="3" t="n">
        <v>2</v>
      </c>
      <c r="R539" s="3" t="n">
        <v>2</v>
      </c>
      <c r="S539" s="3" t="n">
        <v>2</v>
      </c>
      <c r="T539" s="4" t="n">
        <v>1</v>
      </c>
      <c r="U539" s="3" t="n">
        <v>1</v>
      </c>
      <c r="V539" s="3" t="n">
        <v>5.75</v>
      </c>
      <c r="W539" s="3" t="n">
        <v>1.2</v>
      </c>
      <c r="X539" s="3" t="n">
        <v>5.2</v>
      </c>
      <c r="Y539" s="3" t="n">
        <v>336</v>
      </c>
      <c r="Z539" s="3" t="n">
        <v>73</v>
      </c>
      <c r="AA539" s="3" t="n">
        <v>0.43</v>
      </c>
      <c r="AB539" s="3" t="n">
        <v>11.8</v>
      </c>
      <c r="AC539" s="3" t="n">
        <v>1</v>
      </c>
      <c r="AD539" s="3" t="n">
        <v>1</v>
      </c>
      <c r="AE539" s="3" t="n">
        <v>1</v>
      </c>
      <c r="AF539" s="3" t="n">
        <v>1</v>
      </c>
      <c r="AG539" s="3" t="n">
        <v>1</v>
      </c>
      <c r="AH539" s="3" t="n">
        <v>2</v>
      </c>
      <c r="AI539" s="3" t="n">
        <v>1</v>
      </c>
      <c r="AJ539" s="3" t="n">
        <v>1</v>
      </c>
      <c r="AK539" s="3" t="n">
        <v>2</v>
      </c>
      <c r="AL539" s="3" t="n">
        <v>2</v>
      </c>
      <c r="AM539" s="3" t="n">
        <v>2</v>
      </c>
      <c r="AN539" s="3" t="n">
        <v>2</v>
      </c>
      <c r="AO539" s="3" t="n">
        <v>2</v>
      </c>
      <c r="AP539" s="3" t="n">
        <v>3</v>
      </c>
      <c r="AQ539" s="3" t="n">
        <v>4</v>
      </c>
      <c r="AR539" s="3" t="n">
        <v>4</v>
      </c>
      <c r="AS539" s="3" t="n">
        <v>6</v>
      </c>
      <c r="AT539" s="3" t="n">
        <v>4</v>
      </c>
      <c r="AU539" s="3" t="n">
        <v>4</v>
      </c>
      <c r="AV539" s="3" t="n">
        <v>6</v>
      </c>
      <c r="AW539" s="3" t="n">
        <v>6</v>
      </c>
      <c r="AX539" s="3" t="n">
        <v>3</v>
      </c>
      <c r="AY539" s="3" t="n">
        <v>3</v>
      </c>
      <c r="AZ539" s="3" t="n">
        <v>1</v>
      </c>
      <c r="BA539" s="5" t="n">
        <v>5</v>
      </c>
      <c r="BB539" s="3" t="n">
        <v>2</v>
      </c>
      <c r="BC539" s="3" t="n">
        <v>1</v>
      </c>
      <c r="BD539" s="3" t="n">
        <v>6</v>
      </c>
      <c r="BE539" s="3" t="n">
        <v>3</v>
      </c>
      <c r="BF539" s="3" t="n">
        <v>5</v>
      </c>
      <c r="BG539" s="3" t="n">
        <v>3</v>
      </c>
      <c r="BH539" s="3" t="n">
        <v>4</v>
      </c>
      <c r="BI539" s="3" t="n">
        <v>1</v>
      </c>
      <c r="BJ539" s="3" t="n">
        <v>1</v>
      </c>
      <c r="BK539" s="6" t="s">
        <v>1554</v>
      </c>
    </row>
    <row r="540" customFormat="false" ht="15" hidden="false" customHeight="true" outlineLevel="0" collapsed="false">
      <c r="B540" s="2" t="s">
        <v>1555</v>
      </c>
      <c r="C540" s="2" t="s">
        <v>78</v>
      </c>
      <c r="D540" s="2" t="s">
        <v>232</v>
      </c>
      <c r="E540" s="2" t="n">
        <v>165741</v>
      </c>
      <c r="F540" s="15" t="n">
        <v>43710</v>
      </c>
      <c r="G540" s="15" t="n">
        <v>43718</v>
      </c>
      <c r="H540" s="3" t="n">
        <v>7</v>
      </c>
      <c r="I540" s="3" t="n">
        <v>1</v>
      </c>
      <c r="J540" s="3" t="n">
        <v>71</v>
      </c>
      <c r="K540" s="3" t="n">
        <v>1</v>
      </c>
      <c r="L540" s="3" t="n">
        <v>2</v>
      </c>
      <c r="M540" s="3" t="n">
        <v>1</v>
      </c>
      <c r="N540" s="3" t="n">
        <v>2</v>
      </c>
      <c r="O540" s="3" t="n">
        <v>2</v>
      </c>
      <c r="P540" s="3" t="n">
        <v>2</v>
      </c>
      <c r="Q540" s="3" t="n">
        <v>1</v>
      </c>
      <c r="R540" s="3" t="n">
        <v>2</v>
      </c>
      <c r="S540" s="3" t="n">
        <v>2</v>
      </c>
      <c r="T540" s="4" t="n">
        <v>1</v>
      </c>
      <c r="U540" s="3" t="n">
        <v>1</v>
      </c>
      <c r="V540" s="3" t="n">
        <v>4.01</v>
      </c>
      <c r="W540" s="3" t="n">
        <v>2.5</v>
      </c>
      <c r="X540" s="3" t="n">
        <v>14.7</v>
      </c>
      <c r="Y540" s="3" t="n">
        <v>404</v>
      </c>
      <c r="Z540" s="3" t="n">
        <v>72</v>
      </c>
      <c r="AA540" s="3" t="n">
        <v>0.38</v>
      </c>
      <c r="AC540" s="3" t="n">
        <v>2</v>
      </c>
      <c r="AD540" s="3" t="n">
        <v>1</v>
      </c>
      <c r="AE540" s="3" t="n">
        <v>1</v>
      </c>
      <c r="AF540" s="3" t="n">
        <v>1</v>
      </c>
      <c r="AG540" s="3" t="n">
        <v>2</v>
      </c>
      <c r="AH540" s="3" t="n">
        <v>2</v>
      </c>
      <c r="AI540" s="3" t="n">
        <v>1</v>
      </c>
      <c r="AJ540" s="3" t="n">
        <v>2</v>
      </c>
      <c r="AK540" s="3" t="n">
        <v>1</v>
      </c>
      <c r="AL540" s="3" t="n">
        <v>2</v>
      </c>
      <c r="AM540" s="3" t="n">
        <v>1</v>
      </c>
      <c r="AN540" s="3" t="n">
        <v>2</v>
      </c>
      <c r="AO540" s="3" t="n">
        <v>2</v>
      </c>
      <c r="AP540" s="3" t="n">
        <v>1</v>
      </c>
      <c r="AQ540" s="3" t="n">
        <v>3</v>
      </c>
      <c r="AR540" s="3" t="n">
        <v>4</v>
      </c>
      <c r="AS540" s="3" t="n">
        <v>6</v>
      </c>
      <c r="AT540" s="3" t="n">
        <v>4</v>
      </c>
      <c r="AU540" s="3" t="n">
        <v>4</v>
      </c>
      <c r="AV540" s="3" t="n">
        <v>1</v>
      </c>
      <c r="AW540" s="3" t="n">
        <v>6</v>
      </c>
      <c r="AX540" s="3" t="n">
        <v>1</v>
      </c>
      <c r="AY540" s="3" t="n">
        <v>2</v>
      </c>
      <c r="AZ540" s="3" t="n">
        <v>1</v>
      </c>
      <c r="BA540" s="5" t="n">
        <v>5</v>
      </c>
      <c r="BB540" s="3" t="n">
        <v>2</v>
      </c>
      <c r="BC540" s="3" t="n">
        <v>1</v>
      </c>
      <c r="BD540" s="3" t="n">
        <v>6</v>
      </c>
      <c r="BE540" s="3" t="n">
        <v>3</v>
      </c>
      <c r="BF540" s="3" t="n">
        <v>5</v>
      </c>
      <c r="BG540" s="3" t="n">
        <v>3</v>
      </c>
      <c r="BH540" s="3" t="n">
        <v>4</v>
      </c>
      <c r="BI540" s="3" t="n">
        <v>1</v>
      </c>
      <c r="BJ540" s="3" t="n">
        <v>1</v>
      </c>
      <c r="BK540" s="6" t="s">
        <v>1556</v>
      </c>
    </row>
    <row r="541" customFormat="false" ht="15" hidden="false" customHeight="true" outlineLevel="0" collapsed="false">
      <c r="B541" s="17" t="s">
        <v>156</v>
      </c>
      <c r="C541" s="17" t="s">
        <v>1557</v>
      </c>
      <c r="D541" s="17" t="s">
        <v>1558</v>
      </c>
      <c r="E541" s="2" t="n">
        <v>184619</v>
      </c>
      <c r="F541" s="15" t="n">
        <v>43711</v>
      </c>
      <c r="G541" s="15" t="n">
        <v>43718</v>
      </c>
      <c r="H541" s="3" t="n">
        <v>7</v>
      </c>
      <c r="I541" s="3" t="n">
        <v>2</v>
      </c>
      <c r="J541" s="3" t="n">
        <v>49</v>
      </c>
      <c r="K541" s="3" t="n">
        <v>2</v>
      </c>
      <c r="L541" s="3" t="n">
        <v>1</v>
      </c>
      <c r="M541" s="3" t="n">
        <v>2</v>
      </c>
      <c r="N541" s="3" t="n">
        <v>2</v>
      </c>
      <c r="O541" s="3" t="n">
        <v>2</v>
      </c>
      <c r="P541" s="3" t="n">
        <v>2</v>
      </c>
      <c r="Q541" s="3" t="n">
        <v>2</v>
      </c>
      <c r="R541" s="3" t="n">
        <v>2</v>
      </c>
      <c r="S541" s="3" t="n">
        <v>2</v>
      </c>
      <c r="T541" s="4" t="n">
        <v>1</v>
      </c>
      <c r="U541" s="3" t="n">
        <v>1</v>
      </c>
      <c r="V541" s="3" t="n">
        <v>4.21</v>
      </c>
      <c r="W541" s="3" t="n">
        <v>0.82</v>
      </c>
      <c r="X541" s="3" t="n">
        <v>5.58</v>
      </c>
      <c r="Y541" s="3" t="n">
        <v>311</v>
      </c>
      <c r="Z541" s="3" t="n">
        <v>57</v>
      </c>
      <c r="AA541" s="3" t="n">
        <v>0.48</v>
      </c>
      <c r="AB541" s="3" t="n">
        <v>13.8</v>
      </c>
      <c r="AC541" s="3" t="n">
        <v>1</v>
      </c>
      <c r="AD541" s="3" t="n">
        <v>1</v>
      </c>
      <c r="AE541" s="3" t="n">
        <v>1</v>
      </c>
      <c r="AF541" s="3" t="n">
        <v>1</v>
      </c>
      <c r="AG541" s="3" t="n">
        <v>2</v>
      </c>
      <c r="AH541" s="3" t="n">
        <v>2</v>
      </c>
      <c r="AI541" s="3" t="n">
        <v>1</v>
      </c>
      <c r="AJ541" s="3" t="n">
        <v>1</v>
      </c>
      <c r="AK541" s="3" t="n">
        <v>2</v>
      </c>
      <c r="AL541" s="3" t="n">
        <v>2</v>
      </c>
      <c r="AM541" s="3" t="n">
        <v>2</v>
      </c>
      <c r="AN541" s="3" t="n">
        <v>2</v>
      </c>
      <c r="AO541" s="3" t="n">
        <v>2</v>
      </c>
      <c r="AP541" s="3" t="n">
        <v>3</v>
      </c>
      <c r="AQ541" s="3" t="n">
        <v>4</v>
      </c>
      <c r="AR541" s="3" t="n">
        <v>4</v>
      </c>
      <c r="AS541" s="3" t="n">
        <v>6</v>
      </c>
      <c r="AT541" s="3" t="n">
        <v>4</v>
      </c>
      <c r="AU541" s="3" t="n">
        <v>4</v>
      </c>
      <c r="AV541" s="3" t="n">
        <v>6</v>
      </c>
      <c r="AW541" s="3" t="n">
        <v>6</v>
      </c>
      <c r="AX541" s="3" t="n">
        <v>3</v>
      </c>
      <c r="AY541" s="3" t="n">
        <v>3</v>
      </c>
      <c r="AZ541" s="3" t="n">
        <v>1</v>
      </c>
      <c r="BA541" s="5" t="n">
        <v>1</v>
      </c>
      <c r="BB541" s="3" t="n">
        <v>1</v>
      </c>
      <c r="BC541" s="3" t="n">
        <v>1</v>
      </c>
      <c r="BD541" s="3" t="n">
        <v>4</v>
      </c>
      <c r="BE541" s="3" t="n">
        <v>3</v>
      </c>
      <c r="BF541" s="3" t="n">
        <v>5</v>
      </c>
      <c r="BG541" s="3" t="n">
        <v>3</v>
      </c>
      <c r="BH541" s="3" t="n">
        <v>4</v>
      </c>
      <c r="BI541" s="3" t="n">
        <v>1</v>
      </c>
      <c r="BJ541" s="3" t="n">
        <v>1</v>
      </c>
      <c r="BK541" s="21" t="s">
        <v>1559</v>
      </c>
    </row>
    <row r="542" customFormat="false" ht="15" hidden="false" customHeight="true" outlineLevel="0" collapsed="false">
      <c r="B542" s="2" t="s">
        <v>380</v>
      </c>
      <c r="C542" s="2" t="s">
        <v>1317</v>
      </c>
      <c r="D542" s="2" t="s">
        <v>832</v>
      </c>
      <c r="E542" s="2" t="n">
        <v>184693</v>
      </c>
      <c r="F542" s="15" t="n">
        <v>43713</v>
      </c>
      <c r="G542" s="15" t="n">
        <v>43720</v>
      </c>
      <c r="H542" s="3" t="n">
        <v>7</v>
      </c>
      <c r="I542" s="3" t="n">
        <v>1</v>
      </c>
      <c r="J542" s="3" t="n">
        <v>83</v>
      </c>
      <c r="K542" s="3" t="n">
        <v>2</v>
      </c>
      <c r="L542" s="3" t="n">
        <v>2</v>
      </c>
      <c r="M542" s="3" t="n">
        <v>1</v>
      </c>
      <c r="N542" s="3" t="n">
        <v>2</v>
      </c>
      <c r="O542" s="3" t="n">
        <v>2</v>
      </c>
      <c r="P542" s="3" t="n">
        <v>2</v>
      </c>
      <c r="Q542" s="3" t="n">
        <v>2</v>
      </c>
      <c r="R542" s="3" t="n">
        <v>2</v>
      </c>
      <c r="S542" s="3" t="n">
        <v>1</v>
      </c>
      <c r="T542" s="4" t="n">
        <v>1</v>
      </c>
      <c r="U542" s="3" t="n">
        <v>1</v>
      </c>
      <c r="V542" s="3" t="n">
        <v>5.05</v>
      </c>
      <c r="W542" s="3" t="n">
        <v>1.33</v>
      </c>
      <c r="X542" s="3" t="n">
        <v>4.8</v>
      </c>
      <c r="Y542" s="3" t="n">
        <v>373</v>
      </c>
      <c r="Z542" s="3" t="n">
        <v>74</v>
      </c>
      <c r="AA542" s="3" t="n">
        <v>0.4</v>
      </c>
      <c r="AB542" s="3" t="n">
        <v>11.9</v>
      </c>
      <c r="AC542" s="3" t="n">
        <v>1</v>
      </c>
      <c r="AD542" s="3" t="n">
        <v>1</v>
      </c>
      <c r="AE542" s="3" t="n">
        <v>1</v>
      </c>
      <c r="AF542" s="3" t="n">
        <v>1</v>
      </c>
      <c r="AG542" s="3" t="n">
        <v>1</v>
      </c>
      <c r="AH542" s="3" t="n">
        <v>2</v>
      </c>
      <c r="AI542" s="3" t="n">
        <v>1</v>
      </c>
      <c r="AJ542" s="3" t="n">
        <v>1</v>
      </c>
      <c r="AK542" s="3" t="n">
        <v>2</v>
      </c>
      <c r="AL542" s="3" t="n">
        <v>2</v>
      </c>
      <c r="AM542" s="3" t="n">
        <v>2</v>
      </c>
      <c r="AN542" s="3" t="n">
        <v>2</v>
      </c>
      <c r="AO542" s="3" t="n">
        <v>2</v>
      </c>
      <c r="AP542" s="3" t="n">
        <v>3</v>
      </c>
      <c r="AQ542" s="3" t="n">
        <v>4</v>
      </c>
      <c r="AR542" s="3" t="n">
        <v>4</v>
      </c>
      <c r="AS542" s="3" t="n">
        <v>6</v>
      </c>
      <c r="AT542" s="3" t="n">
        <v>4</v>
      </c>
      <c r="AU542" s="3" t="n">
        <v>4</v>
      </c>
      <c r="AV542" s="3" t="n">
        <v>6</v>
      </c>
      <c r="AW542" s="3" t="n">
        <v>6</v>
      </c>
      <c r="AX542" s="3" t="n">
        <v>3</v>
      </c>
      <c r="AY542" s="3" t="n">
        <v>3</v>
      </c>
      <c r="AZ542" s="3" t="n">
        <v>1</v>
      </c>
      <c r="BA542" s="5" t="n">
        <v>5</v>
      </c>
      <c r="BB542" s="3" t="n">
        <v>2</v>
      </c>
      <c r="BC542" s="3" t="n">
        <v>1</v>
      </c>
      <c r="BD542" s="3" t="n">
        <v>6</v>
      </c>
      <c r="BE542" s="3" t="n">
        <v>3</v>
      </c>
      <c r="BF542" s="3" t="n">
        <v>5</v>
      </c>
      <c r="BG542" s="3" t="n">
        <v>3</v>
      </c>
      <c r="BH542" s="3" t="n">
        <v>4</v>
      </c>
      <c r="BI542" s="3" t="n">
        <v>1</v>
      </c>
      <c r="BJ542" s="3" t="n">
        <v>1</v>
      </c>
      <c r="BK542" s="6" t="s">
        <v>1560</v>
      </c>
    </row>
    <row r="543" customFormat="false" ht="15" hidden="false" customHeight="true" outlineLevel="0" collapsed="false">
      <c r="B543" s="2" t="s">
        <v>1561</v>
      </c>
      <c r="C543" s="2" t="s">
        <v>808</v>
      </c>
      <c r="D543" s="2" t="s">
        <v>1562</v>
      </c>
      <c r="E543" s="2" t="n">
        <v>184396</v>
      </c>
      <c r="F543" s="15" t="n">
        <v>43715</v>
      </c>
      <c r="G543" s="15" t="n">
        <v>43720</v>
      </c>
      <c r="H543" s="3" t="n">
        <v>5</v>
      </c>
      <c r="I543" s="3" t="n">
        <v>2</v>
      </c>
      <c r="J543" s="3" t="n">
        <v>67</v>
      </c>
      <c r="K543" s="3" t="n">
        <v>2</v>
      </c>
      <c r="L543" s="3" t="n">
        <v>2</v>
      </c>
      <c r="M543" s="3" t="n">
        <v>2</v>
      </c>
      <c r="N543" s="3" t="n">
        <v>2</v>
      </c>
      <c r="O543" s="3" t="n">
        <v>2</v>
      </c>
      <c r="P543" s="3" t="n">
        <v>2</v>
      </c>
      <c r="Q543" s="3" t="n">
        <v>2</v>
      </c>
      <c r="R543" s="3" t="n">
        <v>2</v>
      </c>
      <c r="S543" s="3" t="n">
        <v>2</v>
      </c>
      <c r="T543" s="4" t="n">
        <v>1</v>
      </c>
      <c r="U543" s="3" t="n">
        <v>1</v>
      </c>
      <c r="AA543" s="3" t="n">
        <v>0.28</v>
      </c>
      <c r="AC543" s="3" t="n">
        <v>1</v>
      </c>
      <c r="AD543" s="3" t="n">
        <v>1</v>
      </c>
      <c r="AE543" s="3" t="n">
        <v>1</v>
      </c>
      <c r="AF543" s="3" t="n">
        <v>1</v>
      </c>
      <c r="AG543" s="3" t="n">
        <v>2</v>
      </c>
      <c r="AH543" s="3" t="n">
        <v>2</v>
      </c>
      <c r="AI543" s="3" t="n">
        <v>1</v>
      </c>
      <c r="AJ543" s="3" t="n">
        <v>2</v>
      </c>
      <c r="AK543" s="3" t="n">
        <v>2</v>
      </c>
      <c r="AL543" s="3" t="n">
        <v>2</v>
      </c>
      <c r="AM543" s="3" t="n">
        <v>2</v>
      </c>
      <c r="AN543" s="3" t="n">
        <v>2</v>
      </c>
      <c r="AO543" s="3" t="n">
        <v>2</v>
      </c>
      <c r="AP543" s="3" t="n">
        <v>3</v>
      </c>
      <c r="AQ543" s="3" t="n">
        <v>4</v>
      </c>
      <c r="AR543" s="3" t="n">
        <v>4</v>
      </c>
      <c r="AS543" s="3" t="n">
        <v>6</v>
      </c>
      <c r="AT543" s="3" t="n">
        <v>4</v>
      </c>
      <c r="AU543" s="3" t="n">
        <v>4</v>
      </c>
      <c r="AV543" s="3" t="n">
        <v>6</v>
      </c>
      <c r="AW543" s="3" t="n">
        <v>6</v>
      </c>
      <c r="AX543" s="3" t="n">
        <v>3</v>
      </c>
      <c r="AY543" s="3" t="n">
        <v>3</v>
      </c>
      <c r="AZ543" s="3" t="n">
        <v>1</v>
      </c>
      <c r="BA543" s="5" t="n">
        <v>5</v>
      </c>
      <c r="BB543" s="3" t="n">
        <v>2</v>
      </c>
      <c r="BC543" s="3" t="n">
        <v>1</v>
      </c>
      <c r="BD543" s="3" t="n">
        <v>6</v>
      </c>
      <c r="BE543" s="3" t="n">
        <v>3</v>
      </c>
      <c r="BF543" s="3" t="n">
        <v>5</v>
      </c>
      <c r="BG543" s="3" t="n">
        <v>3</v>
      </c>
      <c r="BH543" s="3" t="n">
        <v>4</v>
      </c>
      <c r="BI543" s="3" t="n">
        <v>1</v>
      </c>
      <c r="BJ543" s="3" t="n">
        <v>1</v>
      </c>
      <c r="BK543" s="21" t="s">
        <v>1563</v>
      </c>
    </row>
    <row r="544" customFormat="false" ht="15" hidden="false" customHeight="true" outlineLevel="0" collapsed="false">
      <c r="B544" s="2" t="s">
        <v>786</v>
      </c>
      <c r="C544" s="2" t="s">
        <v>599</v>
      </c>
      <c r="E544" s="2" t="n">
        <v>185032</v>
      </c>
      <c r="F544" s="15" t="n">
        <v>43720</v>
      </c>
      <c r="G544" s="15" t="n">
        <v>43721</v>
      </c>
      <c r="H544" s="3" t="n">
        <v>1</v>
      </c>
      <c r="I544" s="3" t="n">
        <v>1</v>
      </c>
      <c r="J544" s="3" t="n">
        <v>89</v>
      </c>
      <c r="K544" s="3" t="n">
        <v>1</v>
      </c>
      <c r="L544" s="3" t="n">
        <v>2</v>
      </c>
      <c r="M544" s="3" t="n">
        <v>1</v>
      </c>
      <c r="N544" s="3" t="n">
        <v>2</v>
      </c>
      <c r="O544" s="3" t="n">
        <v>2</v>
      </c>
      <c r="P544" s="3" t="n">
        <v>2</v>
      </c>
      <c r="Q544" s="3" t="n">
        <v>2</v>
      </c>
      <c r="R544" s="3" t="n">
        <v>2</v>
      </c>
      <c r="S544" s="3" t="n">
        <v>2</v>
      </c>
      <c r="T544" s="4" t="n">
        <v>12</v>
      </c>
      <c r="U544" s="3" t="n">
        <v>4</v>
      </c>
      <c r="AD544" s="3" t="n">
        <v>2</v>
      </c>
      <c r="AE544" s="3" t="n">
        <v>1</v>
      </c>
      <c r="AF544" s="3" t="n">
        <v>1</v>
      </c>
      <c r="AG544" s="3" t="n">
        <v>2</v>
      </c>
      <c r="AH544" s="3" t="n">
        <v>2</v>
      </c>
      <c r="AI544" s="3" t="n">
        <v>1</v>
      </c>
      <c r="AJ544" s="3" t="n">
        <v>1</v>
      </c>
      <c r="AK544" s="3" t="n">
        <v>2</v>
      </c>
      <c r="AL544" s="3" t="n">
        <v>2</v>
      </c>
      <c r="AM544" s="3" t="n">
        <v>2</v>
      </c>
      <c r="AN544" s="3" t="n">
        <v>2</v>
      </c>
      <c r="AO544" s="3" t="n">
        <v>2</v>
      </c>
      <c r="AP544" s="3" t="n">
        <v>3</v>
      </c>
      <c r="AQ544" s="3" t="n">
        <v>4</v>
      </c>
      <c r="AR544" s="3" t="n">
        <v>4</v>
      </c>
      <c r="AS544" s="3" t="n">
        <v>6</v>
      </c>
      <c r="AT544" s="3" t="n">
        <v>4</v>
      </c>
      <c r="AU544" s="3" t="n">
        <v>4</v>
      </c>
      <c r="AV544" s="3" t="n">
        <v>6</v>
      </c>
      <c r="AW544" s="3" t="n">
        <v>6</v>
      </c>
      <c r="AX544" s="3" t="n">
        <v>3</v>
      </c>
      <c r="AY544" s="3" t="n">
        <v>3</v>
      </c>
      <c r="AZ544" s="3" t="n">
        <v>1</v>
      </c>
      <c r="BA544" s="5" t="n">
        <v>3</v>
      </c>
      <c r="BB544" s="3" t="n">
        <v>2</v>
      </c>
      <c r="BC544" s="3" t="n">
        <v>1</v>
      </c>
      <c r="BD544" s="3" t="n">
        <v>6</v>
      </c>
      <c r="BE544" s="3" t="n">
        <v>3</v>
      </c>
      <c r="BF544" s="3" t="n">
        <v>5</v>
      </c>
      <c r="BG544" s="3" t="n">
        <v>3</v>
      </c>
      <c r="BH544" s="3" t="n">
        <v>4</v>
      </c>
      <c r="BI544" s="3" t="n">
        <v>1</v>
      </c>
      <c r="BJ544" s="3" t="n">
        <v>1</v>
      </c>
      <c r="BK544" s="21" t="s">
        <v>1564</v>
      </c>
    </row>
    <row r="545" s="30" customFormat="true" ht="15" hidden="false" customHeight="true" outlineLevel="0" collapsed="false">
      <c r="A545" s="24"/>
      <c r="B545" s="26" t="s">
        <v>580</v>
      </c>
      <c r="C545" s="26" t="s">
        <v>78</v>
      </c>
      <c r="D545" s="26" t="s">
        <v>1565</v>
      </c>
      <c r="E545" s="26" t="s">
        <v>1566</v>
      </c>
      <c r="F545" s="27" t="n">
        <v>43720</v>
      </c>
      <c r="G545" s="27" t="n">
        <v>43722</v>
      </c>
      <c r="H545" s="30" t="n">
        <v>2</v>
      </c>
      <c r="I545" s="30" t="n">
        <v>1</v>
      </c>
      <c r="J545" s="30" t="n">
        <v>84</v>
      </c>
      <c r="K545" s="30" t="n">
        <v>1</v>
      </c>
      <c r="L545" s="30" t="n">
        <v>1</v>
      </c>
      <c r="M545" s="30" t="n">
        <v>1</v>
      </c>
      <c r="N545" s="30" t="n">
        <v>2</v>
      </c>
      <c r="O545" s="30" t="n">
        <v>1</v>
      </c>
      <c r="P545" s="30" t="n">
        <v>1</v>
      </c>
      <c r="Q545" s="30" t="n">
        <v>1</v>
      </c>
      <c r="R545" s="30" t="n">
        <v>1</v>
      </c>
      <c r="S545" s="30" t="n">
        <v>2</v>
      </c>
      <c r="T545" s="4" t="n">
        <v>3</v>
      </c>
      <c r="U545" s="30" t="n">
        <v>4</v>
      </c>
      <c r="V545" s="30" t="n">
        <v>4.28</v>
      </c>
      <c r="W545" s="30" t="n">
        <v>1.31</v>
      </c>
      <c r="X545" s="30" t="n">
        <v>19.37</v>
      </c>
      <c r="Y545" s="30" t="n">
        <v>560</v>
      </c>
      <c r="Z545" s="30" t="n">
        <v>261</v>
      </c>
      <c r="AA545" s="30" t="n">
        <v>0.42</v>
      </c>
      <c r="AB545" s="30" t="n">
        <v>9.8</v>
      </c>
      <c r="AC545" s="30" t="n">
        <v>3</v>
      </c>
      <c r="AD545" s="30" t="n">
        <v>2</v>
      </c>
      <c r="AE545" s="30" t="n">
        <v>1</v>
      </c>
      <c r="AF545" s="30" t="n">
        <v>1</v>
      </c>
      <c r="AG545" s="30" t="n">
        <v>2</v>
      </c>
      <c r="AH545" s="30" t="n">
        <v>2</v>
      </c>
      <c r="AI545" s="30" t="n">
        <v>2</v>
      </c>
      <c r="AJ545" s="30" t="n">
        <v>2</v>
      </c>
      <c r="AK545" s="30" t="n">
        <v>1</v>
      </c>
      <c r="AL545" s="30" t="n">
        <v>1</v>
      </c>
      <c r="AM545" s="30" t="n">
        <v>1</v>
      </c>
      <c r="AN545" s="30" t="n">
        <v>2</v>
      </c>
      <c r="AO545" s="30" t="n">
        <v>2</v>
      </c>
      <c r="AP545" s="30" t="n">
        <v>3</v>
      </c>
      <c r="AQ545" s="30" t="n">
        <v>4</v>
      </c>
      <c r="AR545" s="30" t="n">
        <v>4</v>
      </c>
      <c r="AS545" s="30" t="n">
        <v>6</v>
      </c>
      <c r="AT545" s="30" t="n">
        <v>4</v>
      </c>
      <c r="AU545" s="30" t="n">
        <v>4</v>
      </c>
      <c r="AV545" s="30" t="n">
        <v>6</v>
      </c>
      <c r="AW545" s="30" t="n">
        <v>6</v>
      </c>
      <c r="AX545" s="30" t="n">
        <v>3</v>
      </c>
      <c r="AY545" s="30" t="n">
        <v>3</v>
      </c>
      <c r="AZ545" s="30" t="n">
        <v>1</v>
      </c>
      <c r="BA545" s="5" t="n">
        <v>11</v>
      </c>
      <c r="BB545" s="30" t="n">
        <v>2</v>
      </c>
      <c r="BC545" s="30" t="n">
        <v>2</v>
      </c>
      <c r="BD545" s="30" t="n">
        <v>6</v>
      </c>
      <c r="BE545" s="30" t="n">
        <v>3</v>
      </c>
      <c r="BF545" s="30" t="n">
        <v>5</v>
      </c>
      <c r="BG545" s="30" t="n">
        <v>3</v>
      </c>
      <c r="BH545" s="30" t="n">
        <v>4</v>
      </c>
      <c r="BI545" s="30" t="n">
        <v>1</v>
      </c>
      <c r="BJ545" s="30" t="n">
        <v>1</v>
      </c>
      <c r="BK545" s="31" t="s">
        <v>1567</v>
      </c>
    </row>
    <row r="546" customFormat="false" ht="15" hidden="false" customHeight="true" outlineLevel="0" collapsed="false">
      <c r="B546" s="2" t="s">
        <v>1143</v>
      </c>
      <c r="C546" s="2" t="s">
        <v>198</v>
      </c>
      <c r="D546" s="2" t="s">
        <v>1150</v>
      </c>
      <c r="E546" s="2" t="n">
        <v>183925</v>
      </c>
      <c r="F546" s="15" t="n">
        <v>43714</v>
      </c>
      <c r="G546" s="15" t="n">
        <v>43724</v>
      </c>
      <c r="H546" s="3" t="n">
        <v>10</v>
      </c>
      <c r="I546" s="3" t="n">
        <v>2</v>
      </c>
      <c r="J546" s="3" t="n">
        <v>73</v>
      </c>
      <c r="K546" s="3" t="n">
        <v>1</v>
      </c>
      <c r="L546" s="3" t="n">
        <v>1</v>
      </c>
      <c r="M546" s="3" t="n">
        <v>1</v>
      </c>
      <c r="N546" s="3" t="n">
        <v>2</v>
      </c>
      <c r="O546" s="3" t="n">
        <v>2</v>
      </c>
      <c r="P546" s="3" t="n">
        <v>2</v>
      </c>
      <c r="Q546" s="3" t="n">
        <v>2</v>
      </c>
      <c r="R546" s="3" t="n">
        <v>2</v>
      </c>
      <c r="S546" s="3" t="n">
        <v>1</v>
      </c>
      <c r="T546" s="4" t="n">
        <v>1</v>
      </c>
      <c r="U546" s="3" t="n">
        <v>1</v>
      </c>
      <c r="V546" s="3" t="n">
        <v>4.87</v>
      </c>
      <c r="W546" s="3" t="n">
        <v>3.23</v>
      </c>
      <c r="X546" s="3" t="n">
        <v>6.7</v>
      </c>
      <c r="Y546" s="3" t="n">
        <v>566</v>
      </c>
      <c r="Z546" s="3" t="n">
        <v>72</v>
      </c>
      <c r="AA546" s="3" t="n">
        <v>0.42</v>
      </c>
      <c r="AB546" s="3" t="n">
        <v>8</v>
      </c>
      <c r="AC546" s="3" t="n">
        <v>2</v>
      </c>
      <c r="AD546" s="3" t="n">
        <v>1</v>
      </c>
      <c r="AE546" s="3" t="n">
        <v>1</v>
      </c>
      <c r="AF546" s="3" t="n">
        <v>1</v>
      </c>
      <c r="AG546" s="3" t="n">
        <v>2</v>
      </c>
      <c r="AH546" s="3" t="n">
        <v>2</v>
      </c>
      <c r="AI546" s="3" t="n">
        <v>1</v>
      </c>
      <c r="AJ546" s="3" t="n">
        <v>1</v>
      </c>
      <c r="AK546" s="3" t="n">
        <v>2</v>
      </c>
      <c r="AL546" s="3" t="n">
        <v>2</v>
      </c>
      <c r="AM546" s="3" t="n">
        <v>1</v>
      </c>
      <c r="AN546" s="3" t="n">
        <v>2</v>
      </c>
      <c r="AO546" s="3" t="n">
        <v>2</v>
      </c>
      <c r="AP546" s="3" t="n">
        <v>3</v>
      </c>
      <c r="AQ546" s="3" t="n">
        <v>4</v>
      </c>
      <c r="AR546" s="3" t="n">
        <v>4</v>
      </c>
      <c r="AS546" s="3" t="n">
        <v>6</v>
      </c>
      <c r="AT546" s="3" t="n">
        <v>4</v>
      </c>
      <c r="AU546" s="3" t="n">
        <v>4</v>
      </c>
      <c r="AV546" s="3" t="n">
        <v>6</v>
      </c>
      <c r="AW546" s="3" t="n">
        <v>6</v>
      </c>
      <c r="AX546" s="3" t="n">
        <v>3</v>
      </c>
      <c r="AY546" s="3" t="n">
        <v>3</v>
      </c>
      <c r="AZ546" s="3" t="n">
        <v>1</v>
      </c>
      <c r="BA546" s="5" t="n">
        <v>2</v>
      </c>
      <c r="BB546" s="3" t="n">
        <v>1</v>
      </c>
      <c r="BC546" s="3" t="n">
        <v>1</v>
      </c>
      <c r="BD546" s="3" t="n">
        <v>6</v>
      </c>
      <c r="BE546" s="3" t="n">
        <v>3</v>
      </c>
      <c r="BF546" s="3" t="n">
        <v>5</v>
      </c>
      <c r="BG546" s="3" t="n">
        <v>3</v>
      </c>
      <c r="BH546" s="3" t="n">
        <v>4</v>
      </c>
      <c r="BI546" s="3" t="n">
        <v>1</v>
      </c>
      <c r="BJ546" s="3" t="n">
        <v>1</v>
      </c>
      <c r="BK546" s="21" t="s">
        <v>1568</v>
      </c>
    </row>
    <row r="547" customFormat="false" ht="15" hidden="false" customHeight="true" outlineLevel="0" collapsed="false">
      <c r="B547" s="2" t="s">
        <v>894</v>
      </c>
      <c r="C547" s="2" t="s">
        <v>474</v>
      </c>
      <c r="D547" s="2" t="s">
        <v>767</v>
      </c>
      <c r="E547" s="2" t="n">
        <v>102608</v>
      </c>
      <c r="F547" s="15" t="n">
        <v>43712</v>
      </c>
      <c r="G547" s="15" t="n">
        <v>43724</v>
      </c>
      <c r="H547" s="3" t="n">
        <v>11</v>
      </c>
      <c r="I547" s="3" t="n">
        <v>2</v>
      </c>
      <c r="J547" s="3" t="n">
        <v>71</v>
      </c>
      <c r="K547" s="3" t="n">
        <v>1</v>
      </c>
      <c r="L547" s="3" t="n">
        <v>2</v>
      </c>
      <c r="M547" s="3" t="n">
        <v>1</v>
      </c>
      <c r="N547" s="3" t="n">
        <v>2</v>
      </c>
      <c r="O547" s="3" t="n">
        <v>2</v>
      </c>
      <c r="P547" s="3" t="n">
        <v>2</v>
      </c>
      <c r="Q547" s="3" t="n">
        <v>2</v>
      </c>
      <c r="R547" s="3" t="n">
        <v>1</v>
      </c>
      <c r="S547" s="3" t="n">
        <v>1</v>
      </c>
      <c r="T547" s="4" t="n">
        <v>3</v>
      </c>
      <c r="U547" s="3" t="n">
        <v>4</v>
      </c>
      <c r="V547" s="3" t="n">
        <v>2.08</v>
      </c>
      <c r="W547" s="3" t="n">
        <v>0.82</v>
      </c>
      <c r="X547" s="3" t="n">
        <v>4.6</v>
      </c>
      <c r="Y547" s="3" t="n">
        <v>408</v>
      </c>
      <c r="Z547" s="3" t="n">
        <v>59</v>
      </c>
      <c r="AA547" s="3" t="n">
        <v>0.41</v>
      </c>
      <c r="AB547" s="3" t="n">
        <v>10</v>
      </c>
      <c r="AC547" s="3" t="n">
        <v>2</v>
      </c>
      <c r="AD547" s="3" t="n">
        <v>2</v>
      </c>
      <c r="AE547" s="3" t="n">
        <v>2</v>
      </c>
      <c r="AF547" s="3" t="n">
        <v>1</v>
      </c>
      <c r="AG547" s="3" t="n">
        <v>2</v>
      </c>
      <c r="AH547" s="3" t="n">
        <v>2</v>
      </c>
      <c r="AI547" s="3" t="n">
        <v>1</v>
      </c>
      <c r="AJ547" s="3" t="n">
        <v>2</v>
      </c>
      <c r="AK547" s="3" t="n">
        <v>2</v>
      </c>
      <c r="AL547" s="3" t="n">
        <v>1</v>
      </c>
      <c r="AM547" s="3" t="n">
        <v>1</v>
      </c>
      <c r="AN547" s="3" t="n">
        <v>2</v>
      </c>
      <c r="AO547" s="3" t="n">
        <v>2</v>
      </c>
      <c r="AP547" s="3" t="n">
        <v>3</v>
      </c>
      <c r="AQ547" s="3" t="n">
        <v>4</v>
      </c>
      <c r="AR547" s="3" t="n">
        <v>4</v>
      </c>
      <c r="AS547" s="3" t="n">
        <v>6</v>
      </c>
      <c r="AT547" s="3" t="n">
        <v>4</v>
      </c>
      <c r="AU547" s="3" t="n">
        <v>4</v>
      </c>
      <c r="AV547" s="3" t="n">
        <v>6</v>
      </c>
      <c r="AW547" s="3" t="n">
        <v>6</v>
      </c>
      <c r="AX547" s="3" t="n">
        <v>3</v>
      </c>
      <c r="AY547" s="3" t="n">
        <v>3</v>
      </c>
      <c r="AZ547" s="3" t="n">
        <v>1</v>
      </c>
      <c r="BA547" s="5" t="n">
        <v>11</v>
      </c>
      <c r="BB547" s="3" t="n">
        <v>2</v>
      </c>
      <c r="BC547" s="3" t="n">
        <v>1</v>
      </c>
      <c r="BD547" s="3" t="n">
        <v>6</v>
      </c>
      <c r="BE547" s="3" t="n">
        <v>3</v>
      </c>
      <c r="BF547" s="3" t="n">
        <v>5</v>
      </c>
      <c r="BG547" s="3" t="n">
        <v>3</v>
      </c>
      <c r="BH547" s="3" t="n">
        <v>4</v>
      </c>
      <c r="BI547" s="3" t="n">
        <v>1</v>
      </c>
      <c r="BJ547" s="3" t="n">
        <v>1</v>
      </c>
      <c r="BK547" s="21" t="s">
        <v>1569</v>
      </c>
    </row>
    <row r="548" customFormat="false" ht="15" hidden="false" customHeight="true" outlineLevel="0" collapsed="false">
      <c r="B548" s="2" t="s">
        <v>73</v>
      </c>
      <c r="C548" s="2" t="s">
        <v>1570</v>
      </c>
      <c r="D548" s="2" t="s">
        <v>127</v>
      </c>
      <c r="E548" s="2" t="n">
        <v>184730</v>
      </c>
      <c r="F548" s="15" t="n">
        <v>43718</v>
      </c>
      <c r="G548" s="15" t="n">
        <v>37516</v>
      </c>
      <c r="H548" s="3" t="n">
        <v>7</v>
      </c>
      <c r="I548" s="3" t="n">
        <v>2</v>
      </c>
      <c r="J548" s="3" t="n">
        <v>56</v>
      </c>
      <c r="K548" s="3" t="n">
        <v>1</v>
      </c>
      <c r="L548" s="3" t="n">
        <v>2</v>
      </c>
      <c r="M548" s="3" t="n">
        <v>1</v>
      </c>
      <c r="N548" s="3" t="n">
        <v>2</v>
      </c>
      <c r="O548" s="3" t="n">
        <v>2</v>
      </c>
      <c r="P548" s="3" t="n">
        <v>2</v>
      </c>
      <c r="Q548" s="3" t="n">
        <v>2</v>
      </c>
      <c r="R548" s="3" t="n">
        <v>2</v>
      </c>
      <c r="S548" s="3" t="n">
        <v>1</v>
      </c>
      <c r="T548" s="4" t="n">
        <v>2</v>
      </c>
      <c r="U548" s="3" t="n">
        <v>2</v>
      </c>
      <c r="V548" s="3" t="n">
        <v>5.22</v>
      </c>
      <c r="W548" s="3" t="n">
        <v>1.79</v>
      </c>
      <c r="X548" s="3" t="n">
        <v>7.7</v>
      </c>
      <c r="Y548" s="3" t="n">
        <v>451</v>
      </c>
      <c r="Z548" s="3" t="n">
        <v>82</v>
      </c>
      <c r="AA548" s="3" t="n">
        <v>0.41</v>
      </c>
      <c r="AB548" s="3" t="n">
        <v>8</v>
      </c>
      <c r="AC548" s="3" t="n">
        <v>2</v>
      </c>
      <c r="AD548" s="3" t="n">
        <v>1</v>
      </c>
      <c r="AE548" s="3" t="n">
        <v>1</v>
      </c>
      <c r="AF548" s="3" t="n">
        <v>1</v>
      </c>
      <c r="AG548" s="3" t="n">
        <v>2</v>
      </c>
      <c r="AH548" s="3" t="n">
        <v>2</v>
      </c>
      <c r="AI548" s="3" t="n">
        <v>1</v>
      </c>
      <c r="AJ548" s="3" t="n">
        <v>1</v>
      </c>
      <c r="AK548" s="3" t="n">
        <v>2</v>
      </c>
      <c r="AL548" s="3" t="n">
        <v>2</v>
      </c>
      <c r="AM548" s="3" t="n">
        <v>1</v>
      </c>
      <c r="AN548" s="3" t="n">
        <v>2</v>
      </c>
      <c r="AO548" s="3" t="n">
        <v>2</v>
      </c>
      <c r="AP548" s="3" t="n">
        <v>3</v>
      </c>
      <c r="AQ548" s="3" t="n">
        <v>4</v>
      </c>
      <c r="AR548" s="3" t="n">
        <v>4</v>
      </c>
      <c r="AS548" s="3" t="n">
        <v>6</v>
      </c>
      <c r="AT548" s="3" t="n">
        <v>4</v>
      </c>
      <c r="AU548" s="3" t="n">
        <v>4</v>
      </c>
      <c r="AV548" s="3" t="n">
        <v>6</v>
      </c>
      <c r="AW548" s="3" t="n">
        <v>6</v>
      </c>
      <c r="AX548" s="3" t="n">
        <v>3</v>
      </c>
      <c r="AY548" s="3" t="n">
        <v>3</v>
      </c>
      <c r="AZ548" s="3" t="n">
        <v>1</v>
      </c>
      <c r="BA548" s="5" t="n">
        <v>1</v>
      </c>
      <c r="BB548" s="3" t="n">
        <v>1</v>
      </c>
      <c r="BC548" s="3" t="n">
        <v>1</v>
      </c>
      <c r="BD548" s="3" t="n">
        <v>2</v>
      </c>
      <c r="BE548" s="3" t="n">
        <v>3</v>
      </c>
      <c r="BF548" s="3" t="n">
        <v>5</v>
      </c>
      <c r="BG548" s="3" t="n">
        <v>3</v>
      </c>
      <c r="BH548" s="3" t="n">
        <v>4</v>
      </c>
      <c r="BI548" s="3" t="n">
        <v>1</v>
      </c>
      <c r="BJ548" s="3" t="n">
        <v>1</v>
      </c>
      <c r="BK548" s="21" t="s">
        <v>1571</v>
      </c>
    </row>
    <row r="549" customFormat="false" ht="15" hidden="false" customHeight="true" outlineLevel="0" collapsed="false">
      <c r="B549" s="2" t="s">
        <v>1545</v>
      </c>
      <c r="C549" s="2" t="s">
        <v>1572</v>
      </c>
      <c r="D549" s="2" t="s">
        <v>94</v>
      </c>
      <c r="E549" s="2" t="n">
        <v>184741</v>
      </c>
      <c r="F549" s="15" t="n">
        <v>43718</v>
      </c>
      <c r="G549" s="15" t="n">
        <v>43725</v>
      </c>
      <c r="H549" s="3" t="n">
        <v>7</v>
      </c>
      <c r="I549" s="3" t="n">
        <v>2</v>
      </c>
      <c r="J549" s="3" t="n">
        <v>68</v>
      </c>
      <c r="K549" s="3" t="n">
        <v>1</v>
      </c>
      <c r="L549" s="3" t="n">
        <v>2</v>
      </c>
      <c r="M549" s="3" t="n">
        <v>1</v>
      </c>
      <c r="N549" s="3" t="n">
        <v>2</v>
      </c>
      <c r="O549" s="3" t="n">
        <v>2</v>
      </c>
      <c r="P549" s="3" t="n">
        <v>2</v>
      </c>
      <c r="Q549" s="3" t="n">
        <v>2</v>
      </c>
      <c r="R549" s="3" t="n">
        <v>2</v>
      </c>
      <c r="S549" s="3" t="n">
        <v>1</v>
      </c>
      <c r="T549" s="4" t="n">
        <v>1</v>
      </c>
      <c r="U549" s="3" t="n">
        <v>1</v>
      </c>
      <c r="V549" s="3" t="n">
        <v>6.48</v>
      </c>
      <c r="W549" s="3" t="n">
        <v>2.28</v>
      </c>
      <c r="X549" s="3" t="n">
        <v>5.1</v>
      </c>
      <c r="Y549" s="3" t="n">
        <v>468</v>
      </c>
      <c r="Z549" s="3" t="n">
        <v>85</v>
      </c>
      <c r="AA549" s="3" t="n">
        <v>0.45</v>
      </c>
      <c r="AB549" s="3" t="n">
        <v>12.5</v>
      </c>
      <c r="AC549" s="3" t="n">
        <v>1</v>
      </c>
      <c r="AD549" s="3" t="n">
        <v>1</v>
      </c>
      <c r="AE549" s="3" t="n">
        <v>1</v>
      </c>
      <c r="AF549" s="3" t="n">
        <v>1</v>
      </c>
      <c r="AG549" s="3" t="n">
        <v>2</v>
      </c>
      <c r="AH549" s="3" t="n">
        <v>1</v>
      </c>
      <c r="AI549" s="3" t="n">
        <v>1</v>
      </c>
      <c r="AJ549" s="3" t="n">
        <v>1</v>
      </c>
      <c r="AK549" s="3" t="n">
        <v>2</v>
      </c>
      <c r="AL549" s="3" t="n">
        <v>2</v>
      </c>
      <c r="AM549" s="3" t="n">
        <v>2</v>
      </c>
      <c r="AN549" s="3" t="n">
        <v>2</v>
      </c>
      <c r="AO549" s="3" t="n">
        <v>2</v>
      </c>
      <c r="AP549" s="3" t="n">
        <v>1</v>
      </c>
      <c r="AQ549" s="3" t="n">
        <v>1</v>
      </c>
      <c r="AR549" s="3" t="n">
        <v>4</v>
      </c>
      <c r="AS549" s="3" t="n">
        <v>6</v>
      </c>
      <c r="AT549" s="3" t="n">
        <v>4</v>
      </c>
      <c r="AU549" s="3" t="n">
        <v>4</v>
      </c>
      <c r="AV549" s="3" t="n">
        <v>1</v>
      </c>
      <c r="AW549" s="3" t="n">
        <v>6</v>
      </c>
      <c r="AX549" s="3" t="n">
        <v>2</v>
      </c>
      <c r="AY549" s="3" t="n">
        <v>1</v>
      </c>
      <c r="AZ549" s="3" t="n">
        <v>1</v>
      </c>
      <c r="BA549" s="5" t="n">
        <v>5</v>
      </c>
      <c r="BB549" s="3" t="n">
        <v>2</v>
      </c>
      <c r="BC549" s="3" t="n">
        <v>1</v>
      </c>
      <c r="BD549" s="3" t="n">
        <v>6</v>
      </c>
      <c r="BE549" s="3" t="n">
        <v>3</v>
      </c>
      <c r="BF549" s="3" t="n">
        <v>5</v>
      </c>
      <c r="BG549" s="3" t="n">
        <v>3</v>
      </c>
      <c r="BH549" s="3" t="n">
        <v>4</v>
      </c>
      <c r="BI549" s="3" t="n">
        <v>1</v>
      </c>
      <c r="BJ549" s="3" t="n">
        <v>1</v>
      </c>
      <c r="BK549" s="21" t="s">
        <v>1573</v>
      </c>
    </row>
    <row r="550" customFormat="false" ht="15" hidden="false" customHeight="true" outlineLevel="0" collapsed="false">
      <c r="B550" s="2" t="s">
        <v>1138</v>
      </c>
      <c r="C550" s="2" t="s">
        <v>1489</v>
      </c>
      <c r="D550" s="2" t="s">
        <v>1490</v>
      </c>
      <c r="E550" s="2" t="n">
        <v>183349</v>
      </c>
      <c r="F550" s="15" t="n">
        <v>43714</v>
      </c>
      <c r="G550" s="15" t="n">
        <v>43726</v>
      </c>
      <c r="H550" s="3" t="n">
        <v>12</v>
      </c>
      <c r="I550" s="3" t="n">
        <v>2</v>
      </c>
      <c r="J550" s="3" t="n">
        <v>58</v>
      </c>
      <c r="K550" s="3" t="n">
        <v>1</v>
      </c>
      <c r="L550" s="3" t="n">
        <v>2</v>
      </c>
      <c r="M550" s="3" t="n">
        <v>1</v>
      </c>
      <c r="N550" s="3" t="n">
        <v>2</v>
      </c>
      <c r="O550" s="3" t="n">
        <v>2</v>
      </c>
      <c r="P550" s="3" t="n">
        <v>2</v>
      </c>
      <c r="Q550" s="3" t="n">
        <v>1</v>
      </c>
      <c r="R550" s="3" t="n">
        <v>2</v>
      </c>
      <c r="S550" s="3" t="n">
        <v>2</v>
      </c>
      <c r="T550" s="4" t="n">
        <v>3</v>
      </c>
      <c r="U550" s="3" t="n">
        <v>4</v>
      </c>
      <c r="V550" s="3" t="n">
        <v>3.87</v>
      </c>
      <c r="W550" s="3" t="n">
        <v>1.02</v>
      </c>
      <c r="X550" s="3" t="n">
        <v>4.5</v>
      </c>
      <c r="Y550" s="3" t="n">
        <v>652</v>
      </c>
      <c r="Z550" s="3" t="n">
        <v>217</v>
      </c>
      <c r="AA550" s="3" t="n">
        <v>0.4</v>
      </c>
      <c r="AB550" s="3" t="n">
        <v>9.5</v>
      </c>
      <c r="AC550" s="3" t="n">
        <v>2</v>
      </c>
      <c r="AD550" s="3" t="n">
        <v>2</v>
      </c>
      <c r="AE550" s="3" t="n">
        <v>2</v>
      </c>
      <c r="AF550" s="3" t="n">
        <v>1</v>
      </c>
      <c r="AG550" s="3" t="n">
        <v>2</v>
      </c>
      <c r="AH550" s="3" t="n">
        <v>2</v>
      </c>
      <c r="AI550" s="3" t="n">
        <v>2</v>
      </c>
      <c r="AJ550" s="3" t="n">
        <v>2</v>
      </c>
      <c r="AK550" s="3" t="n">
        <v>1</v>
      </c>
      <c r="AL550" s="3" t="n">
        <v>1</v>
      </c>
      <c r="AM550" s="3" t="n">
        <v>1</v>
      </c>
      <c r="AN550" s="3" t="n">
        <v>2</v>
      </c>
      <c r="AO550" s="3" t="n">
        <v>2</v>
      </c>
      <c r="AP550" s="3" t="n">
        <v>3</v>
      </c>
      <c r="AQ550" s="3" t="n">
        <v>4</v>
      </c>
      <c r="AR550" s="3" t="n">
        <v>4</v>
      </c>
      <c r="AS550" s="3" t="n">
        <v>6</v>
      </c>
      <c r="AT550" s="3" t="n">
        <v>4</v>
      </c>
      <c r="AU550" s="3" t="n">
        <v>4</v>
      </c>
      <c r="AV550" s="3" t="n">
        <v>6</v>
      </c>
      <c r="AW550" s="3" t="n">
        <v>6</v>
      </c>
      <c r="AX550" s="3" t="n">
        <v>3</v>
      </c>
      <c r="AY550" s="3" t="n">
        <v>3</v>
      </c>
      <c r="AZ550" s="3" t="n">
        <v>1</v>
      </c>
      <c r="BA550" s="5" t="n">
        <v>11</v>
      </c>
      <c r="BB550" s="3" t="n">
        <v>2</v>
      </c>
      <c r="BC550" s="3" t="n">
        <v>1</v>
      </c>
      <c r="BD550" s="3" t="n">
        <v>6</v>
      </c>
      <c r="BE550" s="3" t="n">
        <v>3</v>
      </c>
      <c r="BF550" s="3" t="n">
        <v>5</v>
      </c>
      <c r="BG550" s="3" t="n">
        <v>3</v>
      </c>
      <c r="BH550" s="3" t="n">
        <v>4</v>
      </c>
      <c r="BI550" s="3" t="n">
        <v>1</v>
      </c>
      <c r="BJ550" s="3" t="n">
        <v>1</v>
      </c>
      <c r="BK550" s="21" t="s">
        <v>1574</v>
      </c>
    </row>
    <row r="551" customFormat="false" ht="15" hidden="false" customHeight="true" outlineLevel="0" collapsed="false">
      <c r="B551" s="2" t="s">
        <v>1575</v>
      </c>
      <c r="C551" s="2" t="s">
        <v>144</v>
      </c>
      <c r="D551" s="2" t="s">
        <v>1207</v>
      </c>
      <c r="E551" s="2" t="n">
        <v>185150</v>
      </c>
      <c r="F551" s="15" t="n">
        <v>43724</v>
      </c>
      <c r="G551" s="15" t="n">
        <v>43731</v>
      </c>
      <c r="H551" s="3" t="n">
        <v>7</v>
      </c>
      <c r="I551" s="3" t="n">
        <v>2</v>
      </c>
      <c r="J551" s="3" t="n">
        <v>87</v>
      </c>
      <c r="K551" s="3" t="n">
        <v>1</v>
      </c>
      <c r="L551" s="3" t="n">
        <v>1</v>
      </c>
      <c r="M551" s="3" t="n">
        <v>1</v>
      </c>
      <c r="N551" s="3" t="n">
        <v>2</v>
      </c>
      <c r="O551" s="3" t="n">
        <v>2</v>
      </c>
      <c r="P551" s="3" t="n">
        <v>2</v>
      </c>
      <c r="Q551" s="3" t="n">
        <v>2</v>
      </c>
      <c r="R551" s="3" t="n">
        <v>2</v>
      </c>
      <c r="S551" s="3" t="n">
        <v>1</v>
      </c>
      <c r="T551" s="4" t="n">
        <v>3</v>
      </c>
      <c r="U551" s="3" t="n">
        <v>1</v>
      </c>
      <c r="V551" s="3" t="n">
        <v>4.93</v>
      </c>
      <c r="W551" s="3" t="n">
        <v>0.86</v>
      </c>
      <c r="X551" s="3" t="n">
        <v>5.81</v>
      </c>
      <c r="Y551" s="3" t="n">
        <v>564</v>
      </c>
      <c r="Z551" s="3" t="n">
        <v>171</v>
      </c>
      <c r="AA551" s="3" t="n">
        <v>0.38</v>
      </c>
      <c r="AB551" s="3" t="n">
        <v>16</v>
      </c>
      <c r="AC551" s="3" t="n">
        <v>1</v>
      </c>
      <c r="AD551" s="3" t="n">
        <v>1</v>
      </c>
      <c r="AE551" s="3" t="n">
        <v>1</v>
      </c>
      <c r="AF551" s="3" t="n">
        <v>1</v>
      </c>
      <c r="AG551" s="3" t="n">
        <v>2</v>
      </c>
      <c r="AH551" s="3" t="n">
        <v>2</v>
      </c>
      <c r="AI551" s="3" t="n">
        <v>1</v>
      </c>
      <c r="AJ551" s="3" t="n">
        <v>2</v>
      </c>
      <c r="AK551" s="3" t="n">
        <v>2</v>
      </c>
      <c r="AL551" s="3" t="n">
        <v>2</v>
      </c>
      <c r="AM551" s="3" t="n">
        <v>1</v>
      </c>
      <c r="AN551" s="3" t="n">
        <v>2</v>
      </c>
      <c r="AO551" s="3" t="n">
        <v>2</v>
      </c>
      <c r="AP551" s="3" t="n">
        <v>3</v>
      </c>
      <c r="AQ551" s="3" t="n">
        <v>4</v>
      </c>
      <c r="AR551" s="3" t="n">
        <v>4</v>
      </c>
      <c r="AS551" s="3" t="n">
        <v>6</v>
      </c>
      <c r="AT551" s="3" t="n">
        <v>4</v>
      </c>
      <c r="AU551" s="3" t="n">
        <v>4</v>
      </c>
      <c r="AV551" s="3" t="n">
        <v>6</v>
      </c>
      <c r="AW551" s="3" t="n">
        <v>6</v>
      </c>
      <c r="AX551" s="3" t="n">
        <v>3</v>
      </c>
      <c r="AY551" s="3" t="n">
        <v>3</v>
      </c>
      <c r="AZ551" s="3" t="n">
        <v>12</v>
      </c>
      <c r="BA551" s="5" t="n">
        <v>2</v>
      </c>
      <c r="BB551" s="3" t="n">
        <v>1</v>
      </c>
      <c r="BC551" s="3" t="n">
        <v>1</v>
      </c>
      <c r="BD551" s="3" t="n">
        <v>6</v>
      </c>
      <c r="BE551" s="3" t="n">
        <v>3</v>
      </c>
      <c r="BF551" s="3" t="n">
        <v>5</v>
      </c>
      <c r="BG551" s="3" t="n">
        <v>3</v>
      </c>
      <c r="BH551" s="3" t="n">
        <v>4</v>
      </c>
      <c r="BI551" s="3" t="n">
        <v>1</v>
      </c>
      <c r="BJ551" s="3" t="n">
        <v>1</v>
      </c>
      <c r="BK551" s="6" t="s">
        <v>1576</v>
      </c>
    </row>
    <row r="552" customFormat="false" ht="15" hidden="false" customHeight="true" outlineLevel="0" collapsed="false">
      <c r="B552" s="2" t="s">
        <v>1577</v>
      </c>
      <c r="C552" s="2" t="s">
        <v>172</v>
      </c>
      <c r="D552" s="2" t="s">
        <v>157</v>
      </c>
      <c r="E552" s="2" t="n">
        <v>185146</v>
      </c>
      <c r="F552" s="15" t="n">
        <v>43724</v>
      </c>
      <c r="G552" s="15" t="n">
        <v>43732</v>
      </c>
      <c r="H552" s="3" t="n">
        <v>8</v>
      </c>
      <c r="I552" s="3" t="n">
        <v>2</v>
      </c>
      <c r="J552" s="3" t="n">
        <v>67</v>
      </c>
      <c r="K552" s="3" t="n">
        <v>1</v>
      </c>
      <c r="L552" s="3" t="n">
        <v>1</v>
      </c>
      <c r="M552" s="3" t="n">
        <v>2</v>
      </c>
      <c r="N552" s="3" t="n">
        <v>2</v>
      </c>
      <c r="O552" s="3" t="n">
        <v>2</v>
      </c>
      <c r="P552" s="3" t="n">
        <v>2</v>
      </c>
      <c r="Q552" s="3" t="n">
        <v>2</v>
      </c>
      <c r="R552" s="3" t="n">
        <v>2</v>
      </c>
      <c r="S552" s="3" t="n">
        <v>2</v>
      </c>
      <c r="T552" s="4" t="n">
        <v>2</v>
      </c>
      <c r="U552" s="3" t="n">
        <v>2</v>
      </c>
      <c r="V552" s="3" t="n">
        <v>2.88</v>
      </c>
      <c r="W552" s="3" t="n">
        <v>1.02</v>
      </c>
      <c r="X552" s="3" t="n">
        <v>5.93</v>
      </c>
      <c r="Y552" s="3" t="n">
        <v>277</v>
      </c>
      <c r="Z552" s="3" t="n">
        <v>73</v>
      </c>
      <c r="AA552" s="3" t="n">
        <v>0.44</v>
      </c>
      <c r="AB552" s="3" t="n">
        <v>16</v>
      </c>
      <c r="AC552" s="3" t="n">
        <v>1</v>
      </c>
      <c r="AD552" s="3" t="n">
        <v>2</v>
      </c>
      <c r="AE552" s="3" t="n">
        <v>1</v>
      </c>
      <c r="AF552" s="3" t="n">
        <v>1</v>
      </c>
      <c r="AG552" s="3" t="n">
        <v>2</v>
      </c>
      <c r="AH552" s="3" t="n">
        <v>2</v>
      </c>
      <c r="AI552" s="3" t="n">
        <v>1</v>
      </c>
      <c r="AJ552" s="3" t="n">
        <v>1</v>
      </c>
      <c r="AK552" s="3" t="n">
        <v>2</v>
      </c>
      <c r="AL552" s="3" t="n">
        <v>2</v>
      </c>
      <c r="AM552" s="3" t="n">
        <v>2</v>
      </c>
      <c r="AN552" s="3" t="n">
        <v>2</v>
      </c>
      <c r="AO552" s="3" t="n">
        <v>2</v>
      </c>
      <c r="AP552" s="3" t="n">
        <v>2</v>
      </c>
      <c r="AQ552" s="3" t="n">
        <v>2</v>
      </c>
      <c r="AR552" s="3" t="n">
        <v>4</v>
      </c>
      <c r="AS552" s="3" t="n">
        <v>6</v>
      </c>
      <c r="AT552" s="3" t="n">
        <v>4</v>
      </c>
      <c r="AU552" s="3" t="n">
        <v>4</v>
      </c>
      <c r="AV552" s="3" t="n">
        <v>1</v>
      </c>
      <c r="AW552" s="3" t="n">
        <v>6</v>
      </c>
      <c r="AX552" s="3" t="n">
        <v>2</v>
      </c>
      <c r="AY552" s="3" t="n">
        <v>1</v>
      </c>
      <c r="AZ552" s="3" t="n">
        <v>5</v>
      </c>
      <c r="BA552" s="5" t="n">
        <v>1</v>
      </c>
      <c r="BB552" s="3" t="n">
        <v>1</v>
      </c>
      <c r="BC552" s="3" t="n">
        <v>1</v>
      </c>
      <c r="BD552" s="3" t="n">
        <v>4</v>
      </c>
      <c r="BE552" s="3" t="n">
        <v>1</v>
      </c>
      <c r="BF552" s="3" t="n">
        <v>2</v>
      </c>
      <c r="BG552" s="3" t="n">
        <v>1</v>
      </c>
      <c r="BH552" s="3" t="n">
        <v>4</v>
      </c>
      <c r="BI552" s="3" t="n">
        <v>1</v>
      </c>
      <c r="BJ552" s="3" t="n">
        <v>1</v>
      </c>
      <c r="BK552" s="6" t="s">
        <v>1578</v>
      </c>
    </row>
    <row r="553" customFormat="false" ht="15" hidden="false" customHeight="true" outlineLevel="0" collapsed="false">
      <c r="B553" s="2" t="s">
        <v>1579</v>
      </c>
      <c r="C553" s="2" t="s">
        <v>1580</v>
      </c>
      <c r="D553" s="2" t="s">
        <v>78</v>
      </c>
      <c r="E553" s="2" t="n">
        <v>184752</v>
      </c>
      <c r="F553" s="15" t="n">
        <v>43718</v>
      </c>
      <c r="G553" s="15" t="n">
        <v>43732</v>
      </c>
      <c r="H553" s="3" t="n">
        <v>14</v>
      </c>
      <c r="I553" s="3" t="n">
        <v>2</v>
      </c>
      <c r="J553" s="3" t="n">
        <v>56</v>
      </c>
      <c r="K553" s="3" t="n">
        <v>1</v>
      </c>
      <c r="L553" s="3" t="n">
        <v>1</v>
      </c>
      <c r="M553" s="3" t="n">
        <v>2</v>
      </c>
      <c r="N553" s="3" t="n">
        <v>2</v>
      </c>
      <c r="O553" s="3" t="n">
        <v>2</v>
      </c>
      <c r="P553" s="3" t="n">
        <v>2</v>
      </c>
      <c r="Q553" s="3" t="n">
        <v>2</v>
      </c>
      <c r="R553" s="3" t="n">
        <v>2</v>
      </c>
      <c r="S553" s="3" t="n">
        <v>2</v>
      </c>
      <c r="T553" s="4" t="n">
        <v>1</v>
      </c>
      <c r="U553" s="3" t="n">
        <v>1</v>
      </c>
      <c r="V553" s="3" t="n">
        <v>5.6</v>
      </c>
      <c r="W553" s="3" t="n">
        <v>3.84</v>
      </c>
      <c r="X553" s="3" t="n">
        <v>5.5</v>
      </c>
      <c r="Y553" s="3" t="n">
        <v>329</v>
      </c>
      <c r="Z553" s="3" t="n">
        <v>48</v>
      </c>
      <c r="AA553" s="3" t="n">
        <v>0.46</v>
      </c>
      <c r="AB553" s="3" t="n">
        <v>14</v>
      </c>
      <c r="AC553" s="3" t="n">
        <v>1</v>
      </c>
      <c r="AD553" s="3" t="n">
        <v>1</v>
      </c>
      <c r="AE553" s="3" t="n">
        <v>1</v>
      </c>
      <c r="AF553" s="3" t="n">
        <v>1</v>
      </c>
      <c r="AG553" s="3" t="n">
        <v>2</v>
      </c>
      <c r="AH553" s="3" t="n">
        <v>2</v>
      </c>
      <c r="AI553" s="3" t="n">
        <v>1</v>
      </c>
      <c r="AJ553" s="3" t="n">
        <v>1</v>
      </c>
      <c r="AK553" s="3" t="n">
        <v>2</v>
      </c>
      <c r="AL553" s="3" t="n">
        <v>2</v>
      </c>
      <c r="AM553" s="3" t="n">
        <v>2</v>
      </c>
      <c r="AN553" s="3" t="n">
        <v>2</v>
      </c>
      <c r="AO553" s="3" t="n">
        <v>2</v>
      </c>
      <c r="AP553" s="3" t="n">
        <v>1</v>
      </c>
      <c r="AQ553" s="3" t="n">
        <v>3</v>
      </c>
      <c r="AR553" s="3" t="n">
        <v>4</v>
      </c>
      <c r="AS553" s="3" t="n">
        <v>6</v>
      </c>
      <c r="AT553" s="3" t="n">
        <v>4</v>
      </c>
      <c r="AU553" s="3" t="n">
        <v>4</v>
      </c>
      <c r="AV553" s="3" t="n">
        <v>1</v>
      </c>
      <c r="AW553" s="3" t="n">
        <v>6</v>
      </c>
      <c r="AX553" s="3" t="n">
        <v>3</v>
      </c>
      <c r="AY553" s="3" t="n">
        <v>3</v>
      </c>
      <c r="AZ553" s="3" t="n">
        <v>1</v>
      </c>
      <c r="BA553" s="5" t="n">
        <v>2</v>
      </c>
      <c r="BB553" s="3" t="n">
        <v>2</v>
      </c>
      <c r="BC553" s="3" t="n">
        <v>1</v>
      </c>
      <c r="BD553" s="3" t="n">
        <v>6</v>
      </c>
      <c r="BE553" s="3" t="n">
        <v>3</v>
      </c>
      <c r="BF553" s="3" t="n">
        <v>5</v>
      </c>
      <c r="BG553" s="3" t="n">
        <v>3</v>
      </c>
      <c r="BH553" s="3" t="n">
        <v>4</v>
      </c>
      <c r="BI553" s="3" t="n">
        <v>1</v>
      </c>
      <c r="BJ553" s="3" t="n">
        <v>1</v>
      </c>
      <c r="BK553" s="6" t="s">
        <v>1581</v>
      </c>
    </row>
    <row r="554" customFormat="false" ht="15" hidden="false" customHeight="true" outlineLevel="0" collapsed="false">
      <c r="B554" s="2" t="s">
        <v>1582</v>
      </c>
      <c r="C554" s="2" t="s">
        <v>1583</v>
      </c>
      <c r="D554" s="2" t="s">
        <v>127</v>
      </c>
      <c r="E554" s="2" t="n">
        <v>185323</v>
      </c>
      <c r="F554" s="15" t="n">
        <v>43725</v>
      </c>
      <c r="G554" s="15" t="n">
        <v>43732</v>
      </c>
      <c r="H554" s="3" t="n">
        <v>7</v>
      </c>
      <c r="I554" s="3" t="n">
        <v>2</v>
      </c>
      <c r="J554" s="3" t="n">
        <v>47</v>
      </c>
      <c r="K554" s="3" t="n">
        <v>1</v>
      </c>
      <c r="L554" s="3" t="n">
        <v>1</v>
      </c>
      <c r="M554" s="3" t="n">
        <v>1</v>
      </c>
      <c r="N554" s="3" t="n">
        <v>2</v>
      </c>
      <c r="O554" s="3" t="n">
        <v>2</v>
      </c>
      <c r="P554" s="3" t="n">
        <v>2</v>
      </c>
      <c r="Q554" s="3" t="n">
        <v>2</v>
      </c>
      <c r="R554" s="3" t="n">
        <v>2</v>
      </c>
      <c r="S554" s="3" t="n">
        <v>2</v>
      </c>
      <c r="T554" s="4" t="n">
        <v>2</v>
      </c>
      <c r="U554" s="3" t="n">
        <v>2</v>
      </c>
      <c r="V554" s="3" t="n">
        <v>3.66</v>
      </c>
      <c r="W554" s="3" t="n">
        <v>0.73</v>
      </c>
      <c r="X554" s="3" t="n">
        <v>6.11</v>
      </c>
      <c r="Y554" s="3" t="n">
        <v>447</v>
      </c>
      <c r="Z554" s="3" t="n">
        <v>73</v>
      </c>
      <c r="AA554" s="3" t="n">
        <v>0.47</v>
      </c>
      <c r="AB554" s="3" t="n">
        <v>12.3</v>
      </c>
      <c r="AC554" s="3" t="n">
        <v>1</v>
      </c>
      <c r="AD554" s="3" t="n">
        <v>2</v>
      </c>
      <c r="AE554" s="3" t="n">
        <v>1</v>
      </c>
      <c r="AF554" s="3" t="n">
        <v>1</v>
      </c>
      <c r="AG554" s="3" t="n">
        <v>2</v>
      </c>
      <c r="AH554" s="3" t="n">
        <v>2</v>
      </c>
      <c r="AI554" s="3" t="n">
        <v>1</v>
      </c>
      <c r="AJ554" s="3" t="n">
        <v>1</v>
      </c>
      <c r="AK554" s="3" t="n">
        <v>2</v>
      </c>
      <c r="AL554" s="3" t="n">
        <v>2</v>
      </c>
      <c r="AM554" s="3" t="n">
        <v>2</v>
      </c>
      <c r="AN554" s="3" t="n">
        <v>2</v>
      </c>
      <c r="AO554" s="3" t="n">
        <v>2</v>
      </c>
      <c r="AP554" s="3" t="n">
        <v>3</v>
      </c>
      <c r="AQ554" s="3" t="n">
        <v>4</v>
      </c>
      <c r="AR554" s="3" t="n">
        <v>4</v>
      </c>
      <c r="AS554" s="3" t="n">
        <v>6</v>
      </c>
      <c r="AT554" s="3" t="n">
        <v>4</v>
      </c>
      <c r="AU554" s="3" t="n">
        <v>4</v>
      </c>
      <c r="AV554" s="3" t="n">
        <v>6</v>
      </c>
      <c r="AW554" s="3" t="n">
        <v>6</v>
      </c>
      <c r="AX554" s="3" t="n">
        <v>3</v>
      </c>
      <c r="AY554" s="3" t="n">
        <v>3</v>
      </c>
      <c r="AZ554" s="3" t="n">
        <v>1</v>
      </c>
      <c r="BA554" s="5" t="n">
        <v>1</v>
      </c>
      <c r="BB554" s="3" t="n">
        <v>1</v>
      </c>
      <c r="BC554" s="3" t="n">
        <v>1</v>
      </c>
      <c r="BD554" s="3" t="n">
        <v>2</v>
      </c>
      <c r="BE554" s="3" t="n">
        <v>1</v>
      </c>
      <c r="BF554" s="3" t="n">
        <v>2</v>
      </c>
      <c r="BG554" s="3" t="n">
        <v>1</v>
      </c>
      <c r="BH554" s="3" t="n">
        <v>4</v>
      </c>
      <c r="BI554" s="3" t="n">
        <v>1</v>
      </c>
      <c r="BJ554" s="3" t="n">
        <v>1</v>
      </c>
      <c r="BK554" s="6" t="s">
        <v>1584</v>
      </c>
    </row>
    <row r="555" customFormat="false" ht="15" hidden="false" customHeight="true" outlineLevel="0" collapsed="false">
      <c r="B555" s="2" t="s">
        <v>556</v>
      </c>
      <c r="C555" s="2" t="s">
        <v>95</v>
      </c>
      <c r="D555" s="2" t="s">
        <v>95</v>
      </c>
      <c r="E555" s="2" t="n">
        <v>185349</v>
      </c>
      <c r="F555" s="15" t="n">
        <v>43726</v>
      </c>
      <c r="G555" s="15" t="n">
        <v>43731</v>
      </c>
      <c r="H555" s="3" t="n">
        <v>5</v>
      </c>
      <c r="I555" s="3" t="n">
        <v>2</v>
      </c>
      <c r="J555" s="3" t="n">
        <v>77</v>
      </c>
      <c r="K555" s="3" t="n">
        <v>1</v>
      </c>
      <c r="L555" s="3" t="n">
        <v>2</v>
      </c>
      <c r="M555" s="3" t="n">
        <v>1</v>
      </c>
      <c r="N555" s="3" t="n">
        <v>2</v>
      </c>
      <c r="O555" s="3" t="n">
        <v>2</v>
      </c>
      <c r="P555" s="3" t="n">
        <v>2</v>
      </c>
      <c r="Q555" s="3" t="n">
        <v>1</v>
      </c>
      <c r="R555" s="3" t="n">
        <v>2</v>
      </c>
      <c r="S555" s="3" t="n">
        <v>2</v>
      </c>
      <c r="T555" s="4" t="n">
        <v>2</v>
      </c>
      <c r="U555" s="3" t="n">
        <v>2</v>
      </c>
      <c r="V555" s="3" t="n">
        <v>4.37</v>
      </c>
      <c r="W555" s="3" t="n">
        <v>2</v>
      </c>
      <c r="X555" s="3" t="n">
        <v>4.47</v>
      </c>
      <c r="Y555" s="3" t="n">
        <v>505</v>
      </c>
      <c r="Z555" s="3" t="n">
        <v>77</v>
      </c>
      <c r="AA555" s="3" t="n">
        <v>0.48</v>
      </c>
      <c r="AB555" s="3" t="n">
        <v>8.7</v>
      </c>
      <c r="AC555" s="3" t="n">
        <v>1</v>
      </c>
      <c r="AD555" s="3" t="n">
        <v>1</v>
      </c>
      <c r="AE555" s="3" t="n">
        <v>1</v>
      </c>
      <c r="AF555" s="3" t="n">
        <v>1</v>
      </c>
      <c r="AG555" s="3" t="n">
        <v>2</v>
      </c>
      <c r="AH555" s="3" t="n">
        <v>1</v>
      </c>
      <c r="AI555" s="3" t="n">
        <v>1</v>
      </c>
      <c r="AJ555" s="3" t="n">
        <v>1</v>
      </c>
      <c r="AK555" s="3" t="n">
        <v>2</v>
      </c>
      <c r="AL555" s="3" t="n">
        <v>2</v>
      </c>
      <c r="AM555" s="3" t="n">
        <v>2</v>
      </c>
      <c r="AN555" s="3" t="n">
        <v>2</v>
      </c>
      <c r="AO555" s="3" t="n">
        <v>2</v>
      </c>
      <c r="AP555" s="3" t="n">
        <v>3</v>
      </c>
      <c r="AQ555" s="3" t="n">
        <v>4</v>
      </c>
      <c r="AR555" s="3" t="n">
        <v>4</v>
      </c>
      <c r="AS555" s="3" t="n">
        <v>6</v>
      </c>
      <c r="AT555" s="3" t="n">
        <v>4</v>
      </c>
      <c r="AU555" s="3" t="n">
        <v>4</v>
      </c>
      <c r="AV555" s="3" t="n">
        <v>6</v>
      </c>
      <c r="AW555" s="3" t="n">
        <v>6</v>
      </c>
      <c r="AX555" s="3" t="n">
        <v>3</v>
      </c>
      <c r="AY555" s="3" t="n">
        <v>3</v>
      </c>
      <c r="AZ555" s="3" t="n">
        <v>1</v>
      </c>
      <c r="BA555" s="5" t="n">
        <v>1</v>
      </c>
      <c r="BB555" s="3" t="n">
        <v>1</v>
      </c>
      <c r="BC555" s="3" t="n">
        <v>1</v>
      </c>
      <c r="BD555" s="3" t="n">
        <v>4</v>
      </c>
      <c r="BE555" s="3" t="n">
        <v>1</v>
      </c>
      <c r="BF555" s="3" t="n">
        <v>2</v>
      </c>
      <c r="BG555" s="3" t="n">
        <v>1</v>
      </c>
      <c r="BH555" s="3" t="n">
        <v>4</v>
      </c>
      <c r="BI555" s="3" t="n">
        <v>1</v>
      </c>
      <c r="BJ555" s="3" t="n">
        <v>1</v>
      </c>
      <c r="BK555" s="21" t="s">
        <v>1585</v>
      </c>
    </row>
    <row r="556" customFormat="false" ht="15" hidden="false" customHeight="true" outlineLevel="0" collapsed="false">
      <c r="B556" s="2" t="s">
        <v>1586</v>
      </c>
      <c r="C556" s="2" t="s">
        <v>74</v>
      </c>
      <c r="D556" s="2" t="s">
        <v>324</v>
      </c>
      <c r="E556" s="2" t="n">
        <v>185361</v>
      </c>
      <c r="F556" s="15" t="n">
        <v>43728</v>
      </c>
      <c r="G556" s="15" t="n">
        <v>43735</v>
      </c>
      <c r="H556" s="3" t="n">
        <v>7</v>
      </c>
      <c r="I556" s="3" t="n">
        <v>2</v>
      </c>
      <c r="J556" s="3" t="n">
        <v>67</v>
      </c>
      <c r="K556" s="3" t="n">
        <v>1</v>
      </c>
      <c r="L556" s="3" t="n">
        <v>2</v>
      </c>
      <c r="M556" s="3" t="n">
        <v>2</v>
      </c>
      <c r="N556" s="3" t="n">
        <v>2</v>
      </c>
      <c r="O556" s="3" t="n">
        <v>2</v>
      </c>
      <c r="P556" s="3" t="n">
        <v>2</v>
      </c>
      <c r="Q556" s="3" t="n">
        <v>1</v>
      </c>
      <c r="R556" s="3" t="n">
        <v>2</v>
      </c>
      <c r="S556" s="3" t="n">
        <v>2</v>
      </c>
      <c r="T556" s="4" t="n">
        <v>2</v>
      </c>
      <c r="U556" s="3" t="n">
        <v>2</v>
      </c>
      <c r="V556" s="3" t="n">
        <v>4.47</v>
      </c>
      <c r="W556" s="3" t="n">
        <v>1.47</v>
      </c>
      <c r="X556" s="3" t="n">
        <v>7.4</v>
      </c>
      <c r="Y556" s="3" t="n">
        <v>324</v>
      </c>
      <c r="Z556" s="3" t="n">
        <v>91</v>
      </c>
      <c r="AA556" s="3" t="n">
        <v>0.44</v>
      </c>
      <c r="AB556" s="3" t="n">
        <v>6.8</v>
      </c>
      <c r="AC556" s="3" t="n">
        <v>1</v>
      </c>
      <c r="AD556" s="3" t="n">
        <v>1</v>
      </c>
      <c r="AE556" s="3" t="n">
        <v>1</v>
      </c>
      <c r="AF556" s="3" t="n">
        <v>1</v>
      </c>
      <c r="AG556" s="3" t="n">
        <v>1</v>
      </c>
      <c r="AH556" s="3" t="n">
        <v>2</v>
      </c>
      <c r="AI556" s="3" t="n">
        <v>1</v>
      </c>
      <c r="AJ556" s="3" t="n">
        <v>1</v>
      </c>
      <c r="AK556" s="3" t="n">
        <v>2</v>
      </c>
      <c r="AL556" s="3" t="n">
        <v>2</v>
      </c>
      <c r="AM556" s="3" t="n">
        <v>2</v>
      </c>
      <c r="AN556" s="3" t="n">
        <v>2</v>
      </c>
      <c r="AO556" s="3" t="n">
        <v>2</v>
      </c>
      <c r="AP556" s="3" t="n">
        <v>3</v>
      </c>
      <c r="AQ556" s="3" t="n">
        <v>4</v>
      </c>
      <c r="AR556" s="3" t="n">
        <v>4</v>
      </c>
      <c r="AS556" s="3" t="n">
        <v>6</v>
      </c>
      <c r="AT556" s="3" t="n">
        <v>4</v>
      </c>
      <c r="AU556" s="3" t="n">
        <v>4</v>
      </c>
      <c r="AV556" s="3" t="n">
        <v>6</v>
      </c>
      <c r="AW556" s="3" t="n">
        <v>6</v>
      </c>
      <c r="AX556" s="3" t="n">
        <v>3</v>
      </c>
      <c r="AY556" s="3" t="n">
        <v>3</v>
      </c>
      <c r="AZ556" s="3" t="n">
        <v>1</v>
      </c>
      <c r="BA556" s="5" t="n">
        <v>1</v>
      </c>
      <c r="BB556" s="3" t="n">
        <v>1</v>
      </c>
      <c r="BC556" s="3" t="n">
        <v>1</v>
      </c>
      <c r="BD556" s="3" t="n">
        <v>4</v>
      </c>
      <c r="BE556" s="3" t="n">
        <v>3</v>
      </c>
      <c r="BF556" s="3" t="n">
        <v>5</v>
      </c>
      <c r="BG556" s="3" t="n">
        <v>3</v>
      </c>
      <c r="BH556" s="3" t="n">
        <v>4</v>
      </c>
      <c r="BI556" s="3" t="n">
        <v>1</v>
      </c>
      <c r="BJ556" s="3" t="n">
        <v>1</v>
      </c>
      <c r="BK556" s="6" t="s">
        <v>1587</v>
      </c>
    </row>
    <row r="557" customFormat="false" ht="15" hidden="false" customHeight="true" outlineLevel="0" collapsed="false">
      <c r="B557" s="2" t="s">
        <v>894</v>
      </c>
      <c r="C557" s="2" t="s">
        <v>474</v>
      </c>
      <c r="D557" s="2" t="s">
        <v>767</v>
      </c>
      <c r="E557" s="2" t="n">
        <v>102608</v>
      </c>
      <c r="F557" s="15" t="n">
        <v>43726</v>
      </c>
      <c r="G557" s="15" t="n">
        <v>43734</v>
      </c>
      <c r="H557" s="3" t="n">
        <v>8</v>
      </c>
      <c r="I557" s="3" t="n">
        <v>2</v>
      </c>
      <c r="J557" s="3" t="n">
        <v>71</v>
      </c>
      <c r="K557" s="3" t="n">
        <v>1</v>
      </c>
      <c r="L557" s="3" t="n">
        <v>2</v>
      </c>
      <c r="M557" s="3" t="n">
        <v>1</v>
      </c>
      <c r="N557" s="3" t="n">
        <v>2</v>
      </c>
      <c r="O557" s="3" t="n">
        <v>2</v>
      </c>
      <c r="P557" s="3" t="n">
        <v>2</v>
      </c>
      <c r="Q557" s="3" t="n">
        <v>2</v>
      </c>
      <c r="R557" s="3" t="n">
        <v>1</v>
      </c>
      <c r="S557" s="3" t="n">
        <v>1</v>
      </c>
      <c r="T557" s="4" t="n">
        <v>3</v>
      </c>
      <c r="U557" s="3" t="n">
        <v>4</v>
      </c>
      <c r="V557" s="3" t="n">
        <v>2.2</v>
      </c>
      <c r="W557" s="3" t="n">
        <v>0.79</v>
      </c>
      <c r="X557" s="3" t="n">
        <v>2.29</v>
      </c>
      <c r="Y557" s="3" t="n">
        <v>415</v>
      </c>
      <c r="Z557" s="3" t="n">
        <v>85</v>
      </c>
      <c r="AA557" s="3" t="n">
        <v>0.45</v>
      </c>
      <c r="AB557" s="3" t="n">
        <v>6.3</v>
      </c>
      <c r="AC557" s="3" t="n">
        <v>2</v>
      </c>
      <c r="AD557" s="3" t="n">
        <v>2</v>
      </c>
      <c r="AE557" s="3" t="n">
        <v>2</v>
      </c>
      <c r="AF557" s="3" t="n">
        <v>1</v>
      </c>
      <c r="AG557" s="3" t="n">
        <v>2</v>
      </c>
      <c r="AH557" s="3" t="n">
        <v>2</v>
      </c>
      <c r="AI557" s="3" t="n">
        <v>1</v>
      </c>
      <c r="AJ557" s="3" t="n">
        <v>2</v>
      </c>
      <c r="AK557" s="3" t="n">
        <v>2</v>
      </c>
      <c r="AL557" s="3" t="n">
        <v>1</v>
      </c>
      <c r="AM557" s="3" t="n">
        <v>1</v>
      </c>
      <c r="AN557" s="3" t="n">
        <v>2</v>
      </c>
      <c r="AO557" s="3" t="n">
        <v>2</v>
      </c>
      <c r="AP557" s="3" t="n">
        <v>3</v>
      </c>
      <c r="AQ557" s="3" t="n">
        <v>4</v>
      </c>
      <c r="AR557" s="3" t="n">
        <v>4</v>
      </c>
      <c r="AS557" s="3" t="n">
        <v>6</v>
      </c>
      <c r="AT557" s="3" t="n">
        <v>4</v>
      </c>
      <c r="AU557" s="3" t="n">
        <v>4</v>
      </c>
      <c r="AV557" s="3" t="n">
        <v>6</v>
      </c>
      <c r="AW557" s="3" t="n">
        <v>6</v>
      </c>
      <c r="AX557" s="3" t="n">
        <v>3</v>
      </c>
      <c r="AY557" s="3" t="n">
        <v>3</v>
      </c>
      <c r="AZ557" s="3" t="n">
        <v>1</v>
      </c>
      <c r="BA557" s="5" t="n">
        <v>11</v>
      </c>
      <c r="BB557" s="3" t="n">
        <v>2</v>
      </c>
      <c r="BC557" s="3" t="n">
        <v>1</v>
      </c>
      <c r="BD557" s="3" t="n">
        <v>6</v>
      </c>
      <c r="BE557" s="3" t="n">
        <v>3</v>
      </c>
      <c r="BF557" s="3" t="n">
        <v>5</v>
      </c>
      <c r="BG557" s="3" t="n">
        <v>3</v>
      </c>
      <c r="BH557" s="3" t="n">
        <v>4</v>
      </c>
      <c r="BI557" s="3" t="n">
        <v>1</v>
      </c>
      <c r="BJ557" s="3" t="n">
        <v>1</v>
      </c>
      <c r="BK557" s="21" t="s">
        <v>1569</v>
      </c>
    </row>
    <row r="558" customFormat="false" ht="15" hidden="false" customHeight="true" outlineLevel="0" collapsed="false">
      <c r="B558" s="2" t="s">
        <v>1588</v>
      </c>
      <c r="C558" s="2" t="s">
        <v>78</v>
      </c>
      <c r="D558" s="2" t="s">
        <v>386</v>
      </c>
      <c r="E558" s="2" t="n">
        <v>185613</v>
      </c>
      <c r="F558" s="15" t="n">
        <v>43731</v>
      </c>
      <c r="G558" s="15" t="n">
        <v>43734</v>
      </c>
      <c r="H558" s="3" t="n">
        <v>3</v>
      </c>
      <c r="I558" s="3" t="n">
        <v>1</v>
      </c>
      <c r="J558" s="3" t="n">
        <v>79</v>
      </c>
      <c r="K558" s="3" t="n">
        <v>1</v>
      </c>
      <c r="L558" s="3" t="n">
        <v>2</v>
      </c>
      <c r="M558" s="3" t="n">
        <v>2</v>
      </c>
      <c r="N558" s="3" t="n">
        <v>2</v>
      </c>
      <c r="O558" s="3" t="n">
        <v>2</v>
      </c>
      <c r="P558" s="3" t="n">
        <v>2</v>
      </c>
      <c r="Q558" s="3" t="n">
        <v>2</v>
      </c>
      <c r="R558" s="3" t="n">
        <v>2</v>
      </c>
      <c r="S558" s="3" t="n">
        <v>2</v>
      </c>
      <c r="T558" s="4" t="n">
        <v>1</v>
      </c>
      <c r="U558" s="3" t="n">
        <v>1</v>
      </c>
      <c r="AD558" s="3" t="n">
        <v>1</v>
      </c>
      <c r="AE558" s="3" t="n">
        <v>1</v>
      </c>
      <c r="AF558" s="3" t="n">
        <v>1</v>
      </c>
      <c r="AG558" s="3" t="n">
        <v>2</v>
      </c>
      <c r="AH558" s="3" t="n">
        <v>2</v>
      </c>
      <c r="AI558" s="3" t="n">
        <v>2</v>
      </c>
      <c r="AJ558" s="3" t="n">
        <v>2</v>
      </c>
      <c r="AK558" s="3" t="n">
        <v>2</v>
      </c>
      <c r="AL558" s="3" t="n">
        <v>2</v>
      </c>
      <c r="AM558" s="3" t="n">
        <v>2</v>
      </c>
      <c r="AN558" s="3" t="n">
        <v>2</v>
      </c>
      <c r="AO558" s="3" t="n">
        <v>2</v>
      </c>
      <c r="AP558" s="3" t="n">
        <v>3</v>
      </c>
      <c r="AQ558" s="3" t="n">
        <v>4</v>
      </c>
      <c r="AR558" s="3" t="n">
        <v>4</v>
      </c>
      <c r="AS558" s="3" t="n">
        <v>6</v>
      </c>
      <c r="AT558" s="3" t="n">
        <v>4</v>
      </c>
      <c r="AU558" s="3" t="n">
        <v>4</v>
      </c>
      <c r="AV558" s="3" t="n">
        <v>6</v>
      </c>
      <c r="AW558" s="3" t="n">
        <v>6</v>
      </c>
      <c r="AX558" s="3" t="n">
        <v>3</v>
      </c>
      <c r="AY558" s="3" t="n">
        <v>3</v>
      </c>
      <c r="AZ558" s="3" t="n">
        <v>1</v>
      </c>
      <c r="BA558" s="5" t="n">
        <v>5</v>
      </c>
      <c r="BB558" s="3" t="n">
        <v>2</v>
      </c>
      <c r="BC558" s="3" t="n">
        <v>1</v>
      </c>
      <c r="BD558" s="3" t="n">
        <v>6</v>
      </c>
      <c r="BE558" s="3" t="n">
        <v>3</v>
      </c>
      <c r="BF558" s="3" t="n">
        <v>5</v>
      </c>
      <c r="BG558" s="3" t="n">
        <v>3</v>
      </c>
      <c r="BH558" s="3" t="n">
        <v>4</v>
      </c>
      <c r="BI558" s="3" t="n">
        <v>1</v>
      </c>
      <c r="BJ558" s="3" t="n">
        <v>1</v>
      </c>
      <c r="BK558" s="6" t="s">
        <v>1589</v>
      </c>
    </row>
    <row r="559" customFormat="false" ht="15" hidden="false" customHeight="true" outlineLevel="0" collapsed="false">
      <c r="B559" s="2" t="s">
        <v>1590</v>
      </c>
      <c r="C559" s="2" t="s">
        <v>78</v>
      </c>
      <c r="D559" s="2" t="s">
        <v>1591</v>
      </c>
      <c r="E559" s="2" t="n">
        <v>185348</v>
      </c>
      <c r="F559" s="15" t="n">
        <v>43726</v>
      </c>
      <c r="G559" s="15" t="n">
        <v>43733</v>
      </c>
      <c r="H559" s="3" t="n">
        <v>7</v>
      </c>
      <c r="I559" s="3" t="n">
        <v>1</v>
      </c>
      <c r="J559" s="3" t="n">
        <v>59</v>
      </c>
      <c r="K559" s="3" t="n">
        <v>1</v>
      </c>
      <c r="L559" s="3" t="n">
        <v>1</v>
      </c>
      <c r="M559" s="3" t="n">
        <v>2</v>
      </c>
      <c r="N559" s="3" t="n">
        <v>2</v>
      </c>
      <c r="O559" s="3" t="n">
        <v>1</v>
      </c>
      <c r="P559" s="3" t="n">
        <v>2</v>
      </c>
      <c r="Q559" s="3" t="n">
        <v>2</v>
      </c>
      <c r="R559" s="3" t="n">
        <v>1</v>
      </c>
      <c r="S559" s="3" t="n">
        <v>2</v>
      </c>
      <c r="T559" s="4" t="n">
        <v>6</v>
      </c>
      <c r="U559" s="3" t="n">
        <v>4</v>
      </c>
      <c r="V559" s="3" t="n">
        <v>5.32</v>
      </c>
      <c r="W559" s="3" t="n">
        <v>2.63</v>
      </c>
      <c r="X559" s="3" t="n">
        <v>8.67</v>
      </c>
      <c r="Y559" s="3" t="n">
        <v>677</v>
      </c>
      <c r="Z559" s="3" t="n">
        <v>127</v>
      </c>
      <c r="AA559" s="3" t="n">
        <v>0.32</v>
      </c>
      <c r="AB559" s="3" t="n">
        <v>11.5</v>
      </c>
      <c r="AD559" s="3" t="n">
        <v>2</v>
      </c>
      <c r="AE559" s="3" t="n">
        <v>2</v>
      </c>
      <c r="AF559" s="3" t="n">
        <v>2</v>
      </c>
      <c r="AG559" s="3" t="n">
        <v>2</v>
      </c>
      <c r="AH559" s="3" t="n">
        <v>2</v>
      </c>
      <c r="AI559" s="3" t="n">
        <v>2</v>
      </c>
      <c r="AJ559" s="3" t="n">
        <v>2</v>
      </c>
      <c r="AK559" s="3" t="n">
        <v>2</v>
      </c>
      <c r="AL559" s="3" t="n">
        <v>2</v>
      </c>
      <c r="AM559" s="3" t="n">
        <v>2</v>
      </c>
      <c r="AN559" s="3" t="n">
        <v>2</v>
      </c>
      <c r="AO559" s="3" t="n">
        <v>2</v>
      </c>
      <c r="AP559" s="3" t="n">
        <v>3</v>
      </c>
      <c r="AQ559" s="3" t="n">
        <v>4</v>
      </c>
      <c r="AR559" s="3" t="n">
        <v>4</v>
      </c>
      <c r="AS559" s="3" t="n">
        <v>6</v>
      </c>
      <c r="AT559" s="3" t="n">
        <v>4</v>
      </c>
      <c r="AU559" s="3" t="n">
        <v>4</v>
      </c>
      <c r="AV559" s="3" t="n">
        <v>6</v>
      </c>
      <c r="AW559" s="3" t="n">
        <v>6</v>
      </c>
      <c r="AX559" s="3" t="n">
        <v>3</v>
      </c>
      <c r="AY559" s="3" t="n">
        <v>3</v>
      </c>
      <c r="AZ559" s="3" t="n">
        <v>1</v>
      </c>
      <c r="BA559" s="5" t="n">
        <v>10</v>
      </c>
      <c r="BB559" s="3" t="n">
        <v>2</v>
      </c>
      <c r="BC559" s="3" t="n">
        <v>1</v>
      </c>
      <c r="BD559" s="3" t="n">
        <v>6</v>
      </c>
      <c r="BE559" s="3" t="n">
        <v>3</v>
      </c>
      <c r="BF559" s="3" t="n">
        <v>5</v>
      </c>
      <c r="BG559" s="3" t="n">
        <v>3</v>
      </c>
      <c r="BH559" s="3" t="n">
        <v>4</v>
      </c>
      <c r="BI559" s="3" t="n">
        <v>1</v>
      </c>
      <c r="BJ559" s="3" t="n">
        <v>1</v>
      </c>
      <c r="BK559" s="21" t="s">
        <v>1592</v>
      </c>
    </row>
    <row r="560" customFormat="false" ht="15" hidden="false" customHeight="true" outlineLevel="0" collapsed="false">
      <c r="B560" s="2" t="s">
        <v>1593</v>
      </c>
      <c r="C560" s="2" t="s">
        <v>172</v>
      </c>
      <c r="D560" s="2" t="s">
        <v>1594</v>
      </c>
      <c r="E560" s="2" t="n">
        <v>185635</v>
      </c>
      <c r="F560" s="15" t="n">
        <v>43729</v>
      </c>
      <c r="G560" s="15" t="n">
        <v>43737</v>
      </c>
      <c r="H560" s="3" t="n">
        <v>8</v>
      </c>
      <c r="I560" s="3" t="n">
        <v>2</v>
      </c>
      <c r="J560" s="3" t="n">
        <v>35</v>
      </c>
      <c r="K560" s="3" t="n">
        <v>1</v>
      </c>
      <c r="L560" s="3" t="n">
        <v>1</v>
      </c>
      <c r="M560" s="3" t="n">
        <v>2</v>
      </c>
      <c r="N560" s="3" t="n">
        <v>2</v>
      </c>
      <c r="O560" s="3" t="n">
        <v>2</v>
      </c>
      <c r="P560" s="3" t="n">
        <v>2</v>
      </c>
      <c r="Q560" s="3" t="n">
        <v>2</v>
      </c>
      <c r="R560" s="3" t="n">
        <v>2</v>
      </c>
      <c r="S560" s="3" t="n">
        <v>2</v>
      </c>
      <c r="T560" s="4" t="n">
        <v>11</v>
      </c>
      <c r="U560" s="3" t="n">
        <v>2</v>
      </c>
      <c r="V560" s="3" t="n">
        <v>3.03</v>
      </c>
      <c r="W560" s="3" t="n">
        <v>1.19</v>
      </c>
      <c r="X560" s="3" t="n">
        <v>4.58</v>
      </c>
      <c r="Y560" s="3" t="n">
        <v>360</v>
      </c>
      <c r="Z560" s="3" t="n">
        <v>51</v>
      </c>
      <c r="AA560" s="3" t="n">
        <v>0.37</v>
      </c>
      <c r="AB560" s="3" t="n">
        <v>10.3</v>
      </c>
      <c r="AC560" s="3" t="n">
        <v>1</v>
      </c>
      <c r="AD560" s="3" t="n">
        <v>2</v>
      </c>
      <c r="AE560" s="3" t="n">
        <v>2</v>
      </c>
      <c r="AF560" s="3" t="n">
        <v>1</v>
      </c>
      <c r="AG560" s="3" t="n">
        <v>2</v>
      </c>
      <c r="AH560" s="3" t="n">
        <v>2</v>
      </c>
      <c r="AI560" s="3" t="n">
        <v>2</v>
      </c>
      <c r="AJ560" s="3" t="n">
        <v>2</v>
      </c>
      <c r="AK560" s="3" t="n">
        <v>2</v>
      </c>
      <c r="AL560" s="3" t="n">
        <v>2</v>
      </c>
      <c r="AM560" s="3" t="n">
        <v>2</v>
      </c>
      <c r="AN560" s="3" t="n">
        <v>2</v>
      </c>
      <c r="AO560" s="3" t="n">
        <v>2</v>
      </c>
      <c r="AP560" s="3" t="n">
        <v>3</v>
      </c>
      <c r="AQ560" s="3" t="n">
        <v>4</v>
      </c>
      <c r="AR560" s="3" t="n">
        <v>4</v>
      </c>
      <c r="AS560" s="3" t="n">
        <v>6</v>
      </c>
      <c r="AT560" s="3" t="n">
        <v>4</v>
      </c>
      <c r="AU560" s="3" t="n">
        <v>4</v>
      </c>
      <c r="AV560" s="3" t="n">
        <v>6</v>
      </c>
      <c r="AW560" s="3" t="n">
        <v>6</v>
      </c>
      <c r="AX560" s="3" t="n">
        <v>3</v>
      </c>
      <c r="AY560" s="3" t="n">
        <v>3</v>
      </c>
      <c r="AZ560" s="3" t="n">
        <v>1</v>
      </c>
      <c r="BA560" s="5" t="n">
        <v>9</v>
      </c>
      <c r="BB560" s="3" t="n">
        <v>2</v>
      </c>
      <c r="BC560" s="3" t="n">
        <v>1</v>
      </c>
      <c r="BD560" s="3" t="n">
        <v>6</v>
      </c>
      <c r="BE560" s="3" t="n">
        <v>3</v>
      </c>
      <c r="BF560" s="3" t="n">
        <v>5</v>
      </c>
      <c r="BG560" s="3" t="n">
        <v>3</v>
      </c>
      <c r="BH560" s="3" t="n">
        <v>4</v>
      </c>
      <c r="BI560" s="3" t="n">
        <v>1</v>
      </c>
      <c r="BJ560" s="3" t="n">
        <v>1</v>
      </c>
      <c r="BK560" s="6" t="s">
        <v>1595</v>
      </c>
    </row>
    <row r="561" customFormat="false" ht="15" hidden="false" customHeight="true" outlineLevel="0" collapsed="false">
      <c r="B561" s="2" t="s">
        <v>1596</v>
      </c>
      <c r="C561" s="2" t="s">
        <v>153</v>
      </c>
      <c r="D561" s="2" t="s">
        <v>178</v>
      </c>
      <c r="E561" s="2" t="n">
        <v>185623</v>
      </c>
      <c r="F561" s="15" t="n">
        <v>43731</v>
      </c>
      <c r="G561" s="15" t="n">
        <v>43736</v>
      </c>
      <c r="H561" s="3" t="n">
        <v>5</v>
      </c>
      <c r="I561" s="3" t="n">
        <v>2</v>
      </c>
      <c r="J561" s="3" t="n">
        <v>70</v>
      </c>
      <c r="K561" s="3" t="n">
        <v>1</v>
      </c>
      <c r="L561" s="3" t="n">
        <v>2</v>
      </c>
      <c r="M561" s="3" t="n">
        <v>1</v>
      </c>
      <c r="N561" s="3" t="n">
        <v>2</v>
      </c>
      <c r="O561" s="3" t="n">
        <v>2</v>
      </c>
      <c r="P561" s="3" t="n">
        <v>2</v>
      </c>
      <c r="Q561" s="3" t="n">
        <v>1</v>
      </c>
      <c r="R561" s="3" t="n">
        <v>2</v>
      </c>
      <c r="S561" s="3" t="n">
        <v>2</v>
      </c>
      <c r="T561" s="4" t="n">
        <v>2</v>
      </c>
      <c r="U561" s="3" t="n">
        <v>4</v>
      </c>
      <c r="V561" s="3" t="n">
        <v>3.81</v>
      </c>
      <c r="W561" s="3" t="n">
        <v>1.09</v>
      </c>
      <c r="X561" s="3" t="n">
        <v>6.37</v>
      </c>
      <c r="Y561" s="3" t="n">
        <v>411</v>
      </c>
      <c r="Z561" s="3" t="n">
        <v>107</v>
      </c>
      <c r="AA561" s="3" t="n">
        <v>0.36</v>
      </c>
      <c r="AB561" s="3" t="n">
        <v>10.2</v>
      </c>
      <c r="AC561" s="3" t="n">
        <v>1</v>
      </c>
      <c r="AD561" s="3" t="n">
        <v>2</v>
      </c>
      <c r="AE561" s="3" t="n">
        <v>1</v>
      </c>
      <c r="AF561" s="3" t="n">
        <v>1</v>
      </c>
      <c r="AG561" s="3" t="n">
        <v>2</v>
      </c>
      <c r="AH561" s="3" t="n">
        <v>2</v>
      </c>
      <c r="AI561" s="3" t="n">
        <v>1</v>
      </c>
      <c r="AJ561" s="3" t="n">
        <v>2</v>
      </c>
      <c r="AK561" s="3" t="n">
        <v>2</v>
      </c>
      <c r="AL561" s="3" t="n">
        <v>2</v>
      </c>
      <c r="AM561" s="3" t="n">
        <v>2</v>
      </c>
      <c r="AN561" s="3" t="n">
        <v>2</v>
      </c>
      <c r="AO561" s="3" t="n">
        <v>2</v>
      </c>
      <c r="AP561" s="3" t="n">
        <v>3</v>
      </c>
      <c r="AQ561" s="3" t="n">
        <v>4</v>
      </c>
      <c r="AR561" s="3" t="n">
        <v>4</v>
      </c>
      <c r="AS561" s="3" t="n">
        <v>6</v>
      </c>
      <c r="AT561" s="3" t="n">
        <v>4</v>
      </c>
      <c r="AU561" s="3" t="n">
        <v>4</v>
      </c>
      <c r="AV561" s="3" t="n">
        <v>6</v>
      </c>
      <c r="AW561" s="3" t="n">
        <v>6</v>
      </c>
      <c r="AX561" s="3" t="n">
        <v>3</v>
      </c>
      <c r="AY561" s="3" t="n">
        <v>3</v>
      </c>
      <c r="AZ561" s="3" t="n">
        <v>1</v>
      </c>
      <c r="BA561" s="5" t="n">
        <v>1</v>
      </c>
      <c r="BB561" s="3" t="n">
        <v>1</v>
      </c>
      <c r="BC561" s="3" t="n">
        <v>1</v>
      </c>
      <c r="BD561" s="3" t="n">
        <v>4</v>
      </c>
      <c r="BE561" s="3" t="n">
        <v>3</v>
      </c>
      <c r="BF561" s="3" t="n">
        <v>5</v>
      </c>
      <c r="BG561" s="3" t="n">
        <v>3</v>
      </c>
      <c r="BH561" s="3" t="n">
        <v>4</v>
      </c>
      <c r="BI561" s="3" t="n">
        <v>1</v>
      </c>
      <c r="BJ561" s="3" t="n">
        <v>1</v>
      </c>
      <c r="BK561" s="6" t="s">
        <v>1597</v>
      </c>
    </row>
    <row r="562" customFormat="false" ht="15" hidden="false" customHeight="true" outlineLevel="0" collapsed="false">
      <c r="B562" s="2" t="s">
        <v>1598</v>
      </c>
      <c r="C562" s="2" t="s">
        <v>1599</v>
      </c>
      <c r="D562" s="2" t="s">
        <v>127</v>
      </c>
      <c r="E562" s="2" t="n">
        <v>185724</v>
      </c>
      <c r="F562" s="15" t="n">
        <v>43734</v>
      </c>
      <c r="G562" s="15" t="n">
        <v>43739</v>
      </c>
      <c r="H562" s="3" t="n">
        <v>5</v>
      </c>
      <c r="I562" s="3" t="n">
        <v>2</v>
      </c>
      <c r="J562" s="3" t="n">
        <v>67</v>
      </c>
      <c r="K562" s="3" t="n">
        <v>2</v>
      </c>
      <c r="L562" s="3" t="n">
        <v>2</v>
      </c>
      <c r="M562" s="3" t="n">
        <v>1</v>
      </c>
      <c r="N562" s="3" t="n">
        <v>1</v>
      </c>
      <c r="O562" s="3" t="n">
        <v>2</v>
      </c>
      <c r="P562" s="3" t="n">
        <v>2</v>
      </c>
      <c r="Q562" s="3" t="n">
        <v>1</v>
      </c>
      <c r="R562" s="3" t="n">
        <v>2</v>
      </c>
      <c r="S562" s="3" t="n">
        <v>1</v>
      </c>
      <c r="T562" s="4" t="n">
        <v>1</v>
      </c>
      <c r="U562" s="3" t="n">
        <v>1</v>
      </c>
      <c r="V562" s="3" t="n">
        <v>4.28</v>
      </c>
      <c r="W562" s="3" t="n">
        <v>1.2</v>
      </c>
      <c r="X562" s="3" t="n">
        <v>9.33</v>
      </c>
      <c r="Y562" s="3" t="n">
        <v>319</v>
      </c>
      <c r="Z562" s="3" t="n">
        <v>102</v>
      </c>
      <c r="AA562" s="3" t="n">
        <v>0.45</v>
      </c>
      <c r="AB562" s="3" t="n">
        <v>11.3</v>
      </c>
      <c r="AC562" s="3" t="n">
        <v>2</v>
      </c>
      <c r="AD562" s="3" t="n">
        <v>1</v>
      </c>
      <c r="AE562" s="3" t="n">
        <v>1</v>
      </c>
      <c r="AF562" s="3" t="n">
        <v>1</v>
      </c>
      <c r="AG562" s="3" t="n">
        <v>1</v>
      </c>
      <c r="AH562" s="3" t="n">
        <v>2</v>
      </c>
      <c r="AI562" s="3" t="n">
        <v>1</v>
      </c>
      <c r="AJ562" s="3" t="n">
        <v>1</v>
      </c>
      <c r="AK562" s="3" t="n">
        <v>2</v>
      </c>
      <c r="AL562" s="3" t="n">
        <v>2</v>
      </c>
      <c r="AM562" s="3" t="n">
        <v>2</v>
      </c>
      <c r="AN562" s="3" t="n">
        <v>2</v>
      </c>
      <c r="AO562" s="3" t="n">
        <v>2</v>
      </c>
      <c r="AP562" s="3" t="n">
        <v>3</v>
      </c>
      <c r="AQ562" s="3" t="n">
        <v>4</v>
      </c>
      <c r="AR562" s="3" t="n">
        <v>4</v>
      </c>
      <c r="AS562" s="3" t="n">
        <v>6</v>
      </c>
      <c r="AT562" s="3" t="n">
        <v>4</v>
      </c>
      <c r="AU562" s="3" t="n">
        <v>4</v>
      </c>
      <c r="AV562" s="3" t="n">
        <v>6</v>
      </c>
      <c r="AW562" s="3" t="n">
        <v>6</v>
      </c>
      <c r="AX562" s="3" t="n">
        <v>3</v>
      </c>
      <c r="AY562" s="3" t="n">
        <v>3</v>
      </c>
      <c r="AZ562" s="3" t="n">
        <v>1</v>
      </c>
      <c r="BA562" s="5" t="n">
        <v>5</v>
      </c>
      <c r="BB562" s="3" t="n">
        <v>2</v>
      </c>
      <c r="BC562" s="3" t="n">
        <v>1</v>
      </c>
      <c r="BD562" s="3" t="n">
        <v>6</v>
      </c>
      <c r="BE562" s="3" t="n">
        <v>3</v>
      </c>
      <c r="BF562" s="3" t="n">
        <v>5</v>
      </c>
      <c r="BG562" s="3" t="n">
        <v>3</v>
      </c>
      <c r="BH562" s="3" t="n">
        <v>4</v>
      </c>
      <c r="BI562" s="3" t="n">
        <v>1</v>
      </c>
      <c r="BJ562" s="3" t="n">
        <v>1</v>
      </c>
      <c r="BK562" s="6" t="s">
        <v>1600</v>
      </c>
    </row>
    <row r="563" customFormat="false" ht="15" hidden="false" customHeight="true" outlineLevel="0" collapsed="false">
      <c r="B563" s="2" t="s">
        <v>1601</v>
      </c>
      <c r="C563" s="2" t="s">
        <v>826</v>
      </c>
      <c r="D563" s="2" t="s">
        <v>1092</v>
      </c>
      <c r="E563" s="2" t="n">
        <v>185771</v>
      </c>
      <c r="F563" s="15" t="n">
        <v>43733</v>
      </c>
      <c r="G563" s="15" t="n">
        <v>43740</v>
      </c>
      <c r="H563" s="3" t="n">
        <v>7</v>
      </c>
      <c r="I563" s="3" t="n">
        <v>2</v>
      </c>
      <c r="J563" s="3" t="n">
        <v>56</v>
      </c>
      <c r="K563" s="3" t="n">
        <v>1</v>
      </c>
      <c r="L563" s="3" t="n">
        <v>2</v>
      </c>
      <c r="M563" s="3" t="n">
        <v>1</v>
      </c>
      <c r="N563" s="3" t="n">
        <v>1</v>
      </c>
      <c r="O563" s="3" t="n">
        <v>1</v>
      </c>
      <c r="P563" s="3" t="n">
        <v>1</v>
      </c>
      <c r="Q563" s="3" t="n">
        <v>1</v>
      </c>
      <c r="R563" s="3" t="n">
        <v>2</v>
      </c>
      <c r="S563" s="3" t="n">
        <v>2</v>
      </c>
      <c r="T563" s="4" t="n">
        <v>2</v>
      </c>
      <c r="U563" s="3" t="n">
        <v>2</v>
      </c>
      <c r="V563" s="3" t="n">
        <v>4.88</v>
      </c>
      <c r="W563" s="3" t="n">
        <v>3.49</v>
      </c>
      <c r="X563" s="3" t="n">
        <v>12.2</v>
      </c>
      <c r="Y563" s="3" t="n">
        <v>428</v>
      </c>
      <c r="Z563" s="3" t="n">
        <v>79</v>
      </c>
      <c r="AA563" s="3" t="n">
        <v>0.52</v>
      </c>
      <c r="AB563" s="3" t="n">
        <v>11.6</v>
      </c>
      <c r="AC563" s="3" t="n">
        <v>2</v>
      </c>
      <c r="AD563" s="3" t="n">
        <v>2</v>
      </c>
      <c r="AE563" s="3" t="n">
        <v>1</v>
      </c>
      <c r="AF563" s="3" t="n">
        <v>1</v>
      </c>
      <c r="AG563" s="3" t="n">
        <v>2</v>
      </c>
      <c r="AH563" s="3" t="n">
        <v>2</v>
      </c>
      <c r="AI563" s="3" t="n">
        <v>1</v>
      </c>
      <c r="AJ563" s="3" t="n">
        <v>1</v>
      </c>
      <c r="AK563" s="3" t="n">
        <v>2</v>
      </c>
      <c r="AL563" s="3" t="n">
        <v>2</v>
      </c>
      <c r="AM563" s="3" t="n">
        <v>1</v>
      </c>
      <c r="AN563" s="3" t="n">
        <v>2</v>
      </c>
      <c r="AO563" s="3" t="n">
        <v>2</v>
      </c>
      <c r="AP563" s="3" t="n">
        <v>2</v>
      </c>
      <c r="AQ563" s="3" t="n">
        <v>3</v>
      </c>
      <c r="AR563" s="3" t="n">
        <v>2</v>
      </c>
      <c r="AS563" s="3" t="n">
        <v>3</v>
      </c>
      <c r="AT563" s="3" t="n">
        <v>2</v>
      </c>
      <c r="AU563" s="3" t="n">
        <v>1</v>
      </c>
      <c r="AV563" s="3" t="n">
        <v>1</v>
      </c>
      <c r="AW563" s="3" t="n">
        <v>1</v>
      </c>
      <c r="AX563" s="3" t="n">
        <v>2</v>
      </c>
      <c r="AY563" s="3" t="n">
        <v>2</v>
      </c>
      <c r="AZ563" s="3" t="n">
        <v>2</v>
      </c>
      <c r="BA563" s="5" t="n">
        <v>1</v>
      </c>
      <c r="BB563" s="3" t="n">
        <v>1</v>
      </c>
      <c r="BC563" s="3" t="n">
        <v>1</v>
      </c>
      <c r="BD563" s="3" t="n">
        <v>2</v>
      </c>
      <c r="BE563" s="3" t="n">
        <v>1</v>
      </c>
      <c r="BF563" s="3" t="n">
        <v>2</v>
      </c>
      <c r="BG563" s="3" t="n">
        <v>2</v>
      </c>
      <c r="BH563" s="3" t="n">
        <v>4</v>
      </c>
      <c r="BI563" s="3" t="n">
        <v>1</v>
      </c>
      <c r="BJ563" s="3" t="n">
        <v>1</v>
      </c>
      <c r="BK563" s="6" t="s">
        <v>1602</v>
      </c>
    </row>
    <row r="564" customFormat="false" ht="15" hidden="false" customHeight="true" outlineLevel="0" collapsed="false">
      <c r="B564" s="2" t="s">
        <v>274</v>
      </c>
      <c r="C564" s="2" t="s">
        <v>386</v>
      </c>
      <c r="D564" s="2" t="s">
        <v>1207</v>
      </c>
      <c r="E564" s="2" t="n">
        <v>185804</v>
      </c>
      <c r="F564" s="15" t="n">
        <v>43734</v>
      </c>
      <c r="G564" s="15" t="n">
        <v>43740</v>
      </c>
      <c r="H564" s="3" t="n">
        <v>6</v>
      </c>
      <c r="I564" s="3" t="n">
        <v>2</v>
      </c>
      <c r="J564" s="3" t="n">
        <v>76</v>
      </c>
      <c r="K564" s="3" t="n">
        <v>1</v>
      </c>
      <c r="L564" s="3" t="n">
        <v>2</v>
      </c>
      <c r="M564" s="3" t="n">
        <v>1</v>
      </c>
      <c r="N564" s="3" t="n">
        <v>2</v>
      </c>
      <c r="O564" s="3" t="n">
        <v>2</v>
      </c>
      <c r="P564" s="3" t="n">
        <v>2</v>
      </c>
      <c r="Q564" s="3" t="n">
        <v>2</v>
      </c>
      <c r="R564" s="3" t="n">
        <v>2</v>
      </c>
      <c r="S564" s="3" t="n">
        <v>1</v>
      </c>
      <c r="T564" s="4" t="n">
        <v>1</v>
      </c>
      <c r="U564" s="3" t="n">
        <v>1</v>
      </c>
      <c r="V564" s="3" t="n">
        <v>4.74</v>
      </c>
      <c r="W564" s="3" t="n">
        <v>2.42</v>
      </c>
      <c r="X564" s="3" t="n">
        <v>6.24</v>
      </c>
      <c r="Y564" s="3" t="n">
        <v>508</v>
      </c>
      <c r="Z564" s="3" t="n">
        <v>38</v>
      </c>
      <c r="AA564" s="3" t="n">
        <v>0.39</v>
      </c>
      <c r="AB564" s="3" t="n">
        <v>11</v>
      </c>
      <c r="AC564" s="3" t="n">
        <v>1</v>
      </c>
      <c r="AD564" s="3" t="n">
        <v>1</v>
      </c>
      <c r="AE564" s="3" t="n">
        <v>1</v>
      </c>
      <c r="AF564" s="3" t="n">
        <v>1</v>
      </c>
      <c r="AG564" s="3" t="n">
        <v>2</v>
      </c>
      <c r="AH564" s="3" t="n">
        <v>1</v>
      </c>
      <c r="AI564" s="3" t="n">
        <v>1</v>
      </c>
      <c r="AJ564" s="3" t="n">
        <v>1</v>
      </c>
      <c r="AK564" s="3" t="n">
        <v>2</v>
      </c>
      <c r="AL564" s="3" t="n">
        <v>2</v>
      </c>
      <c r="AM564" s="3" t="n">
        <v>2</v>
      </c>
      <c r="AN564" s="3" t="n">
        <v>2</v>
      </c>
      <c r="AO564" s="3" t="n">
        <v>2</v>
      </c>
      <c r="AP564" s="3" t="n">
        <v>3</v>
      </c>
      <c r="AQ564" s="3" t="n">
        <v>4</v>
      </c>
      <c r="AR564" s="3" t="n">
        <v>4</v>
      </c>
      <c r="AS564" s="3" t="n">
        <v>6</v>
      </c>
      <c r="AT564" s="3" t="n">
        <v>4</v>
      </c>
      <c r="AU564" s="3" t="n">
        <v>4</v>
      </c>
      <c r="AV564" s="3" t="n">
        <v>6</v>
      </c>
      <c r="AW564" s="3" t="n">
        <v>6</v>
      </c>
      <c r="AX564" s="3" t="n">
        <v>3</v>
      </c>
      <c r="AY564" s="3" t="n">
        <v>3</v>
      </c>
      <c r="AZ564" s="3" t="n">
        <v>1</v>
      </c>
      <c r="BA564" s="5" t="n">
        <v>5</v>
      </c>
      <c r="BB564" s="3" t="n">
        <v>2</v>
      </c>
      <c r="BC564" s="3" t="n">
        <v>1</v>
      </c>
      <c r="BD564" s="3" t="n">
        <v>6</v>
      </c>
      <c r="BE564" s="3" t="n">
        <v>3</v>
      </c>
      <c r="BF564" s="3" t="n">
        <v>5</v>
      </c>
      <c r="BG564" s="3" t="n">
        <v>3</v>
      </c>
      <c r="BH564" s="3" t="n">
        <v>4</v>
      </c>
      <c r="BI564" s="3" t="n">
        <v>1</v>
      </c>
      <c r="BJ564" s="3" t="n">
        <v>1</v>
      </c>
      <c r="BK564" s="6" t="s">
        <v>1603</v>
      </c>
    </row>
    <row r="565" customFormat="false" ht="15" hidden="false" customHeight="true" outlineLevel="0" collapsed="false">
      <c r="B565" s="2" t="s">
        <v>1604</v>
      </c>
      <c r="C565" s="2" t="s">
        <v>1605</v>
      </c>
      <c r="D565" s="2" t="s">
        <v>1606</v>
      </c>
      <c r="E565" s="2" t="n">
        <v>185792</v>
      </c>
      <c r="F565" s="15" t="n">
        <v>43734</v>
      </c>
      <c r="G565" s="15" t="n">
        <v>43740</v>
      </c>
      <c r="H565" s="3" t="n">
        <v>6</v>
      </c>
      <c r="I565" s="3" t="n">
        <v>2</v>
      </c>
      <c r="J565" s="3" t="n">
        <v>58</v>
      </c>
      <c r="K565" s="3" t="n">
        <v>1</v>
      </c>
      <c r="L565" s="3" t="n">
        <v>2</v>
      </c>
      <c r="M565" s="3" t="n">
        <v>2</v>
      </c>
      <c r="N565" s="3" t="n">
        <v>2</v>
      </c>
      <c r="O565" s="3" t="n">
        <v>2</v>
      </c>
      <c r="P565" s="3" t="n">
        <v>2</v>
      </c>
      <c r="Q565" s="3" t="n">
        <v>2</v>
      </c>
      <c r="R565" s="3" t="n">
        <v>2</v>
      </c>
      <c r="S565" s="3" t="n">
        <v>2</v>
      </c>
      <c r="T565" s="4" t="n">
        <v>2</v>
      </c>
      <c r="U565" s="3" t="n">
        <v>2</v>
      </c>
      <c r="V565" s="3" t="n">
        <v>4.55</v>
      </c>
      <c r="W565" s="3" t="n">
        <v>2.48</v>
      </c>
      <c r="X565" s="3" t="n">
        <v>5.65</v>
      </c>
      <c r="Y565" s="3" t="n">
        <v>422</v>
      </c>
      <c r="Z565" s="3" t="n">
        <v>84</v>
      </c>
      <c r="AA565" s="3" t="n">
        <v>0.44</v>
      </c>
      <c r="AB565" s="3" t="n">
        <v>4.3</v>
      </c>
      <c r="AC565" s="3" t="n">
        <v>1</v>
      </c>
      <c r="AD565" s="3" t="n">
        <v>2</v>
      </c>
      <c r="AE565" s="3" t="n">
        <v>1</v>
      </c>
      <c r="AF565" s="3" t="n">
        <v>1</v>
      </c>
      <c r="AG565" s="3" t="n">
        <v>2</v>
      </c>
      <c r="AH565" s="3" t="n">
        <v>2</v>
      </c>
      <c r="AI565" s="3" t="n">
        <v>1</v>
      </c>
      <c r="AJ565" s="3" t="n">
        <v>1</v>
      </c>
      <c r="AK565" s="3" t="n">
        <v>2</v>
      </c>
      <c r="AL565" s="3" t="n">
        <v>2</v>
      </c>
      <c r="AM565" s="3" t="n">
        <v>2</v>
      </c>
      <c r="AN565" s="3" t="n">
        <v>2</v>
      </c>
      <c r="AO565" s="3" t="n">
        <v>2</v>
      </c>
      <c r="AP565" s="3" t="n">
        <v>3</v>
      </c>
      <c r="AQ565" s="3" t="n">
        <v>4</v>
      </c>
      <c r="AR565" s="3" t="n">
        <v>4</v>
      </c>
      <c r="AS565" s="3" t="n">
        <v>6</v>
      </c>
      <c r="AT565" s="3" t="n">
        <v>4</v>
      </c>
      <c r="AU565" s="3" t="n">
        <v>4</v>
      </c>
      <c r="AV565" s="3" t="n">
        <v>6</v>
      </c>
      <c r="AW565" s="3" t="n">
        <v>6</v>
      </c>
      <c r="AX565" s="3" t="n">
        <v>3</v>
      </c>
      <c r="AY565" s="3" t="n">
        <v>3</v>
      </c>
      <c r="AZ565" s="3" t="n">
        <v>5</v>
      </c>
      <c r="BA565" s="5" t="n">
        <v>1</v>
      </c>
      <c r="BB565" s="3" t="n">
        <v>1</v>
      </c>
      <c r="BC565" s="3" t="n">
        <v>1</v>
      </c>
      <c r="BD565" s="3" t="n">
        <v>4</v>
      </c>
      <c r="BE565" s="3" t="n">
        <v>1</v>
      </c>
      <c r="BF565" s="3" t="n">
        <v>2</v>
      </c>
      <c r="BG565" s="3" t="n">
        <v>1</v>
      </c>
      <c r="BH565" s="3" t="n">
        <v>4</v>
      </c>
      <c r="BI565" s="3" t="n">
        <v>1</v>
      </c>
      <c r="BJ565" s="3" t="n">
        <v>1</v>
      </c>
      <c r="BK565" s="6" t="s">
        <v>1607</v>
      </c>
    </row>
    <row r="566" customFormat="false" ht="15" hidden="false" customHeight="true" outlineLevel="0" collapsed="false">
      <c r="B566" s="2" t="s">
        <v>857</v>
      </c>
      <c r="C566" s="2" t="s">
        <v>1608</v>
      </c>
      <c r="D566" s="2" t="s">
        <v>78</v>
      </c>
      <c r="E566" s="2" t="n">
        <v>185835</v>
      </c>
      <c r="F566" s="15" t="n">
        <v>43735</v>
      </c>
      <c r="G566" s="15" t="n">
        <v>43741</v>
      </c>
      <c r="H566" s="3" t="n">
        <v>6</v>
      </c>
      <c r="I566" s="3" t="n">
        <v>1</v>
      </c>
      <c r="J566" s="3" t="n">
        <v>72</v>
      </c>
      <c r="K566" s="3" t="n">
        <v>1</v>
      </c>
      <c r="L566" s="3" t="n">
        <v>2</v>
      </c>
      <c r="M566" s="3" t="n">
        <v>1</v>
      </c>
      <c r="N566" s="3" t="n">
        <v>2</v>
      </c>
      <c r="O566" s="3" t="n">
        <v>2</v>
      </c>
      <c r="P566" s="3" t="n">
        <v>2</v>
      </c>
      <c r="Q566" s="3" t="n">
        <v>2</v>
      </c>
      <c r="R566" s="3" t="n">
        <v>2</v>
      </c>
      <c r="S566" s="3" t="n">
        <v>1</v>
      </c>
      <c r="T566" s="4" t="n">
        <v>2</v>
      </c>
      <c r="U566" s="3" t="n">
        <v>2</v>
      </c>
      <c r="V566" s="3" t="n">
        <v>11.52</v>
      </c>
      <c r="W566" s="3" t="n">
        <v>1.71</v>
      </c>
      <c r="X566" s="3" t="n">
        <v>5.4</v>
      </c>
      <c r="Y566" s="3" t="n">
        <v>359</v>
      </c>
      <c r="Z566" s="3" t="n">
        <v>82</v>
      </c>
      <c r="AA566" s="3" t="n">
        <v>0.38</v>
      </c>
      <c r="AB566" s="3" t="n">
        <v>13.8</v>
      </c>
      <c r="AC566" s="3" t="n">
        <v>1</v>
      </c>
      <c r="AD566" s="3" t="n">
        <v>2</v>
      </c>
      <c r="AE566" s="3" t="n">
        <v>1</v>
      </c>
      <c r="AF566" s="3" t="n">
        <v>1</v>
      </c>
      <c r="AG566" s="3" t="n">
        <v>2</v>
      </c>
      <c r="AH566" s="3" t="n">
        <v>2</v>
      </c>
      <c r="AI566" s="3" t="n">
        <v>1</v>
      </c>
      <c r="AJ566" s="3" t="n">
        <v>1</v>
      </c>
      <c r="AK566" s="3" t="n">
        <v>2</v>
      </c>
      <c r="AL566" s="3" t="n">
        <v>2</v>
      </c>
      <c r="AM566" s="3" t="n">
        <v>1</v>
      </c>
      <c r="AN566" s="3" t="n">
        <v>2</v>
      </c>
      <c r="AO566" s="3" t="n">
        <v>2</v>
      </c>
      <c r="AP566" s="3" t="n">
        <v>1</v>
      </c>
      <c r="AQ566" s="3" t="n">
        <v>3</v>
      </c>
      <c r="AR566" s="3" t="n">
        <v>4</v>
      </c>
      <c r="AS566" s="3" t="n">
        <v>6</v>
      </c>
      <c r="AT566" s="3" t="n">
        <v>4</v>
      </c>
      <c r="AU566" s="3" t="n">
        <v>4</v>
      </c>
      <c r="AV566" s="3" t="n">
        <v>1</v>
      </c>
      <c r="AW566" s="3" t="n">
        <v>6</v>
      </c>
      <c r="AX566" s="3" t="n">
        <v>3</v>
      </c>
      <c r="AY566" s="3" t="n">
        <v>3</v>
      </c>
      <c r="AZ566" s="3" t="n">
        <v>4</v>
      </c>
      <c r="BA566" s="5" t="n">
        <v>1</v>
      </c>
      <c r="BB566" s="3" t="n">
        <v>1</v>
      </c>
      <c r="BC566" s="3" t="n">
        <v>1</v>
      </c>
      <c r="BD566" s="3" t="n">
        <v>4</v>
      </c>
      <c r="BE566" s="3" t="n">
        <v>3</v>
      </c>
      <c r="BF566" s="3" t="n">
        <v>5</v>
      </c>
      <c r="BG566" s="3" t="n">
        <v>3</v>
      </c>
      <c r="BH566" s="3" t="n">
        <v>4</v>
      </c>
      <c r="BI566" s="3" t="n">
        <v>1</v>
      </c>
      <c r="BJ566" s="3" t="n">
        <v>1</v>
      </c>
      <c r="BK566" s="6" t="s">
        <v>1609</v>
      </c>
    </row>
    <row r="567" customFormat="false" ht="15" hidden="false" customHeight="true" outlineLevel="0" collapsed="false">
      <c r="B567" s="2" t="s">
        <v>1610</v>
      </c>
      <c r="C567" s="2" t="s">
        <v>94</v>
      </c>
      <c r="D567" s="2" t="s">
        <v>735</v>
      </c>
      <c r="E567" s="2" t="n">
        <v>111477</v>
      </c>
      <c r="F567" s="15" t="n">
        <v>43746</v>
      </c>
      <c r="G567" s="15" t="n">
        <v>43749</v>
      </c>
      <c r="H567" s="3" t="n">
        <v>3</v>
      </c>
      <c r="I567" s="3" t="n">
        <v>1</v>
      </c>
      <c r="J567" s="3" t="n">
        <v>49</v>
      </c>
      <c r="K567" s="3" t="n">
        <v>1</v>
      </c>
      <c r="L567" s="3" t="n">
        <v>2</v>
      </c>
      <c r="M567" s="3" t="n">
        <v>1</v>
      </c>
      <c r="N567" s="3" t="n">
        <v>2</v>
      </c>
      <c r="O567" s="3" t="n">
        <v>2</v>
      </c>
      <c r="P567" s="3" t="n">
        <v>2</v>
      </c>
      <c r="Q567" s="3" t="n">
        <v>2</v>
      </c>
      <c r="R567" s="3" t="n">
        <v>2</v>
      </c>
      <c r="S567" s="3" t="n">
        <v>2</v>
      </c>
      <c r="T567" s="4" t="n">
        <v>1</v>
      </c>
      <c r="U567" s="3" t="n">
        <v>1</v>
      </c>
      <c r="AC567" s="3" t="n">
        <v>1</v>
      </c>
      <c r="AD567" s="3" t="n">
        <v>1</v>
      </c>
      <c r="AE567" s="3" t="n">
        <v>1</v>
      </c>
      <c r="AF567" s="3" t="n">
        <v>1</v>
      </c>
      <c r="AG567" s="3" t="n">
        <v>2</v>
      </c>
      <c r="AH567" s="3" t="n">
        <v>1</v>
      </c>
      <c r="AI567" s="3" t="n">
        <v>1</v>
      </c>
      <c r="AJ567" s="3" t="n">
        <v>1</v>
      </c>
      <c r="AK567" s="3" t="n">
        <v>2</v>
      </c>
      <c r="AL567" s="3" t="n">
        <v>2</v>
      </c>
      <c r="AM567" s="3" t="n">
        <v>2</v>
      </c>
      <c r="AN567" s="3" t="n">
        <v>2</v>
      </c>
      <c r="AO567" s="3" t="n">
        <v>2</v>
      </c>
      <c r="AP567" s="3" t="n">
        <v>3</v>
      </c>
      <c r="AQ567" s="3" t="n">
        <v>4</v>
      </c>
      <c r="AR567" s="3" t="n">
        <v>4</v>
      </c>
      <c r="AS567" s="3" t="n">
        <v>6</v>
      </c>
      <c r="AT567" s="3" t="n">
        <v>4</v>
      </c>
      <c r="AU567" s="3" t="n">
        <v>4</v>
      </c>
      <c r="AV567" s="3" t="n">
        <v>6</v>
      </c>
      <c r="AW567" s="3" t="n">
        <v>6</v>
      </c>
      <c r="AX567" s="3" t="n">
        <v>3</v>
      </c>
      <c r="AY567" s="3" t="n">
        <v>3</v>
      </c>
      <c r="AZ567" s="19" t="n">
        <v>1</v>
      </c>
      <c r="BA567" s="5" t="n">
        <v>5</v>
      </c>
      <c r="BB567" s="3" t="n">
        <v>2</v>
      </c>
      <c r="BC567" s="3" t="n">
        <v>1</v>
      </c>
      <c r="BD567" s="3" t="n">
        <v>6</v>
      </c>
      <c r="BE567" s="3" t="n">
        <v>3</v>
      </c>
      <c r="BF567" s="3" t="n">
        <v>5</v>
      </c>
      <c r="BG567" s="3" t="n">
        <v>3</v>
      </c>
      <c r="BH567" s="3" t="n">
        <v>4</v>
      </c>
      <c r="BI567" s="3" t="n">
        <v>1</v>
      </c>
      <c r="BJ567" s="3" t="n">
        <v>1</v>
      </c>
      <c r="BK567" s="21" t="s">
        <v>1611</v>
      </c>
    </row>
    <row r="568" customFormat="false" ht="15" hidden="false" customHeight="true" outlineLevel="0" collapsed="false">
      <c r="B568" s="2" t="s">
        <v>1223</v>
      </c>
      <c r="C568" s="2" t="s">
        <v>846</v>
      </c>
      <c r="D568" s="2" t="s">
        <v>1612</v>
      </c>
      <c r="E568" s="2" t="n">
        <v>186133</v>
      </c>
      <c r="F568" s="15" t="n">
        <v>43743</v>
      </c>
      <c r="G568" s="15" t="n">
        <v>43749</v>
      </c>
      <c r="H568" s="3" t="n">
        <v>6</v>
      </c>
      <c r="I568" s="3" t="n">
        <v>2</v>
      </c>
      <c r="J568" s="3" t="n">
        <v>53</v>
      </c>
      <c r="K568" s="3" t="n">
        <v>2</v>
      </c>
      <c r="L568" s="3" t="n">
        <v>1</v>
      </c>
      <c r="M568" s="3" t="n">
        <v>2</v>
      </c>
      <c r="N568" s="3" t="n">
        <v>2</v>
      </c>
      <c r="O568" s="3" t="n">
        <v>2</v>
      </c>
      <c r="P568" s="3" t="n">
        <v>2</v>
      </c>
      <c r="Q568" s="3" t="n">
        <v>2</v>
      </c>
      <c r="R568" s="3" t="n">
        <v>2</v>
      </c>
      <c r="S568" s="3" t="n">
        <v>2</v>
      </c>
      <c r="T568" s="4" t="n">
        <v>2</v>
      </c>
      <c r="U568" s="3" t="n">
        <v>2</v>
      </c>
      <c r="AD568" s="3" t="n">
        <v>2</v>
      </c>
      <c r="AE568" s="3" t="n">
        <v>1</v>
      </c>
      <c r="AF568" s="3" t="n">
        <v>1</v>
      </c>
      <c r="AG568" s="3" t="n">
        <v>2</v>
      </c>
      <c r="AH568" s="3" t="n">
        <v>2</v>
      </c>
      <c r="AI568" s="3" t="n">
        <v>1</v>
      </c>
      <c r="AJ568" s="3" t="n">
        <v>1</v>
      </c>
      <c r="AK568" s="3" t="n">
        <v>2</v>
      </c>
      <c r="AL568" s="3" t="n">
        <v>2</v>
      </c>
      <c r="AM568" s="3" t="n">
        <v>2</v>
      </c>
      <c r="AN568" s="3" t="n">
        <v>2</v>
      </c>
      <c r="AO568" s="3" t="n">
        <v>2</v>
      </c>
      <c r="AP568" s="3" t="n">
        <v>3</v>
      </c>
      <c r="AQ568" s="3" t="n">
        <v>4</v>
      </c>
      <c r="AR568" s="3" t="n">
        <v>4</v>
      </c>
      <c r="AS568" s="3" t="n">
        <v>6</v>
      </c>
      <c r="AT568" s="3" t="n">
        <v>4</v>
      </c>
      <c r="AU568" s="3" t="n">
        <v>4</v>
      </c>
      <c r="AV568" s="3" t="n">
        <v>6</v>
      </c>
      <c r="AW568" s="3" t="n">
        <v>6</v>
      </c>
      <c r="AX568" s="3" t="n">
        <v>3</v>
      </c>
      <c r="AY568" s="3" t="n">
        <v>3</v>
      </c>
      <c r="AZ568" s="3" t="n">
        <v>5</v>
      </c>
      <c r="BA568" s="5" t="n">
        <v>1</v>
      </c>
      <c r="BB568" s="3" t="n">
        <v>1</v>
      </c>
      <c r="BC568" s="3" t="n">
        <v>1</v>
      </c>
      <c r="BD568" s="3" t="n">
        <v>4</v>
      </c>
      <c r="BE568" s="3" t="n">
        <v>1</v>
      </c>
      <c r="BF568" s="3" t="n">
        <v>2</v>
      </c>
      <c r="BG568" s="3" t="n">
        <v>1</v>
      </c>
      <c r="BH568" s="3" t="n">
        <v>4</v>
      </c>
      <c r="BI568" s="3" t="n">
        <v>1</v>
      </c>
      <c r="BJ568" s="3" t="n">
        <v>1</v>
      </c>
      <c r="BK568" s="6" t="s">
        <v>1613</v>
      </c>
    </row>
    <row r="569" customFormat="false" ht="15" hidden="false" customHeight="true" outlineLevel="0" collapsed="false">
      <c r="B569" s="2" t="s">
        <v>1138</v>
      </c>
      <c r="C569" s="2" t="s">
        <v>1489</v>
      </c>
      <c r="D569" s="2" t="s">
        <v>1490</v>
      </c>
      <c r="E569" s="2" t="n">
        <v>183349</v>
      </c>
      <c r="F569" s="15" t="n">
        <v>43740</v>
      </c>
      <c r="G569" s="15" t="n">
        <v>43747</v>
      </c>
      <c r="H569" s="3" t="n">
        <v>7</v>
      </c>
      <c r="I569" s="3" t="n">
        <v>2</v>
      </c>
      <c r="J569" s="3" t="n">
        <v>58</v>
      </c>
      <c r="K569" s="3" t="n">
        <v>1</v>
      </c>
      <c r="L569" s="3" t="n">
        <v>2</v>
      </c>
      <c r="M569" s="3" t="n">
        <v>1</v>
      </c>
      <c r="N569" s="3" t="n">
        <v>2</v>
      </c>
      <c r="O569" s="3" t="n">
        <v>2</v>
      </c>
      <c r="P569" s="3" t="n">
        <v>2</v>
      </c>
      <c r="Q569" s="3" t="n">
        <v>1</v>
      </c>
      <c r="R569" s="3" t="n">
        <v>2</v>
      </c>
      <c r="S569" s="3" t="n">
        <v>2</v>
      </c>
      <c r="T569" s="4" t="n">
        <v>3</v>
      </c>
      <c r="U569" s="3" t="n">
        <v>4</v>
      </c>
      <c r="V569" s="3" t="n">
        <v>1.62</v>
      </c>
      <c r="W569" s="3" t="n">
        <v>1.67</v>
      </c>
      <c r="X569" s="3" t="n">
        <v>9.67</v>
      </c>
      <c r="Y569" s="3" t="n">
        <v>433</v>
      </c>
      <c r="Z569" s="3" t="n">
        <v>206</v>
      </c>
      <c r="AA569" s="3" t="n">
        <v>0.48</v>
      </c>
      <c r="AB569" s="3" t="n">
        <v>13.6</v>
      </c>
      <c r="AC569" s="3" t="n">
        <v>2</v>
      </c>
      <c r="AD569" s="3" t="n">
        <v>2</v>
      </c>
      <c r="AE569" s="3" t="n">
        <v>2</v>
      </c>
      <c r="AF569" s="3" t="n">
        <v>1</v>
      </c>
      <c r="AG569" s="3" t="n">
        <v>2</v>
      </c>
      <c r="AH569" s="3" t="n">
        <v>2</v>
      </c>
      <c r="AI569" s="3" t="n">
        <v>2</v>
      </c>
      <c r="AJ569" s="3" t="n">
        <v>2</v>
      </c>
      <c r="AK569" s="3" t="n">
        <v>1</v>
      </c>
      <c r="AL569" s="3" t="n">
        <v>1</v>
      </c>
      <c r="AM569" s="3" t="n">
        <v>1</v>
      </c>
      <c r="AN569" s="3" t="n">
        <v>2</v>
      </c>
      <c r="AO569" s="3" t="n">
        <v>1</v>
      </c>
      <c r="AP569" s="3" t="n">
        <v>3</v>
      </c>
      <c r="AQ569" s="3" t="n">
        <v>4</v>
      </c>
      <c r="AR569" s="3" t="n">
        <v>4</v>
      </c>
      <c r="AS569" s="3" t="n">
        <v>6</v>
      </c>
      <c r="AT569" s="3" t="n">
        <v>4</v>
      </c>
      <c r="AU569" s="3" t="n">
        <v>4</v>
      </c>
      <c r="AV569" s="3" t="n">
        <v>6</v>
      </c>
      <c r="AW569" s="3" t="n">
        <v>6</v>
      </c>
      <c r="AX569" s="3" t="n">
        <v>3</v>
      </c>
      <c r="AY569" s="3" t="n">
        <v>3</v>
      </c>
      <c r="AZ569" s="3" t="n">
        <v>1</v>
      </c>
      <c r="BA569" s="5" t="n">
        <v>11</v>
      </c>
      <c r="BB569" s="3" t="n">
        <v>2</v>
      </c>
      <c r="BC569" s="3" t="n">
        <v>1</v>
      </c>
      <c r="BD569" s="3" t="n">
        <v>6</v>
      </c>
      <c r="BE569" s="3" t="n">
        <v>3</v>
      </c>
      <c r="BF569" s="3" t="n">
        <v>5</v>
      </c>
      <c r="BG569" s="3" t="n">
        <v>3</v>
      </c>
      <c r="BH569" s="3" t="n">
        <v>4</v>
      </c>
      <c r="BI569" s="3" t="n">
        <v>1</v>
      </c>
      <c r="BJ569" s="3" t="n">
        <v>1</v>
      </c>
      <c r="BK569" s="21" t="s">
        <v>1574</v>
      </c>
    </row>
    <row r="570" customFormat="false" ht="15" hidden="false" customHeight="true" outlineLevel="0" collapsed="false">
      <c r="B570" s="2" t="s">
        <v>1338</v>
      </c>
      <c r="C570" s="2" t="s">
        <v>198</v>
      </c>
      <c r="D570" s="2" t="s">
        <v>94</v>
      </c>
      <c r="E570" s="2" t="n">
        <v>185021</v>
      </c>
      <c r="F570" s="15" t="n">
        <v>43738</v>
      </c>
      <c r="G570" s="15" t="n">
        <v>43747</v>
      </c>
      <c r="H570" s="3" t="n">
        <v>9</v>
      </c>
      <c r="I570" s="3" t="n">
        <v>1</v>
      </c>
      <c r="J570" s="3" t="n">
        <v>53</v>
      </c>
      <c r="K570" s="3" t="n">
        <v>1</v>
      </c>
      <c r="L570" s="3" t="n">
        <v>2</v>
      </c>
      <c r="M570" s="3" t="n">
        <v>2</v>
      </c>
      <c r="N570" s="3" t="n">
        <v>2</v>
      </c>
      <c r="O570" s="3" t="n">
        <v>2</v>
      </c>
      <c r="P570" s="3" t="n">
        <v>2</v>
      </c>
      <c r="Q570" s="3" t="n">
        <v>1</v>
      </c>
      <c r="R570" s="3" t="n">
        <v>2</v>
      </c>
      <c r="S570" s="3" t="n">
        <v>2</v>
      </c>
      <c r="T570" s="4" t="n">
        <v>1</v>
      </c>
      <c r="U570" s="3" t="n">
        <v>1</v>
      </c>
      <c r="V570" s="3" t="n">
        <v>5.6</v>
      </c>
      <c r="W570" s="3" t="n">
        <v>7.4</v>
      </c>
      <c r="X570" s="3" t="n">
        <v>9.63</v>
      </c>
      <c r="Y570" s="3" t="n">
        <v>376</v>
      </c>
      <c r="Z570" s="3" t="n">
        <v>46</v>
      </c>
      <c r="AA570" s="3" t="n">
        <v>0.44</v>
      </c>
      <c r="AB570" s="3" t="n">
        <v>8.9</v>
      </c>
      <c r="AC570" s="3" t="n">
        <v>1</v>
      </c>
      <c r="AD570" s="3" t="n">
        <v>1</v>
      </c>
      <c r="AE570" s="3" t="n">
        <v>1</v>
      </c>
      <c r="AF570" s="3" t="n">
        <v>1</v>
      </c>
      <c r="AG570" s="3" t="n">
        <v>2</v>
      </c>
      <c r="AH570" s="3" t="n">
        <v>1</v>
      </c>
      <c r="AI570" s="3" t="n">
        <v>1</v>
      </c>
      <c r="AJ570" s="3" t="n">
        <v>1</v>
      </c>
      <c r="AK570" s="3" t="n">
        <v>2</v>
      </c>
      <c r="AL570" s="3" t="n">
        <v>2</v>
      </c>
      <c r="AM570" s="3" t="n">
        <v>2</v>
      </c>
      <c r="AN570" s="3" t="n">
        <v>2</v>
      </c>
      <c r="AO570" s="3" t="n">
        <v>2</v>
      </c>
      <c r="AP570" s="3" t="n">
        <v>2</v>
      </c>
      <c r="AQ570" s="3" t="n">
        <v>3</v>
      </c>
      <c r="AR570" s="3" t="n">
        <v>5</v>
      </c>
      <c r="AS570" s="3" t="n">
        <v>5</v>
      </c>
      <c r="AT570" s="3" t="n">
        <v>1</v>
      </c>
      <c r="AU570" s="3" t="n">
        <v>1</v>
      </c>
      <c r="AV570" s="3" t="n">
        <v>1</v>
      </c>
      <c r="AW570" s="3" t="n">
        <v>1</v>
      </c>
      <c r="AX570" s="3" t="n">
        <v>2</v>
      </c>
      <c r="AY570" s="3" t="n">
        <v>2</v>
      </c>
      <c r="AZ570" s="3" t="n">
        <v>1</v>
      </c>
      <c r="BA570" s="5" t="n">
        <v>5</v>
      </c>
      <c r="BB570" s="3" t="n">
        <v>2</v>
      </c>
      <c r="BC570" s="3" t="n">
        <v>1</v>
      </c>
      <c r="BD570" s="3" t="n">
        <v>6</v>
      </c>
      <c r="BE570" s="3" t="n">
        <v>3</v>
      </c>
      <c r="BF570" s="3" t="n">
        <v>5</v>
      </c>
      <c r="BG570" s="3" t="n">
        <v>3</v>
      </c>
      <c r="BH570" s="3" t="n">
        <v>4</v>
      </c>
      <c r="BI570" s="3" t="n">
        <v>1</v>
      </c>
      <c r="BJ570" s="3" t="n">
        <v>1</v>
      </c>
      <c r="BK570" s="6" t="s">
        <v>1614</v>
      </c>
    </row>
    <row r="571" customFormat="false" ht="15" hidden="false" customHeight="true" outlineLevel="0" collapsed="false">
      <c r="B571" s="2" t="s">
        <v>1615</v>
      </c>
      <c r="C571" s="2" t="s">
        <v>1616</v>
      </c>
      <c r="D571" s="2" t="s">
        <v>138</v>
      </c>
      <c r="E571" s="2" t="n">
        <v>186514</v>
      </c>
      <c r="F571" s="15" t="n">
        <v>43746</v>
      </c>
      <c r="G571" s="15" t="n">
        <v>43752</v>
      </c>
      <c r="H571" s="3" t="n">
        <v>6</v>
      </c>
      <c r="I571" s="3" t="n">
        <v>2</v>
      </c>
      <c r="J571" s="3" t="n">
        <v>49</v>
      </c>
      <c r="K571" s="3" t="n">
        <v>2</v>
      </c>
      <c r="L571" s="3" t="n">
        <v>2</v>
      </c>
      <c r="M571" s="3" t="n">
        <v>1</v>
      </c>
      <c r="N571" s="3" t="n">
        <v>2</v>
      </c>
      <c r="O571" s="3" t="n">
        <v>2</v>
      </c>
      <c r="P571" s="3" t="n">
        <v>2</v>
      </c>
      <c r="Q571" s="3" t="n">
        <v>2</v>
      </c>
      <c r="R571" s="3" t="n">
        <v>2</v>
      </c>
      <c r="S571" s="3" t="n">
        <v>1</v>
      </c>
      <c r="T571" s="4" t="n">
        <v>3</v>
      </c>
      <c r="U571" s="3" t="n">
        <v>1</v>
      </c>
      <c r="V571" s="3" t="n">
        <v>3.94</v>
      </c>
      <c r="W571" s="3" t="n">
        <v>1.41</v>
      </c>
      <c r="X571" s="3" t="n">
        <v>4.66</v>
      </c>
      <c r="Y571" s="3" t="n">
        <v>887</v>
      </c>
      <c r="Z571" s="3" t="n">
        <v>136</v>
      </c>
      <c r="AA571" s="3" t="n">
        <v>0.41</v>
      </c>
      <c r="AB571" s="3" t="n">
        <v>9.8</v>
      </c>
      <c r="AC571" s="3" t="n">
        <v>2</v>
      </c>
      <c r="AD571" s="3" t="n">
        <v>2</v>
      </c>
      <c r="AE571" s="3" t="n">
        <v>2</v>
      </c>
      <c r="AF571" s="3" t="n">
        <v>1</v>
      </c>
      <c r="AG571" s="3" t="n">
        <v>2</v>
      </c>
      <c r="AH571" s="3" t="n">
        <v>2</v>
      </c>
      <c r="AI571" s="3" t="n">
        <v>2</v>
      </c>
      <c r="AJ571" s="3" t="n">
        <v>1</v>
      </c>
      <c r="AK571" s="3" t="n">
        <v>2</v>
      </c>
      <c r="AL571" s="3" t="n">
        <v>1</v>
      </c>
      <c r="AM571" s="3" t="n">
        <v>1</v>
      </c>
      <c r="AN571" s="3" t="n">
        <v>2</v>
      </c>
      <c r="AO571" s="3" t="n">
        <v>2</v>
      </c>
      <c r="AP571" s="3" t="n">
        <v>3</v>
      </c>
      <c r="AQ571" s="3" t="n">
        <v>4</v>
      </c>
      <c r="AR571" s="3" t="n">
        <v>4</v>
      </c>
      <c r="AS571" s="3" t="n">
        <v>6</v>
      </c>
      <c r="AT571" s="3" t="n">
        <v>4</v>
      </c>
      <c r="AU571" s="3" t="n">
        <v>4</v>
      </c>
      <c r="AV571" s="3" t="n">
        <v>6</v>
      </c>
      <c r="AW571" s="3" t="n">
        <v>6</v>
      </c>
      <c r="AX571" s="3" t="n">
        <v>3</v>
      </c>
      <c r="AY571" s="3" t="n">
        <v>3</v>
      </c>
      <c r="AZ571" s="3" t="n">
        <v>1</v>
      </c>
      <c r="BA571" s="5" t="n">
        <v>11</v>
      </c>
      <c r="BB571" s="3" t="n">
        <v>2</v>
      </c>
      <c r="BC571" s="3" t="n">
        <v>1</v>
      </c>
      <c r="BD571" s="3" t="n">
        <v>6</v>
      </c>
      <c r="BE571" s="3" t="n">
        <v>3</v>
      </c>
      <c r="BF571" s="3" t="n">
        <v>5</v>
      </c>
      <c r="BG571" s="3" t="n">
        <v>3</v>
      </c>
      <c r="BH571" s="3" t="n">
        <v>4</v>
      </c>
      <c r="BI571" s="3" t="n">
        <v>1</v>
      </c>
      <c r="BJ571" s="3" t="n">
        <v>1</v>
      </c>
      <c r="BK571" s="6" t="s">
        <v>1617</v>
      </c>
    </row>
    <row r="572" customFormat="false" ht="15" hidden="false" customHeight="true" outlineLevel="0" collapsed="false">
      <c r="B572" s="2" t="s">
        <v>1138</v>
      </c>
      <c r="C572" s="2" t="s">
        <v>78</v>
      </c>
      <c r="D572" s="2" t="s">
        <v>839</v>
      </c>
      <c r="E572" s="2" t="n">
        <v>186581</v>
      </c>
      <c r="F572" s="15" t="n">
        <v>43745</v>
      </c>
      <c r="G572" s="15" t="n">
        <v>43752</v>
      </c>
      <c r="H572" s="3" t="n">
        <v>7</v>
      </c>
      <c r="I572" s="3" t="n">
        <v>2</v>
      </c>
      <c r="J572" s="3" t="n">
        <v>53</v>
      </c>
      <c r="K572" s="3" t="n">
        <v>2</v>
      </c>
      <c r="L572" s="3" t="n">
        <v>1</v>
      </c>
      <c r="M572" s="3" t="n">
        <v>1</v>
      </c>
      <c r="N572" s="3" t="n">
        <v>2</v>
      </c>
      <c r="O572" s="3" t="n">
        <v>2</v>
      </c>
      <c r="P572" s="3" t="n">
        <v>2</v>
      </c>
      <c r="Q572" s="3" t="n">
        <v>2</v>
      </c>
      <c r="R572" s="3" t="n">
        <v>2</v>
      </c>
      <c r="S572" s="3" t="n">
        <v>2</v>
      </c>
      <c r="T572" s="4" t="n">
        <v>1</v>
      </c>
      <c r="U572" s="3" t="n">
        <v>1</v>
      </c>
      <c r="V572" s="3" t="n">
        <v>6.32</v>
      </c>
      <c r="W572" s="3" t="n">
        <v>2.02</v>
      </c>
      <c r="X572" s="3" t="n">
        <v>6.89</v>
      </c>
      <c r="Y572" s="3" t="n">
        <v>439</v>
      </c>
      <c r="Z572" s="3" t="n">
        <v>106</v>
      </c>
      <c r="AA572" s="3" t="n">
        <v>0.47</v>
      </c>
      <c r="AC572" s="3" t="n">
        <v>2</v>
      </c>
      <c r="AD572" s="3" t="n">
        <v>2</v>
      </c>
      <c r="AE572" s="3" t="n">
        <v>1</v>
      </c>
      <c r="AF572" s="3" t="n">
        <v>1</v>
      </c>
      <c r="AG572" s="3" t="n">
        <v>2</v>
      </c>
      <c r="AH572" s="3" t="n">
        <v>2</v>
      </c>
      <c r="AI572" s="3" t="n">
        <v>1</v>
      </c>
      <c r="AJ572" s="3" t="n">
        <v>2</v>
      </c>
      <c r="AK572" s="3" t="n">
        <v>2</v>
      </c>
      <c r="AL572" s="3" t="n">
        <v>2</v>
      </c>
      <c r="AM572" s="3" t="n">
        <v>1</v>
      </c>
      <c r="AN572" s="3" t="n">
        <v>2</v>
      </c>
      <c r="AO572" s="3" t="n">
        <v>2</v>
      </c>
      <c r="AP572" s="3" t="n">
        <v>3</v>
      </c>
      <c r="AQ572" s="3" t="n">
        <v>4</v>
      </c>
      <c r="AR572" s="3" t="n">
        <v>4</v>
      </c>
      <c r="AS572" s="3" t="n">
        <v>6</v>
      </c>
      <c r="AT572" s="3" t="n">
        <v>4</v>
      </c>
      <c r="AU572" s="3" t="n">
        <v>4</v>
      </c>
      <c r="AV572" s="3" t="n">
        <v>6</v>
      </c>
      <c r="AW572" s="3" t="n">
        <v>6</v>
      </c>
      <c r="AX572" s="3" t="n">
        <v>3</v>
      </c>
      <c r="AY572" s="3" t="n">
        <v>3</v>
      </c>
      <c r="AZ572" s="3" t="n">
        <v>4</v>
      </c>
      <c r="BA572" s="5" t="n">
        <v>1</v>
      </c>
      <c r="BB572" s="3" t="n">
        <v>2</v>
      </c>
      <c r="BC572" s="3" t="n">
        <v>1</v>
      </c>
      <c r="BD572" s="3" t="n">
        <v>6</v>
      </c>
      <c r="BE572" s="3" t="n">
        <v>3</v>
      </c>
      <c r="BF572" s="3" t="n">
        <v>5</v>
      </c>
      <c r="BG572" s="3" t="n">
        <v>3</v>
      </c>
      <c r="BH572" s="3" t="n">
        <v>4</v>
      </c>
      <c r="BI572" s="3" t="n">
        <v>1</v>
      </c>
      <c r="BJ572" s="3" t="n">
        <v>1</v>
      </c>
      <c r="BK572" s="6" t="s">
        <v>1618</v>
      </c>
    </row>
    <row r="573" customFormat="false" ht="15" hidden="false" customHeight="true" outlineLevel="0" collapsed="false">
      <c r="B573" s="2" t="s">
        <v>1511</v>
      </c>
      <c r="C573" s="2" t="s">
        <v>528</v>
      </c>
      <c r="D573" s="2" t="s">
        <v>1513</v>
      </c>
      <c r="E573" s="2" t="n">
        <v>185790</v>
      </c>
      <c r="F573" s="15" t="n">
        <v>43733</v>
      </c>
      <c r="G573" s="15" t="n">
        <v>43749</v>
      </c>
      <c r="H573" s="3" t="n">
        <v>16</v>
      </c>
      <c r="I573" s="3" t="n">
        <v>2</v>
      </c>
      <c r="J573" s="3" t="n">
        <v>56</v>
      </c>
      <c r="K573" s="3" t="n">
        <v>1</v>
      </c>
      <c r="L573" s="3" t="n">
        <v>2</v>
      </c>
      <c r="M573" s="3" t="n">
        <v>1</v>
      </c>
      <c r="N573" s="3" t="n">
        <v>2</v>
      </c>
      <c r="O573" s="3" t="n">
        <v>1</v>
      </c>
      <c r="P573" s="3" t="n">
        <v>1</v>
      </c>
      <c r="Q573" s="3" t="n">
        <v>1</v>
      </c>
      <c r="R573" s="3" t="n">
        <v>2</v>
      </c>
      <c r="S573" s="3" t="n">
        <v>2</v>
      </c>
      <c r="T573" s="4" t="n">
        <v>3</v>
      </c>
      <c r="U573" s="3" t="n">
        <v>4</v>
      </c>
      <c r="V573" s="3" t="n">
        <v>2.81</v>
      </c>
      <c r="W573" s="3" t="n">
        <v>1.04</v>
      </c>
      <c r="X573" s="3" t="n">
        <v>4.94</v>
      </c>
      <c r="Y573" s="3" t="n">
        <v>454</v>
      </c>
      <c r="Z573" s="3" t="n">
        <v>67</v>
      </c>
      <c r="AA573" s="3" t="n">
        <v>0.6</v>
      </c>
      <c r="AC573" s="3" t="n">
        <v>1</v>
      </c>
      <c r="AD573" s="3" t="n">
        <v>2</v>
      </c>
      <c r="AE573" s="3" t="n">
        <v>1</v>
      </c>
      <c r="AF573" s="3" t="n">
        <v>1</v>
      </c>
      <c r="AG573" s="3" t="n">
        <v>2</v>
      </c>
      <c r="AH573" s="3" t="n">
        <v>2</v>
      </c>
      <c r="AI573" s="3" t="n">
        <v>2</v>
      </c>
      <c r="AJ573" s="3" t="n">
        <v>1</v>
      </c>
      <c r="AK573" s="3" t="n">
        <v>1</v>
      </c>
      <c r="AL573" s="3" t="n">
        <v>2</v>
      </c>
      <c r="AM573" s="3" t="n">
        <v>2</v>
      </c>
      <c r="AN573" s="3" t="n">
        <v>2</v>
      </c>
      <c r="AO573" s="3" t="n">
        <v>2</v>
      </c>
      <c r="AP573" s="3" t="n">
        <v>3</v>
      </c>
      <c r="AQ573" s="3" t="n">
        <v>4</v>
      </c>
      <c r="AR573" s="3" t="n">
        <v>4</v>
      </c>
      <c r="AS573" s="3" t="n">
        <v>6</v>
      </c>
      <c r="AT573" s="3" t="n">
        <v>4</v>
      </c>
      <c r="AU573" s="3" t="n">
        <v>4</v>
      </c>
      <c r="AV573" s="3" t="n">
        <v>6</v>
      </c>
      <c r="AW573" s="3" t="n">
        <v>6</v>
      </c>
      <c r="AX573" s="3" t="n">
        <v>3</v>
      </c>
      <c r="AY573" s="3" t="n">
        <v>3</v>
      </c>
      <c r="AZ573" s="3" t="n">
        <v>1</v>
      </c>
      <c r="BA573" s="5" t="n">
        <v>11</v>
      </c>
      <c r="BB573" s="3" t="n">
        <v>2</v>
      </c>
      <c r="BC573" s="3" t="n">
        <v>1</v>
      </c>
      <c r="BD573" s="3" t="n">
        <v>6</v>
      </c>
      <c r="BE573" s="3" t="n">
        <v>3</v>
      </c>
      <c r="BF573" s="3" t="n">
        <v>5</v>
      </c>
      <c r="BG573" s="3" t="n">
        <v>3</v>
      </c>
      <c r="BH573" s="3" t="n">
        <v>4</v>
      </c>
      <c r="BI573" s="3" t="n">
        <v>1</v>
      </c>
      <c r="BJ573" s="3" t="n">
        <v>1</v>
      </c>
      <c r="BK573" s="6" t="s">
        <v>1619</v>
      </c>
    </row>
    <row r="574" customFormat="false" ht="15" hidden="false" customHeight="true" outlineLevel="0" collapsed="false">
      <c r="B574" s="2" t="s">
        <v>1620</v>
      </c>
      <c r="C574" s="2" t="s">
        <v>812</v>
      </c>
      <c r="D574" s="2" t="s">
        <v>1621</v>
      </c>
      <c r="E574" s="2" t="n">
        <v>186575</v>
      </c>
      <c r="F574" s="15" t="n">
        <v>43745</v>
      </c>
      <c r="G574" s="15" t="n">
        <v>43752</v>
      </c>
      <c r="H574" s="3" t="n">
        <v>7</v>
      </c>
      <c r="I574" s="3" t="n">
        <v>2</v>
      </c>
      <c r="J574" s="3" t="n">
        <v>62</v>
      </c>
      <c r="K574" s="3" t="n">
        <v>2</v>
      </c>
      <c r="L574" s="3" t="n">
        <v>2</v>
      </c>
      <c r="M574" s="3" t="n">
        <v>2</v>
      </c>
      <c r="N574" s="3" t="n">
        <v>2</v>
      </c>
      <c r="O574" s="3" t="n">
        <v>2</v>
      </c>
      <c r="P574" s="3" t="n">
        <v>1</v>
      </c>
      <c r="Q574" s="3" t="n">
        <v>2</v>
      </c>
      <c r="R574" s="3" t="n">
        <v>2</v>
      </c>
      <c r="S574" s="3" t="n">
        <v>2</v>
      </c>
      <c r="T574" s="4" t="n">
        <v>2</v>
      </c>
      <c r="U574" s="3" t="n">
        <v>2</v>
      </c>
      <c r="V574" s="3" t="n">
        <v>4.66</v>
      </c>
      <c r="W574" s="3" t="n">
        <v>4.55</v>
      </c>
      <c r="X574" s="3" t="n">
        <v>9.09</v>
      </c>
      <c r="Y574" s="3" t="n">
        <v>546</v>
      </c>
      <c r="Z574" s="3" t="n">
        <v>87</v>
      </c>
      <c r="AA574" s="3" t="n">
        <v>0.47</v>
      </c>
      <c r="AB574" s="3" t="n">
        <v>12.87</v>
      </c>
      <c r="AC574" s="3" t="n">
        <v>1</v>
      </c>
      <c r="AD574" s="3" t="n">
        <v>2</v>
      </c>
      <c r="AE574" s="3" t="n">
        <v>1</v>
      </c>
      <c r="AF574" s="3" t="n">
        <v>1</v>
      </c>
      <c r="AG574" s="3" t="n">
        <v>2</v>
      </c>
      <c r="AH574" s="3" t="n">
        <v>2</v>
      </c>
      <c r="AI574" s="3" t="n">
        <v>1</v>
      </c>
      <c r="AJ574" s="3" t="n">
        <v>1</v>
      </c>
      <c r="AK574" s="3" t="n">
        <v>2</v>
      </c>
      <c r="AL574" s="3" t="n">
        <v>2</v>
      </c>
      <c r="AM574" s="3" t="n">
        <v>2</v>
      </c>
      <c r="AN574" s="3" t="n">
        <v>2</v>
      </c>
      <c r="AO574" s="3" t="n">
        <v>2</v>
      </c>
      <c r="AP574" s="3" t="n">
        <v>3</v>
      </c>
      <c r="AQ574" s="3" t="n">
        <v>4</v>
      </c>
      <c r="AR574" s="3" t="n">
        <v>4</v>
      </c>
      <c r="AS574" s="3" t="n">
        <v>6</v>
      </c>
      <c r="AT574" s="3" t="n">
        <v>4</v>
      </c>
      <c r="AU574" s="3" t="n">
        <v>4</v>
      </c>
      <c r="AV574" s="3" t="n">
        <v>6</v>
      </c>
      <c r="AW574" s="3" t="n">
        <v>6</v>
      </c>
      <c r="AX574" s="3" t="n">
        <v>3</v>
      </c>
      <c r="AY574" s="3" t="n">
        <v>3</v>
      </c>
      <c r="AZ574" s="3" t="n">
        <v>1</v>
      </c>
      <c r="BA574" s="5" t="n">
        <v>1</v>
      </c>
      <c r="BB574" s="3" t="n">
        <v>1</v>
      </c>
      <c r="BC574" s="3" t="n">
        <v>1</v>
      </c>
      <c r="BD574" s="3" t="n">
        <v>4</v>
      </c>
      <c r="BE574" s="3" t="n">
        <v>1</v>
      </c>
      <c r="BF574" s="3" t="n">
        <v>2</v>
      </c>
      <c r="BG574" s="3" t="n">
        <v>1</v>
      </c>
      <c r="BH574" s="3" t="n">
        <v>4</v>
      </c>
      <c r="BI574" s="3" t="n">
        <v>1</v>
      </c>
      <c r="BJ574" s="3" t="n">
        <v>1</v>
      </c>
      <c r="BK574" s="6" t="s">
        <v>1622</v>
      </c>
    </row>
    <row r="575" customFormat="false" ht="15" hidden="false" customHeight="true" outlineLevel="0" collapsed="false">
      <c r="B575" s="17" t="s">
        <v>278</v>
      </c>
      <c r="C575" s="17" t="s">
        <v>61</v>
      </c>
      <c r="D575" s="17" t="s">
        <v>78</v>
      </c>
      <c r="E575" s="2" t="n">
        <v>186599</v>
      </c>
      <c r="F575" s="15" t="n">
        <v>43746</v>
      </c>
      <c r="G575" s="15" t="n">
        <v>43753</v>
      </c>
      <c r="H575" s="3" t="n">
        <v>7</v>
      </c>
      <c r="I575" s="3" t="n">
        <v>2</v>
      </c>
      <c r="J575" s="3" t="n">
        <v>45</v>
      </c>
      <c r="K575" s="3" t="n">
        <v>2</v>
      </c>
      <c r="L575" s="3" t="n">
        <v>2</v>
      </c>
      <c r="M575" s="3" t="n">
        <v>1</v>
      </c>
      <c r="N575" s="3" t="n">
        <v>2</v>
      </c>
      <c r="O575" s="3" t="n">
        <v>2</v>
      </c>
      <c r="P575" s="3" t="n">
        <v>2</v>
      </c>
      <c r="Q575" s="3" t="n">
        <v>2</v>
      </c>
      <c r="R575" s="3" t="n">
        <v>2</v>
      </c>
      <c r="S575" s="3" t="n">
        <v>2</v>
      </c>
      <c r="T575" s="4" t="n">
        <v>2</v>
      </c>
      <c r="U575" s="3" t="n">
        <v>2</v>
      </c>
      <c r="V575" s="3" t="n">
        <v>6.55</v>
      </c>
      <c r="W575" s="3" t="n">
        <v>2.07</v>
      </c>
      <c r="X575" s="3" t="n">
        <v>6.02</v>
      </c>
      <c r="Y575" s="3" t="n">
        <v>320</v>
      </c>
      <c r="Z575" s="3" t="n">
        <v>93</v>
      </c>
      <c r="AA575" s="3" t="n">
        <v>0.49</v>
      </c>
      <c r="AB575" s="3" t="n">
        <v>9.6</v>
      </c>
      <c r="AC575" s="3" t="n">
        <v>1</v>
      </c>
      <c r="AD575" s="3" t="n">
        <v>2</v>
      </c>
      <c r="AE575" s="3" t="n">
        <v>1</v>
      </c>
      <c r="AF575" s="3" t="n">
        <v>1</v>
      </c>
      <c r="AG575" s="3" t="n">
        <v>2</v>
      </c>
      <c r="AH575" s="3" t="n">
        <v>2</v>
      </c>
      <c r="AI575" s="3" t="n">
        <v>1</v>
      </c>
      <c r="AJ575" s="3" t="n">
        <v>1</v>
      </c>
      <c r="AK575" s="3" t="n">
        <v>2</v>
      </c>
      <c r="AL575" s="3" t="n">
        <v>2</v>
      </c>
      <c r="AM575" s="3" t="n">
        <v>2</v>
      </c>
      <c r="AN575" s="3" t="n">
        <v>2</v>
      </c>
      <c r="AO575" s="3" t="n">
        <v>2</v>
      </c>
      <c r="AP575" s="3" t="n">
        <v>3</v>
      </c>
      <c r="AQ575" s="3" t="n">
        <v>4</v>
      </c>
      <c r="AR575" s="3" t="n">
        <v>4</v>
      </c>
      <c r="AS575" s="3" t="n">
        <v>6</v>
      </c>
      <c r="AT575" s="3" t="n">
        <v>4</v>
      </c>
      <c r="AU575" s="3" t="n">
        <v>4</v>
      </c>
      <c r="AV575" s="3" t="n">
        <v>6</v>
      </c>
      <c r="AW575" s="3" t="n">
        <v>6</v>
      </c>
      <c r="AX575" s="3" t="n">
        <v>3</v>
      </c>
      <c r="AY575" s="3" t="n">
        <v>3</v>
      </c>
      <c r="AZ575" s="3" t="n">
        <v>1</v>
      </c>
      <c r="BA575" s="5" t="n">
        <v>1</v>
      </c>
      <c r="BB575" s="3" t="n">
        <v>1</v>
      </c>
      <c r="BC575" s="3" t="n">
        <v>1</v>
      </c>
      <c r="BD575" s="3" t="n">
        <v>4</v>
      </c>
      <c r="BE575" s="19" t="n">
        <v>1</v>
      </c>
      <c r="BF575" s="3" t="n">
        <v>2</v>
      </c>
      <c r="BG575" s="3" t="n">
        <v>1</v>
      </c>
      <c r="BH575" s="3" t="n">
        <v>4</v>
      </c>
      <c r="BI575" s="3" t="n">
        <v>1</v>
      </c>
      <c r="BJ575" s="3" t="n">
        <v>1</v>
      </c>
      <c r="BK575" s="21" t="s">
        <v>1623</v>
      </c>
    </row>
    <row r="576" customFormat="false" ht="15" hidden="false" customHeight="true" outlineLevel="0" collapsed="false">
      <c r="B576" s="2" t="s">
        <v>1575</v>
      </c>
      <c r="C576" s="2" t="s">
        <v>144</v>
      </c>
      <c r="D576" s="2" t="s">
        <v>1207</v>
      </c>
      <c r="E576" s="2" t="n">
        <v>185150</v>
      </c>
      <c r="F576" s="15" t="n">
        <v>43748</v>
      </c>
      <c r="G576" s="15" t="n">
        <v>43753</v>
      </c>
      <c r="H576" s="3" t="n">
        <v>5</v>
      </c>
      <c r="I576" s="3" t="n">
        <v>2</v>
      </c>
      <c r="J576" s="3" t="n">
        <v>87</v>
      </c>
      <c r="K576" s="3" t="n">
        <v>1</v>
      </c>
      <c r="L576" s="3" t="n">
        <v>1</v>
      </c>
      <c r="M576" s="3" t="n">
        <v>1</v>
      </c>
      <c r="N576" s="3" t="n">
        <v>2</v>
      </c>
      <c r="O576" s="3" t="n">
        <v>2</v>
      </c>
      <c r="P576" s="3" t="n">
        <v>2</v>
      </c>
      <c r="Q576" s="3" t="n">
        <v>2</v>
      </c>
      <c r="R576" s="3" t="n">
        <v>2</v>
      </c>
      <c r="S576" s="3" t="n">
        <v>1</v>
      </c>
      <c r="T576" s="4" t="n">
        <v>1</v>
      </c>
      <c r="U576" s="3" t="n">
        <v>1</v>
      </c>
      <c r="V576" s="3" t="n">
        <v>4.29</v>
      </c>
      <c r="W576" s="3" t="n">
        <v>1.03</v>
      </c>
      <c r="X576" s="3" t="n">
        <v>4.38</v>
      </c>
      <c r="Y576" s="3" t="n">
        <v>717</v>
      </c>
      <c r="Z576" s="3" t="n">
        <v>174</v>
      </c>
      <c r="AA576" s="3" t="n">
        <v>0.44</v>
      </c>
      <c r="AB576" s="3" t="n">
        <v>7.8</v>
      </c>
      <c r="AC576" s="3" t="n">
        <v>1</v>
      </c>
      <c r="AD576" s="3" t="n">
        <v>1</v>
      </c>
      <c r="AE576" s="3" t="n">
        <v>1</v>
      </c>
      <c r="AF576" s="3" t="n">
        <v>1</v>
      </c>
      <c r="AG576" s="3" t="n">
        <v>2</v>
      </c>
      <c r="AH576" s="3" t="n">
        <v>2</v>
      </c>
      <c r="AI576" s="3" t="n">
        <v>1</v>
      </c>
      <c r="AJ576" s="3" t="n">
        <v>1</v>
      </c>
      <c r="AK576" s="3" t="n">
        <v>2</v>
      </c>
      <c r="AL576" s="3" t="n">
        <v>2</v>
      </c>
      <c r="AM576" s="3" t="n">
        <v>1</v>
      </c>
      <c r="AN576" s="3" t="n">
        <v>2</v>
      </c>
      <c r="AO576" s="3" t="n">
        <v>2</v>
      </c>
      <c r="AP576" s="3" t="n">
        <v>3</v>
      </c>
      <c r="AQ576" s="3" t="n">
        <v>4</v>
      </c>
      <c r="AR576" s="3" t="n">
        <v>4</v>
      </c>
      <c r="AS576" s="3" t="n">
        <v>6</v>
      </c>
      <c r="AT576" s="3" t="n">
        <v>4</v>
      </c>
      <c r="AU576" s="3" t="n">
        <v>4</v>
      </c>
      <c r="AV576" s="3" t="n">
        <v>6</v>
      </c>
      <c r="AW576" s="3" t="n">
        <v>6</v>
      </c>
      <c r="AX576" s="3" t="n">
        <v>3</v>
      </c>
      <c r="AY576" s="3" t="n">
        <v>3</v>
      </c>
      <c r="AZ576" s="3" t="n">
        <v>12</v>
      </c>
      <c r="BA576" s="5" t="n">
        <v>5</v>
      </c>
      <c r="BB576" s="3" t="n">
        <v>2</v>
      </c>
      <c r="BC576" s="3" t="n">
        <v>1</v>
      </c>
      <c r="BD576" s="3" t="n">
        <v>6</v>
      </c>
      <c r="BE576" s="3" t="n">
        <v>3</v>
      </c>
      <c r="BF576" s="3" t="n">
        <v>5</v>
      </c>
      <c r="BG576" s="3" t="n">
        <v>3</v>
      </c>
      <c r="BH576" s="3" t="n">
        <v>4</v>
      </c>
      <c r="BI576" s="3" t="n">
        <v>1</v>
      </c>
      <c r="BJ576" s="3" t="n">
        <v>1</v>
      </c>
      <c r="BK576" s="21" t="s">
        <v>1624</v>
      </c>
    </row>
    <row r="577" customFormat="false" ht="15" hidden="false" customHeight="true" outlineLevel="0" collapsed="false">
      <c r="B577" s="17" t="s">
        <v>794</v>
      </c>
      <c r="C577" s="17" t="s">
        <v>1625</v>
      </c>
      <c r="D577" s="17" t="s">
        <v>1626</v>
      </c>
      <c r="E577" s="2" t="n">
        <v>186726</v>
      </c>
      <c r="F577" s="15" t="n">
        <v>43747</v>
      </c>
      <c r="G577" s="15" t="n">
        <v>43753</v>
      </c>
      <c r="H577" s="3" t="n">
        <v>6</v>
      </c>
      <c r="I577" s="3" t="n">
        <v>1</v>
      </c>
      <c r="J577" s="3" t="n">
        <v>64</v>
      </c>
      <c r="K577" s="3" t="n">
        <v>1</v>
      </c>
      <c r="L577" s="3" t="n">
        <v>2</v>
      </c>
      <c r="M577" s="3" t="n">
        <v>1</v>
      </c>
      <c r="N577" s="3" t="n">
        <v>2</v>
      </c>
      <c r="O577" s="3" t="n">
        <v>2</v>
      </c>
      <c r="P577" s="3" t="n">
        <v>1</v>
      </c>
      <c r="Q577" s="3" t="n">
        <v>2</v>
      </c>
      <c r="R577" s="3" t="n">
        <v>2</v>
      </c>
      <c r="S577" s="3" t="n">
        <v>1</v>
      </c>
      <c r="T577" s="4" t="n">
        <v>4</v>
      </c>
      <c r="U577" s="3" t="n">
        <v>4</v>
      </c>
      <c r="V577" s="3" t="n">
        <v>5.7</v>
      </c>
      <c r="W577" s="3" t="n">
        <v>1.8</v>
      </c>
      <c r="X577" s="3" t="n">
        <v>5.5</v>
      </c>
      <c r="Y577" s="3" t="n">
        <v>374</v>
      </c>
      <c r="Z577" s="3" t="n">
        <v>43</v>
      </c>
      <c r="AC577" s="3" t="n">
        <v>1</v>
      </c>
      <c r="AD577" s="3" t="n">
        <v>2</v>
      </c>
      <c r="AE577" s="3" t="n">
        <v>1</v>
      </c>
      <c r="AF577" s="3" t="n">
        <v>1</v>
      </c>
      <c r="AG577" s="3" t="n">
        <v>2</v>
      </c>
      <c r="AH577" s="3" t="n">
        <v>2</v>
      </c>
      <c r="AI577" s="3" t="n">
        <v>2</v>
      </c>
      <c r="AJ577" s="3" t="n">
        <v>1</v>
      </c>
      <c r="AK577" s="3" t="n">
        <v>1</v>
      </c>
      <c r="AL577" s="3" t="n">
        <v>2</v>
      </c>
      <c r="AM577" s="3" t="n">
        <v>2</v>
      </c>
      <c r="AN577" s="3" t="n">
        <v>2</v>
      </c>
      <c r="AO577" s="3" t="n">
        <v>2</v>
      </c>
      <c r="AP577" s="3" t="n">
        <v>3</v>
      </c>
      <c r="AQ577" s="3" t="n">
        <v>4</v>
      </c>
      <c r="AR577" s="3" t="n">
        <v>4</v>
      </c>
      <c r="AS577" s="3" t="n">
        <v>6</v>
      </c>
      <c r="AT577" s="3" t="n">
        <v>4</v>
      </c>
      <c r="AU577" s="3" t="n">
        <v>4</v>
      </c>
      <c r="AV577" s="3" t="n">
        <v>6</v>
      </c>
      <c r="AW577" s="3" t="n">
        <v>6</v>
      </c>
      <c r="AX577" s="3" t="n">
        <v>3</v>
      </c>
      <c r="AY577" s="3" t="n">
        <v>3</v>
      </c>
      <c r="AZ577" s="3" t="n">
        <v>1</v>
      </c>
      <c r="BA577" s="5" t="n">
        <v>10</v>
      </c>
      <c r="BB577" s="3" t="n">
        <v>2</v>
      </c>
      <c r="BC577" s="3" t="n">
        <v>1</v>
      </c>
      <c r="BD577" s="3" t="n">
        <v>6</v>
      </c>
      <c r="BE577" s="3" t="n">
        <v>3</v>
      </c>
      <c r="BF577" s="3" t="n">
        <v>5</v>
      </c>
      <c r="BG577" s="3" t="n">
        <v>3</v>
      </c>
      <c r="BH577" s="3" t="n">
        <v>4</v>
      </c>
      <c r="BI577" s="3" t="n">
        <v>1</v>
      </c>
      <c r="BJ577" s="3" t="n">
        <v>1</v>
      </c>
      <c r="BK577" s="21" t="s">
        <v>1627</v>
      </c>
    </row>
    <row r="578" customFormat="false" ht="15" hidden="false" customHeight="true" outlineLevel="0" collapsed="false">
      <c r="B578" s="2" t="s">
        <v>912</v>
      </c>
      <c r="C578" s="2" t="s">
        <v>99</v>
      </c>
      <c r="D578" s="2" t="s">
        <v>1628</v>
      </c>
      <c r="E578" s="2" t="n">
        <v>186997</v>
      </c>
      <c r="F578" s="15" t="n">
        <v>76624</v>
      </c>
      <c r="G578" s="15" t="n">
        <v>43755</v>
      </c>
      <c r="H578" s="3" t="n">
        <v>3</v>
      </c>
      <c r="I578" s="3" t="n">
        <v>2</v>
      </c>
      <c r="J578" s="3" t="n">
        <v>58</v>
      </c>
      <c r="K578" s="3" t="n">
        <v>1</v>
      </c>
      <c r="L578" s="3" t="n">
        <v>2</v>
      </c>
      <c r="M578" s="3" t="n">
        <v>1</v>
      </c>
      <c r="N578" s="3" t="n">
        <v>1</v>
      </c>
      <c r="O578" s="3" t="n">
        <v>2</v>
      </c>
      <c r="P578" s="3" t="n">
        <v>2</v>
      </c>
      <c r="Q578" s="3" t="n">
        <v>1</v>
      </c>
      <c r="R578" s="3" t="n">
        <v>2</v>
      </c>
      <c r="S578" s="3" t="n">
        <v>2</v>
      </c>
      <c r="T578" s="4" t="n">
        <v>4</v>
      </c>
      <c r="U578" s="3" t="n">
        <v>4</v>
      </c>
      <c r="AC578" s="3" t="n">
        <v>1</v>
      </c>
      <c r="AD578" s="3" t="n">
        <v>1</v>
      </c>
      <c r="AE578" s="3" t="n">
        <v>1</v>
      </c>
      <c r="AF578" s="3" t="n">
        <v>1</v>
      </c>
      <c r="AG578" s="3" t="n">
        <v>1</v>
      </c>
      <c r="AH578" s="3" t="n">
        <v>2</v>
      </c>
      <c r="AI578" s="3" t="n">
        <v>1</v>
      </c>
      <c r="AJ578" s="3" t="n">
        <v>1</v>
      </c>
      <c r="AK578" s="3" t="n">
        <v>1</v>
      </c>
      <c r="AL578" s="3" t="n">
        <v>2</v>
      </c>
      <c r="AM578" s="3" t="n">
        <v>2</v>
      </c>
      <c r="AN578" s="3" t="n">
        <v>2</v>
      </c>
      <c r="AO578" s="3" t="n">
        <v>2</v>
      </c>
      <c r="AP578" s="3" t="n">
        <v>3</v>
      </c>
      <c r="AQ578" s="3" t="n">
        <v>4</v>
      </c>
      <c r="AR578" s="3" t="n">
        <v>4</v>
      </c>
      <c r="AS578" s="3" t="n">
        <v>6</v>
      </c>
      <c r="AT578" s="3" t="n">
        <v>4</v>
      </c>
      <c r="AU578" s="3" t="n">
        <v>4</v>
      </c>
      <c r="AV578" s="3" t="n">
        <v>6</v>
      </c>
      <c r="AW578" s="3" t="n">
        <v>6</v>
      </c>
      <c r="AX578" s="3" t="n">
        <v>3</v>
      </c>
      <c r="AY578" s="3" t="n">
        <v>3</v>
      </c>
      <c r="AZ578" s="3" t="n">
        <v>1</v>
      </c>
      <c r="BA578" s="5" t="n">
        <v>10</v>
      </c>
      <c r="BB578" s="3" t="n">
        <v>2</v>
      </c>
      <c r="BC578" s="3" t="n">
        <v>1</v>
      </c>
      <c r="BD578" s="3" t="n">
        <v>6</v>
      </c>
      <c r="BE578" s="3" t="n">
        <v>3</v>
      </c>
      <c r="BF578" s="3" t="n">
        <v>5</v>
      </c>
      <c r="BG578" s="3" t="n">
        <v>3</v>
      </c>
      <c r="BH578" s="3" t="n">
        <v>4</v>
      </c>
      <c r="BI578" s="3" t="n">
        <v>1</v>
      </c>
      <c r="BJ578" s="3" t="n">
        <v>1</v>
      </c>
      <c r="BK578" s="6" t="s">
        <v>1629</v>
      </c>
    </row>
    <row r="579" customFormat="false" ht="15" hidden="false" customHeight="true" outlineLevel="0" collapsed="false">
      <c r="B579" s="2" t="s">
        <v>1630</v>
      </c>
      <c r="C579" s="2" t="s">
        <v>1631</v>
      </c>
      <c r="D579" s="2" t="s">
        <v>122</v>
      </c>
      <c r="E579" s="2" t="n">
        <v>186960</v>
      </c>
      <c r="F579" s="15" t="n">
        <v>43754</v>
      </c>
      <c r="G579" s="15" t="n">
        <v>43756</v>
      </c>
      <c r="H579" s="3" t="n">
        <v>2</v>
      </c>
      <c r="I579" s="3" t="n">
        <v>2</v>
      </c>
      <c r="J579" s="3" t="n">
        <v>66</v>
      </c>
      <c r="K579" s="3" t="n">
        <v>2</v>
      </c>
      <c r="L579" s="3" t="n">
        <v>1</v>
      </c>
      <c r="M579" s="3" t="n">
        <v>1</v>
      </c>
      <c r="N579" s="3" t="n">
        <v>2</v>
      </c>
      <c r="O579" s="3" t="n">
        <v>2</v>
      </c>
      <c r="P579" s="3" t="n">
        <v>2</v>
      </c>
      <c r="Q579" s="3" t="n">
        <v>2</v>
      </c>
      <c r="R579" s="3" t="n">
        <v>2</v>
      </c>
      <c r="S579" s="3" t="n">
        <v>2</v>
      </c>
      <c r="T579" s="4" t="n">
        <v>1</v>
      </c>
      <c r="U579" s="3" t="n">
        <v>1</v>
      </c>
      <c r="V579" s="3" t="n">
        <v>4.52</v>
      </c>
      <c r="W579" s="3" t="n">
        <v>1.12</v>
      </c>
      <c r="X579" s="3" t="n">
        <v>4.4</v>
      </c>
      <c r="Y579" s="3" t="n">
        <v>439</v>
      </c>
      <c r="Z579" s="3" t="n">
        <v>76</v>
      </c>
      <c r="AA579" s="3" t="s">
        <v>1632</v>
      </c>
      <c r="AB579" s="3" t="n">
        <v>9.8</v>
      </c>
      <c r="AC579" s="3" t="n">
        <v>1</v>
      </c>
      <c r="AD579" s="3" t="n">
        <v>2</v>
      </c>
      <c r="AE579" s="3" t="n">
        <v>1</v>
      </c>
      <c r="AF579" s="3" t="n">
        <v>1</v>
      </c>
      <c r="AG579" s="3" t="n">
        <v>2</v>
      </c>
      <c r="AH579" s="3" t="n">
        <v>2</v>
      </c>
      <c r="AI579" s="3" t="n">
        <v>2</v>
      </c>
      <c r="AJ579" s="3" t="n">
        <v>1</v>
      </c>
      <c r="AK579" s="3" t="n">
        <v>2</v>
      </c>
      <c r="AL579" s="3" t="n">
        <v>2</v>
      </c>
      <c r="AM579" s="3" t="n">
        <v>2</v>
      </c>
      <c r="AN579" s="3" t="n">
        <v>2</v>
      </c>
      <c r="AO579" s="3" t="n">
        <v>2</v>
      </c>
      <c r="AP579" s="3" t="n">
        <v>3</v>
      </c>
      <c r="AQ579" s="3" t="n">
        <v>4</v>
      </c>
      <c r="AR579" s="3" t="n">
        <v>4</v>
      </c>
      <c r="AS579" s="3" t="n">
        <v>6</v>
      </c>
      <c r="AT579" s="3" t="n">
        <v>4</v>
      </c>
      <c r="AU579" s="3" t="n">
        <v>4</v>
      </c>
      <c r="AV579" s="3" t="n">
        <v>6</v>
      </c>
      <c r="AW579" s="3" t="n">
        <v>6</v>
      </c>
      <c r="AX579" s="3" t="n">
        <v>3</v>
      </c>
      <c r="AY579" s="3" t="n">
        <v>3</v>
      </c>
      <c r="AZ579" s="3" t="n">
        <v>1</v>
      </c>
      <c r="BA579" s="5" t="n">
        <v>9</v>
      </c>
      <c r="BB579" s="3" t="n">
        <v>2</v>
      </c>
      <c r="BC579" s="3" t="n">
        <v>1</v>
      </c>
      <c r="BD579" s="3" t="n">
        <v>6</v>
      </c>
      <c r="BE579" s="3" t="n">
        <v>3</v>
      </c>
      <c r="BF579" s="3" t="n">
        <v>5</v>
      </c>
      <c r="BG579" s="3" t="n">
        <v>3</v>
      </c>
      <c r="BH579" s="3" t="n">
        <v>4</v>
      </c>
      <c r="BI579" s="3" t="n">
        <v>1</v>
      </c>
      <c r="BJ579" s="3" t="n">
        <v>1</v>
      </c>
      <c r="BK579" s="6" t="s">
        <v>1633</v>
      </c>
    </row>
    <row r="580" customFormat="false" ht="15" hidden="false" customHeight="true" outlineLevel="0" collapsed="false">
      <c r="B580" s="2" t="s">
        <v>1601</v>
      </c>
      <c r="C580" s="2" t="s">
        <v>1634</v>
      </c>
      <c r="D580" s="2" t="s">
        <v>1635</v>
      </c>
      <c r="E580" s="2" t="n">
        <v>183185</v>
      </c>
      <c r="F580" s="15" t="n">
        <v>43739</v>
      </c>
      <c r="G580" s="15" t="n">
        <v>43756</v>
      </c>
      <c r="H580" s="3" t="n">
        <v>17</v>
      </c>
      <c r="I580" s="3" t="n">
        <v>2</v>
      </c>
      <c r="J580" s="3" t="n">
        <v>47</v>
      </c>
      <c r="K580" s="3" t="n">
        <v>2</v>
      </c>
      <c r="L580" s="3" t="n">
        <v>2</v>
      </c>
      <c r="M580" s="3" t="n">
        <v>1</v>
      </c>
      <c r="N580" s="3" t="n">
        <v>2</v>
      </c>
      <c r="O580" s="3" t="n">
        <v>2</v>
      </c>
      <c r="P580" s="3" t="n">
        <v>2</v>
      </c>
      <c r="Q580" s="3" t="n">
        <v>2</v>
      </c>
      <c r="R580" s="3" t="n">
        <v>2</v>
      </c>
      <c r="S580" s="3" t="n">
        <v>1</v>
      </c>
      <c r="T580" s="4" t="n">
        <v>11</v>
      </c>
      <c r="U580" s="3" t="n">
        <v>4</v>
      </c>
      <c r="V580" s="3" t="n">
        <v>3.82</v>
      </c>
      <c r="W580" s="3" t="n">
        <v>0.76</v>
      </c>
      <c r="X580" s="3" t="n">
        <v>6.36</v>
      </c>
      <c r="Y580" s="3" t="n">
        <v>371</v>
      </c>
      <c r="Z580" s="3" t="n">
        <v>87</v>
      </c>
      <c r="AA580" s="3" t="n">
        <v>0.4</v>
      </c>
      <c r="AB580" s="3" t="n">
        <v>10.3</v>
      </c>
      <c r="AC580" s="3" t="n">
        <v>1</v>
      </c>
      <c r="AD580" s="3" t="n">
        <v>2</v>
      </c>
      <c r="AE580" s="3" t="n">
        <v>1</v>
      </c>
      <c r="AF580" s="3" t="n">
        <v>2</v>
      </c>
      <c r="AG580" s="3" t="n">
        <v>2</v>
      </c>
      <c r="AH580" s="3" t="n">
        <v>2</v>
      </c>
      <c r="AI580" s="3" t="n">
        <v>2</v>
      </c>
      <c r="AJ580" s="3" t="n">
        <v>2</v>
      </c>
      <c r="AK580" s="3" t="n">
        <v>2</v>
      </c>
      <c r="AL580" s="3" t="n">
        <v>2</v>
      </c>
      <c r="AM580" s="3" t="n">
        <v>2</v>
      </c>
      <c r="AN580" s="3" t="n">
        <v>2</v>
      </c>
      <c r="AO580" s="3" t="n">
        <v>2</v>
      </c>
      <c r="AP580" s="3" t="n">
        <v>3</v>
      </c>
      <c r="AQ580" s="3" t="n">
        <v>4</v>
      </c>
      <c r="AR580" s="3" t="n">
        <v>4</v>
      </c>
      <c r="AS580" s="3" t="n">
        <v>6</v>
      </c>
      <c r="AT580" s="3" t="n">
        <v>4</v>
      </c>
      <c r="AU580" s="3" t="n">
        <v>4</v>
      </c>
      <c r="AV580" s="3" t="n">
        <v>6</v>
      </c>
      <c r="AW580" s="3" t="n">
        <v>6</v>
      </c>
      <c r="AX580" s="3" t="n">
        <v>3</v>
      </c>
      <c r="AY580" s="3" t="n">
        <v>3</v>
      </c>
      <c r="AZ580" s="3" t="n">
        <v>15</v>
      </c>
      <c r="BA580" s="5" t="n">
        <v>7</v>
      </c>
      <c r="BB580" s="3" t="n">
        <v>2</v>
      </c>
      <c r="BC580" s="3" t="n">
        <v>1</v>
      </c>
      <c r="BD580" s="3" t="n">
        <v>6</v>
      </c>
      <c r="BE580" s="3" t="n">
        <v>3</v>
      </c>
      <c r="BF580" s="3" t="n">
        <v>5</v>
      </c>
      <c r="BG580" s="3" t="n">
        <v>3</v>
      </c>
      <c r="BH580" s="3" t="n">
        <v>4</v>
      </c>
      <c r="BI580" s="3" t="n">
        <v>1</v>
      </c>
      <c r="BJ580" s="3" t="n">
        <v>1</v>
      </c>
      <c r="BK580" s="21" t="s">
        <v>1636</v>
      </c>
    </row>
    <row r="581" customFormat="false" ht="15" hidden="false" customHeight="true" outlineLevel="0" collapsed="false">
      <c r="B581" s="17" t="s">
        <v>1637</v>
      </c>
      <c r="C581" s="17" t="s">
        <v>1638</v>
      </c>
      <c r="D581" s="17" t="s">
        <v>584</v>
      </c>
      <c r="E581" s="2" t="n">
        <v>186749</v>
      </c>
      <c r="F581" s="15" t="n">
        <v>43749</v>
      </c>
      <c r="G581" s="15" t="n">
        <v>43760</v>
      </c>
      <c r="H581" s="3" t="n">
        <v>11</v>
      </c>
      <c r="I581" s="3" t="n">
        <v>1</v>
      </c>
      <c r="J581" s="3" t="n">
        <v>66</v>
      </c>
      <c r="K581" s="3" t="n">
        <v>1</v>
      </c>
      <c r="L581" s="3" t="n">
        <v>1</v>
      </c>
      <c r="M581" s="3" t="n">
        <v>1</v>
      </c>
      <c r="N581" s="3" t="n">
        <v>1</v>
      </c>
      <c r="O581" s="3" t="n">
        <v>2</v>
      </c>
      <c r="P581" s="3" t="n">
        <v>2</v>
      </c>
      <c r="Q581" s="3" t="n">
        <v>1</v>
      </c>
      <c r="R581" s="3" t="n">
        <v>2</v>
      </c>
      <c r="S581" s="3" t="n">
        <v>1</v>
      </c>
      <c r="T581" s="4" t="n">
        <v>2</v>
      </c>
      <c r="U581" s="3" t="n">
        <v>2</v>
      </c>
      <c r="V581" s="3" t="n">
        <v>3.65</v>
      </c>
      <c r="W581" s="3" t="n">
        <v>1.22</v>
      </c>
      <c r="X581" s="3" t="n">
        <v>5.38</v>
      </c>
      <c r="Y581" s="3" t="n">
        <v>341</v>
      </c>
      <c r="Z581" s="3" t="n">
        <v>56</v>
      </c>
      <c r="AA581" s="3" t="n">
        <v>0.43</v>
      </c>
      <c r="AB581" s="3" t="n">
        <v>6</v>
      </c>
      <c r="AC581" s="3" t="n">
        <v>1</v>
      </c>
      <c r="AD581" s="3" t="n">
        <v>2</v>
      </c>
      <c r="AE581" s="3" t="n">
        <v>1</v>
      </c>
      <c r="AF581" s="3" t="n">
        <v>1</v>
      </c>
      <c r="AG581" s="3" t="n">
        <v>2</v>
      </c>
      <c r="AH581" s="3" t="n">
        <v>2</v>
      </c>
      <c r="AI581" s="3" t="n">
        <v>1</v>
      </c>
      <c r="AJ581" s="3" t="n">
        <v>2</v>
      </c>
      <c r="AK581" s="3" t="n">
        <v>2</v>
      </c>
      <c r="AL581" s="3" t="n">
        <v>2</v>
      </c>
      <c r="AM581" s="3" t="n">
        <v>2</v>
      </c>
      <c r="AN581" s="3" t="n">
        <v>2</v>
      </c>
      <c r="AO581" s="3" t="n">
        <v>2</v>
      </c>
      <c r="AP581" s="3" t="n">
        <v>1</v>
      </c>
      <c r="AQ581" s="3" t="n">
        <v>1</v>
      </c>
      <c r="AR581" s="3" t="n">
        <v>4</v>
      </c>
      <c r="AS581" s="3" t="n">
        <v>6</v>
      </c>
      <c r="AT581" s="3" t="n">
        <v>4</v>
      </c>
      <c r="AU581" s="3" t="n">
        <v>4</v>
      </c>
      <c r="AV581" s="3" t="n">
        <v>1</v>
      </c>
      <c r="AW581" s="3" t="n">
        <v>6</v>
      </c>
      <c r="AX581" s="3" t="n">
        <v>2</v>
      </c>
      <c r="AY581" s="3" t="n">
        <v>1</v>
      </c>
      <c r="AZ581" s="3" t="n">
        <v>1</v>
      </c>
      <c r="BA581" s="5" t="n">
        <v>5</v>
      </c>
      <c r="BB581" s="3" t="n">
        <v>2</v>
      </c>
      <c r="BC581" s="3" t="n">
        <v>1</v>
      </c>
      <c r="BD581" s="3" t="n">
        <v>6</v>
      </c>
      <c r="BE581" s="3" t="n">
        <v>3</v>
      </c>
      <c r="BF581" s="3" t="n">
        <v>5</v>
      </c>
      <c r="BG581" s="3" t="n">
        <v>3</v>
      </c>
      <c r="BH581" s="3" t="n">
        <v>4</v>
      </c>
      <c r="BI581" s="3" t="n">
        <v>1</v>
      </c>
      <c r="BJ581" s="3" t="n">
        <v>1</v>
      </c>
      <c r="BK581" s="21" t="s">
        <v>1639</v>
      </c>
    </row>
    <row r="582" customFormat="false" ht="15" hidden="false" customHeight="true" outlineLevel="0" collapsed="false">
      <c r="B582" s="2" t="s">
        <v>1640</v>
      </c>
      <c r="C582" s="2" t="s">
        <v>588</v>
      </c>
      <c r="D582" s="2" t="s">
        <v>94</v>
      </c>
      <c r="E582" s="2" t="n">
        <v>186924</v>
      </c>
      <c r="F582" s="15" t="n">
        <v>43753</v>
      </c>
      <c r="G582" s="15" t="n">
        <v>43757</v>
      </c>
      <c r="H582" s="3" t="n">
        <v>4</v>
      </c>
      <c r="I582" s="3" t="n">
        <v>2</v>
      </c>
      <c r="J582" s="3" t="n">
        <v>52</v>
      </c>
      <c r="K582" s="3" t="n">
        <v>1</v>
      </c>
      <c r="L582" s="3" t="n">
        <v>2</v>
      </c>
      <c r="M582" s="3" t="n">
        <v>1</v>
      </c>
      <c r="N582" s="3" t="n">
        <v>2</v>
      </c>
      <c r="O582" s="3" t="n">
        <v>2</v>
      </c>
      <c r="P582" s="3" t="n">
        <v>2</v>
      </c>
      <c r="Q582" s="3" t="n">
        <v>2</v>
      </c>
      <c r="R582" s="3" t="n">
        <v>2</v>
      </c>
      <c r="S582" s="3" t="n">
        <v>2</v>
      </c>
      <c r="T582" s="4" t="n">
        <v>1</v>
      </c>
      <c r="U582" s="3" t="n">
        <v>1</v>
      </c>
      <c r="AC582" s="3" t="n">
        <v>1</v>
      </c>
      <c r="AD582" s="3" t="n">
        <v>1</v>
      </c>
      <c r="AE582" s="3" t="n">
        <v>1</v>
      </c>
      <c r="AF582" s="3" t="n">
        <v>1</v>
      </c>
      <c r="AG582" s="3" t="n">
        <v>1</v>
      </c>
      <c r="AH582" s="3" t="n">
        <v>2</v>
      </c>
      <c r="AI582" s="3" t="n">
        <v>1</v>
      </c>
      <c r="AJ582" s="3" t="n">
        <v>1</v>
      </c>
      <c r="AK582" s="3" t="n">
        <v>2</v>
      </c>
      <c r="AL582" s="3" t="n">
        <v>2</v>
      </c>
      <c r="AM582" s="3" t="n">
        <v>2</v>
      </c>
      <c r="AN582" s="3" t="n">
        <v>2</v>
      </c>
      <c r="AO582" s="3" t="n">
        <v>2</v>
      </c>
      <c r="AP582" s="3" t="n">
        <v>3</v>
      </c>
      <c r="AQ582" s="3" t="n">
        <v>4</v>
      </c>
      <c r="AR582" s="3" t="n">
        <v>4</v>
      </c>
      <c r="AS582" s="3" t="n">
        <v>6</v>
      </c>
      <c r="AT582" s="3" t="n">
        <v>4</v>
      </c>
      <c r="AU582" s="3" t="n">
        <v>4</v>
      </c>
      <c r="AV582" s="3" t="n">
        <v>6</v>
      </c>
      <c r="AW582" s="3" t="n">
        <v>6</v>
      </c>
      <c r="AX582" s="3" t="n">
        <v>3</v>
      </c>
      <c r="AY582" s="3" t="n">
        <v>3</v>
      </c>
      <c r="AZ582" s="3" t="n">
        <v>1</v>
      </c>
      <c r="BA582" s="5" t="n">
        <v>5</v>
      </c>
      <c r="BB582" s="3" t="n">
        <v>2</v>
      </c>
      <c r="BC582" s="3" t="n">
        <v>1</v>
      </c>
      <c r="BD582" s="3" t="n">
        <v>6</v>
      </c>
      <c r="BE582" s="3" t="n">
        <v>3</v>
      </c>
      <c r="BF582" s="3" t="n">
        <v>5</v>
      </c>
      <c r="BG582" s="3" t="n">
        <v>3</v>
      </c>
      <c r="BH582" s="3" t="n">
        <v>4</v>
      </c>
      <c r="BI582" s="3" t="n">
        <v>1</v>
      </c>
      <c r="BJ582" s="3" t="n">
        <v>1</v>
      </c>
      <c r="BK582" s="6" t="s">
        <v>609</v>
      </c>
    </row>
    <row r="583" customFormat="false" ht="15" hidden="false" customHeight="true" outlineLevel="0" collapsed="false">
      <c r="B583" s="2" t="s">
        <v>1641</v>
      </c>
      <c r="C583" s="2" t="s">
        <v>1642</v>
      </c>
      <c r="D583" s="2" t="s">
        <v>1643</v>
      </c>
      <c r="E583" s="2" t="n">
        <v>187015</v>
      </c>
      <c r="F583" s="15" t="n">
        <v>43754</v>
      </c>
      <c r="G583" s="15" t="n">
        <v>43759</v>
      </c>
      <c r="H583" s="3" t="n">
        <v>5</v>
      </c>
      <c r="I583" s="3" t="n">
        <v>1</v>
      </c>
      <c r="J583" s="3" t="n">
        <v>71</v>
      </c>
      <c r="K583" s="3" t="n">
        <v>2</v>
      </c>
      <c r="L583" s="3" t="n">
        <v>2</v>
      </c>
      <c r="M583" s="3" t="n">
        <v>1</v>
      </c>
      <c r="N583" s="3" t="n">
        <v>2</v>
      </c>
      <c r="O583" s="3" t="n">
        <v>2</v>
      </c>
      <c r="P583" s="3" t="n">
        <v>2</v>
      </c>
      <c r="Q583" s="3" t="n">
        <v>2</v>
      </c>
      <c r="R583" s="3" t="n">
        <v>2</v>
      </c>
      <c r="S583" s="3" t="n">
        <v>2</v>
      </c>
      <c r="T583" s="4" t="n">
        <v>3</v>
      </c>
      <c r="U583" s="3" t="n">
        <v>4</v>
      </c>
      <c r="V583" s="3" t="n">
        <v>5.93</v>
      </c>
      <c r="W583" s="3" t="n">
        <v>1.33</v>
      </c>
      <c r="X583" s="3" t="n">
        <v>6.37</v>
      </c>
      <c r="Y583" s="3" t="n">
        <v>635</v>
      </c>
      <c r="Z583" s="3" t="n">
        <v>100</v>
      </c>
      <c r="AC583" s="3" t="n">
        <v>1</v>
      </c>
      <c r="AD583" s="3" t="n">
        <v>1</v>
      </c>
      <c r="AE583" s="3" t="n">
        <v>1</v>
      </c>
      <c r="AF583" s="3" t="n">
        <v>1</v>
      </c>
      <c r="AG583" s="3" t="n">
        <v>2</v>
      </c>
      <c r="AH583" s="3" t="n">
        <v>2</v>
      </c>
      <c r="AI583" s="3" t="n">
        <v>1</v>
      </c>
      <c r="AJ583" s="3" t="n">
        <v>1</v>
      </c>
      <c r="AK583" s="3" t="n">
        <v>2</v>
      </c>
      <c r="AL583" s="3" t="n">
        <v>2</v>
      </c>
      <c r="AM583" s="3" t="n">
        <v>1</v>
      </c>
      <c r="AN583" s="3" t="n">
        <v>2</v>
      </c>
      <c r="AO583" s="3" t="n">
        <v>1</v>
      </c>
      <c r="AP583" s="3" t="n">
        <v>3</v>
      </c>
      <c r="AQ583" s="3" t="n">
        <v>4</v>
      </c>
      <c r="AR583" s="3" t="n">
        <v>4</v>
      </c>
      <c r="AS583" s="3" t="n">
        <v>6</v>
      </c>
      <c r="AT583" s="3" t="n">
        <v>4</v>
      </c>
      <c r="AU583" s="3" t="n">
        <v>4</v>
      </c>
      <c r="AV583" s="3" t="n">
        <v>6</v>
      </c>
      <c r="AW583" s="3" t="n">
        <v>6</v>
      </c>
      <c r="AX583" s="3" t="n">
        <v>3</v>
      </c>
      <c r="AY583" s="3" t="n">
        <v>3</v>
      </c>
      <c r="AZ583" s="3" t="n">
        <v>1</v>
      </c>
      <c r="BA583" s="5" t="n">
        <v>11</v>
      </c>
      <c r="BB583" s="3" t="n">
        <v>2</v>
      </c>
      <c r="BC583" s="3" t="n">
        <v>1</v>
      </c>
      <c r="BD583" s="3" t="n">
        <v>6</v>
      </c>
      <c r="BE583" s="3" t="n">
        <v>3</v>
      </c>
      <c r="BF583" s="3" t="n">
        <v>5</v>
      </c>
      <c r="BG583" s="3" t="n">
        <v>3</v>
      </c>
      <c r="BH583" s="3" t="n">
        <v>4</v>
      </c>
      <c r="BI583" s="3" t="n">
        <v>1</v>
      </c>
      <c r="BJ583" s="3" t="n">
        <v>1</v>
      </c>
      <c r="BK583" s="6" t="s">
        <v>1644</v>
      </c>
    </row>
    <row r="584" customFormat="false" ht="15" hidden="false" customHeight="true" outlineLevel="0" collapsed="false">
      <c r="B584" s="2" t="s">
        <v>1645</v>
      </c>
      <c r="C584" s="2" t="s">
        <v>577</v>
      </c>
      <c r="D584" s="2" t="s">
        <v>154</v>
      </c>
      <c r="E584" s="2" t="n">
        <v>186583</v>
      </c>
      <c r="F584" s="15" t="n">
        <v>43745</v>
      </c>
      <c r="G584" s="15" t="n">
        <v>43756</v>
      </c>
      <c r="H584" s="3" t="n">
        <v>11</v>
      </c>
      <c r="I584" s="3" t="n">
        <v>2</v>
      </c>
      <c r="J584" s="3" t="n">
        <v>78</v>
      </c>
      <c r="K584" s="3" t="n">
        <v>1</v>
      </c>
      <c r="L584" s="3" t="n">
        <v>2</v>
      </c>
      <c r="M584" s="3" t="n">
        <v>1</v>
      </c>
      <c r="N584" s="3" t="n">
        <v>1</v>
      </c>
      <c r="O584" s="3" t="n">
        <v>2</v>
      </c>
      <c r="P584" s="3" t="n">
        <v>2</v>
      </c>
      <c r="Q584" s="3" t="n">
        <v>2</v>
      </c>
      <c r="R584" s="3" t="n">
        <v>2</v>
      </c>
      <c r="S584" s="3" t="n">
        <v>2</v>
      </c>
      <c r="T584" s="4" t="n">
        <v>1</v>
      </c>
      <c r="U584" s="3" t="n">
        <v>1</v>
      </c>
      <c r="V584" s="3" t="n">
        <v>3.99</v>
      </c>
      <c r="W584" s="3" t="n">
        <v>1.28</v>
      </c>
      <c r="X584" s="3" t="n">
        <v>4.93</v>
      </c>
      <c r="Y584" s="3" t="n">
        <v>381</v>
      </c>
      <c r="Z584" s="3" t="n">
        <v>96</v>
      </c>
      <c r="AA584" s="3" t="n">
        <v>0.48</v>
      </c>
      <c r="AB584" s="3" t="n">
        <v>5.1</v>
      </c>
      <c r="AC584" s="3" t="n">
        <v>1</v>
      </c>
      <c r="AD584" s="3" t="n">
        <v>1</v>
      </c>
      <c r="AE584" s="3" t="n">
        <v>1</v>
      </c>
      <c r="AF584" s="3" t="n">
        <v>1</v>
      </c>
      <c r="AG584" s="3" t="n">
        <v>1</v>
      </c>
      <c r="AH584" s="3" t="n">
        <v>2</v>
      </c>
      <c r="AI584" s="3" t="n">
        <v>1</v>
      </c>
      <c r="AJ584" s="3" t="n">
        <v>1</v>
      </c>
      <c r="AK584" s="3" t="n">
        <v>2</v>
      </c>
      <c r="AL584" s="3" t="n">
        <v>2</v>
      </c>
      <c r="AM584" s="3" t="n">
        <v>2</v>
      </c>
      <c r="AN584" s="3" t="n">
        <v>2</v>
      </c>
      <c r="AO584" s="3" t="n">
        <v>2</v>
      </c>
      <c r="AP584" s="3" t="n">
        <v>1</v>
      </c>
      <c r="AQ584" s="3" t="n">
        <v>2</v>
      </c>
      <c r="AR584" s="3" t="n">
        <v>4</v>
      </c>
      <c r="AS584" s="3" t="n">
        <v>6</v>
      </c>
      <c r="AT584" s="3" t="n">
        <v>4</v>
      </c>
      <c r="AU584" s="3" t="n">
        <v>4</v>
      </c>
      <c r="AV584" s="3" t="n">
        <v>1</v>
      </c>
      <c r="AW584" s="3" t="n">
        <v>6</v>
      </c>
      <c r="AX584" s="3" t="n">
        <v>3</v>
      </c>
      <c r="AY584" s="3" t="n">
        <v>3</v>
      </c>
      <c r="AZ584" s="3" t="n">
        <v>1</v>
      </c>
      <c r="BA584" s="5" t="n">
        <v>5</v>
      </c>
      <c r="BB584" s="3" t="n">
        <v>2</v>
      </c>
      <c r="BC584" s="3" t="n">
        <v>1</v>
      </c>
      <c r="BD584" s="3" t="n">
        <v>6</v>
      </c>
      <c r="BE584" s="3" t="n">
        <v>3</v>
      </c>
      <c r="BF584" s="3" t="n">
        <v>5</v>
      </c>
      <c r="BG584" s="3" t="n">
        <v>3</v>
      </c>
      <c r="BH584" s="3" t="n">
        <v>4</v>
      </c>
      <c r="BI584" s="3" t="n">
        <v>1</v>
      </c>
      <c r="BJ584" s="3" t="n">
        <v>1</v>
      </c>
      <c r="BK584" s="6" t="s">
        <v>1646</v>
      </c>
    </row>
    <row r="585" customFormat="false" ht="15" hidden="false" customHeight="true" outlineLevel="0" collapsed="false">
      <c r="B585" s="2" t="s">
        <v>1647</v>
      </c>
      <c r="C585" s="2" t="s">
        <v>345</v>
      </c>
      <c r="D585" s="2" t="s">
        <v>458</v>
      </c>
      <c r="E585" s="2" t="n">
        <v>186951</v>
      </c>
      <c r="F585" s="15" t="n">
        <v>43754</v>
      </c>
      <c r="G585" s="15" t="n">
        <v>43760</v>
      </c>
      <c r="H585" s="3" t="n">
        <v>6</v>
      </c>
      <c r="I585" s="3" t="n">
        <v>2</v>
      </c>
      <c r="J585" s="3" t="n">
        <v>73</v>
      </c>
      <c r="K585" s="3" t="n">
        <v>2</v>
      </c>
      <c r="L585" s="3" t="n">
        <v>1</v>
      </c>
      <c r="M585" s="3" t="n">
        <v>1</v>
      </c>
      <c r="N585" s="3" t="n">
        <v>2</v>
      </c>
      <c r="O585" s="3" t="n">
        <v>2</v>
      </c>
      <c r="P585" s="3" t="n">
        <v>2</v>
      </c>
      <c r="Q585" s="3" t="n">
        <v>2</v>
      </c>
      <c r="R585" s="3" t="n">
        <v>2</v>
      </c>
      <c r="S585" s="3" t="n">
        <v>2</v>
      </c>
      <c r="T585" s="4" t="n">
        <v>13</v>
      </c>
      <c r="U585" s="3" t="n">
        <v>1</v>
      </c>
      <c r="V585" s="3" t="n">
        <v>5.59</v>
      </c>
      <c r="W585" s="3" t="n">
        <v>1.3</v>
      </c>
      <c r="X585" s="3" t="n">
        <v>4.53</v>
      </c>
      <c r="Y585" s="3" t="n">
        <v>582</v>
      </c>
      <c r="Z585" s="3" t="n">
        <v>228</v>
      </c>
      <c r="AA585" s="3" t="n">
        <v>0.4</v>
      </c>
      <c r="AB585" s="3" t="n">
        <v>6</v>
      </c>
      <c r="AC585" s="3" t="n">
        <v>1</v>
      </c>
      <c r="AD585" s="3" t="n">
        <v>2</v>
      </c>
      <c r="AE585" s="3" t="n">
        <v>1</v>
      </c>
      <c r="AF585" s="3" t="n">
        <v>2</v>
      </c>
      <c r="AG585" s="3" t="n">
        <v>2</v>
      </c>
      <c r="AH585" s="3" t="n">
        <v>1</v>
      </c>
      <c r="AI585" s="3" t="n">
        <v>2</v>
      </c>
      <c r="AJ585" s="3" t="n">
        <v>1</v>
      </c>
      <c r="AK585" s="3" t="n">
        <v>2</v>
      </c>
      <c r="AL585" s="3" t="n">
        <v>2</v>
      </c>
      <c r="AM585" s="3" t="n">
        <v>1</v>
      </c>
      <c r="AN585" s="3" t="n">
        <v>2</v>
      </c>
      <c r="AO585" s="3" t="n">
        <v>2</v>
      </c>
      <c r="AP585" s="3" t="n">
        <v>3</v>
      </c>
      <c r="AQ585" s="3" t="n">
        <v>4</v>
      </c>
      <c r="AR585" s="3" t="n">
        <v>4</v>
      </c>
      <c r="AS585" s="3" t="n">
        <v>6</v>
      </c>
      <c r="AT585" s="3" t="n">
        <v>4</v>
      </c>
      <c r="AU585" s="3" t="n">
        <v>4</v>
      </c>
      <c r="AV585" s="3" t="n">
        <v>6</v>
      </c>
      <c r="AW585" s="3" t="n">
        <v>6</v>
      </c>
      <c r="AX585" s="3" t="n">
        <v>3</v>
      </c>
      <c r="AY585" s="3" t="n">
        <v>3</v>
      </c>
      <c r="AZ585" s="3" t="n">
        <v>1</v>
      </c>
      <c r="BA585" s="5" t="n">
        <v>3</v>
      </c>
      <c r="BB585" s="3" t="n">
        <v>2</v>
      </c>
      <c r="BC585" s="3" t="n">
        <v>1</v>
      </c>
      <c r="BD585" s="3" t="n">
        <v>6</v>
      </c>
      <c r="BE585" s="3" t="n">
        <v>3</v>
      </c>
      <c r="BF585" s="3" t="n">
        <v>5</v>
      </c>
      <c r="BG585" s="3" t="n">
        <v>3</v>
      </c>
      <c r="BH585" s="3" t="n">
        <v>4</v>
      </c>
      <c r="BI585" s="3" t="n">
        <v>1</v>
      </c>
      <c r="BJ585" s="3" t="n">
        <v>1</v>
      </c>
      <c r="BK585" s="6" t="s">
        <v>1648</v>
      </c>
    </row>
    <row r="586" customFormat="false" ht="15" hidden="false" customHeight="true" outlineLevel="0" collapsed="false">
      <c r="B586" s="2" t="s">
        <v>1649</v>
      </c>
      <c r="C586" s="2" t="s">
        <v>78</v>
      </c>
      <c r="D586" s="2" t="s">
        <v>336</v>
      </c>
      <c r="E586" s="2" t="n">
        <v>187054</v>
      </c>
      <c r="F586" s="15" t="n">
        <v>43756</v>
      </c>
      <c r="G586" s="15" t="n">
        <v>43763</v>
      </c>
      <c r="H586" s="3" t="n">
        <v>7</v>
      </c>
      <c r="I586" s="3" t="n">
        <v>2</v>
      </c>
      <c r="J586" s="3" t="n">
        <v>78</v>
      </c>
      <c r="K586" s="3" t="n">
        <v>1</v>
      </c>
      <c r="L586" s="3" t="n">
        <v>2</v>
      </c>
      <c r="M586" s="3" t="n">
        <v>1</v>
      </c>
      <c r="N586" s="3" t="n">
        <v>2</v>
      </c>
      <c r="O586" s="3" t="n">
        <v>2</v>
      </c>
      <c r="P586" s="3" t="n">
        <v>2</v>
      </c>
      <c r="Q586" s="3" t="n">
        <v>2</v>
      </c>
      <c r="R586" s="3" t="n">
        <v>2</v>
      </c>
      <c r="S586" s="3" t="n">
        <v>2</v>
      </c>
      <c r="T586" s="4" t="n">
        <v>2</v>
      </c>
      <c r="U586" s="3" t="n">
        <v>2</v>
      </c>
      <c r="V586" s="3" t="n">
        <v>4.39</v>
      </c>
      <c r="W586" s="3" t="n">
        <v>0.9</v>
      </c>
      <c r="X586" s="3" t="n">
        <v>8.39</v>
      </c>
      <c r="Y586" s="3" t="n">
        <v>305</v>
      </c>
      <c r="Z586" s="3" t="n">
        <v>83</v>
      </c>
      <c r="AA586" s="3" t="n">
        <v>0.42</v>
      </c>
      <c r="AB586" s="3" t="n">
        <v>19.4</v>
      </c>
      <c r="AC586" s="3" t="n">
        <v>2</v>
      </c>
      <c r="AD586" s="3" t="n">
        <v>2</v>
      </c>
      <c r="AE586" s="3" t="n">
        <v>1</v>
      </c>
      <c r="AF586" s="3" t="n">
        <v>1</v>
      </c>
      <c r="AG586" s="3" t="n">
        <v>2</v>
      </c>
      <c r="AH586" s="3" t="n">
        <v>2</v>
      </c>
      <c r="AI586" s="3" t="n">
        <v>1</v>
      </c>
      <c r="AJ586" s="3" t="n">
        <v>1</v>
      </c>
      <c r="AK586" s="3" t="n">
        <v>2</v>
      </c>
      <c r="AL586" s="3" t="n">
        <v>2</v>
      </c>
      <c r="AM586" s="3" t="n">
        <v>1</v>
      </c>
      <c r="AN586" s="3" t="n">
        <v>2</v>
      </c>
      <c r="AO586" s="3" t="n">
        <v>2</v>
      </c>
      <c r="AP586" s="3" t="n">
        <v>3</v>
      </c>
      <c r="AQ586" s="3" t="n">
        <v>4</v>
      </c>
      <c r="AR586" s="3" t="n">
        <v>4</v>
      </c>
      <c r="AS586" s="3" t="n">
        <v>6</v>
      </c>
      <c r="AT586" s="3" t="n">
        <v>4</v>
      </c>
      <c r="AU586" s="3" t="n">
        <v>4</v>
      </c>
      <c r="AV586" s="3" t="n">
        <v>6</v>
      </c>
      <c r="AW586" s="3" t="n">
        <v>6</v>
      </c>
      <c r="AX586" s="3" t="n">
        <v>3</v>
      </c>
      <c r="AY586" s="3" t="n">
        <v>3</v>
      </c>
      <c r="AZ586" s="3" t="n">
        <v>1</v>
      </c>
      <c r="BA586" s="5" t="n">
        <v>1</v>
      </c>
      <c r="BB586" s="3" t="n">
        <v>1</v>
      </c>
      <c r="BC586" s="3" t="n">
        <v>1</v>
      </c>
      <c r="BD586" s="3" t="n">
        <v>2</v>
      </c>
      <c r="BE586" s="3" t="n">
        <v>3</v>
      </c>
      <c r="BF586" s="3" t="n">
        <v>5</v>
      </c>
      <c r="BG586" s="3" t="n">
        <v>3</v>
      </c>
      <c r="BH586" s="3" t="n">
        <v>4</v>
      </c>
      <c r="BI586" s="3" t="n">
        <v>1</v>
      </c>
      <c r="BJ586" s="3" t="n">
        <v>1</v>
      </c>
      <c r="BK586" s="6" t="s">
        <v>1650</v>
      </c>
    </row>
    <row r="587" customFormat="false" ht="15" hidden="false" customHeight="true" outlineLevel="0" collapsed="false">
      <c r="B587" s="2" t="s">
        <v>1651</v>
      </c>
      <c r="C587" s="2" t="s">
        <v>1652</v>
      </c>
      <c r="D587" s="2" t="s">
        <v>1653</v>
      </c>
      <c r="E587" s="2" t="n">
        <v>187279</v>
      </c>
      <c r="F587" s="15" t="n">
        <v>43758</v>
      </c>
      <c r="G587" s="15" t="n">
        <v>43763</v>
      </c>
      <c r="H587" s="3" t="n">
        <v>5</v>
      </c>
      <c r="I587" s="3" t="n">
        <v>1</v>
      </c>
      <c r="J587" s="3" t="n">
        <v>70</v>
      </c>
      <c r="K587" s="3" t="n">
        <v>2</v>
      </c>
      <c r="L587" s="3" t="n">
        <v>2</v>
      </c>
      <c r="M587" s="3" t="n">
        <v>1</v>
      </c>
      <c r="N587" s="3" t="n">
        <v>2</v>
      </c>
      <c r="O587" s="3" t="n">
        <v>2</v>
      </c>
      <c r="P587" s="3" t="n">
        <v>1</v>
      </c>
      <c r="Q587" s="3" t="n">
        <v>1</v>
      </c>
      <c r="R587" s="3" t="n">
        <v>2</v>
      </c>
      <c r="S587" s="3" t="n">
        <v>1</v>
      </c>
      <c r="T587" s="4" t="n">
        <v>1</v>
      </c>
      <c r="U587" s="3" t="n">
        <v>1</v>
      </c>
      <c r="V587" s="3" t="n">
        <v>5.87</v>
      </c>
      <c r="W587" s="3" t="n">
        <v>3.19</v>
      </c>
      <c r="X587" s="3" t="n">
        <v>13.96</v>
      </c>
      <c r="Y587" s="3" t="n">
        <v>548</v>
      </c>
      <c r="Z587" s="3" t="n">
        <v>74</v>
      </c>
      <c r="AA587" s="3" t="n">
        <v>0.35</v>
      </c>
      <c r="AB587" s="3" t="n">
        <v>6</v>
      </c>
      <c r="AC587" s="3" t="n">
        <v>1</v>
      </c>
      <c r="AD587" s="3" t="n">
        <v>1</v>
      </c>
      <c r="AE587" s="3" t="n">
        <v>1</v>
      </c>
      <c r="AF587" s="3" t="n">
        <v>1</v>
      </c>
      <c r="AG587" s="3" t="n">
        <v>1</v>
      </c>
      <c r="AH587" s="3" t="n">
        <v>2</v>
      </c>
      <c r="AI587" s="3" t="n">
        <v>1</v>
      </c>
      <c r="AJ587" s="3" t="n">
        <v>1</v>
      </c>
      <c r="AK587" s="3" t="n">
        <v>2</v>
      </c>
      <c r="AL587" s="3" t="n">
        <v>2</v>
      </c>
      <c r="AM587" s="3" t="n">
        <v>2</v>
      </c>
      <c r="AN587" s="3" t="n">
        <v>2</v>
      </c>
      <c r="AO587" s="3" t="n">
        <v>2</v>
      </c>
      <c r="AP587" s="3" t="n">
        <v>3</v>
      </c>
      <c r="AQ587" s="3" t="n">
        <v>4</v>
      </c>
      <c r="AR587" s="3" t="n">
        <v>4</v>
      </c>
      <c r="AS587" s="3" t="n">
        <v>6</v>
      </c>
      <c r="AT587" s="3" t="n">
        <v>4</v>
      </c>
      <c r="AU587" s="3" t="n">
        <v>4</v>
      </c>
      <c r="AV587" s="3" t="n">
        <v>6</v>
      </c>
      <c r="AW587" s="3" t="n">
        <v>6</v>
      </c>
      <c r="AX587" s="3" t="n">
        <v>3</v>
      </c>
      <c r="AY587" s="3" t="n">
        <v>3</v>
      </c>
      <c r="AZ587" s="3" t="n">
        <v>1</v>
      </c>
      <c r="BA587" s="5" t="n">
        <v>5</v>
      </c>
      <c r="BB587" s="3" t="n">
        <v>2</v>
      </c>
      <c r="BC587" s="3" t="n">
        <v>1</v>
      </c>
      <c r="BD587" s="3" t="n">
        <v>6</v>
      </c>
      <c r="BE587" s="3" t="n">
        <v>3</v>
      </c>
      <c r="BF587" s="3" t="n">
        <v>5</v>
      </c>
      <c r="BG587" s="3" t="n">
        <v>3</v>
      </c>
      <c r="BH587" s="3" t="n">
        <v>4</v>
      </c>
      <c r="BI587" s="3" t="n">
        <v>1</v>
      </c>
      <c r="BJ587" s="3" t="n">
        <v>1</v>
      </c>
      <c r="BK587" s="6" t="s">
        <v>1654</v>
      </c>
    </row>
    <row r="588" customFormat="false" ht="15" hidden="false" customHeight="true" outlineLevel="0" collapsed="false">
      <c r="B588" s="2" t="s">
        <v>758</v>
      </c>
      <c r="C588" s="2" t="s">
        <v>1655</v>
      </c>
      <c r="D588" s="2" t="s">
        <v>294</v>
      </c>
      <c r="E588" s="2" t="n">
        <v>187052</v>
      </c>
      <c r="F588" s="15" t="n">
        <v>43756</v>
      </c>
      <c r="G588" s="15" t="n">
        <v>43762</v>
      </c>
      <c r="H588" s="3" t="n">
        <v>6</v>
      </c>
      <c r="I588" s="3" t="n">
        <v>2</v>
      </c>
      <c r="J588" s="3" t="n">
        <v>58</v>
      </c>
      <c r="K588" s="3" t="n">
        <v>1</v>
      </c>
      <c r="L588" s="3" t="n">
        <v>2</v>
      </c>
      <c r="M588" s="3" t="n">
        <v>1</v>
      </c>
      <c r="N588" s="3" t="n">
        <v>1</v>
      </c>
      <c r="O588" s="3" t="n">
        <v>2</v>
      </c>
      <c r="P588" s="3" t="n">
        <v>2</v>
      </c>
      <c r="Q588" s="3" t="n">
        <v>2</v>
      </c>
      <c r="R588" s="3" t="n">
        <v>2</v>
      </c>
      <c r="S588" s="3" t="n">
        <v>1</v>
      </c>
      <c r="T588" s="4" t="n">
        <v>1</v>
      </c>
      <c r="U588" s="3" t="n">
        <v>1</v>
      </c>
      <c r="V588" s="3" t="n">
        <v>3.27</v>
      </c>
      <c r="W588" s="3" t="n">
        <v>0.93</v>
      </c>
      <c r="X588" s="3" t="n">
        <v>6.33</v>
      </c>
      <c r="Y588" s="3" t="n">
        <v>289</v>
      </c>
      <c r="Z588" s="3" t="n">
        <v>60</v>
      </c>
      <c r="AA588" s="3" t="n">
        <v>0.37</v>
      </c>
      <c r="AB588" s="3" t="n">
        <v>12.2</v>
      </c>
      <c r="AC588" s="3" t="n">
        <v>1</v>
      </c>
      <c r="AD588" s="3" t="n">
        <v>1</v>
      </c>
      <c r="AE588" s="3" t="n">
        <v>1</v>
      </c>
      <c r="AF588" s="3" t="n">
        <v>1</v>
      </c>
      <c r="AG588" s="3" t="n">
        <v>1</v>
      </c>
      <c r="AH588" s="3" t="n">
        <v>2</v>
      </c>
      <c r="AI588" s="3" t="n">
        <v>1</v>
      </c>
      <c r="AJ588" s="3" t="n">
        <v>1</v>
      </c>
      <c r="AK588" s="3" t="n">
        <v>2</v>
      </c>
      <c r="AL588" s="3" t="n">
        <v>2</v>
      </c>
      <c r="AM588" s="3" t="n">
        <v>2</v>
      </c>
      <c r="AN588" s="3" t="n">
        <v>2</v>
      </c>
      <c r="AO588" s="3" t="n">
        <v>2</v>
      </c>
      <c r="AP588" s="3" t="n">
        <v>1</v>
      </c>
      <c r="AQ588" s="3" t="n">
        <v>3</v>
      </c>
      <c r="AR588" s="3" t="n">
        <v>4</v>
      </c>
      <c r="AS588" s="3" t="n">
        <v>6</v>
      </c>
      <c r="AT588" s="3" t="n">
        <v>4</v>
      </c>
      <c r="AU588" s="3" t="n">
        <v>4</v>
      </c>
      <c r="AV588" s="3" t="n">
        <v>1</v>
      </c>
      <c r="AW588" s="3" t="n">
        <v>6</v>
      </c>
      <c r="AX588" s="3" t="n">
        <v>1</v>
      </c>
      <c r="AY588" s="3" t="n">
        <v>2</v>
      </c>
      <c r="AZ588" s="3" t="n">
        <v>1</v>
      </c>
      <c r="BA588" s="5" t="n">
        <v>5</v>
      </c>
      <c r="BB588" s="3" t="n">
        <v>2</v>
      </c>
      <c r="BC588" s="3" t="n">
        <v>1</v>
      </c>
      <c r="BD588" s="3" t="n">
        <v>6</v>
      </c>
      <c r="BE588" s="3" t="n">
        <v>3</v>
      </c>
      <c r="BF588" s="3" t="n">
        <v>5</v>
      </c>
      <c r="BG588" s="3" t="n">
        <v>3</v>
      </c>
      <c r="BH588" s="3" t="n">
        <v>4</v>
      </c>
      <c r="BI588" s="3" t="n">
        <v>1</v>
      </c>
      <c r="BJ588" s="3" t="n">
        <v>1</v>
      </c>
      <c r="BK588" s="6" t="s">
        <v>1656</v>
      </c>
    </row>
    <row r="589" customFormat="false" ht="15" hidden="false" customHeight="true" outlineLevel="0" collapsed="false">
      <c r="B589" s="2" t="s">
        <v>1657</v>
      </c>
      <c r="C589" s="2" t="s">
        <v>1658</v>
      </c>
      <c r="D589" s="2" t="s">
        <v>611</v>
      </c>
      <c r="E589" s="2" t="n">
        <v>187282</v>
      </c>
      <c r="F589" s="15" t="n">
        <v>43758</v>
      </c>
      <c r="G589" s="15" t="n">
        <v>43766</v>
      </c>
      <c r="H589" s="3" t="n">
        <v>8</v>
      </c>
      <c r="I589" s="3" t="n">
        <v>2</v>
      </c>
      <c r="J589" s="3" t="n">
        <v>47</v>
      </c>
      <c r="K589" s="3" t="n">
        <v>1</v>
      </c>
      <c r="L589" s="3" t="n">
        <v>2</v>
      </c>
      <c r="M589" s="3" t="n">
        <v>1</v>
      </c>
      <c r="N589" s="3" t="n">
        <v>2</v>
      </c>
      <c r="O589" s="3" t="n">
        <v>2</v>
      </c>
      <c r="P589" s="3" t="n">
        <v>2</v>
      </c>
      <c r="Q589" s="3" t="n">
        <v>2</v>
      </c>
      <c r="R589" s="3" t="n">
        <v>2</v>
      </c>
      <c r="S589" s="3" t="n">
        <v>2</v>
      </c>
      <c r="T589" s="4" t="n">
        <v>1</v>
      </c>
      <c r="U589" s="3" t="n">
        <v>4</v>
      </c>
      <c r="V589" s="3" t="n">
        <v>4.81</v>
      </c>
      <c r="W589" s="3" t="n">
        <v>2.56</v>
      </c>
      <c r="X589" s="3" t="n">
        <v>5.66</v>
      </c>
      <c r="Y589" s="3" t="n">
        <v>584</v>
      </c>
      <c r="Z589" s="3" t="n">
        <v>117</v>
      </c>
      <c r="AA589" s="3" t="n">
        <v>0.46</v>
      </c>
      <c r="AB589" s="3" t="n">
        <v>10.3</v>
      </c>
      <c r="AC589" s="3" t="n">
        <v>1</v>
      </c>
      <c r="AD589" s="3" t="n">
        <v>1</v>
      </c>
      <c r="AE589" s="3" t="n">
        <v>1</v>
      </c>
      <c r="AF589" s="3" t="n">
        <v>1</v>
      </c>
      <c r="AG589" s="3" t="n">
        <v>2</v>
      </c>
      <c r="AH589" s="3" t="n">
        <v>2</v>
      </c>
      <c r="AI589" s="3" t="n">
        <v>1</v>
      </c>
      <c r="AJ589" s="3" t="n">
        <v>1</v>
      </c>
      <c r="AK589" s="3" t="n">
        <v>2</v>
      </c>
      <c r="AL589" s="3" t="n">
        <v>2</v>
      </c>
      <c r="AM589" s="3" t="n">
        <v>2</v>
      </c>
      <c r="AN589" s="3" t="n">
        <v>2</v>
      </c>
      <c r="AO589" s="3" t="n">
        <v>1</v>
      </c>
      <c r="AP589" s="3" t="n">
        <v>3</v>
      </c>
      <c r="AQ589" s="3" t="n">
        <v>4</v>
      </c>
      <c r="AR589" s="3" t="n">
        <v>4</v>
      </c>
      <c r="AS589" s="3" t="n">
        <v>6</v>
      </c>
      <c r="AT589" s="3" t="n">
        <v>4</v>
      </c>
      <c r="AU589" s="3" t="n">
        <v>4</v>
      </c>
      <c r="AV589" s="3" t="n">
        <v>6</v>
      </c>
      <c r="AW589" s="3" t="n">
        <v>6</v>
      </c>
      <c r="AX589" s="3" t="n">
        <v>3</v>
      </c>
      <c r="AY589" s="3" t="n">
        <v>3</v>
      </c>
      <c r="AZ589" s="3" t="n">
        <v>1</v>
      </c>
      <c r="BA589" s="5" t="n">
        <v>5</v>
      </c>
      <c r="BB589" s="3" t="n">
        <v>2</v>
      </c>
      <c r="BC589" s="3" t="n">
        <v>1</v>
      </c>
      <c r="BD589" s="3" t="n">
        <v>6</v>
      </c>
      <c r="BE589" s="3" t="n">
        <v>3</v>
      </c>
      <c r="BF589" s="3" t="n">
        <v>5</v>
      </c>
      <c r="BG589" s="3" t="n">
        <v>3</v>
      </c>
      <c r="BH589" s="3" t="n">
        <v>4</v>
      </c>
      <c r="BI589" s="3" t="n">
        <v>1</v>
      </c>
      <c r="BJ589" s="3" t="n">
        <v>1</v>
      </c>
      <c r="BK589" s="6" t="s">
        <v>1659</v>
      </c>
    </row>
    <row r="590" customFormat="false" ht="15" hidden="false" customHeight="true" outlineLevel="0" collapsed="false">
      <c r="B590" s="2" t="s">
        <v>955</v>
      </c>
      <c r="C590" s="2" t="s">
        <v>519</v>
      </c>
      <c r="D590" s="2" t="s">
        <v>956</v>
      </c>
      <c r="E590" s="2" t="n">
        <v>187227</v>
      </c>
      <c r="F590" s="15" t="n">
        <v>43759</v>
      </c>
      <c r="G590" s="15" t="n">
        <v>43764</v>
      </c>
      <c r="H590" s="3" t="n">
        <v>5</v>
      </c>
      <c r="I590" s="3" t="n">
        <v>2</v>
      </c>
      <c r="J590" s="3" t="n">
        <v>88</v>
      </c>
      <c r="K590" s="3" t="n">
        <v>1</v>
      </c>
      <c r="L590" s="3" t="n">
        <v>2</v>
      </c>
      <c r="M590" s="3" t="n">
        <v>1</v>
      </c>
      <c r="N590" s="3" t="n">
        <v>1</v>
      </c>
      <c r="O590" s="3" t="n">
        <v>2</v>
      </c>
      <c r="P590" s="3" t="n">
        <v>2</v>
      </c>
      <c r="Q590" s="3" t="n">
        <v>2</v>
      </c>
      <c r="R590" s="3" t="n">
        <v>2</v>
      </c>
      <c r="S590" s="3" t="n">
        <v>1</v>
      </c>
      <c r="T590" s="4" t="n">
        <v>1</v>
      </c>
      <c r="U590" s="3" t="n">
        <v>1</v>
      </c>
      <c r="V590" s="3" t="n">
        <v>4.31</v>
      </c>
      <c r="W590" s="3" t="n">
        <v>1.02</v>
      </c>
      <c r="X590" s="3" t="n">
        <v>4.79</v>
      </c>
      <c r="Y590" s="3" t="n">
        <v>407</v>
      </c>
      <c r="Z590" s="3" t="n">
        <v>211</v>
      </c>
      <c r="AA590" s="3" t="n">
        <v>0.35</v>
      </c>
      <c r="AB590" s="3" t="n">
        <v>5.4</v>
      </c>
      <c r="AC590" s="3" t="n">
        <v>1</v>
      </c>
      <c r="AD590" s="3" t="n">
        <v>1</v>
      </c>
      <c r="AE590" s="3" t="n">
        <v>1</v>
      </c>
      <c r="AF590" s="3" t="n">
        <v>1</v>
      </c>
      <c r="AG590" s="3" t="n">
        <v>2</v>
      </c>
      <c r="AH590" s="3" t="n">
        <v>1</v>
      </c>
      <c r="AI590" s="3" t="n">
        <v>1</v>
      </c>
      <c r="AJ590" s="3" t="n">
        <v>1</v>
      </c>
      <c r="AK590" s="3" t="n">
        <v>2</v>
      </c>
      <c r="AL590" s="3" t="n">
        <v>2</v>
      </c>
      <c r="AM590" s="3" t="n">
        <v>2</v>
      </c>
      <c r="AN590" s="3" t="n">
        <v>2</v>
      </c>
      <c r="AO590" s="3" t="n">
        <v>2</v>
      </c>
      <c r="AP590" s="3" t="n">
        <v>3</v>
      </c>
      <c r="AQ590" s="3" t="n">
        <v>4</v>
      </c>
      <c r="AR590" s="3" t="n">
        <v>4</v>
      </c>
      <c r="AS590" s="3" t="n">
        <v>6</v>
      </c>
      <c r="AT590" s="3" t="n">
        <v>4</v>
      </c>
      <c r="AU590" s="3" t="n">
        <v>4</v>
      </c>
      <c r="AV590" s="3" t="n">
        <v>6</v>
      </c>
      <c r="AW590" s="3" t="n">
        <v>6</v>
      </c>
      <c r="AX590" s="3" t="n">
        <v>3</v>
      </c>
      <c r="AY590" s="3" t="n">
        <v>3</v>
      </c>
      <c r="AZ590" s="3" t="n">
        <v>1</v>
      </c>
      <c r="BA590" s="5" t="n">
        <v>5</v>
      </c>
      <c r="BB590" s="3" t="n">
        <v>2</v>
      </c>
      <c r="BC590" s="3" t="n">
        <v>1</v>
      </c>
      <c r="BD590" s="3" t="n">
        <v>6</v>
      </c>
      <c r="BE590" s="3" t="n">
        <v>3</v>
      </c>
      <c r="BF590" s="3" t="n">
        <v>5</v>
      </c>
      <c r="BG590" s="3" t="n">
        <v>3</v>
      </c>
      <c r="BH590" s="3" t="n">
        <v>4</v>
      </c>
      <c r="BI590" s="3" t="n">
        <v>1</v>
      </c>
      <c r="BJ590" s="3" t="n">
        <v>1</v>
      </c>
      <c r="BK590" s="6" t="s">
        <v>1660</v>
      </c>
    </row>
    <row r="591" customFormat="false" ht="15" hidden="false" customHeight="true" outlineLevel="0" collapsed="false">
      <c r="B591" s="2" t="s">
        <v>1661</v>
      </c>
      <c r="C591" s="2" t="s">
        <v>1662</v>
      </c>
      <c r="D591" s="2" t="s">
        <v>802</v>
      </c>
      <c r="E591" s="2" t="n">
        <v>159995</v>
      </c>
      <c r="F591" s="15" t="n">
        <v>43762</v>
      </c>
      <c r="G591" s="15" t="n">
        <v>43768</v>
      </c>
      <c r="H591" s="3" t="n">
        <v>6</v>
      </c>
      <c r="I591" s="3" t="n">
        <v>1</v>
      </c>
      <c r="J591" s="3" t="n">
        <v>75</v>
      </c>
      <c r="K591" s="3" t="n">
        <v>2</v>
      </c>
      <c r="L591" s="3" t="n">
        <v>2</v>
      </c>
      <c r="M591" s="3" t="n">
        <v>1</v>
      </c>
      <c r="N591" s="3" t="n">
        <v>2</v>
      </c>
      <c r="O591" s="3" t="n">
        <v>2</v>
      </c>
      <c r="P591" s="3" t="n">
        <v>2</v>
      </c>
      <c r="Q591" s="3" t="n">
        <v>1</v>
      </c>
      <c r="R591" s="3" t="n">
        <v>2</v>
      </c>
      <c r="S591" s="3" t="n">
        <v>2</v>
      </c>
      <c r="T591" s="4" t="n">
        <v>3</v>
      </c>
      <c r="U591" s="3" t="n">
        <v>1</v>
      </c>
      <c r="V591" s="3" t="n">
        <v>3</v>
      </c>
      <c r="W591" s="3" t="n">
        <v>0.69</v>
      </c>
      <c r="X591" s="3" t="n">
        <v>5.32</v>
      </c>
      <c r="Y591" s="3" t="n">
        <v>627</v>
      </c>
      <c r="Z591" s="3" t="n">
        <v>65</v>
      </c>
      <c r="AA591" s="3" t="n">
        <v>0.45</v>
      </c>
      <c r="AB591" s="3" t="n">
        <v>4.3</v>
      </c>
      <c r="AC591" s="3" t="n">
        <v>1</v>
      </c>
      <c r="AD591" s="3" t="n">
        <v>1</v>
      </c>
      <c r="AE591" s="3" t="n">
        <v>2</v>
      </c>
      <c r="AF591" s="3" t="n">
        <v>1</v>
      </c>
      <c r="AG591" s="3" t="n">
        <v>2</v>
      </c>
      <c r="AH591" s="3" t="n">
        <v>2</v>
      </c>
      <c r="AI591" s="3" t="n">
        <v>2</v>
      </c>
      <c r="AJ591" s="3" t="n">
        <v>1</v>
      </c>
      <c r="AK591" s="3" t="n">
        <v>2</v>
      </c>
      <c r="AL591" s="3" t="n">
        <v>2</v>
      </c>
      <c r="AM591" s="3" t="n">
        <v>1</v>
      </c>
      <c r="AN591" s="3" t="n">
        <v>2</v>
      </c>
      <c r="AO591" s="3" t="n">
        <v>2</v>
      </c>
      <c r="AP591" s="3" t="n">
        <v>3</v>
      </c>
      <c r="AQ591" s="3" t="n">
        <v>4</v>
      </c>
      <c r="AR591" s="3" t="n">
        <v>4</v>
      </c>
      <c r="AS591" s="3" t="n">
        <v>6</v>
      </c>
      <c r="AT591" s="3" t="n">
        <v>4</v>
      </c>
      <c r="AU591" s="3" t="n">
        <v>4</v>
      </c>
      <c r="AV591" s="3" t="n">
        <v>6</v>
      </c>
      <c r="AW591" s="3" t="n">
        <v>6</v>
      </c>
      <c r="AX591" s="3" t="n">
        <v>3</v>
      </c>
      <c r="AY591" s="3" t="n">
        <v>3</v>
      </c>
      <c r="AZ591" s="3" t="n">
        <v>1</v>
      </c>
      <c r="BA591" s="5" t="n">
        <v>11</v>
      </c>
      <c r="BB591" s="3" t="n">
        <v>2</v>
      </c>
      <c r="BC591" s="3" t="n">
        <v>1</v>
      </c>
      <c r="BD591" s="3" t="n">
        <v>6</v>
      </c>
      <c r="BE591" s="3" t="n">
        <v>3</v>
      </c>
      <c r="BF591" s="3" t="n">
        <v>5</v>
      </c>
      <c r="BG591" s="3" t="n">
        <v>3</v>
      </c>
      <c r="BH591" s="3" t="n">
        <v>4</v>
      </c>
      <c r="BI591" s="3" t="n">
        <v>1</v>
      </c>
      <c r="BJ591" s="3" t="n">
        <v>1</v>
      </c>
      <c r="BK591" s="6" t="s">
        <v>1663</v>
      </c>
    </row>
    <row r="592" customFormat="false" ht="15" hidden="false" customHeight="true" outlineLevel="0" collapsed="false">
      <c r="B592" s="2" t="s">
        <v>1233</v>
      </c>
      <c r="C592" s="2" t="s">
        <v>1176</v>
      </c>
      <c r="D592" s="2" t="s">
        <v>197</v>
      </c>
      <c r="E592" s="2" t="n">
        <v>187695</v>
      </c>
      <c r="F592" s="15" t="n">
        <v>43766</v>
      </c>
      <c r="G592" s="15" t="n">
        <v>43768</v>
      </c>
      <c r="H592" s="3" t="n">
        <v>2</v>
      </c>
      <c r="I592" s="3" t="n">
        <v>2</v>
      </c>
      <c r="J592" s="3" t="n">
        <v>69</v>
      </c>
      <c r="K592" s="3" t="n">
        <v>1</v>
      </c>
      <c r="L592" s="3" t="n">
        <v>2</v>
      </c>
      <c r="M592" s="3" t="n">
        <v>1</v>
      </c>
      <c r="N592" s="3" t="n">
        <v>2</v>
      </c>
      <c r="O592" s="3" t="n">
        <v>2</v>
      </c>
      <c r="P592" s="3" t="n">
        <v>2</v>
      </c>
      <c r="Q592" s="3" t="n">
        <v>2</v>
      </c>
      <c r="R592" s="3" t="n">
        <v>2</v>
      </c>
      <c r="S592" s="3" t="n">
        <v>2</v>
      </c>
      <c r="T592" s="4" t="n">
        <v>4</v>
      </c>
      <c r="U592" s="3" t="n">
        <v>4</v>
      </c>
      <c r="AC592" s="3" t="n">
        <v>3</v>
      </c>
      <c r="AD592" s="3" t="n">
        <v>2</v>
      </c>
      <c r="AE592" s="3" t="n">
        <v>2</v>
      </c>
      <c r="AF592" s="3" t="n">
        <v>2</v>
      </c>
      <c r="AG592" s="3" t="n">
        <v>2</v>
      </c>
      <c r="AH592" s="3" t="n">
        <v>1</v>
      </c>
      <c r="AI592" s="3" t="n">
        <v>1</v>
      </c>
      <c r="AJ592" s="3" t="n">
        <v>1</v>
      </c>
      <c r="AK592" s="3" t="n">
        <v>2</v>
      </c>
      <c r="AL592" s="3" t="n">
        <v>2</v>
      </c>
      <c r="AM592" s="3" t="n">
        <v>1</v>
      </c>
      <c r="AN592" s="3" t="n">
        <v>2</v>
      </c>
      <c r="AO592" s="3" t="n">
        <v>2</v>
      </c>
      <c r="AP592" s="3" t="n">
        <v>3</v>
      </c>
      <c r="AQ592" s="3" t="n">
        <v>4</v>
      </c>
      <c r="AR592" s="3" t="n">
        <v>4</v>
      </c>
      <c r="AS592" s="3" t="n">
        <v>6</v>
      </c>
      <c r="AT592" s="3" t="n">
        <v>4</v>
      </c>
      <c r="AU592" s="3" t="n">
        <v>4</v>
      </c>
      <c r="AV592" s="3" t="n">
        <v>6</v>
      </c>
      <c r="AW592" s="3" t="n">
        <v>6</v>
      </c>
      <c r="AX592" s="3" t="n">
        <v>3</v>
      </c>
      <c r="AY592" s="3" t="n">
        <v>3</v>
      </c>
      <c r="AZ592" s="3" t="n">
        <v>1</v>
      </c>
      <c r="BA592" s="5" t="n">
        <v>10</v>
      </c>
      <c r="BB592" s="3" t="n">
        <v>2</v>
      </c>
      <c r="BC592" s="3" t="n">
        <v>1</v>
      </c>
      <c r="BD592" s="3" t="n">
        <v>6</v>
      </c>
      <c r="BE592" s="3" t="n">
        <v>3</v>
      </c>
      <c r="BF592" s="3" t="n">
        <v>5</v>
      </c>
      <c r="BG592" s="3" t="n">
        <v>3</v>
      </c>
      <c r="BH592" s="3" t="n">
        <v>4</v>
      </c>
      <c r="BI592" s="3" t="n">
        <v>1</v>
      </c>
      <c r="BJ592" s="3" t="n">
        <v>1</v>
      </c>
      <c r="BK592" s="6" t="s">
        <v>1664</v>
      </c>
    </row>
    <row r="593" customFormat="false" ht="15" hidden="false" customHeight="true" outlineLevel="0" collapsed="false">
      <c r="B593" s="2" t="s">
        <v>1665</v>
      </c>
      <c r="C593" s="2" t="s">
        <v>95</v>
      </c>
      <c r="D593" s="2" t="s">
        <v>1666</v>
      </c>
      <c r="E593" s="2" t="n">
        <v>187316</v>
      </c>
      <c r="F593" s="15" t="n">
        <v>43762</v>
      </c>
      <c r="G593" s="15" t="n">
        <v>43766</v>
      </c>
      <c r="H593" s="3" t="n">
        <v>4</v>
      </c>
      <c r="I593" s="3" t="n">
        <v>1</v>
      </c>
      <c r="J593" s="3" t="n">
        <v>79</v>
      </c>
      <c r="K593" s="3" t="n">
        <v>1</v>
      </c>
      <c r="L593" s="3" t="n">
        <v>2</v>
      </c>
      <c r="M593" s="3" t="n">
        <v>1</v>
      </c>
      <c r="N593" s="3" t="n">
        <v>2</v>
      </c>
      <c r="O593" s="3" t="n">
        <v>2</v>
      </c>
      <c r="P593" s="3" t="n">
        <v>2</v>
      </c>
      <c r="Q593" s="3" t="n">
        <v>2</v>
      </c>
      <c r="R593" s="3" t="n">
        <v>2</v>
      </c>
      <c r="S593" s="3" t="n">
        <v>1</v>
      </c>
      <c r="T593" s="4" t="n">
        <v>1</v>
      </c>
      <c r="U593" s="3" t="n">
        <v>1</v>
      </c>
      <c r="V593" s="3" t="n">
        <v>4.96</v>
      </c>
      <c r="W593" s="3" t="n">
        <v>1.79</v>
      </c>
      <c r="X593" s="3" t="n">
        <v>7.43</v>
      </c>
      <c r="Y593" s="3" t="n">
        <v>448</v>
      </c>
      <c r="Z593" s="3" t="n">
        <v>57</v>
      </c>
      <c r="AA593" s="3" t="n">
        <v>0.41</v>
      </c>
      <c r="AB593" s="3" t="n">
        <v>6.4</v>
      </c>
      <c r="AC593" s="3" t="n">
        <v>1</v>
      </c>
      <c r="AD593" s="3" t="n">
        <v>1</v>
      </c>
      <c r="AE593" s="3" t="n">
        <v>1</v>
      </c>
      <c r="AF593" s="3" t="n">
        <v>1</v>
      </c>
      <c r="AG593" s="3" t="n">
        <v>1</v>
      </c>
      <c r="AH593" s="3" t="n">
        <v>1</v>
      </c>
      <c r="AI593" s="3" t="n">
        <v>2</v>
      </c>
      <c r="AJ593" s="3" t="n">
        <v>1</v>
      </c>
      <c r="AK593" s="3" t="n">
        <v>2</v>
      </c>
      <c r="AL593" s="3" t="n">
        <v>2</v>
      </c>
      <c r="AM593" s="3" t="n">
        <v>1</v>
      </c>
      <c r="AN593" s="3" t="n">
        <v>2</v>
      </c>
      <c r="AO593" s="3" t="n">
        <v>2</v>
      </c>
      <c r="AP593" s="3" t="n">
        <v>3</v>
      </c>
      <c r="AQ593" s="3" t="n">
        <v>4</v>
      </c>
      <c r="AR593" s="3" t="n">
        <v>4</v>
      </c>
      <c r="AS593" s="3" t="n">
        <v>6</v>
      </c>
      <c r="AT593" s="3" t="n">
        <v>4</v>
      </c>
      <c r="AU593" s="3" t="n">
        <v>4</v>
      </c>
      <c r="AV593" s="3" t="n">
        <v>6</v>
      </c>
      <c r="AW593" s="3" t="n">
        <v>6</v>
      </c>
      <c r="AX593" s="3" t="n">
        <v>3</v>
      </c>
      <c r="AY593" s="3" t="n">
        <v>3</v>
      </c>
      <c r="AZ593" s="3" t="n">
        <v>1</v>
      </c>
      <c r="BA593" s="5" t="n">
        <v>3</v>
      </c>
      <c r="BB593" s="3" t="n">
        <v>2</v>
      </c>
      <c r="BC593" s="3" t="n">
        <v>1</v>
      </c>
      <c r="BD593" s="3" t="n">
        <v>6</v>
      </c>
      <c r="BE593" s="3" t="n">
        <v>3</v>
      </c>
      <c r="BF593" s="3" t="n">
        <v>5</v>
      </c>
      <c r="BG593" s="3" t="n">
        <v>3</v>
      </c>
      <c r="BH593" s="3" t="n">
        <v>4</v>
      </c>
      <c r="BI593" s="3" t="n">
        <v>1</v>
      </c>
      <c r="BJ593" s="3" t="n">
        <v>1</v>
      </c>
      <c r="BK593" s="6" t="s">
        <v>1667</v>
      </c>
    </row>
    <row r="594" customFormat="false" ht="15" hidden="false" customHeight="true" outlineLevel="0" collapsed="false">
      <c r="B594" s="2" t="s">
        <v>1668</v>
      </c>
      <c r="C594" s="2" t="s">
        <v>808</v>
      </c>
      <c r="D594" s="2" t="s">
        <v>279</v>
      </c>
      <c r="E594" s="2" t="s">
        <v>1669</v>
      </c>
      <c r="F594" s="15" t="n">
        <v>43754</v>
      </c>
      <c r="G594" s="15" t="n">
        <v>43766</v>
      </c>
      <c r="H594" s="3" t="n">
        <v>12</v>
      </c>
      <c r="I594" s="3" t="n">
        <v>1</v>
      </c>
      <c r="J594" s="3" t="n">
        <v>78</v>
      </c>
      <c r="K594" s="3" t="n">
        <v>1</v>
      </c>
      <c r="L594" s="3" t="n">
        <v>2</v>
      </c>
      <c r="M594" s="3" t="n">
        <v>1</v>
      </c>
      <c r="N594" s="3" t="n">
        <v>2</v>
      </c>
      <c r="O594" s="3" t="n">
        <v>1</v>
      </c>
      <c r="P594" s="3" t="n">
        <v>2</v>
      </c>
      <c r="Q594" s="3" t="n">
        <v>2</v>
      </c>
      <c r="R594" s="3" t="n">
        <v>2</v>
      </c>
      <c r="S594" s="3" t="n">
        <v>2</v>
      </c>
      <c r="T594" s="4" t="n">
        <v>3</v>
      </c>
      <c r="U594" s="3" t="n">
        <v>1</v>
      </c>
      <c r="V594" s="3" t="n">
        <v>5.75</v>
      </c>
      <c r="W594" s="3" t="n">
        <v>1.31</v>
      </c>
      <c r="X594" s="3" t="n">
        <v>5.52</v>
      </c>
      <c r="Y594" s="3" t="n">
        <v>455</v>
      </c>
      <c r="Z594" s="3" t="n">
        <v>82</v>
      </c>
      <c r="AA594" s="3" t="n">
        <v>0.37</v>
      </c>
      <c r="AB594" s="3" t="n">
        <v>9.9</v>
      </c>
      <c r="AC594" s="3" t="n">
        <v>1</v>
      </c>
      <c r="AD594" s="3" t="n">
        <v>2</v>
      </c>
      <c r="AE594" s="3" t="n">
        <v>2</v>
      </c>
      <c r="AF594" s="3" t="n">
        <v>2</v>
      </c>
      <c r="AG594" s="3" t="n">
        <v>2</v>
      </c>
      <c r="AH594" s="3" t="n">
        <v>1</v>
      </c>
      <c r="AI594" s="3" t="n">
        <v>1</v>
      </c>
      <c r="AJ594" s="3" t="n">
        <v>1</v>
      </c>
      <c r="AK594" s="3" t="n">
        <v>2</v>
      </c>
      <c r="AL594" s="3" t="n">
        <v>2</v>
      </c>
      <c r="AM594" s="3" t="n">
        <v>1</v>
      </c>
      <c r="AN594" s="3" t="n">
        <v>2</v>
      </c>
      <c r="AO594" s="3" t="n">
        <v>1</v>
      </c>
      <c r="AP594" s="3" t="n">
        <v>3</v>
      </c>
      <c r="AQ594" s="3" t="n">
        <v>4</v>
      </c>
      <c r="AR594" s="3" t="n">
        <v>4</v>
      </c>
      <c r="AS594" s="3" t="n">
        <v>6</v>
      </c>
      <c r="AT594" s="3" t="n">
        <v>4</v>
      </c>
      <c r="AU594" s="3" t="n">
        <v>4</v>
      </c>
      <c r="AV594" s="3" t="n">
        <v>6</v>
      </c>
      <c r="AW594" s="3" t="n">
        <v>6</v>
      </c>
      <c r="AX594" s="3" t="n">
        <v>3</v>
      </c>
      <c r="AY594" s="3" t="n">
        <v>3</v>
      </c>
      <c r="AZ594" s="3" t="n">
        <v>1</v>
      </c>
      <c r="BA594" s="5" t="n">
        <v>11</v>
      </c>
      <c r="BB594" s="3" t="n">
        <v>2</v>
      </c>
      <c r="BC594" s="3" t="n">
        <v>1</v>
      </c>
      <c r="BD594" s="3" t="n">
        <v>6</v>
      </c>
      <c r="BE594" s="3" t="n">
        <v>3</v>
      </c>
      <c r="BF594" s="3" t="n">
        <v>5</v>
      </c>
      <c r="BG594" s="3" t="n">
        <v>3</v>
      </c>
      <c r="BH594" s="3" t="n">
        <v>4</v>
      </c>
      <c r="BI594" s="3" t="n">
        <v>1</v>
      </c>
      <c r="BJ594" s="3" t="n">
        <v>1</v>
      </c>
      <c r="BK594" s="6" t="s">
        <v>1670</v>
      </c>
    </row>
    <row r="595" customFormat="false" ht="15" hidden="false" customHeight="true" outlineLevel="0" collapsed="false">
      <c r="B595" s="2" t="s">
        <v>1671</v>
      </c>
      <c r="C595" s="2" t="s">
        <v>1672</v>
      </c>
      <c r="D595" s="2" t="s">
        <v>210</v>
      </c>
      <c r="E595" s="2" t="n">
        <v>186955</v>
      </c>
      <c r="F595" s="15" t="n">
        <v>43754</v>
      </c>
      <c r="G595" s="15" t="n">
        <v>43768</v>
      </c>
      <c r="H595" s="3" t="n">
        <v>14</v>
      </c>
      <c r="I595" s="3" t="n">
        <v>2</v>
      </c>
      <c r="J595" s="3" t="n">
        <v>74</v>
      </c>
      <c r="K595" s="3" t="n">
        <v>1</v>
      </c>
      <c r="L595" s="3" t="n">
        <v>2</v>
      </c>
      <c r="M595" s="3" t="n">
        <v>1</v>
      </c>
      <c r="N595" s="3" t="n">
        <v>2</v>
      </c>
      <c r="O595" s="3" t="n">
        <v>1</v>
      </c>
      <c r="P595" s="3" t="n">
        <v>1</v>
      </c>
      <c r="Q595" s="3" t="n">
        <v>1</v>
      </c>
      <c r="R595" s="3" t="n">
        <v>2</v>
      </c>
      <c r="S595" s="3" t="n">
        <v>2</v>
      </c>
      <c r="T595" s="4" t="n">
        <v>1</v>
      </c>
      <c r="U595" s="3" t="n">
        <v>1</v>
      </c>
      <c r="V595" s="3" t="n">
        <v>4.52</v>
      </c>
      <c r="W595" s="3" t="n">
        <v>1.68</v>
      </c>
      <c r="X595" s="3" t="n">
        <v>21.56</v>
      </c>
      <c r="Y595" s="3" t="n">
        <v>470</v>
      </c>
      <c r="Z595" s="3" t="n">
        <v>96</v>
      </c>
      <c r="AA595" s="3" t="n">
        <v>0.46</v>
      </c>
      <c r="AB595" s="3" t="n">
        <v>10.4</v>
      </c>
      <c r="AC595" s="3" t="n">
        <v>1</v>
      </c>
      <c r="AD595" s="3" t="n">
        <v>2</v>
      </c>
      <c r="AE595" s="3" t="n">
        <v>1</v>
      </c>
      <c r="AF595" s="3" t="n">
        <v>1</v>
      </c>
      <c r="AG595" s="3" t="n">
        <v>2</v>
      </c>
      <c r="AH595" s="3" t="n">
        <v>1</v>
      </c>
      <c r="AI595" s="3" t="n">
        <v>1</v>
      </c>
      <c r="AJ595" s="3" t="n">
        <v>1</v>
      </c>
      <c r="AK595" s="3" t="n">
        <v>1</v>
      </c>
      <c r="AL595" s="3" t="n">
        <v>2</v>
      </c>
      <c r="AM595" s="3" t="n">
        <v>1</v>
      </c>
      <c r="AN595" s="3" t="n">
        <v>2</v>
      </c>
      <c r="AO595" s="3" t="n">
        <v>2</v>
      </c>
      <c r="AP595" s="3" t="n">
        <v>3</v>
      </c>
      <c r="AQ595" s="3" t="n">
        <v>4</v>
      </c>
      <c r="AR595" s="3" t="n">
        <v>4</v>
      </c>
      <c r="AS595" s="3" t="n">
        <v>6</v>
      </c>
      <c r="AT595" s="3" t="n">
        <v>4</v>
      </c>
      <c r="AU595" s="3" t="n">
        <v>4</v>
      </c>
      <c r="AV595" s="3" t="n">
        <v>6</v>
      </c>
      <c r="AW595" s="3" t="n">
        <v>6</v>
      </c>
      <c r="AX595" s="3" t="n">
        <v>3</v>
      </c>
      <c r="AY595" s="3" t="n">
        <v>3</v>
      </c>
      <c r="AZ595" s="3" t="n">
        <v>1</v>
      </c>
      <c r="BA595" s="5" t="n">
        <v>5</v>
      </c>
      <c r="BB595" s="3" t="n">
        <v>2</v>
      </c>
      <c r="BC595" s="3" t="n">
        <v>1</v>
      </c>
      <c r="BD595" s="3" t="n">
        <v>6</v>
      </c>
      <c r="BE595" s="3" t="n">
        <v>3</v>
      </c>
      <c r="BF595" s="3" t="n">
        <v>5</v>
      </c>
      <c r="BG595" s="3" t="n">
        <v>3</v>
      </c>
      <c r="BH595" s="3" t="n">
        <v>4</v>
      </c>
      <c r="BI595" s="3" t="n">
        <v>1</v>
      </c>
      <c r="BJ595" s="3" t="n">
        <v>1</v>
      </c>
      <c r="BK595" s="6" t="s">
        <v>1673</v>
      </c>
    </row>
    <row r="596" customFormat="false" ht="15" hidden="false" customHeight="true" outlineLevel="0" collapsed="false">
      <c r="B596" s="2" t="s">
        <v>1674</v>
      </c>
      <c r="C596" s="2" t="s">
        <v>1675</v>
      </c>
      <c r="D596" s="2" t="s">
        <v>115</v>
      </c>
      <c r="E596" s="2" t="n">
        <v>187310</v>
      </c>
      <c r="F596" s="15" t="n">
        <v>43762</v>
      </c>
      <c r="G596" s="15" t="n">
        <v>43768</v>
      </c>
      <c r="H596" s="3" t="n">
        <v>6</v>
      </c>
      <c r="I596" s="3" t="n">
        <v>1</v>
      </c>
      <c r="J596" s="3" t="n">
        <v>62</v>
      </c>
      <c r="K596" s="3" t="n">
        <v>1</v>
      </c>
      <c r="L596" s="3" t="n">
        <v>2</v>
      </c>
      <c r="M596" s="3" t="n">
        <v>1</v>
      </c>
      <c r="N596" s="3" t="n">
        <v>1</v>
      </c>
      <c r="O596" s="3" t="n">
        <v>2</v>
      </c>
      <c r="P596" s="3" t="n">
        <v>2</v>
      </c>
      <c r="Q596" s="3" t="n">
        <v>2</v>
      </c>
      <c r="R596" s="3" t="n">
        <v>2</v>
      </c>
      <c r="S596" s="3" t="n">
        <v>1</v>
      </c>
      <c r="T596" s="4" t="n">
        <v>3</v>
      </c>
      <c r="U596" s="3" t="n">
        <v>1</v>
      </c>
      <c r="V596" s="3" t="n">
        <v>4.08</v>
      </c>
      <c r="W596" s="3" t="n">
        <v>1.31</v>
      </c>
      <c r="X596" s="3" t="n">
        <v>5.36</v>
      </c>
      <c r="Y596" s="3" t="n">
        <v>765</v>
      </c>
      <c r="Z596" s="3" t="n">
        <v>83</v>
      </c>
      <c r="AA596" s="3" t="n">
        <v>0.35</v>
      </c>
      <c r="AB596" s="3" t="n">
        <v>5.3</v>
      </c>
      <c r="AC596" s="3" t="n">
        <v>2</v>
      </c>
      <c r="AD596" s="3" t="n">
        <v>2</v>
      </c>
      <c r="AE596" s="3" t="n">
        <v>2</v>
      </c>
      <c r="AF596" s="3" t="n">
        <v>1</v>
      </c>
      <c r="AG596" s="3" t="n">
        <v>2</v>
      </c>
      <c r="AH596" s="3" t="n">
        <v>2</v>
      </c>
      <c r="AI596" s="3" t="n">
        <v>1</v>
      </c>
      <c r="AJ596" s="3" t="n">
        <v>2</v>
      </c>
      <c r="AK596" s="3" t="n">
        <v>2</v>
      </c>
      <c r="AL596" s="3" t="n">
        <v>2</v>
      </c>
      <c r="AM596" s="3" t="n">
        <v>1</v>
      </c>
      <c r="AN596" s="3" t="n">
        <v>2</v>
      </c>
      <c r="AO596" s="3" t="n">
        <v>2</v>
      </c>
      <c r="AP596" s="3" t="n">
        <v>3</v>
      </c>
      <c r="AQ596" s="3" t="n">
        <v>4</v>
      </c>
      <c r="AR596" s="3" t="n">
        <v>4</v>
      </c>
      <c r="AS596" s="3" t="n">
        <v>6</v>
      </c>
      <c r="AT596" s="3" t="n">
        <v>4</v>
      </c>
      <c r="AU596" s="3" t="n">
        <v>4</v>
      </c>
      <c r="AV596" s="3" t="n">
        <v>6</v>
      </c>
      <c r="AW596" s="3" t="n">
        <v>6</v>
      </c>
      <c r="AX596" s="3" t="n">
        <v>3</v>
      </c>
      <c r="AY596" s="3" t="n">
        <v>3</v>
      </c>
      <c r="AZ596" s="3" t="n">
        <v>1</v>
      </c>
      <c r="BA596" s="5" t="n">
        <v>11</v>
      </c>
      <c r="BB596" s="3" t="n">
        <v>2</v>
      </c>
      <c r="BC596" s="3" t="n">
        <v>1</v>
      </c>
      <c r="BD596" s="3" t="n">
        <v>6</v>
      </c>
      <c r="BE596" s="3" t="n">
        <v>3</v>
      </c>
      <c r="BF596" s="3" t="n">
        <v>5</v>
      </c>
      <c r="BG596" s="3" t="n">
        <v>3</v>
      </c>
      <c r="BH596" s="3" t="n">
        <v>4</v>
      </c>
      <c r="BI596" s="3" t="n">
        <v>1</v>
      </c>
      <c r="BJ596" s="3" t="n">
        <v>1</v>
      </c>
      <c r="BK596" s="6" t="s">
        <v>1676</v>
      </c>
    </row>
    <row r="597" s="30" customFormat="true" ht="15" hidden="false" customHeight="true" outlineLevel="0" collapsed="false">
      <c r="A597" s="24"/>
      <c r="B597" s="26" t="s">
        <v>1677</v>
      </c>
      <c r="C597" s="26" t="s">
        <v>157</v>
      </c>
      <c r="D597" s="26" t="s">
        <v>1678</v>
      </c>
      <c r="E597" s="26" t="n">
        <v>187687</v>
      </c>
      <c r="F597" s="27" t="n">
        <v>43766</v>
      </c>
      <c r="G597" s="27" t="n">
        <v>43768</v>
      </c>
      <c r="H597" s="30" t="n">
        <v>2</v>
      </c>
      <c r="I597" s="30" t="n">
        <v>1</v>
      </c>
      <c r="J597" s="30" t="n">
        <v>64</v>
      </c>
      <c r="K597" s="30" t="n">
        <v>1</v>
      </c>
      <c r="L597" s="30" t="n">
        <v>2</v>
      </c>
      <c r="M597" s="30" t="n">
        <v>1</v>
      </c>
      <c r="N597" s="30" t="n">
        <v>2</v>
      </c>
      <c r="O597" s="30" t="n">
        <v>2</v>
      </c>
      <c r="P597" s="30" t="n">
        <v>2</v>
      </c>
      <c r="Q597" s="30" t="n">
        <v>1</v>
      </c>
      <c r="R597" s="30" t="n">
        <v>2</v>
      </c>
      <c r="S597" s="30" t="n">
        <v>2</v>
      </c>
      <c r="T597" s="4" t="n">
        <v>2</v>
      </c>
      <c r="U597" s="30" t="n">
        <v>2</v>
      </c>
      <c r="V597" s="30" t="n">
        <v>4.4</v>
      </c>
      <c r="W597" s="30" t="n">
        <v>3.2</v>
      </c>
      <c r="X597" s="30" t="n">
        <v>23.5</v>
      </c>
      <c r="Y597" s="30" t="n">
        <v>576</v>
      </c>
      <c r="Z597" s="30" t="n">
        <v>170</v>
      </c>
      <c r="AA597" s="30" t="n">
        <v>0.37</v>
      </c>
      <c r="AB597" s="30" t="n">
        <v>13.9</v>
      </c>
      <c r="AC597" s="30" t="n">
        <v>3</v>
      </c>
      <c r="AD597" s="30" t="n">
        <v>2</v>
      </c>
      <c r="AE597" s="30" t="n">
        <v>1</v>
      </c>
      <c r="AF597" s="30" t="n">
        <v>1</v>
      </c>
      <c r="AG597" s="30" t="n">
        <v>2</v>
      </c>
      <c r="AH597" s="30" t="n">
        <v>2</v>
      </c>
      <c r="AI597" s="30" t="n">
        <v>2</v>
      </c>
      <c r="AJ597" s="30" t="n">
        <v>2</v>
      </c>
      <c r="AK597" s="30" t="n">
        <v>2</v>
      </c>
      <c r="AL597" s="30" t="n">
        <v>2</v>
      </c>
      <c r="AM597" s="30" t="n">
        <v>2</v>
      </c>
      <c r="AN597" s="30" t="n">
        <v>1</v>
      </c>
      <c r="AO597" s="30" t="n">
        <v>2</v>
      </c>
      <c r="AP597" s="30" t="n">
        <v>3</v>
      </c>
      <c r="AQ597" s="30" t="n">
        <v>4</v>
      </c>
      <c r="AR597" s="30" t="n">
        <v>4</v>
      </c>
      <c r="AS597" s="30" t="n">
        <v>6</v>
      </c>
      <c r="AT597" s="30" t="n">
        <v>4</v>
      </c>
      <c r="AU597" s="30" t="n">
        <v>4</v>
      </c>
      <c r="AV597" s="30" t="n">
        <v>6</v>
      </c>
      <c r="AW597" s="30" t="n">
        <v>6</v>
      </c>
      <c r="AX597" s="30" t="n">
        <v>3</v>
      </c>
      <c r="AY597" s="30" t="n">
        <v>3</v>
      </c>
      <c r="AZ597" s="30" t="n">
        <v>6</v>
      </c>
      <c r="BA597" s="5" t="n">
        <v>1</v>
      </c>
      <c r="BB597" s="30" t="n">
        <v>1</v>
      </c>
      <c r="BC597" s="30" t="n">
        <v>2</v>
      </c>
      <c r="BD597" s="30" t="n">
        <v>4</v>
      </c>
      <c r="BE597" s="30" t="n">
        <v>3</v>
      </c>
      <c r="BF597" s="30" t="n">
        <v>5</v>
      </c>
      <c r="BG597" s="30" t="n">
        <v>3</v>
      </c>
      <c r="BH597" s="30" t="n">
        <v>4</v>
      </c>
      <c r="BI597" s="30" t="n">
        <v>1</v>
      </c>
      <c r="BJ597" s="30" t="n">
        <v>1</v>
      </c>
      <c r="BK597" s="31" t="s">
        <v>1679</v>
      </c>
    </row>
    <row r="598" customFormat="false" ht="15" hidden="false" customHeight="true" outlineLevel="0" collapsed="false">
      <c r="B598" s="2" t="s">
        <v>672</v>
      </c>
      <c r="C598" s="2" t="s">
        <v>95</v>
      </c>
      <c r="D598" s="2" t="s">
        <v>95</v>
      </c>
      <c r="E598" s="2" t="n">
        <v>187652</v>
      </c>
      <c r="F598" s="15" t="n">
        <v>43766</v>
      </c>
      <c r="G598" s="15" t="n">
        <v>43777</v>
      </c>
      <c r="H598" s="3" t="n">
        <v>10</v>
      </c>
      <c r="I598" s="3" t="n">
        <v>2</v>
      </c>
      <c r="J598" s="3" t="n">
        <v>43</v>
      </c>
      <c r="K598" s="3" t="n">
        <v>2</v>
      </c>
      <c r="L598" s="3" t="n">
        <v>1</v>
      </c>
      <c r="M598" s="3" t="n">
        <v>1</v>
      </c>
      <c r="N598" s="3" t="n">
        <v>2</v>
      </c>
      <c r="O598" s="3" t="n">
        <v>2</v>
      </c>
      <c r="P598" s="3" t="n">
        <v>2</v>
      </c>
      <c r="Q598" s="3" t="n">
        <v>2</v>
      </c>
      <c r="R598" s="3" t="n">
        <v>2</v>
      </c>
      <c r="S598" s="3" t="n">
        <v>2</v>
      </c>
      <c r="T598" s="4" t="n">
        <v>1</v>
      </c>
      <c r="U598" s="3" t="n">
        <v>1</v>
      </c>
      <c r="V598" s="3" t="n">
        <v>5.72</v>
      </c>
      <c r="W598" s="3" t="n">
        <v>2.59</v>
      </c>
      <c r="X598" s="3" t="n">
        <v>4.86</v>
      </c>
      <c r="Y598" s="3" t="n">
        <v>337</v>
      </c>
      <c r="Z598" s="3" t="n">
        <v>77</v>
      </c>
      <c r="AA598" s="3" t="n">
        <v>0.52</v>
      </c>
      <c r="AB598" s="3" t="n">
        <v>12.6</v>
      </c>
      <c r="AC598" s="3" t="n">
        <v>1</v>
      </c>
      <c r="AD598" s="3" t="n">
        <v>1</v>
      </c>
      <c r="AE598" s="3" t="n">
        <v>1</v>
      </c>
      <c r="AF598" s="3" t="n">
        <v>1</v>
      </c>
      <c r="AG598" s="3" t="n">
        <v>2</v>
      </c>
      <c r="AH598" s="3" t="n">
        <v>2</v>
      </c>
      <c r="AI598" s="3" t="n">
        <v>1</v>
      </c>
      <c r="AJ598" s="3" t="n">
        <v>1</v>
      </c>
      <c r="AK598" s="3" t="n">
        <v>2</v>
      </c>
      <c r="AL598" s="3" t="n">
        <v>2</v>
      </c>
      <c r="AM598" s="3" t="n">
        <v>2</v>
      </c>
      <c r="AN598" s="3" t="n">
        <v>2</v>
      </c>
      <c r="AO598" s="3" t="n">
        <v>2</v>
      </c>
      <c r="AP598" s="3" t="n">
        <v>3</v>
      </c>
      <c r="AQ598" s="3" t="n">
        <v>4</v>
      </c>
      <c r="AR598" s="3" t="n">
        <v>4</v>
      </c>
      <c r="AS598" s="3" t="n">
        <v>6</v>
      </c>
      <c r="AT598" s="3" t="n">
        <v>4</v>
      </c>
      <c r="AU598" s="3" t="n">
        <v>4</v>
      </c>
      <c r="AV598" s="3" t="n">
        <v>6</v>
      </c>
      <c r="AW598" s="3" t="n">
        <v>6</v>
      </c>
      <c r="AX598" s="3" t="n">
        <v>3</v>
      </c>
      <c r="AY598" s="3" t="n">
        <v>3</v>
      </c>
      <c r="AZ598" s="3" t="n">
        <v>1</v>
      </c>
      <c r="BA598" s="5" t="n">
        <v>5</v>
      </c>
      <c r="BB598" s="3" t="n">
        <v>2</v>
      </c>
      <c r="BC598" s="3" t="n">
        <v>1</v>
      </c>
      <c r="BD598" s="3" t="n">
        <v>6</v>
      </c>
      <c r="BE598" s="3" t="n">
        <v>3</v>
      </c>
      <c r="BF598" s="3" t="n">
        <v>5</v>
      </c>
      <c r="BG598" s="3" t="n">
        <v>3</v>
      </c>
      <c r="BH598" s="3" t="n">
        <v>4</v>
      </c>
      <c r="BI598" s="3" t="n">
        <v>1</v>
      </c>
      <c r="BJ598" s="3" t="n">
        <v>1</v>
      </c>
      <c r="BK598" s="6" t="s">
        <v>1680</v>
      </c>
    </row>
    <row r="599" customFormat="false" ht="15" hidden="false" customHeight="true" outlineLevel="0" collapsed="false">
      <c r="B599" s="2" t="s">
        <v>1681</v>
      </c>
      <c r="C599" s="2" t="s">
        <v>410</v>
      </c>
      <c r="D599" s="2" t="s">
        <v>95</v>
      </c>
      <c r="E599" s="2" t="n">
        <v>187379</v>
      </c>
      <c r="F599" s="15" t="n">
        <v>43765</v>
      </c>
      <c r="G599" s="15" t="n">
        <v>43773</v>
      </c>
      <c r="H599" s="3" t="n">
        <v>7</v>
      </c>
      <c r="I599" s="3" t="n">
        <v>2</v>
      </c>
      <c r="J599" s="3" t="n">
        <v>53</v>
      </c>
      <c r="K599" s="3" t="n">
        <v>1</v>
      </c>
      <c r="L599" s="3" t="n">
        <v>1</v>
      </c>
      <c r="M599" s="3" t="n">
        <v>1</v>
      </c>
      <c r="N599" s="3" t="n">
        <v>2</v>
      </c>
      <c r="O599" s="3" t="n">
        <v>2</v>
      </c>
      <c r="P599" s="3" t="n">
        <v>2</v>
      </c>
      <c r="Q599" s="3" t="n">
        <v>2</v>
      </c>
      <c r="R599" s="3" t="n">
        <v>2</v>
      </c>
      <c r="S599" s="3" t="n">
        <v>2</v>
      </c>
      <c r="T599" s="4" t="n">
        <v>1</v>
      </c>
      <c r="U599" s="3" t="n">
        <v>1</v>
      </c>
      <c r="V599" s="3" t="n">
        <v>5.6</v>
      </c>
      <c r="W599" s="3" t="n">
        <v>2.78</v>
      </c>
      <c r="X599" s="3" t="n">
        <v>6.58</v>
      </c>
      <c r="Y599" s="3" t="n">
        <v>506</v>
      </c>
      <c r="Z599" s="3" t="n">
        <v>80</v>
      </c>
      <c r="AA599" s="3" t="n">
        <v>0.41</v>
      </c>
      <c r="AB599" s="3" t="n">
        <v>16.1</v>
      </c>
      <c r="AC599" s="3" t="n">
        <v>2</v>
      </c>
      <c r="AD599" s="3" t="n">
        <v>1</v>
      </c>
      <c r="AE599" s="3" t="n">
        <v>1</v>
      </c>
      <c r="AF599" s="3" t="n">
        <v>1</v>
      </c>
      <c r="AG599" s="3" t="n">
        <v>2</v>
      </c>
      <c r="AH599" s="3" t="n">
        <v>2</v>
      </c>
      <c r="AI599" s="3" t="n">
        <v>1</v>
      </c>
      <c r="AJ599" s="3" t="n">
        <v>1</v>
      </c>
      <c r="AK599" s="3" t="n">
        <v>2</v>
      </c>
      <c r="AL599" s="3" t="n">
        <v>2</v>
      </c>
      <c r="AM599" s="3" t="n">
        <v>2</v>
      </c>
      <c r="AN599" s="3" t="n">
        <v>2</v>
      </c>
      <c r="AO599" s="3" t="n">
        <v>2</v>
      </c>
      <c r="AP599" s="3" t="n">
        <v>3</v>
      </c>
      <c r="AQ599" s="3" t="n">
        <v>4</v>
      </c>
      <c r="AR599" s="3" t="n">
        <v>4</v>
      </c>
      <c r="AS599" s="3" t="n">
        <v>6</v>
      </c>
      <c r="AT599" s="3" t="n">
        <v>4</v>
      </c>
      <c r="AU599" s="3" t="n">
        <v>4</v>
      </c>
      <c r="AV599" s="3" t="n">
        <v>6</v>
      </c>
      <c r="AW599" s="3" t="n">
        <v>6</v>
      </c>
      <c r="AX599" s="3" t="n">
        <v>3</v>
      </c>
      <c r="AY599" s="3" t="n">
        <v>3</v>
      </c>
      <c r="AZ599" s="3" t="n">
        <v>1</v>
      </c>
      <c r="BA599" s="5" t="n">
        <v>2</v>
      </c>
      <c r="BB599" s="3" t="n">
        <v>2</v>
      </c>
      <c r="BC599" s="3" t="n">
        <v>1</v>
      </c>
      <c r="BD599" s="3" t="n">
        <v>6</v>
      </c>
      <c r="BE599" s="3" t="n">
        <v>3</v>
      </c>
      <c r="BF599" s="3" t="n">
        <v>5</v>
      </c>
      <c r="BG599" s="3" t="n">
        <v>3</v>
      </c>
      <c r="BH599" s="3" t="n">
        <v>4</v>
      </c>
      <c r="BI599" s="3" t="n">
        <v>1</v>
      </c>
      <c r="BJ599" s="3" t="n">
        <v>1</v>
      </c>
      <c r="BK599" s="6" t="s">
        <v>1682</v>
      </c>
    </row>
    <row r="600" customFormat="false" ht="15" hidden="false" customHeight="true" outlineLevel="0" collapsed="false">
      <c r="B600" s="2" t="s">
        <v>1683</v>
      </c>
      <c r="C600" s="2" t="s">
        <v>1684</v>
      </c>
      <c r="D600" s="2" t="s">
        <v>127</v>
      </c>
      <c r="E600" s="2" t="n">
        <v>187616</v>
      </c>
      <c r="F600" s="15" t="n">
        <v>43768</v>
      </c>
      <c r="G600" s="15" t="n">
        <v>43775</v>
      </c>
      <c r="H600" s="3" t="n">
        <v>6</v>
      </c>
      <c r="I600" s="3" t="n">
        <v>1</v>
      </c>
      <c r="J600" s="3" t="n">
        <v>64</v>
      </c>
      <c r="K600" s="3" t="n">
        <v>1</v>
      </c>
      <c r="L600" s="3" t="n">
        <v>2</v>
      </c>
      <c r="M600" s="3" t="n">
        <v>1</v>
      </c>
      <c r="N600" s="3" t="n">
        <v>2</v>
      </c>
      <c r="O600" s="3" t="n">
        <v>1</v>
      </c>
      <c r="P600" s="3" t="n">
        <v>2</v>
      </c>
      <c r="Q600" s="3" t="n">
        <v>2</v>
      </c>
      <c r="R600" s="3" t="n">
        <v>2</v>
      </c>
      <c r="S600" s="3" t="n">
        <v>1</v>
      </c>
      <c r="T600" s="4" t="n">
        <v>3</v>
      </c>
      <c r="U600" s="3" t="n">
        <v>1</v>
      </c>
      <c r="AC600" s="3" t="n">
        <v>1</v>
      </c>
      <c r="AD600" s="3" t="n">
        <v>2</v>
      </c>
      <c r="AE600" s="3" t="n">
        <v>1</v>
      </c>
      <c r="AF600" s="3" t="n">
        <v>2</v>
      </c>
      <c r="AG600" s="3" t="n">
        <v>2</v>
      </c>
      <c r="AH600" s="3" t="n">
        <v>2</v>
      </c>
      <c r="AI600" s="3" t="n">
        <v>2</v>
      </c>
      <c r="AJ600" s="3" t="n">
        <v>1</v>
      </c>
      <c r="AK600" s="3" t="n">
        <v>2</v>
      </c>
      <c r="AL600" s="3" t="n">
        <v>2</v>
      </c>
      <c r="AM600" s="3" t="n">
        <v>1</v>
      </c>
      <c r="AN600" s="3" t="n">
        <v>2</v>
      </c>
      <c r="AO600" s="3" t="n">
        <v>2</v>
      </c>
      <c r="AP600" s="3" t="n">
        <v>3</v>
      </c>
      <c r="AQ600" s="3" t="n">
        <v>4</v>
      </c>
      <c r="AR600" s="3" t="n">
        <v>4</v>
      </c>
      <c r="AS600" s="3" t="n">
        <v>6</v>
      </c>
      <c r="AT600" s="3" t="n">
        <v>4</v>
      </c>
      <c r="AU600" s="3" t="n">
        <v>4</v>
      </c>
      <c r="AV600" s="3" t="n">
        <v>6</v>
      </c>
      <c r="AW600" s="3" t="n">
        <v>6</v>
      </c>
      <c r="AX600" s="3" t="n">
        <v>3</v>
      </c>
      <c r="AY600" s="3" t="n">
        <v>3</v>
      </c>
      <c r="AZ600" s="3" t="n">
        <v>1</v>
      </c>
      <c r="BA600" s="5" t="n">
        <v>11</v>
      </c>
      <c r="BB600" s="3" t="n">
        <v>2</v>
      </c>
      <c r="BC600" s="3" t="n">
        <v>1</v>
      </c>
      <c r="BD600" s="3" t="n">
        <v>6</v>
      </c>
      <c r="BE600" s="3" t="n">
        <v>3</v>
      </c>
      <c r="BF600" s="3" t="n">
        <v>5</v>
      </c>
      <c r="BG600" s="3" t="n">
        <v>3</v>
      </c>
      <c r="BH600" s="3" t="n">
        <v>4</v>
      </c>
      <c r="BI600" s="3" t="n">
        <v>1</v>
      </c>
      <c r="BJ600" s="3" t="n">
        <v>1</v>
      </c>
      <c r="BK600" s="6" t="s">
        <v>1685</v>
      </c>
    </row>
    <row r="601" customFormat="false" ht="15" hidden="false" customHeight="true" outlineLevel="0" collapsed="false">
      <c r="B601" s="2" t="s">
        <v>1477</v>
      </c>
      <c r="C601" s="2" t="s">
        <v>561</v>
      </c>
      <c r="D601" s="2" t="s">
        <v>1686</v>
      </c>
      <c r="E601" s="2" t="n">
        <v>188127</v>
      </c>
      <c r="F601" s="15" t="n">
        <v>43773</v>
      </c>
      <c r="G601" s="15" t="n">
        <v>43780</v>
      </c>
      <c r="H601" s="3" t="n">
        <v>7</v>
      </c>
      <c r="I601" s="3" t="n">
        <v>1</v>
      </c>
      <c r="J601" s="3" t="n">
        <v>50</v>
      </c>
      <c r="K601" s="3" t="n">
        <v>2</v>
      </c>
      <c r="L601" s="3" t="n">
        <v>1</v>
      </c>
      <c r="M601" s="3" t="n">
        <v>1</v>
      </c>
      <c r="N601" s="3" t="n">
        <v>2</v>
      </c>
      <c r="O601" s="3" t="n">
        <v>2</v>
      </c>
      <c r="P601" s="3" t="n">
        <v>2</v>
      </c>
      <c r="Q601" s="3" t="n">
        <v>2</v>
      </c>
      <c r="R601" s="3" t="n">
        <v>2</v>
      </c>
      <c r="S601" s="3" t="n">
        <v>2</v>
      </c>
      <c r="T601" s="4" t="n">
        <v>12</v>
      </c>
      <c r="U601" s="3" t="n">
        <v>1</v>
      </c>
      <c r="V601" s="3" t="n">
        <v>6.43</v>
      </c>
      <c r="W601" s="3" t="n">
        <v>2.76</v>
      </c>
      <c r="X601" s="3" t="n">
        <v>7.25</v>
      </c>
      <c r="Y601" s="3" t="n">
        <v>268</v>
      </c>
      <c r="Z601" s="3" t="n">
        <v>71</v>
      </c>
      <c r="AA601" s="3" t="n">
        <v>0.46</v>
      </c>
      <c r="AB601" s="3" t="n">
        <v>12</v>
      </c>
      <c r="AC601" s="3" t="n">
        <v>1</v>
      </c>
      <c r="AD601" s="3" t="n">
        <v>2</v>
      </c>
      <c r="AE601" s="3" t="n">
        <v>1</v>
      </c>
      <c r="AF601" s="3" t="n">
        <v>1</v>
      </c>
      <c r="AG601" s="3" t="n">
        <v>1</v>
      </c>
      <c r="AH601" s="3" t="n">
        <v>1</v>
      </c>
      <c r="AI601" s="3" t="n">
        <v>1</v>
      </c>
      <c r="AJ601" s="3" t="n">
        <v>1</v>
      </c>
      <c r="AK601" s="3" t="n">
        <v>2</v>
      </c>
      <c r="AL601" s="3" t="n">
        <v>2</v>
      </c>
      <c r="AM601" s="3" t="n">
        <v>1</v>
      </c>
      <c r="AN601" s="3" t="n">
        <v>2</v>
      </c>
      <c r="AO601" s="3" t="n">
        <v>2</v>
      </c>
      <c r="AP601" s="3" t="n">
        <v>3</v>
      </c>
      <c r="AQ601" s="3" t="n">
        <v>4</v>
      </c>
      <c r="AR601" s="3" t="n">
        <v>4</v>
      </c>
      <c r="AS601" s="3" t="n">
        <v>6</v>
      </c>
      <c r="AT601" s="3" t="n">
        <v>4</v>
      </c>
      <c r="AU601" s="3" t="n">
        <v>4</v>
      </c>
      <c r="AV601" s="3" t="n">
        <v>6</v>
      </c>
      <c r="AW601" s="3" t="n">
        <v>6</v>
      </c>
      <c r="AX601" s="3" t="n">
        <v>3</v>
      </c>
      <c r="AY601" s="3" t="n">
        <v>3</v>
      </c>
      <c r="AZ601" s="3" t="n">
        <v>1</v>
      </c>
      <c r="BA601" s="5" t="n">
        <v>1</v>
      </c>
      <c r="BB601" s="3" t="n">
        <v>1</v>
      </c>
      <c r="BC601" s="3" t="n">
        <v>1</v>
      </c>
      <c r="BD601" s="3" t="n">
        <v>2</v>
      </c>
      <c r="BE601" s="3" t="n">
        <v>3</v>
      </c>
      <c r="BF601" s="3" t="n">
        <v>5</v>
      </c>
      <c r="BG601" s="3" t="n">
        <v>3</v>
      </c>
      <c r="BH601" s="3" t="n">
        <v>4</v>
      </c>
      <c r="BI601" s="3" t="n">
        <v>1</v>
      </c>
      <c r="BJ601" s="3" t="n">
        <v>1</v>
      </c>
      <c r="BK601" s="21" t="s">
        <v>1687</v>
      </c>
    </row>
    <row r="602" customFormat="false" ht="15" hidden="false" customHeight="true" outlineLevel="0" collapsed="false">
      <c r="B602" s="2" t="s">
        <v>1688</v>
      </c>
      <c r="C602" s="2" t="s">
        <v>1689</v>
      </c>
      <c r="D602" s="2" t="s">
        <v>1690</v>
      </c>
      <c r="E602" s="2" t="n">
        <v>188311</v>
      </c>
      <c r="F602" s="15" t="n">
        <v>43781</v>
      </c>
      <c r="G602" s="15" t="n">
        <v>43787</v>
      </c>
      <c r="H602" s="3" t="n">
        <v>7</v>
      </c>
      <c r="I602" s="3" t="n">
        <v>1</v>
      </c>
      <c r="J602" s="3" t="n">
        <v>77</v>
      </c>
      <c r="K602" s="3" t="n">
        <v>2</v>
      </c>
      <c r="L602" s="3" t="n">
        <v>2</v>
      </c>
      <c r="M602" s="3" t="n">
        <v>1</v>
      </c>
      <c r="N602" s="3" t="n">
        <v>2</v>
      </c>
      <c r="O602" s="3" t="n">
        <v>2</v>
      </c>
      <c r="P602" s="3" t="n">
        <v>2</v>
      </c>
      <c r="Q602" s="3" t="n">
        <v>2</v>
      </c>
      <c r="R602" s="3" t="n">
        <v>2</v>
      </c>
      <c r="S602" s="3" t="n">
        <v>2</v>
      </c>
      <c r="T602" s="4" t="n">
        <v>1</v>
      </c>
      <c r="U602" s="3" t="n">
        <v>1</v>
      </c>
      <c r="V602" s="3" t="n">
        <v>7.23</v>
      </c>
      <c r="W602" s="3" t="n">
        <v>2.14</v>
      </c>
      <c r="X602" s="3" t="n">
        <v>4.71</v>
      </c>
      <c r="Y602" s="3" t="n">
        <v>411</v>
      </c>
      <c r="Z602" s="3" t="n">
        <v>91</v>
      </c>
      <c r="AA602" s="3" t="n">
        <v>0.37</v>
      </c>
      <c r="AB602" s="3" t="n">
        <v>9.7</v>
      </c>
      <c r="AC602" s="3" t="n">
        <v>1</v>
      </c>
      <c r="AD602" s="3" t="n">
        <v>1</v>
      </c>
      <c r="AE602" s="3" t="n">
        <v>1</v>
      </c>
      <c r="AF602" s="3" t="n">
        <v>1</v>
      </c>
      <c r="AG602" s="3" t="n">
        <v>1</v>
      </c>
      <c r="AH602" s="3" t="n">
        <v>2</v>
      </c>
      <c r="AI602" s="3" t="n">
        <v>1</v>
      </c>
      <c r="AJ602" s="3" t="n">
        <v>1</v>
      </c>
      <c r="AK602" s="3" t="n">
        <v>2</v>
      </c>
      <c r="AL602" s="3" t="n">
        <v>2</v>
      </c>
      <c r="AM602" s="3" t="n">
        <v>2</v>
      </c>
      <c r="AN602" s="3" t="n">
        <v>2</v>
      </c>
      <c r="AO602" s="3" t="n">
        <v>2</v>
      </c>
      <c r="AP602" s="3" t="n">
        <v>3</v>
      </c>
      <c r="AQ602" s="3" t="n">
        <v>4</v>
      </c>
      <c r="AR602" s="3" t="n">
        <v>4</v>
      </c>
      <c r="AS602" s="3" t="n">
        <v>6</v>
      </c>
      <c r="AT602" s="3" t="n">
        <v>4</v>
      </c>
      <c r="AU602" s="3" t="n">
        <v>4</v>
      </c>
      <c r="AV602" s="3" t="n">
        <v>6</v>
      </c>
      <c r="AW602" s="3" t="n">
        <v>6</v>
      </c>
      <c r="AX602" s="3" t="n">
        <v>3</v>
      </c>
      <c r="AY602" s="3" t="n">
        <v>3</v>
      </c>
      <c r="AZ602" s="3" t="n">
        <v>1</v>
      </c>
      <c r="BA602" s="5" t="n">
        <v>5</v>
      </c>
      <c r="BB602" s="3" t="n">
        <v>2</v>
      </c>
      <c r="BC602" s="3" t="n">
        <v>1</v>
      </c>
      <c r="BD602" s="3" t="n">
        <v>6</v>
      </c>
      <c r="BE602" s="3" t="n">
        <v>3</v>
      </c>
      <c r="BF602" s="3" t="n">
        <v>5</v>
      </c>
      <c r="BG602" s="3" t="n">
        <v>3</v>
      </c>
      <c r="BH602" s="3" t="n">
        <v>4</v>
      </c>
      <c r="BI602" s="3" t="n">
        <v>1</v>
      </c>
      <c r="BJ602" s="3" t="n">
        <v>1</v>
      </c>
      <c r="BK602" s="6" t="s">
        <v>1691</v>
      </c>
    </row>
    <row r="603" customFormat="false" ht="15" hidden="false" customHeight="true" outlineLevel="0" collapsed="false">
      <c r="B603" s="2" t="s">
        <v>1692</v>
      </c>
      <c r="C603" s="2" t="s">
        <v>1693</v>
      </c>
      <c r="D603" s="2" t="s">
        <v>99</v>
      </c>
      <c r="E603" s="2" t="n">
        <v>188391</v>
      </c>
      <c r="F603" s="15" t="n">
        <v>43782</v>
      </c>
      <c r="G603" s="15" t="n">
        <v>43787</v>
      </c>
      <c r="H603" s="3" t="n">
        <v>5</v>
      </c>
      <c r="I603" s="3" t="n">
        <v>1</v>
      </c>
      <c r="J603" s="3" t="n">
        <v>83</v>
      </c>
      <c r="K603" s="3" t="n">
        <v>2</v>
      </c>
      <c r="L603" s="3" t="n">
        <v>1</v>
      </c>
      <c r="M603" s="3" t="n">
        <v>1</v>
      </c>
      <c r="N603" s="3" t="n">
        <v>2</v>
      </c>
      <c r="O603" s="3" t="n">
        <v>2</v>
      </c>
      <c r="P603" s="3" t="n">
        <v>1</v>
      </c>
      <c r="Q603" s="3" t="n">
        <v>1</v>
      </c>
      <c r="R603" s="3" t="n">
        <v>2</v>
      </c>
      <c r="S603" s="3" t="n">
        <v>2</v>
      </c>
      <c r="T603" s="4" t="n">
        <v>1</v>
      </c>
      <c r="U603" s="3" t="n">
        <v>1</v>
      </c>
      <c r="V603" s="3" t="n">
        <v>5.15</v>
      </c>
      <c r="W603" s="3" t="n">
        <v>3.35</v>
      </c>
      <c r="X603" s="3" t="n">
        <v>9.9</v>
      </c>
      <c r="Y603" s="3" t="n">
        <v>399</v>
      </c>
      <c r="Z603" s="3" t="n">
        <v>51</v>
      </c>
      <c r="AA603" s="3" t="n">
        <v>0.42</v>
      </c>
      <c r="AB603" s="3" t="n">
        <v>8.6</v>
      </c>
      <c r="AC603" s="3" t="n">
        <v>1</v>
      </c>
      <c r="AD603" s="3" t="n">
        <v>1</v>
      </c>
      <c r="AE603" s="3" t="n">
        <v>1</v>
      </c>
      <c r="AF603" s="3" t="n">
        <v>1</v>
      </c>
      <c r="AG603" s="3" t="n">
        <v>1</v>
      </c>
      <c r="AH603" s="3" t="n">
        <v>1</v>
      </c>
      <c r="AI603" s="3" t="n">
        <v>1</v>
      </c>
      <c r="AJ603" s="3" t="n">
        <v>1</v>
      </c>
      <c r="AK603" s="3" t="n">
        <v>1</v>
      </c>
      <c r="AL603" s="3" t="n">
        <v>2</v>
      </c>
      <c r="AM603" s="3" t="n">
        <v>1</v>
      </c>
      <c r="AN603" s="3" t="n">
        <v>2</v>
      </c>
      <c r="AO603" s="3" t="n">
        <v>2</v>
      </c>
      <c r="AP603" s="3" t="n">
        <v>3</v>
      </c>
      <c r="AQ603" s="3" t="n">
        <v>4</v>
      </c>
      <c r="AR603" s="3" t="n">
        <v>4</v>
      </c>
      <c r="AS603" s="3" t="n">
        <v>6</v>
      </c>
      <c r="AT603" s="3" t="n">
        <v>4</v>
      </c>
      <c r="AU603" s="3" t="n">
        <v>4</v>
      </c>
      <c r="AV603" s="3" t="n">
        <v>6</v>
      </c>
      <c r="AW603" s="3" t="n">
        <v>6</v>
      </c>
      <c r="AX603" s="3" t="n">
        <v>3</v>
      </c>
      <c r="AY603" s="3" t="n">
        <v>3</v>
      </c>
      <c r="AZ603" s="3" t="n">
        <v>1</v>
      </c>
      <c r="BA603" s="5" t="n">
        <v>5</v>
      </c>
      <c r="BB603" s="3" t="n">
        <v>2</v>
      </c>
      <c r="BC603" s="3" t="n">
        <v>1</v>
      </c>
      <c r="BD603" s="3" t="n">
        <v>6</v>
      </c>
      <c r="BE603" s="3" t="n">
        <v>3</v>
      </c>
      <c r="BF603" s="3" t="n">
        <v>5</v>
      </c>
      <c r="BG603" s="3" t="n">
        <v>3</v>
      </c>
      <c r="BH603" s="3" t="n">
        <v>4</v>
      </c>
      <c r="BI603" s="3" t="n">
        <v>1</v>
      </c>
      <c r="BJ603" s="3" t="n">
        <v>1</v>
      </c>
      <c r="BK603" s="6" t="s">
        <v>1694</v>
      </c>
    </row>
    <row r="604" customFormat="false" ht="15" hidden="false" customHeight="true" outlineLevel="0" collapsed="false">
      <c r="B604" s="2" t="s">
        <v>1695</v>
      </c>
      <c r="C604" s="2" t="s">
        <v>1243</v>
      </c>
      <c r="D604" s="2" t="s">
        <v>1696</v>
      </c>
      <c r="E604" s="2" t="n">
        <v>178414</v>
      </c>
      <c r="F604" s="15" t="n">
        <v>43777</v>
      </c>
      <c r="G604" s="15" t="n">
        <v>43783</v>
      </c>
      <c r="H604" s="3" t="n">
        <v>6</v>
      </c>
      <c r="I604" s="3" t="n">
        <v>1</v>
      </c>
      <c r="J604" s="3" t="n">
        <v>74</v>
      </c>
      <c r="K604" s="3" t="n">
        <v>1</v>
      </c>
      <c r="L604" s="3" t="n">
        <v>1</v>
      </c>
      <c r="M604" s="3" t="n">
        <v>1</v>
      </c>
      <c r="N604" s="3" t="n">
        <v>2</v>
      </c>
      <c r="O604" s="3" t="n">
        <v>2</v>
      </c>
      <c r="P604" s="3" t="n">
        <v>2</v>
      </c>
      <c r="Q604" s="3" t="n">
        <v>2</v>
      </c>
      <c r="R604" s="3" t="n">
        <v>2</v>
      </c>
      <c r="S604" s="3" t="n">
        <v>1</v>
      </c>
      <c r="T604" s="4" t="n">
        <v>1</v>
      </c>
      <c r="U604" s="3" t="n">
        <v>1</v>
      </c>
      <c r="V604" s="3" t="s">
        <v>1406</v>
      </c>
      <c r="W604" s="3" t="s">
        <v>1697</v>
      </c>
      <c r="X604" s="3" t="s">
        <v>1698</v>
      </c>
      <c r="Y604" s="3" t="n">
        <v>297</v>
      </c>
      <c r="Z604" s="3" t="n">
        <v>43</v>
      </c>
      <c r="AA604" s="3" t="s">
        <v>1699</v>
      </c>
      <c r="AC604" s="3" t="n">
        <v>1</v>
      </c>
      <c r="AD604" s="3" t="n">
        <v>1</v>
      </c>
      <c r="AE604" s="3" t="n">
        <v>1</v>
      </c>
      <c r="AF604" s="3" t="n">
        <v>1</v>
      </c>
      <c r="AG604" s="3" t="n">
        <v>2</v>
      </c>
      <c r="AH604" s="3" t="n">
        <v>2</v>
      </c>
      <c r="AI604" s="3" t="n">
        <v>1</v>
      </c>
      <c r="AJ604" s="3" t="n">
        <v>1</v>
      </c>
      <c r="AK604" s="3" t="n">
        <v>2</v>
      </c>
      <c r="AL604" s="3" t="n">
        <v>2</v>
      </c>
      <c r="AM604" s="3" t="n">
        <v>1</v>
      </c>
      <c r="AN604" s="3" t="n">
        <v>2</v>
      </c>
      <c r="AO604" s="3" t="n">
        <v>2</v>
      </c>
      <c r="AP604" s="3" t="n">
        <v>3</v>
      </c>
      <c r="AQ604" s="3" t="n">
        <v>4</v>
      </c>
      <c r="AR604" s="3" t="n">
        <v>4</v>
      </c>
      <c r="AS604" s="3" t="n">
        <v>6</v>
      </c>
      <c r="AT604" s="3" t="n">
        <v>4</v>
      </c>
      <c r="AU604" s="3" t="n">
        <v>4</v>
      </c>
      <c r="AV604" s="3" t="n">
        <v>6</v>
      </c>
      <c r="AW604" s="3" t="n">
        <v>6</v>
      </c>
      <c r="AX604" s="3" t="n">
        <v>3</v>
      </c>
      <c r="AY604" s="3" t="n">
        <v>3</v>
      </c>
      <c r="AZ604" s="3" t="n">
        <v>1</v>
      </c>
      <c r="BA604" s="5" t="n">
        <v>5</v>
      </c>
      <c r="BB604" s="3" t="n">
        <v>2</v>
      </c>
      <c r="BC604" s="3" t="n">
        <v>1</v>
      </c>
      <c r="BD604" s="3" t="n">
        <v>6</v>
      </c>
      <c r="BE604" s="3" t="n">
        <v>3</v>
      </c>
      <c r="BF604" s="3" t="n">
        <v>5</v>
      </c>
      <c r="BG604" s="3" t="n">
        <v>3</v>
      </c>
      <c r="BH604" s="3" t="n">
        <v>4</v>
      </c>
      <c r="BI604" s="3" t="n">
        <v>1</v>
      </c>
      <c r="BJ604" s="3" t="n">
        <v>1</v>
      </c>
      <c r="BK604" s="6" t="s">
        <v>1700</v>
      </c>
    </row>
    <row r="605" customFormat="false" ht="15" hidden="false" customHeight="true" outlineLevel="0" collapsed="false">
      <c r="B605" s="2" t="s">
        <v>352</v>
      </c>
      <c r="C605" s="2" t="s">
        <v>1701</v>
      </c>
      <c r="D605" s="2" t="s">
        <v>1150</v>
      </c>
      <c r="E605" s="2" t="n">
        <v>64172</v>
      </c>
      <c r="F605" s="15" t="n">
        <v>43776</v>
      </c>
      <c r="G605" s="15" t="n">
        <v>43782</v>
      </c>
      <c r="H605" s="3" t="n">
        <v>6</v>
      </c>
      <c r="I605" s="3" t="n">
        <v>2</v>
      </c>
      <c r="J605" s="3" t="n">
        <v>73</v>
      </c>
      <c r="K605" s="3" t="n">
        <v>1</v>
      </c>
      <c r="L605" s="3" t="n">
        <v>1</v>
      </c>
      <c r="M605" s="3" t="n">
        <v>1</v>
      </c>
      <c r="N605" s="3" t="n">
        <v>1</v>
      </c>
      <c r="O605" s="3" t="n">
        <v>2</v>
      </c>
      <c r="P605" s="3" t="n">
        <v>1</v>
      </c>
      <c r="Q605" s="3" t="n">
        <v>2</v>
      </c>
      <c r="R605" s="3" t="n">
        <v>2</v>
      </c>
      <c r="S605" s="3" t="n">
        <v>1</v>
      </c>
      <c r="T605" s="4" t="n">
        <v>1</v>
      </c>
      <c r="U605" s="3" t="n">
        <v>1</v>
      </c>
      <c r="V605" s="3" t="s">
        <v>1702</v>
      </c>
      <c r="W605" s="3" t="s">
        <v>1703</v>
      </c>
      <c r="X605" s="3" t="s">
        <v>1704</v>
      </c>
      <c r="Y605" s="3" t="n">
        <v>670</v>
      </c>
      <c r="Z605" s="3" t="n">
        <v>98</v>
      </c>
      <c r="AA605" s="3" t="s">
        <v>1705</v>
      </c>
      <c r="AB605" s="3" t="s">
        <v>1706</v>
      </c>
      <c r="AC605" s="3" t="n">
        <v>1</v>
      </c>
      <c r="AD605" s="3" t="n">
        <v>1</v>
      </c>
      <c r="AE605" s="3" t="n">
        <v>1</v>
      </c>
      <c r="AF605" s="3" t="n">
        <v>1</v>
      </c>
      <c r="AG605" s="3" t="n">
        <v>1</v>
      </c>
      <c r="AH605" s="3" t="n">
        <v>1</v>
      </c>
      <c r="AI605" s="3" t="n">
        <v>1</v>
      </c>
      <c r="AJ605" s="3" t="n">
        <v>1</v>
      </c>
      <c r="AK605" s="3" t="n">
        <v>2</v>
      </c>
      <c r="AL605" s="3" t="n">
        <v>2</v>
      </c>
      <c r="AM605" s="3" t="n">
        <v>1</v>
      </c>
      <c r="AN605" s="3" t="n">
        <v>2</v>
      </c>
      <c r="AO605" s="3" t="n">
        <v>2</v>
      </c>
      <c r="AP605" s="3" t="n">
        <v>3</v>
      </c>
      <c r="AQ605" s="3" t="n">
        <v>4</v>
      </c>
      <c r="AR605" s="3" t="n">
        <v>4</v>
      </c>
      <c r="AS605" s="3" t="n">
        <v>6</v>
      </c>
      <c r="AT605" s="3" t="n">
        <v>4</v>
      </c>
      <c r="AU605" s="3" t="n">
        <v>4</v>
      </c>
      <c r="AV605" s="3" t="n">
        <v>6</v>
      </c>
      <c r="AW605" s="3" t="n">
        <v>6</v>
      </c>
      <c r="AX605" s="3" t="n">
        <v>3</v>
      </c>
      <c r="AY605" s="3" t="n">
        <v>3</v>
      </c>
      <c r="AZ605" s="3" t="n">
        <v>1</v>
      </c>
      <c r="BA605" s="5" t="n">
        <v>5</v>
      </c>
      <c r="BB605" s="3" t="n">
        <v>2</v>
      </c>
      <c r="BC605" s="3" t="n">
        <v>1</v>
      </c>
      <c r="BD605" s="3" t="n">
        <v>6</v>
      </c>
      <c r="BE605" s="3" t="n">
        <v>3</v>
      </c>
      <c r="BF605" s="3" t="n">
        <v>5</v>
      </c>
      <c r="BG605" s="3" t="n">
        <v>3</v>
      </c>
      <c r="BH605" s="3" t="n">
        <v>4</v>
      </c>
      <c r="BI605" s="3" t="n">
        <v>1</v>
      </c>
      <c r="BJ605" s="3" t="n">
        <v>1</v>
      </c>
      <c r="BK605" s="6" t="s">
        <v>1707</v>
      </c>
    </row>
    <row r="606" customFormat="false" ht="15" hidden="false" customHeight="true" outlineLevel="0" collapsed="false">
      <c r="B606" s="2" t="s">
        <v>1708</v>
      </c>
      <c r="C606" s="2" t="s">
        <v>1412</v>
      </c>
      <c r="D606" s="2" t="s">
        <v>1709</v>
      </c>
      <c r="E606" s="2" t="n">
        <v>188219</v>
      </c>
      <c r="F606" s="15" t="n">
        <v>43778</v>
      </c>
      <c r="G606" s="15" t="n">
        <v>43783</v>
      </c>
      <c r="H606" s="3" t="n">
        <v>5</v>
      </c>
      <c r="I606" s="3" t="n">
        <v>2</v>
      </c>
      <c r="J606" s="3" t="n">
        <v>64</v>
      </c>
      <c r="K606" s="3" t="n">
        <v>1</v>
      </c>
      <c r="L606" s="3" t="n">
        <v>1</v>
      </c>
      <c r="M606" s="3" t="n">
        <v>1</v>
      </c>
      <c r="N606" s="3" t="n">
        <v>1</v>
      </c>
      <c r="O606" s="3" t="n">
        <v>1</v>
      </c>
      <c r="P606" s="3" t="n">
        <v>2</v>
      </c>
      <c r="Q606" s="3" t="n">
        <v>2</v>
      </c>
      <c r="R606" s="3" t="n">
        <v>2</v>
      </c>
      <c r="S606" s="3" t="n">
        <v>1</v>
      </c>
      <c r="T606" s="4" t="n">
        <v>1</v>
      </c>
      <c r="U606" s="3" t="n">
        <v>1</v>
      </c>
      <c r="V606" s="3" t="n">
        <v>4.39</v>
      </c>
      <c r="W606" s="3" t="n">
        <v>1.67</v>
      </c>
      <c r="X606" s="3" t="n">
        <v>5.14</v>
      </c>
      <c r="Y606" s="3" t="n">
        <v>413</v>
      </c>
      <c r="Z606" s="3" t="n">
        <v>74</v>
      </c>
      <c r="AA606" s="3" t="n">
        <v>48</v>
      </c>
      <c r="AB606" s="3" t="n">
        <v>9.6</v>
      </c>
      <c r="AC606" s="3" t="n">
        <v>1</v>
      </c>
      <c r="AD606" s="3" t="n">
        <v>1</v>
      </c>
      <c r="AE606" s="3" t="n">
        <v>1</v>
      </c>
      <c r="AF606" s="3" t="n">
        <v>1</v>
      </c>
      <c r="AG606" s="3" t="n">
        <v>1</v>
      </c>
      <c r="AH606" s="3" t="n">
        <v>1</v>
      </c>
      <c r="AI606" s="3" t="n">
        <v>1</v>
      </c>
      <c r="AJ606" s="3" t="n">
        <v>1</v>
      </c>
      <c r="AK606" s="3" t="n">
        <v>2</v>
      </c>
      <c r="AL606" s="3" t="n">
        <v>2</v>
      </c>
      <c r="AM606" s="3" t="n">
        <v>1</v>
      </c>
      <c r="AN606" s="3" t="n">
        <v>2</v>
      </c>
      <c r="AO606" s="3" t="n">
        <v>2</v>
      </c>
      <c r="AP606" s="3" t="n">
        <v>3</v>
      </c>
      <c r="AQ606" s="3" t="n">
        <v>4</v>
      </c>
      <c r="AR606" s="3" t="n">
        <v>4</v>
      </c>
      <c r="AS606" s="3" t="n">
        <v>6</v>
      </c>
      <c r="AT606" s="3" t="n">
        <v>4</v>
      </c>
      <c r="AU606" s="3" t="n">
        <v>4</v>
      </c>
      <c r="AV606" s="3" t="n">
        <v>6</v>
      </c>
      <c r="AW606" s="3" t="n">
        <v>6</v>
      </c>
      <c r="AX606" s="3" t="n">
        <v>3</v>
      </c>
      <c r="AY606" s="3" t="n">
        <v>3</v>
      </c>
      <c r="AZ606" s="3" t="n">
        <v>1</v>
      </c>
      <c r="BA606" s="5" t="n">
        <v>5</v>
      </c>
      <c r="BB606" s="3" t="n">
        <v>2</v>
      </c>
      <c r="BC606" s="3" t="n">
        <v>1</v>
      </c>
      <c r="BD606" s="3" t="n">
        <v>6</v>
      </c>
      <c r="BE606" s="3" t="n">
        <v>3</v>
      </c>
      <c r="BF606" s="3" t="n">
        <v>5</v>
      </c>
      <c r="BG606" s="3" t="n">
        <v>3</v>
      </c>
      <c r="BH606" s="3" t="n">
        <v>4</v>
      </c>
      <c r="BI606" s="3" t="n">
        <v>1</v>
      </c>
      <c r="BJ606" s="3" t="n">
        <v>1</v>
      </c>
      <c r="BK606" s="6" t="s">
        <v>1710</v>
      </c>
    </row>
    <row r="607" customFormat="false" ht="15" hidden="false" customHeight="true" outlineLevel="0" collapsed="false">
      <c r="B607" s="2" t="s">
        <v>1711</v>
      </c>
      <c r="C607" s="2" t="s">
        <v>936</v>
      </c>
      <c r="D607" s="2" t="s">
        <v>402</v>
      </c>
      <c r="E607" s="2" t="n">
        <v>188282</v>
      </c>
      <c r="F607" s="15" t="n">
        <v>43775</v>
      </c>
      <c r="G607" s="15" t="n">
        <v>43781</v>
      </c>
      <c r="H607" s="3" t="n">
        <v>6</v>
      </c>
      <c r="I607" s="3" t="n">
        <v>1</v>
      </c>
      <c r="J607" s="3" t="n">
        <v>53</v>
      </c>
      <c r="K607" s="3" t="n">
        <v>1</v>
      </c>
      <c r="L607" s="3" t="n">
        <v>2</v>
      </c>
      <c r="M607" s="3" t="n">
        <v>2</v>
      </c>
      <c r="N607" s="3" t="n">
        <v>2</v>
      </c>
      <c r="O607" s="3" t="n">
        <v>2</v>
      </c>
      <c r="P607" s="3" t="n">
        <v>2</v>
      </c>
      <c r="Q607" s="3" t="n">
        <v>2</v>
      </c>
      <c r="R607" s="3" t="n">
        <v>2</v>
      </c>
      <c r="S607" s="3" t="n">
        <v>1</v>
      </c>
      <c r="T607" s="4" t="n">
        <v>3</v>
      </c>
      <c r="U607" s="3" t="n">
        <v>4</v>
      </c>
      <c r="V607" s="3" t="n">
        <v>4.08</v>
      </c>
      <c r="W607" s="3" t="n">
        <v>1.86</v>
      </c>
      <c r="X607" s="3" t="n">
        <v>6.22</v>
      </c>
      <c r="Y607" s="3" t="n">
        <v>575</v>
      </c>
      <c r="Z607" s="3" t="n">
        <v>67</v>
      </c>
      <c r="AA607" s="3" t="n">
        <v>0.41</v>
      </c>
      <c r="AB607" s="3" t="n">
        <v>11.6</v>
      </c>
      <c r="AC607" s="3" t="n">
        <v>2</v>
      </c>
      <c r="AD607" s="3" t="n">
        <v>2</v>
      </c>
      <c r="AE607" s="3" t="n">
        <v>1</v>
      </c>
      <c r="AF607" s="3" t="n">
        <v>2</v>
      </c>
      <c r="AG607" s="3" t="n">
        <v>1</v>
      </c>
      <c r="AH607" s="3" t="n">
        <v>2</v>
      </c>
      <c r="AI607" s="3" t="n">
        <v>2</v>
      </c>
      <c r="AJ607" s="3" t="n">
        <v>1</v>
      </c>
      <c r="AK607" s="3" t="n">
        <v>2</v>
      </c>
      <c r="AL607" s="3" t="n">
        <v>1</v>
      </c>
      <c r="AM607" s="3" t="n">
        <v>1</v>
      </c>
      <c r="AN607" s="3" t="n">
        <v>2</v>
      </c>
      <c r="AO607" s="3" t="n">
        <v>2</v>
      </c>
      <c r="AP607" s="3" t="n">
        <v>3</v>
      </c>
      <c r="AQ607" s="3" t="n">
        <v>4</v>
      </c>
      <c r="AR607" s="3" t="n">
        <v>4</v>
      </c>
      <c r="AS607" s="3" t="n">
        <v>6</v>
      </c>
      <c r="AT607" s="3" t="n">
        <v>4</v>
      </c>
      <c r="AU607" s="3" t="n">
        <v>4</v>
      </c>
      <c r="AV607" s="3" t="n">
        <v>6</v>
      </c>
      <c r="AW607" s="3" t="n">
        <v>6</v>
      </c>
      <c r="AX607" s="3" t="n">
        <v>3</v>
      </c>
      <c r="AY607" s="3" t="n">
        <v>3</v>
      </c>
      <c r="AZ607" s="3" t="n">
        <v>1</v>
      </c>
      <c r="BA607" s="5" t="n">
        <v>5</v>
      </c>
      <c r="BB607" s="3" t="n">
        <v>2</v>
      </c>
      <c r="BC607" s="3" t="n">
        <v>1</v>
      </c>
      <c r="BD607" s="3" t="n">
        <v>6</v>
      </c>
      <c r="BE607" s="3" t="n">
        <v>3</v>
      </c>
      <c r="BF607" s="3" t="n">
        <v>5</v>
      </c>
      <c r="BG607" s="3" t="n">
        <v>3</v>
      </c>
      <c r="BH607" s="3" t="n">
        <v>4</v>
      </c>
      <c r="BI607" s="3" t="n">
        <v>1</v>
      </c>
      <c r="BJ607" s="3" t="n">
        <v>1</v>
      </c>
      <c r="BK607" s="6" t="s">
        <v>1712</v>
      </c>
    </row>
    <row r="608" customFormat="false" ht="15" hidden="false" customHeight="true" outlineLevel="0" collapsed="false">
      <c r="B608" s="2" t="s">
        <v>727</v>
      </c>
      <c r="C608" s="2" t="s">
        <v>70</v>
      </c>
      <c r="D608" s="2" t="s">
        <v>1713</v>
      </c>
      <c r="E608" s="2" t="n">
        <v>188276</v>
      </c>
      <c r="F608" s="15" t="n">
        <v>43776</v>
      </c>
      <c r="G608" s="15" t="n">
        <v>43786</v>
      </c>
      <c r="H608" s="3" t="n">
        <v>10</v>
      </c>
      <c r="I608" s="3" t="n">
        <v>2</v>
      </c>
      <c r="J608" s="3" t="n">
        <v>72</v>
      </c>
      <c r="K608" s="3" t="n">
        <v>1</v>
      </c>
      <c r="L608" s="3" t="n">
        <v>1</v>
      </c>
      <c r="M608" s="3" t="n">
        <v>1</v>
      </c>
      <c r="N608" s="3" t="n">
        <v>2</v>
      </c>
      <c r="O608" s="3" t="n">
        <v>2</v>
      </c>
      <c r="P608" s="3" t="n">
        <v>1</v>
      </c>
      <c r="Q608" s="3" t="n">
        <v>2</v>
      </c>
      <c r="R608" s="3" t="n">
        <v>2</v>
      </c>
      <c r="S608" s="3" t="n">
        <v>1</v>
      </c>
      <c r="T608" s="4" t="n">
        <v>2</v>
      </c>
      <c r="U608" s="3" t="n">
        <v>2</v>
      </c>
      <c r="V608" s="3" t="n">
        <v>6.42</v>
      </c>
      <c r="W608" s="3" t="n">
        <v>1.65</v>
      </c>
      <c r="X608" s="3" t="n">
        <v>3.6</v>
      </c>
      <c r="Y608" s="3" t="n">
        <v>484</v>
      </c>
      <c r="Z608" s="3" t="n">
        <v>69</v>
      </c>
      <c r="AA608" s="3" t="n">
        <v>0.52</v>
      </c>
      <c r="AB608" s="3" t="n">
        <v>15.6</v>
      </c>
      <c r="AC608" s="3" t="n">
        <v>1</v>
      </c>
      <c r="AD608" s="3" t="n">
        <v>2</v>
      </c>
      <c r="AE608" s="3" t="n">
        <v>1</v>
      </c>
      <c r="AF608" s="3" t="n">
        <v>1</v>
      </c>
      <c r="AG608" s="3" t="n">
        <v>2</v>
      </c>
      <c r="AH608" s="3" t="n">
        <v>2</v>
      </c>
      <c r="AI608" s="3" t="n">
        <v>1</v>
      </c>
      <c r="AJ608" s="3" t="n">
        <v>1</v>
      </c>
      <c r="AK608" s="3" t="n">
        <v>2</v>
      </c>
      <c r="AL608" s="3" t="n">
        <v>2</v>
      </c>
      <c r="AM608" s="3" t="n">
        <v>2</v>
      </c>
      <c r="AN608" s="3" t="n">
        <v>2</v>
      </c>
      <c r="AO608" s="3" t="n">
        <v>2</v>
      </c>
      <c r="AP608" s="3" t="n">
        <v>2</v>
      </c>
      <c r="AQ608" s="3" t="n">
        <v>2</v>
      </c>
      <c r="AR608" s="3" t="n">
        <v>2</v>
      </c>
      <c r="AS608" s="3" t="n">
        <v>4</v>
      </c>
      <c r="AT608" s="3" t="n">
        <v>1</v>
      </c>
      <c r="AU608" s="3" t="n">
        <v>1</v>
      </c>
      <c r="AV608" s="3" t="n">
        <v>1</v>
      </c>
      <c r="AW608" s="3" t="n">
        <v>1</v>
      </c>
      <c r="AX608" s="3" t="n">
        <v>2</v>
      </c>
      <c r="AY608" s="3" t="n">
        <v>2</v>
      </c>
      <c r="AZ608" s="3" t="n">
        <v>1</v>
      </c>
      <c r="BA608" s="5" t="n">
        <v>1</v>
      </c>
      <c r="BB608" s="3" t="n">
        <v>1</v>
      </c>
      <c r="BC608" s="3" t="n">
        <v>1</v>
      </c>
      <c r="BD608" s="3" t="n">
        <v>4</v>
      </c>
      <c r="BE608" s="3" t="n">
        <v>1</v>
      </c>
      <c r="BF608" s="3" t="n">
        <v>2</v>
      </c>
      <c r="BG608" s="3" t="n">
        <v>1</v>
      </c>
      <c r="BH608" s="3" t="n">
        <v>4</v>
      </c>
      <c r="BI608" s="3" t="n">
        <v>1</v>
      </c>
      <c r="BJ608" s="3" t="n">
        <v>1</v>
      </c>
      <c r="BK608" s="45" t="s">
        <v>1714</v>
      </c>
    </row>
    <row r="609" customFormat="false" ht="15" hidden="false" customHeight="true" outlineLevel="0" collapsed="false">
      <c r="B609" s="2" t="s">
        <v>1715</v>
      </c>
      <c r="C609" s="2" t="s">
        <v>66</v>
      </c>
      <c r="D609" s="2" t="s">
        <v>298</v>
      </c>
      <c r="E609" s="2" t="n">
        <v>187631</v>
      </c>
      <c r="F609" s="15" t="n">
        <v>43767</v>
      </c>
      <c r="G609" s="15" t="n">
        <v>43774</v>
      </c>
      <c r="H609" s="3" t="n">
        <v>7</v>
      </c>
      <c r="I609" s="3" t="n">
        <v>2</v>
      </c>
      <c r="J609" s="3" t="n">
        <v>55</v>
      </c>
      <c r="K609" s="3" t="n">
        <v>1</v>
      </c>
      <c r="L609" s="3" t="n">
        <v>1</v>
      </c>
      <c r="M609" s="3" t="n">
        <v>2</v>
      </c>
      <c r="N609" s="3" t="n">
        <v>2</v>
      </c>
      <c r="O609" s="3" t="n">
        <v>2</v>
      </c>
      <c r="P609" s="3" t="n">
        <v>2</v>
      </c>
      <c r="Q609" s="3" t="n">
        <v>1</v>
      </c>
      <c r="R609" s="3" t="n">
        <v>2</v>
      </c>
      <c r="S609" s="3" t="n">
        <v>2</v>
      </c>
      <c r="T609" s="4" t="n">
        <v>2</v>
      </c>
      <c r="U609" s="3" t="n">
        <v>2</v>
      </c>
      <c r="V609" s="3" t="n">
        <v>4.57</v>
      </c>
      <c r="W609" s="3" t="n">
        <v>8.94</v>
      </c>
      <c r="X609" s="3" t="n">
        <v>12.94</v>
      </c>
      <c r="Y609" s="3" t="n">
        <v>273</v>
      </c>
      <c r="Z609" s="3" t="n">
        <v>43</v>
      </c>
      <c r="AA609" s="3" t="n">
        <v>0.45</v>
      </c>
      <c r="AB609" s="3" t="n">
        <v>11.3</v>
      </c>
      <c r="AC609" s="3" t="n">
        <v>1</v>
      </c>
      <c r="AD609" s="3" t="n">
        <v>1</v>
      </c>
      <c r="AE609" s="3" t="n">
        <v>1</v>
      </c>
      <c r="AF609" s="3" t="n">
        <v>1</v>
      </c>
      <c r="AG609" s="3" t="n">
        <v>2</v>
      </c>
      <c r="AH609" s="3" t="n">
        <v>1</v>
      </c>
      <c r="AI609" s="3" t="n">
        <v>2</v>
      </c>
      <c r="AJ609" s="3" t="n">
        <v>2</v>
      </c>
      <c r="AK609" s="3" t="n">
        <v>2</v>
      </c>
      <c r="AL609" s="3" t="n">
        <v>2</v>
      </c>
      <c r="AM609" s="3" t="n">
        <v>2</v>
      </c>
      <c r="AN609" s="3" t="n">
        <v>2</v>
      </c>
      <c r="AO609" s="3" t="n">
        <v>2</v>
      </c>
      <c r="AP609" s="3" t="n">
        <v>3</v>
      </c>
      <c r="AQ609" s="3" t="n">
        <v>4</v>
      </c>
      <c r="AR609" s="3" t="n">
        <v>4</v>
      </c>
      <c r="AS609" s="3" t="n">
        <v>6</v>
      </c>
      <c r="AT609" s="3" t="n">
        <v>4</v>
      </c>
      <c r="AU609" s="3" t="n">
        <v>4</v>
      </c>
      <c r="AV609" s="3" t="n">
        <v>6</v>
      </c>
      <c r="AW609" s="3" t="n">
        <v>6</v>
      </c>
      <c r="AX609" s="3" t="n">
        <v>3</v>
      </c>
      <c r="AY609" s="3" t="n">
        <v>3</v>
      </c>
      <c r="AZ609" s="3" t="n">
        <v>1</v>
      </c>
      <c r="BA609" s="5" t="n">
        <v>1</v>
      </c>
      <c r="BB609" s="3" t="n">
        <v>1</v>
      </c>
      <c r="BC609" s="3" t="n">
        <v>1</v>
      </c>
      <c r="BD609" s="3" t="n">
        <v>4</v>
      </c>
      <c r="BE609" s="3" t="n">
        <v>3</v>
      </c>
      <c r="BF609" s="3" t="n">
        <v>5</v>
      </c>
      <c r="BG609" s="3" t="n">
        <v>3</v>
      </c>
      <c r="BH609" s="3" t="n">
        <v>4</v>
      </c>
      <c r="BI609" s="3" t="n">
        <v>1</v>
      </c>
      <c r="BJ609" s="3" t="n">
        <v>1</v>
      </c>
      <c r="BK609" s="6" t="s">
        <v>1716</v>
      </c>
    </row>
    <row r="610" customFormat="false" ht="15" hidden="false" customHeight="true" outlineLevel="0" collapsed="false">
      <c r="B610" s="2" t="s">
        <v>1683</v>
      </c>
      <c r="C610" s="2" t="s">
        <v>1693</v>
      </c>
      <c r="D610" s="2" t="s">
        <v>78</v>
      </c>
      <c r="E610" s="2" t="n">
        <v>0.42548</v>
      </c>
      <c r="F610" s="15" t="n">
        <v>43769</v>
      </c>
      <c r="G610" s="15" t="n">
        <v>43773</v>
      </c>
      <c r="H610" s="3" t="n">
        <v>5</v>
      </c>
      <c r="I610" s="3" t="n">
        <v>1</v>
      </c>
      <c r="J610" s="3" t="n">
        <v>48</v>
      </c>
      <c r="K610" s="3" t="n">
        <v>2</v>
      </c>
      <c r="L610" s="3" t="n">
        <v>2</v>
      </c>
      <c r="M610" s="3" t="n">
        <v>1</v>
      </c>
      <c r="N610" s="3" t="n">
        <v>2</v>
      </c>
      <c r="O610" s="3" t="n">
        <v>2</v>
      </c>
      <c r="P610" s="3" t="n">
        <v>2</v>
      </c>
      <c r="Q610" s="3" t="n">
        <v>2</v>
      </c>
      <c r="R610" s="3" t="n">
        <v>2</v>
      </c>
      <c r="S610" s="3" t="n">
        <v>2</v>
      </c>
      <c r="T610" s="4" t="n">
        <v>12</v>
      </c>
      <c r="U610" s="3" t="n">
        <v>1</v>
      </c>
      <c r="AC610" s="3" t="n">
        <v>1</v>
      </c>
      <c r="AD610" s="3" t="n">
        <v>1</v>
      </c>
      <c r="AE610" s="3" t="n">
        <v>2</v>
      </c>
      <c r="AF610" s="3" t="n">
        <v>2</v>
      </c>
      <c r="AG610" s="3" t="n">
        <v>1</v>
      </c>
      <c r="AH610" s="3" t="n">
        <v>1</v>
      </c>
      <c r="AI610" s="3" t="n">
        <v>1</v>
      </c>
      <c r="AJ610" s="3" t="n">
        <v>2</v>
      </c>
      <c r="AK610" s="3" t="n">
        <v>2</v>
      </c>
      <c r="AL610" s="3" t="n">
        <v>2</v>
      </c>
      <c r="AM610" s="3" t="n">
        <v>1</v>
      </c>
      <c r="AN610" s="3" t="n">
        <v>2</v>
      </c>
      <c r="AO610" s="3" t="n">
        <v>2</v>
      </c>
      <c r="AP610" s="3" t="n">
        <v>3</v>
      </c>
      <c r="AQ610" s="3" t="n">
        <v>4</v>
      </c>
      <c r="AR610" s="3" t="n">
        <v>4</v>
      </c>
      <c r="AS610" s="3" t="n">
        <v>6</v>
      </c>
      <c r="AT610" s="3" t="n">
        <v>4</v>
      </c>
      <c r="AU610" s="3" t="n">
        <v>4</v>
      </c>
      <c r="AV610" s="3" t="n">
        <v>6</v>
      </c>
      <c r="AW610" s="3" t="n">
        <v>6</v>
      </c>
      <c r="AX610" s="3" t="n">
        <v>3</v>
      </c>
      <c r="AY610" s="3" t="n">
        <v>3</v>
      </c>
      <c r="AZ610" s="3" t="n">
        <v>1</v>
      </c>
      <c r="BA610" s="5" t="n">
        <v>3</v>
      </c>
      <c r="BB610" s="3" t="n">
        <v>2</v>
      </c>
      <c r="BC610" s="3" t="n">
        <v>1</v>
      </c>
      <c r="BD610" s="3" t="n">
        <v>6</v>
      </c>
      <c r="BE610" s="3" t="n">
        <v>3</v>
      </c>
      <c r="BF610" s="3" t="n">
        <v>5</v>
      </c>
      <c r="BG610" s="3" t="n">
        <v>3</v>
      </c>
      <c r="BH610" s="3" t="n">
        <v>4</v>
      </c>
      <c r="BI610" s="3" t="n">
        <v>1</v>
      </c>
      <c r="BJ610" s="3" t="n">
        <v>1</v>
      </c>
      <c r="BK610" s="6" t="s">
        <v>1717</v>
      </c>
    </row>
    <row r="611" customFormat="false" ht="15" hidden="false" customHeight="true" outlineLevel="0" collapsed="false">
      <c r="B611" s="17" t="s">
        <v>1718</v>
      </c>
      <c r="C611" s="17" t="s">
        <v>1719</v>
      </c>
      <c r="D611" s="17" t="s">
        <v>1720</v>
      </c>
      <c r="E611" s="2" t="n">
        <v>187718</v>
      </c>
      <c r="F611" s="15" t="n">
        <v>43769</v>
      </c>
      <c r="G611" s="15" t="n">
        <v>43773</v>
      </c>
      <c r="H611" s="3" t="n">
        <v>5</v>
      </c>
      <c r="I611" s="3" t="n">
        <v>2</v>
      </c>
      <c r="J611" s="3" t="n">
        <v>45</v>
      </c>
      <c r="K611" s="3" t="n">
        <v>2</v>
      </c>
      <c r="L611" s="3" t="n">
        <v>2</v>
      </c>
      <c r="M611" s="3" t="n">
        <v>1</v>
      </c>
      <c r="N611" s="3" t="n">
        <v>2</v>
      </c>
      <c r="O611" s="3" t="n">
        <v>2</v>
      </c>
      <c r="P611" s="3" t="n">
        <v>2</v>
      </c>
      <c r="Q611" s="3" t="n">
        <v>2</v>
      </c>
      <c r="R611" s="3" t="n">
        <v>2</v>
      </c>
      <c r="S611" s="3" t="n">
        <v>2</v>
      </c>
      <c r="T611" s="4" t="n">
        <v>12</v>
      </c>
      <c r="U611" s="3" t="n">
        <v>1</v>
      </c>
      <c r="AC611" s="3" t="n">
        <v>1</v>
      </c>
      <c r="AD611" s="3" t="n">
        <v>2</v>
      </c>
      <c r="AE611" s="3" t="n">
        <v>1</v>
      </c>
      <c r="AF611" s="3" t="n">
        <v>1</v>
      </c>
      <c r="AG611" s="3" t="n">
        <v>1</v>
      </c>
      <c r="AH611" s="3" t="n">
        <v>1</v>
      </c>
      <c r="AI611" s="3" t="n">
        <v>1</v>
      </c>
      <c r="AJ611" s="3" t="n">
        <v>1</v>
      </c>
      <c r="AK611" s="3" t="n">
        <v>2</v>
      </c>
      <c r="AL611" s="3" t="n">
        <v>2</v>
      </c>
      <c r="AM611" s="3" t="n">
        <v>1</v>
      </c>
      <c r="AN611" s="3" t="n">
        <v>2</v>
      </c>
      <c r="AO611" s="3" t="n">
        <v>2</v>
      </c>
      <c r="AP611" s="3" t="n">
        <v>3</v>
      </c>
      <c r="AQ611" s="3" t="n">
        <v>4</v>
      </c>
      <c r="AR611" s="3" t="n">
        <v>4</v>
      </c>
      <c r="AS611" s="3" t="n">
        <v>6</v>
      </c>
      <c r="AT611" s="3" t="n">
        <v>4</v>
      </c>
      <c r="AU611" s="3" t="n">
        <v>4</v>
      </c>
      <c r="AV611" s="3" t="n">
        <v>6</v>
      </c>
      <c r="AW611" s="3" t="n">
        <v>6</v>
      </c>
      <c r="AX611" s="3" t="n">
        <v>3</v>
      </c>
      <c r="AY611" s="3" t="n">
        <v>3</v>
      </c>
      <c r="AZ611" s="3" t="n">
        <v>1</v>
      </c>
      <c r="BA611" s="5" t="n">
        <v>3</v>
      </c>
      <c r="BB611" s="3" t="n">
        <v>2</v>
      </c>
      <c r="BC611" s="3" t="n">
        <v>1</v>
      </c>
      <c r="BD611" s="3" t="n">
        <v>6</v>
      </c>
      <c r="BE611" s="3" t="n">
        <v>3</v>
      </c>
      <c r="BF611" s="3" t="n">
        <v>5</v>
      </c>
      <c r="BG611" s="3" t="n">
        <v>3</v>
      </c>
      <c r="BH611" s="3" t="n">
        <v>4</v>
      </c>
      <c r="BI611" s="3" t="n">
        <v>1</v>
      </c>
      <c r="BJ611" s="3" t="n">
        <v>1</v>
      </c>
      <c r="BK611" s="21" t="s">
        <v>1721</v>
      </c>
    </row>
    <row r="612" customFormat="false" ht="15" hidden="false" customHeight="true" outlineLevel="0" collapsed="false">
      <c r="B612" s="17" t="s">
        <v>258</v>
      </c>
      <c r="C612" s="17" t="s">
        <v>808</v>
      </c>
      <c r="D612" s="17" t="s">
        <v>510</v>
      </c>
      <c r="E612" s="17" t="s">
        <v>1722</v>
      </c>
      <c r="F612" s="15" t="n">
        <v>43771</v>
      </c>
      <c r="G612" s="15" t="n">
        <v>43777</v>
      </c>
      <c r="H612" s="3" t="n">
        <v>7</v>
      </c>
      <c r="I612" s="3" t="n">
        <v>2</v>
      </c>
      <c r="J612" s="3" t="n">
        <v>72</v>
      </c>
      <c r="K612" s="3" t="n">
        <v>1</v>
      </c>
      <c r="L612" s="3" t="n">
        <v>1</v>
      </c>
      <c r="M612" s="3" t="n">
        <v>1</v>
      </c>
      <c r="N612" s="3" t="n">
        <v>2</v>
      </c>
      <c r="O612" s="3" t="n">
        <v>2</v>
      </c>
      <c r="P612" s="3" t="n">
        <v>2</v>
      </c>
      <c r="Q612" s="3" t="n">
        <v>2</v>
      </c>
      <c r="R612" s="3" t="n">
        <v>2</v>
      </c>
      <c r="S612" s="3" t="n">
        <v>2</v>
      </c>
      <c r="T612" s="4" t="n">
        <v>1</v>
      </c>
      <c r="U612" s="3" t="n">
        <v>1</v>
      </c>
      <c r="AC612" s="3" t="n">
        <v>1</v>
      </c>
      <c r="AD612" s="3" t="n">
        <v>1</v>
      </c>
      <c r="AE612" s="3" t="n">
        <v>1</v>
      </c>
      <c r="AF612" s="3" t="n">
        <v>1</v>
      </c>
      <c r="AG612" s="3" t="n">
        <v>1</v>
      </c>
      <c r="AH612" s="3" t="n">
        <v>2</v>
      </c>
      <c r="AI612" s="3" t="n">
        <v>1</v>
      </c>
      <c r="AJ612" s="3" t="n">
        <v>1</v>
      </c>
      <c r="AK612" s="3" t="n">
        <v>2</v>
      </c>
      <c r="AL612" s="3" t="n">
        <v>2</v>
      </c>
      <c r="AM612" s="3" t="n">
        <v>2</v>
      </c>
      <c r="AN612" s="3" t="n">
        <v>2</v>
      </c>
      <c r="AO612" s="3" t="n">
        <v>2</v>
      </c>
      <c r="AP612" s="3" t="n">
        <v>3</v>
      </c>
      <c r="AQ612" s="3" t="n">
        <v>4</v>
      </c>
      <c r="AR612" s="3" t="n">
        <v>4</v>
      </c>
      <c r="AS612" s="3" t="n">
        <v>6</v>
      </c>
      <c r="AT612" s="3" t="n">
        <v>4</v>
      </c>
      <c r="AU612" s="3" t="n">
        <v>4</v>
      </c>
      <c r="AV612" s="3" t="n">
        <v>6</v>
      </c>
      <c r="AW612" s="3" t="n">
        <v>6</v>
      </c>
      <c r="AX612" s="3" t="n">
        <v>3</v>
      </c>
      <c r="AY612" s="3" t="n">
        <v>3</v>
      </c>
      <c r="AZ612" s="3" t="n">
        <v>1</v>
      </c>
      <c r="BA612" s="5" t="n">
        <v>5</v>
      </c>
      <c r="BB612" s="3" t="n">
        <v>2</v>
      </c>
      <c r="BC612" s="3" t="n">
        <v>1</v>
      </c>
      <c r="BD612" s="3" t="n">
        <v>6</v>
      </c>
      <c r="BE612" s="3" t="n">
        <v>3</v>
      </c>
      <c r="BF612" s="3" t="n">
        <v>5</v>
      </c>
      <c r="BG612" s="3" t="n">
        <v>3</v>
      </c>
      <c r="BH612" s="3" t="n">
        <v>4</v>
      </c>
      <c r="BI612" s="3" t="n">
        <v>1</v>
      </c>
      <c r="BJ612" s="3" t="n">
        <v>1</v>
      </c>
      <c r="BK612" s="21" t="s">
        <v>1535</v>
      </c>
    </row>
    <row r="613" customFormat="false" ht="15" hidden="false" customHeight="true" outlineLevel="0" collapsed="false">
      <c r="B613" s="2" t="s">
        <v>1601</v>
      </c>
      <c r="C613" s="2" t="s">
        <v>826</v>
      </c>
      <c r="D613" s="2" t="s">
        <v>1092</v>
      </c>
      <c r="E613" s="2" t="n">
        <v>185771</v>
      </c>
      <c r="F613" s="15" t="n">
        <v>43781</v>
      </c>
      <c r="G613" s="15" t="n">
        <v>43788</v>
      </c>
      <c r="H613" s="3" t="n">
        <v>7</v>
      </c>
      <c r="I613" s="3" t="n">
        <v>2</v>
      </c>
      <c r="J613" s="3" t="n">
        <v>56</v>
      </c>
      <c r="K613" s="3" t="n">
        <v>1</v>
      </c>
      <c r="L613" s="3" t="n">
        <v>2</v>
      </c>
      <c r="M613" s="3" t="n">
        <v>1</v>
      </c>
      <c r="N613" s="3" t="n">
        <v>1</v>
      </c>
      <c r="O613" s="3" t="n">
        <v>1</v>
      </c>
      <c r="P613" s="3" t="n">
        <v>1</v>
      </c>
      <c r="Q613" s="3" t="n">
        <v>1</v>
      </c>
      <c r="R613" s="3" t="n">
        <v>2</v>
      </c>
      <c r="S613" s="3" t="n">
        <v>2</v>
      </c>
      <c r="T613" s="4" t="n">
        <v>3</v>
      </c>
      <c r="U613" s="3" t="n">
        <v>2</v>
      </c>
      <c r="V613" s="3" t="n">
        <v>3.1</v>
      </c>
      <c r="W613" s="3" t="n">
        <v>2.01</v>
      </c>
      <c r="X613" s="3" t="n">
        <v>6.32</v>
      </c>
      <c r="Y613" s="3" t="n">
        <v>552</v>
      </c>
      <c r="Z613" s="3" t="n">
        <v>113</v>
      </c>
      <c r="AA613" s="3" t="n">
        <v>0.34</v>
      </c>
      <c r="AB613" s="3" t="n">
        <v>12.3</v>
      </c>
      <c r="AC613" s="3" t="n">
        <v>2</v>
      </c>
      <c r="AD613" s="3" t="n">
        <v>2</v>
      </c>
      <c r="AE613" s="3" t="n">
        <v>1</v>
      </c>
      <c r="AF613" s="3" t="n">
        <v>1</v>
      </c>
      <c r="AG613" s="3" t="n">
        <v>1</v>
      </c>
      <c r="AH613" s="3" t="n">
        <v>2</v>
      </c>
      <c r="AI613" s="3" t="n">
        <v>1</v>
      </c>
      <c r="AJ613" s="3" t="n">
        <v>1</v>
      </c>
      <c r="AK613" s="3" t="n">
        <v>2</v>
      </c>
      <c r="AL613" s="3" t="n">
        <v>2</v>
      </c>
      <c r="AM613" s="3" t="n">
        <v>1</v>
      </c>
      <c r="AN613" s="3" t="n">
        <v>2</v>
      </c>
      <c r="AO613" s="3" t="n">
        <v>2</v>
      </c>
      <c r="AP613" s="3" t="n">
        <v>2</v>
      </c>
      <c r="AQ613" s="3" t="n">
        <v>3</v>
      </c>
      <c r="AR613" s="3" t="n">
        <v>2</v>
      </c>
      <c r="AS613" s="3" t="n">
        <v>3</v>
      </c>
      <c r="AT613" s="3" t="n">
        <v>2</v>
      </c>
      <c r="AU613" s="3" t="n">
        <v>1</v>
      </c>
      <c r="AV613" s="3" t="n">
        <v>1</v>
      </c>
      <c r="AW613" s="3" t="n">
        <v>1</v>
      </c>
      <c r="AX613" s="3" t="n">
        <v>2</v>
      </c>
      <c r="AY613" s="3" t="n">
        <v>2</v>
      </c>
      <c r="AZ613" s="3" t="n">
        <v>2</v>
      </c>
      <c r="BA613" s="5" t="n">
        <v>11</v>
      </c>
      <c r="BB613" s="3" t="n">
        <v>2</v>
      </c>
      <c r="BC613" s="3" t="n">
        <v>1</v>
      </c>
      <c r="BD613" s="3" t="n">
        <v>6</v>
      </c>
      <c r="BE613" s="3" t="n">
        <v>3</v>
      </c>
      <c r="BF613" s="3" t="n">
        <v>5</v>
      </c>
      <c r="BG613" s="3" t="n">
        <v>3</v>
      </c>
      <c r="BH613" s="3" t="n">
        <v>4</v>
      </c>
      <c r="BI613" s="3" t="n">
        <v>1</v>
      </c>
      <c r="BJ613" s="3" t="n">
        <v>1</v>
      </c>
      <c r="BK613" s="21" t="s">
        <v>1723</v>
      </c>
    </row>
    <row r="614" customFormat="false" ht="15" hidden="false" customHeight="true" outlineLevel="0" collapsed="false">
      <c r="B614" s="17" t="s">
        <v>966</v>
      </c>
      <c r="C614" s="17" t="s">
        <v>1067</v>
      </c>
      <c r="D614" s="17" t="s">
        <v>1724</v>
      </c>
      <c r="E614" s="17" t="n">
        <v>188363</v>
      </c>
      <c r="F614" s="15" t="n">
        <v>43783</v>
      </c>
      <c r="G614" s="15" t="n">
        <v>43788</v>
      </c>
      <c r="H614" s="3" t="n">
        <v>5</v>
      </c>
      <c r="I614" s="3" t="n">
        <v>2</v>
      </c>
      <c r="J614" s="3" t="n">
        <v>56</v>
      </c>
      <c r="K614" s="3" t="n">
        <v>1</v>
      </c>
      <c r="L614" s="3" t="n">
        <v>2</v>
      </c>
      <c r="M614" s="3" t="n">
        <v>2</v>
      </c>
      <c r="N614" s="3" t="n">
        <v>2</v>
      </c>
      <c r="O614" s="3" t="n">
        <v>2</v>
      </c>
      <c r="P614" s="3" t="n">
        <v>2</v>
      </c>
      <c r="Q614" s="3" t="n">
        <v>2</v>
      </c>
      <c r="R614" s="3" t="n">
        <v>2</v>
      </c>
      <c r="S614" s="3" t="n">
        <v>2</v>
      </c>
      <c r="T614" s="4" t="n">
        <v>2</v>
      </c>
      <c r="U614" s="3" t="n">
        <v>1</v>
      </c>
      <c r="V614" s="3" t="n">
        <v>5.48</v>
      </c>
      <c r="W614" s="3" t="n">
        <v>5.74</v>
      </c>
      <c r="X614" s="3" t="n">
        <v>8.48</v>
      </c>
      <c r="Y614" s="3" t="n">
        <v>523</v>
      </c>
      <c r="Z614" s="3" t="n">
        <v>75</v>
      </c>
      <c r="AA614" s="3" t="n">
        <v>0.43</v>
      </c>
      <c r="AB614" s="3" t="n">
        <v>10.2</v>
      </c>
      <c r="AD614" s="3" t="n">
        <v>1</v>
      </c>
      <c r="AE614" s="3" t="n">
        <v>1</v>
      </c>
      <c r="AF614" s="3" t="n">
        <v>1</v>
      </c>
      <c r="AG614" s="3" t="n">
        <v>2</v>
      </c>
      <c r="AH614" s="3" t="n">
        <v>1</v>
      </c>
      <c r="AI614" s="3" t="n">
        <v>1</v>
      </c>
      <c r="AJ614" s="3" t="n">
        <v>1</v>
      </c>
      <c r="AK614" s="3" t="n">
        <v>2</v>
      </c>
      <c r="AL614" s="3" t="n">
        <v>2</v>
      </c>
      <c r="AM614" s="3" t="n">
        <v>2</v>
      </c>
      <c r="AN614" s="3" t="n">
        <v>2</v>
      </c>
      <c r="AO614" s="3" t="n">
        <v>2</v>
      </c>
      <c r="AP614" s="3" t="n">
        <v>3</v>
      </c>
      <c r="AQ614" s="3" t="n">
        <v>4</v>
      </c>
      <c r="AR614" s="3" t="n">
        <v>4</v>
      </c>
      <c r="AS614" s="3" t="n">
        <v>6</v>
      </c>
      <c r="AT614" s="3" t="n">
        <v>4</v>
      </c>
      <c r="AU614" s="3" t="n">
        <v>4</v>
      </c>
      <c r="AV614" s="3" t="n">
        <v>6</v>
      </c>
      <c r="AW614" s="3" t="n">
        <v>6</v>
      </c>
      <c r="AX614" s="3" t="n">
        <v>3</v>
      </c>
      <c r="AY614" s="3" t="n">
        <v>3</v>
      </c>
      <c r="AZ614" s="3" t="n">
        <v>1</v>
      </c>
      <c r="BA614" s="5" t="n">
        <v>1</v>
      </c>
      <c r="BB614" s="3" t="n">
        <v>1</v>
      </c>
      <c r="BC614" s="3" t="n">
        <v>1</v>
      </c>
      <c r="BD614" s="3" t="n">
        <v>2</v>
      </c>
      <c r="BE614" s="3" t="n">
        <v>3</v>
      </c>
      <c r="BF614" s="3" t="n">
        <v>5</v>
      </c>
      <c r="BG614" s="3" t="n">
        <v>3</v>
      </c>
      <c r="BH614" s="3" t="n">
        <v>4</v>
      </c>
      <c r="BI614" s="3" t="n">
        <v>1</v>
      </c>
      <c r="BJ614" s="3" t="n">
        <v>1</v>
      </c>
      <c r="BK614" s="21" t="s">
        <v>1725</v>
      </c>
    </row>
    <row r="615" customFormat="false" ht="15" hidden="false" customHeight="true" outlineLevel="0" collapsed="false">
      <c r="B615" s="2" t="s">
        <v>1671</v>
      </c>
      <c r="C615" s="2" t="s">
        <v>1672</v>
      </c>
      <c r="D615" s="2" t="s">
        <v>210</v>
      </c>
      <c r="E615" s="2" t="n">
        <v>186955</v>
      </c>
      <c r="F615" s="15" t="n">
        <v>43784</v>
      </c>
      <c r="G615" s="15" t="n">
        <v>43788</v>
      </c>
      <c r="H615" s="3" t="n">
        <v>4</v>
      </c>
      <c r="I615" s="3" t="n">
        <v>2</v>
      </c>
      <c r="J615" s="3" t="n">
        <v>74</v>
      </c>
      <c r="K615" s="3" t="n">
        <v>1</v>
      </c>
      <c r="L615" s="3" t="n">
        <v>2</v>
      </c>
      <c r="M615" s="3" t="n">
        <v>1</v>
      </c>
      <c r="N615" s="3" t="n">
        <v>2</v>
      </c>
      <c r="O615" s="3" t="n">
        <v>1</v>
      </c>
      <c r="P615" s="3" t="n">
        <v>1</v>
      </c>
      <c r="Q615" s="3" t="n">
        <v>1</v>
      </c>
      <c r="R615" s="3" t="n">
        <v>2</v>
      </c>
      <c r="S615" s="3" t="n">
        <v>2</v>
      </c>
      <c r="T615" s="4" t="n">
        <v>3</v>
      </c>
      <c r="U615" s="3" t="n">
        <v>1</v>
      </c>
      <c r="V615" s="3" t="n">
        <v>4.52</v>
      </c>
      <c r="W615" s="3" t="n">
        <v>1.68</v>
      </c>
      <c r="X615" s="3" t="n">
        <v>21.56</v>
      </c>
      <c r="Y615" s="3" t="n">
        <v>470</v>
      </c>
      <c r="Z615" s="3" t="n">
        <v>96</v>
      </c>
      <c r="AA615" s="3" t="n">
        <v>0.46</v>
      </c>
      <c r="AB615" s="3" t="n">
        <v>10.4</v>
      </c>
      <c r="AC615" s="3" t="n">
        <v>1</v>
      </c>
      <c r="AD615" s="3" t="n">
        <v>2</v>
      </c>
      <c r="AE615" s="3" t="n">
        <v>1</v>
      </c>
      <c r="AF615" s="3" t="n">
        <v>1</v>
      </c>
      <c r="AG615" s="3" t="n">
        <v>2</v>
      </c>
      <c r="AH615" s="3" t="n">
        <v>1</v>
      </c>
      <c r="AI615" s="3" t="n">
        <v>1</v>
      </c>
      <c r="AJ615" s="3" t="n">
        <v>1</v>
      </c>
      <c r="AK615" s="3" t="n">
        <v>1</v>
      </c>
      <c r="AL615" s="3" t="n">
        <v>2</v>
      </c>
      <c r="AM615" s="3" t="n">
        <v>1</v>
      </c>
      <c r="AN615" s="3" t="n">
        <v>2</v>
      </c>
      <c r="AO615" s="3" t="n">
        <v>2</v>
      </c>
      <c r="AP615" s="3" t="n">
        <v>3</v>
      </c>
      <c r="AQ615" s="3" t="n">
        <v>4</v>
      </c>
      <c r="AR615" s="3" t="n">
        <v>4</v>
      </c>
      <c r="AS615" s="3" t="n">
        <v>6</v>
      </c>
      <c r="AT615" s="3" t="n">
        <v>4</v>
      </c>
      <c r="AU615" s="3" t="n">
        <v>4</v>
      </c>
      <c r="AV615" s="3" t="n">
        <v>6</v>
      </c>
      <c r="AW615" s="3" t="n">
        <v>6</v>
      </c>
      <c r="AX615" s="3" t="n">
        <v>3</v>
      </c>
      <c r="AY615" s="3" t="n">
        <v>3</v>
      </c>
      <c r="AZ615" s="3" t="n">
        <v>1</v>
      </c>
      <c r="BA615" s="5" t="n">
        <v>11</v>
      </c>
      <c r="BB615" s="3" t="n">
        <v>2</v>
      </c>
      <c r="BC615" s="3" t="n">
        <v>1</v>
      </c>
      <c r="BD615" s="3" t="n">
        <v>6</v>
      </c>
      <c r="BE615" s="3" t="n">
        <v>3</v>
      </c>
      <c r="BF615" s="3" t="n">
        <v>5</v>
      </c>
      <c r="BG615" s="3" t="n">
        <v>3</v>
      </c>
      <c r="BH615" s="3" t="n">
        <v>4</v>
      </c>
      <c r="BI615" s="3" t="n">
        <v>1</v>
      </c>
      <c r="BJ615" s="3" t="n">
        <v>1</v>
      </c>
      <c r="BK615" s="21" t="s">
        <v>1726</v>
      </c>
    </row>
    <row r="616" customFormat="false" ht="15" hidden="false" customHeight="true" outlineLevel="0" collapsed="false">
      <c r="B616" s="17" t="s">
        <v>1727</v>
      </c>
      <c r="C616" s="17" t="s">
        <v>221</v>
      </c>
      <c r="D616" s="17" t="s">
        <v>611</v>
      </c>
      <c r="E616" s="2" t="n">
        <v>188283</v>
      </c>
      <c r="F616" s="15" t="n">
        <v>43775</v>
      </c>
      <c r="G616" s="15" t="n">
        <v>43781</v>
      </c>
      <c r="H616" s="3" t="n">
        <v>6</v>
      </c>
      <c r="I616" s="3" t="n">
        <v>2</v>
      </c>
      <c r="J616" s="3" t="n">
        <v>52</v>
      </c>
      <c r="K616" s="3" t="n">
        <v>1</v>
      </c>
      <c r="L616" s="3" t="n">
        <v>1</v>
      </c>
      <c r="M616" s="3" t="n">
        <v>1</v>
      </c>
      <c r="N616" s="3" t="n">
        <v>2</v>
      </c>
      <c r="O616" s="3" t="n">
        <v>2</v>
      </c>
      <c r="P616" s="3" t="n">
        <v>2</v>
      </c>
      <c r="Q616" s="3" t="n">
        <v>2</v>
      </c>
      <c r="R616" s="3" t="n">
        <v>2</v>
      </c>
      <c r="S616" s="3" t="n">
        <v>2</v>
      </c>
      <c r="T616" s="4" t="n">
        <v>1</v>
      </c>
      <c r="U616" s="3" t="n">
        <v>1</v>
      </c>
      <c r="AC616" s="3" t="n">
        <v>1</v>
      </c>
      <c r="AD616" s="3" t="n">
        <v>1</v>
      </c>
      <c r="AE616" s="3" t="n">
        <v>1</v>
      </c>
      <c r="AF616" s="3" t="n">
        <v>1</v>
      </c>
      <c r="AG616" s="3" t="n">
        <v>2</v>
      </c>
      <c r="AH616" s="3" t="n">
        <v>1</v>
      </c>
      <c r="AI616" s="3" t="n">
        <v>1</v>
      </c>
      <c r="AJ616" s="3" t="n">
        <v>1</v>
      </c>
      <c r="AK616" s="3" t="n">
        <v>2</v>
      </c>
      <c r="AL616" s="3" t="n">
        <v>2</v>
      </c>
      <c r="AM616" s="3" t="n">
        <v>2</v>
      </c>
      <c r="AN616" s="3" t="n">
        <v>2</v>
      </c>
      <c r="AO616" s="3" t="n">
        <v>2</v>
      </c>
      <c r="AP616" s="3" t="n">
        <v>3</v>
      </c>
      <c r="AQ616" s="3" t="n">
        <v>4</v>
      </c>
      <c r="AR616" s="3" t="n">
        <v>4</v>
      </c>
      <c r="AS616" s="3" t="n">
        <v>6</v>
      </c>
      <c r="AT616" s="3" t="n">
        <v>4</v>
      </c>
      <c r="AU616" s="3" t="n">
        <v>4</v>
      </c>
      <c r="AV616" s="3" t="n">
        <v>6</v>
      </c>
      <c r="AW616" s="3" t="n">
        <v>6</v>
      </c>
      <c r="AX616" s="3" t="n">
        <v>3</v>
      </c>
      <c r="AY616" s="3" t="n">
        <v>3</v>
      </c>
      <c r="AZ616" s="3" t="n">
        <v>1</v>
      </c>
      <c r="BA616" s="5" t="n">
        <v>5</v>
      </c>
      <c r="BB616" s="3" t="n">
        <v>2</v>
      </c>
      <c r="BC616" s="3" t="n">
        <v>1</v>
      </c>
      <c r="BD616" s="3" t="n">
        <v>6</v>
      </c>
      <c r="BE616" s="3" t="n">
        <v>3</v>
      </c>
      <c r="BF616" s="3" t="n">
        <v>5</v>
      </c>
      <c r="BG616" s="3" t="n">
        <v>3</v>
      </c>
      <c r="BH616" s="3" t="n">
        <v>4</v>
      </c>
      <c r="BI616" s="3" t="n">
        <v>1</v>
      </c>
      <c r="BJ616" s="3" t="n">
        <v>1</v>
      </c>
      <c r="BK616" s="21" t="s">
        <v>1728</v>
      </c>
    </row>
    <row r="617" customFormat="false" ht="15" hidden="false" customHeight="true" outlineLevel="0" collapsed="false">
      <c r="B617" s="17" t="s">
        <v>1729</v>
      </c>
      <c r="C617" s="17" t="s">
        <v>210</v>
      </c>
      <c r="D617" s="17" t="s">
        <v>118</v>
      </c>
      <c r="E617" s="2" t="n">
        <v>188269</v>
      </c>
      <c r="F617" s="15" t="n">
        <v>43776</v>
      </c>
      <c r="G617" s="15" t="n">
        <v>43781</v>
      </c>
      <c r="H617" s="3" t="n">
        <v>5</v>
      </c>
      <c r="I617" s="3" t="n">
        <v>1</v>
      </c>
      <c r="J617" s="3" t="n">
        <v>59</v>
      </c>
      <c r="K617" s="3" t="n">
        <v>2</v>
      </c>
      <c r="L617" s="3" t="n">
        <v>2</v>
      </c>
      <c r="M617" s="3" t="n">
        <v>1</v>
      </c>
      <c r="N617" s="3" t="n">
        <v>2</v>
      </c>
      <c r="O617" s="3" t="n">
        <v>2</v>
      </c>
      <c r="P617" s="3" t="n">
        <v>2</v>
      </c>
      <c r="Q617" s="3" t="n">
        <v>2</v>
      </c>
      <c r="R617" s="3" t="n">
        <v>2</v>
      </c>
      <c r="S617" s="3" t="n">
        <v>2</v>
      </c>
      <c r="T617" s="4" t="n">
        <v>1</v>
      </c>
      <c r="U617" s="3" t="n">
        <v>1</v>
      </c>
      <c r="AC617" s="3" t="n">
        <v>1</v>
      </c>
      <c r="AD617" s="3" t="n">
        <v>1</v>
      </c>
      <c r="AE617" s="3" t="n">
        <v>1</v>
      </c>
      <c r="AF617" s="3" t="n">
        <v>1</v>
      </c>
      <c r="AG617" s="3" t="n">
        <v>2</v>
      </c>
      <c r="AH617" s="3" t="n">
        <v>2</v>
      </c>
      <c r="AI617" s="3" t="n">
        <v>1</v>
      </c>
      <c r="AJ617" s="3" t="n">
        <v>1</v>
      </c>
      <c r="AK617" s="3" t="n">
        <v>2</v>
      </c>
      <c r="AL617" s="3" t="n">
        <v>2</v>
      </c>
      <c r="AM617" s="3" t="n">
        <v>2</v>
      </c>
      <c r="AN617" s="3" t="n">
        <v>2</v>
      </c>
      <c r="AO617" s="3" t="n">
        <v>2</v>
      </c>
      <c r="AP617" s="3" t="n">
        <v>3</v>
      </c>
      <c r="AQ617" s="3" t="n">
        <v>4</v>
      </c>
      <c r="AR617" s="3" t="n">
        <v>4</v>
      </c>
      <c r="AS617" s="3" t="n">
        <v>6</v>
      </c>
      <c r="AT617" s="3" t="n">
        <v>4</v>
      </c>
      <c r="AU617" s="3" t="n">
        <v>4</v>
      </c>
      <c r="AV617" s="3" t="n">
        <v>6</v>
      </c>
      <c r="AW617" s="3" t="n">
        <v>6</v>
      </c>
      <c r="AX617" s="3" t="n">
        <v>3</v>
      </c>
      <c r="AY617" s="3" t="n">
        <v>3</v>
      </c>
      <c r="AZ617" s="3" t="n">
        <v>1</v>
      </c>
      <c r="BA617" s="5" t="n">
        <v>5</v>
      </c>
      <c r="BB617" s="3" t="n">
        <v>2</v>
      </c>
      <c r="BC617" s="3" t="n">
        <v>1</v>
      </c>
      <c r="BD617" s="3" t="n">
        <v>6</v>
      </c>
      <c r="BE617" s="3" t="n">
        <v>3</v>
      </c>
      <c r="BF617" s="3" t="n">
        <v>5</v>
      </c>
      <c r="BG617" s="3" t="n">
        <v>3</v>
      </c>
      <c r="BH617" s="3" t="n">
        <v>4</v>
      </c>
      <c r="BI617" s="3" t="n">
        <v>1</v>
      </c>
      <c r="BJ617" s="3" t="n">
        <v>1</v>
      </c>
      <c r="BK617" s="21" t="s">
        <v>1728</v>
      </c>
    </row>
    <row r="618" customFormat="false" ht="15" hidden="false" customHeight="true" outlineLevel="0" collapsed="false">
      <c r="B618" s="17" t="s">
        <v>1730</v>
      </c>
      <c r="C618" s="17" t="s">
        <v>188</v>
      </c>
      <c r="D618" s="17"/>
      <c r="E618" s="2" t="n">
        <v>188328</v>
      </c>
      <c r="F618" s="15" t="n">
        <v>43781</v>
      </c>
      <c r="G618" s="15" t="n">
        <v>43785</v>
      </c>
      <c r="H618" s="3" t="n">
        <v>4</v>
      </c>
      <c r="I618" s="3" t="n">
        <v>1</v>
      </c>
      <c r="J618" s="3" t="n">
        <v>90</v>
      </c>
      <c r="K618" s="3" t="n">
        <v>1</v>
      </c>
      <c r="L618" s="3" t="n">
        <v>1</v>
      </c>
      <c r="M618" s="3" t="n">
        <v>1</v>
      </c>
      <c r="N618" s="3" t="n">
        <v>2</v>
      </c>
      <c r="O618" s="3" t="n">
        <v>2</v>
      </c>
      <c r="P618" s="3" t="n">
        <v>2</v>
      </c>
      <c r="Q618" s="3" t="n">
        <v>2</v>
      </c>
      <c r="R618" s="3" t="n">
        <v>2</v>
      </c>
      <c r="S618" s="3" t="n">
        <v>2</v>
      </c>
      <c r="T618" s="4" t="n">
        <v>3</v>
      </c>
      <c r="U618" s="3" t="n">
        <v>1</v>
      </c>
      <c r="AC618" s="3" t="n">
        <v>2</v>
      </c>
      <c r="AD618" s="3" t="n">
        <v>2</v>
      </c>
      <c r="AE618" s="3" t="n">
        <v>1</v>
      </c>
      <c r="AF618" s="3" t="n">
        <v>1</v>
      </c>
      <c r="AG618" s="3" t="n">
        <v>2</v>
      </c>
      <c r="AH618" s="3" t="n">
        <v>2</v>
      </c>
      <c r="AI618" s="3" t="n">
        <v>1</v>
      </c>
      <c r="AJ618" s="3" t="n">
        <v>1</v>
      </c>
      <c r="AK618" s="3" t="n">
        <v>2</v>
      </c>
      <c r="AL618" s="3" t="n">
        <v>1</v>
      </c>
      <c r="AM618" s="3" t="n">
        <v>1</v>
      </c>
      <c r="AN618" s="3" t="n">
        <v>2</v>
      </c>
      <c r="AO618" s="3" t="n">
        <v>2</v>
      </c>
      <c r="AP618" s="3" t="n">
        <v>3</v>
      </c>
      <c r="AQ618" s="3" t="n">
        <v>4</v>
      </c>
      <c r="AR618" s="3" t="n">
        <v>4</v>
      </c>
      <c r="AS618" s="3" t="n">
        <v>6</v>
      </c>
      <c r="AT618" s="3" t="n">
        <v>4</v>
      </c>
      <c r="AU618" s="3" t="n">
        <v>4</v>
      </c>
      <c r="AV618" s="3" t="n">
        <v>6</v>
      </c>
      <c r="AW618" s="3" t="n">
        <v>6</v>
      </c>
      <c r="AX618" s="3" t="n">
        <v>3</v>
      </c>
      <c r="AY618" s="3" t="n">
        <v>3</v>
      </c>
      <c r="AZ618" s="3" t="n">
        <v>1</v>
      </c>
      <c r="BA618" s="5" t="n">
        <v>11</v>
      </c>
      <c r="BB618" s="3" t="n">
        <v>2</v>
      </c>
      <c r="BC618" s="3" t="n">
        <v>1</v>
      </c>
      <c r="BD618" s="3" t="n">
        <v>6</v>
      </c>
      <c r="BE618" s="3" t="n">
        <v>3</v>
      </c>
      <c r="BF618" s="3" t="n">
        <v>5</v>
      </c>
      <c r="BG618" s="3" t="n">
        <v>3</v>
      </c>
      <c r="BH618" s="3" t="n">
        <v>4</v>
      </c>
      <c r="BI618" s="3" t="n">
        <v>1</v>
      </c>
      <c r="BJ618" s="3" t="n">
        <v>1</v>
      </c>
      <c r="BK618" s="21" t="s">
        <v>1731</v>
      </c>
    </row>
    <row r="619" customFormat="false" ht="15" hidden="false" customHeight="true" outlineLevel="0" collapsed="false">
      <c r="B619" s="17" t="s">
        <v>1732</v>
      </c>
      <c r="C619" s="17" t="s">
        <v>1733</v>
      </c>
      <c r="D619" s="17" t="s">
        <v>1734</v>
      </c>
      <c r="E619" s="2" t="n">
        <v>188865</v>
      </c>
      <c r="F619" s="15" t="n">
        <v>43783</v>
      </c>
      <c r="G619" s="15" t="n">
        <v>43790</v>
      </c>
      <c r="H619" s="3" t="n">
        <v>7</v>
      </c>
      <c r="I619" s="3" t="n">
        <v>2</v>
      </c>
      <c r="J619" s="3" t="n">
        <v>61</v>
      </c>
      <c r="K619" s="3" t="n">
        <v>1</v>
      </c>
      <c r="L619" s="3" t="n">
        <v>1</v>
      </c>
      <c r="M619" s="3" t="n">
        <v>2</v>
      </c>
      <c r="N619" s="3" t="n">
        <v>2</v>
      </c>
      <c r="O619" s="3" t="n">
        <v>2</v>
      </c>
      <c r="P619" s="3" t="n">
        <v>2</v>
      </c>
      <c r="Q619" s="3" t="n">
        <v>2</v>
      </c>
      <c r="R619" s="3" t="n">
        <v>2</v>
      </c>
      <c r="S619" s="3" t="n">
        <v>2</v>
      </c>
      <c r="T619" s="4" t="n">
        <v>2</v>
      </c>
      <c r="U619" s="3" t="n">
        <v>2</v>
      </c>
      <c r="V619" s="3" t="n">
        <v>5.15</v>
      </c>
      <c r="W619" s="3" t="n">
        <v>0.78</v>
      </c>
      <c r="X619" s="3" t="n">
        <v>7.8</v>
      </c>
      <c r="Y619" s="3" t="n">
        <v>486</v>
      </c>
      <c r="Z619" s="3" t="n">
        <v>82</v>
      </c>
      <c r="AA619" s="3" t="n">
        <v>0.4</v>
      </c>
      <c r="AB619" s="3" t="n">
        <v>11.2</v>
      </c>
      <c r="AC619" s="3" t="n">
        <v>2</v>
      </c>
      <c r="AD619" s="3" t="n">
        <v>2</v>
      </c>
      <c r="AE619" s="3" t="n">
        <v>1</v>
      </c>
      <c r="AF619" s="3" t="n">
        <v>1</v>
      </c>
      <c r="AG619" s="3" t="n">
        <v>1</v>
      </c>
      <c r="AH619" s="3" t="n">
        <v>2</v>
      </c>
      <c r="AI619" s="3" t="n">
        <v>1</v>
      </c>
      <c r="AJ619" s="3" t="n">
        <v>1</v>
      </c>
      <c r="AK619" s="3" t="n">
        <v>2</v>
      </c>
      <c r="AL619" s="3" t="n">
        <v>2</v>
      </c>
      <c r="AM619" s="3" t="n">
        <v>1</v>
      </c>
      <c r="AN619" s="3" t="n">
        <v>2</v>
      </c>
      <c r="AO619" s="3" t="n">
        <v>2</v>
      </c>
      <c r="AP619" s="3" t="n">
        <v>3</v>
      </c>
      <c r="AQ619" s="3" t="n">
        <v>4</v>
      </c>
      <c r="AR619" s="3" t="n">
        <v>4</v>
      </c>
      <c r="AS619" s="3" t="n">
        <v>6</v>
      </c>
      <c r="AT619" s="3" t="n">
        <v>4</v>
      </c>
      <c r="AU619" s="3" t="n">
        <v>4</v>
      </c>
      <c r="AV619" s="3" t="n">
        <v>6</v>
      </c>
      <c r="AW619" s="3" t="n">
        <v>6</v>
      </c>
      <c r="AX619" s="3" t="n">
        <v>3</v>
      </c>
      <c r="AY619" s="3" t="n">
        <v>3</v>
      </c>
      <c r="AZ619" s="3" t="n">
        <v>1</v>
      </c>
      <c r="BA619" s="5" t="n">
        <v>1</v>
      </c>
      <c r="BB619" s="3" t="n">
        <v>1</v>
      </c>
      <c r="BC619" s="3" t="n">
        <v>1</v>
      </c>
      <c r="BD619" s="3" t="n">
        <v>2</v>
      </c>
      <c r="BE619" s="3" t="n">
        <v>1</v>
      </c>
      <c r="BF619" s="3" t="n">
        <v>2</v>
      </c>
      <c r="BG619" s="3" t="n">
        <v>1</v>
      </c>
      <c r="BH619" s="3" t="n">
        <v>4</v>
      </c>
      <c r="BI619" s="3" t="n">
        <v>1</v>
      </c>
      <c r="BJ619" s="3" t="n">
        <v>1</v>
      </c>
      <c r="BK619" s="21" t="s">
        <v>1735</v>
      </c>
    </row>
    <row r="620" s="30" customFormat="true" ht="15" hidden="false" customHeight="true" outlineLevel="0" collapsed="false">
      <c r="A620" s="24"/>
      <c r="B620" s="26" t="s">
        <v>1416</v>
      </c>
      <c r="C620" s="26" t="s">
        <v>1736</v>
      </c>
      <c r="D620" s="26" t="s">
        <v>1737</v>
      </c>
      <c r="E620" s="26" t="n">
        <v>188239</v>
      </c>
      <c r="F620" s="27" t="n">
        <v>43777</v>
      </c>
      <c r="G620" s="27" t="n">
        <v>43790</v>
      </c>
      <c r="H620" s="30" t="n">
        <v>13</v>
      </c>
      <c r="I620" s="30" t="n">
        <v>1</v>
      </c>
      <c r="J620" s="30" t="n">
        <v>92</v>
      </c>
      <c r="K620" s="30" t="n">
        <v>1</v>
      </c>
      <c r="L620" s="30" t="n">
        <v>2</v>
      </c>
      <c r="M620" s="30" t="n">
        <v>2</v>
      </c>
      <c r="N620" s="30" t="n">
        <v>2</v>
      </c>
      <c r="O620" s="30" t="n">
        <v>2</v>
      </c>
      <c r="P620" s="30" t="n">
        <v>2</v>
      </c>
      <c r="Q620" s="30" t="n">
        <v>1</v>
      </c>
      <c r="R620" s="30" t="n">
        <v>2</v>
      </c>
      <c r="S620" s="30" t="n">
        <v>1</v>
      </c>
      <c r="T620" s="4" t="n">
        <v>3</v>
      </c>
      <c r="U620" s="30" t="n">
        <v>1</v>
      </c>
      <c r="V620" s="30" t="n">
        <v>3.28</v>
      </c>
      <c r="W620" s="30" t="n">
        <v>1.38</v>
      </c>
      <c r="X620" s="30" t="n">
        <v>10.32</v>
      </c>
      <c r="Y620" s="30" t="n">
        <v>384</v>
      </c>
      <c r="Z620" s="30" t="n">
        <v>99</v>
      </c>
      <c r="AA620" s="30" t="n">
        <v>0.32</v>
      </c>
      <c r="AB620" s="30" t="n">
        <v>11.8</v>
      </c>
      <c r="AC620" s="30" t="n">
        <v>1</v>
      </c>
      <c r="AD620" s="30" t="n">
        <v>1</v>
      </c>
      <c r="AE620" s="30" t="n">
        <v>1</v>
      </c>
      <c r="AF620" s="30" t="n">
        <v>1</v>
      </c>
      <c r="AG620" s="30" t="n">
        <v>2</v>
      </c>
      <c r="AH620" s="30" t="n">
        <v>2</v>
      </c>
      <c r="AI620" s="30" t="n">
        <v>1</v>
      </c>
      <c r="AJ620" s="30" t="n">
        <v>1</v>
      </c>
      <c r="AK620" s="30" t="n">
        <v>1</v>
      </c>
      <c r="AL620" s="30" t="n">
        <v>2</v>
      </c>
      <c r="AM620" s="30" t="n">
        <v>1</v>
      </c>
      <c r="AN620" s="30" t="n">
        <v>2</v>
      </c>
      <c r="AO620" s="30" t="n">
        <v>2</v>
      </c>
      <c r="AP620" s="30" t="n">
        <v>3</v>
      </c>
      <c r="AQ620" s="30" t="n">
        <v>4</v>
      </c>
      <c r="AR620" s="30" t="n">
        <v>4</v>
      </c>
      <c r="AS620" s="30" t="n">
        <v>6</v>
      </c>
      <c r="AT620" s="30" t="n">
        <v>4</v>
      </c>
      <c r="AU620" s="30" t="n">
        <v>4</v>
      </c>
      <c r="AV620" s="30" t="n">
        <v>6</v>
      </c>
      <c r="AW620" s="30" t="n">
        <v>6</v>
      </c>
      <c r="AX620" s="30" t="n">
        <v>3</v>
      </c>
      <c r="AY620" s="30" t="n">
        <v>3</v>
      </c>
      <c r="AZ620" s="30" t="n">
        <v>6</v>
      </c>
      <c r="BA620" s="5" t="n">
        <v>5</v>
      </c>
      <c r="BB620" s="30" t="n">
        <v>2</v>
      </c>
      <c r="BC620" s="30" t="n">
        <v>1</v>
      </c>
      <c r="BD620" s="30" t="n">
        <v>6</v>
      </c>
      <c r="BE620" s="30" t="n">
        <v>3</v>
      </c>
      <c r="BF620" s="30" t="n">
        <v>5</v>
      </c>
      <c r="BG620" s="30" t="n">
        <v>3</v>
      </c>
      <c r="BH620" s="30" t="n">
        <v>4</v>
      </c>
      <c r="BI620" s="30" t="n">
        <v>1</v>
      </c>
      <c r="BJ620" s="30" t="n">
        <v>1</v>
      </c>
      <c r="BK620" s="31" t="s">
        <v>1738</v>
      </c>
    </row>
    <row r="621" customFormat="false" ht="15" hidden="false" customHeight="true" outlineLevel="0" collapsed="false">
      <c r="B621" s="17" t="s">
        <v>1739</v>
      </c>
      <c r="C621" s="17" t="s">
        <v>1740</v>
      </c>
      <c r="D621" s="17" t="s">
        <v>1741</v>
      </c>
      <c r="E621" s="2" t="n">
        <v>188398</v>
      </c>
      <c r="F621" s="15" t="n">
        <v>43782</v>
      </c>
      <c r="G621" s="15" t="n">
        <v>43819</v>
      </c>
      <c r="H621" s="3" t="n">
        <v>7</v>
      </c>
      <c r="I621" s="3" t="n">
        <v>2</v>
      </c>
      <c r="J621" s="3" t="n">
        <v>85</v>
      </c>
      <c r="K621" s="3" t="n">
        <v>1</v>
      </c>
      <c r="L621" s="3" t="n">
        <v>2</v>
      </c>
      <c r="M621" s="3" t="n">
        <v>1</v>
      </c>
      <c r="N621" s="3" t="n">
        <v>2</v>
      </c>
      <c r="O621" s="3" t="n">
        <v>2</v>
      </c>
      <c r="P621" s="3" t="n">
        <v>2</v>
      </c>
      <c r="Q621" s="3" t="n">
        <v>2</v>
      </c>
      <c r="R621" s="3" t="n">
        <v>1</v>
      </c>
      <c r="S621" s="3" t="n">
        <v>2</v>
      </c>
      <c r="T621" s="4" t="n">
        <v>3</v>
      </c>
      <c r="U621" s="3" t="n">
        <v>4</v>
      </c>
      <c r="V621" s="3" t="n">
        <v>5.34</v>
      </c>
      <c r="W621" s="3" t="n">
        <v>1.3</v>
      </c>
      <c r="X621" s="3" t="n">
        <v>8.28</v>
      </c>
      <c r="Y621" s="3" t="n">
        <v>369</v>
      </c>
      <c r="Z621" s="3" t="n">
        <v>396</v>
      </c>
      <c r="AA621" s="3" t="n">
        <v>0.49</v>
      </c>
      <c r="AB621" s="3" t="n">
        <v>12</v>
      </c>
      <c r="AC621" s="3" t="n">
        <v>1</v>
      </c>
      <c r="AD621" s="3" t="n">
        <v>1</v>
      </c>
      <c r="AE621" s="3" t="n">
        <v>2</v>
      </c>
      <c r="AF621" s="3" t="n">
        <v>2</v>
      </c>
      <c r="AG621" s="3" t="n">
        <v>2</v>
      </c>
      <c r="AH621" s="3" t="n">
        <v>1</v>
      </c>
      <c r="AI621" s="3" t="n">
        <v>2</v>
      </c>
      <c r="AJ621" s="3" t="n">
        <v>2</v>
      </c>
      <c r="AK621" s="3" t="n">
        <v>2</v>
      </c>
      <c r="AL621" s="3" t="n">
        <v>2</v>
      </c>
      <c r="AM621" s="3" t="n">
        <v>1</v>
      </c>
      <c r="AN621" s="3" t="n">
        <v>1</v>
      </c>
      <c r="AO621" s="3" t="n">
        <v>2</v>
      </c>
      <c r="AP621" s="3" t="n">
        <v>3</v>
      </c>
      <c r="AQ621" s="3" t="n">
        <v>4</v>
      </c>
      <c r="AR621" s="3" t="n">
        <v>4</v>
      </c>
      <c r="AS621" s="3" t="n">
        <v>6</v>
      </c>
      <c r="AT621" s="3" t="n">
        <v>4</v>
      </c>
      <c r="AU621" s="3" t="n">
        <v>4</v>
      </c>
      <c r="AV621" s="3" t="n">
        <v>6</v>
      </c>
      <c r="AW621" s="3" t="n">
        <v>6</v>
      </c>
      <c r="AX621" s="3" t="n">
        <v>3</v>
      </c>
      <c r="AY621" s="3" t="n">
        <v>3</v>
      </c>
      <c r="AZ621" s="3" t="n">
        <v>1</v>
      </c>
      <c r="BA621" s="5" t="n">
        <v>11</v>
      </c>
      <c r="BB621" s="3" t="n">
        <v>2</v>
      </c>
      <c r="BC621" s="3" t="n">
        <v>1</v>
      </c>
      <c r="BD621" s="3" t="n">
        <v>6</v>
      </c>
      <c r="BE621" s="3" t="n">
        <v>3</v>
      </c>
      <c r="BF621" s="3" t="n">
        <v>5</v>
      </c>
      <c r="BG621" s="3" t="n">
        <v>3</v>
      </c>
      <c r="BH621" s="3" t="n">
        <v>4</v>
      </c>
      <c r="BI621" s="3" t="n">
        <v>1</v>
      </c>
      <c r="BJ621" s="3" t="n">
        <v>1</v>
      </c>
      <c r="BK621" s="21" t="s">
        <v>1742</v>
      </c>
    </row>
    <row r="622" customFormat="false" ht="15" hidden="false" customHeight="true" outlineLevel="0" collapsed="false">
      <c r="B622" s="17" t="s">
        <v>1743</v>
      </c>
      <c r="C622" s="17" t="s">
        <v>1744</v>
      </c>
      <c r="D622" s="17" t="s">
        <v>414</v>
      </c>
      <c r="E622" s="2" t="n">
        <v>188829</v>
      </c>
      <c r="F622" s="15" t="n">
        <v>43785</v>
      </c>
      <c r="G622" s="15" t="n">
        <v>43790</v>
      </c>
      <c r="H622" s="3" t="n">
        <v>5</v>
      </c>
      <c r="I622" s="3" t="n">
        <v>2</v>
      </c>
      <c r="J622" s="3" t="n">
        <v>42</v>
      </c>
      <c r="K622" s="3" t="n">
        <v>1</v>
      </c>
      <c r="L622" s="3" t="n">
        <v>1</v>
      </c>
      <c r="M622" s="3" t="n">
        <v>1</v>
      </c>
      <c r="N622" s="3" t="n">
        <v>2</v>
      </c>
      <c r="O622" s="3" t="n">
        <v>2</v>
      </c>
      <c r="P622" s="3" t="n">
        <v>2</v>
      </c>
      <c r="Q622" s="3" t="n">
        <v>1</v>
      </c>
      <c r="R622" s="3" t="n">
        <v>2</v>
      </c>
      <c r="S622" s="3" t="n">
        <v>2</v>
      </c>
      <c r="T622" s="4" t="n">
        <v>1</v>
      </c>
      <c r="U622" s="3" t="n">
        <v>1</v>
      </c>
      <c r="V622" s="3" t="n">
        <v>5.59</v>
      </c>
      <c r="W622" s="3" t="n">
        <v>3.36</v>
      </c>
      <c r="X622" s="3" t="n">
        <v>5.16</v>
      </c>
      <c r="Y622" s="3" t="n">
        <v>480</v>
      </c>
      <c r="Z622" s="3" t="n">
        <v>84</v>
      </c>
      <c r="AA622" s="3" t="n">
        <v>0.51</v>
      </c>
      <c r="AB622" s="3" t="n">
        <v>8.1</v>
      </c>
      <c r="AC622" s="3" t="n">
        <v>3</v>
      </c>
      <c r="AD622" s="3" t="n">
        <v>1</v>
      </c>
      <c r="AE622" s="3" t="n">
        <v>1</v>
      </c>
      <c r="AF622" s="3" t="n">
        <v>1</v>
      </c>
      <c r="AG622" s="3" t="n">
        <v>2</v>
      </c>
      <c r="AH622" s="3" t="n">
        <v>2</v>
      </c>
      <c r="AI622" s="3" t="n">
        <v>1</v>
      </c>
      <c r="AJ622" s="3" t="n">
        <v>2</v>
      </c>
      <c r="AK622" s="3" t="n">
        <v>2</v>
      </c>
      <c r="AL622" s="3" t="n">
        <v>2</v>
      </c>
      <c r="AM622" s="3" t="n">
        <v>2</v>
      </c>
      <c r="AN622" s="3" t="n">
        <v>2</v>
      </c>
      <c r="AO622" s="3" t="n">
        <v>2</v>
      </c>
      <c r="AP622" s="3" t="n">
        <v>3</v>
      </c>
      <c r="AQ622" s="3" t="n">
        <v>4</v>
      </c>
      <c r="AR622" s="3" t="n">
        <v>4</v>
      </c>
      <c r="AS622" s="3" t="n">
        <v>6</v>
      </c>
      <c r="AT622" s="3" t="n">
        <v>4</v>
      </c>
      <c r="AU622" s="3" t="n">
        <v>4</v>
      </c>
      <c r="AV622" s="3" t="n">
        <v>6</v>
      </c>
      <c r="AW622" s="3" t="n">
        <v>6</v>
      </c>
      <c r="AX622" s="3" t="n">
        <v>3</v>
      </c>
      <c r="AY622" s="3" t="n">
        <v>3</v>
      </c>
      <c r="AZ622" s="3" t="n">
        <v>1</v>
      </c>
      <c r="BA622" s="5" t="n">
        <v>5</v>
      </c>
      <c r="BB622" s="3" t="n">
        <v>2</v>
      </c>
      <c r="BC622" s="3" t="n">
        <v>1</v>
      </c>
      <c r="BD622" s="3" t="n">
        <v>6</v>
      </c>
      <c r="BE622" s="3" t="n">
        <v>3</v>
      </c>
      <c r="BF622" s="3" t="n">
        <v>5</v>
      </c>
      <c r="BG622" s="3" t="n">
        <v>3</v>
      </c>
      <c r="BH622" s="3" t="n">
        <v>4</v>
      </c>
      <c r="BI622" s="3" t="n">
        <v>1</v>
      </c>
      <c r="BJ622" s="3" t="n">
        <v>1</v>
      </c>
      <c r="BK622" s="21" t="s">
        <v>1745</v>
      </c>
    </row>
    <row r="623" customFormat="false" ht="15" hidden="false" customHeight="true" outlineLevel="0" collapsed="false">
      <c r="B623" s="17" t="s">
        <v>1746</v>
      </c>
      <c r="C623" s="17" t="s">
        <v>1747</v>
      </c>
      <c r="D623" s="17" t="s">
        <v>936</v>
      </c>
      <c r="E623" s="2" t="n">
        <v>128533</v>
      </c>
      <c r="F623" s="15" t="n">
        <v>43787</v>
      </c>
      <c r="G623" s="15" t="n">
        <v>43794</v>
      </c>
      <c r="H623" s="3" t="n">
        <v>7</v>
      </c>
      <c r="I623" s="3" t="n">
        <v>2</v>
      </c>
      <c r="J623" s="3" t="n">
        <v>74</v>
      </c>
      <c r="K623" s="3" t="n">
        <v>2</v>
      </c>
      <c r="L623" s="3" t="n">
        <v>2</v>
      </c>
      <c r="M623" s="3" t="n">
        <v>1</v>
      </c>
      <c r="N623" s="3" t="n">
        <v>2</v>
      </c>
      <c r="O623" s="3" t="n">
        <v>2</v>
      </c>
      <c r="P623" s="3" t="n">
        <v>1</v>
      </c>
      <c r="Q623" s="3" t="n">
        <v>1</v>
      </c>
      <c r="R623" s="3" t="n">
        <v>2</v>
      </c>
      <c r="S623" s="3" t="n">
        <v>2</v>
      </c>
      <c r="T623" s="4" t="n">
        <v>3</v>
      </c>
      <c r="U623" s="3" t="n">
        <v>4</v>
      </c>
      <c r="V623" s="3" t="n">
        <v>5.51</v>
      </c>
      <c r="W623" s="3" t="n">
        <v>1.64</v>
      </c>
      <c r="X623" s="3" t="n">
        <v>6.83</v>
      </c>
      <c r="Y623" s="3" t="n">
        <v>567</v>
      </c>
      <c r="Z623" s="3" t="n">
        <v>82</v>
      </c>
      <c r="AA623" s="3" t="n">
        <v>0.47</v>
      </c>
      <c r="AB623" s="3" t="n">
        <v>10.2</v>
      </c>
      <c r="AC623" s="3" t="n">
        <v>1</v>
      </c>
      <c r="AD623" s="3" t="n">
        <v>1</v>
      </c>
      <c r="AE623" s="3" t="n">
        <v>1</v>
      </c>
      <c r="AF623" s="3" t="n">
        <v>2</v>
      </c>
      <c r="AG623" s="3" t="n">
        <v>2</v>
      </c>
      <c r="AH623" s="3" t="n">
        <v>1</v>
      </c>
      <c r="AI623" s="3" t="n">
        <v>1</v>
      </c>
      <c r="AJ623" s="3" t="n">
        <v>1</v>
      </c>
      <c r="AK623" s="3" t="n">
        <v>2</v>
      </c>
      <c r="AL623" s="3" t="n">
        <v>1</v>
      </c>
      <c r="AM623" s="3" t="n">
        <v>1</v>
      </c>
      <c r="AN623" s="3" t="n">
        <v>2</v>
      </c>
      <c r="AO623" s="3" t="n">
        <v>1</v>
      </c>
      <c r="AP623" s="3" t="n">
        <v>3</v>
      </c>
      <c r="AQ623" s="3" t="n">
        <v>4</v>
      </c>
      <c r="AR623" s="3" t="n">
        <v>4</v>
      </c>
      <c r="AS623" s="3" t="n">
        <v>6</v>
      </c>
      <c r="AT623" s="3" t="n">
        <v>4</v>
      </c>
      <c r="AU623" s="3" t="n">
        <v>4</v>
      </c>
      <c r="AV623" s="3" t="n">
        <v>6</v>
      </c>
      <c r="AW623" s="3" t="n">
        <v>6</v>
      </c>
      <c r="AX623" s="3" t="n">
        <v>3</v>
      </c>
      <c r="AY623" s="3" t="n">
        <v>3</v>
      </c>
      <c r="AZ623" s="3" t="n">
        <v>1</v>
      </c>
      <c r="BA623" s="5" t="n">
        <v>11</v>
      </c>
      <c r="BB623" s="3" t="n">
        <v>2</v>
      </c>
      <c r="BC623" s="3" t="n">
        <v>1</v>
      </c>
      <c r="BD623" s="3" t="n">
        <v>6</v>
      </c>
      <c r="BE623" s="3" t="n">
        <v>3</v>
      </c>
      <c r="BF623" s="3" t="n">
        <v>5</v>
      </c>
      <c r="BG623" s="3" t="n">
        <v>3</v>
      </c>
      <c r="BH623" s="3" t="n">
        <v>4</v>
      </c>
      <c r="BI623" s="3" t="n">
        <v>1</v>
      </c>
      <c r="BJ623" s="3" t="n">
        <v>1</v>
      </c>
      <c r="BK623" s="21" t="s">
        <v>1748</v>
      </c>
    </row>
    <row r="624" customFormat="false" ht="15" hidden="false" customHeight="true" outlineLevel="0" collapsed="false">
      <c r="B624" s="2" t="s">
        <v>1075</v>
      </c>
      <c r="C624" s="2" t="s">
        <v>1749</v>
      </c>
      <c r="D624" s="2" t="s">
        <v>1750</v>
      </c>
      <c r="E624" s="2" t="n">
        <v>188824</v>
      </c>
      <c r="F624" s="15" t="n">
        <v>43788</v>
      </c>
      <c r="G624" s="15" t="n">
        <v>43794</v>
      </c>
      <c r="H624" s="3" t="n">
        <v>6</v>
      </c>
      <c r="I624" s="3" t="n">
        <v>2</v>
      </c>
      <c r="J624" s="3" t="n">
        <v>54</v>
      </c>
      <c r="K624" s="3" t="n">
        <v>1</v>
      </c>
      <c r="L624" s="3" t="n">
        <v>1</v>
      </c>
      <c r="M624" s="3" t="n">
        <v>1</v>
      </c>
      <c r="N624" s="3" t="n">
        <v>2</v>
      </c>
      <c r="O624" s="3" t="n">
        <v>1</v>
      </c>
      <c r="P624" s="3" t="n">
        <v>2</v>
      </c>
      <c r="Q624" s="3" t="n">
        <v>2</v>
      </c>
      <c r="R624" s="3" t="n">
        <v>2</v>
      </c>
      <c r="S624" s="3" t="n">
        <v>2</v>
      </c>
      <c r="T624" s="4" t="n">
        <v>2</v>
      </c>
      <c r="U624" s="3" t="n">
        <v>1</v>
      </c>
      <c r="V624" s="3" t="n">
        <v>5.24</v>
      </c>
      <c r="W624" s="3" t="n">
        <v>1.94</v>
      </c>
      <c r="X624" s="3" t="n">
        <v>6.97</v>
      </c>
      <c r="Y624" s="3" t="n">
        <v>453</v>
      </c>
      <c r="Z624" s="3" t="n">
        <v>80</v>
      </c>
      <c r="AA624" s="3" t="n">
        <v>0.45</v>
      </c>
      <c r="AB624" s="3" t="n">
        <v>8.3</v>
      </c>
      <c r="AC624" s="3" t="n">
        <v>2</v>
      </c>
      <c r="AD624" s="3" t="n">
        <v>2</v>
      </c>
      <c r="AE624" s="3" t="n">
        <v>1</v>
      </c>
      <c r="AF624" s="3" t="n">
        <v>1</v>
      </c>
      <c r="AG624" s="3" t="n">
        <v>1</v>
      </c>
      <c r="AH624" s="3" t="n">
        <v>2</v>
      </c>
      <c r="AI624" s="3" t="n">
        <v>2</v>
      </c>
      <c r="AJ624" s="3" t="n">
        <v>1</v>
      </c>
      <c r="AK624" s="3" t="n">
        <v>2</v>
      </c>
      <c r="AL624" s="3" t="n">
        <v>2</v>
      </c>
      <c r="AM624" s="3" t="n">
        <v>1</v>
      </c>
      <c r="AN624" s="3" t="n">
        <v>2</v>
      </c>
      <c r="AO624" s="3" t="n">
        <v>2</v>
      </c>
      <c r="AP624" s="3" t="n">
        <v>3</v>
      </c>
      <c r="AQ624" s="3" t="n">
        <v>4</v>
      </c>
      <c r="AR624" s="3" t="n">
        <v>4</v>
      </c>
      <c r="AS624" s="3" t="n">
        <v>6</v>
      </c>
      <c r="AT624" s="3" t="n">
        <v>4</v>
      </c>
      <c r="AU624" s="3" t="n">
        <v>4</v>
      </c>
      <c r="AV624" s="3" t="n">
        <v>6</v>
      </c>
      <c r="AW624" s="3" t="n">
        <v>6</v>
      </c>
      <c r="AX624" s="3" t="n">
        <v>3</v>
      </c>
      <c r="AY624" s="3" t="n">
        <v>3</v>
      </c>
      <c r="AZ624" s="3" t="n">
        <v>4</v>
      </c>
      <c r="BA624" s="5" t="n">
        <v>1</v>
      </c>
      <c r="BB624" s="3" t="n">
        <v>1</v>
      </c>
      <c r="BC624" s="3" t="n">
        <v>1</v>
      </c>
      <c r="BD624" s="3" t="n">
        <v>2</v>
      </c>
      <c r="BE624" s="3" t="n">
        <v>3</v>
      </c>
      <c r="BF624" s="3" t="n">
        <v>5</v>
      </c>
      <c r="BG624" s="3" t="n">
        <v>3</v>
      </c>
      <c r="BH624" s="3" t="n">
        <v>4</v>
      </c>
      <c r="BI624" s="3" t="n">
        <v>1</v>
      </c>
      <c r="BJ624" s="3" t="n">
        <v>1</v>
      </c>
      <c r="BK624" s="6" t="s">
        <v>1751</v>
      </c>
    </row>
    <row r="625" customFormat="false" ht="15" hidden="false" customHeight="true" outlineLevel="0" collapsed="false">
      <c r="B625" s="2" t="s">
        <v>1443</v>
      </c>
      <c r="C625" s="2" t="s">
        <v>294</v>
      </c>
      <c r="D625" s="2" t="s">
        <v>127</v>
      </c>
      <c r="E625" s="2" t="n">
        <v>139191</v>
      </c>
      <c r="F625" s="15" t="n">
        <v>43789</v>
      </c>
      <c r="G625" s="15" t="n">
        <v>43794</v>
      </c>
      <c r="H625" s="3" t="n">
        <v>5</v>
      </c>
      <c r="I625" s="3" t="n">
        <v>1</v>
      </c>
      <c r="J625" s="3" t="n">
        <v>63</v>
      </c>
      <c r="K625" s="3" t="n">
        <v>1</v>
      </c>
      <c r="L625" s="3" t="n">
        <v>2</v>
      </c>
      <c r="M625" s="3" t="n">
        <v>1</v>
      </c>
      <c r="N625" s="3" t="n">
        <v>2</v>
      </c>
      <c r="O625" s="3" t="n">
        <v>2</v>
      </c>
      <c r="P625" s="3" t="n">
        <v>1</v>
      </c>
      <c r="Q625" s="3" t="n">
        <v>1</v>
      </c>
      <c r="R625" s="3" t="n">
        <v>2</v>
      </c>
      <c r="S625" s="3" t="n">
        <v>1</v>
      </c>
      <c r="T625" s="4" t="n">
        <v>3</v>
      </c>
      <c r="U625" s="3" t="n">
        <v>4</v>
      </c>
      <c r="V625" s="3" t="n">
        <v>4.25</v>
      </c>
      <c r="W625" s="3" t="n">
        <v>1.05</v>
      </c>
      <c r="X625" s="3" t="n">
        <v>6.97</v>
      </c>
      <c r="Y625" s="3" t="n">
        <v>361</v>
      </c>
      <c r="Z625" s="3" t="n">
        <v>68</v>
      </c>
      <c r="AA625" s="3" t="n">
        <v>0.34</v>
      </c>
      <c r="AB625" s="3" t="n">
        <v>10</v>
      </c>
      <c r="AC625" s="3" t="n">
        <v>1</v>
      </c>
      <c r="AD625" s="3" t="n">
        <v>1</v>
      </c>
      <c r="AE625" s="3" t="n">
        <v>1</v>
      </c>
      <c r="AF625" s="3" t="n">
        <v>1</v>
      </c>
      <c r="AG625" s="3" t="n">
        <v>2</v>
      </c>
      <c r="AH625" s="3" t="n">
        <v>1</v>
      </c>
      <c r="AI625" s="3" t="n">
        <v>1</v>
      </c>
      <c r="AJ625" s="3" t="n">
        <v>2</v>
      </c>
      <c r="AK625" s="3" t="n">
        <v>2</v>
      </c>
      <c r="AL625" s="3" t="n">
        <v>2</v>
      </c>
      <c r="AM625" s="3" t="n">
        <v>1</v>
      </c>
      <c r="AN625" s="3" t="n">
        <v>2</v>
      </c>
      <c r="AO625" s="3" t="n">
        <v>2</v>
      </c>
      <c r="AP625" s="3" t="n">
        <v>3</v>
      </c>
      <c r="AQ625" s="3" t="n">
        <v>4</v>
      </c>
      <c r="AR625" s="3" t="n">
        <v>4</v>
      </c>
      <c r="AS625" s="3" t="n">
        <v>6</v>
      </c>
      <c r="AT625" s="3" t="n">
        <v>4</v>
      </c>
      <c r="AU625" s="3" t="n">
        <v>4</v>
      </c>
      <c r="AV625" s="3" t="n">
        <v>6</v>
      </c>
      <c r="AW625" s="3" t="n">
        <v>6</v>
      </c>
      <c r="AX625" s="3" t="n">
        <v>3</v>
      </c>
      <c r="AY625" s="3" t="n">
        <v>3</v>
      </c>
      <c r="AZ625" s="3" t="n">
        <v>1</v>
      </c>
      <c r="BA625" s="5" t="n">
        <v>11</v>
      </c>
      <c r="BB625" s="3" t="n">
        <v>2</v>
      </c>
      <c r="BC625" s="3" t="n">
        <v>1</v>
      </c>
      <c r="BD625" s="3" t="n">
        <v>6</v>
      </c>
      <c r="BE625" s="3" t="n">
        <v>3</v>
      </c>
      <c r="BF625" s="3" t="n">
        <v>5</v>
      </c>
      <c r="BG625" s="3" t="n">
        <v>3</v>
      </c>
      <c r="BH625" s="3" t="n">
        <v>4</v>
      </c>
      <c r="BI625" s="3" t="n">
        <v>1</v>
      </c>
      <c r="BJ625" s="3" t="n">
        <v>1</v>
      </c>
      <c r="BK625" s="6" t="s">
        <v>1752</v>
      </c>
    </row>
    <row r="626" customFormat="false" ht="15" hidden="false" customHeight="true" outlineLevel="0" collapsed="false">
      <c r="B626" s="2" t="s">
        <v>1753</v>
      </c>
      <c r="C626" s="2" t="s">
        <v>849</v>
      </c>
      <c r="D626" s="2" t="s">
        <v>578</v>
      </c>
      <c r="E626" s="2" t="n">
        <v>189164</v>
      </c>
      <c r="F626" s="15" t="n">
        <v>43790</v>
      </c>
      <c r="G626" s="15" t="n">
        <v>43795</v>
      </c>
      <c r="H626" s="3" t="n">
        <v>5</v>
      </c>
      <c r="I626" s="3" t="n">
        <v>1</v>
      </c>
      <c r="J626" s="3" t="n">
        <v>51</v>
      </c>
      <c r="K626" s="3" t="n">
        <v>1</v>
      </c>
      <c r="L626" s="3" t="n">
        <v>1</v>
      </c>
      <c r="M626" s="3" t="n">
        <v>2</v>
      </c>
      <c r="N626" s="3" t="n">
        <v>2</v>
      </c>
      <c r="O626" s="3" t="n">
        <v>2</v>
      </c>
      <c r="P626" s="3" t="n">
        <v>2</v>
      </c>
      <c r="Q626" s="3" t="n">
        <v>2</v>
      </c>
      <c r="R626" s="3" t="n">
        <v>2</v>
      </c>
      <c r="S626" s="3" t="n">
        <v>2</v>
      </c>
      <c r="T626" s="4" t="n">
        <v>1</v>
      </c>
      <c r="U626" s="3" t="n">
        <v>1</v>
      </c>
      <c r="V626" s="3" t="n">
        <v>4.44</v>
      </c>
      <c r="W626" s="3" t="n">
        <v>0.8</v>
      </c>
      <c r="X626" s="3" t="n">
        <v>4.19</v>
      </c>
      <c r="Y626" s="3" t="n">
        <v>272</v>
      </c>
      <c r="Z626" s="3" t="n">
        <v>51</v>
      </c>
      <c r="AA626" s="3" t="n">
        <v>0.4</v>
      </c>
      <c r="AB626" s="3" t="n">
        <v>7.8</v>
      </c>
      <c r="AC626" s="3" t="n">
        <v>1</v>
      </c>
      <c r="AD626" s="3" t="n">
        <v>1</v>
      </c>
      <c r="AE626" s="3" t="n">
        <v>1</v>
      </c>
      <c r="AF626" s="3" t="n">
        <v>1</v>
      </c>
      <c r="AG626" s="3" t="n">
        <v>2</v>
      </c>
      <c r="AH626" s="3" t="n">
        <v>2</v>
      </c>
      <c r="AI626" s="3" t="n">
        <v>1</v>
      </c>
      <c r="AJ626" s="3" t="n">
        <v>1</v>
      </c>
      <c r="AK626" s="3" t="n">
        <v>2</v>
      </c>
      <c r="AL626" s="3" t="n">
        <v>2</v>
      </c>
      <c r="AM626" s="3" t="n">
        <v>2</v>
      </c>
      <c r="AN626" s="3" t="n">
        <v>2</v>
      </c>
      <c r="AO626" s="3" t="n">
        <v>2</v>
      </c>
      <c r="AP626" s="3" t="n">
        <v>3</v>
      </c>
      <c r="AQ626" s="3" t="n">
        <v>4</v>
      </c>
      <c r="AR626" s="3" t="n">
        <v>4</v>
      </c>
      <c r="AS626" s="3" t="n">
        <v>6</v>
      </c>
      <c r="AT626" s="3" t="n">
        <v>4</v>
      </c>
      <c r="AU626" s="3" t="n">
        <v>4</v>
      </c>
      <c r="AV626" s="3" t="n">
        <v>6</v>
      </c>
      <c r="AW626" s="3" t="n">
        <v>6</v>
      </c>
      <c r="AX626" s="3" t="n">
        <v>3</v>
      </c>
      <c r="AY626" s="3" t="n">
        <v>3</v>
      </c>
      <c r="AZ626" s="3" t="n">
        <v>1</v>
      </c>
      <c r="BA626" s="5" t="n">
        <v>5</v>
      </c>
      <c r="BB626" s="3" t="n">
        <v>2</v>
      </c>
      <c r="BC626" s="3" t="n">
        <v>1</v>
      </c>
      <c r="BD626" s="3" t="n">
        <v>6</v>
      </c>
      <c r="BE626" s="3" t="n">
        <v>3</v>
      </c>
      <c r="BF626" s="3" t="n">
        <v>5</v>
      </c>
      <c r="BG626" s="3" t="n">
        <v>3</v>
      </c>
      <c r="BH626" s="3" t="n">
        <v>4</v>
      </c>
      <c r="BI626" s="3" t="n">
        <v>1</v>
      </c>
      <c r="BJ626" s="3" t="n">
        <v>1</v>
      </c>
      <c r="BK626" s="6" t="s">
        <v>1754</v>
      </c>
    </row>
    <row r="627" customFormat="false" ht="15" hidden="false" customHeight="true" outlineLevel="0" collapsed="false">
      <c r="B627" s="2" t="s">
        <v>1755</v>
      </c>
      <c r="C627" s="2" t="s">
        <v>1756</v>
      </c>
      <c r="D627" s="2" t="s">
        <v>1757</v>
      </c>
      <c r="E627" s="2" t="n">
        <v>181351</v>
      </c>
      <c r="F627" s="15" t="n">
        <v>43793</v>
      </c>
      <c r="G627" s="15" t="n">
        <v>43793</v>
      </c>
      <c r="H627" s="3" t="n">
        <v>0</v>
      </c>
      <c r="I627" s="3" t="n">
        <v>2</v>
      </c>
      <c r="J627" s="3" t="n">
        <v>63</v>
      </c>
      <c r="K627" s="3" t="n">
        <v>1</v>
      </c>
      <c r="L627" s="3" t="n">
        <v>1</v>
      </c>
      <c r="M627" s="3" t="n">
        <v>1</v>
      </c>
      <c r="N627" s="3" t="n">
        <v>2</v>
      </c>
      <c r="O627" s="3" t="n">
        <v>2</v>
      </c>
      <c r="P627" s="3" t="n">
        <v>2</v>
      </c>
      <c r="Q627" s="3" t="n">
        <v>2</v>
      </c>
      <c r="R627" s="3" t="n">
        <v>2</v>
      </c>
      <c r="S627" s="3" t="n">
        <v>2</v>
      </c>
      <c r="T627" s="4" t="n">
        <v>1</v>
      </c>
      <c r="U627" s="3" t="n">
        <v>1</v>
      </c>
      <c r="AC627" s="3" t="n">
        <v>3</v>
      </c>
      <c r="AD627" s="3" t="n">
        <v>1</v>
      </c>
      <c r="AE627" s="3" t="n">
        <v>1</v>
      </c>
      <c r="AF627" s="3" t="n">
        <v>1</v>
      </c>
      <c r="AG627" s="3" t="n">
        <v>2</v>
      </c>
      <c r="AH627" s="3" t="n">
        <v>1</v>
      </c>
      <c r="AI627" s="3" t="n">
        <v>1</v>
      </c>
      <c r="AJ627" s="3" t="n">
        <v>1</v>
      </c>
      <c r="AK627" s="3" t="n">
        <v>2</v>
      </c>
      <c r="AL627" s="3" t="n">
        <v>2</v>
      </c>
      <c r="AM627" s="3" t="n">
        <v>2</v>
      </c>
      <c r="AN627" s="3" t="n">
        <v>2</v>
      </c>
      <c r="AO627" s="3" t="n">
        <v>2</v>
      </c>
      <c r="AP627" s="3" t="n">
        <v>3</v>
      </c>
      <c r="AQ627" s="3" t="n">
        <v>4</v>
      </c>
      <c r="AR627" s="3" t="n">
        <v>4</v>
      </c>
      <c r="AS627" s="3" t="n">
        <v>6</v>
      </c>
      <c r="AT627" s="3" t="n">
        <v>4</v>
      </c>
      <c r="AU627" s="3" t="n">
        <v>4</v>
      </c>
      <c r="AV627" s="3" t="n">
        <v>6</v>
      </c>
      <c r="AW627" s="3" t="n">
        <v>6</v>
      </c>
      <c r="AX627" s="3" t="n">
        <v>3</v>
      </c>
      <c r="AY627" s="3" t="n">
        <v>3</v>
      </c>
      <c r="AZ627" s="3" t="n">
        <v>6</v>
      </c>
      <c r="BA627" s="5" t="n">
        <v>5</v>
      </c>
      <c r="BB627" s="3" t="n">
        <v>2</v>
      </c>
      <c r="BC627" s="3" t="n">
        <v>1</v>
      </c>
      <c r="BD627" s="3" t="n">
        <v>6</v>
      </c>
      <c r="BE627" s="3" t="n">
        <v>3</v>
      </c>
      <c r="BF627" s="3" t="n">
        <v>5</v>
      </c>
      <c r="BG627" s="3" t="n">
        <v>3</v>
      </c>
      <c r="BH627" s="3" t="n">
        <v>2</v>
      </c>
      <c r="BI627" s="3" t="n">
        <v>1</v>
      </c>
      <c r="BJ627" s="3" t="n">
        <v>1</v>
      </c>
      <c r="BK627" s="6" t="s">
        <v>1758</v>
      </c>
    </row>
    <row r="628" customFormat="false" ht="15" hidden="false" customHeight="true" outlineLevel="0" collapsed="false">
      <c r="B628" s="2" t="s">
        <v>1759</v>
      </c>
      <c r="C628" s="2" t="s">
        <v>1482</v>
      </c>
      <c r="D628" s="2" t="s">
        <v>244</v>
      </c>
      <c r="E628" s="2" t="n">
        <v>189309</v>
      </c>
      <c r="F628" s="15" t="n">
        <v>43790</v>
      </c>
      <c r="G628" s="15" t="n">
        <v>43796</v>
      </c>
      <c r="H628" s="3" t="n">
        <v>6</v>
      </c>
      <c r="I628" s="3" t="n">
        <v>1</v>
      </c>
      <c r="J628" s="3" t="n">
        <v>84</v>
      </c>
      <c r="K628" s="3" t="n">
        <v>2</v>
      </c>
      <c r="L628" s="3" t="n">
        <v>1</v>
      </c>
      <c r="M628" s="3" t="n">
        <v>1</v>
      </c>
      <c r="N628" s="3" t="n">
        <v>2</v>
      </c>
      <c r="O628" s="3" t="n">
        <v>2</v>
      </c>
      <c r="P628" s="3" t="n">
        <v>2</v>
      </c>
      <c r="Q628" s="3" t="n">
        <v>2</v>
      </c>
      <c r="R628" s="3" t="n">
        <v>2</v>
      </c>
      <c r="S628" s="3" t="n">
        <v>1</v>
      </c>
      <c r="T628" s="4" t="n">
        <v>1</v>
      </c>
      <c r="U628" s="3" t="n">
        <v>1</v>
      </c>
      <c r="V628" s="3" t="n">
        <v>4.37</v>
      </c>
      <c r="W628" s="3" t="n">
        <v>2.41</v>
      </c>
      <c r="X628" s="3" t="n">
        <v>4.33</v>
      </c>
      <c r="Y628" s="3" t="n">
        <v>320</v>
      </c>
      <c r="Z628" s="3" t="n">
        <v>59</v>
      </c>
      <c r="AA628" s="3" t="n">
        <v>0.43</v>
      </c>
      <c r="AB628" s="3" t="n">
        <v>9.3</v>
      </c>
      <c r="AC628" s="3" t="n">
        <v>1</v>
      </c>
      <c r="AD628" s="3" t="n">
        <v>1</v>
      </c>
      <c r="AE628" s="3" t="n">
        <v>1</v>
      </c>
      <c r="AF628" s="3" t="n">
        <v>1</v>
      </c>
      <c r="AG628" s="3" t="n">
        <v>2</v>
      </c>
      <c r="AH628" s="3" t="n">
        <v>1</v>
      </c>
      <c r="AI628" s="3" t="n">
        <v>1</v>
      </c>
      <c r="AJ628" s="3" t="n">
        <v>1</v>
      </c>
      <c r="AK628" s="3" t="n">
        <v>2</v>
      </c>
      <c r="AL628" s="3" t="n">
        <v>2</v>
      </c>
      <c r="AM628" s="3" t="n">
        <v>2</v>
      </c>
      <c r="AN628" s="3" t="n">
        <v>2</v>
      </c>
      <c r="AO628" s="3" t="n">
        <v>2</v>
      </c>
      <c r="AP628" s="3" t="n">
        <v>3</v>
      </c>
      <c r="AQ628" s="3" t="n">
        <v>4</v>
      </c>
      <c r="AR628" s="3" t="n">
        <v>4</v>
      </c>
      <c r="AS628" s="3" t="n">
        <v>6</v>
      </c>
      <c r="AT628" s="3" t="n">
        <v>4</v>
      </c>
      <c r="AU628" s="3" t="n">
        <v>4</v>
      </c>
      <c r="AV628" s="3" t="n">
        <v>6</v>
      </c>
      <c r="AW628" s="3" t="n">
        <v>6</v>
      </c>
      <c r="AX628" s="3" t="n">
        <v>3</v>
      </c>
      <c r="AY628" s="3" t="n">
        <v>3</v>
      </c>
      <c r="AZ628" s="3" t="n">
        <v>1</v>
      </c>
      <c r="BA628" s="5" t="n">
        <v>5</v>
      </c>
      <c r="BB628" s="3" t="n">
        <v>2</v>
      </c>
      <c r="BC628" s="3" t="n">
        <v>1</v>
      </c>
      <c r="BD628" s="3" t="n">
        <v>6</v>
      </c>
      <c r="BE628" s="3" t="n">
        <v>3</v>
      </c>
      <c r="BF628" s="3" t="n">
        <v>5</v>
      </c>
      <c r="BG628" s="3" t="n">
        <v>3</v>
      </c>
      <c r="BH628" s="3" t="n">
        <v>4</v>
      </c>
      <c r="BI628" s="3" t="n">
        <v>1</v>
      </c>
      <c r="BJ628" s="3" t="n">
        <v>1</v>
      </c>
      <c r="BK628" s="6" t="s">
        <v>1760</v>
      </c>
    </row>
    <row r="629" customFormat="false" ht="15" hidden="false" customHeight="true" outlineLevel="0" collapsed="false">
      <c r="A629" s="1" t="s">
        <v>125</v>
      </c>
      <c r="B629" s="17" t="s">
        <v>569</v>
      </c>
      <c r="C629" s="17" t="s">
        <v>564</v>
      </c>
      <c r="D629" s="17" t="s">
        <v>210</v>
      </c>
      <c r="E629" s="2" t="n">
        <v>188853</v>
      </c>
      <c r="F629" s="15" t="n">
        <v>43786</v>
      </c>
      <c r="G629" s="15" t="n">
        <v>43796</v>
      </c>
      <c r="H629" s="3" t="n">
        <v>10</v>
      </c>
      <c r="I629" s="3" t="n">
        <v>2</v>
      </c>
      <c r="J629" s="3" t="n">
        <v>63</v>
      </c>
      <c r="K629" s="3" t="n">
        <v>1</v>
      </c>
      <c r="L629" s="3" t="n">
        <v>2</v>
      </c>
      <c r="M629" s="3" t="n">
        <v>1</v>
      </c>
      <c r="N629" s="3" t="n">
        <v>2</v>
      </c>
      <c r="O629" s="3" t="n">
        <v>2</v>
      </c>
      <c r="P629" s="3" t="n">
        <v>2</v>
      </c>
      <c r="Q629" s="3" t="n">
        <v>2</v>
      </c>
      <c r="R629" s="3" t="n">
        <v>2</v>
      </c>
      <c r="S629" s="3" t="n">
        <v>2</v>
      </c>
      <c r="T629" s="4" t="n">
        <v>2</v>
      </c>
      <c r="U629" s="3" t="n">
        <v>2</v>
      </c>
      <c r="V629" s="3" t="n">
        <v>5.69</v>
      </c>
      <c r="W629" s="3" t="n">
        <v>1.76</v>
      </c>
      <c r="X629" s="3" t="n">
        <v>5.08</v>
      </c>
      <c r="Y629" s="3" t="n">
        <v>361</v>
      </c>
      <c r="Z629" s="3" t="n">
        <v>87</v>
      </c>
      <c r="AA629" s="3" t="n">
        <v>0.5</v>
      </c>
      <c r="AB629" s="3" t="n">
        <v>9.1</v>
      </c>
      <c r="AC629" s="3" t="n">
        <v>1</v>
      </c>
      <c r="AD629" s="3" t="n">
        <v>2</v>
      </c>
      <c r="AE629" s="3" t="n">
        <v>1</v>
      </c>
      <c r="AF629" s="3" t="n">
        <v>1</v>
      </c>
      <c r="AG629" s="3" t="n">
        <v>2</v>
      </c>
      <c r="AH629" s="3" t="n">
        <v>2</v>
      </c>
      <c r="AI629" s="3" t="n">
        <v>1</v>
      </c>
      <c r="AJ629" s="3" t="n">
        <v>1</v>
      </c>
      <c r="AK629" s="3" t="n">
        <v>2</v>
      </c>
      <c r="AL629" s="3" t="n">
        <v>2</v>
      </c>
      <c r="AM629" s="3" t="n">
        <v>2</v>
      </c>
      <c r="AN629" s="3" t="n">
        <v>2</v>
      </c>
      <c r="AO629" s="3" t="n">
        <v>2</v>
      </c>
      <c r="AP629" s="3" t="n">
        <v>3</v>
      </c>
      <c r="AQ629" s="3" t="n">
        <v>4</v>
      </c>
      <c r="AR629" s="3" t="n">
        <v>4</v>
      </c>
      <c r="AS629" s="3" t="n">
        <v>6</v>
      </c>
      <c r="AT629" s="3" t="n">
        <v>4</v>
      </c>
      <c r="AU629" s="3" t="n">
        <v>4</v>
      </c>
      <c r="AV629" s="3" t="n">
        <v>6</v>
      </c>
      <c r="AW629" s="3" t="n">
        <v>6</v>
      </c>
      <c r="AX629" s="3" t="n">
        <v>3</v>
      </c>
      <c r="AY629" s="3" t="n">
        <v>3</v>
      </c>
      <c r="AZ629" s="3" t="n">
        <v>2</v>
      </c>
      <c r="BA629" s="5" t="n">
        <v>1</v>
      </c>
      <c r="BB629" s="3" t="n">
        <v>1</v>
      </c>
      <c r="BC629" s="3" t="n">
        <v>1</v>
      </c>
      <c r="BD629" s="3" t="n">
        <v>2</v>
      </c>
      <c r="BE629" s="3" t="n">
        <v>1</v>
      </c>
      <c r="BF629" s="3" t="n">
        <v>2</v>
      </c>
      <c r="BG629" s="3" t="n">
        <v>1</v>
      </c>
      <c r="BH629" s="3" t="n">
        <v>4</v>
      </c>
      <c r="BI629" s="3" t="n">
        <v>1</v>
      </c>
      <c r="BJ629" s="3" t="n">
        <v>1</v>
      </c>
      <c r="BK629" s="21" t="s">
        <v>1761</v>
      </c>
    </row>
    <row r="630" customFormat="false" ht="15" hidden="false" customHeight="true" outlineLevel="0" collapsed="false">
      <c r="B630" s="2" t="s">
        <v>1762</v>
      </c>
      <c r="C630" s="2" t="s">
        <v>414</v>
      </c>
      <c r="D630" s="2" t="s">
        <v>1763</v>
      </c>
      <c r="E630" s="2" t="n">
        <v>189162</v>
      </c>
      <c r="F630" s="15" t="n">
        <v>43790</v>
      </c>
      <c r="G630" s="15" t="n">
        <v>43797</v>
      </c>
      <c r="H630" s="3" t="n">
        <v>7</v>
      </c>
      <c r="I630" s="3" t="n">
        <v>2</v>
      </c>
      <c r="J630" s="3" t="n">
        <v>52</v>
      </c>
      <c r="K630" s="3" t="n">
        <v>1</v>
      </c>
      <c r="L630" s="3" t="n">
        <v>1</v>
      </c>
      <c r="M630" s="3" t="n">
        <v>2</v>
      </c>
      <c r="N630" s="3" t="n">
        <v>2</v>
      </c>
      <c r="O630" s="3" t="n">
        <v>1</v>
      </c>
      <c r="P630" s="3" t="n">
        <v>2</v>
      </c>
      <c r="Q630" s="3" t="n">
        <v>2</v>
      </c>
      <c r="R630" s="3" t="n">
        <v>2</v>
      </c>
      <c r="S630" s="3" t="n">
        <v>2</v>
      </c>
      <c r="T630" s="4" t="n">
        <v>2</v>
      </c>
      <c r="U630" s="3" t="n">
        <v>2</v>
      </c>
      <c r="V630" s="3" t="n">
        <v>3.72</v>
      </c>
      <c r="W630" s="3" t="n">
        <v>2.25</v>
      </c>
      <c r="X630" s="3" t="n">
        <v>6.46</v>
      </c>
      <c r="Y630" s="3" t="n">
        <v>469</v>
      </c>
      <c r="Z630" s="3" t="n">
        <v>99</v>
      </c>
      <c r="AA630" s="3" t="n">
        <v>0.5</v>
      </c>
      <c r="AB630" s="3" t="n">
        <v>11.2</v>
      </c>
      <c r="AC630" s="3" t="n">
        <v>1</v>
      </c>
      <c r="AD630" s="3" t="n">
        <v>2</v>
      </c>
      <c r="AE630" s="3" t="n">
        <v>1</v>
      </c>
      <c r="AF630" s="3" t="n">
        <v>1</v>
      </c>
      <c r="AG630" s="3" t="n">
        <v>2</v>
      </c>
      <c r="AH630" s="3" t="n">
        <v>2</v>
      </c>
      <c r="AI630" s="3" t="n">
        <v>1</v>
      </c>
      <c r="AJ630" s="3" t="n">
        <v>1</v>
      </c>
      <c r="AK630" s="3" t="n">
        <v>2</v>
      </c>
      <c r="AL630" s="3" t="n">
        <v>2</v>
      </c>
      <c r="AM630" s="3" t="n">
        <v>1</v>
      </c>
      <c r="AN630" s="3" t="n">
        <v>2</v>
      </c>
      <c r="AO630" s="3" t="n">
        <v>2</v>
      </c>
      <c r="AP630" s="3" t="n">
        <v>3</v>
      </c>
      <c r="AQ630" s="3" t="n">
        <v>4</v>
      </c>
      <c r="AR630" s="3" t="n">
        <v>4</v>
      </c>
      <c r="AS630" s="3" t="n">
        <v>6</v>
      </c>
      <c r="AT630" s="3" t="n">
        <v>4</v>
      </c>
      <c r="AU630" s="3" t="n">
        <v>4</v>
      </c>
      <c r="AV630" s="3" t="n">
        <v>6</v>
      </c>
      <c r="AW630" s="3" t="n">
        <v>6</v>
      </c>
      <c r="AX630" s="3" t="n">
        <v>3</v>
      </c>
      <c r="AY630" s="3" t="n">
        <v>3</v>
      </c>
      <c r="AZ630" s="3" t="n">
        <v>1</v>
      </c>
      <c r="BA630" s="5" t="n">
        <v>1</v>
      </c>
      <c r="BB630" s="3" t="n">
        <v>1</v>
      </c>
      <c r="BC630" s="3" t="n">
        <v>1</v>
      </c>
      <c r="BD630" s="3" t="n">
        <v>2</v>
      </c>
      <c r="BE630" s="3" t="n">
        <v>1</v>
      </c>
      <c r="BF630" s="3" t="n">
        <v>2</v>
      </c>
      <c r="BG630" s="3" t="n">
        <v>1</v>
      </c>
      <c r="BH630" s="3" t="n">
        <v>4</v>
      </c>
      <c r="BI630" s="3" t="n">
        <v>1</v>
      </c>
      <c r="BJ630" s="3" t="n">
        <v>1</v>
      </c>
      <c r="BK630" s="6" t="s">
        <v>1764</v>
      </c>
    </row>
    <row r="631" customFormat="false" ht="15" hidden="false" customHeight="true" outlineLevel="0" collapsed="false">
      <c r="B631" s="2" t="s">
        <v>628</v>
      </c>
      <c r="C631" s="2" t="s">
        <v>127</v>
      </c>
      <c r="D631" s="2" t="s">
        <v>109</v>
      </c>
      <c r="E631" s="2" t="n">
        <v>189396</v>
      </c>
      <c r="F631" s="15" t="n">
        <v>43794</v>
      </c>
      <c r="G631" s="15" t="n">
        <v>43799</v>
      </c>
      <c r="H631" s="3" t="n">
        <v>5</v>
      </c>
      <c r="I631" s="3" t="n">
        <v>1</v>
      </c>
      <c r="J631" s="3" t="n">
        <v>54</v>
      </c>
      <c r="K631" s="3" t="n">
        <v>2</v>
      </c>
      <c r="L631" s="3" t="n">
        <v>1</v>
      </c>
      <c r="M631" s="3" t="n">
        <v>1</v>
      </c>
      <c r="N631" s="3" t="n">
        <v>2</v>
      </c>
      <c r="O631" s="3" t="n">
        <v>2</v>
      </c>
      <c r="P631" s="3" t="n">
        <v>2</v>
      </c>
      <c r="Q631" s="3" t="n">
        <v>1</v>
      </c>
      <c r="R631" s="3" t="n">
        <v>2</v>
      </c>
      <c r="S631" s="3" t="n">
        <v>2</v>
      </c>
      <c r="T631" s="4" t="n">
        <v>3</v>
      </c>
      <c r="U631" s="3" t="n">
        <v>4</v>
      </c>
      <c r="V631" s="3" t="n">
        <v>6.19</v>
      </c>
      <c r="W631" s="3" t="n">
        <v>2.31</v>
      </c>
      <c r="X631" s="3" t="n">
        <v>15.4</v>
      </c>
      <c r="Y631" s="3" t="n">
        <v>224</v>
      </c>
      <c r="Z631" s="3" t="n">
        <v>57</v>
      </c>
      <c r="AA631" s="3" t="n">
        <v>0.45</v>
      </c>
      <c r="AB631" s="3" t="n">
        <v>5.9</v>
      </c>
      <c r="AC631" s="3" t="n">
        <v>1</v>
      </c>
      <c r="AD631" s="3" t="n">
        <v>2</v>
      </c>
      <c r="AE631" s="3" t="n">
        <v>1</v>
      </c>
      <c r="AF631" s="3" t="n">
        <v>1</v>
      </c>
      <c r="AG631" s="3" t="n">
        <v>2</v>
      </c>
      <c r="AH631" s="3" t="n">
        <v>2</v>
      </c>
      <c r="AI631" s="3" t="n">
        <v>2</v>
      </c>
      <c r="AJ631" s="3" t="n">
        <v>1</v>
      </c>
      <c r="AK631" s="3" t="n">
        <v>2</v>
      </c>
      <c r="AL631" s="3" t="n">
        <v>2</v>
      </c>
      <c r="AM631" s="3" t="n">
        <v>1</v>
      </c>
      <c r="AN631" s="3" t="n">
        <v>2</v>
      </c>
      <c r="AO631" s="3" t="n">
        <v>2</v>
      </c>
      <c r="AP631" s="3" t="n">
        <v>3</v>
      </c>
      <c r="AQ631" s="3" t="n">
        <v>4</v>
      </c>
      <c r="AR631" s="3" t="n">
        <v>4</v>
      </c>
      <c r="AS631" s="3" t="n">
        <v>6</v>
      </c>
      <c r="AT631" s="3" t="n">
        <v>4</v>
      </c>
      <c r="AU631" s="3" t="n">
        <v>4</v>
      </c>
      <c r="AV631" s="3" t="n">
        <v>6</v>
      </c>
      <c r="AW631" s="3" t="n">
        <v>6</v>
      </c>
      <c r="AX631" s="3" t="n">
        <v>3</v>
      </c>
      <c r="AY631" s="3" t="n">
        <v>3</v>
      </c>
      <c r="AZ631" s="3" t="n">
        <v>1</v>
      </c>
      <c r="BA631" s="5" t="n">
        <v>11</v>
      </c>
      <c r="BB631" s="3" t="n">
        <v>2</v>
      </c>
      <c r="BC631" s="3" t="n">
        <v>1</v>
      </c>
      <c r="BD631" s="3" t="n">
        <v>6</v>
      </c>
      <c r="BE631" s="3" t="n">
        <v>3</v>
      </c>
      <c r="BF631" s="3" t="n">
        <v>5</v>
      </c>
      <c r="BG631" s="3" t="n">
        <v>3</v>
      </c>
      <c r="BH631" s="3" t="n">
        <v>4</v>
      </c>
      <c r="BI631" s="3" t="n">
        <v>1</v>
      </c>
      <c r="BJ631" s="3" t="n">
        <v>1</v>
      </c>
      <c r="BK631" s="6" t="s">
        <v>1765</v>
      </c>
    </row>
    <row r="632" customFormat="false" ht="15" hidden="false" customHeight="true" outlineLevel="0" collapsed="false">
      <c r="B632" s="2" t="s">
        <v>217</v>
      </c>
      <c r="C632" s="2" t="s">
        <v>1766</v>
      </c>
      <c r="D632" s="2" t="s">
        <v>1767</v>
      </c>
      <c r="E632" s="2" t="n">
        <v>189149</v>
      </c>
      <c r="F632" s="15" t="n">
        <v>43794</v>
      </c>
      <c r="G632" s="15" t="n">
        <v>43801</v>
      </c>
      <c r="H632" s="3" t="n">
        <v>7</v>
      </c>
      <c r="I632" s="3" t="n">
        <v>2</v>
      </c>
      <c r="J632" s="3" t="n">
        <v>52</v>
      </c>
      <c r="K632" s="3" t="n">
        <v>2</v>
      </c>
      <c r="L632" s="3" t="n">
        <v>1</v>
      </c>
      <c r="M632" s="3" t="n">
        <v>1</v>
      </c>
      <c r="N632" s="3" t="n">
        <v>2</v>
      </c>
      <c r="O632" s="3" t="n">
        <v>2</v>
      </c>
      <c r="P632" s="3" t="n">
        <v>2</v>
      </c>
      <c r="Q632" s="3" t="n">
        <v>2</v>
      </c>
      <c r="R632" s="3" t="n">
        <v>2</v>
      </c>
      <c r="S632" s="3" t="n">
        <v>2</v>
      </c>
      <c r="T632" s="4" t="n">
        <v>2</v>
      </c>
      <c r="U632" s="3" t="n">
        <v>2</v>
      </c>
      <c r="V632" s="3" t="n">
        <v>4.2</v>
      </c>
      <c r="W632" s="3" t="n">
        <v>2.02</v>
      </c>
      <c r="X632" s="3" t="n">
        <v>5.31</v>
      </c>
      <c r="Y632" s="3" t="n">
        <v>433</v>
      </c>
      <c r="Z632" s="3" t="n">
        <v>86</v>
      </c>
      <c r="AA632" s="3" t="n">
        <v>0.54</v>
      </c>
      <c r="AB632" s="3" t="n">
        <v>13.6</v>
      </c>
      <c r="AC632" s="3" t="n">
        <v>1</v>
      </c>
      <c r="AD632" s="3" t="n">
        <v>2</v>
      </c>
      <c r="AE632" s="3" t="n">
        <v>1</v>
      </c>
      <c r="AF632" s="3" t="n">
        <v>1</v>
      </c>
      <c r="AG632" s="3" t="n">
        <v>1</v>
      </c>
      <c r="AH632" s="3" t="n">
        <v>1</v>
      </c>
      <c r="AI632" s="3" t="n">
        <v>1</v>
      </c>
      <c r="AJ632" s="3" t="n">
        <v>2</v>
      </c>
      <c r="AK632" s="3" t="n">
        <v>2</v>
      </c>
      <c r="AL632" s="3" t="n">
        <v>2</v>
      </c>
      <c r="AM632" s="3" t="n">
        <v>1</v>
      </c>
      <c r="AN632" s="3" t="n">
        <v>2</v>
      </c>
      <c r="AO632" s="3" t="n">
        <v>2</v>
      </c>
      <c r="AP632" s="3" t="n">
        <v>3</v>
      </c>
      <c r="AQ632" s="3" t="n">
        <v>4</v>
      </c>
      <c r="AR632" s="3" t="n">
        <v>4</v>
      </c>
      <c r="AS632" s="3" t="n">
        <v>6</v>
      </c>
      <c r="AT632" s="3" t="n">
        <v>4</v>
      </c>
      <c r="AU632" s="3" t="n">
        <v>4</v>
      </c>
      <c r="AV632" s="3" t="n">
        <v>6</v>
      </c>
      <c r="AW632" s="3" t="n">
        <v>6</v>
      </c>
      <c r="AX632" s="3" t="n">
        <v>3</v>
      </c>
      <c r="AY632" s="3" t="n">
        <v>3</v>
      </c>
      <c r="AZ632" s="3" t="n">
        <v>1</v>
      </c>
      <c r="BA632" s="5" t="n">
        <v>1</v>
      </c>
      <c r="BB632" s="3" t="n">
        <v>1</v>
      </c>
      <c r="BC632" s="3" t="n">
        <v>1</v>
      </c>
      <c r="BD632" s="3" t="n">
        <v>4</v>
      </c>
      <c r="BE632" s="3" t="n">
        <v>3</v>
      </c>
      <c r="BF632" s="3" t="n">
        <v>5</v>
      </c>
      <c r="BG632" s="3" t="n">
        <v>3</v>
      </c>
      <c r="BH632" s="3" t="n">
        <v>4</v>
      </c>
      <c r="BI632" s="3" t="n">
        <v>1</v>
      </c>
      <c r="BJ632" s="3" t="n">
        <v>1</v>
      </c>
      <c r="BK632" s="6" t="s">
        <v>1768</v>
      </c>
    </row>
    <row r="633" customFormat="false" ht="15" hidden="false" customHeight="true" outlineLevel="0" collapsed="false">
      <c r="B633" s="2" t="s">
        <v>1769</v>
      </c>
      <c r="C633" s="2" t="s">
        <v>1770</v>
      </c>
      <c r="D633" s="2" t="s">
        <v>602</v>
      </c>
      <c r="E633" s="2" t="n">
        <v>189152</v>
      </c>
      <c r="F633" s="15" t="n">
        <v>43794</v>
      </c>
      <c r="G633" s="15" t="n">
        <v>43801</v>
      </c>
      <c r="H633" s="3" t="n">
        <v>7</v>
      </c>
      <c r="I633" s="3" t="n">
        <v>1</v>
      </c>
      <c r="J633" s="3" t="n">
        <v>88</v>
      </c>
      <c r="K633" s="3" t="n">
        <v>1</v>
      </c>
      <c r="L633" s="3" t="n">
        <v>2</v>
      </c>
      <c r="M633" s="3" t="n">
        <v>1</v>
      </c>
      <c r="N633" s="3" t="n">
        <v>2</v>
      </c>
      <c r="O633" s="3" t="n">
        <v>2</v>
      </c>
      <c r="P633" s="3" t="n">
        <v>2</v>
      </c>
      <c r="Q633" s="3" t="n">
        <v>2</v>
      </c>
      <c r="R633" s="3" t="n">
        <v>2</v>
      </c>
      <c r="S633" s="3" t="n">
        <v>1</v>
      </c>
      <c r="T633" s="4" t="n">
        <v>1</v>
      </c>
      <c r="U633" s="3" t="n">
        <v>1</v>
      </c>
      <c r="V633" s="3" t="n">
        <v>5.1</v>
      </c>
      <c r="W633" s="3" t="n">
        <v>0.67</v>
      </c>
      <c r="X633" s="3" t="n">
        <v>6.14</v>
      </c>
      <c r="Y633" s="3" t="n">
        <v>318</v>
      </c>
      <c r="Z633" s="3" t="n">
        <v>74</v>
      </c>
      <c r="AA633" s="3" t="n">
        <v>0.42</v>
      </c>
      <c r="AB633" s="3" t="n">
        <v>12.3</v>
      </c>
      <c r="AC633" s="3" t="n">
        <v>2</v>
      </c>
      <c r="AD633" s="3" t="n">
        <v>1</v>
      </c>
      <c r="AE633" s="3" t="n">
        <v>1</v>
      </c>
      <c r="AF633" s="3" t="n">
        <v>1</v>
      </c>
      <c r="AG633" s="3" t="n">
        <v>1</v>
      </c>
      <c r="AH633" s="3" t="n">
        <v>2</v>
      </c>
      <c r="AI633" s="3" t="n">
        <v>2</v>
      </c>
      <c r="AJ633" s="3" t="n">
        <v>1</v>
      </c>
      <c r="AK633" s="3" t="n">
        <v>2</v>
      </c>
      <c r="AL633" s="3" t="n">
        <v>2</v>
      </c>
      <c r="AM633" s="3" t="n">
        <v>2</v>
      </c>
      <c r="AN633" s="3" t="n">
        <v>2</v>
      </c>
      <c r="AO633" s="3" t="n">
        <v>2</v>
      </c>
      <c r="AP633" s="3" t="n">
        <v>3</v>
      </c>
      <c r="AQ633" s="3" t="n">
        <v>4</v>
      </c>
      <c r="AR633" s="3" t="n">
        <v>4</v>
      </c>
      <c r="AS633" s="3" t="n">
        <v>6</v>
      </c>
      <c r="AT633" s="3" t="n">
        <v>4</v>
      </c>
      <c r="AU633" s="3" t="n">
        <v>4</v>
      </c>
      <c r="AV633" s="3" t="n">
        <v>6</v>
      </c>
      <c r="AW633" s="3" t="n">
        <v>6</v>
      </c>
      <c r="AX633" s="3" t="n">
        <v>3</v>
      </c>
      <c r="AY633" s="3" t="n">
        <v>3</v>
      </c>
      <c r="AZ633" s="3" t="n">
        <v>1</v>
      </c>
      <c r="BA633" s="5" t="n">
        <v>5</v>
      </c>
      <c r="BB633" s="3" t="n">
        <v>2</v>
      </c>
      <c r="BC633" s="3" t="n">
        <v>1</v>
      </c>
      <c r="BD633" s="3" t="n">
        <v>6</v>
      </c>
      <c r="BE633" s="3" t="n">
        <v>3</v>
      </c>
      <c r="BF633" s="3" t="n">
        <v>5</v>
      </c>
      <c r="BG633" s="3" t="n">
        <v>3</v>
      </c>
      <c r="BH633" s="3" t="n">
        <v>4</v>
      </c>
      <c r="BI633" s="3" t="n">
        <v>1</v>
      </c>
      <c r="BJ633" s="3" t="n">
        <v>1</v>
      </c>
      <c r="BK633" s="6" t="s">
        <v>1771</v>
      </c>
    </row>
    <row r="634" customFormat="false" ht="15" hidden="false" customHeight="true" outlineLevel="0" collapsed="false">
      <c r="B634" s="2" t="s">
        <v>1772</v>
      </c>
      <c r="C634" s="2" t="s">
        <v>1773</v>
      </c>
      <c r="D634" s="2" t="s">
        <v>577</v>
      </c>
      <c r="E634" s="2" t="n">
        <v>189380</v>
      </c>
      <c r="F634" s="15" t="n">
        <v>43793</v>
      </c>
      <c r="G634" s="15" t="n">
        <v>43801</v>
      </c>
      <c r="H634" s="3" t="n">
        <v>8</v>
      </c>
      <c r="I634" s="3" t="n">
        <v>1</v>
      </c>
      <c r="J634" s="3" t="n">
        <v>54</v>
      </c>
      <c r="K634" s="3" t="n">
        <v>2</v>
      </c>
      <c r="L634" s="3" t="n">
        <v>1</v>
      </c>
      <c r="M634" s="3" t="n">
        <v>1</v>
      </c>
      <c r="N634" s="3" t="n">
        <v>2</v>
      </c>
      <c r="O634" s="3" t="n">
        <v>2</v>
      </c>
      <c r="P634" s="3" t="n">
        <v>2</v>
      </c>
      <c r="Q634" s="3" t="n">
        <v>2</v>
      </c>
      <c r="R634" s="3" t="n">
        <v>2</v>
      </c>
      <c r="S634" s="3" t="n">
        <v>2</v>
      </c>
      <c r="T634" s="4" t="n">
        <v>2</v>
      </c>
      <c r="U634" s="3" t="n">
        <v>2</v>
      </c>
      <c r="V634" s="3" t="n">
        <v>5.94</v>
      </c>
      <c r="W634" s="3" t="n">
        <v>1.36</v>
      </c>
      <c r="X634" s="3" t="n">
        <v>6.2</v>
      </c>
      <c r="Y634" s="3" t="n">
        <v>371</v>
      </c>
      <c r="Z634" s="3" t="n">
        <v>59</v>
      </c>
      <c r="AA634" s="3" t="n">
        <v>0.45</v>
      </c>
      <c r="AB634" s="3" t="n">
        <v>9.2</v>
      </c>
      <c r="AC634" s="3" t="n">
        <v>1</v>
      </c>
      <c r="AD634" s="3" t="n">
        <v>1</v>
      </c>
      <c r="AE634" s="3" t="n">
        <v>1</v>
      </c>
      <c r="AF634" s="3" t="n">
        <v>1</v>
      </c>
      <c r="AG634" s="3" t="n">
        <v>2</v>
      </c>
      <c r="AH634" s="3" t="n">
        <v>1</v>
      </c>
      <c r="AI634" s="3" t="n">
        <v>1</v>
      </c>
      <c r="AJ634" s="3" t="n">
        <v>1</v>
      </c>
      <c r="AK634" s="3" t="n">
        <v>2</v>
      </c>
      <c r="AL634" s="3" t="n">
        <v>2</v>
      </c>
      <c r="AM634" s="3" t="n">
        <v>1</v>
      </c>
      <c r="AN634" s="3" t="n">
        <v>2</v>
      </c>
      <c r="AO634" s="3" t="n">
        <v>2</v>
      </c>
      <c r="AP634" s="3" t="n">
        <v>3</v>
      </c>
      <c r="AQ634" s="3" t="n">
        <v>4</v>
      </c>
      <c r="AR634" s="3" t="n">
        <v>4</v>
      </c>
      <c r="AS634" s="3" t="n">
        <v>6</v>
      </c>
      <c r="AT634" s="3" t="n">
        <v>4</v>
      </c>
      <c r="AU634" s="3" t="n">
        <v>4</v>
      </c>
      <c r="AV634" s="3" t="n">
        <v>6</v>
      </c>
      <c r="AW634" s="3" t="n">
        <v>6</v>
      </c>
      <c r="AX634" s="3" t="n">
        <v>3</v>
      </c>
      <c r="AY634" s="3" t="n">
        <v>3</v>
      </c>
      <c r="AZ634" s="3" t="n">
        <v>1</v>
      </c>
      <c r="BA634" s="5" t="n">
        <v>1</v>
      </c>
      <c r="BB634" s="3" t="n">
        <v>1</v>
      </c>
      <c r="BC634" s="3" t="n">
        <v>1</v>
      </c>
      <c r="BD634" s="3" t="n">
        <v>4</v>
      </c>
      <c r="BE634" s="3" t="n">
        <v>1</v>
      </c>
      <c r="BF634" s="3" t="n">
        <v>2</v>
      </c>
      <c r="BG634" s="3" t="n">
        <v>1</v>
      </c>
      <c r="BH634" s="3" t="n">
        <v>4</v>
      </c>
      <c r="BI634" s="3" t="n">
        <v>1</v>
      </c>
      <c r="BJ634" s="3" t="n">
        <v>1</v>
      </c>
      <c r="BK634" s="6" t="s">
        <v>1774</v>
      </c>
    </row>
    <row r="635" customFormat="false" ht="15" hidden="false" customHeight="true" outlineLevel="0" collapsed="false">
      <c r="B635" s="2" t="s">
        <v>1775</v>
      </c>
      <c r="C635" s="2" t="s">
        <v>78</v>
      </c>
      <c r="D635" s="2" t="s">
        <v>1776</v>
      </c>
      <c r="E635" s="2" t="n">
        <v>189611</v>
      </c>
      <c r="F635" s="15" t="n">
        <v>43800</v>
      </c>
      <c r="G635" s="15" t="n">
        <v>43802</v>
      </c>
      <c r="H635" s="3" t="n">
        <v>2</v>
      </c>
      <c r="I635" s="3" t="n">
        <v>2</v>
      </c>
      <c r="J635" s="3" t="n">
        <v>27</v>
      </c>
      <c r="K635" s="3" t="n">
        <v>1</v>
      </c>
      <c r="L635" s="3" t="n">
        <v>1</v>
      </c>
      <c r="M635" s="3" t="n">
        <v>2</v>
      </c>
      <c r="N635" s="3" t="n">
        <v>2</v>
      </c>
      <c r="O635" s="3" t="n">
        <v>2</v>
      </c>
      <c r="P635" s="3" t="n">
        <v>2</v>
      </c>
      <c r="Q635" s="3" t="n">
        <v>2</v>
      </c>
      <c r="R635" s="3" t="n">
        <v>2</v>
      </c>
      <c r="S635" s="3" t="n">
        <v>2</v>
      </c>
      <c r="T635" s="4" t="n">
        <v>7</v>
      </c>
      <c r="U635" s="3" t="n">
        <v>2</v>
      </c>
      <c r="V635" s="3" t="n">
        <v>5</v>
      </c>
      <c r="W635" s="3" t="n">
        <v>1.58</v>
      </c>
      <c r="X635" s="3" t="n">
        <v>5.61</v>
      </c>
      <c r="Y635" s="3" t="n">
        <v>329</v>
      </c>
      <c r="Z635" s="3" t="n">
        <v>87</v>
      </c>
      <c r="AB635" s="3" t="n">
        <v>13</v>
      </c>
      <c r="AC635" s="3" t="n">
        <v>1</v>
      </c>
      <c r="AD635" s="3" t="n">
        <v>2</v>
      </c>
      <c r="AE635" s="3" t="n">
        <v>2</v>
      </c>
      <c r="AF635" s="3" t="n">
        <v>1</v>
      </c>
      <c r="AG635" s="3" t="n">
        <v>2</v>
      </c>
      <c r="AH635" s="3" t="n">
        <v>2</v>
      </c>
      <c r="AI635" s="3" t="n">
        <v>2</v>
      </c>
      <c r="AJ635" s="3" t="n">
        <v>2</v>
      </c>
      <c r="AK635" s="3" t="n">
        <v>2</v>
      </c>
      <c r="AL635" s="3" t="n">
        <v>2</v>
      </c>
      <c r="AM635" s="3" t="n">
        <v>2</v>
      </c>
      <c r="AN635" s="3" t="n">
        <v>2</v>
      </c>
      <c r="AO635" s="3" t="n">
        <v>2</v>
      </c>
      <c r="AP635" s="3" t="n">
        <v>3</v>
      </c>
      <c r="AQ635" s="3" t="n">
        <v>4</v>
      </c>
      <c r="AR635" s="3" t="n">
        <v>4</v>
      </c>
      <c r="AS635" s="3" t="n">
        <v>6</v>
      </c>
      <c r="AT635" s="3" t="n">
        <v>4</v>
      </c>
      <c r="AU635" s="3" t="n">
        <v>4</v>
      </c>
      <c r="AV635" s="3" t="n">
        <v>6</v>
      </c>
      <c r="AW635" s="3" t="n">
        <v>6</v>
      </c>
      <c r="AX635" s="3" t="n">
        <v>3</v>
      </c>
      <c r="AY635" s="3" t="n">
        <v>3</v>
      </c>
      <c r="AZ635" s="3" t="n">
        <v>1</v>
      </c>
      <c r="BA635" s="5" t="n">
        <v>12</v>
      </c>
      <c r="BB635" s="3" t="n">
        <v>2</v>
      </c>
      <c r="BC635" s="3" t="n">
        <v>1</v>
      </c>
      <c r="BD635" s="3" t="n">
        <v>6</v>
      </c>
      <c r="BE635" s="3" t="n">
        <v>3</v>
      </c>
      <c r="BF635" s="3" t="n">
        <v>5</v>
      </c>
      <c r="BG635" s="3" t="n">
        <v>3</v>
      </c>
      <c r="BH635" s="3" t="n">
        <v>4</v>
      </c>
      <c r="BI635" s="3" t="n">
        <v>1</v>
      </c>
      <c r="BJ635" s="3" t="n">
        <v>1</v>
      </c>
      <c r="BK635" s="6" t="s">
        <v>1777</v>
      </c>
    </row>
    <row r="636" customFormat="false" ht="15" hidden="false" customHeight="true" outlineLevel="0" collapsed="false">
      <c r="B636" s="2" t="s">
        <v>1017</v>
      </c>
      <c r="C636" s="2" t="s">
        <v>1759</v>
      </c>
      <c r="D636" s="2" t="s">
        <v>74</v>
      </c>
      <c r="E636" s="2" t="s">
        <v>1778</v>
      </c>
      <c r="F636" s="15" t="n">
        <v>43796</v>
      </c>
      <c r="G636" s="15" t="n">
        <v>43801</v>
      </c>
      <c r="H636" s="3" t="n">
        <v>5</v>
      </c>
      <c r="I636" s="3" t="n">
        <v>1</v>
      </c>
      <c r="J636" s="3" t="n">
        <v>59</v>
      </c>
      <c r="K636" s="3" t="n">
        <v>1</v>
      </c>
      <c r="L636" s="3" t="n">
        <v>2</v>
      </c>
      <c r="M636" s="3" t="n">
        <v>1</v>
      </c>
      <c r="N636" s="3" t="n">
        <v>2</v>
      </c>
      <c r="O636" s="3" t="n">
        <v>2</v>
      </c>
      <c r="P636" s="3" t="n">
        <v>2</v>
      </c>
      <c r="Q636" s="3" t="n">
        <v>2</v>
      </c>
      <c r="R636" s="3" t="n">
        <v>2</v>
      </c>
      <c r="S636" s="3" t="n">
        <v>2</v>
      </c>
      <c r="T636" s="4" t="n">
        <v>1</v>
      </c>
      <c r="U636" s="3" t="n">
        <v>1</v>
      </c>
      <c r="V636" s="3" t="n">
        <v>5.62</v>
      </c>
      <c r="W636" s="3" t="n">
        <v>2.09</v>
      </c>
      <c r="X636" s="3" t="n">
        <v>5.29</v>
      </c>
      <c r="Y636" s="3" t="n">
        <v>331</v>
      </c>
      <c r="Z636" s="3" t="n">
        <v>64</v>
      </c>
      <c r="AA636" s="3" t="n">
        <v>0.36</v>
      </c>
      <c r="AB636" s="3" t="n">
        <v>9.6</v>
      </c>
      <c r="AC636" s="3" t="n">
        <v>1</v>
      </c>
      <c r="AD636" s="3" t="n">
        <v>2</v>
      </c>
      <c r="AE636" s="3" t="n">
        <v>1</v>
      </c>
      <c r="AF636" s="3" t="n">
        <v>1</v>
      </c>
      <c r="AG636" s="3" t="n">
        <v>2</v>
      </c>
      <c r="AH636" s="3" t="n">
        <v>1</v>
      </c>
      <c r="AI636" s="3" t="n">
        <v>1</v>
      </c>
      <c r="AJ636" s="3" t="n">
        <v>1</v>
      </c>
      <c r="AK636" s="3" t="n">
        <v>2</v>
      </c>
      <c r="AL636" s="3" t="n">
        <v>2</v>
      </c>
      <c r="AM636" s="3" t="n">
        <v>1</v>
      </c>
      <c r="AN636" s="3" t="n">
        <v>2</v>
      </c>
      <c r="AO636" s="3" t="n">
        <v>2</v>
      </c>
      <c r="AP636" s="3" t="n">
        <v>3</v>
      </c>
      <c r="AQ636" s="3" t="n">
        <v>4</v>
      </c>
      <c r="AR636" s="3" t="n">
        <v>4</v>
      </c>
      <c r="AS636" s="3" t="n">
        <v>6</v>
      </c>
      <c r="AT636" s="3" t="n">
        <v>4</v>
      </c>
      <c r="AU636" s="3" t="n">
        <v>4</v>
      </c>
      <c r="AV636" s="3" t="n">
        <v>6</v>
      </c>
      <c r="AW636" s="3" t="n">
        <v>6</v>
      </c>
      <c r="AX636" s="3" t="n">
        <v>3</v>
      </c>
      <c r="AY636" s="3" t="n">
        <v>3</v>
      </c>
      <c r="AZ636" s="3" t="n">
        <v>1</v>
      </c>
      <c r="BA636" s="5" t="n">
        <v>5</v>
      </c>
      <c r="BB636" s="3" t="n">
        <v>2</v>
      </c>
      <c r="BC636" s="3" t="n">
        <v>1</v>
      </c>
      <c r="BD636" s="3" t="n">
        <v>6</v>
      </c>
      <c r="BE636" s="3" t="n">
        <v>3</v>
      </c>
      <c r="BF636" s="3" t="n">
        <v>5</v>
      </c>
      <c r="BG636" s="3" t="n">
        <v>3</v>
      </c>
      <c r="BH636" s="3" t="n">
        <v>4</v>
      </c>
      <c r="BI636" s="3" t="n">
        <v>1</v>
      </c>
      <c r="BJ636" s="3" t="n">
        <v>1</v>
      </c>
      <c r="BK636" s="6" t="s">
        <v>1779</v>
      </c>
    </row>
    <row r="637" customFormat="false" ht="15" hidden="false" customHeight="true" outlineLevel="0" collapsed="false">
      <c r="B637" s="2" t="s">
        <v>1780</v>
      </c>
      <c r="C637" s="2" t="s">
        <v>1781</v>
      </c>
      <c r="D637" s="2" t="s">
        <v>66</v>
      </c>
      <c r="E637" s="2" t="n">
        <v>189383</v>
      </c>
      <c r="F637" s="15" t="n">
        <v>43798</v>
      </c>
      <c r="G637" s="15" t="n">
        <v>43805</v>
      </c>
      <c r="H637" s="3" t="n">
        <v>7</v>
      </c>
      <c r="I637" s="3" t="n">
        <v>2</v>
      </c>
      <c r="J637" s="3" t="n">
        <v>51</v>
      </c>
      <c r="K637" s="3" t="n">
        <v>1</v>
      </c>
      <c r="L637" s="3" t="n">
        <v>1</v>
      </c>
      <c r="M637" s="3" t="n">
        <v>1</v>
      </c>
      <c r="N637" s="3" t="n">
        <v>2</v>
      </c>
      <c r="O637" s="3" t="n">
        <v>2</v>
      </c>
      <c r="P637" s="3" t="n">
        <v>2</v>
      </c>
      <c r="Q637" s="3" t="n">
        <v>1</v>
      </c>
      <c r="R637" s="3" t="n">
        <v>2</v>
      </c>
      <c r="S637" s="3" t="n">
        <v>1</v>
      </c>
      <c r="T637" s="4" t="n">
        <v>3</v>
      </c>
      <c r="U637" s="3" t="n">
        <v>4</v>
      </c>
      <c r="V637" s="3" t="n">
        <v>6.64</v>
      </c>
      <c r="W637" s="3" t="n">
        <v>4.46</v>
      </c>
      <c r="X637" s="3" t="n">
        <v>5.3</v>
      </c>
      <c r="Y637" s="3" t="n">
        <v>333</v>
      </c>
      <c r="Z637" s="3" t="n">
        <v>51</v>
      </c>
      <c r="AB637" s="3" t="n">
        <v>10.3</v>
      </c>
      <c r="AC637" s="3" t="n">
        <v>1</v>
      </c>
      <c r="AD637" s="3" t="n">
        <v>2</v>
      </c>
      <c r="AE637" s="3" t="n">
        <v>2</v>
      </c>
      <c r="AF637" s="3" t="n">
        <v>2</v>
      </c>
      <c r="AG637" s="3" t="n">
        <v>1</v>
      </c>
      <c r="AH637" s="3" t="n">
        <v>1</v>
      </c>
      <c r="AI637" s="3" t="n">
        <v>1</v>
      </c>
      <c r="AJ637" s="3" t="n">
        <v>1</v>
      </c>
      <c r="AK637" s="3" t="n">
        <v>1</v>
      </c>
      <c r="AL637" s="3" t="n">
        <v>1</v>
      </c>
      <c r="AM637" s="3" t="n">
        <v>1</v>
      </c>
      <c r="AN637" s="3" t="n">
        <v>2</v>
      </c>
      <c r="AO637" s="3" t="n">
        <v>2</v>
      </c>
      <c r="AP637" s="3" t="n">
        <v>3</v>
      </c>
      <c r="AQ637" s="3" t="n">
        <v>4</v>
      </c>
      <c r="AR637" s="3" t="n">
        <v>4</v>
      </c>
      <c r="AS637" s="3" t="n">
        <v>6</v>
      </c>
      <c r="AT637" s="3" t="n">
        <v>4</v>
      </c>
      <c r="AU637" s="3" t="n">
        <v>4</v>
      </c>
      <c r="AV637" s="3" t="n">
        <v>6</v>
      </c>
      <c r="AW637" s="3" t="n">
        <v>6</v>
      </c>
      <c r="AX637" s="3" t="n">
        <v>3</v>
      </c>
      <c r="AY637" s="3" t="n">
        <v>3</v>
      </c>
      <c r="AZ637" s="3" t="n">
        <v>1</v>
      </c>
      <c r="BA637" s="5" t="n">
        <v>11</v>
      </c>
      <c r="BB637" s="3" t="n">
        <v>2</v>
      </c>
      <c r="BC637" s="3" t="n">
        <v>1</v>
      </c>
      <c r="BD637" s="3" t="n">
        <v>6</v>
      </c>
      <c r="BE637" s="3" t="n">
        <v>3</v>
      </c>
      <c r="BF637" s="3" t="n">
        <v>5</v>
      </c>
      <c r="BG637" s="3" t="n">
        <v>3</v>
      </c>
      <c r="BH637" s="3" t="n">
        <v>4</v>
      </c>
      <c r="BI637" s="3" t="n">
        <v>1</v>
      </c>
      <c r="BJ637" s="3" t="n">
        <v>1</v>
      </c>
      <c r="BK637" s="6" t="s">
        <v>1782</v>
      </c>
    </row>
    <row r="638" customFormat="false" ht="15" hidden="false" customHeight="true" outlineLevel="0" collapsed="false">
      <c r="B638" s="2" t="s">
        <v>1783</v>
      </c>
      <c r="C638" s="2" t="s">
        <v>1784</v>
      </c>
      <c r="D638" s="2" t="s">
        <v>1785</v>
      </c>
      <c r="E638" s="2" t="n">
        <v>189358</v>
      </c>
      <c r="F638" s="15" t="n">
        <v>43799</v>
      </c>
      <c r="G638" s="15" t="n">
        <v>43805</v>
      </c>
      <c r="H638" s="3" t="n">
        <v>7</v>
      </c>
      <c r="I638" s="3" t="n">
        <v>1</v>
      </c>
      <c r="J638" s="3" t="n">
        <v>59</v>
      </c>
      <c r="K638" s="3" t="n">
        <v>1</v>
      </c>
      <c r="L638" s="3" t="n">
        <v>1</v>
      </c>
      <c r="M638" s="3" t="n">
        <v>1</v>
      </c>
      <c r="N638" s="3" t="n">
        <v>2</v>
      </c>
      <c r="O638" s="3" t="n">
        <v>2</v>
      </c>
      <c r="P638" s="3" t="n">
        <v>2</v>
      </c>
      <c r="Q638" s="3" t="n">
        <v>2</v>
      </c>
      <c r="R638" s="3" t="n">
        <v>2</v>
      </c>
      <c r="S638" s="3" t="n">
        <v>2</v>
      </c>
      <c r="T638" s="4" t="n">
        <v>2</v>
      </c>
      <c r="U638" s="3" t="n">
        <v>2</v>
      </c>
      <c r="V638" s="3" t="n">
        <v>4.76</v>
      </c>
      <c r="W638" s="3" t="n">
        <v>2.31</v>
      </c>
      <c r="X638" s="3" t="n">
        <v>5.64</v>
      </c>
      <c r="Y638" s="3" t="n">
        <v>311</v>
      </c>
      <c r="Z638" s="3" t="n">
        <v>67</v>
      </c>
      <c r="AA638" s="3" t="n">
        <v>0.49</v>
      </c>
      <c r="AB638" s="3" t="n">
        <v>8.3</v>
      </c>
      <c r="AC638" s="3" t="n">
        <v>1</v>
      </c>
      <c r="AD638" s="3" t="n">
        <v>2</v>
      </c>
      <c r="AE638" s="3" t="n">
        <v>1</v>
      </c>
      <c r="AF638" s="3" t="n">
        <v>1</v>
      </c>
      <c r="AG638" s="3" t="n">
        <v>2</v>
      </c>
      <c r="AH638" s="3" t="n">
        <v>2</v>
      </c>
      <c r="AI638" s="3" t="n">
        <v>1</v>
      </c>
      <c r="AJ638" s="3" t="n">
        <v>1</v>
      </c>
      <c r="AK638" s="3" t="n">
        <v>2</v>
      </c>
      <c r="AL638" s="3" t="n">
        <v>2</v>
      </c>
      <c r="AM638" s="3" t="n">
        <v>2</v>
      </c>
      <c r="AN638" s="3" t="n">
        <v>2</v>
      </c>
      <c r="AO638" s="3" t="n">
        <v>2</v>
      </c>
      <c r="AP638" s="3" t="n">
        <v>3</v>
      </c>
      <c r="AQ638" s="3" t="n">
        <v>4</v>
      </c>
      <c r="AR638" s="3" t="n">
        <v>4</v>
      </c>
      <c r="AS638" s="3" t="n">
        <v>6</v>
      </c>
      <c r="AT638" s="3" t="n">
        <v>4</v>
      </c>
      <c r="AU638" s="3" t="n">
        <v>4</v>
      </c>
      <c r="AV638" s="3" t="n">
        <v>6</v>
      </c>
      <c r="AW638" s="3" t="n">
        <v>6</v>
      </c>
      <c r="AX638" s="3" t="n">
        <v>3</v>
      </c>
      <c r="AY638" s="3" t="n">
        <v>3</v>
      </c>
      <c r="AZ638" s="3" t="n">
        <v>1</v>
      </c>
      <c r="BA638" s="5" t="n">
        <v>1</v>
      </c>
      <c r="BB638" s="3" t="n">
        <v>1</v>
      </c>
      <c r="BC638" s="3" t="n">
        <v>1</v>
      </c>
      <c r="BD638" s="3" t="n">
        <v>2</v>
      </c>
      <c r="BE638" s="3" t="n">
        <v>3</v>
      </c>
      <c r="BF638" s="3" t="n">
        <v>5</v>
      </c>
      <c r="BG638" s="3" t="n">
        <v>3</v>
      </c>
      <c r="BH638" s="3" t="n">
        <v>4</v>
      </c>
      <c r="BI638" s="3" t="n">
        <v>1</v>
      </c>
      <c r="BJ638" s="3" t="n">
        <v>1</v>
      </c>
      <c r="BK638" s="6" t="s">
        <v>1786</v>
      </c>
    </row>
    <row r="639" customFormat="false" ht="15" hidden="false" customHeight="true" outlineLevel="0" collapsed="false">
      <c r="B639" s="2" t="s">
        <v>1787</v>
      </c>
      <c r="C639" s="2" t="s">
        <v>1788</v>
      </c>
      <c r="D639" s="2" t="s">
        <v>1789</v>
      </c>
      <c r="E639" s="2" t="n">
        <v>189302</v>
      </c>
      <c r="F639" s="15" t="n">
        <v>43798</v>
      </c>
      <c r="G639" s="15" t="n">
        <v>43804</v>
      </c>
      <c r="H639" s="3" t="n">
        <v>6</v>
      </c>
      <c r="I639" s="3" t="n">
        <v>2</v>
      </c>
      <c r="J639" s="3" t="n">
        <v>70</v>
      </c>
      <c r="K639" s="3" t="n">
        <v>1</v>
      </c>
      <c r="L639" s="3" t="n">
        <v>1</v>
      </c>
      <c r="M639" s="3" t="n">
        <v>1</v>
      </c>
      <c r="N639" s="3" t="n">
        <v>2</v>
      </c>
      <c r="O639" s="3" t="n">
        <v>2</v>
      </c>
      <c r="P639" s="3" t="n">
        <v>2</v>
      </c>
      <c r="Q639" s="3" t="n">
        <v>2</v>
      </c>
      <c r="R639" s="3" t="n">
        <v>2</v>
      </c>
      <c r="S639" s="3" t="n">
        <v>2</v>
      </c>
      <c r="T639" s="4" t="n">
        <v>2</v>
      </c>
      <c r="U639" s="3" t="n">
        <v>4</v>
      </c>
      <c r="V639" s="3" t="n">
        <v>4.47</v>
      </c>
      <c r="W639" s="3" t="n">
        <v>1.97</v>
      </c>
      <c r="X639" s="3" t="n">
        <v>8.86</v>
      </c>
      <c r="Y639" s="3" t="n">
        <v>630</v>
      </c>
      <c r="Z639" s="3" t="n">
        <v>146</v>
      </c>
      <c r="AA639" s="3" t="n">
        <v>0.41</v>
      </c>
      <c r="AB639" s="3" t="n">
        <v>12</v>
      </c>
      <c r="AC639" s="3" t="n">
        <v>1</v>
      </c>
      <c r="AD639" s="3" t="n">
        <v>1</v>
      </c>
      <c r="AE639" s="3" t="n">
        <v>1</v>
      </c>
      <c r="AF639" s="3" t="n">
        <v>1</v>
      </c>
      <c r="AG639" s="3" t="n">
        <v>2</v>
      </c>
      <c r="AH639" s="3" t="n">
        <v>2</v>
      </c>
      <c r="AI639" s="3" t="n">
        <v>1</v>
      </c>
      <c r="AJ639" s="3" t="n">
        <v>2</v>
      </c>
      <c r="AK639" s="3" t="n">
        <v>2</v>
      </c>
      <c r="AL639" s="3" t="n">
        <v>2</v>
      </c>
      <c r="AM639" s="3" t="n">
        <v>2</v>
      </c>
      <c r="AN639" s="3" t="n">
        <v>2</v>
      </c>
      <c r="AO639" s="3" t="n">
        <v>2</v>
      </c>
      <c r="AP639" s="3" t="n">
        <v>3</v>
      </c>
      <c r="AQ639" s="3" t="n">
        <v>4</v>
      </c>
      <c r="AR639" s="3" t="n">
        <v>4</v>
      </c>
      <c r="AS639" s="3" t="n">
        <v>6</v>
      </c>
      <c r="AT639" s="3" t="n">
        <v>4</v>
      </c>
      <c r="AU639" s="3" t="n">
        <v>4</v>
      </c>
      <c r="AV639" s="3" t="n">
        <v>6</v>
      </c>
      <c r="AW639" s="3" t="n">
        <v>6</v>
      </c>
      <c r="AX639" s="3" t="n">
        <v>3</v>
      </c>
      <c r="AY639" s="3" t="n">
        <v>3</v>
      </c>
      <c r="AZ639" s="3" t="n">
        <v>5</v>
      </c>
      <c r="BA639" s="5" t="n">
        <v>1</v>
      </c>
      <c r="BB639" s="3" t="n">
        <v>1</v>
      </c>
      <c r="BC639" s="3" t="n">
        <v>1</v>
      </c>
      <c r="BD639" s="3" t="n">
        <v>4</v>
      </c>
      <c r="BE639" s="3" t="n">
        <v>3</v>
      </c>
      <c r="BF639" s="3" t="n">
        <v>5</v>
      </c>
      <c r="BG639" s="3" t="n">
        <v>3</v>
      </c>
      <c r="BH639" s="3" t="n">
        <v>4</v>
      </c>
      <c r="BI639" s="3" t="n">
        <v>1</v>
      </c>
      <c r="BJ639" s="3" t="n">
        <v>1</v>
      </c>
      <c r="BK639" s="6" t="s">
        <v>1790</v>
      </c>
    </row>
    <row r="640" customFormat="false" ht="15" hidden="false" customHeight="true" outlineLevel="0" collapsed="false">
      <c r="B640" s="2" t="s">
        <v>180</v>
      </c>
      <c r="C640" s="2" t="s">
        <v>1052</v>
      </c>
      <c r="D640" s="2" t="s">
        <v>153</v>
      </c>
      <c r="E640" s="2" t="n">
        <v>189654</v>
      </c>
      <c r="F640" s="15" t="n">
        <v>43801</v>
      </c>
      <c r="G640" s="15" t="n">
        <v>43803</v>
      </c>
      <c r="H640" s="3" t="n">
        <v>2</v>
      </c>
      <c r="I640" s="3" t="n">
        <v>2</v>
      </c>
      <c r="J640" s="3" t="n">
        <v>60</v>
      </c>
      <c r="K640" s="3" t="n">
        <v>1</v>
      </c>
      <c r="L640" s="3" t="n">
        <v>1</v>
      </c>
      <c r="M640" s="3" t="n">
        <v>1</v>
      </c>
      <c r="N640" s="3" t="n">
        <v>1</v>
      </c>
      <c r="O640" s="3" t="n">
        <v>2</v>
      </c>
      <c r="P640" s="3" t="n">
        <v>2</v>
      </c>
      <c r="Q640" s="3" t="n">
        <v>2</v>
      </c>
      <c r="R640" s="3" t="n">
        <v>2</v>
      </c>
      <c r="S640" s="3" t="n">
        <v>1</v>
      </c>
      <c r="T640" s="4" t="n">
        <v>1</v>
      </c>
      <c r="U640" s="3" t="n">
        <v>1</v>
      </c>
      <c r="AC640" s="3" t="n">
        <v>3</v>
      </c>
      <c r="AD640" s="3" t="n">
        <v>2</v>
      </c>
      <c r="AE640" s="3" t="n">
        <v>1</v>
      </c>
      <c r="AF640" s="3" t="n">
        <v>1</v>
      </c>
      <c r="AG640" s="3" t="n">
        <v>2</v>
      </c>
      <c r="AH640" s="3" t="n">
        <v>1</v>
      </c>
      <c r="AI640" s="3" t="n">
        <v>1</v>
      </c>
      <c r="AJ640" s="3" t="n">
        <v>2</v>
      </c>
      <c r="AK640" s="3" t="n">
        <v>2</v>
      </c>
      <c r="AL640" s="3" t="n">
        <v>2</v>
      </c>
      <c r="AM640" s="3" t="n">
        <v>2</v>
      </c>
      <c r="AN640" s="3" t="n">
        <v>2</v>
      </c>
      <c r="AO640" s="3" t="n">
        <v>2</v>
      </c>
      <c r="AP640" s="3" t="n">
        <v>3</v>
      </c>
      <c r="AQ640" s="3" t="n">
        <v>4</v>
      </c>
      <c r="AR640" s="3" t="n">
        <v>4</v>
      </c>
      <c r="AS640" s="3" t="n">
        <v>6</v>
      </c>
      <c r="AT640" s="3" t="n">
        <v>4</v>
      </c>
      <c r="AU640" s="3" t="n">
        <v>4</v>
      </c>
      <c r="AV640" s="3" t="n">
        <v>6</v>
      </c>
      <c r="AW640" s="3" t="n">
        <v>6</v>
      </c>
      <c r="AX640" s="3" t="n">
        <v>3</v>
      </c>
      <c r="AY640" s="3" t="n">
        <v>3</v>
      </c>
      <c r="AZ640" s="3" t="n">
        <v>1</v>
      </c>
      <c r="BA640" s="5" t="n">
        <v>5</v>
      </c>
      <c r="BB640" s="3" t="n">
        <v>2</v>
      </c>
      <c r="BC640" s="3" t="n">
        <v>1</v>
      </c>
      <c r="BD640" s="3" t="n">
        <v>6</v>
      </c>
      <c r="BE640" s="3" t="n">
        <v>3</v>
      </c>
      <c r="BF640" s="3" t="n">
        <v>5</v>
      </c>
      <c r="BG640" s="3" t="n">
        <v>3</v>
      </c>
      <c r="BH640" s="3" t="n">
        <v>4</v>
      </c>
      <c r="BI640" s="3" t="n">
        <v>1</v>
      </c>
      <c r="BJ640" s="3" t="n">
        <v>1</v>
      </c>
      <c r="BK640" s="6" t="s">
        <v>1791</v>
      </c>
    </row>
    <row r="641" customFormat="false" ht="15" hidden="false" customHeight="true" outlineLevel="0" collapsed="false">
      <c r="B641" s="2" t="s">
        <v>1753</v>
      </c>
      <c r="C641" s="2" t="s">
        <v>849</v>
      </c>
      <c r="D641" s="2" t="s">
        <v>578</v>
      </c>
      <c r="E641" s="2" t="n">
        <v>189164</v>
      </c>
      <c r="F641" s="15" t="n">
        <v>43796</v>
      </c>
      <c r="G641" s="15" t="n">
        <v>43803</v>
      </c>
      <c r="H641" s="3" t="n">
        <v>7</v>
      </c>
      <c r="I641" s="3" t="n">
        <v>1</v>
      </c>
      <c r="J641" s="3" t="n">
        <v>51</v>
      </c>
      <c r="K641" s="3" t="n">
        <v>1</v>
      </c>
      <c r="L641" s="3" t="n">
        <v>1</v>
      </c>
      <c r="M641" s="3" t="n">
        <v>2</v>
      </c>
      <c r="N641" s="3" t="n">
        <v>2</v>
      </c>
      <c r="O641" s="3" t="n">
        <v>2</v>
      </c>
      <c r="P641" s="3" t="n">
        <v>2</v>
      </c>
      <c r="Q641" s="3" t="n">
        <v>2</v>
      </c>
      <c r="R641" s="3" t="n">
        <v>2</v>
      </c>
      <c r="S641" s="3" t="n">
        <v>2</v>
      </c>
      <c r="T641" s="4" t="n">
        <v>1</v>
      </c>
      <c r="U641" s="3" t="n">
        <v>1</v>
      </c>
      <c r="V641" s="3" t="n">
        <v>4.44</v>
      </c>
      <c r="W641" s="3" t="n">
        <v>0.8</v>
      </c>
      <c r="X641" s="3" t="n">
        <v>4.19</v>
      </c>
      <c r="Y641" s="3" t="n">
        <v>272</v>
      </c>
      <c r="Z641" s="3" t="n">
        <v>51</v>
      </c>
      <c r="AA641" s="3" t="n">
        <v>0.4</v>
      </c>
      <c r="AB641" s="3" t="n">
        <v>7.8</v>
      </c>
      <c r="AC641" s="3" t="n">
        <v>1</v>
      </c>
      <c r="AD641" s="3" t="n">
        <v>1</v>
      </c>
      <c r="AE641" s="3" t="n">
        <v>1</v>
      </c>
      <c r="AF641" s="3" t="n">
        <v>1</v>
      </c>
      <c r="AG641" s="3" t="n">
        <v>2</v>
      </c>
      <c r="AH641" s="3" t="n">
        <v>2</v>
      </c>
      <c r="AI641" s="3" t="n">
        <v>1</v>
      </c>
      <c r="AJ641" s="3" t="n">
        <v>1</v>
      </c>
      <c r="AK641" s="3" t="n">
        <v>2</v>
      </c>
      <c r="AL641" s="3" t="n">
        <v>2</v>
      </c>
      <c r="AM641" s="3" t="n">
        <v>2</v>
      </c>
      <c r="AN641" s="3" t="n">
        <v>2</v>
      </c>
      <c r="AO641" s="3" t="n">
        <v>2</v>
      </c>
      <c r="AP641" s="3" t="n">
        <v>1</v>
      </c>
      <c r="AQ641" s="3" t="n">
        <v>1</v>
      </c>
      <c r="AR641" s="3" t="n">
        <v>5</v>
      </c>
      <c r="AS641" s="3" t="n">
        <v>2</v>
      </c>
      <c r="AT641" s="3" t="n">
        <v>1</v>
      </c>
      <c r="AU641" s="3" t="n">
        <v>1</v>
      </c>
      <c r="AV641" s="3" t="n">
        <v>1</v>
      </c>
      <c r="AW641" s="3" t="n">
        <v>1</v>
      </c>
      <c r="AX641" s="3" t="n">
        <v>2</v>
      </c>
      <c r="AY641" s="3" t="n">
        <v>2</v>
      </c>
      <c r="AZ641" s="3" t="n">
        <v>1</v>
      </c>
      <c r="BA641" s="5" t="n">
        <v>5</v>
      </c>
      <c r="BB641" s="3" t="n">
        <v>2</v>
      </c>
      <c r="BC641" s="3" t="n">
        <v>1</v>
      </c>
      <c r="BD641" s="3" t="n">
        <v>6</v>
      </c>
      <c r="BE641" s="3" t="n">
        <v>3</v>
      </c>
      <c r="BF641" s="3" t="n">
        <v>5</v>
      </c>
      <c r="BG641" s="3" t="n">
        <v>3</v>
      </c>
      <c r="BH641" s="3" t="n">
        <v>4</v>
      </c>
      <c r="BI641" s="3" t="n">
        <v>1</v>
      </c>
      <c r="BJ641" s="3" t="n">
        <v>1</v>
      </c>
      <c r="BK641" s="46" t="s">
        <v>1792</v>
      </c>
    </row>
    <row r="642" customFormat="false" ht="15" hidden="false" customHeight="true" outlineLevel="0" collapsed="false">
      <c r="B642" s="17" t="s">
        <v>1793</v>
      </c>
      <c r="C642" s="17" t="s">
        <v>1794</v>
      </c>
      <c r="D642" s="17" t="s">
        <v>1795</v>
      </c>
      <c r="E642" s="2" t="n">
        <v>189622</v>
      </c>
      <c r="F642" s="15" t="n">
        <v>43801</v>
      </c>
      <c r="G642" s="15" t="n">
        <v>43506</v>
      </c>
      <c r="H642" s="3" t="n">
        <v>8</v>
      </c>
      <c r="I642" s="3" t="n">
        <v>2</v>
      </c>
      <c r="J642" s="3" t="n">
        <v>85</v>
      </c>
      <c r="K642" s="3" t="n">
        <v>2</v>
      </c>
      <c r="L642" s="3" t="n">
        <v>2</v>
      </c>
      <c r="M642" s="3" t="n">
        <v>1</v>
      </c>
      <c r="N642" s="3" t="n">
        <v>2</v>
      </c>
      <c r="O642" s="3" t="n">
        <v>2</v>
      </c>
      <c r="P642" s="3" t="n">
        <v>2</v>
      </c>
      <c r="Q642" s="3" t="n">
        <v>2</v>
      </c>
      <c r="R642" s="3" t="n">
        <v>1</v>
      </c>
      <c r="S642" s="3" t="n">
        <v>2</v>
      </c>
      <c r="T642" s="4" t="n">
        <v>6</v>
      </c>
      <c r="U642" s="3" t="n">
        <v>10</v>
      </c>
      <c r="V642" s="3" t="n">
        <v>5.4</v>
      </c>
      <c r="W642" s="3" t="n">
        <v>1.1</v>
      </c>
      <c r="X642" s="3" t="n">
        <v>5</v>
      </c>
      <c r="Y642" s="3" t="n">
        <v>332</v>
      </c>
      <c r="Z642" s="3" t="n">
        <v>172</v>
      </c>
      <c r="AA642" s="3" t="n">
        <v>0.5</v>
      </c>
      <c r="AB642" s="3" t="n">
        <v>13</v>
      </c>
      <c r="AC642" s="3" t="n">
        <v>1</v>
      </c>
      <c r="AD642" s="3" t="n">
        <v>2</v>
      </c>
      <c r="AE642" s="3" t="n">
        <v>1</v>
      </c>
      <c r="AF642" s="3" t="n">
        <v>1</v>
      </c>
      <c r="AG642" s="3" t="n">
        <v>2</v>
      </c>
      <c r="AH642" s="3" t="n">
        <v>1</v>
      </c>
      <c r="AI642" s="3" t="n">
        <v>1</v>
      </c>
      <c r="AJ642" s="3" t="n">
        <v>2</v>
      </c>
      <c r="AK642" s="3" t="n">
        <v>2</v>
      </c>
      <c r="AL642" s="3" t="n">
        <v>2</v>
      </c>
      <c r="AM642" s="3" t="n">
        <v>1</v>
      </c>
      <c r="AN642" s="3" t="n">
        <v>2</v>
      </c>
      <c r="AO642" s="3" t="n">
        <v>2</v>
      </c>
      <c r="AP642" s="3" t="n">
        <v>3</v>
      </c>
      <c r="AQ642" s="3" t="n">
        <v>4</v>
      </c>
      <c r="AR642" s="3" t="n">
        <v>4</v>
      </c>
      <c r="AS642" s="3" t="n">
        <v>6</v>
      </c>
      <c r="AT642" s="3" t="n">
        <v>4</v>
      </c>
      <c r="AU642" s="3" t="n">
        <v>4</v>
      </c>
      <c r="AV642" s="3" t="n">
        <v>6</v>
      </c>
      <c r="AW642" s="3" t="n">
        <v>6</v>
      </c>
      <c r="AX642" s="3" t="n">
        <v>3</v>
      </c>
      <c r="AY642" s="3" t="n">
        <v>3</v>
      </c>
      <c r="AZ642" s="3" t="n">
        <v>1</v>
      </c>
      <c r="BA642" s="5" t="n">
        <v>1</v>
      </c>
      <c r="BB642" s="3" t="n">
        <v>1</v>
      </c>
      <c r="BC642" s="3" t="n">
        <v>1</v>
      </c>
      <c r="BD642" s="3" t="n">
        <v>4</v>
      </c>
      <c r="BE642" s="3" t="n">
        <v>3</v>
      </c>
      <c r="BF642" s="3" t="n">
        <v>5</v>
      </c>
      <c r="BG642" s="3" t="n">
        <v>3</v>
      </c>
      <c r="BH642" s="3" t="n">
        <v>4</v>
      </c>
      <c r="BI642" s="3" t="n">
        <v>1</v>
      </c>
      <c r="BJ642" s="3" t="n">
        <v>1</v>
      </c>
      <c r="BK642" s="21" t="s">
        <v>1796</v>
      </c>
    </row>
    <row r="643" customFormat="false" ht="15" hidden="false" customHeight="true" outlineLevel="0" collapsed="false">
      <c r="B643" s="2" t="s">
        <v>894</v>
      </c>
      <c r="C643" s="2" t="s">
        <v>109</v>
      </c>
      <c r="D643" s="2" t="s">
        <v>1797</v>
      </c>
      <c r="E643" s="2" t="n">
        <v>189653</v>
      </c>
      <c r="F643" s="15" t="n">
        <v>43801</v>
      </c>
      <c r="G643" s="15" t="n">
        <v>43806</v>
      </c>
      <c r="H643" s="3" t="n">
        <v>5</v>
      </c>
      <c r="I643" s="3" t="n">
        <v>2</v>
      </c>
      <c r="J643" s="3" t="n">
        <v>45</v>
      </c>
      <c r="K643" s="3" t="n">
        <v>2</v>
      </c>
      <c r="L643" s="3" t="n">
        <v>1</v>
      </c>
      <c r="M643" s="3" t="n">
        <v>2</v>
      </c>
      <c r="N643" s="3" t="n">
        <v>2</v>
      </c>
      <c r="O643" s="3" t="n">
        <v>2</v>
      </c>
      <c r="P643" s="3" t="n">
        <v>2</v>
      </c>
      <c r="Q643" s="3" t="n">
        <v>2</v>
      </c>
      <c r="R643" s="3" t="n">
        <v>2</v>
      </c>
      <c r="S643" s="3" t="n">
        <v>2</v>
      </c>
      <c r="T643" s="4" t="n">
        <v>1</v>
      </c>
      <c r="U643" s="3" t="n">
        <v>1</v>
      </c>
      <c r="V643" s="3" t="n">
        <v>4.15</v>
      </c>
      <c r="W643" s="3" t="n">
        <v>1.73</v>
      </c>
      <c r="X643" s="3" t="n">
        <v>5.45</v>
      </c>
      <c r="Y643" s="3" t="n">
        <v>334</v>
      </c>
      <c r="Z643" s="3" t="n">
        <v>79</v>
      </c>
      <c r="AA643" s="3" t="n">
        <v>0.46</v>
      </c>
      <c r="AB643" s="3" t="n">
        <v>10.2</v>
      </c>
      <c r="AC643" s="3" t="n">
        <v>1</v>
      </c>
      <c r="AD643" s="3" t="n">
        <v>1</v>
      </c>
      <c r="AE643" s="3" t="n">
        <v>1</v>
      </c>
      <c r="AF643" s="3" t="n">
        <v>1</v>
      </c>
      <c r="AG643" s="3" t="n">
        <v>1</v>
      </c>
      <c r="AH643" s="3" t="n">
        <v>2</v>
      </c>
      <c r="AI643" s="3" t="n">
        <v>1</v>
      </c>
      <c r="AJ643" s="3" t="n">
        <v>1</v>
      </c>
      <c r="AK643" s="3" t="n">
        <v>2</v>
      </c>
      <c r="AL643" s="3" t="n">
        <v>2</v>
      </c>
      <c r="AM643" s="3" t="n">
        <v>1</v>
      </c>
      <c r="AN643" s="3" t="n">
        <v>2</v>
      </c>
      <c r="AO643" s="3" t="n">
        <v>2</v>
      </c>
      <c r="AP643" s="3" t="n">
        <v>3</v>
      </c>
      <c r="AQ643" s="3" t="n">
        <v>4</v>
      </c>
      <c r="AR643" s="3" t="n">
        <v>4</v>
      </c>
      <c r="AS643" s="3" t="n">
        <v>6</v>
      </c>
      <c r="AT643" s="3" t="n">
        <v>4</v>
      </c>
      <c r="AU643" s="3" t="n">
        <v>4</v>
      </c>
      <c r="AV643" s="3" t="n">
        <v>6</v>
      </c>
      <c r="AW643" s="3" t="n">
        <v>6</v>
      </c>
      <c r="AX643" s="3" t="n">
        <v>3</v>
      </c>
      <c r="AY643" s="3" t="n">
        <v>3</v>
      </c>
      <c r="AZ643" s="3" t="n">
        <v>1</v>
      </c>
      <c r="BA643" s="5" t="n">
        <v>5</v>
      </c>
      <c r="BB643" s="3" t="n">
        <v>2</v>
      </c>
      <c r="BC643" s="3" t="n">
        <v>1</v>
      </c>
      <c r="BD643" s="3" t="n">
        <v>6</v>
      </c>
      <c r="BE643" s="3" t="n">
        <v>3</v>
      </c>
      <c r="BF643" s="3" t="n">
        <v>5</v>
      </c>
      <c r="BG643" s="3" t="n">
        <v>3</v>
      </c>
      <c r="BH643" s="3" t="n">
        <v>4</v>
      </c>
      <c r="BI643" s="3" t="n">
        <v>1</v>
      </c>
      <c r="BJ643" s="3" t="n">
        <v>1</v>
      </c>
      <c r="BK643" s="6" t="s">
        <v>1798</v>
      </c>
    </row>
    <row r="644" customFormat="false" ht="15" hidden="false" customHeight="true" outlineLevel="0" collapsed="false">
      <c r="B644" s="2" t="s">
        <v>1601</v>
      </c>
      <c r="C644" s="2" t="s">
        <v>826</v>
      </c>
      <c r="D644" s="2" t="s">
        <v>1092</v>
      </c>
      <c r="E644" s="2" t="n">
        <v>185771</v>
      </c>
      <c r="F644" s="15" t="n">
        <v>43803</v>
      </c>
      <c r="G644" s="15" t="n">
        <v>43806</v>
      </c>
      <c r="H644" s="3" t="n">
        <v>3</v>
      </c>
      <c r="I644" s="3" t="n">
        <v>2</v>
      </c>
      <c r="J644" s="3" t="n">
        <v>56</v>
      </c>
      <c r="K644" s="3" t="n">
        <v>1</v>
      </c>
      <c r="L644" s="3" t="n">
        <v>2</v>
      </c>
      <c r="M644" s="3" t="n">
        <v>1</v>
      </c>
      <c r="N644" s="3" t="n">
        <v>1</v>
      </c>
      <c r="O644" s="3" t="n">
        <v>1</v>
      </c>
      <c r="P644" s="3" t="n">
        <v>1</v>
      </c>
      <c r="Q644" s="3" t="n">
        <v>1</v>
      </c>
      <c r="R644" s="3" t="n">
        <v>2</v>
      </c>
      <c r="S644" s="3" t="n">
        <v>2</v>
      </c>
      <c r="T644" s="4" t="n">
        <v>3</v>
      </c>
      <c r="U644" s="3" t="n">
        <v>2</v>
      </c>
      <c r="V644" s="3" t="n">
        <v>3.06</v>
      </c>
      <c r="W644" s="3" t="n">
        <v>1.83</v>
      </c>
      <c r="X644" s="3" t="n">
        <v>8.23</v>
      </c>
      <c r="Y644" s="3" t="n">
        <v>583</v>
      </c>
      <c r="Z644" s="3" t="n">
        <v>79</v>
      </c>
      <c r="AC644" s="3" t="n">
        <v>2</v>
      </c>
      <c r="AD644" s="3" t="n">
        <v>2</v>
      </c>
      <c r="AE644" s="3" t="n">
        <v>1</v>
      </c>
      <c r="AF644" s="3" t="n">
        <v>1</v>
      </c>
      <c r="AG644" s="3" t="n">
        <v>1</v>
      </c>
      <c r="AH644" s="3" t="n">
        <v>2</v>
      </c>
      <c r="AI644" s="3" t="n">
        <v>1</v>
      </c>
      <c r="AJ644" s="3" t="n">
        <v>1</v>
      </c>
      <c r="AK644" s="3" t="n">
        <v>2</v>
      </c>
      <c r="AL644" s="3" t="n">
        <v>2</v>
      </c>
      <c r="AM644" s="3" t="n">
        <v>1</v>
      </c>
      <c r="AN644" s="3" t="n">
        <v>2</v>
      </c>
      <c r="AO644" s="3" t="n">
        <v>2</v>
      </c>
      <c r="AP644" s="3" t="n">
        <v>3</v>
      </c>
      <c r="AQ644" s="3" t="n">
        <v>4</v>
      </c>
      <c r="AR644" s="3" t="n">
        <v>4</v>
      </c>
      <c r="AS644" s="3" t="n">
        <v>6</v>
      </c>
      <c r="AT644" s="3" t="n">
        <v>4</v>
      </c>
      <c r="AU644" s="3" t="n">
        <v>4</v>
      </c>
      <c r="AV644" s="3" t="n">
        <v>6</v>
      </c>
      <c r="AW644" s="3" t="n">
        <v>6</v>
      </c>
      <c r="AX644" s="3" t="n">
        <v>3</v>
      </c>
      <c r="AY644" s="3" t="n">
        <v>3</v>
      </c>
      <c r="AZ644" s="3" t="n">
        <v>1</v>
      </c>
      <c r="BA644" s="5" t="n">
        <v>11</v>
      </c>
      <c r="BB644" s="3" t="n">
        <v>2</v>
      </c>
      <c r="BC644" s="3" t="n">
        <v>1</v>
      </c>
      <c r="BD644" s="3" t="n">
        <v>6</v>
      </c>
      <c r="BE644" s="3" t="n">
        <v>3</v>
      </c>
      <c r="BF644" s="3" t="n">
        <v>5</v>
      </c>
      <c r="BG644" s="3" t="n">
        <v>3</v>
      </c>
      <c r="BH644" s="3" t="n">
        <v>4</v>
      </c>
      <c r="BI644" s="3" t="n">
        <v>1</v>
      </c>
      <c r="BJ644" s="3" t="n">
        <v>1</v>
      </c>
      <c r="BK644" s="21" t="s">
        <v>1723</v>
      </c>
    </row>
    <row r="645" customFormat="false" ht="15" hidden="false" customHeight="true" outlineLevel="0" collapsed="false">
      <c r="B645" s="17" t="s">
        <v>1799</v>
      </c>
      <c r="C645" s="17" t="s">
        <v>118</v>
      </c>
      <c r="D645" s="17" t="s">
        <v>91</v>
      </c>
      <c r="E645" s="2" t="n">
        <v>189794</v>
      </c>
      <c r="F645" s="15" t="n">
        <v>43803</v>
      </c>
      <c r="G645" s="15" t="n">
        <v>43809</v>
      </c>
      <c r="H645" s="3" t="n">
        <v>6</v>
      </c>
      <c r="I645" s="3" t="n">
        <v>1</v>
      </c>
      <c r="J645" s="3" t="n">
        <v>71</v>
      </c>
      <c r="K645" s="3" t="n">
        <v>1</v>
      </c>
      <c r="L645" s="3" t="n">
        <v>2</v>
      </c>
      <c r="M645" s="3" t="n">
        <v>2</v>
      </c>
      <c r="N645" s="3" t="n">
        <v>2</v>
      </c>
      <c r="O645" s="3" t="n">
        <v>2</v>
      </c>
      <c r="P645" s="3" t="n">
        <v>2</v>
      </c>
      <c r="Q645" s="3" t="n">
        <v>1</v>
      </c>
      <c r="R645" s="3" t="n">
        <v>2</v>
      </c>
      <c r="S645" s="3" t="n">
        <v>2</v>
      </c>
      <c r="T645" s="4" t="n">
        <v>3</v>
      </c>
      <c r="U645" s="3" t="n">
        <v>1</v>
      </c>
      <c r="V645" s="3" t="n">
        <v>2.94</v>
      </c>
      <c r="W645" s="3" t="n">
        <v>1.19</v>
      </c>
      <c r="X645" s="3" t="n">
        <v>10.72</v>
      </c>
      <c r="Y645" s="3" t="n">
        <v>234</v>
      </c>
      <c r="Z645" s="3" t="n">
        <v>64</v>
      </c>
      <c r="AA645" s="3" t="n">
        <v>0.35</v>
      </c>
      <c r="AB645" s="3" t="n">
        <v>13.5</v>
      </c>
      <c r="AC645" s="3" t="n">
        <v>1</v>
      </c>
      <c r="AD645" s="3" t="n">
        <v>2</v>
      </c>
      <c r="AE645" s="3" t="n">
        <v>2</v>
      </c>
      <c r="AF645" s="3" t="n">
        <v>2</v>
      </c>
      <c r="AG645" s="3" t="n">
        <v>2</v>
      </c>
      <c r="AH645" s="3" t="n">
        <v>2</v>
      </c>
      <c r="AI645" s="3" t="n">
        <v>1</v>
      </c>
      <c r="AJ645" s="3" t="n">
        <v>1</v>
      </c>
      <c r="AK645" s="3" t="n">
        <v>1</v>
      </c>
      <c r="AL645" s="3" t="n">
        <v>2</v>
      </c>
      <c r="AM645" s="3" t="n">
        <v>1</v>
      </c>
      <c r="AN645" s="3" t="n">
        <v>2</v>
      </c>
      <c r="AO645" s="3" t="n">
        <v>2</v>
      </c>
      <c r="AP645" s="3" t="n">
        <v>3</v>
      </c>
      <c r="AQ645" s="3" t="n">
        <v>4</v>
      </c>
      <c r="AR645" s="3" t="n">
        <v>4</v>
      </c>
      <c r="AS645" s="3" t="n">
        <v>6</v>
      </c>
      <c r="AT645" s="3" t="n">
        <v>4</v>
      </c>
      <c r="AU645" s="3" t="n">
        <v>4</v>
      </c>
      <c r="AV645" s="3" t="n">
        <v>6</v>
      </c>
      <c r="AW645" s="3" t="n">
        <v>6</v>
      </c>
      <c r="AX645" s="3" t="n">
        <v>3</v>
      </c>
      <c r="AY645" s="3" t="n">
        <v>3</v>
      </c>
      <c r="AZ645" s="3" t="n">
        <v>1</v>
      </c>
      <c r="BA645" s="5" t="n">
        <v>11</v>
      </c>
      <c r="BB645" s="3" t="n">
        <v>2</v>
      </c>
      <c r="BC645" s="3" t="n">
        <v>1</v>
      </c>
      <c r="BD645" s="3" t="n">
        <v>6</v>
      </c>
      <c r="BE645" s="3" t="n">
        <v>3</v>
      </c>
      <c r="BF645" s="3" t="n">
        <v>5</v>
      </c>
      <c r="BG645" s="3" t="n">
        <v>3</v>
      </c>
      <c r="BH645" s="3" t="n">
        <v>4</v>
      </c>
      <c r="BI645" s="3" t="n">
        <v>1</v>
      </c>
      <c r="BJ645" s="3" t="n">
        <v>1</v>
      </c>
      <c r="BK645" s="21" t="s">
        <v>1800</v>
      </c>
    </row>
    <row r="646" customFormat="false" ht="15" hidden="false" customHeight="true" outlineLevel="0" collapsed="false">
      <c r="B646" s="2" t="s">
        <v>1801</v>
      </c>
      <c r="C646" s="2" t="s">
        <v>1744</v>
      </c>
      <c r="D646" s="2" t="s">
        <v>1802</v>
      </c>
      <c r="E646" s="2" t="n">
        <v>189362</v>
      </c>
      <c r="F646" s="15" t="n">
        <v>43801</v>
      </c>
      <c r="G646" s="15" t="n">
        <v>43809</v>
      </c>
      <c r="H646" s="3" t="n">
        <v>8</v>
      </c>
      <c r="I646" s="3" t="n">
        <v>1</v>
      </c>
      <c r="J646" s="3" t="n">
        <v>86</v>
      </c>
      <c r="K646" s="3" t="n">
        <v>1</v>
      </c>
      <c r="L646" s="3" t="n">
        <v>2</v>
      </c>
      <c r="M646" s="3" t="n">
        <v>1</v>
      </c>
      <c r="N646" s="3" t="n">
        <v>2</v>
      </c>
      <c r="O646" s="3" t="n">
        <v>2</v>
      </c>
      <c r="P646" s="3" t="n">
        <v>2</v>
      </c>
      <c r="Q646" s="3" t="n">
        <v>2</v>
      </c>
      <c r="R646" s="3" t="n">
        <v>2</v>
      </c>
      <c r="S646" s="3" t="n">
        <v>2</v>
      </c>
      <c r="T646" s="4" t="n">
        <v>12</v>
      </c>
      <c r="U646" s="3" t="n">
        <v>1</v>
      </c>
      <c r="AA646" s="3" t="n">
        <v>0.43</v>
      </c>
      <c r="AB646" s="3" t="n">
        <v>10.2</v>
      </c>
      <c r="AD646" s="3" t="n">
        <v>2</v>
      </c>
      <c r="AE646" s="3" t="n">
        <v>2</v>
      </c>
      <c r="AF646" s="3" t="n">
        <v>2</v>
      </c>
      <c r="AG646" s="3" t="n">
        <v>2</v>
      </c>
      <c r="AH646" s="3" t="n">
        <v>2</v>
      </c>
      <c r="AI646" s="3" t="n">
        <v>2</v>
      </c>
      <c r="AJ646" s="3" t="n">
        <v>2</v>
      </c>
      <c r="AK646" s="3" t="n">
        <v>1</v>
      </c>
      <c r="AL646" s="3" t="n">
        <v>2</v>
      </c>
      <c r="AM646" s="3" t="n">
        <v>2</v>
      </c>
      <c r="AN646" s="3" t="n">
        <v>2</v>
      </c>
      <c r="AO646" s="3" t="n">
        <v>2</v>
      </c>
      <c r="AP646" s="3" t="n">
        <v>3</v>
      </c>
      <c r="AQ646" s="3" t="n">
        <v>4</v>
      </c>
      <c r="AR646" s="3" t="n">
        <v>4</v>
      </c>
      <c r="AS646" s="3" t="n">
        <v>6</v>
      </c>
      <c r="AT646" s="3" t="n">
        <v>4</v>
      </c>
      <c r="AU646" s="3" t="n">
        <v>4</v>
      </c>
      <c r="AV646" s="3" t="n">
        <v>6</v>
      </c>
      <c r="AW646" s="3" t="n">
        <v>6</v>
      </c>
      <c r="AX646" s="3" t="n">
        <v>3</v>
      </c>
      <c r="AY646" s="3" t="n">
        <v>3</v>
      </c>
      <c r="AZ646" s="3" t="n">
        <v>1</v>
      </c>
      <c r="BA646" s="5" t="n">
        <v>11</v>
      </c>
      <c r="BB646" s="3" t="n">
        <v>2</v>
      </c>
      <c r="BC646" s="3" t="n">
        <v>1</v>
      </c>
      <c r="BD646" s="3" t="n">
        <v>6</v>
      </c>
      <c r="BE646" s="3" t="n">
        <v>3</v>
      </c>
      <c r="BF646" s="3" t="n">
        <v>5</v>
      </c>
      <c r="BG646" s="3" t="n">
        <v>3</v>
      </c>
      <c r="BH646" s="3" t="n">
        <v>4</v>
      </c>
      <c r="BI646" s="3" t="n">
        <v>1</v>
      </c>
      <c r="BJ646" s="3" t="n">
        <v>1</v>
      </c>
      <c r="BK646" s="6" t="s">
        <v>1803</v>
      </c>
    </row>
    <row r="647" customFormat="false" ht="15" hidden="false" customHeight="true" outlineLevel="0" collapsed="false">
      <c r="B647" s="2" t="s">
        <v>1804</v>
      </c>
      <c r="C647" s="2" t="s">
        <v>127</v>
      </c>
      <c r="D647" s="2" t="s">
        <v>94</v>
      </c>
      <c r="E647" s="2" t="n">
        <v>189771</v>
      </c>
      <c r="F647" s="15" t="n">
        <v>43805</v>
      </c>
      <c r="G647" s="15" t="n">
        <v>43721</v>
      </c>
      <c r="H647" s="3" t="n">
        <v>7</v>
      </c>
      <c r="I647" s="3" t="n">
        <v>2</v>
      </c>
      <c r="J647" s="3" t="n">
        <v>53</v>
      </c>
      <c r="K647" s="3" t="n">
        <v>1</v>
      </c>
      <c r="L647" s="3" t="n">
        <v>1</v>
      </c>
      <c r="M647" s="3" t="n">
        <v>2</v>
      </c>
      <c r="N647" s="3" t="n">
        <v>2</v>
      </c>
      <c r="O647" s="3" t="n">
        <v>2</v>
      </c>
      <c r="P647" s="3" t="n">
        <v>2</v>
      </c>
      <c r="Q647" s="3" t="n">
        <v>2</v>
      </c>
      <c r="R647" s="3" t="n">
        <v>2</v>
      </c>
      <c r="S647" s="3" t="n">
        <v>2</v>
      </c>
      <c r="T647" s="4" t="n">
        <v>2</v>
      </c>
      <c r="U647" s="3" t="n">
        <v>2</v>
      </c>
      <c r="V647" s="3" t="n">
        <v>5.14</v>
      </c>
      <c r="W647" s="3" t="n">
        <v>2.05</v>
      </c>
      <c r="X647" s="3" t="n">
        <v>6.23</v>
      </c>
      <c r="Y647" s="3" t="n">
        <v>353</v>
      </c>
      <c r="Z647" s="3" t="n">
        <v>64</v>
      </c>
      <c r="AA647" s="3" t="n">
        <v>0.45</v>
      </c>
      <c r="AB647" s="3" t="n">
        <v>7.1</v>
      </c>
      <c r="AC647" s="3" t="n">
        <v>1</v>
      </c>
      <c r="AD647" s="3" t="n">
        <v>1</v>
      </c>
      <c r="AE647" s="3" t="n">
        <v>1</v>
      </c>
      <c r="AF647" s="3" t="n">
        <v>1</v>
      </c>
      <c r="AG647" s="3" t="n">
        <v>2</v>
      </c>
      <c r="AH647" s="3" t="n">
        <v>2</v>
      </c>
      <c r="AI647" s="3" t="n">
        <v>1</v>
      </c>
      <c r="AJ647" s="3" t="n">
        <v>1</v>
      </c>
      <c r="AK647" s="3" t="n">
        <v>2</v>
      </c>
      <c r="AL647" s="3" t="n">
        <v>2</v>
      </c>
      <c r="AM647" s="3" t="n">
        <v>2</v>
      </c>
      <c r="AN647" s="3" t="n">
        <v>2</v>
      </c>
      <c r="AO647" s="3" t="n">
        <v>2</v>
      </c>
      <c r="AP647" s="3" t="n">
        <v>3</v>
      </c>
      <c r="AQ647" s="3" t="n">
        <v>4</v>
      </c>
      <c r="AR647" s="3" t="n">
        <v>4</v>
      </c>
      <c r="AS647" s="3" t="n">
        <v>6</v>
      </c>
      <c r="AT647" s="3" t="n">
        <v>4</v>
      </c>
      <c r="AU647" s="3" t="n">
        <v>4</v>
      </c>
      <c r="AV647" s="3" t="n">
        <v>6</v>
      </c>
      <c r="AW647" s="3" t="n">
        <v>6</v>
      </c>
      <c r="AX647" s="3" t="n">
        <v>3</v>
      </c>
      <c r="AY647" s="3" t="n">
        <v>3</v>
      </c>
      <c r="AZ647" s="3" t="n">
        <v>1</v>
      </c>
      <c r="BA647" s="5" t="n">
        <v>1</v>
      </c>
      <c r="BB647" s="3" t="n">
        <v>1</v>
      </c>
      <c r="BC647" s="3" t="n">
        <v>1</v>
      </c>
      <c r="BD647" s="3" t="n">
        <v>4</v>
      </c>
      <c r="BE647" s="3" t="n">
        <v>1</v>
      </c>
      <c r="BF647" s="3" t="n">
        <v>2</v>
      </c>
      <c r="BG647" s="3" t="n">
        <v>1</v>
      </c>
      <c r="BH647" s="3" t="n">
        <v>4</v>
      </c>
      <c r="BI647" s="3" t="n">
        <v>1</v>
      </c>
      <c r="BJ647" s="3" t="n">
        <v>1</v>
      </c>
      <c r="BK647" s="6" t="s">
        <v>1805</v>
      </c>
    </row>
    <row r="648" customFormat="false" ht="15" hidden="false" customHeight="true" outlineLevel="0" collapsed="false">
      <c r="B648" s="2" t="s">
        <v>1806</v>
      </c>
      <c r="C648" s="2" t="s">
        <v>818</v>
      </c>
      <c r="D648" s="2" t="s">
        <v>839</v>
      </c>
      <c r="E648" s="2" t="n">
        <v>129547</v>
      </c>
      <c r="F648" s="15" t="n">
        <v>43805</v>
      </c>
      <c r="G648" s="15" t="n">
        <v>43811</v>
      </c>
      <c r="H648" s="3" t="n">
        <v>6</v>
      </c>
      <c r="I648" s="3" t="n">
        <v>1</v>
      </c>
      <c r="J648" s="3" t="n">
        <v>78</v>
      </c>
      <c r="K648" s="3" t="n">
        <v>1</v>
      </c>
      <c r="L648" s="3" t="n">
        <v>2</v>
      </c>
      <c r="M648" s="3" t="n">
        <v>1</v>
      </c>
      <c r="N648" s="3" t="n">
        <v>2</v>
      </c>
      <c r="O648" s="3" t="n">
        <v>2</v>
      </c>
      <c r="P648" s="3" t="n">
        <v>2</v>
      </c>
      <c r="Q648" s="3" t="n">
        <v>2</v>
      </c>
      <c r="R648" s="3" t="n">
        <v>1</v>
      </c>
      <c r="S648" s="3" t="n">
        <v>1</v>
      </c>
      <c r="T648" s="4" t="n">
        <v>3</v>
      </c>
      <c r="U648" s="3" t="n">
        <v>1</v>
      </c>
      <c r="V648" s="3" t="n">
        <v>4.56</v>
      </c>
      <c r="W648" s="3" t="n">
        <v>1.36</v>
      </c>
      <c r="X648" s="3" t="n">
        <v>5.35</v>
      </c>
      <c r="Y648" s="3" t="n">
        <v>397</v>
      </c>
      <c r="Z648" s="3" t="n">
        <v>200</v>
      </c>
      <c r="AA648" s="3" t="n">
        <v>0.3</v>
      </c>
      <c r="AB648" s="3" t="n">
        <v>10.1</v>
      </c>
      <c r="AC648" s="3" t="n">
        <v>1</v>
      </c>
      <c r="AD648" s="3" t="n">
        <v>2</v>
      </c>
      <c r="AE648" s="3" t="n">
        <v>1</v>
      </c>
      <c r="AF648" s="3" t="n">
        <v>1</v>
      </c>
      <c r="AG648" s="3" t="n">
        <v>2</v>
      </c>
      <c r="AH648" s="3" t="n">
        <v>1</v>
      </c>
      <c r="AI648" s="3" t="n">
        <v>1</v>
      </c>
      <c r="AJ648" s="3" t="n">
        <v>1</v>
      </c>
      <c r="AK648" s="3" t="n">
        <v>2</v>
      </c>
      <c r="AL648" s="3" t="n">
        <v>1</v>
      </c>
      <c r="AM648" s="3" t="n">
        <v>1</v>
      </c>
      <c r="AN648" s="3" t="n">
        <v>2</v>
      </c>
      <c r="AO648" s="3" t="n">
        <v>2</v>
      </c>
      <c r="AP648" s="3" t="n">
        <v>3</v>
      </c>
      <c r="AQ648" s="3" t="n">
        <v>4</v>
      </c>
      <c r="AR648" s="3" t="n">
        <v>4</v>
      </c>
      <c r="AS648" s="3" t="n">
        <v>6</v>
      </c>
      <c r="AT648" s="3" t="n">
        <v>4</v>
      </c>
      <c r="AU648" s="3" t="n">
        <v>4</v>
      </c>
      <c r="AV648" s="3" t="n">
        <v>6</v>
      </c>
      <c r="AW648" s="3" t="n">
        <v>6</v>
      </c>
      <c r="AX648" s="3" t="n">
        <v>3</v>
      </c>
      <c r="AY648" s="3" t="n">
        <v>3</v>
      </c>
      <c r="AZ648" s="3" t="n">
        <v>1</v>
      </c>
      <c r="BA648" s="5" t="n">
        <v>11</v>
      </c>
      <c r="BB648" s="3" t="n">
        <v>2</v>
      </c>
      <c r="BC648" s="3" t="n">
        <v>1</v>
      </c>
      <c r="BD648" s="3" t="n">
        <v>6</v>
      </c>
      <c r="BE648" s="3" t="n">
        <v>3</v>
      </c>
      <c r="BF648" s="3" t="n">
        <v>5</v>
      </c>
      <c r="BG648" s="3" t="n">
        <v>3</v>
      </c>
      <c r="BH648" s="3" t="n">
        <v>4</v>
      </c>
      <c r="BI648" s="3" t="n">
        <v>1</v>
      </c>
      <c r="BJ648" s="3" t="n">
        <v>1</v>
      </c>
      <c r="BK648" s="6" t="s">
        <v>1807</v>
      </c>
    </row>
    <row r="649" customFormat="false" ht="15" hidden="false" customHeight="true" outlineLevel="0" collapsed="false">
      <c r="B649" s="2" t="s">
        <v>894</v>
      </c>
      <c r="C649" s="2" t="s">
        <v>95</v>
      </c>
      <c r="D649" s="2" t="s">
        <v>70</v>
      </c>
      <c r="E649" s="2" t="n">
        <v>189122</v>
      </c>
      <c r="F649" s="15" t="n">
        <v>43795</v>
      </c>
      <c r="G649" s="15" t="n">
        <v>43808</v>
      </c>
      <c r="H649" s="3" t="n">
        <v>13</v>
      </c>
      <c r="I649" s="3" t="n">
        <v>2</v>
      </c>
      <c r="J649" s="3" t="n">
        <v>65</v>
      </c>
      <c r="K649" s="3" t="n">
        <v>1</v>
      </c>
      <c r="L649" s="3" t="n">
        <v>2</v>
      </c>
      <c r="M649" s="3" t="n">
        <v>1</v>
      </c>
      <c r="N649" s="3" t="n">
        <v>1</v>
      </c>
      <c r="O649" s="3" t="n">
        <v>1</v>
      </c>
      <c r="P649" s="3" t="n">
        <v>1</v>
      </c>
      <c r="Q649" s="3" t="n">
        <v>1</v>
      </c>
      <c r="R649" s="3" t="n">
        <v>2</v>
      </c>
      <c r="S649" s="3" t="n">
        <v>2</v>
      </c>
      <c r="T649" s="4" t="n">
        <v>1</v>
      </c>
      <c r="U649" s="3" t="n">
        <v>1</v>
      </c>
      <c r="V649" s="3" t="n">
        <v>2.26</v>
      </c>
      <c r="W649" s="3" t="n">
        <v>2.93</v>
      </c>
      <c r="X649" s="3" t="n">
        <v>8.64</v>
      </c>
      <c r="Y649" s="3" t="n">
        <v>478</v>
      </c>
      <c r="Z649" s="3" t="n">
        <v>106</v>
      </c>
      <c r="AA649" s="3" t="n">
        <v>0.47</v>
      </c>
      <c r="AB649" s="3" t="n">
        <v>17</v>
      </c>
      <c r="AC649" s="3" t="n">
        <v>1</v>
      </c>
      <c r="AD649" s="3" t="n">
        <v>1</v>
      </c>
      <c r="AE649" s="3" t="n">
        <v>1</v>
      </c>
      <c r="AF649" s="3" t="n">
        <v>1</v>
      </c>
      <c r="AG649" s="3" t="n">
        <v>1</v>
      </c>
      <c r="AH649" s="3" t="n">
        <v>2</v>
      </c>
      <c r="AI649" s="3" t="n">
        <v>1</v>
      </c>
      <c r="AJ649" s="3" t="n">
        <v>2</v>
      </c>
      <c r="AK649" s="3" t="n">
        <v>1</v>
      </c>
      <c r="AL649" s="3" t="n">
        <v>2</v>
      </c>
      <c r="AM649" s="3" t="n">
        <v>1</v>
      </c>
      <c r="AN649" s="3" t="n">
        <v>2</v>
      </c>
      <c r="AO649" s="3" t="n">
        <v>2</v>
      </c>
      <c r="AP649" s="3" t="n">
        <v>3</v>
      </c>
      <c r="AQ649" s="3" t="n">
        <v>4</v>
      </c>
      <c r="AR649" s="3" t="n">
        <v>4</v>
      </c>
      <c r="AS649" s="3" t="n">
        <v>6</v>
      </c>
      <c r="AT649" s="3" t="n">
        <v>4</v>
      </c>
      <c r="AU649" s="3" t="n">
        <v>4</v>
      </c>
      <c r="AV649" s="3" t="n">
        <v>6</v>
      </c>
      <c r="AW649" s="3" t="n">
        <v>6</v>
      </c>
      <c r="AX649" s="3" t="n">
        <v>3</v>
      </c>
      <c r="AY649" s="3" t="n">
        <v>3</v>
      </c>
      <c r="AZ649" s="3" t="n">
        <v>1</v>
      </c>
      <c r="BA649" s="5" t="n">
        <v>5</v>
      </c>
      <c r="BB649" s="3" t="n">
        <v>2</v>
      </c>
      <c r="BC649" s="3" t="n">
        <v>1</v>
      </c>
      <c r="BD649" s="3" t="n">
        <v>6</v>
      </c>
      <c r="BE649" s="3" t="n">
        <v>3</v>
      </c>
      <c r="BF649" s="3" t="n">
        <v>5</v>
      </c>
      <c r="BG649" s="3" t="n">
        <v>3</v>
      </c>
      <c r="BH649" s="3" t="n">
        <v>4</v>
      </c>
      <c r="BI649" s="3" t="n">
        <v>1</v>
      </c>
      <c r="BJ649" s="3" t="n">
        <v>1</v>
      </c>
      <c r="BK649" s="6" t="s">
        <v>1808</v>
      </c>
    </row>
    <row r="650" customFormat="false" ht="15" hidden="false" customHeight="true" outlineLevel="0" collapsed="false">
      <c r="B650" s="17" t="s">
        <v>1809</v>
      </c>
      <c r="C650" s="17" t="s">
        <v>95</v>
      </c>
      <c r="D650" s="17" t="s">
        <v>1616</v>
      </c>
      <c r="E650" s="2" t="n">
        <v>189671</v>
      </c>
      <c r="F650" s="15" t="n">
        <v>43803</v>
      </c>
      <c r="G650" s="15" t="n">
        <v>43810</v>
      </c>
      <c r="H650" s="3" t="n">
        <v>7</v>
      </c>
      <c r="I650" s="3" t="n">
        <v>2</v>
      </c>
      <c r="J650" s="3" t="n">
        <v>58</v>
      </c>
      <c r="K650" s="3" t="n">
        <v>2</v>
      </c>
      <c r="L650" s="3" t="n">
        <v>2</v>
      </c>
      <c r="M650" s="3" t="n">
        <v>2</v>
      </c>
      <c r="N650" s="3" t="n">
        <v>2</v>
      </c>
      <c r="O650" s="3" t="n">
        <v>2</v>
      </c>
      <c r="P650" s="3" t="n">
        <v>2</v>
      </c>
      <c r="Q650" s="3" t="n">
        <v>2</v>
      </c>
      <c r="R650" s="3" t="n">
        <v>2</v>
      </c>
      <c r="S650" s="3" t="n">
        <v>2</v>
      </c>
      <c r="T650" s="4" t="n">
        <v>4</v>
      </c>
      <c r="U650" s="3" t="n">
        <v>4</v>
      </c>
      <c r="V650" s="3" t="n">
        <v>3.22</v>
      </c>
      <c r="W650" s="3" t="n">
        <v>1.24</v>
      </c>
      <c r="X650" s="3" t="n">
        <v>4.52</v>
      </c>
      <c r="Y650" s="3" t="n">
        <v>531</v>
      </c>
      <c r="Z650" s="3" t="n">
        <v>94</v>
      </c>
      <c r="AA650" s="3" t="n">
        <v>0.46</v>
      </c>
      <c r="AB650" s="3" t="n">
        <v>9.2</v>
      </c>
      <c r="AC650" s="3" t="n">
        <v>1</v>
      </c>
      <c r="AD650" s="3" t="n">
        <v>2</v>
      </c>
      <c r="AE650" s="3" t="n">
        <v>1</v>
      </c>
      <c r="AF650" s="3" t="n">
        <v>2</v>
      </c>
      <c r="AG650" s="3" t="n">
        <v>2</v>
      </c>
      <c r="AH650" s="3" t="n">
        <v>2</v>
      </c>
      <c r="AI650" s="3" t="n">
        <v>2</v>
      </c>
      <c r="AJ650" s="3" t="n">
        <v>2</v>
      </c>
      <c r="AK650" s="3" t="n">
        <v>2</v>
      </c>
      <c r="AL650" s="3" t="n">
        <v>1</v>
      </c>
      <c r="AM650" s="3" t="n">
        <v>1</v>
      </c>
      <c r="AN650" s="3" t="n">
        <v>2</v>
      </c>
      <c r="AO650" s="3" t="n">
        <v>2</v>
      </c>
      <c r="AP650" s="3" t="n">
        <v>3</v>
      </c>
      <c r="AQ650" s="3" t="n">
        <v>4</v>
      </c>
      <c r="AR650" s="3" t="n">
        <v>4</v>
      </c>
      <c r="AS650" s="3" t="n">
        <v>6</v>
      </c>
      <c r="AT650" s="3" t="n">
        <v>4</v>
      </c>
      <c r="AU650" s="3" t="n">
        <v>4</v>
      </c>
      <c r="AV650" s="3" t="n">
        <v>6</v>
      </c>
      <c r="AW650" s="3" t="n">
        <v>6</v>
      </c>
      <c r="AX650" s="3" t="n">
        <v>3</v>
      </c>
      <c r="AY650" s="3" t="n">
        <v>3</v>
      </c>
      <c r="AZ650" s="3" t="n">
        <v>1</v>
      </c>
      <c r="BA650" s="5" t="n">
        <v>10</v>
      </c>
      <c r="BB650" s="3" t="n">
        <v>2</v>
      </c>
      <c r="BC650" s="3" t="n">
        <v>1</v>
      </c>
      <c r="BD650" s="3" t="n">
        <v>6</v>
      </c>
      <c r="BE650" s="3" t="n">
        <v>3</v>
      </c>
      <c r="BF650" s="3" t="n">
        <v>5</v>
      </c>
      <c r="BG650" s="3" t="n">
        <v>3</v>
      </c>
      <c r="BH650" s="3" t="n">
        <v>4</v>
      </c>
      <c r="BI650" s="3" t="n">
        <v>1</v>
      </c>
      <c r="BJ650" s="3" t="n">
        <v>1</v>
      </c>
      <c r="BK650" s="21" t="s">
        <v>1810</v>
      </c>
    </row>
    <row r="651" customFormat="false" ht="15" hidden="false" customHeight="true" outlineLevel="0" collapsed="false">
      <c r="B651" s="17" t="s">
        <v>1811</v>
      </c>
      <c r="C651" s="17" t="s">
        <v>1812</v>
      </c>
      <c r="D651" s="17" t="s">
        <v>275</v>
      </c>
      <c r="E651" s="2" t="n">
        <v>189910</v>
      </c>
      <c r="F651" s="15" t="n">
        <v>43809</v>
      </c>
      <c r="G651" s="15" t="n">
        <v>43812</v>
      </c>
      <c r="H651" s="3" t="n">
        <v>2</v>
      </c>
      <c r="I651" s="3" t="n">
        <v>1</v>
      </c>
      <c r="J651" s="3" t="n">
        <v>76</v>
      </c>
      <c r="K651" s="3" t="n">
        <v>1</v>
      </c>
      <c r="L651" s="3" t="n">
        <v>2</v>
      </c>
      <c r="M651" s="3" t="n">
        <v>1</v>
      </c>
      <c r="N651" s="3" t="n">
        <v>2</v>
      </c>
      <c r="O651" s="3" t="n">
        <v>2</v>
      </c>
      <c r="P651" s="3" t="n">
        <v>2</v>
      </c>
      <c r="Q651" s="3" t="n">
        <v>2</v>
      </c>
      <c r="R651" s="3" t="n">
        <v>2</v>
      </c>
      <c r="S651" s="3" t="n">
        <v>2</v>
      </c>
      <c r="T651" s="4" t="n">
        <v>6</v>
      </c>
      <c r="U651" s="3" t="n">
        <v>4</v>
      </c>
      <c r="V651" s="3" t="n">
        <v>4.63</v>
      </c>
      <c r="W651" s="3" t="n">
        <v>0.94</v>
      </c>
      <c r="X651" s="3" t="n">
        <v>8.74</v>
      </c>
      <c r="Y651" s="3" t="n">
        <v>506</v>
      </c>
      <c r="Z651" s="3" t="n">
        <v>211</v>
      </c>
      <c r="AA651" s="3" t="n">
        <v>0.46</v>
      </c>
      <c r="AB651" s="3" t="n">
        <v>13</v>
      </c>
      <c r="AC651" s="3" t="n">
        <v>2</v>
      </c>
      <c r="AD651" s="3" t="n">
        <v>2</v>
      </c>
      <c r="AE651" s="3" t="n">
        <v>2</v>
      </c>
      <c r="AF651" s="3" t="n">
        <v>2</v>
      </c>
      <c r="AG651" s="3" t="n">
        <v>2</v>
      </c>
      <c r="AH651" s="3" t="n">
        <v>2</v>
      </c>
      <c r="AI651" s="3" t="n">
        <v>2</v>
      </c>
      <c r="AJ651" s="3" t="n">
        <v>2</v>
      </c>
      <c r="AK651" s="3" t="n">
        <v>2</v>
      </c>
      <c r="AL651" s="3" t="n">
        <v>2</v>
      </c>
      <c r="AM651" s="3" t="n">
        <v>2</v>
      </c>
      <c r="AN651" s="3" t="n">
        <v>1</v>
      </c>
      <c r="AO651" s="3" t="n">
        <v>2</v>
      </c>
      <c r="AP651" s="3" t="n">
        <v>3</v>
      </c>
      <c r="AQ651" s="3" t="n">
        <v>4</v>
      </c>
      <c r="AR651" s="3" t="n">
        <v>4</v>
      </c>
      <c r="AS651" s="3" t="n">
        <v>6</v>
      </c>
      <c r="AT651" s="3" t="n">
        <v>4</v>
      </c>
      <c r="AU651" s="3" t="n">
        <v>4</v>
      </c>
      <c r="AV651" s="3" t="n">
        <v>6</v>
      </c>
      <c r="AW651" s="3" t="n">
        <v>6</v>
      </c>
      <c r="AX651" s="3" t="n">
        <v>3</v>
      </c>
      <c r="AY651" s="3" t="n">
        <v>3</v>
      </c>
      <c r="AZ651" s="3" t="n">
        <v>1</v>
      </c>
      <c r="BA651" s="5" t="n">
        <v>10</v>
      </c>
      <c r="BB651" s="3" t="n">
        <v>2</v>
      </c>
      <c r="BC651" s="3" t="n">
        <v>1</v>
      </c>
      <c r="BD651" s="3" t="n">
        <v>6</v>
      </c>
      <c r="BE651" s="3" t="n">
        <v>3</v>
      </c>
      <c r="BF651" s="3" t="n">
        <v>5</v>
      </c>
      <c r="BG651" s="3" t="n">
        <v>3</v>
      </c>
      <c r="BH651" s="3" t="n">
        <v>4</v>
      </c>
      <c r="BI651" s="3" t="n">
        <v>1</v>
      </c>
      <c r="BJ651" s="3" t="n">
        <v>1</v>
      </c>
      <c r="BK651" s="21" t="s">
        <v>1813</v>
      </c>
    </row>
    <row r="652" customFormat="false" ht="15" hidden="false" customHeight="true" outlineLevel="0" collapsed="false">
      <c r="B652" s="2" t="s">
        <v>1814</v>
      </c>
      <c r="C652" s="2" t="s">
        <v>118</v>
      </c>
      <c r="D652" s="2" t="s">
        <v>294</v>
      </c>
      <c r="E652" s="2" t="n">
        <v>189729</v>
      </c>
      <c r="F652" s="15" t="n">
        <v>43807</v>
      </c>
      <c r="G652" s="15" t="n">
        <v>43814</v>
      </c>
      <c r="H652" s="3" t="n">
        <v>7</v>
      </c>
      <c r="I652" s="3" t="n">
        <v>1</v>
      </c>
      <c r="J652" s="3" t="n">
        <v>90</v>
      </c>
      <c r="K652" s="3" t="n">
        <v>1</v>
      </c>
      <c r="L652" s="3" t="n">
        <v>2</v>
      </c>
      <c r="M652" s="3" t="n">
        <v>1</v>
      </c>
      <c r="N652" s="3" t="n">
        <v>2</v>
      </c>
      <c r="O652" s="3" t="n">
        <v>2</v>
      </c>
      <c r="P652" s="3" t="n">
        <v>2</v>
      </c>
      <c r="Q652" s="3" t="n">
        <v>1</v>
      </c>
      <c r="R652" s="3" t="n">
        <v>2</v>
      </c>
      <c r="S652" s="3" t="n">
        <v>2</v>
      </c>
      <c r="T652" s="4" t="n">
        <v>4</v>
      </c>
      <c r="U652" s="3" t="n">
        <v>4</v>
      </c>
      <c r="V652" s="3" t="n">
        <v>2.48</v>
      </c>
      <c r="W652" s="3" t="n">
        <v>0.55</v>
      </c>
      <c r="X652" s="3" t="n">
        <v>4.26</v>
      </c>
      <c r="Y652" s="3" t="n">
        <v>394</v>
      </c>
      <c r="Z652" s="3" t="n">
        <v>38</v>
      </c>
      <c r="AA652" s="3" t="n">
        <v>0.34</v>
      </c>
      <c r="AB652" s="3" t="n">
        <v>15.6</v>
      </c>
      <c r="AC652" s="3" t="n">
        <v>3</v>
      </c>
      <c r="AD652" s="3" t="n">
        <v>2</v>
      </c>
      <c r="AE652" s="3" t="n">
        <v>1</v>
      </c>
      <c r="AF652" s="3" t="n">
        <v>1</v>
      </c>
      <c r="AG652" s="3" t="n">
        <v>1</v>
      </c>
      <c r="AH652" s="3" t="n">
        <v>1</v>
      </c>
      <c r="AI652" s="3" t="n">
        <v>1</v>
      </c>
      <c r="AJ652" s="3" t="n">
        <v>2</v>
      </c>
      <c r="AK652" s="3" t="n">
        <v>1</v>
      </c>
      <c r="AL652" s="3" t="n">
        <v>1</v>
      </c>
      <c r="AM652" s="3" t="n">
        <v>2</v>
      </c>
      <c r="AN652" s="3" t="n">
        <v>2</v>
      </c>
      <c r="AO652" s="3" t="n">
        <v>2</v>
      </c>
      <c r="AP652" s="3" t="n">
        <v>3</v>
      </c>
      <c r="AQ652" s="3" t="n">
        <v>4</v>
      </c>
      <c r="AR652" s="3" t="n">
        <v>4</v>
      </c>
      <c r="AS652" s="3" t="n">
        <v>6</v>
      </c>
      <c r="AT652" s="3" t="n">
        <v>4</v>
      </c>
      <c r="AU652" s="3" t="n">
        <v>4</v>
      </c>
      <c r="AV652" s="3" t="n">
        <v>6</v>
      </c>
      <c r="AW652" s="3" t="n">
        <v>6</v>
      </c>
      <c r="AX652" s="3" t="n">
        <v>3</v>
      </c>
      <c r="AY652" s="3" t="n">
        <v>3</v>
      </c>
      <c r="AZ652" s="3" t="n">
        <v>1</v>
      </c>
      <c r="BA652" s="5" t="n">
        <v>10</v>
      </c>
      <c r="BB652" s="3" t="n">
        <v>2</v>
      </c>
      <c r="BC652" s="3" t="n">
        <v>1</v>
      </c>
      <c r="BD652" s="3" t="n">
        <v>6</v>
      </c>
      <c r="BE652" s="3" t="n">
        <v>3</v>
      </c>
      <c r="BF652" s="3" t="n">
        <v>5</v>
      </c>
      <c r="BG652" s="3" t="n">
        <v>3</v>
      </c>
      <c r="BH652" s="3" t="n">
        <v>4</v>
      </c>
      <c r="BI652" s="3" t="n">
        <v>1</v>
      </c>
      <c r="BJ652" s="3" t="n">
        <v>1</v>
      </c>
      <c r="BK652" s="6" t="s">
        <v>1815</v>
      </c>
    </row>
    <row r="653" customFormat="false" ht="15" hidden="false" customHeight="true" outlineLevel="0" collapsed="false">
      <c r="B653" s="2" t="s">
        <v>1816</v>
      </c>
      <c r="C653" s="2" t="s">
        <v>66</v>
      </c>
      <c r="D653" s="2" t="s">
        <v>1817</v>
      </c>
      <c r="E653" s="2" t="n">
        <v>189936</v>
      </c>
      <c r="F653" s="15" t="n">
        <v>43809</v>
      </c>
      <c r="G653" s="15" t="n">
        <v>43814</v>
      </c>
      <c r="H653" s="3" t="n">
        <v>5</v>
      </c>
      <c r="I653" s="3" t="n">
        <v>2</v>
      </c>
      <c r="J653" s="3" t="n">
        <v>36</v>
      </c>
      <c r="K653" s="3" t="n">
        <v>2</v>
      </c>
      <c r="L653" s="3" t="n">
        <v>2</v>
      </c>
      <c r="M653" s="3" t="n">
        <v>1</v>
      </c>
      <c r="N653" s="3" t="n">
        <v>2</v>
      </c>
      <c r="O653" s="3" t="n">
        <v>2</v>
      </c>
      <c r="P653" s="3" t="n">
        <v>2</v>
      </c>
      <c r="Q653" s="3" t="n">
        <v>2</v>
      </c>
      <c r="R653" s="3" t="n">
        <v>2</v>
      </c>
      <c r="S653" s="3" t="n">
        <v>2</v>
      </c>
      <c r="T653" s="4" t="n">
        <v>3</v>
      </c>
      <c r="U653" s="3" t="n">
        <v>1</v>
      </c>
      <c r="V653" s="3" t="n">
        <v>5.12</v>
      </c>
      <c r="W653" s="3" t="n">
        <v>3.33</v>
      </c>
      <c r="X653" s="3" t="n">
        <v>6.8</v>
      </c>
      <c r="Y653" s="3" t="n">
        <v>399</v>
      </c>
      <c r="Z653" s="3" t="n">
        <v>89</v>
      </c>
      <c r="AA653" s="3" t="n">
        <v>0.45</v>
      </c>
      <c r="AB653" s="3" t="n">
        <v>8.3</v>
      </c>
      <c r="AC653" s="3" t="n">
        <v>2</v>
      </c>
      <c r="AD653" s="3" t="n">
        <v>1</v>
      </c>
      <c r="AE653" s="3" t="n">
        <v>1</v>
      </c>
      <c r="AF653" s="3" t="n">
        <v>1</v>
      </c>
      <c r="AG653" s="3" t="n">
        <v>2</v>
      </c>
      <c r="AH653" s="3" t="n">
        <v>1</v>
      </c>
      <c r="AI653" s="3" t="n">
        <v>1</v>
      </c>
      <c r="AJ653" s="3" t="n">
        <v>1</v>
      </c>
      <c r="AK653" s="3" t="n">
        <v>2</v>
      </c>
      <c r="AL653" s="3" t="n">
        <v>2</v>
      </c>
      <c r="AM653" s="3" t="n">
        <v>1</v>
      </c>
      <c r="AN653" s="3" t="n">
        <v>2</v>
      </c>
      <c r="AO653" s="3" t="n">
        <v>2</v>
      </c>
      <c r="AP653" s="3" t="n">
        <v>3</v>
      </c>
      <c r="AQ653" s="3" t="n">
        <v>4</v>
      </c>
      <c r="AR653" s="3" t="n">
        <v>4</v>
      </c>
      <c r="AS653" s="3" t="n">
        <v>6</v>
      </c>
      <c r="AT653" s="3" t="n">
        <v>4</v>
      </c>
      <c r="AU653" s="3" t="n">
        <v>4</v>
      </c>
      <c r="AV653" s="3" t="n">
        <v>6</v>
      </c>
      <c r="AW653" s="3" t="n">
        <v>6</v>
      </c>
      <c r="AX653" s="3" t="n">
        <v>3</v>
      </c>
      <c r="AY653" s="3" t="n">
        <v>3</v>
      </c>
      <c r="AZ653" s="3" t="n">
        <v>1</v>
      </c>
      <c r="BA653" s="5" t="n">
        <v>11</v>
      </c>
      <c r="BB653" s="3" t="n">
        <v>2</v>
      </c>
      <c r="BC653" s="3" t="n">
        <v>1</v>
      </c>
      <c r="BD653" s="3" t="n">
        <v>6</v>
      </c>
      <c r="BE653" s="3" t="n">
        <v>3</v>
      </c>
      <c r="BF653" s="3" t="n">
        <v>5</v>
      </c>
      <c r="BG653" s="3" t="n">
        <v>3</v>
      </c>
      <c r="BH653" s="3" t="n">
        <v>4</v>
      </c>
      <c r="BI653" s="3" t="n">
        <v>1</v>
      </c>
      <c r="BJ653" s="3" t="n">
        <v>1</v>
      </c>
      <c r="BK653" s="6" t="s">
        <v>1818</v>
      </c>
    </row>
    <row r="654" customFormat="false" ht="15" hidden="false" customHeight="true" outlineLevel="0" collapsed="false">
      <c r="B654" s="2" t="s">
        <v>1819</v>
      </c>
      <c r="C654" s="2" t="s">
        <v>275</v>
      </c>
      <c r="D654" s="2" t="s">
        <v>1820</v>
      </c>
      <c r="E654" s="2" t="n">
        <v>180021</v>
      </c>
      <c r="F654" s="15" t="n">
        <v>43807</v>
      </c>
      <c r="G654" s="15" t="n">
        <v>43815</v>
      </c>
      <c r="H654" s="3" t="n">
        <v>8</v>
      </c>
      <c r="I654" s="3" t="n">
        <v>2</v>
      </c>
      <c r="J654" s="3" t="n">
        <v>64</v>
      </c>
      <c r="K654" s="3" t="n">
        <v>1</v>
      </c>
      <c r="L654" s="3" t="n">
        <v>1</v>
      </c>
      <c r="M654" s="3" t="n">
        <v>1</v>
      </c>
      <c r="N654" s="3" t="n">
        <v>2</v>
      </c>
      <c r="O654" s="3" t="n">
        <v>2</v>
      </c>
      <c r="P654" s="3" t="n">
        <v>2</v>
      </c>
      <c r="Q654" s="3" t="n">
        <v>1</v>
      </c>
      <c r="R654" s="3" t="n">
        <v>2</v>
      </c>
      <c r="S654" s="3" t="n">
        <v>1</v>
      </c>
      <c r="T654" s="4" t="n">
        <v>2</v>
      </c>
      <c r="U654" s="3" t="n">
        <v>2</v>
      </c>
      <c r="V654" s="3" t="n">
        <v>2.97</v>
      </c>
      <c r="W654" s="3" t="n">
        <v>0.59</v>
      </c>
      <c r="X654" s="3" t="n">
        <v>5.59</v>
      </c>
      <c r="Y654" s="3" t="n">
        <v>435</v>
      </c>
      <c r="Z654" s="3" t="n">
        <v>74</v>
      </c>
      <c r="AA654" s="3" t="n">
        <v>0.38</v>
      </c>
      <c r="AB654" s="3" t="n">
        <v>8.4</v>
      </c>
      <c r="AC654" s="3" t="n">
        <v>1</v>
      </c>
      <c r="AD654" s="3" t="n">
        <v>2</v>
      </c>
      <c r="AE654" s="3" t="n">
        <v>1</v>
      </c>
      <c r="AF654" s="3" t="n">
        <v>1</v>
      </c>
      <c r="AG654" s="3" t="n">
        <v>2</v>
      </c>
      <c r="AH654" s="3" t="n">
        <v>2</v>
      </c>
      <c r="AI654" s="3" t="n">
        <v>1</v>
      </c>
      <c r="AJ654" s="3" t="n">
        <v>1</v>
      </c>
      <c r="AK654" s="3" t="n">
        <v>2</v>
      </c>
      <c r="AL654" s="3" t="n">
        <v>2</v>
      </c>
      <c r="AM654" s="3" t="n">
        <v>2</v>
      </c>
      <c r="AN654" s="3" t="n">
        <v>2</v>
      </c>
      <c r="AO654" s="3" t="n">
        <v>2</v>
      </c>
      <c r="AP654" s="3" t="n">
        <v>3</v>
      </c>
      <c r="AQ654" s="3" t="n">
        <v>4</v>
      </c>
      <c r="AR654" s="3" t="n">
        <v>4</v>
      </c>
      <c r="AS654" s="3" t="n">
        <v>6</v>
      </c>
      <c r="AT654" s="3" t="n">
        <v>4</v>
      </c>
      <c r="AU654" s="3" t="n">
        <v>4</v>
      </c>
      <c r="AV654" s="3" t="n">
        <v>6</v>
      </c>
      <c r="AW654" s="3" t="n">
        <v>6</v>
      </c>
      <c r="AX654" s="3" t="n">
        <v>3</v>
      </c>
      <c r="AY654" s="3" t="n">
        <v>3</v>
      </c>
      <c r="AZ654" s="3" t="n">
        <v>1</v>
      </c>
      <c r="BA654" s="5" t="n">
        <v>1</v>
      </c>
      <c r="BB654" s="3" t="n">
        <v>1</v>
      </c>
      <c r="BC654" s="3" t="n">
        <v>1</v>
      </c>
      <c r="BD654" s="3" t="n">
        <v>4</v>
      </c>
      <c r="BE654" s="3" t="n">
        <v>1</v>
      </c>
      <c r="BF654" s="3" t="n">
        <v>2</v>
      </c>
      <c r="BG654" s="3" t="n">
        <v>1</v>
      </c>
      <c r="BH654" s="3" t="n">
        <v>4</v>
      </c>
      <c r="BI654" s="3" t="n">
        <v>1</v>
      </c>
      <c r="BJ654" s="3" t="n">
        <v>1</v>
      </c>
      <c r="BK654" s="6" t="s">
        <v>1821</v>
      </c>
    </row>
    <row r="655" customFormat="false" ht="15" hidden="false" customHeight="true" outlineLevel="0" collapsed="false">
      <c r="B655" s="2" t="s">
        <v>1822</v>
      </c>
      <c r="C655" s="2" t="s">
        <v>294</v>
      </c>
      <c r="D655" s="2" t="s">
        <v>95</v>
      </c>
      <c r="E655" s="2" t="n">
        <v>189904</v>
      </c>
      <c r="F655" s="15" t="n">
        <v>43809</v>
      </c>
      <c r="G655" s="15" t="n">
        <v>43815</v>
      </c>
      <c r="H655" s="3" t="n">
        <v>6</v>
      </c>
      <c r="I655" s="3" t="n">
        <v>1</v>
      </c>
      <c r="J655" s="3" t="n">
        <v>74</v>
      </c>
      <c r="K655" s="3" t="n">
        <v>1</v>
      </c>
      <c r="L655" s="3" t="n">
        <v>2</v>
      </c>
      <c r="M655" s="3" t="n">
        <v>1</v>
      </c>
      <c r="N655" s="3" t="n">
        <v>1</v>
      </c>
      <c r="O655" s="3" t="n">
        <v>2</v>
      </c>
      <c r="P655" s="3" t="n">
        <v>1</v>
      </c>
      <c r="Q655" s="3" t="n">
        <v>1</v>
      </c>
      <c r="R655" s="3" t="n">
        <v>2</v>
      </c>
      <c r="S655" s="3" t="n">
        <v>1</v>
      </c>
      <c r="T655" s="4" t="n">
        <v>1</v>
      </c>
      <c r="U655" s="3" t="n">
        <v>1</v>
      </c>
      <c r="V655" s="3" t="n">
        <v>4.77</v>
      </c>
      <c r="W655" s="3" t="n">
        <v>4.49</v>
      </c>
      <c r="X655" s="3" t="n">
        <v>6.91</v>
      </c>
      <c r="Y655" s="3" t="n">
        <v>376</v>
      </c>
      <c r="Z655" s="3" t="n">
        <v>60</v>
      </c>
      <c r="AA655" s="3" t="n">
        <v>0.4</v>
      </c>
      <c r="AB655" s="3" t="n">
        <v>10.4</v>
      </c>
      <c r="AC655" s="3" t="n">
        <v>1</v>
      </c>
      <c r="AD655" s="3" t="n">
        <v>1</v>
      </c>
      <c r="AE655" s="3" t="n">
        <v>1</v>
      </c>
      <c r="AF655" s="3" t="n">
        <v>1</v>
      </c>
      <c r="AG655" s="3" t="n">
        <v>1</v>
      </c>
      <c r="AH655" s="3" t="n">
        <v>2</v>
      </c>
      <c r="AI655" s="3" t="n">
        <v>1</v>
      </c>
      <c r="AJ655" s="3" t="n">
        <v>1</v>
      </c>
      <c r="AK655" s="3" t="n">
        <v>2</v>
      </c>
      <c r="AL655" s="3" t="n">
        <v>2</v>
      </c>
      <c r="AM655" s="3" t="n">
        <v>2</v>
      </c>
      <c r="AN655" s="3" t="n">
        <v>2</v>
      </c>
      <c r="AO655" s="3" t="n">
        <v>2</v>
      </c>
      <c r="AP655" s="3" t="n">
        <v>3</v>
      </c>
      <c r="AQ655" s="3" t="n">
        <v>4</v>
      </c>
      <c r="AR655" s="3" t="n">
        <v>4</v>
      </c>
      <c r="AS655" s="3" t="n">
        <v>6</v>
      </c>
      <c r="AT655" s="3" t="n">
        <v>4</v>
      </c>
      <c r="AU655" s="3" t="n">
        <v>4</v>
      </c>
      <c r="AV655" s="3" t="n">
        <v>6</v>
      </c>
      <c r="AW655" s="3" t="n">
        <v>6</v>
      </c>
      <c r="AX655" s="3" t="n">
        <v>3</v>
      </c>
      <c r="AY655" s="3" t="n">
        <v>3</v>
      </c>
      <c r="AZ655" s="3" t="n">
        <v>1</v>
      </c>
      <c r="BA655" s="5" t="n">
        <v>5</v>
      </c>
      <c r="BB655" s="3" t="n">
        <v>2</v>
      </c>
      <c r="BC655" s="3" t="n">
        <v>1</v>
      </c>
      <c r="BD655" s="3" t="n">
        <v>6</v>
      </c>
      <c r="BE655" s="3" t="n">
        <v>3</v>
      </c>
      <c r="BF655" s="3" t="n">
        <v>5</v>
      </c>
      <c r="BG655" s="3" t="n">
        <v>3</v>
      </c>
      <c r="BH655" s="3" t="n">
        <v>4</v>
      </c>
      <c r="BI655" s="3" t="n">
        <v>1</v>
      </c>
      <c r="BJ655" s="3" t="n">
        <v>1</v>
      </c>
      <c r="BK655" s="6" t="s">
        <v>1823</v>
      </c>
    </row>
    <row r="656" customFormat="false" ht="15" hidden="false" customHeight="true" outlineLevel="0" collapsed="false">
      <c r="B656" s="2" t="s">
        <v>1824</v>
      </c>
      <c r="C656" s="2" t="s">
        <v>168</v>
      </c>
      <c r="D656" s="2" t="s">
        <v>168</v>
      </c>
      <c r="E656" s="2" t="n">
        <v>189954</v>
      </c>
      <c r="F656" s="15" t="n">
        <v>43809</v>
      </c>
      <c r="G656" s="15" t="n">
        <v>43816</v>
      </c>
      <c r="H656" s="3" t="n">
        <v>7</v>
      </c>
      <c r="I656" s="3" t="n">
        <v>2</v>
      </c>
      <c r="J656" s="3" t="n">
        <v>64</v>
      </c>
      <c r="K656" s="3" t="n">
        <v>2</v>
      </c>
      <c r="L656" s="3" t="n">
        <v>2</v>
      </c>
      <c r="M656" s="3" t="n">
        <v>2</v>
      </c>
      <c r="N656" s="3" t="n">
        <v>2</v>
      </c>
      <c r="O656" s="3" t="n">
        <v>2</v>
      </c>
      <c r="P656" s="3" t="n">
        <v>2</v>
      </c>
      <c r="Q656" s="3" t="n">
        <v>1</v>
      </c>
      <c r="R656" s="3" t="n">
        <v>2</v>
      </c>
      <c r="S656" s="3" t="n">
        <v>2</v>
      </c>
      <c r="T656" s="4" t="n">
        <v>2</v>
      </c>
      <c r="U656" s="3" t="n">
        <v>2</v>
      </c>
      <c r="V656" s="3" t="n">
        <v>4.4</v>
      </c>
      <c r="W656" s="3" t="n">
        <v>4.86</v>
      </c>
      <c r="Y656" s="3" t="n">
        <v>234</v>
      </c>
      <c r="Z656" s="3" t="n">
        <v>109</v>
      </c>
      <c r="AA656" s="3" t="n">
        <v>0.51</v>
      </c>
      <c r="AB656" s="3" t="n">
        <v>7</v>
      </c>
      <c r="AC656" s="3" t="n">
        <v>1</v>
      </c>
      <c r="AD656" s="3" t="n">
        <v>2</v>
      </c>
      <c r="AE656" s="3" t="n">
        <v>1</v>
      </c>
      <c r="AF656" s="3" t="n">
        <v>1</v>
      </c>
      <c r="AG656" s="3" t="n">
        <v>2</v>
      </c>
      <c r="AH656" s="3" t="n">
        <v>2</v>
      </c>
      <c r="AI656" s="3" t="n">
        <v>1</v>
      </c>
      <c r="AJ656" s="3" t="n">
        <v>1</v>
      </c>
      <c r="AK656" s="3" t="n">
        <v>2</v>
      </c>
      <c r="AL656" s="3" t="n">
        <v>2</v>
      </c>
      <c r="AM656" s="3" t="n">
        <v>2</v>
      </c>
      <c r="AN656" s="3" t="n">
        <v>2</v>
      </c>
      <c r="AO656" s="3" t="n">
        <v>2</v>
      </c>
      <c r="AP656" s="3" t="n">
        <v>3</v>
      </c>
      <c r="AQ656" s="3" t="n">
        <v>4</v>
      </c>
      <c r="AR656" s="3" t="n">
        <v>4</v>
      </c>
      <c r="AS656" s="3" t="n">
        <v>6</v>
      </c>
      <c r="AT656" s="3" t="n">
        <v>4</v>
      </c>
      <c r="AU656" s="3" t="n">
        <v>4</v>
      </c>
      <c r="AV656" s="3" t="n">
        <v>6</v>
      </c>
      <c r="AW656" s="3" t="n">
        <v>6</v>
      </c>
      <c r="AX656" s="3" t="n">
        <v>3</v>
      </c>
      <c r="AY656" s="3" t="n">
        <v>3</v>
      </c>
      <c r="AZ656" s="3" t="n">
        <v>1</v>
      </c>
      <c r="BA656" s="5" t="n">
        <v>1</v>
      </c>
      <c r="BB656" s="3" t="n">
        <v>1</v>
      </c>
      <c r="BC656" s="3" t="n">
        <v>1</v>
      </c>
      <c r="BD656" s="3" t="n">
        <v>2</v>
      </c>
      <c r="BE656" s="3" t="n">
        <v>1</v>
      </c>
      <c r="BF656" s="3" t="n">
        <v>2</v>
      </c>
      <c r="BG656" s="3" t="n">
        <v>1</v>
      </c>
      <c r="BH656" s="3" t="n">
        <v>4</v>
      </c>
      <c r="BI656" s="3" t="n">
        <v>1</v>
      </c>
      <c r="BJ656" s="3" t="n">
        <v>1</v>
      </c>
      <c r="BK656" s="6" t="s">
        <v>1825</v>
      </c>
    </row>
    <row r="657" customFormat="false" ht="15" hidden="false" customHeight="true" outlineLevel="0" collapsed="false">
      <c r="B657" s="2" t="s">
        <v>1826</v>
      </c>
      <c r="C657" s="2" t="s">
        <v>168</v>
      </c>
      <c r="D657" s="2" t="s">
        <v>802</v>
      </c>
      <c r="E657" s="2" t="n">
        <v>470128</v>
      </c>
      <c r="F657" s="15" t="n">
        <v>43813</v>
      </c>
      <c r="G657" s="15" t="n">
        <v>43816</v>
      </c>
      <c r="H657" s="3" t="n">
        <v>3</v>
      </c>
      <c r="I657" s="3" t="n">
        <v>2</v>
      </c>
      <c r="J657" s="3" t="n">
        <v>72</v>
      </c>
      <c r="K657" s="3" t="n">
        <v>2</v>
      </c>
      <c r="L657" s="3" t="n">
        <v>2</v>
      </c>
      <c r="M657" s="3" t="n">
        <v>1</v>
      </c>
      <c r="N657" s="3" t="n">
        <v>2</v>
      </c>
      <c r="O657" s="3" t="n">
        <v>2</v>
      </c>
      <c r="P657" s="3" t="n">
        <v>2</v>
      </c>
      <c r="Q657" s="3" t="n">
        <v>2</v>
      </c>
      <c r="R657" s="3" t="n">
        <v>2</v>
      </c>
      <c r="S657" s="3" t="n">
        <v>2</v>
      </c>
      <c r="T657" s="4" t="n">
        <v>3</v>
      </c>
      <c r="U657" s="3" t="n">
        <v>4</v>
      </c>
      <c r="V657" s="3" t="n">
        <v>2.96</v>
      </c>
      <c r="W657" s="3" t="n">
        <v>1.08</v>
      </c>
      <c r="X657" s="3" t="n">
        <v>5.71</v>
      </c>
      <c r="Y657" s="3" t="n">
        <v>580</v>
      </c>
      <c r="Z657" s="3" t="n">
        <v>86</v>
      </c>
      <c r="AA657" s="3" t="n">
        <v>0.42</v>
      </c>
      <c r="AB657" s="3" t="n">
        <v>8.1</v>
      </c>
      <c r="AC657" s="3" t="n">
        <v>1</v>
      </c>
      <c r="AD657" s="3" t="n">
        <v>2</v>
      </c>
      <c r="AE657" s="3" t="n">
        <v>1</v>
      </c>
      <c r="AF657" s="3" t="n">
        <v>2</v>
      </c>
      <c r="AG657" s="3" t="n">
        <v>2</v>
      </c>
      <c r="AH657" s="3" t="n">
        <v>1</v>
      </c>
      <c r="AI657" s="3" t="n">
        <v>2</v>
      </c>
      <c r="AJ657" s="3" t="n">
        <v>1</v>
      </c>
      <c r="AK657" s="3" t="n">
        <v>2</v>
      </c>
      <c r="AL657" s="3" t="n">
        <v>1</v>
      </c>
      <c r="AM657" s="3" t="n">
        <v>1</v>
      </c>
      <c r="AN657" s="3" t="n">
        <v>2</v>
      </c>
      <c r="AO657" s="3" t="n">
        <v>2</v>
      </c>
      <c r="AP657" s="3" t="n">
        <v>3</v>
      </c>
      <c r="AQ657" s="3" t="n">
        <v>4</v>
      </c>
      <c r="AR657" s="3" t="n">
        <v>4</v>
      </c>
      <c r="AS657" s="3" t="n">
        <v>6</v>
      </c>
      <c r="AT657" s="3" t="n">
        <v>4</v>
      </c>
      <c r="AU657" s="3" t="n">
        <v>4</v>
      </c>
      <c r="AV657" s="3" t="n">
        <v>6</v>
      </c>
      <c r="AW657" s="3" t="n">
        <v>6</v>
      </c>
      <c r="AX657" s="3" t="n">
        <v>3</v>
      </c>
      <c r="AY657" s="3" t="n">
        <v>3</v>
      </c>
      <c r="AZ657" s="3" t="n">
        <v>1</v>
      </c>
      <c r="BA657" s="5" t="n">
        <v>11</v>
      </c>
      <c r="BB657" s="3" t="n">
        <v>2</v>
      </c>
      <c r="BC657" s="3" t="n">
        <v>1</v>
      </c>
      <c r="BD657" s="3" t="n">
        <v>6</v>
      </c>
      <c r="BE657" s="3" t="n">
        <v>3</v>
      </c>
      <c r="BF657" s="3" t="n">
        <v>5</v>
      </c>
      <c r="BG657" s="3" t="n">
        <v>3</v>
      </c>
      <c r="BH657" s="3" t="n">
        <v>4</v>
      </c>
      <c r="BI657" s="3" t="n">
        <v>1</v>
      </c>
      <c r="BJ657" s="3" t="n">
        <v>1</v>
      </c>
      <c r="BK657" s="6" t="s">
        <v>1827</v>
      </c>
    </row>
    <row r="658" customFormat="false" ht="15" hidden="false" customHeight="true" outlineLevel="0" collapsed="false">
      <c r="B658" s="2" t="s">
        <v>1828</v>
      </c>
      <c r="C658" s="2" t="s">
        <v>222</v>
      </c>
      <c r="D658" s="2" t="s">
        <v>94</v>
      </c>
      <c r="E658" s="2" t="n">
        <v>530127</v>
      </c>
      <c r="F658" s="15" t="n">
        <v>43813</v>
      </c>
      <c r="G658" s="15" t="n">
        <v>43817</v>
      </c>
      <c r="H658" s="3" t="n">
        <v>4</v>
      </c>
      <c r="I658" s="3" t="n">
        <v>2</v>
      </c>
      <c r="J658" s="3" t="n">
        <v>66</v>
      </c>
      <c r="K658" s="3" t="n">
        <v>1</v>
      </c>
      <c r="L658" s="3" t="n">
        <v>2</v>
      </c>
      <c r="M658" s="3" t="n">
        <v>1</v>
      </c>
      <c r="N658" s="3" t="n">
        <v>2</v>
      </c>
      <c r="O658" s="3" t="n">
        <v>2</v>
      </c>
      <c r="P658" s="3" t="n">
        <v>2</v>
      </c>
      <c r="Q658" s="3" t="n">
        <v>2</v>
      </c>
      <c r="R658" s="3" t="n">
        <v>2</v>
      </c>
      <c r="S658" s="3" t="n">
        <v>2</v>
      </c>
      <c r="T658" s="4" t="n">
        <v>3</v>
      </c>
      <c r="U658" s="3" t="n">
        <v>1</v>
      </c>
      <c r="V658" s="3" t="n">
        <v>4.68</v>
      </c>
      <c r="W658" s="3" t="n">
        <v>1.9</v>
      </c>
      <c r="X658" s="3" t="n">
        <v>6.81</v>
      </c>
      <c r="Y658" s="3" t="n">
        <v>674</v>
      </c>
      <c r="Z658" s="3" t="n">
        <v>138</v>
      </c>
      <c r="AA658" s="3" t="n">
        <v>0.59</v>
      </c>
      <c r="AB658" s="3" t="n">
        <v>9.8</v>
      </c>
      <c r="AC658" s="3" t="n">
        <v>2</v>
      </c>
      <c r="AD658" s="3" t="n">
        <v>2</v>
      </c>
      <c r="AE658" s="3" t="n">
        <v>1</v>
      </c>
      <c r="AF658" s="3" t="n">
        <v>1</v>
      </c>
      <c r="AG658" s="3" t="n">
        <v>2</v>
      </c>
      <c r="AH658" s="3" t="n">
        <v>2</v>
      </c>
      <c r="AI658" s="3" t="n">
        <v>2</v>
      </c>
      <c r="AJ658" s="3" t="n">
        <v>2</v>
      </c>
      <c r="AK658" s="3" t="n">
        <v>2</v>
      </c>
      <c r="AL658" s="3" t="n">
        <v>1</v>
      </c>
      <c r="AM658" s="3" t="n">
        <v>1</v>
      </c>
      <c r="AN658" s="3" t="n">
        <v>2</v>
      </c>
      <c r="AO658" s="3" t="n">
        <v>2</v>
      </c>
      <c r="AP658" s="3" t="n">
        <v>3</v>
      </c>
      <c r="AQ658" s="3" t="n">
        <v>4</v>
      </c>
      <c r="AR658" s="3" t="n">
        <v>4</v>
      </c>
      <c r="AS658" s="3" t="n">
        <v>6</v>
      </c>
      <c r="AT658" s="3" t="n">
        <v>4</v>
      </c>
      <c r="AU658" s="3" t="n">
        <v>4</v>
      </c>
      <c r="AV658" s="3" t="n">
        <v>6</v>
      </c>
      <c r="AW658" s="3" t="n">
        <v>6</v>
      </c>
      <c r="AX658" s="3" t="n">
        <v>3</v>
      </c>
      <c r="AY658" s="3" t="n">
        <v>3</v>
      </c>
      <c r="AZ658" s="3" t="n">
        <v>1</v>
      </c>
      <c r="BA658" s="5" t="n">
        <v>11</v>
      </c>
      <c r="BB658" s="3" t="n">
        <v>2</v>
      </c>
      <c r="BC658" s="3" t="n">
        <v>1</v>
      </c>
      <c r="BD658" s="3" t="n">
        <v>6</v>
      </c>
      <c r="BE658" s="3" t="n">
        <v>3</v>
      </c>
      <c r="BF658" s="3" t="n">
        <v>5</v>
      </c>
      <c r="BG658" s="3" t="n">
        <v>3</v>
      </c>
      <c r="BH658" s="3" t="n">
        <v>4</v>
      </c>
      <c r="BI658" s="3" t="n">
        <v>1</v>
      </c>
      <c r="BJ658" s="3" t="n">
        <v>1</v>
      </c>
      <c r="BK658" s="6" t="s">
        <v>1829</v>
      </c>
    </row>
    <row r="659" customFormat="false" ht="15" hidden="false" customHeight="true" outlineLevel="0" collapsed="false">
      <c r="B659" s="2" t="s">
        <v>258</v>
      </c>
      <c r="C659" s="2" t="s">
        <v>910</v>
      </c>
      <c r="D659" s="2" t="s">
        <v>1830</v>
      </c>
      <c r="E659" s="2" t="n">
        <v>190126</v>
      </c>
      <c r="F659" s="15" t="n">
        <v>43812</v>
      </c>
      <c r="G659" s="15" t="n">
        <v>43817</v>
      </c>
      <c r="H659" s="3" t="n">
        <v>5</v>
      </c>
      <c r="I659" s="3" t="n">
        <v>2</v>
      </c>
      <c r="J659" s="3" t="n">
        <v>69</v>
      </c>
      <c r="K659" s="3" t="n">
        <v>1</v>
      </c>
      <c r="L659" s="3" t="n">
        <v>2</v>
      </c>
      <c r="M659" s="3" t="n">
        <v>1</v>
      </c>
      <c r="N659" s="3" t="n">
        <v>2</v>
      </c>
      <c r="O659" s="3" t="n">
        <v>2</v>
      </c>
      <c r="P659" s="3" t="n">
        <v>1</v>
      </c>
      <c r="Q659" s="3" t="n">
        <v>1</v>
      </c>
      <c r="R659" s="3" t="n">
        <v>1</v>
      </c>
      <c r="S659" s="3" t="n">
        <v>1</v>
      </c>
      <c r="T659" s="4" t="n">
        <v>1</v>
      </c>
      <c r="U659" s="3" t="n">
        <v>1</v>
      </c>
      <c r="V659" s="3" t="n">
        <v>5.24</v>
      </c>
      <c r="W659" s="3" t="n">
        <v>3.7</v>
      </c>
      <c r="X659" s="3" t="n">
        <v>15.09</v>
      </c>
      <c r="Y659" s="3" t="n">
        <v>321</v>
      </c>
      <c r="Z659" s="3" t="n">
        <v>142</v>
      </c>
      <c r="AA659" s="3" t="n">
        <v>0.41</v>
      </c>
      <c r="AB659" s="3" t="n">
        <v>18.6</v>
      </c>
      <c r="AC659" s="3" t="n">
        <v>2</v>
      </c>
      <c r="AD659" s="3" t="n">
        <v>1</v>
      </c>
      <c r="AE659" s="3" t="n">
        <v>1</v>
      </c>
      <c r="AF659" s="3" t="n">
        <v>1</v>
      </c>
      <c r="AG659" s="3" t="n">
        <v>2</v>
      </c>
      <c r="AH659" s="3" t="n">
        <v>2</v>
      </c>
      <c r="AI659" s="3" t="n">
        <v>1</v>
      </c>
      <c r="AJ659" s="3" t="n">
        <v>1</v>
      </c>
      <c r="AK659" s="3" t="n">
        <v>1</v>
      </c>
      <c r="AL659" s="3" t="n">
        <v>2</v>
      </c>
      <c r="AM659" s="3" t="n">
        <v>1</v>
      </c>
      <c r="AN659" s="3" t="n">
        <v>2</v>
      </c>
      <c r="AO659" s="3" t="n">
        <v>2</v>
      </c>
      <c r="AP659" s="3" t="n">
        <v>3</v>
      </c>
      <c r="AQ659" s="3" t="n">
        <v>4</v>
      </c>
      <c r="AR659" s="3" t="n">
        <v>4</v>
      </c>
      <c r="AS659" s="3" t="n">
        <v>6</v>
      </c>
      <c r="AT659" s="3" t="n">
        <v>4</v>
      </c>
      <c r="AU659" s="3" t="n">
        <v>4</v>
      </c>
      <c r="AV659" s="3" t="n">
        <v>6</v>
      </c>
      <c r="AW659" s="3" t="n">
        <v>6</v>
      </c>
      <c r="AX659" s="3" t="n">
        <v>3</v>
      </c>
      <c r="AY659" s="3" t="n">
        <v>3</v>
      </c>
      <c r="AZ659" s="3" t="n">
        <v>1</v>
      </c>
      <c r="BA659" s="5" t="n">
        <v>5</v>
      </c>
      <c r="BB659" s="3" t="n">
        <v>2</v>
      </c>
      <c r="BC659" s="3" t="n">
        <v>1</v>
      </c>
      <c r="BD659" s="3" t="n">
        <v>6</v>
      </c>
      <c r="BE659" s="3" t="n">
        <v>3</v>
      </c>
      <c r="BF659" s="3" t="n">
        <v>5</v>
      </c>
      <c r="BG659" s="3" t="n">
        <v>3</v>
      </c>
      <c r="BH659" s="3" t="n">
        <v>4</v>
      </c>
      <c r="BI659" s="3" t="n">
        <v>1</v>
      </c>
      <c r="BJ659" s="3" t="n">
        <v>1</v>
      </c>
      <c r="BK659" s="6" t="s">
        <v>1831</v>
      </c>
    </row>
    <row r="660" customFormat="false" ht="15" hidden="false" customHeight="true" outlineLevel="0" collapsed="false">
      <c r="B660" s="2" t="s">
        <v>1832</v>
      </c>
      <c r="C660" s="2" t="s">
        <v>1233</v>
      </c>
      <c r="D660" s="2" t="s">
        <v>577</v>
      </c>
      <c r="E660" s="2" t="n">
        <v>190291</v>
      </c>
      <c r="F660" s="15" t="n">
        <v>43817</v>
      </c>
      <c r="G660" s="15" t="n">
        <v>43819</v>
      </c>
      <c r="H660" s="3" t="n">
        <v>2</v>
      </c>
      <c r="I660" s="3" t="n">
        <v>2</v>
      </c>
      <c r="J660" s="3" t="n">
        <v>75</v>
      </c>
      <c r="K660" s="3" t="n">
        <v>2</v>
      </c>
      <c r="L660" s="3" t="n">
        <v>2</v>
      </c>
      <c r="M660" s="3" t="n">
        <v>2</v>
      </c>
      <c r="N660" s="3" t="n">
        <v>2</v>
      </c>
      <c r="O660" s="3" t="n">
        <v>2</v>
      </c>
      <c r="P660" s="3" t="n">
        <v>2</v>
      </c>
      <c r="Q660" s="3" t="n">
        <v>2</v>
      </c>
      <c r="R660" s="3" t="n">
        <v>2</v>
      </c>
      <c r="S660" s="3" t="n">
        <v>2</v>
      </c>
      <c r="T660" s="4" t="n">
        <v>3</v>
      </c>
      <c r="U660" s="3" t="n">
        <v>1</v>
      </c>
      <c r="V660" s="3" t="n">
        <v>4.63</v>
      </c>
      <c r="W660" s="3" t="n">
        <v>1.17</v>
      </c>
      <c r="X660" s="3" t="n">
        <v>4.76</v>
      </c>
      <c r="Y660" s="3" t="n">
        <v>384</v>
      </c>
      <c r="Z660" s="3" t="n">
        <v>62</v>
      </c>
      <c r="AA660" s="3" t="n">
        <v>0.38</v>
      </c>
      <c r="AB660" s="3" t="n">
        <v>9.9</v>
      </c>
      <c r="AC660" s="3" t="n">
        <v>2</v>
      </c>
      <c r="AD660" s="3" t="n">
        <v>2</v>
      </c>
      <c r="AE660" s="3" t="n">
        <v>1</v>
      </c>
      <c r="AF660" s="3" t="n">
        <v>1</v>
      </c>
      <c r="AG660" s="3" t="n">
        <v>2</v>
      </c>
      <c r="AH660" s="3" t="n">
        <v>2</v>
      </c>
      <c r="AI660" s="3" t="n">
        <v>1</v>
      </c>
      <c r="AJ660" s="3" t="n">
        <v>1</v>
      </c>
      <c r="AK660" s="3" t="n">
        <v>2</v>
      </c>
      <c r="AL660" s="3" t="n">
        <v>2</v>
      </c>
      <c r="AM660" s="3" t="n">
        <v>1</v>
      </c>
      <c r="AN660" s="3" t="n">
        <v>2</v>
      </c>
      <c r="AO660" s="3" t="n">
        <v>2</v>
      </c>
      <c r="AP660" s="3" t="n">
        <v>3</v>
      </c>
      <c r="AQ660" s="3" t="n">
        <v>4</v>
      </c>
      <c r="AR660" s="3" t="n">
        <v>4</v>
      </c>
      <c r="AS660" s="3" t="n">
        <v>6</v>
      </c>
      <c r="AT660" s="3" t="n">
        <v>4</v>
      </c>
      <c r="AU660" s="3" t="n">
        <v>4</v>
      </c>
      <c r="AV660" s="3" t="n">
        <v>6</v>
      </c>
      <c r="AW660" s="3" t="n">
        <v>6</v>
      </c>
      <c r="AX660" s="3" t="n">
        <v>3</v>
      </c>
      <c r="AY660" s="3" t="n">
        <v>3</v>
      </c>
      <c r="AZ660" s="3" t="n">
        <v>1</v>
      </c>
      <c r="BA660" s="5" t="n">
        <v>11</v>
      </c>
      <c r="BB660" s="3" t="n">
        <v>2</v>
      </c>
      <c r="BC660" s="3" t="n">
        <v>1</v>
      </c>
      <c r="BD660" s="3" t="n">
        <v>6</v>
      </c>
      <c r="BE660" s="3" t="n">
        <v>3</v>
      </c>
      <c r="BF660" s="3" t="n">
        <v>5</v>
      </c>
      <c r="BG660" s="3" t="n">
        <v>3</v>
      </c>
      <c r="BH660" s="3" t="n">
        <v>4</v>
      </c>
      <c r="BI660" s="3" t="n">
        <v>1</v>
      </c>
      <c r="BJ660" s="3" t="n">
        <v>1</v>
      </c>
      <c r="BK660" s="6" t="s">
        <v>1833</v>
      </c>
    </row>
    <row r="661" customFormat="false" ht="15" hidden="false" customHeight="true" outlineLevel="0" collapsed="false">
      <c r="B661" s="2" t="s">
        <v>1834</v>
      </c>
      <c r="C661" s="2" t="s">
        <v>1835</v>
      </c>
      <c r="D661" s="2" t="s">
        <v>210</v>
      </c>
      <c r="E661" s="2" t="n">
        <v>190244</v>
      </c>
      <c r="F661" s="15" t="n">
        <v>43819</v>
      </c>
      <c r="G661" s="15" t="n">
        <v>43822</v>
      </c>
      <c r="H661" s="3" t="n">
        <v>3</v>
      </c>
      <c r="I661" s="3" t="n">
        <v>2</v>
      </c>
      <c r="J661" s="3" t="n">
        <v>40</v>
      </c>
      <c r="K661" s="3" t="n">
        <v>2</v>
      </c>
      <c r="L661" s="3" t="n">
        <v>2</v>
      </c>
      <c r="M661" s="3" t="n">
        <v>2</v>
      </c>
      <c r="N661" s="3" t="n">
        <v>2</v>
      </c>
      <c r="O661" s="3" t="n">
        <v>2</v>
      </c>
      <c r="P661" s="3" t="n">
        <v>2</v>
      </c>
      <c r="Q661" s="3" t="n">
        <v>2</v>
      </c>
      <c r="R661" s="3" t="n">
        <v>2</v>
      </c>
      <c r="S661" s="3" t="n">
        <v>2</v>
      </c>
      <c r="T661" s="4" t="n">
        <v>6</v>
      </c>
      <c r="U661" s="3" t="n">
        <v>1</v>
      </c>
      <c r="V661" s="3" t="n">
        <v>3.95</v>
      </c>
      <c r="W661" s="3" t="n">
        <v>2.01</v>
      </c>
      <c r="X661" s="3" t="n">
        <v>6.2</v>
      </c>
      <c r="Y661" s="3" t="n">
        <v>445</v>
      </c>
      <c r="AA661" s="3" t="n">
        <v>0.44</v>
      </c>
      <c r="AB661" s="3" t="n">
        <v>9.6</v>
      </c>
      <c r="AC661" s="3" t="n">
        <v>1</v>
      </c>
      <c r="AD661" s="3" t="n">
        <v>2</v>
      </c>
      <c r="AE661" s="3" t="n">
        <v>1</v>
      </c>
      <c r="AF661" s="3" t="n">
        <v>1</v>
      </c>
      <c r="AG661" s="3" t="n">
        <v>1</v>
      </c>
      <c r="AH661" s="3" t="n">
        <v>2</v>
      </c>
      <c r="AI661" s="3" t="n">
        <v>1</v>
      </c>
      <c r="AJ661" s="3" t="n">
        <v>1</v>
      </c>
      <c r="AK661" s="3" t="n">
        <v>2</v>
      </c>
      <c r="AL661" s="3" t="n">
        <v>2</v>
      </c>
      <c r="AM661" s="3" t="n">
        <v>1</v>
      </c>
      <c r="AN661" s="3" t="n">
        <v>2</v>
      </c>
      <c r="AO661" s="3" t="n">
        <v>2</v>
      </c>
      <c r="AP661" s="3" t="n">
        <v>3</v>
      </c>
      <c r="AQ661" s="3" t="n">
        <v>4</v>
      </c>
      <c r="AR661" s="3" t="n">
        <v>4</v>
      </c>
      <c r="AS661" s="3" t="n">
        <v>6</v>
      </c>
      <c r="AT661" s="3" t="n">
        <v>4</v>
      </c>
      <c r="AU661" s="3" t="n">
        <v>4</v>
      </c>
      <c r="AV661" s="3" t="n">
        <v>6</v>
      </c>
      <c r="AW661" s="3" t="n">
        <v>6</v>
      </c>
      <c r="AX661" s="3" t="n">
        <v>3</v>
      </c>
      <c r="AY661" s="3" t="n">
        <v>3</v>
      </c>
      <c r="AZ661" s="3" t="n">
        <v>1</v>
      </c>
      <c r="BA661" s="5" t="n">
        <v>6</v>
      </c>
      <c r="BB661" s="3" t="n">
        <v>2</v>
      </c>
      <c r="BC661" s="3" t="n">
        <v>1</v>
      </c>
      <c r="BD661" s="3" t="n">
        <v>6</v>
      </c>
      <c r="BE661" s="3" t="n">
        <v>3</v>
      </c>
      <c r="BF661" s="3" t="n">
        <v>5</v>
      </c>
      <c r="BG661" s="3" t="n">
        <v>3</v>
      </c>
      <c r="BH661" s="3" t="n">
        <v>4</v>
      </c>
      <c r="BI661" s="3" t="n">
        <v>1</v>
      </c>
      <c r="BJ661" s="3" t="n">
        <v>1</v>
      </c>
      <c r="BK661" s="6" t="s">
        <v>1836</v>
      </c>
    </row>
    <row r="662" customFormat="false" ht="15" hidden="false" customHeight="true" outlineLevel="0" collapsed="false">
      <c r="B662" s="2" t="s">
        <v>1837</v>
      </c>
      <c r="C662" s="2" t="s">
        <v>1838</v>
      </c>
      <c r="D662" s="2" t="s">
        <v>222</v>
      </c>
      <c r="E662" s="2" t="n">
        <v>190161</v>
      </c>
      <c r="F662" s="15" t="n">
        <v>43815</v>
      </c>
      <c r="G662" s="15" t="n">
        <v>43822</v>
      </c>
      <c r="H662" s="3" t="n">
        <v>7</v>
      </c>
      <c r="I662" s="3" t="n">
        <v>2</v>
      </c>
      <c r="J662" s="3" t="n">
        <v>83</v>
      </c>
      <c r="K662" s="3" t="n">
        <v>1</v>
      </c>
      <c r="L662" s="3" t="n">
        <v>1</v>
      </c>
      <c r="M662" s="3" t="n">
        <v>2</v>
      </c>
      <c r="N662" s="3" t="n">
        <v>2</v>
      </c>
      <c r="O662" s="3" t="n">
        <v>2</v>
      </c>
      <c r="P662" s="3" t="n">
        <v>2</v>
      </c>
      <c r="Q662" s="3" t="n">
        <v>2</v>
      </c>
      <c r="R662" s="3" t="n">
        <v>2</v>
      </c>
      <c r="S662" s="3" t="n">
        <v>2</v>
      </c>
      <c r="T662" s="4" t="n">
        <v>2</v>
      </c>
      <c r="U662" s="3" t="n">
        <v>2</v>
      </c>
      <c r="V662" s="3" t="n">
        <v>3.58</v>
      </c>
      <c r="W662" s="3" t="n">
        <v>0.69</v>
      </c>
      <c r="X662" s="3" t="n">
        <v>6.35</v>
      </c>
      <c r="Y662" s="3" t="n">
        <v>316</v>
      </c>
      <c r="Z662" s="3" t="n">
        <v>77</v>
      </c>
      <c r="AA662" s="3" t="n">
        <v>0.41</v>
      </c>
      <c r="AB662" s="3" t="n">
        <v>11</v>
      </c>
      <c r="AC662" s="3" t="n">
        <v>1</v>
      </c>
      <c r="AD662" s="3" t="n">
        <v>2</v>
      </c>
      <c r="AE662" s="3" t="n">
        <v>1</v>
      </c>
      <c r="AF662" s="3" t="n">
        <v>1</v>
      </c>
      <c r="AG662" s="3" t="n">
        <v>2</v>
      </c>
      <c r="AH662" s="3" t="n">
        <v>2</v>
      </c>
      <c r="AI662" s="3" t="n">
        <v>1</v>
      </c>
      <c r="AJ662" s="3" t="n">
        <v>1</v>
      </c>
      <c r="AK662" s="3" t="n">
        <v>2</v>
      </c>
      <c r="AL662" s="3" t="n">
        <v>2</v>
      </c>
      <c r="AM662" s="3" t="n">
        <v>2</v>
      </c>
      <c r="AN662" s="3" t="n">
        <v>2</v>
      </c>
      <c r="AO662" s="3" t="n">
        <v>2</v>
      </c>
      <c r="AP662" s="3" t="n">
        <v>3</v>
      </c>
      <c r="AQ662" s="3" t="n">
        <v>4</v>
      </c>
      <c r="AR662" s="3" t="n">
        <v>4</v>
      </c>
      <c r="AS662" s="3" t="n">
        <v>6</v>
      </c>
      <c r="AT662" s="3" t="n">
        <v>4</v>
      </c>
      <c r="AU662" s="3" t="n">
        <v>4</v>
      </c>
      <c r="AV662" s="3" t="n">
        <v>6</v>
      </c>
      <c r="AW662" s="3" t="n">
        <v>6</v>
      </c>
      <c r="AX662" s="3" t="n">
        <v>3</v>
      </c>
      <c r="AY662" s="3" t="n">
        <v>3</v>
      </c>
      <c r="AZ662" s="3" t="n">
        <v>5</v>
      </c>
      <c r="BA662" s="5" t="n">
        <v>1</v>
      </c>
      <c r="BB662" s="3" t="n">
        <v>1</v>
      </c>
      <c r="BC662" s="3" t="n">
        <v>1</v>
      </c>
      <c r="BD662" s="3" t="n">
        <v>4</v>
      </c>
      <c r="BE662" s="3" t="n">
        <v>1</v>
      </c>
      <c r="BF662" s="3" t="n">
        <v>2</v>
      </c>
      <c r="BG662" s="3" t="n">
        <v>1</v>
      </c>
      <c r="BH662" s="3" t="n">
        <v>4</v>
      </c>
      <c r="BI662" s="3" t="n">
        <v>1</v>
      </c>
      <c r="BJ662" s="3" t="n">
        <v>1</v>
      </c>
      <c r="BK662" s="6" t="s">
        <v>1839</v>
      </c>
    </row>
    <row r="663" customFormat="false" ht="15" hidden="false" customHeight="true" outlineLevel="0" collapsed="false">
      <c r="B663" s="2" t="s">
        <v>1840</v>
      </c>
      <c r="C663" s="2" t="s">
        <v>1841</v>
      </c>
      <c r="D663" s="2" t="s">
        <v>127</v>
      </c>
      <c r="E663" s="2" t="n">
        <v>189972</v>
      </c>
      <c r="F663" s="15" t="n">
        <v>43814</v>
      </c>
      <c r="G663" s="15" t="n">
        <v>43822</v>
      </c>
      <c r="H663" s="3" t="n">
        <v>8</v>
      </c>
      <c r="I663" s="3" t="n">
        <v>2</v>
      </c>
      <c r="J663" s="3" t="n">
        <v>67</v>
      </c>
      <c r="K663" s="3" t="n">
        <v>2</v>
      </c>
      <c r="L663" s="3" t="n">
        <v>2</v>
      </c>
      <c r="M663" s="3" t="n">
        <v>1</v>
      </c>
      <c r="N663" s="3" t="n">
        <v>2</v>
      </c>
      <c r="O663" s="3" t="n">
        <v>2</v>
      </c>
      <c r="P663" s="3" t="n">
        <v>2</v>
      </c>
      <c r="Q663" s="3" t="n">
        <v>2</v>
      </c>
      <c r="R663" s="3" t="n">
        <v>2</v>
      </c>
      <c r="S663" s="3" t="n">
        <v>2</v>
      </c>
      <c r="T663" s="4" t="n">
        <v>3</v>
      </c>
      <c r="U663" s="3" t="n">
        <v>1</v>
      </c>
      <c r="V663" s="3" t="n">
        <v>3.11</v>
      </c>
      <c r="W663" s="3" t="n">
        <v>0.49</v>
      </c>
      <c r="X663" s="3" t="n">
        <v>5.93</v>
      </c>
      <c r="Y663" s="3" t="n">
        <v>723</v>
      </c>
      <c r="Z663" s="3" t="n">
        <v>128</v>
      </c>
      <c r="AA663" s="3" t="n">
        <v>0.5</v>
      </c>
      <c r="AB663" s="3" t="n">
        <v>10</v>
      </c>
      <c r="AC663" s="3" t="n">
        <v>2</v>
      </c>
      <c r="AD663" s="3" t="n">
        <v>2</v>
      </c>
      <c r="AE663" s="3" t="n">
        <v>1</v>
      </c>
      <c r="AF663" s="3" t="n">
        <v>1</v>
      </c>
      <c r="AG663" s="3" t="n">
        <v>2</v>
      </c>
      <c r="AH663" s="3" t="n">
        <v>2</v>
      </c>
      <c r="AI663" s="3" t="n">
        <v>1</v>
      </c>
      <c r="AJ663" s="3" t="n">
        <v>2</v>
      </c>
      <c r="AK663" s="3" t="n">
        <v>2</v>
      </c>
      <c r="AL663" s="3" t="n">
        <v>1</v>
      </c>
      <c r="AM663" s="3" t="n">
        <v>1</v>
      </c>
      <c r="AN663" s="3" t="n">
        <v>2</v>
      </c>
      <c r="AO663" s="3" t="n">
        <v>2</v>
      </c>
      <c r="AP663" s="3" t="n">
        <v>3</v>
      </c>
      <c r="AQ663" s="3" t="n">
        <v>4</v>
      </c>
      <c r="AR663" s="3" t="n">
        <v>4</v>
      </c>
      <c r="AS663" s="3" t="n">
        <v>6</v>
      </c>
      <c r="AT663" s="3" t="n">
        <v>4</v>
      </c>
      <c r="AU663" s="3" t="n">
        <v>4</v>
      </c>
      <c r="AV663" s="3" t="n">
        <v>6</v>
      </c>
      <c r="AW663" s="3" t="n">
        <v>6</v>
      </c>
      <c r="AX663" s="3" t="n">
        <v>3</v>
      </c>
      <c r="AY663" s="3" t="n">
        <v>3</v>
      </c>
      <c r="AZ663" s="3" t="n">
        <v>1</v>
      </c>
      <c r="BA663" s="5" t="n">
        <v>11</v>
      </c>
      <c r="BB663" s="3" t="n">
        <v>2</v>
      </c>
      <c r="BC663" s="3" t="n">
        <v>1</v>
      </c>
      <c r="BD663" s="3" t="n">
        <v>6</v>
      </c>
      <c r="BE663" s="3" t="n">
        <v>3</v>
      </c>
      <c r="BF663" s="3" t="n">
        <v>5</v>
      </c>
      <c r="BG663" s="3" t="n">
        <v>3</v>
      </c>
      <c r="BH663" s="3" t="n">
        <v>4</v>
      </c>
      <c r="BI663" s="3" t="n">
        <v>1</v>
      </c>
      <c r="BJ663" s="3" t="n">
        <v>1</v>
      </c>
      <c r="BK663" s="6" t="s">
        <v>1842</v>
      </c>
    </row>
    <row r="664" customFormat="false" ht="15" hidden="false" customHeight="true" outlineLevel="0" collapsed="false">
      <c r="B664" s="2" t="s">
        <v>1671</v>
      </c>
      <c r="C664" s="2" t="s">
        <v>1843</v>
      </c>
      <c r="D664" s="2" t="s">
        <v>115</v>
      </c>
      <c r="E664" s="2" t="n">
        <v>190273</v>
      </c>
      <c r="F664" s="15" t="n">
        <v>43816</v>
      </c>
      <c r="G664" s="15" t="n">
        <v>43823</v>
      </c>
      <c r="H664" s="3" t="n">
        <v>7</v>
      </c>
      <c r="I664" s="3" t="n">
        <v>2</v>
      </c>
      <c r="J664" s="3" t="n">
        <v>72</v>
      </c>
      <c r="K664" s="3" t="n">
        <v>1</v>
      </c>
      <c r="L664" s="3" t="n">
        <v>2</v>
      </c>
      <c r="M664" s="3" t="n">
        <v>1</v>
      </c>
      <c r="N664" s="3" t="n">
        <v>2</v>
      </c>
      <c r="O664" s="3" t="n">
        <v>2</v>
      </c>
      <c r="P664" s="3" t="n">
        <v>2</v>
      </c>
      <c r="Q664" s="3" t="n">
        <v>2</v>
      </c>
      <c r="R664" s="3" t="n">
        <v>2</v>
      </c>
      <c r="S664" s="3" t="n">
        <v>1</v>
      </c>
      <c r="T664" s="4" t="n">
        <v>1</v>
      </c>
      <c r="U664" s="3" t="n">
        <v>1</v>
      </c>
      <c r="V664" s="3" t="n">
        <v>5.33</v>
      </c>
      <c r="W664" s="3" t="n">
        <v>2.545</v>
      </c>
      <c r="X664" s="3" t="n">
        <v>6.13</v>
      </c>
      <c r="Y664" s="3" t="n">
        <v>421</v>
      </c>
      <c r="Z664" s="3" t="n">
        <v>86</v>
      </c>
      <c r="AA664" s="3" t="n">
        <v>0.52</v>
      </c>
      <c r="AB664" s="3" t="n">
        <v>9.2</v>
      </c>
      <c r="AC664" s="3" t="n">
        <v>1</v>
      </c>
      <c r="AD664" s="3" t="n">
        <v>1</v>
      </c>
      <c r="AE664" s="3" t="n">
        <v>1</v>
      </c>
      <c r="AF664" s="3" t="n">
        <v>1</v>
      </c>
      <c r="AG664" s="3" t="n">
        <v>2</v>
      </c>
      <c r="AH664" s="3" t="n">
        <v>2</v>
      </c>
      <c r="AI664" s="3" t="n">
        <v>1</v>
      </c>
      <c r="AJ664" s="3" t="n">
        <v>1</v>
      </c>
      <c r="AK664" s="3" t="n">
        <v>2</v>
      </c>
      <c r="AL664" s="3" t="n">
        <v>2</v>
      </c>
      <c r="AM664" s="3" t="n">
        <v>2</v>
      </c>
      <c r="AN664" s="3" t="n">
        <v>2</v>
      </c>
      <c r="AO664" s="3" t="n">
        <v>2</v>
      </c>
      <c r="AP664" s="3" t="n">
        <v>1</v>
      </c>
      <c r="AQ664" s="3" t="n">
        <v>3</v>
      </c>
      <c r="AR664" s="3" t="n">
        <v>5</v>
      </c>
      <c r="AS664" s="3" t="n">
        <v>5</v>
      </c>
      <c r="AT664" s="3" t="n">
        <v>1</v>
      </c>
      <c r="AU664" s="3" t="n">
        <v>1</v>
      </c>
      <c r="AV664" s="3" t="n">
        <v>1</v>
      </c>
      <c r="AW664" s="3" t="n">
        <v>1</v>
      </c>
      <c r="AX664" s="3" t="n">
        <v>2</v>
      </c>
      <c r="AY664" s="3" t="n">
        <v>2</v>
      </c>
      <c r="AZ664" s="3" t="n">
        <v>1</v>
      </c>
      <c r="BA664" s="5" t="n">
        <v>5</v>
      </c>
      <c r="BB664" s="3" t="n">
        <v>2</v>
      </c>
      <c r="BC664" s="3" t="n">
        <v>1</v>
      </c>
      <c r="BD664" s="3" t="n">
        <v>6</v>
      </c>
      <c r="BE664" s="3" t="n">
        <v>3</v>
      </c>
      <c r="BF664" s="3" t="n">
        <v>5</v>
      </c>
      <c r="BG664" s="3" t="n">
        <v>3</v>
      </c>
      <c r="BH664" s="3" t="n">
        <v>4</v>
      </c>
      <c r="BI664" s="3" t="n">
        <v>1</v>
      </c>
      <c r="BJ664" s="3" t="n">
        <v>1</v>
      </c>
      <c r="BK664" s="6" t="s">
        <v>1844</v>
      </c>
    </row>
    <row r="665" customFormat="false" ht="15" hidden="false" customHeight="true" outlineLevel="0" collapsed="false">
      <c r="B665" s="2" t="s">
        <v>440</v>
      </c>
      <c r="C665" s="2" t="s">
        <v>153</v>
      </c>
      <c r="D665" s="2" t="s">
        <v>1845</v>
      </c>
      <c r="E665" s="2" t="n">
        <v>190184</v>
      </c>
      <c r="F665" s="15" t="n">
        <v>43816</v>
      </c>
      <c r="G665" s="15" t="n">
        <v>43823</v>
      </c>
      <c r="H665" s="3" t="n">
        <v>7</v>
      </c>
      <c r="I665" s="3" t="n">
        <v>2</v>
      </c>
      <c r="J665" s="3" t="n">
        <v>47</v>
      </c>
      <c r="K665" s="3" t="n">
        <v>2</v>
      </c>
      <c r="L665" s="3" t="n">
        <v>1</v>
      </c>
      <c r="M665" s="3" t="n">
        <v>1</v>
      </c>
      <c r="N665" s="3" t="n">
        <v>2</v>
      </c>
      <c r="O665" s="3" t="n">
        <v>2</v>
      </c>
      <c r="P665" s="3" t="n">
        <v>2</v>
      </c>
      <c r="Q665" s="3" t="n">
        <v>2</v>
      </c>
      <c r="R665" s="3" t="n">
        <v>2</v>
      </c>
      <c r="S665" s="3" t="n">
        <v>2</v>
      </c>
      <c r="T665" s="4" t="n">
        <v>2</v>
      </c>
      <c r="U665" s="3" t="n">
        <v>2</v>
      </c>
      <c r="X665" s="3" t="n">
        <v>6.24</v>
      </c>
      <c r="Y665" s="3" t="n">
        <v>508</v>
      </c>
      <c r="Z665" s="3" t="n">
        <v>99</v>
      </c>
      <c r="AA665" s="3" t="n">
        <v>0.51</v>
      </c>
      <c r="AB665" s="3" t="n">
        <v>9.6</v>
      </c>
      <c r="AC665" s="3" t="n">
        <v>1</v>
      </c>
      <c r="AD665" s="3" t="n">
        <v>2</v>
      </c>
      <c r="AE665" s="3" t="n">
        <v>1</v>
      </c>
      <c r="AF665" s="3" t="n">
        <v>1</v>
      </c>
      <c r="AG665" s="3" t="n">
        <v>2</v>
      </c>
      <c r="AH665" s="3" t="n">
        <v>1</v>
      </c>
      <c r="AI665" s="3" t="n">
        <v>1</v>
      </c>
      <c r="AJ665" s="3" t="n">
        <v>1</v>
      </c>
      <c r="AK665" s="3" t="n">
        <v>2</v>
      </c>
      <c r="AL665" s="3" t="n">
        <v>2</v>
      </c>
      <c r="AM665" s="3" t="n">
        <v>2</v>
      </c>
      <c r="AN665" s="3" t="n">
        <v>2</v>
      </c>
      <c r="AO665" s="3" t="n">
        <v>2</v>
      </c>
      <c r="AP665" s="3" t="n">
        <v>3</v>
      </c>
      <c r="AQ665" s="3" t="n">
        <v>4</v>
      </c>
      <c r="AR665" s="3" t="n">
        <v>4</v>
      </c>
      <c r="AS665" s="3" t="n">
        <v>6</v>
      </c>
      <c r="AT665" s="3" t="n">
        <v>4</v>
      </c>
      <c r="AU665" s="3" t="n">
        <v>4</v>
      </c>
      <c r="AV665" s="3" t="n">
        <v>6</v>
      </c>
      <c r="AW665" s="3" t="n">
        <v>6</v>
      </c>
      <c r="AX665" s="3" t="n">
        <v>3</v>
      </c>
      <c r="AY665" s="3" t="n">
        <v>3</v>
      </c>
      <c r="AZ665" s="3" t="n">
        <v>1</v>
      </c>
      <c r="BA665" s="5" t="n">
        <v>1</v>
      </c>
      <c r="BB665" s="3" t="n">
        <v>1</v>
      </c>
      <c r="BC665" s="3" t="n">
        <v>1</v>
      </c>
      <c r="BD665" s="3" t="n">
        <v>4</v>
      </c>
      <c r="BE665" s="3" t="n">
        <v>1</v>
      </c>
      <c r="BF665" s="3" t="n">
        <v>2</v>
      </c>
      <c r="BG665" s="3" t="n">
        <v>1</v>
      </c>
      <c r="BH665" s="3" t="n">
        <v>4</v>
      </c>
      <c r="BI665" s="3" t="n">
        <v>1</v>
      </c>
      <c r="BJ665" s="3" t="n">
        <v>1</v>
      </c>
      <c r="BK665" s="6" t="s">
        <v>1846</v>
      </c>
    </row>
    <row r="666" customFormat="false" ht="15" hidden="false" customHeight="true" outlineLevel="0" collapsed="false">
      <c r="B666" s="2" t="s">
        <v>1847</v>
      </c>
      <c r="C666" s="2" t="s">
        <v>1848</v>
      </c>
      <c r="D666" s="2" t="s">
        <v>1849</v>
      </c>
      <c r="E666" s="2" t="n">
        <v>190171</v>
      </c>
      <c r="F666" s="15" t="n">
        <v>43816</v>
      </c>
      <c r="G666" s="15" t="n">
        <v>43823</v>
      </c>
      <c r="H666" s="3" t="n">
        <v>7</v>
      </c>
      <c r="I666" s="3" t="n">
        <v>2</v>
      </c>
      <c r="J666" s="3" t="n">
        <v>82</v>
      </c>
      <c r="K666" s="3" t="n">
        <v>1</v>
      </c>
      <c r="L666" s="3" t="n">
        <v>2</v>
      </c>
      <c r="M666" s="3" t="n">
        <v>1</v>
      </c>
      <c r="N666" s="3" t="n">
        <v>2</v>
      </c>
      <c r="O666" s="3" t="n">
        <v>2</v>
      </c>
      <c r="P666" s="3" t="n">
        <v>2</v>
      </c>
      <c r="Q666" s="3" t="n">
        <v>2</v>
      </c>
      <c r="R666" s="3" t="n">
        <v>2</v>
      </c>
      <c r="S666" s="3" t="n">
        <v>2</v>
      </c>
      <c r="T666" s="4" t="n">
        <v>2</v>
      </c>
      <c r="U666" s="3" t="n">
        <v>4</v>
      </c>
      <c r="V666" s="3" t="n">
        <v>3.66</v>
      </c>
      <c r="W666" s="3" t="n">
        <v>0.55</v>
      </c>
      <c r="X666" s="3" t="n">
        <v>3.81</v>
      </c>
      <c r="Y666" s="3" t="n">
        <v>338</v>
      </c>
      <c r="Z666" s="3" t="n">
        <v>73</v>
      </c>
      <c r="AA666" s="3" t="n">
        <v>0.4</v>
      </c>
      <c r="AB666" s="3" t="n">
        <v>8.6</v>
      </c>
      <c r="AC666" s="3" t="n">
        <v>1</v>
      </c>
      <c r="AD666" s="3" t="n">
        <v>1</v>
      </c>
      <c r="AE666" s="3" t="n">
        <v>1</v>
      </c>
      <c r="AF666" s="3" t="n">
        <v>1</v>
      </c>
      <c r="AG666" s="3" t="n">
        <v>1</v>
      </c>
      <c r="AH666" s="3" t="n">
        <v>2</v>
      </c>
      <c r="AI666" s="3" t="n">
        <v>1</v>
      </c>
      <c r="AJ666" s="3" t="n">
        <v>1</v>
      </c>
      <c r="AK666" s="3" t="n">
        <v>2</v>
      </c>
      <c r="AL666" s="3" t="n">
        <v>2</v>
      </c>
      <c r="AM666" s="3" t="n">
        <v>1</v>
      </c>
      <c r="AN666" s="3" t="n">
        <v>2</v>
      </c>
      <c r="AO666" s="3" t="n">
        <v>2</v>
      </c>
      <c r="AP666" s="3" t="n">
        <v>3</v>
      </c>
      <c r="AQ666" s="3" t="n">
        <v>4</v>
      </c>
      <c r="AR666" s="3" t="n">
        <v>4</v>
      </c>
      <c r="AS666" s="3" t="n">
        <v>6</v>
      </c>
      <c r="AT666" s="3" t="n">
        <v>4</v>
      </c>
      <c r="AU666" s="3" t="n">
        <v>4</v>
      </c>
      <c r="AV666" s="3" t="n">
        <v>6</v>
      </c>
      <c r="AW666" s="3" t="n">
        <v>6</v>
      </c>
      <c r="AX666" s="3" t="n">
        <v>3</v>
      </c>
      <c r="AY666" s="3" t="n">
        <v>3</v>
      </c>
      <c r="AZ666" s="3" t="n">
        <v>1</v>
      </c>
      <c r="BA666" s="5" t="n">
        <v>1</v>
      </c>
      <c r="BB666" s="3" t="n">
        <v>1</v>
      </c>
      <c r="BC666" s="3" t="n">
        <v>1</v>
      </c>
      <c r="BD666" s="3" t="n">
        <v>2</v>
      </c>
      <c r="BE666" s="3" t="n">
        <v>3</v>
      </c>
      <c r="BF666" s="3" t="n">
        <v>5</v>
      </c>
      <c r="BG666" s="3" t="n">
        <v>3</v>
      </c>
      <c r="BH666" s="3" t="n">
        <v>4</v>
      </c>
      <c r="BI666" s="3" t="n">
        <v>1</v>
      </c>
      <c r="BJ666" s="3" t="n">
        <v>1</v>
      </c>
      <c r="BK666" s="6" t="s">
        <v>1850</v>
      </c>
    </row>
    <row r="667" customFormat="false" ht="15" hidden="false" customHeight="true" outlineLevel="0" collapsed="false">
      <c r="A667" s="42"/>
      <c r="B667" s="2" t="s">
        <v>857</v>
      </c>
      <c r="C667" s="2" t="s">
        <v>324</v>
      </c>
      <c r="D667" s="2" t="s">
        <v>1552</v>
      </c>
      <c r="E667" s="2" t="n">
        <v>190282</v>
      </c>
      <c r="F667" s="15" t="n">
        <v>43819</v>
      </c>
      <c r="G667" s="15" t="n">
        <v>43823</v>
      </c>
      <c r="H667" s="3" t="n">
        <v>4</v>
      </c>
      <c r="I667" s="3" t="n">
        <v>1</v>
      </c>
      <c r="J667" s="3" t="n">
        <v>79</v>
      </c>
      <c r="K667" s="3" t="n">
        <v>2</v>
      </c>
      <c r="L667" s="3" t="n">
        <v>2</v>
      </c>
      <c r="M667" s="3" t="n">
        <v>1</v>
      </c>
      <c r="N667" s="3" t="n">
        <v>2</v>
      </c>
      <c r="O667" s="3" t="n">
        <v>2</v>
      </c>
      <c r="P667" s="3" t="n">
        <v>2</v>
      </c>
      <c r="Q667" s="3" t="n">
        <v>2</v>
      </c>
      <c r="R667" s="3" t="n">
        <v>2</v>
      </c>
      <c r="S667" s="3" t="n">
        <v>1</v>
      </c>
      <c r="T667" s="4" t="n">
        <v>1</v>
      </c>
      <c r="U667" s="3" t="n">
        <v>1</v>
      </c>
      <c r="AC667" s="3" t="n">
        <v>1</v>
      </c>
      <c r="AD667" s="3" t="n">
        <v>1</v>
      </c>
      <c r="AE667" s="3" t="n">
        <v>1</v>
      </c>
      <c r="AF667" s="3" t="n">
        <v>1</v>
      </c>
      <c r="AG667" s="3" t="n">
        <v>2</v>
      </c>
      <c r="AH667" s="3" t="n">
        <v>1</v>
      </c>
      <c r="AI667" s="3" t="n">
        <v>1</v>
      </c>
      <c r="AJ667" s="3" t="n">
        <v>1</v>
      </c>
      <c r="AK667" s="3" t="n">
        <v>2</v>
      </c>
      <c r="AL667" s="3" t="n">
        <v>2</v>
      </c>
      <c r="AM667" s="3" t="n">
        <v>2</v>
      </c>
      <c r="AN667" s="3" t="n">
        <v>1</v>
      </c>
      <c r="AO667" s="3" t="n">
        <v>1</v>
      </c>
      <c r="AP667" s="3" t="n">
        <v>3</v>
      </c>
      <c r="AQ667" s="3" t="n">
        <v>4</v>
      </c>
      <c r="AR667" s="3" t="n">
        <v>4</v>
      </c>
      <c r="AS667" s="3" t="n">
        <v>6</v>
      </c>
      <c r="AT667" s="3" t="n">
        <v>4</v>
      </c>
      <c r="AU667" s="3" t="n">
        <v>4</v>
      </c>
      <c r="AV667" s="3" t="n">
        <v>6</v>
      </c>
      <c r="AW667" s="3" t="n">
        <v>6</v>
      </c>
      <c r="AX667" s="3" t="n">
        <v>3</v>
      </c>
      <c r="AY667" s="3" t="n">
        <v>3</v>
      </c>
      <c r="AZ667" s="3" t="n">
        <v>1</v>
      </c>
      <c r="BA667" s="5" t="n">
        <v>5</v>
      </c>
      <c r="BB667" s="3" t="n">
        <v>2</v>
      </c>
      <c r="BC667" s="3" t="n">
        <v>1</v>
      </c>
      <c r="BD667" s="3" t="n">
        <v>6</v>
      </c>
      <c r="BE667" s="3" t="n">
        <v>3</v>
      </c>
      <c r="BF667" s="3" t="n">
        <v>5</v>
      </c>
      <c r="BG667" s="3" t="n">
        <v>3</v>
      </c>
      <c r="BH667" s="3" t="n">
        <v>4</v>
      </c>
      <c r="BI667" s="3" t="n">
        <v>1</v>
      </c>
      <c r="BJ667" s="3" t="n">
        <v>1</v>
      </c>
      <c r="BK667" s="6" t="s">
        <v>1851</v>
      </c>
    </row>
    <row r="668" customFormat="false" ht="15" hidden="false" customHeight="true" outlineLevel="0" collapsed="false">
      <c r="B668" s="2" t="s">
        <v>1852</v>
      </c>
      <c r="C668" s="2" t="s">
        <v>1853</v>
      </c>
      <c r="D668" s="2" t="s">
        <v>197</v>
      </c>
      <c r="E668" s="2" t="n">
        <v>190456</v>
      </c>
      <c r="F668" s="15" t="n">
        <v>43823</v>
      </c>
      <c r="G668" s="15" t="n">
        <v>43826</v>
      </c>
      <c r="H668" s="3" t="n">
        <v>3</v>
      </c>
      <c r="I668" s="3" t="n">
        <v>1</v>
      </c>
      <c r="J668" s="3" t="n">
        <v>68</v>
      </c>
      <c r="K668" s="3" t="n">
        <v>1</v>
      </c>
      <c r="L668" s="3" t="n">
        <v>2</v>
      </c>
      <c r="M668" s="3" t="n">
        <v>1</v>
      </c>
      <c r="N668" s="3" t="n">
        <v>2</v>
      </c>
      <c r="O668" s="3" t="n">
        <v>1</v>
      </c>
      <c r="P668" s="3" t="n">
        <v>1</v>
      </c>
      <c r="Q668" s="3" t="n">
        <v>1</v>
      </c>
      <c r="R668" s="3" t="n">
        <v>2</v>
      </c>
      <c r="S668" s="3" t="n">
        <v>1</v>
      </c>
      <c r="T668" s="4" t="n">
        <v>3</v>
      </c>
      <c r="U668" s="3" t="n">
        <v>1</v>
      </c>
      <c r="V668" s="3" t="n">
        <v>3.72</v>
      </c>
      <c r="W668" s="3" t="n">
        <v>1.56</v>
      </c>
      <c r="X668" s="3" t="n">
        <v>6.78</v>
      </c>
      <c r="Y668" s="3" t="n">
        <v>479</v>
      </c>
      <c r="Z668" s="3" t="n">
        <v>73</v>
      </c>
      <c r="AB668" s="3" t="n">
        <v>6.6</v>
      </c>
      <c r="AC668" s="3" t="n">
        <v>1</v>
      </c>
      <c r="AD668" s="3" t="n">
        <v>1</v>
      </c>
      <c r="AE668" s="3" t="n">
        <v>1</v>
      </c>
      <c r="AF668" s="3" t="n">
        <v>1</v>
      </c>
      <c r="AG668" s="3" t="n">
        <v>2</v>
      </c>
      <c r="AH668" s="3" t="n">
        <v>1</v>
      </c>
      <c r="AI668" s="3" t="n">
        <v>1</v>
      </c>
      <c r="AJ668" s="3" t="n">
        <v>1</v>
      </c>
      <c r="AK668" s="3" t="n">
        <v>1</v>
      </c>
      <c r="AL668" s="3" t="n">
        <v>2</v>
      </c>
      <c r="AM668" s="3" t="n">
        <v>1</v>
      </c>
      <c r="AN668" s="3" t="n">
        <v>2</v>
      </c>
      <c r="AO668" s="3" t="n">
        <v>2</v>
      </c>
      <c r="AP668" s="3" t="n">
        <v>3</v>
      </c>
      <c r="AQ668" s="3" t="n">
        <v>4</v>
      </c>
      <c r="AR668" s="3" t="n">
        <v>4</v>
      </c>
      <c r="AS668" s="3" t="n">
        <v>6</v>
      </c>
      <c r="AT668" s="3" t="n">
        <v>4</v>
      </c>
      <c r="AU668" s="3" t="n">
        <v>4</v>
      </c>
      <c r="AV668" s="3" t="n">
        <v>6</v>
      </c>
      <c r="AW668" s="3" t="n">
        <v>6</v>
      </c>
      <c r="AX668" s="3" t="n">
        <v>3</v>
      </c>
      <c r="AY668" s="3" t="n">
        <v>3</v>
      </c>
      <c r="AZ668" s="3" t="n">
        <v>1</v>
      </c>
      <c r="BA668" s="5" t="n">
        <v>11</v>
      </c>
      <c r="BB668" s="3" t="n">
        <v>2</v>
      </c>
      <c r="BC668" s="3" t="n">
        <v>1</v>
      </c>
      <c r="BD668" s="3" t="n">
        <v>6</v>
      </c>
      <c r="BE668" s="3" t="n">
        <v>3</v>
      </c>
      <c r="BF668" s="3" t="n">
        <v>5</v>
      </c>
      <c r="BG668" s="3" t="n">
        <v>3</v>
      </c>
      <c r="BH668" s="3" t="n">
        <v>4</v>
      </c>
      <c r="BI668" s="3" t="n">
        <v>1</v>
      </c>
      <c r="BJ668" s="3" t="n">
        <v>1</v>
      </c>
      <c r="BK668" s="6" t="s">
        <v>1854</v>
      </c>
    </row>
    <row r="669" customFormat="false" ht="15" hidden="false" customHeight="true" outlineLevel="0" collapsed="false">
      <c r="B669" s="2" t="s">
        <v>1855</v>
      </c>
      <c r="C669" s="2" t="s">
        <v>172</v>
      </c>
      <c r="D669" s="2" t="s">
        <v>1856</v>
      </c>
      <c r="E669" s="2" t="n">
        <v>190490</v>
      </c>
      <c r="F669" s="15" t="n">
        <v>43822</v>
      </c>
      <c r="G669" s="15" t="n">
        <v>43826</v>
      </c>
      <c r="H669" s="3" t="n">
        <v>4</v>
      </c>
      <c r="I669" s="3" t="n">
        <v>1</v>
      </c>
      <c r="J669" s="3" t="n">
        <v>31</v>
      </c>
      <c r="K669" s="3" t="n">
        <v>1</v>
      </c>
      <c r="L669" s="3" t="n">
        <v>2</v>
      </c>
      <c r="M669" s="3" t="n">
        <v>2</v>
      </c>
      <c r="N669" s="3" t="n">
        <v>2</v>
      </c>
      <c r="O669" s="3" t="n">
        <v>2</v>
      </c>
      <c r="P669" s="3" t="n">
        <v>2</v>
      </c>
      <c r="Q669" s="3" t="n">
        <v>2</v>
      </c>
      <c r="R669" s="3" t="n">
        <v>2</v>
      </c>
      <c r="S669" s="3" t="n">
        <v>2</v>
      </c>
      <c r="T669" s="4" t="n">
        <v>12</v>
      </c>
      <c r="U669" s="3" t="n">
        <v>1</v>
      </c>
      <c r="AC669" s="3" t="n">
        <v>3</v>
      </c>
      <c r="AD669" s="3" t="n">
        <v>2</v>
      </c>
      <c r="AE669" s="3" t="n">
        <v>2</v>
      </c>
      <c r="AF669" s="3" t="n">
        <v>2</v>
      </c>
      <c r="AG669" s="3" t="n">
        <v>2</v>
      </c>
      <c r="AH669" s="3" t="n">
        <v>2</v>
      </c>
      <c r="AI669" s="3" t="n">
        <v>2</v>
      </c>
      <c r="AJ669" s="3" t="n">
        <v>2</v>
      </c>
      <c r="AK669" s="3" t="n">
        <v>2</v>
      </c>
      <c r="AL669" s="3" t="n">
        <v>2</v>
      </c>
      <c r="AM669" s="3" t="n">
        <v>2</v>
      </c>
      <c r="AN669" s="3" t="n">
        <v>2</v>
      </c>
      <c r="AO669" s="3" t="n">
        <v>2</v>
      </c>
      <c r="AP669" s="3" t="n">
        <v>3</v>
      </c>
      <c r="AQ669" s="3" t="n">
        <v>4</v>
      </c>
      <c r="AR669" s="3" t="n">
        <v>4</v>
      </c>
      <c r="AS669" s="3" t="n">
        <v>6</v>
      </c>
      <c r="AT669" s="3" t="n">
        <v>4</v>
      </c>
      <c r="AU669" s="3" t="n">
        <v>4</v>
      </c>
      <c r="AV669" s="3" t="n">
        <v>6</v>
      </c>
      <c r="AW669" s="3" t="n">
        <v>6</v>
      </c>
      <c r="AX669" s="3" t="n">
        <v>3</v>
      </c>
      <c r="AY669" s="3" t="n">
        <v>3</v>
      </c>
      <c r="AZ669" s="3" t="n">
        <v>1</v>
      </c>
      <c r="BA669" s="5" t="n">
        <v>3</v>
      </c>
      <c r="BB669" s="3" t="n">
        <v>2</v>
      </c>
      <c r="BC669" s="3" t="n">
        <v>1</v>
      </c>
      <c r="BD669" s="3" t="n">
        <v>6</v>
      </c>
      <c r="BE669" s="3" t="n">
        <v>3</v>
      </c>
      <c r="BF669" s="3" t="n">
        <v>5</v>
      </c>
      <c r="BG669" s="3" t="n">
        <v>3</v>
      </c>
      <c r="BH669" s="3" t="n">
        <v>4</v>
      </c>
      <c r="BI669" s="3" t="n">
        <v>1</v>
      </c>
      <c r="BJ669" s="3" t="n">
        <v>1</v>
      </c>
      <c r="BK669" s="6" t="s">
        <v>1857</v>
      </c>
    </row>
    <row r="670" customFormat="false" ht="15" hidden="false" customHeight="true" outlineLevel="0" collapsed="false">
      <c r="B670" s="2" t="s">
        <v>1858</v>
      </c>
      <c r="C670" s="2" t="s">
        <v>78</v>
      </c>
      <c r="D670" s="2" t="s">
        <v>78</v>
      </c>
      <c r="E670" s="2" t="n">
        <v>190451</v>
      </c>
      <c r="F670" s="15" t="n">
        <v>43823</v>
      </c>
      <c r="G670" s="15" t="n">
        <v>43829</v>
      </c>
      <c r="H670" s="3" t="n">
        <v>6</v>
      </c>
      <c r="I670" s="3" t="n">
        <v>2</v>
      </c>
      <c r="J670" s="3" t="n">
        <v>78</v>
      </c>
      <c r="K670" s="3" t="n">
        <v>1</v>
      </c>
      <c r="L670" s="3" t="n">
        <v>2</v>
      </c>
      <c r="M670" s="3" t="n">
        <v>1</v>
      </c>
      <c r="N670" s="3" t="n">
        <v>2</v>
      </c>
      <c r="O670" s="3" t="n">
        <v>2</v>
      </c>
      <c r="P670" s="3" t="n">
        <v>2</v>
      </c>
      <c r="Q670" s="3" t="n">
        <v>2</v>
      </c>
      <c r="R670" s="3" t="n">
        <v>2</v>
      </c>
      <c r="S670" s="3" t="n">
        <v>1</v>
      </c>
      <c r="T670" s="4" t="n">
        <v>2</v>
      </c>
      <c r="U670" s="3" t="n">
        <v>2</v>
      </c>
      <c r="V670" s="3" t="n">
        <v>3.61</v>
      </c>
      <c r="W670" s="3" t="n">
        <v>1.63</v>
      </c>
      <c r="X670" s="3" t="n">
        <v>5.98</v>
      </c>
      <c r="Y670" s="3" t="n">
        <v>437</v>
      </c>
      <c r="Z670" s="3" t="n">
        <v>90</v>
      </c>
      <c r="AA670" s="3" t="n">
        <v>0.4</v>
      </c>
      <c r="AB670" s="3" t="n">
        <v>6</v>
      </c>
      <c r="AC670" s="3" t="n">
        <v>1</v>
      </c>
      <c r="AD670" s="3" t="n">
        <v>2</v>
      </c>
      <c r="AE670" s="3" t="n">
        <v>1</v>
      </c>
      <c r="AF670" s="3" t="n">
        <v>1</v>
      </c>
      <c r="AG670" s="3" t="n">
        <v>2</v>
      </c>
      <c r="AH670" s="3" t="n">
        <v>2</v>
      </c>
      <c r="AI670" s="3" t="n">
        <v>1</v>
      </c>
      <c r="AJ670" s="3" t="n">
        <v>1</v>
      </c>
      <c r="AK670" s="3" t="n">
        <v>2</v>
      </c>
      <c r="AL670" s="3" t="n">
        <v>2</v>
      </c>
      <c r="AM670" s="3" t="n">
        <v>1</v>
      </c>
      <c r="AN670" s="3" t="n">
        <v>2</v>
      </c>
      <c r="AO670" s="3" t="n">
        <v>2</v>
      </c>
      <c r="AP670" s="3" t="n">
        <v>3</v>
      </c>
      <c r="AQ670" s="3" t="n">
        <v>4</v>
      </c>
      <c r="AR670" s="3" t="n">
        <v>4</v>
      </c>
      <c r="AS670" s="3" t="n">
        <v>6</v>
      </c>
      <c r="AT670" s="3" t="n">
        <v>4</v>
      </c>
      <c r="AU670" s="3" t="n">
        <v>4</v>
      </c>
      <c r="AV670" s="3" t="n">
        <v>6</v>
      </c>
      <c r="AW670" s="3" t="n">
        <v>6</v>
      </c>
      <c r="AX670" s="3" t="n">
        <v>3</v>
      </c>
      <c r="AY670" s="3" t="n">
        <v>3</v>
      </c>
      <c r="AZ670" s="3" t="n">
        <v>5</v>
      </c>
      <c r="BA670" s="5" t="n">
        <v>1</v>
      </c>
      <c r="BB670" s="3" t="n">
        <v>1</v>
      </c>
      <c r="BC670" s="3" t="n">
        <v>1</v>
      </c>
      <c r="BD670" s="3" t="n">
        <v>4</v>
      </c>
      <c r="BE670" s="3" t="n">
        <v>1</v>
      </c>
      <c r="BF670" s="3" t="n">
        <v>2</v>
      </c>
      <c r="BG670" s="3" t="n">
        <v>1</v>
      </c>
      <c r="BH670" s="3" t="n">
        <v>4</v>
      </c>
      <c r="BI670" s="3" t="n">
        <v>1</v>
      </c>
      <c r="BJ670" s="3" t="n">
        <v>1</v>
      </c>
      <c r="BK670" s="6" t="s">
        <v>1859</v>
      </c>
    </row>
    <row r="671" customFormat="false" ht="15" hidden="false" customHeight="true" outlineLevel="0" collapsed="false">
      <c r="B671" s="2" t="s">
        <v>1860</v>
      </c>
      <c r="C671" s="2" t="s">
        <v>95</v>
      </c>
      <c r="D671" s="2" t="s">
        <v>123</v>
      </c>
      <c r="E671" s="2" t="n">
        <v>190435</v>
      </c>
      <c r="F671" s="15" t="n">
        <v>43825</v>
      </c>
      <c r="G671" s="15" t="n">
        <v>43829</v>
      </c>
      <c r="H671" s="3" t="n">
        <v>4</v>
      </c>
      <c r="I671" s="3" t="n">
        <v>2</v>
      </c>
      <c r="J671" s="3" t="n">
        <v>63</v>
      </c>
      <c r="K671" s="3" t="n">
        <v>2</v>
      </c>
      <c r="L671" s="3" t="n">
        <v>2</v>
      </c>
      <c r="M671" s="3" t="n">
        <v>1</v>
      </c>
      <c r="N671" s="3" t="n">
        <v>2</v>
      </c>
      <c r="O671" s="3" t="n">
        <v>2</v>
      </c>
      <c r="P671" s="3" t="n">
        <v>2</v>
      </c>
      <c r="Q671" s="3" t="n">
        <v>2</v>
      </c>
      <c r="R671" s="3" t="n">
        <v>2</v>
      </c>
      <c r="S671" s="3" t="n">
        <v>2</v>
      </c>
      <c r="T671" s="4" t="n">
        <v>3</v>
      </c>
      <c r="U671" s="3" t="n">
        <v>4</v>
      </c>
      <c r="V671" s="3" t="n">
        <v>3.74</v>
      </c>
      <c r="W671" s="3" t="n">
        <v>0.9</v>
      </c>
      <c r="X671" s="3" t="n">
        <v>5.01</v>
      </c>
      <c r="Y671" s="3" t="n">
        <v>474</v>
      </c>
      <c r="Z671" s="3" t="n">
        <v>117</v>
      </c>
      <c r="AA671" s="3" t="n">
        <v>0.51</v>
      </c>
      <c r="AB671" s="3" t="n">
        <v>7.2</v>
      </c>
      <c r="AC671" s="3" t="n">
        <v>1</v>
      </c>
      <c r="AD671" s="3" t="n">
        <v>2</v>
      </c>
      <c r="AE671" s="3" t="n">
        <v>1</v>
      </c>
      <c r="AF671" s="3" t="n">
        <v>1</v>
      </c>
      <c r="AG671" s="3" t="n">
        <v>2</v>
      </c>
      <c r="AH671" s="3" t="n">
        <v>2</v>
      </c>
      <c r="AI671" s="3" t="n">
        <v>1</v>
      </c>
      <c r="AJ671" s="3" t="n">
        <v>1</v>
      </c>
      <c r="AK671" s="3" t="n">
        <v>2</v>
      </c>
      <c r="AL671" s="3" t="n">
        <v>1</v>
      </c>
      <c r="AM671" s="3" t="n">
        <v>1</v>
      </c>
      <c r="AN671" s="3" t="n">
        <v>2</v>
      </c>
      <c r="AO671" s="3" t="n">
        <v>2</v>
      </c>
      <c r="AP671" s="3" t="n">
        <v>3</v>
      </c>
      <c r="AQ671" s="3" t="n">
        <v>4</v>
      </c>
      <c r="AR671" s="3" t="n">
        <v>4</v>
      </c>
      <c r="AS671" s="3" t="n">
        <v>6</v>
      </c>
      <c r="AT671" s="3" t="n">
        <v>4</v>
      </c>
      <c r="AU671" s="3" t="n">
        <v>4</v>
      </c>
      <c r="AV671" s="3" t="n">
        <v>6</v>
      </c>
      <c r="AW671" s="3" t="n">
        <v>6</v>
      </c>
      <c r="AX671" s="3" t="n">
        <v>3</v>
      </c>
      <c r="AY671" s="3" t="n">
        <v>3</v>
      </c>
      <c r="AZ671" s="3" t="n">
        <v>1</v>
      </c>
      <c r="BA671" s="5" t="n">
        <v>11</v>
      </c>
      <c r="BB671" s="3" t="n">
        <v>2</v>
      </c>
      <c r="BC671" s="3" t="n">
        <v>1</v>
      </c>
      <c r="BD671" s="3" t="n">
        <v>6</v>
      </c>
      <c r="BE671" s="3" t="n">
        <v>3</v>
      </c>
      <c r="BF671" s="3" t="n">
        <v>5</v>
      </c>
      <c r="BG671" s="3" t="n">
        <v>3</v>
      </c>
      <c r="BH671" s="3" t="n">
        <v>4</v>
      </c>
      <c r="BI671" s="3" t="n">
        <v>1</v>
      </c>
      <c r="BJ671" s="3" t="n">
        <v>1</v>
      </c>
      <c r="BK671" s="6" t="s">
        <v>1861</v>
      </c>
    </row>
    <row r="672" customFormat="false" ht="15" hidden="false" customHeight="true" outlineLevel="0" collapsed="false">
      <c r="B672" s="2" t="s">
        <v>1804</v>
      </c>
      <c r="C672" s="2" t="s">
        <v>127</v>
      </c>
      <c r="D672" s="2" t="s">
        <v>94</v>
      </c>
      <c r="E672" s="2" t="n">
        <v>189771</v>
      </c>
      <c r="F672" s="15" t="n">
        <v>43827</v>
      </c>
      <c r="G672" s="15" t="n">
        <v>43830</v>
      </c>
      <c r="H672" s="3" t="n">
        <v>3</v>
      </c>
      <c r="I672" s="3" t="n">
        <v>2</v>
      </c>
      <c r="J672" s="3" t="n">
        <v>53</v>
      </c>
      <c r="K672" s="3" t="n">
        <v>1</v>
      </c>
      <c r="L672" s="3" t="n">
        <v>1</v>
      </c>
      <c r="M672" s="3" t="n">
        <v>2</v>
      </c>
      <c r="N672" s="3" t="n">
        <v>1</v>
      </c>
      <c r="O672" s="3" t="n">
        <v>2</v>
      </c>
      <c r="P672" s="3" t="n">
        <v>2</v>
      </c>
      <c r="Q672" s="3" t="n">
        <v>2</v>
      </c>
      <c r="R672" s="3" t="n">
        <v>2</v>
      </c>
      <c r="S672" s="3" t="n">
        <v>2</v>
      </c>
      <c r="T672" s="4" t="n">
        <v>1</v>
      </c>
      <c r="U672" s="3" t="n">
        <v>1</v>
      </c>
      <c r="V672" s="3" t="n">
        <v>5.14</v>
      </c>
      <c r="W672" s="3" t="n">
        <v>2.05</v>
      </c>
      <c r="X672" s="3" t="n">
        <v>6.23</v>
      </c>
      <c r="Y672" s="3" t="n">
        <v>353</v>
      </c>
      <c r="Z672" s="3" t="n">
        <v>64</v>
      </c>
      <c r="AA672" s="3" t="n">
        <v>0.45</v>
      </c>
      <c r="AB672" s="3" t="n">
        <v>7.1</v>
      </c>
      <c r="AC672" s="3" t="n">
        <v>1</v>
      </c>
      <c r="AD672" s="3" t="n">
        <v>1</v>
      </c>
      <c r="AE672" s="3" t="n">
        <v>1</v>
      </c>
      <c r="AF672" s="3" t="n">
        <v>1</v>
      </c>
      <c r="AG672" s="3" t="n">
        <v>2</v>
      </c>
      <c r="AH672" s="3" t="n">
        <v>2</v>
      </c>
      <c r="AI672" s="3" t="n">
        <v>1</v>
      </c>
      <c r="AJ672" s="3" t="n">
        <v>1</v>
      </c>
      <c r="AK672" s="3" t="n">
        <v>2</v>
      </c>
      <c r="AL672" s="3" t="n">
        <v>2</v>
      </c>
      <c r="AM672" s="3" t="n">
        <v>2</v>
      </c>
      <c r="AN672" s="3" t="n">
        <v>2</v>
      </c>
      <c r="AO672" s="3" t="n">
        <v>2</v>
      </c>
      <c r="AP672" s="3" t="n">
        <v>1</v>
      </c>
      <c r="AQ672" s="3" t="n">
        <v>2</v>
      </c>
      <c r="AR672" s="3" t="n">
        <v>5</v>
      </c>
      <c r="AS672" s="3" t="n">
        <v>4</v>
      </c>
      <c r="AT672" s="3" t="n">
        <v>1</v>
      </c>
      <c r="AU672" s="3" t="n">
        <v>1</v>
      </c>
      <c r="AV672" s="3" t="n">
        <v>1</v>
      </c>
      <c r="AW672" s="3" t="n">
        <v>1</v>
      </c>
      <c r="AX672" s="3" t="n">
        <v>2</v>
      </c>
      <c r="AY672" s="3" t="n">
        <v>2</v>
      </c>
      <c r="AZ672" s="3" t="n">
        <v>1</v>
      </c>
      <c r="BA672" s="5" t="n">
        <v>5</v>
      </c>
      <c r="BB672" s="3" t="n">
        <v>2</v>
      </c>
      <c r="BC672" s="3" t="n">
        <v>1</v>
      </c>
      <c r="BD672" s="3" t="n">
        <v>6</v>
      </c>
      <c r="BE672" s="3" t="n">
        <v>3</v>
      </c>
      <c r="BF672" s="3" t="n">
        <v>5</v>
      </c>
      <c r="BG672" s="3" t="n">
        <v>3</v>
      </c>
      <c r="BH672" s="3" t="n">
        <v>4</v>
      </c>
      <c r="BI672" s="3" t="n">
        <v>1</v>
      </c>
      <c r="BJ672" s="3" t="n">
        <v>1</v>
      </c>
      <c r="BK672" s="6" t="s">
        <v>1862</v>
      </c>
    </row>
    <row r="673" s="30" customFormat="true" ht="15" hidden="false" customHeight="true" outlineLevel="0" collapsed="false">
      <c r="A673" s="24"/>
      <c r="B673" s="26" t="s">
        <v>1863</v>
      </c>
      <c r="C673" s="26" t="s">
        <v>94</v>
      </c>
      <c r="D673" s="26" t="s">
        <v>94</v>
      </c>
      <c r="E673" s="26" t="n">
        <v>188895</v>
      </c>
      <c r="F673" s="27" t="n">
        <v>43832</v>
      </c>
      <c r="G673" s="27" t="n">
        <v>43832</v>
      </c>
      <c r="H673" s="30" t="n">
        <v>0</v>
      </c>
      <c r="I673" s="30" t="n">
        <v>2</v>
      </c>
      <c r="J673" s="30" t="n">
        <v>86</v>
      </c>
      <c r="K673" s="30" t="n">
        <v>1</v>
      </c>
      <c r="L673" s="30" t="n">
        <v>2</v>
      </c>
      <c r="M673" s="30" t="n">
        <v>1</v>
      </c>
      <c r="N673" s="30" t="n">
        <v>2</v>
      </c>
      <c r="O673" s="30" t="n">
        <v>2</v>
      </c>
      <c r="P673" s="30" t="n">
        <v>2</v>
      </c>
      <c r="Q673" s="30" t="n">
        <v>2</v>
      </c>
      <c r="R673" s="30" t="n">
        <v>2</v>
      </c>
      <c r="S673" s="30" t="n">
        <v>1</v>
      </c>
      <c r="T673" s="4" t="n">
        <v>3</v>
      </c>
      <c r="U673" s="30" t="n">
        <v>1</v>
      </c>
      <c r="AD673" s="30" t="n">
        <v>1</v>
      </c>
      <c r="AE673" s="30" t="n">
        <v>2</v>
      </c>
      <c r="AF673" s="30" t="n">
        <v>2</v>
      </c>
      <c r="AG673" s="30" t="n">
        <v>2</v>
      </c>
      <c r="AH673" s="30" t="n">
        <v>2</v>
      </c>
      <c r="AI673" s="30" t="n">
        <v>2</v>
      </c>
      <c r="AJ673" s="30" t="n">
        <v>2</v>
      </c>
      <c r="AK673" s="30" t="n">
        <v>2</v>
      </c>
      <c r="AL673" s="30" t="n">
        <v>2</v>
      </c>
      <c r="AM673" s="30" t="n">
        <v>1</v>
      </c>
      <c r="AN673" s="30" t="n">
        <v>1</v>
      </c>
      <c r="AO673" s="30" t="n">
        <v>2</v>
      </c>
      <c r="AP673" s="30" t="n">
        <v>3</v>
      </c>
      <c r="AQ673" s="30" t="n">
        <v>4</v>
      </c>
      <c r="AR673" s="30" t="n">
        <v>4</v>
      </c>
      <c r="AS673" s="30" t="n">
        <v>6</v>
      </c>
      <c r="AT673" s="30" t="n">
        <v>4</v>
      </c>
      <c r="AU673" s="30" t="n">
        <v>4</v>
      </c>
      <c r="AV673" s="30" t="n">
        <v>6</v>
      </c>
      <c r="AW673" s="30" t="n">
        <v>6</v>
      </c>
      <c r="AX673" s="30" t="n">
        <v>3</v>
      </c>
      <c r="AY673" s="30" t="n">
        <v>3</v>
      </c>
      <c r="AZ673" s="30" t="n">
        <v>6</v>
      </c>
      <c r="BA673" s="5" t="n">
        <v>11</v>
      </c>
      <c r="BB673" s="30" t="n">
        <v>2</v>
      </c>
      <c r="BC673" s="30" t="n">
        <v>2</v>
      </c>
      <c r="BD673" s="30" t="n">
        <v>6</v>
      </c>
      <c r="BE673" s="30" t="n">
        <v>3</v>
      </c>
      <c r="BF673" s="30" t="n">
        <v>5</v>
      </c>
      <c r="BG673" s="30" t="n">
        <v>3</v>
      </c>
      <c r="BH673" s="30" t="n">
        <v>4</v>
      </c>
      <c r="BI673" s="30" t="n">
        <v>3</v>
      </c>
      <c r="BJ673" s="30" t="n">
        <v>3</v>
      </c>
      <c r="BK673" s="31" t="s">
        <v>1864</v>
      </c>
    </row>
    <row r="674" customFormat="false" ht="15" hidden="false" customHeight="true" outlineLevel="0" collapsed="false">
      <c r="B674" s="2" t="s">
        <v>1017</v>
      </c>
      <c r="C674" s="2" t="s">
        <v>1865</v>
      </c>
      <c r="D674" s="2" t="s">
        <v>1866</v>
      </c>
      <c r="E674" s="2" t="n">
        <v>191039</v>
      </c>
      <c r="F674" s="15" t="n">
        <v>43467</v>
      </c>
      <c r="G674" s="15" t="n">
        <v>43836</v>
      </c>
      <c r="H674" s="3" t="n">
        <v>4</v>
      </c>
      <c r="I674" s="3" t="n">
        <v>1</v>
      </c>
      <c r="J674" s="3" t="n">
        <v>56</v>
      </c>
      <c r="K674" s="3" t="n">
        <v>2</v>
      </c>
      <c r="L674" s="3" t="n">
        <v>1</v>
      </c>
      <c r="M674" s="3" t="n">
        <v>1</v>
      </c>
      <c r="N674" s="3" t="n">
        <v>2</v>
      </c>
      <c r="O674" s="3" t="n">
        <v>2</v>
      </c>
      <c r="P674" s="3" t="n">
        <v>2</v>
      </c>
      <c r="Q674" s="3" t="n">
        <v>2</v>
      </c>
      <c r="R674" s="3" t="n">
        <v>2</v>
      </c>
      <c r="S674" s="3" t="n">
        <v>2</v>
      </c>
      <c r="T674" s="4" t="n">
        <v>4</v>
      </c>
      <c r="U674" s="3" t="n">
        <v>4</v>
      </c>
      <c r="V674" s="3" t="n">
        <v>3.88</v>
      </c>
      <c r="W674" s="3" t="n">
        <v>2.38</v>
      </c>
      <c r="X674" s="3" t="n">
        <v>6.89</v>
      </c>
      <c r="Y674" s="3" t="n">
        <v>334</v>
      </c>
      <c r="Z674" s="3" t="n">
        <v>46</v>
      </c>
      <c r="AA674" s="3" t="n">
        <v>0.41</v>
      </c>
      <c r="AB674" s="3" t="n">
        <v>6</v>
      </c>
      <c r="AC674" s="3" t="n">
        <v>1</v>
      </c>
      <c r="AD674" s="3" t="n">
        <v>2</v>
      </c>
      <c r="AE674" s="3" t="n">
        <v>1</v>
      </c>
      <c r="AF674" s="3" t="n">
        <v>2</v>
      </c>
      <c r="AG674" s="3" t="n">
        <v>2</v>
      </c>
      <c r="AH674" s="3" t="n">
        <v>2</v>
      </c>
      <c r="AI674" s="3" t="n">
        <v>2</v>
      </c>
      <c r="AJ674" s="3" t="n">
        <v>1</v>
      </c>
      <c r="AK674" s="3" t="n">
        <v>2</v>
      </c>
      <c r="AL674" s="3" t="n">
        <v>2</v>
      </c>
      <c r="AM674" s="3" t="n">
        <v>1</v>
      </c>
      <c r="AN674" s="3" t="n">
        <v>2</v>
      </c>
      <c r="AO674" s="3" t="n">
        <v>1</v>
      </c>
      <c r="AP674" s="3" t="n">
        <v>3</v>
      </c>
      <c r="AQ674" s="3" t="n">
        <v>4</v>
      </c>
      <c r="AR674" s="3" t="n">
        <v>4</v>
      </c>
      <c r="AS674" s="3" t="n">
        <v>6</v>
      </c>
      <c r="AT674" s="3" t="n">
        <v>4</v>
      </c>
      <c r="AU674" s="3" t="n">
        <v>4</v>
      </c>
      <c r="AV674" s="3" t="n">
        <v>6</v>
      </c>
      <c r="AW674" s="3" t="n">
        <v>6</v>
      </c>
      <c r="AX674" s="3" t="n">
        <v>3</v>
      </c>
      <c r="AY674" s="3" t="n">
        <v>3</v>
      </c>
      <c r="AZ674" s="3" t="n">
        <v>1</v>
      </c>
      <c r="BA674" s="5" t="n">
        <v>10</v>
      </c>
      <c r="BB674" s="3" t="n">
        <v>2</v>
      </c>
      <c r="BC674" s="3" t="n">
        <v>1</v>
      </c>
      <c r="BD674" s="3" t="n">
        <v>6</v>
      </c>
      <c r="BE674" s="3" t="n">
        <v>3</v>
      </c>
      <c r="BF674" s="3" t="n">
        <v>5</v>
      </c>
      <c r="BG674" s="3" t="n">
        <v>3</v>
      </c>
      <c r="BH674" s="3" t="n">
        <v>4</v>
      </c>
      <c r="BI674" s="3" t="n">
        <v>1</v>
      </c>
      <c r="BJ674" s="3" t="n">
        <v>1</v>
      </c>
      <c r="BK674" s="6" t="s">
        <v>1867</v>
      </c>
    </row>
    <row r="675" customFormat="false" ht="15" hidden="false" customHeight="true" outlineLevel="0" collapsed="false">
      <c r="B675" s="2" t="s">
        <v>1868</v>
      </c>
      <c r="C675" s="2" t="s">
        <v>153</v>
      </c>
      <c r="D675" s="2" t="s">
        <v>294</v>
      </c>
      <c r="E675" s="2" t="n">
        <v>190537</v>
      </c>
      <c r="F675" s="15" t="n">
        <v>43828</v>
      </c>
      <c r="G675" s="15" t="n">
        <v>43836</v>
      </c>
      <c r="H675" s="3" t="n">
        <v>8</v>
      </c>
      <c r="I675" s="3" t="n">
        <v>2</v>
      </c>
      <c r="J675" s="3" t="n">
        <v>58</v>
      </c>
      <c r="K675" s="3" t="n">
        <v>1</v>
      </c>
      <c r="L675" s="3" t="n">
        <v>1</v>
      </c>
      <c r="M675" s="3" t="n">
        <v>1</v>
      </c>
      <c r="N675" s="3" t="n">
        <v>2</v>
      </c>
      <c r="O675" s="3" t="n">
        <v>2</v>
      </c>
      <c r="P675" s="3" t="n">
        <v>1</v>
      </c>
      <c r="Q675" s="3" t="n">
        <v>1</v>
      </c>
      <c r="R675" s="3" t="n">
        <v>2</v>
      </c>
      <c r="S675" s="3" t="n">
        <v>1</v>
      </c>
      <c r="T675" s="4" t="n">
        <v>2</v>
      </c>
      <c r="U675" s="3" t="n">
        <v>2</v>
      </c>
      <c r="V675" s="3" t="n">
        <v>5.49</v>
      </c>
      <c r="W675" s="3" t="n">
        <v>2.83</v>
      </c>
      <c r="X675" s="3" t="n">
        <v>21.16</v>
      </c>
      <c r="Y675" s="3" t="n">
        <v>427</v>
      </c>
      <c r="Z675" s="3" t="n">
        <v>87</v>
      </c>
      <c r="AA675" s="3" t="n">
        <v>0.5</v>
      </c>
      <c r="AB675" s="3" t="n">
        <v>13</v>
      </c>
      <c r="AC675" s="3" t="n">
        <v>1</v>
      </c>
      <c r="AD675" s="3" t="n">
        <v>2</v>
      </c>
      <c r="AE675" s="3" t="n">
        <v>1</v>
      </c>
      <c r="AF675" s="3" t="n">
        <v>1</v>
      </c>
      <c r="AG675" s="3" t="n">
        <v>2</v>
      </c>
      <c r="AH675" s="3" t="n">
        <v>2</v>
      </c>
      <c r="AI675" s="3" t="n">
        <v>1</v>
      </c>
      <c r="AJ675" s="3" t="n">
        <v>1</v>
      </c>
      <c r="AK675" s="3" t="n">
        <v>1</v>
      </c>
      <c r="AL675" s="3" t="n">
        <v>2</v>
      </c>
      <c r="AM675" s="3" t="n">
        <v>1</v>
      </c>
      <c r="AN675" s="3" t="n">
        <v>2</v>
      </c>
      <c r="AO675" s="3" t="n">
        <v>2</v>
      </c>
      <c r="AP675" s="3" t="n">
        <v>3</v>
      </c>
      <c r="AQ675" s="3" t="n">
        <v>4</v>
      </c>
      <c r="AR675" s="3" t="n">
        <v>4</v>
      </c>
      <c r="AS675" s="3" t="n">
        <v>6</v>
      </c>
      <c r="AT675" s="3" t="n">
        <v>4</v>
      </c>
      <c r="AU675" s="3" t="n">
        <v>4</v>
      </c>
      <c r="AV675" s="3" t="n">
        <v>6</v>
      </c>
      <c r="AW675" s="3" t="n">
        <v>6</v>
      </c>
      <c r="AX675" s="3" t="n">
        <v>3</v>
      </c>
      <c r="AY675" s="3" t="n">
        <v>3</v>
      </c>
      <c r="AZ675" s="3" t="n">
        <v>1</v>
      </c>
      <c r="BA675" s="5" t="n">
        <v>1</v>
      </c>
      <c r="BB675" s="3" t="n">
        <v>1</v>
      </c>
      <c r="BC675" s="3" t="n">
        <v>1</v>
      </c>
      <c r="BD675" s="3" t="n">
        <v>4</v>
      </c>
      <c r="BE675" s="3" t="n">
        <v>1</v>
      </c>
      <c r="BF675" s="3" t="n">
        <v>2</v>
      </c>
      <c r="BG675" s="3" t="n">
        <v>1</v>
      </c>
      <c r="BH675" s="3" t="n">
        <v>4</v>
      </c>
      <c r="BI675" s="3" t="n">
        <v>1</v>
      </c>
      <c r="BJ675" s="3" t="n">
        <v>1</v>
      </c>
      <c r="BK675" s="6" t="s">
        <v>1869</v>
      </c>
    </row>
    <row r="676" customFormat="false" ht="15" hidden="false" customHeight="true" outlineLevel="0" collapsed="false">
      <c r="B676" s="2" t="s">
        <v>1870</v>
      </c>
      <c r="C676" s="2" t="s">
        <v>1871</v>
      </c>
      <c r="D676" s="2" t="s">
        <v>1872</v>
      </c>
      <c r="E676" s="2" t="n">
        <v>191058</v>
      </c>
      <c r="F676" s="15" t="n">
        <v>43833</v>
      </c>
      <c r="G676" s="15" t="n">
        <v>43836</v>
      </c>
      <c r="H676" s="3" t="n">
        <v>3</v>
      </c>
      <c r="I676" s="3" t="n">
        <v>1</v>
      </c>
      <c r="J676" s="3" t="n">
        <v>92</v>
      </c>
      <c r="K676" s="3" t="n">
        <v>1</v>
      </c>
      <c r="L676" s="3" t="n">
        <v>2</v>
      </c>
      <c r="M676" s="3" t="n">
        <v>1</v>
      </c>
      <c r="N676" s="3" t="n">
        <v>2</v>
      </c>
      <c r="O676" s="3" t="n">
        <v>2</v>
      </c>
      <c r="P676" s="3" t="n">
        <v>2</v>
      </c>
      <c r="Q676" s="3" t="n">
        <v>2</v>
      </c>
      <c r="R676" s="3" t="n">
        <v>2</v>
      </c>
      <c r="S676" s="3" t="n">
        <v>2</v>
      </c>
      <c r="T676" s="4" t="n">
        <v>4</v>
      </c>
      <c r="U676" s="3" t="n">
        <v>4</v>
      </c>
      <c r="V676" s="3" t="n">
        <v>4.6</v>
      </c>
      <c r="W676" s="3" t="n">
        <v>0.92</v>
      </c>
      <c r="X676" s="3" t="n">
        <v>5.46</v>
      </c>
      <c r="Y676" s="3" t="n">
        <v>497</v>
      </c>
      <c r="Z676" s="3" t="n">
        <v>93</v>
      </c>
      <c r="AA676" s="3" t="n">
        <v>0.33</v>
      </c>
      <c r="AC676" s="3" t="n">
        <v>1</v>
      </c>
      <c r="AD676" s="3" t="n">
        <v>2</v>
      </c>
      <c r="AE676" s="3" t="n">
        <v>2</v>
      </c>
      <c r="AF676" s="3" t="n">
        <v>2</v>
      </c>
      <c r="AG676" s="3" t="n">
        <v>2</v>
      </c>
      <c r="AH676" s="3" t="n">
        <v>2</v>
      </c>
      <c r="AI676" s="3" t="n">
        <v>2</v>
      </c>
      <c r="AJ676" s="3" t="n">
        <v>1</v>
      </c>
      <c r="AK676" s="3" t="n">
        <v>2</v>
      </c>
      <c r="AL676" s="3" t="n">
        <v>2</v>
      </c>
      <c r="AM676" s="3" t="n">
        <v>1</v>
      </c>
      <c r="AN676" s="3" t="n">
        <v>2</v>
      </c>
      <c r="AO676" s="3" t="n">
        <v>2</v>
      </c>
      <c r="AP676" s="3" t="n">
        <v>3</v>
      </c>
      <c r="AQ676" s="3" t="n">
        <v>4</v>
      </c>
      <c r="AR676" s="3" t="n">
        <v>4</v>
      </c>
      <c r="AS676" s="3" t="n">
        <v>6</v>
      </c>
      <c r="AT676" s="3" t="n">
        <v>4</v>
      </c>
      <c r="AU676" s="3" t="n">
        <v>4</v>
      </c>
      <c r="AV676" s="3" t="n">
        <v>6</v>
      </c>
      <c r="AW676" s="3" t="n">
        <v>6</v>
      </c>
      <c r="AX676" s="3" t="n">
        <v>3</v>
      </c>
      <c r="AY676" s="3" t="n">
        <v>3</v>
      </c>
      <c r="AZ676" s="3" t="n">
        <v>1</v>
      </c>
      <c r="BA676" s="5" t="n">
        <v>10</v>
      </c>
      <c r="BB676" s="3" t="n">
        <v>2</v>
      </c>
      <c r="BC676" s="3" t="n">
        <v>1</v>
      </c>
      <c r="BD676" s="3" t="n">
        <v>6</v>
      </c>
      <c r="BE676" s="3" t="n">
        <v>3</v>
      </c>
      <c r="BF676" s="3" t="n">
        <v>5</v>
      </c>
      <c r="BG676" s="3" t="n">
        <v>3</v>
      </c>
      <c r="BH676" s="3" t="n">
        <v>4</v>
      </c>
      <c r="BI676" s="3" t="n">
        <v>1</v>
      </c>
      <c r="BJ676" s="3" t="n">
        <v>1</v>
      </c>
      <c r="BK676" s="6" t="s">
        <v>1873</v>
      </c>
    </row>
    <row r="677" customFormat="false" ht="15" hidden="false" customHeight="true" outlineLevel="0" collapsed="false">
      <c r="B677" s="2" t="s">
        <v>456</v>
      </c>
      <c r="C677" s="2" t="s">
        <v>1874</v>
      </c>
      <c r="D677" s="2" t="s">
        <v>1875</v>
      </c>
      <c r="E677" s="2" t="n">
        <v>191065</v>
      </c>
      <c r="F677" s="15" t="n">
        <v>43834</v>
      </c>
      <c r="G677" s="15" t="n">
        <v>43837</v>
      </c>
      <c r="H677" s="3" t="n">
        <v>3</v>
      </c>
      <c r="I677" s="3" t="n">
        <v>2</v>
      </c>
      <c r="J677" s="3" t="n">
        <v>41</v>
      </c>
      <c r="K677" s="3" t="n">
        <v>1</v>
      </c>
      <c r="L677" s="3" t="n">
        <v>2</v>
      </c>
      <c r="M677" s="3" t="n">
        <v>2</v>
      </c>
      <c r="N677" s="3" t="n">
        <v>2</v>
      </c>
      <c r="O677" s="3" t="n">
        <v>2</v>
      </c>
      <c r="P677" s="3" t="n">
        <v>2</v>
      </c>
      <c r="Q677" s="3" t="n">
        <v>2</v>
      </c>
      <c r="R677" s="3" t="n">
        <v>2</v>
      </c>
      <c r="S677" s="3" t="n">
        <v>2</v>
      </c>
      <c r="T677" s="4" t="n">
        <v>3</v>
      </c>
      <c r="U677" s="3" t="n">
        <v>1</v>
      </c>
      <c r="V677" s="3" t="n">
        <v>4.13</v>
      </c>
      <c r="W677" s="3" t="n">
        <v>2.86</v>
      </c>
      <c r="X677" s="3" t="n">
        <v>5.34</v>
      </c>
      <c r="Y677" s="3" t="n">
        <v>460</v>
      </c>
      <c r="Z677" s="3" t="n">
        <v>63</v>
      </c>
      <c r="AA677" s="3" t="n">
        <v>0.47</v>
      </c>
      <c r="AC677" s="3" t="n">
        <v>1</v>
      </c>
      <c r="AD677" s="3" t="n">
        <v>2</v>
      </c>
      <c r="AE677" s="3" t="n">
        <v>1</v>
      </c>
      <c r="AF677" s="3" t="n">
        <v>1</v>
      </c>
      <c r="AG677" s="3" t="n">
        <v>1</v>
      </c>
      <c r="AH677" s="3" t="n">
        <v>2</v>
      </c>
      <c r="AI677" s="3" t="n">
        <v>1</v>
      </c>
      <c r="AJ677" s="3" t="n">
        <v>2</v>
      </c>
      <c r="AK677" s="3" t="n">
        <v>2</v>
      </c>
      <c r="AL677" s="3" t="n">
        <v>2</v>
      </c>
      <c r="AM677" s="3" t="n">
        <v>2</v>
      </c>
      <c r="AN677" s="3" t="n">
        <v>2</v>
      </c>
      <c r="AO677" s="3" t="n">
        <v>2</v>
      </c>
      <c r="AP677" s="3" t="n">
        <v>3</v>
      </c>
      <c r="AQ677" s="3" t="n">
        <v>4</v>
      </c>
      <c r="AR677" s="3" t="n">
        <v>4</v>
      </c>
      <c r="AS677" s="3" t="n">
        <v>6</v>
      </c>
      <c r="AT677" s="3" t="n">
        <v>4</v>
      </c>
      <c r="AU677" s="3" t="n">
        <v>4</v>
      </c>
      <c r="AV677" s="3" t="n">
        <v>6</v>
      </c>
      <c r="AW677" s="3" t="n">
        <v>6</v>
      </c>
      <c r="AX677" s="3" t="n">
        <v>3</v>
      </c>
      <c r="AY677" s="3" t="n">
        <v>3</v>
      </c>
      <c r="AZ677" s="3" t="n">
        <v>1</v>
      </c>
      <c r="BA677" s="5" t="n">
        <v>11</v>
      </c>
      <c r="BB677" s="3" t="n">
        <v>2</v>
      </c>
      <c r="BC677" s="3" t="n">
        <v>1</v>
      </c>
      <c r="BD677" s="3" t="n">
        <v>6</v>
      </c>
      <c r="BE677" s="3" t="n">
        <v>3</v>
      </c>
      <c r="BF677" s="3" t="n">
        <v>5</v>
      </c>
      <c r="BG677" s="3" t="n">
        <v>3</v>
      </c>
      <c r="BH677" s="3" t="n">
        <v>4</v>
      </c>
      <c r="BI677" s="3" t="n">
        <v>1</v>
      </c>
      <c r="BJ677" s="3" t="n">
        <v>1</v>
      </c>
      <c r="BK677" s="6" t="s">
        <v>1876</v>
      </c>
    </row>
    <row r="678" customFormat="false" ht="17.25" hidden="false" customHeight="true" outlineLevel="0" collapsed="false">
      <c r="B678" s="2" t="s">
        <v>339</v>
      </c>
      <c r="C678" s="2" t="s">
        <v>127</v>
      </c>
      <c r="D678" s="2" t="s">
        <v>1877</v>
      </c>
      <c r="E678" s="2" t="n">
        <v>191057</v>
      </c>
      <c r="F678" s="15" t="n">
        <v>43833</v>
      </c>
      <c r="G678" s="15" t="n">
        <v>43839</v>
      </c>
      <c r="H678" s="3" t="n">
        <v>6</v>
      </c>
      <c r="I678" s="3" t="n">
        <v>1</v>
      </c>
      <c r="J678" s="3" t="n">
        <v>93</v>
      </c>
      <c r="K678" s="3" t="n">
        <v>1</v>
      </c>
      <c r="L678" s="3" t="n">
        <v>2</v>
      </c>
      <c r="M678" s="3" t="n">
        <v>1</v>
      </c>
      <c r="N678" s="3" t="n">
        <v>2</v>
      </c>
      <c r="O678" s="3" t="n">
        <v>2</v>
      </c>
      <c r="P678" s="3" t="n">
        <v>2</v>
      </c>
      <c r="Q678" s="3" t="n">
        <v>1</v>
      </c>
      <c r="R678" s="3" t="n">
        <v>2</v>
      </c>
      <c r="S678" s="3" t="n">
        <v>2</v>
      </c>
      <c r="T678" s="4" t="n">
        <v>4</v>
      </c>
      <c r="U678" s="3" t="n">
        <v>4</v>
      </c>
      <c r="V678" s="3" t="n">
        <v>3.76</v>
      </c>
      <c r="W678" s="3" t="n">
        <v>0.84</v>
      </c>
      <c r="X678" s="3" t="n">
        <v>6.63</v>
      </c>
      <c r="Y678" s="3" t="n">
        <v>316</v>
      </c>
      <c r="Z678" s="3" t="n">
        <v>46</v>
      </c>
      <c r="AA678" s="3" t="n">
        <v>0.43</v>
      </c>
      <c r="AC678" s="3" t="n">
        <v>3</v>
      </c>
      <c r="AD678" s="3" t="n">
        <v>2</v>
      </c>
      <c r="AE678" s="3" t="n">
        <v>2</v>
      </c>
      <c r="AF678" s="3" t="n">
        <v>2</v>
      </c>
      <c r="AG678" s="3" t="n">
        <v>2</v>
      </c>
      <c r="AH678" s="3" t="n">
        <v>1</v>
      </c>
      <c r="AI678" s="3" t="n">
        <v>2</v>
      </c>
      <c r="AJ678" s="3" t="n">
        <v>2</v>
      </c>
      <c r="AK678" s="3" t="n">
        <v>2</v>
      </c>
      <c r="AL678" s="3" t="n">
        <v>2</v>
      </c>
      <c r="AM678" s="3" t="n">
        <v>1</v>
      </c>
      <c r="AN678" s="3" t="n">
        <v>2</v>
      </c>
      <c r="AO678" s="3" t="n">
        <v>2</v>
      </c>
      <c r="AP678" s="3" t="n">
        <v>3</v>
      </c>
      <c r="AQ678" s="3" t="n">
        <v>4</v>
      </c>
      <c r="AR678" s="3" t="n">
        <v>4</v>
      </c>
      <c r="AS678" s="3" t="n">
        <v>6</v>
      </c>
      <c r="AT678" s="3" t="n">
        <v>4</v>
      </c>
      <c r="AU678" s="3" t="n">
        <v>4</v>
      </c>
      <c r="AV678" s="3" t="n">
        <v>6</v>
      </c>
      <c r="AW678" s="3" t="n">
        <v>6</v>
      </c>
      <c r="AX678" s="3" t="n">
        <v>3</v>
      </c>
      <c r="AY678" s="3" t="n">
        <v>3</v>
      </c>
      <c r="AZ678" s="3" t="n">
        <v>1</v>
      </c>
      <c r="BA678" s="5" t="n">
        <v>10</v>
      </c>
      <c r="BB678" s="3" t="n">
        <v>2</v>
      </c>
      <c r="BC678" s="3" t="n">
        <v>1</v>
      </c>
      <c r="BD678" s="3" t="n">
        <v>6</v>
      </c>
      <c r="BE678" s="3" t="n">
        <v>3</v>
      </c>
      <c r="BF678" s="3" t="n">
        <v>5</v>
      </c>
      <c r="BG678" s="3" t="n">
        <v>3</v>
      </c>
      <c r="BH678" s="3" t="n">
        <v>4</v>
      </c>
      <c r="BI678" s="3" t="n">
        <v>1</v>
      </c>
      <c r="BJ678" s="3" t="n">
        <v>1</v>
      </c>
      <c r="BK678" s="6" t="s">
        <v>1878</v>
      </c>
    </row>
    <row r="679" customFormat="false" ht="15.75" hidden="false" customHeight="true" outlineLevel="0" collapsed="false">
      <c r="B679" s="14" t="s">
        <v>1879</v>
      </c>
      <c r="C679" s="14" t="s">
        <v>1880</v>
      </c>
      <c r="D679" s="14" t="s">
        <v>1881</v>
      </c>
      <c r="E679" s="14" t="n">
        <v>190605</v>
      </c>
      <c r="F679" s="22" t="n">
        <v>43834</v>
      </c>
      <c r="G679" s="22" t="n">
        <v>43839</v>
      </c>
      <c r="H679" s="3" t="n">
        <v>5</v>
      </c>
      <c r="I679" s="3" t="n">
        <v>1</v>
      </c>
      <c r="J679" s="3" t="n">
        <v>90</v>
      </c>
      <c r="K679" s="3" t="n">
        <v>1</v>
      </c>
      <c r="L679" s="3" t="n">
        <v>2</v>
      </c>
      <c r="M679" s="3" t="n">
        <v>2</v>
      </c>
      <c r="N679" s="3" t="n">
        <v>2</v>
      </c>
      <c r="O679" s="3" t="n">
        <v>2</v>
      </c>
      <c r="P679" s="3" t="n">
        <v>2</v>
      </c>
      <c r="Q679" s="3" t="n">
        <v>2</v>
      </c>
      <c r="R679" s="3" t="n">
        <v>2</v>
      </c>
      <c r="S679" s="3" t="n">
        <v>2</v>
      </c>
      <c r="T679" s="4" t="n">
        <v>4</v>
      </c>
      <c r="U679" s="3" t="n">
        <v>4</v>
      </c>
      <c r="V679" s="3" t="n">
        <v>6.42</v>
      </c>
      <c r="W679" s="3" t="n">
        <v>1.24</v>
      </c>
      <c r="X679" s="3" t="n">
        <v>6.29</v>
      </c>
      <c r="Y679" s="3" t="n">
        <v>324</v>
      </c>
      <c r="Z679" s="3" t="n">
        <v>39</v>
      </c>
      <c r="AA679" s="3" t="n">
        <v>0.4</v>
      </c>
      <c r="AB679" s="3" t="n">
        <v>5.4</v>
      </c>
      <c r="AC679" s="3" t="n">
        <v>3</v>
      </c>
      <c r="AD679" s="3" t="n">
        <v>2</v>
      </c>
      <c r="AE679" s="3" t="n">
        <v>2</v>
      </c>
      <c r="AF679" s="3" t="n">
        <v>2</v>
      </c>
      <c r="AG679" s="3" t="n">
        <v>2</v>
      </c>
      <c r="AH679" s="3" t="n">
        <v>1</v>
      </c>
      <c r="AI679" s="3" t="n">
        <v>2</v>
      </c>
      <c r="AJ679" s="3" t="n">
        <v>2</v>
      </c>
      <c r="AK679" s="3" t="n">
        <v>2</v>
      </c>
      <c r="AL679" s="3" t="n">
        <v>2</v>
      </c>
      <c r="AM679" s="3" t="n">
        <v>2</v>
      </c>
      <c r="AN679" s="3" t="n">
        <v>2</v>
      </c>
      <c r="AO679" s="3" t="n">
        <v>2</v>
      </c>
      <c r="AP679" s="3" t="n">
        <v>3</v>
      </c>
      <c r="AQ679" s="3" t="n">
        <v>4</v>
      </c>
      <c r="AR679" s="3" t="n">
        <v>4</v>
      </c>
      <c r="AS679" s="3" t="n">
        <v>6</v>
      </c>
      <c r="AT679" s="3" t="n">
        <v>4</v>
      </c>
      <c r="AU679" s="3" t="n">
        <v>4</v>
      </c>
      <c r="AV679" s="3" t="n">
        <v>6</v>
      </c>
      <c r="AW679" s="3" t="n">
        <v>6</v>
      </c>
      <c r="AX679" s="3" t="n">
        <v>3</v>
      </c>
      <c r="AY679" s="3" t="n">
        <v>3</v>
      </c>
      <c r="AZ679" s="3" t="n">
        <v>1</v>
      </c>
      <c r="BA679" s="5" t="n">
        <v>10</v>
      </c>
      <c r="BB679" s="3" t="n">
        <v>2</v>
      </c>
      <c r="BC679" s="3" t="n">
        <v>1</v>
      </c>
      <c r="BD679" s="3" t="n">
        <v>6</v>
      </c>
      <c r="BE679" s="3" t="n">
        <v>3</v>
      </c>
      <c r="BF679" s="3" t="n">
        <v>5</v>
      </c>
      <c r="BG679" s="3" t="n">
        <v>3</v>
      </c>
      <c r="BH679" s="3" t="n">
        <v>4</v>
      </c>
      <c r="BI679" s="3" t="n">
        <v>1</v>
      </c>
      <c r="BJ679" s="3" t="n">
        <v>1</v>
      </c>
      <c r="BK679" s="16" t="s">
        <v>1882</v>
      </c>
    </row>
    <row r="680" customFormat="false" ht="16.5" hidden="false" customHeight="true" outlineLevel="0" collapsed="false">
      <c r="B680" s="14" t="s">
        <v>556</v>
      </c>
      <c r="C680" s="14" t="s">
        <v>1883</v>
      </c>
      <c r="D680" s="14" t="s">
        <v>109</v>
      </c>
      <c r="E680" s="14" t="n">
        <v>191069</v>
      </c>
      <c r="F680" s="22" t="n">
        <v>43834</v>
      </c>
      <c r="G680" s="22" t="n">
        <v>43839</v>
      </c>
      <c r="H680" s="3" t="n">
        <v>5</v>
      </c>
      <c r="I680" s="3" t="n">
        <v>2</v>
      </c>
      <c r="J680" s="3" t="n">
        <v>63</v>
      </c>
      <c r="K680" s="3" t="n">
        <v>1</v>
      </c>
      <c r="L680" s="3" t="n">
        <v>2</v>
      </c>
      <c r="M680" s="3" t="n">
        <v>1</v>
      </c>
      <c r="N680" s="3" t="n">
        <v>2</v>
      </c>
      <c r="O680" s="3" t="n">
        <v>2</v>
      </c>
      <c r="P680" s="3" t="n">
        <v>2</v>
      </c>
      <c r="Q680" s="3" t="n">
        <v>1</v>
      </c>
      <c r="R680" s="3" t="n">
        <v>2</v>
      </c>
      <c r="S680" s="3" t="n">
        <v>1</v>
      </c>
      <c r="T680" s="4" t="n">
        <v>1</v>
      </c>
      <c r="U680" s="3" t="n">
        <v>1</v>
      </c>
      <c r="V680" s="3" t="n">
        <v>6.35</v>
      </c>
      <c r="W680" s="3" t="n">
        <v>4.43</v>
      </c>
      <c r="X680" s="3" t="n">
        <v>14.07</v>
      </c>
      <c r="Y680" s="3" t="n">
        <v>478</v>
      </c>
      <c r="Z680" s="3" t="n">
        <v>82</v>
      </c>
      <c r="AA680" s="3" t="n">
        <v>0.45</v>
      </c>
      <c r="AB680" s="3" t="n">
        <v>9</v>
      </c>
      <c r="AC680" s="3" t="n">
        <v>1</v>
      </c>
      <c r="AD680" s="3" t="n">
        <v>2</v>
      </c>
      <c r="AE680" s="3" t="n">
        <v>1</v>
      </c>
      <c r="AF680" s="3" t="n">
        <v>1</v>
      </c>
      <c r="AG680" s="3" t="n">
        <v>2</v>
      </c>
      <c r="AH680" s="3" t="n">
        <v>2</v>
      </c>
      <c r="AI680" s="3" t="n">
        <v>1</v>
      </c>
      <c r="AJ680" s="3" t="n">
        <v>1</v>
      </c>
      <c r="AK680" s="3" t="n">
        <v>2</v>
      </c>
      <c r="AL680" s="3" t="n">
        <v>2</v>
      </c>
      <c r="AM680" s="3" t="n">
        <v>1</v>
      </c>
      <c r="AN680" s="3" t="n">
        <v>2</v>
      </c>
      <c r="AO680" s="3" t="n">
        <v>2</v>
      </c>
      <c r="AP680" s="3" t="n">
        <v>3</v>
      </c>
      <c r="AQ680" s="3" t="n">
        <v>4</v>
      </c>
      <c r="AR680" s="3" t="n">
        <v>4</v>
      </c>
      <c r="AS680" s="3" t="n">
        <v>6</v>
      </c>
      <c r="AT680" s="3" t="n">
        <v>4</v>
      </c>
      <c r="AU680" s="3" t="n">
        <v>4</v>
      </c>
      <c r="AV680" s="3" t="n">
        <v>6</v>
      </c>
      <c r="AW680" s="3" t="n">
        <v>6</v>
      </c>
      <c r="AX680" s="3" t="n">
        <v>3</v>
      </c>
      <c r="AY680" s="3" t="n">
        <v>3</v>
      </c>
      <c r="AZ680" s="3" t="n">
        <v>1</v>
      </c>
      <c r="BA680" s="5" t="n">
        <v>5</v>
      </c>
      <c r="BB680" s="3" t="n">
        <v>2</v>
      </c>
      <c r="BC680" s="3" t="n">
        <v>1</v>
      </c>
      <c r="BD680" s="3" t="n">
        <v>6</v>
      </c>
      <c r="BE680" s="3" t="n">
        <v>3</v>
      </c>
      <c r="BF680" s="3" t="n">
        <v>5</v>
      </c>
      <c r="BG680" s="3" t="n">
        <v>3</v>
      </c>
      <c r="BH680" s="3" t="n">
        <v>4</v>
      </c>
      <c r="BI680" s="3" t="n">
        <v>1</v>
      </c>
      <c r="BJ680" s="3" t="n">
        <v>1</v>
      </c>
      <c r="BK680" s="16" t="s">
        <v>1884</v>
      </c>
    </row>
    <row r="681" customFormat="false" ht="15" hidden="false" customHeight="true" outlineLevel="0" collapsed="false">
      <c r="B681" s="2" t="s">
        <v>1885</v>
      </c>
      <c r="C681" s="2" t="s">
        <v>94</v>
      </c>
      <c r="D681" s="2" t="s">
        <v>239</v>
      </c>
      <c r="E681" s="2" t="n">
        <v>191060</v>
      </c>
      <c r="F681" s="15" t="n">
        <v>43833</v>
      </c>
      <c r="G681" s="15" t="n">
        <v>43840</v>
      </c>
      <c r="H681" s="3" t="n">
        <v>7</v>
      </c>
      <c r="I681" s="3" t="n">
        <v>2</v>
      </c>
      <c r="J681" s="3" t="n">
        <v>64</v>
      </c>
      <c r="K681" s="3" t="n">
        <v>1</v>
      </c>
      <c r="L681" s="3" t="n">
        <v>2</v>
      </c>
      <c r="M681" s="3" t="n">
        <v>2</v>
      </c>
      <c r="N681" s="3" t="n">
        <v>2</v>
      </c>
      <c r="O681" s="3" t="n">
        <v>2</v>
      </c>
      <c r="P681" s="3" t="n">
        <v>2</v>
      </c>
      <c r="Q681" s="3" t="n">
        <v>2</v>
      </c>
      <c r="R681" s="3" t="n">
        <v>2</v>
      </c>
      <c r="S681" s="3" t="n">
        <v>2</v>
      </c>
      <c r="T681" s="4" t="n">
        <v>2</v>
      </c>
      <c r="U681" s="3" t="n">
        <v>2</v>
      </c>
      <c r="V681" s="3" t="n">
        <v>4.32</v>
      </c>
      <c r="W681" s="3" t="n">
        <v>1.48</v>
      </c>
      <c r="X681" s="3" t="n">
        <v>19.2</v>
      </c>
      <c r="Y681" s="3" t="n">
        <v>341</v>
      </c>
      <c r="Z681" s="3" t="n">
        <v>73</v>
      </c>
      <c r="AA681" s="3" t="n">
        <v>0.47</v>
      </c>
      <c r="AC681" s="3" t="n">
        <v>1</v>
      </c>
      <c r="AD681" s="3" t="n">
        <v>2</v>
      </c>
      <c r="AE681" s="3" t="n">
        <v>1</v>
      </c>
      <c r="AF681" s="3" t="n">
        <v>1</v>
      </c>
      <c r="AG681" s="3" t="n">
        <v>1</v>
      </c>
      <c r="AH681" s="3" t="n">
        <v>2</v>
      </c>
      <c r="AI681" s="3" t="n">
        <v>1</v>
      </c>
      <c r="AJ681" s="3" t="n">
        <v>1</v>
      </c>
      <c r="AK681" s="3" t="n">
        <v>1</v>
      </c>
      <c r="AL681" s="3" t="n">
        <v>2</v>
      </c>
      <c r="AM681" s="3" t="n">
        <v>1</v>
      </c>
      <c r="AN681" s="3" t="n">
        <v>2</v>
      </c>
      <c r="AO681" s="3" t="n">
        <v>2</v>
      </c>
      <c r="AP681" s="3" t="n">
        <v>3</v>
      </c>
      <c r="AQ681" s="3" t="n">
        <v>4</v>
      </c>
      <c r="AR681" s="3" t="n">
        <v>4</v>
      </c>
      <c r="AS681" s="3" t="n">
        <v>6</v>
      </c>
      <c r="AT681" s="3" t="n">
        <v>4</v>
      </c>
      <c r="AU681" s="3" t="n">
        <v>4</v>
      </c>
      <c r="AV681" s="3" t="n">
        <v>6</v>
      </c>
      <c r="AW681" s="3" t="n">
        <v>6</v>
      </c>
      <c r="AX681" s="3" t="n">
        <v>3</v>
      </c>
      <c r="AY681" s="3" t="n">
        <v>3</v>
      </c>
      <c r="AZ681" s="3" t="n">
        <v>1</v>
      </c>
      <c r="BA681" s="5" t="n">
        <v>1</v>
      </c>
      <c r="BB681" s="3" t="n">
        <v>1</v>
      </c>
      <c r="BC681" s="3" t="n">
        <v>1</v>
      </c>
      <c r="BD681" s="3" t="n">
        <v>2</v>
      </c>
      <c r="BE681" s="3" t="n">
        <v>1</v>
      </c>
      <c r="BF681" s="3" t="n">
        <v>2</v>
      </c>
      <c r="BG681" s="3" t="n">
        <v>1</v>
      </c>
      <c r="BH681" s="3" t="n">
        <v>4</v>
      </c>
      <c r="BI681" s="3" t="n">
        <v>1</v>
      </c>
      <c r="BJ681" s="3" t="n">
        <v>1</v>
      </c>
      <c r="BK681" s="6" t="s">
        <v>1886</v>
      </c>
    </row>
    <row r="682" s="30" customFormat="true" ht="15" hidden="false" customHeight="true" outlineLevel="0" collapsed="false">
      <c r="A682" s="24"/>
      <c r="B682" s="26" t="s">
        <v>1887</v>
      </c>
      <c r="C682" s="26" t="s">
        <v>1888</v>
      </c>
      <c r="D682" s="26" t="s">
        <v>95</v>
      </c>
      <c r="E682" s="26" t="n">
        <v>191291</v>
      </c>
      <c r="F682" s="27" t="n">
        <v>43840</v>
      </c>
      <c r="G682" s="27" t="n">
        <v>43840</v>
      </c>
      <c r="H682" s="30" t="n">
        <v>0</v>
      </c>
      <c r="I682" s="30" t="n">
        <v>1</v>
      </c>
      <c r="J682" s="30" t="n">
        <v>90</v>
      </c>
      <c r="K682" s="30" t="n">
        <v>1</v>
      </c>
      <c r="L682" s="30" t="n">
        <v>1</v>
      </c>
      <c r="M682" s="30" t="n">
        <v>1</v>
      </c>
      <c r="N682" s="30" t="n">
        <v>2</v>
      </c>
      <c r="O682" s="30" t="n">
        <v>2</v>
      </c>
      <c r="P682" s="30" t="n">
        <v>2</v>
      </c>
      <c r="Q682" s="30" t="n">
        <v>2</v>
      </c>
      <c r="R682" s="30" t="n">
        <v>2</v>
      </c>
      <c r="S682" s="30" t="n">
        <v>2</v>
      </c>
      <c r="T682" s="4" t="n">
        <v>2</v>
      </c>
      <c r="U682" s="30" t="n">
        <v>2</v>
      </c>
      <c r="AC682" s="30" t="n">
        <v>3</v>
      </c>
      <c r="AD682" s="30" t="n">
        <v>2</v>
      </c>
      <c r="AE682" s="30" t="n">
        <v>1</v>
      </c>
      <c r="AF682" s="30" t="n">
        <v>1</v>
      </c>
      <c r="AG682" s="30" t="n">
        <v>2</v>
      </c>
      <c r="AH682" s="30" t="n">
        <v>1</v>
      </c>
      <c r="AI682" s="30" t="n">
        <v>1</v>
      </c>
      <c r="AJ682" s="30" t="n">
        <v>1</v>
      </c>
      <c r="AK682" s="30" t="n">
        <v>2</v>
      </c>
      <c r="AL682" s="30" t="n">
        <v>2</v>
      </c>
      <c r="AM682" s="30" t="n">
        <v>2</v>
      </c>
      <c r="AN682" s="30" t="n">
        <v>2</v>
      </c>
      <c r="AO682" s="30" t="n">
        <v>2</v>
      </c>
      <c r="AP682" s="30" t="n">
        <v>3</v>
      </c>
      <c r="AQ682" s="30" t="n">
        <v>4</v>
      </c>
      <c r="AR682" s="30" t="n">
        <v>4</v>
      </c>
      <c r="AS682" s="30" t="n">
        <v>6</v>
      </c>
      <c r="AT682" s="30" t="n">
        <v>4</v>
      </c>
      <c r="AU682" s="30" t="n">
        <v>4</v>
      </c>
      <c r="AV682" s="30" t="n">
        <v>6</v>
      </c>
      <c r="AW682" s="30" t="n">
        <v>6</v>
      </c>
      <c r="AX682" s="30" t="n">
        <v>3</v>
      </c>
      <c r="AY682" s="30" t="n">
        <v>3</v>
      </c>
      <c r="AZ682" s="30" t="n">
        <v>6</v>
      </c>
      <c r="BA682" s="5" t="n">
        <v>1</v>
      </c>
      <c r="BB682" s="30" t="n">
        <v>1</v>
      </c>
      <c r="BC682" s="30" t="n">
        <v>2</v>
      </c>
      <c r="BD682" s="30" t="n">
        <v>4</v>
      </c>
      <c r="BE682" s="30" t="n">
        <v>1</v>
      </c>
      <c r="BF682" s="30" t="n">
        <v>2</v>
      </c>
      <c r="BG682" s="30" t="n">
        <v>1</v>
      </c>
      <c r="BH682" s="30" t="n">
        <v>4</v>
      </c>
      <c r="BI682" s="30" t="n">
        <v>1</v>
      </c>
      <c r="BJ682" s="30" t="n">
        <v>1</v>
      </c>
      <c r="BK682" s="31" t="s">
        <v>1889</v>
      </c>
    </row>
    <row r="683" customFormat="false" ht="15" hidden="false" customHeight="true" outlineLevel="0" collapsed="false">
      <c r="B683" s="2" t="s">
        <v>1890</v>
      </c>
      <c r="C683" s="2" t="s">
        <v>1176</v>
      </c>
      <c r="D683" s="2" t="s">
        <v>70</v>
      </c>
      <c r="E683" s="2" t="n">
        <v>190542</v>
      </c>
      <c r="F683" s="15" t="n">
        <v>43833</v>
      </c>
      <c r="G683" s="15" t="n">
        <v>43840</v>
      </c>
      <c r="H683" s="3" t="n">
        <v>7</v>
      </c>
      <c r="I683" s="3" t="n">
        <v>2</v>
      </c>
      <c r="J683" s="3" t="n">
        <v>62</v>
      </c>
      <c r="K683" s="3" t="n">
        <v>2</v>
      </c>
      <c r="L683" s="3" t="n">
        <v>1</v>
      </c>
      <c r="M683" s="3" t="n">
        <v>1</v>
      </c>
      <c r="N683" s="3" t="n">
        <v>1</v>
      </c>
      <c r="O683" s="3" t="n">
        <v>2</v>
      </c>
      <c r="P683" s="3" t="n">
        <v>2</v>
      </c>
      <c r="Q683" s="3" t="n">
        <v>1</v>
      </c>
      <c r="R683" s="3" t="n">
        <v>2</v>
      </c>
      <c r="S683" s="3" t="n">
        <v>1</v>
      </c>
      <c r="T683" s="4" t="n">
        <v>12</v>
      </c>
      <c r="U683" s="3" t="n">
        <v>1</v>
      </c>
      <c r="V683" s="3" t="n">
        <v>3.4</v>
      </c>
      <c r="W683" s="3" t="n">
        <v>1.52</v>
      </c>
      <c r="X683" s="3" t="n">
        <v>11.63</v>
      </c>
      <c r="Y683" s="3" t="n">
        <v>259</v>
      </c>
      <c r="Z683" s="3" t="n">
        <v>34</v>
      </c>
      <c r="AA683" s="3" t="n">
        <v>0.46</v>
      </c>
      <c r="AC683" s="3" t="n">
        <v>2</v>
      </c>
      <c r="AD683" s="3" t="n">
        <v>2</v>
      </c>
      <c r="AE683" s="3" t="n">
        <v>1</v>
      </c>
      <c r="AF683" s="3" t="n">
        <v>1</v>
      </c>
      <c r="AG683" s="3" t="n">
        <v>1</v>
      </c>
      <c r="AH683" s="3" t="n">
        <v>1</v>
      </c>
      <c r="AI683" s="3" t="n">
        <v>1</v>
      </c>
      <c r="AJ683" s="3" t="n">
        <v>1</v>
      </c>
      <c r="AK683" s="3" t="n">
        <v>1</v>
      </c>
      <c r="AL683" s="3" t="n">
        <v>2</v>
      </c>
      <c r="AM683" s="3" t="n">
        <v>1</v>
      </c>
      <c r="AN683" s="3" t="n">
        <v>2</v>
      </c>
      <c r="AO683" s="3" t="n">
        <v>1</v>
      </c>
      <c r="AP683" s="3" t="n">
        <v>5</v>
      </c>
      <c r="AQ683" s="3" t="n">
        <v>3</v>
      </c>
      <c r="AR683" s="3" t="n">
        <v>4</v>
      </c>
      <c r="AS683" s="3" t="n">
        <v>6</v>
      </c>
      <c r="AT683" s="3" t="n">
        <v>4</v>
      </c>
      <c r="AU683" s="3" t="n">
        <v>4</v>
      </c>
      <c r="AV683" s="3" t="n">
        <v>1</v>
      </c>
      <c r="AW683" s="3" t="n">
        <v>6</v>
      </c>
      <c r="AX683" s="3" t="n">
        <v>2</v>
      </c>
      <c r="AY683" s="3" t="n">
        <v>1</v>
      </c>
      <c r="AZ683" s="3" t="n">
        <v>10</v>
      </c>
      <c r="BA683" s="5" t="n">
        <v>11</v>
      </c>
      <c r="BB683" s="3" t="n">
        <v>2</v>
      </c>
      <c r="BC683" s="3" t="n">
        <v>1</v>
      </c>
      <c r="BD683" s="3" t="n">
        <v>6</v>
      </c>
      <c r="BE683" s="3" t="n">
        <v>3</v>
      </c>
      <c r="BF683" s="3" t="n">
        <v>5</v>
      </c>
      <c r="BG683" s="3" t="n">
        <v>3</v>
      </c>
      <c r="BH683" s="3" t="n">
        <v>4</v>
      </c>
      <c r="BI683" s="3" t="n">
        <v>1</v>
      </c>
      <c r="BJ683" s="3" t="n">
        <v>1</v>
      </c>
      <c r="BK683" s="6" t="s">
        <v>1891</v>
      </c>
    </row>
    <row r="684" customFormat="false" ht="15" hidden="false" customHeight="true" outlineLevel="0" collapsed="false">
      <c r="B684" s="2" t="s">
        <v>1892</v>
      </c>
      <c r="C684" s="2" t="s">
        <v>873</v>
      </c>
      <c r="D684" s="2" t="s">
        <v>1893</v>
      </c>
      <c r="E684" s="2" t="n">
        <v>191247</v>
      </c>
      <c r="F684" s="15" t="n">
        <v>43838</v>
      </c>
      <c r="G684" s="15" t="n">
        <v>43841</v>
      </c>
      <c r="H684" s="3" t="n">
        <v>3</v>
      </c>
      <c r="I684" s="3" t="n">
        <v>1</v>
      </c>
      <c r="J684" s="3" t="n">
        <v>47</v>
      </c>
      <c r="K684" s="3" t="n">
        <v>1</v>
      </c>
      <c r="L684" s="3" t="n">
        <v>2</v>
      </c>
      <c r="M684" s="3" t="n">
        <v>1</v>
      </c>
      <c r="N684" s="3" t="n">
        <v>2</v>
      </c>
      <c r="O684" s="3" t="n">
        <v>2</v>
      </c>
      <c r="P684" s="3" t="n">
        <v>2</v>
      </c>
      <c r="Q684" s="3" t="n">
        <v>2</v>
      </c>
      <c r="R684" s="3" t="n">
        <v>2</v>
      </c>
      <c r="S684" s="3" t="n">
        <v>2</v>
      </c>
      <c r="T684" s="4" t="n">
        <v>1</v>
      </c>
      <c r="U684" s="3" t="n">
        <v>1</v>
      </c>
      <c r="V684" s="3" t="n">
        <v>4.23</v>
      </c>
      <c r="W684" s="3" t="n">
        <v>0.84</v>
      </c>
      <c r="X684" s="3" t="n">
        <v>5.42</v>
      </c>
      <c r="Y684" s="3" t="n">
        <v>252</v>
      </c>
      <c r="Z684" s="3" t="n">
        <v>46</v>
      </c>
      <c r="AA684" s="3" t="n">
        <v>0.41</v>
      </c>
      <c r="AB684" s="3" t="n">
        <v>8.3</v>
      </c>
      <c r="AC684" s="3" t="n">
        <v>3</v>
      </c>
      <c r="AD684" s="3" t="n">
        <v>1</v>
      </c>
      <c r="AE684" s="3" t="n">
        <v>1</v>
      </c>
      <c r="AF684" s="3" t="n">
        <v>1</v>
      </c>
      <c r="AG684" s="3" t="n">
        <v>2</v>
      </c>
      <c r="AH684" s="3" t="n">
        <v>1</v>
      </c>
      <c r="AI684" s="3" t="n">
        <v>1</v>
      </c>
      <c r="AJ684" s="3" t="n">
        <v>1</v>
      </c>
      <c r="AK684" s="3" t="n">
        <v>2</v>
      </c>
      <c r="AL684" s="3" t="n">
        <v>2</v>
      </c>
      <c r="AM684" s="3" t="n">
        <v>2</v>
      </c>
      <c r="AN684" s="3" t="n">
        <v>2</v>
      </c>
      <c r="AO684" s="3" t="n">
        <v>2</v>
      </c>
      <c r="AP684" s="3" t="n">
        <v>3</v>
      </c>
      <c r="AQ684" s="3" t="n">
        <v>4</v>
      </c>
      <c r="AR684" s="3" t="n">
        <v>4</v>
      </c>
      <c r="AS684" s="3" t="n">
        <v>6</v>
      </c>
      <c r="AT684" s="3" t="n">
        <v>4</v>
      </c>
      <c r="AU684" s="3" t="n">
        <v>4</v>
      </c>
      <c r="AV684" s="3" t="n">
        <v>6</v>
      </c>
      <c r="AW684" s="3" t="n">
        <v>6</v>
      </c>
      <c r="AX684" s="3" t="n">
        <v>3</v>
      </c>
      <c r="AY684" s="3" t="n">
        <v>3</v>
      </c>
      <c r="AZ684" s="3" t="n">
        <v>1</v>
      </c>
      <c r="BA684" s="5" t="n">
        <v>9</v>
      </c>
      <c r="BB684" s="3" t="n">
        <v>2</v>
      </c>
      <c r="BC684" s="3" t="n">
        <v>1</v>
      </c>
      <c r="BD684" s="3" t="n">
        <v>6</v>
      </c>
      <c r="BE684" s="3" t="n">
        <v>3</v>
      </c>
      <c r="BF684" s="3" t="n">
        <v>5</v>
      </c>
      <c r="BG684" s="3" t="n">
        <v>3</v>
      </c>
      <c r="BH684" s="3" t="n">
        <v>4</v>
      </c>
      <c r="BI684" s="3" t="n">
        <v>1</v>
      </c>
      <c r="BJ684" s="3" t="n">
        <v>1</v>
      </c>
      <c r="BK684" s="6" t="s">
        <v>1894</v>
      </c>
    </row>
    <row r="685" customFormat="false" ht="15" hidden="false" customHeight="true" outlineLevel="0" collapsed="false">
      <c r="B685" s="2" t="s">
        <v>1806</v>
      </c>
      <c r="C685" s="2" t="s">
        <v>818</v>
      </c>
      <c r="D685" s="2" t="s">
        <v>839</v>
      </c>
      <c r="E685" s="2" t="n">
        <v>129547</v>
      </c>
      <c r="F685" s="15" t="n">
        <v>43839</v>
      </c>
      <c r="G685" s="15" t="n">
        <v>43844</v>
      </c>
      <c r="H685" s="3" t="n">
        <v>5</v>
      </c>
      <c r="I685" s="3" t="n">
        <v>1</v>
      </c>
      <c r="J685" s="3" t="n">
        <v>78</v>
      </c>
      <c r="K685" s="3" t="n">
        <v>1</v>
      </c>
      <c r="L685" s="3" t="n">
        <v>2</v>
      </c>
      <c r="M685" s="3" t="n">
        <v>1</v>
      </c>
      <c r="N685" s="3" t="n">
        <v>2</v>
      </c>
      <c r="O685" s="3" t="n">
        <v>2</v>
      </c>
      <c r="P685" s="3" t="n">
        <v>2</v>
      </c>
      <c r="Q685" s="3" t="n">
        <v>2</v>
      </c>
      <c r="R685" s="3" t="n">
        <v>1</v>
      </c>
      <c r="S685" s="3" t="n">
        <v>1</v>
      </c>
      <c r="T685" s="4" t="n">
        <v>3</v>
      </c>
      <c r="U685" s="3" t="n">
        <v>1</v>
      </c>
      <c r="V685" s="3" t="n">
        <v>4.04</v>
      </c>
      <c r="W685" s="3" t="n">
        <v>1.4</v>
      </c>
      <c r="X685" s="3" t="n">
        <v>3.49</v>
      </c>
      <c r="Y685" s="3" t="n">
        <v>397</v>
      </c>
      <c r="Z685" s="3" t="n">
        <v>270</v>
      </c>
      <c r="AA685" s="3" t="n">
        <v>0.33</v>
      </c>
      <c r="AB685" s="3" t="n">
        <v>16.3</v>
      </c>
      <c r="AC685" s="3" t="n">
        <v>3</v>
      </c>
      <c r="AD685" s="3" t="n">
        <v>2</v>
      </c>
      <c r="AE685" s="3" t="n">
        <v>1</v>
      </c>
      <c r="AF685" s="3" t="n">
        <v>1</v>
      </c>
      <c r="AG685" s="3" t="n">
        <v>2</v>
      </c>
      <c r="AH685" s="3" t="n">
        <v>1</v>
      </c>
      <c r="AI685" s="3" t="n">
        <v>1</v>
      </c>
      <c r="AJ685" s="3" t="n">
        <v>1</v>
      </c>
      <c r="AK685" s="3" t="n">
        <v>2</v>
      </c>
      <c r="AL685" s="3" t="n">
        <v>1</v>
      </c>
      <c r="AM685" s="3" t="n">
        <v>1</v>
      </c>
      <c r="AN685" s="3" t="n">
        <v>2</v>
      </c>
      <c r="AO685" s="3" t="n">
        <v>2</v>
      </c>
      <c r="AP685" s="3" t="n">
        <v>3</v>
      </c>
      <c r="AQ685" s="3" t="n">
        <v>4</v>
      </c>
      <c r="AR685" s="3" t="n">
        <v>4</v>
      </c>
      <c r="AS685" s="3" t="n">
        <v>6</v>
      </c>
      <c r="AT685" s="3" t="n">
        <v>4</v>
      </c>
      <c r="AU685" s="3" t="n">
        <v>4</v>
      </c>
      <c r="AV685" s="3" t="n">
        <v>6</v>
      </c>
      <c r="AW685" s="3" t="n">
        <v>6</v>
      </c>
      <c r="AX685" s="3" t="n">
        <v>3</v>
      </c>
      <c r="AY685" s="3" t="n">
        <v>3</v>
      </c>
      <c r="AZ685" s="3" t="n">
        <v>1</v>
      </c>
      <c r="BA685" s="5" t="n">
        <v>11</v>
      </c>
      <c r="BB685" s="3" t="n">
        <v>2</v>
      </c>
      <c r="BC685" s="3" t="n">
        <v>1</v>
      </c>
      <c r="BD685" s="3" t="n">
        <v>6</v>
      </c>
      <c r="BE685" s="3" t="n">
        <v>3</v>
      </c>
      <c r="BF685" s="3" t="n">
        <v>5</v>
      </c>
      <c r="BG685" s="3" t="n">
        <v>3</v>
      </c>
      <c r="BH685" s="3" t="n">
        <v>4</v>
      </c>
      <c r="BI685" s="3" t="n">
        <v>1</v>
      </c>
      <c r="BJ685" s="3" t="n">
        <v>1</v>
      </c>
      <c r="BK685" s="6" t="s">
        <v>1807</v>
      </c>
    </row>
    <row r="686" s="30" customFormat="true" ht="15" hidden="false" customHeight="true" outlineLevel="0" collapsed="false">
      <c r="A686" s="24"/>
      <c r="B686" s="26" t="s">
        <v>1895</v>
      </c>
      <c r="C686" s="26" t="s">
        <v>1896</v>
      </c>
      <c r="D686" s="26" t="s">
        <v>1897</v>
      </c>
      <c r="E686" s="26" t="n">
        <v>191215</v>
      </c>
      <c r="F686" s="27" t="n">
        <v>43843</v>
      </c>
      <c r="G686" s="27" t="n">
        <v>43843</v>
      </c>
      <c r="H686" s="30" t="n">
        <v>0</v>
      </c>
      <c r="I686" s="30" t="n">
        <v>2</v>
      </c>
      <c r="J686" s="30" t="n">
        <v>59</v>
      </c>
      <c r="K686" s="30" t="n">
        <v>2</v>
      </c>
      <c r="L686" s="30" t="n">
        <v>1</v>
      </c>
      <c r="M686" s="30" t="n">
        <v>1</v>
      </c>
      <c r="N686" s="30" t="n">
        <v>2</v>
      </c>
      <c r="O686" s="30" t="n">
        <v>2</v>
      </c>
      <c r="P686" s="30" t="n">
        <v>2</v>
      </c>
      <c r="Q686" s="30" t="n">
        <v>2</v>
      </c>
      <c r="R686" s="30" t="n">
        <v>2</v>
      </c>
      <c r="S686" s="30" t="n">
        <v>2</v>
      </c>
      <c r="T686" s="4" t="n">
        <v>3</v>
      </c>
      <c r="U686" s="30" t="n">
        <v>4</v>
      </c>
      <c r="AC686" s="30" t="n">
        <v>3</v>
      </c>
      <c r="AD686" s="30" t="n">
        <v>2</v>
      </c>
      <c r="AE686" s="30" t="n">
        <v>1</v>
      </c>
      <c r="AF686" s="30" t="n">
        <v>1</v>
      </c>
      <c r="AG686" s="30" t="n">
        <v>2</v>
      </c>
      <c r="AH686" s="30" t="n">
        <v>2</v>
      </c>
      <c r="AI686" s="30" t="n">
        <v>2</v>
      </c>
      <c r="AJ686" s="30" t="n">
        <v>2</v>
      </c>
      <c r="AK686" s="30" t="n">
        <v>2</v>
      </c>
      <c r="AL686" s="30" t="n">
        <v>2</v>
      </c>
      <c r="AM686" s="30" t="n">
        <v>2</v>
      </c>
      <c r="AN686" s="30" t="n">
        <v>2</v>
      </c>
      <c r="AO686" s="30" t="n">
        <v>2</v>
      </c>
      <c r="AP686" s="30" t="n">
        <v>3</v>
      </c>
      <c r="AQ686" s="30" t="n">
        <v>4</v>
      </c>
      <c r="AR686" s="30" t="n">
        <v>4</v>
      </c>
      <c r="AS686" s="30" t="n">
        <v>6</v>
      </c>
      <c r="AT686" s="30" t="n">
        <v>4</v>
      </c>
      <c r="AU686" s="30" t="n">
        <v>4</v>
      </c>
      <c r="AV686" s="30" t="n">
        <v>6</v>
      </c>
      <c r="AW686" s="30" t="n">
        <v>6</v>
      </c>
      <c r="AX686" s="30" t="n">
        <v>3</v>
      </c>
      <c r="AY686" s="30" t="n">
        <v>3</v>
      </c>
      <c r="AZ686" s="30" t="n">
        <v>10</v>
      </c>
      <c r="BA686" s="5" t="n">
        <v>11</v>
      </c>
      <c r="BB686" s="30" t="n">
        <v>2</v>
      </c>
      <c r="BC686" s="30" t="n">
        <v>1</v>
      </c>
      <c r="BD686" s="30" t="n">
        <v>6</v>
      </c>
      <c r="BE686" s="30" t="n">
        <v>3</v>
      </c>
      <c r="BF686" s="30" t="n">
        <v>5</v>
      </c>
      <c r="BG686" s="30" t="n">
        <v>3</v>
      </c>
      <c r="BH686" s="30" t="n">
        <v>4</v>
      </c>
      <c r="BI686" s="30" t="n">
        <v>1</v>
      </c>
      <c r="BJ686" s="30" t="n">
        <v>1</v>
      </c>
      <c r="BK686" s="31" t="s">
        <v>1898</v>
      </c>
    </row>
    <row r="687" customFormat="false" ht="15" hidden="false" customHeight="true" outlineLevel="0" collapsed="false">
      <c r="B687" s="2" t="s">
        <v>1899</v>
      </c>
      <c r="C687" s="2" t="s">
        <v>94</v>
      </c>
      <c r="D687" s="2" t="s">
        <v>118</v>
      </c>
      <c r="E687" s="2" t="n">
        <v>191260</v>
      </c>
      <c r="F687" s="15" t="n">
        <v>43839</v>
      </c>
      <c r="G687" s="15" t="n">
        <v>43844</v>
      </c>
      <c r="H687" s="3" t="n">
        <v>5</v>
      </c>
      <c r="I687" s="3" t="n">
        <v>1</v>
      </c>
      <c r="J687" s="3" t="n">
        <v>84</v>
      </c>
      <c r="K687" s="3" t="n">
        <v>1</v>
      </c>
      <c r="L687" s="3" t="n">
        <v>2</v>
      </c>
      <c r="M687" s="3" t="n">
        <v>1</v>
      </c>
      <c r="N687" s="3" t="n">
        <v>2</v>
      </c>
      <c r="O687" s="3" t="n">
        <v>2</v>
      </c>
      <c r="P687" s="3" t="n">
        <v>2</v>
      </c>
      <c r="Q687" s="3" t="n">
        <v>1</v>
      </c>
      <c r="R687" s="3" t="n">
        <v>2</v>
      </c>
      <c r="S687" s="3" t="n">
        <v>2</v>
      </c>
      <c r="T687" s="4" t="n">
        <v>1</v>
      </c>
      <c r="U687" s="3" t="n">
        <v>1</v>
      </c>
      <c r="V687" s="3" t="n">
        <v>6.08</v>
      </c>
      <c r="W687" s="3" t="n">
        <v>2.76</v>
      </c>
      <c r="X687" s="3" t="n">
        <v>7.24</v>
      </c>
      <c r="Y687" s="3" t="n">
        <v>408</v>
      </c>
      <c r="Z687" s="3" t="n">
        <v>67</v>
      </c>
      <c r="AA687" s="3" t="n">
        <v>0.36</v>
      </c>
      <c r="AB687" s="3" t="n">
        <v>6</v>
      </c>
      <c r="AC687" s="3" t="n">
        <v>1</v>
      </c>
      <c r="AD687" s="3" t="n">
        <v>1</v>
      </c>
      <c r="AE687" s="3" t="n">
        <v>1</v>
      </c>
      <c r="AF687" s="3" t="n">
        <v>1</v>
      </c>
      <c r="AG687" s="3" t="n">
        <v>2</v>
      </c>
      <c r="AH687" s="3" t="n">
        <v>1</v>
      </c>
      <c r="AI687" s="3" t="n">
        <v>1</v>
      </c>
      <c r="AJ687" s="3" t="n">
        <v>1</v>
      </c>
      <c r="AK687" s="3" t="n">
        <v>2</v>
      </c>
      <c r="AL687" s="3" t="n">
        <v>2</v>
      </c>
      <c r="AM687" s="3" t="n">
        <v>2</v>
      </c>
      <c r="AN687" s="3" t="n">
        <v>2</v>
      </c>
      <c r="AO687" s="3" t="n">
        <v>2</v>
      </c>
      <c r="AP687" s="3" t="n">
        <v>3</v>
      </c>
      <c r="AQ687" s="3" t="n">
        <v>4</v>
      </c>
      <c r="AR687" s="3" t="n">
        <v>4</v>
      </c>
      <c r="AS687" s="3" t="n">
        <v>6</v>
      </c>
      <c r="AT687" s="3" t="n">
        <v>4</v>
      </c>
      <c r="AU687" s="3" t="n">
        <v>4</v>
      </c>
      <c r="AV687" s="3" t="n">
        <v>6</v>
      </c>
      <c r="AW687" s="3" t="n">
        <v>6</v>
      </c>
      <c r="AX687" s="3" t="n">
        <v>3</v>
      </c>
      <c r="AY687" s="3" t="n">
        <v>3</v>
      </c>
      <c r="AZ687" s="3" t="n">
        <v>1</v>
      </c>
      <c r="BA687" s="5" t="n">
        <v>5</v>
      </c>
      <c r="BB687" s="3" t="n">
        <v>2</v>
      </c>
      <c r="BC687" s="3" t="n">
        <v>1</v>
      </c>
      <c r="BD687" s="3" t="n">
        <v>6</v>
      </c>
      <c r="BE687" s="3" t="n">
        <v>3</v>
      </c>
      <c r="BF687" s="3" t="n">
        <v>5</v>
      </c>
      <c r="BG687" s="3" t="n">
        <v>3</v>
      </c>
      <c r="BH687" s="3" t="n">
        <v>4</v>
      </c>
      <c r="BI687" s="3" t="n">
        <v>1</v>
      </c>
      <c r="BJ687" s="3" t="n">
        <v>1</v>
      </c>
      <c r="BK687" s="6" t="s">
        <v>1900</v>
      </c>
    </row>
    <row r="688" customFormat="false" ht="15" hidden="false" customHeight="true" outlineLevel="0" collapsed="false">
      <c r="B688" s="2" t="s">
        <v>1901</v>
      </c>
      <c r="C688" s="2" t="s">
        <v>1478</v>
      </c>
      <c r="D688" s="2" t="s">
        <v>91</v>
      </c>
      <c r="E688" s="2" t="n">
        <v>191255</v>
      </c>
      <c r="F688" s="15" t="n">
        <v>43839</v>
      </c>
      <c r="G688" s="15" t="n">
        <v>43845</v>
      </c>
      <c r="H688" s="3" t="n">
        <v>6</v>
      </c>
      <c r="I688" s="3" t="n">
        <v>1</v>
      </c>
      <c r="J688" s="3" t="n">
        <v>72</v>
      </c>
      <c r="K688" s="3" t="n">
        <v>1</v>
      </c>
      <c r="L688" s="3" t="n">
        <v>2</v>
      </c>
      <c r="M688" s="3" t="n">
        <v>1</v>
      </c>
      <c r="N688" s="3" t="n">
        <v>2</v>
      </c>
      <c r="O688" s="3" t="n">
        <v>1</v>
      </c>
      <c r="P688" s="3" t="n">
        <v>2</v>
      </c>
      <c r="Q688" s="3" t="n">
        <v>1</v>
      </c>
      <c r="R688" s="3" t="n">
        <v>2</v>
      </c>
      <c r="S688" s="3" t="n">
        <v>2</v>
      </c>
      <c r="T688" s="4" t="n">
        <v>2</v>
      </c>
      <c r="U688" s="3" t="n">
        <v>2</v>
      </c>
      <c r="V688" s="3" t="n">
        <v>6.13</v>
      </c>
      <c r="W688" s="3" t="n">
        <v>1.3</v>
      </c>
      <c r="X688" s="3" t="n">
        <v>8.53</v>
      </c>
      <c r="Y688" s="3" t="n">
        <v>246</v>
      </c>
      <c r="Z688" s="3" t="n">
        <v>56</v>
      </c>
      <c r="AA688" s="3" t="n">
        <v>0.45</v>
      </c>
      <c r="AB688" s="3" t="n">
        <v>11.2</v>
      </c>
      <c r="AC688" s="3" t="n">
        <v>1</v>
      </c>
      <c r="AD688" s="3" t="n">
        <v>2</v>
      </c>
      <c r="AE688" s="3" t="n">
        <v>1</v>
      </c>
      <c r="AF688" s="3" t="n">
        <v>1</v>
      </c>
      <c r="AG688" s="3" t="n">
        <v>2</v>
      </c>
      <c r="AH688" s="3" t="n">
        <v>1</v>
      </c>
      <c r="AI688" s="3" t="n">
        <v>2</v>
      </c>
      <c r="AJ688" s="3" t="n">
        <v>1</v>
      </c>
      <c r="AK688" s="3" t="n">
        <v>2</v>
      </c>
      <c r="AL688" s="3" t="n">
        <v>2</v>
      </c>
      <c r="AM688" s="3" t="n">
        <v>2</v>
      </c>
      <c r="AN688" s="3" t="n">
        <v>2</v>
      </c>
      <c r="AO688" s="3" t="n">
        <v>2</v>
      </c>
      <c r="AP688" s="3" t="n">
        <v>2</v>
      </c>
      <c r="AQ688" s="3" t="n">
        <v>3</v>
      </c>
      <c r="AR688" s="3" t="n">
        <v>7</v>
      </c>
      <c r="AS688" s="3" t="n">
        <v>2</v>
      </c>
      <c r="AT688" s="3" t="n">
        <v>2</v>
      </c>
      <c r="AU688" s="3" t="n">
        <v>1</v>
      </c>
      <c r="AV688" s="3" t="n">
        <v>1</v>
      </c>
      <c r="AW688" s="3" t="n">
        <v>1</v>
      </c>
      <c r="AX688" s="3" t="n">
        <v>2</v>
      </c>
      <c r="AY688" s="3" t="n">
        <v>2</v>
      </c>
      <c r="AZ688" s="3" t="n">
        <v>1</v>
      </c>
      <c r="BA688" s="5" t="n">
        <v>1</v>
      </c>
      <c r="BB688" s="3" t="n">
        <v>1</v>
      </c>
      <c r="BC688" s="3" t="n">
        <v>1</v>
      </c>
      <c r="BD688" s="3" t="n">
        <v>2</v>
      </c>
      <c r="BE688" s="3" t="n">
        <v>1</v>
      </c>
      <c r="BF688" s="3" t="n">
        <v>2</v>
      </c>
      <c r="BG688" s="3" t="n">
        <v>1</v>
      </c>
      <c r="BH688" s="3" t="n">
        <v>4</v>
      </c>
      <c r="BI688" s="3" t="n">
        <v>1</v>
      </c>
      <c r="BJ688" s="3" t="n">
        <v>1</v>
      </c>
      <c r="BK688" s="6" t="s">
        <v>1902</v>
      </c>
    </row>
    <row r="689" customFormat="false" ht="15" hidden="false" customHeight="true" outlineLevel="0" collapsed="false">
      <c r="B689" s="2" t="s">
        <v>1903</v>
      </c>
      <c r="C689" s="2" t="s">
        <v>1904</v>
      </c>
      <c r="D689" s="2" t="s">
        <v>168</v>
      </c>
      <c r="E689" s="2" t="n">
        <v>163486</v>
      </c>
      <c r="F689" s="15" t="n">
        <v>43836</v>
      </c>
      <c r="G689" s="15" t="n">
        <v>43844</v>
      </c>
      <c r="H689" s="3" t="n">
        <v>8</v>
      </c>
      <c r="I689" s="3" t="n">
        <v>1</v>
      </c>
      <c r="J689" s="3" t="n">
        <v>84</v>
      </c>
      <c r="K689" s="3" t="n">
        <v>1</v>
      </c>
      <c r="L689" s="3" t="n">
        <v>2</v>
      </c>
      <c r="M689" s="3" t="n">
        <v>1</v>
      </c>
      <c r="N689" s="3" t="n">
        <v>2</v>
      </c>
      <c r="O689" s="3" t="n">
        <v>2</v>
      </c>
      <c r="P689" s="3" t="n">
        <v>2</v>
      </c>
      <c r="Q689" s="3" t="n">
        <v>1</v>
      </c>
      <c r="R689" s="3" t="n">
        <v>1</v>
      </c>
      <c r="S689" s="3" t="n">
        <v>1</v>
      </c>
      <c r="T689" s="4" t="n">
        <v>3</v>
      </c>
      <c r="U689" s="3" t="n">
        <v>4</v>
      </c>
      <c r="V689" s="3" t="n">
        <v>4.09</v>
      </c>
      <c r="W689" s="3" t="n">
        <v>1.01</v>
      </c>
      <c r="X689" s="3" t="n">
        <v>13.96</v>
      </c>
      <c r="Y689" s="3" t="n">
        <v>436</v>
      </c>
      <c r="Z689" s="3" t="n">
        <v>97</v>
      </c>
      <c r="AA689" s="3" t="n">
        <v>0.36</v>
      </c>
      <c r="AB689" s="3" t="n">
        <v>10</v>
      </c>
      <c r="AC689" s="3" t="n">
        <v>1</v>
      </c>
      <c r="AD689" s="3" t="n">
        <v>2</v>
      </c>
      <c r="AE689" s="3" t="n">
        <v>2</v>
      </c>
      <c r="AF689" s="3" t="n">
        <v>1</v>
      </c>
      <c r="AG689" s="3" t="n">
        <v>2</v>
      </c>
      <c r="AH689" s="3" t="n">
        <v>1</v>
      </c>
      <c r="AI689" s="3" t="n">
        <v>2</v>
      </c>
      <c r="AJ689" s="3" t="n">
        <v>2</v>
      </c>
      <c r="AK689" s="3" t="n">
        <v>1</v>
      </c>
      <c r="AL689" s="3" t="n">
        <v>2</v>
      </c>
      <c r="AM689" s="3" t="n">
        <v>1</v>
      </c>
      <c r="AN689" s="3" t="n">
        <v>2</v>
      </c>
      <c r="AO689" s="3" t="n">
        <v>2</v>
      </c>
      <c r="AP689" s="3" t="n">
        <v>3</v>
      </c>
      <c r="AQ689" s="3" t="n">
        <v>4</v>
      </c>
      <c r="AR689" s="3" t="n">
        <v>4</v>
      </c>
      <c r="AS689" s="3" t="n">
        <v>6</v>
      </c>
      <c r="AT689" s="3" t="n">
        <v>4</v>
      </c>
      <c r="AU689" s="3" t="n">
        <v>4</v>
      </c>
      <c r="AV689" s="3" t="n">
        <v>6</v>
      </c>
      <c r="AW689" s="3" t="n">
        <v>6</v>
      </c>
      <c r="AX689" s="3" t="n">
        <v>3</v>
      </c>
      <c r="AY689" s="3" t="n">
        <v>3</v>
      </c>
      <c r="AZ689" s="3" t="n">
        <v>1</v>
      </c>
      <c r="BA689" s="5" t="n">
        <v>11</v>
      </c>
      <c r="BB689" s="3" t="n">
        <v>2</v>
      </c>
      <c r="BC689" s="3" t="n">
        <v>1</v>
      </c>
      <c r="BD689" s="3" t="n">
        <v>6</v>
      </c>
      <c r="BE689" s="3" t="n">
        <v>3</v>
      </c>
      <c r="BF689" s="3" t="n">
        <v>5</v>
      </c>
      <c r="BG689" s="3" t="n">
        <v>3</v>
      </c>
      <c r="BH689" s="3" t="n">
        <v>4</v>
      </c>
      <c r="BI689" s="3" t="n">
        <v>1</v>
      </c>
      <c r="BJ689" s="3" t="n">
        <v>1</v>
      </c>
      <c r="BK689" s="6" t="s">
        <v>1905</v>
      </c>
    </row>
    <row r="690" customFormat="false" ht="15" hidden="false" customHeight="true" outlineLevel="0" collapsed="false">
      <c r="B690" s="2" t="s">
        <v>1906</v>
      </c>
      <c r="C690" s="2" t="s">
        <v>1907</v>
      </c>
      <c r="D690" s="2" t="s">
        <v>665</v>
      </c>
      <c r="E690" s="2" t="n">
        <v>191417</v>
      </c>
      <c r="F690" s="15" t="n">
        <v>43843</v>
      </c>
      <c r="G690" s="15" t="n">
        <v>43847</v>
      </c>
      <c r="H690" s="3" t="n">
        <v>4</v>
      </c>
      <c r="I690" s="3" t="n">
        <v>2</v>
      </c>
      <c r="J690" s="3" t="n">
        <v>78</v>
      </c>
      <c r="K690" s="3" t="n">
        <v>1</v>
      </c>
      <c r="L690" s="3" t="n">
        <v>2</v>
      </c>
      <c r="M690" s="3" t="n">
        <v>1</v>
      </c>
      <c r="N690" s="3" t="n">
        <v>2</v>
      </c>
      <c r="O690" s="3" t="n">
        <v>2</v>
      </c>
      <c r="P690" s="3" t="n">
        <v>2</v>
      </c>
      <c r="Q690" s="3" t="n">
        <v>2</v>
      </c>
      <c r="R690" s="3" t="n">
        <v>2</v>
      </c>
      <c r="S690" s="3" t="n">
        <v>1</v>
      </c>
      <c r="T690" s="4" t="n">
        <v>1</v>
      </c>
      <c r="U690" s="3" t="n">
        <v>1</v>
      </c>
      <c r="AC690" s="3" t="n">
        <v>1</v>
      </c>
      <c r="AD690" s="3" t="n">
        <v>2</v>
      </c>
      <c r="AE690" s="3" t="n">
        <v>1</v>
      </c>
      <c r="AF690" s="3" t="n">
        <v>1</v>
      </c>
      <c r="AG690" s="3" t="n">
        <v>1</v>
      </c>
      <c r="AH690" s="3" t="n">
        <v>2</v>
      </c>
      <c r="AI690" s="3" t="n">
        <v>1</v>
      </c>
      <c r="AJ690" s="3" t="n">
        <v>1</v>
      </c>
      <c r="AK690" s="3" t="n">
        <v>2</v>
      </c>
      <c r="AL690" s="3" t="n">
        <v>2</v>
      </c>
      <c r="AM690" s="3" t="n">
        <v>2</v>
      </c>
      <c r="AN690" s="3" t="n">
        <v>2</v>
      </c>
      <c r="AO690" s="3" t="n">
        <v>2</v>
      </c>
      <c r="AP690" s="3" t="n">
        <v>3</v>
      </c>
      <c r="AQ690" s="3" t="n">
        <v>4</v>
      </c>
      <c r="AR690" s="3" t="n">
        <v>4</v>
      </c>
      <c r="AS690" s="3" t="n">
        <v>6</v>
      </c>
      <c r="AT690" s="3" t="n">
        <v>4</v>
      </c>
      <c r="AU690" s="3" t="n">
        <v>4</v>
      </c>
      <c r="AV690" s="3" t="n">
        <v>6</v>
      </c>
      <c r="AW690" s="3" t="n">
        <v>6</v>
      </c>
      <c r="AX690" s="3" t="n">
        <v>3</v>
      </c>
      <c r="AY690" s="3" t="n">
        <v>3</v>
      </c>
      <c r="AZ690" s="3" t="n">
        <v>1</v>
      </c>
      <c r="BA690" s="5" t="n">
        <v>5</v>
      </c>
      <c r="BB690" s="3" t="n">
        <v>2</v>
      </c>
      <c r="BC690" s="3" t="n">
        <v>1</v>
      </c>
      <c r="BD690" s="3" t="n">
        <v>6</v>
      </c>
      <c r="BE690" s="3" t="n">
        <v>3</v>
      </c>
      <c r="BF690" s="3" t="n">
        <v>5</v>
      </c>
      <c r="BG690" s="3" t="n">
        <v>3</v>
      </c>
      <c r="BH690" s="3" t="n">
        <v>4</v>
      </c>
      <c r="BI690" s="3" t="n">
        <v>1</v>
      </c>
      <c r="BJ690" s="3" t="n">
        <v>1</v>
      </c>
      <c r="BK690" s="6" t="s">
        <v>1908</v>
      </c>
    </row>
    <row r="691" customFormat="false" ht="15" hidden="false" customHeight="true" outlineLevel="0" collapsed="false">
      <c r="B691" s="2" t="s">
        <v>1909</v>
      </c>
      <c r="C691" s="2" t="s">
        <v>94</v>
      </c>
      <c r="D691" s="2" t="s">
        <v>1910</v>
      </c>
      <c r="E691" s="2" t="n">
        <v>191210</v>
      </c>
      <c r="F691" s="15" t="n">
        <v>43842</v>
      </c>
      <c r="G691" s="15" t="n">
        <v>43850</v>
      </c>
      <c r="H691" s="3" t="n">
        <v>8</v>
      </c>
      <c r="I691" s="3" t="n">
        <v>1</v>
      </c>
      <c r="J691" s="3" t="n">
        <v>76</v>
      </c>
      <c r="K691" s="3" t="n">
        <v>1</v>
      </c>
      <c r="L691" s="3" t="n">
        <v>2</v>
      </c>
      <c r="M691" s="3" t="n">
        <v>2</v>
      </c>
      <c r="N691" s="3" t="n">
        <v>2</v>
      </c>
      <c r="O691" s="3" t="n">
        <v>2</v>
      </c>
      <c r="P691" s="3" t="n">
        <v>2</v>
      </c>
      <c r="Q691" s="3" t="n">
        <v>1</v>
      </c>
      <c r="R691" s="3" t="n">
        <v>2</v>
      </c>
      <c r="S691" s="3" t="n">
        <v>2</v>
      </c>
      <c r="T691" s="4" t="n">
        <v>2</v>
      </c>
      <c r="U691" s="3" t="n">
        <v>2</v>
      </c>
      <c r="V691" s="3" t="n">
        <v>6.7</v>
      </c>
      <c r="W691" s="3" t="n">
        <v>1.75</v>
      </c>
      <c r="X691" s="3" t="n">
        <v>15.02</v>
      </c>
      <c r="Y691" s="3" t="n">
        <v>241</v>
      </c>
      <c r="Z691" s="3" t="n">
        <v>43</v>
      </c>
      <c r="AA691" s="3" t="n">
        <v>0.4</v>
      </c>
      <c r="AB691" s="3" t="n">
        <v>11.6</v>
      </c>
      <c r="AC691" s="3" t="n">
        <v>1</v>
      </c>
      <c r="AD691" s="3" t="n">
        <v>2</v>
      </c>
      <c r="AE691" s="3" t="n">
        <v>1</v>
      </c>
      <c r="AF691" s="3" t="n">
        <v>1</v>
      </c>
      <c r="AG691" s="3" t="n">
        <v>2</v>
      </c>
      <c r="AH691" s="3" t="n">
        <v>2</v>
      </c>
      <c r="AI691" s="3" t="n">
        <v>1</v>
      </c>
      <c r="AJ691" s="3" t="n">
        <v>1</v>
      </c>
      <c r="AK691" s="3" t="n">
        <v>1</v>
      </c>
      <c r="AL691" s="3" t="n">
        <v>2</v>
      </c>
      <c r="AM691" s="3" t="n">
        <v>1</v>
      </c>
      <c r="AN691" s="3" t="n">
        <v>2</v>
      </c>
      <c r="AO691" s="3" t="n">
        <v>2</v>
      </c>
      <c r="AP691" s="3" t="n">
        <v>3</v>
      </c>
      <c r="AQ691" s="3" t="n">
        <v>4</v>
      </c>
      <c r="AR691" s="3" t="n">
        <v>4</v>
      </c>
      <c r="AS691" s="3" t="n">
        <v>6</v>
      </c>
      <c r="AT691" s="3" t="n">
        <v>4</v>
      </c>
      <c r="AU691" s="3" t="n">
        <v>4</v>
      </c>
      <c r="AV691" s="3" t="n">
        <v>6</v>
      </c>
      <c r="AW691" s="3" t="n">
        <v>6</v>
      </c>
      <c r="AX691" s="3" t="n">
        <v>3</v>
      </c>
      <c r="AY691" s="3" t="n">
        <v>3</v>
      </c>
      <c r="AZ691" s="3" t="n">
        <v>1</v>
      </c>
      <c r="BA691" s="5" t="n">
        <v>1</v>
      </c>
      <c r="BB691" s="3" t="n">
        <v>1</v>
      </c>
      <c r="BC691" s="3" t="n">
        <v>1</v>
      </c>
      <c r="BD691" s="3" t="n">
        <v>4</v>
      </c>
      <c r="BE691" s="3" t="n">
        <v>1</v>
      </c>
      <c r="BF691" s="3" t="n">
        <v>2</v>
      </c>
      <c r="BG691" s="3" t="n">
        <v>1</v>
      </c>
      <c r="BH691" s="3" t="n">
        <v>4</v>
      </c>
      <c r="BI691" s="3" t="n">
        <v>1</v>
      </c>
      <c r="BJ691" s="3" t="n">
        <v>1</v>
      </c>
      <c r="BK691" s="6" t="s">
        <v>1911</v>
      </c>
    </row>
    <row r="692" customFormat="false" ht="15" hidden="false" customHeight="true" outlineLevel="0" collapsed="false">
      <c r="B692" s="2" t="s">
        <v>1912</v>
      </c>
      <c r="C692" s="2" t="s">
        <v>1913</v>
      </c>
      <c r="D692" s="2" t="s">
        <v>95</v>
      </c>
      <c r="E692" s="2" t="n">
        <v>191220</v>
      </c>
      <c r="F692" s="15" t="n">
        <v>43842</v>
      </c>
      <c r="G692" s="15" t="n">
        <v>43849</v>
      </c>
      <c r="H692" s="3" t="n">
        <v>7</v>
      </c>
      <c r="I692" s="3" t="n">
        <v>1</v>
      </c>
      <c r="J692" s="3" t="n">
        <v>57</v>
      </c>
      <c r="K692" s="3" t="n">
        <v>1</v>
      </c>
      <c r="L692" s="3" t="n">
        <v>1</v>
      </c>
      <c r="M692" s="3" t="n">
        <v>1</v>
      </c>
      <c r="N692" s="3" t="n">
        <v>2</v>
      </c>
      <c r="O692" s="3" t="n">
        <v>2</v>
      </c>
      <c r="P692" s="3" t="n">
        <v>2</v>
      </c>
      <c r="Q692" s="3" t="n">
        <v>2</v>
      </c>
      <c r="R692" s="3" t="n">
        <v>2</v>
      </c>
      <c r="S692" s="3" t="n">
        <v>2</v>
      </c>
      <c r="T692" s="4" t="n">
        <v>2</v>
      </c>
      <c r="U692" s="3" t="n">
        <v>2</v>
      </c>
      <c r="V692" s="3" t="n">
        <v>5.3</v>
      </c>
      <c r="W692" s="3" t="n">
        <v>0.78</v>
      </c>
      <c r="X692" s="3" t="n">
        <v>9.14</v>
      </c>
      <c r="Y692" s="3" t="n">
        <v>487</v>
      </c>
      <c r="Z692" s="3" t="n">
        <v>83</v>
      </c>
      <c r="AA692" s="3" t="n">
        <v>0.46</v>
      </c>
      <c r="AB692" s="3" t="n">
        <v>14.3</v>
      </c>
      <c r="AC692" s="3" t="n">
        <v>1</v>
      </c>
      <c r="AD692" s="3" t="n">
        <v>2</v>
      </c>
      <c r="AE692" s="3" t="n">
        <v>1</v>
      </c>
      <c r="AF692" s="3" t="n">
        <v>1</v>
      </c>
      <c r="AG692" s="3" t="n">
        <v>2</v>
      </c>
      <c r="AH692" s="3" t="n">
        <v>2</v>
      </c>
      <c r="AI692" s="3" t="n">
        <v>1</v>
      </c>
      <c r="AJ692" s="3" t="n">
        <v>2</v>
      </c>
      <c r="AK692" s="3" t="n">
        <v>2</v>
      </c>
      <c r="AL692" s="3" t="n">
        <v>2</v>
      </c>
      <c r="AM692" s="3" t="n">
        <v>2</v>
      </c>
      <c r="AN692" s="3" t="n">
        <v>2</v>
      </c>
      <c r="AO692" s="3" t="n">
        <v>2</v>
      </c>
      <c r="AP692" s="3" t="n">
        <v>3</v>
      </c>
      <c r="AQ692" s="3" t="n">
        <v>4</v>
      </c>
      <c r="AR692" s="3" t="n">
        <v>4</v>
      </c>
      <c r="AS692" s="3" t="n">
        <v>6</v>
      </c>
      <c r="AT692" s="3" t="n">
        <v>4</v>
      </c>
      <c r="AU692" s="3" t="n">
        <v>4</v>
      </c>
      <c r="AV692" s="3" t="n">
        <v>6</v>
      </c>
      <c r="AW692" s="3" t="n">
        <v>6</v>
      </c>
      <c r="AX692" s="3" t="n">
        <v>3</v>
      </c>
      <c r="AY692" s="3" t="n">
        <v>3</v>
      </c>
      <c r="AZ692" s="3" t="n">
        <v>1</v>
      </c>
      <c r="BA692" s="5" t="n">
        <v>1</v>
      </c>
      <c r="BB692" s="3" t="n">
        <v>1</v>
      </c>
      <c r="BC692" s="3" t="n">
        <v>1</v>
      </c>
      <c r="BD692" s="3" t="n">
        <v>4</v>
      </c>
      <c r="BE692" s="3" t="n">
        <v>1</v>
      </c>
      <c r="BF692" s="3" t="n">
        <v>2</v>
      </c>
      <c r="BG692" s="3" t="n">
        <v>1</v>
      </c>
      <c r="BH692" s="3" t="n">
        <v>4</v>
      </c>
      <c r="BI692" s="3" t="n">
        <v>1</v>
      </c>
      <c r="BJ692" s="3" t="n">
        <v>1</v>
      </c>
      <c r="BK692" s="6" t="s">
        <v>1914</v>
      </c>
    </row>
    <row r="693" customFormat="false" ht="15" hidden="false" customHeight="true" outlineLevel="0" collapsed="false">
      <c r="B693" s="2" t="s">
        <v>1915</v>
      </c>
      <c r="C693" s="2" t="s">
        <v>304</v>
      </c>
      <c r="D693" s="2" t="s">
        <v>433</v>
      </c>
      <c r="E693" s="2" t="n">
        <v>191364</v>
      </c>
      <c r="F693" s="15" t="n">
        <v>43847</v>
      </c>
      <c r="G693" s="15" t="n">
        <v>43851</v>
      </c>
      <c r="H693" s="3" t="n">
        <v>4</v>
      </c>
      <c r="I693" s="3" t="n">
        <v>1</v>
      </c>
      <c r="J693" s="3" t="n">
        <v>85</v>
      </c>
      <c r="K693" s="3" t="n">
        <v>1</v>
      </c>
      <c r="L693" s="3" t="n">
        <v>2</v>
      </c>
      <c r="M693" s="3" t="n">
        <v>1</v>
      </c>
      <c r="N693" s="3" t="n">
        <v>1</v>
      </c>
      <c r="O693" s="3" t="n">
        <v>2</v>
      </c>
      <c r="P693" s="3" t="n">
        <v>2</v>
      </c>
      <c r="Q693" s="3" t="n">
        <v>2</v>
      </c>
      <c r="R693" s="3" t="n">
        <v>2</v>
      </c>
      <c r="S693" s="3" t="n">
        <v>2</v>
      </c>
      <c r="T693" s="4" t="n">
        <v>1</v>
      </c>
      <c r="U693" s="3" t="n">
        <v>4</v>
      </c>
      <c r="V693" s="3" t="n">
        <v>5.48</v>
      </c>
      <c r="W693" s="3" t="n">
        <v>0.71</v>
      </c>
      <c r="X693" s="3" t="n">
        <v>5.41</v>
      </c>
      <c r="Y693" s="3" t="n">
        <v>415</v>
      </c>
      <c r="Z693" s="3" t="n">
        <v>92</v>
      </c>
      <c r="AA693" s="3" t="n">
        <v>0.4</v>
      </c>
      <c r="AB693" s="3" t="n">
        <v>5.2</v>
      </c>
      <c r="AC693" s="3" t="n">
        <v>1</v>
      </c>
      <c r="AD693" s="3" t="n">
        <v>1</v>
      </c>
      <c r="AE693" s="3" t="n">
        <v>1</v>
      </c>
      <c r="AF693" s="3" t="n">
        <v>1</v>
      </c>
      <c r="AG693" s="3" t="n">
        <v>2</v>
      </c>
      <c r="AH693" s="3" t="n">
        <v>2</v>
      </c>
      <c r="AI693" s="3" t="n">
        <v>1</v>
      </c>
      <c r="AJ693" s="3" t="n">
        <v>2</v>
      </c>
      <c r="AK693" s="3" t="n">
        <v>2</v>
      </c>
      <c r="AL693" s="3" t="n">
        <v>2</v>
      </c>
      <c r="AM693" s="3" t="n">
        <v>2</v>
      </c>
      <c r="AN693" s="3" t="n">
        <v>2</v>
      </c>
      <c r="AO693" s="3" t="n">
        <v>2</v>
      </c>
      <c r="AP693" s="3" t="n">
        <v>3</v>
      </c>
      <c r="AQ693" s="3" t="n">
        <v>4</v>
      </c>
      <c r="AR693" s="3" t="n">
        <v>4</v>
      </c>
      <c r="AS693" s="3" t="n">
        <v>6</v>
      </c>
      <c r="AT693" s="3" t="n">
        <v>4</v>
      </c>
      <c r="AU693" s="3" t="n">
        <v>4</v>
      </c>
      <c r="AV693" s="3" t="n">
        <v>6</v>
      </c>
      <c r="AW693" s="3" t="n">
        <v>6</v>
      </c>
      <c r="AX693" s="3" t="n">
        <v>3</v>
      </c>
      <c r="AY693" s="3" t="n">
        <v>3</v>
      </c>
      <c r="AZ693" s="3" t="n">
        <v>1</v>
      </c>
      <c r="BA693" s="5" t="n">
        <v>5</v>
      </c>
      <c r="BB693" s="3" t="n">
        <v>2</v>
      </c>
      <c r="BC693" s="3" t="n">
        <v>1</v>
      </c>
      <c r="BD693" s="3" t="n">
        <v>6</v>
      </c>
      <c r="BE693" s="3" t="n">
        <v>3</v>
      </c>
      <c r="BF693" s="3" t="n">
        <v>5</v>
      </c>
      <c r="BG693" s="3" t="n">
        <v>3</v>
      </c>
      <c r="BH693" s="3" t="n">
        <v>4</v>
      </c>
      <c r="BI693" s="3" t="n">
        <v>1</v>
      </c>
      <c r="BJ693" s="3" t="n">
        <v>1</v>
      </c>
      <c r="BK693" s="6" t="s">
        <v>1916</v>
      </c>
    </row>
    <row r="694" customFormat="false" ht="15" hidden="false" customHeight="true" outlineLevel="0" collapsed="false">
      <c r="B694" s="2" t="s">
        <v>1917</v>
      </c>
      <c r="C694" s="2" t="s">
        <v>839</v>
      </c>
      <c r="D694" s="2" t="s">
        <v>154</v>
      </c>
      <c r="E694" s="2" t="n">
        <v>191300</v>
      </c>
      <c r="F694" s="15" t="n">
        <v>43845</v>
      </c>
      <c r="G694" s="15" t="n">
        <v>43851</v>
      </c>
      <c r="H694" s="3" t="n">
        <v>6</v>
      </c>
      <c r="I694" s="3" t="n">
        <v>1</v>
      </c>
      <c r="J694" s="3" t="n">
        <v>56</v>
      </c>
      <c r="K694" s="3" t="n">
        <v>1</v>
      </c>
      <c r="L694" s="3" t="n">
        <v>1</v>
      </c>
      <c r="M694" s="3" t="n">
        <v>1</v>
      </c>
      <c r="N694" s="3" t="n">
        <v>2</v>
      </c>
      <c r="O694" s="3" t="n">
        <v>2</v>
      </c>
      <c r="P694" s="3" t="n">
        <v>2</v>
      </c>
      <c r="Q694" s="3" t="n">
        <v>2</v>
      </c>
      <c r="R694" s="3" t="n">
        <v>2</v>
      </c>
      <c r="S694" s="3" t="n">
        <v>2</v>
      </c>
      <c r="T694" s="4" t="n">
        <v>1</v>
      </c>
      <c r="U694" s="3" t="n">
        <v>1</v>
      </c>
      <c r="V694" s="3" t="n">
        <v>3.84</v>
      </c>
      <c r="W694" s="3" t="n">
        <v>0.97</v>
      </c>
      <c r="X694" s="3" t="n">
        <v>5.75</v>
      </c>
      <c r="Y694" s="3" t="n">
        <v>297</v>
      </c>
      <c r="Z694" s="3" t="n">
        <v>54</v>
      </c>
      <c r="AA694" s="3" t="n">
        <v>0.4</v>
      </c>
      <c r="AB694" s="3" t="n">
        <v>12</v>
      </c>
      <c r="AC694" s="3" t="n">
        <v>1</v>
      </c>
      <c r="AD694" s="3" t="n">
        <v>1</v>
      </c>
      <c r="AE694" s="3" t="n">
        <v>1</v>
      </c>
      <c r="AF694" s="3" t="n">
        <v>1</v>
      </c>
      <c r="AG694" s="3" t="n">
        <v>2</v>
      </c>
      <c r="AH694" s="3" t="n">
        <v>2</v>
      </c>
      <c r="AI694" s="3" t="n">
        <v>1</v>
      </c>
      <c r="AJ694" s="3" t="n">
        <v>2</v>
      </c>
      <c r="AK694" s="3" t="n">
        <v>2</v>
      </c>
      <c r="AL694" s="3" t="n">
        <v>2</v>
      </c>
      <c r="AM694" s="3" t="n">
        <v>1</v>
      </c>
      <c r="AN694" s="3" t="n">
        <v>2</v>
      </c>
      <c r="AO694" s="3" t="n">
        <v>2</v>
      </c>
      <c r="AP694" s="3" t="n">
        <v>3</v>
      </c>
      <c r="AQ694" s="3" t="n">
        <v>4</v>
      </c>
      <c r="AR694" s="3" t="n">
        <v>4</v>
      </c>
      <c r="AS694" s="3" t="n">
        <v>6</v>
      </c>
      <c r="AT694" s="3" t="n">
        <v>4</v>
      </c>
      <c r="AU694" s="3" t="n">
        <v>4</v>
      </c>
      <c r="AV694" s="3" t="n">
        <v>6</v>
      </c>
      <c r="AW694" s="3" t="n">
        <v>6</v>
      </c>
      <c r="AX694" s="3" t="n">
        <v>3</v>
      </c>
      <c r="AY694" s="3" t="n">
        <v>3</v>
      </c>
      <c r="AZ694" s="3" t="n">
        <v>1</v>
      </c>
      <c r="BA694" s="5" t="n">
        <v>5</v>
      </c>
      <c r="BB694" s="3" t="n">
        <v>2</v>
      </c>
      <c r="BC694" s="3" t="n">
        <v>1</v>
      </c>
      <c r="BD694" s="3" t="n">
        <v>6</v>
      </c>
      <c r="BE694" s="3" t="n">
        <v>3</v>
      </c>
      <c r="BF694" s="3" t="n">
        <v>5</v>
      </c>
      <c r="BG694" s="3" t="n">
        <v>3</v>
      </c>
      <c r="BH694" s="3" t="n">
        <v>4</v>
      </c>
      <c r="BI694" s="3" t="n">
        <v>1</v>
      </c>
      <c r="BJ694" s="3" t="n">
        <v>1</v>
      </c>
      <c r="BK694" s="6" t="s">
        <v>1918</v>
      </c>
    </row>
    <row r="695" customFormat="false" ht="15" hidden="false" customHeight="true" outlineLevel="0" collapsed="false">
      <c r="B695" s="2" t="s">
        <v>258</v>
      </c>
      <c r="C695" s="2" t="s">
        <v>210</v>
      </c>
      <c r="D695" s="2" t="s">
        <v>210</v>
      </c>
      <c r="E695" s="2" t="n">
        <v>132841</v>
      </c>
      <c r="F695" s="15" t="n">
        <v>43846</v>
      </c>
      <c r="G695" s="15" t="n">
        <v>43852</v>
      </c>
      <c r="H695" s="3" t="n">
        <v>5</v>
      </c>
      <c r="I695" s="3" t="n">
        <v>2</v>
      </c>
      <c r="J695" s="3" t="n">
        <v>63</v>
      </c>
      <c r="K695" s="3" t="n">
        <v>1</v>
      </c>
      <c r="L695" s="3" t="n">
        <v>1</v>
      </c>
      <c r="M695" s="3" t="n">
        <v>1</v>
      </c>
      <c r="N695" s="3" t="n">
        <v>1</v>
      </c>
      <c r="O695" s="3" t="n">
        <v>2</v>
      </c>
      <c r="P695" s="3" t="n">
        <v>1</v>
      </c>
      <c r="Q695" s="3" t="n">
        <v>2</v>
      </c>
      <c r="R695" s="3" t="n">
        <v>2</v>
      </c>
      <c r="S695" s="3" t="n">
        <v>2</v>
      </c>
      <c r="T695" s="4" t="n">
        <v>3</v>
      </c>
      <c r="U695" s="3" t="n">
        <v>1</v>
      </c>
      <c r="V695" s="3" t="n">
        <v>5.35</v>
      </c>
      <c r="W695" s="3" t="n">
        <v>2.14</v>
      </c>
      <c r="X695" s="3" t="n">
        <v>6.26</v>
      </c>
      <c r="Y695" s="3" t="n">
        <v>372</v>
      </c>
      <c r="Z695" s="3" t="n">
        <v>54</v>
      </c>
      <c r="AA695" s="3" t="n">
        <v>0.45</v>
      </c>
      <c r="AB695" s="3" t="n">
        <v>10.4</v>
      </c>
      <c r="AC695" s="3" t="n">
        <v>2</v>
      </c>
      <c r="AD695" s="3" t="n">
        <v>1</v>
      </c>
      <c r="AE695" s="3" t="n">
        <v>1</v>
      </c>
      <c r="AF695" s="3" t="n">
        <v>2</v>
      </c>
      <c r="AG695" s="3" t="n">
        <v>2</v>
      </c>
      <c r="AH695" s="3" t="n">
        <v>2</v>
      </c>
      <c r="AI695" s="3" t="n">
        <v>1</v>
      </c>
      <c r="AJ695" s="3" t="n">
        <v>2</v>
      </c>
      <c r="AK695" s="3" t="n">
        <v>1</v>
      </c>
      <c r="AL695" s="3" t="n">
        <v>2</v>
      </c>
      <c r="AM695" s="3" t="n">
        <v>1</v>
      </c>
      <c r="AN695" s="3" t="n">
        <v>2</v>
      </c>
      <c r="AO695" s="3" t="n">
        <v>2</v>
      </c>
      <c r="AP695" s="3" t="n">
        <v>3</v>
      </c>
      <c r="AQ695" s="3" t="n">
        <v>4</v>
      </c>
      <c r="AR695" s="3" t="n">
        <v>4</v>
      </c>
      <c r="AS695" s="3" t="n">
        <v>6</v>
      </c>
      <c r="AT695" s="3" t="n">
        <v>4</v>
      </c>
      <c r="AU695" s="3" t="n">
        <v>4</v>
      </c>
      <c r="AV695" s="3" t="n">
        <v>6</v>
      </c>
      <c r="AW695" s="3" t="n">
        <v>6</v>
      </c>
      <c r="AX695" s="3" t="n">
        <v>3</v>
      </c>
      <c r="AY695" s="3" t="n">
        <v>3</v>
      </c>
      <c r="AZ695" s="3" t="n">
        <v>1</v>
      </c>
      <c r="BA695" s="5" t="n">
        <v>11</v>
      </c>
      <c r="BB695" s="3" t="n">
        <v>2</v>
      </c>
      <c r="BC695" s="3" t="n">
        <v>1</v>
      </c>
      <c r="BD695" s="3" t="n">
        <v>6</v>
      </c>
      <c r="BE695" s="3" t="n">
        <v>3</v>
      </c>
      <c r="BF695" s="3" t="n">
        <v>5</v>
      </c>
      <c r="BG695" s="3" t="n">
        <v>3</v>
      </c>
      <c r="BH695" s="3" t="n">
        <v>4</v>
      </c>
      <c r="BI695" s="3" t="n">
        <v>1</v>
      </c>
      <c r="BJ695" s="3" t="n">
        <v>1</v>
      </c>
      <c r="BK695" s="6" t="s">
        <v>1919</v>
      </c>
    </row>
    <row r="696" customFormat="false" ht="15" hidden="false" customHeight="true" outlineLevel="0" collapsed="false">
      <c r="B696" s="2" t="s">
        <v>1920</v>
      </c>
      <c r="C696" s="2" t="s">
        <v>154</v>
      </c>
      <c r="D696" s="2" t="s">
        <v>222</v>
      </c>
      <c r="E696" s="2" t="n">
        <v>191357</v>
      </c>
      <c r="F696" s="15" t="n">
        <v>43846</v>
      </c>
      <c r="G696" s="15" t="n">
        <v>43852</v>
      </c>
      <c r="H696" s="3" t="n">
        <v>4</v>
      </c>
      <c r="I696" s="3" t="n">
        <v>2</v>
      </c>
      <c r="J696" s="3" t="n">
        <v>50</v>
      </c>
      <c r="K696" s="3" t="n">
        <v>2</v>
      </c>
      <c r="L696" s="3" t="n">
        <v>1</v>
      </c>
      <c r="M696" s="3" t="n">
        <v>1</v>
      </c>
      <c r="N696" s="3" t="n">
        <v>2</v>
      </c>
      <c r="O696" s="3" t="n">
        <v>2</v>
      </c>
      <c r="P696" s="3" t="n">
        <v>2</v>
      </c>
      <c r="Q696" s="3" t="n">
        <v>2</v>
      </c>
      <c r="R696" s="3" t="n">
        <v>2</v>
      </c>
      <c r="S696" s="3" t="n">
        <v>2</v>
      </c>
      <c r="T696" s="4" t="n">
        <v>2</v>
      </c>
      <c r="U696" s="3" t="n">
        <v>2</v>
      </c>
      <c r="V696" s="3" t="n">
        <v>5.76</v>
      </c>
      <c r="W696" s="3" t="n">
        <v>2.39</v>
      </c>
      <c r="X696" s="3" t="n">
        <v>6.58</v>
      </c>
      <c r="Y696" s="3" t="n">
        <v>416</v>
      </c>
      <c r="Z696" s="3" t="n">
        <v>66</v>
      </c>
      <c r="AA696" s="3" t="n">
        <v>0.45</v>
      </c>
      <c r="AB696" s="3" t="n">
        <v>12</v>
      </c>
      <c r="AC696" s="3" t="n">
        <v>1</v>
      </c>
      <c r="AD696" s="3" t="n">
        <v>2</v>
      </c>
      <c r="AE696" s="3" t="n">
        <v>1</v>
      </c>
      <c r="AF696" s="3" t="n">
        <v>1</v>
      </c>
      <c r="AG696" s="3" t="n">
        <v>2</v>
      </c>
      <c r="AH696" s="3" t="n">
        <v>2</v>
      </c>
      <c r="AI696" s="3" t="n">
        <v>1</v>
      </c>
      <c r="AJ696" s="3" t="n">
        <v>1</v>
      </c>
      <c r="AK696" s="3" t="n">
        <v>2</v>
      </c>
      <c r="AL696" s="3" t="n">
        <v>2</v>
      </c>
      <c r="AM696" s="3" t="n">
        <v>2</v>
      </c>
      <c r="AN696" s="3" t="n">
        <v>2</v>
      </c>
      <c r="AO696" s="3" t="n">
        <v>2</v>
      </c>
      <c r="AP696" s="3" t="n">
        <v>3</v>
      </c>
      <c r="AQ696" s="3" t="n">
        <v>4</v>
      </c>
      <c r="AR696" s="3" t="n">
        <v>4</v>
      </c>
      <c r="AS696" s="3" t="n">
        <v>6</v>
      </c>
      <c r="AT696" s="3" t="n">
        <v>4</v>
      </c>
      <c r="AU696" s="3" t="n">
        <v>4</v>
      </c>
      <c r="AV696" s="3" t="n">
        <v>6</v>
      </c>
      <c r="AW696" s="3" t="n">
        <v>6</v>
      </c>
      <c r="AX696" s="3" t="n">
        <v>3</v>
      </c>
      <c r="AY696" s="3" t="n">
        <v>3</v>
      </c>
      <c r="AZ696" s="3" t="n">
        <v>1</v>
      </c>
      <c r="BA696" s="5" t="n">
        <v>1</v>
      </c>
      <c r="BB696" s="3" t="n">
        <v>1</v>
      </c>
      <c r="BC696" s="3" t="n">
        <v>1</v>
      </c>
      <c r="BD696" s="3" t="n">
        <v>4</v>
      </c>
      <c r="BE696" s="3" t="n">
        <v>3</v>
      </c>
      <c r="BF696" s="3" t="n">
        <v>5</v>
      </c>
      <c r="BG696" s="3" t="n">
        <v>3</v>
      </c>
      <c r="BH696" s="3" t="n">
        <v>4</v>
      </c>
      <c r="BI696" s="3" t="n">
        <v>1</v>
      </c>
      <c r="BJ696" s="3" t="n">
        <v>1</v>
      </c>
      <c r="BK696" s="6" t="s">
        <v>1921</v>
      </c>
    </row>
    <row r="697" customFormat="false" ht="15" hidden="false" customHeight="true" outlineLevel="0" collapsed="false">
      <c r="B697" s="2" t="s">
        <v>1922</v>
      </c>
      <c r="C697" s="2" t="s">
        <v>1923</v>
      </c>
      <c r="D697" s="2" t="s">
        <v>1924</v>
      </c>
      <c r="E697" s="2" t="n">
        <v>191301</v>
      </c>
      <c r="F697" s="15" t="n">
        <v>43845</v>
      </c>
      <c r="G697" s="15" t="n">
        <v>43852</v>
      </c>
      <c r="H697" s="3" t="n">
        <v>7</v>
      </c>
      <c r="I697" s="3" t="n">
        <v>1</v>
      </c>
      <c r="J697" s="3" t="n">
        <v>49</v>
      </c>
      <c r="K697" s="3" t="n">
        <v>1</v>
      </c>
      <c r="L697" s="3" t="n">
        <v>1</v>
      </c>
      <c r="M697" s="3" t="n">
        <v>2</v>
      </c>
      <c r="N697" s="3" t="n">
        <v>2</v>
      </c>
      <c r="O697" s="3" t="n">
        <v>2</v>
      </c>
      <c r="P697" s="3" t="n">
        <v>2</v>
      </c>
      <c r="Q697" s="3" t="n">
        <v>2</v>
      </c>
      <c r="R697" s="3" t="n">
        <v>2</v>
      </c>
      <c r="S697" s="3" t="n">
        <v>2</v>
      </c>
      <c r="T697" s="4" t="n">
        <v>2</v>
      </c>
      <c r="U697" s="3" t="n">
        <v>2</v>
      </c>
      <c r="V697" s="3" t="n">
        <v>4.85</v>
      </c>
      <c r="W697" s="3" t="n">
        <v>1.64</v>
      </c>
      <c r="X697" s="3" t="n">
        <v>5.96</v>
      </c>
      <c r="Y697" s="3" t="n">
        <v>228</v>
      </c>
      <c r="Z697" s="3" t="n">
        <v>75</v>
      </c>
      <c r="AA697" s="3" t="n">
        <v>0.34</v>
      </c>
      <c r="AB697" s="3" t="n">
        <v>12.6</v>
      </c>
      <c r="AC697" s="3" t="n">
        <v>1</v>
      </c>
      <c r="AD697" s="3" t="n">
        <v>2</v>
      </c>
      <c r="AE697" s="3" t="n">
        <v>1</v>
      </c>
      <c r="AF697" s="3" t="n">
        <v>1</v>
      </c>
      <c r="AG697" s="3" t="n">
        <v>2</v>
      </c>
      <c r="AH697" s="3" t="n">
        <v>2</v>
      </c>
      <c r="AI697" s="3" t="n">
        <v>1</v>
      </c>
      <c r="AJ697" s="3" t="n">
        <v>2</v>
      </c>
      <c r="AK697" s="3" t="n">
        <v>2</v>
      </c>
      <c r="AL697" s="3" t="n">
        <v>2</v>
      </c>
      <c r="AM697" s="3" t="n">
        <v>2</v>
      </c>
      <c r="AN697" s="3" t="n">
        <v>2</v>
      </c>
      <c r="AO697" s="3" t="n">
        <v>2</v>
      </c>
      <c r="AP697" s="3" t="n">
        <v>3</v>
      </c>
      <c r="AQ697" s="3" t="n">
        <v>4</v>
      </c>
      <c r="AR697" s="3" t="n">
        <v>4</v>
      </c>
      <c r="AS697" s="3" t="n">
        <v>6</v>
      </c>
      <c r="AT697" s="3" t="n">
        <v>4</v>
      </c>
      <c r="AU697" s="3" t="n">
        <v>4</v>
      </c>
      <c r="AV697" s="3" t="n">
        <v>6</v>
      </c>
      <c r="AW697" s="3" t="n">
        <v>6</v>
      </c>
      <c r="AX697" s="3" t="n">
        <v>3</v>
      </c>
      <c r="AY697" s="3" t="n">
        <v>3</v>
      </c>
      <c r="AZ697" s="3" t="n">
        <v>1</v>
      </c>
      <c r="BA697" s="5" t="n">
        <v>1</v>
      </c>
      <c r="BB697" s="3" t="n">
        <v>1</v>
      </c>
      <c r="BC697" s="3" t="n">
        <v>1</v>
      </c>
      <c r="BD697" s="3" t="n">
        <v>4</v>
      </c>
      <c r="BE697" s="3" t="n">
        <v>3</v>
      </c>
      <c r="BF697" s="3" t="n">
        <v>5</v>
      </c>
      <c r="BG697" s="3" t="n">
        <v>3</v>
      </c>
      <c r="BH697" s="3" t="n">
        <v>4</v>
      </c>
      <c r="BI697" s="3" t="n">
        <v>1</v>
      </c>
      <c r="BJ697" s="3" t="n">
        <v>1</v>
      </c>
      <c r="BK697" s="6" t="s">
        <v>1925</v>
      </c>
    </row>
    <row r="698" customFormat="false" ht="15" hidden="false" customHeight="true" outlineLevel="0" collapsed="false">
      <c r="B698" s="2" t="s">
        <v>1926</v>
      </c>
      <c r="C698" s="2" t="s">
        <v>536</v>
      </c>
      <c r="D698" s="2" t="s">
        <v>510</v>
      </c>
      <c r="E698" s="2" t="n">
        <v>191456</v>
      </c>
      <c r="F698" s="15" t="n">
        <v>43844</v>
      </c>
      <c r="G698" s="15" t="n">
        <v>43852</v>
      </c>
      <c r="H698" s="3" t="n">
        <v>6</v>
      </c>
      <c r="I698" s="3" t="n">
        <v>1</v>
      </c>
      <c r="J698" s="3" t="n">
        <v>69</v>
      </c>
      <c r="K698" s="3" t="n">
        <v>1</v>
      </c>
      <c r="L698" s="3" t="n">
        <v>1</v>
      </c>
      <c r="M698" s="3" t="n">
        <v>1</v>
      </c>
      <c r="N698" s="3" t="n">
        <v>1</v>
      </c>
      <c r="O698" s="3" t="n">
        <v>2</v>
      </c>
      <c r="P698" s="3" t="n">
        <v>2</v>
      </c>
      <c r="Q698" s="3" t="n">
        <v>2</v>
      </c>
      <c r="R698" s="3" t="n">
        <v>2</v>
      </c>
      <c r="S698" s="3" t="n">
        <v>2</v>
      </c>
      <c r="T698" s="4" t="n">
        <v>1</v>
      </c>
      <c r="U698" s="3" t="n">
        <v>1</v>
      </c>
      <c r="V698" s="3" t="n">
        <v>5.33</v>
      </c>
      <c r="W698" s="3" t="n">
        <v>1.04</v>
      </c>
      <c r="X698" s="3" t="n">
        <v>5.39</v>
      </c>
      <c r="Y698" s="3" t="n">
        <v>271</v>
      </c>
      <c r="Z698" s="3" t="n">
        <v>83</v>
      </c>
      <c r="AA698" s="3" t="n">
        <v>0.41</v>
      </c>
      <c r="AB698" s="3" t="n">
        <v>10</v>
      </c>
      <c r="AC698" s="3" t="n">
        <v>1</v>
      </c>
      <c r="AD698" s="3" t="n">
        <v>1</v>
      </c>
      <c r="AE698" s="3" t="n">
        <v>1</v>
      </c>
      <c r="AF698" s="3" t="n">
        <v>1</v>
      </c>
      <c r="AG698" s="3" t="n">
        <v>1</v>
      </c>
      <c r="AH698" s="3" t="n">
        <v>2</v>
      </c>
      <c r="AI698" s="3" t="n">
        <v>1</v>
      </c>
      <c r="AJ698" s="3" t="n">
        <v>1</v>
      </c>
      <c r="AK698" s="3" t="n">
        <v>2</v>
      </c>
      <c r="AL698" s="3" t="n">
        <v>2</v>
      </c>
      <c r="AM698" s="3" t="n">
        <v>1</v>
      </c>
      <c r="AN698" s="3" t="n">
        <v>2</v>
      </c>
      <c r="AO698" s="3" t="n">
        <v>2</v>
      </c>
      <c r="AP698" s="3" t="n">
        <v>1</v>
      </c>
      <c r="AQ698" s="3" t="n">
        <v>2</v>
      </c>
      <c r="AR698" s="3" t="n">
        <v>4</v>
      </c>
      <c r="AS698" s="3" t="n">
        <v>6</v>
      </c>
      <c r="AT698" s="3" t="n">
        <v>4</v>
      </c>
      <c r="AU698" s="3" t="n">
        <v>4</v>
      </c>
      <c r="AV698" s="3" t="n">
        <v>1</v>
      </c>
      <c r="AW698" s="3" t="n">
        <v>6</v>
      </c>
      <c r="AX698" s="3" t="n">
        <v>2</v>
      </c>
      <c r="AY698" s="3" t="n">
        <v>1</v>
      </c>
      <c r="AZ698" s="3" t="n">
        <v>1</v>
      </c>
      <c r="BA698" s="5" t="n">
        <v>5</v>
      </c>
      <c r="BB698" s="3" t="n">
        <v>2</v>
      </c>
      <c r="BC698" s="3" t="n">
        <v>1</v>
      </c>
      <c r="BD698" s="3" t="n">
        <v>6</v>
      </c>
      <c r="BE698" s="3" t="n">
        <v>3</v>
      </c>
      <c r="BF698" s="3" t="n">
        <v>5</v>
      </c>
      <c r="BG698" s="3" t="n">
        <v>3</v>
      </c>
      <c r="BH698" s="3" t="n">
        <v>4</v>
      </c>
      <c r="BI698" s="3" t="n">
        <v>1</v>
      </c>
      <c r="BJ698" s="3" t="n">
        <v>1</v>
      </c>
      <c r="BK698" s="6" t="s">
        <v>1927</v>
      </c>
    </row>
    <row r="699" customFormat="false" ht="15" hidden="false" customHeight="true" outlineLevel="0" collapsed="false">
      <c r="B699" s="2" t="s">
        <v>1928</v>
      </c>
      <c r="C699" s="2" t="s">
        <v>1929</v>
      </c>
      <c r="D699" s="2" t="s">
        <v>1067</v>
      </c>
      <c r="E699" s="2" t="n">
        <v>191332</v>
      </c>
      <c r="F699" s="15" t="n">
        <v>43848</v>
      </c>
      <c r="G699" s="15" t="n">
        <v>43853</v>
      </c>
      <c r="H699" s="3" t="n">
        <v>5</v>
      </c>
      <c r="I699" s="3" t="n">
        <v>1</v>
      </c>
      <c r="J699" s="3" t="n">
        <v>61</v>
      </c>
      <c r="K699" s="3" t="n">
        <v>1</v>
      </c>
      <c r="L699" s="3" t="n">
        <v>1</v>
      </c>
      <c r="M699" s="3" t="n">
        <v>1</v>
      </c>
      <c r="N699" s="3" t="n">
        <v>2</v>
      </c>
      <c r="O699" s="3" t="n">
        <v>2</v>
      </c>
      <c r="P699" s="3" t="n">
        <v>2</v>
      </c>
      <c r="Q699" s="3" t="n">
        <v>2</v>
      </c>
      <c r="R699" s="3" t="n">
        <v>2</v>
      </c>
      <c r="S699" s="3" t="n">
        <v>1</v>
      </c>
      <c r="T699" s="4" t="n">
        <v>1</v>
      </c>
      <c r="U699" s="3" t="n">
        <v>1</v>
      </c>
      <c r="V699" s="3" t="n">
        <v>6.21</v>
      </c>
      <c r="W699" s="3" t="n">
        <v>0.81</v>
      </c>
      <c r="X699" s="3" t="n">
        <v>6.08</v>
      </c>
      <c r="Y699" s="3" t="n">
        <v>378</v>
      </c>
      <c r="Z699" s="3" t="n">
        <v>63</v>
      </c>
      <c r="AA699" s="3" t="n">
        <v>0.47</v>
      </c>
      <c r="AB699" s="3" t="n">
        <v>1</v>
      </c>
      <c r="AC699" s="3" t="n">
        <v>1</v>
      </c>
      <c r="AD699" s="3" t="n">
        <v>1</v>
      </c>
      <c r="AE699" s="3" t="n">
        <v>1</v>
      </c>
      <c r="AF699" s="3" t="n">
        <v>1</v>
      </c>
      <c r="AG699" s="3" t="n">
        <v>2</v>
      </c>
      <c r="AH699" s="3" t="n">
        <v>2</v>
      </c>
      <c r="AI699" s="3" t="n">
        <v>1</v>
      </c>
      <c r="AJ699" s="3" t="n">
        <v>1</v>
      </c>
      <c r="AK699" s="3" t="n">
        <v>2</v>
      </c>
      <c r="AL699" s="3" t="n">
        <v>2</v>
      </c>
      <c r="AM699" s="3" t="n">
        <v>1</v>
      </c>
      <c r="AN699" s="3" t="n">
        <v>2</v>
      </c>
      <c r="AO699" s="3" t="n">
        <v>2</v>
      </c>
      <c r="AP699" s="3" t="n">
        <v>1</v>
      </c>
      <c r="AQ699" s="3" t="n">
        <v>1</v>
      </c>
      <c r="AR699" s="3" t="n">
        <v>4</v>
      </c>
      <c r="AS699" s="3" t="n">
        <v>6</v>
      </c>
      <c r="AT699" s="3" t="n">
        <v>4</v>
      </c>
      <c r="AU699" s="3" t="n">
        <v>4</v>
      </c>
      <c r="AV699" s="3" t="n">
        <v>1</v>
      </c>
      <c r="AW699" s="3" t="n">
        <v>6</v>
      </c>
      <c r="AX699" s="3" t="n">
        <v>2</v>
      </c>
      <c r="AY699" s="3" t="n">
        <v>1</v>
      </c>
      <c r="AZ699" s="3" t="n">
        <v>1</v>
      </c>
      <c r="BA699" s="5" t="n">
        <v>5</v>
      </c>
      <c r="BB699" s="3" t="n">
        <v>2</v>
      </c>
      <c r="BC699" s="3" t="n">
        <v>1</v>
      </c>
      <c r="BD699" s="3" t="n">
        <v>6</v>
      </c>
      <c r="BE699" s="3" t="n">
        <v>3</v>
      </c>
      <c r="BF699" s="3" t="n">
        <v>5</v>
      </c>
      <c r="BG699" s="3" t="n">
        <v>3</v>
      </c>
      <c r="BH699" s="3" t="n">
        <v>4</v>
      </c>
      <c r="BI699" s="3" t="n">
        <v>1</v>
      </c>
      <c r="BJ699" s="3" t="n">
        <v>1</v>
      </c>
      <c r="BK699" s="6" t="s">
        <v>1930</v>
      </c>
    </row>
    <row r="700" customFormat="false" ht="15" hidden="false" customHeight="true" outlineLevel="0" collapsed="false">
      <c r="B700" s="2" t="s">
        <v>894</v>
      </c>
      <c r="C700" s="2" t="s">
        <v>95</v>
      </c>
      <c r="D700" s="2" t="s">
        <v>70</v>
      </c>
      <c r="E700" s="2" t="n">
        <v>189122</v>
      </c>
      <c r="F700" s="15" t="n">
        <v>43819</v>
      </c>
      <c r="G700" s="15" t="n">
        <v>43856</v>
      </c>
      <c r="H700" s="3" t="n">
        <v>36</v>
      </c>
      <c r="I700" s="3" t="n">
        <v>2</v>
      </c>
      <c r="J700" s="3" t="n">
        <v>65</v>
      </c>
      <c r="K700" s="3" t="n">
        <v>1</v>
      </c>
      <c r="L700" s="3" t="n">
        <v>2</v>
      </c>
      <c r="M700" s="3" t="n">
        <v>1</v>
      </c>
      <c r="N700" s="3" t="n">
        <v>1</v>
      </c>
      <c r="O700" s="3" t="n">
        <v>1</v>
      </c>
      <c r="P700" s="3" t="n">
        <v>1</v>
      </c>
      <c r="Q700" s="3" t="n">
        <v>1</v>
      </c>
      <c r="R700" s="3" t="n">
        <v>2</v>
      </c>
      <c r="S700" s="3" t="n">
        <v>2</v>
      </c>
      <c r="T700" s="4" t="n">
        <v>1</v>
      </c>
      <c r="U700" s="3" t="n">
        <v>1</v>
      </c>
      <c r="V700" s="3" t="n">
        <v>2.71</v>
      </c>
      <c r="W700" s="3" t="n">
        <v>2.11</v>
      </c>
      <c r="X700" s="3" t="n">
        <v>7.21</v>
      </c>
      <c r="Y700" s="3" t="n">
        <v>353</v>
      </c>
      <c r="Z700" s="3" t="n">
        <v>74</v>
      </c>
      <c r="AA700" s="3" t="n">
        <v>0.43</v>
      </c>
      <c r="AB700" s="3" t="n">
        <v>15.3</v>
      </c>
      <c r="AC700" s="3" t="n">
        <v>3</v>
      </c>
      <c r="AD700" s="3" t="n">
        <v>1</v>
      </c>
      <c r="AE700" s="3" t="n">
        <v>1</v>
      </c>
      <c r="AF700" s="3" t="n">
        <v>1</v>
      </c>
      <c r="AG700" s="3" t="n">
        <v>1</v>
      </c>
      <c r="AH700" s="3" t="n">
        <v>2</v>
      </c>
      <c r="AI700" s="3" t="n">
        <v>1</v>
      </c>
      <c r="AJ700" s="3" t="n">
        <v>2</v>
      </c>
      <c r="AK700" s="3" t="n">
        <v>1</v>
      </c>
      <c r="AL700" s="3" t="n">
        <v>2</v>
      </c>
      <c r="AM700" s="3" t="n">
        <v>1</v>
      </c>
      <c r="AN700" s="3" t="n">
        <v>2</v>
      </c>
      <c r="AO700" s="3" t="n">
        <v>2</v>
      </c>
      <c r="AP700" s="3" t="n">
        <v>1</v>
      </c>
      <c r="AQ700" s="3" t="n">
        <v>5</v>
      </c>
      <c r="AR700" s="3" t="n">
        <v>4</v>
      </c>
      <c r="AS700" s="3" t="n">
        <v>6</v>
      </c>
      <c r="AT700" s="3" t="n">
        <v>4</v>
      </c>
      <c r="AU700" s="3" t="n">
        <v>4</v>
      </c>
      <c r="AV700" s="3" t="n">
        <v>1</v>
      </c>
      <c r="AW700" s="3" t="n">
        <v>6</v>
      </c>
      <c r="AX700" s="3" t="n">
        <v>1</v>
      </c>
      <c r="AY700" s="3" t="n">
        <v>2</v>
      </c>
      <c r="AZ700" s="3" t="n">
        <v>1</v>
      </c>
      <c r="BA700" s="5" t="n">
        <v>5</v>
      </c>
      <c r="BB700" s="3" t="n">
        <v>2</v>
      </c>
      <c r="BC700" s="3" t="n">
        <v>1</v>
      </c>
      <c r="BD700" s="3" t="n">
        <v>6</v>
      </c>
      <c r="BE700" s="3" t="n">
        <v>3</v>
      </c>
      <c r="BF700" s="3" t="n">
        <v>5</v>
      </c>
      <c r="BG700" s="3" t="n">
        <v>3</v>
      </c>
      <c r="BH700" s="3" t="n">
        <v>4</v>
      </c>
      <c r="BI700" s="3" t="n">
        <v>1</v>
      </c>
      <c r="BJ700" s="3" t="n">
        <v>1</v>
      </c>
      <c r="BK700" s="6" t="s">
        <v>1931</v>
      </c>
    </row>
    <row r="701" customFormat="false" ht="15" hidden="false" customHeight="true" outlineLevel="0" collapsed="false">
      <c r="B701" s="2" t="s">
        <v>73</v>
      </c>
      <c r="C701" s="2" t="s">
        <v>665</v>
      </c>
      <c r="D701" s="2" t="s">
        <v>118</v>
      </c>
      <c r="E701" s="2" t="n">
        <v>191743</v>
      </c>
      <c r="F701" s="15" t="n">
        <v>43852</v>
      </c>
      <c r="G701" s="15" t="n">
        <v>43857</v>
      </c>
      <c r="H701" s="3" t="n">
        <v>5</v>
      </c>
      <c r="I701" s="3" t="n">
        <v>1</v>
      </c>
      <c r="J701" s="3" t="n">
        <v>57</v>
      </c>
      <c r="K701" s="3" t="n">
        <v>1</v>
      </c>
      <c r="L701" s="3" t="n">
        <v>2</v>
      </c>
      <c r="M701" s="3" t="n">
        <v>1</v>
      </c>
      <c r="N701" s="3" t="n">
        <v>2</v>
      </c>
      <c r="O701" s="3" t="n">
        <v>2</v>
      </c>
      <c r="P701" s="3" t="n">
        <v>2</v>
      </c>
      <c r="Q701" s="3" t="n">
        <v>2</v>
      </c>
      <c r="R701" s="3" t="n">
        <v>2</v>
      </c>
      <c r="S701" s="3" t="n">
        <v>2</v>
      </c>
      <c r="T701" s="4" t="n">
        <v>1</v>
      </c>
      <c r="U701" s="3" t="n">
        <v>1</v>
      </c>
      <c r="V701" s="3" t="n">
        <v>6</v>
      </c>
      <c r="W701" s="3" t="n">
        <v>2.99</v>
      </c>
      <c r="X701" s="3" t="n">
        <v>6.12</v>
      </c>
      <c r="Y701" s="3" t="n">
        <v>462</v>
      </c>
      <c r="Z701" s="3" t="n">
        <v>81</v>
      </c>
      <c r="AA701" s="3" t="n">
        <v>0.48</v>
      </c>
      <c r="AB701" s="3" t="n">
        <v>10.4</v>
      </c>
      <c r="AC701" s="3" t="n">
        <v>1</v>
      </c>
      <c r="AD701" s="3" t="n">
        <v>2</v>
      </c>
      <c r="AE701" s="3" t="n">
        <v>1</v>
      </c>
      <c r="AF701" s="3" t="n">
        <v>1</v>
      </c>
      <c r="AG701" s="3" t="n">
        <v>2</v>
      </c>
      <c r="AH701" s="3" t="n">
        <v>1</v>
      </c>
      <c r="AI701" s="3" t="n">
        <v>1</v>
      </c>
      <c r="AJ701" s="3" t="n">
        <v>1</v>
      </c>
      <c r="AK701" s="3" t="n">
        <v>2</v>
      </c>
      <c r="AL701" s="3" t="n">
        <v>2</v>
      </c>
      <c r="AM701" s="3" t="n">
        <v>2</v>
      </c>
      <c r="AN701" s="3" t="n">
        <v>2</v>
      </c>
      <c r="AO701" s="3" t="n">
        <v>2</v>
      </c>
      <c r="AP701" s="3" t="n">
        <v>3</v>
      </c>
      <c r="AQ701" s="3" t="n">
        <v>4</v>
      </c>
      <c r="AR701" s="3" t="n">
        <v>4</v>
      </c>
      <c r="AS701" s="3" t="n">
        <v>6</v>
      </c>
      <c r="AT701" s="3" t="n">
        <v>4</v>
      </c>
      <c r="AU701" s="3" t="n">
        <v>4</v>
      </c>
      <c r="AV701" s="3" t="n">
        <v>6</v>
      </c>
      <c r="AW701" s="3" t="n">
        <v>6</v>
      </c>
      <c r="AX701" s="3" t="n">
        <v>3</v>
      </c>
      <c r="AY701" s="3" t="n">
        <v>3</v>
      </c>
      <c r="AZ701" s="3" t="n">
        <v>1</v>
      </c>
      <c r="BA701" s="5" t="n">
        <v>5</v>
      </c>
      <c r="BB701" s="3" t="n">
        <v>2</v>
      </c>
      <c r="BC701" s="3" t="n">
        <v>1</v>
      </c>
      <c r="BD701" s="3" t="n">
        <v>6</v>
      </c>
      <c r="BE701" s="3" t="n">
        <v>3</v>
      </c>
      <c r="BF701" s="3" t="n">
        <v>5</v>
      </c>
      <c r="BG701" s="3" t="n">
        <v>3</v>
      </c>
      <c r="BH701" s="3" t="n">
        <v>4</v>
      </c>
      <c r="BI701" s="3" t="n">
        <v>1</v>
      </c>
      <c r="BJ701" s="3" t="n">
        <v>1</v>
      </c>
      <c r="BK701" s="6" t="s">
        <v>1932</v>
      </c>
    </row>
    <row r="702" customFormat="false" ht="15" hidden="false" customHeight="true" outlineLevel="0" collapsed="false">
      <c r="B702" s="2" t="s">
        <v>1933</v>
      </c>
      <c r="C702" s="2" t="s">
        <v>1122</v>
      </c>
      <c r="D702" s="2" t="s">
        <v>95</v>
      </c>
      <c r="E702" s="2" t="n">
        <v>177764</v>
      </c>
      <c r="F702" s="15" t="n">
        <v>43844</v>
      </c>
      <c r="G702" s="15" t="n">
        <v>43858</v>
      </c>
      <c r="H702" s="3" t="n">
        <v>14</v>
      </c>
      <c r="I702" s="3" t="n">
        <v>2</v>
      </c>
      <c r="J702" s="3" t="n">
        <v>71</v>
      </c>
      <c r="K702" s="3" t="n">
        <v>1</v>
      </c>
      <c r="L702" s="3" t="n">
        <v>2</v>
      </c>
      <c r="M702" s="3" t="n">
        <v>1</v>
      </c>
      <c r="N702" s="3" t="n">
        <v>2</v>
      </c>
      <c r="O702" s="3" t="n">
        <v>2</v>
      </c>
      <c r="P702" s="3" t="n">
        <v>1</v>
      </c>
      <c r="Q702" s="3" t="n">
        <v>1</v>
      </c>
      <c r="R702" s="3" t="n">
        <v>1</v>
      </c>
      <c r="S702" s="3" t="n">
        <v>2</v>
      </c>
      <c r="T702" s="4" t="n">
        <v>1</v>
      </c>
      <c r="U702" s="3" t="n">
        <v>1</v>
      </c>
      <c r="V702" s="3" t="n">
        <v>2.77</v>
      </c>
      <c r="W702" s="3" t="n">
        <v>0.53</v>
      </c>
      <c r="X702" s="3" t="n">
        <v>6.16</v>
      </c>
      <c r="Y702" s="3" t="n">
        <v>405</v>
      </c>
      <c r="Z702" s="3" t="n">
        <v>131</v>
      </c>
      <c r="AA702" s="3" t="n">
        <v>0.28</v>
      </c>
      <c r="AB702" s="3" t="n">
        <v>9.3</v>
      </c>
      <c r="AC702" s="3" t="n">
        <v>1</v>
      </c>
      <c r="AD702" s="3" t="n">
        <v>1</v>
      </c>
      <c r="AE702" s="3" t="n">
        <v>1</v>
      </c>
      <c r="AF702" s="3" t="n">
        <v>1</v>
      </c>
      <c r="AG702" s="3" t="n">
        <v>2</v>
      </c>
      <c r="AH702" s="3" t="n">
        <v>1</v>
      </c>
      <c r="AI702" s="3" t="n">
        <v>1</v>
      </c>
      <c r="AJ702" s="3" t="n">
        <v>2</v>
      </c>
      <c r="AK702" s="3" t="n">
        <v>1</v>
      </c>
      <c r="AL702" s="3" t="n">
        <v>2</v>
      </c>
      <c r="AM702" s="3" t="n">
        <v>2</v>
      </c>
      <c r="AN702" s="3" t="n">
        <v>2</v>
      </c>
      <c r="AO702" s="3" t="n">
        <v>2</v>
      </c>
      <c r="AP702" s="3" t="n">
        <v>3</v>
      </c>
      <c r="AQ702" s="3" t="n">
        <v>4</v>
      </c>
      <c r="AR702" s="3" t="n">
        <v>4</v>
      </c>
      <c r="AS702" s="3" t="n">
        <v>6</v>
      </c>
      <c r="AT702" s="3" t="n">
        <v>4</v>
      </c>
      <c r="AU702" s="3" t="n">
        <v>4</v>
      </c>
      <c r="AV702" s="3" t="n">
        <v>6</v>
      </c>
      <c r="AW702" s="3" t="n">
        <v>6</v>
      </c>
      <c r="AX702" s="3" t="n">
        <v>3</v>
      </c>
      <c r="AY702" s="3" t="n">
        <v>3</v>
      </c>
      <c r="AZ702" s="3" t="n">
        <v>1</v>
      </c>
      <c r="BA702" s="5" t="n">
        <v>5</v>
      </c>
      <c r="BB702" s="3" t="n">
        <v>2</v>
      </c>
      <c r="BC702" s="3" t="n">
        <v>1</v>
      </c>
      <c r="BD702" s="3" t="n">
        <v>6</v>
      </c>
      <c r="BE702" s="3" t="n">
        <v>3</v>
      </c>
      <c r="BF702" s="3" t="n">
        <v>5</v>
      </c>
      <c r="BG702" s="3" t="n">
        <v>3</v>
      </c>
      <c r="BH702" s="3" t="n">
        <v>4</v>
      </c>
      <c r="BI702" s="3" t="n">
        <v>1</v>
      </c>
      <c r="BJ702" s="3" t="n">
        <v>1</v>
      </c>
      <c r="BK702" s="6" t="s">
        <v>1934</v>
      </c>
    </row>
    <row r="703" customFormat="false" ht="15" hidden="false" customHeight="true" outlineLevel="0" collapsed="false">
      <c r="B703" s="2" t="s">
        <v>1917</v>
      </c>
      <c r="C703" s="2" t="s">
        <v>127</v>
      </c>
      <c r="D703" s="2" t="s">
        <v>127</v>
      </c>
      <c r="E703" s="2" t="n">
        <v>191723</v>
      </c>
      <c r="F703" s="15" t="n">
        <v>43853</v>
      </c>
      <c r="G703" s="15" t="n">
        <v>43860</v>
      </c>
      <c r="H703" s="3" t="n">
        <v>7</v>
      </c>
      <c r="I703" s="3" t="n">
        <v>1</v>
      </c>
      <c r="J703" s="3" t="n">
        <v>53</v>
      </c>
      <c r="K703" s="3" t="n">
        <v>1</v>
      </c>
      <c r="L703" s="3" t="n">
        <v>2</v>
      </c>
      <c r="M703" s="3" t="n">
        <v>1</v>
      </c>
      <c r="N703" s="3" t="n">
        <v>2</v>
      </c>
      <c r="O703" s="3" t="n">
        <v>2</v>
      </c>
      <c r="P703" s="3" t="n">
        <v>2</v>
      </c>
      <c r="Q703" s="3" t="n">
        <v>2</v>
      </c>
      <c r="R703" s="3" t="n">
        <v>2</v>
      </c>
      <c r="S703" s="3" t="n">
        <v>2</v>
      </c>
      <c r="T703" s="4" t="n">
        <v>12</v>
      </c>
      <c r="U703" s="3" t="n">
        <v>1</v>
      </c>
      <c r="V703" s="3" t="n">
        <v>5.07</v>
      </c>
      <c r="W703" s="3" t="n">
        <v>2.21</v>
      </c>
      <c r="X703" s="3" t="n">
        <v>5.36</v>
      </c>
      <c r="Y703" s="3" t="n">
        <v>416</v>
      </c>
      <c r="Z703" s="3" t="n">
        <v>47</v>
      </c>
      <c r="AA703" s="3" t="n">
        <v>0.41</v>
      </c>
      <c r="AB703" s="3" t="n">
        <v>9.9</v>
      </c>
      <c r="AC703" s="3" t="n">
        <v>1</v>
      </c>
      <c r="AD703" s="3" t="n">
        <v>2</v>
      </c>
      <c r="AE703" s="3" t="n">
        <v>2</v>
      </c>
      <c r="AF703" s="3" t="n">
        <v>2</v>
      </c>
      <c r="AG703" s="3" t="n">
        <v>1</v>
      </c>
      <c r="AH703" s="3" t="n">
        <v>2</v>
      </c>
      <c r="AI703" s="3" t="n">
        <v>2</v>
      </c>
      <c r="AJ703" s="3" t="n">
        <v>1</v>
      </c>
      <c r="AK703" s="3" t="n">
        <v>2</v>
      </c>
      <c r="AL703" s="3" t="n">
        <v>2</v>
      </c>
      <c r="AM703" s="3" t="n">
        <v>1</v>
      </c>
      <c r="AN703" s="3" t="n">
        <v>2</v>
      </c>
      <c r="AO703" s="3" t="n">
        <v>2</v>
      </c>
      <c r="AP703" s="3" t="n">
        <v>3</v>
      </c>
      <c r="AQ703" s="3" t="n">
        <v>4</v>
      </c>
      <c r="AR703" s="3" t="n">
        <v>4</v>
      </c>
      <c r="AS703" s="3" t="n">
        <v>6</v>
      </c>
      <c r="AT703" s="3" t="n">
        <v>4</v>
      </c>
      <c r="AU703" s="3" t="n">
        <v>4</v>
      </c>
      <c r="AV703" s="3" t="n">
        <v>6</v>
      </c>
      <c r="AW703" s="3" t="n">
        <v>6</v>
      </c>
      <c r="AX703" s="3" t="n">
        <v>3</v>
      </c>
      <c r="AY703" s="3" t="n">
        <v>3</v>
      </c>
      <c r="AZ703" s="3" t="n">
        <v>1</v>
      </c>
      <c r="BA703" s="5" t="n">
        <v>3</v>
      </c>
      <c r="BB703" s="3" t="n">
        <v>2</v>
      </c>
      <c r="BC703" s="3" t="n">
        <v>1</v>
      </c>
      <c r="BD703" s="3" t="n">
        <v>6</v>
      </c>
      <c r="BE703" s="3" t="n">
        <v>3</v>
      </c>
      <c r="BF703" s="3" t="n">
        <v>5</v>
      </c>
      <c r="BG703" s="3" t="n">
        <v>3</v>
      </c>
      <c r="BH703" s="3" t="n">
        <v>4</v>
      </c>
      <c r="BI703" s="3" t="n">
        <v>1</v>
      </c>
      <c r="BJ703" s="3" t="n">
        <v>1</v>
      </c>
      <c r="BK703" s="6" t="s">
        <v>1935</v>
      </c>
    </row>
    <row r="704" customFormat="false" ht="15" hidden="false" customHeight="true" outlineLevel="0" collapsed="false">
      <c r="B704" s="2" t="s">
        <v>1936</v>
      </c>
      <c r="C704" s="2" t="s">
        <v>1937</v>
      </c>
      <c r="D704" s="2" t="s">
        <v>1498</v>
      </c>
      <c r="E704" s="2" t="n">
        <v>184006</v>
      </c>
      <c r="F704" s="15" t="n">
        <v>43860</v>
      </c>
      <c r="G704" s="15" t="n">
        <v>43861</v>
      </c>
      <c r="H704" s="3" t="n">
        <v>1</v>
      </c>
      <c r="I704" s="3" t="n">
        <v>2</v>
      </c>
      <c r="J704" s="3" t="n">
        <v>63</v>
      </c>
      <c r="K704" s="3" t="n">
        <v>1</v>
      </c>
      <c r="L704" s="3" t="n">
        <v>2</v>
      </c>
      <c r="M704" s="3" t="n">
        <v>1</v>
      </c>
      <c r="N704" s="3" t="n">
        <v>1</v>
      </c>
      <c r="O704" s="3" t="n">
        <v>2</v>
      </c>
      <c r="P704" s="3" t="n">
        <v>2</v>
      </c>
      <c r="Q704" s="3" t="n">
        <v>2</v>
      </c>
      <c r="R704" s="3" t="n">
        <v>2</v>
      </c>
      <c r="S704" s="3" t="n">
        <v>2</v>
      </c>
      <c r="T704" s="4" t="n">
        <v>5</v>
      </c>
      <c r="U704" s="3" t="n">
        <v>1</v>
      </c>
      <c r="V704" s="3" t="n">
        <v>7.19</v>
      </c>
      <c r="W704" s="3" t="n">
        <v>3.09</v>
      </c>
      <c r="X704" s="3" t="n">
        <v>12.6</v>
      </c>
      <c r="Z704" s="3" t="n">
        <v>65</v>
      </c>
      <c r="AA704" s="3" t="n">
        <v>0.46</v>
      </c>
      <c r="AC704" s="3" t="n">
        <v>3</v>
      </c>
      <c r="AD704" s="3" t="n">
        <v>1</v>
      </c>
      <c r="AE704" s="3" t="n">
        <v>1</v>
      </c>
      <c r="AF704" s="3" t="n">
        <v>1</v>
      </c>
      <c r="AG704" s="3" t="n">
        <v>1</v>
      </c>
      <c r="AH704" s="3" t="n">
        <v>2</v>
      </c>
      <c r="AI704" s="3" t="n">
        <v>1</v>
      </c>
      <c r="AJ704" s="3" t="n">
        <v>1</v>
      </c>
      <c r="AK704" s="3" t="n">
        <v>2</v>
      </c>
      <c r="AL704" s="3" t="n">
        <v>2</v>
      </c>
      <c r="AM704" s="3" t="n">
        <v>2</v>
      </c>
      <c r="AN704" s="3" t="n">
        <v>2</v>
      </c>
      <c r="AO704" s="3" t="n">
        <v>2</v>
      </c>
      <c r="AP704" s="3" t="n">
        <v>3</v>
      </c>
      <c r="AQ704" s="3" t="n">
        <v>4</v>
      </c>
      <c r="AR704" s="3" t="n">
        <v>4</v>
      </c>
      <c r="AS704" s="3" t="n">
        <v>6</v>
      </c>
      <c r="AT704" s="3" t="n">
        <v>4</v>
      </c>
      <c r="AU704" s="3" t="n">
        <v>4</v>
      </c>
      <c r="AV704" s="3" t="n">
        <v>6</v>
      </c>
      <c r="AW704" s="3" t="n">
        <v>6</v>
      </c>
      <c r="AX704" s="3" t="n">
        <v>3</v>
      </c>
      <c r="AY704" s="3" t="n">
        <v>3</v>
      </c>
      <c r="AZ704" s="3" t="n">
        <v>1</v>
      </c>
      <c r="BA704" s="5" t="n">
        <v>3</v>
      </c>
      <c r="BB704" s="3" t="n">
        <v>2</v>
      </c>
      <c r="BC704" s="3" t="n">
        <v>1</v>
      </c>
      <c r="BD704" s="3" t="n">
        <v>6</v>
      </c>
      <c r="BE704" s="3" t="n">
        <v>3</v>
      </c>
      <c r="BF704" s="3" t="n">
        <v>5</v>
      </c>
      <c r="BG704" s="3" t="n">
        <v>3</v>
      </c>
      <c r="BH704" s="3" t="n">
        <v>4</v>
      </c>
      <c r="BI704" s="3" t="n">
        <v>1</v>
      </c>
      <c r="BJ704" s="3" t="n">
        <v>1</v>
      </c>
      <c r="BK704" s="6" t="s">
        <v>1938</v>
      </c>
    </row>
    <row r="705" customFormat="false" ht="15" hidden="false" customHeight="true" outlineLevel="0" collapsed="false">
      <c r="B705" s="2" t="s">
        <v>140</v>
      </c>
      <c r="C705" s="2" t="s">
        <v>1405</v>
      </c>
      <c r="D705" s="2" t="s">
        <v>1939</v>
      </c>
      <c r="E705" s="2" t="n">
        <v>192478</v>
      </c>
      <c r="F705" s="15" t="n">
        <v>43854</v>
      </c>
      <c r="G705" s="15" t="n">
        <v>43861</v>
      </c>
      <c r="H705" s="3" t="n">
        <v>7</v>
      </c>
      <c r="I705" s="3" t="n">
        <v>2</v>
      </c>
      <c r="J705" s="3" t="n">
        <v>72</v>
      </c>
      <c r="K705" s="3" t="n">
        <v>1</v>
      </c>
      <c r="L705" s="3" t="n">
        <v>1</v>
      </c>
      <c r="M705" s="3" t="n">
        <v>2</v>
      </c>
      <c r="N705" s="3" t="n">
        <v>2</v>
      </c>
      <c r="O705" s="3" t="n">
        <v>2</v>
      </c>
      <c r="P705" s="3" t="n">
        <v>2</v>
      </c>
      <c r="Q705" s="3" t="n">
        <v>2</v>
      </c>
      <c r="R705" s="3" t="n">
        <v>2</v>
      </c>
      <c r="S705" s="3" t="n">
        <v>2</v>
      </c>
      <c r="T705" s="4" t="n">
        <v>2</v>
      </c>
      <c r="U705" s="3" t="n">
        <v>2</v>
      </c>
      <c r="V705" s="3" t="n">
        <v>5.62</v>
      </c>
      <c r="W705" s="3" t="n">
        <v>1.93</v>
      </c>
      <c r="X705" s="3" t="n">
        <v>6.17</v>
      </c>
      <c r="Y705" s="3" t="n">
        <v>240</v>
      </c>
      <c r="Z705" s="3" t="n">
        <v>79</v>
      </c>
      <c r="AA705" s="3" t="n">
        <v>0.48</v>
      </c>
      <c r="AB705" s="3" t="n">
        <v>10.5</v>
      </c>
      <c r="AD705" s="3" t="n">
        <v>2</v>
      </c>
      <c r="AE705" s="3" t="n">
        <v>1</v>
      </c>
      <c r="AF705" s="3" t="n">
        <v>1</v>
      </c>
      <c r="AG705" s="3" t="n">
        <v>2</v>
      </c>
      <c r="AH705" s="3" t="n">
        <v>2</v>
      </c>
      <c r="AI705" s="3" t="n">
        <v>1</v>
      </c>
      <c r="AJ705" s="3" t="n">
        <v>1</v>
      </c>
      <c r="AK705" s="3" t="n">
        <v>2</v>
      </c>
      <c r="AL705" s="3" t="n">
        <v>2</v>
      </c>
      <c r="AM705" s="3" t="n">
        <v>2</v>
      </c>
      <c r="AN705" s="3" t="n">
        <v>2</v>
      </c>
      <c r="AO705" s="3" t="n">
        <v>2</v>
      </c>
      <c r="AP705" s="3" t="n">
        <v>3</v>
      </c>
      <c r="AQ705" s="3" t="n">
        <v>4</v>
      </c>
      <c r="AR705" s="3" t="n">
        <v>4</v>
      </c>
      <c r="AS705" s="3" t="n">
        <v>6</v>
      </c>
      <c r="AT705" s="3" t="n">
        <v>4</v>
      </c>
      <c r="AU705" s="3" t="n">
        <v>4</v>
      </c>
      <c r="AV705" s="3" t="n">
        <v>6</v>
      </c>
      <c r="AW705" s="3" t="n">
        <v>6</v>
      </c>
      <c r="AX705" s="3" t="n">
        <v>3</v>
      </c>
      <c r="AY705" s="3" t="n">
        <v>3</v>
      </c>
      <c r="AZ705" s="3" t="n">
        <v>1</v>
      </c>
      <c r="BA705" s="5" t="n">
        <v>1</v>
      </c>
      <c r="BB705" s="3" t="n">
        <v>1</v>
      </c>
      <c r="BC705" s="3" t="n">
        <v>1</v>
      </c>
      <c r="BD705" s="3" t="n">
        <v>4</v>
      </c>
      <c r="BE705" s="3" t="n">
        <v>1</v>
      </c>
      <c r="BF705" s="3" t="n">
        <v>2</v>
      </c>
      <c r="BG705" s="3" t="n">
        <v>1</v>
      </c>
      <c r="BH705" s="3" t="n">
        <v>4</v>
      </c>
      <c r="BI705" s="3" t="n">
        <v>1</v>
      </c>
      <c r="BJ705" s="3" t="n">
        <v>1</v>
      </c>
      <c r="BK705" s="6" t="s">
        <v>1940</v>
      </c>
    </row>
    <row r="706" customFormat="false" ht="15" hidden="false" customHeight="true" outlineLevel="0" collapsed="false">
      <c r="B706" s="2" t="s">
        <v>769</v>
      </c>
      <c r="C706" s="2" t="s">
        <v>536</v>
      </c>
      <c r="D706" s="2" t="s">
        <v>1788</v>
      </c>
      <c r="E706" s="2" t="n">
        <v>173933</v>
      </c>
      <c r="F706" s="15" t="n">
        <v>43858</v>
      </c>
      <c r="G706" s="15" t="n">
        <v>43861</v>
      </c>
      <c r="H706" s="3" t="n">
        <v>3</v>
      </c>
      <c r="I706" s="3" t="n">
        <v>1</v>
      </c>
      <c r="J706" s="3" t="n">
        <v>66</v>
      </c>
      <c r="K706" s="3" t="n">
        <v>1</v>
      </c>
      <c r="L706" s="3" t="n">
        <v>2</v>
      </c>
      <c r="M706" s="3" t="n">
        <v>1</v>
      </c>
      <c r="N706" s="3" t="n">
        <v>2</v>
      </c>
      <c r="O706" s="3" t="n">
        <v>2</v>
      </c>
      <c r="P706" s="3" t="n">
        <v>2</v>
      </c>
      <c r="Q706" s="3" t="n">
        <v>1</v>
      </c>
      <c r="R706" s="3" t="n">
        <v>2</v>
      </c>
      <c r="S706" s="3" t="n">
        <v>2</v>
      </c>
      <c r="T706" s="4" t="n">
        <v>3</v>
      </c>
      <c r="U706" s="3" t="n">
        <v>1</v>
      </c>
      <c r="V706" s="3" t="n">
        <v>4.73</v>
      </c>
      <c r="W706" s="3" t="n">
        <v>0.83</v>
      </c>
      <c r="X706" s="3" t="n">
        <v>19.3</v>
      </c>
      <c r="Y706" s="3" t="n">
        <v>472</v>
      </c>
      <c r="Z706" s="3" t="n">
        <v>81</v>
      </c>
      <c r="AA706" s="3" t="n">
        <v>0.4</v>
      </c>
      <c r="AB706" s="3" t="n">
        <v>10</v>
      </c>
      <c r="AC706" s="3" t="n">
        <v>1</v>
      </c>
      <c r="AD706" s="3" t="n">
        <v>2</v>
      </c>
      <c r="AE706" s="3" t="n">
        <v>2</v>
      </c>
      <c r="AF706" s="3" t="n">
        <v>2</v>
      </c>
      <c r="AG706" s="3" t="n">
        <v>1</v>
      </c>
      <c r="AH706" s="3" t="n">
        <v>2</v>
      </c>
      <c r="AI706" s="3" t="n">
        <v>2</v>
      </c>
      <c r="AJ706" s="3" t="n">
        <v>2</v>
      </c>
      <c r="AK706" s="3" t="n">
        <v>1</v>
      </c>
      <c r="AL706" s="3" t="n">
        <v>2</v>
      </c>
      <c r="AM706" s="3" t="n">
        <v>1</v>
      </c>
      <c r="AN706" s="3" t="n">
        <v>2</v>
      </c>
      <c r="AO706" s="3" t="n">
        <v>2</v>
      </c>
      <c r="AP706" s="3" t="n">
        <v>3</v>
      </c>
      <c r="AQ706" s="3" t="n">
        <v>4</v>
      </c>
      <c r="AR706" s="3" t="n">
        <v>4</v>
      </c>
      <c r="AS706" s="3" t="n">
        <v>6</v>
      </c>
      <c r="AT706" s="3" t="n">
        <v>4</v>
      </c>
      <c r="AU706" s="3" t="n">
        <v>4</v>
      </c>
      <c r="AV706" s="3" t="n">
        <v>6</v>
      </c>
      <c r="AW706" s="3" t="n">
        <v>6</v>
      </c>
      <c r="AX706" s="3" t="n">
        <v>3</v>
      </c>
      <c r="AY706" s="3" t="n">
        <v>3</v>
      </c>
      <c r="AZ706" s="3" t="n">
        <v>1</v>
      </c>
      <c r="BA706" s="5" t="n">
        <v>11</v>
      </c>
      <c r="BB706" s="3" t="n">
        <v>2</v>
      </c>
      <c r="BC706" s="3" t="n">
        <v>1</v>
      </c>
      <c r="BD706" s="3" t="n">
        <v>6</v>
      </c>
      <c r="BE706" s="3" t="n">
        <v>3</v>
      </c>
      <c r="BF706" s="3" t="n">
        <v>5</v>
      </c>
      <c r="BG706" s="3" t="n">
        <v>3</v>
      </c>
      <c r="BH706" s="3" t="n">
        <v>4</v>
      </c>
      <c r="BI706" s="3" t="n">
        <v>1</v>
      </c>
      <c r="BJ706" s="3" t="n">
        <v>1</v>
      </c>
      <c r="BK706" s="6" t="s">
        <v>1941</v>
      </c>
    </row>
    <row r="707" customFormat="false" ht="15" hidden="false" customHeight="true" outlineLevel="0" collapsed="false">
      <c r="B707" s="2" t="s">
        <v>580</v>
      </c>
      <c r="C707" s="2" t="s">
        <v>1942</v>
      </c>
      <c r="D707" s="2" t="s">
        <v>1942</v>
      </c>
      <c r="E707" s="2" t="n">
        <v>192490</v>
      </c>
      <c r="F707" s="15" t="n">
        <v>43854</v>
      </c>
      <c r="G707" s="15" t="n">
        <v>43861</v>
      </c>
      <c r="H707" s="3" t="n">
        <v>7</v>
      </c>
      <c r="I707" s="3" t="n">
        <v>1</v>
      </c>
      <c r="J707" s="3" t="n">
        <v>70</v>
      </c>
      <c r="K707" s="3" t="n">
        <v>2</v>
      </c>
      <c r="L707" s="3" t="n">
        <v>2</v>
      </c>
      <c r="M707" s="3" t="n">
        <v>1</v>
      </c>
      <c r="N707" s="3" t="n">
        <v>2</v>
      </c>
      <c r="O707" s="3" t="n">
        <v>2</v>
      </c>
      <c r="P707" s="3" t="n">
        <v>2</v>
      </c>
      <c r="Q707" s="3" t="n">
        <v>1</v>
      </c>
      <c r="R707" s="3" t="n">
        <v>2</v>
      </c>
      <c r="S707" s="3" t="n">
        <v>2</v>
      </c>
      <c r="T707" s="4" t="n">
        <v>2</v>
      </c>
      <c r="U707" s="3" t="n">
        <v>2</v>
      </c>
      <c r="V707" s="3" t="n">
        <v>5.53</v>
      </c>
      <c r="W707" s="3" t="n">
        <v>1.66</v>
      </c>
      <c r="X707" s="3" t="n">
        <v>7.09</v>
      </c>
      <c r="Y707" s="3" t="n">
        <v>312</v>
      </c>
      <c r="Z707" s="3" t="n">
        <v>64</v>
      </c>
      <c r="AA707" s="3" t="n">
        <v>0.42</v>
      </c>
      <c r="AB707" s="3" t="n">
        <v>13.4</v>
      </c>
      <c r="AC707" s="3" t="n">
        <v>1</v>
      </c>
      <c r="AD707" s="3" t="n">
        <v>1</v>
      </c>
      <c r="AE707" s="3" t="n">
        <v>1</v>
      </c>
      <c r="AF707" s="3" t="n">
        <v>1</v>
      </c>
      <c r="AG707" s="3" t="n">
        <v>2</v>
      </c>
      <c r="AH707" s="3" t="n">
        <v>2</v>
      </c>
      <c r="AI707" s="3" t="n">
        <v>1</v>
      </c>
      <c r="AJ707" s="3" t="n">
        <v>1</v>
      </c>
      <c r="AK707" s="3" t="n">
        <v>2</v>
      </c>
      <c r="AL707" s="3" t="n">
        <v>2</v>
      </c>
      <c r="AM707" s="3" t="n">
        <v>2</v>
      </c>
      <c r="AN707" s="3" t="n">
        <v>2</v>
      </c>
      <c r="AO707" s="3" t="n">
        <v>2</v>
      </c>
      <c r="AP707" s="3" t="n">
        <v>2</v>
      </c>
      <c r="AQ707" s="3" t="n">
        <v>3</v>
      </c>
      <c r="AR707" s="3" t="n">
        <v>8</v>
      </c>
      <c r="AS707" s="3" t="n">
        <v>2</v>
      </c>
      <c r="AT707" s="3" t="n">
        <v>3</v>
      </c>
      <c r="AU707" s="3" t="n">
        <v>1</v>
      </c>
      <c r="AV707" s="3" t="n">
        <v>1</v>
      </c>
      <c r="AW707" s="3" t="n">
        <v>1</v>
      </c>
      <c r="AX707" s="3" t="n">
        <v>2</v>
      </c>
      <c r="AY707" s="3" t="n">
        <v>2</v>
      </c>
      <c r="AZ707" s="3" t="n">
        <v>2</v>
      </c>
      <c r="BA707" s="5" t="n">
        <v>1</v>
      </c>
      <c r="BB707" s="3" t="n">
        <v>1</v>
      </c>
      <c r="BC707" s="3" t="n">
        <v>1</v>
      </c>
      <c r="BD707" s="3" t="n">
        <v>2</v>
      </c>
      <c r="BE707" s="3" t="n">
        <v>1</v>
      </c>
      <c r="BF707" s="3" t="n">
        <v>2</v>
      </c>
      <c r="BG707" s="3" t="n">
        <v>1</v>
      </c>
      <c r="BH707" s="3" t="n">
        <v>4</v>
      </c>
      <c r="BI707" s="3" t="n">
        <v>1</v>
      </c>
      <c r="BJ707" s="3" t="n">
        <v>1</v>
      </c>
      <c r="BK707" s="6" t="s">
        <v>1943</v>
      </c>
    </row>
    <row r="708" customFormat="false" ht="15" hidden="false" customHeight="true" outlineLevel="0" collapsed="false">
      <c r="B708" s="2" t="s">
        <v>675</v>
      </c>
      <c r="C708" s="2" t="s">
        <v>153</v>
      </c>
      <c r="D708" s="2" t="s">
        <v>153</v>
      </c>
      <c r="E708" s="2" t="s">
        <v>1944</v>
      </c>
      <c r="F708" s="15" t="n">
        <v>43858</v>
      </c>
      <c r="G708" s="15" t="n">
        <v>43864</v>
      </c>
      <c r="H708" s="3" t="n">
        <v>6</v>
      </c>
      <c r="I708" s="3" t="n">
        <v>1</v>
      </c>
      <c r="J708" s="3" t="n">
        <v>72</v>
      </c>
      <c r="K708" s="3" t="n">
        <v>1</v>
      </c>
      <c r="L708" s="3" t="n">
        <v>1</v>
      </c>
      <c r="M708" s="3" t="n">
        <v>1</v>
      </c>
      <c r="N708" s="3" t="n">
        <v>2</v>
      </c>
      <c r="O708" s="3" t="n">
        <v>1</v>
      </c>
      <c r="P708" s="3" t="n">
        <v>1</v>
      </c>
      <c r="Q708" s="3" t="n">
        <v>2</v>
      </c>
      <c r="R708" s="3" t="n">
        <v>2</v>
      </c>
      <c r="S708" s="3" t="n">
        <v>2</v>
      </c>
      <c r="T708" s="4" t="n">
        <v>1</v>
      </c>
      <c r="U708" s="3" t="n">
        <v>1</v>
      </c>
      <c r="V708" s="3" t="n">
        <v>4.63</v>
      </c>
      <c r="W708" s="3" t="n">
        <v>1.75</v>
      </c>
      <c r="X708" s="3" t="n">
        <v>6.17</v>
      </c>
      <c r="Y708" s="3" t="n">
        <v>473</v>
      </c>
      <c r="Z708" s="3" t="n">
        <v>70</v>
      </c>
      <c r="AA708" s="3" t="n">
        <v>0.4</v>
      </c>
      <c r="AB708" s="3" t="n">
        <v>6.4</v>
      </c>
      <c r="AC708" s="3" t="n">
        <v>1</v>
      </c>
      <c r="AD708" s="3" t="n">
        <v>1</v>
      </c>
      <c r="AE708" s="3" t="n">
        <v>1</v>
      </c>
      <c r="AF708" s="3" t="n">
        <v>1</v>
      </c>
      <c r="AG708" s="3" t="n">
        <v>2</v>
      </c>
      <c r="AH708" s="3" t="n">
        <v>2</v>
      </c>
      <c r="AI708" s="3" t="n">
        <v>1</v>
      </c>
      <c r="AJ708" s="3" t="n">
        <v>2</v>
      </c>
      <c r="AK708" s="3" t="n">
        <v>2</v>
      </c>
      <c r="AL708" s="3" t="n">
        <v>2</v>
      </c>
      <c r="AM708" s="3" t="n">
        <v>2</v>
      </c>
      <c r="AN708" s="3" t="n">
        <v>2</v>
      </c>
      <c r="AO708" s="3" t="n">
        <v>2</v>
      </c>
      <c r="AP708" s="3" t="n">
        <v>3</v>
      </c>
      <c r="AQ708" s="3" t="n">
        <v>4</v>
      </c>
      <c r="AR708" s="3" t="n">
        <v>4</v>
      </c>
      <c r="AS708" s="3" t="n">
        <v>6</v>
      </c>
      <c r="AT708" s="3" t="n">
        <v>4</v>
      </c>
      <c r="AU708" s="3" t="n">
        <v>4</v>
      </c>
      <c r="AV708" s="3" t="n">
        <v>6</v>
      </c>
      <c r="AW708" s="3" t="n">
        <v>6</v>
      </c>
      <c r="AX708" s="3" t="n">
        <v>3</v>
      </c>
      <c r="AY708" s="3" t="n">
        <v>3</v>
      </c>
      <c r="AZ708" s="3" t="n">
        <v>1</v>
      </c>
      <c r="BA708" s="5" t="n">
        <v>5</v>
      </c>
      <c r="BB708" s="3" t="n">
        <v>2</v>
      </c>
      <c r="BC708" s="3" t="n">
        <v>1</v>
      </c>
      <c r="BD708" s="3" t="n">
        <v>6</v>
      </c>
      <c r="BE708" s="3" t="n">
        <v>3</v>
      </c>
      <c r="BF708" s="3" t="n">
        <v>5</v>
      </c>
      <c r="BG708" s="3" t="n">
        <v>3</v>
      </c>
      <c r="BH708" s="3" t="n">
        <v>4</v>
      </c>
      <c r="BI708" s="3" t="n">
        <v>1</v>
      </c>
      <c r="BJ708" s="3" t="n">
        <v>1</v>
      </c>
      <c r="BK708" s="6" t="s">
        <v>1945</v>
      </c>
    </row>
    <row r="709" customFormat="false" ht="15" hidden="false" customHeight="true" outlineLevel="0" collapsed="false">
      <c r="B709" s="2" t="s">
        <v>1946</v>
      </c>
      <c r="C709" s="2" t="s">
        <v>118</v>
      </c>
      <c r="D709" s="2" t="s">
        <v>1947</v>
      </c>
      <c r="E709" s="2" t="n">
        <v>192578</v>
      </c>
      <c r="F709" s="15" t="n">
        <v>43858</v>
      </c>
      <c r="G709" s="15" t="n">
        <v>43862</v>
      </c>
      <c r="H709" s="3" t="n">
        <v>4</v>
      </c>
      <c r="I709" s="3" t="n">
        <v>2</v>
      </c>
      <c r="J709" s="3" t="n">
        <v>77</v>
      </c>
      <c r="K709" s="3" t="n">
        <v>1</v>
      </c>
      <c r="L709" s="3" t="n">
        <v>2</v>
      </c>
      <c r="M709" s="3" t="n">
        <v>1</v>
      </c>
      <c r="N709" s="3" t="n">
        <v>1</v>
      </c>
      <c r="O709" s="3" t="n">
        <v>2</v>
      </c>
      <c r="P709" s="3" t="n">
        <v>2</v>
      </c>
      <c r="Q709" s="3" t="n">
        <v>1</v>
      </c>
      <c r="R709" s="3" t="n">
        <v>2</v>
      </c>
      <c r="S709" s="3" t="n">
        <v>2</v>
      </c>
      <c r="T709" s="4" t="n">
        <v>1</v>
      </c>
      <c r="U709" s="3" t="n">
        <v>1</v>
      </c>
      <c r="V709" s="3" t="n">
        <v>5.18</v>
      </c>
      <c r="W709" s="3" t="n">
        <v>1.61</v>
      </c>
      <c r="X709" s="3" t="n">
        <v>6.5</v>
      </c>
      <c r="Y709" s="3" t="n">
        <v>349</v>
      </c>
      <c r="Z709" s="3" t="n">
        <v>100</v>
      </c>
      <c r="AA709" s="3" t="n">
        <v>0.52</v>
      </c>
      <c r="AB709" s="3" t="n">
        <v>8.6</v>
      </c>
      <c r="AC709" s="3" t="n">
        <v>1</v>
      </c>
      <c r="AD709" s="3" t="n">
        <v>1</v>
      </c>
      <c r="AE709" s="3" t="n">
        <v>1</v>
      </c>
      <c r="AF709" s="3" t="n">
        <v>1</v>
      </c>
      <c r="AG709" s="3" t="n">
        <v>2</v>
      </c>
      <c r="AH709" s="3" t="n">
        <v>2</v>
      </c>
      <c r="AI709" s="3" t="n">
        <v>1</v>
      </c>
      <c r="AJ709" s="3" t="n">
        <v>1</v>
      </c>
      <c r="AK709" s="3" t="n">
        <v>2</v>
      </c>
      <c r="AL709" s="3" t="n">
        <v>2</v>
      </c>
      <c r="AM709" s="3" t="n">
        <v>2</v>
      </c>
      <c r="AN709" s="3" t="n">
        <v>2</v>
      </c>
      <c r="AO709" s="3" t="n">
        <v>2</v>
      </c>
      <c r="AP709" s="3" t="n">
        <v>3</v>
      </c>
      <c r="AQ709" s="3" t="n">
        <v>4</v>
      </c>
      <c r="AR709" s="3" t="n">
        <v>4</v>
      </c>
      <c r="AS709" s="3" t="n">
        <v>6</v>
      </c>
      <c r="AT709" s="3" t="n">
        <v>4</v>
      </c>
      <c r="AU709" s="3" t="n">
        <v>4</v>
      </c>
      <c r="AV709" s="3" t="n">
        <v>6</v>
      </c>
      <c r="AW709" s="3" t="n">
        <v>6</v>
      </c>
      <c r="AX709" s="3" t="n">
        <v>3</v>
      </c>
      <c r="AY709" s="3" t="n">
        <v>3</v>
      </c>
      <c r="AZ709" s="3" t="n">
        <v>1</v>
      </c>
      <c r="BA709" s="5" t="n">
        <v>5</v>
      </c>
      <c r="BB709" s="3" t="n">
        <v>2</v>
      </c>
      <c r="BC709" s="3" t="n">
        <v>1</v>
      </c>
      <c r="BD709" s="3" t="n">
        <v>6</v>
      </c>
      <c r="BE709" s="3" t="n">
        <v>3</v>
      </c>
      <c r="BF709" s="3" t="n">
        <v>5</v>
      </c>
      <c r="BG709" s="3" t="n">
        <v>3</v>
      </c>
      <c r="BH709" s="3" t="n">
        <v>4</v>
      </c>
      <c r="BI709" s="3" t="n">
        <v>1</v>
      </c>
      <c r="BJ709" s="3" t="n">
        <v>1</v>
      </c>
      <c r="BK709" s="6" t="s">
        <v>1948</v>
      </c>
    </row>
    <row r="710" s="30" customFormat="true" ht="15" hidden="false" customHeight="true" outlineLevel="0" collapsed="false">
      <c r="A710" s="24"/>
      <c r="B710" s="26" t="s">
        <v>258</v>
      </c>
      <c r="C710" s="26" t="s">
        <v>210</v>
      </c>
      <c r="D710" s="26" t="s">
        <v>210</v>
      </c>
      <c r="E710" s="26" t="n">
        <v>132841</v>
      </c>
      <c r="F710" s="27" t="n">
        <v>43860</v>
      </c>
      <c r="G710" s="27" t="n">
        <v>43862</v>
      </c>
      <c r="H710" s="30" t="n">
        <v>2</v>
      </c>
      <c r="I710" s="30" t="n">
        <v>2</v>
      </c>
      <c r="J710" s="30" t="n">
        <v>63</v>
      </c>
      <c r="K710" s="30" t="n">
        <v>1</v>
      </c>
      <c r="L710" s="30" t="n">
        <v>1</v>
      </c>
      <c r="M710" s="30" t="n">
        <v>1</v>
      </c>
      <c r="N710" s="30" t="n">
        <v>1</v>
      </c>
      <c r="O710" s="30" t="n">
        <v>2</v>
      </c>
      <c r="P710" s="30" t="n">
        <v>1</v>
      </c>
      <c r="Q710" s="30" t="n">
        <v>2</v>
      </c>
      <c r="R710" s="30" t="n">
        <v>2</v>
      </c>
      <c r="S710" s="30" t="n">
        <v>2</v>
      </c>
      <c r="T710" s="4" t="n">
        <v>3</v>
      </c>
      <c r="U710" s="30" t="n">
        <v>1</v>
      </c>
      <c r="AC710" s="30" t="n">
        <v>2</v>
      </c>
      <c r="AD710" s="30" t="n">
        <v>1</v>
      </c>
      <c r="AE710" s="30" t="n">
        <v>1</v>
      </c>
      <c r="AF710" s="30" t="n">
        <v>2</v>
      </c>
      <c r="AG710" s="30" t="n">
        <v>2</v>
      </c>
      <c r="AH710" s="30" t="n">
        <v>2</v>
      </c>
      <c r="AI710" s="30" t="n">
        <v>1</v>
      </c>
      <c r="AJ710" s="30" t="n">
        <v>2</v>
      </c>
      <c r="AK710" s="30" t="n">
        <v>1</v>
      </c>
      <c r="AL710" s="30" t="n">
        <v>2</v>
      </c>
      <c r="AM710" s="30" t="n">
        <v>1</v>
      </c>
      <c r="AN710" s="30" t="n">
        <v>2</v>
      </c>
      <c r="AO710" s="30" t="n">
        <v>2</v>
      </c>
      <c r="AP710" s="30" t="n">
        <v>3</v>
      </c>
      <c r="AQ710" s="30" t="n">
        <v>4</v>
      </c>
      <c r="AR710" s="30" t="n">
        <v>4</v>
      </c>
      <c r="AS710" s="30" t="n">
        <v>6</v>
      </c>
      <c r="AT710" s="30" t="n">
        <v>4</v>
      </c>
      <c r="AU710" s="30" t="n">
        <v>4</v>
      </c>
      <c r="AV710" s="30" t="n">
        <v>6</v>
      </c>
      <c r="AW710" s="30" t="n">
        <v>6</v>
      </c>
      <c r="AX710" s="30" t="n">
        <v>3</v>
      </c>
      <c r="AY710" s="30" t="n">
        <v>3</v>
      </c>
      <c r="AZ710" s="30" t="n">
        <v>10</v>
      </c>
      <c r="BA710" s="5" t="n">
        <v>11</v>
      </c>
      <c r="BB710" s="30" t="n">
        <v>2</v>
      </c>
      <c r="BC710" s="30" t="n">
        <v>2</v>
      </c>
      <c r="BD710" s="30" t="n">
        <v>6</v>
      </c>
      <c r="BE710" s="30" t="n">
        <v>3</v>
      </c>
      <c r="BF710" s="30" t="n">
        <v>5</v>
      </c>
      <c r="BG710" s="30" t="n">
        <v>3</v>
      </c>
      <c r="BH710" s="30" t="n">
        <v>4</v>
      </c>
      <c r="BI710" s="30" t="n">
        <v>1</v>
      </c>
      <c r="BJ710" s="30" t="n">
        <v>1</v>
      </c>
      <c r="BK710" s="31" t="s">
        <v>1949</v>
      </c>
    </row>
    <row r="711" customFormat="false" ht="15" hidden="false" customHeight="true" outlineLevel="0" collapsed="false">
      <c r="B711" s="2" t="s">
        <v>1950</v>
      </c>
      <c r="C711" s="2" t="s">
        <v>1951</v>
      </c>
      <c r="D711" s="2" t="s">
        <v>1952</v>
      </c>
      <c r="E711" s="2" t="n">
        <v>150143</v>
      </c>
      <c r="F711" s="15" t="n">
        <v>43861</v>
      </c>
      <c r="G711" s="15" t="n">
        <v>43865</v>
      </c>
      <c r="H711" s="3" t="n">
        <v>4</v>
      </c>
      <c r="I711" s="3" t="n">
        <v>1</v>
      </c>
      <c r="J711" s="3" t="n">
        <v>84</v>
      </c>
      <c r="K711" s="3" t="n">
        <v>1</v>
      </c>
      <c r="L711" s="3" t="n">
        <v>2</v>
      </c>
      <c r="M711" s="3" t="n">
        <v>1</v>
      </c>
      <c r="N711" s="3" t="n">
        <v>2</v>
      </c>
      <c r="O711" s="3" t="n">
        <v>2</v>
      </c>
      <c r="P711" s="3" t="n">
        <v>1</v>
      </c>
      <c r="Q711" s="3" t="n">
        <v>1</v>
      </c>
      <c r="R711" s="3" t="n">
        <v>2</v>
      </c>
      <c r="S711" s="3" t="n">
        <v>1</v>
      </c>
      <c r="T711" s="4" t="n">
        <v>4</v>
      </c>
      <c r="U711" s="3" t="n">
        <v>4</v>
      </c>
      <c r="V711" s="3" t="n">
        <v>3.76</v>
      </c>
      <c r="W711" s="3" t="n">
        <v>1.03</v>
      </c>
      <c r="X711" s="3" t="n">
        <v>6.65</v>
      </c>
      <c r="Y711" s="3" t="n">
        <v>591</v>
      </c>
      <c r="Z711" s="3" t="n">
        <v>129</v>
      </c>
      <c r="AA711" s="3" t="n">
        <v>0.37</v>
      </c>
      <c r="AB711" s="3" t="n">
        <v>12.8</v>
      </c>
      <c r="AC711" s="3" t="n">
        <v>1</v>
      </c>
      <c r="AD711" s="3" t="n">
        <v>1</v>
      </c>
      <c r="AE711" s="3" t="n">
        <v>2</v>
      </c>
      <c r="AF711" s="3" t="n">
        <v>2</v>
      </c>
      <c r="AG711" s="3" t="n">
        <v>2</v>
      </c>
      <c r="AH711" s="3" t="n">
        <v>2</v>
      </c>
      <c r="AI711" s="3" t="n">
        <v>2</v>
      </c>
      <c r="AJ711" s="3" t="n">
        <v>1</v>
      </c>
      <c r="AK711" s="3" t="n">
        <v>2</v>
      </c>
      <c r="AL711" s="3" t="n">
        <v>2</v>
      </c>
      <c r="AM711" s="3" t="n">
        <v>2</v>
      </c>
      <c r="AN711" s="3" t="n">
        <v>2</v>
      </c>
      <c r="AO711" s="3" t="n">
        <v>2</v>
      </c>
      <c r="AP711" s="3" t="n">
        <v>3</v>
      </c>
      <c r="AQ711" s="3" t="n">
        <v>4</v>
      </c>
      <c r="AR711" s="3" t="n">
        <v>4</v>
      </c>
      <c r="AS711" s="3" t="n">
        <v>6</v>
      </c>
      <c r="AT711" s="3" t="n">
        <v>4</v>
      </c>
      <c r="AU711" s="3" t="n">
        <v>4</v>
      </c>
      <c r="AV711" s="3" t="n">
        <v>6</v>
      </c>
      <c r="AW711" s="3" t="n">
        <v>6</v>
      </c>
      <c r="AX711" s="3" t="n">
        <v>3</v>
      </c>
      <c r="AY711" s="3" t="n">
        <v>3</v>
      </c>
      <c r="AZ711" s="3" t="n">
        <v>1</v>
      </c>
      <c r="BA711" s="5" t="n">
        <v>10</v>
      </c>
      <c r="BB711" s="3" t="n">
        <v>2</v>
      </c>
      <c r="BC711" s="3" t="n">
        <v>1</v>
      </c>
      <c r="BD711" s="3" t="n">
        <v>6</v>
      </c>
      <c r="BE711" s="3" t="n">
        <v>3</v>
      </c>
      <c r="BF711" s="3" t="n">
        <v>5</v>
      </c>
      <c r="BG711" s="3" t="n">
        <v>3</v>
      </c>
      <c r="BH711" s="3" t="n">
        <v>4</v>
      </c>
      <c r="BI711" s="3" t="n">
        <v>1</v>
      </c>
      <c r="BJ711" s="3" t="n">
        <v>1</v>
      </c>
      <c r="BK711" s="6" t="s">
        <v>1953</v>
      </c>
    </row>
    <row r="712" customFormat="false" ht="15" hidden="false" customHeight="true" outlineLevel="0" collapsed="false">
      <c r="B712" s="2" t="s">
        <v>1954</v>
      </c>
      <c r="C712" s="2" t="s">
        <v>668</v>
      </c>
      <c r="D712" s="2" t="s">
        <v>308</v>
      </c>
      <c r="E712" s="2" t="n">
        <v>191308</v>
      </c>
      <c r="F712" s="15" t="n">
        <v>43861</v>
      </c>
      <c r="G712" s="15" t="n">
        <v>43864</v>
      </c>
      <c r="H712" s="3" t="n">
        <v>3</v>
      </c>
      <c r="I712" s="3" t="n">
        <v>2</v>
      </c>
      <c r="J712" s="3" t="n">
        <v>77</v>
      </c>
      <c r="K712" s="3" t="n">
        <v>1</v>
      </c>
      <c r="L712" s="3" t="n">
        <v>2</v>
      </c>
      <c r="M712" s="3" t="n">
        <v>1</v>
      </c>
      <c r="N712" s="3" t="n">
        <v>2</v>
      </c>
      <c r="O712" s="3" t="n">
        <v>2</v>
      </c>
      <c r="P712" s="3" t="n">
        <v>2</v>
      </c>
      <c r="Q712" s="3" t="n">
        <v>2</v>
      </c>
      <c r="R712" s="3" t="n">
        <v>2</v>
      </c>
      <c r="S712" s="3" t="n">
        <v>2</v>
      </c>
      <c r="T712" s="4" t="n">
        <v>1</v>
      </c>
      <c r="U712" s="3" t="n">
        <v>1</v>
      </c>
      <c r="V712" s="3" t="n">
        <v>3.2</v>
      </c>
      <c r="W712" s="3" t="n">
        <v>2.6</v>
      </c>
      <c r="X712" s="3" t="n">
        <v>4.4</v>
      </c>
      <c r="Y712" s="3" t="n">
        <v>412</v>
      </c>
      <c r="Z712" s="3" t="n">
        <v>110.8</v>
      </c>
      <c r="AA712" s="3" t="n">
        <v>0.36</v>
      </c>
      <c r="AB712" s="3" t="n">
        <v>5.3</v>
      </c>
      <c r="AC712" s="3" t="n">
        <v>1</v>
      </c>
      <c r="AD712" s="3" t="n">
        <v>1</v>
      </c>
      <c r="AE712" s="3" t="n">
        <v>1</v>
      </c>
      <c r="AF712" s="3" t="n">
        <v>1</v>
      </c>
      <c r="AG712" s="3" t="n">
        <v>1</v>
      </c>
      <c r="AH712" s="3" t="n">
        <v>1</v>
      </c>
      <c r="AI712" s="3" t="n">
        <v>1</v>
      </c>
      <c r="AJ712" s="3" t="n">
        <v>1</v>
      </c>
      <c r="AK712" s="3" t="n">
        <v>2</v>
      </c>
      <c r="AL712" s="3" t="n">
        <v>2</v>
      </c>
      <c r="AM712" s="3" t="n">
        <v>2</v>
      </c>
      <c r="AN712" s="3" t="n">
        <v>2</v>
      </c>
      <c r="AO712" s="3" t="n">
        <v>2</v>
      </c>
      <c r="AP712" s="3" t="n">
        <v>3</v>
      </c>
      <c r="AQ712" s="3" t="n">
        <v>4</v>
      </c>
      <c r="AR712" s="3" t="n">
        <v>4</v>
      </c>
      <c r="AS712" s="3" t="n">
        <v>6</v>
      </c>
      <c r="AT712" s="3" t="n">
        <v>4</v>
      </c>
      <c r="AU712" s="3" t="n">
        <v>4</v>
      </c>
      <c r="AV712" s="3" t="n">
        <v>6</v>
      </c>
      <c r="AW712" s="3" t="n">
        <v>6</v>
      </c>
      <c r="AX712" s="3" t="n">
        <v>3</v>
      </c>
      <c r="AY712" s="3" t="n">
        <v>3</v>
      </c>
      <c r="AZ712" s="3" t="n">
        <v>1</v>
      </c>
      <c r="BA712" s="5" t="n">
        <v>5</v>
      </c>
      <c r="BB712" s="3" t="n">
        <v>2</v>
      </c>
      <c r="BC712" s="3" t="n">
        <v>1</v>
      </c>
      <c r="BD712" s="3" t="n">
        <v>6</v>
      </c>
      <c r="BE712" s="3" t="n">
        <v>3</v>
      </c>
      <c r="BF712" s="3" t="n">
        <v>5</v>
      </c>
      <c r="BG712" s="3" t="n">
        <v>3</v>
      </c>
      <c r="BH712" s="3" t="n">
        <v>4</v>
      </c>
      <c r="BI712" s="3" t="n">
        <v>1</v>
      </c>
      <c r="BJ712" s="3" t="n">
        <v>1</v>
      </c>
      <c r="BK712" s="6" t="s">
        <v>1955</v>
      </c>
    </row>
    <row r="713" customFormat="false" ht="15" hidden="false" customHeight="true" outlineLevel="0" collapsed="false">
      <c r="B713" s="2" t="s">
        <v>1956</v>
      </c>
      <c r="C713" s="2" t="s">
        <v>382</v>
      </c>
      <c r="D713" s="2" t="s">
        <v>66</v>
      </c>
      <c r="E713" s="2" t="n">
        <v>192586</v>
      </c>
      <c r="F713" s="15" t="n">
        <v>43858</v>
      </c>
      <c r="G713" s="15" t="n">
        <v>43862</v>
      </c>
      <c r="H713" s="3" t="n">
        <v>4</v>
      </c>
      <c r="I713" s="3" t="n">
        <v>1</v>
      </c>
      <c r="J713" s="3" t="n">
        <v>72</v>
      </c>
      <c r="K713" s="3" t="n">
        <v>1</v>
      </c>
      <c r="L713" s="3" t="n">
        <v>2</v>
      </c>
      <c r="M713" s="3" t="n">
        <v>1</v>
      </c>
      <c r="N713" s="3" t="n">
        <v>2</v>
      </c>
      <c r="O713" s="3" t="n">
        <v>2</v>
      </c>
      <c r="P713" s="3" t="n">
        <v>2</v>
      </c>
      <c r="Q713" s="3" t="n">
        <v>2</v>
      </c>
      <c r="R713" s="3" t="n">
        <v>2</v>
      </c>
      <c r="S713" s="3" t="n">
        <v>2</v>
      </c>
      <c r="T713" s="4" t="n">
        <v>1</v>
      </c>
      <c r="U713" s="3" t="n">
        <v>1</v>
      </c>
      <c r="V713" s="3" t="n">
        <v>5.02</v>
      </c>
      <c r="W713" s="3" t="n">
        <v>0.41</v>
      </c>
      <c r="X713" s="3" t="n">
        <v>10.2</v>
      </c>
      <c r="Y713" s="3" t="n">
        <v>379</v>
      </c>
      <c r="Z713" s="3" t="n">
        <v>73</v>
      </c>
      <c r="AA713" s="3" t="n">
        <v>0.38</v>
      </c>
      <c r="AB713" s="3" t="n">
        <v>8.8</v>
      </c>
      <c r="AC713" s="3" t="n">
        <v>1</v>
      </c>
      <c r="AD713" s="3" t="n">
        <v>1</v>
      </c>
      <c r="AE713" s="3" t="n">
        <v>1</v>
      </c>
      <c r="AF713" s="3" t="n">
        <v>1</v>
      </c>
      <c r="AG713" s="3" t="n">
        <v>2</v>
      </c>
      <c r="AH713" s="3" t="n">
        <v>2</v>
      </c>
      <c r="AI713" s="3" t="n">
        <v>1</v>
      </c>
      <c r="AJ713" s="3" t="n">
        <v>1</v>
      </c>
      <c r="AK713" s="3" t="n">
        <v>2</v>
      </c>
      <c r="AL713" s="3" t="n">
        <v>2</v>
      </c>
      <c r="AM713" s="3" t="n">
        <v>1</v>
      </c>
      <c r="AN713" s="3" t="n">
        <v>2</v>
      </c>
      <c r="AO713" s="3" t="n">
        <v>2</v>
      </c>
      <c r="AP713" s="3" t="n">
        <v>3</v>
      </c>
      <c r="AQ713" s="3" t="n">
        <v>4</v>
      </c>
      <c r="AR713" s="3" t="n">
        <v>4</v>
      </c>
      <c r="AS713" s="3" t="n">
        <v>6</v>
      </c>
      <c r="AT713" s="3" t="n">
        <v>4</v>
      </c>
      <c r="AU713" s="3" t="n">
        <v>4</v>
      </c>
      <c r="AV713" s="3" t="n">
        <v>6</v>
      </c>
      <c r="AW713" s="3" t="n">
        <v>6</v>
      </c>
      <c r="AX713" s="3" t="n">
        <v>3</v>
      </c>
      <c r="AY713" s="3" t="n">
        <v>3</v>
      </c>
      <c r="AZ713" s="3" t="n">
        <v>1</v>
      </c>
      <c r="BA713" s="5" t="n">
        <v>5</v>
      </c>
      <c r="BB713" s="3" t="n">
        <v>2</v>
      </c>
      <c r="BC713" s="3" t="n">
        <v>1</v>
      </c>
      <c r="BD713" s="3" t="n">
        <v>6</v>
      </c>
      <c r="BE713" s="3" t="n">
        <v>3</v>
      </c>
      <c r="BF713" s="3" t="n">
        <v>5</v>
      </c>
      <c r="BG713" s="3" t="n">
        <v>3</v>
      </c>
      <c r="BH713" s="3" t="n">
        <v>4</v>
      </c>
      <c r="BI713" s="3" t="n">
        <v>1</v>
      </c>
      <c r="BJ713" s="3" t="n">
        <v>1</v>
      </c>
      <c r="BK713" s="6" t="s">
        <v>609</v>
      </c>
    </row>
    <row r="714" customFormat="false" ht="15" hidden="false" customHeight="true" outlineLevel="0" collapsed="false">
      <c r="B714" s="2" t="s">
        <v>1957</v>
      </c>
      <c r="C714" s="2" t="s">
        <v>1958</v>
      </c>
      <c r="D714" s="2" t="s">
        <v>127</v>
      </c>
      <c r="E714" s="2" t="n">
        <v>192529</v>
      </c>
      <c r="F714" s="15" t="n">
        <v>43860</v>
      </c>
      <c r="G714" s="15" t="n">
        <v>43865</v>
      </c>
      <c r="H714" s="3" t="n">
        <v>5</v>
      </c>
      <c r="I714" s="3" t="n">
        <v>1</v>
      </c>
      <c r="J714" s="3" t="n">
        <v>88</v>
      </c>
      <c r="K714" s="3" t="n">
        <v>1</v>
      </c>
      <c r="L714" s="3" t="n">
        <v>2</v>
      </c>
      <c r="M714" s="3" t="n">
        <v>1</v>
      </c>
      <c r="N714" s="3" t="n">
        <v>2</v>
      </c>
      <c r="O714" s="3" t="n">
        <v>2</v>
      </c>
      <c r="P714" s="3" t="n">
        <v>2</v>
      </c>
      <c r="Q714" s="3" t="n">
        <v>2</v>
      </c>
      <c r="R714" s="3" t="n">
        <v>2</v>
      </c>
      <c r="S714" s="3" t="n">
        <v>2</v>
      </c>
      <c r="T714" s="4" t="n">
        <v>3</v>
      </c>
      <c r="U714" s="3" t="n">
        <v>1</v>
      </c>
      <c r="V714" s="3" t="n">
        <v>5.23</v>
      </c>
      <c r="W714" s="3" t="n">
        <v>1.02</v>
      </c>
      <c r="X714" s="3" t="n">
        <v>5.1</v>
      </c>
      <c r="Y714" s="3" t="n">
        <v>819</v>
      </c>
      <c r="AA714" s="3" t="n">
        <v>0.45</v>
      </c>
      <c r="AB714" s="3" t="n">
        <v>12</v>
      </c>
      <c r="AC714" s="3" t="n">
        <v>2</v>
      </c>
      <c r="AD714" s="3" t="n">
        <v>2</v>
      </c>
      <c r="AE714" s="3" t="n">
        <v>1</v>
      </c>
      <c r="AF714" s="3" t="n">
        <v>1</v>
      </c>
      <c r="AG714" s="3" t="n">
        <v>2</v>
      </c>
      <c r="AH714" s="3" t="n">
        <v>2</v>
      </c>
      <c r="AI714" s="3" t="n">
        <v>1</v>
      </c>
      <c r="AJ714" s="3" t="n">
        <v>2</v>
      </c>
      <c r="AK714" s="3" t="n">
        <v>2</v>
      </c>
      <c r="AL714" s="3" t="n">
        <v>2</v>
      </c>
      <c r="AM714" s="3" t="n">
        <v>1</v>
      </c>
      <c r="AN714" s="3" t="n">
        <v>2</v>
      </c>
      <c r="AO714" s="3" t="n">
        <v>2</v>
      </c>
      <c r="AP714" s="3" t="n">
        <v>3</v>
      </c>
      <c r="AQ714" s="3" t="n">
        <v>4</v>
      </c>
      <c r="AR714" s="3" t="n">
        <v>4</v>
      </c>
      <c r="AS714" s="3" t="n">
        <v>6</v>
      </c>
      <c r="AT714" s="3" t="n">
        <v>4</v>
      </c>
      <c r="AU714" s="3" t="n">
        <v>4</v>
      </c>
      <c r="AV714" s="3" t="n">
        <v>6</v>
      </c>
      <c r="AW714" s="3" t="n">
        <v>6</v>
      </c>
      <c r="AX714" s="3" t="n">
        <v>3</v>
      </c>
      <c r="AY714" s="3" t="n">
        <v>3</v>
      </c>
      <c r="AZ714" s="3" t="n">
        <v>1</v>
      </c>
      <c r="BA714" s="5" t="n">
        <v>11</v>
      </c>
      <c r="BB714" s="3" t="n">
        <v>2</v>
      </c>
      <c r="BC714" s="3" t="n">
        <v>1</v>
      </c>
      <c r="BD714" s="3" t="n">
        <v>6</v>
      </c>
      <c r="BE714" s="3" t="n">
        <v>3</v>
      </c>
      <c r="BF714" s="3" t="n">
        <v>5</v>
      </c>
      <c r="BG714" s="3" t="n">
        <v>3</v>
      </c>
      <c r="BH714" s="3" t="n">
        <v>4</v>
      </c>
      <c r="BI714" s="3" t="n">
        <v>1</v>
      </c>
      <c r="BJ714" s="3" t="n">
        <v>1</v>
      </c>
      <c r="BK714" s="6" t="s">
        <v>1959</v>
      </c>
    </row>
    <row r="715" customFormat="false" ht="15" hidden="false" customHeight="true" outlineLevel="0" collapsed="false">
      <c r="B715" s="2" t="s">
        <v>1936</v>
      </c>
      <c r="C715" s="2" t="s">
        <v>1937</v>
      </c>
      <c r="D715" s="2" t="s">
        <v>1498</v>
      </c>
      <c r="E715" s="2" t="n">
        <v>184006</v>
      </c>
      <c r="F715" s="15" t="n">
        <v>43865</v>
      </c>
      <c r="G715" s="15" t="n">
        <v>43867</v>
      </c>
      <c r="H715" s="3" t="n">
        <v>2</v>
      </c>
      <c r="I715" s="3" t="n">
        <v>2</v>
      </c>
      <c r="J715" s="3" t="n">
        <v>63</v>
      </c>
      <c r="K715" s="3" t="n">
        <v>1</v>
      </c>
      <c r="L715" s="3" t="n">
        <v>2</v>
      </c>
      <c r="M715" s="3" t="n">
        <v>1</v>
      </c>
      <c r="N715" s="3" t="n">
        <v>1</v>
      </c>
      <c r="O715" s="3" t="n">
        <v>2</v>
      </c>
      <c r="P715" s="3" t="n">
        <v>2</v>
      </c>
      <c r="Q715" s="3" t="n">
        <v>2</v>
      </c>
      <c r="R715" s="3" t="n">
        <v>2</v>
      </c>
      <c r="S715" s="3" t="n">
        <v>2</v>
      </c>
      <c r="T715" s="4" t="n">
        <v>5</v>
      </c>
      <c r="U715" s="3" t="n">
        <v>1</v>
      </c>
      <c r="V715" s="3" t="n">
        <v>7.19</v>
      </c>
      <c r="W715" s="3" t="n">
        <v>3.09</v>
      </c>
      <c r="X715" s="3" t="n">
        <v>12.6</v>
      </c>
      <c r="Z715" s="3" t="n">
        <v>65</v>
      </c>
      <c r="AA715" s="3" t="n">
        <v>0.46</v>
      </c>
      <c r="AC715" s="3" t="n">
        <v>3</v>
      </c>
      <c r="AD715" s="3" t="n">
        <v>1</v>
      </c>
      <c r="AE715" s="3" t="n">
        <v>1</v>
      </c>
      <c r="AF715" s="3" t="n">
        <v>1</v>
      </c>
      <c r="AG715" s="3" t="n">
        <v>1</v>
      </c>
      <c r="AH715" s="3" t="n">
        <v>2</v>
      </c>
      <c r="AI715" s="3" t="n">
        <v>1</v>
      </c>
      <c r="AJ715" s="3" t="n">
        <v>1</v>
      </c>
      <c r="AK715" s="3" t="n">
        <v>2</v>
      </c>
      <c r="AL715" s="3" t="n">
        <v>2</v>
      </c>
      <c r="AM715" s="3" t="n">
        <v>2</v>
      </c>
      <c r="AN715" s="3" t="n">
        <v>2</v>
      </c>
      <c r="AO715" s="3" t="n">
        <v>2</v>
      </c>
      <c r="AP715" s="3" t="n">
        <v>1</v>
      </c>
      <c r="AQ715" s="3" t="n">
        <v>3</v>
      </c>
      <c r="AR715" s="3" t="n">
        <v>5</v>
      </c>
      <c r="AS715" s="3" t="n">
        <v>2</v>
      </c>
      <c r="AT715" s="3" t="n">
        <v>1</v>
      </c>
      <c r="AU715" s="3" t="n">
        <v>1</v>
      </c>
      <c r="AV715" s="3" t="n">
        <v>1</v>
      </c>
      <c r="AW715" s="3" t="n">
        <v>1</v>
      </c>
      <c r="AX715" s="3" t="n">
        <v>2</v>
      </c>
      <c r="AY715" s="3" t="n">
        <v>2</v>
      </c>
      <c r="AZ715" s="3" t="n">
        <v>1</v>
      </c>
      <c r="BA715" s="5" t="n">
        <v>3</v>
      </c>
      <c r="BB715" s="3" t="n">
        <v>2</v>
      </c>
      <c r="BC715" s="3" t="n">
        <v>1</v>
      </c>
      <c r="BD715" s="3" t="n">
        <v>6</v>
      </c>
      <c r="BE715" s="3" t="n">
        <v>3</v>
      </c>
      <c r="BF715" s="3" t="n">
        <v>5</v>
      </c>
      <c r="BG715" s="3" t="n">
        <v>3</v>
      </c>
      <c r="BH715" s="3" t="n">
        <v>4</v>
      </c>
      <c r="BI715" s="3" t="n">
        <v>1</v>
      </c>
      <c r="BJ715" s="3" t="n">
        <v>1</v>
      </c>
      <c r="BK715" s="6" t="s">
        <v>1960</v>
      </c>
    </row>
    <row r="716" customFormat="false" ht="15" hidden="false" customHeight="true" outlineLevel="0" collapsed="false">
      <c r="B716" s="2" t="s">
        <v>1961</v>
      </c>
      <c r="C716" s="2" t="s">
        <v>210</v>
      </c>
      <c r="D716" s="2" t="s">
        <v>846</v>
      </c>
      <c r="E716" s="2" t="n">
        <v>192647</v>
      </c>
      <c r="F716" s="15" t="n">
        <v>43861</v>
      </c>
      <c r="G716" s="15" t="n">
        <v>43868</v>
      </c>
      <c r="H716" s="3" t="n">
        <v>8</v>
      </c>
      <c r="I716" s="3" t="n">
        <v>1</v>
      </c>
      <c r="J716" s="3" t="n">
        <v>61</v>
      </c>
      <c r="K716" s="3" t="n">
        <v>1</v>
      </c>
      <c r="L716" s="3" t="n">
        <v>2</v>
      </c>
      <c r="M716" s="3" t="n">
        <v>1</v>
      </c>
      <c r="N716" s="3" t="n">
        <v>1</v>
      </c>
      <c r="O716" s="3" t="n">
        <v>2</v>
      </c>
      <c r="P716" s="3" t="n">
        <v>2</v>
      </c>
      <c r="Q716" s="3" t="n">
        <v>2</v>
      </c>
      <c r="R716" s="3" t="n">
        <v>2</v>
      </c>
      <c r="S716" s="3" t="n">
        <v>2</v>
      </c>
      <c r="T716" s="4" t="n">
        <v>3</v>
      </c>
      <c r="U716" s="3" t="n">
        <v>1</v>
      </c>
      <c r="V716" s="3" t="n">
        <v>3.88</v>
      </c>
      <c r="W716" s="3" t="n">
        <v>1.42</v>
      </c>
      <c r="X716" s="3" t="n">
        <v>4.83</v>
      </c>
      <c r="Y716" s="3" t="n">
        <v>519</v>
      </c>
      <c r="Z716" s="3" t="n">
        <v>72</v>
      </c>
      <c r="AA716" s="3" t="n">
        <v>0.35</v>
      </c>
      <c r="AB716" s="3" t="n">
        <v>9.9</v>
      </c>
      <c r="AC716" s="3" t="n">
        <v>2</v>
      </c>
      <c r="AD716" s="3" t="n">
        <v>1</v>
      </c>
      <c r="AE716" s="3" t="n">
        <v>1</v>
      </c>
      <c r="AF716" s="3" t="n">
        <v>1</v>
      </c>
      <c r="AG716" s="3" t="n">
        <v>1</v>
      </c>
      <c r="AH716" s="3" t="n">
        <v>2</v>
      </c>
      <c r="AI716" s="3" t="n">
        <v>1</v>
      </c>
      <c r="AJ716" s="3" t="n">
        <v>1</v>
      </c>
      <c r="AK716" s="3" t="n">
        <v>2</v>
      </c>
      <c r="AL716" s="3" t="n">
        <v>2</v>
      </c>
      <c r="AM716" s="3" t="n">
        <v>1</v>
      </c>
      <c r="AN716" s="3" t="n">
        <v>2</v>
      </c>
      <c r="AO716" s="3" t="n">
        <v>2</v>
      </c>
      <c r="AP716" s="3" t="n">
        <v>3</v>
      </c>
      <c r="AQ716" s="3" t="n">
        <v>4</v>
      </c>
      <c r="AR716" s="3" t="n">
        <v>4</v>
      </c>
      <c r="AS716" s="3" t="n">
        <v>6</v>
      </c>
      <c r="AT716" s="3" t="n">
        <v>4</v>
      </c>
      <c r="AU716" s="3" t="n">
        <v>4</v>
      </c>
      <c r="AV716" s="3" t="n">
        <v>6</v>
      </c>
      <c r="AW716" s="3" t="n">
        <v>6</v>
      </c>
      <c r="AX716" s="3" t="n">
        <v>3</v>
      </c>
      <c r="AY716" s="3" t="n">
        <v>3</v>
      </c>
      <c r="AZ716" s="3" t="n">
        <v>1</v>
      </c>
      <c r="BA716" s="5" t="n">
        <v>11</v>
      </c>
      <c r="BB716" s="3" t="n">
        <v>2</v>
      </c>
      <c r="BC716" s="3" t="n">
        <v>1</v>
      </c>
      <c r="BD716" s="3" t="n">
        <v>6</v>
      </c>
      <c r="BE716" s="3" t="n">
        <v>3</v>
      </c>
      <c r="BF716" s="3" t="n">
        <v>5</v>
      </c>
      <c r="BG716" s="3" t="n">
        <v>3</v>
      </c>
      <c r="BH716" s="3" t="n">
        <v>4</v>
      </c>
      <c r="BI716" s="3" t="n">
        <v>1</v>
      </c>
      <c r="BJ716" s="3" t="n">
        <v>1</v>
      </c>
      <c r="BK716" s="6" t="s">
        <v>1962</v>
      </c>
    </row>
    <row r="717" s="30" customFormat="true" ht="15" hidden="false" customHeight="true" outlineLevel="0" collapsed="false">
      <c r="A717" s="24"/>
      <c r="B717" s="26" t="s">
        <v>1753</v>
      </c>
      <c r="C717" s="26" t="s">
        <v>443</v>
      </c>
      <c r="D717" s="26" t="s">
        <v>153</v>
      </c>
      <c r="E717" s="26" t="n">
        <v>192684</v>
      </c>
      <c r="F717" s="27" t="n">
        <v>43864</v>
      </c>
      <c r="G717" s="27" t="n">
        <v>43868</v>
      </c>
      <c r="H717" s="30" t="n">
        <v>4</v>
      </c>
      <c r="I717" s="30" t="n">
        <v>1</v>
      </c>
      <c r="J717" s="30" t="n">
        <v>77</v>
      </c>
      <c r="K717" s="30" t="n">
        <v>1</v>
      </c>
      <c r="L717" s="30" t="n">
        <v>2</v>
      </c>
      <c r="M717" s="30" t="n">
        <v>1</v>
      </c>
      <c r="N717" s="30" t="n">
        <v>2</v>
      </c>
      <c r="O717" s="30" t="n">
        <v>2</v>
      </c>
      <c r="P717" s="30" t="n">
        <v>2</v>
      </c>
      <c r="Q717" s="30" t="n">
        <v>2</v>
      </c>
      <c r="R717" s="30" t="n">
        <v>2</v>
      </c>
      <c r="S717" s="30" t="n">
        <v>2</v>
      </c>
      <c r="T717" s="4" t="n">
        <v>2</v>
      </c>
      <c r="U717" s="30" t="n">
        <v>2</v>
      </c>
      <c r="V717" s="30" t="n">
        <v>3.36</v>
      </c>
      <c r="W717" s="30" t="n">
        <v>0.68</v>
      </c>
      <c r="X717" s="30" t="n">
        <v>7.84</v>
      </c>
      <c r="Y717" s="30" t="n">
        <v>499</v>
      </c>
      <c r="Z717" s="30" t="n">
        <v>96</v>
      </c>
      <c r="AA717" s="30" t="n">
        <v>0.35</v>
      </c>
      <c r="AD717" s="30" t="n">
        <v>2</v>
      </c>
      <c r="AE717" s="30" t="n">
        <v>1</v>
      </c>
      <c r="AF717" s="30" t="n">
        <v>1</v>
      </c>
      <c r="AG717" s="30" t="n">
        <v>2</v>
      </c>
      <c r="AH717" s="30" t="n">
        <v>2</v>
      </c>
      <c r="AI717" s="30" t="n">
        <v>1</v>
      </c>
      <c r="AJ717" s="30" t="n">
        <v>1</v>
      </c>
      <c r="AK717" s="30" t="n">
        <v>2</v>
      </c>
      <c r="AL717" s="30" t="n">
        <v>2</v>
      </c>
      <c r="AM717" s="30" t="n">
        <v>1</v>
      </c>
      <c r="AN717" s="30" t="n">
        <v>2</v>
      </c>
      <c r="AO717" s="30" t="n">
        <v>2</v>
      </c>
      <c r="AP717" s="30" t="n">
        <v>3</v>
      </c>
      <c r="AQ717" s="30" t="n">
        <v>4</v>
      </c>
      <c r="AR717" s="30" t="n">
        <v>4</v>
      </c>
      <c r="AS717" s="30" t="n">
        <v>6</v>
      </c>
      <c r="AT717" s="30" t="n">
        <v>4</v>
      </c>
      <c r="AU717" s="30" t="n">
        <v>4</v>
      </c>
      <c r="AV717" s="30" t="n">
        <v>6</v>
      </c>
      <c r="AW717" s="30" t="n">
        <v>6</v>
      </c>
      <c r="AX717" s="30" t="n">
        <v>3</v>
      </c>
      <c r="AY717" s="30" t="n">
        <v>3</v>
      </c>
      <c r="AZ717" s="30" t="n">
        <v>14</v>
      </c>
      <c r="BA717" s="5" t="n">
        <v>11</v>
      </c>
      <c r="BB717" s="30" t="n">
        <v>1</v>
      </c>
      <c r="BC717" s="30" t="n">
        <v>2</v>
      </c>
      <c r="BD717" s="30" t="n">
        <v>4</v>
      </c>
      <c r="BE717" s="30" t="n">
        <v>3</v>
      </c>
      <c r="BF717" s="30" t="n">
        <v>5</v>
      </c>
      <c r="BG717" s="30" t="n">
        <v>3</v>
      </c>
      <c r="BH717" s="30" t="n">
        <v>4</v>
      </c>
      <c r="BI717" s="30" t="n">
        <v>1</v>
      </c>
      <c r="BJ717" s="30" t="n">
        <v>1</v>
      </c>
      <c r="BK717" s="31" t="s">
        <v>1963</v>
      </c>
    </row>
    <row r="718" customFormat="false" ht="15" hidden="false" customHeight="true" outlineLevel="0" collapsed="false">
      <c r="B718" s="2" t="s">
        <v>1964</v>
      </c>
      <c r="C718" s="2" t="s">
        <v>127</v>
      </c>
      <c r="D718" s="2" t="s">
        <v>1965</v>
      </c>
      <c r="E718" s="2" t="n">
        <v>192553</v>
      </c>
      <c r="F718" s="15" t="n">
        <v>43859</v>
      </c>
      <c r="G718" s="15" t="n">
        <v>43868</v>
      </c>
      <c r="H718" s="3" t="n">
        <v>9</v>
      </c>
      <c r="I718" s="3" t="n">
        <v>1</v>
      </c>
      <c r="J718" s="3" t="n">
        <v>72</v>
      </c>
      <c r="K718" s="3" t="n">
        <v>1</v>
      </c>
      <c r="L718" s="3" t="n">
        <v>1</v>
      </c>
      <c r="M718" s="3" t="n">
        <v>1</v>
      </c>
      <c r="N718" s="3" t="n">
        <v>1</v>
      </c>
      <c r="O718" s="3" t="n">
        <v>2</v>
      </c>
      <c r="P718" s="3" t="n">
        <v>2</v>
      </c>
      <c r="Q718" s="3" t="n">
        <v>2</v>
      </c>
      <c r="R718" s="3" t="n">
        <v>2</v>
      </c>
      <c r="S718" s="3" t="n">
        <v>2</v>
      </c>
      <c r="T718" s="4" t="n">
        <v>1</v>
      </c>
      <c r="U718" s="3" t="n">
        <v>1</v>
      </c>
      <c r="V718" s="3" t="n">
        <v>6.09</v>
      </c>
      <c r="W718" s="3" t="n">
        <v>0.93</v>
      </c>
      <c r="X718" s="3" t="n">
        <v>5.08</v>
      </c>
      <c r="Y718" s="3" t="n">
        <v>349</v>
      </c>
      <c r="Z718" s="3" t="n">
        <v>85</v>
      </c>
      <c r="AA718" s="3" t="n">
        <v>0.4</v>
      </c>
      <c r="AB718" s="3" t="n">
        <v>10.2</v>
      </c>
      <c r="AC718" s="3" t="n">
        <v>1</v>
      </c>
      <c r="AD718" s="3" t="n">
        <v>1</v>
      </c>
      <c r="AE718" s="3" t="n">
        <v>1</v>
      </c>
      <c r="AF718" s="3" t="n">
        <v>1</v>
      </c>
      <c r="AG718" s="3" t="n">
        <v>1</v>
      </c>
      <c r="AH718" s="3" t="n">
        <v>1</v>
      </c>
      <c r="AI718" s="3" t="n">
        <v>1</v>
      </c>
      <c r="AJ718" s="3" t="n">
        <v>1</v>
      </c>
      <c r="AK718" s="3" t="n">
        <v>2</v>
      </c>
      <c r="AL718" s="3" t="n">
        <v>2</v>
      </c>
      <c r="AM718" s="3" t="n">
        <v>2</v>
      </c>
      <c r="AN718" s="3" t="n">
        <v>2</v>
      </c>
      <c r="AO718" s="3" t="n">
        <v>2</v>
      </c>
      <c r="AP718" s="3" t="n">
        <v>1</v>
      </c>
      <c r="AQ718" s="3" t="n">
        <v>3</v>
      </c>
      <c r="AR718" s="3" t="n">
        <v>4</v>
      </c>
      <c r="AS718" s="3" t="n">
        <v>2</v>
      </c>
      <c r="AT718" s="3" t="n">
        <v>1</v>
      </c>
      <c r="AU718" s="3" t="n">
        <v>1</v>
      </c>
      <c r="AV718" s="3" t="n">
        <v>1</v>
      </c>
      <c r="AW718" s="3" t="n">
        <v>1</v>
      </c>
      <c r="AX718" s="3" t="n">
        <v>2</v>
      </c>
      <c r="AY718" s="3" t="n">
        <v>2</v>
      </c>
      <c r="AZ718" s="3" t="n">
        <v>1</v>
      </c>
      <c r="BA718" s="5" t="n">
        <v>5</v>
      </c>
      <c r="BB718" s="3" t="n">
        <v>2</v>
      </c>
      <c r="BC718" s="3" t="n">
        <v>1</v>
      </c>
      <c r="BD718" s="3" t="n">
        <v>6</v>
      </c>
      <c r="BE718" s="3" t="n">
        <v>3</v>
      </c>
      <c r="BF718" s="3" t="n">
        <v>5</v>
      </c>
      <c r="BG718" s="3" t="n">
        <v>3</v>
      </c>
      <c r="BH718" s="3" t="n">
        <v>4</v>
      </c>
      <c r="BI718" s="3" t="n">
        <v>1</v>
      </c>
      <c r="BJ718" s="3" t="n">
        <v>1</v>
      </c>
      <c r="BK718" s="6" t="s">
        <v>1966</v>
      </c>
    </row>
    <row r="719" customFormat="false" ht="15" hidden="false" customHeight="true" outlineLevel="0" collapsed="false">
      <c r="B719" s="2" t="s">
        <v>440</v>
      </c>
      <c r="C719" s="2" t="s">
        <v>1967</v>
      </c>
      <c r="D719" s="2" t="s">
        <v>1968</v>
      </c>
      <c r="E719" s="2" t="n">
        <v>193033</v>
      </c>
      <c r="F719" s="15" t="n">
        <v>43866</v>
      </c>
      <c r="G719" s="15" t="n">
        <v>43871</v>
      </c>
      <c r="H719" s="3" t="n">
        <v>5</v>
      </c>
      <c r="I719" s="3" t="n">
        <v>2</v>
      </c>
      <c r="J719" s="3" t="n">
        <v>59</v>
      </c>
      <c r="K719" s="3" t="n">
        <v>2</v>
      </c>
      <c r="L719" s="3" t="n">
        <v>2</v>
      </c>
      <c r="M719" s="3" t="n">
        <v>1</v>
      </c>
      <c r="N719" s="3" t="n">
        <v>1</v>
      </c>
      <c r="O719" s="3" t="n">
        <v>2</v>
      </c>
      <c r="P719" s="3" t="n">
        <v>2</v>
      </c>
      <c r="Q719" s="3" t="n">
        <v>2</v>
      </c>
      <c r="R719" s="3" t="n">
        <v>2</v>
      </c>
      <c r="S719" s="3" t="n">
        <v>1</v>
      </c>
      <c r="T719" s="4" t="n">
        <v>1</v>
      </c>
      <c r="U719" s="3" t="n">
        <v>1</v>
      </c>
      <c r="V719" s="3" t="n">
        <v>4.52</v>
      </c>
      <c r="W719" s="3" t="n">
        <v>1.43</v>
      </c>
      <c r="X719" s="3" t="n">
        <v>4.8</v>
      </c>
      <c r="Y719" s="3" t="n">
        <v>599</v>
      </c>
      <c r="Z719" s="3" t="n">
        <v>76</v>
      </c>
      <c r="AA719" s="3" t="n">
        <v>0.41</v>
      </c>
      <c r="AB719" s="3" t="n">
        <v>8.6</v>
      </c>
      <c r="AC719" s="3" t="n">
        <v>1</v>
      </c>
      <c r="AD719" s="3" t="n">
        <v>1</v>
      </c>
      <c r="AE719" s="3" t="n">
        <v>1</v>
      </c>
      <c r="AF719" s="3" t="n">
        <v>1</v>
      </c>
      <c r="AG719" s="3" t="n">
        <v>2</v>
      </c>
      <c r="AH719" s="3" t="n">
        <v>1</v>
      </c>
      <c r="AI719" s="3" t="n">
        <v>1</v>
      </c>
      <c r="AJ719" s="3" t="n">
        <v>1</v>
      </c>
      <c r="AK719" s="3" t="n">
        <v>2</v>
      </c>
      <c r="AL719" s="3" t="n">
        <v>2</v>
      </c>
      <c r="AM719" s="3" t="n">
        <v>1</v>
      </c>
      <c r="AN719" s="3" t="n">
        <v>2</v>
      </c>
      <c r="AO719" s="3" t="n">
        <v>2</v>
      </c>
      <c r="AP719" s="3" t="n">
        <v>3</v>
      </c>
      <c r="AQ719" s="3" t="n">
        <v>4</v>
      </c>
      <c r="AR719" s="3" t="n">
        <v>4</v>
      </c>
      <c r="AS719" s="3" t="n">
        <v>6</v>
      </c>
      <c r="AT719" s="3" t="n">
        <v>4</v>
      </c>
      <c r="AU719" s="3" t="n">
        <v>4</v>
      </c>
      <c r="AV719" s="3" t="n">
        <v>6</v>
      </c>
      <c r="AW719" s="3" t="n">
        <v>6</v>
      </c>
      <c r="AX719" s="3" t="n">
        <v>3</v>
      </c>
      <c r="AY719" s="3" t="n">
        <v>3</v>
      </c>
      <c r="AZ719" s="3" t="n">
        <v>1</v>
      </c>
      <c r="BA719" s="5" t="n">
        <v>5</v>
      </c>
      <c r="BB719" s="3" t="n">
        <v>2</v>
      </c>
      <c r="BC719" s="3" t="n">
        <v>1</v>
      </c>
      <c r="BD719" s="3" t="n">
        <v>6</v>
      </c>
      <c r="BE719" s="3" t="n">
        <v>3</v>
      </c>
      <c r="BF719" s="3" t="n">
        <v>5</v>
      </c>
      <c r="BG719" s="3" t="n">
        <v>3</v>
      </c>
      <c r="BH719" s="3" t="n">
        <v>4</v>
      </c>
      <c r="BI719" s="3" t="n">
        <v>1</v>
      </c>
      <c r="BJ719" s="3" t="n">
        <v>1</v>
      </c>
      <c r="BK719" s="6" t="s">
        <v>1969</v>
      </c>
    </row>
    <row r="720" customFormat="false" ht="15" hidden="false" customHeight="true" outlineLevel="0" collapsed="false">
      <c r="B720" s="2" t="s">
        <v>1970</v>
      </c>
      <c r="C720" s="2" t="s">
        <v>1971</v>
      </c>
      <c r="D720" s="2" t="s">
        <v>1972</v>
      </c>
      <c r="E720" s="2" t="n">
        <v>193067</v>
      </c>
      <c r="F720" s="15" t="n">
        <v>43867</v>
      </c>
      <c r="G720" s="15" t="n">
        <v>43872</v>
      </c>
      <c r="H720" s="3" t="n">
        <v>5</v>
      </c>
      <c r="I720" s="3" t="n">
        <v>1</v>
      </c>
      <c r="J720" s="3" t="n">
        <v>60</v>
      </c>
      <c r="K720" s="3" t="n">
        <v>1</v>
      </c>
      <c r="L720" s="3" t="n">
        <v>2</v>
      </c>
      <c r="M720" s="3" t="n">
        <v>1</v>
      </c>
      <c r="N720" s="3" t="n">
        <v>2</v>
      </c>
      <c r="O720" s="3" t="n">
        <v>1</v>
      </c>
      <c r="P720" s="3" t="n">
        <v>2</v>
      </c>
      <c r="Q720" s="3" t="n">
        <v>1</v>
      </c>
      <c r="R720" s="3" t="n">
        <v>2</v>
      </c>
      <c r="S720" s="3" t="n">
        <v>1</v>
      </c>
      <c r="T720" s="4" t="n">
        <v>1</v>
      </c>
      <c r="U720" s="3" t="n">
        <v>1</v>
      </c>
      <c r="V720" s="3" t="n">
        <v>6.67</v>
      </c>
      <c r="W720" s="3" t="n">
        <v>2.62</v>
      </c>
      <c r="X720" s="3" t="n">
        <v>19.94</v>
      </c>
      <c r="Y720" s="3" t="n">
        <v>427</v>
      </c>
      <c r="Z720" s="3" t="n">
        <v>63</v>
      </c>
      <c r="AA720" s="3" t="n">
        <v>0.42</v>
      </c>
      <c r="AB720" s="3" t="n">
        <v>12.6</v>
      </c>
      <c r="AC720" s="3" t="n">
        <v>1</v>
      </c>
      <c r="AD720" s="3" t="n">
        <v>1</v>
      </c>
      <c r="AE720" s="3" t="n">
        <v>1</v>
      </c>
      <c r="AF720" s="3" t="n">
        <v>1</v>
      </c>
      <c r="AG720" s="3" t="n">
        <v>2</v>
      </c>
      <c r="AH720" s="3" t="n">
        <v>2</v>
      </c>
      <c r="AI720" s="3" t="n">
        <v>1</v>
      </c>
      <c r="AJ720" s="3" t="n">
        <v>1</v>
      </c>
      <c r="AK720" s="3" t="n">
        <v>1</v>
      </c>
      <c r="AL720" s="3" t="n">
        <v>2</v>
      </c>
      <c r="AM720" s="3" t="n">
        <v>1</v>
      </c>
      <c r="AN720" s="3" t="n">
        <v>2</v>
      </c>
      <c r="AO720" s="3" t="n">
        <v>2</v>
      </c>
      <c r="AP720" s="3" t="n">
        <v>3</v>
      </c>
      <c r="AQ720" s="3" t="n">
        <v>4</v>
      </c>
      <c r="AR720" s="3" t="n">
        <v>4</v>
      </c>
      <c r="AS720" s="3" t="n">
        <v>6</v>
      </c>
      <c r="AT720" s="3" t="n">
        <v>4</v>
      </c>
      <c r="AU720" s="3" t="n">
        <v>4</v>
      </c>
      <c r="AV720" s="3" t="n">
        <v>6</v>
      </c>
      <c r="AW720" s="3" t="n">
        <v>6</v>
      </c>
      <c r="AX720" s="3" t="n">
        <v>3</v>
      </c>
      <c r="AY720" s="3" t="n">
        <v>3</v>
      </c>
      <c r="AZ720" s="3" t="n">
        <v>1</v>
      </c>
      <c r="BA720" s="5" t="n">
        <v>5</v>
      </c>
      <c r="BB720" s="3" t="n">
        <v>2</v>
      </c>
      <c r="BC720" s="3" t="n">
        <v>1</v>
      </c>
      <c r="BD720" s="3" t="n">
        <v>6</v>
      </c>
      <c r="BE720" s="3" t="n">
        <v>3</v>
      </c>
      <c r="BF720" s="3" t="n">
        <v>5</v>
      </c>
      <c r="BG720" s="3" t="n">
        <v>3</v>
      </c>
      <c r="BH720" s="3" t="n">
        <v>4</v>
      </c>
      <c r="BI720" s="3" t="n">
        <v>1</v>
      </c>
      <c r="BJ720" s="3" t="n">
        <v>1</v>
      </c>
      <c r="BK720" s="6" t="s">
        <v>1973</v>
      </c>
    </row>
    <row r="721" customFormat="false" ht="15" hidden="false" customHeight="true" outlineLevel="0" collapsed="false">
      <c r="B721" s="2" t="s">
        <v>258</v>
      </c>
      <c r="C721" s="2" t="s">
        <v>1974</v>
      </c>
      <c r="D721" s="2" t="s">
        <v>423</v>
      </c>
      <c r="E721" s="2" t="n">
        <v>193112</v>
      </c>
      <c r="F721" s="15" t="n">
        <v>43869</v>
      </c>
      <c r="G721" s="15" t="n">
        <v>43874</v>
      </c>
      <c r="H721" s="3" t="n">
        <v>5</v>
      </c>
      <c r="I721" s="3" t="n">
        <v>2</v>
      </c>
      <c r="J721" s="3" t="n">
        <v>94</v>
      </c>
      <c r="K721" s="3" t="n">
        <v>1</v>
      </c>
      <c r="L721" s="3" t="n">
        <v>2</v>
      </c>
      <c r="M721" s="3" t="n">
        <v>1</v>
      </c>
      <c r="N721" s="3" t="n">
        <v>2</v>
      </c>
      <c r="O721" s="3" t="n">
        <v>2</v>
      </c>
      <c r="P721" s="3" t="n">
        <v>2</v>
      </c>
      <c r="Q721" s="3" t="n">
        <v>2</v>
      </c>
      <c r="R721" s="3" t="n">
        <v>2</v>
      </c>
      <c r="S721" s="3" t="n">
        <v>2</v>
      </c>
      <c r="T721" s="4" t="n">
        <v>4</v>
      </c>
      <c r="U721" s="3" t="n">
        <v>4</v>
      </c>
      <c r="V721" s="3" t="n">
        <v>3.62</v>
      </c>
      <c r="W721" s="3" t="n">
        <v>1.01</v>
      </c>
      <c r="X721" s="3" t="n">
        <v>6.2</v>
      </c>
      <c r="Y721" s="3" t="n">
        <v>687</v>
      </c>
      <c r="Z721" s="3" t="n">
        <v>126</v>
      </c>
      <c r="AA721" s="3" t="n">
        <v>0.33</v>
      </c>
      <c r="AB721" s="3" t="n">
        <v>11.6</v>
      </c>
      <c r="AD721" s="3" t="n">
        <v>2</v>
      </c>
      <c r="AE721" s="3" t="n">
        <v>2</v>
      </c>
      <c r="AF721" s="3" t="n">
        <v>2</v>
      </c>
      <c r="AG721" s="3" t="n">
        <v>2</v>
      </c>
      <c r="AH721" s="3" t="n">
        <v>2</v>
      </c>
      <c r="AI721" s="3" t="n">
        <v>2</v>
      </c>
      <c r="AJ721" s="3" t="n">
        <v>2</v>
      </c>
      <c r="AK721" s="3" t="n">
        <v>2</v>
      </c>
      <c r="AL721" s="3" t="n">
        <v>2</v>
      </c>
      <c r="AM721" s="3" t="n">
        <v>2</v>
      </c>
      <c r="AN721" s="3" t="n">
        <v>2</v>
      </c>
      <c r="AO721" s="3" t="n">
        <v>2</v>
      </c>
      <c r="AP721" s="3" t="n">
        <v>3</v>
      </c>
      <c r="AQ721" s="3" t="n">
        <v>4</v>
      </c>
      <c r="AR721" s="3" t="n">
        <v>4</v>
      </c>
      <c r="AS721" s="3" t="n">
        <v>6</v>
      </c>
      <c r="AT721" s="3" t="n">
        <v>4</v>
      </c>
      <c r="AU721" s="3" t="n">
        <v>4</v>
      </c>
      <c r="AV721" s="3" t="n">
        <v>6</v>
      </c>
      <c r="AW721" s="3" t="n">
        <v>6</v>
      </c>
      <c r="AX721" s="3" t="n">
        <v>3</v>
      </c>
      <c r="AY721" s="3" t="n">
        <v>3</v>
      </c>
      <c r="AZ721" s="3" t="n">
        <v>1</v>
      </c>
      <c r="BA721" s="5" t="n">
        <v>10</v>
      </c>
      <c r="BB721" s="3" t="n">
        <v>2</v>
      </c>
      <c r="BC721" s="3" t="n">
        <v>1</v>
      </c>
      <c r="BD721" s="3" t="n">
        <v>6</v>
      </c>
      <c r="BE721" s="3" t="n">
        <v>3</v>
      </c>
      <c r="BF721" s="3" t="n">
        <v>5</v>
      </c>
      <c r="BG721" s="3" t="n">
        <v>3</v>
      </c>
      <c r="BH721" s="3" t="n">
        <v>4</v>
      </c>
      <c r="BI721" s="3" t="n">
        <v>1</v>
      </c>
      <c r="BJ721" s="3" t="n">
        <v>1</v>
      </c>
      <c r="BK721" s="6" t="s">
        <v>1975</v>
      </c>
    </row>
    <row r="722" customFormat="false" ht="15" hidden="false" customHeight="true" outlineLevel="0" collapsed="false">
      <c r="B722" s="2" t="s">
        <v>1976</v>
      </c>
      <c r="C722" s="2" t="s">
        <v>462</v>
      </c>
      <c r="D722" s="2" t="s">
        <v>153</v>
      </c>
      <c r="E722" s="2" t="n">
        <v>193122</v>
      </c>
      <c r="F722" s="15" t="n">
        <v>43869</v>
      </c>
      <c r="G722" s="15" t="n">
        <v>43874</v>
      </c>
      <c r="H722" s="3" t="n">
        <v>5</v>
      </c>
      <c r="I722" s="3" t="n">
        <v>1</v>
      </c>
      <c r="J722" s="3" t="n">
        <v>68</v>
      </c>
      <c r="K722" s="3" t="n">
        <v>1</v>
      </c>
      <c r="L722" s="3" t="n">
        <v>2</v>
      </c>
      <c r="M722" s="3" t="n">
        <v>1</v>
      </c>
      <c r="N722" s="3" t="n">
        <v>2</v>
      </c>
      <c r="O722" s="3" t="n">
        <v>2</v>
      </c>
      <c r="P722" s="3" t="n">
        <v>2</v>
      </c>
      <c r="Q722" s="3" t="n">
        <v>2</v>
      </c>
      <c r="R722" s="3" t="n">
        <v>2</v>
      </c>
      <c r="S722" s="3" t="n">
        <v>2</v>
      </c>
      <c r="T722" s="4" t="n">
        <v>1</v>
      </c>
      <c r="U722" s="3" t="n">
        <v>4</v>
      </c>
      <c r="V722" s="3" t="n">
        <v>2.8</v>
      </c>
      <c r="W722" s="3" t="n">
        <v>0.77</v>
      </c>
      <c r="X722" s="3" t="n">
        <v>6.7</v>
      </c>
      <c r="Y722" s="3" t="n">
        <v>250</v>
      </c>
      <c r="Z722" s="3" t="n">
        <v>50</v>
      </c>
      <c r="AA722" s="3" t="n">
        <v>0.4</v>
      </c>
      <c r="AB722" s="3" t="n">
        <v>13</v>
      </c>
      <c r="AC722" s="3" t="n">
        <v>1</v>
      </c>
      <c r="AD722" s="3" t="n">
        <v>1</v>
      </c>
      <c r="AE722" s="3" t="n">
        <v>1</v>
      </c>
      <c r="AF722" s="3" t="n">
        <v>1</v>
      </c>
      <c r="AG722" s="3" t="n">
        <v>1</v>
      </c>
      <c r="AH722" s="3" t="n">
        <v>1</v>
      </c>
      <c r="AI722" s="3" t="n">
        <v>1</v>
      </c>
      <c r="AJ722" s="3" t="n">
        <v>2</v>
      </c>
      <c r="AK722" s="3" t="n">
        <v>2</v>
      </c>
      <c r="AL722" s="3" t="n">
        <v>2</v>
      </c>
      <c r="AM722" s="3" t="n">
        <v>2</v>
      </c>
      <c r="AN722" s="3" t="n">
        <v>2</v>
      </c>
      <c r="AO722" s="3" t="n">
        <v>2</v>
      </c>
      <c r="AP722" s="3" t="n">
        <v>3</v>
      </c>
      <c r="AQ722" s="3" t="n">
        <v>4</v>
      </c>
      <c r="AR722" s="3" t="n">
        <v>4</v>
      </c>
      <c r="AS722" s="3" t="n">
        <v>6</v>
      </c>
      <c r="AT722" s="3" t="n">
        <v>4</v>
      </c>
      <c r="AU722" s="3" t="n">
        <v>4</v>
      </c>
      <c r="AV722" s="3" t="n">
        <v>6</v>
      </c>
      <c r="AW722" s="3" t="n">
        <v>6</v>
      </c>
      <c r="AX722" s="3" t="n">
        <v>3</v>
      </c>
      <c r="AY722" s="3" t="n">
        <v>3</v>
      </c>
      <c r="AZ722" s="3" t="n">
        <v>1</v>
      </c>
      <c r="BA722" s="5" t="n">
        <v>5</v>
      </c>
      <c r="BB722" s="3" t="n">
        <v>2</v>
      </c>
      <c r="BC722" s="3" t="n">
        <v>1</v>
      </c>
      <c r="BD722" s="3" t="n">
        <v>6</v>
      </c>
      <c r="BE722" s="3" t="n">
        <v>3</v>
      </c>
      <c r="BF722" s="3" t="n">
        <v>5</v>
      </c>
      <c r="BG722" s="3" t="n">
        <v>3</v>
      </c>
      <c r="BH722" s="3" t="n">
        <v>4</v>
      </c>
      <c r="BI722" s="3" t="n">
        <v>1</v>
      </c>
      <c r="BJ722" s="3" t="n">
        <v>1</v>
      </c>
      <c r="BK722" s="6" t="s">
        <v>1977</v>
      </c>
    </row>
    <row r="723" customFormat="false" ht="15" hidden="false" customHeight="true" outlineLevel="0" collapsed="false">
      <c r="B723" s="2" t="s">
        <v>323</v>
      </c>
      <c r="C723" s="2" t="s">
        <v>935</v>
      </c>
      <c r="D723" s="2" t="s">
        <v>1978</v>
      </c>
      <c r="E723" s="2" t="n">
        <v>193035</v>
      </c>
      <c r="F723" s="15" t="n">
        <v>43866</v>
      </c>
      <c r="G723" s="15" t="n">
        <v>43873</v>
      </c>
      <c r="H723" s="3" t="n">
        <v>7</v>
      </c>
      <c r="I723" s="3" t="n">
        <v>2</v>
      </c>
      <c r="J723" s="3" t="n">
        <v>77</v>
      </c>
      <c r="K723" s="3" t="n">
        <v>2</v>
      </c>
      <c r="L723" s="3" t="n">
        <v>2</v>
      </c>
      <c r="M723" s="3" t="n">
        <v>1</v>
      </c>
      <c r="N723" s="3" t="n">
        <v>2</v>
      </c>
      <c r="O723" s="3" t="n">
        <v>2</v>
      </c>
      <c r="P723" s="3" t="n">
        <v>2</v>
      </c>
      <c r="Q723" s="3" t="n">
        <v>2</v>
      </c>
      <c r="R723" s="3" t="n">
        <v>2</v>
      </c>
      <c r="S723" s="3" t="n">
        <v>2</v>
      </c>
      <c r="T723" s="4" t="n">
        <v>1</v>
      </c>
      <c r="U723" s="3" t="n">
        <v>1</v>
      </c>
      <c r="V723" s="3" t="n">
        <v>2.89</v>
      </c>
      <c r="W723" s="3" t="n">
        <v>2.23</v>
      </c>
      <c r="X723" s="3" t="n">
        <v>4.4</v>
      </c>
      <c r="Y723" s="3" t="n">
        <v>383</v>
      </c>
      <c r="Z723" s="3" t="n">
        <v>87</v>
      </c>
      <c r="AA723" s="3" t="n">
        <v>0.43</v>
      </c>
      <c r="AB723" s="3" t="n">
        <v>7.2</v>
      </c>
      <c r="AC723" s="3" t="n">
        <v>2</v>
      </c>
      <c r="AD723" s="3" t="n">
        <v>1</v>
      </c>
      <c r="AE723" s="3" t="n">
        <v>1</v>
      </c>
      <c r="AF723" s="3" t="n">
        <v>1</v>
      </c>
      <c r="AG723" s="3" t="n">
        <v>2</v>
      </c>
      <c r="AH723" s="3" t="n">
        <v>2</v>
      </c>
      <c r="AI723" s="3" t="n">
        <v>1</v>
      </c>
      <c r="AJ723" s="3" t="n">
        <v>1</v>
      </c>
      <c r="AK723" s="3" t="n">
        <v>2</v>
      </c>
      <c r="AL723" s="3" t="n">
        <v>2</v>
      </c>
      <c r="AM723" s="3" t="n">
        <v>1</v>
      </c>
      <c r="AN723" s="3" t="n">
        <v>2</v>
      </c>
      <c r="AO723" s="3" t="n">
        <v>2</v>
      </c>
      <c r="AP723" s="3" t="n">
        <v>3</v>
      </c>
      <c r="AQ723" s="3" t="n">
        <v>4</v>
      </c>
      <c r="AR723" s="3" t="n">
        <v>4</v>
      </c>
      <c r="AS723" s="3" t="n">
        <v>6</v>
      </c>
      <c r="AT723" s="3" t="n">
        <v>4</v>
      </c>
      <c r="AU723" s="3" t="n">
        <v>4</v>
      </c>
      <c r="AV723" s="3" t="n">
        <v>6</v>
      </c>
      <c r="AW723" s="3" t="n">
        <v>6</v>
      </c>
      <c r="AX723" s="3" t="n">
        <v>3</v>
      </c>
      <c r="AY723" s="3" t="n">
        <v>3</v>
      </c>
      <c r="AZ723" s="3" t="n">
        <v>1</v>
      </c>
      <c r="BA723" s="5" t="n">
        <v>5</v>
      </c>
      <c r="BB723" s="3" t="n">
        <v>2</v>
      </c>
      <c r="BC723" s="3" t="n">
        <v>1</v>
      </c>
      <c r="BD723" s="3" t="n">
        <v>6</v>
      </c>
      <c r="BE723" s="3" t="n">
        <v>3</v>
      </c>
      <c r="BF723" s="3" t="n">
        <v>5</v>
      </c>
      <c r="BG723" s="3" t="n">
        <v>3</v>
      </c>
      <c r="BH723" s="3" t="n">
        <v>4</v>
      </c>
      <c r="BI723" s="3" t="n">
        <v>1</v>
      </c>
      <c r="BJ723" s="3" t="n">
        <v>1</v>
      </c>
      <c r="BK723" s="6" t="s">
        <v>1979</v>
      </c>
    </row>
    <row r="724" customFormat="false" ht="15" hidden="false" customHeight="true" outlineLevel="0" collapsed="false">
      <c r="B724" s="2" t="s">
        <v>1980</v>
      </c>
      <c r="C724" s="2" t="s">
        <v>94</v>
      </c>
      <c r="D724" s="2" t="s">
        <v>1981</v>
      </c>
      <c r="E724" s="2" t="n">
        <v>193049</v>
      </c>
      <c r="F724" s="15" t="n">
        <v>43867</v>
      </c>
      <c r="G724" s="15" t="n">
        <v>43873</v>
      </c>
      <c r="H724" s="3" t="n">
        <v>6</v>
      </c>
      <c r="I724" s="3" t="n">
        <v>2</v>
      </c>
      <c r="J724" s="3" t="n">
        <v>64</v>
      </c>
      <c r="K724" s="3" t="n">
        <v>2</v>
      </c>
      <c r="L724" s="3" t="n">
        <v>2</v>
      </c>
      <c r="M724" s="3" t="n">
        <v>1</v>
      </c>
      <c r="N724" s="3" t="n">
        <v>2</v>
      </c>
      <c r="O724" s="3" t="n">
        <v>2</v>
      </c>
      <c r="P724" s="3" t="n">
        <v>2</v>
      </c>
      <c r="Q724" s="3" t="n">
        <v>2</v>
      </c>
      <c r="R724" s="3" t="n">
        <v>2</v>
      </c>
      <c r="S724" s="3" t="n">
        <v>2</v>
      </c>
      <c r="T724" s="4" t="n">
        <v>2</v>
      </c>
      <c r="U724" s="3" t="n">
        <v>2</v>
      </c>
      <c r="V724" s="3" t="n">
        <v>5.03</v>
      </c>
      <c r="W724" s="3" t="n">
        <v>0.69</v>
      </c>
      <c r="X724" s="3" t="n">
        <v>6.42</v>
      </c>
      <c r="Y724" s="3" t="n">
        <v>403</v>
      </c>
      <c r="Z724" s="3" t="n">
        <v>79</v>
      </c>
      <c r="AA724" s="3" t="n">
        <v>0.37</v>
      </c>
      <c r="AB724" s="3" t="n">
        <v>9.3</v>
      </c>
      <c r="AC724" s="3" t="n">
        <v>1</v>
      </c>
      <c r="AD724" s="3" t="n">
        <v>1</v>
      </c>
      <c r="AE724" s="3" t="n">
        <v>1</v>
      </c>
      <c r="AF724" s="3" t="n">
        <v>1</v>
      </c>
      <c r="AG724" s="3" t="n">
        <v>2</v>
      </c>
      <c r="AH724" s="3" t="n">
        <v>2</v>
      </c>
      <c r="AI724" s="3" t="n">
        <v>1</v>
      </c>
      <c r="AJ724" s="3" t="n">
        <v>1</v>
      </c>
      <c r="AK724" s="3" t="n">
        <v>2</v>
      </c>
      <c r="AL724" s="3" t="n">
        <v>2</v>
      </c>
      <c r="AM724" s="3" t="n">
        <v>1</v>
      </c>
      <c r="AN724" s="3" t="n">
        <v>2</v>
      </c>
      <c r="AO724" s="3" t="n">
        <v>2</v>
      </c>
      <c r="AP724" s="3" t="n">
        <v>3</v>
      </c>
      <c r="AQ724" s="3" t="n">
        <v>4</v>
      </c>
      <c r="AR724" s="3" t="n">
        <v>4</v>
      </c>
      <c r="AS724" s="3" t="n">
        <v>6</v>
      </c>
      <c r="AT724" s="3" t="n">
        <v>4</v>
      </c>
      <c r="AU724" s="3" t="n">
        <v>4</v>
      </c>
      <c r="AV724" s="3" t="n">
        <v>6</v>
      </c>
      <c r="AW724" s="3" t="n">
        <v>6</v>
      </c>
      <c r="AX724" s="3" t="n">
        <v>3</v>
      </c>
      <c r="AY724" s="3" t="n">
        <v>3</v>
      </c>
      <c r="AZ724" s="3" t="n">
        <v>1</v>
      </c>
      <c r="BA724" s="5" t="n">
        <v>1</v>
      </c>
      <c r="BB724" s="3" t="n">
        <v>1</v>
      </c>
      <c r="BC724" s="3" t="n">
        <v>1</v>
      </c>
      <c r="BD724" s="3" t="n">
        <v>4</v>
      </c>
      <c r="BE724" s="3" t="n">
        <v>1</v>
      </c>
      <c r="BF724" s="3" t="n">
        <v>2</v>
      </c>
      <c r="BG724" s="3" t="n">
        <v>1</v>
      </c>
      <c r="BH724" s="3" t="n">
        <v>4</v>
      </c>
      <c r="BI724" s="3" t="n">
        <v>1</v>
      </c>
      <c r="BJ724" s="3" t="n">
        <v>1</v>
      </c>
      <c r="BK724" s="6" t="s">
        <v>1982</v>
      </c>
    </row>
    <row r="725" customFormat="false" ht="15" hidden="false" customHeight="true" outlineLevel="0" collapsed="false">
      <c r="B725" s="2" t="s">
        <v>1983</v>
      </c>
      <c r="C725" s="2" t="s">
        <v>1984</v>
      </c>
      <c r="D725" s="2" t="s">
        <v>595</v>
      </c>
      <c r="E725" s="2" t="n">
        <v>193137</v>
      </c>
      <c r="F725" s="15" t="n">
        <v>43870</v>
      </c>
      <c r="G725" s="15" t="n">
        <v>43875</v>
      </c>
      <c r="H725" s="3" t="n">
        <v>5</v>
      </c>
      <c r="I725" s="3" t="n">
        <v>1</v>
      </c>
      <c r="J725" s="3" t="n">
        <v>58</v>
      </c>
      <c r="K725" s="3" t="n">
        <v>1</v>
      </c>
      <c r="L725" s="3" t="n">
        <v>1</v>
      </c>
      <c r="M725" s="3" t="n">
        <v>1</v>
      </c>
      <c r="N725" s="3" t="n">
        <v>2</v>
      </c>
      <c r="O725" s="3" t="n">
        <v>2</v>
      </c>
      <c r="P725" s="3" t="n">
        <v>2</v>
      </c>
      <c r="Q725" s="3" t="n">
        <v>2</v>
      </c>
      <c r="R725" s="3" t="n">
        <v>2</v>
      </c>
      <c r="S725" s="3" t="n">
        <v>1</v>
      </c>
      <c r="T725" s="4" t="n">
        <v>1</v>
      </c>
      <c r="U725" s="3" t="n">
        <v>1</v>
      </c>
      <c r="V725" s="3" t="n">
        <v>6.28</v>
      </c>
      <c r="W725" s="3" t="n">
        <v>1.37</v>
      </c>
      <c r="X725" s="3" t="n">
        <v>5.5</v>
      </c>
      <c r="Y725" s="3" t="n">
        <v>342</v>
      </c>
      <c r="Z725" s="3" t="n">
        <v>46</v>
      </c>
      <c r="AA725" s="3" t="n">
        <v>0.48</v>
      </c>
      <c r="AB725" s="3" t="n">
        <v>11.3</v>
      </c>
      <c r="AC725" s="3" t="n">
        <v>1</v>
      </c>
      <c r="AD725" s="3" t="n">
        <v>1</v>
      </c>
      <c r="AE725" s="3" t="n">
        <v>1</v>
      </c>
      <c r="AF725" s="3" t="n">
        <v>1</v>
      </c>
      <c r="AG725" s="3" t="n">
        <v>2</v>
      </c>
      <c r="AH725" s="3" t="n">
        <v>2</v>
      </c>
      <c r="AI725" s="3" t="n">
        <v>1</v>
      </c>
      <c r="AJ725" s="3" t="n">
        <v>1</v>
      </c>
      <c r="AK725" s="3" t="n">
        <v>2</v>
      </c>
      <c r="AL725" s="3" t="n">
        <v>2</v>
      </c>
      <c r="AM725" s="3" t="n">
        <v>1</v>
      </c>
      <c r="AN725" s="3" t="n">
        <v>2</v>
      </c>
      <c r="AO725" s="3" t="n">
        <v>2</v>
      </c>
      <c r="AP725" s="3" t="n">
        <v>1</v>
      </c>
      <c r="AQ725" s="3" t="n">
        <v>1</v>
      </c>
      <c r="AR725" s="3" t="n">
        <v>4</v>
      </c>
      <c r="AS725" s="3" t="n">
        <v>6</v>
      </c>
      <c r="AT725" s="3" t="n">
        <v>4</v>
      </c>
      <c r="AU725" s="3" t="n">
        <v>4</v>
      </c>
      <c r="AV725" s="3" t="n">
        <v>1</v>
      </c>
      <c r="AW725" s="3" t="n">
        <v>6</v>
      </c>
      <c r="AX725" s="3" t="n">
        <v>3</v>
      </c>
      <c r="AY725" s="3" t="n">
        <v>1</v>
      </c>
      <c r="AZ725" s="3" t="n">
        <v>1</v>
      </c>
      <c r="BA725" s="5" t="n">
        <v>5</v>
      </c>
      <c r="BB725" s="3" t="n">
        <v>2</v>
      </c>
      <c r="BC725" s="3" t="n">
        <v>1</v>
      </c>
      <c r="BD725" s="3" t="n">
        <v>6</v>
      </c>
      <c r="BE725" s="3" t="n">
        <v>3</v>
      </c>
      <c r="BF725" s="3" t="n">
        <v>5</v>
      </c>
      <c r="BG725" s="3" t="n">
        <v>3</v>
      </c>
      <c r="BH725" s="3" t="n">
        <v>4</v>
      </c>
      <c r="BI725" s="3" t="n">
        <v>1</v>
      </c>
      <c r="BJ725" s="3" t="n">
        <v>1</v>
      </c>
      <c r="BK725" s="6" t="s">
        <v>1985</v>
      </c>
    </row>
    <row r="726" customFormat="false" ht="15" hidden="false" customHeight="true" outlineLevel="0" collapsed="false">
      <c r="B726" s="2" t="s">
        <v>758</v>
      </c>
      <c r="C726" s="2" t="s">
        <v>1986</v>
      </c>
      <c r="D726" s="2" t="s">
        <v>63</v>
      </c>
      <c r="E726" s="2" t="n">
        <v>192696</v>
      </c>
      <c r="F726" s="15" t="n">
        <v>43864</v>
      </c>
      <c r="G726" s="15" t="n">
        <v>43875</v>
      </c>
      <c r="H726" s="3" t="n">
        <v>11</v>
      </c>
      <c r="I726" s="3" t="n">
        <v>2</v>
      </c>
      <c r="J726" s="3" t="n">
        <v>67</v>
      </c>
      <c r="K726" s="3" t="n">
        <v>1</v>
      </c>
      <c r="L726" s="3" t="n">
        <v>1</v>
      </c>
      <c r="M726" s="3" t="n">
        <v>2</v>
      </c>
      <c r="N726" s="3" t="n">
        <v>2</v>
      </c>
      <c r="O726" s="3" t="n">
        <v>2</v>
      </c>
      <c r="P726" s="3" t="n">
        <v>2</v>
      </c>
      <c r="Q726" s="3" t="n">
        <v>2</v>
      </c>
      <c r="R726" s="3" t="n">
        <v>2</v>
      </c>
      <c r="S726" s="3" t="n">
        <v>2</v>
      </c>
      <c r="T726" s="4" t="n">
        <v>2</v>
      </c>
      <c r="U726" s="3" t="n">
        <v>2</v>
      </c>
      <c r="V726" s="3" t="n">
        <v>5.2</v>
      </c>
      <c r="W726" s="3" t="n">
        <v>1.45</v>
      </c>
      <c r="X726" s="3" t="n">
        <v>7.81</v>
      </c>
      <c r="Y726" s="3" t="n">
        <v>688</v>
      </c>
      <c r="Z726" s="3" t="n">
        <v>127</v>
      </c>
      <c r="AA726" s="3" t="n">
        <v>0.46</v>
      </c>
      <c r="AB726" s="3" t="n">
        <v>13.6</v>
      </c>
      <c r="AC726" s="3" t="n">
        <v>2</v>
      </c>
      <c r="AD726" s="3" t="n">
        <v>2</v>
      </c>
      <c r="AE726" s="3" t="n">
        <v>1</v>
      </c>
      <c r="AF726" s="3" t="n">
        <v>1</v>
      </c>
      <c r="AG726" s="3" t="n">
        <v>2</v>
      </c>
      <c r="AH726" s="3" t="n">
        <v>2</v>
      </c>
      <c r="AI726" s="3" t="n">
        <v>1</v>
      </c>
      <c r="AJ726" s="3" t="n">
        <v>2</v>
      </c>
      <c r="AK726" s="3" t="n">
        <v>2</v>
      </c>
      <c r="AL726" s="3" t="n">
        <v>2</v>
      </c>
      <c r="AM726" s="3" t="n">
        <v>1</v>
      </c>
      <c r="AN726" s="3" t="n">
        <v>2</v>
      </c>
      <c r="AO726" s="3" t="n">
        <v>2</v>
      </c>
      <c r="AP726" s="3" t="n">
        <v>3</v>
      </c>
      <c r="AQ726" s="3" t="n">
        <v>4</v>
      </c>
      <c r="AR726" s="3" t="n">
        <v>4</v>
      </c>
      <c r="AS726" s="3" t="n">
        <v>6</v>
      </c>
      <c r="AT726" s="3" t="n">
        <v>4</v>
      </c>
      <c r="AU726" s="3" t="n">
        <v>4</v>
      </c>
      <c r="AV726" s="3" t="n">
        <v>6</v>
      </c>
      <c r="AW726" s="3" t="n">
        <v>6</v>
      </c>
      <c r="AX726" s="3" t="n">
        <v>3</v>
      </c>
      <c r="AY726" s="3" t="n">
        <v>3</v>
      </c>
      <c r="AZ726" s="3" t="n">
        <v>10</v>
      </c>
      <c r="BA726" s="5" t="n">
        <v>1</v>
      </c>
      <c r="BB726" s="3" t="n">
        <v>1</v>
      </c>
      <c r="BC726" s="3" t="n">
        <v>1</v>
      </c>
      <c r="BD726" s="3" t="n">
        <v>2</v>
      </c>
      <c r="BE726" s="3" t="n">
        <v>1</v>
      </c>
      <c r="BF726" s="3" t="n">
        <v>2</v>
      </c>
      <c r="BG726" s="3" t="n">
        <v>1</v>
      </c>
      <c r="BH726" s="3" t="n">
        <v>4</v>
      </c>
      <c r="BI726" s="3" t="n">
        <v>1</v>
      </c>
      <c r="BJ726" s="3" t="n">
        <v>1</v>
      </c>
      <c r="BK726" s="6" t="s">
        <v>1987</v>
      </c>
    </row>
    <row r="727" customFormat="false" ht="15" hidden="false" customHeight="true" outlineLevel="0" collapsed="false">
      <c r="B727" s="2" t="s">
        <v>573</v>
      </c>
      <c r="C727" s="2" t="s">
        <v>1042</v>
      </c>
      <c r="D727" s="2" t="s">
        <v>739</v>
      </c>
      <c r="E727" s="2" t="n">
        <v>178812</v>
      </c>
      <c r="F727" s="15" t="n">
        <v>43870</v>
      </c>
      <c r="G727" s="15" t="n">
        <v>43876</v>
      </c>
      <c r="H727" s="3" t="n">
        <v>6</v>
      </c>
      <c r="I727" s="3" t="n">
        <v>2</v>
      </c>
      <c r="J727" s="3" t="n">
        <v>74</v>
      </c>
      <c r="K727" s="3" t="n">
        <v>1</v>
      </c>
      <c r="L727" s="3" t="n">
        <v>2</v>
      </c>
      <c r="M727" s="3" t="n">
        <v>1</v>
      </c>
      <c r="N727" s="3" t="n">
        <v>2</v>
      </c>
      <c r="O727" s="3" t="n">
        <v>2</v>
      </c>
      <c r="P727" s="3" t="n">
        <v>2</v>
      </c>
      <c r="Q727" s="3" t="n">
        <v>2</v>
      </c>
      <c r="R727" s="3" t="n">
        <v>1</v>
      </c>
      <c r="S727" s="3" t="n">
        <v>2</v>
      </c>
      <c r="T727" s="4" t="n">
        <v>3</v>
      </c>
      <c r="U727" s="3" t="n">
        <v>4</v>
      </c>
      <c r="V727" s="3" t="n">
        <v>3.97</v>
      </c>
      <c r="W727" s="3" t="n">
        <v>0.63</v>
      </c>
      <c r="X727" s="3" t="n">
        <v>8.5</v>
      </c>
      <c r="Y727" s="3" t="n">
        <v>467</v>
      </c>
      <c r="Z727" s="3" t="n">
        <v>115</v>
      </c>
      <c r="AA727" s="3" t="n">
        <v>0.49</v>
      </c>
      <c r="AB727" s="3" t="n">
        <v>12.9</v>
      </c>
      <c r="AC727" s="3" t="n">
        <v>2</v>
      </c>
      <c r="AD727" s="3" t="n">
        <v>2</v>
      </c>
      <c r="AE727" s="3" t="n">
        <v>2</v>
      </c>
      <c r="AF727" s="3" t="n">
        <v>2</v>
      </c>
      <c r="AG727" s="3" t="n">
        <v>2</v>
      </c>
      <c r="AH727" s="3" t="n">
        <v>2</v>
      </c>
      <c r="AI727" s="3" t="n">
        <v>2</v>
      </c>
      <c r="AJ727" s="3" t="n">
        <v>2</v>
      </c>
      <c r="AK727" s="3" t="n">
        <v>2</v>
      </c>
      <c r="AL727" s="3" t="n">
        <v>2</v>
      </c>
      <c r="AM727" s="3" t="n">
        <v>1</v>
      </c>
      <c r="AN727" s="3" t="n">
        <v>1</v>
      </c>
      <c r="AO727" s="3" t="n">
        <v>1</v>
      </c>
      <c r="AP727" s="3" t="n">
        <v>3</v>
      </c>
      <c r="AQ727" s="3" t="n">
        <v>4</v>
      </c>
      <c r="AR727" s="3" t="n">
        <v>4</v>
      </c>
      <c r="AS727" s="3" t="n">
        <v>6</v>
      </c>
      <c r="AT727" s="3" t="n">
        <v>4</v>
      </c>
      <c r="AU727" s="3" t="n">
        <v>4</v>
      </c>
      <c r="AV727" s="3" t="n">
        <v>6</v>
      </c>
      <c r="AW727" s="3" t="n">
        <v>6</v>
      </c>
      <c r="AX727" s="3" t="n">
        <v>3</v>
      </c>
      <c r="AY727" s="3" t="n">
        <v>3</v>
      </c>
      <c r="AZ727" s="3" t="n">
        <v>1</v>
      </c>
      <c r="BA727" s="5" t="n">
        <v>11</v>
      </c>
      <c r="BB727" s="3" t="n">
        <v>2</v>
      </c>
      <c r="BC727" s="3" t="n">
        <v>1</v>
      </c>
      <c r="BD727" s="3" t="n">
        <v>6</v>
      </c>
      <c r="BE727" s="3" t="n">
        <v>3</v>
      </c>
      <c r="BF727" s="3" t="n">
        <v>5</v>
      </c>
      <c r="BG727" s="3" t="n">
        <v>3</v>
      </c>
      <c r="BH727" s="3" t="n">
        <v>4</v>
      </c>
      <c r="BI727" s="3" t="n">
        <v>1</v>
      </c>
      <c r="BJ727" s="3" t="n">
        <v>1</v>
      </c>
      <c r="BK727" s="6" t="s">
        <v>1988</v>
      </c>
    </row>
    <row r="728" customFormat="false" ht="15" hidden="false" customHeight="true" outlineLevel="0" collapsed="false">
      <c r="B728" s="2" t="s">
        <v>1989</v>
      </c>
      <c r="C728" s="2" t="s">
        <v>1070</v>
      </c>
      <c r="D728" s="2" t="s">
        <v>1990</v>
      </c>
      <c r="E728" s="2" t="n">
        <v>193248</v>
      </c>
      <c r="F728" s="15" t="n">
        <v>43872</v>
      </c>
      <c r="G728" s="15" t="n">
        <v>43877</v>
      </c>
      <c r="H728" s="3" t="n">
        <v>5</v>
      </c>
      <c r="I728" s="3" t="n">
        <v>1</v>
      </c>
      <c r="J728" s="3" t="n">
        <v>75</v>
      </c>
      <c r="K728" s="3" t="n">
        <v>1</v>
      </c>
      <c r="L728" s="3" t="n">
        <v>2</v>
      </c>
      <c r="M728" s="3" t="n">
        <v>1</v>
      </c>
      <c r="N728" s="3" t="n">
        <v>2</v>
      </c>
      <c r="O728" s="3" t="n">
        <v>2</v>
      </c>
      <c r="P728" s="3" t="n">
        <v>2</v>
      </c>
      <c r="Q728" s="3" t="n">
        <v>1</v>
      </c>
      <c r="R728" s="3" t="n">
        <v>2</v>
      </c>
      <c r="S728" s="3" t="n">
        <v>2</v>
      </c>
      <c r="T728" s="4" t="n">
        <v>4</v>
      </c>
      <c r="U728" s="3" t="n">
        <v>4</v>
      </c>
      <c r="V728" s="3" t="n">
        <v>5.15</v>
      </c>
      <c r="W728" s="3" t="n">
        <v>1.39</v>
      </c>
      <c r="X728" s="3" t="n">
        <v>7.73</v>
      </c>
      <c r="Y728" s="3" t="n">
        <v>324</v>
      </c>
      <c r="Z728" s="3" t="n">
        <v>69</v>
      </c>
      <c r="AA728" s="3" t="n">
        <v>0.43</v>
      </c>
      <c r="AB728" s="3" t="n">
        <v>14.21</v>
      </c>
      <c r="AC728" s="3" t="n">
        <v>1</v>
      </c>
      <c r="AD728" s="3" t="n">
        <v>2</v>
      </c>
      <c r="AE728" s="3" t="n">
        <v>2</v>
      </c>
      <c r="AF728" s="3" t="n">
        <v>2</v>
      </c>
      <c r="AG728" s="3" t="n">
        <v>2</v>
      </c>
      <c r="AH728" s="3" t="n">
        <v>2</v>
      </c>
      <c r="AI728" s="3" t="n">
        <v>2</v>
      </c>
      <c r="AJ728" s="3" t="n">
        <v>2</v>
      </c>
      <c r="AK728" s="3" t="n">
        <v>2</v>
      </c>
      <c r="AL728" s="3" t="n">
        <v>2</v>
      </c>
      <c r="AM728" s="3" t="n">
        <v>1</v>
      </c>
      <c r="AN728" s="3" t="n">
        <v>2</v>
      </c>
      <c r="AO728" s="3" t="n">
        <v>2</v>
      </c>
      <c r="AP728" s="3" t="n">
        <v>3</v>
      </c>
      <c r="AQ728" s="3" t="n">
        <v>4</v>
      </c>
      <c r="AR728" s="3" t="n">
        <v>4</v>
      </c>
      <c r="AS728" s="3" t="n">
        <v>6</v>
      </c>
      <c r="AT728" s="3" t="n">
        <v>4</v>
      </c>
      <c r="AU728" s="3" t="n">
        <v>4</v>
      </c>
      <c r="AV728" s="3" t="n">
        <v>6</v>
      </c>
      <c r="AW728" s="3" t="n">
        <v>6</v>
      </c>
      <c r="AX728" s="3" t="n">
        <v>3</v>
      </c>
      <c r="AY728" s="3" t="n">
        <v>3</v>
      </c>
      <c r="AZ728" s="3" t="n">
        <v>1</v>
      </c>
      <c r="BA728" s="5" t="n">
        <v>10</v>
      </c>
      <c r="BB728" s="3" t="n">
        <v>2</v>
      </c>
      <c r="BC728" s="3" t="n">
        <v>1</v>
      </c>
      <c r="BD728" s="3" t="n">
        <v>6</v>
      </c>
      <c r="BE728" s="3" t="n">
        <v>3</v>
      </c>
      <c r="BF728" s="3" t="n">
        <v>5</v>
      </c>
      <c r="BG728" s="3" t="n">
        <v>3</v>
      </c>
      <c r="BH728" s="3" t="n">
        <v>4</v>
      </c>
      <c r="BI728" s="3" t="n">
        <v>1</v>
      </c>
      <c r="BJ728" s="3" t="n">
        <v>1</v>
      </c>
      <c r="BK728" s="6" t="s">
        <v>1991</v>
      </c>
    </row>
    <row r="729" customFormat="false" ht="15" hidden="false" customHeight="true" outlineLevel="0" collapsed="false">
      <c r="B729" s="2" t="s">
        <v>1992</v>
      </c>
      <c r="C729" s="2" t="s">
        <v>1993</v>
      </c>
      <c r="D729" s="2" t="s">
        <v>423</v>
      </c>
      <c r="E729" s="2" t="n">
        <v>193163</v>
      </c>
      <c r="F729" s="15" t="n">
        <v>43871</v>
      </c>
      <c r="G729" s="15" t="n">
        <v>43877</v>
      </c>
      <c r="H729" s="3" t="n">
        <v>6</v>
      </c>
      <c r="I729" s="3" t="n">
        <v>1</v>
      </c>
      <c r="J729" s="3" t="n">
        <v>79</v>
      </c>
      <c r="K729" s="3" t="n">
        <v>2</v>
      </c>
      <c r="L729" s="3" t="n">
        <v>1</v>
      </c>
      <c r="M729" s="3" t="n">
        <v>1</v>
      </c>
      <c r="N729" s="3" t="n">
        <v>2</v>
      </c>
      <c r="O729" s="3" t="n">
        <v>1</v>
      </c>
      <c r="P729" s="3" t="n">
        <v>2</v>
      </c>
      <c r="Q729" s="3" t="n">
        <v>1</v>
      </c>
      <c r="R729" s="3" t="n">
        <v>2</v>
      </c>
      <c r="S729" s="3" t="n">
        <v>2</v>
      </c>
      <c r="T729" s="4" t="n">
        <v>3</v>
      </c>
      <c r="U729" s="3" t="n">
        <v>1</v>
      </c>
      <c r="V729" s="3" t="n">
        <v>3.77</v>
      </c>
      <c r="W729" s="3" t="n">
        <v>1.43</v>
      </c>
      <c r="X729" s="3" t="n">
        <v>14.07</v>
      </c>
      <c r="Y729" s="3" t="n">
        <v>473</v>
      </c>
      <c r="Z729" s="3" t="n">
        <v>84</v>
      </c>
      <c r="AA729" s="3" t="n">
        <v>0.44</v>
      </c>
      <c r="AB729" s="3" t="n">
        <v>8.2</v>
      </c>
      <c r="AC729" s="3" t="n">
        <v>3</v>
      </c>
      <c r="AD729" s="3" t="n">
        <v>1</v>
      </c>
      <c r="AE729" s="3" t="n">
        <v>1</v>
      </c>
      <c r="AF729" s="3" t="n">
        <v>1</v>
      </c>
      <c r="AG729" s="3" t="n">
        <v>2</v>
      </c>
      <c r="AH729" s="3" t="n">
        <v>1</v>
      </c>
      <c r="AI729" s="3" t="n">
        <v>1</v>
      </c>
      <c r="AJ729" s="3" t="n">
        <v>1</v>
      </c>
      <c r="AK729" s="3" t="n">
        <v>2</v>
      </c>
      <c r="AL729" s="3" t="n">
        <v>1</v>
      </c>
      <c r="AM729" s="3" t="n">
        <v>1</v>
      </c>
      <c r="AN729" s="3" t="n">
        <v>2</v>
      </c>
      <c r="AO729" s="3" t="n">
        <v>2</v>
      </c>
      <c r="AP729" s="3" t="n">
        <v>3</v>
      </c>
      <c r="AQ729" s="3" t="n">
        <v>4</v>
      </c>
      <c r="AR729" s="3" t="n">
        <v>4</v>
      </c>
      <c r="AS729" s="3" t="n">
        <v>6</v>
      </c>
      <c r="AT729" s="3" t="n">
        <v>4</v>
      </c>
      <c r="AU729" s="3" t="n">
        <v>4</v>
      </c>
      <c r="AV729" s="3" t="n">
        <v>6</v>
      </c>
      <c r="AW729" s="3" t="n">
        <v>6</v>
      </c>
      <c r="AX729" s="3" t="n">
        <v>3</v>
      </c>
      <c r="AY729" s="3" t="n">
        <v>3</v>
      </c>
      <c r="AZ729" s="3" t="n">
        <v>1</v>
      </c>
      <c r="BA729" s="5" t="n">
        <v>11</v>
      </c>
      <c r="BB729" s="3" t="n">
        <v>2</v>
      </c>
      <c r="BC729" s="3" t="n">
        <v>1</v>
      </c>
      <c r="BD729" s="3" t="n">
        <v>6</v>
      </c>
      <c r="BE729" s="3" t="n">
        <v>3</v>
      </c>
      <c r="BF729" s="3" t="n">
        <v>5</v>
      </c>
      <c r="BG729" s="3" t="n">
        <v>3</v>
      </c>
      <c r="BH729" s="3" t="n">
        <v>4</v>
      </c>
      <c r="BI729" s="3" t="n">
        <v>1</v>
      </c>
      <c r="BJ729" s="3" t="n">
        <v>1</v>
      </c>
      <c r="BK729" s="6" t="s">
        <v>1994</v>
      </c>
    </row>
    <row r="730" customFormat="false" ht="15" hidden="false" customHeight="true" outlineLevel="0" collapsed="false">
      <c r="B730" s="2" t="s">
        <v>1549</v>
      </c>
      <c r="C730" s="2" t="s">
        <v>1995</v>
      </c>
      <c r="D730" s="2" t="s">
        <v>457</v>
      </c>
      <c r="E730" s="2" t="n">
        <v>193240</v>
      </c>
      <c r="F730" s="15" t="n">
        <v>43872</v>
      </c>
      <c r="G730" s="15" t="n">
        <v>43880</v>
      </c>
      <c r="H730" s="3" t="n">
        <v>8</v>
      </c>
      <c r="I730" s="3" t="n">
        <v>2</v>
      </c>
      <c r="J730" s="3" t="n">
        <v>60</v>
      </c>
      <c r="K730" s="3" t="n">
        <v>1</v>
      </c>
      <c r="L730" s="3" t="n">
        <v>1</v>
      </c>
      <c r="M730" s="3" t="n">
        <v>1</v>
      </c>
      <c r="N730" s="3" t="n">
        <v>2</v>
      </c>
      <c r="O730" s="3" t="n">
        <v>1</v>
      </c>
      <c r="P730" s="3" t="n">
        <v>2</v>
      </c>
      <c r="Q730" s="3" t="n">
        <v>1</v>
      </c>
      <c r="R730" s="3" t="n">
        <v>2</v>
      </c>
      <c r="S730" s="3" t="n">
        <v>1</v>
      </c>
      <c r="T730" s="4" t="n">
        <v>1</v>
      </c>
      <c r="U730" s="3" t="n">
        <v>1</v>
      </c>
      <c r="V730" s="3" t="n">
        <v>5.56</v>
      </c>
      <c r="W730" s="3" t="n">
        <v>3.05</v>
      </c>
      <c r="X730" s="3" t="n">
        <v>8.37</v>
      </c>
      <c r="Y730" s="3" t="n">
        <v>352</v>
      </c>
      <c r="Z730" s="3" t="n">
        <v>75</v>
      </c>
      <c r="AA730" s="3" t="n">
        <v>0.44</v>
      </c>
      <c r="AB730" s="3" t="n">
        <v>9</v>
      </c>
      <c r="AC730" s="3" t="n">
        <v>1</v>
      </c>
      <c r="AD730" s="3" t="n">
        <v>1</v>
      </c>
      <c r="AE730" s="3" t="n">
        <v>1</v>
      </c>
      <c r="AF730" s="3" t="n">
        <v>1</v>
      </c>
      <c r="AG730" s="3" t="n">
        <v>1</v>
      </c>
      <c r="AH730" s="3" t="n">
        <v>2</v>
      </c>
      <c r="AI730" s="3" t="n">
        <v>1</v>
      </c>
      <c r="AJ730" s="3" t="n">
        <v>1</v>
      </c>
      <c r="AK730" s="3" t="n">
        <v>1</v>
      </c>
      <c r="AL730" s="3" t="n">
        <v>2</v>
      </c>
      <c r="AM730" s="3" t="n">
        <v>1</v>
      </c>
      <c r="AN730" s="3" t="n">
        <v>2</v>
      </c>
      <c r="AO730" s="3" t="n">
        <v>2</v>
      </c>
      <c r="AP730" s="3" t="n">
        <v>1</v>
      </c>
      <c r="AQ730" s="3" t="n">
        <v>3</v>
      </c>
      <c r="AR730" s="3" t="n">
        <v>5</v>
      </c>
      <c r="AS730" s="3" t="n">
        <v>5</v>
      </c>
      <c r="AT730" s="3" t="n">
        <v>5</v>
      </c>
      <c r="AU730" s="3" t="n">
        <v>1</v>
      </c>
      <c r="AV730" s="3" t="n">
        <v>1</v>
      </c>
      <c r="AW730" s="3" t="n">
        <v>1</v>
      </c>
      <c r="AX730" s="3" t="n">
        <v>2</v>
      </c>
      <c r="AY730" s="3" t="n">
        <v>2</v>
      </c>
      <c r="AZ730" s="3" t="n">
        <v>1</v>
      </c>
      <c r="BA730" s="5" t="n">
        <v>5</v>
      </c>
      <c r="BB730" s="3" t="n">
        <v>2</v>
      </c>
      <c r="BC730" s="3" t="n">
        <v>1</v>
      </c>
      <c r="BD730" s="3" t="n">
        <v>6</v>
      </c>
      <c r="BE730" s="3" t="n">
        <v>3</v>
      </c>
      <c r="BF730" s="3" t="n">
        <v>5</v>
      </c>
      <c r="BG730" s="3" t="n">
        <v>3</v>
      </c>
      <c r="BH730" s="3" t="n">
        <v>4</v>
      </c>
      <c r="BI730" s="3" t="n">
        <v>1</v>
      </c>
      <c r="BJ730" s="3" t="n">
        <v>1</v>
      </c>
      <c r="BK730" s="6" t="s">
        <v>1996</v>
      </c>
    </row>
    <row r="731" customFormat="false" ht="15" hidden="false" customHeight="true" outlineLevel="0" collapsed="false">
      <c r="B731" s="2" t="s">
        <v>1997</v>
      </c>
      <c r="C731" s="2" t="s">
        <v>66</v>
      </c>
      <c r="D731" s="2" t="s">
        <v>528</v>
      </c>
      <c r="E731" s="2" t="n">
        <v>193221</v>
      </c>
      <c r="F731" s="15" t="n">
        <v>43874</v>
      </c>
      <c r="G731" s="15" t="n">
        <v>43881</v>
      </c>
      <c r="H731" s="3" t="n">
        <v>7</v>
      </c>
      <c r="I731" s="3" t="n">
        <v>2</v>
      </c>
      <c r="J731" s="3" t="n">
        <v>50</v>
      </c>
      <c r="K731" s="3" t="n">
        <v>2</v>
      </c>
      <c r="L731" s="3" t="n">
        <v>1</v>
      </c>
      <c r="M731" s="3" t="n">
        <v>2</v>
      </c>
      <c r="N731" s="3" t="n">
        <v>2</v>
      </c>
      <c r="O731" s="3" t="n">
        <v>2</v>
      </c>
      <c r="P731" s="3" t="n">
        <v>2</v>
      </c>
      <c r="Q731" s="3" t="n">
        <v>2</v>
      </c>
      <c r="R731" s="3" t="n">
        <v>2</v>
      </c>
      <c r="S731" s="3" t="n">
        <v>2</v>
      </c>
      <c r="T731" s="4" t="n">
        <v>2</v>
      </c>
      <c r="U731" s="3" t="n">
        <v>2</v>
      </c>
      <c r="V731" s="3" t="n">
        <v>4.03</v>
      </c>
      <c r="W731" s="3" t="n">
        <v>1.21</v>
      </c>
      <c r="X731" s="3" t="n">
        <v>5.22</v>
      </c>
      <c r="Y731" s="3" t="n">
        <v>311</v>
      </c>
      <c r="Z731" s="3" t="n">
        <v>97</v>
      </c>
      <c r="AA731" s="3" t="n">
        <v>0.4</v>
      </c>
      <c r="AB731" s="3" t="n">
        <v>7.7</v>
      </c>
      <c r="AC731" s="3" t="n">
        <v>1</v>
      </c>
      <c r="AD731" s="3" t="n">
        <v>2</v>
      </c>
      <c r="AE731" s="3" t="n">
        <v>1</v>
      </c>
      <c r="AF731" s="3" t="n">
        <v>1</v>
      </c>
      <c r="AG731" s="3" t="n">
        <v>2</v>
      </c>
      <c r="AH731" s="3" t="n">
        <v>2</v>
      </c>
      <c r="AI731" s="3" t="n">
        <v>1</v>
      </c>
      <c r="AJ731" s="3" t="n">
        <v>2</v>
      </c>
      <c r="AK731" s="3" t="n">
        <v>2</v>
      </c>
      <c r="AL731" s="3" t="n">
        <v>2</v>
      </c>
      <c r="AM731" s="3" t="n">
        <v>2</v>
      </c>
      <c r="AN731" s="3" t="n">
        <v>1</v>
      </c>
      <c r="AO731" s="3" t="n">
        <v>2</v>
      </c>
      <c r="AP731" s="3" t="n">
        <v>3</v>
      </c>
      <c r="AQ731" s="3" t="n">
        <v>4</v>
      </c>
      <c r="AR731" s="3" t="n">
        <v>4</v>
      </c>
      <c r="AS731" s="3" t="n">
        <v>6</v>
      </c>
      <c r="AT731" s="3" t="n">
        <v>4</v>
      </c>
      <c r="AU731" s="3" t="n">
        <v>4</v>
      </c>
      <c r="AV731" s="3" t="n">
        <v>6</v>
      </c>
      <c r="AW731" s="3" t="n">
        <v>6</v>
      </c>
      <c r="AX731" s="3" t="n">
        <v>3</v>
      </c>
      <c r="AY731" s="3" t="n">
        <v>3</v>
      </c>
      <c r="AZ731" s="3" t="n">
        <v>7</v>
      </c>
      <c r="BA731" s="5" t="n">
        <v>1</v>
      </c>
      <c r="BB731" s="3" t="n">
        <v>1</v>
      </c>
      <c r="BC731" s="3" t="n">
        <v>1</v>
      </c>
      <c r="BD731" s="3" t="n">
        <v>4</v>
      </c>
      <c r="BE731" s="3" t="n">
        <v>3</v>
      </c>
      <c r="BF731" s="3" t="n">
        <v>5</v>
      </c>
      <c r="BG731" s="3" t="n">
        <v>3</v>
      </c>
      <c r="BH731" s="3" t="n">
        <v>4</v>
      </c>
      <c r="BI731" s="3" t="n">
        <v>1</v>
      </c>
      <c r="BJ731" s="3" t="n">
        <v>1</v>
      </c>
      <c r="BK731" s="6" t="s">
        <v>1998</v>
      </c>
    </row>
    <row r="732" customFormat="false" ht="15" hidden="false" customHeight="true" outlineLevel="0" collapsed="false">
      <c r="B732" s="2" t="s">
        <v>1999</v>
      </c>
      <c r="C732" s="2" t="s">
        <v>873</v>
      </c>
      <c r="D732" s="2" t="s">
        <v>172</v>
      </c>
      <c r="E732" s="2" t="n">
        <v>193413</v>
      </c>
      <c r="F732" s="15" t="n">
        <v>43875</v>
      </c>
      <c r="G732" s="15" t="n">
        <v>43880</v>
      </c>
      <c r="H732" s="3" t="n">
        <v>5</v>
      </c>
      <c r="I732" s="3" t="n">
        <v>1</v>
      </c>
      <c r="J732" s="3" t="n">
        <v>56</v>
      </c>
      <c r="K732" s="3" t="n">
        <v>1</v>
      </c>
      <c r="L732" s="3" t="n">
        <v>1</v>
      </c>
      <c r="M732" s="3" t="n">
        <v>1</v>
      </c>
      <c r="N732" s="3" t="n">
        <v>1</v>
      </c>
      <c r="O732" s="3" t="n">
        <v>2</v>
      </c>
      <c r="P732" s="3" t="n">
        <v>2</v>
      </c>
      <c r="Q732" s="3" t="n">
        <v>2</v>
      </c>
      <c r="R732" s="3" t="n">
        <v>2</v>
      </c>
      <c r="S732" s="3" t="n">
        <v>2</v>
      </c>
      <c r="T732" s="4" t="n">
        <v>1</v>
      </c>
      <c r="U732" s="3" t="n">
        <v>1</v>
      </c>
      <c r="V732" s="3" t="n">
        <v>5.13</v>
      </c>
      <c r="W732" s="3" t="n">
        <v>2.9</v>
      </c>
      <c r="X732" s="3" t="n">
        <v>6</v>
      </c>
      <c r="Y732" s="3" t="n">
        <v>427</v>
      </c>
      <c r="Z732" s="3" t="n">
        <v>91</v>
      </c>
      <c r="AA732" s="3" t="n">
        <v>0.45</v>
      </c>
      <c r="AB732" s="3" t="n">
        <v>8.3</v>
      </c>
      <c r="AC732" s="3" t="n">
        <v>1</v>
      </c>
      <c r="AD732" s="3" t="n">
        <v>1</v>
      </c>
      <c r="AE732" s="3" t="n">
        <v>1</v>
      </c>
      <c r="AF732" s="3" t="n">
        <v>1</v>
      </c>
      <c r="AG732" s="3" t="n">
        <v>2</v>
      </c>
      <c r="AH732" s="3" t="n">
        <v>1</v>
      </c>
      <c r="AI732" s="3" t="n">
        <v>1</v>
      </c>
      <c r="AJ732" s="3" t="n">
        <v>2</v>
      </c>
      <c r="AK732" s="3" t="n">
        <v>2</v>
      </c>
      <c r="AL732" s="3" t="n">
        <v>2</v>
      </c>
      <c r="AM732" s="3" t="n">
        <v>2</v>
      </c>
      <c r="AN732" s="3" t="n">
        <v>2</v>
      </c>
      <c r="AO732" s="3" t="n">
        <v>2</v>
      </c>
      <c r="AP732" s="3" t="n">
        <v>3</v>
      </c>
      <c r="AQ732" s="3" t="n">
        <v>4</v>
      </c>
      <c r="AR732" s="3" t="n">
        <v>4</v>
      </c>
      <c r="AS732" s="3" t="n">
        <v>6</v>
      </c>
      <c r="AT732" s="3" t="n">
        <v>4</v>
      </c>
      <c r="AU732" s="3" t="n">
        <v>4</v>
      </c>
      <c r="AV732" s="3" t="n">
        <v>6</v>
      </c>
      <c r="AW732" s="3" t="n">
        <v>6</v>
      </c>
      <c r="AX732" s="3" t="n">
        <v>3</v>
      </c>
      <c r="AY732" s="3" t="n">
        <v>3</v>
      </c>
      <c r="AZ732" s="3" t="n">
        <v>1</v>
      </c>
      <c r="BA732" s="5" t="n">
        <v>5</v>
      </c>
      <c r="BB732" s="3" t="n">
        <v>2</v>
      </c>
      <c r="BC732" s="3" t="n">
        <v>1</v>
      </c>
      <c r="BD732" s="3" t="n">
        <v>6</v>
      </c>
      <c r="BE732" s="3" t="n">
        <v>3</v>
      </c>
      <c r="BF732" s="3" t="n">
        <v>5</v>
      </c>
      <c r="BG732" s="3" t="n">
        <v>3</v>
      </c>
      <c r="BH732" s="3" t="n">
        <v>4</v>
      </c>
      <c r="BI732" s="3" t="n">
        <v>1</v>
      </c>
      <c r="BJ732" s="3" t="n">
        <v>1</v>
      </c>
      <c r="BK732" s="6" t="s">
        <v>2000</v>
      </c>
    </row>
    <row r="733" customFormat="false" ht="15" hidden="false" customHeight="true" outlineLevel="0" collapsed="false">
      <c r="B733" s="2" t="s">
        <v>580</v>
      </c>
      <c r="C733" s="2" t="s">
        <v>1942</v>
      </c>
      <c r="D733" s="2" t="s">
        <v>1942</v>
      </c>
      <c r="E733" s="2" t="n">
        <v>193747</v>
      </c>
      <c r="F733" s="15" t="n">
        <v>43878</v>
      </c>
      <c r="G733" s="15" t="n">
        <v>43884</v>
      </c>
      <c r="H733" s="3" t="n">
        <v>6</v>
      </c>
      <c r="I733" s="3" t="n">
        <v>1</v>
      </c>
      <c r="J733" s="3" t="n">
        <v>70</v>
      </c>
      <c r="K733" s="3" t="n">
        <v>2</v>
      </c>
      <c r="L733" s="3" t="n">
        <v>2</v>
      </c>
      <c r="M733" s="3" t="n">
        <v>1</v>
      </c>
      <c r="N733" s="3" t="n">
        <v>2</v>
      </c>
      <c r="O733" s="3" t="n">
        <v>2</v>
      </c>
      <c r="P733" s="3" t="n">
        <v>2</v>
      </c>
      <c r="Q733" s="3" t="n">
        <v>1</v>
      </c>
      <c r="R733" s="3" t="n">
        <v>2</v>
      </c>
      <c r="S733" s="3" t="n">
        <v>2</v>
      </c>
      <c r="T733" s="4" t="n">
        <v>1</v>
      </c>
      <c r="U733" s="3" t="n">
        <v>1</v>
      </c>
      <c r="V733" s="3" t="n">
        <v>4.14</v>
      </c>
      <c r="W733" s="3" t="n">
        <v>1.52</v>
      </c>
      <c r="X733" s="3" t="n">
        <v>5.47</v>
      </c>
      <c r="Y733" s="3" t="n">
        <v>387</v>
      </c>
      <c r="Z733" s="3" t="n">
        <v>69</v>
      </c>
      <c r="AA733" s="3" t="n">
        <v>0.4</v>
      </c>
      <c r="AB733" s="3" t="n">
        <v>11.3</v>
      </c>
      <c r="AC733" s="3" t="n">
        <v>3</v>
      </c>
      <c r="AD733" s="3" t="n">
        <v>1</v>
      </c>
      <c r="AE733" s="3" t="n">
        <v>1</v>
      </c>
      <c r="AF733" s="3" t="n">
        <v>1</v>
      </c>
      <c r="AG733" s="3" t="n">
        <v>1</v>
      </c>
      <c r="AH733" s="3" t="n">
        <v>1</v>
      </c>
      <c r="AI733" s="3" t="n">
        <v>1</v>
      </c>
      <c r="AJ733" s="3" t="n">
        <v>2</v>
      </c>
      <c r="AK733" s="3" t="n">
        <v>2</v>
      </c>
      <c r="AL733" s="3" t="n">
        <v>2</v>
      </c>
      <c r="AM733" s="3" t="n">
        <v>2</v>
      </c>
      <c r="AN733" s="3" t="n">
        <v>2</v>
      </c>
      <c r="AO733" s="3" t="n">
        <v>2</v>
      </c>
      <c r="AP733" s="3" t="n">
        <v>3</v>
      </c>
      <c r="AQ733" s="3" t="n">
        <v>4</v>
      </c>
      <c r="AR733" s="3" t="n">
        <v>4</v>
      </c>
      <c r="AS733" s="3" t="n">
        <v>6</v>
      </c>
      <c r="AT733" s="3" t="n">
        <v>4</v>
      </c>
      <c r="AU733" s="3" t="n">
        <v>4</v>
      </c>
      <c r="AV733" s="3" t="n">
        <v>6</v>
      </c>
      <c r="AW733" s="3" t="n">
        <v>6</v>
      </c>
      <c r="AX733" s="3" t="n">
        <v>3</v>
      </c>
      <c r="AY733" s="3" t="n">
        <v>3</v>
      </c>
      <c r="AZ733" s="3" t="n">
        <v>1</v>
      </c>
      <c r="BA733" s="5" t="n">
        <v>5</v>
      </c>
      <c r="BB733" s="3" t="n">
        <v>2</v>
      </c>
      <c r="BC733" s="3" t="n">
        <v>1</v>
      </c>
      <c r="BD733" s="3" t="n">
        <v>6</v>
      </c>
      <c r="BE733" s="3" t="n">
        <v>3</v>
      </c>
      <c r="BF733" s="3" t="n">
        <v>5</v>
      </c>
      <c r="BG733" s="3" t="n">
        <v>3</v>
      </c>
      <c r="BH733" s="3" t="n">
        <v>4</v>
      </c>
      <c r="BI733" s="3" t="n">
        <v>1</v>
      </c>
      <c r="BJ733" s="3" t="n">
        <v>1</v>
      </c>
      <c r="BK733" s="6" t="s">
        <v>2001</v>
      </c>
    </row>
    <row r="734" customFormat="false" ht="15" hidden="false" customHeight="true" outlineLevel="0" collapsed="false">
      <c r="B734" s="2" t="s">
        <v>2002</v>
      </c>
      <c r="C734" s="2" t="s">
        <v>109</v>
      </c>
      <c r="D734" s="2" t="s">
        <v>2003</v>
      </c>
      <c r="E734" s="2" t="n">
        <v>193733</v>
      </c>
      <c r="F734" s="15" t="n">
        <v>43878</v>
      </c>
      <c r="G734" s="15" t="n">
        <v>43885</v>
      </c>
      <c r="H734" s="3" t="n">
        <v>7</v>
      </c>
      <c r="I734" s="3" t="n">
        <v>2</v>
      </c>
      <c r="J734" s="3" t="n">
        <v>58</v>
      </c>
      <c r="K734" s="3" t="n">
        <v>1</v>
      </c>
      <c r="L734" s="3" t="n">
        <v>2</v>
      </c>
      <c r="M734" s="3" t="n">
        <v>1</v>
      </c>
      <c r="N734" s="3" t="n">
        <v>2</v>
      </c>
      <c r="O734" s="3" t="n">
        <v>1</v>
      </c>
      <c r="P734" s="3" t="n">
        <v>1</v>
      </c>
      <c r="Q734" s="3" t="n">
        <v>1</v>
      </c>
      <c r="R734" s="3" t="n">
        <v>2</v>
      </c>
      <c r="S734" s="3" t="n">
        <v>2</v>
      </c>
      <c r="T734" s="4" t="n">
        <v>3</v>
      </c>
      <c r="U734" s="3" t="n">
        <v>4</v>
      </c>
      <c r="V734" s="3" t="n">
        <v>3.67</v>
      </c>
      <c r="W734" s="3" t="n">
        <v>0.65</v>
      </c>
      <c r="X734" s="3" t="n">
        <v>5.3</v>
      </c>
      <c r="Y734" s="3" t="n">
        <v>810</v>
      </c>
      <c r="Z734" s="3" t="n">
        <v>114</v>
      </c>
      <c r="AA734" s="3" t="n">
        <v>0.43</v>
      </c>
      <c r="AB734" s="3" t="n">
        <v>8.3</v>
      </c>
      <c r="AC734" s="3" t="n">
        <v>2</v>
      </c>
      <c r="AD734" s="3" t="n">
        <v>2</v>
      </c>
      <c r="AE734" s="3" t="n">
        <v>1</v>
      </c>
      <c r="AF734" s="3" t="n">
        <v>1</v>
      </c>
      <c r="AG734" s="3" t="n">
        <v>2</v>
      </c>
      <c r="AH734" s="3" t="n">
        <v>2</v>
      </c>
      <c r="AI734" s="3" t="n">
        <v>1</v>
      </c>
      <c r="AJ734" s="3" t="n">
        <v>1</v>
      </c>
      <c r="AK734" s="3" t="n">
        <v>2</v>
      </c>
      <c r="AL734" s="3" t="n">
        <v>1</v>
      </c>
      <c r="AM734" s="3" t="n">
        <v>1</v>
      </c>
      <c r="AN734" s="3" t="n">
        <v>2</v>
      </c>
      <c r="AO734" s="3" t="n">
        <v>2</v>
      </c>
      <c r="AP734" s="3" t="n">
        <v>3</v>
      </c>
      <c r="AQ734" s="3" t="n">
        <v>4</v>
      </c>
      <c r="AR734" s="3" t="n">
        <v>4</v>
      </c>
      <c r="AS734" s="3" t="n">
        <v>6</v>
      </c>
      <c r="AT734" s="3" t="n">
        <v>4</v>
      </c>
      <c r="AU734" s="3" t="n">
        <v>4</v>
      </c>
      <c r="AV734" s="3" t="n">
        <v>6</v>
      </c>
      <c r="AW734" s="3" t="n">
        <v>6</v>
      </c>
      <c r="AX734" s="3" t="n">
        <v>3</v>
      </c>
      <c r="AY734" s="3" t="n">
        <v>3</v>
      </c>
      <c r="AZ734" s="3" t="n">
        <v>1</v>
      </c>
      <c r="BA734" s="5" t="n">
        <v>11</v>
      </c>
      <c r="BB734" s="3" t="n">
        <v>2</v>
      </c>
      <c r="BC734" s="3" t="n">
        <v>1</v>
      </c>
      <c r="BD734" s="3" t="n">
        <v>6</v>
      </c>
      <c r="BE734" s="3" t="n">
        <v>3</v>
      </c>
      <c r="BF734" s="3" t="n">
        <v>5</v>
      </c>
      <c r="BG734" s="3" t="n">
        <v>3</v>
      </c>
      <c r="BH734" s="3" t="n">
        <v>4</v>
      </c>
      <c r="BI734" s="3" t="n">
        <v>1</v>
      </c>
      <c r="BJ734" s="3" t="n">
        <v>1</v>
      </c>
      <c r="BK734" s="6" t="s">
        <v>2004</v>
      </c>
    </row>
    <row r="735" customFormat="false" ht="15" hidden="false" customHeight="true" outlineLevel="0" collapsed="false">
      <c r="B735" s="2" t="s">
        <v>2005</v>
      </c>
      <c r="C735" s="2" t="s">
        <v>2006</v>
      </c>
      <c r="D735" s="2" t="s">
        <v>438</v>
      </c>
      <c r="E735" s="2" t="n">
        <v>193723</v>
      </c>
      <c r="F735" s="15" t="n">
        <v>43877</v>
      </c>
      <c r="G735" s="15" t="n">
        <v>43884</v>
      </c>
      <c r="H735" s="3" t="n">
        <v>7</v>
      </c>
      <c r="I735" s="3" t="n">
        <v>1</v>
      </c>
      <c r="J735" s="3" t="n">
        <v>71</v>
      </c>
      <c r="K735" s="3" t="n">
        <v>1</v>
      </c>
      <c r="L735" s="3" t="n">
        <v>1</v>
      </c>
      <c r="M735" s="3" t="n">
        <v>2</v>
      </c>
      <c r="N735" s="3" t="n">
        <v>2</v>
      </c>
      <c r="O735" s="3" t="n">
        <v>2</v>
      </c>
      <c r="P735" s="3" t="n">
        <v>2</v>
      </c>
      <c r="Q735" s="3" t="n">
        <v>2</v>
      </c>
      <c r="R735" s="3" t="n">
        <v>2</v>
      </c>
      <c r="S735" s="3" t="n">
        <v>2</v>
      </c>
      <c r="T735" s="4" t="n">
        <v>2</v>
      </c>
      <c r="U735" s="3" t="n">
        <v>2</v>
      </c>
      <c r="V735" s="3" t="n">
        <v>5.83</v>
      </c>
      <c r="W735" s="3" t="n">
        <v>1.52</v>
      </c>
      <c r="X735" s="3" t="n">
        <v>6.85</v>
      </c>
      <c r="Y735" s="3" t="n">
        <v>334</v>
      </c>
      <c r="Z735" s="3" t="n">
        <v>74</v>
      </c>
      <c r="AA735" s="3" t="n">
        <v>0.45</v>
      </c>
      <c r="AB735" s="3" t="n">
        <v>11.3</v>
      </c>
      <c r="AC735" s="3" t="n">
        <v>2</v>
      </c>
      <c r="AD735" s="3" t="n">
        <v>2</v>
      </c>
      <c r="AE735" s="3" t="n">
        <v>1</v>
      </c>
      <c r="AF735" s="3" t="n">
        <v>1</v>
      </c>
      <c r="AG735" s="3" t="n">
        <v>2</v>
      </c>
      <c r="AH735" s="3" t="n">
        <v>2</v>
      </c>
      <c r="AI735" s="3" t="n">
        <v>1</v>
      </c>
      <c r="AJ735" s="3" t="n">
        <v>2</v>
      </c>
      <c r="AK735" s="3" t="n">
        <v>2</v>
      </c>
      <c r="AL735" s="3" t="n">
        <v>2</v>
      </c>
      <c r="AM735" s="3" t="n">
        <v>2</v>
      </c>
      <c r="AN735" s="3" t="n">
        <v>2</v>
      </c>
      <c r="AO735" s="3" t="n">
        <v>2</v>
      </c>
      <c r="AP735" s="3" t="n">
        <v>3</v>
      </c>
      <c r="AQ735" s="3" t="n">
        <v>4</v>
      </c>
      <c r="AR735" s="3" t="n">
        <v>4</v>
      </c>
      <c r="AS735" s="3" t="n">
        <v>6</v>
      </c>
      <c r="AT735" s="3" t="n">
        <v>4</v>
      </c>
      <c r="AU735" s="3" t="n">
        <v>4</v>
      </c>
      <c r="AV735" s="3" t="n">
        <v>6</v>
      </c>
      <c r="AW735" s="3" t="n">
        <v>6</v>
      </c>
      <c r="AX735" s="3" t="n">
        <v>3</v>
      </c>
      <c r="AY735" s="3" t="n">
        <v>3</v>
      </c>
      <c r="AZ735" s="3" t="n">
        <v>1</v>
      </c>
      <c r="BA735" s="5" t="n">
        <v>1</v>
      </c>
      <c r="BB735" s="3" t="n">
        <v>1</v>
      </c>
      <c r="BC735" s="3" t="n">
        <v>1</v>
      </c>
      <c r="BD735" s="3" t="n">
        <v>4</v>
      </c>
      <c r="BE735" s="3" t="n">
        <v>1</v>
      </c>
      <c r="BF735" s="3" t="n">
        <v>2</v>
      </c>
      <c r="BG735" s="3" t="n">
        <v>1</v>
      </c>
      <c r="BH735" s="3" t="n">
        <v>4</v>
      </c>
      <c r="BI735" s="3" t="n">
        <v>1</v>
      </c>
      <c r="BJ735" s="3" t="n">
        <v>1</v>
      </c>
      <c r="BK735" s="6" t="s">
        <v>2007</v>
      </c>
    </row>
    <row r="736" customFormat="false" ht="15" hidden="false" customHeight="true" outlineLevel="0" collapsed="false">
      <c r="B736" s="2" t="s">
        <v>339</v>
      </c>
      <c r="C736" s="2" t="s">
        <v>2008</v>
      </c>
      <c r="D736" s="2" t="s">
        <v>244</v>
      </c>
      <c r="E736" s="2" t="n">
        <v>193439</v>
      </c>
      <c r="F736" s="15" t="n">
        <v>43879</v>
      </c>
      <c r="G736" s="15" t="n">
        <v>43886</v>
      </c>
      <c r="H736" s="3" t="n">
        <v>7</v>
      </c>
      <c r="I736" s="3" t="n">
        <v>1</v>
      </c>
      <c r="J736" s="3" t="n">
        <v>63</v>
      </c>
      <c r="K736" s="3" t="n">
        <v>2</v>
      </c>
      <c r="L736" s="3" t="n">
        <v>2</v>
      </c>
      <c r="M736" s="3" t="n">
        <v>1</v>
      </c>
      <c r="N736" s="3" t="n">
        <v>2</v>
      </c>
      <c r="O736" s="3" t="n">
        <v>2</v>
      </c>
      <c r="P736" s="3" t="n">
        <v>2</v>
      </c>
      <c r="Q736" s="3" t="n">
        <v>2</v>
      </c>
      <c r="R736" s="3" t="n">
        <v>2</v>
      </c>
      <c r="S736" s="3" t="n">
        <v>1</v>
      </c>
      <c r="T736" s="4" t="n">
        <v>3</v>
      </c>
      <c r="U736" s="3" t="n">
        <v>1</v>
      </c>
      <c r="V736" s="3" t="n">
        <v>3.2</v>
      </c>
      <c r="W736" s="3" t="n">
        <v>0.82</v>
      </c>
      <c r="X736" s="3" t="n">
        <v>4.9</v>
      </c>
      <c r="Y736" s="3" t="n">
        <v>829</v>
      </c>
      <c r="AA736" s="3" t="n">
        <v>0.35</v>
      </c>
      <c r="AB736" s="3" t="n">
        <v>9.1</v>
      </c>
      <c r="AC736" s="3" t="n">
        <v>2</v>
      </c>
      <c r="AD736" s="3" t="n">
        <v>2</v>
      </c>
      <c r="AE736" s="3" t="n">
        <v>1</v>
      </c>
      <c r="AF736" s="3" t="n">
        <v>1</v>
      </c>
      <c r="AG736" s="3" t="n">
        <v>2</v>
      </c>
      <c r="AH736" s="3" t="n">
        <v>2</v>
      </c>
      <c r="AI736" s="3" t="n">
        <v>2</v>
      </c>
      <c r="AJ736" s="3" t="n">
        <v>1</v>
      </c>
      <c r="AK736" s="3" t="n">
        <v>2</v>
      </c>
      <c r="AL736" s="3" t="n">
        <v>2</v>
      </c>
      <c r="AM736" s="3" t="n">
        <v>1</v>
      </c>
      <c r="AN736" s="3" t="n">
        <v>2</v>
      </c>
      <c r="AO736" s="3" t="n">
        <v>2</v>
      </c>
      <c r="AP736" s="3" t="n">
        <v>3</v>
      </c>
      <c r="AQ736" s="3" t="n">
        <v>4</v>
      </c>
      <c r="AR736" s="3" t="n">
        <v>4</v>
      </c>
      <c r="AS736" s="3" t="n">
        <v>6</v>
      </c>
      <c r="AT736" s="3" t="n">
        <v>4</v>
      </c>
      <c r="AU736" s="3" t="n">
        <v>4</v>
      </c>
      <c r="AV736" s="3" t="n">
        <v>6</v>
      </c>
      <c r="AW736" s="3" t="n">
        <v>6</v>
      </c>
      <c r="AX736" s="3" t="n">
        <v>3</v>
      </c>
      <c r="AY736" s="3" t="n">
        <v>3</v>
      </c>
      <c r="AZ736" s="3" t="n">
        <v>1</v>
      </c>
      <c r="BA736" s="5" t="n">
        <v>11</v>
      </c>
      <c r="BB736" s="3" t="n">
        <v>2</v>
      </c>
      <c r="BC736" s="3" t="n">
        <v>1</v>
      </c>
      <c r="BD736" s="3" t="n">
        <v>6</v>
      </c>
      <c r="BE736" s="3" t="n">
        <v>3</v>
      </c>
      <c r="BF736" s="3" t="n">
        <v>5</v>
      </c>
      <c r="BG736" s="3" t="n">
        <v>3</v>
      </c>
      <c r="BH736" s="3" t="n">
        <v>4</v>
      </c>
      <c r="BI736" s="3" t="n">
        <v>1</v>
      </c>
      <c r="BJ736" s="3" t="n">
        <v>1</v>
      </c>
      <c r="BK736" s="6" t="s">
        <v>2009</v>
      </c>
    </row>
    <row r="737" customFormat="false" ht="15" hidden="false" customHeight="true" outlineLevel="0" collapsed="false">
      <c r="B737" s="2" t="s">
        <v>2010</v>
      </c>
      <c r="C737" s="2" t="s">
        <v>2011</v>
      </c>
      <c r="D737" s="2" t="s">
        <v>78</v>
      </c>
      <c r="E737" s="2" t="n">
        <v>189323</v>
      </c>
      <c r="F737" s="15" t="n">
        <v>43880</v>
      </c>
      <c r="G737" s="15" t="n">
        <v>43885</v>
      </c>
      <c r="H737" s="3" t="n">
        <v>5</v>
      </c>
      <c r="I737" s="3" t="n">
        <v>2</v>
      </c>
      <c r="J737" s="3" t="n">
        <v>65</v>
      </c>
      <c r="K737" s="3" t="n">
        <v>1</v>
      </c>
      <c r="L737" s="3" t="n">
        <v>2</v>
      </c>
      <c r="M737" s="3" t="n">
        <v>1</v>
      </c>
      <c r="N737" s="3" t="n">
        <v>2</v>
      </c>
      <c r="O737" s="3" t="n">
        <v>2</v>
      </c>
      <c r="P737" s="3" t="n">
        <v>2</v>
      </c>
      <c r="Q737" s="3" t="n">
        <v>2</v>
      </c>
      <c r="R737" s="3" t="n">
        <v>2</v>
      </c>
      <c r="S737" s="3" t="n">
        <v>2</v>
      </c>
      <c r="T737" s="4" t="n">
        <v>3</v>
      </c>
      <c r="U737" s="3" t="n">
        <v>1</v>
      </c>
      <c r="V737" s="3" t="n">
        <v>4.29</v>
      </c>
      <c r="W737" s="3" t="n">
        <v>1.31</v>
      </c>
      <c r="X737" s="3" t="n">
        <v>6.74</v>
      </c>
      <c r="Y737" s="3" t="n">
        <v>478</v>
      </c>
      <c r="Z737" s="3" t="n">
        <v>125</v>
      </c>
      <c r="AA737" s="3" t="n">
        <v>0.33</v>
      </c>
      <c r="AB737" s="3" t="n">
        <v>9.6</v>
      </c>
      <c r="AC737" s="3" t="n">
        <v>2</v>
      </c>
      <c r="AD737" s="3" t="n">
        <v>2</v>
      </c>
      <c r="AE737" s="3" t="n">
        <v>2</v>
      </c>
      <c r="AF737" s="3" t="n">
        <v>1</v>
      </c>
      <c r="AG737" s="3" t="n">
        <v>1</v>
      </c>
      <c r="AH737" s="3" t="n">
        <v>2</v>
      </c>
      <c r="AI737" s="3" t="n">
        <v>1</v>
      </c>
      <c r="AJ737" s="3" t="n">
        <v>1</v>
      </c>
      <c r="AK737" s="3" t="n">
        <v>2</v>
      </c>
      <c r="AL737" s="3" t="n">
        <v>2</v>
      </c>
      <c r="AM737" s="3" t="n">
        <v>1</v>
      </c>
      <c r="AN737" s="3" t="n">
        <v>2</v>
      </c>
      <c r="AO737" s="3" t="n">
        <v>2</v>
      </c>
      <c r="AP737" s="3" t="n">
        <v>3</v>
      </c>
      <c r="AQ737" s="3" t="n">
        <v>4</v>
      </c>
      <c r="AR737" s="3" t="n">
        <v>4</v>
      </c>
      <c r="AS737" s="3" t="n">
        <v>6</v>
      </c>
      <c r="AT737" s="3" t="n">
        <v>4</v>
      </c>
      <c r="AU737" s="3" t="n">
        <v>4</v>
      </c>
      <c r="AV737" s="3" t="n">
        <v>6</v>
      </c>
      <c r="AW737" s="3" t="n">
        <v>6</v>
      </c>
      <c r="AX737" s="3" t="n">
        <v>3</v>
      </c>
      <c r="AY737" s="3" t="n">
        <v>3</v>
      </c>
      <c r="AZ737" s="3" t="n">
        <v>1</v>
      </c>
      <c r="BA737" s="5" t="n">
        <v>11</v>
      </c>
      <c r="BB737" s="3" t="n">
        <v>2</v>
      </c>
      <c r="BC737" s="3" t="n">
        <v>1</v>
      </c>
      <c r="BD737" s="3" t="n">
        <v>6</v>
      </c>
      <c r="BE737" s="3" t="n">
        <v>3</v>
      </c>
      <c r="BF737" s="3" t="n">
        <v>5</v>
      </c>
      <c r="BG737" s="3" t="n">
        <v>3</v>
      </c>
      <c r="BH737" s="3" t="n">
        <v>4</v>
      </c>
      <c r="BI737" s="3" t="n">
        <v>1</v>
      </c>
      <c r="BJ737" s="3" t="n">
        <v>1</v>
      </c>
      <c r="BK737" s="6" t="s">
        <v>2012</v>
      </c>
    </row>
    <row r="738" customFormat="false" ht="15" hidden="false" customHeight="true" outlineLevel="0" collapsed="false">
      <c r="B738" s="2" t="s">
        <v>822</v>
      </c>
      <c r="C738" s="2" t="s">
        <v>433</v>
      </c>
      <c r="D738" s="2" t="s">
        <v>940</v>
      </c>
      <c r="E738" s="2" t="n">
        <v>120625</v>
      </c>
      <c r="F738" s="15" t="n">
        <v>43881</v>
      </c>
      <c r="G738" s="15" t="n">
        <v>43887</v>
      </c>
      <c r="H738" s="3" t="n">
        <v>6</v>
      </c>
      <c r="I738" s="3" t="n">
        <v>1</v>
      </c>
      <c r="J738" s="3" t="n">
        <v>84</v>
      </c>
      <c r="K738" s="3" t="n">
        <v>2</v>
      </c>
      <c r="L738" s="3" t="n">
        <v>2</v>
      </c>
      <c r="M738" s="3" t="n">
        <v>1</v>
      </c>
      <c r="N738" s="3" t="n">
        <v>2</v>
      </c>
      <c r="O738" s="3" t="n">
        <v>2</v>
      </c>
      <c r="P738" s="3" t="n">
        <v>2</v>
      </c>
      <c r="Q738" s="3" t="n">
        <v>2</v>
      </c>
      <c r="R738" s="3" t="n">
        <v>2</v>
      </c>
      <c r="S738" s="3" t="n">
        <v>1</v>
      </c>
      <c r="T738" s="4" t="n">
        <v>3</v>
      </c>
      <c r="U738" s="3" t="n">
        <v>4</v>
      </c>
      <c r="V738" s="3" t="n">
        <v>4.02</v>
      </c>
      <c r="W738" s="3" t="n">
        <v>0.43</v>
      </c>
      <c r="X738" s="3" t="n">
        <v>6.31</v>
      </c>
      <c r="Y738" s="3" t="n">
        <v>401</v>
      </c>
      <c r="Z738" s="3" t="n">
        <v>58</v>
      </c>
      <c r="AA738" s="3" t="n">
        <v>0.41</v>
      </c>
      <c r="AB738" s="3" t="n">
        <v>18.1</v>
      </c>
      <c r="AC738" s="3" t="n">
        <v>1</v>
      </c>
      <c r="AD738" s="3" t="n">
        <v>2</v>
      </c>
      <c r="AE738" s="3" t="n">
        <v>2</v>
      </c>
      <c r="AF738" s="3" t="n">
        <v>2</v>
      </c>
      <c r="AG738" s="3" t="n">
        <v>2</v>
      </c>
      <c r="AH738" s="3" t="n">
        <v>1</v>
      </c>
      <c r="AI738" s="3" t="n">
        <v>1</v>
      </c>
      <c r="AJ738" s="3" t="n">
        <v>2</v>
      </c>
      <c r="AK738" s="3" t="n">
        <v>2</v>
      </c>
      <c r="AL738" s="3" t="n">
        <v>2</v>
      </c>
      <c r="AM738" s="3" t="n">
        <v>1</v>
      </c>
      <c r="AN738" s="3" t="n">
        <v>2</v>
      </c>
      <c r="AO738" s="3" t="n">
        <v>2</v>
      </c>
      <c r="AP738" s="3" t="n">
        <v>3</v>
      </c>
      <c r="AQ738" s="3" t="n">
        <v>4</v>
      </c>
      <c r="AR738" s="3" t="n">
        <v>4</v>
      </c>
      <c r="AS738" s="3" t="n">
        <v>6</v>
      </c>
      <c r="AT738" s="3" t="n">
        <v>4</v>
      </c>
      <c r="AU738" s="3" t="n">
        <v>4</v>
      </c>
      <c r="AV738" s="3" t="n">
        <v>6</v>
      </c>
      <c r="AW738" s="3" t="n">
        <v>6</v>
      </c>
      <c r="AX738" s="3" t="n">
        <v>3</v>
      </c>
      <c r="AY738" s="3" t="n">
        <v>3</v>
      </c>
      <c r="AZ738" s="3" t="n">
        <v>1</v>
      </c>
      <c r="BA738" s="5" t="n">
        <v>11</v>
      </c>
      <c r="BB738" s="3" t="n">
        <v>2</v>
      </c>
      <c r="BC738" s="3" t="n">
        <v>1</v>
      </c>
      <c r="BD738" s="3" t="n">
        <v>6</v>
      </c>
      <c r="BE738" s="3" t="n">
        <v>3</v>
      </c>
      <c r="BF738" s="3" t="n">
        <v>5</v>
      </c>
      <c r="BG738" s="3" t="n">
        <v>3</v>
      </c>
      <c r="BH738" s="3" t="n">
        <v>4</v>
      </c>
      <c r="BI738" s="3" t="n">
        <v>1</v>
      </c>
      <c r="BJ738" s="3" t="n">
        <v>1</v>
      </c>
      <c r="BK738" s="6" t="s">
        <v>2013</v>
      </c>
    </row>
    <row r="739" customFormat="false" ht="15" hidden="false" customHeight="true" outlineLevel="0" collapsed="false">
      <c r="B739" s="2" t="s">
        <v>758</v>
      </c>
      <c r="C739" s="2" t="s">
        <v>1655</v>
      </c>
      <c r="D739" s="2" t="s">
        <v>294</v>
      </c>
      <c r="E739" s="2" t="n">
        <v>187052</v>
      </c>
      <c r="F739" s="15" t="n">
        <v>43887</v>
      </c>
      <c r="G739" s="15" t="n">
        <v>43889</v>
      </c>
      <c r="H739" s="3" t="n">
        <v>2</v>
      </c>
      <c r="I739" s="3" t="n">
        <v>2</v>
      </c>
      <c r="J739" s="3" t="n">
        <v>58</v>
      </c>
      <c r="K739" s="3" t="n">
        <v>1</v>
      </c>
      <c r="L739" s="3" t="n">
        <v>2</v>
      </c>
      <c r="M739" s="3" t="n">
        <v>1</v>
      </c>
      <c r="N739" s="3" t="n">
        <v>1</v>
      </c>
      <c r="O739" s="3" t="n">
        <v>2</v>
      </c>
      <c r="P739" s="3" t="n">
        <v>2</v>
      </c>
      <c r="Q739" s="3" t="n">
        <v>2</v>
      </c>
      <c r="R739" s="3" t="n">
        <v>2</v>
      </c>
      <c r="S739" s="3" t="n">
        <v>1</v>
      </c>
      <c r="T739" s="4" t="n">
        <v>1</v>
      </c>
      <c r="U739" s="3" t="n">
        <v>1</v>
      </c>
      <c r="V739" s="3" t="n">
        <v>3.27</v>
      </c>
      <c r="W739" s="3" t="n">
        <v>0.93</v>
      </c>
      <c r="X739" s="3" t="n">
        <v>6.33</v>
      </c>
      <c r="Y739" s="3" t="n">
        <v>289</v>
      </c>
      <c r="Z739" s="3" t="n">
        <v>60</v>
      </c>
      <c r="AA739" s="3" t="n">
        <v>0.37</v>
      </c>
      <c r="AB739" s="3" t="n">
        <v>12.2</v>
      </c>
      <c r="AC739" s="3" t="n">
        <v>1</v>
      </c>
      <c r="AD739" s="3" t="n">
        <v>1</v>
      </c>
      <c r="AE739" s="3" t="n">
        <v>1</v>
      </c>
      <c r="AF739" s="3" t="n">
        <v>1</v>
      </c>
      <c r="AG739" s="3" t="n">
        <v>1</v>
      </c>
      <c r="AH739" s="3" t="n">
        <v>2</v>
      </c>
      <c r="AI739" s="3" t="n">
        <v>1</v>
      </c>
      <c r="AJ739" s="3" t="n">
        <v>1</v>
      </c>
      <c r="AK739" s="3" t="n">
        <v>2</v>
      </c>
      <c r="AL739" s="3" t="n">
        <v>2</v>
      </c>
      <c r="AM739" s="3" t="n">
        <v>2</v>
      </c>
      <c r="AN739" s="3" t="n">
        <v>2</v>
      </c>
      <c r="AO739" s="3" t="n">
        <v>2</v>
      </c>
      <c r="AP739" s="3" t="n">
        <v>1</v>
      </c>
      <c r="AQ739" s="3" t="n">
        <v>3</v>
      </c>
      <c r="AR739" s="3" t="n">
        <v>9</v>
      </c>
      <c r="AS739" s="3" t="n">
        <v>3</v>
      </c>
      <c r="AT739" s="3" t="n">
        <v>1</v>
      </c>
      <c r="AU739" s="3" t="n">
        <v>1</v>
      </c>
      <c r="AV739" s="3" t="n">
        <v>1</v>
      </c>
      <c r="AW739" s="3" t="n">
        <v>1</v>
      </c>
      <c r="AX739" s="3" t="n">
        <v>2</v>
      </c>
      <c r="AY739" s="3" t="n">
        <v>2</v>
      </c>
      <c r="AZ739" s="3" t="n">
        <v>1</v>
      </c>
      <c r="BA739" s="5" t="n">
        <v>3</v>
      </c>
      <c r="BB739" s="3" t="n">
        <v>2</v>
      </c>
      <c r="BC739" s="3" t="n">
        <v>1</v>
      </c>
      <c r="BD739" s="3" t="n">
        <v>6</v>
      </c>
      <c r="BE739" s="3" t="n">
        <v>3</v>
      </c>
      <c r="BF739" s="3" t="n">
        <v>5</v>
      </c>
      <c r="BG739" s="3" t="n">
        <v>3</v>
      </c>
      <c r="BH739" s="3" t="n">
        <v>4</v>
      </c>
      <c r="BI739" s="3" t="n">
        <v>1</v>
      </c>
      <c r="BJ739" s="3" t="n">
        <v>1</v>
      </c>
      <c r="BK739" s="6" t="s">
        <v>2014</v>
      </c>
    </row>
    <row r="740" customFormat="false" ht="15" hidden="false" customHeight="true" outlineLevel="0" collapsed="false">
      <c r="B740" s="2" t="s">
        <v>2015</v>
      </c>
      <c r="C740" s="2" t="s">
        <v>66</v>
      </c>
      <c r="D740" s="2" t="s">
        <v>554</v>
      </c>
      <c r="E740" s="2" t="n">
        <v>166723</v>
      </c>
      <c r="F740" s="15" t="n">
        <v>43882</v>
      </c>
      <c r="G740" s="15" t="n">
        <v>43888</v>
      </c>
      <c r="H740" s="3" t="n">
        <v>6</v>
      </c>
      <c r="I740" s="3" t="n">
        <v>1</v>
      </c>
      <c r="J740" s="3" t="n">
        <v>55</v>
      </c>
      <c r="K740" s="3" t="n">
        <v>1</v>
      </c>
      <c r="L740" s="3" t="n">
        <v>2</v>
      </c>
      <c r="M740" s="3" t="n">
        <v>1</v>
      </c>
      <c r="N740" s="3" t="n">
        <v>2</v>
      </c>
      <c r="O740" s="3" t="n">
        <v>2</v>
      </c>
      <c r="P740" s="3" t="n">
        <v>2</v>
      </c>
      <c r="Q740" s="3" t="n">
        <v>2</v>
      </c>
      <c r="R740" s="3" t="n">
        <v>2</v>
      </c>
      <c r="S740" s="3" t="n">
        <v>2</v>
      </c>
      <c r="T740" s="4" t="n">
        <v>1</v>
      </c>
      <c r="U740" s="3" t="n">
        <v>1</v>
      </c>
      <c r="V740" s="3" t="n">
        <v>4.83</v>
      </c>
      <c r="W740" s="3" t="n">
        <v>2.37</v>
      </c>
      <c r="X740" s="3" t="n">
        <v>5.6</v>
      </c>
      <c r="Y740" s="3" t="n">
        <v>439</v>
      </c>
      <c r="Z740" s="3" t="n">
        <v>67</v>
      </c>
      <c r="AA740" s="3" t="n">
        <v>0.39</v>
      </c>
      <c r="AB740" s="3" t="n">
        <v>10.3</v>
      </c>
      <c r="AC740" s="3" t="n">
        <v>1</v>
      </c>
      <c r="AD740" s="3" t="n">
        <v>1</v>
      </c>
      <c r="AE740" s="3" t="n">
        <v>1</v>
      </c>
      <c r="AF740" s="3" t="n">
        <v>1</v>
      </c>
      <c r="AG740" s="3" t="n">
        <v>2</v>
      </c>
      <c r="AH740" s="3" t="n">
        <v>1</v>
      </c>
      <c r="AI740" s="3" t="n">
        <v>1</v>
      </c>
      <c r="AJ740" s="3" t="n">
        <v>1</v>
      </c>
      <c r="AK740" s="3" t="n">
        <v>2</v>
      </c>
      <c r="AL740" s="3" t="n">
        <v>2</v>
      </c>
      <c r="AM740" s="3" t="n">
        <v>2</v>
      </c>
      <c r="AN740" s="3" t="n">
        <v>2</v>
      </c>
      <c r="AO740" s="3" t="n">
        <v>2</v>
      </c>
      <c r="AP740" s="3" t="n">
        <v>1</v>
      </c>
      <c r="AQ740" s="3" t="n">
        <v>2</v>
      </c>
      <c r="AR740" s="3" t="n">
        <v>4</v>
      </c>
      <c r="AS740" s="3" t="n">
        <v>6</v>
      </c>
      <c r="AT740" s="3" t="n">
        <v>4</v>
      </c>
      <c r="AU740" s="3" t="n">
        <v>4</v>
      </c>
      <c r="AV740" s="3" t="n">
        <v>1</v>
      </c>
      <c r="AW740" s="3" t="n">
        <v>6</v>
      </c>
      <c r="AX740" s="3" t="n">
        <v>1</v>
      </c>
      <c r="AY740" s="3" t="n">
        <v>2</v>
      </c>
      <c r="AZ740" s="3" t="n">
        <v>1</v>
      </c>
      <c r="BA740" s="5" t="n">
        <v>5</v>
      </c>
      <c r="BB740" s="3" t="n">
        <v>2</v>
      </c>
      <c r="BC740" s="3" t="n">
        <v>1</v>
      </c>
      <c r="BD740" s="3" t="n">
        <v>6</v>
      </c>
      <c r="BE740" s="3" t="n">
        <v>3</v>
      </c>
      <c r="BF740" s="3" t="n">
        <v>5</v>
      </c>
      <c r="BG740" s="3" t="n">
        <v>3</v>
      </c>
      <c r="BH740" s="3" t="n">
        <v>4</v>
      </c>
      <c r="BI740" s="3" t="n">
        <v>1</v>
      </c>
      <c r="BJ740" s="3" t="n">
        <v>1</v>
      </c>
      <c r="BK740" s="6" t="s">
        <v>2016</v>
      </c>
    </row>
    <row r="741" customFormat="false" ht="15" hidden="false" customHeight="true" outlineLevel="0" collapsed="false">
      <c r="B741" s="2" t="s">
        <v>145</v>
      </c>
      <c r="C741" s="2" t="s">
        <v>94</v>
      </c>
      <c r="D741" s="2" t="s">
        <v>95</v>
      </c>
      <c r="E741" s="2" t="n">
        <v>193489</v>
      </c>
      <c r="F741" s="15" t="n">
        <v>43882</v>
      </c>
      <c r="G741" s="15" t="n">
        <v>43889</v>
      </c>
      <c r="H741" s="3" t="n">
        <v>7</v>
      </c>
      <c r="I741" s="3" t="n">
        <v>2</v>
      </c>
      <c r="J741" s="3" t="n">
        <v>75</v>
      </c>
      <c r="K741" s="3" t="n">
        <v>1</v>
      </c>
      <c r="L741" s="3" t="n">
        <v>1</v>
      </c>
      <c r="M741" s="3" t="n">
        <v>2</v>
      </c>
      <c r="N741" s="3" t="n">
        <v>2</v>
      </c>
      <c r="O741" s="3" t="n">
        <v>2</v>
      </c>
      <c r="P741" s="3" t="n">
        <v>2</v>
      </c>
      <c r="Q741" s="3" t="n">
        <v>2</v>
      </c>
      <c r="R741" s="3" t="n">
        <v>2</v>
      </c>
      <c r="S741" s="3" t="n">
        <v>2</v>
      </c>
      <c r="T741" s="4" t="n">
        <v>2</v>
      </c>
      <c r="U741" s="3" t="n">
        <v>2</v>
      </c>
      <c r="V741" s="3" t="n">
        <v>4.93</v>
      </c>
      <c r="W741" s="3" t="n">
        <v>0.52</v>
      </c>
      <c r="X741" s="3" t="n">
        <v>7.4</v>
      </c>
      <c r="Y741" s="3" t="n">
        <v>480</v>
      </c>
      <c r="Z741" s="3" t="n">
        <v>77</v>
      </c>
      <c r="AA741" s="3" t="n">
        <v>0.52</v>
      </c>
      <c r="AB741" s="3" t="n">
        <v>12.6</v>
      </c>
      <c r="AC741" s="3" t="n">
        <v>1</v>
      </c>
      <c r="AD741" s="3" t="n">
        <v>2</v>
      </c>
      <c r="AE741" s="3" t="n">
        <v>1</v>
      </c>
      <c r="AF741" s="3" t="n">
        <v>1</v>
      </c>
      <c r="AG741" s="3" t="n">
        <v>2</v>
      </c>
      <c r="AH741" s="3" t="n">
        <v>2</v>
      </c>
      <c r="AI741" s="3" t="n">
        <v>1</v>
      </c>
      <c r="AJ741" s="3" t="n">
        <v>2</v>
      </c>
      <c r="AK741" s="3" t="n">
        <v>2</v>
      </c>
      <c r="AL741" s="3" t="n">
        <v>2</v>
      </c>
      <c r="AM741" s="3" t="n">
        <v>2</v>
      </c>
      <c r="AN741" s="3" t="n">
        <v>2</v>
      </c>
      <c r="AO741" s="3" t="n">
        <v>2</v>
      </c>
      <c r="AP741" s="3" t="n">
        <v>3</v>
      </c>
      <c r="AQ741" s="3" t="n">
        <v>4</v>
      </c>
      <c r="AR741" s="3" t="n">
        <v>4</v>
      </c>
      <c r="AS741" s="3" t="n">
        <v>6</v>
      </c>
      <c r="AT741" s="3" t="n">
        <v>4</v>
      </c>
      <c r="AU741" s="3" t="n">
        <v>4</v>
      </c>
      <c r="AV741" s="3" t="n">
        <v>6</v>
      </c>
      <c r="AW741" s="3" t="n">
        <v>6</v>
      </c>
      <c r="AX741" s="3" t="n">
        <v>3</v>
      </c>
      <c r="AY741" s="3" t="n">
        <v>3</v>
      </c>
      <c r="AZ741" s="3" t="n">
        <v>1</v>
      </c>
      <c r="BA741" s="5" t="n">
        <v>1</v>
      </c>
      <c r="BB741" s="3" t="n">
        <v>1</v>
      </c>
      <c r="BC741" s="3" t="n">
        <v>1</v>
      </c>
      <c r="BD741" s="3" t="n">
        <v>4</v>
      </c>
      <c r="BE741" s="3" t="n">
        <v>1</v>
      </c>
      <c r="BF741" s="3" t="n">
        <v>2</v>
      </c>
      <c r="BG741" s="3" t="n">
        <v>1</v>
      </c>
      <c r="BH741" s="3" t="n">
        <v>4</v>
      </c>
      <c r="BI741" s="3" t="n">
        <v>1</v>
      </c>
      <c r="BJ741" s="3" t="n">
        <v>1</v>
      </c>
      <c r="BK741" s="6" t="s">
        <v>2017</v>
      </c>
    </row>
    <row r="742" customFormat="false" ht="15" hidden="false" customHeight="true" outlineLevel="0" collapsed="false">
      <c r="B742" s="2" t="s">
        <v>2018</v>
      </c>
      <c r="C742" s="2" t="s">
        <v>2019</v>
      </c>
      <c r="D742" s="2" t="s">
        <v>2020</v>
      </c>
      <c r="E742" s="2" t="n">
        <v>193812</v>
      </c>
      <c r="F742" s="15" t="n">
        <v>43889</v>
      </c>
      <c r="G742" s="15" t="n">
        <v>43890</v>
      </c>
      <c r="H742" s="3" t="n">
        <v>1</v>
      </c>
      <c r="I742" s="3" t="n">
        <v>1</v>
      </c>
      <c r="J742" s="3" t="n">
        <v>87</v>
      </c>
      <c r="K742" s="3" t="n">
        <v>1</v>
      </c>
      <c r="L742" s="3" t="n">
        <v>2</v>
      </c>
      <c r="M742" s="3" t="n">
        <v>1</v>
      </c>
      <c r="N742" s="3" t="n">
        <v>2</v>
      </c>
      <c r="O742" s="3" t="n">
        <v>1</v>
      </c>
      <c r="P742" s="3" t="n">
        <v>1</v>
      </c>
      <c r="Q742" s="3" t="n">
        <v>1</v>
      </c>
      <c r="R742" s="3" t="n">
        <v>1</v>
      </c>
      <c r="S742" s="3" t="n">
        <v>2</v>
      </c>
      <c r="T742" s="4" t="n">
        <v>3</v>
      </c>
      <c r="U742" s="3" t="n">
        <v>1</v>
      </c>
      <c r="V742" s="3" t="n">
        <v>4.83</v>
      </c>
      <c r="W742" s="3" t="n">
        <v>1.12</v>
      </c>
      <c r="X742" s="3" t="n">
        <v>10.46</v>
      </c>
      <c r="Y742" s="3" t="n">
        <v>454</v>
      </c>
      <c r="Z742" s="3" t="n">
        <v>262</v>
      </c>
      <c r="AA742" s="3" t="n">
        <v>0.43</v>
      </c>
      <c r="AB742" s="3" t="n">
        <v>10.1</v>
      </c>
      <c r="AC742" s="3" t="n">
        <v>3</v>
      </c>
      <c r="AD742" s="3" t="n">
        <v>1</v>
      </c>
      <c r="AE742" s="3" t="n">
        <v>1</v>
      </c>
      <c r="AF742" s="3" t="n">
        <v>1</v>
      </c>
      <c r="AG742" s="3" t="n">
        <v>2</v>
      </c>
      <c r="AH742" s="3" t="n">
        <v>2</v>
      </c>
      <c r="AI742" s="3" t="n">
        <v>2</v>
      </c>
      <c r="AJ742" s="3" t="n">
        <v>2</v>
      </c>
      <c r="AK742" s="3" t="n">
        <v>1</v>
      </c>
      <c r="AL742" s="3" t="n">
        <v>2</v>
      </c>
      <c r="AM742" s="3" t="n">
        <v>1</v>
      </c>
      <c r="AN742" s="3" t="n">
        <v>2</v>
      </c>
      <c r="AO742" s="3" t="n">
        <v>2</v>
      </c>
      <c r="AP742" s="3" t="n">
        <v>3</v>
      </c>
      <c r="AQ742" s="3" t="n">
        <v>4</v>
      </c>
      <c r="AR742" s="3" t="n">
        <v>4</v>
      </c>
      <c r="AS742" s="3" t="n">
        <v>6</v>
      </c>
      <c r="AT742" s="3" t="n">
        <v>4</v>
      </c>
      <c r="AU742" s="3" t="n">
        <v>4</v>
      </c>
      <c r="AV742" s="3" t="n">
        <v>6</v>
      </c>
      <c r="AW742" s="3" t="n">
        <v>6</v>
      </c>
      <c r="AX742" s="3" t="n">
        <v>3</v>
      </c>
      <c r="AY742" s="3" t="n">
        <v>3</v>
      </c>
      <c r="AZ742" s="3" t="n">
        <v>1</v>
      </c>
      <c r="BA742" s="5" t="n">
        <v>11</v>
      </c>
      <c r="BB742" s="3" t="n">
        <v>2</v>
      </c>
      <c r="BC742" s="3" t="n">
        <v>1</v>
      </c>
      <c r="BD742" s="3" t="n">
        <v>6</v>
      </c>
      <c r="BE742" s="3" t="n">
        <v>3</v>
      </c>
      <c r="BF742" s="3" t="n">
        <v>5</v>
      </c>
      <c r="BG742" s="3" t="n">
        <v>3</v>
      </c>
      <c r="BH742" s="3" t="n">
        <v>4</v>
      </c>
      <c r="BI742" s="3" t="n">
        <v>1</v>
      </c>
      <c r="BJ742" s="3" t="n">
        <v>1</v>
      </c>
      <c r="BK742" s="6" t="s">
        <v>2021</v>
      </c>
    </row>
    <row r="743" customFormat="false" ht="15" hidden="false" customHeight="true" outlineLevel="0" collapsed="false">
      <c r="B743" s="2" t="s">
        <v>2022</v>
      </c>
      <c r="C743" s="2" t="s">
        <v>2023</v>
      </c>
      <c r="D743" s="2" t="s">
        <v>382</v>
      </c>
      <c r="E743" s="2" t="n">
        <v>193748</v>
      </c>
      <c r="F743" s="15" t="n">
        <v>43878</v>
      </c>
      <c r="G743" s="15" t="n">
        <v>43889</v>
      </c>
      <c r="H743" s="3" t="n">
        <v>11</v>
      </c>
      <c r="I743" s="3" t="n">
        <v>2</v>
      </c>
      <c r="J743" s="3" t="n">
        <v>50</v>
      </c>
      <c r="K743" s="3" t="n">
        <v>1</v>
      </c>
      <c r="L743" s="3" t="n">
        <v>2</v>
      </c>
      <c r="M743" s="3" t="n">
        <v>2</v>
      </c>
      <c r="N743" s="3" t="n">
        <v>2</v>
      </c>
      <c r="O743" s="3" t="n">
        <v>2</v>
      </c>
      <c r="P743" s="3" t="n">
        <v>2</v>
      </c>
      <c r="Q743" s="3" t="n">
        <v>2</v>
      </c>
      <c r="R743" s="3" t="n">
        <v>2</v>
      </c>
      <c r="S743" s="3" t="n">
        <v>2</v>
      </c>
      <c r="T743" s="4" t="n">
        <v>12</v>
      </c>
      <c r="U743" s="3" t="n">
        <v>1</v>
      </c>
      <c r="V743" s="3" t="n">
        <v>2.83</v>
      </c>
      <c r="W743" s="3" t="n">
        <v>1.05</v>
      </c>
      <c r="X743" s="3" t="n">
        <v>6.63</v>
      </c>
      <c r="Y743" s="3" t="n">
        <v>160</v>
      </c>
      <c r="Z743" s="3" t="n">
        <v>74</v>
      </c>
      <c r="AA743" s="3" t="n">
        <v>0.45</v>
      </c>
      <c r="AB743" s="3" t="n">
        <v>5.6</v>
      </c>
      <c r="AC743" s="3" t="n">
        <v>3</v>
      </c>
      <c r="AD743" s="3" t="n">
        <v>2</v>
      </c>
      <c r="AE743" s="3" t="n">
        <v>2</v>
      </c>
      <c r="AF743" s="3" t="n">
        <v>2</v>
      </c>
      <c r="AG743" s="3" t="n">
        <v>2</v>
      </c>
      <c r="AH743" s="3" t="n">
        <v>2</v>
      </c>
      <c r="AI743" s="3" t="n">
        <v>2</v>
      </c>
      <c r="AJ743" s="3" t="n">
        <v>2</v>
      </c>
      <c r="AK743" s="3" t="n">
        <v>2</v>
      </c>
      <c r="AL743" s="3" t="n">
        <v>2</v>
      </c>
      <c r="AM743" s="3" t="n">
        <v>2</v>
      </c>
      <c r="AN743" s="3" t="n">
        <v>2</v>
      </c>
      <c r="AO743" s="3" t="n">
        <v>2</v>
      </c>
      <c r="AP743" s="3" t="n">
        <v>3</v>
      </c>
      <c r="AQ743" s="3" t="n">
        <v>4</v>
      </c>
      <c r="AR743" s="3" t="n">
        <v>4</v>
      </c>
      <c r="AS743" s="3" t="n">
        <v>6</v>
      </c>
      <c r="AT743" s="3" t="n">
        <v>4</v>
      </c>
      <c r="AU743" s="3" t="n">
        <v>4</v>
      </c>
      <c r="AV743" s="3" t="n">
        <v>6</v>
      </c>
      <c r="AW743" s="3" t="n">
        <v>6</v>
      </c>
      <c r="AX743" s="3" t="n">
        <v>3</v>
      </c>
      <c r="AY743" s="3" t="n">
        <v>3</v>
      </c>
      <c r="AZ743" s="3" t="n">
        <v>1</v>
      </c>
      <c r="BA743" s="5" t="n">
        <v>3</v>
      </c>
      <c r="BB743" s="3" t="n">
        <v>2</v>
      </c>
      <c r="BC743" s="3" t="n">
        <v>1</v>
      </c>
      <c r="BD743" s="3" t="n">
        <v>6</v>
      </c>
      <c r="BE743" s="3" t="n">
        <v>3</v>
      </c>
      <c r="BF743" s="3" t="n">
        <v>5</v>
      </c>
      <c r="BG743" s="3" t="n">
        <v>3</v>
      </c>
      <c r="BH743" s="3" t="n">
        <v>4</v>
      </c>
      <c r="BI743" s="3" t="n">
        <v>1</v>
      </c>
      <c r="BJ743" s="3" t="n">
        <v>1</v>
      </c>
      <c r="BK743" s="6" t="s">
        <v>2024</v>
      </c>
    </row>
    <row r="744" customFormat="false" ht="15" hidden="false" customHeight="true" outlineLevel="0" collapsed="false">
      <c r="B744" s="2" t="s">
        <v>2025</v>
      </c>
      <c r="C744" s="2" t="s">
        <v>222</v>
      </c>
      <c r="D744" s="2" t="s">
        <v>462</v>
      </c>
      <c r="E744" s="2" t="n">
        <v>193931</v>
      </c>
      <c r="F744" s="15" t="n">
        <v>43884</v>
      </c>
      <c r="G744" s="15" t="n">
        <v>43890</v>
      </c>
      <c r="H744" s="3" t="n">
        <v>6</v>
      </c>
      <c r="I744" s="3" t="n">
        <v>2</v>
      </c>
      <c r="J744" s="3" t="n">
        <v>38</v>
      </c>
      <c r="K744" s="3" t="n">
        <v>1</v>
      </c>
      <c r="L744" s="3" t="n">
        <v>1</v>
      </c>
      <c r="M744" s="3" t="n">
        <v>1</v>
      </c>
      <c r="N744" s="3" t="n">
        <v>1</v>
      </c>
      <c r="O744" s="3" t="n">
        <v>1</v>
      </c>
      <c r="P744" s="3" t="n">
        <v>2</v>
      </c>
      <c r="Q744" s="3" t="n">
        <v>2</v>
      </c>
      <c r="R744" s="3" t="n">
        <v>2</v>
      </c>
      <c r="S744" s="3" t="n">
        <v>2</v>
      </c>
      <c r="T744" s="4" t="n">
        <v>1</v>
      </c>
      <c r="U744" s="3" t="n">
        <v>1</v>
      </c>
      <c r="V744" s="3" t="n">
        <v>4.59</v>
      </c>
      <c r="W744" s="3" t="n">
        <v>1.52</v>
      </c>
      <c r="X744" s="3" t="n">
        <v>6.35</v>
      </c>
      <c r="Y744" s="3" t="n">
        <v>269</v>
      </c>
      <c r="Z744" s="3" t="n">
        <v>56</v>
      </c>
      <c r="AA744" s="3" t="n">
        <v>0.5</v>
      </c>
      <c r="AB744" s="3" t="n">
        <v>9.1</v>
      </c>
      <c r="AC744" s="3" t="n">
        <v>2</v>
      </c>
      <c r="AD744" s="3" t="n">
        <v>1</v>
      </c>
      <c r="AE744" s="3" t="n">
        <v>1</v>
      </c>
      <c r="AF744" s="3" t="n">
        <v>1</v>
      </c>
      <c r="AG744" s="3" t="n">
        <v>1</v>
      </c>
      <c r="AH744" s="3" t="n">
        <v>2</v>
      </c>
      <c r="AI744" s="3" t="n">
        <v>1</v>
      </c>
      <c r="AJ744" s="3" t="n">
        <v>1</v>
      </c>
      <c r="AK744" s="3" t="n">
        <v>2</v>
      </c>
      <c r="AL744" s="3" t="n">
        <v>2</v>
      </c>
      <c r="AM744" s="3" t="n">
        <v>2</v>
      </c>
      <c r="AN744" s="3" t="n">
        <v>2</v>
      </c>
      <c r="AO744" s="3" t="n">
        <v>2</v>
      </c>
      <c r="AP744" s="3" t="n">
        <v>3</v>
      </c>
      <c r="AQ744" s="3" t="n">
        <v>4</v>
      </c>
      <c r="AR744" s="3" t="n">
        <v>4</v>
      </c>
      <c r="AS744" s="3" t="n">
        <v>6</v>
      </c>
      <c r="AT744" s="3" t="n">
        <v>4</v>
      </c>
      <c r="AU744" s="3" t="n">
        <v>4</v>
      </c>
      <c r="AV744" s="3" t="n">
        <v>6</v>
      </c>
      <c r="AW744" s="3" t="n">
        <v>6</v>
      </c>
      <c r="AX744" s="3" t="n">
        <v>3</v>
      </c>
      <c r="AY744" s="3" t="n">
        <v>3</v>
      </c>
      <c r="AZ744" s="3" t="n">
        <v>1</v>
      </c>
      <c r="BA744" s="5" t="n">
        <v>5</v>
      </c>
      <c r="BB744" s="3" t="n">
        <v>2</v>
      </c>
      <c r="BC744" s="3" t="n">
        <v>1</v>
      </c>
      <c r="BD744" s="3" t="n">
        <v>6</v>
      </c>
      <c r="BE744" s="3" t="n">
        <v>3</v>
      </c>
      <c r="BF744" s="3" t="n">
        <v>5</v>
      </c>
      <c r="BG744" s="3" t="n">
        <v>3</v>
      </c>
      <c r="BH744" s="3" t="n">
        <v>4</v>
      </c>
      <c r="BI744" s="3" t="n">
        <v>1</v>
      </c>
      <c r="BJ744" s="3" t="n">
        <v>1</v>
      </c>
      <c r="BK744" s="6" t="s">
        <v>2026</v>
      </c>
    </row>
    <row r="745" customFormat="false" ht="15" hidden="false" customHeight="true" outlineLevel="0" collapsed="false">
      <c r="B745" s="2" t="s">
        <v>518</v>
      </c>
      <c r="C745" s="2" t="s">
        <v>438</v>
      </c>
      <c r="D745" s="2" t="s">
        <v>127</v>
      </c>
      <c r="E745" s="2" t="n">
        <v>193937</v>
      </c>
      <c r="F745" s="15" t="n">
        <v>43886</v>
      </c>
      <c r="G745" s="15" t="n">
        <v>43892</v>
      </c>
      <c r="H745" s="3" t="n">
        <v>6</v>
      </c>
      <c r="I745" s="3" t="n">
        <v>1</v>
      </c>
      <c r="J745" s="3" t="n">
        <v>58</v>
      </c>
      <c r="K745" s="3" t="n">
        <v>1</v>
      </c>
      <c r="L745" s="3" t="n">
        <v>2</v>
      </c>
      <c r="M745" s="3" t="n">
        <v>1</v>
      </c>
      <c r="N745" s="3" t="n">
        <v>2</v>
      </c>
      <c r="O745" s="3" t="n">
        <v>2</v>
      </c>
      <c r="P745" s="3" t="n">
        <v>2</v>
      </c>
      <c r="Q745" s="3" t="n">
        <v>2</v>
      </c>
      <c r="R745" s="3" t="n">
        <v>2</v>
      </c>
      <c r="S745" s="3" t="n">
        <v>2</v>
      </c>
      <c r="T745" s="4" t="n">
        <v>12</v>
      </c>
      <c r="U745" s="3" t="n">
        <v>1</v>
      </c>
      <c r="V745" s="3" t="n">
        <v>5.99</v>
      </c>
      <c r="W745" s="3" t="n">
        <v>1.29</v>
      </c>
      <c r="X745" s="3" t="n">
        <v>6.27</v>
      </c>
      <c r="Y745" s="3" t="n">
        <v>335</v>
      </c>
      <c r="Z745" s="3" t="n">
        <v>71</v>
      </c>
      <c r="AA745" s="3" t="n">
        <v>0.45</v>
      </c>
      <c r="AB745" s="3" t="n">
        <v>7.5</v>
      </c>
      <c r="AC745" s="3" t="n">
        <v>3</v>
      </c>
      <c r="AD745" s="3" t="n">
        <v>2</v>
      </c>
      <c r="AE745" s="3" t="n">
        <v>2</v>
      </c>
      <c r="AF745" s="3" t="n">
        <v>2</v>
      </c>
      <c r="AG745" s="3" t="n">
        <v>2</v>
      </c>
      <c r="AH745" s="3" t="n">
        <v>1</v>
      </c>
      <c r="AI745" s="3" t="n">
        <v>2</v>
      </c>
      <c r="AJ745" s="3" t="n">
        <v>2</v>
      </c>
      <c r="AK745" s="3" t="n">
        <v>2</v>
      </c>
      <c r="AL745" s="3" t="n">
        <v>2</v>
      </c>
      <c r="AM745" s="3" t="n">
        <v>1</v>
      </c>
      <c r="AN745" s="3" t="n">
        <v>2</v>
      </c>
      <c r="AO745" s="3" t="n">
        <v>2</v>
      </c>
      <c r="AP745" s="3" t="n">
        <v>3</v>
      </c>
      <c r="AQ745" s="3" t="n">
        <v>4</v>
      </c>
      <c r="AR745" s="3" t="n">
        <v>4</v>
      </c>
      <c r="AS745" s="3" t="n">
        <v>6</v>
      </c>
      <c r="AT745" s="3" t="n">
        <v>4</v>
      </c>
      <c r="AU745" s="3" t="n">
        <v>4</v>
      </c>
      <c r="AV745" s="3" t="n">
        <v>6</v>
      </c>
      <c r="AW745" s="3" t="n">
        <v>6</v>
      </c>
      <c r="AX745" s="3" t="n">
        <v>3</v>
      </c>
      <c r="AY745" s="3" t="n">
        <v>3</v>
      </c>
      <c r="AZ745" s="3" t="n">
        <v>1</v>
      </c>
      <c r="BA745" s="5" t="n">
        <v>3</v>
      </c>
      <c r="BB745" s="3" t="n">
        <v>2</v>
      </c>
      <c r="BC745" s="3" t="n">
        <v>1</v>
      </c>
      <c r="BD745" s="3" t="n">
        <v>6</v>
      </c>
      <c r="BE745" s="3" t="n">
        <v>3</v>
      </c>
      <c r="BF745" s="3" t="n">
        <v>5</v>
      </c>
      <c r="BG745" s="3" t="n">
        <v>3</v>
      </c>
      <c r="BH745" s="3" t="n">
        <v>4</v>
      </c>
      <c r="BI745" s="3" t="n">
        <v>1</v>
      </c>
      <c r="BJ745" s="3" t="n">
        <v>1</v>
      </c>
      <c r="BK745" s="6" t="s">
        <v>2027</v>
      </c>
    </row>
    <row r="746" customFormat="false" ht="15" hidden="false" customHeight="true" outlineLevel="0" collapsed="false">
      <c r="B746" s="2" t="s">
        <v>2028</v>
      </c>
      <c r="C746" s="2" t="s">
        <v>1113</v>
      </c>
      <c r="D746" s="2" t="s">
        <v>808</v>
      </c>
      <c r="E746" s="2" t="n">
        <v>193185</v>
      </c>
      <c r="F746" s="15" t="n">
        <v>43885</v>
      </c>
      <c r="G746" s="15" t="n">
        <v>43892</v>
      </c>
      <c r="H746" s="3" t="n">
        <v>7</v>
      </c>
      <c r="I746" s="3" t="n">
        <v>2</v>
      </c>
      <c r="J746" s="3" t="n">
        <v>48</v>
      </c>
      <c r="K746" s="3" t="n">
        <v>1</v>
      </c>
      <c r="L746" s="3" t="n">
        <v>1</v>
      </c>
      <c r="M746" s="3" t="n">
        <v>1</v>
      </c>
      <c r="N746" s="3" t="n">
        <v>2</v>
      </c>
      <c r="O746" s="3" t="n">
        <v>2</v>
      </c>
      <c r="P746" s="3" t="n">
        <v>2</v>
      </c>
      <c r="Q746" s="3" t="n">
        <v>2</v>
      </c>
      <c r="R746" s="3" t="n">
        <v>2</v>
      </c>
      <c r="S746" s="3" t="n">
        <v>2</v>
      </c>
      <c r="T746" s="4" t="n">
        <v>2</v>
      </c>
      <c r="U746" s="3" t="n">
        <v>2</v>
      </c>
      <c r="V746" s="3" t="n">
        <v>3.02</v>
      </c>
      <c r="W746" s="3" t="n">
        <v>1.05</v>
      </c>
      <c r="X746" s="3" t="n">
        <v>6</v>
      </c>
      <c r="Y746" s="3" t="n">
        <v>313</v>
      </c>
      <c r="Z746" s="3" t="n">
        <v>62</v>
      </c>
      <c r="AA746" s="3" t="n">
        <v>0.59</v>
      </c>
      <c r="AB746" s="3" t="n">
        <v>12.9</v>
      </c>
      <c r="AC746" s="3" t="n">
        <v>1</v>
      </c>
      <c r="AD746" s="3" t="n">
        <v>2</v>
      </c>
      <c r="AE746" s="3" t="n">
        <v>1</v>
      </c>
      <c r="AF746" s="3" t="n">
        <v>1</v>
      </c>
      <c r="AG746" s="3" t="n">
        <v>2</v>
      </c>
      <c r="AH746" s="3" t="n">
        <v>2</v>
      </c>
      <c r="AI746" s="3" t="n">
        <v>1</v>
      </c>
      <c r="AJ746" s="3" t="n">
        <v>2</v>
      </c>
      <c r="AK746" s="3" t="n">
        <v>2</v>
      </c>
      <c r="AL746" s="3" t="n">
        <v>2</v>
      </c>
      <c r="AM746" s="3" t="n">
        <v>2</v>
      </c>
      <c r="AN746" s="3" t="n">
        <v>2</v>
      </c>
      <c r="AO746" s="3" t="n">
        <v>2</v>
      </c>
      <c r="AP746" s="3" t="n">
        <v>3</v>
      </c>
      <c r="AQ746" s="3" t="n">
        <v>4</v>
      </c>
      <c r="AR746" s="3" t="n">
        <v>4</v>
      </c>
      <c r="AS746" s="3" t="n">
        <v>6</v>
      </c>
      <c r="AT746" s="3" t="n">
        <v>4</v>
      </c>
      <c r="AU746" s="3" t="n">
        <v>4</v>
      </c>
      <c r="AV746" s="3" t="n">
        <v>6</v>
      </c>
      <c r="AW746" s="3" t="n">
        <v>6</v>
      </c>
      <c r="AX746" s="3" t="n">
        <v>3</v>
      </c>
      <c r="AY746" s="3" t="n">
        <v>3</v>
      </c>
      <c r="AZ746" s="3" t="n">
        <v>1</v>
      </c>
      <c r="BA746" s="5" t="n">
        <v>1</v>
      </c>
      <c r="BB746" s="3" t="n">
        <v>1</v>
      </c>
      <c r="BC746" s="3" t="n">
        <v>1</v>
      </c>
      <c r="BD746" s="3" t="n">
        <v>2</v>
      </c>
      <c r="BE746" s="3" t="n">
        <v>1</v>
      </c>
      <c r="BF746" s="3" t="n">
        <v>2</v>
      </c>
      <c r="BG746" s="3" t="n">
        <v>1</v>
      </c>
      <c r="BH746" s="3" t="n">
        <v>4</v>
      </c>
      <c r="BI746" s="3" t="n">
        <v>1</v>
      </c>
      <c r="BJ746" s="3" t="n">
        <v>1</v>
      </c>
      <c r="BK746" s="6" t="s">
        <v>2029</v>
      </c>
    </row>
    <row r="747" customFormat="false" ht="15" hidden="false" customHeight="true" outlineLevel="0" collapsed="false">
      <c r="B747" s="2" t="s">
        <v>2030</v>
      </c>
      <c r="C747" s="2" t="s">
        <v>95</v>
      </c>
      <c r="D747" s="2" t="s">
        <v>118</v>
      </c>
      <c r="E747" s="2" t="n">
        <v>193944</v>
      </c>
      <c r="F747" s="15" t="n">
        <v>43886</v>
      </c>
      <c r="G747" s="15" t="n">
        <v>43893</v>
      </c>
      <c r="H747" s="3" t="n">
        <v>7</v>
      </c>
      <c r="I747" s="3" t="n">
        <v>1</v>
      </c>
      <c r="J747" s="3" t="n">
        <v>46</v>
      </c>
      <c r="K747" s="3" t="n">
        <v>1</v>
      </c>
      <c r="L747" s="3" t="n">
        <v>1</v>
      </c>
      <c r="M747" s="3" t="n">
        <v>1</v>
      </c>
      <c r="N747" s="3" t="n">
        <v>2</v>
      </c>
      <c r="O747" s="3" t="n">
        <v>2</v>
      </c>
      <c r="P747" s="3" t="n">
        <v>2</v>
      </c>
      <c r="Q747" s="3" t="n">
        <v>2</v>
      </c>
      <c r="R747" s="3" t="n">
        <v>2</v>
      </c>
      <c r="S747" s="3" t="n">
        <v>2</v>
      </c>
      <c r="T747" s="4" t="n">
        <v>2</v>
      </c>
      <c r="U747" s="3" t="n">
        <v>2</v>
      </c>
      <c r="V747" s="3" t="n">
        <v>5.11</v>
      </c>
      <c r="W747" s="3" t="n">
        <v>1.31</v>
      </c>
      <c r="X747" s="3" t="n">
        <v>6.43</v>
      </c>
      <c r="Y747" s="3" t="n">
        <v>205</v>
      </c>
      <c r="Z747" s="3" t="n">
        <v>40</v>
      </c>
      <c r="AA747" s="3" t="n">
        <v>0.51</v>
      </c>
      <c r="AB747" s="3" t="n">
        <v>10.2</v>
      </c>
      <c r="AC747" s="3" t="n">
        <v>1</v>
      </c>
      <c r="AD747" s="3" t="n">
        <v>1</v>
      </c>
      <c r="AE747" s="3" t="n">
        <v>1</v>
      </c>
      <c r="AF747" s="3" t="n">
        <v>1</v>
      </c>
      <c r="AG747" s="3" t="n">
        <v>2</v>
      </c>
      <c r="AH747" s="3" t="n">
        <v>1</v>
      </c>
      <c r="AI747" s="3" t="n">
        <v>1</v>
      </c>
      <c r="AJ747" s="3" t="n">
        <v>1</v>
      </c>
      <c r="AK747" s="3" t="n">
        <v>2</v>
      </c>
      <c r="AL747" s="3" t="n">
        <v>2</v>
      </c>
      <c r="AM747" s="3" t="n">
        <v>1</v>
      </c>
      <c r="AN747" s="3" t="n">
        <v>2</v>
      </c>
      <c r="AO747" s="3" t="n">
        <v>2</v>
      </c>
      <c r="AP747" s="3" t="n">
        <v>3</v>
      </c>
      <c r="AQ747" s="3" t="n">
        <v>4</v>
      </c>
      <c r="AR747" s="3" t="n">
        <v>4</v>
      </c>
      <c r="AS747" s="3" t="n">
        <v>6</v>
      </c>
      <c r="AT747" s="3" t="n">
        <v>4</v>
      </c>
      <c r="AU747" s="3" t="n">
        <v>4</v>
      </c>
      <c r="AV747" s="3" t="n">
        <v>6</v>
      </c>
      <c r="AW747" s="3" t="n">
        <v>6</v>
      </c>
      <c r="AX747" s="3" t="n">
        <v>3</v>
      </c>
      <c r="AY747" s="3" t="n">
        <v>3</v>
      </c>
      <c r="AZ747" s="3" t="n">
        <v>1</v>
      </c>
      <c r="BA747" s="5" t="n">
        <v>1</v>
      </c>
      <c r="BB747" s="3" t="n">
        <v>1</v>
      </c>
      <c r="BC747" s="3" t="n">
        <v>1</v>
      </c>
      <c r="BD747" s="3" t="n">
        <v>2</v>
      </c>
      <c r="BE747" s="3" t="n">
        <v>2</v>
      </c>
      <c r="BF747" s="3" t="n">
        <v>5</v>
      </c>
      <c r="BG747" s="3" t="n">
        <v>3</v>
      </c>
      <c r="BH747" s="3" t="n">
        <v>4</v>
      </c>
      <c r="BI747" s="3" t="n">
        <v>1</v>
      </c>
      <c r="BJ747" s="3" t="n">
        <v>1</v>
      </c>
      <c r="BK747" s="6" t="s">
        <v>2031</v>
      </c>
    </row>
    <row r="748" customFormat="false" ht="15" hidden="false" customHeight="true" outlineLevel="0" collapsed="false">
      <c r="B748" s="2" t="s">
        <v>2032</v>
      </c>
      <c r="C748" s="2" t="s">
        <v>661</v>
      </c>
      <c r="D748" s="2" t="s">
        <v>244</v>
      </c>
      <c r="E748" s="2" t="n">
        <v>193838</v>
      </c>
      <c r="F748" s="15" t="n">
        <v>43890</v>
      </c>
      <c r="G748" s="15" t="n">
        <v>43895</v>
      </c>
      <c r="H748" s="3" t="n">
        <v>5</v>
      </c>
      <c r="I748" s="3" t="n">
        <v>1</v>
      </c>
      <c r="J748" s="3" t="n">
        <v>78</v>
      </c>
      <c r="K748" s="3" t="n">
        <v>1</v>
      </c>
      <c r="L748" s="3" t="n">
        <v>2</v>
      </c>
      <c r="M748" s="3" t="n">
        <v>1</v>
      </c>
      <c r="N748" s="3" t="n">
        <v>2</v>
      </c>
      <c r="O748" s="3" t="n">
        <v>1</v>
      </c>
      <c r="P748" s="3" t="n">
        <v>1</v>
      </c>
      <c r="Q748" s="3" t="n">
        <v>1</v>
      </c>
      <c r="R748" s="3" t="n">
        <v>2</v>
      </c>
      <c r="S748" s="3" t="n">
        <v>1</v>
      </c>
      <c r="T748" s="4" t="n">
        <v>3</v>
      </c>
      <c r="U748" s="3" t="n">
        <v>4</v>
      </c>
      <c r="V748" s="3" t="n">
        <v>4.38</v>
      </c>
      <c r="W748" s="3" t="n">
        <v>1.23</v>
      </c>
      <c r="X748" s="3" t="n">
        <v>6.28</v>
      </c>
      <c r="Y748" s="3" t="n">
        <v>540</v>
      </c>
      <c r="Z748" s="3" t="n">
        <v>65</v>
      </c>
      <c r="AA748" s="3" t="n">
        <v>0.42</v>
      </c>
      <c r="AB748" s="3" t="n">
        <v>11</v>
      </c>
      <c r="AC748" s="3" t="n">
        <v>1</v>
      </c>
      <c r="AD748" s="3" t="n">
        <v>2</v>
      </c>
      <c r="AE748" s="3" t="n">
        <v>1</v>
      </c>
      <c r="AF748" s="3" t="n">
        <v>2</v>
      </c>
      <c r="AG748" s="3" t="n">
        <v>2</v>
      </c>
      <c r="AH748" s="3" t="n">
        <v>2</v>
      </c>
      <c r="AI748" s="3" t="n">
        <v>1</v>
      </c>
      <c r="AJ748" s="3" t="n">
        <v>1</v>
      </c>
      <c r="AK748" s="3" t="n">
        <v>1</v>
      </c>
      <c r="AL748" s="3" t="n">
        <v>2</v>
      </c>
      <c r="AM748" s="3" t="n">
        <v>1</v>
      </c>
      <c r="AN748" s="3" t="n">
        <v>1</v>
      </c>
      <c r="AO748" s="3" t="n">
        <v>2</v>
      </c>
      <c r="AP748" s="3" t="n">
        <v>3</v>
      </c>
      <c r="AQ748" s="3" t="n">
        <v>4</v>
      </c>
      <c r="AR748" s="3" t="n">
        <v>4</v>
      </c>
      <c r="AS748" s="3" t="n">
        <v>6</v>
      </c>
      <c r="AT748" s="3" t="n">
        <v>4</v>
      </c>
      <c r="AU748" s="3" t="n">
        <v>4</v>
      </c>
      <c r="AV748" s="3" t="n">
        <v>6</v>
      </c>
      <c r="AW748" s="3" t="n">
        <v>6</v>
      </c>
      <c r="AX748" s="3" t="n">
        <v>3</v>
      </c>
      <c r="AY748" s="3" t="n">
        <v>3</v>
      </c>
      <c r="AZ748" s="3" t="n">
        <v>1</v>
      </c>
      <c r="BA748" s="5" t="n">
        <v>10</v>
      </c>
      <c r="BB748" s="3" t="n">
        <v>2</v>
      </c>
      <c r="BC748" s="3" t="n">
        <v>1</v>
      </c>
      <c r="BD748" s="3" t="n">
        <v>6</v>
      </c>
      <c r="BE748" s="3" t="n">
        <v>3</v>
      </c>
      <c r="BF748" s="3" t="n">
        <v>5</v>
      </c>
      <c r="BG748" s="3" t="n">
        <v>3</v>
      </c>
      <c r="BH748" s="3" t="n">
        <v>4</v>
      </c>
      <c r="BI748" s="3" t="n">
        <v>1</v>
      </c>
      <c r="BJ748" s="3" t="n">
        <v>1</v>
      </c>
      <c r="BK748" s="6" t="s">
        <v>2033</v>
      </c>
    </row>
    <row r="749" customFormat="false" ht="15" hidden="false" customHeight="false" outlineLevel="0" collapsed="false">
      <c r="B749" s="2" t="s">
        <v>703</v>
      </c>
      <c r="C749" s="2" t="s">
        <v>109</v>
      </c>
      <c r="D749" s="2" t="s">
        <v>522</v>
      </c>
      <c r="E749" s="2" t="n">
        <v>168214</v>
      </c>
      <c r="F749" s="15" t="n">
        <v>43879</v>
      </c>
      <c r="G749" s="15" t="n">
        <v>43895</v>
      </c>
      <c r="H749" s="3" t="n">
        <v>16</v>
      </c>
      <c r="I749" s="3" t="n">
        <v>2</v>
      </c>
      <c r="J749" s="3" t="n">
        <v>81</v>
      </c>
      <c r="K749" s="3" t="n">
        <v>1</v>
      </c>
      <c r="L749" s="3" t="n">
        <v>1</v>
      </c>
      <c r="M749" s="3" t="n">
        <v>1</v>
      </c>
      <c r="N749" s="3" t="n">
        <v>1</v>
      </c>
      <c r="O749" s="3" t="n">
        <v>2</v>
      </c>
      <c r="P749" s="3" t="n">
        <v>2</v>
      </c>
      <c r="Q749" s="3" t="n">
        <v>2</v>
      </c>
      <c r="R749" s="3" t="n">
        <v>2</v>
      </c>
      <c r="S749" s="3" t="n">
        <v>2</v>
      </c>
      <c r="T749" s="4" t="n">
        <v>4</v>
      </c>
      <c r="U749" s="3" t="n">
        <v>4</v>
      </c>
      <c r="V749" s="3" t="n">
        <v>4.25</v>
      </c>
      <c r="W749" s="3" t="n">
        <v>2.34</v>
      </c>
      <c r="X749" s="3" t="n">
        <v>6.38</v>
      </c>
      <c r="Y749" s="3" t="n">
        <v>547</v>
      </c>
      <c r="Z749" s="3" t="n">
        <v>113</v>
      </c>
      <c r="AA749" s="3" t="n">
        <v>0.47</v>
      </c>
      <c r="AB749" s="3" t="n">
        <v>10.3</v>
      </c>
      <c r="AC749" s="3" t="n">
        <v>2</v>
      </c>
      <c r="AD749" s="3" t="n">
        <v>2</v>
      </c>
      <c r="AE749" s="3" t="n">
        <v>1</v>
      </c>
      <c r="AF749" s="3" t="n">
        <v>1</v>
      </c>
      <c r="AG749" s="3" t="n">
        <v>2</v>
      </c>
      <c r="AH749" s="3" t="n">
        <v>2</v>
      </c>
      <c r="AI749" s="3" t="n">
        <v>1</v>
      </c>
      <c r="AJ749" s="3" t="n">
        <v>2</v>
      </c>
      <c r="AK749" s="3" t="n">
        <v>2</v>
      </c>
      <c r="AL749" s="3" t="n">
        <v>1</v>
      </c>
      <c r="AM749" s="3" t="n">
        <v>1</v>
      </c>
      <c r="AN749" s="3" t="n">
        <v>2</v>
      </c>
      <c r="AO749" s="3" t="n">
        <v>1</v>
      </c>
      <c r="AP749" s="3" t="n">
        <v>3</v>
      </c>
      <c r="AQ749" s="3" t="n">
        <v>4</v>
      </c>
      <c r="AR749" s="3" t="n">
        <v>4</v>
      </c>
      <c r="AS749" s="3" t="n">
        <v>6</v>
      </c>
      <c r="AT749" s="3" t="n">
        <v>4</v>
      </c>
      <c r="AU749" s="3" t="n">
        <v>4</v>
      </c>
      <c r="AV749" s="3" t="n">
        <v>6</v>
      </c>
      <c r="AW749" s="3" t="n">
        <v>6</v>
      </c>
      <c r="AX749" s="3" t="n">
        <v>3</v>
      </c>
      <c r="AY749" s="3" t="n">
        <v>3</v>
      </c>
      <c r="AZ749" s="3" t="n">
        <v>1</v>
      </c>
      <c r="BA749" s="5" t="n">
        <v>10</v>
      </c>
      <c r="BB749" s="3" t="n">
        <v>2</v>
      </c>
      <c r="BC749" s="3" t="n">
        <v>1</v>
      </c>
      <c r="BD749" s="3" t="n">
        <v>6</v>
      </c>
      <c r="BE749" s="3" t="n">
        <v>3</v>
      </c>
      <c r="BF749" s="3" t="n">
        <v>5</v>
      </c>
      <c r="BG749" s="3" t="n">
        <v>3</v>
      </c>
      <c r="BH749" s="3" t="n">
        <v>4</v>
      </c>
      <c r="BI749" s="3" t="n">
        <v>1</v>
      </c>
      <c r="BJ749" s="3" t="n">
        <v>1</v>
      </c>
      <c r="BK749" s="16" t="s">
        <v>2034</v>
      </c>
    </row>
    <row r="750" customFormat="false" ht="15" hidden="false" customHeight="true" outlineLevel="0" collapsed="false">
      <c r="B750" s="2" t="s">
        <v>2035</v>
      </c>
      <c r="C750" s="2" t="s">
        <v>78</v>
      </c>
      <c r="D750" s="2" t="s">
        <v>2036</v>
      </c>
      <c r="E750" s="2" t="n">
        <v>193953</v>
      </c>
      <c r="F750" s="15" t="n">
        <v>43887</v>
      </c>
      <c r="G750" s="15" t="n">
        <v>43894</v>
      </c>
      <c r="H750" s="3" t="n">
        <v>7</v>
      </c>
      <c r="I750" s="3" t="n">
        <v>2</v>
      </c>
      <c r="J750" s="3" t="n">
        <v>72</v>
      </c>
      <c r="K750" s="3" t="n">
        <v>1</v>
      </c>
      <c r="L750" s="3" t="n">
        <v>1</v>
      </c>
      <c r="M750" s="3" t="n">
        <v>1</v>
      </c>
      <c r="N750" s="3" t="n">
        <v>2</v>
      </c>
      <c r="O750" s="3" t="n">
        <v>2</v>
      </c>
      <c r="P750" s="3" t="n">
        <v>2</v>
      </c>
      <c r="Q750" s="3" t="n">
        <v>2</v>
      </c>
      <c r="R750" s="3" t="n">
        <v>2</v>
      </c>
      <c r="S750" s="3" t="n">
        <v>2</v>
      </c>
      <c r="T750" s="4" t="n">
        <v>2</v>
      </c>
      <c r="U750" s="3" t="n">
        <v>2</v>
      </c>
      <c r="V750" s="3" t="n">
        <v>5.05</v>
      </c>
      <c r="W750" s="3" t="n">
        <v>0.62</v>
      </c>
      <c r="X750" s="3" t="n">
        <v>7.28</v>
      </c>
      <c r="Y750" s="3" t="n">
        <v>471</v>
      </c>
      <c r="Z750" s="3" t="n">
        <v>91</v>
      </c>
      <c r="AA750" s="3" t="n">
        <v>0.46</v>
      </c>
      <c r="AB750" s="3" t="n">
        <v>13.3</v>
      </c>
      <c r="AC750" s="3" t="n">
        <v>2</v>
      </c>
      <c r="AD750" s="3" t="n">
        <v>1</v>
      </c>
      <c r="AE750" s="3" t="n">
        <v>1</v>
      </c>
      <c r="AF750" s="3" t="n">
        <v>1</v>
      </c>
      <c r="AG750" s="3" t="n">
        <v>2</v>
      </c>
      <c r="AH750" s="3" t="n">
        <v>2</v>
      </c>
      <c r="AI750" s="3" t="n">
        <v>1</v>
      </c>
      <c r="AJ750" s="3" t="n">
        <v>1</v>
      </c>
      <c r="AK750" s="3" t="n">
        <v>2</v>
      </c>
      <c r="AL750" s="3" t="n">
        <v>2</v>
      </c>
      <c r="AM750" s="3" t="n">
        <v>2</v>
      </c>
      <c r="AN750" s="3" t="n">
        <v>2</v>
      </c>
      <c r="AO750" s="3" t="n">
        <v>2</v>
      </c>
      <c r="AP750" s="3" t="n">
        <v>3</v>
      </c>
      <c r="AQ750" s="3" t="n">
        <v>4</v>
      </c>
      <c r="AR750" s="3" t="n">
        <v>4</v>
      </c>
      <c r="AS750" s="3" t="n">
        <v>6</v>
      </c>
      <c r="AT750" s="3" t="n">
        <v>4</v>
      </c>
      <c r="AU750" s="3" t="n">
        <v>4</v>
      </c>
      <c r="AV750" s="3" t="n">
        <v>6</v>
      </c>
      <c r="AW750" s="3" t="n">
        <v>6</v>
      </c>
      <c r="AX750" s="3" t="n">
        <v>3</v>
      </c>
      <c r="AY750" s="3" t="n">
        <v>3</v>
      </c>
      <c r="AZ750" s="3" t="n">
        <v>1</v>
      </c>
      <c r="BA750" s="5" t="n">
        <v>1</v>
      </c>
      <c r="BB750" s="3" t="n">
        <v>1</v>
      </c>
      <c r="BC750" s="3" t="n">
        <v>1</v>
      </c>
      <c r="BD750" s="3" t="n">
        <v>2</v>
      </c>
      <c r="BE750" s="3" t="n">
        <v>2</v>
      </c>
      <c r="BF750" s="3" t="n">
        <v>5</v>
      </c>
      <c r="BG750" s="3" t="n">
        <v>3</v>
      </c>
      <c r="BH750" s="3" t="n">
        <v>4</v>
      </c>
      <c r="BI750" s="3" t="n">
        <v>1</v>
      </c>
      <c r="BJ750" s="3" t="n">
        <v>1</v>
      </c>
      <c r="BK750" s="6" t="s">
        <v>2037</v>
      </c>
    </row>
    <row r="751" customFormat="false" ht="15" hidden="false" customHeight="true" outlineLevel="0" collapsed="false">
      <c r="B751" s="2" t="s">
        <v>2038</v>
      </c>
      <c r="C751" s="2" t="s">
        <v>78</v>
      </c>
      <c r="D751" s="2" t="s">
        <v>1335</v>
      </c>
      <c r="E751" s="2" t="n">
        <v>193873</v>
      </c>
      <c r="F751" s="15" t="n">
        <v>43894</v>
      </c>
      <c r="G751" s="15" t="n">
        <v>43900</v>
      </c>
      <c r="H751" s="3" t="n">
        <v>6</v>
      </c>
      <c r="I751" s="3" t="n">
        <v>2</v>
      </c>
      <c r="J751" s="3" t="n">
        <v>57</v>
      </c>
      <c r="K751" s="3" t="n">
        <v>1</v>
      </c>
      <c r="L751" s="3" t="n">
        <v>2</v>
      </c>
      <c r="M751" s="3" t="n">
        <v>1</v>
      </c>
      <c r="N751" s="3" t="n">
        <v>2</v>
      </c>
      <c r="O751" s="3" t="n">
        <v>1</v>
      </c>
      <c r="P751" s="3" t="n">
        <v>2</v>
      </c>
      <c r="Q751" s="3" t="n">
        <v>1</v>
      </c>
      <c r="R751" s="3" t="n">
        <v>2</v>
      </c>
      <c r="S751" s="3" t="n">
        <v>1</v>
      </c>
      <c r="T751" s="4" t="n">
        <v>2</v>
      </c>
      <c r="U751" s="3" t="n">
        <v>2</v>
      </c>
      <c r="V751" s="3" t="n">
        <v>6.74</v>
      </c>
      <c r="W751" s="3" t="n">
        <v>1.39</v>
      </c>
      <c r="X751" s="3" t="n">
        <v>13.76</v>
      </c>
      <c r="Y751" s="3" t="n">
        <v>308</v>
      </c>
      <c r="Z751" s="3" t="n">
        <v>72</v>
      </c>
      <c r="AA751" s="3" t="n">
        <v>0.47</v>
      </c>
      <c r="AB751" s="3" t="n">
        <v>12.1</v>
      </c>
      <c r="AC751" s="3" t="n">
        <v>2</v>
      </c>
      <c r="AD751" s="3" t="n">
        <v>1</v>
      </c>
      <c r="AE751" s="3" t="n">
        <v>1</v>
      </c>
      <c r="AF751" s="3" t="n">
        <v>1</v>
      </c>
      <c r="AG751" s="3" t="n">
        <v>1</v>
      </c>
      <c r="AH751" s="3" t="n">
        <v>2</v>
      </c>
      <c r="AI751" s="3" t="n">
        <v>1</v>
      </c>
      <c r="AJ751" s="3" t="n">
        <v>1</v>
      </c>
      <c r="AK751" s="3" t="n">
        <v>2</v>
      </c>
      <c r="AL751" s="3" t="n">
        <v>2</v>
      </c>
      <c r="AM751" s="3" t="n">
        <v>2</v>
      </c>
      <c r="AN751" s="3" t="n">
        <v>2</v>
      </c>
      <c r="AO751" s="3" t="n">
        <v>2</v>
      </c>
      <c r="AP751" s="3" t="n">
        <v>3</v>
      </c>
      <c r="AQ751" s="3" t="n">
        <v>4</v>
      </c>
      <c r="AR751" s="3" t="n">
        <v>4</v>
      </c>
      <c r="AS751" s="3" t="n">
        <v>6</v>
      </c>
      <c r="AT751" s="3" t="n">
        <v>4</v>
      </c>
      <c r="AU751" s="3" t="n">
        <v>4</v>
      </c>
      <c r="AV751" s="3" t="n">
        <v>6</v>
      </c>
      <c r="AW751" s="3" t="n">
        <v>6</v>
      </c>
      <c r="AX751" s="3" t="n">
        <v>3</v>
      </c>
      <c r="AY751" s="3" t="n">
        <v>3</v>
      </c>
      <c r="AZ751" s="3" t="n">
        <v>1</v>
      </c>
      <c r="BA751" s="5" t="n">
        <v>1</v>
      </c>
      <c r="BB751" s="3" t="n">
        <v>1</v>
      </c>
      <c r="BC751" s="3" t="n">
        <v>1</v>
      </c>
      <c r="BD751" s="3" t="n">
        <v>2</v>
      </c>
      <c r="BE751" s="3" t="n">
        <v>3</v>
      </c>
      <c r="BF751" s="3" t="n">
        <v>5</v>
      </c>
      <c r="BG751" s="3" t="n">
        <v>3</v>
      </c>
      <c r="BH751" s="3" t="n">
        <v>4</v>
      </c>
      <c r="BI751" s="3" t="n">
        <v>1</v>
      </c>
      <c r="BJ751" s="3" t="n">
        <v>1</v>
      </c>
      <c r="BK751" s="6" t="s">
        <v>2039</v>
      </c>
    </row>
    <row r="752" customFormat="false" ht="15" hidden="false" customHeight="true" outlineLevel="0" collapsed="false">
      <c r="B752" s="2" t="s">
        <v>2040</v>
      </c>
      <c r="C752" s="2" t="s">
        <v>1482</v>
      </c>
      <c r="D752" s="2" t="s">
        <v>2041</v>
      </c>
      <c r="E752" s="2" t="n">
        <v>193864</v>
      </c>
      <c r="F752" s="15" t="n">
        <v>43893</v>
      </c>
      <c r="G752" s="15" t="n">
        <v>43900</v>
      </c>
      <c r="H752" s="3" t="n">
        <v>7</v>
      </c>
      <c r="I752" s="3" t="n">
        <v>2</v>
      </c>
      <c r="J752" s="3" t="n">
        <v>59</v>
      </c>
      <c r="K752" s="3" t="n">
        <v>1</v>
      </c>
      <c r="L752" s="3" t="n">
        <v>1</v>
      </c>
      <c r="M752" s="3" t="n">
        <v>1</v>
      </c>
      <c r="N752" s="3" t="n">
        <v>2</v>
      </c>
      <c r="O752" s="3" t="n">
        <v>1</v>
      </c>
      <c r="P752" s="3" t="n">
        <v>1</v>
      </c>
      <c r="Q752" s="3" t="n">
        <v>1</v>
      </c>
      <c r="R752" s="3" t="n">
        <v>2</v>
      </c>
      <c r="S752" s="3" t="n">
        <v>1</v>
      </c>
      <c r="T752" s="4" t="n">
        <v>2</v>
      </c>
      <c r="U752" s="3" t="n">
        <v>2</v>
      </c>
      <c r="V752" s="3" t="n">
        <v>5.98</v>
      </c>
      <c r="W752" s="3" t="n">
        <v>5.43</v>
      </c>
      <c r="X752" s="3" t="n">
        <v>18.47</v>
      </c>
      <c r="Y752" s="3" t="n">
        <v>282</v>
      </c>
      <c r="Z752" s="3" t="n">
        <v>98</v>
      </c>
      <c r="AA752" s="3" t="n">
        <v>0.49</v>
      </c>
      <c r="AB752" s="3" t="n">
        <v>13.2</v>
      </c>
      <c r="AC752" s="3" t="n">
        <v>1</v>
      </c>
      <c r="AD752" s="3" t="n">
        <v>1</v>
      </c>
      <c r="AE752" s="3" t="n">
        <v>1</v>
      </c>
      <c r="AF752" s="3" t="n">
        <v>1</v>
      </c>
      <c r="AG752" s="3" t="n">
        <v>1</v>
      </c>
      <c r="AH752" s="3" t="n">
        <v>1</v>
      </c>
      <c r="AI752" s="3" t="n">
        <v>1</v>
      </c>
      <c r="AJ752" s="3" t="n">
        <v>1</v>
      </c>
      <c r="AK752" s="3" t="n">
        <v>1</v>
      </c>
      <c r="AL752" s="3" t="n">
        <v>2</v>
      </c>
      <c r="AM752" s="3" t="n">
        <v>1</v>
      </c>
      <c r="AN752" s="3" t="n">
        <v>2</v>
      </c>
      <c r="AO752" s="3" t="n">
        <v>2</v>
      </c>
      <c r="AP752" s="3" t="n">
        <v>3</v>
      </c>
      <c r="AQ752" s="3" t="n">
        <v>4</v>
      </c>
      <c r="AR752" s="3" t="n">
        <v>4</v>
      </c>
      <c r="AS752" s="3" t="n">
        <v>6</v>
      </c>
      <c r="AT752" s="3" t="n">
        <v>4</v>
      </c>
      <c r="AU752" s="3" t="n">
        <v>4</v>
      </c>
      <c r="AV752" s="3" t="n">
        <v>6</v>
      </c>
      <c r="AW752" s="3" t="n">
        <v>6</v>
      </c>
      <c r="AX752" s="3" t="n">
        <v>3</v>
      </c>
      <c r="AY752" s="3" t="n">
        <v>3</v>
      </c>
      <c r="AZ752" s="3" t="n">
        <v>1</v>
      </c>
      <c r="BA752" s="5" t="n">
        <v>1</v>
      </c>
      <c r="BB752" s="3" t="n">
        <v>1</v>
      </c>
      <c r="BC752" s="3" t="n">
        <v>1</v>
      </c>
      <c r="BD752" s="3" t="n">
        <v>2</v>
      </c>
      <c r="BE752" s="3" t="n">
        <v>3</v>
      </c>
      <c r="BF752" s="3" t="n">
        <v>5</v>
      </c>
      <c r="BG752" s="3" t="n">
        <v>3</v>
      </c>
      <c r="BH752" s="3" t="n">
        <v>4</v>
      </c>
      <c r="BI752" s="3" t="n">
        <v>1</v>
      </c>
      <c r="BJ752" s="3" t="n">
        <v>1</v>
      </c>
      <c r="BK752" s="6" t="s">
        <v>2042</v>
      </c>
    </row>
    <row r="753" customFormat="false" ht="15" hidden="false" customHeight="true" outlineLevel="0" collapsed="false">
      <c r="B753" s="2" t="s">
        <v>680</v>
      </c>
      <c r="C753" s="2" t="s">
        <v>2043</v>
      </c>
      <c r="D753" s="2" t="s">
        <v>1150</v>
      </c>
      <c r="E753" s="2" t="n">
        <v>193969</v>
      </c>
      <c r="F753" s="15" t="n">
        <v>43891</v>
      </c>
      <c r="G753" s="15" t="n">
        <v>43899</v>
      </c>
      <c r="H753" s="3" t="n">
        <v>8</v>
      </c>
      <c r="I753" s="3" t="n">
        <v>2</v>
      </c>
      <c r="J753" s="3" t="n">
        <v>73</v>
      </c>
      <c r="K753" s="3" t="n">
        <v>1</v>
      </c>
      <c r="L753" s="3" t="n">
        <v>1</v>
      </c>
      <c r="M753" s="3" t="n">
        <v>1</v>
      </c>
      <c r="N753" s="3" t="n">
        <v>2</v>
      </c>
      <c r="O753" s="3" t="n">
        <v>2</v>
      </c>
      <c r="P753" s="3" t="n">
        <v>2</v>
      </c>
      <c r="Q753" s="3" t="n">
        <v>2</v>
      </c>
      <c r="R753" s="3" t="n">
        <v>2</v>
      </c>
      <c r="S753" s="3" t="n">
        <v>2</v>
      </c>
      <c r="T753" s="4" t="n">
        <v>2</v>
      </c>
      <c r="U753" s="3" t="n">
        <v>2</v>
      </c>
      <c r="V753" s="3" t="n">
        <v>3.48</v>
      </c>
      <c r="W753" s="3" t="n">
        <v>1.48</v>
      </c>
      <c r="X753" s="3" t="n">
        <v>6.58</v>
      </c>
      <c r="Y753" s="3" t="n">
        <v>475</v>
      </c>
      <c r="Z753" s="3" t="n">
        <v>91</v>
      </c>
      <c r="AA753" s="3" t="n">
        <v>0.35</v>
      </c>
      <c r="AB753" s="3" t="n">
        <v>12</v>
      </c>
      <c r="AC753" s="3" t="n">
        <v>1</v>
      </c>
      <c r="AD753" s="3" t="n">
        <v>2</v>
      </c>
      <c r="AE753" s="3" t="n">
        <v>1</v>
      </c>
      <c r="AF753" s="3" t="n">
        <v>1</v>
      </c>
      <c r="AG753" s="3" t="n">
        <v>2</v>
      </c>
      <c r="AH753" s="3" t="n">
        <v>2</v>
      </c>
      <c r="AI753" s="3" t="n">
        <v>1</v>
      </c>
      <c r="AJ753" s="3" t="n">
        <v>1</v>
      </c>
      <c r="AK753" s="3" t="n">
        <v>2</v>
      </c>
      <c r="AL753" s="3" t="n">
        <v>2</v>
      </c>
      <c r="AM753" s="3" t="n">
        <v>2</v>
      </c>
      <c r="AN753" s="3" t="n">
        <v>2</v>
      </c>
      <c r="AO753" s="3" t="n">
        <v>2</v>
      </c>
      <c r="AP753" s="3" t="n">
        <v>3</v>
      </c>
      <c r="AQ753" s="3" t="n">
        <v>4</v>
      </c>
      <c r="AR753" s="3" t="n">
        <v>4</v>
      </c>
      <c r="AS753" s="3" t="n">
        <v>6</v>
      </c>
      <c r="AT753" s="3" t="n">
        <v>4</v>
      </c>
      <c r="AU753" s="3" t="n">
        <v>4</v>
      </c>
      <c r="AV753" s="3" t="n">
        <v>6</v>
      </c>
      <c r="AW753" s="3" t="n">
        <v>6</v>
      </c>
      <c r="AX753" s="3" t="n">
        <v>3</v>
      </c>
      <c r="AY753" s="3" t="n">
        <v>3</v>
      </c>
      <c r="AZ753" s="3" t="n">
        <v>1</v>
      </c>
      <c r="BA753" s="5" t="n">
        <v>1</v>
      </c>
      <c r="BB753" s="3" t="n">
        <v>1</v>
      </c>
      <c r="BC753" s="3" t="n">
        <v>1</v>
      </c>
      <c r="BD753" s="3" t="n">
        <v>4</v>
      </c>
      <c r="BE753" s="3" t="n">
        <v>1</v>
      </c>
      <c r="BF753" s="3" t="n">
        <v>2</v>
      </c>
      <c r="BG753" s="3" t="n">
        <v>1</v>
      </c>
      <c r="BH753" s="3" t="n">
        <v>4</v>
      </c>
      <c r="BI753" s="3" t="n">
        <v>1</v>
      </c>
      <c r="BJ753" s="3" t="n">
        <v>1</v>
      </c>
      <c r="BK753" s="6" t="s">
        <v>2044</v>
      </c>
    </row>
    <row r="754" customFormat="false" ht="15" hidden="false" customHeight="true" outlineLevel="0" collapsed="false">
      <c r="B754" s="2" t="s">
        <v>2045</v>
      </c>
      <c r="C754" s="2" t="s">
        <v>898</v>
      </c>
      <c r="D754" s="2" t="s">
        <v>2046</v>
      </c>
      <c r="E754" s="2" t="n">
        <v>193863</v>
      </c>
      <c r="F754" s="15" t="n">
        <v>43890</v>
      </c>
      <c r="G754" s="15" t="n">
        <v>43897</v>
      </c>
      <c r="H754" s="3" t="n">
        <v>8</v>
      </c>
      <c r="I754" s="3" t="n">
        <v>2</v>
      </c>
      <c r="J754" s="3" t="n">
        <v>31</v>
      </c>
      <c r="K754" s="3" t="n">
        <v>2</v>
      </c>
      <c r="L754" s="3" t="n">
        <v>2</v>
      </c>
      <c r="M754" s="3" t="n">
        <v>2</v>
      </c>
      <c r="N754" s="3" t="n">
        <v>2</v>
      </c>
      <c r="O754" s="3" t="n">
        <v>2</v>
      </c>
      <c r="P754" s="3" t="n">
        <v>2</v>
      </c>
      <c r="Q754" s="3" t="n">
        <v>2</v>
      </c>
      <c r="R754" s="3" t="n">
        <v>2</v>
      </c>
      <c r="S754" s="3" t="n">
        <v>2</v>
      </c>
      <c r="T754" s="4" t="n">
        <v>2</v>
      </c>
      <c r="U754" s="3" t="n">
        <v>2</v>
      </c>
      <c r="V754" s="3" t="n">
        <v>3.99</v>
      </c>
      <c r="W754" s="3" t="n">
        <v>1.47</v>
      </c>
      <c r="X754" s="3" t="n">
        <v>5.18</v>
      </c>
      <c r="Y754" s="3" t="n">
        <v>315</v>
      </c>
      <c r="Z754" s="3" t="n">
        <v>60</v>
      </c>
      <c r="AA754" s="3" t="n">
        <v>0.5</v>
      </c>
      <c r="AB754" s="3" t="n">
        <v>12.3</v>
      </c>
      <c r="AC754" s="3" t="n">
        <v>1</v>
      </c>
      <c r="AD754" s="3" t="n">
        <v>2</v>
      </c>
      <c r="AE754" s="3" t="n">
        <v>1</v>
      </c>
      <c r="AF754" s="3" t="n">
        <v>1</v>
      </c>
      <c r="AG754" s="3" t="n">
        <v>1</v>
      </c>
      <c r="AH754" s="3" t="n">
        <v>2</v>
      </c>
      <c r="AI754" s="3" t="n">
        <v>1</v>
      </c>
      <c r="AJ754" s="3" t="n">
        <v>2</v>
      </c>
      <c r="AK754" s="3" t="n">
        <v>2</v>
      </c>
      <c r="AL754" s="3" t="n">
        <v>2</v>
      </c>
      <c r="AM754" s="3" t="n">
        <v>2</v>
      </c>
      <c r="AN754" s="3" t="n">
        <v>2</v>
      </c>
      <c r="AO754" s="3" t="n">
        <v>2</v>
      </c>
      <c r="AP754" s="3" t="n">
        <v>2</v>
      </c>
      <c r="AQ754" s="3" t="n">
        <v>2</v>
      </c>
      <c r="AR754" s="3" t="n">
        <v>4</v>
      </c>
      <c r="AS754" s="3" t="n">
        <v>6</v>
      </c>
      <c r="AT754" s="3" t="n">
        <v>4</v>
      </c>
      <c r="AU754" s="3" t="n">
        <v>4</v>
      </c>
      <c r="AV754" s="3" t="n">
        <v>1</v>
      </c>
      <c r="AW754" s="3" t="n">
        <v>6</v>
      </c>
      <c r="AX754" s="3" t="n">
        <v>3</v>
      </c>
      <c r="AY754" s="3" t="n">
        <v>3</v>
      </c>
      <c r="AZ754" s="3" t="n">
        <v>9</v>
      </c>
      <c r="BA754" s="5" t="n">
        <v>1</v>
      </c>
      <c r="BB754" s="3" t="n">
        <v>1</v>
      </c>
      <c r="BC754" s="3" t="n">
        <v>1</v>
      </c>
      <c r="BD754" s="3" t="n">
        <v>4</v>
      </c>
      <c r="BE754" s="3" t="n">
        <v>1</v>
      </c>
      <c r="BF754" s="3" t="n">
        <v>2</v>
      </c>
      <c r="BG754" s="3" t="n">
        <v>1</v>
      </c>
      <c r="BH754" s="3" t="n">
        <v>4</v>
      </c>
      <c r="BI754" s="3" t="n">
        <v>1</v>
      </c>
      <c r="BJ754" s="3" t="n">
        <v>1</v>
      </c>
      <c r="BK754" s="6" t="s">
        <v>2047</v>
      </c>
    </row>
    <row r="755" customFormat="false" ht="15" hidden="false" customHeight="true" outlineLevel="0" collapsed="false">
      <c r="B755" s="2" t="s">
        <v>543</v>
      </c>
      <c r="C755" s="2" t="s">
        <v>386</v>
      </c>
      <c r="D755" s="2" t="s">
        <v>2048</v>
      </c>
      <c r="E755" s="2" t="n">
        <v>193999</v>
      </c>
      <c r="F755" s="15" t="n">
        <v>43893</v>
      </c>
      <c r="G755" s="15" t="n">
        <v>43900</v>
      </c>
      <c r="H755" s="3" t="n">
        <v>7</v>
      </c>
      <c r="I755" s="3" t="n">
        <v>2</v>
      </c>
      <c r="J755" s="3" t="n">
        <v>51</v>
      </c>
      <c r="K755" s="3" t="n">
        <v>2</v>
      </c>
      <c r="L755" s="3" t="n">
        <v>1</v>
      </c>
      <c r="M755" s="3" t="n">
        <v>2</v>
      </c>
      <c r="N755" s="3" t="n">
        <v>2</v>
      </c>
      <c r="O755" s="3" t="n">
        <v>2</v>
      </c>
      <c r="P755" s="3" t="n">
        <v>2</v>
      </c>
      <c r="Q755" s="3" t="n">
        <v>2</v>
      </c>
      <c r="R755" s="3" t="n">
        <v>2</v>
      </c>
      <c r="S755" s="3" t="n">
        <v>2</v>
      </c>
      <c r="T755" s="4" t="n">
        <v>2</v>
      </c>
      <c r="U755" s="3" t="n">
        <v>2</v>
      </c>
      <c r="V755" s="3" t="n">
        <v>5.55</v>
      </c>
      <c r="W755" s="3" t="n">
        <v>1.57</v>
      </c>
      <c r="X755" s="3" t="n">
        <v>7.08</v>
      </c>
      <c r="Y755" s="3" t="n">
        <v>482</v>
      </c>
      <c r="Z755" s="3" t="n">
        <v>77</v>
      </c>
      <c r="AA755" s="3" t="n">
        <v>0.49</v>
      </c>
      <c r="AB755" s="3" t="n">
        <v>9.3</v>
      </c>
      <c r="AC755" s="3" t="n">
        <v>1</v>
      </c>
      <c r="AD755" s="3" t="n">
        <v>2</v>
      </c>
      <c r="AE755" s="3" t="n">
        <v>1</v>
      </c>
      <c r="AF755" s="3" t="n">
        <v>1</v>
      </c>
      <c r="AG755" s="3" t="n">
        <v>2</v>
      </c>
      <c r="AH755" s="3" t="n">
        <v>2</v>
      </c>
      <c r="AI755" s="3" t="n">
        <v>1</v>
      </c>
      <c r="AJ755" s="3" t="n">
        <v>1</v>
      </c>
      <c r="AK755" s="3" t="n">
        <v>2</v>
      </c>
      <c r="AL755" s="3" t="n">
        <v>2</v>
      </c>
      <c r="AM755" s="3" t="n">
        <v>2</v>
      </c>
      <c r="AN755" s="3" t="n">
        <v>2</v>
      </c>
      <c r="AO755" s="3" t="n">
        <v>2</v>
      </c>
      <c r="AP755" s="3" t="n">
        <v>3</v>
      </c>
      <c r="AQ755" s="3" t="n">
        <v>4</v>
      </c>
      <c r="AR755" s="3" t="n">
        <v>4</v>
      </c>
      <c r="AS755" s="3" t="n">
        <v>6</v>
      </c>
      <c r="AT755" s="3" t="n">
        <v>4</v>
      </c>
      <c r="AU755" s="3" t="n">
        <v>4</v>
      </c>
      <c r="AV755" s="3" t="n">
        <v>6</v>
      </c>
      <c r="AW755" s="3" t="n">
        <v>6</v>
      </c>
      <c r="AX755" s="3" t="n">
        <v>3</v>
      </c>
      <c r="AY755" s="3" t="n">
        <v>3</v>
      </c>
      <c r="AZ755" s="3" t="n">
        <v>1</v>
      </c>
      <c r="BA755" s="5" t="n">
        <v>1</v>
      </c>
      <c r="BB755" s="3" t="n">
        <v>1</v>
      </c>
      <c r="BC755" s="3" t="n">
        <v>1</v>
      </c>
      <c r="BD755" s="3" t="n">
        <v>4</v>
      </c>
      <c r="BE755" s="3" t="n">
        <v>1</v>
      </c>
      <c r="BF755" s="3" t="n">
        <v>2</v>
      </c>
      <c r="BG755" s="3" t="n">
        <v>1</v>
      </c>
      <c r="BH755" s="3" t="n">
        <v>4</v>
      </c>
      <c r="BI755" s="3" t="n">
        <v>1</v>
      </c>
      <c r="BJ755" s="3" t="n">
        <v>1</v>
      </c>
      <c r="BK755" s="6" t="s">
        <v>2049</v>
      </c>
    </row>
    <row r="756" customFormat="false" ht="15" hidden="false" customHeight="true" outlineLevel="0" collapsed="false">
      <c r="B756" s="2" t="s">
        <v>680</v>
      </c>
      <c r="C756" s="2" t="s">
        <v>879</v>
      </c>
      <c r="D756" s="2" t="s">
        <v>2050</v>
      </c>
      <c r="E756" s="2" t="n">
        <v>193985</v>
      </c>
      <c r="F756" s="15" t="n">
        <v>43891</v>
      </c>
      <c r="G756" s="15" t="n">
        <v>43897</v>
      </c>
      <c r="H756" s="3" t="n">
        <v>6</v>
      </c>
      <c r="I756" s="3" t="n">
        <v>2</v>
      </c>
      <c r="J756" s="3" t="n">
        <v>78</v>
      </c>
      <c r="K756" s="3" t="n">
        <v>1</v>
      </c>
      <c r="L756" s="3" t="n">
        <v>2</v>
      </c>
      <c r="M756" s="3" t="n">
        <v>1</v>
      </c>
      <c r="N756" s="3" t="n">
        <v>2</v>
      </c>
      <c r="O756" s="3" t="n">
        <v>2</v>
      </c>
      <c r="P756" s="3" t="n">
        <v>2</v>
      </c>
      <c r="Q756" s="3" t="n">
        <v>2</v>
      </c>
      <c r="R756" s="3" t="n">
        <v>2</v>
      </c>
      <c r="S756" s="3" t="n">
        <v>1</v>
      </c>
      <c r="T756" s="4" t="n">
        <v>2</v>
      </c>
      <c r="U756" s="3" t="n">
        <v>2</v>
      </c>
      <c r="V756" s="3" t="n">
        <v>5.15</v>
      </c>
      <c r="W756" s="3" t="n">
        <v>0.48</v>
      </c>
      <c r="X756" s="3" t="n">
        <v>6.02</v>
      </c>
      <c r="Y756" s="3" t="n">
        <v>428</v>
      </c>
      <c r="Z756" s="3" t="n">
        <v>107</v>
      </c>
      <c r="AA756" s="3" t="n">
        <v>0.42</v>
      </c>
      <c r="AB756" s="3" t="n">
        <v>7.9</v>
      </c>
      <c r="AC756" s="3" t="n">
        <v>1</v>
      </c>
      <c r="AD756" s="3" t="n">
        <v>2</v>
      </c>
      <c r="AE756" s="3" t="n">
        <v>1</v>
      </c>
      <c r="AF756" s="3" t="n">
        <v>1</v>
      </c>
      <c r="AG756" s="3" t="n">
        <v>2</v>
      </c>
      <c r="AH756" s="3" t="n">
        <v>2</v>
      </c>
      <c r="AI756" s="3" t="n">
        <v>1</v>
      </c>
      <c r="AJ756" s="3" t="n">
        <v>1</v>
      </c>
      <c r="AK756" s="3" t="n">
        <v>2</v>
      </c>
      <c r="AL756" s="3" t="n">
        <v>2</v>
      </c>
      <c r="AM756" s="3" t="n">
        <v>1</v>
      </c>
      <c r="AN756" s="3" t="n">
        <v>2</v>
      </c>
      <c r="AO756" s="3" t="n">
        <v>2</v>
      </c>
      <c r="AP756" s="3" t="n">
        <v>3</v>
      </c>
      <c r="AQ756" s="3" t="n">
        <v>4</v>
      </c>
      <c r="AR756" s="3" t="n">
        <v>4</v>
      </c>
      <c r="AS756" s="3" t="n">
        <v>6</v>
      </c>
      <c r="AT756" s="3" t="n">
        <v>4</v>
      </c>
      <c r="AU756" s="3" t="n">
        <v>4</v>
      </c>
      <c r="AV756" s="3" t="n">
        <v>6</v>
      </c>
      <c r="AW756" s="3" t="n">
        <v>6</v>
      </c>
      <c r="AX756" s="3" t="n">
        <v>3</v>
      </c>
      <c r="AY756" s="3" t="n">
        <v>3</v>
      </c>
      <c r="AZ756" s="3" t="n">
        <v>1</v>
      </c>
      <c r="BA756" s="5" t="n">
        <v>1</v>
      </c>
      <c r="BB756" s="3" t="n">
        <v>1</v>
      </c>
      <c r="BC756" s="3" t="n">
        <v>1</v>
      </c>
      <c r="BD756" s="3" t="n">
        <v>2</v>
      </c>
      <c r="BE756" s="3" t="n">
        <v>1</v>
      </c>
      <c r="BF756" s="3" t="n">
        <v>2</v>
      </c>
      <c r="BG756" s="3" t="n">
        <v>1</v>
      </c>
      <c r="BH756" s="3" t="n">
        <v>4</v>
      </c>
      <c r="BI756" s="3" t="n">
        <v>1</v>
      </c>
      <c r="BJ756" s="3" t="n">
        <v>1</v>
      </c>
      <c r="BK756" s="6" t="s">
        <v>2051</v>
      </c>
    </row>
    <row r="757" customFormat="false" ht="15" hidden="false" customHeight="true" outlineLevel="0" collapsed="false">
      <c r="B757" s="2" t="s">
        <v>2052</v>
      </c>
      <c r="C757" s="2" t="s">
        <v>78</v>
      </c>
      <c r="D757" s="2" t="s">
        <v>2006</v>
      </c>
      <c r="E757" s="2" t="n">
        <v>194357</v>
      </c>
      <c r="F757" s="15" t="n">
        <v>43898</v>
      </c>
      <c r="G757" s="15" t="n">
        <v>43899</v>
      </c>
      <c r="H757" s="3" t="n">
        <v>1</v>
      </c>
      <c r="I757" s="3" t="n">
        <v>1</v>
      </c>
      <c r="J757" s="3" t="n">
        <v>65</v>
      </c>
      <c r="K757" s="3" t="n">
        <v>1</v>
      </c>
      <c r="L757" s="3" t="n">
        <v>1</v>
      </c>
      <c r="M757" s="3" t="n">
        <v>1</v>
      </c>
      <c r="N757" s="3" t="n">
        <v>1</v>
      </c>
      <c r="O757" s="3" t="n">
        <v>2</v>
      </c>
      <c r="P757" s="3" t="n">
        <v>2</v>
      </c>
      <c r="Q757" s="3" t="n">
        <v>2</v>
      </c>
      <c r="R757" s="3" t="n">
        <v>2</v>
      </c>
      <c r="S757" s="3" t="n">
        <v>2</v>
      </c>
      <c r="T757" s="4" t="n">
        <v>1</v>
      </c>
      <c r="U757" s="3" t="n">
        <v>1</v>
      </c>
      <c r="V757" s="3" t="n">
        <v>3.53</v>
      </c>
      <c r="W757" s="3" t="n">
        <v>2.12</v>
      </c>
      <c r="X757" s="3" t="n">
        <v>6.47</v>
      </c>
      <c r="Y757" s="3" t="n">
        <v>454</v>
      </c>
      <c r="Z757" s="3" t="n">
        <v>58</v>
      </c>
      <c r="AA757" s="3" t="n">
        <v>0.47</v>
      </c>
      <c r="AB757" s="3" t="n">
        <v>8.3</v>
      </c>
      <c r="AC757" s="3" t="n">
        <v>3</v>
      </c>
      <c r="AD757" s="3" t="n">
        <v>1</v>
      </c>
      <c r="AE757" s="3" t="n">
        <v>1</v>
      </c>
      <c r="AF757" s="3" t="n">
        <v>1</v>
      </c>
      <c r="AG757" s="3" t="n">
        <v>1</v>
      </c>
      <c r="AH757" s="3" t="n">
        <v>2</v>
      </c>
      <c r="AI757" s="3" t="n">
        <v>1</v>
      </c>
      <c r="AJ757" s="3" t="n">
        <v>1</v>
      </c>
      <c r="AK757" s="3" t="n">
        <v>2</v>
      </c>
      <c r="AL757" s="3" t="n">
        <v>2</v>
      </c>
      <c r="AM757" s="3" t="n">
        <v>1</v>
      </c>
      <c r="AN757" s="3" t="n">
        <v>2</v>
      </c>
      <c r="AO757" s="3" t="n">
        <v>2</v>
      </c>
      <c r="AP757" s="3" t="n">
        <v>3</v>
      </c>
      <c r="AQ757" s="3" t="n">
        <v>4</v>
      </c>
      <c r="AR757" s="3" t="n">
        <v>4</v>
      </c>
      <c r="AS757" s="3" t="n">
        <v>6</v>
      </c>
      <c r="AT757" s="3" t="n">
        <v>4</v>
      </c>
      <c r="AU757" s="3" t="n">
        <v>4</v>
      </c>
      <c r="AV757" s="3" t="n">
        <v>6</v>
      </c>
      <c r="AW757" s="3" t="n">
        <v>6</v>
      </c>
      <c r="AX757" s="3" t="n">
        <v>3</v>
      </c>
      <c r="AY757" s="3" t="n">
        <v>3</v>
      </c>
      <c r="AZ757" s="3" t="n">
        <v>1</v>
      </c>
      <c r="BA757" s="5" t="n">
        <v>5</v>
      </c>
      <c r="BB757" s="3" t="n">
        <v>2</v>
      </c>
      <c r="BC757" s="3" t="n">
        <v>1</v>
      </c>
      <c r="BD757" s="3" t="n">
        <v>6</v>
      </c>
      <c r="BE757" s="3" t="n">
        <v>3</v>
      </c>
      <c r="BF757" s="3" t="n">
        <v>5</v>
      </c>
      <c r="BG757" s="3" t="n">
        <v>3</v>
      </c>
      <c r="BH757" s="3" t="n">
        <v>4</v>
      </c>
      <c r="BI757" s="3" t="n">
        <v>1</v>
      </c>
      <c r="BJ757" s="3" t="n">
        <v>1</v>
      </c>
      <c r="BK757" s="6" t="s">
        <v>2053</v>
      </c>
    </row>
    <row r="758" customFormat="false" ht="15" hidden="false" customHeight="true" outlineLevel="0" collapsed="false">
      <c r="B758" s="2" t="s">
        <v>1620</v>
      </c>
      <c r="C758" s="2" t="s">
        <v>639</v>
      </c>
      <c r="D758" s="2" t="s">
        <v>349</v>
      </c>
      <c r="E758" s="2" t="n">
        <v>194309</v>
      </c>
      <c r="F758" s="15" t="n">
        <v>43895</v>
      </c>
      <c r="G758" s="15" t="n">
        <v>43900</v>
      </c>
      <c r="H758" s="3" t="n">
        <v>5</v>
      </c>
      <c r="I758" s="3" t="n">
        <v>2</v>
      </c>
      <c r="J758" s="3" t="n">
        <v>55</v>
      </c>
      <c r="K758" s="3" t="n">
        <v>1</v>
      </c>
      <c r="L758" s="3" t="n">
        <v>1</v>
      </c>
      <c r="M758" s="3" t="n">
        <v>1</v>
      </c>
      <c r="N758" s="3" t="n">
        <v>2</v>
      </c>
      <c r="O758" s="3" t="n">
        <v>2</v>
      </c>
      <c r="P758" s="3" t="n">
        <v>2</v>
      </c>
      <c r="Q758" s="3" t="n">
        <v>2</v>
      </c>
      <c r="R758" s="3" t="n">
        <v>2</v>
      </c>
      <c r="S758" s="3" t="n">
        <v>1</v>
      </c>
      <c r="T758" s="4" t="n">
        <v>2</v>
      </c>
      <c r="U758" s="3" t="n">
        <v>2</v>
      </c>
      <c r="V758" s="3" t="n">
        <v>4.44</v>
      </c>
      <c r="W758" s="3" t="n">
        <v>1.66</v>
      </c>
      <c r="X758" s="3" t="n">
        <v>7.44</v>
      </c>
      <c r="Y758" s="3" t="n">
        <v>440</v>
      </c>
      <c r="Z758" s="3" t="n">
        <v>96</v>
      </c>
      <c r="AA758" s="3" t="n">
        <v>0.55</v>
      </c>
      <c r="AB758" s="3" t="n">
        <v>10.3</v>
      </c>
      <c r="AC758" s="3" t="n">
        <v>2</v>
      </c>
      <c r="AD758" s="3" t="n">
        <v>1</v>
      </c>
      <c r="AE758" s="3" t="n">
        <v>1</v>
      </c>
      <c r="AF758" s="3" t="n">
        <v>1</v>
      </c>
      <c r="AG758" s="3" t="n">
        <v>2</v>
      </c>
      <c r="AH758" s="3" t="n">
        <v>2</v>
      </c>
      <c r="AI758" s="3" t="n">
        <v>1</v>
      </c>
      <c r="AJ758" s="3" t="n">
        <v>1</v>
      </c>
      <c r="AK758" s="3" t="n">
        <v>2</v>
      </c>
      <c r="AL758" s="3" t="n">
        <v>2</v>
      </c>
      <c r="AM758" s="3" t="n">
        <v>1</v>
      </c>
      <c r="AN758" s="3" t="n">
        <v>2</v>
      </c>
      <c r="AO758" s="3" t="n">
        <v>2</v>
      </c>
      <c r="AP758" s="3" t="n">
        <v>3</v>
      </c>
      <c r="AQ758" s="3" t="n">
        <v>4</v>
      </c>
      <c r="AR758" s="3" t="n">
        <v>4</v>
      </c>
      <c r="AS758" s="3" t="n">
        <v>6</v>
      </c>
      <c r="AT758" s="3" t="n">
        <v>4</v>
      </c>
      <c r="AU758" s="3" t="n">
        <v>4</v>
      </c>
      <c r="AV758" s="3" t="n">
        <v>6</v>
      </c>
      <c r="AW758" s="3" t="n">
        <v>6</v>
      </c>
      <c r="AX758" s="3" t="n">
        <v>3</v>
      </c>
      <c r="AY758" s="3" t="n">
        <v>3</v>
      </c>
      <c r="AZ758" s="3" t="n">
        <v>1</v>
      </c>
      <c r="BA758" s="5" t="n">
        <v>1</v>
      </c>
      <c r="BB758" s="3" t="n">
        <v>1</v>
      </c>
      <c r="BC758" s="3" t="n">
        <v>1</v>
      </c>
      <c r="BD758" s="3" t="n">
        <v>2</v>
      </c>
      <c r="BE758" s="3" t="n">
        <v>3</v>
      </c>
      <c r="BF758" s="3" t="n">
        <v>5</v>
      </c>
      <c r="BG758" s="3" t="n">
        <v>3</v>
      </c>
      <c r="BH758" s="3" t="n">
        <v>4</v>
      </c>
      <c r="BI758" s="3" t="n">
        <v>1</v>
      </c>
      <c r="BJ758" s="3" t="n">
        <v>1</v>
      </c>
      <c r="BK758" s="6" t="s">
        <v>2054</v>
      </c>
    </row>
    <row r="759" customFormat="false" ht="15" hidden="false" customHeight="true" outlineLevel="0" collapsed="false">
      <c r="B759" s="2" t="s">
        <v>2055</v>
      </c>
      <c r="C759" s="2" t="s">
        <v>1734</v>
      </c>
      <c r="D759" s="2" t="s">
        <v>94</v>
      </c>
      <c r="E759" s="2" t="n">
        <v>145423</v>
      </c>
      <c r="F759" s="15" t="n">
        <v>43894</v>
      </c>
      <c r="G759" s="15" t="n">
        <v>43900</v>
      </c>
      <c r="H759" s="3" t="n">
        <v>6</v>
      </c>
      <c r="I759" s="3" t="n">
        <v>1</v>
      </c>
      <c r="J759" s="3" t="n">
        <v>64</v>
      </c>
      <c r="K759" s="3" t="n">
        <v>2</v>
      </c>
      <c r="L759" s="3" t="n">
        <v>1</v>
      </c>
      <c r="M759" s="3" t="n">
        <v>1</v>
      </c>
      <c r="N759" s="3" t="n">
        <v>2</v>
      </c>
      <c r="O759" s="3" t="n">
        <v>2</v>
      </c>
      <c r="P759" s="3" t="n">
        <v>2</v>
      </c>
      <c r="Q759" s="3" t="n">
        <v>2</v>
      </c>
      <c r="R759" s="3" t="n">
        <v>2</v>
      </c>
      <c r="S759" s="3" t="n">
        <v>2</v>
      </c>
      <c r="T759" s="4" t="n">
        <v>1</v>
      </c>
      <c r="U759" s="3" t="n">
        <v>1</v>
      </c>
      <c r="V759" s="3" t="n">
        <v>4.74</v>
      </c>
      <c r="W759" s="3" t="n">
        <v>1.27</v>
      </c>
      <c r="X759" s="3" t="n">
        <v>4.87</v>
      </c>
      <c r="Y759" s="3" t="n">
        <v>215</v>
      </c>
      <c r="Z759" s="3" t="n">
        <v>63</v>
      </c>
      <c r="AA759" s="3" t="n">
        <v>0.4</v>
      </c>
      <c r="AB759" s="3" t="n">
        <v>8.6</v>
      </c>
      <c r="AC759" s="3" t="n">
        <v>1</v>
      </c>
      <c r="AD759" s="3" t="n">
        <v>1</v>
      </c>
      <c r="AE759" s="3" t="n">
        <v>1</v>
      </c>
      <c r="AF759" s="3" t="n">
        <v>1</v>
      </c>
      <c r="AG759" s="3" t="n">
        <v>2</v>
      </c>
      <c r="AH759" s="3" t="n">
        <v>1</v>
      </c>
      <c r="AI759" s="3" t="n">
        <v>1</v>
      </c>
      <c r="AJ759" s="3" t="n">
        <v>2</v>
      </c>
      <c r="AK759" s="3" t="n">
        <v>2</v>
      </c>
      <c r="AL759" s="3" t="n">
        <v>2</v>
      </c>
      <c r="AM759" s="3" t="n">
        <v>1</v>
      </c>
      <c r="AN759" s="3" t="n">
        <v>2</v>
      </c>
      <c r="AO759" s="3" t="n">
        <v>2</v>
      </c>
      <c r="AP759" s="3" t="n">
        <v>3</v>
      </c>
      <c r="AQ759" s="3" t="n">
        <v>4</v>
      </c>
      <c r="AR759" s="3" t="n">
        <v>4</v>
      </c>
      <c r="AS759" s="3" t="n">
        <v>6</v>
      </c>
      <c r="AT759" s="3" t="n">
        <v>4</v>
      </c>
      <c r="AU759" s="3" t="n">
        <v>4</v>
      </c>
      <c r="AV759" s="3" t="n">
        <v>6</v>
      </c>
      <c r="AW759" s="3" t="n">
        <v>6</v>
      </c>
      <c r="AX759" s="3" t="n">
        <v>3</v>
      </c>
      <c r="AY759" s="3" t="n">
        <v>3</v>
      </c>
      <c r="AZ759" s="3" t="n">
        <v>1</v>
      </c>
      <c r="BA759" s="5" t="n">
        <v>5</v>
      </c>
      <c r="BB759" s="3" t="n">
        <v>2</v>
      </c>
      <c r="BC759" s="3" t="n">
        <v>1</v>
      </c>
      <c r="BD759" s="3" t="n">
        <v>6</v>
      </c>
      <c r="BE759" s="3" t="n">
        <v>3</v>
      </c>
      <c r="BF759" s="3" t="n">
        <v>5</v>
      </c>
      <c r="BG759" s="3" t="n">
        <v>3</v>
      </c>
      <c r="BH759" s="3" t="n">
        <v>4</v>
      </c>
      <c r="BI759" s="3" t="n">
        <v>1</v>
      </c>
      <c r="BJ759" s="3" t="n">
        <v>1</v>
      </c>
      <c r="BK759" s="6" t="s">
        <v>2056</v>
      </c>
    </row>
    <row r="760" customFormat="false" ht="15" hidden="false" customHeight="true" outlineLevel="0" collapsed="false">
      <c r="B760" s="2" t="s">
        <v>2057</v>
      </c>
      <c r="C760" s="2" t="s">
        <v>2058</v>
      </c>
      <c r="D760" s="2" t="s">
        <v>413</v>
      </c>
      <c r="E760" s="2" t="n">
        <v>194438</v>
      </c>
      <c r="F760" s="15" t="n">
        <v>43895</v>
      </c>
      <c r="G760" s="15" t="n">
        <v>43901</v>
      </c>
      <c r="H760" s="3" t="n">
        <v>6</v>
      </c>
      <c r="I760" s="3" t="n">
        <v>2</v>
      </c>
      <c r="J760" s="3" t="n">
        <v>45</v>
      </c>
      <c r="K760" s="3" t="n">
        <v>1</v>
      </c>
      <c r="L760" s="3" t="n">
        <v>2</v>
      </c>
      <c r="M760" s="3" t="n">
        <v>1</v>
      </c>
      <c r="N760" s="3" t="n">
        <v>2</v>
      </c>
      <c r="O760" s="3" t="n">
        <v>2</v>
      </c>
      <c r="P760" s="3" t="n">
        <v>2</v>
      </c>
      <c r="Q760" s="3" t="n">
        <v>2</v>
      </c>
      <c r="R760" s="3" t="n">
        <v>2</v>
      </c>
      <c r="S760" s="3" t="n">
        <v>2</v>
      </c>
      <c r="T760" s="4" t="n">
        <v>3</v>
      </c>
      <c r="U760" s="3" t="n">
        <v>1</v>
      </c>
      <c r="V760" s="3" t="n">
        <v>3.43</v>
      </c>
      <c r="W760" s="3" t="n">
        <v>0.99</v>
      </c>
      <c r="X760" s="3" t="n">
        <v>5.46</v>
      </c>
      <c r="Y760" s="3" t="n">
        <v>500</v>
      </c>
      <c r="Z760" s="3" t="n">
        <v>85</v>
      </c>
      <c r="AA760" s="3" t="n">
        <v>0.45</v>
      </c>
      <c r="AB760" s="3" t="n">
        <v>9.3</v>
      </c>
      <c r="AC760" s="3" t="n">
        <v>2</v>
      </c>
      <c r="AD760" s="3" t="n">
        <v>2</v>
      </c>
      <c r="AE760" s="3" t="n">
        <v>1</v>
      </c>
      <c r="AF760" s="3" t="n">
        <v>2</v>
      </c>
      <c r="AG760" s="3" t="n">
        <v>1</v>
      </c>
      <c r="AH760" s="3" t="n">
        <v>2</v>
      </c>
      <c r="AI760" s="3" t="n">
        <v>1</v>
      </c>
      <c r="AJ760" s="3" t="n">
        <v>1</v>
      </c>
      <c r="AK760" s="3" t="n">
        <v>2</v>
      </c>
      <c r="AL760" s="3" t="n">
        <v>2</v>
      </c>
      <c r="AM760" s="3" t="n">
        <v>1</v>
      </c>
      <c r="AN760" s="3" t="n">
        <v>2</v>
      </c>
      <c r="AO760" s="3" t="n">
        <v>2</v>
      </c>
      <c r="AP760" s="3" t="n">
        <v>3</v>
      </c>
      <c r="AQ760" s="3" t="n">
        <v>4</v>
      </c>
      <c r="AR760" s="3" t="n">
        <v>4</v>
      </c>
      <c r="AS760" s="3" t="n">
        <v>6</v>
      </c>
      <c r="AT760" s="3" t="n">
        <v>4</v>
      </c>
      <c r="AU760" s="3" t="n">
        <v>4</v>
      </c>
      <c r="AV760" s="3" t="n">
        <v>6</v>
      </c>
      <c r="AW760" s="3" t="n">
        <v>6</v>
      </c>
      <c r="AX760" s="3" t="n">
        <v>3</v>
      </c>
      <c r="AY760" s="3" t="n">
        <v>3</v>
      </c>
      <c r="AZ760" s="3" t="n">
        <v>1</v>
      </c>
      <c r="BA760" s="5" t="n">
        <v>11</v>
      </c>
      <c r="BB760" s="3" t="n">
        <v>2</v>
      </c>
      <c r="BC760" s="3" t="n">
        <v>1</v>
      </c>
      <c r="BD760" s="3" t="n">
        <v>6</v>
      </c>
      <c r="BE760" s="3" t="n">
        <v>3</v>
      </c>
      <c r="BF760" s="3" t="n">
        <v>5</v>
      </c>
      <c r="BG760" s="3" t="n">
        <v>3</v>
      </c>
      <c r="BH760" s="3" t="n">
        <v>4</v>
      </c>
      <c r="BI760" s="3" t="n">
        <v>1</v>
      </c>
      <c r="BJ760" s="3" t="n">
        <v>1</v>
      </c>
      <c r="BK760" s="6" t="s">
        <v>2059</v>
      </c>
    </row>
    <row r="761" customFormat="false" ht="15" hidden="false" customHeight="true" outlineLevel="0" collapsed="false">
      <c r="B761" s="2" t="s">
        <v>85</v>
      </c>
      <c r="C761" s="2" t="s">
        <v>94</v>
      </c>
      <c r="D761" s="2" t="s">
        <v>549</v>
      </c>
      <c r="E761" s="2" t="n">
        <v>194359</v>
      </c>
      <c r="F761" s="15" t="n">
        <v>43898</v>
      </c>
      <c r="G761" s="15" t="n">
        <v>43904</v>
      </c>
      <c r="H761" s="3" t="n">
        <v>6</v>
      </c>
      <c r="I761" s="3" t="n">
        <v>1</v>
      </c>
      <c r="J761" s="3" t="n">
        <v>72</v>
      </c>
      <c r="K761" s="3" t="n">
        <v>1</v>
      </c>
      <c r="L761" s="3" t="n">
        <v>1</v>
      </c>
      <c r="M761" s="3" t="n">
        <v>2</v>
      </c>
      <c r="N761" s="3" t="n">
        <v>2</v>
      </c>
      <c r="O761" s="3" t="n">
        <v>2</v>
      </c>
      <c r="P761" s="3" t="n">
        <v>2</v>
      </c>
      <c r="Q761" s="3" t="n">
        <v>2</v>
      </c>
      <c r="R761" s="3" t="n">
        <v>2</v>
      </c>
      <c r="S761" s="3" t="n">
        <v>2</v>
      </c>
      <c r="T761" s="4" t="n">
        <v>2</v>
      </c>
      <c r="U761" s="3" t="n">
        <v>2</v>
      </c>
      <c r="V761" s="3" t="n">
        <v>6.22</v>
      </c>
      <c r="W761" s="3" t="n">
        <v>2.22</v>
      </c>
      <c r="X761" s="3" t="n">
        <v>5.4</v>
      </c>
      <c r="Y761" s="3" t="n">
        <v>416</v>
      </c>
      <c r="Z761" s="3" t="n">
        <v>65</v>
      </c>
      <c r="AA761" s="3" t="n">
        <v>0.39</v>
      </c>
      <c r="AB761" s="3" t="n">
        <v>10.9</v>
      </c>
      <c r="AC761" s="3" t="n">
        <v>1</v>
      </c>
      <c r="AD761" s="3" t="n">
        <v>2</v>
      </c>
      <c r="AE761" s="3" t="n">
        <v>1</v>
      </c>
      <c r="AF761" s="3" t="n">
        <v>1</v>
      </c>
      <c r="AG761" s="3" t="n">
        <v>2</v>
      </c>
      <c r="AH761" s="3" t="n">
        <v>2</v>
      </c>
      <c r="AI761" s="3" t="n">
        <v>1</v>
      </c>
      <c r="AJ761" s="3" t="n">
        <v>1</v>
      </c>
      <c r="AK761" s="3" t="n">
        <v>2</v>
      </c>
      <c r="AL761" s="3" t="n">
        <v>2</v>
      </c>
      <c r="AM761" s="3" t="n">
        <v>2</v>
      </c>
      <c r="AN761" s="3" t="n">
        <v>2</v>
      </c>
      <c r="AO761" s="3" t="n">
        <v>2</v>
      </c>
      <c r="AP761" s="3" t="n">
        <v>3</v>
      </c>
      <c r="AQ761" s="3" t="n">
        <v>4</v>
      </c>
      <c r="AR761" s="3" t="n">
        <v>4</v>
      </c>
      <c r="AS761" s="3" t="n">
        <v>6</v>
      </c>
      <c r="AT761" s="3" t="n">
        <v>4</v>
      </c>
      <c r="AU761" s="3" t="n">
        <v>4</v>
      </c>
      <c r="AV761" s="3" t="n">
        <v>6</v>
      </c>
      <c r="AW761" s="3" t="n">
        <v>6</v>
      </c>
      <c r="AX761" s="3" t="n">
        <v>3</v>
      </c>
      <c r="AY761" s="3" t="n">
        <v>3</v>
      </c>
      <c r="AZ761" s="3" t="n">
        <v>1</v>
      </c>
      <c r="BA761" s="5" t="n">
        <v>1</v>
      </c>
      <c r="BB761" s="3" t="n">
        <v>1</v>
      </c>
      <c r="BC761" s="3" t="n">
        <v>1</v>
      </c>
      <c r="BD761" s="3" t="n">
        <v>4</v>
      </c>
      <c r="BE761" s="3" t="n">
        <v>1</v>
      </c>
      <c r="BF761" s="3" t="n">
        <v>2</v>
      </c>
      <c r="BG761" s="3" t="n">
        <v>1</v>
      </c>
      <c r="BH761" s="3" t="n">
        <v>4</v>
      </c>
      <c r="BI761" s="3" t="n">
        <v>1</v>
      </c>
      <c r="BJ761" s="3" t="n">
        <v>1</v>
      </c>
      <c r="BK761" s="6" t="s">
        <v>2060</v>
      </c>
    </row>
    <row r="762" customFormat="false" ht="15" hidden="false" customHeight="true" outlineLevel="0" collapsed="false">
      <c r="B762" s="2" t="s">
        <v>2061</v>
      </c>
      <c r="C762" s="2" t="s">
        <v>462</v>
      </c>
      <c r="D762" s="2" t="s">
        <v>95</v>
      </c>
      <c r="F762" s="15" t="n">
        <v>43902</v>
      </c>
      <c r="G762" s="15" t="n">
        <v>43907</v>
      </c>
      <c r="H762" s="3" t="n">
        <v>5</v>
      </c>
      <c r="I762" s="3" t="n">
        <v>1</v>
      </c>
      <c r="J762" s="3" t="n">
        <v>64</v>
      </c>
      <c r="K762" s="3" t="n">
        <v>1</v>
      </c>
      <c r="L762" s="3" t="n">
        <v>2</v>
      </c>
      <c r="M762" s="3" t="n">
        <v>1</v>
      </c>
      <c r="N762" s="3" t="n">
        <v>2</v>
      </c>
      <c r="O762" s="3" t="n">
        <v>1</v>
      </c>
      <c r="P762" s="3" t="n">
        <v>1</v>
      </c>
      <c r="Q762" s="3" t="n">
        <v>1</v>
      </c>
      <c r="R762" s="3" t="n">
        <v>1</v>
      </c>
      <c r="S762" s="3" t="n">
        <v>1</v>
      </c>
      <c r="T762" s="4" t="n">
        <v>1</v>
      </c>
      <c r="U762" s="3" t="n">
        <v>1</v>
      </c>
      <c r="AC762" s="3" t="n">
        <v>1</v>
      </c>
      <c r="AD762" s="3" t="n">
        <v>1</v>
      </c>
      <c r="AE762" s="3" t="n">
        <v>1</v>
      </c>
      <c r="AF762" s="3" t="n">
        <v>1</v>
      </c>
      <c r="AG762" s="3" t="n">
        <v>2</v>
      </c>
      <c r="AH762" s="3" t="n">
        <v>2</v>
      </c>
      <c r="AI762" s="3" t="n">
        <v>1</v>
      </c>
      <c r="AJ762" s="3" t="n">
        <v>1</v>
      </c>
      <c r="AK762" s="3" t="n">
        <v>1</v>
      </c>
      <c r="AL762" s="3" t="n">
        <v>2</v>
      </c>
      <c r="AM762" s="3" t="n">
        <v>1</v>
      </c>
      <c r="AN762" s="3" t="n">
        <v>2</v>
      </c>
      <c r="AO762" s="3" t="n">
        <v>2</v>
      </c>
      <c r="AP762" s="3" t="n">
        <v>3</v>
      </c>
      <c r="AQ762" s="3" t="n">
        <v>4</v>
      </c>
      <c r="AR762" s="3" t="n">
        <v>4</v>
      </c>
      <c r="AS762" s="3" t="n">
        <v>6</v>
      </c>
      <c r="AT762" s="3" t="n">
        <v>4</v>
      </c>
      <c r="AU762" s="3" t="n">
        <v>4</v>
      </c>
      <c r="AV762" s="3" t="n">
        <v>6</v>
      </c>
      <c r="AW762" s="3" t="n">
        <v>6</v>
      </c>
      <c r="AX762" s="3" t="n">
        <v>3</v>
      </c>
      <c r="AY762" s="3" t="n">
        <v>3</v>
      </c>
      <c r="AZ762" s="3" t="n">
        <v>1</v>
      </c>
      <c r="BA762" s="5" t="n">
        <v>5</v>
      </c>
      <c r="BB762" s="3" t="n">
        <v>2</v>
      </c>
      <c r="BC762" s="3" t="n">
        <v>1</v>
      </c>
      <c r="BD762" s="3" t="n">
        <v>6</v>
      </c>
      <c r="BE762" s="3" t="n">
        <v>3</v>
      </c>
      <c r="BF762" s="3" t="n">
        <v>5</v>
      </c>
      <c r="BG762" s="3" t="n">
        <v>3</v>
      </c>
      <c r="BH762" s="3" t="n">
        <v>4</v>
      </c>
      <c r="BI762" s="3" t="n">
        <v>1</v>
      </c>
      <c r="BJ762" s="3" t="n">
        <v>1</v>
      </c>
      <c r="BK762" s="6" t="s">
        <v>2062</v>
      </c>
    </row>
    <row r="763" customFormat="false" ht="15" hidden="false" customHeight="true" outlineLevel="0" collapsed="false">
      <c r="B763" s="2" t="s">
        <v>894</v>
      </c>
      <c r="C763" s="2" t="s">
        <v>95</v>
      </c>
      <c r="D763" s="2" t="s">
        <v>153</v>
      </c>
      <c r="E763" s="2" t="n">
        <v>195299</v>
      </c>
      <c r="F763" s="15" t="n">
        <v>43907</v>
      </c>
      <c r="G763" s="15" t="n">
        <v>43910</v>
      </c>
      <c r="H763" s="3" t="n">
        <v>3</v>
      </c>
      <c r="I763" s="3" t="n">
        <v>2</v>
      </c>
      <c r="J763" s="3" t="n">
        <v>70</v>
      </c>
      <c r="K763" s="3" t="n">
        <v>2</v>
      </c>
      <c r="L763" s="3" t="n">
        <v>1</v>
      </c>
      <c r="M763" s="3" t="n">
        <v>2</v>
      </c>
      <c r="N763" s="3" t="n">
        <v>2</v>
      </c>
      <c r="O763" s="3" t="n">
        <v>2</v>
      </c>
      <c r="P763" s="3" t="n">
        <v>2</v>
      </c>
      <c r="Q763" s="3" t="n">
        <v>2</v>
      </c>
      <c r="R763" s="3" t="n">
        <v>2</v>
      </c>
      <c r="S763" s="3" t="n">
        <v>2</v>
      </c>
      <c r="T763" s="4" t="n">
        <v>3</v>
      </c>
      <c r="U763" s="3" t="n">
        <v>4</v>
      </c>
      <c r="V763" s="3" t="n">
        <v>2.78</v>
      </c>
      <c r="W763" s="3" t="n">
        <v>1.11</v>
      </c>
      <c r="X763" s="3" t="n">
        <v>5.65</v>
      </c>
      <c r="Y763" s="3" t="n">
        <v>677</v>
      </c>
      <c r="Z763" s="3" t="n">
        <v>72</v>
      </c>
      <c r="AA763" s="3" t="n">
        <v>0.52</v>
      </c>
      <c r="AB763" s="3" t="n">
        <v>12</v>
      </c>
      <c r="AC763" s="3" t="n">
        <v>2</v>
      </c>
      <c r="AD763" s="3" t="n">
        <v>2</v>
      </c>
      <c r="AE763" s="3" t="n">
        <v>1</v>
      </c>
      <c r="AF763" s="3" t="n">
        <v>1</v>
      </c>
      <c r="AG763" s="3" t="n">
        <v>2</v>
      </c>
      <c r="AH763" s="3" t="n">
        <v>2</v>
      </c>
      <c r="AI763" s="3" t="n">
        <v>1</v>
      </c>
      <c r="AJ763" s="3" t="n">
        <v>2</v>
      </c>
      <c r="AK763" s="3" t="n">
        <v>2</v>
      </c>
      <c r="AL763" s="3" t="n">
        <v>2</v>
      </c>
      <c r="AM763" s="3" t="n">
        <v>1</v>
      </c>
      <c r="AN763" s="3" t="n">
        <v>2</v>
      </c>
      <c r="AO763" s="3" t="n">
        <v>1</v>
      </c>
      <c r="AP763" s="3" t="n">
        <v>3</v>
      </c>
      <c r="AQ763" s="3" t="n">
        <v>4</v>
      </c>
      <c r="AR763" s="3" t="n">
        <v>4</v>
      </c>
      <c r="AS763" s="3" t="n">
        <v>6</v>
      </c>
      <c r="AT763" s="3" t="n">
        <v>4</v>
      </c>
      <c r="AU763" s="3" t="n">
        <v>4</v>
      </c>
      <c r="AV763" s="3" t="n">
        <v>6</v>
      </c>
      <c r="AW763" s="3" t="n">
        <v>6</v>
      </c>
      <c r="AX763" s="3" t="n">
        <v>3</v>
      </c>
      <c r="AY763" s="3" t="n">
        <v>3</v>
      </c>
      <c r="AZ763" s="3" t="n">
        <v>1</v>
      </c>
      <c r="BA763" s="5" t="n">
        <v>11</v>
      </c>
      <c r="BB763" s="3" t="n">
        <v>2</v>
      </c>
      <c r="BC763" s="3" t="n">
        <v>1</v>
      </c>
      <c r="BD763" s="3" t="n">
        <v>6</v>
      </c>
      <c r="BE763" s="3" t="n">
        <v>3</v>
      </c>
      <c r="BF763" s="3" t="n">
        <v>5</v>
      </c>
      <c r="BG763" s="3" t="n">
        <v>3</v>
      </c>
      <c r="BH763" s="3" t="n">
        <v>4</v>
      </c>
      <c r="BI763" s="3" t="n">
        <v>1</v>
      </c>
      <c r="BJ763" s="3" t="n">
        <v>1</v>
      </c>
      <c r="BK763" s="6" t="s">
        <v>2063</v>
      </c>
    </row>
    <row r="764" customFormat="false" ht="15" hidden="false" customHeight="true" outlineLevel="0" collapsed="false">
      <c r="B764" s="2" t="s">
        <v>339</v>
      </c>
      <c r="C764" s="2" t="s">
        <v>2006</v>
      </c>
      <c r="D764" s="2" t="s">
        <v>2041</v>
      </c>
      <c r="E764" s="2" t="n">
        <v>195207</v>
      </c>
      <c r="F764" s="15" t="n">
        <v>43903</v>
      </c>
      <c r="G764" s="15" t="n">
        <v>43910</v>
      </c>
      <c r="H764" s="3" t="n">
        <v>7</v>
      </c>
      <c r="I764" s="3" t="n">
        <v>1</v>
      </c>
      <c r="J764" s="3" t="n">
        <v>64</v>
      </c>
      <c r="K764" s="3" t="n">
        <v>1</v>
      </c>
      <c r="L764" s="3" t="n">
        <v>1</v>
      </c>
      <c r="M764" s="3" t="n">
        <v>1</v>
      </c>
      <c r="N764" s="3" t="n">
        <v>2</v>
      </c>
      <c r="O764" s="3" t="n">
        <v>2</v>
      </c>
      <c r="P764" s="3" t="n">
        <v>2</v>
      </c>
      <c r="Q764" s="3" t="n">
        <v>2</v>
      </c>
      <c r="R764" s="3" t="n">
        <v>2</v>
      </c>
      <c r="S764" s="3" t="n">
        <v>2</v>
      </c>
      <c r="T764" s="4" t="n">
        <v>1</v>
      </c>
      <c r="U764" s="3" t="n">
        <v>1</v>
      </c>
      <c r="V764" s="3" t="n">
        <v>6.38</v>
      </c>
      <c r="W764" s="3" t="n">
        <v>1.67</v>
      </c>
      <c r="X764" s="3" t="n">
        <v>7.87</v>
      </c>
      <c r="Y764" s="3" t="n">
        <v>330</v>
      </c>
      <c r="Z764" s="3" t="n">
        <v>63</v>
      </c>
      <c r="AA764" s="3" t="n">
        <v>0.45</v>
      </c>
      <c r="AB764" s="3" t="n">
        <v>10.8</v>
      </c>
      <c r="AC764" s="3" t="n">
        <v>1</v>
      </c>
      <c r="AD764" s="3" t="n">
        <v>1</v>
      </c>
      <c r="AE764" s="3" t="n">
        <v>1</v>
      </c>
      <c r="AF764" s="3" t="n">
        <v>1</v>
      </c>
      <c r="AG764" s="3" t="n">
        <v>2</v>
      </c>
      <c r="AH764" s="3" t="n">
        <v>2</v>
      </c>
      <c r="AI764" s="3" t="n">
        <v>1</v>
      </c>
      <c r="AJ764" s="3" t="n">
        <v>1</v>
      </c>
      <c r="AK764" s="3" t="n">
        <v>2</v>
      </c>
      <c r="AL764" s="3" t="n">
        <v>2</v>
      </c>
      <c r="AM764" s="3" t="n">
        <v>1</v>
      </c>
      <c r="AN764" s="3" t="n">
        <v>2</v>
      </c>
      <c r="AO764" s="3" t="n">
        <v>2</v>
      </c>
      <c r="AP764" s="3" t="n">
        <v>3</v>
      </c>
      <c r="AQ764" s="3" t="n">
        <v>4</v>
      </c>
      <c r="AR764" s="3" t="n">
        <v>4</v>
      </c>
      <c r="AS764" s="3" t="n">
        <v>6</v>
      </c>
      <c r="AT764" s="3" t="n">
        <v>4</v>
      </c>
      <c r="AU764" s="3" t="n">
        <v>4</v>
      </c>
      <c r="AV764" s="3" t="n">
        <v>6</v>
      </c>
      <c r="AW764" s="3" t="n">
        <v>6</v>
      </c>
      <c r="AX764" s="3" t="n">
        <v>3</v>
      </c>
      <c r="AY764" s="3" t="n">
        <v>3</v>
      </c>
      <c r="AZ764" s="3" t="n">
        <v>1</v>
      </c>
      <c r="BA764" s="5" t="n">
        <v>5</v>
      </c>
      <c r="BB764" s="3" t="n">
        <v>2</v>
      </c>
      <c r="BC764" s="3" t="n">
        <v>1</v>
      </c>
      <c r="BD764" s="3" t="n">
        <v>6</v>
      </c>
      <c r="BE764" s="3" t="n">
        <v>3</v>
      </c>
      <c r="BF764" s="3" t="n">
        <v>5</v>
      </c>
      <c r="BG764" s="3" t="n">
        <v>3</v>
      </c>
      <c r="BH764" s="3" t="n">
        <v>4</v>
      </c>
      <c r="BI764" s="3" t="n">
        <v>1</v>
      </c>
      <c r="BJ764" s="3" t="n">
        <v>1</v>
      </c>
      <c r="BK764" s="6" t="s">
        <v>2064</v>
      </c>
    </row>
    <row r="765" customFormat="false" ht="15" hidden="false" customHeight="true" outlineLevel="0" collapsed="false">
      <c r="B765" s="2" t="s">
        <v>1075</v>
      </c>
      <c r="C765" s="2" t="s">
        <v>462</v>
      </c>
      <c r="D765" s="2" t="s">
        <v>462</v>
      </c>
      <c r="E765" s="2" t="n">
        <v>194685</v>
      </c>
      <c r="F765" s="15" t="n">
        <v>43903</v>
      </c>
      <c r="G765" s="15" t="n">
        <v>43910</v>
      </c>
      <c r="H765" s="3" t="n">
        <v>7</v>
      </c>
      <c r="I765" s="3" t="n">
        <v>2</v>
      </c>
      <c r="J765" s="3" t="n">
        <v>69</v>
      </c>
      <c r="K765" s="3" t="n">
        <v>1</v>
      </c>
      <c r="L765" s="3" t="n">
        <v>1</v>
      </c>
      <c r="M765" s="3" t="n">
        <v>1</v>
      </c>
      <c r="N765" s="3" t="n">
        <v>2</v>
      </c>
      <c r="O765" s="3" t="n">
        <v>2</v>
      </c>
      <c r="P765" s="3" t="n">
        <v>2</v>
      </c>
      <c r="Q765" s="3" t="n">
        <v>2</v>
      </c>
      <c r="R765" s="3" t="n">
        <v>2</v>
      </c>
      <c r="S765" s="3" t="n">
        <v>2</v>
      </c>
      <c r="T765" s="4" t="n">
        <v>3</v>
      </c>
      <c r="U765" s="3" t="n">
        <v>1</v>
      </c>
      <c r="V765" s="3" t="n">
        <v>4.6</v>
      </c>
      <c r="W765" s="3" t="n">
        <v>1.08</v>
      </c>
      <c r="X765" s="3" t="n">
        <v>8.24</v>
      </c>
      <c r="Z765" s="3" t="n">
        <v>58</v>
      </c>
      <c r="AA765" s="3" t="n">
        <v>0.52</v>
      </c>
      <c r="AB765" s="3" t="n">
        <v>14.6</v>
      </c>
      <c r="AC765" s="3" t="n">
        <v>1</v>
      </c>
      <c r="AD765" s="3" t="n">
        <v>2</v>
      </c>
      <c r="AE765" s="3" t="n">
        <v>2</v>
      </c>
      <c r="AF765" s="3" t="n">
        <v>2</v>
      </c>
      <c r="AG765" s="3" t="n">
        <v>2</v>
      </c>
      <c r="AH765" s="3" t="n">
        <v>2</v>
      </c>
      <c r="AI765" s="3" t="n">
        <v>2</v>
      </c>
      <c r="AJ765" s="3" t="n">
        <v>2</v>
      </c>
      <c r="AK765" s="3" t="n">
        <v>2</v>
      </c>
      <c r="AL765" s="3" t="n">
        <v>2</v>
      </c>
      <c r="AM765" s="3" t="n">
        <v>1</v>
      </c>
      <c r="AN765" s="3" t="n">
        <v>2</v>
      </c>
      <c r="AO765" s="3" t="n">
        <v>2</v>
      </c>
      <c r="AP765" s="3" t="n">
        <v>3</v>
      </c>
      <c r="AQ765" s="3" t="n">
        <v>4</v>
      </c>
      <c r="AR765" s="3" t="n">
        <v>4</v>
      </c>
      <c r="AS765" s="3" t="n">
        <v>6</v>
      </c>
      <c r="AT765" s="3" t="n">
        <v>4</v>
      </c>
      <c r="AU765" s="3" t="n">
        <v>4</v>
      </c>
      <c r="AV765" s="3" t="n">
        <v>6</v>
      </c>
      <c r="AW765" s="3" t="n">
        <v>6</v>
      </c>
      <c r="AX765" s="3" t="n">
        <v>3</v>
      </c>
      <c r="AY765" s="3" t="n">
        <v>3</v>
      </c>
      <c r="AZ765" s="3" t="n">
        <v>1</v>
      </c>
      <c r="BA765" s="5" t="n">
        <v>3</v>
      </c>
      <c r="BB765" s="3" t="n">
        <v>2</v>
      </c>
      <c r="BC765" s="3" t="n">
        <v>1</v>
      </c>
      <c r="BD765" s="3" t="n">
        <v>6</v>
      </c>
      <c r="BE765" s="3" t="n">
        <v>3</v>
      </c>
      <c r="BF765" s="3" t="n">
        <v>5</v>
      </c>
      <c r="BG765" s="3" t="n">
        <v>3</v>
      </c>
      <c r="BH765" s="3" t="n">
        <v>4</v>
      </c>
      <c r="BI765" s="3" t="n">
        <v>1</v>
      </c>
      <c r="BJ765" s="3" t="n">
        <v>1</v>
      </c>
      <c r="BK765" s="6" t="s">
        <v>2065</v>
      </c>
    </row>
    <row r="766" customFormat="false" ht="15" hidden="false" customHeight="true" outlineLevel="0" collapsed="false">
      <c r="B766" s="2" t="s">
        <v>2066</v>
      </c>
      <c r="C766" s="2" t="s">
        <v>2067</v>
      </c>
      <c r="D766" s="2" t="s">
        <v>2068</v>
      </c>
      <c r="E766" s="2" t="n">
        <v>194697</v>
      </c>
      <c r="F766" s="15" t="n">
        <v>43903</v>
      </c>
      <c r="G766" s="15" t="n">
        <v>43913</v>
      </c>
      <c r="H766" s="3" t="n">
        <v>10</v>
      </c>
      <c r="I766" s="3" t="n">
        <v>2</v>
      </c>
      <c r="J766" s="3" t="n">
        <v>61</v>
      </c>
      <c r="K766" s="3" t="n">
        <v>1</v>
      </c>
      <c r="L766" s="3" t="n">
        <v>2</v>
      </c>
      <c r="M766" s="3" t="n">
        <v>1</v>
      </c>
      <c r="N766" s="3" t="n">
        <v>2</v>
      </c>
      <c r="O766" s="3" t="n">
        <v>2</v>
      </c>
      <c r="P766" s="3" t="n">
        <v>2</v>
      </c>
      <c r="Q766" s="3" t="n">
        <v>2</v>
      </c>
      <c r="R766" s="3" t="n">
        <v>2</v>
      </c>
      <c r="S766" s="3" t="n">
        <v>2</v>
      </c>
      <c r="T766" s="4" t="n">
        <v>1</v>
      </c>
      <c r="U766" s="3" t="n">
        <v>1</v>
      </c>
      <c r="V766" s="3" t="n">
        <v>5.65</v>
      </c>
      <c r="W766" s="3" t="n">
        <v>3.31</v>
      </c>
      <c r="X766" s="3" t="n">
        <v>4.64</v>
      </c>
      <c r="Y766" s="3" t="n">
        <v>347</v>
      </c>
      <c r="Z766" s="3" t="n">
        <v>60</v>
      </c>
      <c r="AA766" s="3" t="n">
        <v>0.45</v>
      </c>
      <c r="AB766" s="3" t="n">
        <v>6.6</v>
      </c>
      <c r="AC766" s="3" t="n">
        <v>1</v>
      </c>
      <c r="AD766" s="3" t="n">
        <v>1</v>
      </c>
      <c r="AE766" s="3" t="n">
        <v>1</v>
      </c>
      <c r="AF766" s="3" t="n">
        <v>1</v>
      </c>
      <c r="AG766" s="3" t="n">
        <v>1</v>
      </c>
      <c r="AH766" s="3" t="n">
        <v>2</v>
      </c>
      <c r="AI766" s="3" t="n">
        <v>1</v>
      </c>
      <c r="AJ766" s="3" t="n">
        <v>1</v>
      </c>
      <c r="AK766" s="3" t="n">
        <v>2</v>
      </c>
      <c r="AL766" s="3" t="n">
        <v>2</v>
      </c>
      <c r="AM766" s="3" t="n">
        <v>2</v>
      </c>
      <c r="AN766" s="3" t="n">
        <v>2</v>
      </c>
      <c r="AO766" s="3" t="n">
        <v>2</v>
      </c>
      <c r="AP766" s="3" t="n">
        <v>3</v>
      </c>
      <c r="AQ766" s="3" t="n">
        <v>4</v>
      </c>
      <c r="AR766" s="3" t="n">
        <v>4</v>
      </c>
      <c r="AS766" s="3" t="n">
        <v>6</v>
      </c>
      <c r="AT766" s="3" t="n">
        <v>4</v>
      </c>
      <c r="AU766" s="3" t="n">
        <v>4</v>
      </c>
      <c r="AV766" s="3" t="n">
        <v>6</v>
      </c>
      <c r="AW766" s="3" t="n">
        <v>6</v>
      </c>
      <c r="AX766" s="3" t="n">
        <v>3</v>
      </c>
      <c r="AY766" s="3" t="n">
        <v>3</v>
      </c>
      <c r="AZ766" s="3" t="n">
        <v>1</v>
      </c>
      <c r="BA766" s="5" t="n">
        <v>5</v>
      </c>
      <c r="BB766" s="3" t="n">
        <v>2</v>
      </c>
      <c r="BC766" s="3" t="n">
        <v>1</v>
      </c>
      <c r="BD766" s="3" t="n">
        <v>6</v>
      </c>
      <c r="BE766" s="3" t="n">
        <v>3</v>
      </c>
      <c r="BF766" s="3" t="n">
        <v>5</v>
      </c>
      <c r="BG766" s="3" t="n">
        <v>3</v>
      </c>
      <c r="BH766" s="3" t="n">
        <v>4</v>
      </c>
      <c r="BI766" s="3" t="n">
        <v>1</v>
      </c>
      <c r="BJ766" s="3" t="n">
        <v>1</v>
      </c>
      <c r="BK766" s="6" t="s">
        <v>2069</v>
      </c>
    </row>
    <row r="767" customFormat="false" ht="15" hidden="false" customHeight="true" outlineLevel="0" collapsed="false">
      <c r="B767" s="2" t="s">
        <v>2070</v>
      </c>
      <c r="C767" s="2" t="s">
        <v>168</v>
      </c>
      <c r="D767" s="2" t="s">
        <v>94</v>
      </c>
      <c r="E767" s="2" t="n">
        <v>195259</v>
      </c>
      <c r="F767" s="15" t="n">
        <v>43906</v>
      </c>
      <c r="G767" s="15" t="n">
        <v>43913</v>
      </c>
      <c r="H767" s="3" t="n">
        <v>7</v>
      </c>
      <c r="I767" s="3" t="n">
        <v>1</v>
      </c>
      <c r="J767" s="3" t="n">
        <v>67</v>
      </c>
      <c r="K767" s="3" t="n">
        <v>2</v>
      </c>
      <c r="L767" s="3" t="n">
        <v>1</v>
      </c>
      <c r="M767" s="3" t="n">
        <v>1</v>
      </c>
      <c r="N767" s="3" t="n">
        <v>2</v>
      </c>
      <c r="O767" s="3" t="n">
        <v>2</v>
      </c>
      <c r="P767" s="3" t="n">
        <v>1</v>
      </c>
      <c r="Q767" s="3" t="n">
        <v>1</v>
      </c>
      <c r="R767" s="3" t="n">
        <v>2</v>
      </c>
      <c r="S767" s="3" t="n">
        <v>2</v>
      </c>
      <c r="T767" s="4" t="n">
        <v>1</v>
      </c>
      <c r="U767" s="3" t="n">
        <v>1</v>
      </c>
      <c r="V767" s="3" t="n">
        <v>4.82</v>
      </c>
      <c r="W767" s="3" t="n">
        <v>5.51</v>
      </c>
      <c r="X767" s="3" t="n">
        <v>19.59</v>
      </c>
      <c r="Y767" s="3" t="n">
        <v>431</v>
      </c>
      <c r="Z767" s="3" t="n">
        <v>84</v>
      </c>
      <c r="AA767" s="3" t="n">
        <v>0.41</v>
      </c>
      <c r="AB767" s="3" t="n">
        <v>8.4</v>
      </c>
      <c r="AC767" s="3" t="n">
        <v>1</v>
      </c>
      <c r="AD767" s="3" t="n">
        <v>1</v>
      </c>
      <c r="AE767" s="3" t="n">
        <v>1</v>
      </c>
      <c r="AF767" s="3" t="n">
        <v>1</v>
      </c>
      <c r="AG767" s="3" t="n">
        <v>1</v>
      </c>
      <c r="AH767" s="3" t="n">
        <v>2</v>
      </c>
      <c r="AI767" s="3" t="n">
        <v>2</v>
      </c>
      <c r="AJ767" s="3" t="n">
        <v>2</v>
      </c>
      <c r="AK767" s="3" t="n">
        <v>1</v>
      </c>
      <c r="AL767" s="3" t="n">
        <v>2</v>
      </c>
      <c r="AM767" s="3" t="n">
        <v>2</v>
      </c>
      <c r="AN767" s="3" t="n">
        <v>2</v>
      </c>
      <c r="AO767" s="3" t="n">
        <v>2</v>
      </c>
      <c r="AP767" s="3" t="n">
        <v>3</v>
      </c>
      <c r="AQ767" s="3" t="n">
        <v>4</v>
      </c>
      <c r="AR767" s="3" t="n">
        <v>4</v>
      </c>
      <c r="AS767" s="3" t="n">
        <v>6</v>
      </c>
      <c r="AT767" s="3" t="n">
        <v>4</v>
      </c>
      <c r="AU767" s="3" t="n">
        <v>4</v>
      </c>
      <c r="AV767" s="3" t="n">
        <v>6</v>
      </c>
      <c r="AW767" s="3" t="n">
        <v>6</v>
      </c>
      <c r="AX767" s="3" t="n">
        <v>3</v>
      </c>
      <c r="AY767" s="3" t="n">
        <v>3</v>
      </c>
      <c r="AZ767" s="3" t="n">
        <v>1</v>
      </c>
      <c r="BA767" s="5" t="n">
        <v>5</v>
      </c>
      <c r="BB767" s="3" t="n">
        <v>2</v>
      </c>
      <c r="BC767" s="3" t="n">
        <v>1</v>
      </c>
      <c r="BD767" s="3" t="n">
        <v>6</v>
      </c>
      <c r="BE767" s="3" t="n">
        <v>3</v>
      </c>
      <c r="BF767" s="3" t="n">
        <v>5</v>
      </c>
      <c r="BG767" s="3" t="n">
        <v>3</v>
      </c>
      <c r="BH767" s="3" t="n">
        <v>4</v>
      </c>
      <c r="BI767" s="3" t="n">
        <v>1</v>
      </c>
      <c r="BJ767" s="3" t="n">
        <v>1</v>
      </c>
      <c r="BK767" s="6" t="s">
        <v>2071</v>
      </c>
    </row>
    <row r="768" customFormat="false" ht="15" hidden="false" customHeight="true" outlineLevel="0" collapsed="false">
      <c r="B768" s="2" t="s">
        <v>159</v>
      </c>
      <c r="C768" s="2" t="s">
        <v>294</v>
      </c>
      <c r="D768" s="2" t="s">
        <v>1642</v>
      </c>
      <c r="E768" s="2" t="n">
        <v>195944</v>
      </c>
      <c r="F768" s="15" t="n">
        <v>43911</v>
      </c>
      <c r="G768" s="15" t="n">
        <v>43917</v>
      </c>
      <c r="H768" s="3" t="n">
        <v>6</v>
      </c>
      <c r="I768" s="3" t="n">
        <v>1</v>
      </c>
      <c r="J768" s="3" t="n">
        <v>87</v>
      </c>
      <c r="K768" s="3" t="n">
        <v>1</v>
      </c>
      <c r="L768" s="3" t="n">
        <v>2</v>
      </c>
      <c r="M768" s="3" t="n">
        <v>1</v>
      </c>
      <c r="N768" s="3" t="n">
        <v>2</v>
      </c>
      <c r="O768" s="3" t="n">
        <v>2</v>
      </c>
      <c r="P768" s="3" t="n">
        <v>2</v>
      </c>
      <c r="Q768" s="3" t="n">
        <v>2</v>
      </c>
      <c r="R768" s="3" t="n">
        <v>2</v>
      </c>
      <c r="S768" s="3" t="n">
        <v>1</v>
      </c>
      <c r="T768" s="4" t="n">
        <v>3</v>
      </c>
      <c r="U768" s="3" t="n">
        <v>1</v>
      </c>
      <c r="V768" s="3" t="n">
        <v>4.37</v>
      </c>
      <c r="W768" s="3" t="n">
        <v>1.47</v>
      </c>
      <c r="X768" s="3" t="n">
        <v>6.92</v>
      </c>
      <c r="Y768" s="3" t="n">
        <v>578</v>
      </c>
      <c r="AA768" s="3" t="n">
        <v>0.4</v>
      </c>
      <c r="AB768" s="3" t="n">
        <v>12.4</v>
      </c>
      <c r="AC768" s="3" t="n">
        <v>1</v>
      </c>
      <c r="AD768" s="3" t="n">
        <v>2</v>
      </c>
      <c r="AE768" s="3" t="n">
        <v>1</v>
      </c>
      <c r="AF768" s="3" t="n">
        <v>1</v>
      </c>
      <c r="AG768" s="3" t="n">
        <v>2</v>
      </c>
      <c r="AH768" s="3" t="n">
        <v>2</v>
      </c>
      <c r="AI768" s="3" t="n">
        <v>1</v>
      </c>
      <c r="AJ768" s="3" t="n">
        <v>1</v>
      </c>
      <c r="AK768" s="3" t="n">
        <v>2</v>
      </c>
      <c r="AL768" s="3" t="n">
        <v>1</v>
      </c>
      <c r="AM768" s="3" t="n">
        <v>1</v>
      </c>
      <c r="AN768" s="3" t="n">
        <v>2</v>
      </c>
      <c r="AO768" s="3" t="n">
        <v>2</v>
      </c>
      <c r="AP768" s="3" t="n">
        <v>3</v>
      </c>
      <c r="AQ768" s="3" t="n">
        <v>4</v>
      </c>
      <c r="AR768" s="3" t="n">
        <v>4</v>
      </c>
      <c r="AS768" s="3" t="n">
        <v>6</v>
      </c>
      <c r="AT768" s="3" t="n">
        <v>4</v>
      </c>
      <c r="AU768" s="3" t="n">
        <v>4</v>
      </c>
      <c r="AV768" s="3" t="n">
        <v>6</v>
      </c>
      <c r="AW768" s="3" t="n">
        <v>6</v>
      </c>
      <c r="AX768" s="3" t="n">
        <v>3</v>
      </c>
      <c r="AY768" s="3" t="n">
        <v>3</v>
      </c>
      <c r="AZ768" s="3" t="n">
        <v>1</v>
      </c>
      <c r="BA768" s="5" t="n">
        <v>11</v>
      </c>
      <c r="BB768" s="3" t="n">
        <v>2</v>
      </c>
      <c r="BC768" s="3" t="n">
        <v>1</v>
      </c>
      <c r="BD768" s="3" t="n">
        <v>6</v>
      </c>
      <c r="BE768" s="3" t="n">
        <v>3</v>
      </c>
      <c r="BF768" s="3" t="n">
        <v>5</v>
      </c>
      <c r="BG768" s="3" t="n">
        <v>3</v>
      </c>
      <c r="BH768" s="3" t="n">
        <v>4</v>
      </c>
      <c r="BI768" s="3" t="n">
        <v>1</v>
      </c>
      <c r="BJ768" s="3" t="n">
        <v>1</v>
      </c>
      <c r="BK768" s="6" t="s">
        <v>2072</v>
      </c>
    </row>
    <row r="769" customFormat="false" ht="15" hidden="false" customHeight="true" outlineLevel="0" collapsed="false">
      <c r="B769" s="2" t="s">
        <v>2073</v>
      </c>
      <c r="C769" s="2" t="s">
        <v>2074</v>
      </c>
      <c r="D769" s="2" t="s">
        <v>95</v>
      </c>
      <c r="E769" s="2" t="n">
        <v>194734</v>
      </c>
      <c r="F769" s="15" t="n">
        <v>43908</v>
      </c>
      <c r="G769" s="15" t="n">
        <v>43920</v>
      </c>
      <c r="H769" s="3" t="n">
        <v>12</v>
      </c>
      <c r="I769" s="3" t="n">
        <v>1</v>
      </c>
      <c r="J769" s="3" t="n">
        <v>55</v>
      </c>
      <c r="K769" s="3" t="n">
        <v>2</v>
      </c>
      <c r="L769" s="3" t="n">
        <v>2</v>
      </c>
      <c r="M769" s="3" t="n">
        <v>1</v>
      </c>
      <c r="N769" s="3" t="n">
        <v>2</v>
      </c>
      <c r="O769" s="3" t="n">
        <v>2</v>
      </c>
      <c r="P769" s="3" t="n">
        <v>2</v>
      </c>
      <c r="Q769" s="3" t="n">
        <v>2</v>
      </c>
      <c r="R769" s="3" t="n">
        <v>2</v>
      </c>
      <c r="S769" s="3" t="n">
        <v>2</v>
      </c>
      <c r="T769" s="4" t="n">
        <v>3</v>
      </c>
      <c r="U769" s="3" t="n">
        <v>1</v>
      </c>
      <c r="V769" s="3" t="n">
        <v>4.1</v>
      </c>
      <c r="W769" s="3" t="n">
        <v>1.4</v>
      </c>
      <c r="X769" s="3" t="n">
        <v>7.37</v>
      </c>
      <c r="Y769" s="3" t="n">
        <v>648</v>
      </c>
      <c r="Z769" s="3" t="n">
        <v>96</v>
      </c>
      <c r="AA769" s="3" t="n">
        <v>0.45</v>
      </c>
      <c r="AB769" s="3" t="n">
        <v>8</v>
      </c>
      <c r="AC769" s="3" t="n">
        <v>1</v>
      </c>
      <c r="AD769" s="3" t="n">
        <v>2</v>
      </c>
      <c r="AE769" s="3" t="n">
        <v>1</v>
      </c>
      <c r="AF769" s="3" t="n">
        <v>2</v>
      </c>
      <c r="AG769" s="3" t="n">
        <v>2</v>
      </c>
      <c r="AH769" s="3" t="n">
        <v>2</v>
      </c>
      <c r="AI769" s="3" t="n">
        <v>2</v>
      </c>
      <c r="AJ769" s="3" t="n">
        <v>2</v>
      </c>
      <c r="AK769" s="3" t="n">
        <v>2</v>
      </c>
      <c r="AL769" s="3" t="n">
        <v>2</v>
      </c>
      <c r="AM769" s="3" t="n">
        <v>2</v>
      </c>
      <c r="AN769" s="3" t="n">
        <v>2</v>
      </c>
      <c r="AO769" s="3" t="n">
        <v>2</v>
      </c>
      <c r="AP769" s="3" t="n">
        <v>3</v>
      </c>
      <c r="AQ769" s="3" t="n">
        <v>4</v>
      </c>
      <c r="AR769" s="3" t="n">
        <v>4</v>
      </c>
      <c r="AS769" s="3" t="n">
        <v>6</v>
      </c>
      <c r="AT769" s="3" t="n">
        <v>4</v>
      </c>
      <c r="AU769" s="3" t="n">
        <v>4</v>
      </c>
      <c r="AV769" s="3" t="n">
        <v>6</v>
      </c>
      <c r="AW769" s="3" t="n">
        <v>6</v>
      </c>
      <c r="AX769" s="3" t="n">
        <v>3</v>
      </c>
      <c r="AY769" s="3" t="n">
        <v>3</v>
      </c>
      <c r="AZ769" s="3" t="n">
        <v>1</v>
      </c>
      <c r="BA769" s="5" t="n">
        <v>7</v>
      </c>
      <c r="BB769" s="3" t="n">
        <v>2</v>
      </c>
      <c r="BC769" s="3" t="n">
        <v>1</v>
      </c>
      <c r="BD769" s="3" t="n">
        <v>6</v>
      </c>
      <c r="BE769" s="3" t="n">
        <v>3</v>
      </c>
      <c r="BF769" s="3" t="n">
        <v>5</v>
      </c>
      <c r="BG769" s="3" t="n">
        <v>3</v>
      </c>
      <c r="BH769" s="3" t="n">
        <v>4</v>
      </c>
      <c r="BI769" s="3" t="n">
        <v>1</v>
      </c>
      <c r="BJ769" s="3" t="n">
        <v>1</v>
      </c>
      <c r="BK769" s="6" t="s">
        <v>2075</v>
      </c>
    </row>
    <row r="770" customFormat="false" ht="15" hidden="false" customHeight="true" outlineLevel="0" collapsed="false">
      <c r="B770" s="2" t="s">
        <v>2076</v>
      </c>
      <c r="C770" s="2" t="s">
        <v>2077</v>
      </c>
      <c r="D770" s="2" t="s">
        <v>382</v>
      </c>
      <c r="E770" s="2" t="n">
        <v>196334</v>
      </c>
      <c r="F770" s="15" t="n">
        <v>43917</v>
      </c>
      <c r="G770" s="15" t="n">
        <v>43921</v>
      </c>
      <c r="H770" s="3" t="n">
        <v>4</v>
      </c>
      <c r="I770" s="3" t="n">
        <v>1</v>
      </c>
      <c r="J770" s="3" t="n">
        <v>81</v>
      </c>
      <c r="K770" s="3" t="n">
        <v>2</v>
      </c>
      <c r="L770" s="3" t="n">
        <v>1</v>
      </c>
      <c r="M770" s="3" t="n">
        <v>1</v>
      </c>
      <c r="N770" s="3" t="n">
        <v>1</v>
      </c>
      <c r="O770" s="3" t="n">
        <v>2</v>
      </c>
      <c r="P770" s="3" t="n">
        <v>2</v>
      </c>
      <c r="Q770" s="3" t="n">
        <v>1</v>
      </c>
      <c r="R770" s="3" t="n">
        <v>2</v>
      </c>
      <c r="S770" s="3" t="n">
        <v>2</v>
      </c>
      <c r="T770" s="4" t="n">
        <v>3</v>
      </c>
      <c r="U770" s="3" t="n">
        <v>1</v>
      </c>
      <c r="V770" s="3" t="n">
        <v>5.4</v>
      </c>
      <c r="W770" s="3" t="n">
        <v>2.93</v>
      </c>
      <c r="X770" s="3" t="n">
        <v>4.9</v>
      </c>
      <c r="Y770" s="3" t="n">
        <v>582</v>
      </c>
      <c r="AA770" s="3" t="n">
        <v>0.39</v>
      </c>
      <c r="AB770" s="3" t="n">
        <v>9.6</v>
      </c>
      <c r="AC770" s="3" t="n">
        <v>2</v>
      </c>
      <c r="AD770" s="3" t="n">
        <v>1</v>
      </c>
      <c r="AE770" s="3" t="n">
        <v>1</v>
      </c>
      <c r="AF770" s="3" t="n">
        <v>1</v>
      </c>
      <c r="AG770" s="3" t="n">
        <v>2</v>
      </c>
      <c r="AH770" s="3" t="n">
        <v>2</v>
      </c>
      <c r="AI770" s="3" t="n">
        <v>1</v>
      </c>
      <c r="AJ770" s="3" t="n">
        <v>1</v>
      </c>
      <c r="AK770" s="3" t="n">
        <v>1</v>
      </c>
      <c r="AL770" s="3" t="n">
        <v>2</v>
      </c>
      <c r="AM770" s="3" t="n">
        <v>1</v>
      </c>
      <c r="AN770" s="3" t="n">
        <v>2</v>
      </c>
      <c r="AO770" s="3" t="n">
        <v>2</v>
      </c>
      <c r="AP770" s="3" t="n">
        <v>3</v>
      </c>
      <c r="AQ770" s="3" t="n">
        <v>4</v>
      </c>
      <c r="AR770" s="3" t="n">
        <v>4</v>
      </c>
      <c r="AS770" s="3" t="n">
        <v>6</v>
      </c>
      <c r="AT770" s="3" t="n">
        <v>4</v>
      </c>
      <c r="AU770" s="3" t="n">
        <v>4</v>
      </c>
      <c r="AV770" s="3" t="n">
        <v>6</v>
      </c>
      <c r="AW770" s="3" t="n">
        <v>6</v>
      </c>
      <c r="AX770" s="3" t="n">
        <v>3</v>
      </c>
      <c r="AY770" s="3" t="n">
        <v>3</v>
      </c>
      <c r="AZ770" s="3" t="n">
        <v>1</v>
      </c>
      <c r="BA770" s="5" t="n">
        <v>11</v>
      </c>
      <c r="BB770" s="3" t="n">
        <v>2</v>
      </c>
      <c r="BC770" s="3" t="n">
        <v>1</v>
      </c>
      <c r="BD770" s="3" t="n">
        <v>6</v>
      </c>
      <c r="BE770" s="3" t="n">
        <v>3</v>
      </c>
      <c r="BF770" s="3" t="n">
        <v>5</v>
      </c>
      <c r="BG770" s="3" t="n">
        <v>3</v>
      </c>
      <c r="BH770" s="3" t="n">
        <v>4</v>
      </c>
      <c r="BI770" s="3" t="n">
        <v>1</v>
      </c>
      <c r="BJ770" s="3" t="n">
        <v>1</v>
      </c>
      <c r="BK770" s="6" t="s">
        <v>2078</v>
      </c>
    </row>
    <row r="771" customFormat="false" ht="15" hidden="false" customHeight="true" outlineLevel="0" collapsed="false">
      <c r="B771" s="2" t="s">
        <v>2079</v>
      </c>
      <c r="C771" s="2" t="s">
        <v>153</v>
      </c>
      <c r="D771" s="2" t="s">
        <v>382</v>
      </c>
      <c r="E771" s="2" t="n">
        <v>196306</v>
      </c>
      <c r="F771" s="15" t="n">
        <v>43915</v>
      </c>
      <c r="G771" s="15" t="n">
        <v>43922</v>
      </c>
      <c r="H771" s="3" t="n">
        <v>7</v>
      </c>
      <c r="I771" s="3" t="n">
        <v>2</v>
      </c>
      <c r="J771" s="3" t="n">
        <v>50</v>
      </c>
      <c r="K771" s="3" t="n">
        <v>2</v>
      </c>
      <c r="L771" s="3" t="n">
        <v>1</v>
      </c>
      <c r="M771" s="3" t="n">
        <v>1</v>
      </c>
      <c r="N771" s="3" t="n">
        <v>2</v>
      </c>
      <c r="O771" s="3" t="n">
        <v>2</v>
      </c>
      <c r="P771" s="3" t="n">
        <v>2</v>
      </c>
      <c r="Q771" s="3" t="n">
        <v>2</v>
      </c>
      <c r="R771" s="3" t="n">
        <v>2</v>
      </c>
      <c r="S771" s="3" t="n">
        <v>2</v>
      </c>
      <c r="T771" s="4" t="n">
        <v>2</v>
      </c>
      <c r="U771" s="3" t="n">
        <v>2</v>
      </c>
      <c r="V771" s="3" t="n">
        <v>5.51</v>
      </c>
      <c r="W771" s="3" t="n">
        <v>1.05</v>
      </c>
      <c r="X771" s="3" t="n">
        <v>8.4</v>
      </c>
      <c r="Y771" s="3" t="n">
        <v>377</v>
      </c>
      <c r="AA771" s="3" t="n">
        <v>12.04</v>
      </c>
      <c r="AB771" s="3" t="n">
        <v>12.04</v>
      </c>
      <c r="AC771" s="3" t="n">
        <v>2</v>
      </c>
      <c r="AD771" s="3" t="n">
        <v>2</v>
      </c>
      <c r="AE771" s="3" t="n">
        <v>1</v>
      </c>
      <c r="AF771" s="3" t="n">
        <v>1</v>
      </c>
      <c r="AG771" s="3" t="n">
        <v>1</v>
      </c>
      <c r="AH771" s="3" t="n">
        <v>2</v>
      </c>
      <c r="AI771" s="3" t="n">
        <v>1</v>
      </c>
      <c r="AJ771" s="3" t="n">
        <v>1</v>
      </c>
      <c r="AK771" s="3" t="n">
        <v>2</v>
      </c>
      <c r="AL771" s="3" t="n">
        <v>2</v>
      </c>
      <c r="AM771" s="3" t="n">
        <v>2</v>
      </c>
      <c r="AN771" s="3" t="n">
        <v>2</v>
      </c>
      <c r="AO771" s="3" t="n">
        <v>2</v>
      </c>
      <c r="AP771" s="3" t="n">
        <v>3</v>
      </c>
      <c r="AQ771" s="3" t="n">
        <v>4</v>
      </c>
      <c r="AR771" s="3" t="n">
        <v>4</v>
      </c>
      <c r="AS771" s="3" t="n">
        <v>6</v>
      </c>
      <c r="AT771" s="3" t="n">
        <v>4</v>
      </c>
      <c r="AU771" s="3" t="n">
        <v>4</v>
      </c>
      <c r="AV771" s="3" t="n">
        <v>6</v>
      </c>
      <c r="AW771" s="3" t="n">
        <v>6</v>
      </c>
      <c r="AX771" s="3" t="n">
        <v>3</v>
      </c>
      <c r="AY771" s="3" t="n">
        <v>3</v>
      </c>
      <c r="AZ771" s="3" t="n">
        <v>9</v>
      </c>
      <c r="BA771" s="5" t="n">
        <v>1</v>
      </c>
      <c r="BB771" s="3" t="n">
        <v>1</v>
      </c>
      <c r="BC771" s="3" t="n">
        <v>1</v>
      </c>
      <c r="BD771" s="3" t="n">
        <v>2</v>
      </c>
      <c r="BE771" s="3" t="n">
        <v>1</v>
      </c>
      <c r="BF771" s="3" t="n">
        <v>2</v>
      </c>
      <c r="BG771" s="3" t="n">
        <v>1</v>
      </c>
      <c r="BH771" s="3" t="n">
        <v>4</v>
      </c>
      <c r="BI771" s="3" t="n">
        <v>1</v>
      </c>
      <c r="BJ771" s="3" t="n">
        <v>1</v>
      </c>
      <c r="BK771" s="6" t="s">
        <v>2080</v>
      </c>
    </row>
    <row r="772" customFormat="false" ht="15" hidden="false" customHeight="true" outlineLevel="0" collapsed="false">
      <c r="B772" s="2" t="s">
        <v>147</v>
      </c>
      <c r="C772" s="2" t="s">
        <v>2081</v>
      </c>
      <c r="D772" s="2" t="s">
        <v>78</v>
      </c>
      <c r="E772" s="2" t="n">
        <v>196345</v>
      </c>
      <c r="F772" s="15" t="n">
        <v>43917</v>
      </c>
      <c r="G772" s="15" t="n">
        <v>43924</v>
      </c>
      <c r="H772" s="3" t="n">
        <v>7</v>
      </c>
      <c r="I772" s="3" t="n">
        <v>2</v>
      </c>
      <c r="J772" s="3" t="n">
        <v>60</v>
      </c>
      <c r="K772" s="3" t="n">
        <v>1</v>
      </c>
      <c r="L772" s="3" t="n">
        <v>1</v>
      </c>
      <c r="M772" s="3" t="n">
        <v>2</v>
      </c>
      <c r="N772" s="3" t="n">
        <v>2</v>
      </c>
      <c r="O772" s="3" t="n">
        <v>2</v>
      </c>
      <c r="P772" s="3" t="n">
        <v>2</v>
      </c>
      <c r="Q772" s="3" t="n">
        <v>2</v>
      </c>
      <c r="R772" s="3" t="n">
        <v>2</v>
      </c>
      <c r="S772" s="3" t="n">
        <v>2</v>
      </c>
      <c r="T772" s="4" t="n">
        <v>2</v>
      </c>
      <c r="U772" s="3" t="n">
        <v>2</v>
      </c>
      <c r="V772" s="3" t="n">
        <v>4.16</v>
      </c>
      <c r="W772" s="3" t="n">
        <v>1.73</v>
      </c>
      <c r="X772" s="3" t="n">
        <v>5.6</v>
      </c>
      <c r="Y772" s="3" t="n">
        <v>402</v>
      </c>
      <c r="AA772" s="3" t="n">
        <v>0.48</v>
      </c>
      <c r="AB772" s="3" t="n">
        <v>12</v>
      </c>
      <c r="AC772" s="3" t="n">
        <v>2</v>
      </c>
      <c r="AD772" s="3" t="n">
        <v>2</v>
      </c>
      <c r="AE772" s="3" t="n">
        <v>1</v>
      </c>
      <c r="AF772" s="3" t="n">
        <v>1</v>
      </c>
      <c r="AG772" s="3" t="n">
        <v>2</v>
      </c>
      <c r="AH772" s="3" t="n">
        <v>2</v>
      </c>
      <c r="AI772" s="3" t="n">
        <v>1</v>
      </c>
      <c r="AJ772" s="3" t="n">
        <v>2</v>
      </c>
      <c r="AK772" s="3" t="n">
        <v>2</v>
      </c>
      <c r="AL772" s="3" t="n">
        <v>2</v>
      </c>
      <c r="AM772" s="3" t="n">
        <v>2</v>
      </c>
      <c r="AN772" s="3" t="n">
        <v>2</v>
      </c>
      <c r="AO772" s="3" t="n">
        <v>2</v>
      </c>
      <c r="AP772" s="3" t="n">
        <v>3</v>
      </c>
      <c r="AQ772" s="3" t="n">
        <v>4</v>
      </c>
      <c r="AR772" s="3" t="n">
        <v>4</v>
      </c>
      <c r="AS772" s="3" t="n">
        <v>6</v>
      </c>
      <c r="AT772" s="3" t="n">
        <v>4</v>
      </c>
      <c r="AU772" s="3" t="n">
        <v>4</v>
      </c>
      <c r="AV772" s="3" t="n">
        <v>6</v>
      </c>
      <c r="AW772" s="3" t="n">
        <v>6</v>
      </c>
      <c r="AX772" s="3" t="n">
        <v>3</v>
      </c>
      <c r="AY772" s="3" t="n">
        <v>3</v>
      </c>
      <c r="AZ772" s="3" t="n">
        <v>1</v>
      </c>
      <c r="BA772" s="5" t="n">
        <v>1</v>
      </c>
      <c r="BB772" s="3" t="n">
        <v>1</v>
      </c>
      <c r="BC772" s="3" t="n">
        <v>1</v>
      </c>
      <c r="BD772" s="3" t="n">
        <v>2</v>
      </c>
      <c r="BE772" s="3" t="n">
        <v>1</v>
      </c>
      <c r="BF772" s="3" t="n">
        <v>2</v>
      </c>
      <c r="BG772" s="3" t="n">
        <v>1</v>
      </c>
      <c r="BH772" s="3" t="n">
        <v>4</v>
      </c>
      <c r="BI772" s="3" t="n">
        <v>1</v>
      </c>
      <c r="BJ772" s="3" t="n">
        <v>1</v>
      </c>
      <c r="BK772" s="6" t="s">
        <v>2082</v>
      </c>
    </row>
    <row r="773" customFormat="false" ht="15" hidden="false" customHeight="true" outlineLevel="0" collapsed="false">
      <c r="B773" s="2" t="s">
        <v>912</v>
      </c>
      <c r="C773" s="2" t="s">
        <v>2083</v>
      </c>
      <c r="D773" s="2" t="s">
        <v>433</v>
      </c>
      <c r="E773" s="2" t="n">
        <v>195963</v>
      </c>
      <c r="F773" s="15" t="n">
        <v>43920</v>
      </c>
      <c r="G773" s="15" t="n">
        <v>43927</v>
      </c>
      <c r="H773" s="3" t="n">
        <v>7</v>
      </c>
      <c r="I773" s="3" t="n">
        <v>2</v>
      </c>
      <c r="J773" s="3" t="n">
        <v>46</v>
      </c>
      <c r="K773" s="3" t="n">
        <v>1</v>
      </c>
      <c r="L773" s="3" t="n">
        <v>1</v>
      </c>
      <c r="M773" s="3" t="n">
        <v>2</v>
      </c>
      <c r="N773" s="3" t="n">
        <v>2</v>
      </c>
      <c r="O773" s="3" t="n">
        <v>2</v>
      </c>
      <c r="P773" s="3" t="n">
        <v>2</v>
      </c>
      <c r="Q773" s="3" t="n">
        <v>2</v>
      </c>
      <c r="R773" s="3" t="n">
        <v>2</v>
      </c>
      <c r="S773" s="3" t="n">
        <v>2</v>
      </c>
      <c r="T773" s="4" t="n">
        <v>2</v>
      </c>
      <c r="U773" s="3" t="n">
        <v>2</v>
      </c>
      <c r="V773" s="3" t="n">
        <v>5.07</v>
      </c>
      <c r="W773" s="3" t="n">
        <v>0.96</v>
      </c>
      <c r="X773" s="3" t="n">
        <v>10.99</v>
      </c>
      <c r="Y773" s="3" t="n">
        <v>530</v>
      </c>
      <c r="Z773" s="3" t="n">
        <v>121.3</v>
      </c>
      <c r="AA773" s="3" t="n">
        <v>0.42</v>
      </c>
      <c r="AB773" s="3" t="n">
        <v>13.2</v>
      </c>
      <c r="AC773" s="3" t="n">
        <v>2</v>
      </c>
      <c r="AD773" s="3" t="n">
        <v>2</v>
      </c>
      <c r="AE773" s="3" t="n">
        <v>1</v>
      </c>
      <c r="AF773" s="3" t="n">
        <v>1</v>
      </c>
      <c r="AG773" s="3" t="n">
        <v>2</v>
      </c>
      <c r="AH773" s="3" t="n">
        <v>2</v>
      </c>
      <c r="AI773" s="3" t="n">
        <v>1</v>
      </c>
      <c r="AJ773" s="3" t="n">
        <v>1</v>
      </c>
      <c r="AK773" s="3" t="n">
        <v>2</v>
      </c>
      <c r="AL773" s="3" t="n">
        <v>2</v>
      </c>
      <c r="AM773" s="3" t="n">
        <v>1</v>
      </c>
      <c r="AN773" s="3" t="n">
        <v>2</v>
      </c>
      <c r="AO773" s="3" t="n">
        <v>2</v>
      </c>
      <c r="AP773" s="3" t="n">
        <v>3</v>
      </c>
      <c r="AQ773" s="3" t="n">
        <v>4</v>
      </c>
      <c r="AR773" s="3" t="n">
        <v>4</v>
      </c>
      <c r="AS773" s="3" t="n">
        <v>6</v>
      </c>
      <c r="AT773" s="3" t="n">
        <v>4</v>
      </c>
      <c r="AU773" s="3" t="n">
        <v>4</v>
      </c>
      <c r="AV773" s="3" t="n">
        <v>6</v>
      </c>
      <c r="AW773" s="3" t="n">
        <v>6</v>
      </c>
      <c r="AX773" s="3" t="n">
        <v>3</v>
      </c>
      <c r="AY773" s="3" t="n">
        <v>3</v>
      </c>
      <c r="AZ773" s="3" t="n">
        <v>16</v>
      </c>
      <c r="BA773" s="5" t="n">
        <v>1</v>
      </c>
      <c r="BB773" s="3" t="n">
        <v>1</v>
      </c>
      <c r="BC773" s="3" t="n">
        <v>1</v>
      </c>
      <c r="BD773" s="3" t="n">
        <v>4</v>
      </c>
      <c r="BE773" s="3" t="n">
        <v>1</v>
      </c>
      <c r="BF773" s="3" t="n">
        <v>2</v>
      </c>
      <c r="BG773" s="3" t="n">
        <v>1</v>
      </c>
      <c r="BH773" s="3" t="n">
        <v>4</v>
      </c>
      <c r="BI773" s="3" t="n">
        <v>1</v>
      </c>
      <c r="BJ773" s="3" t="n">
        <v>1</v>
      </c>
      <c r="BK773" s="6" t="s">
        <v>2084</v>
      </c>
    </row>
    <row r="774" customFormat="false" ht="15" hidden="false" customHeight="true" outlineLevel="0" collapsed="false">
      <c r="B774" s="2" t="s">
        <v>2085</v>
      </c>
      <c r="C774" s="2" t="s">
        <v>608</v>
      </c>
      <c r="D774" s="2" t="s">
        <v>127</v>
      </c>
      <c r="E774" s="2" t="n">
        <v>195970</v>
      </c>
      <c r="F774" s="15" t="n">
        <v>43920</v>
      </c>
      <c r="G774" s="15" t="n">
        <v>43925</v>
      </c>
      <c r="H774" s="3" t="n">
        <v>5</v>
      </c>
      <c r="I774" s="3" t="n">
        <v>2</v>
      </c>
      <c r="J774" s="3" t="n">
        <v>78</v>
      </c>
      <c r="K774" s="3" t="n">
        <v>1</v>
      </c>
      <c r="L774" s="3" t="n">
        <v>2</v>
      </c>
      <c r="M774" s="3" t="n">
        <v>1</v>
      </c>
      <c r="N774" s="3" t="n">
        <v>2</v>
      </c>
      <c r="O774" s="3" t="n">
        <v>2</v>
      </c>
      <c r="P774" s="3" t="n">
        <v>2</v>
      </c>
      <c r="Q774" s="3" t="n">
        <v>2</v>
      </c>
      <c r="R774" s="3" t="n">
        <v>2</v>
      </c>
      <c r="S774" s="3" t="n">
        <v>2</v>
      </c>
      <c r="T774" s="4" t="n">
        <v>3</v>
      </c>
      <c r="U774" s="3" t="n">
        <v>4</v>
      </c>
      <c r="V774" s="3" t="n">
        <v>3.41</v>
      </c>
      <c r="W774" s="3" t="n">
        <v>0.81</v>
      </c>
      <c r="X774" s="3" t="n">
        <v>6.37</v>
      </c>
      <c r="Y774" s="3" t="n">
        <v>486</v>
      </c>
      <c r="Z774" s="3" t="n">
        <v>177.3</v>
      </c>
      <c r="AA774" s="3" t="n">
        <v>0.33</v>
      </c>
      <c r="AB774" s="3" t="n">
        <v>6.6</v>
      </c>
      <c r="AC774" s="3" t="n">
        <v>2</v>
      </c>
      <c r="AD774" s="3" t="n">
        <v>1</v>
      </c>
      <c r="AE774" s="3" t="n">
        <v>1</v>
      </c>
      <c r="AF774" s="3" t="n">
        <v>1</v>
      </c>
      <c r="AG774" s="3" t="n">
        <v>2</v>
      </c>
      <c r="AH774" s="3" t="n">
        <v>2</v>
      </c>
      <c r="AI774" s="3" t="n">
        <v>1</v>
      </c>
      <c r="AJ774" s="3" t="n">
        <v>1</v>
      </c>
      <c r="AK774" s="3" t="n">
        <v>2</v>
      </c>
      <c r="AL774" s="3" t="n">
        <v>1</v>
      </c>
      <c r="AM774" s="3" t="n">
        <v>1</v>
      </c>
      <c r="AN774" s="3" t="n">
        <v>2</v>
      </c>
      <c r="AO774" s="3" t="n">
        <v>2</v>
      </c>
      <c r="AP774" s="3" t="n">
        <v>3</v>
      </c>
      <c r="AQ774" s="3" t="n">
        <v>4</v>
      </c>
      <c r="AR774" s="3" t="n">
        <v>4</v>
      </c>
      <c r="AS774" s="3" t="n">
        <v>6</v>
      </c>
      <c r="AT774" s="3" t="n">
        <v>4</v>
      </c>
      <c r="AU774" s="3" t="n">
        <v>4</v>
      </c>
      <c r="AV774" s="3" t="n">
        <v>6</v>
      </c>
      <c r="AW774" s="3" t="n">
        <v>6</v>
      </c>
      <c r="AX774" s="3" t="n">
        <v>3</v>
      </c>
      <c r="AY774" s="3" t="n">
        <v>3</v>
      </c>
      <c r="AZ774" s="3" t="n">
        <v>1</v>
      </c>
      <c r="BA774" s="5" t="n">
        <v>11</v>
      </c>
      <c r="BB774" s="3" t="n">
        <v>2</v>
      </c>
      <c r="BC774" s="3" t="n">
        <v>1</v>
      </c>
      <c r="BD774" s="3" t="n">
        <v>6</v>
      </c>
      <c r="BE774" s="3" t="n">
        <v>3</v>
      </c>
      <c r="BF774" s="3" t="n">
        <v>5</v>
      </c>
      <c r="BG774" s="3" t="n">
        <v>3</v>
      </c>
      <c r="BH774" s="3" t="n">
        <v>4</v>
      </c>
      <c r="BI774" s="3" t="n">
        <v>1</v>
      </c>
      <c r="BJ774" s="3" t="n">
        <v>1</v>
      </c>
      <c r="BK774" s="6" t="s">
        <v>2086</v>
      </c>
    </row>
    <row r="775" customFormat="false" ht="15" hidden="false" customHeight="true" outlineLevel="0" collapsed="false">
      <c r="B775" s="2" t="s">
        <v>2087</v>
      </c>
      <c r="C775" s="2" t="s">
        <v>128</v>
      </c>
      <c r="D775" s="2" t="s">
        <v>783</v>
      </c>
      <c r="E775" s="2" t="n">
        <v>196641</v>
      </c>
      <c r="F775" s="15" t="n">
        <v>43926</v>
      </c>
      <c r="G775" s="15" t="n">
        <v>43928</v>
      </c>
      <c r="H775" s="3" t="n">
        <v>2</v>
      </c>
      <c r="I775" s="3" t="n">
        <v>1</v>
      </c>
      <c r="J775" s="3" t="n">
        <v>68</v>
      </c>
      <c r="K775" s="3" t="n">
        <v>1</v>
      </c>
      <c r="L775" s="3" t="n">
        <v>2</v>
      </c>
      <c r="M775" s="3" t="n">
        <v>1</v>
      </c>
      <c r="N775" s="3" t="n">
        <v>2</v>
      </c>
      <c r="O775" s="3" t="n">
        <v>2</v>
      </c>
      <c r="P775" s="3" t="n">
        <v>1</v>
      </c>
      <c r="Q775" s="3" t="n">
        <v>1</v>
      </c>
      <c r="R775" s="3" t="n">
        <v>2</v>
      </c>
      <c r="S775" s="3" t="n">
        <v>2</v>
      </c>
      <c r="T775" s="4" t="n">
        <v>6</v>
      </c>
      <c r="U775" s="3" t="n">
        <v>1</v>
      </c>
      <c r="V775" s="3" t="n">
        <v>7.39</v>
      </c>
      <c r="W775" s="3" t="n">
        <v>1.93</v>
      </c>
      <c r="X775" s="3" t="n">
        <v>7.43</v>
      </c>
      <c r="Y775" s="3" t="n">
        <v>280</v>
      </c>
      <c r="AA775" s="3" t="n">
        <v>0.42</v>
      </c>
      <c r="AB775" s="3" t="n">
        <v>13.9</v>
      </c>
      <c r="AC775" s="3" t="n">
        <v>3</v>
      </c>
      <c r="AD775" s="3" t="n">
        <v>2</v>
      </c>
      <c r="AE775" s="3" t="n">
        <v>1</v>
      </c>
      <c r="AF775" s="3" t="n">
        <v>1</v>
      </c>
      <c r="AG775" s="3" t="n">
        <v>2</v>
      </c>
      <c r="AH775" s="3" t="n">
        <v>1</v>
      </c>
      <c r="AI775" s="3" t="n">
        <v>2</v>
      </c>
      <c r="AJ775" s="3" t="n">
        <v>2</v>
      </c>
      <c r="AK775" s="3" t="n">
        <v>2</v>
      </c>
      <c r="AL775" s="3" t="n">
        <v>2</v>
      </c>
      <c r="AM775" s="3" t="n">
        <v>2</v>
      </c>
      <c r="AN775" s="3" t="n">
        <v>2</v>
      </c>
      <c r="AO775" s="3" t="n">
        <v>2</v>
      </c>
      <c r="AP775" s="3" t="n">
        <v>3</v>
      </c>
      <c r="AQ775" s="3" t="n">
        <v>4</v>
      </c>
      <c r="AR775" s="3" t="n">
        <v>4</v>
      </c>
      <c r="AS775" s="3" t="n">
        <v>6</v>
      </c>
      <c r="AT775" s="3" t="n">
        <v>4</v>
      </c>
      <c r="AU775" s="3" t="n">
        <v>4</v>
      </c>
      <c r="AV775" s="3" t="n">
        <v>6</v>
      </c>
      <c r="AW775" s="3" t="n">
        <v>6</v>
      </c>
      <c r="AX775" s="3" t="n">
        <v>3</v>
      </c>
      <c r="AY775" s="3" t="n">
        <v>3</v>
      </c>
      <c r="AZ775" s="3" t="n">
        <v>1</v>
      </c>
      <c r="BA775" s="5" t="n">
        <v>6</v>
      </c>
      <c r="BB775" s="3" t="n">
        <v>2</v>
      </c>
      <c r="BC775" s="3" t="n">
        <v>1</v>
      </c>
      <c r="BD775" s="3" t="n">
        <v>6</v>
      </c>
      <c r="BE775" s="3" t="n">
        <v>3</v>
      </c>
      <c r="BF775" s="3" t="n">
        <v>5</v>
      </c>
      <c r="BG775" s="3" t="n">
        <v>3</v>
      </c>
      <c r="BH775" s="3" t="n">
        <v>4</v>
      </c>
      <c r="BI775" s="3" t="n">
        <v>1</v>
      </c>
      <c r="BJ775" s="3" t="n">
        <v>1</v>
      </c>
      <c r="BK775" s="6" t="s">
        <v>2088</v>
      </c>
    </row>
    <row r="776" customFormat="false" ht="15" hidden="false" customHeight="true" outlineLevel="0" collapsed="false">
      <c r="B776" s="2" t="s">
        <v>2089</v>
      </c>
      <c r="C776" s="2" t="s">
        <v>2090</v>
      </c>
      <c r="D776" s="2" t="s">
        <v>385</v>
      </c>
      <c r="E776" s="2" t="n">
        <v>195968</v>
      </c>
      <c r="F776" s="15" t="n">
        <v>43920</v>
      </c>
      <c r="G776" s="15" t="n">
        <v>43928</v>
      </c>
      <c r="H776" s="3" t="n">
        <v>7</v>
      </c>
      <c r="I776" s="3" t="n">
        <v>2</v>
      </c>
      <c r="J776" s="3" t="n">
        <v>45</v>
      </c>
      <c r="K776" s="3" t="n">
        <v>2</v>
      </c>
      <c r="L776" s="3" t="n">
        <v>1</v>
      </c>
      <c r="M776" s="3" t="n">
        <v>1</v>
      </c>
      <c r="N776" s="3" t="n">
        <v>2</v>
      </c>
      <c r="O776" s="3" t="n">
        <v>2</v>
      </c>
      <c r="P776" s="3" t="n">
        <v>1</v>
      </c>
      <c r="Q776" s="3" t="n">
        <v>1</v>
      </c>
      <c r="R776" s="3" t="n">
        <v>2</v>
      </c>
      <c r="S776" s="3" t="n">
        <v>2</v>
      </c>
      <c r="T776" s="4" t="n">
        <v>2</v>
      </c>
      <c r="U776" s="3" t="n">
        <v>2</v>
      </c>
      <c r="V776" s="3" t="n">
        <v>4.34</v>
      </c>
      <c r="W776" s="3" t="n">
        <v>1.58</v>
      </c>
      <c r="X776" s="3" t="n">
        <v>7.78</v>
      </c>
      <c r="Y776" s="3" t="n">
        <v>293</v>
      </c>
      <c r="Z776" s="3" t="n">
        <v>88.6</v>
      </c>
      <c r="AA776" s="3" t="n">
        <v>0.32</v>
      </c>
      <c r="AB776" s="3" t="n">
        <v>15.5</v>
      </c>
      <c r="AC776" s="3" t="n">
        <v>1</v>
      </c>
      <c r="AD776" s="3" t="n">
        <v>2</v>
      </c>
      <c r="AE776" s="3" t="n">
        <v>1</v>
      </c>
      <c r="AF776" s="3" t="n">
        <v>1</v>
      </c>
      <c r="AG776" s="3" t="n">
        <v>1</v>
      </c>
      <c r="AH776" s="3" t="n">
        <v>2</v>
      </c>
      <c r="AI776" s="3" t="n">
        <v>1</v>
      </c>
      <c r="AJ776" s="3" t="n">
        <v>1</v>
      </c>
      <c r="AK776" s="3" t="n">
        <v>2</v>
      </c>
      <c r="AL776" s="3" t="n">
        <v>2</v>
      </c>
      <c r="AM776" s="3" t="n">
        <v>1</v>
      </c>
      <c r="AN776" s="3" t="n">
        <v>2</v>
      </c>
      <c r="AO776" s="3" t="n">
        <v>2</v>
      </c>
      <c r="AP776" s="3" t="n">
        <v>3</v>
      </c>
      <c r="AQ776" s="3" t="n">
        <v>4</v>
      </c>
      <c r="AR776" s="3" t="n">
        <v>4</v>
      </c>
      <c r="AS776" s="3" t="n">
        <v>6</v>
      </c>
      <c r="AT776" s="3" t="n">
        <v>4</v>
      </c>
      <c r="AU776" s="3" t="n">
        <v>4</v>
      </c>
      <c r="AV776" s="3" t="n">
        <v>6</v>
      </c>
      <c r="AW776" s="3" t="n">
        <v>6</v>
      </c>
      <c r="AX776" s="3" t="n">
        <v>3</v>
      </c>
      <c r="AY776" s="3" t="n">
        <v>3</v>
      </c>
      <c r="AZ776" s="3" t="n">
        <v>1</v>
      </c>
      <c r="BA776" s="5" t="n">
        <v>1</v>
      </c>
      <c r="BB776" s="3" t="n">
        <v>1</v>
      </c>
      <c r="BC776" s="3" t="n">
        <v>1</v>
      </c>
      <c r="BD776" s="3" t="n">
        <v>4</v>
      </c>
      <c r="BE776" s="3" t="n">
        <v>1</v>
      </c>
      <c r="BF776" s="3" t="n">
        <v>2</v>
      </c>
      <c r="BG776" s="3" t="n">
        <v>1</v>
      </c>
      <c r="BH776" s="3" t="n">
        <v>4</v>
      </c>
      <c r="BI776" s="3" t="n">
        <v>1</v>
      </c>
      <c r="BJ776" s="3" t="n">
        <v>1</v>
      </c>
      <c r="BK776" s="6" t="s">
        <v>2091</v>
      </c>
    </row>
    <row r="777" customFormat="false" ht="15" hidden="false" customHeight="true" outlineLevel="0" collapsed="false">
      <c r="B777" s="2" t="s">
        <v>2092</v>
      </c>
      <c r="C777" s="2" t="s">
        <v>78</v>
      </c>
      <c r="D777" s="2" t="s">
        <v>218</v>
      </c>
      <c r="E777" s="2" t="n">
        <v>196631</v>
      </c>
      <c r="F777" s="15" t="n">
        <v>43926</v>
      </c>
      <c r="G777" s="15" t="n">
        <v>43930</v>
      </c>
      <c r="H777" s="3" t="n">
        <v>4</v>
      </c>
      <c r="I777" s="3" t="n">
        <v>2</v>
      </c>
      <c r="J777" s="3" t="n">
        <v>58</v>
      </c>
      <c r="K777" s="3" t="n">
        <v>1</v>
      </c>
      <c r="L777" s="3" t="n">
        <v>2</v>
      </c>
      <c r="M777" s="3" t="n">
        <v>1</v>
      </c>
      <c r="N777" s="3" t="n">
        <v>1</v>
      </c>
      <c r="O777" s="3" t="n">
        <v>2</v>
      </c>
      <c r="P777" s="3" t="n">
        <v>2</v>
      </c>
      <c r="Q777" s="3" t="n">
        <v>2</v>
      </c>
      <c r="R777" s="3" t="n">
        <v>2</v>
      </c>
      <c r="S777" s="3" t="n">
        <v>1</v>
      </c>
      <c r="T777" s="4" t="n">
        <v>1</v>
      </c>
      <c r="U777" s="3" t="n">
        <v>1</v>
      </c>
      <c r="V777" s="3" t="n">
        <v>4.74</v>
      </c>
      <c r="W777" s="3" t="n">
        <v>1.81</v>
      </c>
      <c r="X777" s="3" t="n">
        <v>5.14</v>
      </c>
      <c r="Y777" s="3" t="n">
        <v>298</v>
      </c>
      <c r="AA777" s="3" t="n">
        <v>0.49</v>
      </c>
      <c r="AB777" s="3" t="n">
        <v>12.6</v>
      </c>
      <c r="AC777" s="3" t="n">
        <v>1</v>
      </c>
      <c r="AD777" s="3" t="n">
        <v>1</v>
      </c>
      <c r="AE777" s="3" t="n">
        <v>1</v>
      </c>
      <c r="AF777" s="3" t="n">
        <v>1</v>
      </c>
      <c r="AG777" s="3" t="n">
        <v>1</v>
      </c>
      <c r="AH777" s="3" t="n">
        <v>2</v>
      </c>
      <c r="AI777" s="3" t="n">
        <v>1</v>
      </c>
      <c r="AJ777" s="3" t="n">
        <v>1</v>
      </c>
      <c r="AK777" s="3" t="n">
        <v>2</v>
      </c>
      <c r="AL777" s="3" t="n">
        <v>2</v>
      </c>
      <c r="AM777" s="3" t="n">
        <v>2</v>
      </c>
      <c r="AN777" s="3" t="n">
        <v>2</v>
      </c>
      <c r="AO777" s="3" t="n">
        <v>2</v>
      </c>
      <c r="AP777" s="3" t="n">
        <v>3</v>
      </c>
      <c r="AQ777" s="3" t="n">
        <v>4</v>
      </c>
      <c r="AR777" s="3" t="n">
        <v>4</v>
      </c>
      <c r="AS777" s="3" t="n">
        <v>6</v>
      </c>
      <c r="AT777" s="3" t="n">
        <v>4</v>
      </c>
      <c r="AU777" s="3" t="n">
        <v>4</v>
      </c>
      <c r="AV777" s="3" t="n">
        <v>6</v>
      </c>
      <c r="AW777" s="3" t="n">
        <v>6</v>
      </c>
      <c r="AX777" s="3" t="n">
        <v>3</v>
      </c>
      <c r="AY777" s="3" t="n">
        <v>3</v>
      </c>
      <c r="AZ777" s="3" t="n">
        <v>1</v>
      </c>
      <c r="BA777" s="5" t="n">
        <v>5</v>
      </c>
      <c r="BB777" s="3" t="n">
        <v>2</v>
      </c>
      <c r="BC777" s="3" t="n">
        <v>1</v>
      </c>
      <c r="BD777" s="3" t="n">
        <v>6</v>
      </c>
      <c r="BE777" s="3" t="n">
        <v>3</v>
      </c>
      <c r="BF777" s="3" t="n">
        <v>5</v>
      </c>
      <c r="BG777" s="3" t="n">
        <v>3</v>
      </c>
      <c r="BH777" s="3" t="n">
        <v>4</v>
      </c>
      <c r="BI777" s="3" t="n">
        <v>1</v>
      </c>
      <c r="BJ777" s="3" t="n">
        <v>1</v>
      </c>
      <c r="BK777" s="6" t="s">
        <v>2093</v>
      </c>
    </row>
    <row r="778" s="30" customFormat="true" ht="15" hidden="false" customHeight="true" outlineLevel="0" collapsed="false">
      <c r="A778" s="24"/>
      <c r="B778" s="26" t="s">
        <v>2035</v>
      </c>
      <c r="C778" s="26" t="s">
        <v>78</v>
      </c>
      <c r="D778" s="26" t="s">
        <v>2036</v>
      </c>
      <c r="E778" s="26" t="n">
        <v>196672</v>
      </c>
      <c r="F778" s="27" t="n">
        <v>43930</v>
      </c>
      <c r="G778" s="27" t="n">
        <v>43930</v>
      </c>
      <c r="H778" s="30" t="n">
        <v>0</v>
      </c>
      <c r="I778" s="30" t="n">
        <v>2</v>
      </c>
      <c r="J778" s="30" t="n">
        <v>73</v>
      </c>
      <c r="K778" s="30" t="n">
        <v>1</v>
      </c>
      <c r="L778" s="30" t="n">
        <v>1</v>
      </c>
      <c r="M778" s="30" t="n">
        <v>1</v>
      </c>
      <c r="N778" s="30" t="n">
        <v>2</v>
      </c>
      <c r="O778" s="30" t="n">
        <v>2</v>
      </c>
      <c r="P778" s="30" t="n">
        <v>2</v>
      </c>
      <c r="Q778" s="30" t="n">
        <v>2</v>
      </c>
      <c r="R778" s="30" t="n">
        <v>2</v>
      </c>
      <c r="S778" s="30" t="n">
        <v>2</v>
      </c>
      <c r="T778" s="4" t="n">
        <v>1</v>
      </c>
      <c r="U778" s="30" t="n">
        <v>1</v>
      </c>
      <c r="AC778" s="30" t="n">
        <v>3</v>
      </c>
      <c r="AD778" s="30" t="n">
        <v>1</v>
      </c>
      <c r="AE778" s="30" t="n">
        <v>1</v>
      </c>
      <c r="AF778" s="30" t="n">
        <v>1</v>
      </c>
      <c r="AG778" s="30" t="n">
        <v>2</v>
      </c>
      <c r="AH778" s="30" t="n">
        <v>2</v>
      </c>
      <c r="AI778" s="30" t="n">
        <v>1</v>
      </c>
      <c r="AJ778" s="30" t="n">
        <v>1</v>
      </c>
      <c r="AK778" s="30" t="n">
        <v>2</v>
      </c>
      <c r="AL778" s="30" t="n">
        <v>2</v>
      </c>
      <c r="AM778" s="30" t="n">
        <v>2</v>
      </c>
      <c r="AN778" s="30" t="n">
        <v>2</v>
      </c>
      <c r="AO778" s="30" t="n">
        <v>2</v>
      </c>
      <c r="AP778" s="30" t="n">
        <v>3</v>
      </c>
      <c r="AQ778" s="30" t="n">
        <v>4</v>
      </c>
      <c r="AR778" s="30" t="n">
        <v>4</v>
      </c>
      <c r="AS778" s="30" t="n">
        <v>6</v>
      </c>
      <c r="AT778" s="30" t="n">
        <v>4</v>
      </c>
      <c r="AU778" s="30" t="n">
        <v>4</v>
      </c>
      <c r="AV778" s="30" t="n">
        <v>6</v>
      </c>
      <c r="AW778" s="30" t="n">
        <v>6</v>
      </c>
      <c r="AX778" s="30" t="n">
        <v>3</v>
      </c>
      <c r="AY778" s="30" t="n">
        <v>3</v>
      </c>
      <c r="AZ778" s="30" t="n">
        <v>10</v>
      </c>
      <c r="BA778" s="5" t="n">
        <v>5</v>
      </c>
      <c r="BB778" s="30" t="n">
        <v>1</v>
      </c>
      <c r="BC778" s="30" t="n">
        <v>2</v>
      </c>
      <c r="BD778" s="30" t="n">
        <v>6</v>
      </c>
      <c r="BE778" s="30" t="n">
        <v>3</v>
      </c>
      <c r="BF778" s="30" t="n">
        <v>5</v>
      </c>
      <c r="BG778" s="30" t="n">
        <v>3</v>
      </c>
      <c r="BH778" s="30" t="n">
        <v>4</v>
      </c>
      <c r="BI778" s="30" t="n">
        <v>3</v>
      </c>
      <c r="BJ778" s="30" t="n">
        <v>3</v>
      </c>
      <c r="BK778" s="31" t="s">
        <v>2094</v>
      </c>
    </row>
    <row r="779" s="30" customFormat="true" ht="15" hidden="false" customHeight="true" outlineLevel="0" collapsed="false">
      <c r="A779" s="24"/>
      <c r="B779" s="26" t="s">
        <v>2095</v>
      </c>
      <c r="C779" s="26" t="s">
        <v>361</v>
      </c>
      <c r="D779" s="26" t="s">
        <v>301</v>
      </c>
      <c r="E779" s="26" t="n">
        <v>196670</v>
      </c>
      <c r="F779" s="27" t="n">
        <v>43929</v>
      </c>
      <c r="G779" s="27" t="n">
        <v>43931</v>
      </c>
      <c r="H779" s="30" t="n">
        <v>2</v>
      </c>
      <c r="I779" s="30" t="n">
        <v>2</v>
      </c>
      <c r="J779" s="30" t="n">
        <v>92</v>
      </c>
      <c r="K779" s="30" t="n">
        <v>1</v>
      </c>
      <c r="L779" s="30" t="n">
        <v>2</v>
      </c>
      <c r="M779" s="30" t="n">
        <v>1</v>
      </c>
      <c r="N779" s="30" t="n">
        <v>2</v>
      </c>
      <c r="O779" s="30" t="n">
        <v>2</v>
      </c>
      <c r="P779" s="30" t="n">
        <v>2</v>
      </c>
      <c r="Q779" s="30" t="n">
        <v>2</v>
      </c>
      <c r="R779" s="30" t="n">
        <v>2</v>
      </c>
      <c r="S779" s="30" t="n">
        <v>1</v>
      </c>
      <c r="T779" s="4" t="n">
        <v>2</v>
      </c>
      <c r="U779" s="30" t="n">
        <v>2</v>
      </c>
      <c r="AC779" s="30" t="n">
        <v>3</v>
      </c>
      <c r="AD779" s="30" t="n">
        <v>2</v>
      </c>
      <c r="AE779" s="30" t="n">
        <v>1</v>
      </c>
      <c r="AF779" s="30" t="n">
        <v>1</v>
      </c>
      <c r="AG779" s="30" t="n">
        <v>2</v>
      </c>
      <c r="AH779" s="30" t="n">
        <v>2</v>
      </c>
      <c r="AI779" s="30" t="n">
        <v>1</v>
      </c>
      <c r="AJ779" s="30" t="n">
        <v>1</v>
      </c>
      <c r="AK779" s="30" t="n">
        <v>1</v>
      </c>
      <c r="AL779" s="30" t="n">
        <v>2</v>
      </c>
      <c r="AM779" s="30" t="n">
        <v>1</v>
      </c>
      <c r="AN779" s="30" t="n">
        <v>2</v>
      </c>
      <c r="AO779" s="30" t="n">
        <v>2</v>
      </c>
      <c r="AP779" s="30" t="n">
        <v>3</v>
      </c>
      <c r="AQ779" s="30" t="n">
        <v>4</v>
      </c>
      <c r="AR779" s="30" t="n">
        <v>4</v>
      </c>
      <c r="AS779" s="30" t="n">
        <v>6</v>
      </c>
      <c r="AT779" s="30" t="n">
        <v>4</v>
      </c>
      <c r="AU779" s="30" t="n">
        <v>4</v>
      </c>
      <c r="AV779" s="30" t="n">
        <v>6</v>
      </c>
      <c r="AW779" s="30" t="n">
        <v>6</v>
      </c>
      <c r="AX779" s="30" t="n">
        <v>3</v>
      </c>
      <c r="AY779" s="30" t="n">
        <v>3</v>
      </c>
      <c r="AZ779" s="30" t="n">
        <v>5</v>
      </c>
      <c r="BA779" s="5" t="n">
        <v>1</v>
      </c>
      <c r="BB779" s="30" t="n">
        <v>1</v>
      </c>
      <c r="BC779" s="30" t="n">
        <v>2</v>
      </c>
      <c r="BD779" s="30" t="n">
        <v>4</v>
      </c>
      <c r="BE779" s="30" t="n">
        <v>3</v>
      </c>
      <c r="BF779" s="30" t="n">
        <v>5</v>
      </c>
      <c r="BG779" s="30" t="n">
        <v>3</v>
      </c>
      <c r="BH779" s="30" t="n">
        <v>4</v>
      </c>
      <c r="BI779" s="30" t="n">
        <v>1</v>
      </c>
      <c r="BJ779" s="30" t="n">
        <v>1</v>
      </c>
      <c r="BK779" s="31" t="s">
        <v>2096</v>
      </c>
    </row>
    <row r="780" customFormat="false" ht="15" hidden="false" customHeight="true" outlineLevel="0" collapsed="false">
      <c r="B780" s="2" t="s">
        <v>456</v>
      </c>
      <c r="C780" s="2" t="s">
        <v>78</v>
      </c>
      <c r="D780" s="2" t="s">
        <v>410</v>
      </c>
      <c r="E780" s="2" t="n">
        <v>196688</v>
      </c>
      <c r="F780" s="15" t="n">
        <v>43927</v>
      </c>
      <c r="G780" s="15" t="n">
        <v>43934</v>
      </c>
      <c r="H780" s="3" t="n">
        <v>7</v>
      </c>
      <c r="I780" s="3" t="n">
        <v>2</v>
      </c>
      <c r="J780" s="3" t="n">
        <v>61</v>
      </c>
      <c r="K780" s="3" t="n">
        <v>2</v>
      </c>
      <c r="L780" s="3" t="n">
        <v>2</v>
      </c>
      <c r="M780" s="3" t="n">
        <v>1</v>
      </c>
      <c r="N780" s="3" t="n">
        <v>1</v>
      </c>
      <c r="O780" s="3" t="n">
        <v>2</v>
      </c>
      <c r="P780" s="3" t="n">
        <v>2</v>
      </c>
      <c r="Q780" s="3" t="n">
        <v>2</v>
      </c>
      <c r="R780" s="3" t="n">
        <v>2</v>
      </c>
      <c r="S780" s="3" t="n">
        <v>1</v>
      </c>
      <c r="T780" s="4" t="n">
        <v>2</v>
      </c>
      <c r="U780" s="3" t="n">
        <v>2</v>
      </c>
      <c r="V780" s="3" t="n">
        <v>6.77</v>
      </c>
      <c r="W780" s="3" t="n">
        <v>2.76</v>
      </c>
      <c r="X780" s="3" t="n">
        <v>10.91</v>
      </c>
      <c r="Y780" s="3" t="n">
        <v>529</v>
      </c>
      <c r="AA780" s="3" t="n">
        <v>0.52</v>
      </c>
      <c r="AB780" s="3" t="n">
        <v>10.2</v>
      </c>
      <c r="AC780" s="3" t="n">
        <v>1</v>
      </c>
      <c r="AD780" s="3" t="n">
        <v>2</v>
      </c>
      <c r="AE780" s="3" t="n">
        <v>1</v>
      </c>
      <c r="AF780" s="3" t="n">
        <v>1</v>
      </c>
      <c r="AG780" s="3" t="n">
        <v>2</v>
      </c>
      <c r="AH780" s="3" t="n">
        <v>2</v>
      </c>
      <c r="AI780" s="3" t="n">
        <v>2</v>
      </c>
      <c r="AJ780" s="3" t="n">
        <v>1</v>
      </c>
      <c r="AK780" s="3" t="n">
        <v>2</v>
      </c>
      <c r="AL780" s="3" t="n">
        <v>2</v>
      </c>
      <c r="AM780" s="3" t="n">
        <v>2</v>
      </c>
      <c r="AN780" s="3" t="n">
        <v>2</v>
      </c>
      <c r="AO780" s="3" t="n">
        <v>2</v>
      </c>
      <c r="AP780" s="3" t="n">
        <v>3</v>
      </c>
      <c r="AQ780" s="3" t="n">
        <v>4</v>
      </c>
      <c r="AR780" s="3" t="n">
        <v>4</v>
      </c>
      <c r="AS780" s="3" t="n">
        <v>6</v>
      </c>
      <c r="AT780" s="3" t="n">
        <v>4</v>
      </c>
      <c r="AU780" s="3" t="n">
        <v>4</v>
      </c>
      <c r="AV780" s="3" t="n">
        <v>6</v>
      </c>
      <c r="AW780" s="3" t="n">
        <v>6</v>
      </c>
      <c r="AX780" s="3" t="n">
        <v>3</v>
      </c>
      <c r="AY780" s="3" t="n">
        <v>3</v>
      </c>
      <c r="AZ780" s="3" t="n">
        <v>1</v>
      </c>
      <c r="BA780" s="5" t="n">
        <v>1</v>
      </c>
      <c r="BB780" s="3" t="n">
        <v>1</v>
      </c>
      <c r="BC780" s="3" t="n">
        <v>1</v>
      </c>
      <c r="BD780" s="3" t="n">
        <v>4</v>
      </c>
      <c r="BE780" s="3" t="n">
        <v>1</v>
      </c>
      <c r="BF780" s="3" t="n">
        <v>2</v>
      </c>
      <c r="BG780" s="3" t="n">
        <v>1</v>
      </c>
      <c r="BH780" s="3" t="n">
        <v>4</v>
      </c>
      <c r="BI780" s="3" t="n">
        <v>3</v>
      </c>
      <c r="BJ780" s="3" t="n">
        <v>1</v>
      </c>
      <c r="BK780" s="6" t="s">
        <v>2097</v>
      </c>
    </row>
    <row r="781" customFormat="false" ht="15" hidden="false" customHeight="true" outlineLevel="0" collapsed="false">
      <c r="B781" s="2" t="s">
        <v>1956</v>
      </c>
      <c r="C781" s="2" t="s">
        <v>2098</v>
      </c>
      <c r="D781" s="2" t="s">
        <v>61</v>
      </c>
      <c r="E781" s="2" t="n">
        <v>196242</v>
      </c>
      <c r="F781" s="15" t="n">
        <v>43931</v>
      </c>
      <c r="G781" s="15" t="n">
        <v>43932</v>
      </c>
      <c r="H781" s="3" t="n">
        <v>1</v>
      </c>
      <c r="I781" s="3" t="n">
        <v>1</v>
      </c>
      <c r="J781" s="3" t="n">
        <v>45</v>
      </c>
      <c r="K781" s="3" t="n">
        <v>2</v>
      </c>
      <c r="L781" s="3" t="n">
        <v>2</v>
      </c>
      <c r="M781" s="3" t="n">
        <v>1</v>
      </c>
      <c r="N781" s="3" t="n">
        <v>2</v>
      </c>
      <c r="O781" s="3" t="n">
        <v>2</v>
      </c>
      <c r="P781" s="3" t="n">
        <v>2</v>
      </c>
      <c r="Q781" s="3" t="n">
        <v>2</v>
      </c>
      <c r="R781" s="3" t="n">
        <v>2</v>
      </c>
      <c r="S781" s="3" t="n">
        <v>2</v>
      </c>
      <c r="T781" s="4" t="n">
        <v>1</v>
      </c>
      <c r="U781" s="3" t="n">
        <v>1</v>
      </c>
      <c r="AA781" s="3" t="n">
        <v>0.44</v>
      </c>
      <c r="AB781" s="3" t="n">
        <v>7.1</v>
      </c>
      <c r="AC781" s="3" t="n">
        <v>3</v>
      </c>
      <c r="AD781" s="3" t="n">
        <v>1</v>
      </c>
      <c r="AE781" s="3" t="n">
        <v>1</v>
      </c>
      <c r="AF781" s="3" t="n">
        <v>1</v>
      </c>
      <c r="AG781" s="3" t="n">
        <v>1</v>
      </c>
      <c r="AH781" s="3" t="n">
        <v>2</v>
      </c>
      <c r="AI781" s="3" t="n">
        <v>1</v>
      </c>
      <c r="AJ781" s="3" t="n">
        <v>1</v>
      </c>
      <c r="AK781" s="3" t="n">
        <v>2</v>
      </c>
      <c r="AL781" s="3" t="n">
        <v>2</v>
      </c>
      <c r="AM781" s="3" t="n">
        <v>2</v>
      </c>
      <c r="AN781" s="3" t="n">
        <v>2</v>
      </c>
      <c r="AO781" s="3" t="n">
        <v>2</v>
      </c>
      <c r="AP781" s="3" t="n">
        <v>3</v>
      </c>
      <c r="AQ781" s="3" t="n">
        <v>4</v>
      </c>
      <c r="AR781" s="3" t="n">
        <v>4</v>
      </c>
      <c r="AS781" s="3" t="n">
        <v>6</v>
      </c>
      <c r="AT781" s="3" t="n">
        <v>4</v>
      </c>
      <c r="AU781" s="3" t="n">
        <v>4</v>
      </c>
      <c r="AV781" s="3" t="n">
        <v>6</v>
      </c>
      <c r="AW781" s="3" t="n">
        <v>6</v>
      </c>
      <c r="AX781" s="3" t="n">
        <v>3</v>
      </c>
      <c r="AY781" s="3" t="n">
        <v>3</v>
      </c>
      <c r="AZ781" s="3" t="n">
        <v>1</v>
      </c>
      <c r="BA781" s="5" t="n">
        <v>5</v>
      </c>
      <c r="BB781" s="3" t="n">
        <v>2</v>
      </c>
      <c r="BC781" s="3" t="n">
        <v>1</v>
      </c>
      <c r="BD781" s="3" t="n">
        <v>6</v>
      </c>
      <c r="BE781" s="3" t="n">
        <v>3</v>
      </c>
      <c r="BF781" s="3" t="n">
        <v>5</v>
      </c>
      <c r="BG781" s="3" t="n">
        <v>3</v>
      </c>
      <c r="BH781" s="3" t="n">
        <v>4</v>
      </c>
      <c r="BI781" s="3" t="n">
        <v>3</v>
      </c>
      <c r="BJ781" s="3" t="n">
        <v>1</v>
      </c>
      <c r="BK781" s="6" t="s">
        <v>2099</v>
      </c>
    </row>
    <row r="782" customFormat="false" ht="15" hidden="false" customHeight="true" outlineLevel="0" collapsed="false">
      <c r="B782" s="2" t="s">
        <v>2100</v>
      </c>
      <c r="C782" s="2" t="s">
        <v>221</v>
      </c>
      <c r="D782" s="2" t="s">
        <v>433</v>
      </c>
      <c r="E782" s="2" t="n">
        <v>196251</v>
      </c>
      <c r="F782" s="15" t="n">
        <v>43933</v>
      </c>
      <c r="G782" s="15" t="n">
        <v>43939</v>
      </c>
      <c r="H782" s="3" t="n">
        <v>6</v>
      </c>
      <c r="I782" s="3" t="n">
        <v>1</v>
      </c>
      <c r="J782" s="3" t="n">
        <v>56</v>
      </c>
      <c r="K782" s="3" t="n">
        <v>1</v>
      </c>
      <c r="L782" s="3" t="n">
        <v>1</v>
      </c>
      <c r="M782" s="3" t="n">
        <v>1</v>
      </c>
      <c r="N782" s="3" t="n">
        <v>2</v>
      </c>
      <c r="O782" s="3" t="n">
        <v>2</v>
      </c>
      <c r="P782" s="3" t="n">
        <v>2</v>
      </c>
      <c r="Q782" s="3" t="n">
        <v>2</v>
      </c>
      <c r="R782" s="3" t="n">
        <v>2</v>
      </c>
      <c r="S782" s="3" t="n">
        <v>1</v>
      </c>
      <c r="T782" s="4" t="n">
        <v>2</v>
      </c>
      <c r="U782" s="3" t="n">
        <v>2</v>
      </c>
      <c r="V782" s="3" t="n">
        <v>4.34</v>
      </c>
      <c r="W782" s="3" t="n">
        <v>1.54</v>
      </c>
      <c r="X782" s="3" t="n">
        <v>6.83</v>
      </c>
      <c r="Z782" s="3" t="n">
        <v>62.6</v>
      </c>
      <c r="AA782" s="3" t="n">
        <v>0.5</v>
      </c>
      <c r="AB782" s="3" t="n">
        <v>11.2</v>
      </c>
      <c r="AC782" s="3" t="n">
        <v>2</v>
      </c>
      <c r="AD782" s="3" t="n">
        <v>2</v>
      </c>
      <c r="AE782" s="3" t="n">
        <v>1</v>
      </c>
      <c r="AF782" s="3" t="n">
        <v>1</v>
      </c>
      <c r="AG782" s="3" t="n">
        <v>2</v>
      </c>
      <c r="AH782" s="3" t="n">
        <v>2</v>
      </c>
      <c r="AI782" s="3" t="n">
        <v>1</v>
      </c>
      <c r="AJ782" s="3" t="n">
        <v>1</v>
      </c>
      <c r="AK782" s="3" t="n">
        <v>2</v>
      </c>
      <c r="AL782" s="3" t="n">
        <v>2</v>
      </c>
      <c r="AM782" s="3" t="n">
        <v>1</v>
      </c>
      <c r="AN782" s="3" t="n">
        <v>2</v>
      </c>
      <c r="AO782" s="3" t="n">
        <v>2</v>
      </c>
      <c r="AP782" s="3" t="n">
        <v>3</v>
      </c>
      <c r="AQ782" s="3" t="n">
        <v>4</v>
      </c>
      <c r="AR782" s="3" t="n">
        <v>4</v>
      </c>
      <c r="AS782" s="3" t="n">
        <v>6</v>
      </c>
      <c r="AT782" s="3" t="n">
        <v>4</v>
      </c>
      <c r="AU782" s="3" t="n">
        <v>4</v>
      </c>
      <c r="AV782" s="3" t="n">
        <v>6</v>
      </c>
      <c r="AW782" s="3" t="n">
        <v>6</v>
      </c>
      <c r="AX782" s="3" t="n">
        <v>3</v>
      </c>
      <c r="AY782" s="3" t="n">
        <v>3</v>
      </c>
      <c r="AZ782" s="3" t="n">
        <v>4</v>
      </c>
      <c r="BA782" s="5" t="n">
        <v>1</v>
      </c>
      <c r="BB782" s="3" t="n">
        <v>1</v>
      </c>
      <c r="BC782" s="3" t="n">
        <v>1</v>
      </c>
      <c r="BD782" s="3" t="n">
        <v>4</v>
      </c>
      <c r="BE782" s="3" t="n">
        <v>1</v>
      </c>
      <c r="BF782" s="3" t="n">
        <v>2</v>
      </c>
      <c r="BG782" s="3" t="n">
        <v>1</v>
      </c>
      <c r="BH782" s="3" t="n">
        <v>4</v>
      </c>
      <c r="BI782" s="3" t="n">
        <v>1</v>
      </c>
      <c r="BJ782" s="3" t="n">
        <v>1</v>
      </c>
      <c r="BK782" s="6" t="s">
        <v>2101</v>
      </c>
    </row>
    <row r="783" customFormat="false" ht="15" hidden="false" customHeight="true" outlineLevel="0" collapsed="false">
      <c r="B783" s="2" t="s">
        <v>2102</v>
      </c>
      <c r="C783" s="2" t="s">
        <v>94</v>
      </c>
      <c r="D783" s="2" t="s">
        <v>608</v>
      </c>
      <c r="E783" s="2" t="n">
        <v>196246</v>
      </c>
      <c r="F783" s="15" t="n">
        <v>43932</v>
      </c>
      <c r="G783" s="15" t="n">
        <v>43938</v>
      </c>
      <c r="H783" s="3" t="n">
        <v>6</v>
      </c>
      <c r="I783" s="3" t="n">
        <v>2</v>
      </c>
      <c r="J783" s="3" t="n">
        <v>49</v>
      </c>
      <c r="K783" s="3" t="n">
        <v>1</v>
      </c>
      <c r="L783" s="3" t="n">
        <v>1</v>
      </c>
      <c r="M783" s="3" t="n">
        <v>1</v>
      </c>
      <c r="N783" s="3" t="n">
        <v>2</v>
      </c>
      <c r="O783" s="3" t="n">
        <v>2</v>
      </c>
      <c r="P783" s="3" t="n">
        <v>2</v>
      </c>
      <c r="Q783" s="3" t="n">
        <v>2</v>
      </c>
      <c r="R783" s="3" t="n">
        <v>2</v>
      </c>
      <c r="S783" s="3" t="n">
        <v>2</v>
      </c>
      <c r="T783" s="4" t="n">
        <v>2</v>
      </c>
      <c r="U783" s="3" t="n">
        <v>2</v>
      </c>
      <c r="V783" s="3" t="n">
        <v>5.76</v>
      </c>
      <c r="W783" s="3" t="n">
        <v>1.66</v>
      </c>
      <c r="X783" s="3" t="n">
        <v>5.41</v>
      </c>
      <c r="Y783" s="3" t="n">
        <v>455</v>
      </c>
      <c r="Z783" s="3" t="n">
        <v>86.1</v>
      </c>
      <c r="AA783" s="3" t="n">
        <v>0.5</v>
      </c>
      <c r="AB783" s="3" t="n">
        <v>13.1</v>
      </c>
      <c r="AC783" s="3" t="n">
        <v>1</v>
      </c>
      <c r="AD783" s="3" t="n">
        <v>2</v>
      </c>
      <c r="AE783" s="3" t="n">
        <v>1</v>
      </c>
      <c r="AF783" s="3" t="n">
        <v>1</v>
      </c>
      <c r="AG783" s="3" t="n">
        <v>2</v>
      </c>
      <c r="AH783" s="3" t="n">
        <v>2</v>
      </c>
      <c r="AI783" s="3" t="n">
        <v>1</v>
      </c>
      <c r="AJ783" s="3" t="n">
        <v>1</v>
      </c>
      <c r="AK783" s="3" t="n">
        <v>2</v>
      </c>
      <c r="AL783" s="3" t="n">
        <v>2</v>
      </c>
      <c r="AM783" s="3" t="n">
        <v>1</v>
      </c>
      <c r="AN783" s="3" t="n">
        <v>2</v>
      </c>
      <c r="AO783" s="3" t="n">
        <v>2</v>
      </c>
      <c r="AP783" s="3" t="n">
        <v>3</v>
      </c>
      <c r="AQ783" s="3" t="n">
        <v>4</v>
      </c>
      <c r="AR783" s="3" t="n">
        <v>4</v>
      </c>
      <c r="AS783" s="3" t="n">
        <v>6</v>
      </c>
      <c r="AT783" s="3" t="n">
        <v>4</v>
      </c>
      <c r="AU783" s="3" t="n">
        <v>4</v>
      </c>
      <c r="AV783" s="3" t="n">
        <v>6</v>
      </c>
      <c r="AW783" s="3" t="n">
        <v>6</v>
      </c>
      <c r="AX783" s="3" t="n">
        <v>3</v>
      </c>
      <c r="AY783" s="3" t="n">
        <v>3</v>
      </c>
      <c r="AZ783" s="3" t="n">
        <v>1</v>
      </c>
      <c r="BA783" s="5" t="n">
        <v>1</v>
      </c>
      <c r="BB783" s="3" t="n">
        <v>1</v>
      </c>
      <c r="BC783" s="3" t="n">
        <v>1</v>
      </c>
      <c r="BD783" s="3" t="n">
        <v>2</v>
      </c>
      <c r="BE783" s="3" t="n">
        <v>1</v>
      </c>
      <c r="BF783" s="3" t="n">
        <v>2</v>
      </c>
      <c r="BG783" s="3" t="n">
        <v>1</v>
      </c>
      <c r="BH783" s="3" t="n">
        <v>4</v>
      </c>
      <c r="BI783" s="3" t="n">
        <v>1</v>
      </c>
      <c r="BJ783" s="3" t="n">
        <v>1</v>
      </c>
      <c r="BK783" s="6" t="s">
        <v>2103</v>
      </c>
    </row>
    <row r="784" customFormat="false" ht="15" hidden="false" customHeight="true" outlineLevel="0" collapsed="false">
      <c r="B784" s="2" t="s">
        <v>2104</v>
      </c>
      <c r="C784" s="2" t="s">
        <v>218</v>
      </c>
      <c r="D784" s="2" t="s">
        <v>2105</v>
      </c>
      <c r="E784" s="2" t="n">
        <v>196230</v>
      </c>
      <c r="F784" s="15" t="n">
        <v>43931</v>
      </c>
      <c r="G784" s="15" t="n">
        <v>43938</v>
      </c>
      <c r="H784" s="3" t="n">
        <v>7</v>
      </c>
      <c r="I784" s="3" t="n">
        <v>2</v>
      </c>
      <c r="J784" s="3" t="n">
        <v>48</v>
      </c>
      <c r="K784" s="3" t="n">
        <v>1</v>
      </c>
      <c r="L784" s="3" t="n">
        <v>1</v>
      </c>
      <c r="M784" s="3" t="n">
        <v>1</v>
      </c>
      <c r="N784" s="3" t="n">
        <v>2</v>
      </c>
      <c r="O784" s="3" t="n">
        <v>1</v>
      </c>
      <c r="P784" s="3" t="n">
        <v>1</v>
      </c>
      <c r="Q784" s="3" t="n">
        <v>1</v>
      </c>
      <c r="R784" s="3" t="n">
        <v>2</v>
      </c>
      <c r="S784" s="3" t="n">
        <v>2</v>
      </c>
      <c r="T784" s="4" t="n">
        <v>2</v>
      </c>
      <c r="U784" s="3" t="n">
        <v>2</v>
      </c>
      <c r="V784" s="3" t="n">
        <v>4.41</v>
      </c>
      <c r="W784" s="3" t="n">
        <v>2.25</v>
      </c>
      <c r="X784" s="3" t="n">
        <v>9.82</v>
      </c>
      <c r="Y784" s="3" t="n">
        <v>505</v>
      </c>
      <c r="AA784" s="3" t="n">
        <v>0.5</v>
      </c>
      <c r="AB784" s="3" t="n">
        <v>11.4</v>
      </c>
      <c r="AC784" s="3" t="n">
        <v>2</v>
      </c>
      <c r="AD784" s="3" t="n">
        <v>2</v>
      </c>
      <c r="AE784" s="3" t="n">
        <v>1</v>
      </c>
      <c r="AF784" s="3" t="n">
        <v>1</v>
      </c>
      <c r="AG784" s="3" t="n">
        <v>1</v>
      </c>
      <c r="AH784" s="3" t="n">
        <v>2</v>
      </c>
      <c r="AI784" s="3" t="n">
        <v>1</v>
      </c>
      <c r="AJ784" s="3" t="n">
        <v>1</v>
      </c>
      <c r="AK784" s="3" t="n">
        <v>2</v>
      </c>
      <c r="AL784" s="3" t="n">
        <v>2</v>
      </c>
      <c r="AM784" s="3" t="n">
        <v>1</v>
      </c>
      <c r="AN784" s="3" t="n">
        <v>2</v>
      </c>
      <c r="AO784" s="3" t="n">
        <v>2</v>
      </c>
      <c r="AP784" s="3" t="n">
        <v>3</v>
      </c>
      <c r="AQ784" s="3" t="n">
        <v>4</v>
      </c>
      <c r="AR784" s="3" t="n">
        <v>4</v>
      </c>
      <c r="AS784" s="3" t="n">
        <v>6</v>
      </c>
      <c r="AT784" s="3" t="n">
        <v>4</v>
      </c>
      <c r="AU784" s="3" t="n">
        <v>4</v>
      </c>
      <c r="AV784" s="3" t="n">
        <v>6</v>
      </c>
      <c r="AW784" s="3" t="n">
        <v>6</v>
      </c>
      <c r="AX784" s="3" t="n">
        <v>3</v>
      </c>
      <c r="AY784" s="3" t="n">
        <v>3</v>
      </c>
      <c r="AZ784" s="3" t="n">
        <v>1</v>
      </c>
      <c r="BA784" s="5" t="n">
        <v>1</v>
      </c>
      <c r="BB784" s="3" t="n">
        <v>1</v>
      </c>
      <c r="BC784" s="3" t="n">
        <v>1</v>
      </c>
      <c r="BD784" s="3" t="n">
        <v>2</v>
      </c>
      <c r="BE784" s="3" t="n">
        <v>1</v>
      </c>
      <c r="BF784" s="3" t="n">
        <v>2</v>
      </c>
      <c r="BG784" s="3" t="n">
        <v>1</v>
      </c>
      <c r="BH784" s="3" t="n">
        <v>4</v>
      </c>
      <c r="BI784" s="3" t="n">
        <v>1</v>
      </c>
      <c r="BJ784" s="3" t="n">
        <v>1</v>
      </c>
      <c r="BK784" s="6" t="s">
        <v>2106</v>
      </c>
    </row>
    <row r="785" customFormat="false" ht="15" hidden="false" customHeight="true" outlineLevel="0" collapsed="false">
      <c r="B785" s="2" t="s">
        <v>2107</v>
      </c>
      <c r="C785" s="2" t="s">
        <v>2108</v>
      </c>
      <c r="D785" s="2" t="s">
        <v>115</v>
      </c>
      <c r="E785" s="2" t="n">
        <v>196717</v>
      </c>
      <c r="F785" s="15" t="n">
        <v>43934</v>
      </c>
      <c r="G785" s="15" t="n">
        <v>43941</v>
      </c>
      <c r="H785" s="3" t="n">
        <v>7</v>
      </c>
      <c r="I785" s="3" t="n">
        <v>2</v>
      </c>
      <c r="J785" s="3" t="n">
        <v>54</v>
      </c>
      <c r="K785" s="3" t="n">
        <v>1</v>
      </c>
      <c r="L785" s="3" t="n">
        <v>2</v>
      </c>
      <c r="M785" s="3" t="n">
        <v>1</v>
      </c>
      <c r="N785" s="3" t="n">
        <v>2</v>
      </c>
      <c r="O785" s="3" t="n">
        <v>2</v>
      </c>
      <c r="P785" s="3" t="n">
        <v>2</v>
      </c>
      <c r="Q785" s="3" t="n">
        <v>1</v>
      </c>
      <c r="R785" s="3" t="n">
        <v>2</v>
      </c>
      <c r="S785" s="3" t="n">
        <v>1</v>
      </c>
      <c r="T785" s="4" t="n">
        <v>2</v>
      </c>
      <c r="U785" s="3" t="n">
        <v>2</v>
      </c>
      <c r="V785" s="3" t="n">
        <v>4.33</v>
      </c>
      <c r="W785" s="3" t="n">
        <v>2.16</v>
      </c>
      <c r="X785" s="3" t="n">
        <v>9.4</v>
      </c>
      <c r="Y785" s="3" t="n">
        <v>387</v>
      </c>
      <c r="Z785" s="3" t="n">
        <v>106.7</v>
      </c>
      <c r="AA785" s="3" t="n">
        <v>0.37</v>
      </c>
      <c r="AB785" s="3" t="n">
        <v>11</v>
      </c>
      <c r="AC785" s="3" t="n">
        <v>1</v>
      </c>
      <c r="AD785" s="3" t="n">
        <v>2</v>
      </c>
      <c r="AE785" s="3" t="n">
        <v>1</v>
      </c>
      <c r="AF785" s="3" t="n">
        <v>1</v>
      </c>
      <c r="AG785" s="3" t="n">
        <v>1</v>
      </c>
      <c r="AH785" s="3" t="n">
        <v>2</v>
      </c>
      <c r="AI785" s="3" t="n">
        <v>1</v>
      </c>
      <c r="AJ785" s="3" t="n">
        <v>1</v>
      </c>
      <c r="AK785" s="3" t="n">
        <v>2</v>
      </c>
      <c r="AL785" s="3" t="n">
        <v>2</v>
      </c>
      <c r="AM785" s="3" t="n">
        <v>2</v>
      </c>
      <c r="AN785" s="3" t="n">
        <v>2</v>
      </c>
      <c r="AO785" s="3" t="n">
        <v>1</v>
      </c>
      <c r="AP785" s="3" t="n">
        <v>3</v>
      </c>
      <c r="AQ785" s="3" t="n">
        <v>4</v>
      </c>
      <c r="AR785" s="3" t="n">
        <v>4</v>
      </c>
      <c r="AS785" s="3" t="n">
        <v>6</v>
      </c>
      <c r="AT785" s="3" t="n">
        <v>4</v>
      </c>
      <c r="AU785" s="3" t="n">
        <v>4</v>
      </c>
      <c r="AV785" s="3" t="n">
        <v>6</v>
      </c>
      <c r="AW785" s="3" t="n">
        <v>6</v>
      </c>
      <c r="AX785" s="3" t="n">
        <v>3</v>
      </c>
      <c r="AY785" s="3" t="n">
        <v>3</v>
      </c>
      <c r="AZ785" s="3" t="n">
        <v>10</v>
      </c>
      <c r="BA785" s="5" t="n">
        <v>1</v>
      </c>
      <c r="BB785" s="3" t="n">
        <v>1</v>
      </c>
      <c r="BC785" s="3" t="n">
        <v>1</v>
      </c>
      <c r="BD785" s="3" t="n">
        <v>4</v>
      </c>
      <c r="BE785" s="3" t="n">
        <v>1</v>
      </c>
      <c r="BF785" s="3" t="n">
        <v>2</v>
      </c>
      <c r="BG785" s="3" t="n">
        <v>1</v>
      </c>
      <c r="BH785" s="3" t="n">
        <v>4</v>
      </c>
      <c r="BI785" s="3" t="n">
        <v>1</v>
      </c>
      <c r="BJ785" s="3" t="n">
        <v>1</v>
      </c>
      <c r="BK785" s="6" t="s">
        <v>2109</v>
      </c>
    </row>
    <row r="786" customFormat="false" ht="15" hidden="false" customHeight="true" outlineLevel="0" collapsed="false">
      <c r="B786" s="2" t="s">
        <v>950</v>
      </c>
      <c r="C786" s="2" t="s">
        <v>549</v>
      </c>
      <c r="D786" s="2" t="s">
        <v>66</v>
      </c>
      <c r="E786" s="2" t="n">
        <v>117521</v>
      </c>
      <c r="F786" s="15" t="n">
        <v>43938</v>
      </c>
      <c r="G786" s="15" t="n">
        <v>43942</v>
      </c>
      <c r="H786" s="3" t="n">
        <v>4</v>
      </c>
      <c r="I786" s="3" t="n">
        <v>2</v>
      </c>
      <c r="J786" s="3" t="n">
        <v>88</v>
      </c>
      <c r="K786" s="3" t="n">
        <v>1</v>
      </c>
      <c r="L786" s="3" t="n">
        <v>2</v>
      </c>
      <c r="M786" s="3" t="n">
        <v>2</v>
      </c>
      <c r="N786" s="3" t="n">
        <v>2</v>
      </c>
      <c r="O786" s="3" t="n">
        <v>2</v>
      </c>
      <c r="P786" s="3" t="n">
        <v>2</v>
      </c>
      <c r="Q786" s="3" t="n">
        <v>2</v>
      </c>
      <c r="R786" s="3" t="n">
        <v>2</v>
      </c>
      <c r="S786" s="3" t="n">
        <v>2</v>
      </c>
      <c r="T786" s="4" t="n">
        <v>6</v>
      </c>
      <c r="U786" s="3" t="n">
        <v>4</v>
      </c>
      <c r="AA786" s="3" t="n">
        <v>0.3</v>
      </c>
      <c r="AB786" s="3" t="n">
        <v>12</v>
      </c>
      <c r="AC786" s="3" t="n">
        <v>3</v>
      </c>
      <c r="AD786" s="3" t="n">
        <v>2</v>
      </c>
      <c r="AE786" s="3" t="n">
        <v>1</v>
      </c>
      <c r="AF786" s="3" t="n">
        <v>2</v>
      </c>
      <c r="AG786" s="3" t="n">
        <v>2</v>
      </c>
      <c r="AH786" s="3" t="n">
        <v>2</v>
      </c>
      <c r="AI786" s="3" t="n">
        <v>2</v>
      </c>
      <c r="AJ786" s="3" t="n">
        <v>2</v>
      </c>
      <c r="AK786" s="3" t="n">
        <v>2</v>
      </c>
      <c r="AL786" s="3" t="n">
        <v>2</v>
      </c>
      <c r="AM786" s="3" t="n">
        <v>1</v>
      </c>
      <c r="AN786" s="3" t="n">
        <v>1</v>
      </c>
      <c r="AO786" s="3" t="n">
        <v>2</v>
      </c>
      <c r="AP786" s="3" t="n">
        <v>3</v>
      </c>
      <c r="AQ786" s="3" t="n">
        <v>4</v>
      </c>
      <c r="AR786" s="3" t="n">
        <v>4</v>
      </c>
      <c r="AS786" s="3" t="n">
        <v>6</v>
      </c>
      <c r="AT786" s="3" t="n">
        <v>4</v>
      </c>
      <c r="AU786" s="3" t="n">
        <v>4</v>
      </c>
      <c r="AV786" s="3" t="n">
        <v>6</v>
      </c>
      <c r="AW786" s="3" t="n">
        <v>6</v>
      </c>
      <c r="AX786" s="3" t="n">
        <v>3</v>
      </c>
      <c r="AY786" s="3" t="n">
        <v>3</v>
      </c>
      <c r="AZ786" s="3" t="n">
        <v>1</v>
      </c>
      <c r="BA786" s="5" t="n">
        <v>10</v>
      </c>
      <c r="BB786" s="3" t="n">
        <v>2</v>
      </c>
      <c r="BC786" s="3" t="n">
        <v>1</v>
      </c>
      <c r="BD786" s="3" t="n">
        <v>6</v>
      </c>
      <c r="BE786" s="3" t="n">
        <v>3</v>
      </c>
      <c r="BF786" s="3" t="n">
        <v>5</v>
      </c>
      <c r="BG786" s="3" t="n">
        <v>3</v>
      </c>
      <c r="BH786" s="3" t="n">
        <v>4</v>
      </c>
      <c r="BI786" s="3" t="n">
        <v>1</v>
      </c>
      <c r="BJ786" s="3" t="n">
        <v>1</v>
      </c>
      <c r="BK786" s="6" t="s">
        <v>2110</v>
      </c>
    </row>
    <row r="787" customFormat="false" ht="15" hidden="false" customHeight="true" outlineLevel="0" collapsed="false">
      <c r="B787" s="2" t="s">
        <v>2111</v>
      </c>
      <c r="C787" s="2" t="s">
        <v>536</v>
      </c>
      <c r="D787" s="2" t="s">
        <v>608</v>
      </c>
      <c r="E787" s="2" t="n">
        <v>196746</v>
      </c>
      <c r="F787" s="15" t="n">
        <v>43935</v>
      </c>
      <c r="G787" s="15" t="n">
        <v>43941</v>
      </c>
      <c r="H787" s="3" t="n">
        <v>6</v>
      </c>
      <c r="I787" s="3" t="n">
        <v>2</v>
      </c>
      <c r="J787" s="3" t="n">
        <v>75</v>
      </c>
      <c r="K787" s="3" t="n">
        <v>1</v>
      </c>
      <c r="L787" s="3" t="n">
        <v>2</v>
      </c>
      <c r="M787" s="3" t="n">
        <v>2</v>
      </c>
      <c r="N787" s="3" t="n">
        <v>2</v>
      </c>
      <c r="O787" s="3" t="n">
        <v>2</v>
      </c>
      <c r="P787" s="3" t="n">
        <v>2</v>
      </c>
      <c r="Q787" s="3" t="n">
        <v>2</v>
      </c>
      <c r="R787" s="3" t="n">
        <v>2</v>
      </c>
      <c r="S787" s="3" t="n">
        <v>2</v>
      </c>
      <c r="T787" s="4" t="n">
        <v>2</v>
      </c>
      <c r="U787" s="3" t="n">
        <v>2</v>
      </c>
      <c r="V787" s="3" t="n">
        <v>3.67</v>
      </c>
      <c r="W787" s="3" t="n">
        <v>0.39</v>
      </c>
      <c r="X787" s="3" t="n">
        <v>7.06</v>
      </c>
      <c r="Y787" s="3" t="n">
        <v>359</v>
      </c>
      <c r="Z787" s="3" t="n">
        <v>90</v>
      </c>
      <c r="AA787" s="3" t="n">
        <v>0.37</v>
      </c>
      <c r="AB787" s="3" t="n">
        <v>11</v>
      </c>
      <c r="AC787" s="3" t="n">
        <v>1</v>
      </c>
      <c r="AD787" s="3" t="n">
        <v>2</v>
      </c>
      <c r="AE787" s="3" t="n">
        <v>1</v>
      </c>
      <c r="AF787" s="3" t="n">
        <v>1</v>
      </c>
      <c r="AG787" s="3" t="n">
        <v>2</v>
      </c>
      <c r="AH787" s="3" t="n">
        <v>2</v>
      </c>
      <c r="AI787" s="3" t="n">
        <v>1</v>
      </c>
      <c r="AJ787" s="3" t="n">
        <v>2</v>
      </c>
      <c r="AK787" s="3" t="n">
        <v>2</v>
      </c>
      <c r="AL787" s="3" t="n">
        <v>2</v>
      </c>
      <c r="AM787" s="3" t="n">
        <v>2</v>
      </c>
      <c r="AN787" s="3" t="n">
        <v>1</v>
      </c>
      <c r="AO787" s="3" t="n">
        <v>2</v>
      </c>
      <c r="AP787" s="3" t="n">
        <v>3</v>
      </c>
      <c r="AQ787" s="3" t="n">
        <v>4</v>
      </c>
      <c r="AR787" s="3" t="n">
        <v>4</v>
      </c>
      <c r="AS787" s="3" t="n">
        <v>6</v>
      </c>
      <c r="AT787" s="3" t="n">
        <v>4</v>
      </c>
      <c r="AU787" s="3" t="n">
        <v>4</v>
      </c>
      <c r="AV787" s="3" t="n">
        <v>6</v>
      </c>
      <c r="AW787" s="3" t="n">
        <v>6</v>
      </c>
      <c r="AX787" s="3" t="n">
        <v>3</v>
      </c>
      <c r="AY787" s="3" t="n">
        <v>3</v>
      </c>
      <c r="AZ787" s="3" t="n">
        <v>6</v>
      </c>
      <c r="BA787" s="5" t="n">
        <v>1</v>
      </c>
      <c r="BB787" s="3" t="n">
        <v>1</v>
      </c>
      <c r="BC787" s="3" t="n">
        <v>1</v>
      </c>
      <c r="BD787" s="3" t="n">
        <v>4</v>
      </c>
      <c r="BE787" s="3" t="n">
        <v>3</v>
      </c>
      <c r="BF787" s="3" t="n">
        <v>5</v>
      </c>
      <c r="BG787" s="3" t="n">
        <v>3</v>
      </c>
      <c r="BH787" s="3" t="n">
        <v>4</v>
      </c>
      <c r="BI787" s="3" t="n">
        <v>1</v>
      </c>
      <c r="BJ787" s="3" t="n">
        <v>1</v>
      </c>
      <c r="BK787" s="6" t="s">
        <v>2112</v>
      </c>
    </row>
    <row r="788" customFormat="false" ht="15" hidden="false" customHeight="true" outlineLevel="0" collapsed="false">
      <c r="B788" s="2" t="s">
        <v>1256</v>
      </c>
      <c r="C788" s="2" t="s">
        <v>2113</v>
      </c>
      <c r="D788" s="2" t="s">
        <v>2114</v>
      </c>
      <c r="E788" s="2" t="n">
        <v>178849</v>
      </c>
      <c r="F788" s="15" t="n">
        <v>43937</v>
      </c>
      <c r="G788" s="15" t="n">
        <v>43942</v>
      </c>
      <c r="H788" s="3" t="n">
        <v>5</v>
      </c>
      <c r="I788" s="3" t="n">
        <v>1</v>
      </c>
      <c r="J788" s="3" t="n">
        <v>67</v>
      </c>
      <c r="K788" s="3" t="n">
        <v>1</v>
      </c>
      <c r="L788" s="3" t="n">
        <v>1</v>
      </c>
      <c r="M788" s="3" t="n">
        <v>1</v>
      </c>
      <c r="N788" s="3" t="n">
        <v>2</v>
      </c>
      <c r="O788" s="3" t="n">
        <v>2</v>
      </c>
      <c r="P788" s="3" t="n">
        <v>2</v>
      </c>
      <c r="Q788" s="3" t="n">
        <v>2</v>
      </c>
      <c r="R788" s="3" t="n">
        <v>2</v>
      </c>
      <c r="S788" s="3" t="n">
        <v>2</v>
      </c>
      <c r="T788" s="4" t="n">
        <v>1</v>
      </c>
      <c r="U788" s="3" t="n">
        <v>1</v>
      </c>
      <c r="V788" s="3" t="n">
        <v>6.55</v>
      </c>
      <c r="W788" s="3" t="n">
        <v>3.76</v>
      </c>
      <c r="X788" s="3" t="n">
        <v>7.44</v>
      </c>
      <c r="Z788" s="3" t="n">
        <v>97.4</v>
      </c>
      <c r="AA788" s="3" t="n">
        <v>0.38</v>
      </c>
      <c r="AB788" s="3" t="n">
        <v>14.9</v>
      </c>
      <c r="AC788" s="3" t="n">
        <v>1</v>
      </c>
      <c r="AD788" s="3" t="n">
        <v>1</v>
      </c>
      <c r="AE788" s="3" t="n">
        <v>1</v>
      </c>
      <c r="AF788" s="3" t="n">
        <v>1</v>
      </c>
      <c r="AG788" s="3" t="n">
        <v>1</v>
      </c>
      <c r="AH788" s="3" t="n">
        <v>2</v>
      </c>
      <c r="AI788" s="3" t="n">
        <v>1</v>
      </c>
      <c r="AJ788" s="3" t="n">
        <v>1</v>
      </c>
      <c r="AK788" s="3" t="n">
        <v>2</v>
      </c>
      <c r="AL788" s="3" t="n">
        <v>2</v>
      </c>
      <c r="AM788" s="3" t="n">
        <v>1</v>
      </c>
      <c r="AN788" s="3" t="n">
        <v>2</v>
      </c>
      <c r="AO788" s="3" t="n">
        <v>2</v>
      </c>
      <c r="AP788" s="3" t="n">
        <v>3</v>
      </c>
      <c r="AQ788" s="3" t="n">
        <v>4</v>
      </c>
      <c r="AR788" s="3" t="n">
        <v>4</v>
      </c>
      <c r="AS788" s="3" t="n">
        <v>6</v>
      </c>
      <c r="AT788" s="3" t="n">
        <v>4</v>
      </c>
      <c r="AU788" s="3" t="n">
        <v>4</v>
      </c>
      <c r="AV788" s="3" t="n">
        <v>6</v>
      </c>
      <c r="AW788" s="3" t="n">
        <v>6</v>
      </c>
      <c r="AX788" s="3" t="n">
        <v>3</v>
      </c>
      <c r="AY788" s="3" t="n">
        <v>3</v>
      </c>
      <c r="AZ788" s="3" t="n">
        <v>1</v>
      </c>
      <c r="BA788" s="5" t="n">
        <v>2</v>
      </c>
      <c r="BB788" s="3" t="n">
        <v>1</v>
      </c>
      <c r="BC788" s="3" t="n">
        <v>1</v>
      </c>
      <c r="BD788" s="3" t="n">
        <v>6</v>
      </c>
      <c r="BE788" s="3" t="n">
        <v>3</v>
      </c>
      <c r="BF788" s="3" t="n">
        <v>5</v>
      </c>
      <c r="BG788" s="3" t="n">
        <v>3</v>
      </c>
      <c r="BH788" s="3" t="n">
        <v>4</v>
      </c>
      <c r="BI788" s="3" t="n">
        <v>1</v>
      </c>
      <c r="BJ788" s="3" t="n">
        <v>1</v>
      </c>
      <c r="BK788" s="6" t="s">
        <v>2115</v>
      </c>
    </row>
    <row r="789" customFormat="false" ht="15" hidden="false" customHeight="true" outlineLevel="0" collapsed="false">
      <c r="B789" s="2" t="s">
        <v>894</v>
      </c>
      <c r="C789" s="2" t="s">
        <v>2116</v>
      </c>
      <c r="D789" s="2" t="s">
        <v>2117</v>
      </c>
      <c r="E789" s="2" t="n">
        <v>196919</v>
      </c>
      <c r="F789" s="15" t="n">
        <v>43938</v>
      </c>
      <c r="G789" s="15" t="n">
        <v>43941</v>
      </c>
      <c r="H789" s="3" t="n">
        <v>3</v>
      </c>
      <c r="I789" s="3" t="n">
        <v>2</v>
      </c>
      <c r="J789" s="3" t="n">
        <v>69</v>
      </c>
      <c r="K789" s="3" t="n">
        <v>1</v>
      </c>
      <c r="L789" s="3" t="n">
        <v>2</v>
      </c>
      <c r="M789" s="3" t="n">
        <v>1</v>
      </c>
      <c r="N789" s="3" t="n">
        <v>2</v>
      </c>
      <c r="O789" s="3" t="n">
        <v>2</v>
      </c>
      <c r="P789" s="3" t="n">
        <v>2</v>
      </c>
      <c r="Q789" s="3" t="n">
        <v>2</v>
      </c>
      <c r="R789" s="3" t="n">
        <v>2</v>
      </c>
      <c r="S789" s="3" t="n">
        <v>2</v>
      </c>
      <c r="T789" s="4" t="n">
        <v>4</v>
      </c>
      <c r="U789" s="3" t="n">
        <v>4</v>
      </c>
      <c r="V789" s="3" t="n">
        <v>4.05</v>
      </c>
      <c r="W789" s="3" t="n">
        <v>0.49</v>
      </c>
      <c r="X789" s="3" t="n">
        <v>5.01</v>
      </c>
      <c r="Y789" s="3" t="n">
        <v>354</v>
      </c>
      <c r="Z789" s="3" t="n">
        <v>129</v>
      </c>
      <c r="AA789" s="3" t="n">
        <v>0.41</v>
      </c>
      <c r="AB789" s="3" t="n">
        <v>6.8</v>
      </c>
      <c r="AC789" s="3" t="n">
        <v>3</v>
      </c>
      <c r="AD789" s="3" t="n">
        <v>2</v>
      </c>
      <c r="AE789" s="3" t="n">
        <v>1</v>
      </c>
      <c r="AF789" s="3" t="n">
        <v>2</v>
      </c>
      <c r="AG789" s="3" t="n">
        <v>2</v>
      </c>
      <c r="AH789" s="3" t="n">
        <v>2</v>
      </c>
      <c r="AI789" s="3" t="n">
        <v>2</v>
      </c>
      <c r="AJ789" s="3" t="n">
        <v>2</v>
      </c>
      <c r="AK789" s="3" t="n">
        <v>2</v>
      </c>
      <c r="AL789" s="3" t="n">
        <v>2</v>
      </c>
      <c r="AM789" s="3" t="n">
        <v>1</v>
      </c>
      <c r="AN789" s="3" t="n">
        <v>2</v>
      </c>
      <c r="AO789" s="3" t="n">
        <v>2</v>
      </c>
      <c r="AP789" s="3" t="n">
        <v>3</v>
      </c>
      <c r="AQ789" s="3" t="n">
        <v>4</v>
      </c>
      <c r="AR789" s="3" t="n">
        <v>4</v>
      </c>
      <c r="AS789" s="3" t="n">
        <v>6</v>
      </c>
      <c r="AT789" s="3" t="n">
        <v>4</v>
      </c>
      <c r="AU789" s="3" t="n">
        <v>4</v>
      </c>
      <c r="AV789" s="3" t="n">
        <v>6</v>
      </c>
      <c r="AW789" s="3" t="n">
        <v>6</v>
      </c>
      <c r="AX789" s="3" t="n">
        <v>3</v>
      </c>
      <c r="AY789" s="3" t="n">
        <v>3</v>
      </c>
      <c r="AZ789" s="3" t="n">
        <v>1</v>
      </c>
      <c r="BA789" s="5" t="n">
        <v>10</v>
      </c>
      <c r="BB789" s="3" t="n">
        <v>2</v>
      </c>
      <c r="BC789" s="3" t="n">
        <v>1</v>
      </c>
      <c r="BD789" s="3" t="n">
        <v>6</v>
      </c>
      <c r="BE789" s="3" t="n">
        <v>3</v>
      </c>
      <c r="BF789" s="3" t="n">
        <v>5</v>
      </c>
      <c r="BG789" s="3" t="n">
        <v>3</v>
      </c>
      <c r="BH789" s="3" t="n">
        <v>4</v>
      </c>
      <c r="BI789" s="3" t="n">
        <v>1</v>
      </c>
      <c r="BJ789" s="3" t="n">
        <v>1</v>
      </c>
      <c r="BK789" s="6" t="s">
        <v>2118</v>
      </c>
    </row>
    <row r="790" s="30" customFormat="true" ht="15" hidden="false" customHeight="true" outlineLevel="0" collapsed="false">
      <c r="A790" s="24"/>
      <c r="B790" s="26" t="s">
        <v>140</v>
      </c>
      <c r="C790" s="26" t="s">
        <v>1417</v>
      </c>
      <c r="D790" s="26" t="s">
        <v>2119</v>
      </c>
      <c r="E790" s="26" t="s">
        <v>2120</v>
      </c>
      <c r="F790" s="27" t="n">
        <v>43939</v>
      </c>
      <c r="G790" s="27" t="n">
        <v>43940</v>
      </c>
      <c r="H790" s="30" t="n">
        <v>1</v>
      </c>
      <c r="I790" s="30" t="n">
        <v>2</v>
      </c>
      <c r="J790" s="30" t="n">
        <v>70</v>
      </c>
      <c r="K790" s="30" t="n">
        <v>1</v>
      </c>
      <c r="L790" s="30" t="n">
        <v>2</v>
      </c>
      <c r="M790" s="30" t="n">
        <v>1</v>
      </c>
      <c r="N790" s="30" t="n">
        <v>2</v>
      </c>
      <c r="O790" s="30" t="n">
        <v>2</v>
      </c>
      <c r="P790" s="30" t="n">
        <v>2</v>
      </c>
      <c r="Q790" s="30" t="n">
        <v>2</v>
      </c>
      <c r="R790" s="30" t="n">
        <v>2</v>
      </c>
      <c r="S790" s="30" t="n">
        <v>1</v>
      </c>
      <c r="T790" s="4" t="n">
        <v>2</v>
      </c>
      <c r="U790" s="30" t="n">
        <v>2</v>
      </c>
      <c r="AC790" s="30" t="n">
        <v>3</v>
      </c>
      <c r="AD790" s="30" t="n">
        <v>2</v>
      </c>
      <c r="AE790" s="30" t="n">
        <v>1</v>
      </c>
      <c r="AF790" s="30" t="n">
        <v>1</v>
      </c>
      <c r="AG790" s="30" t="n">
        <v>2</v>
      </c>
      <c r="AH790" s="30" t="n">
        <v>2</v>
      </c>
      <c r="AI790" s="30" t="n">
        <v>1</v>
      </c>
      <c r="AJ790" s="30" t="n">
        <v>1</v>
      </c>
      <c r="AK790" s="30" t="n">
        <v>2</v>
      </c>
      <c r="AL790" s="30" t="n">
        <v>2</v>
      </c>
      <c r="AM790" s="30" t="n">
        <v>1</v>
      </c>
      <c r="AN790" s="30" t="n">
        <v>2</v>
      </c>
      <c r="AO790" s="30" t="n">
        <v>2</v>
      </c>
      <c r="AP790" s="30" t="n">
        <v>3</v>
      </c>
      <c r="AQ790" s="30" t="n">
        <v>4</v>
      </c>
      <c r="AR790" s="30" t="n">
        <v>4</v>
      </c>
      <c r="AS790" s="30" t="n">
        <v>6</v>
      </c>
      <c r="AT790" s="30" t="n">
        <v>4</v>
      </c>
      <c r="AU790" s="30" t="n">
        <v>4</v>
      </c>
      <c r="AV790" s="30" t="n">
        <v>6</v>
      </c>
      <c r="AW790" s="30" t="n">
        <v>6</v>
      </c>
      <c r="AX790" s="30" t="n">
        <v>3</v>
      </c>
      <c r="AY790" s="30" t="n">
        <v>3</v>
      </c>
      <c r="AZ790" s="30" t="n">
        <v>1</v>
      </c>
      <c r="BA790" s="5" t="n">
        <v>1</v>
      </c>
      <c r="BB790" s="30" t="n">
        <v>1</v>
      </c>
      <c r="BC790" s="30" t="n">
        <v>1</v>
      </c>
      <c r="BD790" s="30" t="n">
        <v>3</v>
      </c>
      <c r="BE790" s="30" t="n">
        <v>1</v>
      </c>
      <c r="BF790" s="30" t="n">
        <v>2</v>
      </c>
      <c r="BG790" s="30" t="n">
        <v>1</v>
      </c>
      <c r="BH790" s="30" t="n">
        <v>4</v>
      </c>
      <c r="BI790" s="30" t="n">
        <v>1</v>
      </c>
      <c r="BJ790" s="30" t="n">
        <v>1</v>
      </c>
      <c r="BK790" s="31" t="s">
        <v>2121</v>
      </c>
    </row>
    <row r="791" customFormat="false" ht="15" hidden="false" customHeight="true" outlineLevel="0" collapsed="false">
      <c r="B791" s="2" t="s">
        <v>286</v>
      </c>
      <c r="C791" s="2" t="s">
        <v>1557</v>
      </c>
      <c r="D791" s="2" t="s">
        <v>222</v>
      </c>
      <c r="E791" s="2" t="n">
        <v>196923</v>
      </c>
      <c r="F791" s="15" t="n">
        <v>43938</v>
      </c>
      <c r="G791" s="15" t="n">
        <v>43944</v>
      </c>
      <c r="H791" s="3" t="n">
        <v>6</v>
      </c>
      <c r="I791" s="3" t="n">
        <v>2</v>
      </c>
      <c r="J791" s="3" t="n">
        <v>78</v>
      </c>
      <c r="K791" s="3" t="n">
        <v>1</v>
      </c>
      <c r="L791" s="3" t="n">
        <v>1</v>
      </c>
      <c r="M791" s="3" t="n">
        <v>1</v>
      </c>
      <c r="N791" s="3" t="n">
        <v>2</v>
      </c>
      <c r="O791" s="3" t="n">
        <v>2</v>
      </c>
      <c r="P791" s="3" t="n">
        <v>2</v>
      </c>
      <c r="Q791" s="3" t="n">
        <v>2</v>
      </c>
      <c r="R791" s="3" t="n">
        <v>2</v>
      </c>
      <c r="S791" s="3" t="n">
        <v>1</v>
      </c>
      <c r="T791" s="4" t="n">
        <v>1</v>
      </c>
      <c r="U791" s="3" t="n">
        <v>4</v>
      </c>
      <c r="V791" s="3" t="n">
        <v>5.18</v>
      </c>
      <c r="W791" s="3" t="n">
        <v>2.64</v>
      </c>
      <c r="X791" s="3" t="n">
        <v>4.38</v>
      </c>
      <c r="Y791" s="3" t="n">
        <v>533</v>
      </c>
      <c r="Z791" s="3" t="n">
        <v>371</v>
      </c>
      <c r="AA791" s="3" t="n">
        <v>0.4</v>
      </c>
      <c r="AB791" s="3" t="n">
        <v>9.6</v>
      </c>
      <c r="AC791" s="3" t="n">
        <v>3</v>
      </c>
      <c r="AD791" s="3" t="n">
        <v>1</v>
      </c>
      <c r="AE791" s="3" t="n">
        <v>2</v>
      </c>
      <c r="AF791" s="3" t="n">
        <v>2</v>
      </c>
      <c r="AG791" s="3" t="n">
        <v>2</v>
      </c>
      <c r="AH791" s="3" t="n">
        <v>2</v>
      </c>
      <c r="AI791" s="3" t="n">
        <v>2</v>
      </c>
      <c r="AJ791" s="3" t="n">
        <v>1</v>
      </c>
      <c r="AK791" s="3" t="n">
        <v>2</v>
      </c>
      <c r="AL791" s="3" t="n">
        <v>2</v>
      </c>
      <c r="AM791" s="3" t="n">
        <v>2</v>
      </c>
      <c r="AN791" s="3" t="n">
        <v>2</v>
      </c>
      <c r="AO791" s="3" t="n">
        <v>2</v>
      </c>
      <c r="AP791" s="3" t="n">
        <v>3</v>
      </c>
      <c r="AQ791" s="3" t="n">
        <v>4</v>
      </c>
      <c r="AR791" s="3" t="n">
        <v>4</v>
      </c>
      <c r="AS791" s="3" t="n">
        <v>6</v>
      </c>
      <c r="AT791" s="3" t="n">
        <v>4</v>
      </c>
      <c r="AU791" s="3" t="n">
        <v>4</v>
      </c>
      <c r="AV791" s="3" t="n">
        <v>6</v>
      </c>
      <c r="AW791" s="3" t="n">
        <v>6</v>
      </c>
      <c r="AX791" s="3" t="n">
        <v>3</v>
      </c>
      <c r="AY791" s="3" t="n">
        <v>3</v>
      </c>
      <c r="AZ791" s="3" t="n">
        <v>1</v>
      </c>
      <c r="BA791" s="5" t="n">
        <v>5</v>
      </c>
      <c r="BB791" s="3" t="n">
        <v>2</v>
      </c>
      <c r="BC791" s="3" t="n">
        <v>1</v>
      </c>
      <c r="BD791" s="3" t="n">
        <v>6</v>
      </c>
      <c r="BE791" s="3" t="n">
        <v>3</v>
      </c>
      <c r="BF791" s="3" t="n">
        <v>5</v>
      </c>
      <c r="BG791" s="3" t="n">
        <v>3</v>
      </c>
      <c r="BH791" s="3" t="n">
        <v>4</v>
      </c>
      <c r="BI791" s="3" t="n">
        <v>1</v>
      </c>
      <c r="BJ791" s="3" t="n">
        <v>1</v>
      </c>
      <c r="BK791" s="6" t="s">
        <v>2122</v>
      </c>
    </row>
    <row r="792" customFormat="false" ht="15" hidden="false" customHeight="true" outlineLevel="0" collapsed="false">
      <c r="B792" s="2" t="s">
        <v>2123</v>
      </c>
      <c r="C792" s="2" t="s">
        <v>849</v>
      </c>
      <c r="D792" s="2" t="s">
        <v>2124</v>
      </c>
      <c r="E792" s="2" t="n">
        <v>196911</v>
      </c>
      <c r="F792" s="15" t="n">
        <v>43937</v>
      </c>
      <c r="G792" s="15" t="n">
        <v>43944</v>
      </c>
      <c r="H792" s="3" t="n">
        <v>7</v>
      </c>
      <c r="I792" s="3" t="n">
        <v>2</v>
      </c>
      <c r="J792" s="3" t="n">
        <v>51</v>
      </c>
      <c r="K792" s="3" t="n">
        <v>2</v>
      </c>
      <c r="L792" s="3" t="n">
        <v>1</v>
      </c>
      <c r="M792" s="3" t="n">
        <v>1</v>
      </c>
      <c r="N792" s="3" t="n">
        <v>2</v>
      </c>
      <c r="O792" s="3" t="n">
        <v>2</v>
      </c>
      <c r="P792" s="3" t="n">
        <v>2</v>
      </c>
      <c r="Q792" s="3" t="n">
        <v>2</v>
      </c>
      <c r="R792" s="3" t="n">
        <v>2</v>
      </c>
      <c r="S792" s="3" t="n">
        <v>2</v>
      </c>
      <c r="T792" s="4" t="n">
        <v>2</v>
      </c>
      <c r="U792" s="3" t="n">
        <v>2</v>
      </c>
      <c r="V792" s="3" t="n">
        <v>4.69</v>
      </c>
      <c r="W792" s="3" t="n">
        <v>2.16</v>
      </c>
      <c r="X792" s="3" t="n">
        <v>6.41</v>
      </c>
      <c r="Y792" s="3" t="n">
        <v>570</v>
      </c>
      <c r="Z792" s="3" t="n">
        <v>102.8</v>
      </c>
      <c r="AA792" s="3" t="n">
        <v>0.45</v>
      </c>
      <c r="AB792" s="3" t="n">
        <v>11.3</v>
      </c>
      <c r="AC792" s="3" t="n">
        <v>1</v>
      </c>
      <c r="AD792" s="3" t="n">
        <v>2</v>
      </c>
      <c r="AE792" s="3" t="n">
        <v>1</v>
      </c>
      <c r="AF792" s="3" t="n">
        <v>1</v>
      </c>
      <c r="AG792" s="3" t="n">
        <v>2</v>
      </c>
      <c r="AH792" s="3" t="n">
        <v>2</v>
      </c>
      <c r="AI792" s="3" t="n">
        <v>1</v>
      </c>
      <c r="AJ792" s="3" t="n">
        <v>1</v>
      </c>
      <c r="AK792" s="3" t="n">
        <v>2</v>
      </c>
      <c r="AL792" s="3" t="n">
        <v>2</v>
      </c>
      <c r="AM792" s="3" t="n">
        <v>1</v>
      </c>
      <c r="AN792" s="3" t="n">
        <v>2</v>
      </c>
      <c r="AO792" s="3" t="n">
        <v>2</v>
      </c>
      <c r="AP792" s="3" t="n">
        <v>3</v>
      </c>
      <c r="AQ792" s="3" t="n">
        <v>4</v>
      </c>
      <c r="AR792" s="3" t="n">
        <v>4</v>
      </c>
      <c r="AS792" s="3" t="n">
        <v>6</v>
      </c>
      <c r="AT792" s="3" t="n">
        <v>4</v>
      </c>
      <c r="AU792" s="3" t="n">
        <v>4</v>
      </c>
      <c r="AV792" s="3" t="n">
        <v>6</v>
      </c>
      <c r="AW792" s="3" t="n">
        <v>6</v>
      </c>
      <c r="AX792" s="3" t="n">
        <v>3</v>
      </c>
      <c r="AY792" s="3" t="n">
        <v>3</v>
      </c>
      <c r="AZ792" s="3" t="n">
        <v>1</v>
      </c>
      <c r="BA792" s="5" t="n">
        <v>1</v>
      </c>
      <c r="BB792" s="3" t="n">
        <v>1</v>
      </c>
      <c r="BC792" s="3" t="n">
        <v>1</v>
      </c>
      <c r="BD792" s="3" t="n">
        <v>4</v>
      </c>
      <c r="BE792" s="3" t="n">
        <v>1</v>
      </c>
      <c r="BF792" s="3" t="n">
        <v>2</v>
      </c>
      <c r="BG792" s="3" t="n">
        <v>1</v>
      </c>
      <c r="BH792" s="3" t="n">
        <v>4</v>
      </c>
      <c r="BI792" s="3" t="n">
        <v>1</v>
      </c>
      <c r="BJ792" s="3" t="n">
        <v>1</v>
      </c>
      <c r="BK792" s="6" t="s">
        <v>2125</v>
      </c>
    </row>
    <row r="793" customFormat="false" ht="15" hidden="false" customHeight="true" outlineLevel="0" collapsed="false">
      <c r="B793" s="2" t="s">
        <v>2107</v>
      </c>
      <c r="C793" s="2" t="s">
        <v>127</v>
      </c>
      <c r="D793" s="2" t="s">
        <v>386</v>
      </c>
      <c r="E793" s="2" t="n">
        <v>169947</v>
      </c>
      <c r="F793" s="15" t="n">
        <v>43944</v>
      </c>
      <c r="G793" s="15" t="n">
        <v>43949</v>
      </c>
      <c r="H793" s="3" t="n">
        <v>5</v>
      </c>
      <c r="I793" s="3" t="n">
        <v>2</v>
      </c>
      <c r="J793" s="3" t="n">
        <v>74</v>
      </c>
      <c r="K793" s="3" t="n">
        <v>1</v>
      </c>
      <c r="L793" s="3" t="n">
        <v>2</v>
      </c>
      <c r="M793" s="3" t="n">
        <v>2</v>
      </c>
      <c r="N793" s="3" t="n">
        <v>2</v>
      </c>
      <c r="O793" s="3" t="n">
        <v>2</v>
      </c>
      <c r="P793" s="3" t="n">
        <v>2</v>
      </c>
      <c r="Q793" s="3" t="n">
        <v>2</v>
      </c>
      <c r="R793" s="3" t="n">
        <v>2</v>
      </c>
      <c r="S793" s="3" t="n">
        <v>2</v>
      </c>
      <c r="T793" s="4" t="n">
        <v>2</v>
      </c>
      <c r="U793" s="3" t="n">
        <v>2</v>
      </c>
      <c r="V793" s="3" t="n">
        <v>4.72</v>
      </c>
      <c r="W793" s="3" t="n">
        <v>1.77</v>
      </c>
      <c r="X793" s="3" t="n">
        <v>7.2</v>
      </c>
      <c r="Y793" s="3" t="n">
        <v>502</v>
      </c>
      <c r="AA793" s="3" t="n">
        <v>0.55</v>
      </c>
      <c r="AB793" s="3" t="n">
        <v>15</v>
      </c>
      <c r="AC793" s="3" t="n">
        <v>1</v>
      </c>
      <c r="AD793" s="3" t="n">
        <v>2</v>
      </c>
      <c r="AE793" s="3" t="n">
        <v>1</v>
      </c>
      <c r="AF793" s="3" t="n">
        <v>1</v>
      </c>
      <c r="AG793" s="3" t="n">
        <v>1</v>
      </c>
      <c r="AH793" s="3" t="n">
        <v>1</v>
      </c>
      <c r="AI793" s="3" t="n">
        <v>1</v>
      </c>
      <c r="AJ793" s="3" t="n">
        <v>1</v>
      </c>
      <c r="AK793" s="3" t="n">
        <v>2</v>
      </c>
      <c r="AL793" s="3" t="n">
        <v>2</v>
      </c>
      <c r="AM793" s="3" t="n">
        <v>2</v>
      </c>
      <c r="AN793" s="3" t="n">
        <v>2</v>
      </c>
      <c r="AO793" s="3" t="n">
        <v>1</v>
      </c>
      <c r="AP793" s="3" t="n">
        <v>3</v>
      </c>
      <c r="AQ793" s="3" t="n">
        <v>4</v>
      </c>
      <c r="AR793" s="3" t="n">
        <v>4</v>
      </c>
      <c r="AS793" s="3" t="n">
        <v>6</v>
      </c>
      <c r="AT793" s="3" t="n">
        <v>4</v>
      </c>
      <c r="AU793" s="3" t="n">
        <v>4</v>
      </c>
      <c r="AV793" s="3" t="n">
        <v>6</v>
      </c>
      <c r="AW793" s="3" t="n">
        <v>6</v>
      </c>
      <c r="AX793" s="3" t="n">
        <v>3</v>
      </c>
      <c r="AY793" s="3" t="n">
        <v>3</v>
      </c>
      <c r="AZ793" s="3" t="n">
        <v>1</v>
      </c>
      <c r="BA793" s="5" t="n">
        <v>1</v>
      </c>
      <c r="BB793" s="3" t="n">
        <v>1</v>
      </c>
      <c r="BC793" s="3" t="n">
        <v>1</v>
      </c>
      <c r="BD793" s="3" t="n">
        <v>2</v>
      </c>
      <c r="BE793" s="3" t="n">
        <v>1</v>
      </c>
      <c r="BF793" s="3" t="n">
        <v>2</v>
      </c>
      <c r="BG793" s="3" t="n">
        <v>1</v>
      </c>
      <c r="BH793" s="3" t="n">
        <v>4</v>
      </c>
      <c r="BI793" s="3" t="n">
        <v>1</v>
      </c>
      <c r="BJ793" s="3" t="n">
        <v>1</v>
      </c>
      <c r="BK793" s="6" t="s">
        <v>2126</v>
      </c>
    </row>
    <row r="794" customFormat="false" ht="15" hidden="false" customHeight="true" outlineLevel="0" collapsed="false">
      <c r="B794" s="2" t="s">
        <v>2127</v>
      </c>
      <c r="C794" s="2" t="s">
        <v>921</v>
      </c>
      <c r="D794" s="2" t="s">
        <v>2128</v>
      </c>
      <c r="E794" s="2" t="n">
        <v>196951</v>
      </c>
      <c r="F794" s="15" t="n">
        <v>43944</v>
      </c>
      <c r="G794" s="15" t="n">
        <v>43949</v>
      </c>
      <c r="H794" s="3" t="n">
        <v>5</v>
      </c>
      <c r="I794" s="3" t="n">
        <v>2</v>
      </c>
      <c r="J794" s="3" t="n">
        <v>50</v>
      </c>
      <c r="K794" s="3" t="n">
        <v>2</v>
      </c>
      <c r="L794" s="3" t="n">
        <v>1</v>
      </c>
      <c r="M794" s="3" t="n">
        <v>1</v>
      </c>
      <c r="N794" s="3" t="n">
        <v>2</v>
      </c>
      <c r="O794" s="3" t="n">
        <v>2</v>
      </c>
      <c r="P794" s="3" t="n">
        <v>2</v>
      </c>
      <c r="Q794" s="3" t="n">
        <v>2</v>
      </c>
      <c r="R794" s="3" t="n">
        <v>2</v>
      </c>
      <c r="S794" s="3" t="n">
        <v>2</v>
      </c>
      <c r="T794" s="4" t="n">
        <v>2</v>
      </c>
      <c r="U794" s="3" t="n">
        <v>2</v>
      </c>
      <c r="V794" s="3" t="n">
        <v>3.47</v>
      </c>
      <c r="W794" s="3" t="n">
        <v>1.24</v>
      </c>
      <c r="X794" s="3" t="n">
        <v>9.87</v>
      </c>
      <c r="Y794" s="3" t="n">
        <v>406</v>
      </c>
      <c r="AA794" s="3" t="n">
        <v>0.43</v>
      </c>
      <c r="AB794" s="3" t="n">
        <v>13.8</v>
      </c>
      <c r="AC794" s="3" t="n">
        <v>1</v>
      </c>
      <c r="AD794" s="3" t="n">
        <v>2</v>
      </c>
      <c r="AE794" s="3" t="n">
        <v>1</v>
      </c>
      <c r="AF794" s="3" t="n">
        <v>1</v>
      </c>
      <c r="AG794" s="3" t="n">
        <v>1</v>
      </c>
      <c r="AH794" s="3" t="n">
        <v>2</v>
      </c>
      <c r="AI794" s="3" t="n">
        <v>1</v>
      </c>
      <c r="AJ794" s="3" t="n">
        <v>1</v>
      </c>
      <c r="AK794" s="3" t="n">
        <v>2</v>
      </c>
      <c r="AL794" s="3" t="n">
        <v>2</v>
      </c>
      <c r="AM794" s="3" t="n">
        <v>2</v>
      </c>
      <c r="AN794" s="3" t="n">
        <v>2</v>
      </c>
      <c r="AO794" s="3" t="n">
        <v>2</v>
      </c>
      <c r="AP794" s="3" t="n">
        <v>3</v>
      </c>
      <c r="AQ794" s="3" t="n">
        <v>4</v>
      </c>
      <c r="AR794" s="3" t="n">
        <v>4</v>
      </c>
      <c r="AS794" s="3" t="n">
        <v>6</v>
      </c>
      <c r="AT794" s="3" t="n">
        <v>4</v>
      </c>
      <c r="AU794" s="3" t="n">
        <v>4</v>
      </c>
      <c r="AV794" s="3" t="n">
        <v>6</v>
      </c>
      <c r="AW794" s="3" t="n">
        <v>6</v>
      </c>
      <c r="AX794" s="3" t="n">
        <v>3</v>
      </c>
      <c r="AY794" s="3" t="n">
        <v>3</v>
      </c>
      <c r="AZ794" s="3" t="n">
        <v>1</v>
      </c>
      <c r="BA794" s="5" t="n">
        <v>1</v>
      </c>
      <c r="BB794" s="3" t="n">
        <v>1</v>
      </c>
      <c r="BC794" s="3" t="n">
        <v>1</v>
      </c>
      <c r="BD794" s="3" t="n">
        <v>2</v>
      </c>
      <c r="BE794" s="3" t="n">
        <v>1</v>
      </c>
      <c r="BF794" s="3" t="n">
        <v>2</v>
      </c>
      <c r="BG794" s="3" t="n">
        <v>1</v>
      </c>
      <c r="BH794" s="3" t="n">
        <v>4</v>
      </c>
      <c r="BI794" s="3" t="n">
        <v>1</v>
      </c>
      <c r="BJ794" s="3" t="n">
        <v>1</v>
      </c>
      <c r="BK794" s="6" t="s">
        <v>2129</v>
      </c>
    </row>
    <row r="795" customFormat="false" ht="15" hidden="false" customHeight="true" outlineLevel="0" collapsed="false">
      <c r="B795" s="2" t="s">
        <v>413</v>
      </c>
      <c r="C795" s="2" t="s">
        <v>94</v>
      </c>
      <c r="D795" s="2" t="s">
        <v>94</v>
      </c>
      <c r="E795" s="2" t="n">
        <v>196826</v>
      </c>
      <c r="F795" s="15" t="n">
        <v>43943</v>
      </c>
      <c r="G795" s="15" t="n">
        <v>43950</v>
      </c>
      <c r="H795" s="3" t="n">
        <v>7</v>
      </c>
      <c r="I795" s="3" t="n">
        <v>2</v>
      </c>
      <c r="J795" s="3" t="n">
        <v>57</v>
      </c>
      <c r="K795" s="3" t="n">
        <v>1</v>
      </c>
      <c r="L795" s="3" t="n">
        <v>2</v>
      </c>
      <c r="M795" s="3" t="n">
        <v>1</v>
      </c>
      <c r="N795" s="3" t="n">
        <v>2</v>
      </c>
      <c r="O795" s="3" t="n">
        <v>2</v>
      </c>
      <c r="P795" s="3" t="n">
        <v>2</v>
      </c>
      <c r="Q795" s="3" t="n">
        <v>2</v>
      </c>
      <c r="R795" s="3" t="n">
        <v>2</v>
      </c>
      <c r="S795" s="3" t="n">
        <v>1</v>
      </c>
      <c r="T795" s="4" t="n">
        <v>2</v>
      </c>
      <c r="U795" s="3" t="n">
        <v>2</v>
      </c>
      <c r="V795" s="3" t="n">
        <v>4.63</v>
      </c>
      <c r="W795" s="3" t="n">
        <v>0.88</v>
      </c>
      <c r="X795" s="3" t="n">
        <v>8.44</v>
      </c>
      <c r="Y795" s="3" t="n">
        <v>418</v>
      </c>
      <c r="Z795" s="3" t="s">
        <v>125</v>
      </c>
      <c r="AA795" s="3" t="n">
        <v>0.5</v>
      </c>
      <c r="AB795" s="3" t="n">
        <v>12</v>
      </c>
      <c r="AC795" s="3" t="n">
        <v>2</v>
      </c>
      <c r="AD795" s="3" t="n">
        <v>1</v>
      </c>
      <c r="AE795" s="3" t="n">
        <v>1</v>
      </c>
      <c r="AF795" s="3" t="n">
        <v>1</v>
      </c>
      <c r="AG795" s="3" t="n">
        <v>2</v>
      </c>
      <c r="AH795" s="3" t="n">
        <v>2</v>
      </c>
      <c r="AI795" s="3" t="n">
        <v>1</v>
      </c>
      <c r="AJ795" s="3" t="n">
        <v>1</v>
      </c>
      <c r="AK795" s="3" t="n">
        <v>2</v>
      </c>
      <c r="AL795" s="3" t="n">
        <v>2</v>
      </c>
      <c r="AM795" s="3" t="n">
        <v>1</v>
      </c>
      <c r="AN795" s="3" t="n">
        <v>2</v>
      </c>
      <c r="AO795" s="3" t="n">
        <v>2</v>
      </c>
      <c r="AP795" s="3" t="n">
        <v>3</v>
      </c>
      <c r="AQ795" s="3" t="n">
        <v>4</v>
      </c>
      <c r="AR795" s="3" t="n">
        <v>4</v>
      </c>
      <c r="AS795" s="3" t="n">
        <v>6</v>
      </c>
      <c r="AT795" s="3" t="n">
        <v>4</v>
      </c>
      <c r="AU795" s="3" t="n">
        <v>4</v>
      </c>
      <c r="AV795" s="3" t="n">
        <v>6</v>
      </c>
      <c r="AW795" s="3" t="n">
        <v>6</v>
      </c>
      <c r="AX795" s="3" t="n">
        <v>3</v>
      </c>
      <c r="AY795" s="3" t="n">
        <v>3</v>
      </c>
      <c r="AZ795" s="3" t="n">
        <v>1</v>
      </c>
      <c r="BA795" s="5" t="n">
        <v>1</v>
      </c>
      <c r="BB795" s="3" t="n">
        <v>1</v>
      </c>
      <c r="BC795" s="3" t="n">
        <v>1</v>
      </c>
      <c r="BD795" s="3" t="n">
        <v>4</v>
      </c>
      <c r="BE795" s="3" t="n">
        <v>1</v>
      </c>
      <c r="BF795" s="3" t="n">
        <v>2</v>
      </c>
      <c r="BG795" s="3" t="n">
        <v>1</v>
      </c>
      <c r="BH795" s="3" t="n">
        <v>4</v>
      </c>
      <c r="BI795" s="3" t="n">
        <v>1</v>
      </c>
      <c r="BJ795" s="3" t="n">
        <v>1</v>
      </c>
      <c r="BK795" s="6" t="s">
        <v>2130</v>
      </c>
    </row>
    <row r="796" customFormat="false" ht="15" hidden="false" customHeight="true" outlineLevel="0" collapsed="false">
      <c r="B796" s="2" t="s">
        <v>807</v>
      </c>
      <c r="C796" s="2" t="s">
        <v>688</v>
      </c>
      <c r="D796" s="2" t="s">
        <v>1237</v>
      </c>
      <c r="E796" s="2" t="n">
        <v>155114</v>
      </c>
      <c r="F796" s="15" t="n">
        <v>43946</v>
      </c>
      <c r="G796" s="15" t="n">
        <v>43950</v>
      </c>
      <c r="H796" s="3" t="n">
        <v>4</v>
      </c>
      <c r="I796" s="3" t="n">
        <v>1</v>
      </c>
      <c r="J796" s="3" t="n">
        <v>74</v>
      </c>
      <c r="K796" s="3" t="n">
        <v>1</v>
      </c>
      <c r="L796" s="3" t="n">
        <v>2</v>
      </c>
      <c r="M796" s="3" t="n">
        <v>1</v>
      </c>
      <c r="N796" s="3" t="n">
        <v>2</v>
      </c>
      <c r="O796" s="3" t="n">
        <v>2</v>
      </c>
      <c r="P796" s="3" t="n">
        <v>1</v>
      </c>
      <c r="Q796" s="3" t="n">
        <v>2</v>
      </c>
      <c r="R796" s="3" t="n">
        <v>2</v>
      </c>
      <c r="S796" s="3" t="n">
        <v>1</v>
      </c>
      <c r="T796" s="4" t="n">
        <v>1</v>
      </c>
      <c r="U796" s="3" t="n">
        <v>1</v>
      </c>
      <c r="V796" s="3" t="n">
        <v>2.42</v>
      </c>
      <c r="W796" s="3" t="n">
        <v>0.86</v>
      </c>
      <c r="X796" s="3" t="n">
        <v>6.43</v>
      </c>
      <c r="Y796" s="3" t="n">
        <v>492</v>
      </c>
      <c r="AA796" s="3" t="n">
        <v>0.31</v>
      </c>
      <c r="AB796" s="3" t="n">
        <v>6.3</v>
      </c>
      <c r="AC796" s="3" t="n">
        <v>1</v>
      </c>
      <c r="AD796" s="3" t="n">
        <v>1</v>
      </c>
      <c r="AE796" s="3" t="n">
        <v>1</v>
      </c>
      <c r="AF796" s="3" t="n">
        <v>1</v>
      </c>
      <c r="AG796" s="3" t="n">
        <v>1</v>
      </c>
      <c r="AH796" s="3" t="n">
        <v>2</v>
      </c>
      <c r="AI796" s="3" t="n">
        <v>1</v>
      </c>
      <c r="AJ796" s="3" t="n">
        <v>1</v>
      </c>
      <c r="AK796" s="3" t="n">
        <v>2</v>
      </c>
      <c r="AL796" s="3" t="n">
        <v>2</v>
      </c>
      <c r="AM796" s="3" t="n">
        <v>1</v>
      </c>
      <c r="AN796" s="3" t="n">
        <v>2</v>
      </c>
      <c r="AO796" s="3" t="n">
        <v>2</v>
      </c>
      <c r="AP796" s="3" t="n">
        <v>3</v>
      </c>
      <c r="AQ796" s="3" t="n">
        <v>4</v>
      </c>
      <c r="AR796" s="3" t="n">
        <v>4</v>
      </c>
      <c r="AS796" s="3" t="n">
        <v>6</v>
      </c>
      <c r="AT796" s="3" t="n">
        <v>4</v>
      </c>
      <c r="AU796" s="3" t="n">
        <v>4</v>
      </c>
      <c r="AV796" s="3" t="n">
        <v>6</v>
      </c>
      <c r="AW796" s="3" t="n">
        <v>6</v>
      </c>
      <c r="AX796" s="3" t="n">
        <v>3</v>
      </c>
      <c r="AY796" s="3" t="n">
        <v>3</v>
      </c>
      <c r="AZ796" s="3" t="n">
        <v>1</v>
      </c>
      <c r="BA796" s="5" t="n">
        <v>5</v>
      </c>
      <c r="BB796" s="3" t="n">
        <v>2</v>
      </c>
      <c r="BC796" s="3" t="n">
        <v>1</v>
      </c>
      <c r="BD796" s="3" t="n">
        <v>6</v>
      </c>
      <c r="BE796" s="3" t="n">
        <v>3</v>
      </c>
      <c r="BF796" s="3" t="n">
        <v>5</v>
      </c>
      <c r="BG796" s="3" t="n">
        <v>3</v>
      </c>
      <c r="BH796" s="3" t="n">
        <v>4</v>
      </c>
      <c r="BI796" s="3" t="n">
        <v>1</v>
      </c>
      <c r="BJ796" s="3" t="n">
        <v>1</v>
      </c>
      <c r="BK796" s="6" t="s">
        <v>2131</v>
      </c>
    </row>
    <row r="797" customFormat="false" ht="15" hidden="false" customHeight="true" outlineLevel="0" collapsed="false">
      <c r="B797" s="2" t="s">
        <v>2132</v>
      </c>
      <c r="C797" s="2" t="s">
        <v>94</v>
      </c>
      <c r="D797" s="2" t="s">
        <v>2133</v>
      </c>
      <c r="E797" s="2" t="n">
        <v>196876</v>
      </c>
      <c r="F797" s="15" t="n">
        <v>43948</v>
      </c>
      <c r="G797" s="15" t="n">
        <v>43951</v>
      </c>
      <c r="H797" s="3" t="n">
        <v>3</v>
      </c>
      <c r="I797" s="3" t="n">
        <v>2</v>
      </c>
      <c r="J797" s="3" t="n">
        <v>77</v>
      </c>
      <c r="K797" s="3" t="n">
        <v>1</v>
      </c>
      <c r="L797" s="3" t="n">
        <v>2</v>
      </c>
      <c r="M797" s="3" t="n">
        <v>1</v>
      </c>
      <c r="N797" s="3" t="n">
        <v>2</v>
      </c>
      <c r="O797" s="3" t="n">
        <v>2</v>
      </c>
      <c r="P797" s="3" t="n">
        <v>2</v>
      </c>
      <c r="Q797" s="3" t="n">
        <v>2</v>
      </c>
      <c r="R797" s="3" t="n">
        <v>1</v>
      </c>
      <c r="S797" s="3" t="n">
        <v>1</v>
      </c>
      <c r="T797" s="4" t="n">
        <v>3</v>
      </c>
      <c r="U797" s="3" t="n">
        <v>4</v>
      </c>
      <c r="Z797" s="3" t="n">
        <v>485</v>
      </c>
      <c r="AA797" s="3" t="n">
        <v>0.6</v>
      </c>
      <c r="AB797" s="3" t="n">
        <v>18</v>
      </c>
      <c r="AC797" s="3" t="n">
        <v>1</v>
      </c>
      <c r="AD797" s="3" t="n">
        <v>2</v>
      </c>
      <c r="AE797" s="3" t="n">
        <v>1</v>
      </c>
      <c r="AF797" s="3" t="n">
        <v>2</v>
      </c>
      <c r="AG797" s="3" t="n">
        <v>2</v>
      </c>
      <c r="AH797" s="3" t="n">
        <v>2</v>
      </c>
      <c r="AI797" s="3" t="n">
        <v>2</v>
      </c>
      <c r="AJ797" s="3" t="n">
        <v>2</v>
      </c>
      <c r="AK797" s="3" t="n">
        <v>2</v>
      </c>
      <c r="AL797" s="3" t="n">
        <v>2</v>
      </c>
      <c r="AM797" s="3" t="n">
        <v>1</v>
      </c>
      <c r="AN797" s="3" t="n">
        <v>1</v>
      </c>
      <c r="AO797" s="3" t="n">
        <v>2</v>
      </c>
      <c r="AP797" s="3" t="n">
        <v>3</v>
      </c>
      <c r="AQ797" s="3" t="n">
        <v>4</v>
      </c>
      <c r="AR797" s="3" t="n">
        <v>4</v>
      </c>
      <c r="AS797" s="3" t="n">
        <v>6</v>
      </c>
      <c r="AT797" s="3" t="n">
        <v>4</v>
      </c>
      <c r="AU797" s="3" t="n">
        <v>4</v>
      </c>
      <c r="AV797" s="3" t="n">
        <v>6</v>
      </c>
      <c r="AW797" s="3" t="n">
        <v>6</v>
      </c>
      <c r="AX797" s="3" t="n">
        <v>3</v>
      </c>
      <c r="AY797" s="3" t="n">
        <v>3</v>
      </c>
      <c r="AZ797" s="3" t="n">
        <v>6</v>
      </c>
      <c r="BA797" s="5" t="n">
        <v>3</v>
      </c>
      <c r="BB797" s="3" t="n">
        <v>2</v>
      </c>
      <c r="BC797" s="3" t="n">
        <v>1</v>
      </c>
      <c r="BD797" s="3" t="n">
        <v>6</v>
      </c>
      <c r="BE797" s="3" t="n">
        <v>3</v>
      </c>
      <c r="BF797" s="3" t="n">
        <v>5</v>
      </c>
      <c r="BG797" s="3" t="n">
        <v>3</v>
      </c>
      <c r="BH797" s="3" t="n">
        <v>4</v>
      </c>
      <c r="BI797" s="3" t="n">
        <v>1</v>
      </c>
      <c r="BJ797" s="3" t="n">
        <v>1</v>
      </c>
      <c r="BK797" s="6" t="s">
        <v>2134</v>
      </c>
    </row>
    <row r="798" customFormat="false" ht="15" hidden="false" customHeight="true" outlineLevel="0" collapsed="false">
      <c r="B798" s="2" t="s">
        <v>1213</v>
      </c>
      <c r="C798" s="2" t="s">
        <v>95</v>
      </c>
      <c r="D798" s="2" t="s">
        <v>94</v>
      </c>
      <c r="E798" s="2" t="n">
        <v>196975</v>
      </c>
      <c r="F798" s="15" t="n">
        <v>43946</v>
      </c>
      <c r="G798" s="15" t="n">
        <v>43953</v>
      </c>
      <c r="H798" s="3" t="n">
        <v>7</v>
      </c>
      <c r="I798" s="3" t="n">
        <v>1</v>
      </c>
      <c r="J798" s="3" t="n">
        <v>73</v>
      </c>
      <c r="K798" s="3" t="n">
        <v>2</v>
      </c>
      <c r="L798" s="3" t="n">
        <v>2</v>
      </c>
      <c r="M798" s="3" t="n">
        <v>1</v>
      </c>
      <c r="N798" s="3" t="n">
        <v>2</v>
      </c>
      <c r="O798" s="3" t="n">
        <v>2</v>
      </c>
      <c r="P798" s="3" t="n">
        <v>2</v>
      </c>
      <c r="Q798" s="3" t="n">
        <v>2</v>
      </c>
      <c r="R798" s="3" t="n">
        <v>2</v>
      </c>
      <c r="S798" s="3" t="n">
        <v>2</v>
      </c>
      <c r="T798" s="4" t="n">
        <v>2</v>
      </c>
      <c r="U798" s="3" t="n">
        <v>2</v>
      </c>
      <c r="V798" s="3" t="n">
        <v>4.62</v>
      </c>
      <c r="W798" s="3" t="n">
        <v>1.03</v>
      </c>
      <c r="X798" s="3" t="n">
        <v>6.83</v>
      </c>
      <c r="Y798" s="3" t="n">
        <v>263</v>
      </c>
      <c r="AA798" s="3" t="n">
        <v>0.4</v>
      </c>
      <c r="AB798" s="3" t="n">
        <v>7</v>
      </c>
      <c r="AC798" s="3" t="n">
        <v>1</v>
      </c>
      <c r="AD798" s="3" t="n">
        <v>1</v>
      </c>
      <c r="AE798" s="3" t="n">
        <v>1</v>
      </c>
      <c r="AF798" s="3" t="n">
        <v>1</v>
      </c>
      <c r="AG798" s="3" t="n">
        <v>2</v>
      </c>
      <c r="AH798" s="3" t="n">
        <v>1</v>
      </c>
      <c r="AI798" s="3" t="n">
        <v>1</v>
      </c>
      <c r="AJ798" s="3" t="n">
        <v>1</v>
      </c>
      <c r="AK798" s="3" t="n">
        <v>2</v>
      </c>
      <c r="AL798" s="3" t="n">
        <v>2</v>
      </c>
      <c r="AM798" s="3" t="n">
        <v>2</v>
      </c>
      <c r="AN798" s="3" t="n">
        <v>2</v>
      </c>
      <c r="AO798" s="3" t="n">
        <v>2</v>
      </c>
      <c r="AP798" s="3" t="n">
        <v>3</v>
      </c>
      <c r="AQ798" s="3" t="n">
        <v>4</v>
      </c>
      <c r="AR798" s="3" t="n">
        <v>4</v>
      </c>
      <c r="AS798" s="3" t="n">
        <v>6</v>
      </c>
      <c r="AT798" s="3" t="n">
        <v>4</v>
      </c>
      <c r="AU798" s="3" t="n">
        <v>4</v>
      </c>
      <c r="AV798" s="3" t="n">
        <v>6</v>
      </c>
      <c r="AW798" s="3" t="n">
        <v>6</v>
      </c>
      <c r="AX798" s="3" t="n">
        <v>3</v>
      </c>
      <c r="AY798" s="3" t="n">
        <v>3</v>
      </c>
      <c r="AZ798" s="3" t="n">
        <v>1</v>
      </c>
      <c r="BA798" s="5" t="n">
        <v>1</v>
      </c>
      <c r="BB798" s="3" t="n">
        <v>1</v>
      </c>
      <c r="BC798" s="3" t="n">
        <v>1</v>
      </c>
      <c r="BD798" s="3" t="n">
        <v>4</v>
      </c>
      <c r="BE798" s="3" t="n">
        <v>3</v>
      </c>
      <c r="BF798" s="3" t="n">
        <v>5</v>
      </c>
      <c r="BG798" s="3" t="n">
        <v>3</v>
      </c>
      <c r="BH798" s="3" t="n">
        <v>4</v>
      </c>
      <c r="BI798" s="3" t="n">
        <v>1</v>
      </c>
      <c r="BJ798" s="3" t="n">
        <v>1</v>
      </c>
      <c r="BK798" s="6" t="s">
        <v>2135</v>
      </c>
    </row>
    <row r="799" customFormat="false" ht="15" hidden="false" customHeight="true" outlineLevel="0" collapsed="false">
      <c r="B799" s="2" t="s">
        <v>2136</v>
      </c>
      <c r="C799" s="2" t="s">
        <v>2137</v>
      </c>
      <c r="D799" s="2" t="s">
        <v>66</v>
      </c>
      <c r="E799" s="2" t="n">
        <v>196845</v>
      </c>
      <c r="F799" s="15" t="n">
        <v>43947</v>
      </c>
      <c r="G799" s="15" t="n">
        <v>43953</v>
      </c>
      <c r="H799" s="3" t="n">
        <v>7</v>
      </c>
      <c r="I799" s="3" t="n">
        <v>2</v>
      </c>
      <c r="J799" s="3" t="n">
        <v>47</v>
      </c>
      <c r="K799" s="3" t="n">
        <v>1</v>
      </c>
      <c r="L799" s="3" t="n">
        <v>1</v>
      </c>
      <c r="M799" s="3" t="n">
        <v>1</v>
      </c>
      <c r="N799" s="3" t="n">
        <v>2</v>
      </c>
      <c r="O799" s="3" t="n">
        <v>2</v>
      </c>
      <c r="P799" s="3" t="n">
        <v>2</v>
      </c>
      <c r="Q799" s="3" t="n">
        <v>2</v>
      </c>
      <c r="R799" s="3" t="n">
        <v>2</v>
      </c>
      <c r="S799" s="3" t="n">
        <v>2</v>
      </c>
      <c r="T799" s="4" t="n">
        <v>2</v>
      </c>
      <c r="U799" s="3" t="n">
        <v>2</v>
      </c>
      <c r="V799" s="3" t="n">
        <v>5.09</v>
      </c>
      <c r="W799" s="3" t="n">
        <v>2.74</v>
      </c>
      <c r="X799" s="3" t="n">
        <v>6.33</v>
      </c>
      <c r="Y799" s="3" t="n">
        <v>479</v>
      </c>
      <c r="AA799" s="3" t="n">
        <v>0.5</v>
      </c>
      <c r="AB799" s="3" t="n">
        <v>15.6</v>
      </c>
      <c r="AC799" s="3" t="n">
        <v>1</v>
      </c>
      <c r="AD799" s="3" t="n">
        <v>2</v>
      </c>
      <c r="AE799" s="3" t="n">
        <v>1</v>
      </c>
      <c r="AF799" s="3" t="n">
        <v>1</v>
      </c>
      <c r="AG799" s="3" t="n">
        <v>2</v>
      </c>
      <c r="AH799" s="3" t="n">
        <v>2</v>
      </c>
      <c r="AI799" s="3" t="n">
        <v>1</v>
      </c>
      <c r="AJ799" s="3" t="n">
        <v>1</v>
      </c>
      <c r="AK799" s="3" t="n">
        <v>2</v>
      </c>
      <c r="AL799" s="3" t="n">
        <v>2</v>
      </c>
      <c r="AM799" s="3" t="n">
        <v>2</v>
      </c>
      <c r="AN799" s="3" t="n">
        <v>2</v>
      </c>
      <c r="AO799" s="3" t="n">
        <v>2</v>
      </c>
      <c r="AP799" s="3" t="n">
        <v>3</v>
      </c>
      <c r="AQ799" s="3" t="n">
        <v>4</v>
      </c>
      <c r="AR799" s="3" t="n">
        <v>4</v>
      </c>
      <c r="AS799" s="3" t="n">
        <v>6</v>
      </c>
      <c r="AT799" s="3" t="n">
        <v>4</v>
      </c>
      <c r="AU799" s="3" t="n">
        <v>4</v>
      </c>
      <c r="AV799" s="3" t="n">
        <v>6</v>
      </c>
      <c r="AW799" s="3" t="n">
        <v>6</v>
      </c>
      <c r="AX799" s="3" t="n">
        <v>3</v>
      </c>
      <c r="AY799" s="3" t="n">
        <v>3</v>
      </c>
      <c r="AZ799" s="3" t="n">
        <v>1</v>
      </c>
      <c r="BA799" s="5" t="n">
        <v>1</v>
      </c>
      <c r="BB799" s="3" t="n">
        <v>1</v>
      </c>
      <c r="BC799" s="3" t="n">
        <v>1</v>
      </c>
      <c r="BD799" s="3" t="n">
        <v>4</v>
      </c>
      <c r="BE799" s="3" t="n">
        <v>3</v>
      </c>
      <c r="BF799" s="3" t="n">
        <v>5</v>
      </c>
      <c r="BG799" s="3" t="n">
        <v>3</v>
      </c>
      <c r="BH799" s="3" t="n">
        <v>4</v>
      </c>
      <c r="BI799" s="3" t="n">
        <v>1</v>
      </c>
      <c r="BJ799" s="3" t="n">
        <v>1</v>
      </c>
      <c r="BK799" s="6" t="s">
        <v>2138</v>
      </c>
    </row>
    <row r="800" customFormat="false" ht="15" hidden="false" customHeight="true" outlineLevel="0" collapsed="false">
      <c r="B800" s="2" t="s">
        <v>2139</v>
      </c>
      <c r="C800" s="2" t="s">
        <v>2140</v>
      </c>
      <c r="D800" s="2" t="s">
        <v>462</v>
      </c>
      <c r="E800" s="2" t="n">
        <v>196847</v>
      </c>
      <c r="F800" s="15" t="n">
        <v>43947</v>
      </c>
      <c r="G800" s="15" t="n">
        <v>43952</v>
      </c>
      <c r="H800" s="3" t="n">
        <v>5</v>
      </c>
      <c r="I800" s="3" t="n">
        <v>1</v>
      </c>
      <c r="J800" s="3" t="n">
        <v>74</v>
      </c>
      <c r="K800" s="3" t="n">
        <v>2</v>
      </c>
      <c r="L800" s="3" t="n">
        <v>2</v>
      </c>
      <c r="M800" s="3" t="n">
        <v>1</v>
      </c>
      <c r="N800" s="3" t="n">
        <v>2</v>
      </c>
      <c r="O800" s="3" t="n">
        <v>2</v>
      </c>
      <c r="P800" s="3" t="n">
        <v>2</v>
      </c>
      <c r="Q800" s="3" t="n">
        <v>1</v>
      </c>
      <c r="R800" s="3" t="n">
        <v>2</v>
      </c>
      <c r="S800" s="3" t="n">
        <v>2</v>
      </c>
      <c r="T800" s="4" t="n">
        <v>12</v>
      </c>
      <c r="U800" s="3" t="n">
        <v>1</v>
      </c>
      <c r="V800" s="3" t="n">
        <v>3.48</v>
      </c>
      <c r="W800" s="3" t="n">
        <v>1.2</v>
      </c>
      <c r="X800" s="3" t="n">
        <v>8.71</v>
      </c>
      <c r="Y800" s="3" t="n">
        <v>286</v>
      </c>
      <c r="Z800" s="3" t="n">
        <v>90.6</v>
      </c>
      <c r="AA800" s="3" t="n">
        <v>0.35</v>
      </c>
      <c r="AB800" s="3" t="n">
        <v>14.4</v>
      </c>
      <c r="AC800" s="3" t="n">
        <v>3</v>
      </c>
      <c r="AD800" s="3" t="n">
        <v>2</v>
      </c>
      <c r="AE800" s="3" t="n">
        <v>2</v>
      </c>
      <c r="AF800" s="3" t="n">
        <v>2</v>
      </c>
      <c r="AG800" s="3" t="n">
        <v>2</v>
      </c>
      <c r="AH800" s="3" t="n">
        <v>2</v>
      </c>
      <c r="AI800" s="3" t="n">
        <v>2</v>
      </c>
      <c r="AJ800" s="3" t="n">
        <v>1</v>
      </c>
      <c r="AK800" s="3" t="n">
        <v>1</v>
      </c>
      <c r="AL800" s="3" t="n">
        <v>2</v>
      </c>
      <c r="AM800" s="3" t="n">
        <v>1</v>
      </c>
      <c r="AN800" s="3" t="n">
        <v>2</v>
      </c>
      <c r="AO800" s="3" t="n">
        <v>2</v>
      </c>
      <c r="AP800" s="3" t="n">
        <v>3</v>
      </c>
      <c r="AQ800" s="3" t="n">
        <v>4</v>
      </c>
      <c r="AR800" s="3" t="n">
        <v>4</v>
      </c>
      <c r="AS800" s="3" t="n">
        <v>6</v>
      </c>
      <c r="AT800" s="3" t="n">
        <v>4</v>
      </c>
      <c r="AU800" s="3" t="n">
        <v>4</v>
      </c>
      <c r="AV800" s="3" t="n">
        <v>6</v>
      </c>
      <c r="AW800" s="3" t="n">
        <v>6</v>
      </c>
      <c r="AX800" s="3" t="n">
        <v>3</v>
      </c>
      <c r="AY800" s="3" t="n">
        <v>3</v>
      </c>
      <c r="AZ800" s="3" t="n">
        <v>1</v>
      </c>
      <c r="BA800" s="5" t="n">
        <v>3</v>
      </c>
      <c r="BB800" s="3" t="n">
        <v>2</v>
      </c>
      <c r="BC800" s="3" t="n">
        <v>1</v>
      </c>
      <c r="BD800" s="3" t="n">
        <v>6</v>
      </c>
      <c r="BE800" s="3" t="n">
        <v>3</v>
      </c>
      <c r="BF800" s="3" t="n">
        <v>5</v>
      </c>
      <c r="BG800" s="3" t="n">
        <v>3</v>
      </c>
      <c r="BH800" s="3" t="n">
        <v>4</v>
      </c>
      <c r="BI800" s="3" t="n">
        <v>1</v>
      </c>
      <c r="BJ800" s="3" t="n">
        <v>1</v>
      </c>
      <c r="BK800" s="6" t="s">
        <v>2141</v>
      </c>
    </row>
    <row r="801" customFormat="false" ht="15" hidden="false" customHeight="true" outlineLevel="0" collapsed="false">
      <c r="B801" s="2" t="s">
        <v>569</v>
      </c>
      <c r="C801" s="2" t="s">
        <v>172</v>
      </c>
      <c r="D801" s="2" t="s">
        <v>2142</v>
      </c>
      <c r="E801" s="2" t="n">
        <v>196872</v>
      </c>
      <c r="F801" s="15" t="n">
        <v>43948</v>
      </c>
      <c r="G801" s="15" t="n">
        <v>43955</v>
      </c>
      <c r="H801" s="3" t="n">
        <v>7</v>
      </c>
      <c r="I801" s="3" t="n">
        <v>2</v>
      </c>
      <c r="J801" s="3" t="n">
        <v>58</v>
      </c>
      <c r="K801" s="3" t="n">
        <v>2</v>
      </c>
      <c r="L801" s="3" t="n">
        <v>1</v>
      </c>
      <c r="M801" s="3" t="n">
        <v>1</v>
      </c>
      <c r="N801" s="3" t="n">
        <v>2</v>
      </c>
      <c r="O801" s="3" t="n">
        <v>2</v>
      </c>
      <c r="P801" s="3" t="n">
        <v>2</v>
      </c>
      <c r="Q801" s="3" t="n">
        <v>1</v>
      </c>
      <c r="R801" s="3" t="n">
        <v>2</v>
      </c>
      <c r="S801" s="3" t="n">
        <v>2</v>
      </c>
      <c r="T801" s="4" t="n">
        <v>2</v>
      </c>
      <c r="U801" s="3" t="n">
        <v>2</v>
      </c>
      <c r="V801" s="3" t="n">
        <v>6.25</v>
      </c>
      <c r="W801" s="3" t="n">
        <v>1.96</v>
      </c>
      <c r="X801" s="3" t="n">
        <v>9.99</v>
      </c>
      <c r="Y801" s="3" t="n">
        <v>450</v>
      </c>
      <c r="Z801" s="3" t="n">
        <v>157.2</v>
      </c>
      <c r="AA801" s="3" t="n">
        <v>0.5</v>
      </c>
      <c r="AB801" s="3" t="n">
        <v>15.6</v>
      </c>
      <c r="AC801" s="3" t="n">
        <v>2</v>
      </c>
      <c r="AD801" s="3" t="n">
        <v>2</v>
      </c>
      <c r="AE801" s="3" t="n">
        <v>1</v>
      </c>
      <c r="AF801" s="3" t="n">
        <v>1</v>
      </c>
      <c r="AG801" s="3" t="n">
        <v>2</v>
      </c>
      <c r="AH801" s="3" t="n">
        <v>2</v>
      </c>
      <c r="AI801" s="3" t="n">
        <v>1</v>
      </c>
      <c r="AJ801" s="3" t="n">
        <v>2</v>
      </c>
      <c r="AK801" s="3" t="n">
        <v>2</v>
      </c>
      <c r="AL801" s="3" t="n">
        <v>2</v>
      </c>
      <c r="AM801" s="3" t="n">
        <v>2</v>
      </c>
      <c r="AN801" s="3" t="n">
        <v>2</v>
      </c>
      <c r="AO801" s="3" t="n">
        <v>2</v>
      </c>
      <c r="AP801" s="3" t="n">
        <v>3</v>
      </c>
      <c r="AQ801" s="3" t="n">
        <v>4</v>
      </c>
      <c r="AR801" s="3" t="n">
        <v>4</v>
      </c>
      <c r="AS801" s="3" t="n">
        <v>6</v>
      </c>
      <c r="AT801" s="3" t="n">
        <v>4</v>
      </c>
      <c r="AU801" s="3" t="n">
        <v>4</v>
      </c>
      <c r="AV801" s="3" t="n">
        <v>6</v>
      </c>
      <c r="AW801" s="3" t="n">
        <v>6</v>
      </c>
      <c r="AX801" s="3" t="n">
        <v>3</v>
      </c>
      <c r="AY801" s="3" t="n">
        <v>3</v>
      </c>
      <c r="AZ801" s="3" t="n">
        <v>1</v>
      </c>
      <c r="BA801" s="5" t="n">
        <v>1</v>
      </c>
      <c r="BB801" s="3" t="n">
        <v>1</v>
      </c>
      <c r="BC801" s="3" t="n">
        <v>1</v>
      </c>
      <c r="BD801" s="3" t="n">
        <v>2</v>
      </c>
      <c r="BE801" s="3" t="n">
        <v>1</v>
      </c>
      <c r="BF801" s="3" t="n">
        <v>2</v>
      </c>
      <c r="BG801" s="3" t="n">
        <v>1</v>
      </c>
      <c r="BH801" s="3" t="n">
        <v>4</v>
      </c>
      <c r="BI801" s="3" t="n">
        <v>1</v>
      </c>
      <c r="BJ801" s="3" t="n">
        <v>1</v>
      </c>
      <c r="BK801" s="6" t="s">
        <v>2143</v>
      </c>
    </row>
    <row r="802" customFormat="false" ht="15" hidden="false" customHeight="true" outlineLevel="0" collapsed="false">
      <c r="B802" s="2" t="s">
        <v>2144</v>
      </c>
      <c r="C802" s="2" t="s">
        <v>808</v>
      </c>
      <c r="D802" s="2" t="s">
        <v>462</v>
      </c>
      <c r="E802" s="2" t="n">
        <v>196852</v>
      </c>
      <c r="F802" s="15" t="n">
        <v>43947</v>
      </c>
      <c r="G802" s="15" t="n">
        <v>43956</v>
      </c>
      <c r="H802" s="3" t="n">
        <v>9</v>
      </c>
      <c r="I802" s="3" t="n">
        <v>1</v>
      </c>
      <c r="J802" s="3" t="n">
        <v>56</v>
      </c>
      <c r="K802" s="3" t="n">
        <v>1</v>
      </c>
      <c r="L802" s="3" t="n">
        <v>2</v>
      </c>
      <c r="M802" s="3" t="n">
        <v>1</v>
      </c>
      <c r="N802" s="3" t="n">
        <v>2</v>
      </c>
      <c r="O802" s="3" t="n">
        <v>2</v>
      </c>
      <c r="P802" s="3" t="n">
        <v>2</v>
      </c>
      <c r="Q802" s="3" t="n">
        <v>2</v>
      </c>
      <c r="R802" s="3" t="n">
        <v>2</v>
      </c>
      <c r="S802" s="3" t="n">
        <v>2</v>
      </c>
      <c r="T802" s="4" t="n">
        <v>1</v>
      </c>
      <c r="U802" s="3" t="n">
        <v>1</v>
      </c>
      <c r="V802" s="3" t="n">
        <v>4.91</v>
      </c>
      <c r="W802" s="3" t="n">
        <v>6.44</v>
      </c>
      <c r="X802" s="3" t="n">
        <v>6.75</v>
      </c>
      <c r="Y802" s="3" t="n">
        <v>420</v>
      </c>
      <c r="AA802" s="3" t="n">
        <v>0.46</v>
      </c>
      <c r="AB802" s="3" t="n">
        <v>7.7</v>
      </c>
      <c r="AC802" s="3" t="n">
        <v>1</v>
      </c>
      <c r="AD802" s="3" t="n">
        <v>1</v>
      </c>
      <c r="AE802" s="3" t="n">
        <v>1</v>
      </c>
      <c r="AF802" s="3" t="n">
        <v>1</v>
      </c>
      <c r="AG802" s="3" t="n">
        <v>1</v>
      </c>
      <c r="AH802" s="3" t="n">
        <v>1</v>
      </c>
      <c r="AI802" s="3" t="n">
        <v>1</v>
      </c>
      <c r="AJ802" s="3" t="n">
        <v>1</v>
      </c>
      <c r="AK802" s="3" t="n">
        <v>2</v>
      </c>
      <c r="AL802" s="3" t="n">
        <v>2</v>
      </c>
      <c r="AM802" s="3" t="n">
        <v>2</v>
      </c>
      <c r="AN802" s="3" t="n">
        <v>2</v>
      </c>
      <c r="AO802" s="3" t="n">
        <v>1</v>
      </c>
      <c r="AP802" s="3" t="n">
        <v>2</v>
      </c>
      <c r="AQ802" s="3" t="n">
        <v>1</v>
      </c>
      <c r="AR802" s="3" t="n">
        <v>4</v>
      </c>
      <c r="AS802" s="3" t="n">
        <v>6</v>
      </c>
      <c r="AT802" s="3" t="n">
        <v>4</v>
      </c>
      <c r="AU802" s="3" t="n">
        <v>4</v>
      </c>
      <c r="AV802" s="3" t="n">
        <v>1</v>
      </c>
      <c r="AW802" s="3" t="n">
        <v>6</v>
      </c>
      <c r="AX802" s="3" t="n">
        <v>2</v>
      </c>
      <c r="AY802" s="3" t="n">
        <v>1</v>
      </c>
      <c r="AZ802" s="3" t="n">
        <v>1</v>
      </c>
      <c r="BA802" s="5" t="n">
        <v>5</v>
      </c>
      <c r="BB802" s="3" t="n">
        <v>2</v>
      </c>
      <c r="BC802" s="3" t="n">
        <v>1</v>
      </c>
      <c r="BD802" s="3" t="n">
        <v>6</v>
      </c>
      <c r="BE802" s="3" t="n">
        <v>3</v>
      </c>
      <c r="BF802" s="3" t="n">
        <v>5</v>
      </c>
      <c r="BG802" s="3" t="n">
        <v>3</v>
      </c>
      <c r="BH802" s="3" t="n">
        <v>4</v>
      </c>
      <c r="BI802" s="3" t="n">
        <v>1</v>
      </c>
      <c r="BJ802" s="3" t="n">
        <v>1</v>
      </c>
      <c r="BK802" s="6" t="s">
        <v>2145</v>
      </c>
    </row>
    <row r="803" customFormat="false" ht="15" hidden="false" customHeight="true" outlineLevel="0" collapsed="false">
      <c r="B803" s="2" t="s">
        <v>2146</v>
      </c>
      <c r="C803" s="2" t="s">
        <v>330</v>
      </c>
      <c r="D803" s="2" t="s">
        <v>382</v>
      </c>
      <c r="E803" s="2" t="n">
        <v>197246</v>
      </c>
      <c r="F803" s="15" t="n">
        <v>43953</v>
      </c>
      <c r="G803" s="15" t="n">
        <v>43957</v>
      </c>
      <c r="H803" s="3" t="n">
        <v>4</v>
      </c>
      <c r="I803" s="3" t="n">
        <v>1</v>
      </c>
      <c r="J803" s="3" t="n">
        <v>66</v>
      </c>
      <c r="K803" s="3" t="n">
        <v>2</v>
      </c>
      <c r="L803" s="3" t="n">
        <v>1</v>
      </c>
      <c r="M803" s="3" t="n">
        <v>2</v>
      </c>
      <c r="N803" s="3" t="n">
        <v>2</v>
      </c>
      <c r="O803" s="3" t="n">
        <v>2</v>
      </c>
      <c r="P803" s="3" t="n">
        <v>2</v>
      </c>
      <c r="Q803" s="3" t="n">
        <v>2</v>
      </c>
      <c r="R803" s="3" t="n">
        <v>2</v>
      </c>
      <c r="S803" s="3" t="n">
        <v>2</v>
      </c>
      <c r="T803" s="4" t="n">
        <v>2</v>
      </c>
      <c r="U803" s="3" t="n">
        <v>2</v>
      </c>
      <c r="V803" s="3" t="n">
        <v>3.39</v>
      </c>
      <c r="W803" s="3" t="n">
        <v>1.67</v>
      </c>
      <c r="X803" s="3" t="n">
        <v>4.5</v>
      </c>
      <c r="Y803" s="3" t="n">
        <v>471</v>
      </c>
      <c r="AA803" s="3" t="n">
        <v>0.39</v>
      </c>
      <c r="AB803" s="3" t="n">
        <v>15.1</v>
      </c>
      <c r="AC803" s="3" t="n">
        <v>1</v>
      </c>
      <c r="AD803" s="3" t="n">
        <v>2</v>
      </c>
      <c r="AE803" s="3" t="n">
        <v>1</v>
      </c>
      <c r="AF803" s="3" t="n">
        <v>1</v>
      </c>
      <c r="AG803" s="3" t="n">
        <v>2</v>
      </c>
      <c r="AH803" s="3" t="n">
        <v>2</v>
      </c>
      <c r="AI803" s="3" t="n">
        <v>1</v>
      </c>
      <c r="AJ803" s="3" t="n">
        <v>1</v>
      </c>
      <c r="AK803" s="3" t="n">
        <v>2</v>
      </c>
      <c r="AL803" s="3" t="n">
        <v>2</v>
      </c>
      <c r="AM803" s="3" t="n">
        <v>1</v>
      </c>
      <c r="AN803" s="3" t="n">
        <v>2</v>
      </c>
      <c r="AO803" s="3" t="n">
        <v>2</v>
      </c>
      <c r="AP803" s="3" t="n">
        <v>3</v>
      </c>
      <c r="AQ803" s="3" t="n">
        <v>4</v>
      </c>
      <c r="AR803" s="3" t="n">
        <v>4</v>
      </c>
      <c r="AS803" s="3" t="n">
        <v>6</v>
      </c>
      <c r="AT803" s="3" t="n">
        <v>4</v>
      </c>
      <c r="AU803" s="3" t="n">
        <v>4</v>
      </c>
      <c r="AV803" s="3" t="n">
        <v>6</v>
      </c>
      <c r="AW803" s="3" t="n">
        <v>6</v>
      </c>
      <c r="AX803" s="3" t="n">
        <v>3</v>
      </c>
      <c r="AY803" s="3" t="n">
        <v>3</v>
      </c>
      <c r="AZ803" s="3" t="n">
        <v>1</v>
      </c>
      <c r="BA803" s="5" t="n">
        <v>1</v>
      </c>
      <c r="BB803" s="3" t="n">
        <v>1</v>
      </c>
      <c r="BC803" s="3" t="n">
        <v>1</v>
      </c>
      <c r="BD803" s="3" t="n">
        <v>4</v>
      </c>
      <c r="BE803" s="3" t="n">
        <v>3</v>
      </c>
      <c r="BF803" s="3" t="n">
        <v>5</v>
      </c>
      <c r="BG803" s="3" t="n">
        <v>3</v>
      </c>
      <c r="BH803" s="3" t="n">
        <v>4</v>
      </c>
      <c r="BI803" s="3" t="n">
        <v>1</v>
      </c>
      <c r="BJ803" s="3" t="n">
        <v>1</v>
      </c>
      <c r="BK803" s="6" t="s">
        <v>2147</v>
      </c>
    </row>
    <row r="804" customFormat="false" ht="15" hidden="false" customHeight="true" outlineLevel="0" collapsed="false">
      <c r="B804" s="2" t="s">
        <v>2148</v>
      </c>
      <c r="C804" s="2" t="s">
        <v>746</v>
      </c>
      <c r="D804" s="2" t="s">
        <v>78</v>
      </c>
      <c r="E804" s="2" t="n">
        <v>197208</v>
      </c>
      <c r="F804" s="15" t="n">
        <v>43951</v>
      </c>
      <c r="G804" s="15" t="n">
        <v>43957</v>
      </c>
      <c r="H804" s="3" t="n">
        <v>7</v>
      </c>
      <c r="I804" s="3" t="n">
        <v>2</v>
      </c>
      <c r="J804" s="3" t="n">
        <v>56</v>
      </c>
      <c r="K804" s="3" t="n">
        <v>1</v>
      </c>
      <c r="L804" s="3" t="n">
        <v>1</v>
      </c>
      <c r="M804" s="3" t="n">
        <v>2</v>
      </c>
      <c r="N804" s="3" t="n">
        <v>2</v>
      </c>
      <c r="O804" s="3" t="n">
        <v>2</v>
      </c>
      <c r="P804" s="3" t="n">
        <v>2</v>
      </c>
      <c r="Q804" s="3" t="n">
        <v>2</v>
      </c>
      <c r="R804" s="3" t="n">
        <v>2</v>
      </c>
      <c r="S804" s="3" t="n">
        <v>2</v>
      </c>
      <c r="T804" s="4" t="n">
        <v>2</v>
      </c>
      <c r="U804" s="3" t="n">
        <v>2</v>
      </c>
      <c r="V804" s="3" t="n">
        <v>5.5</v>
      </c>
      <c r="W804" s="3" t="n">
        <v>1.37</v>
      </c>
      <c r="X804" s="3" t="n">
        <v>8.6</v>
      </c>
      <c r="Y804" s="3" t="n">
        <v>341</v>
      </c>
      <c r="Z804" s="3" t="n">
        <v>106</v>
      </c>
      <c r="AA804" s="3" t="n">
        <v>0.46</v>
      </c>
      <c r="AB804" s="3" t="n">
        <v>13.8</v>
      </c>
      <c r="AC804" s="3" t="n">
        <v>1</v>
      </c>
      <c r="AD804" s="3" t="n">
        <v>2</v>
      </c>
      <c r="AE804" s="3" t="n">
        <v>1</v>
      </c>
      <c r="AF804" s="3" t="n">
        <v>1</v>
      </c>
      <c r="AG804" s="3" t="n">
        <v>2</v>
      </c>
      <c r="AH804" s="3" t="n">
        <v>2</v>
      </c>
      <c r="AI804" s="3" t="n">
        <v>1</v>
      </c>
      <c r="AJ804" s="3" t="n">
        <v>1</v>
      </c>
      <c r="AK804" s="3" t="n">
        <v>2</v>
      </c>
      <c r="AL804" s="3" t="n">
        <v>2</v>
      </c>
      <c r="AM804" s="3" t="n">
        <v>2</v>
      </c>
      <c r="AN804" s="3" t="n">
        <v>2</v>
      </c>
      <c r="AO804" s="3" t="n">
        <v>2</v>
      </c>
      <c r="AP804" s="3" t="n">
        <v>3</v>
      </c>
      <c r="AQ804" s="3" t="n">
        <v>4</v>
      </c>
      <c r="AR804" s="3" t="n">
        <v>4</v>
      </c>
      <c r="AS804" s="3" t="n">
        <v>6</v>
      </c>
      <c r="AT804" s="3" t="n">
        <v>4</v>
      </c>
      <c r="AU804" s="3" t="n">
        <v>4</v>
      </c>
      <c r="AV804" s="3" t="n">
        <v>6</v>
      </c>
      <c r="AW804" s="3" t="n">
        <v>6</v>
      </c>
      <c r="AX804" s="3" t="n">
        <v>3</v>
      </c>
      <c r="AY804" s="3" t="n">
        <v>3</v>
      </c>
      <c r="AZ804" s="3" t="n">
        <v>1</v>
      </c>
      <c r="BA804" s="5" t="n">
        <v>1</v>
      </c>
      <c r="BB804" s="3" t="n">
        <v>1</v>
      </c>
      <c r="BC804" s="3" t="n">
        <v>1</v>
      </c>
      <c r="BD804" s="3" t="n">
        <v>4</v>
      </c>
      <c r="BE804" s="3" t="n">
        <v>1</v>
      </c>
      <c r="BF804" s="3" t="n">
        <v>2</v>
      </c>
      <c r="BG804" s="3" t="n">
        <v>1</v>
      </c>
      <c r="BH804" s="3" t="n">
        <v>4</v>
      </c>
      <c r="BI804" s="3" t="n">
        <v>1</v>
      </c>
      <c r="BJ804" s="3" t="n">
        <v>1</v>
      </c>
      <c r="BK804" s="6" t="s">
        <v>2149</v>
      </c>
    </row>
    <row r="805" customFormat="false" ht="15" hidden="false" customHeight="true" outlineLevel="0" collapsed="false">
      <c r="B805" s="2" t="s">
        <v>440</v>
      </c>
      <c r="C805" s="2" t="s">
        <v>595</v>
      </c>
      <c r="D805" s="2" t="s">
        <v>197</v>
      </c>
      <c r="E805" s="2" t="n">
        <v>196797</v>
      </c>
      <c r="F805" s="15" t="n">
        <v>43955</v>
      </c>
      <c r="G805" s="15" t="n">
        <v>43961</v>
      </c>
      <c r="H805" s="3" t="n">
        <v>6</v>
      </c>
      <c r="I805" s="3" t="n">
        <v>2</v>
      </c>
      <c r="J805" s="3" t="n">
        <v>56</v>
      </c>
      <c r="K805" s="3" t="n">
        <v>1</v>
      </c>
      <c r="L805" s="3" t="n">
        <v>1</v>
      </c>
      <c r="M805" s="3" t="n">
        <v>2</v>
      </c>
      <c r="N805" s="3" t="n">
        <v>1</v>
      </c>
      <c r="O805" s="3" t="n">
        <v>2</v>
      </c>
      <c r="P805" s="3" t="n">
        <v>2</v>
      </c>
      <c r="Q805" s="3" t="n">
        <v>2</v>
      </c>
      <c r="R805" s="3" t="n">
        <v>2</v>
      </c>
      <c r="S805" s="3" t="n">
        <v>1</v>
      </c>
      <c r="T805" s="4" t="n">
        <v>2</v>
      </c>
      <c r="U805" s="3" t="n">
        <v>2</v>
      </c>
      <c r="V805" s="3" t="n">
        <v>5.28</v>
      </c>
      <c r="W805" s="3" t="n">
        <v>1.42</v>
      </c>
      <c r="X805" s="3" t="n">
        <v>7.68</v>
      </c>
      <c r="Y805" s="3" t="n">
        <v>472</v>
      </c>
      <c r="Z805" s="3" t="n">
        <v>134</v>
      </c>
      <c r="AA805" s="3" t="n">
        <v>0.52</v>
      </c>
      <c r="AB805" s="3" t="n">
        <v>13</v>
      </c>
      <c r="AC805" s="3" t="n">
        <v>1</v>
      </c>
      <c r="AD805" s="3" t="n">
        <v>2</v>
      </c>
      <c r="AE805" s="3" t="n">
        <v>1</v>
      </c>
      <c r="AF805" s="3" t="n">
        <v>1</v>
      </c>
      <c r="AG805" s="3" t="n">
        <v>2</v>
      </c>
      <c r="AH805" s="3" t="n">
        <v>2</v>
      </c>
      <c r="AI805" s="3" t="n">
        <v>1</v>
      </c>
      <c r="AJ805" s="3" t="n">
        <v>1</v>
      </c>
      <c r="AK805" s="3" t="n">
        <v>2</v>
      </c>
      <c r="AL805" s="3" t="n">
        <v>2</v>
      </c>
      <c r="AM805" s="3" t="n">
        <v>2</v>
      </c>
      <c r="AN805" s="3" t="n">
        <v>2</v>
      </c>
      <c r="AO805" s="3" t="n">
        <v>2</v>
      </c>
      <c r="AP805" s="3" t="n">
        <v>3</v>
      </c>
      <c r="AQ805" s="3" t="n">
        <v>4</v>
      </c>
      <c r="AR805" s="3" t="n">
        <v>4</v>
      </c>
      <c r="AS805" s="3" t="n">
        <v>6</v>
      </c>
      <c r="AT805" s="3" t="n">
        <v>4</v>
      </c>
      <c r="AU805" s="3" t="n">
        <v>4</v>
      </c>
      <c r="AV805" s="3" t="n">
        <v>6</v>
      </c>
      <c r="AW805" s="3" t="n">
        <v>6</v>
      </c>
      <c r="AX805" s="3" t="n">
        <v>3</v>
      </c>
      <c r="AY805" s="3" t="n">
        <v>3</v>
      </c>
      <c r="AZ805" s="3" t="n">
        <v>1</v>
      </c>
      <c r="BA805" s="5" t="n">
        <v>1</v>
      </c>
      <c r="BB805" s="3" t="n">
        <v>1</v>
      </c>
      <c r="BC805" s="3" t="n">
        <v>1</v>
      </c>
      <c r="BD805" s="3" t="n">
        <v>4</v>
      </c>
      <c r="BE805" s="3" t="n">
        <v>1</v>
      </c>
      <c r="BF805" s="3" t="n">
        <v>2</v>
      </c>
      <c r="BG805" s="3" t="n">
        <v>1</v>
      </c>
      <c r="BH805" s="3" t="n">
        <v>4</v>
      </c>
      <c r="BI805" s="3" t="n">
        <v>1</v>
      </c>
      <c r="BJ805" s="3" t="n">
        <v>1</v>
      </c>
      <c r="BK805" s="6" t="s">
        <v>2150</v>
      </c>
    </row>
    <row r="806" customFormat="false" ht="15" hidden="false" customHeight="true" outlineLevel="0" collapsed="false">
      <c r="B806" s="2" t="s">
        <v>258</v>
      </c>
      <c r="C806" s="2" t="s">
        <v>611</v>
      </c>
      <c r="D806" s="2" t="s">
        <v>2151</v>
      </c>
      <c r="E806" s="2" t="n">
        <v>197260</v>
      </c>
      <c r="F806" s="15" t="n">
        <v>43954</v>
      </c>
      <c r="G806" s="15" t="n">
        <v>43961</v>
      </c>
      <c r="H806" s="3" t="n">
        <v>7</v>
      </c>
      <c r="I806" s="3" t="n">
        <v>2</v>
      </c>
      <c r="J806" s="3" t="n">
        <v>47</v>
      </c>
      <c r="K806" s="3" t="n">
        <v>1</v>
      </c>
      <c r="L806" s="3" t="n">
        <v>2</v>
      </c>
      <c r="M806" s="3" t="n">
        <v>1</v>
      </c>
      <c r="N806" s="3" t="n">
        <v>1</v>
      </c>
      <c r="O806" s="3" t="n">
        <v>2</v>
      </c>
      <c r="P806" s="3" t="n">
        <v>2</v>
      </c>
      <c r="Q806" s="3" t="n">
        <v>2</v>
      </c>
      <c r="R806" s="3" t="n">
        <v>2</v>
      </c>
      <c r="S806" s="3" t="n">
        <v>2</v>
      </c>
      <c r="T806" s="4" t="n">
        <v>2</v>
      </c>
      <c r="U806" s="3" t="n">
        <v>2</v>
      </c>
      <c r="V806" s="3" t="n">
        <v>4.72</v>
      </c>
      <c r="W806" s="3" t="n">
        <v>2.72</v>
      </c>
      <c r="X806" s="3" t="n">
        <v>11.3</v>
      </c>
      <c r="Y806" s="3" t="n">
        <v>394</v>
      </c>
      <c r="AA806" s="3" t="n">
        <v>0.51</v>
      </c>
      <c r="AB806" s="3" t="n">
        <v>15</v>
      </c>
      <c r="AC806" s="3" t="n">
        <v>1</v>
      </c>
      <c r="AD806" s="3" t="n">
        <v>2</v>
      </c>
      <c r="AE806" s="3" t="n">
        <v>1</v>
      </c>
      <c r="AF806" s="3" t="n">
        <v>1</v>
      </c>
      <c r="AG806" s="3" t="n">
        <v>1</v>
      </c>
      <c r="AH806" s="3" t="n">
        <v>2</v>
      </c>
      <c r="AI806" s="3" t="n">
        <v>1</v>
      </c>
      <c r="AJ806" s="3" t="n">
        <v>1</v>
      </c>
      <c r="AK806" s="3" t="n">
        <v>2</v>
      </c>
      <c r="AL806" s="3" t="n">
        <v>2</v>
      </c>
      <c r="AM806" s="3" t="n">
        <v>2</v>
      </c>
      <c r="AN806" s="3" t="n">
        <v>2</v>
      </c>
      <c r="AO806" s="3" t="n">
        <v>2</v>
      </c>
      <c r="AP806" s="3" t="n">
        <v>3</v>
      </c>
      <c r="AQ806" s="3" t="n">
        <v>4</v>
      </c>
      <c r="AR806" s="3" t="n">
        <v>4</v>
      </c>
      <c r="AS806" s="3" t="n">
        <v>6</v>
      </c>
      <c r="AT806" s="3" t="n">
        <v>4</v>
      </c>
      <c r="AU806" s="3" t="n">
        <v>4</v>
      </c>
      <c r="AV806" s="3" t="n">
        <v>6</v>
      </c>
      <c r="AW806" s="3" t="n">
        <v>6</v>
      </c>
      <c r="AX806" s="3" t="n">
        <v>3</v>
      </c>
      <c r="AY806" s="3" t="n">
        <v>3</v>
      </c>
      <c r="AZ806" s="3" t="n">
        <v>16</v>
      </c>
      <c r="BA806" s="5" t="n">
        <v>1</v>
      </c>
      <c r="BB806" s="3" t="n">
        <v>1</v>
      </c>
      <c r="BC806" s="3" t="n">
        <v>1</v>
      </c>
      <c r="BD806" s="3" t="n">
        <v>2</v>
      </c>
      <c r="BE806" s="3" t="n">
        <v>1</v>
      </c>
      <c r="BF806" s="3" t="n">
        <v>2</v>
      </c>
      <c r="BG806" s="3" t="n">
        <v>1</v>
      </c>
      <c r="BH806" s="3" t="n">
        <v>4</v>
      </c>
      <c r="BI806" s="3" t="n">
        <v>1</v>
      </c>
      <c r="BJ806" s="3" t="n">
        <v>1</v>
      </c>
      <c r="BK806" s="6" t="s">
        <v>2152</v>
      </c>
    </row>
    <row r="807" customFormat="false" ht="15" hidden="false" customHeight="true" outlineLevel="0" collapsed="false">
      <c r="B807" s="2" t="s">
        <v>2153</v>
      </c>
      <c r="C807" s="2" t="s">
        <v>2154</v>
      </c>
      <c r="D807" s="2" t="s">
        <v>127</v>
      </c>
      <c r="E807" s="2" t="n">
        <v>197310</v>
      </c>
      <c r="F807" s="15" t="n">
        <v>43957</v>
      </c>
      <c r="G807" s="15" t="n">
        <v>43961</v>
      </c>
      <c r="H807" s="3" t="n">
        <v>4</v>
      </c>
      <c r="I807" s="3" t="n">
        <v>1</v>
      </c>
      <c r="J807" s="3" t="n">
        <v>84</v>
      </c>
      <c r="K807" s="3" t="n">
        <v>1</v>
      </c>
      <c r="L807" s="3" t="n">
        <v>2</v>
      </c>
      <c r="M807" s="3" t="n">
        <v>1</v>
      </c>
      <c r="N807" s="3" t="n">
        <v>1</v>
      </c>
      <c r="O807" s="3" t="n">
        <v>2</v>
      </c>
      <c r="P807" s="3" t="n">
        <v>1</v>
      </c>
      <c r="Q807" s="3" t="n">
        <v>1</v>
      </c>
      <c r="R807" s="3" t="n">
        <v>2</v>
      </c>
      <c r="S807" s="3" t="n">
        <v>1</v>
      </c>
      <c r="T807" s="4" t="n">
        <v>4</v>
      </c>
      <c r="U807" s="3" t="n">
        <v>4</v>
      </c>
      <c r="V807" s="3" t="n">
        <v>3.56</v>
      </c>
      <c r="W807" s="3" t="n">
        <v>0.42</v>
      </c>
      <c r="X807" s="3" t="n">
        <v>6.9</v>
      </c>
      <c r="Y807" s="3" t="n">
        <v>264</v>
      </c>
      <c r="Z807" s="3" t="n">
        <v>96.2</v>
      </c>
      <c r="AA807" s="3" t="n">
        <v>0.4</v>
      </c>
      <c r="AB807" s="3" t="n">
        <v>7.1</v>
      </c>
      <c r="AC807" s="3" t="n">
        <v>1</v>
      </c>
      <c r="AD807" s="3" t="n">
        <v>1</v>
      </c>
      <c r="AE807" s="3" t="n">
        <v>2</v>
      </c>
      <c r="AF807" s="3" t="n">
        <v>2</v>
      </c>
      <c r="AG807" s="3" t="n">
        <v>2</v>
      </c>
      <c r="AH807" s="3" t="n">
        <v>2</v>
      </c>
      <c r="AI807" s="3" t="n">
        <v>2</v>
      </c>
      <c r="AJ807" s="3" t="n">
        <v>2</v>
      </c>
      <c r="AK807" s="3" t="n">
        <v>2</v>
      </c>
      <c r="AL807" s="3" t="n">
        <v>2</v>
      </c>
      <c r="AM807" s="3" t="n">
        <v>2</v>
      </c>
      <c r="AN807" s="3" t="n">
        <v>1</v>
      </c>
      <c r="AO807" s="3" t="n">
        <v>2</v>
      </c>
      <c r="AP807" s="3" t="n">
        <v>3</v>
      </c>
      <c r="AQ807" s="3" t="n">
        <v>4</v>
      </c>
      <c r="AR807" s="3" t="n">
        <v>4</v>
      </c>
      <c r="AS807" s="3" t="n">
        <v>6</v>
      </c>
      <c r="AT807" s="3" t="n">
        <v>4</v>
      </c>
      <c r="AU807" s="3" t="n">
        <v>4</v>
      </c>
      <c r="AV807" s="3" t="n">
        <v>6</v>
      </c>
      <c r="AW807" s="3" t="n">
        <v>6</v>
      </c>
      <c r="AX807" s="3" t="n">
        <v>3</v>
      </c>
      <c r="AY807" s="3" t="n">
        <v>3</v>
      </c>
      <c r="AZ807" s="3" t="n">
        <v>1</v>
      </c>
      <c r="BA807" s="5" t="n">
        <v>10</v>
      </c>
      <c r="BB807" s="3" t="n">
        <v>2</v>
      </c>
      <c r="BC807" s="3" t="n">
        <v>1</v>
      </c>
      <c r="BD807" s="3" t="n">
        <v>6</v>
      </c>
      <c r="BE807" s="3" t="n">
        <v>3</v>
      </c>
      <c r="BF807" s="3" t="n">
        <v>5</v>
      </c>
      <c r="BG807" s="3" t="n">
        <v>3</v>
      </c>
      <c r="BH807" s="3" t="n">
        <v>4</v>
      </c>
      <c r="BI807" s="3" t="n">
        <v>1</v>
      </c>
      <c r="BJ807" s="3" t="n">
        <v>1</v>
      </c>
      <c r="BK807" s="6" t="s">
        <v>2155</v>
      </c>
    </row>
    <row r="808" customFormat="false" ht="15" hidden="false" customHeight="true" outlineLevel="0" collapsed="false">
      <c r="B808" s="2" t="s">
        <v>2156</v>
      </c>
      <c r="C808" s="2" t="s">
        <v>2124</v>
      </c>
      <c r="D808" s="2" t="s">
        <v>849</v>
      </c>
      <c r="E808" s="2" t="n">
        <v>196793</v>
      </c>
      <c r="F808" s="15" t="n">
        <v>43956</v>
      </c>
      <c r="G808" s="15" t="n">
        <v>43962</v>
      </c>
      <c r="H808" s="3" t="n">
        <v>6</v>
      </c>
      <c r="I808" s="3" t="n">
        <v>2</v>
      </c>
      <c r="J808" s="3" t="n">
        <v>62</v>
      </c>
      <c r="K808" s="3" t="n">
        <v>1</v>
      </c>
      <c r="L808" s="3" t="n">
        <v>1</v>
      </c>
      <c r="M808" s="3" t="n">
        <v>2</v>
      </c>
      <c r="N808" s="3" t="n">
        <v>2</v>
      </c>
      <c r="O808" s="3" t="n">
        <v>2</v>
      </c>
      <c r="P808" s="3" t="n">
        <v>2</v>
      </c>
      <c r="Q808" s="3" t="n">
        <v>2</v>
      </c>
      <c r="R808" s="3" t="n">
        <v>2</v>
      </c>
      <c r="S808" s="3" t="n">
        <v>2</v>
      </c>
      <c r="T808" s="4" t="n">
        <v>2</v>
      </c>
      <c r="U808" s="3" t="n">
        <v>2</v>
      </c>
      <c r="V808" s="3" t="n">
        <v>5.31</v>
      </c>
      <c r="W808" s="3" t="n">
        <v>1.87</v>
      </c>
      <c r="X808" s="3" t="n">
        <v>10.72</v>
      </c>
      <c r="Y808" s="3" t="n">
        <v>415</v>
      </c>
      <c r="Z808" s="3" t="n">
        <v>145</v>
      </c>
      <c r="AA808" s="3" t="n">
        <v>0.48</v>
      </c>
      <c r="AB808" s="3" t="n">
        <v>14.3</v>
      </c>
      <c r="AC808" s="3" t="n">
        <v>1</v>
      </c>
      <c r="AD808" s="3" t="n">
        <v>2</v>
      </c>
      <c r="AE808" s="3" t="n">
        <v>1</v>
      </c>
      <c r="AF808" s="3" t="n">
        <v>1</v>
      </c>
      <c r="AG808" s="3" t="n">
        <v>2</v>
      </c>
      <c r="AH808" s="3" t="n">
        <v>2</v>
      </c>
      <c r="AI808" s="3" t="n">
        <v>1</v>
      </c>
      <c r="AJ808" s="3" t="n">
        <v>1</v>
      </c>
      <c r="AK808" s="3" t="n">
        <v>2</v>
      </c>
      <c r="AL808" s="3" t="n">
        <v>2</v>
      </c>
      <c r="AM808" s="3" t="n">
        <v>2</v>
      </c>
      <c r="AN808" s="3" t="n">
        <v>2</v>
      </c>
      <c r="AO808" s="3" t="n">
        <v>2</v>
      </c>
      <c r="AP808" s="3" t="n">
        <v>3</v>
      </c>
      <c r="AQ808" s="3" t="n">
        <v>4</v>
      </c>
      <c r="AR808" s="3" t="n">
        <v>4</v>
      </c>
      <c r="AS808" s="3" t="n">
        <v>6</v>
      </c>
      <c r="AT808" s="3" t="n">
        <v>4</v>
      </c>
      <c r="AU808" s="3" t="n">
        <v>4</v>
      </c>
      <c r="AV808" s="3" t="n">
        <v>6</v>
      </c>
      <c r="AW808" s="3" t="n">
        <v>6</v>
      </c>
      <c r="AX808" s="3" t="n">
        <v>3</v>
      </c>
      <c r="AY808" s="3" t="n">
        <v>3</v>
      </c>
      <c r="AZ808" s="3" t="n">
        <v>1</v>
      </c>
      <c r="BA808" s="5" t="n">
        <v>1</v>
      </c>
      <c r="BB808" s="3" t="n">
        <v>1</v>
      </c>
      <c r="BC808" s="3" t="n">
        <v>1</v>
      </c>
      <c r="BD808" s="3" t="n">
        <v>4</v>
      </c>
      <c r="BE808" s="3" t="n">
        <v>1</v>
      </c>
      <c r="BF808" s="3" t="n">
        <v>2</v>
      </c>
      <c r="BG808" s="3" t="n">
        <v>1</v>
      </c>
      <c r="BH808" s="3" t="n">
        <v>4</v>
      </c>
      <c r="BI808" s="3" t="n">
        <v>1</v>
      </c>
      <c r="BJ808" s="3" t="n">
        <v>1</v>
      </c>
      <c r="BK808" s="6" t="s">
        <v>2157</v>
      </c>
    </row>
    <row r="809" customFormat="false" ht="15" hidden="false" customHeight="true" outlineLevel="0" collapsed="false">
      <c r="B809" s="2" t="s">
        <v>2158</v>
      </c>
      <c r="C809" s="2" t="s">
        <v>1197</v>
      </c>
      <c r="D809" s="2" t="s">
        <v>2159</v>
      </c>
      <c r="E809" s="2" t="n">
        <v>197001</v>
      </c>
      <c r="F809" s="15" t="n">
        <v>43955</v>
      </c>
      <c r="G809" s="15" t="n">
        <v>43962</v>
      </c>
      <c r="H809" s="3" t="n">
        <v>7</v>
      </c>
      <c r="I809" s="3" t="n">
        <v>2</v>
      </c>
      <c r="J809" s="3" t="n">
        <v>72</v>
      </c>
      <c r="K809" s="3" t="n">
        <v>2</v>
      </c>
      <c r="L809" s="3" t="n">
        <v>1</v>
      </c>
      <c r="M809" s="3" t="n">
        <v>2</v>
      </c>
      <c r="N809" s="3" t="n">
        <v>2</v>
      </c>
      <c r="O809" s="3" t="n">
        <v>2</v>
      </c>
      <c r="P809" s="3" t="n">
        <v>2</v>
      </c>
      <c r="Q809" s="3" t="n">
        <v>2</v>
      </c>
      <c r="R809" s="3" t="n">
        <v>2</v>
      </c>
      <c r="S809" s="3" t="n">
        <v>2</v>
      </c>
      <c r="T809" s="4" t="n">
        <v>2</v>
      </c>
      <c r="U809" s="3" t="n">
        <v>2</v>
      </c>
      <c r="V809" s="3" t="n">
        <v>2.94</v>
      </c>
      <c r="W809" s="3" t="n">
        <v>1.86</v>
      </c>
      <c r="X809" s="3" t="n">
        <v>6.41</v>
      </c>
      <c r="Y809" s="3" t="n">
        <v>469</v>
      </c>
      <c r="Z809" s="3" t="n">
        <v>158</v>
      </c>
      <c r="AA809" s="3" t="n">
        <v>0.35</v>
      </c>
      <c r="AB809" s="3" t="n">
        <v>7</v>
      </c>
      <c r="AC809" s="3" t="n">
        <v>1</v>
      </c>
      <c r="AD809" s="3" t="n">
        <v>2</v>
      </c>
      <c r="AE809" s="3" t="n">
        <v>1</v>
      </c>
      <c r="AF809" s="3" t="n">
        <v>1</v>
      </c>
      <c r="AG809" s="3" t="n">
        <v>2</v>
      </c>
      <c r="AH809" s="3" t="n">
        <v>2</v>
      </c>
      <c r="AI809" s="3" t="n">
        <v>1</v>
      </c>
      <c r="AJ809" s="3" t="n">
        <v>1</v>
      </c>
      <c r="AK809" s="3" t="n">
        <v>2</v>
      </c>
      <c r="AL809" s="3" t="n">
        <v>2</v>
      </c>
      <c r="AM809" s="3" t="n">
        <v>1</v>
      </c>
      <c r="AN809" s="3" t="n">
        <v>1</v>
      </c>
      <c r="AO809" s="3" t="n">
        <v>2</v>
      </c>
      <c r="AP809" s="3" t="n">
        <v>3</v>
      </c>
      <c r="AQ809" s="3" t="n">
        <v>4</v>
      </c>
      <c r="AR809" s="3" t="n">
        <v>4</v>
      </c>
      <c r="AS809" s="3" t="n">
        <v>6</v>
      </c>
      <c r="AT809" s="3" t="n">
        <v>4</v>
      </c>
      <c r="AU809" s="3" t="n">
        <v>4</v>
      </c>
      <c r="AV809" s="3" t="n">
        <v>6</v>
      </c>
      <c r="AW809" s="3" t="n">
        <v>6</v>
      </c>
      <c r="AX809" s="3" t="n">
        <v>3</v>
      </c>
      <c r="AY809" s="3" t="n">
        <v>3</v>
      </c>
      <c r="AZ809" s="3" t="n">
        <v>6</v>
      </c>
      <c r="BA809" s="5" t="n">
        <v>1</v>
      </c>
      <c r="BB809" s="3" t="n">
        <v>1</v>
      </c>
      <c r="BC809" s="3" t="n">
        <v>1</v>
      </c>
      <c r="BD809" s="3" t="n">
        <v>4</v>
      </c>
      <c r="BE809" s="3" t="n">
        <v>1</v>
      </c>
      <c r="BF809" s="3" t="n">
        <v>2</v>
      </c>
      <c r="BG809" s="3" t="n">
        <v>1</v>
      </c>
      <c r="BH809" s="3" t="n">
        <v>4</v>
      </c>
      <c r="BI809" s="3" t="n">
        <v>1</v>
      </c>
      <c r="BJ809" s="3" t="n">
        <v>1</v>
      </c>
      <c r="BK809" s="6" t="s">
        <v>2160</v>
      </c>
    </row>
    <row r="810" customFormat="false" ht="15" hidden="false" customHeight="true" outlineLevel="0" collapsed="false">
      <c r="B810" s="2" t="s">
        <v>413</v>
      </c>
      <c r="C810" s="2" t="s">
        <v>94</v>
      </c>
      <c r="D810" s="2" t="s">
        <v>94</v>
      </c>
      <c r="E810" s="2" t="n">
        <v>197012</v>
      </c>
      <c r="F810" s="15" t="n">
        <v>43954</v>
      </c>
      <c r="G810" s="15" t="n">
        <v>43963</v>
      </c>
      <c r="H810" s="3" t="n">
        <v>9</v>
      </c>
      <c r="I810" s="3" t="n">
        <v>2</v>
      </c>
      <c r="J810" s="3" t="n">
        <v>57</v>
      </c>
      <c r="K810" s="3" t="n">
        <v>1</v>
      </c>
      <c r="L810" s="3" t="n">
        <v>2</v>
      </c>
      <c r="M810" s="3" t="n">
        <v>1</v>
      </c>
      <c r="N810" s="3" t="n">
        <v>1</v>
      </c>
      <c r="O810" s="3" t="n">
        <v>2</v>
      </c>
      <c r="P810" s="3" t="n">
        <v>2</v>
      </c>
      <c r="Q810" s="3" t="n">
        <v>2</v>
      </c>
      <c r="R810" s="3" t="n">
        <v>2</v>
      </c>
      <c r="S810" s="3" t="n">
        <v>1</v>
      </c>
      <c r="T810" s="4" t="n">
        <v>1</v>
      </c>
      <c r="U810" s="3" t="n">
        <v>1</v>
      </c>
      <c r="V810" s="3" t="n">
        <v>3.21</v>
      </c>
      <c r="W810" s="3" t="n">
        <v>0.76</v>
      </c>
      <c r="X810" s="3" t="n">
        <v>7.6</v>
      </c>
      <c r="Y810" s="3" t="n">
        <v>484</v>
      </c>
      <c r="Z810" s="3" t="s">
        <v>125</v>
      </c>
      <c r="AA810" s="3" t="n">
        <v>0.54</v>
      </c>
      <c r="AB810" s="3" t="n">
        <v>10</v>
      </c>
      <c r="AC810" s="3" t="n">
        <v>3</v>
      </c>
      <c r="AD810" s="3" t="n">
        <v>1</v>
      </c>
      <c r="AE810" s="3" t="n">
        <v>1</v>
      </c>
      <c r="AF810" s="3" t="n">
        <v>1</v>
      </c>
      <c r="AG810" s="3" t="n">
        <v>2</v>
      </c>
      <c r="AH810" s="3" t="n">
        <v>2</v>
      </c>
      <c r="AI810" s="3" t="n">
        <v>1</v>
      </c>
      <c r="AJ810" s="3" t="n">
        <v>1</v>
      </c>
      <c r="AK810" s="3" t="n">
        <v>2</v>
      </c>
      <c r="AL810" s="3" t="n">
        <v>2</v>
      </c>
      <c r="AM810" s="3" t="n">
        <v>1</v>
      </c>
      <c r="AN810" s="3" t="n">
        <v>2</v>
      </c>
      <c r="AO810" s="3" t="n">
        <v>2</v>
      </c>
      <c r="AP810" s="3" t="n">
        <v>1</v>
      </c>
      <c r="AQ810" s="3" t="n">
        <v>3</v>
      </c>
      <c r="AR810" s="3" t="n">
        <v>8</v>
      </c>
      <c r="AS810" s="3" t="n">
        <v>2</v>
      </c>
      <c r="AT810" s="3" t="n">
        <v>2</v>
      </c>
      <c r="AU810" s="3" t="n">
        <v>1</v>
      </c>
      <c r="AV810" s="3" t="n">
        <v>1</v>
      </c>
      <c r="AW810" s="3" t="n">
        <v>1</v>
      </c>
      <c r="AX810" s="3" t="n">
        <v>2</v>
      </c>
      <c r="AY810" s="3" t="n">
        <v>2</v>
      </c>
      <c r="AZ810" s="3" t="n">
        <v>1</v>
      </c>
      <c r="BA810" s="5" t="n">
        <v>5</v>
      </c>
      <c r="BB810" s="3" t="n">
        <v>2</v>
      </c>
      <c r="BC810" s="3" t="n">
        <v>1</v>
      </c>
      <c r="BD810" s="3" t="n">
        <v>6</v>
      </c>
      <c r="BE810" s="3" t="n">
        <v>3</v>
      </c>
      <c r="BF810" s="3" t="n">
        <v>5</v>
      </c>
      <c r="BG810" s="3" t="n">
        <v>3</v>
      </c>
      <c r="BH810" s="3" t="n">
        <v>4</v>
      </c>
      <c r="BI810" s="3" t="n">
        <v>1</v>
      </c>
      <c r="BJ810" s="3" t="n">
        <v>1</v>
      </c>
      <c r="BK810" s="6" t="s">
        <v>2161</v>
      </c>
    </row>
    <row r="811" customFormat="false" ht="15" hidden="false" customHeight="true" outlineLevel="0" collapsed="false">
      <c r="B811" s="2" t="s">
        <v>2162</v>
      </c>
      <c r="C811" s="2" t="s">
        <v>1243</v>
      </c>
      <c r="D811" s="2" t="s">
        <v>304</v>
      </c>
      <c r="E811" s="2" t="n">
        <v>197279</v>
      </c>
      <c r="F811" s="15" t="n">
        <v>43960</v>
      </c>
      <c r="G811" s="15" t="n">
        <v>43965</v>
      </c>
      <c r="H811" s="3" t="n">
        <v>5</v>
      </c>
      <c r="I811" s="3" t="n">
        <v>2</v>
      </c>
      <c r="J811" s="3" t="n">
        <v>56</v>
      </c>
      <c r="K811" s="3" t="n">
        <v>1</v>
      </c>
      <c r="L811" s="3" t="n">
        <v>1</v>
      </c>
      <c r="M811" s="3" t="n">
        <v>2</v>
      </c>
      <c r="N811" s="3" t="n">
        <v>2</v>
      </c>
      <c r="O811" s="3" t="n">
        <v>2</v>
      </c>
      <c r="P811" s="3" t="n">
        <v>2</v>
      </c>
      <c r="Q811" s="3" t="n">
        <v>2</v>
      </c>
      <c r="R811" s="3" t="n">
        <v>2</v>
      </c>
      <c r="S811" s="3" t="n">
        <v>2</v>
      </c>
      <c r="T811" s="4" t="n">
        <v>2</v>
      </c>
      <c r="U811" s="3" t="n">
        <v>2</v>
      </c>
      <c r="V811" s="3" t="n">
        <v>4.49</v>
      </c>
      <c r="X811" s="3" t="n">
        <v>6.02</v>
      </c>
      <c r="Y811" s="3" t="n">
        <v>332</v>
      </c>
      <c r="AA811" s="3" t="n">
        <v>0.49</v>
      </c>
      <c r="AB811" s="3" t="n">
        <v>15.9</v>
      </c>
      <c r="AC811" s="3" t="n">
        <v>1</v>
      </c>
      <c r="AD811" s="3" t="n">
        <v>2</v>
      </c>
      <c r="AE811" s="3" t="n">
        <v>1</v>
      </c>
      <c r="AF811" s="3" t="n">
        <v>1</v>
      </c>
      <c r="AG811" s="3" t="n">
        <v>2</v>
      </c>
      <c r="AH811" s="3" t="n">
        <v>2</v>
      </c>
      <c r="AI811" s="3" t="n">
        <v>1</v>
      </c>
      <c r="AJ811" s="3" t="n">
        <v>1</v>
      </c>
      <c r="AK811" s="3" t="n">
        <v>2</v>
      </c>
      <c r="AL811" s="3" t="n">
        <v>2</v>
      </c>
      <c r="AM811" s="3" t="n">
        <v>1</v>
      </c>
      <c r="AN811" s="3" t="n">
        <v>2</v>
      </c>
      <c r="AO811" s="3" t="n">
        <v>2</v>
      </c>
      <c r="AP811" s="3" t="n">
        <v>3</v>
      </c>
      <c r="AQ811" s="3" t="n">
        <v>4</v>
      </c>
      <c r="AR811" s="3" t="n">
        <v>4</v>
      </c>
      <c r="AS811" s="3" t="n">
        <v>6</v>
      </c>
      <c r="AT811" s="3" t="n">
        <v>4</v>
      </c>
      <c r="AU811" s="3" t="n">
        <v>4</v>
      </c>
      <c r="AV811" s="3" t="n">
        <v>6</v>
      </c>
      <c r="AW811" s="3" t="n">
        <v>6</v>
      </c>
      <c r="AX811" s="3" t="n">
        <v>3</v>
      </c>
      <c r="AY811" s="3" t="n">
        <v>3</v>
      </c>
      <c r="AZ811" s="3" t="n">
        <v>1</v>
      </c>
      <c r="BA811" s="5" t="n">
        <v>1</v>
      </c>
      <c r="BB811" s="3" t="n">
        <v>1</v>
      </c>
      <c r="BC811" s="3" t="n">
        <v>1</v>
      </c>
      <c r="BD811" s="3" t="n">
        <v>4</v>
      </c>
      <c r="BE811" s="3" t="n">
        <v>1</v>
      </c>
      <c r="BF811" s="3" t="n">
        <v>2</v>
      </c>
      <c r="BG811" s="3" t="n">
        <v>1</v>
      </c>
      <c r="BH811" s="3" t="n">
        <v>4</v>
      </c>
      <c r="BI811" s="3" t="n">
        <v>1</v>
      </c>
      <c r="BJ811" s="3" t="n">
        <v>1</v>
      </c>
      <c r="BK811" s="6" t="s">
        <v>2163</v>
      </c>
    </row>
    <row r="812" customFormat="false" ht="15" hidden="false" customHeight="true" outlineLevel="0" collapsed="false">
      <c r="B812" s="2" t="s">
        <v>2164</v>
      </c>
      <c r="C812" s="2" t="s">
        <v>528</v>
      </c>
      <c r="D812" s="2" t="s">
        <v>94</v>
      </c>
      <c r="E812" s="2" t="n">
        <v>197297</v>
      </c>
      <c r="F812" s="15" t="n">
        <v>43961</v>
      </c>
      <c r="G812" s="15" t="n">
        <v>43966</v>
      </c>
      <c r="H812" s="3" t="n">
        <v>5</v>
      </c>
      <c r="I812" s="3" t="n">
        <v>1</v>
      </c>
      <c r="J812" s="3" t="n">
        <v>76</v>
      </c>
      <c r="K812" s="3" t="n">
        <v>1</v>
      </c>
      <c r="L812" s="3" t="n">
        <v>1</v>
      </c>
      <c r="M812" s="3" t="n">
        <v>1</v>
      </c>
      <c r="N812" s="3" t="n">
        <v>2</v>
      </c>
      <c r="O812" s="3" t="n">
        <v>2</v>
      </c>
      <c r="P812" s="3" t="n">
        <v>2</v>
      </c>
      <c r="Q812" s="3" t="n">
        <v>2</v>
      </c>
      <c r="R812" s="3" t="n">
        <v>2</v>
      </c>
      <c r="S812" s="3" t="n">
        <v>2</v>
      </c>
      <c r="T812" s="4" t="n">
        <v>1</v>
      </c>
      <c r="U812" s="3" t="n">
        <v>1</v>
      </c>
      <c r="V812" s="3" t="n">
        <v>4.01</v>
      </c>
      <c r="W812" s="3" t="n">
        <v>1.78</v>
      </c>
      <c r="X812" s="3" t="n">
        <v>7.37</v>
      </c>
      <c r="Y812" s="3" t="n">
        <v>213</v>
      </c>
      <c r="AA812" s="3" t="n">
        <v>0.39</v>
      </c>
      <c r="AB812" s="3" t="n">
        <v>12</v>
      </c>
      <c r="AC812" s="3" t="n">
        <v>1</v>
      </c>
      <c r="AD812" s="3" t="n">
        <v>1</v>
      </c>
      <c r="AE812" s="3" t="n">
        <v>1</v>
      </c>
      <c r="AF812" s="3" t="n">
        <v>1</v>
      </c>
      <c r="AG812" s="3" t="n">
        <v>1</v>
      </c>
      <c r="AH812" s="3" t="n">
        <v>2</v>
      </c>
      <c r="AI812" s="3" t="n">
        <v>1</v>
      </c>
      <c r="AJ812" s="3" t="n">
        <v>1</v>
      </c>
      <c r="AK812" s="3" t="n">
        <v>2</v>
      </c>
      <c r="AL812" s="3" t="n">
        <v>2</v>
      </c>
      <c r="AM812" s="3" t="n">
        <v>2</v>
      </c>
      <c r="AN812" s="3" t="n">
        <v>2</v>
      </c>
      <c r="AO812" s="3" t="n">
        <v>2</v>
      </c>
      <c r="AP812" s="3" t="n">
        <v>3</v>
      </c>
      <c r="AQ812" s="3" t="n">
        <v>4</v>
      </c>
      <c r="AR812" s="3" t="n">
        <v>4</v>
      </c>
      <c r="AS812" s="3" t="n">
        <v>6</v>
      </c>
      <c r="AT812" s="3" t="n">
        <v>4</v>
      </c>
      <c r="AU812" s="3" t="n">
        <v>4</v>
      </c>
      <c r="AV812" s="3" t="n">
        <v>6</v>
      </c>
      <c r="AW812" s="3" t="n">
        <v>6</v>
      </c>
      <c r="AX812" s="3" t="n">
        <v>3</v>
      </c>
      <c r="AY812" s="3" t="n">
        <v>3</v>
      </c>
      <c r="AZ812" s="3" t="n">
        <v>1</v>
      </c>
      <c r="BA812" s="5" t="n">
        <v>5</v>
      </c>
      <c r="BB812" s="3" t="n">
        <v>2</v>
      </c>
      <c r="BC812" s="3" t="n">
        <v>1</v>
      </c>
      <c r="BD812" s="3" t="n">
        <v>6</v>
      </c>
      <c r="BE812" s="3" t="n">
        <v>3</v>
      </c>
      <c r="BF812" s="3" t="n">
        <v>5</v>
      </c>
      <c r="BG812" s="3" t="n">
        <v>3</v>
      </c>
      <c r="BH812" s="3" t="n">
        <v>4</v>
      </c>
      <c r="BI812" s="3" t="n">
        <v>1</v>
      </c>
      <c r="BJ812" s="3" t="n">
        <v>1</v>
      </c>
      <c r="BK812" s="6" t="s">
        <v>2165</v>
      </c>
    </row>
    <row r="813" customFormat="false" ht="15" hidden="false" customHeight="true" outlineLevel="0" collapsed="false">
      <c r="B813" s="2" t="s">
        <v>187</v>
      </c>
      <c r="C813" s="2" t="s">
        <v>293</v>
      </c>
      <c r="D813" s="2" t="s">
        <v>2166</v>
      </c>
      <c r="E813" s="2" t="n">
        <v>197362</v>
      </c>
      <c r="F813" s="15" t="n">
        <v>43965</v>
      </c>
      <c r="G813" s="15" t="n">
        <v>43969</v>
      </c>
      <c r="H813" s="3" t="n">
        <v>4</v>
      </c>
      <c r="I813" s="3" t="n">
        <v>2</v>
      </c>
      <c r="J813" s="3" t="n">
        <v>78</v>
      </c>
      <c r="K813" s="3" t="n">
        <v>2</v>
      </c>
      <c r="L813" s="3" t="n">
        <v>2</v>
      </c>
      <c r="M813" s="3" t="n">
        <v>1</v>
      </c>
      <c r="N813" s="3" t="n">
        <v>2</v>
      </c>
      <c r="O813" s="3" t="n">
        <v>2</v>
      </c>
      <c r="P813" s="3" t="n">
        <v>2</v>
      </c>
      <c r="Q813" s="3" t="n">
        <v>2</v>
      </c>
      <c r="R813" s="3" t="n">
        <v>2</v>
      </c>
      <c r="S813" s="3" t="n">
        <v>2</v>
      </c>
      <c r="T813" s="4" t="n">
        <v>1</v>
      </c>
      <c r="U813" s="3" t="n">
        <v>1</v>
      </c>
      <c r="V813" s="3" t="n">
        <v>3.86</v>
      </c>
      <c r="W813" s="3" t="n">
        <v>0.9</v>
      </c>
      <c r="X813" s="3" t="n">
        <v>6.6</v>
      </c>
      <c r="Y813" s="3" t="n">
        <v>594</v>
      </c>
      <c r="AA813" s="3" t="n">
        <v>0.26</v>
      </c>
      <c r="AB813" s="3" t="n">
        <v>8.6</v>
      </c>
      <c r="AC813" s="3" t="n">
        <v>1</v>
      </c>
      <c r="AD813" s="3" t="n">
        <v>1</v>
      </c>
      <c r="AE813" s="3" t="n">
        <v>1</v>
      </c>
      <c r="AF813" s="3" t="n">
        <v>1</v>
      </c>
      <c r="AG813" s="3" t="n">
        <v>2</v>
      </c>
      <c r="AH813" s="3" t="n">
        <v>2</v>
      </c>
      <c r="AI813" s="3" t="n">
        <v>1</v>
      </c>
      <c r="AJ813" s="3" t="n">
        <v>1</v>
      </c>
      <c r="AK813" s="3" t="n">
        <v>2</v>
      </c>
      <c r="AL813" s="3" t="n">
        <v>2</v>
      </c>
      <c r="AM813" s="3" t="n">
        <v>1</v>
      </c>
      <c r="AN813" s="3" t="n">
        <v>2</v>
      </c>
      <c r="AO813" s="3" t="n">
        <v>2</v>
      </c>
      <c r="AP813" s="3" t="n">
        <v>3</v>
      </c>
      <c r="AQ813" s="3" t="n">
        <v>4</v>
      </c>
      <c r="AR813" s="3" t="n">
        <v>4</v>
      </c>
      <c r="AS813" s="3" t="n">
        <v>6</v>
      </c>
      <c r="AT813" s="3" t="n">
        <v>4</v>
      </c>
      <c r="AU813" s="3" t="n">
        <v>4</v>
      </c>
      <c r="AV813" s="3" t="n">
        <v>6</v>
      </c>
      <c r="AW813" s="3" t="n">
        <v>6</v>
      </c>
      <c r="AX813" s="3" t="n">
        <v>3</v>
      </c>
      <c r="AY813" s="3" t="n">
        <v>3</v>
      </c>
      <c r="AZ813" s="3" t="n">
        <v>1</v>
      </c>
      <c r="BA813" s="5" t="n">
        <v>5</v>
      </c>
      <c r="BB813" s="3" t="n">
        <v>2</v>
      </c>
      <c r="BC813" s="3" t="n">
        <v>1</v>
      </c>
      <c r="BD813" s="3" t="n">
        <v>6</v>
      </c>
      <c r="BE813" s="3" t="n">
        <v>3</v>
      </c>
      <c r="BF813" s="3" t="n">
        <v>5</v>
      </c>
      <c r="BG813" s="3" t="n">
        <v>3</v>
      </c>
      <c r="BH813" s="3" t="n">
        <v>4</v>
      </c>
      <c r="BI813" s="3" t="n">
        <v>1</v>
      </c>
      <c r="BJ813" s="3" t="n">
        <v>1</v>
      </c>
      <c r="BK813" s="6" t="s">
        <v>2167</v>
      </c>
    </row>
    <row r="814" customFormat="false" ht="15" hidden="false" customHeight="true" outlineLevel="0" collapsed="false">
      <c r="B814" s="2" t="s">
        <v>758</v>
      </c>
      <c r="C814" s="2" t="s">
        <v>301</v>
      </c>
      <c r="D814" s="2" t="s">
        <v>197</v>
      </c>
      <c r="E814" s="2" t="n">
        <v>197105</v>
      </c>
      <c r="F814" s="15" t="n">
        <v>43963</v>
      </c>
      <c r="G814" s="15" t="n">
        <v>43969</v>
      </c>
      <c r="H814" s="3" t="n">
        <v>6</v>
      </c>
      <c r="I814" s="3" t="n">
        <v>2</v>
      </c>
      <c r="J814" s="3" t="n">
        <v>68</v>
      </c>
      <c r="K814" s="3" t="n">
        <v>2</v>
      </c>
      <c r="L814" s="3" t="n">
        <v>2</v>
      </c>
      <c r="M814" s="3" t="n">
        <v>1</v>
      </c>
      <c r="N814" s="3" t="n">
        <v>2</v>
      </c>
      <c r="O814" s="3" t="n">
        <v>2</v>
      </c>
      <c r="P814" s="3" t="n">
        <v>2</v>
      </c>
      <c r="Q814" s="3" t="n">
        <v>2</v>
      </c>
      <c r="R814" s="3" t="n">
        <v>2</v>
      </c>
      <c r="S814" s="3" t="n">
        <v>2</v>
      </c>
      <c r="T814" s="4" t="n">
        <v>2</v>
      </c>
      <c r="U814" s="3" t="n">
        <v>2</v>
      </c>
      <c r="V814" s="3" t="n">
        <v>5.03</v>
      </c>
      <c r="W814" s="3" t="n">
        <v>1.35</v>
      </c>
      <c r="X814" s="3" t="n">
        <v>9.39</v>
      </c>
      <c r="Y814" s="3" t="n">
        <v>623</v>
      </c>
      <c r="Z814" s="3" t="n">
        <v>130</v>
      </c>
      <c r="AA814" s="3" t="n">
        <v>0.5</v>
      </c>
      <c r="AB814" s="3" t="n">
        <v>18.3</v>
      </c>
      <c r="AC814" s="3" t="n">
        <v>1</v>
      </c>
      <c r="AD814" s="3" t="n">
        <v>2</v>
      </c>
      <c r="AE814" s="3" t="n">
        <v>1</v>
      </c>
      <c r="AF814" s="3" t="n">
        <v>1</v>
      </c>
      <c r="AG814" s="3" t="n">
        <v>2</v>
      </c>
      <c r="AH814" s="3" t="n">
        <v>2</v>
      </c>
      <c r="AI814" s="3" t="n">
        <v>1</v>
      </c>
      <c r="AJ814" s="3" t="n">
        <v>2</v>
      </c>
      <c r="AK814" s="3" t="n">
        <v>2</v>
      </c>
      <c r="AL814" s="3" t="n">
        <v>2</v>
      </c>
      <c r="AM814" s="3" t="n">
        <v>1</v>
      </c>
      <c r="AN814" s="3" t="n">
        <v>2</v>
      </c>
      <c r="AO814" s="3" t="n">
        <v>1</v>
      </c>
      <c r="AP814" s="3" t="n">
        <v>3</v>
      </c>
      <c r="AQ814" s="3" t="n">
        <v>4</v>
      </c>
      <c r="AR814" s="3" t="n">
        <v>4</v>
      </c>
      <c r="AS814" s="3" t="n">
        <v>6</v>
      </c>
      <c r="AT814" s="3" t="n">
        <v>4</v>
      </c>
      <c r="AU814" s="3" t="n">
        <v>4</v>
      </c>
      <c r="AV814" s="3" t="n">
        <v>6</v>
      </c>
      <c r="AW814" s="3" t="n">
        <v>6</v>
      </c>
      <c r="AX814" s="3" t="n">
        <v>3</v>
      </c>
      <c r="AY814" s="3" t="n">
        <v>3</v>
      </c>
      <c r="AZ814" s="3" t="n">
        <v>1</v>
      </c>
      <c r="BA814" s="5" t="n">
        <v>1</v>
      </c>
      <c r="BB814" s="3" t="n">
        <v>1</v>
      </c>
      <c r="BC814" s="3" t="n">
        <v>1</v>
      </c>
      <c r="BD814" s="3" t="n">
        <v>2</v>
      </c>
      <c r="BE814" s="3" t="n">
        <v>3</v>
      </c>
      <c r="BF814" s="3" t="n">
        <v>5</v>
      </c>
      <c r="BG814" s="3" t="n">
        <v>3</v>
      </c>
      <c r="BH814" s="3" t="n">
        <v>4</v>
      </c>
      <c r="BI814" s="3" t="n">
        <v>1</v>
      </c>
      <c r="BJ814" s="3" t="n">
        <v>1</v>
      </c>
      <c r="BK814" s="6" t="s">
        <v>2168</v>
      </c>
    </row>
    <row r="815" customFormat="false" ht="15" hidden="false" customHeight="true" outlineLevel="0" collapsed="false">
      <c r="B815" s="2" t="s">
        <v>2169</v>
      </c>
      <c r="C815" s="2" t="s">
        <v>188</v>
      </c>
      <c r="D815" s="2" t="s">
        <v>2170</v>
      </c>
      <c r="E815" s="2" t="n">
        <v>197355</v>
      </c>
      <c r="F815" s="15" t="n">
        <v>43963</v>
      </c>
      <c r="G815" s="15" t="n">
        <v>43969</v>
      </c>
      <c r="H815" s="3" t="n">
        <v>6</v>
      </c>
      <c r="I815" s="3" t="n">
        <v>2</v>
      </c>
      <c r="J815" s="3" t="n">
        <v>68</v>
      </c>
      <c r="K815" s="3" t="n">
        <v>2</v>
      </c>
      <c r="L815" s="3" t="n">
        <v>1</v>
      </c>
      <c r="M815" s="3" t="n">
        <v>1</v>
      </c>
      <c r="N815" s="3" t="n">
        <v>2</v>
      </c>
      <c r="O815" s="3" t="n">
        <v>2</v>
      </c>
      <c r="P815" s="3" t="n">
        <v>2</v>
      </c>
      <c r="Q815" s="3" t="n">
        <v>1</v>
      </c>
      <c r="R815" s="3" t="n">
        <v>2</v>
      </c>
      <c r="S815" s="3" t="n">
        <v>2</v>
      </c>
      <c r="T815" s="4" t="n">
        <v>2</v>
      </c>
      <c r="U815" s="3" t="n">
        <v>2</v>
      </c>
      <c r="V815" s="3" t="n">
        <v>5.94</v>
      </c>
      <c r="W815" s="3" t="n">
        <v>1.93</v>
      </c>
      <c r="X815" s="3" t="n">
        <v>25.48</v>
      </c>
      <c r="Y815" s="3" t="n">
        <v>366</v>
      </c>
      <c r="Z815" s="3" t="n">
        <v>111</v>
      </c>
      <c r="AA815" s="3" t="n">
        <v>0.46</v>
      </c>
      <c r="AB815" s="3" t="n">
        <v>20.3</v>
      </c>
      <c r="AC815" s="3" t="n">
        <v>1</v>
      </c>
      <c r="AD815" s="3" t="n">
        <v>2</v>
      </c>
      <c r="AE815" s="3" t="n">
        <v>1</v>
      </c>
      <c r="AF815" s="3" t="n">
        <v>1</v>
      </c>
      <c r="AG815" s="3" t="n">
        <v>2</v>
      </c>
      <c r="AH815" s="3" t="n">
        <v>2</v>
      </c>
      <c r="AI815" s="3" t="n">
        <v>1</v>
      </c>
      <c r="AJ815" s="3" t="n">
        <v>1</v>
      </c>
      <c r="AK815" s="3" t="n">
        <v>1</v>
      </c>
      <c r="AL815" s="3" t="n">
        <v>2</v>
      </c>
      <c r="AM815" s="3" t="n">
        <v>1</v>
      </c>
      <c r="AN815" s="3" t="n">
        <v>2</v>
      </c>
      <c r="AO815" s="3" t="n">
        <v>2</v>
      </c>
      <c r="AP815" s="3" t="n">
        <v>3</v>
      </c>
      <c r="AQ815" s="3" t="n">
        <v>4</v>
      </c>
      <c r="AR815" s="3" t="n">
        <v>4</v>
      </c>
      <c r="AS815" s="3" t="n">
        <v>6</v>
      </c>
      <c r="AT815" s="3" t="n">
        <v>4</v>
      </c>
      <c r="AU815" s="3" t="n">
        <v>4</v>
      </c>
      <c r="AV815" s="3" t="n">
        <v>6</v>
      </c>
      <c r="AW815" s="3" t="n">
        <v>6</v>
      </c>
      <c r="AX815" s="3" t="n">
        <v>3</v>
      </c>
      <c r="AY815" s="3" t="n">
        <v>3</v>
      </c>
      <c r="AZ815" s="3" t="n">
        <v>15</v>
      </c>
      <c r="BA815" s="5" t="n">
        <v>1</v>
      </c>
      <c r="BB815" s="3" t="n">
        <v>1</v>
      </c>
      <c r="BC815" s="3" t="n">
        <v>1</v>
      </c>
      <c r="BD815" s="3" t="n">
        <v>2</v>
      </c>
      <c r="BE815" s="3" t="n">
        <v>1</v>
      </c>
      <c r="BF815" s="3" t="n">
        <v>2</v>
      </c>
      <c r="BG815" s="3" t="n">
        <v>1</v>
      </c>
      <c r="BH815" s="3" t="n">
        <v>4</v>
      </c>
      <c r="BI815" s="3" t="n">
        <v>1</v>
      </c>
      <c r="BJ815" s="3" t="n">
        <v>1</v>
      </c>
      <c r="BK815" s="6" t="s">
        <v>2171</v>
      </c>
    </row>
    <row r="816" customFormat="false" ht="15" hidden="false" customHeight="true" outlineLevel="0" collapsed="false">
      <c r="B816" s="2" t="s">
        <v>394</v>
      </c>
      <c r="C816" s="2" t="s">
        <v>688</v>
      </c>
      <c r="D816" s="2" t="s">
        <v>2172</v>
      </c>
      <c r="E816" s="2" t="n">
        <v>197644</v>
      </c>
      <c r="F816" s="15" t="n">
        <v>43964</v>
      </c>
      <c r="G816" s="15" t="n">
        <v>43969</v>
      </c>
      <c r="H816" s="3" t="n">
        <v>5</v>
      </c>
      <c r="I816" s="3" t="n">
        <v>2</v>
      </c>
      <c r="J816" s="3" t="n">
        <v>66</v>
      </c>
      <c r="K816" s="3" t="n">
        <v>1</v>
      </c>
      <c r="L816" s="3" t="n">
        <v>1</v>
      </c>
      <c r="M816" s="3" t="n">
        <v>1</v>
      </c>
      <c r="N816" s="3" t="n">
        <v>2</v>
      </c>
      <c r="O816" s="3" t="n">
        <v>2</v>
      </c>
      <c r="P816" s="3" t="n">
        <v>2</v>
      </c>
      <c r="Q816" s="3" t="n">
        <v>1</v>
      </c>
      <c r="R816" s="3" t="n">
        <v>2</v>
      </c>
      <c r="S816" s="3" t="n">
        <v>2</v>
      </c>
      <c r="T816" s="4" t="n">
        <v>2</v>
      </c>
      <c r="U816" s="3" t="n">
        <v>2</v>
      </c>
      <c r="V816" s="3" t="n">
        <v>4.94</v>
      </c>
      <c r="W816" s="3" t="n">
        <v>3.36</v>
      </c>
      <c r="X816" s="3" t="n">
        <v>8.6</v>
      </c>
      <c r="Y816" s="3" t="n">
        <v>426</v>
      </c>
      <c r="AA816" s="3" t="n">
        <v>0.5</v>
      </c>
      <c r="AB816" s="3" t="n">
        <v>7.5</v>
      </c>
      <c r="AC816" s="3" t="n">
        <v>1</v>
      </c>
      <c r="AD816" s="3" t="n">
        <v>2</v>
      </c>
      <c r="AE816" s="3" t="n">
        <v>1</v>
      </c>
      <c r="AF816" s="3" t="n">
        <v>1</v>
      </c>
      <c r="AG816" s="3" t="n">
        <v>2</v>
      </c>
      <c r="AH816" s="3" t="n">
        <v>1</v>
      </c>
      <c r="AI816" s="3" t="n">
        <v>1</v>
      </c>
      <c r="AJ816" s="3" t="n">
        <v>1</v>
      </c>
      <c r="AK816" s="3" t="n">
        <v>1</v>
      </c>
      <c r="AL816" s="3" t="n">
        <v>2</v>
      </c>
      <c r="AM816" s="3" t="n">
        <v>2</v>
      </c>
      <c r="AN816" s="3" t="n">
        <v>2</v>
      </c>
      <c r="AO816" s="3" t="n">
        <v>2</v>
      </c>
      <c r="AP816" s="3" t="n">
        <v>3</v>
      </c>
      <c r="AQ816" s="3" t="n">
        <v>4</v>
      </c>
      <c r="AR816" s="3" t="n">
        <v>4</v>
      </c>
      <c r="AS816" s="3" t="n">
        <v>6</v>
      </c>
      <c r="AT816" s="3" t="n">
        <v>4</v>
      </c>
      <c r="AU816" s="3" t="n">
        <v>4</v>
      </c>
      <c r="AV816" s="3" t="n">
        <v>6</v>
      </c>
      <c r="AW816" s="3" t="n">
        <v>6</v>
      </c>
      <c r="AX816" s="3" t="n">
        <v>3</v>
      </c>
      <c r="AY816" s="3" t="n">
        <v>3</v>
      </c>
      <c r="AZ816" s="3" t="n">
        <v>1</v>
      </c>
      <c r="BA816" s="5" t="n">
        <v>1</v>
      </c>
      <c r="BB816" s="3" t="n">
        <v>1</v>
      </c>
      <c r="BC816" s="3" t="n">
        <v>1</v>
      </c>
      <c r="BD816" s="3" t="n">
        <v>4</v>
      </c>
      <c r="BE816" s="3" t="n">
        <v>3</v>
      </c>
      <c r="BF816" s="3" t="n">
        <v>5</v>
      </c>
      <c r="BG816" s="3" t="n">
        <v>3</v>
      </c>
      <c r="BH816" s="3" t="n">
        <v>4</v>
      </c>
      <c r="BI816" s="3" t="n">
        <v>1</v>
      </c>
      <c r="BJ816" s="3" t="n">
        <v>1</v>
      </c>
      <c r="BK816" s="6" t="s">
        <v>2173</v>
      </c>
    </row>
    <row r="817" customFormat="false" ht="15" hidden="false" customHeight="true" outlineLevel="0" collapsed="false">
      <c r="B817" s="2" t="s">
        <v>2174</v>
      </c>
      <c r="C817" s="2" t="s">
        <v>95</v>
      </c>
      <c r="D817" s="2" t="s">
        <v>2036</v>
      </c>
      <c r="E817" s="2" t="n">
        <v>197385</v>
      </c>
      <c r="F817" s="15" t="n">
        <v>43969</v>
      </c>
      <c r="G817" s="15" t="n">
        <v>43970</v>
      </c>
      <c r="H817" s="3" t="n">
        <v>1</v>
      </c>
      <c r="I817" s="3" t="n">
        <v>2</v>
      </c>
      <c r="J817" s="3" t="n">
        <v>49</v>
      </c>
      <c r="K817" s="3" t="n">
        <v>2</v>
      </c>
      <c r="L817" s="3" t="n">
        <v>1</v>
      </c>
      <c r="M817" s="3" t="n">
        <v>1</v>
      </c>
      <c r="N817" s="3" t="n">
        <v>2</v>
      </c>
      <c r="O817" s="3" t="n">
        <v>2</v>
      </c>
      <c r="P817" s="3" t="n">
        <v>2</v>
      </c>
      <c r="Q817" s="3" t="n">
        <v>2</v>
      </c>
      <c r="R817" s="3" t="n">
        <v>2</v>
      </c>
      <c r="S817" s="3" t="n">
        <v>1</v>
      </c>
      <c r="T817" s="4" t="n">
        <v>2</v>
      </c>
      <c r="U817" s="3" t="n">
        <v>2</v>
      </c>
      <c r="AD817" s="3" t="n">
        <v>1</v>
      </c>
      <c r="AE817" s="3" t="n">
        <v>1</v>
      </c>
      <c r="AF817" s="3" t="n">
        <v>1</v>
      </c>
      <c r="AG817" s="3" t="n">
        <v>2</v>
      </c>
      <c r="AH817" s="3" t="n">
        <v>2</v>
      </c>
      <c r="AI817" s="3" t="n">
        <v>1</v>
      </c>
      <c r="AJ817" s="3" t="n">
        <v>1</v>
      </c>
      <c r="AK817" s="3" t="n">
        <v>2</v>
      </c>
      <c r="AL817" s="3" t="n">
        <v>2</v>
      </c>
      <c r="AM817" s="3" t="n">
        <v>1</v>
      </c>
      <c r="AN817" s="3" t="n">
        <v>2</v>
      </c>
      <c r="AO817" s="3" t="n">
        <v>2</v>
      </c>
      <c r="AP817" s="3" t="n">
        <v>3</v>
      </c>
      <c r="AQ817" s="3" t="n">
        <v>4</v>
      </c>
      <c r="AR817" s="3" t="n">
        <v>4</v>
      </c>
      <c r="AS817" s="3" t="n">
        <v>6</v>
      </c>
      <c r="AT817" s="3" t="n">
        <v>4</v>
      </c>
      <c r="AU817" s="3" t="n">
        <v>4</v>
      </c>
      <c r="AV817" s="3" t="n">
        <v>6</v>
      </c>
      <c r="AW817" s="3" t="n">
        <v>6</v>
      </c>
      <c r="AX817" s="3" t="n">
        <v>3</v>
      </c>
      <c r="AY817" s="3" t="n">
        <v>3</v>
      </c>
      <c r="AZ817" s="3" t="n">
        <v>1</v>
      </c>
      <c r="BA817" s="5" t="n">
        <v>1</v>
      </c>
      <c r="BB817" s="3" t="n">
        <v>1</v>
      </c>
      <c r="BC817" s="3" t="n">
        <v>1</v>
      </c>
      <c r="BD817" s="3" t="n">
        <v>4</v>
      </c>
      <c r="BE817" s="3" t="n">
        <v>1</v>
      </c>
      <c r="BF817" s="3" t="n">
        <v>2</v>
      </c>
      <c r="BG817" s="3" t="n">
        <v>1</v>
      </c>
      <c r="BH817" s="3" t="n">
        <v>4</v>
      </c>
      <c r="BI817" s="3" t="n">
        <v>1</v>
      </c>
      <c r="BJ817" s="3" t="n">
        <v>1</v>
      </c>
      <c r="BK817" s="6" t="s">
        <v>2175</v>
      </c>
    </row>
    <row r="818" customFormat="false" ht="15" hidden="false" customHeight="true" outlineLevel="0" collapsed="false">
      <c r="B818" s="2" t="s">
        <v>2176</v>
      </c>
      <c r="C818" s="2" t="s">
        <v>2177</v>
      </c>
      <c r="D818" s="2" t="s">
        <v>94</v>
      </c>
      <c r="E818" s="2" t="n">
        <v>197384</v>
      </c>
      <c r="F818" s="15" t="n">
        <v>43969</v>
      </c>
      <c r="G818" s="15" t="n">
        <v>43974</v>
      </c>
      <c r="H818" s="3" t="n">
        <v>5</v>
      </c>
      <c r="I818" s="3" t="n">
        <v>2</v>
      </c>
      <c r="J818" s="3" t="n">
        <v>73</v>
      </c>
      <c r="K818" s="3" t="n">
        <v>1</v>
      </c>
      <c r="L818" s="3" t="n">
        <v>2</v>
      </c>
      <c r="M818" s="3" t="n">
        <v>1</v>
      </c>
      <c r="N818" s="3" t="n">
        <v>2</v>
      </c>
      <c r="O818" s="3" t="n">
        <v>2</v>
      </c>
      <c r="P818" s="3" t="n">
        <v>1</v>
      </c>
      <c r="Q818" s="3" t="n">
        <v>1</v>
      </c>
      <c r="R818" s="3" t="n">
        <v>2</v>
      </c>
      <c r="S818" s="3" t="n">
        <v>1</v>
      </c>
      <c r="T818" s="4" t="n">
        <v>2</v>
      </c>
      <c r="U818" s="3" t="n">
        <v>2</v>
      </c>
      <c r="V818" s="3" t="n">
        <v>5.45</v>
      </c>
      <c r="W818" s="3" t="n">
        <v>2.62</v>
      </c>
      <c r="X818" s="3" t="n">
        <v>8.32</v>
      </c>
      <c r="Y818" s="3" t="n">
        <v>362</v>
      </c>
      <c r="Z818" s="3" t="n">
        <v>94</v>
      </c>
      <c r="AA818" s="3" t="n">
        <v>0.41</v>
      </c>
      <c r="AB818" s="3" t="n">
        <v>11.2</v>
      </c>
      <c r="AD818" s="3" t="n">
        <v>2</v>
      </c>
      <c r="AE818" s="3" t="n">
        <v>1</v>
      </c>
      <c r="AF818" s="3" t="n">
        <v>1</v>
      </c>
      <c r="AG818" s="3" t="n">
        <v>2</v>
      </c>
      <c r="AH818" s="3" t="n">
        <v>2</v>
      </c>
      <c r="AI818" s="3" t="n">
        <v>1</v>
      </c>
      <c r="AJ818" s="3" t="n">
        <v>2</v>
      </c>
      <c r="AK818" s="3" t="n">
        <v>2</v>
      </c>
      <c r="AL818" s="3" t="n">
        <v>2</v>
      </c>
      <c r="AM818" s="3" t="n">
        <v>2</v>
      </c>
      <c r="AN818" s="3" t="n">
        <v>2</v>
      </c>
      <c r="AO818" s="3" t="n">
        <v>2</v>
      </c>
      <c r="AP818" s="3" t="n">
        <v>3</v>
      </c>
      <c r="AQ818" s="3" t="n">
        <v>4</v>
      </c>
      <c r="AR818" s="3" t="n">
        <v>4</v>
      </c>
      <c r="AS818" s="3" t="n">
        <v>6</v>
      </c>
      <c r="AT818" s="3" t="n">
        <v>4</v>
      </c>
      <c r="AU818" s="3" t="n">
        <v>4</v>
      </c>
      <c r="AV818" s="3" t="n">
        <v>6</v>
      </c>
      <c r="AW818" s="3" t="n">
        <v>6</v>
      </c>
      <c r="AX818" s="3" t="n">
        <v>3</v>
      </c>
      <c r="AY818" s="3" t="n">
        <v>3</v>
      </c>
      <c r="AZ818" s="3" t="n">
        <v>1</v>
      </c>
      <c r="BA818" s="5" t="n">
        <v>1</v>
      </c>
      <c r="BB818" s="3" t="n">
        <v>1</v>
      </c>
      <c r="BC818" s="3" t="n">
        <v>1</v>
      </c>
      <c r="BD818" s="3" t="n">
        <v>4</v>
      </c>
      <c r="BE818" s="3" t="n">
        <v>1</v>
      </c>
      <c r="BF818" s="3" t="n">
        <v>2</v>
      </c>
      <c r="BG818" s="3" t="n">
        <v>1</v>
      </c>
      <c r="BH818" s="3" t="n">
        <v>4</v>
      </c>
      <c r="BI818" s="3" t="n">
        <v>1</v>
      </c>
      <c r="BJ818" s="3" t="n">
        <v>1</v>
      </c>
      <c r="BK818" s="6" t="s">
        <v>2178</v>
      </c>
    </row>
    <row r="819" customFormat="false" ht="15" hidden="false" customHeight="true" outlineLevel="0" collapsed="false">
      <c r="B819" s="2" t="s">
        <v>556</v>
      </c>
      <c r="C819" s="2" t="s">
        <v>2179</v>
      </c>
      <c r="D819" s="2" t="s">
        <v>2180</v>
      </c>
      <c r="E819" s="2" t="n">
        <v>197183</v>
      </c>
      <c r="F819" s="15" t="n">
        <v>43968</v>
      </c>
      <c r="G819" s="15" t="n">
        <v>43974</v>
      </c>
      <c r="H819" s="3" t="n">
        <v>6</v>
      </c>
      <c r="I819" s="3" t="n">
        <v>2</v>
      </c>
      <c r="J819" s="3" t="n">
        <v>69</v>
      </c>
      <c r="K819" s="3" t="n">
        <v>1</v>
      </c>
      <c r="L819" s="3" t="n">
        <v>1</v>
      </c>
      <c r="M819" s="3" t="n">
        <v>1</v>
      </c>
      <c r="N819" s="3" t="n">
        <v>2</v>
      </c>
      <c r="O819" s="3" t="n">
        <v>2</v>
      </c>
      <c r="P819" s="3" t="n">
        <v>2</v>
      </c>
      <c r="Q819" s="3" t="n">
        <v>2</v>
      </c>
      <c r="R819" s="3" t="n">
        <v>2</v>
      </c>
      <c r="S819" s="3" t="n">
        <v>2</v>
      </c>
      <c r="T819" s="4" t="n">
        <v>2</v>
      </c>
      <c r="U819" s="3" t="n">
        <v>2</v>
      </c>
      <c r="V819" s="3" t="n">
        <v>5.45</v>
      </c>
      <c r="W819" s="3" t="n">
        <v>2.62</v>
      </c>
      <c r="X819" s="3" t="n">
        <v>8.32</v>
      </c>
      <c r="Y819" s="3" t="n">
        <v>362</v>
      </c>
      <c r="Z819" s="3" t="n">
        <v>94</v>
      </c>
      <c r="AA819" s="3" t="n">
        <v>0.41</v>
      </c>
      <c r="AB819" s="3" t="n">
        <v>11.2</v>
      </c>
      <c r="AD819" s="3" t="n">
        <v>2</v>
      </c>
      <c r="AE819" s="3" t="n">
        <v>1</v>
      </c>
      <c r="AF819" s="3" t="n">
        <v>1</v>
      </c>
      <c r="AG819" s="3" t="n">
        <v>2</v>
      </c>
      <c r="AH819" s="3" t="n">
        <v>2</v>
      </c>
      <c r="AI819" s="3" t="n">
        <v>1</v>
      </c>
      <c r="AJ819" s="3" t="n">
        <v>1</v>
      </c>
      <c r="AK819" s="3" t="n">
        <v>2</v>
      </c>
      <c r="AL819" s="3" t="n">
        <v>2</v>
      </c>
      <c r="AM819" s="3" t="n">
        <v>1</v>
      </c>
      <c r="AN819" s="3" t="n">
        <v>2</v>
      </c>
      <c r="AO819" s="3" t="n">
        <v>2</v>
      </c>
      <c r="AP819" s="3" t="n">
        <v>3</v>
      </c>
      <c r="AQ819" s="3" t="n">
        <v>4</v>
      </c>
      <c r="AR819" s="3" t="n">
        <v>4</v>
      </c>
      <c r="AS819" s="3" t="n">
        <v>6</v>
      </c>
      <c r="AT819" s="3" t="n">
        <v>4</v>
      </c>
      <c r="AU819" s="3" t="n">
        <v>4</v>
      </c>
      <c r="AV819" s="3" t="n">
        <v>6</v>
      </c>
      <c r="AW819" s="3" t="n">
        <v>6</v>
      </c>
      <c r="AX819" s="3" t="n">
        <v>3</v>
      </c>
      <c r="AY819" s="3" t="n">
        <v>3</v>
      </c>
      <c r="AZ819" s="3" t="n">
        <v>10</v>
      </c>
      <c r="BA819" s="5" t="n">
        <v>1</v>
      </c>
      <c r="BB819" s="3" t="n">
        <v>1</v>
      </c>
      <c r="BC819" s="3" t="n">
        <v>1</v>
      </c>
      <c r="BD819" s="3" t="n">
        <v>2</v>
      </c>
      <c r="BE819" s="3" t="n">
        <v>1</v>
      </c>
      <c r="BF819" s="3" t="n">
        <v>2</v>
      </c>
      <c r="BG819" s="3" t="n">
        <v>1</v>
      </c>
      <c r="BH819" s="3" t="n">
        <v>4</v>
      </c>
      <c r="BI819" s="3" t="n">
        <v>1</v>
      </c>
      <c r="BJ819" s="3" t="n">
        <v>1</v>
      </c>
      <c r="BK819" s="6" t="s">
        <v>2181</v>
      </c>
    </row>
    <row r="820" customFormat="false" ht="15" hidden="false" customHeight="true" outlineLevel="0" collapsed="false">
      <c r="B820" s="2" t="s">
        <v>2182</v>
      </c>
      <c r="C820" s="2" t="s">
        <v>951</v>
      </c>
      <c r="D820" s="2" t="s">
        <v>902</v>
      </c>
      <c r="E820" s="2" t="n">
        <v>177569</v>
      </c>
      <c r="F820" s="15" t="n">
        <v>43974</v>
      </c>
      <c r="G820" s="15" t="n">
        <v>43977</v>
      </c>
      <c r="H820" s="3" t="n">
        <v>3</v>
      </c>
      <c r="I820" s="3" t="n">
        <v>1</v>
      </c>
      <c r="J820" s="3" t="n">
        <v>60</v>
      </c>
      <c r="K820" s="3" t="n">
        <v>1</v>
      </c>
      <c r="L820" s="3" t="n">
        <v>2</v>
      </c>
      <c r="M820" s="3" t="n">
        <v>1</v>
      </c>
      <c r="N820" s="3" t="n">
        <v>2</v>
      </c>
      <c r="O820" s="3" t="n">
        <v>2</v>
      </c>
      <c r="P820" s="3" t="n">
        <v>2</v>
      </c>
      <c r="Q820" s="3" t="n">
        <v>2</v>
      </c>
      <c r="R820" s="3" t="n">
        <v>2</v>
      </c>
      <c r="S820" s="3" t="n">
        <v>1</v>
      </c>
      <c r="T820" s="4" t="n">
        <v>1</v>
      </c>
      <c r="U820" s="3" t="n">
        <v>1</v>
      </c>
      <c r="AD820" s="3" t="n">
        <v>1</v>
      </c>
      <c r="AE820" s="3" t="n">
        <v>1</v>
      </c>
      <c r="AF820" s="3" t="n">
        <v>2</v>
      </c>
      <c r="AG820" s="3" t="n">
        <v>2</v>
      </c>
      <c r="AH820" s="3" t="n">
        <v>2</v>
      </c>
      <c r="AI820" s="3" t="n">
        <v>1</v>
      </c>
      <c r="AJ820" s="3" t="n">
        <v>1</v>
      </c>
      <c r="AK820" s="3" t="n">
        <v>2</v>
      </c>
      <c r="AL820" s="3" t="n">
        <v>2</v>
      </c>
      <c r="AM820" s="3" t="n">
        <v>2</v>
      </c>
      <c r="AN820" s="3" t="n">
        <v>2</v>
      </c>
      <c r="AO820" s="3" t="n">
        <v>2</v>
      </c>
      <c r="AP820" s="3" t="n">
        <v>3</v>
      </c>
      <c r="AQ820" s="3" t="n">
        <v>4</v>
      </c>
      <c r="AR820" s="3" t="n">
        <v>4</v>
      </c>
      <c r="AS820" s="3" t="n">
        <v>6</v>
      </c>
      <c r="AT820" s="3" t="n">
        <v>4</v>
      </c>
      <c r="AU820" s="3" t="n">
        <v>4</v>
      </c>
      <c r="AV820" s="3" t="n">
        <v>6</v>
      </c>
      <c r="AW820" s="3" t="n">
        <v>6</v>
      </c>
      <c r="AX820" s="3" t="n">
        <v>3</v>
      </c>
      <c r="AY820" s="3" t="n">
        <v>3</v>
      </c>
      <c r="AZ820" s="3" t="n">
        <v>1</v>
      </c>
      <c r="BA820" s="5" t="n">
        <v>5</v>
      </c>
      <c r="BB820" s="3" t="n">
        <v>2</v>
      </c>
      <c r="BC820" s="3" t="n">
        <v>1</v>
      </c>
      <c r="BD820" s="3" t="n">
        <v>6</v>
      </c>
      <c r="BE820" s="3" t="n">
        <v>3</v>
      </c>
      <c r="BF820" s="3" t="n">
        <v>5</v>
      </c>
      <c r="BG820" s="3" t="n">
        <v>3</v>
      </c>
      <c r="BH820" s="3" t="n">
        <v>4</v>
      </c>
      <c r="BI820" s="3" t="n">
        <v>1</v>
      </c>
      <c r="BJ820" s="3" t="n">
        <v>1</v>
      </c>
      <c r="BK820" s="6" t="s">
        <v>2183</v>
      </c>
    </row>
    <row r="821" customFormat="false" ht="15" hidden="false" customHeight="true" outlineLevel="0" collapsed="false">
      <c r="B821" s="2" t="s">
        <v>101</v>
      </c>
      <c r="C821" s="2" t="s">
        <v>415</v>
      </c>
      <c r="D821" s="2" t="s">
        <v>468</v>
      </c>
      <c r="E821" s="2" t="n">
        <v>197443</v>
      </c>
      <c r="F821" s="15" t="n">
        <v>43971</v>
      </c>
      <c r="G821" s="15" t="n">
        <v>43977</v>
      </c>
      <c r="H821" s="3" t="n">
        <v>6</v>
      </c>
      <c r="I821" s="3" t="n">
        <v>1</v>
      </c>
      <c r="J821" s="3" t="n">
        <v>72</v>
      </c>
      <c r="K821" s="3" t="n">
        <v>1</v>
      </c>
      <c r="L821" s="3" t="n">
        <v>1</v>
      </c>
      <c r="M821" s="3" t="n">
        <v>1</v>
      </c>
      <c r="N821" s="3" t="n">
        <v>2</v>
      </c>
      <c r="O821" s="3" t="n">
        <v>2</v>
      </c>
      <c r="P821" s="3" t="n">
        <v>2</v>
      </c>
      <c r="Q821" s="3" t="n">
        <v>2</v>
      </c>
      <c r="R821" s="3" t="n">
        <v>2</v>
      </c>
      <c r="S821" s="3" t="n">
        <v>1</v>
      </c>
      <c r="T821" s="4" t="n">
        <v>2</v>
      </c>
      <c r="U821" s="3" t="n">
        <v>2</v>
      </c>
      <c r="V821" s="3" t="n">
        <v>6.63</v>
      </c>
      <c r="W821" s="3" t="n">
        <v>1.86</v>
      </c>
      <c r="X821" s="3" t="n">
        <v>7.06</v>
      </c>
      <c r="Y821" s="3" t="n">
        <v>386</v>
      </c>
      <c r="Z821" s="3" t="n">
        <v>95</v>
      </c>
      <c r="AA821" s="3" t="n">
        <v>0.47</v>
      </c>
      <c r="AB821" s="3" t="n">
        <v>13.2</v>
      </c>
      <c r="AD821" s="3" t="n">
        <v>2</v>
      </c>
      <c r="AE821" s="3" t="n">
        <v>1</v>
      </c>
      <c r="AF821" s="3" t="n">
        <v>1</v>
      </c>
      <c r="AG821" s="3" t="n">
        <v>2</v>
      </c>
      <c r="AH821" s="3" t="n">
        <v>2</v>
      </c>
      <c r="AI821" s="3" t="n">
        <v>1</v>
      </c>
      <c r="AJ821" s="3" t="n">
        <v>1</v>
      </c>
      <c r="AK821" s="3" t="n">
        <v>2</v>
      </c>
      <c r="AL821" s="3" t="n">
        <v>1</v>
      </c>
      <c r="AM821" s="3" t="n">
        <v>1</v>
      </c>
      <c r="AN821" s="3" t="n">
        <v>2</v>
      </c>
      <c r="AO821" s="3" t="n">
        <v>2</v>
      </c>
      <c r="AP821" s="3" t="n">
        <v>3</v>
      </c>
      <c r="AQ821" s="3" t="n">
        <v>4</v>
      </c>
      <c r="AR821" s="3" t="n">
        <v>4</v>
      </c>
      <c r="AS821" s="3" t="n">
        <v>6</v>
      </c>
      <c r="AT821" s="3" t="n">
        <v>4</v>
      </c>
      <c r="AU821" s="3" t="n">
        <v>4</v>
      </c>
      <c r="AV821" s="3" t="n">
        <v>6</v>
      </c>
      <c r="AW821" s="3" t="n">
        <v>6</v>
      </c>
      <c r="AX821" s="3" t="n">
        <v>3</v>
      </c>
      <c r="AY821" s="3" t="n">
        <v>3</v>
      </c>
      <c r="AZ821" s="3" t="n">
        <v>4</v>
      </c>
      <c r="BA821" s="5" t="n">
        <v>1</v>
      </c>
      <c r="BB821" s="3" t="n">
        <v>1</v>
      </c>
      <c r="BC821" s="3" t="n">
        <v>1</v>
      </c>
      <c r="BD821" s="3" t="n">
        <v>4</v>
      </c>
      <c r="BE821" s="3" t="n">
        <v>1</v>
      </c>
      <c r="BF821" s="3" t="n">
        <v>2</v>
      </c>
      <c r="BG821" s="3" t="n">
        <v>1</v>
      </c>
      <c r="BH821" s="3" t="n">
        <v>4</v>
      </c>
      <c r="BI821" s="3" t="n">
        <v>1</v>
      </c>
      <c r="BJ821" s="3" t="n">
        <v>1</v>
      </c>
      <c r="BK821" s="6" t="s">
        <v>2184</v>
      </c>
    </row>
    <row r="822" customFormat="false" ht="15" hidden="false" customHeight="true" outlineLevel="0" collapsed="false">
      <c r="B822" s="2" t="s">
        <v>2185</v>
      </c>
      <c r="C822" s="2" t="s">
        <v>74</v>
      </c>
      <c r="D822" s="2" t="s">
        <v>2186</v>
      </c>
      <c r="E822" s="2" t="n">
        <v>197926</v>
      </c>
      <c r="F822" s="15" t="n">
        <v>43979</v>
      </c>
      <c r="G822" s="15" t="n">
        <v>43981</v>
      </c>
      <c r="H822" s="3" t="n">
        <v>2</v>
      </c>
      <c r="I822" s="3" t="n">
        <v>1</v>
      </c>
      <c r="J822" s="3" t="n">
        <v>58</v>
      </c>
      <c r="K822" s="3" t="n">
        <v>2</v>
      </c>
      <c r="L822" s="3" t="n">
        <v>1</v>
      </c>
      <c r="M822" s="3" t="n">
        <v>1</v>
      </c>
      <c r="N822" s="3" t="n">
        <v>2</v>
      </c>
      <c r="O822" s="3" t="n">
        <v>2</v>
      </c>
      <c r="P822" s="3" t="n">
        <v>2</v>
      </c>
      <c r="Q822" s="3" t="n">
        <v>2</v>
      </c>
      <c r="R822" s="3" t="n">
        <v>2</v>
      </c>
      <c r="S822" s="3" t="n">
        <v>2</v>
      </c>
      <c r="T822" s="4" t="n">
        <v>2</v>
      </c>
      <c r="U822" s="3" t="n">
        <v>2</v>
      </c>
      <c r="V822" s="3" t="n">
        <v>6.36</v>
      </c>
      <c r="W822" s="3" t="n">
        <v>3.17</v>
      </c>
      <c r="X822" s="3" t="n">
        <v>5.84</v>
      </c>
      <c r="Y822" s="3" t="n">
        <v>262</v>
      </c>
      <c r="Z822" s="3" t="n">
        <v>69</v>
      </c>
      <c r="AA822" s="3" t="n">
        <v>0.42</v>
      </c>
      <c r="AB822" s="3" t="n">
        <v>20</v>
      </c>
      <c r="AD822" s="3" t="n">
        <v>2</v>
      </c>
      <c r="AE822" s="3" t="n">
        <v>1</v>
      </c>
      <c r="AF822" s="3" t="n">
        <v>1</v>
      </c>
      <c r="AG822" s="3" t="n">
        <v>2</v>
      </c>
      <c r="AH822" s="3" t="n">
        <v>1</v>
      </c>
      <c r="AI822" s="3" t="n">
        <v>1</v>
      </c>
      <c r="AJ822" s="3" t="n">
        <v>2</v>
      </c>
      <c r="AK822" s="3" t="n">
        <v>2</v>
      </c>
      <c r="AL822" s="3" t="n">
        <v>2</v>
      </c>
      <c r="AM822" s="3" t="n">
        <v>1</v>
      </c>
      <c r="AN822" s="3" t="n">
        <v>2</v>
      </c>
      <c r="AO822" s="3" t="n">
        <v>2</v>
      </c>
      <c r="AP822" s="3" t="n">
        <v>3</v>
      </c>
      <c r="AQ822" s="3" t="n">
        <v>4</v>
      </c>
      <c r="AR822" s="3" t="n">
        <v>4</v>
      </c>
      <c r="AS822" s="3" t="n">
        <v>6</v>
      </c>
      <c r="AT822" s="3" t="n">
        <v>4</v>
      </c>
      <c r="AU822" s="3" t="n">
        <v>4</v>
      </c>
      <c r="AV822" s="3" t="n">
        <v>6</v>
      </c>
      <c r="AW822" s="3" t="n">
        <v>6</v>
      </c>
      <c r="AX822" s="3" t="n">
        <v>3</v>
      </c>
      <c r="AY822" s="3" t="n">
        <v>3</v>
      </c>
      <c r="AZ822" s="3" t="n">
        <v>1</v>
      </c>
      <c r="BA822" s="5" t="n">
        <v>1</v>
      </c>
      <c r="BB822" s="3" t="n">
        <v>1</v>
      </c>
      <c r="BC822" s="3" t="n">
        <v>1</v>
      </c>
      <c r="BD822" s="3" t="n">
        <v>4</v>
      </c>
      <c r="BE822" s="3" t="n">
        <v>1</v>
      </c>
      <c r="BF822" s="3" t="n">
        <v>2</v>
      </c>
      <c r="BG822" s="3" t="n">
        <v>1</v>
      </c>
      <c r="BH822" s="3" t="n">
        <v>4</v>
      </c>
      <c r="BI822" s="3" t="n">
        <v>1</v>
      </c>
      <c r="BJ822" s="3" t="n">
        <v>1</v>
      </c>
      <c r="BK822" s="6" t="s">
        <v>2187</v>
      </c>
    </row>
    <row r="823" s="30" customFormat="true" ht="15" hidden="false" customHeight="true" outlineLevel="0" collapsed="false">
      <c r="A823" s="24"/>
      <c r="B823" s="26" t="s">
        <v>2188</v>
      </c>
      <c r="C823" s="26" t="s">
        <v>2189</v>
      </c>
      <c r="D823" s="26" t="s">
        <v>2190</v>
      </c>
      <c r="E823" s="26" t="n">
        <v>197938</v>
      </c>
      <c r="F823" s="27" t="n">
        <v>43980</v>
      </c>
      <c r="G823" s="27" t="n">
        <v>43980</v>
      </c>
      <c r="H823" s="30" t="n">
        <v>0</v>
      </c>
      <c r="I823" s="30" t="n">
        <v>1</v>
      </c>
      <c r="J823" s="30" t="n">
        <v>71</v>
      </c>
      <c r="K823" s="30" t="n">
        <v>1</v>
      </c>
      <c r="L823" s="30" t="n">
        <v>1</v>
      </c>
      <c r="M823" s="30" t="n">
        <v>1</v>
      </c>
      <c r="N823" s="30" t="n">
        <v>2</v>
      </c>
      <c r="O823" s="30" t="n">
        <v>2</v>
      </c>
      <c r="P823" s="30" t="n">
        <v>2</v>
      </c>
      <c r="Q823" s="30" t="n">
        <v>2</v>
      </c>
      <c r="R823" s="30" t="n">
        <v>2</v>
      </c>
      <c r="S823" s="30" t="n">
        <v>2</v>
      </c>
      <c r="T823" s="4" t="n">
        <v>2</v>
      </c>
      <c r="U823" s="30" t="n">
        <v>2</v>
      </c>
      <c r="AA823" s="30" t="n">
        <v>0.32</v>
      </c>
      <c r="AB823" s="30" t="n">
        <v>15.8</v>
      </c>
      <c r="AD823" s="30" t="n">
        <v>2</v>
      </c>
      <c r="AE823" s="30" t="n">
        <v>1</v>
      </c>
      <c r="AF823" s="30" t="n">
        <v>1</v>
      </c>
      <c r="AG823" s="30" t="n">
        <v>2</v>
      </c>
      <c r="AH823" s="30" t="n">
        <v>2</v>
      </c>
      <c r="AI823" s="30" t="n">
        <v>1</v>
      </c>
      <c r="AJ823" s="30" t="n">
        <v>2</v>
      </c>
      <c r="AK823" s="30" t="n">
        <v>2</v>
      </c>
      <c r="AL823" s="30" t="n">
        <v>2</v>
      </c>
      <c r="AM823" s="30" t="n">
        <v>2</v>
      </c>
      <c r="AN823" s="30" t="n">
        <v>1</v>
      </c>
      <c r="AO823" s="30" t="n">
        <v>2</v>
      </c>
      <c r="AP823" s="30" t="n">
        <v>3</v>
      </c>
      <c r="AQ823" s="30" t="n">
        <v>4</v>
      </c>
      <c r="AR823" s="30" t="n">
        <v>4</v>
      </c>
      <c r="AS823" s="30" t="n">
        <v>6</v>
      </c>
      <c r="AT823" s="30" t="n">
        <v>4</v>
      </c>
      <c r="AU823" s="30" t="n">
        <v>4</v>
      </c>
      <c r="AV823" s="30" t="n">
        <v>6</v>
      </c>
      <c r="AW823" s="30" t="n">
        <v>6</v>
      </c>
      <c r="AX823" s="30" t="n">
        <v>3</v>
      </c>
      <c r="AY823" s="30" t="n">
        <v>3</v>
      </c>
      <c r="AZ823" s="30" t="n">
        <v>6</v>
      </c>
      <c r="BA823" s="5" t="n">
        <v>1</v>
      </c>
      <c r="BB823" s="30" t="n">
        <v>1</v>
      </c>
      <c r="BC823" s="30" t="n">
        <v>2</v>
      </c>
      <c r="BD823" s="30" t="n">
        <v>2</v>
      </c>
      <c r="BE823" s="30" t="n">
        <v>3</v>
      </c>
      <c r="BF823" s="30" t="n">
        <v>5</v>
      </c>
      <c r="BG823" s="30" t="n">
        <v>3</v>
      </c>
      <c r="BH823" s="30" t="n">
        <v>4</v>
      </c>
      <c r="BI823" s="30" t="n">
        <v>3</v>
      </c>
      <c r="BJ823" s="30" t="n">
        <v>3</v>
      </c>
      <c r="BK823" s="31" t="s">
        <v>2191</v>
      </c>
    </row>
    <row r="824" customFormat="false" ht="15" hidden="false" customHeight="true" outlineLevel="0" collapsed="false">
      <c r="B824" s="2" t="s">
        <v>794</v>
      </c>
      <c r="C824" s="2" t="s">
        <v>78</v>
      </c>
      <c r="D824" s="2" t="s">
        <v>2192</v>
      </c>
      <c r="E824" s="2" t="n">
        <v>198027</v>
      </c>
      <c r="F824" s="15" t="n">
        <v>43983</v>
      </c>
      <c r="G824" s="15" t="n">
        <v>43988</v>
      </c>
      <c r="H824" s="3" t="n">
        <v>5</v>
      </c>
      <c r="I824" s="3" t="n">
        <v>1</v>
      </c>
      <c r="J824" s="3" t="n">
        <v>72</v>
      </c>
      <c r="K824" s="3" t="n">
        <v>1</v>
      </c>
      <c r="L824" s="3" t="n">
        <v>2</v>
      </c>
      <c r="M824" s="3" t="n">
        <v>1</v>
      </c>
      <c r="N824" s="3" t="n">
        <v>2</v>
      </c>
      <c r="O824" s="3" t="n">
        <v>2</v>
      </c>
      <c r="P824" s="3" t="n">
        <v>2</v>
      </c>
      <c r="Q824" s="3" t="n">
        <v>1</v>
      </c>
      <c r="R824" s="3" t="n">
        <v>2</v>
      </c>
      <c r="S824" s="3" t="n">
        <v>2</v>
      </c>
      <c r="T824" s="4" t="n">
        <v>1</v>
      </c>
      <c r="U824" s="3" t="n">
        <v>1</v>
      </c>
      <c r="V824" s="3" t="n">
        <v>5.48</v>
      </c>
      <c r="W824" s="3" t="n">
        <v>1.73</v>
      </c>
      <c r="X824" s="3" t="n">
        <v>6.23</v>
      </c>
      <c r="Y824" s="3" t="n">
        <v>409</v>
      </c>
      <c r="Z824" s="3" t="n">
        <v>92</v>
      </c>
      <c r="AA824" s="3" t="n">
        <v>0.4</v>
      </c>
      <c r="AB824" s="3" t="n">
        <v>10.6</v>
      </c>
      <c r="AC824" s="3" t="n">
        <v>1</v>
      </c>
      <c r="AD824" s="3" t="n">
        <v>1</v>
      </c>
      <c r="AE824" s="3" t="n">
        <v>1</v>
      </c>
      <c r="AF824" s="3" t="n">
        <v>1</v>
      </c>
      <c r="AG824" s="3" t="n">
        <v>2</v>
      </c>
      <c r="AH824" s="3" t="n">
        <v>1</v>
      </c>
      <c r="AI824" s="3" t="n">
        <v>1</v>
      </c>
      <c r="AJ824" s="3" t="n">
        <v>2</v>
      </c>
      <c r="AK824" s="3" t="n">
        <v>2</v>
      </c>
      <c r="AL824" s="3" t="n">
        <v>2</v>
      </c>
      <c r="AM824" s="3" t="n">
        <v>1</v>
      </c>
      <c r="AN824" s="3" t="n">
        <v>2</v>
      </c>
      <c r="AO824" s="3" t="n">
        <v>2</v>
      </c>
      <c r="AP824" s="3" t="n">
        <v>3</v>
      </c>
      <c r="AQ824" s="3" t="n">
        <v>4</v>
      </c>
      <c r="AR824" s="3" t="n">
        <v>4</v>
      </c>
      <c r="AS824" s="3" t="n">
        <v>6</v>
      </c>
      <c r="AT824" s="3" t="n">
        <v>4</v>
      </c>
      <c r="AU824" s="3" t="n">
        <v>4</v>
      </c>
      <c r="AV824" s="3" t="n">
        <v>6</v>
      </c>
      <c r="AW824" s="3" t="n">
        <v>6</v>
      </c>
      <c r="AX824" s="3" t="n">
        <v>3</v>
      </c>
      <c r="AY824" s="3" t="n">
        <v>3</v>
      </c>
      <c r="AZ824" s="3" t="n">
        <v>1</v>
      </c>
      <c r="BA824" s="5" t="n">
        <v>5</v>
      </c>
      <c r="BB824" s="3" t="n">
        <v>2</v>
      </c>
      <c r="BC824" s="3" t="n">
        <v>1</v>
      </c>
      <c r="BD824" s="3" t="n">
        <v>6</v>
      </c>
      <c r="BE824" s="3" t="n">
        <v>3</v>
      </c>
      <c r="BF824" s="3" t="n">
        <v>5</v>
      </c>
      <c r="BG824" s="3" t="n">
        <v>3</v>
      </c>
      <c r="BH824" s="3" t="n">
        <v>4</v>
      </c>
      <c r="BI824" s="3" t="n">
        <v>1</v>
      </c>
      <c r="BJ824" s="3" t="n">
        <v>1</v>
      </c>
      <c r="BK824" s="6" t="s">
        <v>2193</v>
      </c>
    </row>
    <row r="825" customFormat="false" ht="15" hidden="false" customHeight="true" outlineLevel="0" collapsed="false">
      <c r="B825" s="2" t="s">
        <v>73</v>
      </c>
      <c r="C825" s="2" t="s">
        <v>127</v>
      </c>
      <c r="D825" s="2" t="s">
        <v>1042</v>
      </c>
      <c r="E825" s="2" t="n">
        <v>198002</v>
      </c>
      <c r="F825" s="15" t="n">
        <v>43982</v>
      </c>
      <c r="G825" s="15" t="n">
        <v>43985</v>
      </c>
      <c r="H825" s="3" t="n">
        <v>3</v>
      </c>
      <c r="I825" s="3" t="n">
        <v>2</v>
      </c>
      <c r="J825" s="3" t="n">
        <v>54</v>
      </c>
      <c r="K825" s="3" t="n">
        <v>1</v>
      </c>
      <c r="L825" s="3" t="n">
        <v>1</v>
      </c>
      <c r="M825" s="3" t="n">
        <v>1</v>
      </c>
      <c r="N825" s="3" t="n">
        <v>2</v>
      </c>
      <c r="O825" s="3" t="n">
        <v>1</v>
      </c>
      <c r="P825" s="3" t="n">
        <v>2</v>
      </c>
      <c r="Q825" s="3" t="n">
        <v>2</v>
      </c>
      <c r="R825" s="3" t="n">
        <v>2</v>
      </c>
      <c r="S825" s="3" t="n">
        <v>2</v>
      </c>
      <c r="T825" s="4" t="n">
        <v>1</v>
      </c>
      <c r="U825" s="3" t="n">
        <v>1</v>
      </c>
      <c r="V825" s="3" t="n">
        <v>3.83</v>
      </c>
      <c r="W825" s="3" t="n">
        <v>3.71</v>
      </c>
      <c r="X825" s="3" t="n">
        <v>12.48</v>
      </c>
      <c r="Y825" s="3" t="n">
        <v>316</v>
      </c>
      <c r="Z825" s="3" t="n">
        <v>76</v>
      </c>
      <c r="AA825" s="3" t="n">
        <v>0.46</v>
      </c>
      <c r="AB825" s="3" t="n">
        <v>9.2</v>
      </c>
      <c r="AC825" s="3" t="n">
        <v>1</v>
      </c>
      <c r="AD825" s="3" t="n">
        <v>1</v>
      </c>
      <c r="AE825" s="3" t="n">
        <v>1</v>
      </c>
      <c r="AF825" s="3" t="n">
        <v>1</v>
      </c>
      <c r="AG825" s="3" t="n">
        <v>2</v>
      </c>
      <c r="AH825" s="3" t="n">
        <v>1</v>
      </c>
      <c r="AI825" s="3" t="n">
        <v>1</v>
      </c>
      <c r="AJ825" s="3" t="n">
        <v>1</v>
      </c>
      <c r="AK825" s="3" t="n">
        <v>2</v>
      </c>
      <c r="AL825" s="3" t="n">
        <v>2</v>
      </c>
      <c r="AM825" s="3" t="n">
        <v>2</v>
      </c>
      <c r="AN825" s="3" t="n">
        <v>2</v>
      </c>
      <c r="AO825" s="3" t="n">
        <v>2</v>
      </c>
      <c r="AP825" s="3" t="n">
        <v>3</v>
      </c>
      <c r="AQ825" s="3" t="n">
        <v>4</v>
      </c>
      <c r="AR825" s="3" t="n">
        <v>4</v>
      </c>
      <c r="AS825" s="3" t="n">
        <v>6</v>
      </c>
      <c r="AT825" s="3" t="n">
        <v>4</v>
      </c>
      <c r="AU825" s="3" t="n">
        <v>4</v>
      </c>
      <c r="AV825" s="3" t="n">
        <v>6</v>
      </c>
      <c r="AW825" s="3" t="n">
        <v>6</v>
      </c>
      <c r="AX825" s="3" t="n">
        <v>3</v>
      </c>
      <c r="AY825" s="3" t="n">
        <v>3</v>
      </c>
      <c r="AZ825" s="3" t="n">
        <v>1</v>
      </c>
      <c r="BA825" s="5" t="n">
        <v>5</v>
      </c>
      <c r="BB825" s="3" t="n">
        <v>2</v>
      </c>
      <c r="BC825" s="3" t="n">
        <v>1</v>
      </c>
      <c r="BD825" s="3" t="n">
        <v>6</v>
      </c>
      <c r="BE825" s="3" t="n">
        <v>3</v>
      </c>
      <c r="BF825" s="3" t="n">
        <v>5</v>
      </c>
      <c r="BG825" s="3" t="n">
        <v>3</v>
      </c>
      <c r="BH825" s="3" t="n">
        <v>4</v>
      </c>
      <c r="BI825" s="3" t="n">
        <v>1</v>
      </c>
      <c r="BJ825" s="3" t="n">
        <v>1</v>
      </c>
      <c r="BK825" s="6" t="s">
        <v>2194</v>
      </c>
    </row>
    <row r="826" customFormat="false" ht="15" hidden="false" customHeight="true" outlineLevel="0" collapsed="false">
      <c r="B826" s="2" t="s">
        <v>2195</v>
      </c>
      <c r="C826" s="2" t="s">
        <v>2196</v>
      </c>
      <c r="D826" s="2" t="s">
        <v>95</v>
      </c>
      <c r="E826" s="2" t="n">
        <v>197967</v>
      </c>
      <c r="F826" s="15" t="n">
        <v>43981</v>
      </c>
      <c r="G826" s="15" t="n">
        <v>43988</v>
      </c>
      <c r="H826" s="3" t="n">
        <v>7</v>
      </c>
      <c r="I826" s="3" t="n">
        <v>2</v>
      </c>
      <c r="J826" s="3" t="n">
        <v>70</v>
      </c>
      <c r="K826" s="3" t="n">
        <v>2</v>
      </c>
      <c r="L826" s="3" t="n">
        <v>1</v>
      </c>
      <c r="M826" s="3" t="n">
        <v>1</v>
      </c>
      <c r="N826" s="3" t="n">
        <v>2</v>
      </c>
      <c r="O826" s="3" t="n">
        <v>2</v>
      </c>
      <c r="P826" s="3" t="n">
        <v>2</v>
      </c>
      <c r="Q826" s="3" t="n">
        <v>2</v>
      </c>
      <c r="R826" s="3" t="n">
        <v>2</v>
      </c>
      <c r="S826" s="3" t="n">
        <v>1</v>
      </c>
      <c r="T826" s="4" t="n">
        <v>2</v>
      </c>
      <c r="U826" s="3" t="n">
        <v>2</v>
      </c>
      <c r="V826" s="3" t="n">
        <v>4.31</v>
      </c>
      <c r="W826" s="3" t="n">
        <v>1.26</v>
      </c>
      <c r="X826" s="3" t="n">
        <v>4.49</v>
      </c>
      <c r="Y826" s="3" t="n">
        <v>288</v>
      </c>
      <c r="Z826" s="3" t="n">
        <v>90</v>
      </c>
      <c r="AA826" s="3" t="n">
        <v>0.43</v>
      </c>
      <c r="AB826" s="3" t="n">
        <v>10</v>
      </c>
      <c r="AC826" s="3" t="n">
        <v>2</v>
      </c>
      <c r="AD826" s="3" t="n">
        <v>2</v>
      </c>
      <c r="AE826" s="3" t="n">
        <v>1</v>
      </c>
      <c r="AF826" s="3" t="n">
        <v>1</v>
      </c>
      <c r="AG826" s="3" t="n">
        <v>1</v>
      </c>
      <c r="AH826" s="3" t="n">
        <v>2</v>
      </c>
      <c r="AI826" s="3" t="n">
        <v>1</v>
      </c>
      <c r="AJ826" s="3" t="n">
        <v>1</v>
      </c>
      <c r="AK826" s="3" t="n">
        <v>2</v>
      </c>
      <c r="AL826" s="3" t="n">
        <v>2</v>
      </c>
      <c r="AM826" s="3" t="n">
        <v>2</v>
      </c>
      <c r="AN826" s="3" t="n">
        <v>2</v>
      </c>
      <c r="AO826" s="3" t="n">
        <v>2</v>
      </c>
      <c r="AP826" s="3" t="n">
        <v>3</v>
      </c>
      <c r="AQ826" s="3" t="n">
        <v>4</v>
      </c>
      <c r="AR826" s="3" t="n">
        <v>4</v>
      </c>
      <c r="AS826" s="3" t="n">
        <v>6</v>
      </c>
      <c r="AT826" s="3" t="n">
        <v>4</v>
      </c>
      <c r="AU826" s="3" t="n">
        <v>4</v>
      </c>
      <c r="AV826" s="3" t="n">
        <v>6</v>
      </c>
      <c r="AW826" s="3" t="n">
        <v>6</v>
      </c>
      <c r="AX826" s="3" t="n">
        <v>3</v>
      </c>
      <c r="AY826" s="3" t="n">
        <v>3</v>
      </c>
      <c r="AZ826" s="3" t="n">
        <v>10</v>
      </c>
      <c r="BA826" s="5" t="n">
        <v>1</v>
      </c>
      <c r="BB826" s="3" t="n">
        <v>1</v>
      </c>
      <c r="BC826" s="3" t="n">
        <v>1</v>
      </c>
      <c r="BD826" s="3" t="n">
        <v>4</v>
      </c>
      <c r="BE826" s="3" t="n">
        <v>1</v>
      </c>
      <c r="BF826" s="3" t="n">
        <v>2</v>
      </c>
      <c r="BG826" s="3" t="n">
        <v>1</v>
      </c>
      <c r="BH826" s="3" t="n">
        <v>4</v>
      </c>
      <c r="BI826" s="3" t="n">
        <v>1</v>
      </c>
      <c r="BJ826" s="3" t="n">
        <v>1</v>
      </c>
      <c r="BK826" s="6" t="s">
        <v>2197</v>
      </c>
    </row>
    <row r="827" customFormat="false" ht="15" hidden="false" customHeight="true" outlineLevel="0" collapsed="false">
      <c r="B827" s="2" t="s">
        <v>1956</v>
      </c>
      <c r="C827" s="2" t="s">
        <v>1113</v>
      </c>
      <c r="D827" s="2" t="s">
        <v>1114</v>
      </c>
      <c r="E827" s="2" t="n">
        <v>197978</v>
      </c>
      <c r="F827" s="15" t="n">
        <v>43982</v>
      </c>
      <c r="G827" s="15" t="n">
        <v>43987</v>
      </c>
      <c r="H827" s="3" t="n">
        <v>5</v>
      </c>
      <c r="I827" s="3" t="n">
        <v>1</v>
      </c>
      <c r="J827" s="3" t="n">
        <v>81</v>
      </c>
      <c r="K827" s="3" t="n">
        <v>1</v>
      </c>
      <c r="L827" s="3" t="n">
        <v>2</v>
      </c>
      <c r="M827" s="3" t="n">
        <v>1</v>
      </c>
      <c r="N827" s="3" t="n">
        <v>2</v>
      </c>
      <c r="O827" s="3" t="n">
        <v>2</v>
      </c>
      <c r="P827" s="3" t="n">
        <v>2</v>
      </c>
      <c r="Q827" s="3" t="n">
        <v>1</v>
      </c>
      <c r="R827" s="3" t="n">
        <v>2</v>
      </c>
      <c r="S827" s="3" t="n">
        <v>1</v>
      </c>
      <c r="T827" s="4" t="n">
        <v>1</v>
      </c>
      <c r="U827" s="3" t="n">
        <v>4</v>
      </c>
      <c r="V827" s="3" t="n">
        <v>4.01</v>
      </c>
      <c r="W827" s="3" t="n">
        <v>0.91</v>
      </c>
      <c r="X827" s="3" t="n">
        <v>7.89</v>
      </c>
      <c r="Y827" s="3" t="n">
        <v>300</v>
      </c>
      <c r="Z827" s="3" t="n">
        <v>124</v>
      </c>
      <c r="AA827" s="3" t="n">
        <v>0.3</v>
      </c>
      <c r="AB827" s="3" t="n">
        <v>8.4</v>
      </c>
      <c r="AC827" s="3" t="n">
        <v>1</v>
      </c>
      <c r="AD827" s="3" t="n">
        <v>1</v>
      </c>
      <c r="AE827" s="3" t="n">
        <v>1</v>
      </c>
      <c r="AF827" s="3" t="n">
        <v>1</v>
      </c>
      <c r="AG827" s="3" t="n">
        <v>2</v>
      </c>
      <c r="AH827" s="3" t="n">
        <v>2</v>
      </c>
      <c r="AI827" s="3" t="n">
        <v>1</v>
      </c>
      <c r="AJ827" s="3" t="n">
        <v>2</v>
      </c>
      <c r="AK827" s="3" t="n">
        <v>2</v>
      </c>
      <c r="AL827" s="3" t="n">
        <v>2</v>
      </c>
      <c r="AM827" s="3" t="n">
        <v>1</v>
      </c>
      <c r="AN827" s="3" t="n">
        <v>2</v>
      </c>
      <c r="AO827" s="3" t="n">
        <v>2</v>
      </c>
      <c r="AP827" s="3" t="n">
        <v>3</v>
      </c>
      <c r="AQ827" s="3" t="n">
        <v>4</v>
      </c>
      <c r="AR827" s="3" t="n">
        <v>4</v>
      </c>
      <c r="AS827" s="3" t="n">
        <v>6</v>
      </c>
      <c r="AT827" s="3" t="n">
        <v>4</v>
      </c>
      <c r="AU827" s="3" t="n">
        <v>4</v>
      </c>
      <c r="AV827" s="3" t="n">
        <v>6</v>
      </c>
      <c r="AW827" s="3" t="n">
        <v>6</v>
      </c>
      <c r="AX827" s="3" t="n">
        <v>3</v>
      </c>
      <c r="AY827" s="3" t="n">
        <v>3</v>
      </c>
      <c r="AZ827" s="3" t="n">
        <v>1</v>
      </c>
      <c r="BA827" s="5" t="n">
        <v>11</v>
      </c>
      <c r="BB827" s="3" t="n">
        <v>2</v>
      </c>
      <c r="BC827" s="3" t="n">
        <v>1</v>
      </c>
      <c r="BD827" s="3" t="n">
        <v>6</v>
      </c>
      <c r="BE827" s="3" t="n">
        <v>3</v>
      </c>
      <c r="BF827" s="3" t="n">
        <v>5</v>
      </c>
      <c r="BG827" s="3" t="n">
        <v>3</v>
      </c>
      <c r="BH827" s="3" t="n">
        <v>4</v>
      </c>
      <c r="BI827" s="3" t="n">
        <v>1</v>
      </c>
      <c r="BJ827" s="3" t="n">
        <v>1</v>
      </c>
      <c r="BK827" s="6" t="s">
        <v>2198</v>
      </c>
    </row>
    <row r="828" customFormat="false" ht="15" hidden="false" customHeight="true" outlineLevel="0" collapsed="false">
      <c r="B828" s="2" t="s">
        <v>2199</v>
      </c>
      <c r="C828" s="2" t="s">
        <v>198</v>
      </c>
      <c r="D828" s="2" t="s">
        <v>304</v>
      </c>
      <c r="E828" s="2" t="n">
        <v>197983</v>
      </c>
      <c r="F828" s="15" t="n">
        <v>43982</v>
      </c>
      <c r="G828" s="15" t="n">
        <v>43987</v>
      </c>
      <c r="H828" s="3" t="n">
        <v>5</v>
      </c>
      <c r="I828" s="3" t="n">
        <v>2</v>
      </c>
      <c r="J828" s="3" t="n">
        <v>80</v>
      </c>
      <c r="K828" s="3" t="n">
        <v>1</v>
      </c>
      <c r="L828" s="3" t="n">
        <v>1</v>
      </c>
      <c r="M828" s="3" t="n">
        <v>1</v>
      </c>
      <c r="N828" s="3" t="n">
        <v>2</v>
      </c>
      <c r="O828" s="3" t="n">
        <v>2</v>
      </c>
      <c r="P828" s="3" t="n">
        <v>2</v>
      </c>
      <c r="Q828" s="3" t="n">
        <v>2</v>
      </c>
      <c r="R828" s="3" t="n">
        <v>2</v>
      </c>
      <c r="S828" s="3" t="n">
        <v>2</v>
      </c>
      <c r="T828" s="4" t="n">
        <v>4</v>
      </c>
      <c r="U828" s="3" t="n">
        <v>4</v>
      </c>
      <c r="V828" s="3" t="n">
        <v>3.93</v>
      </c>
      <c r="W828" s="3" t="n">
        <v>0.87</v>
      </c>
      <c r="X828" s="3" t="n">
        <v>3.49</v>
      </c>
      <c r="Y828" s="3" t="n">
        <v>506</v>
      </c>
      <c r="Z828" s="3" t="n">
        <v>122</v>
      </c>
      <c r="AA828" s="3" t="n">
        <v>0.43</v>
      </c>
      <c r="AB828" s="3" t="n">
        <v>12.6</v>
      </c>
      <c r="AC828" s="3" t="n">
        <v>1</v>
      </c>
      <c r="AD828" s="3" t="n">
        <v>2</v>
      </c>
      <c r="AE828" s="3" t="n">
        <v>2</v>
      </c>
      <c r="AF828" s="3" t="n">
        <v>2</v>
      </c>
      <c r="AG828" s="3" t="n">
        <v>2</v>
      </c>
      <c r="AH828" s="3" t="n">
        <v>2</v>
      </c>
      <c r="AI828" s="3" t="n">
        <v>2</v>
      </c>
      <c r="AJ828" s="3" t="n">
        <v>1</v>
      </c>
      <c r="AK828" s="3" t="n">
        <v>2</v>
      </c>
      <c r="AL828" s="3" t="n">
        <v>2</v>
      </c>
      <c r="AM828" s="3" t="n">
        <v>1</v>
      </c>
      <c r="AN828" s="3" t="n">
        <v>2</v>
      </c>
      <c r="AO828" s="3" t="n">
        <v>2</v>
      </c>
      <c r="AP828" s="3" t="n">
        <v>3</v>
      </c>
      <c r="AQ828" s="3" t="n">
        <v>4</v>
      </c>
      <c r="AR828" s="3" t="n">
        <v>4</v>
      </c>
      <c r="AS828" s="3" t="n">
        <v>6</v>
      </c>
      <c r="AT828" s="3" t="n">
        <v>4</v>
      </c>
      <c r="AU828" s="3" t="n">
        <v>4</v>
      </c>
      <c r="AV828" s="3" t="n">
        <v>6</v>
      </c>
      <c r="AW828" s="3" t="n">
        <v>6</v>
      </c>
      <c r="AX828" s="3" t="n">
        <v>3</v>
      </c>
      <c r="AY828" s="3" t="n">
        <v>3</v>
      </c>
      <c r="AZ828" s="3" t="n">
        <v>1</v>
      </c>
      <c r="BA828" s="5" t="n">
        <v>10</v>
      </c>
      <c r="BB828" s="3" t="n">
        <v>2</v>
      </c>
      <c r="BC828" s="3" t="n">
        <v>1</v>
      </c>
      <c r="BD828" s="3" t="n">
        <v>6</v>
      </c>
      <c r="BE828" s="3" t="n">
        <v>3</v>
      </c>
      <c r="BF828" s="3" t="n">
        <v>5</v>
      </c>
      <c r="BG828" s="3" t="n">
        <v>3</v>
      </c>
      <c r="BH828" s="3" t="n">
        <v>4</v>
      </c>
      <c r="BI828" s="3" t="n">
        <v>1</v>
      </c>
      <c r="BJ828" s="3" t="n">
        <v>1</v>
      </c>
      <c r="BK828" s="6" t="s">
        <v>2200</v>
      </c>
    </row>
    <row r="829" s="30" customFormat="true" ht="15" hidden="false" customHeight="true" outlineLevel="0" collapsed="false">
      <c r="A829" s="24"/>
      <c r="B829" s="26" t="s">
        <v>2201</v>
      </c>
      <c r="C829" s="26" t="s">
        <v>2202</v>
      </c>
      <c r="D829" s="26" t="s">
        <v>2203</v>
      </c>
      <c r="E829" s="26" t="n">
        <v>198178</v>
      </c>
      <c r="F829" s="27" t="n">
        <v>43990</v>
      </c>
      <c r="G829" s="27" t="n">
        <v>43992</v>
      </c>
      <c r="H829" s="30" t="n">
        <v>5</v>
      </c>
      <c r="I829" s="30" t="n">
        <v>2</v>
      </c>
      <c r="J829" s="30" t="n">
        <v>82</v>
      </c>
      <c r="K829" s="30" t="n">
        <v>1</v>
      </c>
      <c r="L829" s="30" t="n">
        <v>2</v>
      </c>
      <c r="M829" s="30" t="n">
        <v>1</v>
      </c>
      <c r="N829" s="30" t="n">
        <v>1</v>
      </c>
      <c r="O829" s="30" t="n">
        <v>2</v>
      </c>
      <c r="P829" s="30" t="n">
        <v>2</v>
      </c>
      <c r="Q829" s="30" t="n">
        <v>2</v>
      </c>
      <c r="R829" s="30" t="n">
        <v>1</v>
      </c>
      <c r="S829" s="30" t="n">
        <v>1</v>
      </c>
      <c r="T829" s="4" t="n">
        <v>1</v>
      </c>
      <c r="U829" s="30" t="n">
        <v>1</v>
      </c>
      <c r="AD829" s="30" t="n">
        <v>1</v>
      </c>
      <c r="AE829" s="30" t="n">
        <v>1</v>
      </c>
      <c r="AF829" s="30" t="n">
        <v>1</v>
      </c>
      <c r="AG829" s="30" t="n">
        <v>1</v>
      </c>
      <c r="AH829" s="30" t="n">
        <v>2</v>
      </c>
      <c r="AI829" s="30" t="n">
        <v>1</v>
      </c>
      <c r="AJ829" s="30" t="n">
        <v>1</v>
      </c>
      <c r="AK829" s="30" t="n">
        <v>2</v>
      </c>
      <c r="AL829" s="30" t="n">
        <v>2</v>
      </c>
      <c r="AM829" s="30" t="n">
        <v>2</v>
      </c>
      <c r="AN829" s="30" t="n">
        <v>2</v>
      </c>
      <c r="AO829" s="30" t="n">
        <v>2</v>
      </c>
      <c r="AP829" s="30" t="n">
        <v>3</v>
      </c>
      <c r="AQ829" s="30" t="n">
        <v>4</v>
      </c>
      <c r="AR829" s="30" t="n">
        <v>4</v>
      </c>
      <c r="AS829" s="30" t="n">
        <v>6</v>
      </c>
      <c r="AT829" s="30" t="n">
        <v>4</v>
      </c>
      <c r="AU829" s="30" t="n">
        <v>4</v>
      </c>
      <c r="AV829" s="30" t="n">
        <v>6</v>
      </c>
      <c r="AW829" s="30" t="n">
        <v>6</v>
      </c>
      <c r="AX829" s="30" t="n">
        <v>3</v>
      </c>
      <c r="AY829" s="30" t="n">
        <v>3</v>
      </c>
      <c r="AZ829" s="30" t="n">
        <v>6</v>
      </c>
      <c r="BA829" s="5" t="n">
        <v>5</v>
      </c>
      <c r="BB829" s="30" t="n">
        <v>2</v>
      </c>
      <c r="BC829" s="30" t="n">
        <v>1</v>
      </c>
      <c r="BD829" s="30" t="n">
        <v>6</v>
      </c>
      <c r="BE829" s="30" t="n">
        <v>3</v>
      </c>
      <c r="BF829" s="30" t="n">
        <v>5</v>
      </c>
      <c r="BG829" s="30" t="n">
        <v>3</v>
      </c>
      <c r="BH829" s="30" t="n">
        <v>4</v>
      </c>
      <c r="BI829" s="30" t="n">
        <v>1</v>
      </c>
      <c r="BJ829" s="30" t="n">
        <v>1</v>
      </c>
      <c r="BK829" s="31" t="s">
        <v>2204</v>
      </c>
    </row>
    <row r="830" customFormat="false" ht="15" hidden="false" customHeight="true" outlineLevel="0" collapsed="false">
      <c r="B830" s="2" t="s">
        <v>1143</v>
      </c>
      <c r="C830" s="2" t="s">
        <v>1895</v>
      </c>
      <c r="D830" s="2" t="s">
        <v>304</v>
      </c>
      <c r="E830" s="2" t="n">
        <v>198125</v>
      </c>
      <c r="F830" s="15" t="n">
        <v>43987</v>
      </c>
      <c r="G830" s="15" t="n">
        <v>43992</v>
      </c>
      <c r="H830" s="3" t="n">
        <v>5</v>
      </c>
      <c r="I830" s="3" t="n">
        <v>2</v>
      </c>
      <c r="J830" s="3" t="n">
        <v>64</v>
      </c>
      <c r="K830" s="3" t="n">
        <v>2</v>
      </c>
      <c r="L830" s="3" t="n">
        <v>2</v>
      </c>
      <c r="M830" s="3" t="n">
        <v>2</v>
      </c>
      <c r="N830" s="3" t="n">
        <v>2</v>
      </c>
      <c r="O830" s="3" t="n">
        <v>2</v>
      </c>
      <c r="P830" s="3" t="n">
        <v>2</v>
      </c>
      <c r="Q830" s="3" t="n">
        <v>2</v>
      </c>
      <c r="R830" s="3" t="n">
        <v>2</v>
      </c>
      <c r="S830" s="3" t="n">
        <v>2</v>
      </c>
      <c r="T830" s="4" t="n">
        <v>1</v>
      </c>
      <c r="U830" s="3" t="n">
        <v>4</v>
      </c>
      <c r="AC830" s="3" t="n">
        <v>1</v>
      </c>
      <c r="AD830" s="3" t="n">
        <v>1</v>
      </c>
      <c r="AE830" s="3" t="n">
        <v>1</v>
      </c>
      <c r="AF830" s="3" t="n">
        <v>1</v>
      </c>
      <c r="AG830" s="3" t="n">
        <v>2</v>
      </c>
      <c r="AH830" s="3" t="n">
        <v>2</v>
      </c>
      <c r="AI830" s="3" t="n">
        <v>1</v>
      </c>
      <c r="AJ830" s="3" t="n">
        <v>2</v>
      </c>
      <c r="AK830" s="3" t="n">
        <v>2</v>
      </c>
      <c r="AL830" s="3" t="n">
        <v>2</v>
      </c>
      <c r="AM830" s="3" t="n">
        <v>2</v>
      </c>
      <c r="AN830" s="3" t="n">
        <v>2</v>
      </c>
      <c r="AO830" s="3" t="n">
        <v>2</v>
      </c>
      <c r="AP830" s="3" t="n">
        <v>3</v>
      </c>
      <c r="AQ830" s="3" t="n">
        <v>4</v>
      </c>
      <c r="AR830" s="3" t="n">
        <v>4</v>
      </c>
      <c r="AS830" s="3" t="n">
        <v>6</v>
      </c>
      <c r="AT830" s="3" t="n">
        <v>4</v>
      </c>
      <c r="AU830" s="3" t="n">
        <v>4</v>
      </c>
      <c r="AV830" s="3" t="n">
        <v>6</v>
      </c>
      <c r="AW830" s="3" t="n">
        <v>6</v>
      </c>
      <c r="AX830" s="3" t="n">
        <v>3</v>
      </c>
      <c r="AY830" s="3" t="n">
        <v>3</v>
      </c>
      <c r="AZ830" s="3" t="n">
        <v>1</v>
      </c>
      <c r="BA830" s="5" t="n">
        <v>5</v>
      </c>
      <c r="BB830" s="3" t="n">
        <v>2</v>
      </c>
      <c r="BC830" s="3" t="n">
        <v>1</v>
      </c>
      <c r="BD830" s="3" t="n">
        <v>6</v>
      </c>
      <c r="BE830" s="3" t="n">
        <v>3</v>
      </c>
      <c r="BF830" s="3" t="n">
        <v>5</v>
      </c>
      <c r="BG830" s="3" t="n">
        <v>3</v>
      </c>
      <c r="BH830" s="3" t="n">
        <v>4</v>
      </c>
      <c r="BI830" s="3" t="n">
        <v>1</v>
      </c>
      <c r="BJ830" s="3" t="n">
        <v>1</v>
      </c>
      <c r="BK830" s="6" t="s">
        <v>2205</v>
      </c>
    </row>
    <row r="831" customFormat="false" ht="15" hidden="false" customHeight="true" outlineLevel="0" collapsed="false">
      <c r="B831" s="2" t="s">
        <v>569</v>
      </c>
      <c r="C831" s="2" t="s">
        <v>2206</v>
      </c>
      <c r="D831" s="2" t="s">
        <v>808</v>
      </c>
      <c r="E831" s="2" t="n">
        <v>198287</v>
      </c>
      <c r="F831" s="15" t="n">
        <v>43992</v>
      </c>
      <c r="G831" s="15" t="n">
        <v>43994</v>
      </c>
      <c r="H831" s="3" t="n">
        <v>2</v>
      </c>
      <c r="I831" s="3" t="n">
        <v>2</v>
      </c>
      <c r="J831" s="3" t="n">
        <v>52</v>
      </c>
      <c r="K831" s="3" t="n">
        <v>1</v>
      </c>
      <c r="L831" s="3" t="n">
        <v>2</v>
      </c>
      <c r="M831" s="3" t="n">
        <v>2</v>
      </c>
      <c r="N831" s="3" t="n">
        <v>2</v>
      </c>
      <c r="O831" s="3" t="n">
        <v>2</v>
      </c>
      <c r="P831" s="3" t="n">
        <v>2</v>
      </c>
      <c r="Q831" s="3" t="n">
        <v>1</v>
      </c>
      <c r="R831" s="3" t="n">
        <v>2</v>
      </c>
      <c r="S831" s="3" t="n">
        <v>2</v>
      </c>
      <c r="T831" s="4" t="n">
        <v>1</v>
      </c>
      <c r="U831" s="3" t="n">
        <v>1</v>
      </c>
      <c r="AC831" s="3" t="n">
        <v>1</v>
      </c>
      <c r="AD831" s="3" t="n">
        <v>1</v>
      </c>
      <c r="AE831" s="3" t="n">
        <v>1</v>
      </c>
      <c r="AF831" s="3" t="n">
        <v>1</v>
      </c>
      <c r="AG831" s="3" t="n">
        <v>2</v>
      </c>
      <c r="AH831" s="3" t="n">
        <v>1</v>
      </c>
      <c r="AI831" s="3" t="n">
        <v>1</v>
      </c>
      <c r="AJ831" s="3" t="n">
        <v>2</v>
      </c>
      <c r="AK831" s="3" t="n">
        <v>2</v>
      </c>
      <c r="AL831" s="3" t="n">
        <v>2</v>
      </c>
      <c r="AM831" s="3" t="n">
        <v>2</v>
      </c>
      <c r="AN831" s="3" t="n">
        <v>2</v>
      </c>
      <c r="AO831" s="3" t="n">
        <v>2</v>
      </c>
      <c r="AP831" s="3" t="n">
        <v>3</v>
      </c>
      <c r="AQ831" s="3" t="n">
        <v>4</v>
      </c>
      <c r="AR831" s="3" t="n">
        <v>4</v>
      </c>
      <c r="AS831" s="3" t="n">
        <v>6</v>
      </c>
      <c r="AT831" s="3" t="n">
        <v>4</v>
      </c>
      <c r="AU831" s="3" t="n">
        <v>4</v>
      </c>
      <c r="AV831" s="3" t="n">
        <v>6</v>
      </c>
      <c r="AW831" s="3" t="n">
        <v>6</v>
      </c>
      <c r="AX831" s="3" t="n">
        <v>3</v>
      </c>
      <c r="AY831" s="3" t="n">
        <v>3</v>
      </c>
      <c r="AZ831" s="3" t="n">
        <v>1</v>
      </c>
      <c r="BA831" s="5" t="n">
        <v>5</v>
      </c>
      <c r="BB831" s="3" t="n">
        <v>2</v>
      </c>
      <c r="BC831" s="3" t="n">
        <v>1</v>
      </c>
      <c r="BD831" s="3" t="n">
        <v>6</v>
      </c>
      <c r="BE831" s="3" t="n">
        <v>3</v>
      </c>
      <c r="BF831" s="3" t="n">
        <v>5</v>
      </c>
      <c r="BG831" s="3" t="n">
        <v>3</v>
      </c>
      <c r="BH831" s="3" t="n">
        <v>4</v>
      </c>
      <c r="BI831" s="3" t="n">
        <v>1</v>
      </c>
      <c r="BJ831" s="3" t="n">
        <v>1</v>
      </c>
      <c r="BK831" s="6" t="s">
        <v>2207</v>
      </c>
    </row>
    <row r="832" customFormat="false" ht="15" hidden="false" customHeight="true" outlineLevel="0" collapsed="false">
      <c r="B832" s="2" t="s">
        <v>278</v>
      </c>
      <c r="C832" s="2" t="s">
        <v>2208</v>
      </c>
      <c r="D832" s="2" t="s">
        <v>2209</v>
      </c>
      <c r="E832" s="2" t="n">
        <v>198163</v>
      </c>
      <c r="F832" s="15" t="n">
        <v>43989</v>
      </c>
      <c r="G832" s="15" t="n">
        <v>43995</v>
      </c>
      <c r="H832" s="3" t="n">
        <v>6</v>
      </c>
      <c r="I832" s="3" t="n">
        <v>2</v>
      </c>
      <c r="J832" s="3" t="n">
        <v>64</v>
      </c>
      <c r="K832" s="3" t="n">
        <v>2</v>
      </c>
      <c r="L832" s="3" t="n">
        <v>1</v>
      </c>
      <c r="M832" s="3" t="n">
        <v>1</v>
      </c>
      <c r="N832" s="3" t="n">
        <v>1</v>
      </c>
      <c r="O832" s="3" t="n">
        <v>2</v>
      </c>
      <c r="P832" s="3" t="n">
        <v>2</v>
      </c>
      <c r="Q832" s="3" t="n">
        <v>1</v>
      </c>
      <c r="R832" s="3" t="n">
        <v>2</v>
      </c>
      <c r="S832" s="3" t="n">
        <v>2</v>
      </c>
      <c r="T832" s="4" t="n">
        <v>2</v>
      </c>
      <c r="U832" s="3" t="n">
        <v>2</v>
      </c>
      <c r="V832" s="3" t="n">
        <v>4.93</v>
      </c>
      <c r="W832" s="3" t="n">
        <v>1.38</v>
      </c>
      <c r="X832" s="3" t="n">
        <v>6.06</v>
      </c>
      <c r="Y832" s="3" t="n">
        <v>325</v>
      </c>
      <c r="Z832" s="3" t="n">
        <v>88</v>
      </c>
      <c r="AA832" s="3" t="n">
        <v>0.47</v>
      </c>
      <c r="AB832" s="3" t="n">
        <v>22</v>
      </c>
      <c r="AC832" s="3" t="n">
        <v>1</v>
      </c>
      <c r="AD832" s="3" t="n">
        <v>2</v>
      </c>
      <c r="AE832" s="3" t="n">
        <v>1</v>
      </c>
      <c r="AF832" s="3" t="n">
        <v>1</v>
      </c>
      <c r="AG832" s="3" t="n">
        <v>2</v>
      </c>
      <c r="AH832" s="3" t="n">
        <v>2</v>
      </c>
      <c r="AI832" s="3" t="n">
        <v>1</v>
      </c>
      <c r="AJ832" s="3" t="n">
        <v>1</v>
      </c>
      <c r="AK832" s="3" t="n">
        <v>2</v>
      </c>
      <c r="AL832" s="3" t="n">
        <v>2</v>
      </c>
      <c r="AM832" s="3" t="n">
        <v>1</v>
      </c>
      <c r="AN832" s="3" t="n">
        <v>2</v>
      </c>
      <c r="AO832" s="3" t="n">
        <v>2</v>
      </c>
      <c r="AP832" s="3" t="n">
        <v>3</v>
      </c>
      <c r="AQ832" s="3" t="n">
        <v>4</v>
      </c>
      <c r="AR832" s="3" t="n">
        <v>4</v>
      </c>
      <c r="AS832" s="3" t="n">
        <v>6</v>
      </c>
      <c r="AT832" s="3" t="n">
        <v>4</v>
      </c>
      <c r="AU832" s="3" t="n">
        <v>4</v>
      </c>
      <c r="AV832" s="3" t="n">
        <v>6</v>
      </c>
      <c r="AW832" s="3" t="n">
        <v>6</v>
      </c>
      <c r="AX832" s="3" t="n">
        <v>3</v>
      </c>
      <c r="AY832" s="3" t="n">
        <v>3</v>
      </c>
      <c r="AZ832" s="3" t="n">
        <v>1</v>
      </c>
      <c r="BA832" s="5" t="n">
        <v>1</v>
      </c>
      <c r="BB832" s="3" t="n">
        <v>1</v>
      </c>
      <c r="BC832" s="3" t="n">
        <v>1</v>
      </c>
      <c r="BD832" s="3" t="n">
        <v>2</v>
      </c>
      <c r="BE832" s="3" t="n">
        <v>1</v>
      </c>
      <c r="BF832" s="3" t="n">
        <v>2</v>
      </c>
      <c r="BG832" s="3" t="n">
        <v>1</v>
      </c>
      <c r="BH832" s="3" t="n">
        <v>4</v>
      </c>
      <c r="BI832" s="3" t="n">
        <v>1</v>
      </c>
      <c r="BJ832" s="3" t="n">
        <v>1</v>
      </c>
      <c r="BK832" s="6" t="s">
        <v>2210</v>
      </c>
    </row>
    <row r="833" customFormat="false" ht="15" hidden="false" customHeight="true" outlineLevel="0" collapsed="false">
      <c r="B833" s="2" t="s">
        <v>828</v>
      </c>
      <c r="C833" s="2" t="s">
        <v>446</v>
      </c>
      <c r="D833" s="2" t="s">
        <v>2211</v>
      </c>
      <c r="E833" s="2" t="n">
        <v>198219</v>
      </c>
      <c r="F833" s="15" t="n">
        <v>43994</v>
      </c>
      <c r="G833" s="15" t="n">
        <v>43998</v>
      </c>
      <c r="H833" s="3" t="n">
        <v>4</v>
      </c>
      <c r="I833" s="3" t="n">
        <v>1</v>
      </c>
      <c r="J833" s="3" t="n">
        <v>71</v>
      </c>
      <c r="K833" s="3" t="n">
        <v>1</v>
      </c>
      <c r="L833" s="3" t="n">
        <v>2</v>
      </c>
      <c r="M833" s="3" t="n">
        <v>1</v>
      </c>
      <c r="N833" s="3" t="n">
        <v>2</v>
      </c>
      <c r="O833" s="3" t="n">
        <v>2</v>
      </c>
      <c r="P833" s="3" t="n">
        <v>2</v>
      </c>
      <c r="Q833" s="3" t="n">
        <v>1</v>
      </c>
      <c r="R833" s="3" t="n">
        <v>1</v>
      </c>
      <c r="S833" s="3" t="n">
        <v>2</v>
      </c>
      <c r="T833" s="4" t="n">
        <v>3</v>
      </c>
      <c r="U833" s="3" t="n">
        <v>1</v>
      </c>
      <c r="V833" s="3" t="n">
        <v>5.79</v>
      </c>
      <c r="W833" s="3" t="n">
        <v>1.21</v>
      </c>
      <c r="X833" s="3" t="n">
        <v>3.78</v>
      </c>
      <c r="Y833" s="3" t="n">
        <v>426</v>
      </c>
      <c r="Z833" s="3" t="n">
        <v>396</v>
      </c>
      <c r="AA833" s="3" t="n">
        <v>0.36</v>
      </c>
      <c r="AB833" s="3" t="n">
        <v>13</v>
      </c>
      <c r="AC833" s="3" t="n">
        <v>3</v>
      </c>
      <c r="AD833" s="3" t="n">
        <v>1</v>
      </c>
      <c r="AE833" s="3" t="n">
        <v>2</v>
      </c>
      <c r="AF833" s="3" t="n">
        <v>1</v>
      </c>
      <c r="AG833" s="3" t="n">
        <v>2</v>
      </c>
      <c r="AH833" s="3" t="n">
        <v>1</v>
      </c>
      <c r="AI833" s="3" t="n">
        <v>1</v>
      </c>
      <c r="AJ833" s="3" t="n">
        <v>2</v>
      </c>
      <c r="AK833" s="3" t="n">
        <v>2</v>
      </c>
      <c r="AL833" s="3" t="n">
        <v>2</v>
      </c>
      <c r="AM833" s="3" t="n">
        <v>1</v>
      </c>
      <c r="AN833" s="3" t="n">
        <v>2</v>
      </c>
      <c r="AO833" s="3" t="n">
        <v>2</v>
      </c>
      <c r="AP833" s="3" t="n">
        <v>3</v>
      </c>
      <c r="AQ833" s="3" t="n">
        <v>4</v>
      </c>
      <c r="AR833" s="3" t="n">
        <v>4</v>
      </c>
      <c r="AS833" s="3" t="n">
        <v>6</v>
      </c>
      <c r="AT833" s="3" t="n">
        <v>4</v>
      </c>
      <c r="AU833" s="3" t="n">
        <v>4</v>
      </c>
      <c r="AV833" s="3" t="n">
        <v>6</v>
      </c>
      <c r="AW833" s="3" t="n">
        <v>6</v>
      </c>
      <c r="AX833" s="3" t="n">
        <v>3</v>
      </c>
      <c r="AY833" s="3" t="n">
        <v>3</v>
      </c>
      <c r="AZ833" s="3" t="n">
        <v>1</v>
      </c>
      <c r="BA833" s="5" t="n">
        <v>11</v>
      </c>
      <c r="BB833" s="3" t="n">
        <v>2</v>
      </c>
      <c r="BC833" s="3" t="n">
        <v>1</v>
      </c>
      <c r="BD833" s="3" t="n">
        <v>6</v>
      </c>
      <c r="BE833" s="3" t="n">
        <v>3</v>
      </c>
      <c r="BF833" s="3" t="n">
        <v>5</v>
      </c>
      <c r="BG833" s="3" t="n">
        <v>3</v>
      </c>
      <c r="BH833" s="3" t="n">
        <v>4</v>
      </c>
      <c r="BI833" s="3" t="n">
        <v>1</v>
      </c>
      <c r="BJ833" s="3" t="n">
        <v>1</v>
      </c>
      <c r="BK833" s="6" t="s">
        <v>2212</v>
      </c>
    </row>
    <row r="834" customFormat="false" ht="15" hidden="false" customHeight="true" outlineLevel="0" collapsed="false">
      <c r="B834" s="2" t="s">
        <v>2213</v>
      </c>
      <c r="C834" s="2" t="s">
        <v>802</v>
      </c>
      <c r="D834" s="2" t="s">
        <v>1599</v>
      </c>
      <c r="E834" s="2" t="n">
        <v>198401</v>
      </c>
      <c r="F834" s="15" t="n">
        <v>43996</v>
      </c>
      <c r="G834" s="15" t="n">
        <v>44000</v>
      </c>
      <c r="H834" s="3" t="n">
        <v>4</v>
      </c>
      <c r="I834" s="3" t="n">
        <v>2</v>
      </c>
      <c r="J834" s="3" t="n">
        <v>63</v>
      </c>
      <c r="K834" s="3" t="n">
        <v>1</v>
      </c>
      <c r="L834" s="3" t="n">
        <v>1</v>
      </c>
      <c r="M834" s="3" t="n">
        <v>1</v>
      </c>
      <c r="N834" s="3" t="n">
        <v>2</v>
      </c>
      <c r="O834" s="3" t="n">
        <v>2</v>
      </c>
      <c r="P834" s="3" t="n">
        <v>2</v>
      </c>
      <c r="Q834" s="3" t="n">
        <v>2</v>
      </c>
      <c r="R834" s="3" t="n">
        <v>2</v>
      </c>
      <c r="S834" s="3" t="n">
        <v>2</v>
      </c>
      <c r="T834" s="4" t="n">
        <v>1</v>
      </c>
      <c r="U834" s="3" t="n">
        <v>1</v>
      </c>
      <c r="V834" s="3" t="n">
        <v>6.48</v>
      </c>
      <c r="W834" s="3" t="n">
        <v>3.18</v>
      </c>
      <c r="X834" s="3" t="n">
        <v>5.16</v>
      </c>
      <c r="Y834" s="3" t="n">
        <v>461</v>
      </c>
      <c r="Z834" s="3" t="n">
        <v>113</v>
      </c>
      <c r="AA834" s="3" t="n">
        <v>0.5</v>
      </c>
      <c r="AB834" s="3" t="n">
        <v>7.7</v>
      </c>
      <c r="AC834" s="3" t="n">
        <v>3</v>
      </c>
      <c r="AD834" s="3" t="n">
        <v>1</v>
      </c>
      <c r="AE834" s="3" t="n">
        <v>1</v>
      </c>
      <c r="AF834" s="3" t="n">
        <v>1</v>
      </c>
      <c r="AG834" s="3" t="n">
        <v>2</v>
      </c>
      <c r="AH834" s="3" t="n">
        <v>2</v>
      </c>
      <c r="AI834" s="3" t="n">
        <v>1</v>
      </c>
      <c r="AJ834" s="3" t="n">
        <v>1</v>
      </c>
      <c r="AK834" s="3" t="n">
        <v>2</v>
      </c>
      <c r="AL834" s="3" t="n">
        <v>2</v>
      </c>
      <c r="AM834" s="3" t="n">
        <v>2</v>
      </c>
      <c r="AN834" s="3" t="n">
        <v>2</v>
      </c>
      <c r="AO834" s="3" t="n">
        <v>2</v>
      </c>
      <c r="AP834" s="3" t="n">
        <v>3</v>
      </c>
      <c r="AQ834" s="3" t="n">
        <v>4</v>
      </c>
      <c r="AR834" s="3" t="n">
        <v>4</v>
      </c>
      <c r="AS834" s="3" t="n">
        <v>6</v>
      </c>
      <c r="AT834" s="3" t="n">
        <v>4</v>
      </c>
      <c r="AU834" s="3" t="n">
        <v>4</v>
      </c>
      <c r="AV834" s="3" t="n">
        <v>6</v>
      </c>
      <c r="AW834" s="3" t="n">
        <v>6</v>
      </c>
      <c r="AX834" s="3" t="n">
        <v>3</v>
      </c>
      <c r="AY834" s="3" t="n">
        <v>3</v>
      </c>
      <c r="AZ834" s="3" t="n">
        <v>1</v>
      </c>
      <c r="BA834" s="5" t="n">
        <v>5</v>
      </c>
      <c r="BB834" s="3" t="n">
        <v>2</v>
      </c>
      <c r="BC834" s="3" t="n">
        <v>1</v>
      </c>
      <c r="BD834" s="3" t="n">
        <v>6</v>
      </c>
      <c r="BE834" s="3" t="n">
        <v>3</v>
      </c>
      <c r="BF834" s="3" t="n">
        <v>5</v>
      </c>
      <c r="BG834" s="3" t="n">
        <v>3</v>
      </c>
      <c r="BH834" s="3" t="n">
        <v>4</v>
      </c>
      <c r="BI834" s="3" t="n">
        <v>1</v>
      </c>
      <c r="BJ834" s="3" t="n">
        <v>1</v>
      </c>
      <c r="BK834" s="6" t="s">
        <v>2214</v>
      </c>
    </row>
    <row r="835" s="30" customFormat="true" ht="15" hidden="false" customHeight="true" outlineLevel="0" collapsed="false">
      <c r="A835" s="24"/>
      <c r="B835" s="26" t="s">
        <v>274</v>
      </c>
      <c r="C835" s="26" t="s">
        <v>275</v>
      </c>
      <c r="D835" s="26" t="s">
        <v>276</v>
      </c>
      <c r="E835" s="26" t="n">
        <v>198211</v>
      </c>
      <c r="F835" s="27" t="n">
        <v>43995</v>
      </c>
      <c r="G835" s="27" t="n">
        <v>43997</v>
      </c>
      <c r="H835" s="30" t="n">
        <v>2</v>
      </c>
      <c r="I835" s="30" t="n">
        <v>2</v>
      </c>
      <c r="J835" s="30" t="n">
        <v>79</v>
      </c>
      <c r="K835" s="30" t="n">
        <v>1</v>
      </c>
      <c r="L835" s="30" t="n">
        <v>2</v>
      </c>
      <c r="M835" s="30" t="n">
        <v>1</v>
      </c>
      <c r="N835" s="30" t="n">
        <v>2</v>
      </c>
      <c r="O835" s="30" t="n">
        <v>2</v>
      </c>
      <c r="P835" s="30" t="n">
        <v>1</v>
      </c>
      <c r="Q835" s="30" t="n">
        <v>1</v>
      </c>
      <c r="R835" s="30" t="n">
        <v>1</v>
      </c>
      <c r="S835" s="30" t="n">
        <v>2</v>
      </c>
      <c r="T835" s="4" t="n">
        <v>4</v>
      </c>
      <c r="U835" s="30" t="n">
        <v>4</v>
      </c>
      <c r="V835" s="30" t="n">
        <v>4.36</v>
      </c>
      <c r="W835" s="30" t="n">
        <v>0.56</v>
      </c>
      <c r="X835" s="30" t="n">
        <v>4.16</v>
      </c>
      <c r="Y835" s="30" t="n">
        <v>442</v>
      </c>
      <c r="Z835" s="30" t="n">
        <v>209</v>
      </c>
      <c r="AA835" s="30" t="n">
        <v>0.37</v>
      </c>
      <c r="AB835" s="30" t="n">
        <v>8.8</v>
      </c>
      <c r="AC835" s="30" t="n">
        <v>3</v>
      </c>
      <c r="AD835" s="30" t="n">
        <v>1</v>
      </c>
      <c r="AE835" s="30" t="n">
        <v>2</v>
      </c>
      <c r="AF835" s="30" t="n">
        <v>2</v>
      </c>
      <c r="AG835" s="30" t="n">
        <v>2</v>
      </c>
      <c r="AH835" s="30" t="n">
        <v>1</v>
      </c>
      <c r="AI835" s="30" t="n">
        <v>2</v>
      </c>
      <c r="AJ835" s="30" t="n">
        <v>2</v>
      </c>
      <c r="AK835" s="30" t="n">
        <v>2</v>
      </c>
      <c r="AL835" s="30" t="n">
        <v>2</v>
      </c>
      <c r="AM835" s="30" t="n">
        <v>1</v>
      </c>
      <c r="AN835" s="30" t="n">
        <v>2</v>
      </c>
      <c r="AO835" s="30" t="n">
        <v>2</v>
      </c>
      <c r="AP835" s="30" t="n">
        <v>3</v>
      </c>
      <c r="AQ835" s="30" t="n">
        <v>4</v>
      </c>
      <c r="AR835" s="30" t="n">
        <v>4</v>
      </c>
      <c r="AS835" s="30" t="n">
        <v>6</v>
      </c>
      <c r="AT835" s="30" t="n">
        <v>4</v>
      </c>
      <c r="AU835" s="30" t="n">
        <v>4</v>
      </c>
      <c r="AV835" s="30" t="n">
        <v>6</v>
      </c>
      <c r="AW835" s="30" t="n">
        <v>6</v>
      </c>
      <c r="AX835" s="30" t="n">
        <v>3</v>
      </c>
      <c r="AY835" s="30" t="n">
        <v>3</v>
      </c>
      <c r="AZ835" s="30" t="n">
        <v>10</v>
      </c>
      <c r="BA835" s="5" t="n">
        <v>10</v>
      </c>
      <c r="BB835" s="30" t="n">
        <v>2</v>
      </c>
      <c r="BC835" s="30" t="n">
        <v>2</v>
      </c>
      <c r="BD835" s="30" t="n">
        <v>6</v>
      </c>
      <c r="BE835" s="30" t="n">
        <v>3</v>
      </c>
      <c r="BF835" s="30" t="n">
        <v>5</v>
      </c>
      <c r="BG835" s="30" t="n">
        <v>3</v>
      </c>
      <c r="BH835" s="30" t="n">
        <v>4</v>
      </c>
      <c r="BI835" s="30" t="n">
        <v>1</v>
      </c>
      <c r="BJ835" s="30" t="n">
        <v>1</v>
      </c>
      <c r="BK835" s="31" t="s">
        <v>2215</v>
      </c>
    </row>
    <row r="836" customFormat="false" ht="15" hidden="false" customHeight="true" outlineLevel="0" collapsed="false">
      <c r="B836" s="2" t="s">
        <v>1901</v>
      </c>
      <c r="C836" s="2" t="s">
        <v>2216</v>
      </c>
      <c r="D836" s="2" t="s">
        <v>898</v>
      </c>
      <c r="E836" s="2" t="n">
        <v>198257</v>
      </c>
      <c r="F836" s="15" t="n">
        <v>43993</v>
      </c>
      <c r="G836" s="15" t="n">
        <v>44001</v>
      </c>
      <c r="H836" s="3" t="n">
        <v>8</v>
      </c>
      <c r="I836" s="3" t="n">
        <v>1</v>
      </c>
      <c r="J836" s="3" t="n">
        <v>88</v>
      </c>
      <c r="K836" s="3" t="n">
        <v>1</v>
      </c>
      <c r="L836" s="3" t="n">
        <v>2</v>
      </c>
      <c r="M836" s="3" t="n">
        <v>1</v>
      </c>
      <c r="N836" s="3" t="n">
        <v>2</v>
      </c>
      <c r="O836" s="3" t="n">
        <v>2</v>
      </c>
      <c r="P836" s="3" t="n">
        <v>2</v>
      </c>
      <c r="Q836" s="3" t="n">
        <v>2</v>
      </c>
      <c r="R836" s="3" t="n">
        <v>2</v>
      </c>
      <c r="S836" s="3" t="n">
        <v>2</v>
      </c>
      <c r="T836" s="4" t="n">
        <v>4</v>
      </c>
      <c r="U836" s="3" t="n">
        <v>4</v>
      </c>
      <c r="V836" s="3" t="n">
        <v>5.85</v>
      </c>
      <c r="W836" s="3" t="n">
        <v>1.14</v>
      </c>
      <c r="X836" s="3" t="n">
        <v>5.66</v>
      </c>
      <c r="Y836" s="3" t="n">
        <v>367</v>
      </c>
      <c r="Z836" s="3" t="n">
        <v>124</v>
      </c>
      <c r="AA836" s="3" t="n">
        <v>0.42</v>
      </c>
      <c r="AB836" s="3" t="n">
        <v>6.5</v>
      </c>
      <c r="AC836" s="3" t="n">
        <v>3</v>
      </c>
      <c r="AD836" s="3" t="n">
        <v>2</v>
      </c>
      <c r="AE836" s="3" t="n">
        <v>1</v>
      </c>
      <c r="AF836" s="3" t="n">
        <v>2</v>
      </c>
      <c r="AG836" s="3" t="n">
        <v>2</v>
      </c>
      <c r="AH836" s="3" t="n">
        <v>1</v>
      </c>
      <c r="AI836" s="3" t="n">
        <v>1</v>
      </c>
      <c r="AJ836" s="3" t="n">
        <v>1</v>
      </c>
      <c r="AK836" s="3" t="n">
        <v>2</v>
      </c>
      <c r="AL836" s="3" t="n">
        <v>2</v>
      </c>
      <c r="AM836" s="3" t="n">
        <v>1</v>
      </c>
      <c r="AN836" s="3" t="n">
        <v>2</v>
      </c>
      <c r="AO836" s="3" t="n">
        <v>2</v>
      </c>
      <c r="AP836" s="3" t="n">
        <v>3</v>
      </c>
      <c r="AQ836" s="3" t="n">
        <v>4</v>
      </c>
      <c r="AR836" s="3" t="n">
        <v>4</v>
      </c>
      <c r="AS836" s="3" t="n">
        <v>6</v>
      </c>
      <c r="AT836" s="3" t="n">
        <v>4</v>
      </c>
      <c r="AU836" s="3" t="n">
        <v>4</v>
      </c>
      <c r="AV836" s="3" t="n">
        <v>6</v>
      </c>
      <c r="AW836" s="3" t="n">
        <v>6</v>
      </c>
      <c r="AX836" s="3" t="n">
        <v>3</v>
      </c>
      <c r="AY836" s="3" t="n">
        <v>3</v>
      </c>
      <c r="AZ836" s="3" t="n">
        <v>1</v>
      </c>
      <c r="BA836" s="5" t="n">
        <v>10</v>
      </c>
      <c r="BB836" s="3" t="n">
        <v>2</v>
      </c>
      <c r="BC836" s="3" t="n">
        <v>1</v>
      </c>
      <c r="BD836" s="3" t="n">
        <v>6</v>
      </c>
      <c r="BE836" s="3" t="n">
        <v>3</v>
      </c>
      <c r="BF836" s="3" t="n">
        <v>5</v>
      </c>
      <c r="BG836" s="3" t="n">
        <v>3</v>
      </c>
      <c r="BH836" s="3" t="n">
        <v>4</v>
      </c>
      <c r="BI836" s="3" t="n">
        <v>1</v>
      </c>
      <c r="BJ836" s="3" t="n">
        <v>1</v>
      </c>
      <c r="BK836" s="6" t="s">
        <v>2217</v>
      </c>
    </row>
    <row r="837" customFormat="false" ht="15" hidden="false" customHeight="true" outlineLevel="0" collapsed="false">
      <c r="B837" s="2" t="s">
        <v>2218</v>
      </c>
      <c r="C837" s="2" t="s">
        <v>210</v>
      </c>
      <c r="D837" s="2" t="s">
        <v>510</v>
      </c>
      <c r="E837" s="2" t="n">
        <v>198483</v>
      </c>
      <c r="F837" s="15" t="n">
        <v>43999</v>
      </c>
      <c r="G837" s="15" t="n">
        <v>44001</v>
      </c>
      <c r="H837" s="3" t="n">
        <v>2</v>
      </c>
      <c r="I837" s="3" t="n">
        <v>2</v>
      </c>
      <c r="J837" s="3" t="n">
        <v>76</v>
      </c>
      <c r="K837" s="3" t="n">
        <v>2</v>
      </c>
      <c r="L837" s="3" t="n">
        <v>2</v>
      </c>
      <c r="M837" s="3" t="n">
        <v>1</v>
      </c>
      <c r="N837" s="3" t="n">
        <v>2</v>
      </c>
      <c r="O837" s="3" t="n">
        <v>2</v>
      </c>
      <c r="P837" s="3" t="n">
        <v>2</v>
      </c>
      <c r="Q837" s="3" t="n">
        <v>2</v>
      </c>
      <c r="R837" s="3" t="n">
        <v>2</v>
      </c>
      <c r="S837" s="3" t="n">
        <v>2</v>
      </c>
      <c r="T837" s="4" t="n">
        <v>12</v>
      </c>
      <c r="U837" s="3" t="n">
        <v>4</v>
      </c>
      <c r="AC837" s="3" t="n">
        <v>1</v>
      </c>
      <c r="AD837" s="3" t="n">
        <v>2</v>
      </c>
      <c r="AE837" s="3" t="n">
        <v>1</v>
      </c>
      <c r="AF837" s="3" t="n">
        <v>1</v>
      </c>
      <c r="AG837" s="3" t="n">
        <v>2</v>
      </c>
      <c r="AH837" s="3" t="n">
        <v>2</v>
      </c>
      <c r="AI837" s="3" t="n">
        <v>1</v>
      </c>
      <c r="AJ837" s="3" t="n">
        <v>1</v>
      </c>
      <c r="AK837" s="3" t="n">
        <v>2</v>
      </c>
      <c r="AL837" s="3" t="n">
        <v>2</v>
      </c>
      <c r="AM837" s="3" t="n">
        <v>2</v>
      </c>
      <c r="AN837" s="3" t="n">
        <v>2</v>
      </c>
      <c r="AO837" s="3" t="n">
        <v>1</v>
      </c>
      <c r="AP837" s="3" t="n">
        <v>3</v>
      </c>
      <c r="AQ837" s="3" t="n">
        <v>4</v>
      </c>
      <c r="AR837" s="3" t="n">
        <v>4</v>
      </c>
      <c r="AS837" s="3" t="n">
        <v>6</v>
      </c>
      <c r="AT837" s="3" t="n">
        <v>4</v>
      </c>
      <c r="AU837" s="3" t="n">
        <v>4</v>
      </c>
      <c r="AV837" s="3" t="n">
        <v>6</v>
      </c>
      <c r="AW837" s="3" t="n">
        <v>6</v>
      </c>
      <c r="AX837" s="3" t="n">
        <v>3</v>
      </c>
      <c r="AY837" s="3" t="n">
        <v>3</v>
      </c>
      <c r="AZ837" s="3" t="n">
        <v>1</v>
      </c>
      <c r="BA837" s="5" t="n">
        <v>11</v>
      </c>
      <c r="BB837" s="3" t="n">
        <v>2</v>
      </c>
      <c r="BC837" s="3" t="n">
        <v>1</v>
      </c>
      <c r="BD837" s="3" t="n">
        <v>6</v>
      </c>
      <c r="BE837" s="3" t="n">
        <v>3</v>
      </c>
      <c r="BF837" s="3" t="n">
        <v>5</v>
      </c>
      <c r="BG837" s="3" t="n">
        <v>3</v>
      </c>
      <c r="BH837" s="3" t="n">
        <v>4</v>
      </c>
      <c r="BI837" s="3" t="n">
        <v>1</v>
      </c>
      <c r="BJ837" s="3" t="n">
        <v>1</v>
      </c>
      <c r="BK837" s="6" t="s">
        <v>2219</v>
      </c>
    </row>
    <row r="838" customFormat="false" ht="15" hidden="false" customHeight="true" outlineLevel="0" collapsed="false">
      <c r="B838" s="2" t="s">
        <v>2220</v>
      </c>
      <c r="C838" s="2" t="s">
        <v>386</v>
      </c>
      <c r="D838" s="2" t="s">
        <v>154</v>
      </c>
      <c r="E838" s="2" t="n">
        <v>198606</v>
      </c>
      <c r="F838" s="15" t="n">
        <v>44000</v>
      </c>
      <c r="G838" s="15" t="n">
        <v>44005</v>
      </c>
      <c r="H838" s="3" t="n">
        <v>5</v>
      </c>
      <c r="I838" s="3" t="n">
        <v>1</v>
      </c>
      <c r="J838" s="3" t="n">
        <v>57</v>
      </c>
      <c r="K838" s="3" t="n">
        <v>1</v>
      </c>
      <c r="L838" s="3" t="n">
        <v>2</v>
      </c>
      <c r="M838" s="3" t="n">
        <v>1</v>
      </c>
      <c r="N838" s="3" t="n">
        <v>2</v>
      </c>
      <c r="O838" s="3" t="n">
        <v>2</v>
      </c>
      <c r="P838" s="3" t="n">
        <v>1</v>
      </c>
      <c r="Q838" s="3" t="n">
        <v>1</v>
      </c>
      <c r="R838" s="3" t="n">
        <v>2</v>
      </c>
      <c r="S838" s="3" t="n">
        <v>2</v>
      </c>
      <c r="T838" s="4" t="n">
        <v>2</v>
      </c>
      <c r="U838" s="3" t="n">
        <v>2</v>
      </c>
      <c r="AD838" s="3" t="n">
        <v>2</v>
      </c>
      <c r="AE838" s="3" t="n">
        <v>1</v>
      </c>
      <c r="AF838" s="3" t="n">
        <v>1</v>
      </c>
      <c r="AG838" s="3" t="n">
        <v>2</v>
      </c>
      <c r="AH838" s="3" t="n">
        <v>1</v>
      </c>
      <c r="AI838" s="3" t="n">
        <v>1</v>
      </c>
      <c r="AJ838" s="3" t="n">
        <v>2</v>
      </c>
      <c r="AK838" s="3" t="n">
        <v>1</v>
      </c>
      <c r="AL838" s="3" t="n">
        <v>2</v>
      </c>
      <c r="AM838" s="3" t="n">
        <v>2</v>
      </c>
      <c r="AN838" s="3" t="n">
        <v>2</v>
      </c>
      <c r="AO838" s="3" t="n">
        <v>2</v>
      </c>
      <c r="AP838" s="3" t="n">
        <v>3</v>
      </c>
      <c r="AQ838" s="3" t="n">
        <v>4</v>
      </c>
      <c r="AR838" s="3" t="n">
        <v>4</v>
      </c>
      <c r="AS838" s="3" t="n">
        <v>6</v>
      </c>
      <c r="AT838" s="3" t="n">
        <v>4</v>
      </c>
      <c r="AU838" s="3" t="n">
        <v>4</v>
      </c>
      <c r="AV838" s="3" t="n">
        <v>6</v>
      </c>
      <c r="AW838" s="3" t="n">
        <v>6</v>
      </c>
      <c r="AX838" s="3" t="n">
        <v>3</v>
      </c>
      <c r="AY838" s="3" t="n">
        <v>3</v>
      </c>
      <c r="AZ838" s="3" t="n">
        <v>1</v>
      </c>
      <c r="BA838" s="5" t="n">
        <v>1</v>
      </c>
      <c r="BB838" s="3" t="n">
        <v>1</v>
      </c>
      <c r="BC838" s="3" t="n">
        <v>1</v>
      </c>
      <c r="BD838" s="3" t="n">
        <v>4</v>
      </c>
      <c r="BE838" s="3" t="n">
        <v>1</v>
      </c>
      <c r="BF838" s="3" t="n">
        <v>2</v>
      </c>
      <c r="BG838" s="3" t="n">
        <v>1</v>
      </c>
      <c r="BH838" s="3" t="n">
        <v>4</v>
      </c>
      <c r="BI838" s="3" t="n">
        <v>1</v>
      </c>
      <c r="BJ838" s="3" t="n">
        <v>1</v>
      </c>
      <c r="BK838" s="6" t="s">
        <v>2221</v>
      </c>
    </row>
    <row r="839" customFormat="false" ht="15" hidden="false" customHeight="true" outlineLevel="0" collapsed="false">
      <c r="B839" s="2" t="s">
        <v>1156</v>
      </c>
      <c r="C839" s="2" t="s">
        <v>898</v>
      </c>
      <c r="D839" s="2" t="s">
        <v>2222</v>
      </c>
      <c r="E839" s="2" t="n">
        <v>154796</v>
      </c>
      <c r="F839" s="15" t="n">
        <v>43992</v>
      </c>
      <c r="G839" s="15" t="n">
        <v>44001</v>
      </c>
      <c r="H839" s="3" t="n">
        <v>9</v>
      </c>
      <c r="I839" s="3" t="n">
        <v>1</v>
      </c>
      <c r="J839" s="3" t="n">
        <v>87</v>
      </c>
      <c r="K839" s="3" t="n">
        <v>1</v>
      </c>
      <c r="L839" s="3" t="n">
        <v>2</v>
      </c>
      <c r="M839" s="3" t="n">
        <v>1</v>
      </c>
      <c r="N839" s="3" t="n">
        <v>1</v>
      </c>
      <c r="O839" s="3" t="n">
        <v>2</v>
      </c>
      <c r="P839" s="3" t="n">
        <v>1</v>
      </c>
      <c r="Q839" s="3" t="n">
        <v>2</v>
      </c>
      <c r="R839" s="3" t="n">
        <v>2</v>
      </c>
      <c r="S839" s="3" t="n">
        <v>1</v>
      </c>
      <c r="T839" s="4" t="n">
        <v>3</v>
      </c>
      <c r="U839" s="3" t="n">
        <v>1</v>
      </c>
      <c r="V839" s="3" t="n">
        <v>7.41</v>
      </c>
      <c r="W839" s="3" t="n">
        <v>1.59</v>
      </c>
      <c r="X839" s="3" t="n">
        <v>5.44</v>
      </c>
      <c r="Z839" s="3" t="n">
        <v>94</v>
      </c>
      <c r="AA839" s="3" t="n">
        <v>0.35</v>
      </c>
      <c r="AC839" s="3" t="n">
        <v>2</v>
      </c>
      <c r="AD839" s="3" t="n">
        <v>1</v>
      </c>
      <c r="AE839" s="3" t="n">
        <v>1</v>
      </c>
      <c r="AF839" s="3" t="n">
        <v>1</v>
      </c>
      <c r="AG839" s="3" t="n">
        <v>2</v>
      </c>
      <c r="AH839" s="3" t="n">
        <v>1</v>
      </c>
      <c r="AI839" s="3" t="n">
        <v>1</v>
      </c>
      <c r="AJ839" s="3" t="n">
        <v>2</v>
      </c>
      <c r="AK839" s="3" t="n">
        <v>2</v>
      </c>
      <c r="AL839" s="3" t="n">
        <v>2</v>
      </c>
      <c r="AM839" s="3" t="n">
        <v>1</v>
      </c>
      <c r="AN839" s="3" t="n">
        <v>2</v>
      </c>
      <c r="AO839" s="3" t="n">
        <v>2</v>
      </c>
      <c r="AP839" s="3" t="n">
        <v>3</v>
      </c>
      <c r="AQ839" s="3" t="n">
        <v>4</v>
      </c>
      <c r="AR839" s="3" t="n">
        <v>4</v>
      </c>
      <c r="AS839" s="3" t="n">
        <v>6</v>
      </c>
      <c r="AT839" s="3" t="n">
        <v>4</v>
      </c>
      <c r="AU839" s="3" t="n">
        <v>4</v>
      </c>
      <c r="AV839" s="3" t="n">
        <v>6</v>
      </c>
      <c r="AW839" s="3" t="n">
        <v>6</v>
      </c>
      <c r="AX839" s="3" t="n">
        <v>3</v>
      </c>
      <c r="AY839" s="3" t="n">
        <v>3</v>
      </c>
      <c r="AZ839" s="3" t="n">
        <v>1</v>
      </c>
      <c r="BA839" s="5" t="n">
        <v>11</v>
      </c>
      <c r="BB839" s="3" t="n">
        <v>2</v>
      </c>
      <c r="BC839" s="3" t="n">
        <v>1</v>
      </c>
      <c r="BD839" s="3" t="n">
        <v>6</v>
      </c>
      <c r="BE839" s="3" t="n">
        <v>3</v>
      </c>
      <c r="BF839" s="3" t="n">
        <v>5</v>
      </c>
      <c r="BG839" s="3" t="n">
        <v>3</v>
      </c>
      <c r="BH839" s="3" t="n">
        <v>4</v>
      </c>
      <c r="BI839" s="3" t="n">
        <v>1</v>
      </c>
      <c r="BJ839" s="3" t="n">
        <v>1</v>
      </c>
      <c r="BK839" s="6" t="s">
        <v>2223</v>
      </c>
    </row>
    <row r="840" customFormat="false" ht="15" hidden="false" customHeight="true" outlineLevel="0" collapsed="false">
      <c r="B840" s="2" t="s">
        <v>427</v>
      </c>
      <c r="C840" s="2" t="s">
        <v>144</v>
      </c>
      <c r="D840" s="2" t="s">
        <v>2224</v>
      </c>
      <c r="E840" s="2" t="n">
        <v>198424</v>
      </c>
      <c r="F840" s="15" t="n">
        <v>43997</v>
      </c>
      <c r="G840" s="15" t="n">
        <v>44001</v>
      </c>
      <c r="H840" s="3" t="n">
        <v>4</v>
      </c>
      <c r="I840" s="3" t="n">
        <v>2</v>
      </c>
      <c r="J840" s="3" t="n">
        <v>54</v>
      </c>
      <c r="K840" s="3" t="n">
        <v>2</v>
      </c>
      <c r="L840" s="3" t="n">
        <v>2</v>
      </c>
      <c r="M840" s="3" t="n">
        <v>1</v>
      </c>
      <c r="N840" s="3" t="n">
        <v>2</v>
      </c>
      <c r="O840" s="3" t="n">
        <v>1</v>
      </c>
      <c r="P840" s="3" t="n">
        <v>2</v>
      </c>
      <c r="Q840" s="3" t="n">
        <v>2</v>
      </c>
      <c r="R840" s="3" t="n">
        <v>1</v>
      </c>
      <c r="S840" s="3" t="n">
        <v>1</v>
      </c>
      <c r="T840" s="4" t="n">
        <v>12</v>
      </c>
      <c r="U840" s="3" t="n">
        <v>1</v>
      </c>
      <c r="V840" s="3" t="n">
        <v>6.27</v>
      </c>
      <c r="W840" s="3" t="n">
        <v>1.79</v>
      </c>
      <c r="X840" s="3" t="n">
        <v>6.6</v>
      </c>
      <c r="Y840" s="3" t="n">
        <v>835</v>
      </c>
      <c r="Z840" s="3" t="n">
        <v>150.2</v>
      </c>
      <c r="AA840" s="3" t="n">
        <v>0.5</v>
      </c>
      <c r="AB840" s="3" t="n">
        <v>11.6</v>
      </c>
      <c r="AD840" s="3" t="n">
        <v>2</v>
      </c>
      <c r="AE840" s="3" t="n">
        <v>2</v>
      </c>
      <c r="AF840" s="3" t="n">
        <v>1</v>
      </c>
      <c r="AG840" s="3" t="n">
        <v>1</v>
      </c>
      <c r="AH840" s="3" t="n">
        <v>1</v>
      </c>
      <c r="AI840" s="3" t="n">
        <v>2</v>
      </c>
      <c r="AJ840" s="3" t="n">
        <v>1</v>
      </c>
      <c r="AK840" s="3" t="n">
        <v>2</v>
      </c>
      <c r="AL840" s="3" t="n">
        <v>2</v>
      </c>
      <c r="AM840" s="3" t="n">
        <v>1</v>
      </c>
      <c r="AN840" s="3" t="n">
        <v>2</v>
      </c>
      <c r="AO840" s="3" t="n">
        <v>2</v>
      </c>
      <c r="AP840" s="3" t="n">
        <v>3</v>
      </c>
      <c r="AQ840" s="3" t="n">
        <v>4</v>
      </c>
      <c r="AR840" s="3" t="n">
        <v>4</v>
      </c>
      <c r="AS840" s="3" t="n">
        <v>6</v>
      </c>
      <c r="AT840" s="3" t="n">
        <v>4</v>
      </c>
      <c r="AU840" s="3" t="n">
        <v>4</v>
      </c>
      <c r="AV840" s="3" t="n">
        <v>6</v>
      </c>
      <c r="AW840" s="3" t="n">
        <v>6</v>
      </c>
      <c r="AX840" s="3" t="n">
        <v>3</v>
      </c>
      <c r="AY840" s="3" t="n">
        <v>3</v>
      </c>
      <c r="AZ840" s="3" t="n">
        <v>1</v>
      </c>
      <c r="BA840" s="5" t="n">
        <v>3</v>
      </c>
      <c r="BB840" s="3" t="n">
        <v>2</v>
      </c>
      <c r="BC840" s="3" t="n">
        <v>1</v>
      </c>
      <c r="BD840" s="3" t="n">
        <v>6</v>
      </c>
      <c r="BE840" s="3" t="n">
        <v>3</v>
      </c>
      <c r="BF840" s="3" t="n">
        <v>5</v>
      </c>
      <c r="BG840" s="3" t="n">
        <v>3</v>
      </c>
      <c r="BH840" s="3" t="n">
        <v>4</v>
      </c>
      <c r="BI840" s="3" t="n">
        <v>1</v>
      </c>
      <c r="BJ840" s="3" t="n">
        <v>1</v>
      </c>
      <c r="BK840" s="6" t="s">
        <v>2225</v>
      </c>
    </row>
    <row r="841" customFormat="false" ht="15" hidden="false" customHeight="true" outlineLevel="0" collapsed="false">
      <c r="B841" s="2" t="s">
        <v>2226</v>
      </c>
      <c r="C841" s="2" t="s">
        <v>2227</v>
      </c>
      <c r="D841" s="2" t="s">
        <v>1417</v>
      </c>
      <c r="E841" s="2" t="n">
        <v>198696</v>
      </c>
      <c r="F841" s="15" t="n">
        <v>44003</v>
      </c>
      <c r="G841" s="15" t="n">
        <v>44007</v>
      </c>
      <c r="H841" s="3" t="n">
        <v>4</v>
      </c>
      <c r="I841" s="3" t="n">
        <v>1</v>
      </c>
      <c r="J841" s="3" t="n">
        <v>83</v>
      </c>
      <c r="K841" s="3" t="n">
        <v>1</v>
      </c>
      <c r="L841" s="3" t="n">
        <v>1</v>
      </c>
      <c r="M841" s="3" t="n">
        <v>2</v>
      </c>
      <c r="N841" s="3" t="n">
        <v>2</v>
      </c>
      <c r="O841" s="3" t="n">
        <v>2</v>
      </c>
      <c r="P841" s="3" t="n">
        <v>2</v>
      </c>
      <c r="Q841" s="3" t="n">
        <v>2</v>
      </c>
      <c r="R841" s="3" t="n">
        <v>2</v>
      </c>
      <c r="S841" s="3" t="n">
        <v>2</v>
      </c>
      <c r="T841" s="4" t="n">
        <v>3</v>
      </c>
      <c r="U841" s="3" t="n">
        <v>4</v>
      </c>
      <c r="BA841" s="5" t="n">
        <v>11</v>
      </c>
      <c r="BB841" s="3" t="n">
        <v>2</v>
      </c>
      <c r="BC841" s="3" t="n">
        <v>1</v>
      </c>
      <c r="BD841" s="3" t="n">
        <v>6</v>
      </c>
      <c r="BE841" s="3" t="n">
        <v>3</v>
      </c>
      <c r="BF841" s="3" t="n">
        <v>5</v>
      </c>
      <c r="BG841" s="3" t="n">
        <v>3</v>
      </c>
      <c r="BH841" s="3" t="n">
        <v>4</v>
      </c>
      <c r="BI841" s="3" t="n">
        <v>1</v>
      </c>
      <c r="BJ841" s="3" t="n">
        <v>1</v>
      </c>
      <c r="BK841" s="6" t="s">
        <v>2228</v>
      </c>
    </row>
    <row r="842" s="30" customFormat="true" ht="15" hidden="false" customHeight="true" outlineLevel="0" collapsed="false">
      <c r="A842" s="24"/>
      <c r="B842" s="26" t="s">
        <v>1178</v>
      </c>
      <c r="C842" s="26" t="s">
        <v>2229</v>
      </c>
      <c r="D842" s="26" t="s">
        <v>446</v>
      </c>
      <c r="E842" s="26" t="n">
        <v>198671</v>
      </c>
      <c r="F842" s="27" t="n">
        <v>44001</v>
      </c>
      <c r="G842" s="27" t="n">
        <v>44011</v>
      </c>
      <c r="H842" s="30" t="n">
        <v>10</v>
      </c>
      <c r="I842" s="30" t="n">
        <v>2</v>
      </c>
      <c r="J842" s="30" t="n">
        <v>75</v>
      </c>
      <c r="K842" s="30" t="n">
        <v>1</v>
      </c>
      <c r="L842" s="30" t="n">
        <v>1</v>
      </c>
      <c r="M842" s="30" t="n">
        <v>1</v>
      </c>
      <c r="N842" s="30" t="n">
        <v>2</v>
      </c>
      <c r="O842" s="30" t="n">
        <v>2</v>
      </c>
      <c r="P842" s="30" t="n">
        <v>2</v>
      </c>
      <c r="Q842" s="30" t="n">
        <v>2</v>
      </c>
      <c r="R842" s="30" t="n">
        <v>2</v>
      </c>
      <c r="S842" s="30" t="n">
        <v>2</v>
      </c>
      <c r="T842" s="4" t="n">
        <v>1</v>
      </c>
      <c r="U842" s="30" t="n">
        <v>1</v>
      </c>
      <c r="AD842" s="30" t="n">
        <v>1</v>
      </c>
      <c r="AE842" s="30" t="n">
        <v>1</v>
      </c>
      <c r="AF842" s="30" t="n">
        <v>1</v>
      </c>
      <c r="AG842" s="30" t="n">
        <v>2</v>
      </c>
      <c r="AH842" s="30" t="n">
        <v>2</v>
      </c>
      <c r="AI842" s="30" t="n">
        <v>1</v>
      </c>
      <c r="AJ842" s="30" t="n">
        <v>1</v>
      </c>
      <c r="AK842" s="30" t="n">
        <v>2</v>
      </c>
      <c r="AL842" s="30" t="n">
        <v>2</v>
      </c>
      <c r="AM842" s="30" t="n">
        <v>1</v>
      </c>
      <c r="AN842" s="30" t="n">
        <v>1</v>
      </c>
      <c r="AO842" s="30" t="n">
        <v>2</v>
      </c>
      <c r="AP842" s="30" t="n">
        <v>3</v>
      </c>
      <c r="AQ842" s="30" t="n">
        <v>4</v>
      </c>
      <c r="AR842" s="30" t="n">
        <v>4</v>
      </c>
      <c r="AS842" s="30" t="n">
        <v>6</v>
      </c>
      <c r="AT842" s="30" t="n">
        <v>4</v>
      </c>
      <c r="AU842" s="30" t="n">
        <v>4</v>
      </c>
      <c r="AV842" s="30" t="n">
        <v>6</v>
      </c>
      <c r="AW842" s="30" t="n">
        <v>6</v>
      </c>
      <c r="AX842" s="30" t="n">
        <v>3</v>
      </c>
      <c r="AY842" s="30" t="n">
        <v>3</v>
      </c>
      <c r="AZ842" s="30" t="n">
        <v>13</v>
      </c>
      <c r="BA842" s="5" t="n">
        <v>1</v>
      </c>
      <c r="BB842" s="30" t="n">
        <v>1</v>
      </c>
      <c r="BC842" s="30" t="n">
        <v>1</v>
      </c>
      <c r="BD842" s="30" t="n">
        <v>2</v>
      </c>
      <c r="BE842" s="30" t="n">
        <v>3</v>
      </c>
      <c r="BF842" s="30" t="n">
        <v>5</v>
      </c>
      <c r="BG842" s="30" t="n">
        <v>3</v>
      </c>
      <c r="BH842" s="30" t="n">
        <v>4</v>
      </c>
      <c r="BI842" s="30" t="n">
        <v>1</v>
      </c>
      <c r="BJ842" s="30" t="n">
        <v>1</v>
      </c>
      <c r="BK842" s="31" t="s">
        <v>2230</v>
      </c>
    </row>
    <row r="843" customFormat="false" ht="15" hidden="false" customHeight="true" outlineLevel="0" collapsed="false">
      <c r="B843" s="2" t="s">
        <v>147</v>
      </c>
      <c r="C843" s="2" t="s">
        <v>2231</v>
      </c>
      <c r="D843" s="2" t="s">
        <v>839</v>
      </c>
      <c r="E843" s="2" t="n">
        <v>198826</v>
      </c>
      <c r="F843" s="15" t="n">
        <v>44005</v>
      </c>
      <c r="G843" s="15" t="n">
        <v>44012</v>
      </c>
      <c r="H843" s="3" t="n">
        <v>7</v>
      </c>
      <c r="I843" s="3" t="n">
        <v>2</v>
      </c>
      <c r="J843" s="3" t="n">
        <v>79</v>
      </c>
      <c r="K843" s="3" t="n">
        <v>1</v>
      </c>
      <c r="L843" s="3" t="n">
        <v>1</v>
      </c>
      <c r="M843" s="3" t="n">
        <v>1</v>
      </c>
      <c r="N843" s="3" t="n">
        <v>2</v>
      </c>
      <c r="O843" s="3" t="n">
        <v>2</v>
      </c>
      <c r="P843" s="3" t="n">
        <v>2</v>
      </c>
      <c r="Q843" s="3" t="n">
        <v>1</v>
      </c>
      <c r="R843" s="3" t="n">
        <v>2</v>
      </c>
      <c r="S843" s="3" t="n">
        <v>2</v>
      </c>
      <c r="T843" s="4" t="n">
        <v>1</v>
      </c>
      <c r="U843" s="3" t="n">
        <v>1</v>
      </c>
      <c r="AD843" s="3" t="n">
        <v>1</v>
      </c>
      <c r="AE843" s="3" t="n">
        <v>1</v>
      </c>
      <c r="AF843" s="3" t="n">
        <v>1</v>
      </c>
      <c r="AG843" s="3" t="n">
        <v>2</v>
      </c>
      <c r="AH843" s="3" t="n">
        <v>2</v>
      </c>
      <c r="AI843" s="3" t="n">
        <v>1</v>
      </c>
      <c r="AJ843" s="3" t="n">
        <v>1</v>
      </c>
      <c r="AK843" s="3" t="n">
        <v>2</v>
      </c>
      <c r="AL843" s="3" t="n">
        <v>1</v>
      </c>
      <c r="AM843" s="3" t="n">
        <v>1</v>
      </c>
      <c r="AN843" s="3" t="n">
        <v>2</v>
      </c>
      <c r="AO843" s="3" t="n">
        <v>2</v>
      </c>
      <c r="AP843" s="3" t="n">
        <v>3</v>
      </c>
      <c r="AQ843" s="3" t="n">
        <v>4</v>
      </c>
      <c r="AR843" s="3" t="n">
        <v>4</v>
      </c>
      <c r="AS843" s="3" t="n">
        <v>6</v>
      </c>
      <c r="AT843" s="3" t="n">
        <v>4</v>
      </c>
      <c r="AU843" s="3" t="n">
        <v>4</v>
      </c>
      <c r="AV843" s="3" t="n">
        <v>6</v>
      </c>
      <c r="AW843" s="3" t="n">
        <v>6</v>
      </c>
      <c r="AX843" s="3" t="n">
        <v>3</v>
      </c>
      <c r="AY843" s="3" t="n">
        <v>3</v>
      </c>
      <c r="AZ843" s="3" t="n">
        <v>1</v>
      </c>
      <c r="BA843" s="5" t="n">
        <v>5</v>
      </c>
      <c r="BB843" s="3" t="n">
        <v>2</v>
      </c>
      <c r="BC843" s="3" t="n">
        <v>1</v>
      </c>
      <c r="BD843" s="3" t="n">
        <v>6</v>
      </c>
      <c r="BE843" s="3" t="n">
        <v>3</v>
      </c>
      <c r="BF843" s="3" t="n">
        <v>5</v>
      </c>
      <c r="BG843" s="3" t="n">
        <v>3</v>
      </c>
      <c r="BH843" s="3" t="n">
        <v>4</v>
      </c>
      <c r="BI843" s="3" t="n">
        <v>1</v>
      </c>
      <c r="BJ843" s="3" t="n">
        <v>1</v>
      </c>
      <c r="BK843" s="6" t="s">
        <v>2232</v>
      </c>
    </row>
    <row r="844" customFormat="false" ht="15" hidden="false" customHeight="true" outlineLevel="0" collapsed="false">
      <c r="B844" s="2" t="s">
        <v>318</v>
      </c>
      <c r="C844" s="2" t="s">
        <v>2233</v>
      </c>
      <c r="D844" s="2" t="s">
        <v>2234</v>
      </c>
      <c r="E844" s="2" t="n">
        <v>198733</v>
      </c>
      <c r="F844" s="15" t="n">
        <v>44004</v>
      </c>
      <c r="G844" s="15" t="n">
        <v>44008</v>
      </c>
      <c r="H844" s="3" t="n">
        <v>4</v>
      </c>
      <c r="I844" s="3" t="n">
        <v>1</v>
      </c>
      <c r="J844" s="3" t="n">
        <v>71</v>
      </c>
      <c r="K844" s="3" t="n">
        <v>1</v>
      </c>
      <c r="L844" s="3" t="n">
        <v>1</v>
      </c>
      <c r="M844" s="3" t="n">
        <v>1</v>
      </c>
      <c r="N844" s="3" t="n">
        <v>2</v>
      </c>
      <c r="O844" s="3" t="n">
        <v>2</v>
      </c>
      <c r="P844" s="3" t="n">
        <v>2</v>
      </c>
      <c r="Q844" s="3" t="n">
        <v>2</v>
      </c>
      <c r="R844" s="3" t="n">
        <v>2</v>
      </c>
      <c r="S844" s="3" t="n">
        <v>2</v>
      </c>
      <c r="T844" s="4" t="n">
        <v>1</v>
      </c>
      <c r="U844" s="3" t="n">
        <v>1</v>
      </c>
      <c r="AD844" s="3" t="n">
        <v>1</v>
      </c>
      <c r="AE844" s="3" t="n">
        <v>1</v>
      </c>
      <c r="AF844" s="3" t="n">
        <v>1</v>
      </c>
      <c r="AG844" s="3" t="n">
        <v>2</v>
      </c>
      <c r="AH844" s="3" t="n">
        <v>2</v>
      </c>
      <c r="AI844" s="3" t="n">
        <v>1</v>
      </c>
      <c r="AJ844" s="3" t="n">
        <v>1</v>
      </c>
      <c r="AK844" s="3" t="n">
        <v>2</v>
      </c>
      <c r="AL844" s="3" t="n">
        <v>1</v>
      </c>
      <c r="AM844" s="3" t="n">
        <v>1</v>
      </c>
      <c r="AN844" s="3" t="n">
        <v>2</v>
      </c>
      <c r="AO844" s="3" t="n">
        <v>2</v>
      </c>
      <c r="AP844" s="3" t="n">
        <v>3</v>
      </c>
      <c r="AQ844" s="3" t="n">
        <v>4</v>
      </c>
      <c r="AR844" s="3" t="n">
        <v>4</v>
      </c>
      <c r="AS844" s="3" t="n">
        <v>6</v>
      </c>
      <c r="AT844" s="3" t="n">
        <v>4</v>
      </c>
      <c r="AU844" s="3" t="n">
        <v>4</v>
      </c>
      <c r="AV844" s="3" t="n">
        <v>6</v>
      </c>
      <c r="AW844" s="3" t="n">
        <v>6</v>
      </c>
      <c r="AX844" s="3" t="n">
        <v>3</v>
      </c>
      <c r="AY844" s="3" t="n">
        <v>3</v>
      </c>
      <c r="AZ844" s="3" t="n">
        <v>1</v>
      </c>
      <c r="BA844" s="5" t="n">
        <v>5</v>
      </c>
      <c r="BB844" s="3" t="n">
        <v>2</v>
      </c>
      <c r="BC844" s="3" t="n">
        <v>1</v>
      </c>
      <c r="BD844" s="3" t="n">
        <v>6</v>
      </c>
      <c r="BE844" s="3" t="n">
        <v>3</v>
      </c>
      <c r="BF844" s="3" t="n">
        <v>5</v>
      </c>
      <c r="BG844" s="3" t="n">
        <v>3</v>
      </c>
      <c r="BH844" s="3" t="n">
        <v>4</v>
      </c>
      <c r="BI844" s="3" t="n">
        <v>1</v>
      </c>
      <c r="BJ844" s="3" t="n">
        <v>1</v>
      </c>
      <c r="BK844" s="6" t="s">
        <v>2232</v>
      </c>
    </row>
    <row r="845" customFormat="false" ht="15" hidden="false" customHeight="true" outlineLevel="0" collapsed="false">
      <c r="B845" s="2" t="s">
        <v>2235</v>
      </c>
      <c r="C845" s="2" t="s">
        <v>2236</v>
      </c>
      <c r="D845" s="2" t="s">
        <v>252</v>
      </c>
      <c r="E845" s="2" t="n">
        <v>198868</v>
      </c>
      <c r="F845" s="15" t="n">
        <v>44008</v>
      </c>
      <c r="G845" s="15" t="n">
        <v>44013</v>
      </c>
      <c r="H845" s="3" t="n">
        <v>5</v>
      </c>
      <c r="I845" s="3" t="n">
        <v>1</v>
      </c>
      <c r="J845" s="3" t="n">
        <v>80</v>
      </c>
      <c r="K845" s="3" t="n">
        <v>2</v>
      </c>
      <c r="L845" s="3" t="n">
        <v>2</v>
      </c>
      <c r="M845" s="3" t="n">
        <v>1</v>
      </c>
      <c r="N845" s="3" t="n">
        <v>2</v>
      </c>
      <c r="O845" s="3" t="n">
        <v>2</v>
      </c>
      <c r="P845" s="3" t="n">
        <v>1</v>
      </c>
      <c r="Q845" s="3" t="n">
        <v>1</v>
      </c>
      <c r="R845" s="3" t="n">
        <v>1</v>
      </c>
      <c r="S845" s="3" t="n">
        <v>2</v>
      </c>
      <c r="T845" s="4" t="n">
        <v>1</v>
      </c>
      <c r="U845" s="3" t="n">
        <v>1</v>
      </c>
      <c r="AA845" s="3" t="n">
        <v>0.33</v>
      </c>
      <c r="AB845" s="3" t="n">
        <v>6.6</v>
      </c>
      <c r="AC845" s="3" t="n">
        <v>1</v>
      </c>
      <c r="AD845" s="3" t="n">
        <v>1</v>
      </c>
      <c r="AE845" s="3" t="n">
        <v>1</v>
      </c>
      <c r="AF845" s="3" t="n">
        <v>1</v>
      </c>
      <c r="AG845" s="3" t="n">
        <v>2</v>
      </c>
      <c r="AH845" s="3" t="n">
        <v>1</v>
      </c>
      <c r="AI845" s="3" t="n">
        <v>2</v>
      </c>
      <c r="AJ845" s="3" t="n">
        <v>1</v>
      </c>
      <c r="AK845" s="3" t="n">
        <v>1</v>
      </c>
      <c r="AL845" s="3" t="n">
        <v>2</v>
      </c>
      <c r="AM845" s="3" t="n">
        <v>1</v>
      </c>
      <c r="AN845" s="3" t="n">
        <v>2</v>
      </c>
      <c r="AO845" s="3" t="n">
        <v>2</v>
      </c>
      <c r="AP845" s="3" t="n">
        <v>3</v>
      </c>
      <c r="AQ845" s="3" t="n">
        <v>4</v>
      </c>
      <c r="AR845" s="3" t="n">
        <v>4</v>
      </c>
      <c r="AS845" s="3" t="n">
        <v>6</v>
      </c>
      <c r="AT845" s="3" t="n">
        <v>4</v>
      </c>
      <c r="AU845" s="3" t="n">
        <v>4</v>
      </c>
      <c r="AV845" s="3" t="n">
        <v>6</v>
      </c>
      <c r="AW845" s="3" t="n">
        <v>6</v>
      </c>
      <c r="AX845" s="3" t="n">
        <v>3</v>
      </c>
      <c r="AY845" s="3" t="n">
        <v>3</v>
      </c>
      <c r="AZ845" s="3" t="n">
        <v>1</v>
      </c>
      <c r="BA845" s="5" t="n">
        <v>5</v>
      </c>
      <c r="BB845" s="3" t="n">
        <v>2</v>
      </c>
      <c r="BC845" s="3" t="n">
        <v>1</v>
      </c>
      <c r="BD845" s="3" t="n">
        <v>6</v>
      </c>
      <c r="BE845" s="3" t="n">
        <v>3</v>
      </c>
      <c r="BF845" s="3" t="n">
        <v>5</v>
      </c>
      <c r="BG845" s="3" t="n">
        <v>3</v>
      </c>
      <c r="BH845" s="3" t="n">
        <v>4</v>
      </c>
      <c r="BI845" s="3" t="n">
        <v>1</v>
      </c>
      <c r="BJ845" s="3" t="n">
        <v>1</v>
      </c>
      <c r="BK845" s="6" t="s">
        <v>2237</v>
      </c>
    </row>
    <row r="846" customFormat="false" ht="15" hidden="false" customHeight="true" outlineLevel="0" collapsed="false">
      <c r="B846" s="2" t="s">
        <v>2238</v>
      </c>
      <c r="C846" s="2" t="s">
        <v>2239</v>
      </c>
      <c r="D846" s="2" t="s">
        <v>2240</v>
      </c>
      <c r="E846" s="2" t="n">
        <v>198829</v>
      </c>
      <c r="F846" s="15" t="n">
        <v>44005</v>
      </c>
      <c r="G846" s="15" t="n">
        <v>44014</v>
      </c>
      <c r="H846" s="3" t="n">
        <v>9</v>
      </c>
      <c r="I846" s="3" t="n">
        <v>2</v>
      </c>
      <c r="J846" s="3" t="n">
        <v>55</v>
      </c>
      <c r="K846" s="3" t="n">
        <v>1</v>
      </c>
      <c r="L846" s="3" t="n">
        <v>1</v>
      </c>
      <c r="M846" s="3" t="n">
        <v>1</v>
      </c>
      <c r="N846" s="3" t="n">
        <v>2</v>
      </c>
      <c r="O846" s="3" t="n">
        <v>2</v>
      </c>
      <c r="P846" s="3" t="n">
        <v>2</v>
      </c>
      <c r="Q846" s="3" t="n">
        <v>1</v>
      </c>
      <c r="R846" s="3" t="n">
        <v>2</v>
      </c>
      <c r="S846" s="3" t="n">
        <v>2</v>
      </c>
      <c r="T846" s="4" t="n">
        <v>1</v>
      </c>
      <c r="U846" s="3" t="n">
        <v>1</v>
      </c>
      <c r="V846" s="3" t="n">
        <v>3.65</v>
      </c>
      <c r="W846" s="3" t="n">
        <v>2.62</v>
      </c>
      <c r="X846" s="3" t="n">
        <v>6.5</v>
      </c>
      <c r="Y846" s="3" t="n">
        <v>437</v>
      </c>
      <c r="Z846" s="3" t="n">
        <v>118</v>
      </c>
      <c r="AA846" s="3" t="n">
        <v>0.48</v>
      </c>
      <c r="AB846" s="3" t="n">
        <v>19.9</v>
      </c>
      <c r="AC846" s="3" t="n">
        <v>2</v>
      </c>
      <c r="AD846" s="3" t="n">
        <v>2</v>
      </c>
      <c r="AE846" s="3" t="n">
        <v>1</v>
      </c>
      <c r="AF846" s="3" t="n">
        <v>1</v>
      </c>
      <c r="AG846" s="3" t="n">
        <v>1</v>
      </c>
      <c r="AH846" s="3" t="n">
        <v>2</v>
      </c>
      <c r="AI846" s="3" t="n">
        <v>1</v>
      </c>
      <c r="AJ846" s="3" t="n">
        <v>1</v>
      </c>
      <c r="AK846" s="3" t="n">
        <v>2</v>
      </c>
      <c r="AL846" s="3" t="n">
        <v>2</v>
      </c>
      <c r="AM846" s="3" t="n">
        <v>1</v>
      </c>
      <c r="AN846" s="3" t="n">
        <v>2</v>
      </c>
      <c r="AO846" s="3" t="n">
        <v>1</v>
      </c>
      <c r="AP846" s="3" t="n">
        <v>2</v>
      </c>
      <c r="AQ846" s="3" t="n">
        <v>3</v>
      </c>
      <c r="AR846" s="3" t="n">
        <v>2</v>
      </c>
      <c r="AS846" s="3" t="n">
        <v>2</v>
      </c>
      <c r="AT846" s="3" t="n">
        <v>2</v>
      </c>
      <c r="AU846" s="3" t="n">
        <v>1</v>
      </c>
      <c r="AV846" s="3" t="n">
        <v>1</v>
      </c>
      <c r="AW846" s="3" t="n">
        <v>1</v>
      </c>
      <c r="AX846" s="3" t="n">
        <v>2</v>
      </c>
      <c r="AY846" s="3" t="n">
        <v>2</v>
      </c>
      <c r="AZ846" s="3" t="n">
        <v>16</v>
      </c>
      <c r="BA846" s="5" t="n">
        <v>1</v>
      </c>
      <c r="BB846" s="3" t="n">
        <v>1</v>
      </c>
      <c r="BC846" s="3" t="n">
        <v>1</v>
      </c>
      <c r="BD846" s="3" t="n">
        <v>2</v>
      </c>
      <c r="BE846" s="3" t="n">
        <v>1</v>
      </c>
      <c r="BF846" s="3" t="n">
        <v>2</v>
      </c>
      <c r="BG846" s="3" t="n">
        <v>2</v>
      </c>
      <c r="BH846" s="3" t="n">
        <v>4</v>
      </c>
      <c r="BI846" s="3" t="n">
        <v>1</v>
      </c>
      <c r="BJ846" s="3" t="n">
        <v>1</v>
      </c>
      <c r="BK846" s="6" t="s">
        <v>2241</v>
      </c>
    </row>
    <row r="847" customFormat="false" ht="15" hidden="false" customHeight="true" outlineLevel="0" collapsed="false">
      <c r="B847" s="2" t="s">
        <v>2242</v>
      </c>
      <c r="C847" s="2" t="s">
        <v>2243</v>
      </c>
      <c r="D847" s="2" t="s">
        <v>1211</v>
      </c>
      <c r="E847" s="2" t="n">
        <v>198754</v>
      </c>
      <c r="F847" s="15" t="n">
        <v>44006</v>
      </c>
      <c r="G847" s="15" t="n">
        <v>44014</v>
      </c>
      <c r="H847" s="3" t="n">
        <v>8</v>
      </c>
      <c r="I847" s="3" t="n">
        <v>2</v>
      </c>
      <c r="J847" s="3" t="n">
        <v>54</v>
      </c>
      <c r="K847" s="3" t="n">
        <v>1</v>
      </c>
      <c r="L847" s="3" t="n">
        <v>2</v>
      </c>
      <c r="M847" s="3" t="n">
        <v>1</v>
      </c>
      <c r="N847" s="3" t="n">
        <v>1</v>
      </c>
      <c r="O847" s="3" t="n">
        <v>2</v>
      </c>
      <c r="P847" s="3" t="n">
        <v>2</v>
      </c>
      <c r="Q847" s="3" t="n">
        <v>2</v>
      </c>
      <c r="R847" s="3" t="n">
        <v>2</v>
      </c>
      <c r="S847" s="3" t="n">
        <v>2</v>
      </c>
      <c r="T847" s="4" t="n">
        <v>1</v>
      </c>
      <c r="U847" s="3" t="n">
        <v>1</v>
      </c>
      <c r="V847" s="3" t="n">
        <v>5.04</v>
      </c>
      <c r="W847" s="3" t="n">
        <v>2</v>
      </c>
      <c r="X847" s="3" t="n">
        <v>4.3</v>
      </c>
      <c r="Y847" s="3" t="n">
        <v>1072</v>
      </c>
      <c r="Z847" s="3" t="n">
        <v>90.4</v>
      </c>
      <c r="AA847" s="3" t="n">
        <v>0.45</v>
      </c>
      <c r="AB847" s="3" t="n">
        <v>12.6</v>
      </c>
      <c r="AC847" s="3" t="n">
        <v>1</v>
      </c>
      <c r="AD847" s="3" t="n">
        <v>1</v>
      </c>
      <c r="AE847" s="3" t="n">
        <v>1</v>
      </c>
      <c r="AF847" s="3" t="n">
        <v>1</v>
      </c>
      <c r="AG847" s="3" t="n">
        <v>1</v>
      </c>
      <c r="AH847" s="3" t="n">
        <v>2</v>
      </c>
      <c r="AI847" s="3" t="n">
        <v>1</v>
      </c>
      <c r="AJ847" s="3" t="n">
        <v>1</v>
      </c>
      <c r="AK847" s="3" t="n">
        <v>2</v>
      </c>
      <c r="AL847" s="3" t="n">
        <v>2</v>
      </c>
      <c r="AM847" s="3" t="n">
        <v>2</v>
      </c>
      <c r="AN847" s="3" t="n">
        <v>2</v>
      </c>
      <c r="AO847" s="3" t="n">
        <v>2</v>
      </c>
      <c r="AP847" s="3" t="n">
        <v>1</v>
      </c>
      <c r="AQ847" s="3" t="n">
        <v>3</v>
      </c>
      <c r="AR847" s="3" t="n">
        <v>5</v>
      </c>
      <c r="AS847" s="3" t="n">
        <v>2</v>
      </c>
      <c r="AT847" s="3" t="n">
        <v>2</v>
      </c>
      <c r="AU847" s="3" t="n">
        <v>1</v>
      </c>
      <c r="AV847" s="3" t="n">
        <v>1</v>
      </c>
      <c r="AW847" s="3" t="n">
        <v>1</v>
      </c>
      <c r="AX847" s="3" t="n">
        <v>2</v>
      </c>
      <c r="AY847" s="3" t="n">
        <v>2</v>
      </c>
      <c r="AZ847" s="3" t="n">
        <v>1</v>
      </c>
      <c r="BA847" s="5" t="n">
        <v>5</v>
      </c>
      <c r="BB847" s="3" t="n">
        <v>2</v>
      </c>
      <c r="BC847" s="3" t="n">
        <v>1</v>
      </c>
      <c r="BD847" s="3" t="n">
        <v>6</v>
      </c>
      <c r="BE847" s="3" t="n">
        <v>3</v>
      </c>
      <c r="BF847" s="3" t="n">
        <v>5</v>
      </c>
      <c r="BG847" s="3" t="n">
        <v>3</v>
      </c>
      <c r="BH847" s="3" t="n">
        <v>4</v>
      </c>
      <c r="BI847" s="3" t="n">
        <v>1</v>
      </c>
      <c r="BJ847" s="3" t="n">
        <v>1</v>
      </c>
      <c r="BK847" s="6" t="s">
        <v>2244</v>
      </c>
    </row>
    <row r="848" customFormat="false" ht="15" hidden="false" customHeight="true" outlineLevel="0" collapsed="false">
      <c r="B848" s="2" t="s">
        <v>440</v>
      </c>
      <c r="C848" s="2" t="s">
        <v>172</v>
      </c>
      <c r="D848" s="2" t="s">
        <v>2245</v>
      </c>
      <c r="E848" s="2" t="n">
        <v>198841</v>
      </c>
      <c r="F848" s="15" t="n">
        <v>44006</v>
      </c>
      <c r="G848" s="15" t="n">
        <v>44013</v>
      </c>
      <c r="H848" s="3" t="n">
        <v>7</v>
      </c>
      <c r="I848" s="3" t="n">
        <v>2</v>
      </c>
      <c r="J848" s="3" t="n">
        <v>59</v>
      </c>
      <c r="K848" s="3" t="n">
        <v>2</v>
      </c>
      <c r="L848" s="3" t="n">
        <v>2</v>
      </c>
      <c r="M848" s="3" t="n">
        <v>2</v>
      </c>
      <c r="N848" s="3" t="n">
        <v>2</v>
      </c>
      <c r="O848" s="3" t="n">
        <v>2</v>
      </c>
      <c r="P848" s="3" t="n">
        <v>2</v>
      </c>
      <c r="Q848" s="3" t="n">
        <v>2</v>
      </c>
      <c r="R848" s="3" t="n">
        <v>2</v>
      </c>
      <c r="S848" s="3" t="n">
        <v>2</v>
      </c>
      <c r="T848" s="4" t="n">
        <v>2</v>
      </c>
      <c r="U848" s="3" t="n">
        <v>2</v>
      </c>
      <c r="AA848" s="3" t="n">
        <v>0.45</v>
      </c>
      <c r="AB848" s="3" t="n">
        <v>8.4</v>
      </c>
      <c r="AC848" s="3" t="n">
        <v>1</v>
      </c>
      <c r="AD848" s="3" t="n">
        <v>2</v>
      </c>
      <c r="AE848" s="3" t="n">
        <v>1</v>
      </c>
      <c r="AF848" s="3" t="n">
        <v>1</v>
      </c>
      <c r="AG848" s="3" t="n">
        <v>2</v>
      </c>
      <c r="AH848" s="3" t="n">
        <v>2</v>
      </c>
      <c r="AI848" s="3" t="n">
        <v>1</v>
      </c>
      <c r="AJ848" s="3" t="n">
        <v>1</v>
      </c>
      <c r="AK848" s="3" t="n">
        <v>2</v>
      </c>
      <c r="AL848" s="3" t="n">
        <v>2</v>
      </c>
      <c r="AM848" s="3" t="n">
        <v>2</v>
      </c>
      <c r="AN848" s="3" t="n">
        <v>2</v>
      </c>
      <c r="AO848" s="3" t="n">
        <v>2</v>
      </c>
      <c r="AP848" s="3" t="n">
        <v>3</v>
      </c>
      <c r="AQ848" s="3" t="n">
        <v>4</v>
      </c>
      <c r="AR848" s="3" t="n">
        <v>4</v>
      </c>
      <c r="AS848" s="3" t="n">
        <v>6</v>
      </c>
      <c r="AT848" s="3" t="n">
        <v>4</v>
      </c>
      <c r="AU848" s="3" t="n">
        <v>4</v>
      </c>
      <c r="AV848" s="3" t="n">
        <v>6</v>
      </c>
      <c r="AW848" s="3" t="n">
        <v>6</v>
      </c>
      <c r="AX848" s="3" t="n">
        <v>3</v>
      </c>
      <c r="AY848" s="3" t="n">
        <v>3</v>
      </c>
      <c r="AZ848" s="3" t="n">
        <v>1</v>
      </c>
      <c r="BA848" s="5" t="n">
        <v>1</v>
      </c>
      <c r="BB848" s="3" t="n">
        <v>1</v>
      </c>
      <c r="BC848" s="3" t="n">
        <v>1</v>
      </c>
      <c r="BD848" s="3" t="n">
        <v>2</v>
      </c>
      <c r="BE848" s="3" t="n">
        <v>3</v>
      </c>
      <c r="BF848" s="3" t="n">
        <v>5</v>
      </c>
      <c r="BG848" s="3" t="n">
        <v>3</v>
      </c>
      <c r="BH848" s="3" t="n">
        <v>4</v>
      </c>
      <c r="BI848" s="3" t="n">
        <v>1</v>
      </c>
      <c r="BJ848" s="3" t="n">
        <v>1</v>
      </c>
      <c r="BK848" s="6" t="s">
        <v>2246</v>
      </c>
    </row>
    <row r="849" customFormat="false" ht="15" hidden="false" customHeight="true" outlineLevel="0" collapsed="false">
      <c r="B849" s="2" t="s">
        <v>445</v>
      </c>
      <c r="C849" s="2" t="s">
        <v>2247</v>
      </c>
      <c r="D849" s="2" t="s">
        <v>2248</v>
      </c>
      <c r="E849" s="2" t="n">
        <v>199123</v>
      </c>
      <c r="F849" s="15" t="n">
        <v>44012</v>
      </c>
      <c r="G849" s="15" t="n">
        <v>44016</v>
      </c>
      <c r="H849" s="3" t="n">
        <v>5</v>
      </c>
      <c r="I849" s="3" t="n">
        <v>1</v>
      </c>
      <c r="J849" s="3" t="n">
        <v>66</v>
      </c>
      <c r="K849" s="3" t="n">
        <v>1</v>
      </c>
      <c r="L849" s="3" t="n">
        <v>2</v>
      </c>
      <c r="M849" s="3" t="n">
        <v>1</v>
      </c>
      <c r="N849" s="3" t="n">
        <v>1</v>
      </c>
      <c r="O849" s="3" t="n">
        <v>2</v>
      </c>
      <c r="P849" s="3" t="n">
        <v>2</v>
      </c>
      <c r="Q849" s="3" t="n">
        <v>1</v>
      </c>
      <c r="R849" s="3" t="n">
        <v>2</v>
      </c>
      <c r="S849" s="3" t="n">
        <v>2</v>
      </c>
      <c r="T849" s="4" t="n">
        <v>2</v>
      </c>
      <c r="U849" s="3" t="n">
        <v>2</v>
      </c>
      <c r="V849" s="3" t="n">
        <v>3.9</v>
      </c>
      <c r="W849" s="3" t="n">
        <v>1.59</v>
      </c>
      <c r="X849" s="3" t="n">
        <v>6</v>
      </c>
      <c r="Y849" s="3" t="n">
        <v>653</v>
      </c>
      <c r="Z849" s="3" t="n">
        <v>116.9</v>
      </c>
      <c r="AA849" s="3" t="n">
        <v>0.43</v>
      </c>
      <c r="AB849" s="3" t="n">
        <v>10.8</v>
      </c>
      <c r="AC849" s="3" t="n">
        <v>1</v>
      </c>
      <c r="AD849" s="3" t="n">
        <v>1</v>
      </c>
      <c r="AE849" s="3" t="n">
        <v>1</v>
      </c>
      <c r="AF849" s="3" t="n">
        <v>1</v>
      </c>
      <c r="AG849" s="3" t="n">
        <v>2</v>
      </c>
      <c r="AH849" s="3" t="n">
        <v>2</v>
      </c>
      <c r="AI849" s="3" t="n">
        <v>1</v>
      </c>
      <c r="AJ849" s="3" t="n">
        <v>1</v>
      </c>
      <c r="AK849" s="3" t="n">
        <v>2</v>
      </c>
      <c r="AL849" s="3" t="n">
        <v>2</v>
      </c>
      <c r="AM849" s="3" t="n">
        <v>2</v>
      </c>
      <c r="AN849" s="3" t="n">
        <v>1</v>
      </c>
      <c r="AO849" s="3" t="n">
        <v>2</v>
      </c>
      <c r="AP849" s="3" t="n">
        <v>3</v>
      </c>
      <c r="AQ849" s="3" t="n">
        <v>4</v>
      </c>
      <c r="AR849" s="3" t="n">
        <v>4</v>
      </c>
      <c r="AS849" s="3" t="n">
        <v>6</v>
      </c>
      <c r="AT849" s="3" t="n">
        <v>4</v>
      </c>
      <c r="AU849" s="3" t="n">
        <v>4</v>
      </c>
      <c r="AV849" s="3" t="n">
        <v>6</v>
      </c>
      <c r="AW849" s="3" t="n">
        <v>6</v>
      </c>
      <c r="AX849" s="3" t="n">
        <v>3</v>
      </c>
      <c r="AY849" s="3" t="n">
        <v>3</v>
      </c>
      <c r="AZ849" s="3" t="n">
        <v>6</v>
      </c>
      <c r="BA849" s="5" t="n">
        <v>1</v>
      </c>
      <c r="BB849" s="3" t="n">
        <v>1</v>
      </c>
      <c r="BC849" s="3" t="n">
        <v>1</v>
      </c>
      <c r="BD849" s="3" t="n">
        <v>4</v>
      </c>
      <c r="BE849" s="3" t="n">
        <v>1</v>
      </c>
      <c r="BF849" s="3" t="n">
        <v>2</v>
      </c>
      <c r="BG849" s="3" t="n">
        <v>1</v>
      </c>
      <c r="BH849" s="3" t="n">
        <v>4</v>
      </c>
      <c r="BI849" s="3" t="n">
        <v>1</v>
      </c>
      <c r="BJ849" s="3" t="n">
        <v>1</v>
      </c>
      <c r="BK849" s="6" t="s">
        <v>2249</v>
      </c>
    </row>
    <row r="850" customFormat="false" ht="15" hidden="false" customHeight="true" outlineLevel="0" collapsed="false">
      <c r="B850" s="2" t="s">
        <v>2250</v>
      </c>
      <c r="C850" s="2" t="s">
        <v>510</v>
      </c>
      <c r="D850" s="2" t="s">
        <v>118</v>
      </c>
      <c r="E850" s="2" t="n">
        <v>198902</v>
      </c>
      <c r="F850" s="15" t="n">
        <v>44009</v>
      </c>
      <c r="G850" s="15" t="n">
        <v>44016</v>
      </c>
      <c r="H850" s="3" t="n">
        <v>7</v>
      </c>
      <c r="I850" s="3" t="n">
        <v>1</v>
      </c>
      <c r="J850" s="3" t="n">
        <v>62</v>
      </c>
      <c r="K850" s="3" t="n">
        <v>1</v>
      </c>
      <c r="L850" s="3" t="n">
        <v>1</v>
      </c>
      <c r="M850" s="3" t="n">
        <v>1</v>
      </c>
      <c r="N850" s="3" t="n">
        <v>2</v>
      </c>
      <c r="O850" s="3" t="n">
        <v>2</v>
      </c>
      <c r="P850" s="3" t="n">
        <v>2</v>
      </c>
      <c r="Q850" s="3" t="n">
        <v>2</v>
      </c>
      <c r="R850" s="3" t="n">
        <v>2</v>
      </c>
      <c r="S850" s="3" t="n">
        <v>2</v>
      </c>
      <c r="T850" s="4" t="n">
        <v>2</v>
      </c>
      <c r="U850" s="3" t="n">
        <v>2</v>
      </c>
      <c r="V850" s="3" t="n">
        <v>5.74</v>
      </c>
      <c r="W850" s="3" t="n">
        <v>1.56</v>
      </c>
      <c r="X850" s="3" t="n">
        <v>4.9</v>
      </c>
      <c r="Y850" s="3" t="n">
        <v>209</v>
      </c>
      <c r="AA850" s="3" t="n">
        <v>0.44</v>
      </c>
      <c r="AB850" s="3" t="n">
        <v>12.6</v>
      </c>
      <c r="AC850" s="3" t="n">
        <v>1</v>
      </c>
      <c r="AD850" s="3" t="n">
        <v>2</v>
      </c>
      <c r="AE850" s="3" t="n">
        <v>1</v>
      </c>
      <c r="AF850" s="3" t="n">
        <v>1</v>
      </c>
      <c r="AG850" s="3" t="n">
        <v>2</v>
      </c>
      <c r="AH850" s="3" t="n">
        <v>2</v>
      </c>
      <c r="AI850" s="3" t="n">
        <v>1</v>
      </c>
      <c r="AJ850" s="3" t="n">
        <v>1</v>
      </c>
      <c r="AK850" s="3" t="n">
        <v>1</v>
      </c>
      <c r="AL850" s="3" t="n">
        <v>2</v>
      </c>
      <c r="AM850" s="3" t="n">
        <v>1</v>
      </c>
      <c r="AN850" s="3" t="n">
        <v>2</v>
      </c>
      <c r="AO850" s="3" t="n">
        <v>2</v>
      </c>
      <c r="AP850" s="3" t="n">
        <v>3</v>
      </c>
      <c r="AQ850" s="3" t="n">
        <v>4</v>
      </c>
      <c r="AR850" s="3" t="n">
        <v>4</v>
      </c>
      <c r="AS850" s="3" t="n">
        <v>6</v>
      </c>
      <c r="AT850" s="3" t="n">
        <v>4</v>
      </c>
      <c r="AU850" s="3" t="n">
        <v>4</v>
      </c>
      <c r="AV850" s="3" t="n">
        <v>6</v>
      </c>
      <c r="AW850" s="3" t="n">
        <v>6</v>
      </c>
      <c r="AX850" s="3" t="n">
        <v>3</v>
      </c>
      <c r="AY850" s="3" t="n">
        <v>3</v>
      </c>
      <c r="AZ850" s="3" t="n">
        <v>1</v>
      </c>
      <c r="BA850" s="5" t="n">
        <v>1</v>
      </c>
      <c r="BB850" s="3" t="n">
        <v>1</v>
      </c>
      <c r="BC850" s="3" t="n">
        <v>1</v>
      </c>
      <c r="BD850" s="3" t="n">
        <v>4</v>
      </c>
      <c r="BE850" s="3" t="n">
        <v>1</v>
      </c>
      <c r="BF850" s="3" t="n">
        <v>2</v>
      </c>
      <c r="BG850" s="3" t="n">
        <v>1</v>
      </c>
      <c r="BH850" s="3" t="n">
        <v>4</v>
      </c>
      <c r="BI850" s="3" t="n">
        <v>1</v>
      </c>
      <c r="BJ850" s="3" t="n">
        <v>1</v>
      </c>
      <c r="BK850" s="6" t="s">
        <v>2251</v>
      </c>
    </row>
    <row r="851" customFormat="false" ht="15" hidden="false" customHeight="true" outlineLevel="0" collapsed="false">
      <c r="B851" s="2" t="s">
        <v>680</v>
      </c>
      <c r="C851" s="2" t="s">
        <v>311</v>
      </c>
      <c r="D851" s="2" t="s">
        <v>2252</v>
      </c>
      <c r="E851" s="2" t="n">
        <v>199141</v>
      </c>
      <c r="F851" s="15" t="n">
        <v>44013</v>
      </c>
      <c r="G851" s="15" t="n">
        <v>44017</v>
      </c>
      <c r="H851" s="3" t="n">
        <v>4</v>
      </c>
      <c r="I851" s="3" t="n">
        <v>2</v>
      </c>
      <c r="J851" s="3" t="n">
        <v>67</v>
      </c>
      <c r="K851" s="3" t="n">
        <v>2</v>
      </c>
      <c r="L851" s="3" t="n">
        <v>1</v>
      </c>
      <c r="M851" s="3" t="n">
        <v>1</v>
      </c>
      <c r="N851" s="3" t="n">
        <v>2</v>
      </c>
      <c r="O851" s="3" t="n">
        <v>2</v>
      </c>
      <c r="P851" s="3" t="n">
        <v>2</v>
      </c>
      <c r="Q851" s="3" t="n">
        <v>2</v>
      </c>
      <c r="R851" s="3" t="n">
        <v>2</v>
      </c>
      <c r="S851" s="3" t="n">
        <v>2</v>
      </c>
      <c r="T851" s="4" t="n">
        <v>1</v>
      </c>
      <c r="U851" s="3" t="n">
        <v>1</v>
      </c>
      <c r="V851" s="3" t="n">
        <v>3.7</v>
      </c>
      <c r="W851" s="3" t="n">
        <v>1.28</v>
      </c>
      <c r="X851" s="3" t="n">
        <v>6.6</v>
      </c>
      <c r="Y851" s="3" t="n">
        <v>380</v>
      </c>
      <c r="Z851" s="3" t="n">
        <v>149</v>
      </c>
      <c r="AA851" s="3" t="n">
        <v>0.4</v>
      </c>
      <c r="AB851" s="3" t="n">
        <v>15</v>
      </c>
      <c r="AC851" s="3" t="n">
        <v>1</v>
      </c>
      <c r="AD851" s="3" t="n">
        <v>1</v>
      </c>
      <c r="AE851" s="3" t="n">
        <v>1</v>
      </c>
      <c r="AF851" s="3" t="n">
        <v>1</v>
      </c>
      <c r="AG851" s="3" t="n">
        <v>2</v>
      </c>
      <c r="AH851" s="3" t="n">
        <v>2</v>
      </c>
      <c r="AI851" s="3" t="n">
        <v>2</v>
      </c>
      <c r="AJ851" s="3" t="n">
        <v>1</v>
      </c>
      <c r="AK851" s="3" t="n">
        <v>2</v>
      </c>
      <c r="AL851" s="3" t="n">
        <v>2</v>
      </c>
      <c r="AM851" s="3" t="n">
        <v>2</v>
      </c>
      <c r="AN851" s="3" t="n">
        <v>2</v>
      </c>
      <c r="AO851" s="3" t="n">
        <v>2</v>
      </c>
      <c r="AP851" s="3" t="n">
        <v>3</v>
      </c>
      <c r="AQ851" s="3" t="n">
        <v>4</v>
      </c>
      <c r="AR851" s="3" t="n">
        <v>4</v>
      </c>
      <c r="AS851" s="3" t="n">
        <v>6</v>
      </c>
      <c r="AT851" s="3" t="n">
        <v>4</v>
      </c>
      <c r="AU851" s="3" t="n">
        <v>4</v>
      </c>
      <c r="AV851" s="3" t="n">
        <v>6</v>
      </c>
      <c r="AW851" s="3" t="n">
        <v>6</v>
      </c>
      <c r="AX851" s="3" t="n">
        <v>3</v>
      </c>
      <c r="AY851" s="3" t="n">
        <v>3</v>
      </c>
      <c r="AZ851" s="3" t="n">
        <v>1</v>
      </c>
      <c r="BA851" s="5" t="n">
        <v>1</v>
      </c>
      <c r="BB851" s="3" t="n">
        <v>1</v>
      </c>
      <c r="BC851" s="3" t="n">
        <v>1</v>
      </c>
      <c r="BD851" s="3" t="n">
        <v>4</v>
      </c>
      <c r="BE851" s="3" t="n">
        <v>3</v>
      </c>
      <c r="BF851" s="3" t="n">
        <v>5</v>
      </c>
      <c r="BG851" s="3" t="n">
        <v>3</v>
      </c>
      <c r="BH851" s="3" t="n">
        <v>4</v>
      </c>
      <c r="BI851" s="3" t="n">
        <v>1</v>
      </c>
      <c r="BJ851" s="3" t="n">
        <v>1</v>
      </c>
      <c r="BK851" s="6" t="s">
        <v>2253</v>
      </c>
    </row>
    <row r="852" customFormat="false" ht="15" hidden="false" customHeight="true" outlineLevel="0" collapsed="false">
      <c r="B852" s="2" t="s">
        <v>2254</v>
      </c>
      <c r="C852" s="2" t="s">
        <v>549</v>
      </c>
      <c r="D852" s="2" t="s">
        <v>118</v>
      </c>
      <c r="E852" s="2" t="n">
        <v>198912</v>
      </c>
      <c r="F852" s="15" t="n">
        <v>47297</v>
      </c>
      <c r="G852" s="15" t="n">
        <v>44017</v>
      </c>
      <c r="H852" s="3" t="n">
        <v>7</v>
      </c>
      <c r="I852" s="3" t="n">
        <v>2</v>
      </c>
      <c r="J852" s="3" t="n">
        <v>68</v>
      </c>
      <c r="K852" s="3" t="n">
        <v>1</v>
      </c>
      <c r="L852" s="3" t="n">
        <v>1</v>
      </c>
      <c r="M852" s="3" t="n">
        <v>1</v>
      </c>
      <c r="N852" s="3" t="n">
        <v>2</v>
      </c>
      <c r="O852" s="3" t="n">
        <v>2</v>
      </c>
      <c r="P852" s="3" t="n">
        <v>2</v>
      </c>
      <c r="Q852" s="3" t="n">
        <v>2</v>
      </c>
      <c r="R852" s="3" t="n">
        <v>2</v>
      </c>
      <c r="S852" s="3" t="n">
        <v>2</v>
      </c>
      <c r="T852" s="4" t="n">
        <v>2</v>
      </c>
      <c r="U852" s="3" t="n">
        <v>2</v>
      </c>
      <c r="V852" s="3" t="n">
        <v>5.02</v>
      </c>
      <c r="W852" s="3" t="n">
        <v>1.26</v>
      </c>
      <c r="X852" s="3" t="n">
        <v>4.6</v>
      </c>
      <c r="Y852" s="3" t="n">
        <v>409</v>
      </c>
      <c r="Z852" s="3" t="n">
        <v>100.9</v>
      </c>
      <c r="AA852" s="3" t="n">
        <v>0.49</v>
      </c>
      <c r="AC852" s="3" t="n">
        <v>1</v>
      </c>
      <c r="AD852" s="3" t="n">
        <v>2</v>
      </c>
      <c r="AE852" s="3" t="n">
        <v>1</v>
      </c>
      <c r="AF852" s="3" t="n">
        <v>1</v>
      </c>
      <c r="AG852" s="3" t="n">
        <v>1</v>
      </c>
      <c r="AH852" s="3" t="n">
        <v>2</v>
      </c>
      <c r="AI852" s="3" t="n">
        <v>1</v>
      </c>
      <c r="AJ852" s="3" t="n">
        <v>1</v>
      </c>
      <c r="AK852" s="3" t="n">
        <v>2</v>
      </c>
      <c r="AL852" s="3" t="n">
        <v>2</v>
      </c>
      <c r="AM852" s="3" t="n">
        <v>2</v>
      </c>
      <c r="AN852" s="3" t="n">
        <v>2</v>
      </c>
      <c r="AO852" s="3" t="n">
        <v>2</v>
      </c>
      <c r="AP852" s="3" t="n">
        <v>3</v>
      </c>
      <c r="AQ852" s="3" t="n">
        <v>4</v>
      </c>
      <c r="AR852" s="3" t="n">
        <v>4</v>
      </c>
      <c r="AS852" s="3" t="n">
        <v>6</v>
      </c>
      <c r="AT852" s="3" t="n">
        <v>4</v>
      </c>
      <c r="AU852" s="3" t="n">
        <v>4</v>
      </c>
      <c r="AV852" s="3" t="n">
        <v>6</v>
      </c>
      <c r="AW852" s="3" t="n">
        <v>6</v>
      </c>
      <c r="AX852" s="3" t="n">
        <v>3</v>
      </c>
      <c r="AY852" s="3" t="n">
        <v>3</v>
      </c>
      <c r="AZ852" s="3" t="n">
        <v>1</v>
      </c>
      <c r="BA852" s="5" t="n">
        <v>1</v>
      </c>
      <c r="BB852" s="3" t="n">
        <v>1</v>
      </c>
      <c r="BC852" s="3" t="n">
        <v>1</v>
      </c>
      <c r="BD852" s="3" t="n">
        <v>4</v>
      </c>
      <c r="BE852" s="3" t="n">
        <v>1</v>
      </c>
      <c r="BF852" s="3" t="n">
        <v>2</v>
      </c>
      <c r="BG852" s="3" t="n">
        <v>1</v>
      </c>
      <c r="BH852" s="3" t="n">
        <v>4</v>
      </c>
      <c r="BI852" s="3" t="n">
        <v>1</v>
      </c>
      <c r="BJ852" s="3" t="n">
        <v>1</v>
      </c>
      <c r="BK852" s="6" t="s">
        <v>2255</v>
      </c>
    </row>
    <row r="853" s="30" customFormat="true" ht="15" hidden="false" customHeight="true" outlineLevel="0" collapsed="false">
      <c r="A853" s="24"/>
      <c r="B853" s="26" t="s">
        <v>660</v>
      </c>
      <c r="C853" s="26" t="s">
        <v>2256</v>
      </c>
      <c r="D853" s="26" t="s">
        <v>988</v>
      </c>
      <c r="E853" s="26" t="n">
        <v>198956</v>
      </c>
      <c r="F853" s="27" t="n">
        <v>44015</v>
      </c>
      <c r="G853" s="27" t="n">
        <v>44018</v>
      </c>
      <c r="H853" s="30" t="n">
        <v>3</v>
      </c>
      <c r="I853" s="30" t="n">
        <v>2</v>
      </c>
      <c r="J853" s="30" t="n">
        <v>84</v>
      </c>
      <c r="K853" s="30" t="n">
        <v>1</v>
      </c>
      <c r="L853" s="30" t="n">
        <v>1</v>
      </c>
      <c r="M853" s="30" t="n">
        <v>1</v>
      </c>
      <c r="N853" s="30" t="n">
        <v>2</v>
      </c>
      <c r="O853" s="30" t="n">
        <v>2</v>
      </c>
      <c r="P853" s="30" t="n">
        <v>2</v>
      </c>
      <c r="Q853" s="30" t="n">
        <v>2</v>
      </c>
      <c r="R853" s="30" t="n">
        <v>2</v>
      </c>
      <c r="S853" s="30" t="n">
        <v>2</v>
      </c>
      <c r="T853" s="4" t="n">
        <v>2</v>
      </c>
      <c r="U853" s="30" t="n">
        <v>2</v>
      </c>
      <c r="V853" s="30" t="n">
        <v>2.31</v>
      </c>
      <c r="W853" s="30" t="n">
        <v>1.03</v>
      </c>
      <c r="AA853" s="30" t="n">
        <v>0.2</v>
      </c>
      <c r="AB853" s="30" t="n">
        <v>9.9</v>
      </c>
      <c r="AC853" s="30" t="n">
        <v>1</v>
      </c>
      <c r="AD853" s="30" t="n">
        <v>2</v>
      </c>
      <c r="AE853" s="30" t="n">
        <v>2</v>
      </c>
      <c r="AF853" s="30" t="n">
        <v>2</v>
      </c>
      <c r="AG853" s="30" t="n">
        <v>2</v>
      </c>
      <c r="AH853" s="30" t="n">
        <v>2</v>
      </c>
      <c r="AI853" s="30" t="n">
        <v>2</v>
      </c>
      <c r="AJ853" s="30" t="n">
        <v>2</v>
      </c>
      <c r="AK853" s="30" t="n">
        <v>2</v>
      </c>
      <c r="AL853" s="30" t="n">
        <v>2</v>
      </c>
      <c r="AM853" s="30" t="n">
        <v>2</v>
      </c>
      <c r="AN853" s="30" t="n">
        <v>2</v>
      </c>
      <c r="AO853" s="30" t="n">
        <v>2</v>
      </c>
      <c r="AP853" s="30" t="n">
        <v>3</v>
      </c>
      <c r="AQ853" s="30" t="n">
        <v>4</v>
      </c>
      <c r="AR853" s="30" t="n">
        <v>4</v>
      </c>
      <c r="AS853" s="30" t="n">
        <v>6</v>
      </c>
      <c r="AT853" s="30" t="n">
        <v>4</v>
      </c>
      <c r="AU853" s="30" t="n">
        <v>4</v>
      </c>
      <c r="AV853" s="30" t="n">
        <v>6</v>
      </c>
      <c r="AW853" s="30" t="n">
        <v>6</v>
      </c>
      <c r="AX853" s="30" t="n">
        <v>3</v>
      </c>
      <c r="AY853" s="30" t="n">
        <v>3</v>
      </c>
      <c r="AZ853" s="30" t="n">
        <v>1</v>
      </c>
      <c r="BA853" s="5" t="n">
        <v>1</v>
      </c>
      <c r="BB853" s="30" t="n">
        <v>1</v>
      </c>
      <c r="BC853" s="30" t="n">
        <v>1</v>
      </c>
      <c r="BD853" s="30" t="n">
        <v>2</v>
      </c>
      <c r="BE853" s="30" t="n">
        <v>3</v>
      </c>
      <c r="BF853" s="30" t="n">
        <v>5</v>
      </c>
      <c r="BG853" s="30" t="n">
        <v>3</v>
      </c>
      <c r="BH853" s="30" t="n">
        <v>4</v>
      </c>
      <c r="BI853" s="30" t="n">
        <v>1</v>
      </c>
      <c r="BJ853" s="30" t="n">
        <v>1</v>
      </c>
      <c r="BK853" s="31" t="s">
        <v>2257</v>
      </c>
    </row>
    <row r="854" customFormat="false" ht="15" hidden="false" customHeight="true" outlineLevel="0" collapsed="false">
      <c r="B854" s="2" t="s">
        <v>239</v>
      </c>
      <c r="C854" s="2" t="s">
        <v>272</v>
      </c>
      <c r="D854" s="2" t="s">
        <v>210</v>
      </c>
      <c r="E854" s="2" t="n">
        <v>199148</v>
      </c>
      <c r="F854" s="15" t="n">
        <v>44013</v>
      </c>
      <c r="G854" s="15" t="n">
        <v>44020</v>
      </c>
      <c r="H854" s="3" t="n">
        <v>7</v>
      </c>
      <c r="I854" s="3" t="n">
        <v>2</v>
      </c>
      <c r="J854" s="3" t="n">
        <v>80</v>
      </c>
      <c r="K854" s="3" t="n">
        <v>1</v>
      </c>
      <c r="L854" s="3" t="n">
        <v>2</v>
      </c>
      <c r="M854" s="3" t="n">
        <v>1</v>
      </c>
      <c r="N854" s="3" t="n">
        <v>2</v>
      </c>
      <c r="O854" s="3" t="n">
        <v>2</v>
      </c>
      <c r="P854" s="3" t="n">
        <v>1</v>
      </c>
      <c r="Q854" s="3" t="n">
        <v>1</v>
      </c>
      <c r="R854" s="3" t="n">
        <v>2</v>
      </c>
      <c r="S854" s="3" t="n">
        <v>2</v>
      </c>
      <c r="T854" s="4" t="n">
        <v>2</v>
      </c>
      <c r="U854" s="3" t="n">
        <v>2</v>
      </c>
      <c r="V854" s="3" t="n">
        <v>2.9</v>
      </c>
      <c r="W854" s="3" t="n">
        <v>2.65</v>
      </c>
      <c r="X854" s="3" t="n">
        <v>9.1</v>
      </c>
      <c r="Y854" s="3" t="n">
        <v>315</v>
      </c>
      <c r="Z854" s="3" t="n">
        <v>103.9</v>
      </c>
      <c r="AA854" s="3" t="n">
        <v>0.44</v>
      </c>
      <c r="AB854" s="3" t="n">
        <v>7</v>
      </c>
      <c r="AC854" s="3" t="n">
        <v>1</v>
      </c>
      <c r="AD854" s="3" t="n">
        <v>2</v>
      </c>
      <c r="AE854" s="3" t="n">
        <v>1</v>
      </c>
      <c r="AF854" s="3" t="n">
        <v>1</v>
      </c>
      <c r="AG854" s="3" t="n">
        <v>2</v>
      </c>
      <c r="AH854" s="3" t="n">
        <v>2</v>
      </c>
      <c r="AI854" s="3" t="n">
        <v>1</v>
      </c>
      <c r="AJ854" s="3" t="n">
        <v>1</v>
      </c>
      <c r="AK854" s="3" t="n">
        <v>2</v>
      </c>
      <c r="AL854" s="3" t="n">
        <v>2</v>
      </c>
      <c r="AM854" s="3" t="n">
        <v>2</v>
      </c>
      <c r="AN854" s="3" t="n">
        <v>2</v>
      </c>
      <c r="AO854" s="3" t="n">
        <v>2</v>
      </c>
      <c r="AP854" s="3" t="n">
        <v>2</v>
      </c>
      <c r="AQ854" s="3" t="n">
        <v>3</v>
      </c>
      <c r="AR854" s="3" t="n">
        <v>8</v>
      </c>
      <c r="AS854" s="3" t="n">
        <v>2</v>
      </c>
      <c r="AT854" s="3" t="n">
        <v>2</v>
      </c>
      <c r="AU854" s="3" t="n">
        <v>1</v>
      </c>
      <c r="AV854" s="3" t="n">
        <v>1</v>
      </c>
      <c r="AW854" s="3" t="n">
        <v>1</v>
      </c>
      <c r="AX854" s="3" t="n">
        <v>2</v>
      </c>
      <c r="AY854" s="3" t="n">
        <v>2</v>
      </c>
      <c r="AZ854" s="3" t="n">
        <v>1</v>
      </c>
      <c r="BA854" s="5" t="n">
        <v>1</v>
      </c>
      <c r="BB854" s="3" t="n">
        <v>1</v>
      </c>
      <c r="BC854" s="3" t="n">
        <v>1</v>
      </c>
      <c r="BD854" s="3" t="n">
        <v>2</v>
      </c>
      <c r="BE854" s="3" t="n">
        <v>1</v>
      </c>
      <c r="BF854" s="3" t="n">
        <v>2</v>
      </c>
      <c r="BG854" s="3" t="n">
        <v>1</v>
      </c>
      <c r="BH854" s="3" t="n">
        <v>4</v>
      </c>
      <c r="BI854" s="3" t="n">
        <v>1</v>
      </c>
      <c r="BJ854" s="3" t="n">
        <v>1</v>
      </c>
      <c r="BK854" s="6" t="s">
        <v>2258</v>
      </c>
    </row>
    <row r="855" customFormat="false" ht="15" hidden="false" customHeight="true" outlineLevel="0" collapsed="false">
      <c r="B855" s="2" t="s">
        <v>427</v>
      </c>
      <c r="C855" s="2" t="s">
        <v>252</v>
      </c>
      <c r="D855" s="2" t="s">
        <v>936</v>
      </c>
      <c r="E855" s="2" t="n">
        <v>199340</v>
      </c>
      <c r="F855" s="15" t="n">
        <v>44016</v>
      </c>
      <c r="G855" s="15" t="n">
        <v>44020</v>
      </c>
      <c r="H855" s="3" t="n">
        <v>4</v>
      </c>
      <c r="I855" s="3" t="n">
        <v>2</v>
      </c>
      <c r="J855" s="3" t="n">
        <v>55</v>
      </c>
      <c r="K855" s="3" t="n">
        <v>1</v>
      </c>
      <c r="L855" s="3" t="n">
        <v>1</v>
      </c>
      <c r="M855" s="3" t="n">
        <v>1</v>
      </c>
      <c r="N855" s="3" t="n">
        <v>2</v>
      </c>
      <c r="O855" s="3" t="n">
        <v>1</v>
      </c>
      <c r="P855" s="3" t="n">
        <v>1</v>
      </c>
      <c r="Q855" s="3" t="n">
        <v>1</v>
      </c>
      <c r="R855" s="3" t="n">
        <v>2</v>
      </c>
      <c r="S855" s="3" t="n">
        <v>2</v>
      </c>
      <c r="T855" s="4" t="n">
        <v>2</v>
      </c>
      <c r="U855" s="3" t="n">
        <v>2</v>
      </c>
      <c r="V855" s="3" t="n">
        <v>5.9</v>
      </c>
      <c r="W855" s="3" t="n">
        <v>2.61</v>
      </c>
      <c r="X855" s="3" t="n">
        <v>13.7</v>
      </c>
      <c r="Y855" s="3" t="n">
        <v>688</v>
      </c>
      <c r="Z855" s="3" t="n">
        <v>91</v>
      </c>
      <c r="AA855" s="3" t="n">
        <v>0.46</v>
      </c>
      <c r="AB855" s="3" t="n">
        <v>8.4</v>
      </c>
      <c r="AC855" s="3" t="n">
        <v>3</v>
      </c>
      <c r="AD855" s="3" t="n">
        <v>2</v>
      </c>
      <c r="AE855" s="3" t="n">
        <v>1</v>
      </c>
      <c r="AF855" s="3" t="n">
        <v>1</v>
      </c>
      <c r="AG855" s="3" t="n">
        <v>1</v>
      </c>
      <c r="AH855" s="3" t="n">
        <v>2</v>
      </c>
      <c r="AI855" s="3" t="n">
        <v>1</v>
      </c>
      <c r="AJ855" s="3" t="n">
        <v>1</v>
      </c>
      <c r="AK855" s="3" t="n">
        <v>2</v>
      </c>
      <c r="AL855" s="3" t="n">
        <v>2</v>
      </c>
      <c r="AM855" s="3" t="n">
        <v>1</v>
      </c>
      <c r="AN855" s="3" t="n">
        <v>2</v>
      </c>
      <c r="AO855" s="3" t="n">
        <v>2</v>
      </c>
      <c r="AP855" s="3" t="n">
        <v>3</v>
      </c>
      <c r="AQ855" s="3" t="n">
        <v>4</v>
      </c>
      <c r="AR855" s="3" t="n">
        <v>4</v>
      </c>
      <c r="AS855" s="3" t="n">
        <v>6</v>
      </c>
      <c r="AT855" s="3" t="n">
        <v>4</v>
      </c>
      <c r="AU855" s="3" t="n">
        <v>4</v>
      </c>
      <c r="AV855" s="3" t="n">
        <v>6</v>
      </c>
      <c r="AW855" s="3" t="n">
        <v>6</v>
      </c>
      <c r="AX855" s="3" t="n">
        <v>3</v>
      </c>
      <c r="AY855" s="3" t="n">
        <v>3</v>
      </c>
      <c r="AZ855" s="3" t="n">
        <v>1</v>
      </c>
      <c r="BA855" s="5" t="n">
        <v>1</v>
      </c>
      <c r="BB855" s="3" t="n">
        <v>1</v>
      </c>
      <c r="BC855" s="3" t="n">
        <v>1</v>
      </c>
      <c r="BD855" s="3" t="n">
        <v>4</v>
      </c>
      <c r="BE855" s="3" t="n">
        <v>1</v>
      </c>
      <c r="BF855" s="3" t="n">
        <v>2</v>
      </c>
      <c r="BG855" s="3" t="n">
        <v>1</v>
      </c>
      <c r="BH855" s="3" t="n">
        <v>4</v>
      </c>
      <c r="BI855" s="3" t="n">
        <v>1</v>
      </c>
      <c r="BJ855" s="3" t="n">
        <v>1</v>
      </c>
      <c r="BK855" s="6" t="s">
        <v>2259</v>
      </c>
    </row>
    <row r="856" customFormat="false" ht="15" hidden="false" customHeight="true" outlineLevel="0" collapsed="false">
      <c r="B856" s="2" t="s">
        <v>2260</v>
      </c>
      <c r="C856" s="2" t="s">
        <v>361</v>
      </c>
      <c r="D856" s="2" t="s">
        <v>2248</v>
      </c>
      <c r="E856" s="2" t="n">
        <v>198825</v>
      </c>
      <c r="F856" s="15" t="n">
        <v>44021</v>
      </c>
      <c r="G856" s="15" t="n">
        <v>44025</v>
      </c>
      <c r="H856" s="3" t="n">
        <v>4</v>
      </c>
      <c r="I856" s="3" t="n">
        <v>1</v>
      </c>
      <c r="J856" s="3" t="n">
        <v>29</v>
      </c>
      <c r="K856" s="3" t="n">
        <v>1</v>
      </c>
      <c r="L856" s="3" t="n">
        <v>2</v>
      </c>
      <c r="M856" s="3" t="n">
        <v>2</v>
      </c>
      <c r="N856" s="3" t="n">
        <v>2</v>
      </c>
      <c r="O856" s="3" t="n">
        <v>2</v>
      </c>
      <c r="P856" s="3" t="n">
        <v>2</v>
      </c>
      <c r="Q856" s="3" t="n">
        <v>2</v>
      </c>
      <c r="R856" s="3" t="n">
        <v>2</v>
      </c>
      <c r="S856" s="3" t="n">
        <v>2</v>
      </c>
      <c r="T856" s="4" t="n">
        <v>12</v>
      </c>
      <c r="U856" s="3" t="n">
        <v>1</v>
      </c>
      <c r="V856" s="3" t="n">
        <v>2.43</v>
      </c>
      <c r="W856" s="3" t="n">
        <v>1.27</v>
      </c>
      <c r="X856" s="3" t="n">
        <v>4.4</v>
      </c>
      <c r="Y856" s="3" t="n">
        <v>145</v>
      </c>
      <c r="Z856" s="3" t="n">
        <v>67.5</v>
      </c>
      <c r="AA856" s="3" t="n">
        <v>0.35</v>
      </c>
      <c r="AB856" s="3" t="n">
        <v>11.3</v>
      </c>
      <c r="AC856" s="3" t="n">
        <v>3</v>
      </c>
      <c r="AD856" s="3" t="n">
        <v>2</v>
      </c>
      <c r="AE856" s="3" t="n">
        <v>2</v>
      </c>
      <c r="AF856" s="3" t="n">
        <v>2</v>
      </c>
      <c r="AG856" s="3" t="n">
        <v>2</v>
      </c>
      <c r="AH856" s="3" t="n">
        <v>2</v>
      </c>
      <c r="AI856" s="3" t="n">
        <v>2</v>
      </c>
      <c r="AJ856" s="3" t="n">
        <v>2</v>
      </c>
      <c r="AK856" s="3" t="n">
        <v>2</v>
      </c>
      <c r="AL856" s="3" t="n">
        <v>2</v>
      </c>
      <c r="AM856" s="3" t="n">
        <v>2</v>
      </c>
      <c r="AN856" s="3" t="n">
        <v>2</v>
      </c>
      <c r="AO856" s="3" t="n">
        <v>2</v>
      </c>
      <c r="AP856" s="3" t="n">
        <v>3</v>
      </c>
      <c r="AQ856" s="3" t="n">
        <v>4</v>
      </c>
      <c r="AR856" s="3" t="n">
        <v>4</v>
      </c>
      <c r="AS856" s="3" t="n">
        <v>6</v>
      </c>
      <c r="AT856" s="3" t="n">
        <v>4</v>
      </c>
      <c r="AU856" s="3" t="n">
        <v>4</v>
      </c>
      <c r="AV856" s="3" t="n">
        <v>6</v>
      </c>
      <c r="AW856" s="3" t="n">
        <v>6</v>
      </c>
      <c r="AX856" s="3" t="n">
        <v>3</v>
      </c>
      <c r="AY856" s="3" t="n">
        <v>3</v>
      </c>
      <c r="AZ856" s="3" t="n">
        <v>1</v>
      </c>
      <c r="BA856" s="5" t="n">
        <v>3</v>
      </c>
      <c r="BB856" s="3" t="n">
        <v>2</v>
      </c>
      <c r="BC856" s="3" t="n">
        <v>1</v>
      </c>
      <c r="BD856" s="3" t="n">
        <v>6</v>
      </c>
      <c r="BE856" s="3" t="n">
        <v>3</v>
      </c>
      <c r="BF856" s="3" t="n">
        <v>5</v>
      </c>
      <c r="BG856" s="3" t="n">
        <v>3</v>
      </c>
      <c r="BH856" s="3" t="n">
        <v>4</v>
      </c>
      <c r="BI856" s="3" t="n">
        <v>1</v>
      </c>
      <c r="BJ856" s="3" t="n">
        <v>1</v>
      </c>
      <c r="BK856" s="6" t="s">
        <v>2261</v>
      </c>
    </row>
    <row r="857" customFormat="false" ht="15" hidden="false" customHeight="true" outlineLevel="0" collapsed="false">
      <c r="B857" s="2" t="s">
        <v>1895</v>
      </c>
      <c r="C857" s="2" t="s">
        <v>386</v>
      </c>
      <c r="D857" s="2" t="s">
        <v>423</v>
      </c>
      <c r="E857" s="2" t="n">
        <v>199484</v>
      </c>
      <c r="F857" s="15" t="n">
        <v>44019</v>
      </c>
      <c r="G857" s="15" t="n">
        <v>44025</v>
      </c>
      <c r="H857" s="3" t="n">
        <v>6</v>
      </c>
      <c r="I857" s="3" t="n">
        <v>2</v>
      </c>
      <c r="J857" s="3" t="n">
        <v>87</v>
      </c>
      <c r="K857" s="3" t="n">
        <v>1</v>
      </c>
      <c r="L857" s="3" t="n">
        <v>2</v>
      </c>
      <c r="M857" s="3" t="n">
        <v>2</v>
      </c>
      <c r="N857" s="3" t="n">
        <v>2</v>
      </c>
      <c r="O857" s="3" t="n">
        <v>2</v>
      </c>
      <c r="P857" s="3" t="n">
        <v>2</v>
      </c>
      <c r="Q857" s="3" t="n">
        <v>1</v>
      </c>
      <c r="R857" s="3" t="n">
        <v>2</v>
      </c>
      <c r="S857" s="3" t="n">
        <v>2</v>
      </c>
      <c r="T857" s="4" t="n">
        <v>12</v>
      </c>
      <c r="U857" s="3" t="n">
        <v>1</v>
      </c>
      <c r="W857" s="3" t="n">
        <v>1.25</v>
      </c>
      <c r="X857" s="3" t="n">
        <v>9</v>
      </c>
      <c r="Y857" s="3" t="n">
        <v>689</v>
      </c>
      <c r="Z857" s="3" t="n">
        <v>144.8</v>
      </c>
      <c r="AA857" s="3" t="n">
        <v>0.4</v>
      </c>
      <c r="AB857" s="3" t="n">
        <v>10.5</v>
      </c>
      <c r="AC857" s="3" t="n">
        <v>1</v>
      </c>
      <c r="AD857" s="3" t="n">
        <v>2</v>
      </c>
      <c r="AE857" s="3" t="n">
        <v>2</v>
      </c>
      <c r="AF857" s="3" t="n">
        <v>2</v>
      </c>
      <c r="AG857" s="3" t="n">
        <v>2</v>
      </c>
      <c r="AH857" s="3" t="n">
        <v>2</v>
      </c>
      <c r="AI857" s="3" t="n">
        <v>2</v>
      </c>
      <c r="AJ857" s="3" t="n">
        <v>2</v>
      </c>
      <c r="AK857" s="3" t="n">
        <v>2</v>
      </c>
      <c r="AL857" s="3" t="n">
        <v>2</v>
      </c>
      <c r="AM857" s="3" t="n">
        <v>1</v>
      </c>
      <c r="AN857" s="3" t="n">
        <v>2</v>
      </c>
      <c r="AO857" s="3" t="n">
        <v>2</v>
      </c>
      <c r="AP857" s="3" t="n">
        <v>3</v>
      </c>
      <c r="AQ857" s="3" t="n">
        <v>4</v>
      </c>
      <c r="AR857" s="3" t="n">
        <v>4</v>
      </c>
      <c r="AS857" s="3" t="n">
        <v>6</v>
      </c>
      <c r="AT857" s="3" t="n">
        <v>4</v>
      </c>
      <c r="AU857" s="3" t="n">
        <v>4</v>
      </c>
      <c r="AV857" s="3" t="n">
        <v>6</v>
      </c>
      <c r="AW857" s="3" t="n">
        <v>6</v>
      </c>
      <c r="AX857" s="3" t="n">
        <v>3</v>
      </c>
      <c r="AY857" s="3" t="n">
        <v>3</v>
      </c>
      <c r="AZ857" s="3" t="n">
        <v>1</v>
      </c>
      <c r="BA857" s="5" t="n">
        <v>3</v>
      </c>
      <c r="BB857" s="3" t="n">
        <v>2</v>
      </c>
      <c r="BC857" s="3" t="n">
        <v>1</v>
      </c>
      <c r="BD857" s="3" t="n">
        <v>6</v>
      </c>
      <c r="BE857" s="3" t="n">
        <v>3</v>
      </c>
      <c r="BF857" s="3" t="n">
        <v>5</v>
      </c>
      <c r="BG857" s="3" t="n">
        <v>3</v>
      </c>
      <c r="BH857" s="3" t="n">
        <v>4</v>
      </c>
      <c r="BI857" s="3" t="n">
        <v>1</v>
      </c>
      <c r="BJ857" s="3" t="n">
        <v>1</v>
      </c>
      <c r="BK857" s="6" t="s">
        <v>2262</v>
      </c>
    </row>
    <row r="858" customFormat="false" ht="15" hidden="false" customHeight="true" outlineLevel="0" collapsed="false">
      <c r="B858" s="2" t="s">
        <v>758</v>
      </c>
      <c r="C858" s="2" t="s">
        <v>509</v>
      </c>
      <c r="D858" s="2" t="s">
        <v>2263</v>
      </c>
      <c r="E858" s="2" t="n">
        <v>199439</v>
      </c>
      <c r="F858" s="15" t="n">
        <v>44021</v>
      </c>
      <c r="G858" s="15" t="n">
        <v>44027</v>
      </c>
      <c r="H858" s="3" t="n">
        <v>6</v>
      </c>
      <c r="I858" s="3" t="n">
        <v>2</v>
      </c>
      <c r="J858" s="3" t="n">
        <v>63</v>
      </c>
      <c r="K858" s="3" t="n">
        <v>1</v>
      </c>
      <c r="L858" s="3" t="n">
        <v>2</v>
      </c>
      <c r="M858" s="3" t="n">
        <v>1</v>
      </c>
      <c r="N858" s="3" t="n">
        <v>2</v>
      </c>
      <c r="O858" s="3" t="n">
        <v>2</v>
      </c>
      <c r="P858" s="3" t="n">
        <v>2</v>
      </c>
      <c r="Q858" s="3" t="n">
        <v>2</v>
      </c>
      <c r="R858" s="3" t="n">
        <v>2</v>
      </c>
      <c r="S858" s="3" t="n">
        <v>2</v>
      </c>
      <c r="T858" s="4" t="n">
        <v>2</v>
      </c>
      <c r="U858" s="3" t="n">
        <v>2</v>
      </c>
      <c r="V858" s="3" t="n">
        <v>4.47</v>
      </c>
      <c r="W858" s="3" t="n">
        <v>1.49</v>
      </c>
      <c r="X858" s="3" t="n">
        <v>6</v>
      </c>
      <c r="Y858" s="3" t="n">
        <v>124</v>
      </c>
      <c r="Z858" s="3" t="n">
        <v>354</v>
      </c>
      <c r="AA858" s="3" t="n">
        <v>0.42</v>
      </c>
      <c r="AB858" s="3" t="n">
        <v>9.3</v>
      </c>
      <c r="AC858" s="3" t="n">
        <v>1</v>
      </c>
      <c r="AD858" s="3" t="n">
        <v>2</v>
      </c>
      <c r="AE858" s="3" t="n">
        <v>1</v>
      </c>
      <c r="AF858" s="3" t="n">
        <v>1</v>
      </c>
      <c r="AG858" s="3" t="n">
        <v>2</v>
      </c>
      <c r="AH858" s="3" t="n">
        <v>2</v>
      </c>
      <c r="AI858" s="3" t="n">
        <v>1</v>
      </c>
      <c r="AJ858" s="3" t="n">
        <v>1</v>
      </c>
      <c r="AK858" s="3" t="n">
        <v>2</v>
      </c>
      <c r="AL858" s="3" t="n">
        <v>2</v>
      </c>
      <c r="AM858" s="3" t="n">
        <v>2</v>
      </c>
      <c r="AN858" s="3" t="n">
        <v>2</v>
      </c>
      <c r="AO858" s="3" t="n">
        <v>2</v>
      </c>
      <c r="AP858" s="3" t="n">
        <v>3</v>
      </c>
      <c r="AQ858" s="3" t="n">
        <v>4</v>
      </c>
      <c r="AR858" s="3" t="n">
        <v>4</v>
      </c>
      <c r="AS858" s="3" t="n">
        <v>6</v>
      </c>
      <c r="AT858" s="3" t="n">
        <v>4</v>
      </c>
      <c r="AU858" s="3" t="n">
        <v>4</v>
      </c>
      <c r="AV858" s="3" t="n">
        <v>6</v>
      </c>
      <c r="AW858" s="3" t="n">
        <v>6</v>
      </c>
      <c r="AX858" s="3" t="n">
        <v>3</v>
      </c>
      <c r="AY858" s="3" t="n">
        <v>3</v>
      </c>
      <c r="AZ858" s="3" t="n">
        <v>1</v>
      </c>
      <c r="BA858" s="5" t="n">
        <v>1</v>
      </c>
      <c r="BB858" s="3" t="n">
        <v>1</v>
      </c>
      <c r="BC858" s="3" t="n">
        <v>1</v>
      </c>
      <c r="BD858" s="3" t="n">
        <v>4</v>
      </c>
      <c r="BE858" s="3" t="n">
        <v>3</v>
      </c>
      <c r="BF858" s="3" t="n">
        <v>5</v>
      </c>
      <c r="BG858" s="3" t="n">
        <v>3</v>
      </c>
      <c r="BH858" s="3" t="n">
        <v>4</v>
      </c>
      <c r="BI858" s="3" t="n">
        <v>1</v>
      </c>
      <c r="BJ858" s="3" t="n">
        <v>1</v>
      </c>
      <c r="BK858" s="6" t="s">
        <v>2264</v>
      </c>
    </row>
    <row r="859" customFormat="false" ht="15" hidden="false" customHeight="true" outlineLevel="0" collapsed="false">
      <c r="B859" s="2" t="s">
        <v>156</v>
      </c>
      <c r="C859" s="2" t="s">
        <v>2265</v>
      </c>
      <c r="D859" s="2" t="s">
        <v>160</v>
      </c>
      <c r="E859" s="2" t="n">
        <v>199446</v>
      </c>
      <c r="F859" s="15" t="n">
        <v>44021</v>
      </c>
      <c r="G859" s="15" t="n">
        <v>44028</v>
      </c>
      <c r="H859" s="3" t="n">
        <v>7</v>
      </c>
      <c r="I859" s="3" t="n">
        <v>2</v>
      </c>
      <c r="J859" s="3" t="n">
        <v>56</v>
      </c>
      <c r="K859" s="3" t="n">
        <v>1</v>
      </c>
      <c r="L859" s="3" t="n">
        <v>1</v>
      </c>
      <c r="M859" s="3" t="n">
        <v>1</v>
      </c>
      <c r="N859" s="3" t="n">
        <v>2</v>
      </c>
      <c r="O859" s="3" t="n">
        <v>2</v>
      </c>
      <c r="P859" s="3" t="n">
        <v>2</v>
      </c>
      <c r="Q859" s="3" t="n">
        <v>2</v>
      </c>
      <c r="R859" s="3" t="n">
        <v>2</v>
      </c>
      <c r="S859" s="3" t="n">
        <v>2</v>
      </c>
      <c r="T859" s="4" t="n">
        <v>2</v>
      </c>
      <c r="U859" s="3" t="n">
        <v>2</v>
      </c>
      <c r="V859" s="3" t="n">
        <v>5.45</v>
      </c>
      <c r="W859" s="3" t="n">
        <v>0.77</v>
      </c>
      <c r="X859" s="3" t="n">
        <v>6.5</v>
      </c>
      <c r="Y859" s="3" t="n">
        <v>409</v>
      </c>
      <c r="Z859" s="3" t="n">
        <v>86</v>
      </c>
      <c r="AA859" s="3" t="n">
        <v>0.55</v>
      </c>
      <c r="AB859" s="3" t="n">
        <v>13.9</v>
      </c>
      <c r="AC859" s="3" t="n">
        <v>1</v>
      </c>
      <c r="AD859" s="3" t="n">
        <v>1</v>
      </c>
      <c r="AE859" s="3" t="n">
        <v>1</v>
      </c>
      <c r="AF859" s="3" t="n">
        <v>1</v>
      </c>
      <c r="AG859" s="3" t="n">
        <v>2</v>
      </c>
      <c r="AH859" s="3" t="n">
        <v>2</v>
      </c>
      <c r="AI859" s="3" t="n">
        <v>1</v>
      </c>
      <c r="AJ859" s="3" t="n">
        <v>1</v>
      </c>
      <c r="AK859" s="3" t="n">
        <v>2</v>
      </c>
      <c r="AL859" s="3" t="n">
        <v>2</v>
      </c>
      <c r="AM859" s="3" t="n">
        <v>2</v>
      </c>
      <c r="AN859" s="3" t="n">
        <v>2</v>
      </c>
      <c r="AO859" s="3" t="n">
        <v>1</v>
      </c>
      <c r="AP859" s="3" t="n">
        <v>3</v>
      </c>
      <c r="AQ859" s="3" t="n">
        <v>4</v>
      </c>
      <c r="AR859" s="3" t="n">
        <v>4</v>
      </c>
      <c r="AS859" s="3" t="n">
        <v>6</v>
      </c>
      <c r="AT859" s="3" t="n">
        <v>4</v>
      </c>
      <c r="AU859" s="3" t="n">
        <v>4</v>
      </c>
      <c r="AV859" s="3" t="n">
        <v>6</v>
      </c>
      <c r="AW859" s="3" t="n">
        <v>6</v>
      </c>
      <c r="AX859" s="3" t="n">
        <v>3</v>
      </c>
      <c r="AY859" s="3" t="n">
        <v>3</v>
      </c>
      <c r="AZ859" s="3" t="n">
        <v>5</v>
      </c>
      <c r="BA859" s="5" t="n">
        <v>1</v>
      </c>
      <c r="BB859" s="3" t="n">
        <v>1</v>
      </c>
      <c r="BC859" s="3" t="n">
        <v>1</v>
      </c>
      <c r="BD859" s="3" t="n">
        <v>2</v>
      </c>
      <c r="BE859" s="3" t="n">
        <v>3</v>
      </c>
      <c r="BF859" s="3" t="n">
        <v>5</v>
      </c>
      <c r="BG859" s="3" t="n">
        <v>3</v>
      </c>
      <c r="BH859" s="3" t="n">
        <v>4</v>
      </c>
      <c r="BI859" s="3" t="n">
        <v>1</v>
      </c>
      <c r="BJ859" s="3" t="n">
        <v>1</v>
      </c>
      <c r="BK859" s="6" t="s">
        <v>2266</v>
      </c>
    </row>
    <row r="860" customFormat="false" ht="15" hidden="false" customHeight="true" outlineLevel="0" collapsed="false">
      <c r="B860" s="2" t="s">
        <v>2267</v>
      </c>
      <c r="C860" s="2" t="s">
        <v>210</v>
      </c>
      <c r="D860" s="2" t="s">
        <v>78</v>
      </c>
      <c r="E860" s="2" t="n">
        <v>199363</v>
      </c>
      <c r="F860" s="15" t="n">
        <v>44017</v>
      </c>
      <c r="G860" s="15" t="n">
        <v>44028</v>
      </c>
      <c r="H860" s="3" t="n">
        <v>11</v>
      </c>
      <c r="I860" s="3" t="n">
        <v>2</v>
      </c>
      <c r="J860" s="3" t="n">
        <v>83</v>
      </c>
      <c r="K860" s="3" t="n">
        <v>1</v>
      </c>
      <c r="L860" s="3" t="n">
        <v>2</v>
      </c>
      <c r="M860" s="3" t="n">
        <v>1</v>
      </c>
      <c r="N860" s="3" t="n">
        <v>1</v>
      </c>
      <c r="O860" s="3" t="n">
        <v>2</v>
      </c>
      <c r="P860" s="3" t="n">
        <v>2</v>
      </c>
      <c r="Q860" s="3" t="n">
        <v>1</v>
      </c>
      <c r="R860" s="3" t="n">
        <v>2</v>
      </c>
      <c r="S860" s="3" t="n">
        <v>2</v>
      </c>
      <c r="T860" s="4" t="n">
        <v>2</v>
      </c>
      <c r="U860" s="3" t="n">
        <v>2</v>
      </c>
      <c r="V860" s="3" t="n">
        <v>3.31</v>
      </c>
      <c r="W860" s="3" t="n">
        <v>0.66</v>
      </c>
      <c r="X860" s="3" t="n">
        <v>5.5</v>
      </c>
      <c r="Y860" s="3" t="n">
        <v>382</v>
      </c>
      <c r="Z860" s="3" t="n">
        <v>205</v>
      </c>
      <c r="AA860" s="3" t="n">
        <v>0.38</v>
      </c>
      <c r="AB860" s="3" t="n">
        <v>8.3</v>
      </c>
      <c r="AC860" s="3" t="n">
        <v>1</v>
      </c>
      <c r="AD860" s="3" t="n">
        <v>1</v>
      </c>
      <c r="AE860" s="3" t="n">
        <v>1</v>
      </c>
      <c r="AF860" s="3" t="n">
        <v>1</v>
      </c>
      <c r="AG860" s="3" t="n">
        <v>1</v>
      </c>
      <c r="AH860" s="3" t="n">
        <v>2</v>
      </c>
      <c r="AI860" s="3" t="n">
        <v>1</v>
      </c>
      <c r="AJ860" s="3" t="n">
        <v>1</v>
      </c>
      <c r="AK860" s="3" t="n">
        <v>2</v>
      </c>
      <c r="AL860" s="3" t="n">
        <v>2</v>
      </c>
      <c r="AM860" s="3" t="n">
        <v>1</v>
      </c>
      <c r="AN860" s="3" t="n">
        <v>2</v>
      </c>
      <c r="AO860" s="3" t="n">
        <v>2</v>
      </c>
      <c r="AP860" s="3" t="n">
        <v>3</v>
      </c>
      <c r="AQ860" s="3" t="n">
        <v>4</v>
      </c>
      <c r="AR860" s="3" t="n">
        <v>4</v>
      </c>
      <c r="AS860" s="3" t="n">
        <v>6</v>
      </c>
      <c r="AT860" s="3" t="n">
        <v>4</v>
      </c>
      <c r="AU860" s="3" t="n">
        <v>4</v>
      </c>
      <c r="AV860" s="3" t="n">
        <v>6</v>
      </c>
      <c r="AW860" s="3" t="n">
        <v>6</v>
      </c>
      <c r="AX860" s="3" t="n">
        <v>3</v>
      </c>
      <c r="AY860" s="3" t="n">
        <v>3</v>
      </c>
      <c r="AZ860" s="3" t="n">
        <v>2</v>
      </c>
      <c r="BA860" s="5" t="n">
        <v>1</v>
      </c>
      <c r="BB860" s="3" t="n">
        <v>1</v>
      </c>
      <c r="BC860" s="3" t="n">
        <v>1</v>
      </c>
      <c r="BD860" s="3" t="n">
        <v>4</v>
      </c>
      <c r="BE860" s="3" t="n">
        <v>3</v>
      </c>
      <c r="BF860" s="3" t="n">
        <v>5</v>
      </c>
      <c r="BG860" s="3" t="n">
        <v>3</v>
      </c>
      <c r="BH860" s="3" t="n">
        <v>4</v>
      </c>
      <c r="BI860" s="3" t="n">
        <v>1</v>
      </c>
      <c r="BJ860" s="3" t="n">
        <v>1</v>
      </c>
      <c r="BK860" s="6" t="s">
        <v>2268</v>
      </c>
    </row>
    <row r="861" customFormat="false" ht="15" hidden="false" customHeight="true" outlineLevel="0" collapsed="false">
      <c r="B861" s="2" t="s">
        <v>2269</v>
      </c>
      <c r="C861" s="2" t="s">
        <v>222</v>
      </c>
      <c r="D861" s="2" t="s">
        <v>2270</v>
      </c>
      <c r="E861" s="2" t="n">
        <v>199449</v>
      </c>
      <c r="F861" s="15" t="n">
        <v>44022</v>
      </c>
      <c r="G861" s="15" t="n">
        <v>44028</v>
      </c>
      <c r="H861" s="3" t="n">
        <v>6</v>
      </c>
      <c r="I861" s="3" t="n">
        <v>1</v>
      </c>
      <c r="J861" s="3" t="n">
        <v>54</v>
      </c>
      <c r="K861" s="3" t="n">
        <v>1</v>
      </c>
      <c r="L861" s="3" t="n">
        <v>2</v>
      </c>
      <c r="M861" s="3" t="n">
        <v>1</v>
      </c>
      <c r="N861" s="3" t="n">
        <v>2</v>
      </c>
      <c r="O861" s="3" t="n">
        <v>2</v>
      </c>
      <c r="P861" s="3" t="n">
        <v>2</v>
      </c>
      <c r="Q861" s="3" t="n">
        <v>2</v>
      </c>
      <c r="R861" s="3" t="n">
        <v>2</v>
      </c>
      <c r="S861" s="3" t="n">
        <v>2</v>
      </c>
      <c r="T861" s="4" t="n">
        <v>2</v>
      </c>
      <c r="U861" s="3" t="n">
        <v>2</v>
      </c>
      <c r="V861" s="3" t="n">
        <v>6.11</v>
      </c>
      <c r="W861" s="3" t="n">
        <v>1.29</v>
      </c>
      <c r="X861" s="3" t="n">
        <v>6.2</v>
      </c>
      <c r="Y861" s="3" t="n">
        <v>609</v>
      </c>
      <c r="Z861" s="3" t="n">
        <v>112</v>
      </c>
      <c r="AA861" s="3" t="n">
        <v>0.52</v>
      </c>
      <c r="AB861" s="3" t="n">
        <v>9.9</v>
      </c>
      <c r="AC861" s="3" t="n">
        <v>1</v>
      </c>
      <c r="AD861" s="3" t="n">
        <v>2</v>
      </c>
      <c r="AE861" s="3" t="n">
        <v>2</v>
      </c>
      <c r="AF861" s="3" t="n">
        <v>1</v>
      </c>
      <c r="AG861" s="3" t="n">
        <v>2</v>
      </c>
      <c r="AH861" s="3" t="n">
        <v>1</v>
      </c>
      <c r="AI861" s="3" t="n">
        <v>1</v>
      </c>
      <c r="AJ861" s="3" t="n">
        <v>2</v>
      </c>
      <c r="AK861" s="3" t="n">
        <v>2</v>
      </c>
      <c r="AL861" s="3" t="n">
        <v>2</v>
      </c>
      <c r="AM861" s="3" t="n">
        <v>1</v>
      </c>
      <c r="AN861" s="3" t="n">
        <v>2</v>
      </c>
      <c r="AO861" s="3" t="n">
        <v>2</v>
      </c>
      <c r="AP861" s="3" t="n">
        <v>3</v>
      </c>
      <c r="AQ861" s="3" t="n">
        <v>4</v>
      </c>
      <c r="AR861" s="3" t="n">
        <v>4</v>
      </c>
      <c r="AS861" s="3" t="n">
        <v>6</v>
      </c>
      <c r="AT861" s="3" t="n">
        <v>4</v>
      </c>
      <c r="AU861" s="3" t="n">
        <v>4</v>
      </c>
      <c r="AV861" s="3" t="n">
        <v>6</v>
      </c>
      <c r="AW861" s="3" t="n">
        <v>6</v>
      </c>
      <c r="AX861" s="3" t="n">
        <v>3</v>
      </c>
      <c r="AY861" s="3" t="n">
        <v>3</v>
      </c>
      <c r="AZ861" s="3" t="n">
        <v>1</v>
      </c>
      <c r="BA861" s="5" t="n">
        <v>1</v>
      </c>
      <c r="BB861" s="3" t="n">
        <v>1</v>
      </c>
      <c r="BC861" s="3" t="n">
        <v>1</v>
      </c>
      <c r="BD861" s="3" t="n">
        <v>4</v>
      </c>
      <c r="BE861" s="3" t="n">
        <v>1</v>
      </c>
      <c r="BF861" s="3" t="n">
        <v>2</v>
      </c>
      <c r="BG861" s="3" t="n">
        <v>1</v>
      </c>
      <c r="BH861" s="3" t="n">
        <v>4</v>
      </c>
      <c r="BI861" s="3" t="n">
        <v>1</v>
      </c>
      <c r="BJ861" s="3" t="n">
        <v>1</v>
      </c>
      <c r="BK861" s="6" t="s">
        <v>2271</v>
      </c>
    </row>
    <row r="862" customFormat="false" ht="15" hidden="false" customHeight="true" outlineLevel="0" collapsed="false">
      <c r="B862" s="2" t="s">
        <v>2272</v>
      </c>
      <c r="C862" s="2" t="s">
        <v>153</v>
      </c>
      <c r="D862" s="2" t="s">
        <v>2273</v>
      </c>
      <c r="E862" s="2" t="n">
        <v>199450</v>
      </c>
      <c r="F862" s="15" t="n">
        <v>44022</v>
      </c>
      <c r="G862" s="15" t="n">
        <v>44028</v>
      </c>
      <c r="H862" s="3" t="n">
        <v>6</v>
      </c>
      <c r="I862" s="3" t="n">
        <v>2</v>
      </c>
      <c r="J862" s="3" t="n">
        <v>55</v>
      </c>
      <c r="K862" s="3" t="n">
        <v>1</v>
      </c>
      <c r="L862" s="3" t="n">
        <v>1</v>
      </c>
      <c r="M862" s="3" t="n">
        <v>1</v>
      </c>
      <c r="N862" s="3" t="n">
        <v>2</v>
      </c>
      <c r="O862" s="3" t="n">
        <v>1</v>
      </c>
      <c r="P862" s="3" t="n">
        <v>2</v>
      </c>
      <c r="Q862" s="3" t="n">
        <v>1</v>
      </c>
      <c r="R862" s="3" t="n">
        <v>2</v>
      </c>
      <c r="S862" s="3" t="n">
        <v>2</v>
      </c>
      <c r="T862" s="4" t="n">
        <v>2</v>
      </c>
      <c r="U862" s="3" t="n">
        <v>2</v>
      </c>
      <c r="V862" s="3" t="n">
        <v>6.123</v>
      </c>
      <c r="W862" s="3" t="n">
        <v>1.77</v>
      </c>
      <c r="X862" s="3" t="n">
        <v>7</v>
      </c>
      <c r="Y862" s="3" t="n">
        <v>459</v>
      </c>
      <c r="Z862" s="3" t="n">
        <v>138</v>
      </c>
      <c r="AA862" s="3" t="n">
        <v>0.46</v>
      </c>
      <c r="AB862" s="3" t="n">
        <v>8.3</v>
      </c>
      <c r="AC862" s="3" t="n">
        <v>1</v>
      </c>
      <c r="AD862" s="3" t="n">
        <v>2</v>
      </c>
      <c r="AE862" s="3" t="n">
        <v>1</v>
      </c>
      <c r="AF862" s="3" t="n">
        <v>1</v>
      </c>
      <c r="AG862" s="3" t="n">
        <v>2</v>
      </c>
      <c r="AH862" s="3" t="n">
        <v>2</v>
      </c>
      <c r="AI862" s="3" t="n">
        <v>1</v>
      </c>
      <c r="AJ862" s="3" t="n">
        <v>1</v>
      </c>
      <c r="AK862" s="3" t="n">
        <v>2</v>
      </c>
      <c r="AL862" s="3" t="n">
        <v>2</v>
      </c>
      <c r="AM862" s="3" t="n">
        <v>2</v>
      </c>
      <c r="AN862" s="3" t="n">
        <v>2</v>
      </c>
      <c r="AO862" s="3" t="n">
        <v>2</v>
      </c>
      <c r="AP862" s="3" t="n">
        <v>3</v>
      </c>
      <c r="AQ862" s="3" t="n">
        <v>4</v>
      </c>
      <c r="AR862" s="3" t="n">
        <v>4</v>
      </c>
      <c r="AS862" s="3" t="n">
        <v>6</v>
      </c>
      <c r="AT862" s="3" t="n">
        <v>4</v>
      </c>
      <c r="AU862" s="3" t="n">
        <v>4</v>
      </c>
      <c r="AV862" s="3" t="n">
        <v>6</v>
      </c>
      <c r="AW862" s="3" t="n">
        <v>6</v>
      </c>
      <c r="AX862" s="3" t="n">
        <v>3</v>
      </c>
      <c r="AY862" s="3" t="n">
        <v>3</v>
      </c>
      <c r="AZ862" s="3" t="n">
        <v>1</v>
      </c>
      <c r="BA862" s="5" t="n">
        <v>1</v>
      </c>
      <c r="BB862" s="3" t="n">
        <v>1</v>
      </c>
      <c r="BC862" s="3" t="n">
        <v>1</v>
      </c>
      <c r="BD862" s="3" t="n">
        <v>4</v>
      </c>
      <c r="BE862" s="3" t="n">
        <v>1</v>
      </c>
      <c r="BF862" s="3" t="n">
        <v>2</v>
      </c>
      <c r="BG862" s="3" t="n">
        <v>1</v>
      </c>
      <c r="BH862" s="3" t="n">
        <v>4</v>
      </c>
      <c r="BI862" s="3" t="n">
        <v>1</v>
      </c>
      <c r="BJ862" s="3" t="n">
        <v>1</v>
      </c>
      <c r="BK862" s="6" t="s">
        <v>2274</v>
      </c>
    </row>
    <row r="863" customFormat="false" ht="15" hidden="false" customHeight="true" outlineLevel="0" collapsed="false">
      <c r="B863" s="2" t="s">
        <v>413</v>
      </c>
      <c r="C863" s="2" t="s">
        <v>2275</v>
      </c>
      <c r="D863" s="2" t="s">
        <v>386</v>
      </c>
      <c r="E863" s="2" t="n">
        <v>199744</v>
      </c>
      <c r="F863" s="15" t="n">
        <v>44024</v>
      </c>
      <c r="G863" s="15" t="n">
        <v>44029</v>
      </c>
      <c r="H863" s="3" t="n">
        <v>7</v>
      </c>
      <c r="I863" s="3" t="n">
        <v>2</v>
      </c>
      <c r="J863" s="3" t="n">
        <v>56</v>
      </c>
      <c r="K863" s="3" t="n">
        <v>2</v>
      </c>
      <c r="L863" s="3" t="n">
        <v>1</v>
      </c>
      <c r="M863" s="3" t="n">
        <v>2</v>
      </c>
      <c r="N863" s="3" t="n">
        <v>2</v>
      </c>
      <c r="O863" s="3" t="n">
        <v>2</v>
      </c>
      <c r="P863" s="3" t="n">
        <v>2</v>
      </c>
      <c r="Q863" s="3" t="n">
        <v>2</v>
      </c>
      <c r="R863" s="3" t="n">
        <v>2</v>
      </c>
      <c r="S863" s="3" t="n">
        <v>2</v>
      </c>
      <c r="T863" s="4" t="n">
        <v>2</v>
      </c>
      <c r="U863" s="3" t="n">
        <v>2</v>
      </c>
      <c r="V863" s="3" t="n">
        <v>4.7</v>
      </c>
      <c r="W863" s="3" t="n">
        <v>0.93</v>
      </c>
      <c r="X863" s="3" t="n">
        <v>4.4</v>
      </c>
      <c r="Y863" s="3" t="n">
        <v>614</v>
      </c>
      <c r="Z863" s="3" t="n">
        <v>140</v>
      </c>
      <c r="AA863" s="3" t="n">
        <v>0.44</v>
      </c>
      <c r="AB863" s="3" t="n">
        <v>11</v>
      </c>
      <c r="AC863" s="3" t="n">
        <v>1</v>
      </c>
      <c r="AD863" s="3" t="n">
        <v>2</v>
      </c>
      <c r="AE863" s="3" t="n">
        <v>1</v>
      </c>
      <c r="AF863" s="3" t="n">
        <v>1</v>
      </c>
      <c r="AG863" s="3" t="n">
        <v>2</v>
      </c>
      <c r="AH863" s="3" t="n">
        <v>1</v>
      </c>
      <c r="AI863" s="3" t="n">
        <v>1</v>
      </c>
      <c r="AJ863" s="3" t="n">
        <v>1</v>
      </c>
      <c r="AK863" s="3" t="n">
        <v>2</v>
      </c>
      <c r="AL863" s="3" t="n">
        <v>2</v>
      </c>
      <c r="AM863" s="3" t="n">
        <v>1</v>
      </c>
      <c r="AN863" s="3" t="n">
        <v>2</v>
      </c>
      <c r="AO863" s="3" t="n">
        <v>2</v>
      </c>
      <c r="AP863" s="3" t="n">
        <v>3</v>
      </c>
      <c r="AQ863" s="3" t="n">
        <v>4</v>
      </c>
      <c r="AR863" s="3" t="n">
        <v>4</v>
      </c>
      <c r="AS863" s="3" t="n">
        <v>6</v>
      </c>
      <c r="AT863" s="3" t="n">
        <v>4</v>
      </c>
      <c r="AU863" s="3" t="n">
        <v>4</v>
      </c>
      <c r="AV863" s="3" t="n">
        <v>6</v>
      </c>
      <c r="AW863" s="3" t="n">
        <v>6</v>
      </c>
      <c r="AX863" s="3" t="n">
        <v>3</v>
      </c>
      <c r="AY863" s="3" t="n">
        <v>3</v>
      </c>
      <c r="AZ863" s="3" t="n">
        <v>1</v>
      </c>
      <c r="BA863" s="5" t="n">
        <v>1</v>
      </c>
      <c r="BB863" s="3" t="n">
        <v>1</v>
      </c>
      <c r="BC863" s="3" t="n">
        <v>1</v>
      </c>
      <c r="BD863" s="3" t="n">
        <v>2</v>
      </c>
      <c r="BE863" s="3" t="n">
        <v>3</v>
      </c>
      <c r="BF863" s="3" t="n">
        <v>5</v>
      </c>
      <c r="BG863" s="3" t="n">
        <v>3</v>
      </c>
      <c r="BH863" s="3" t="n">
        <v>4</v>
      </c>
      <c r="BI863" s="3" t="n">
        <v>1</v>
      </c>
      <c r="BJ863" s="3" t="n">
        <v>1</v>
      </c>
      <c r="BK863" s="6" t="s">
        <v>2276</v>
      </c>
    </row>
    <row r="864" customFormat="false" ht="15" hidden="false" customHeight="true" outlineLevel="0" collapsed="false">
      <c r="B864" s="2" t="s">
        <v>2277</v>
      </c>
      <c r="C864" s="2" t="s">
        <v>595</v>
      </c>
      <c r="D864" s="2" t="s">
        <v>127</v>
      </c>
      <c r="E864" s="2" t="n">
        <v>199624</v>
      </c>
      <c r="F864" s="15" t="n">
        <v>44025</v>
      </c>
      <c r="G864" s="15" t="n">
        <v>44031</v>
      </c>
      <c r="H864" s="3" t="n">
        <v>6</v>
      </c>
      <c r="I864" s="3" t="n">
        <v>2</v>
      </c>
      <c r="J864" s="3" t="n">
        <v>38</v>
      </c>
      <c r="K864" s="3" t="n">
        <v>2</v>
      </c>
      <c r="L864" s="3" t="n">
        <v>1</v>
      </c>
      <c r="M864" s="3" t="n">
        <v>2</v>
      </c>
      <c r="N864" s="3" t="n">
        <v>2</v>
      </c>
      <c r="O864" s="3" t="n">
        <v>1</v>
      </c>
      <c r="P864" s="3" t="n">
        <v>2</v>
      </c>
      <c r="Q864" s="3" t="n">
        <v>2</v>
      </c>
      <c r="R864" s="3" t="n">
        <v>2</v>
      </c>
      <c r="S864" s="3" t="n">
        <v>2</v>
      </c>
      <c r="T864" s="4" t="n">
        <v>2</v>
      </c>
      <c r="U864" s="3" t="n">
        <v>2</v>
      </c>
      <c r="V864" s="3" t="n">
        <v>4.56</v>
      </c>
      <c r="W864" s="3" t="n">
        <v>2.83</v>
      </c>
      <c r="X864" s="3" t="n">
        <v>5.8</v>
      </c>
      <c r="Y864" s="3" t="n">
        <v>491</v>
      </c>
      <c r="Z864" s="3" t="n">
        <v>102</v>
      </c>
      <c r="AA864" s="3" t="n">
        <v>0.5</v>
      </c>
      <c r="AB864" s="3" t="n">
        <v>13.8</v>
      </c>
      <c r="AC864" s="3" t="n">
        <v>1</v>
      </c>
      <c r="AD864" s="3" t="n">
        <v>2</v>
      </c>
      <c r="AE864" s="3" t="n">
        <v>1</v>
      </c>
      <c r="AF864" s="3" t="n">
        <v>1</v>
      </c>
      <c r="AG864" s="3" t="n">
        <v>2</v>
      </c>
      <c r="AH864" s="3" t="n">
        <v>2</v>
      </c>
      <c r="AI864" s="3" t="n">
        <v>1</v>
      </c>
      <c r="AJ864" s="3" t="n">
        <v>2</v>
      </c>
      <c r="AK864" s="3" t="n">
        <v>2</v>
      </c>
      <c r="AL864" s="3" t="n">
        <v>2</v>
      </c>
      <c r="AM864" s="3" t="n">
        <v>2</v>
      </c>
      <c r="AN864" s="3" t="n">
        <v>2</v>
      </c>
      <c r="AO864" s="3" t="n">
        <v>2</v>
      </c>
      <c r="AP864" s="3" t="n">
        <v>3</v>
      </c>
      <c r="AQ864" s="3" t="n">
        <v>4</v>
      </c>
      <c r="AR864" s="3" t="n">
        <v>4</v>
      </c>
      <c r="AS864" s="3" t="n">
        <v>6</v>
      </c>
      <c r="AT864" s="3" t="n">
        <v>4</v>
      </c>
      <c r="AU864" s="3" t="n">
        <v>4</v>
      </c>
      <c r="AV864" s="3" t="n">
        <v>6</v>
      </c>
      <c r="AW864" s="3" t="n">
        <v>6</v>
      </c>
      <c r="AX864" s="3" t="n">
        <v>3</v>
      </c>
      <c r="AY864" s="3" t="n">
        <v>3</v>
      </c>
      <c r="AZ864" s="3" t="n">
        <v>1</v>
      </c>
      <c r="BA864" s="5" t="n">
        <v>1</v>
      </c>
      <c r="BB864" s="3" t="n">
        <v>1</v>
      </c>
      <c r="BC864" s="3" t="n">
        <v>1</v>
      </c>
      <c r="BD864" s="3" t="n">
        <v>4</v>
      </c>
      <c r="BE864" s="3" t="n">
        <v>1</v>
      </c>
      <c r="BF864" s="3" t="n">
        <v>2</v>
      </c>
      <c r="BG864" s="3" t="n">
        <v>1</v>
      </c>
      <c r="BH864" s="3" t="n">
        <v>4</v>
      </c>
      <c r="BI864" s="3" t="n">
        <v>1</v>
      </c>
      <c r="BJ864" s="3" t="n">
        <v>1</v>
      </c>
      <c r="BK864" s="6" t="s">
        <v>2278</v>
      </c>
    </row>
    <row r="865" customFormat="false" ht="15" hidden="false" customHeight="true" outlineLevel="0" collapsed="false">
      <c r="B865" s="2" t="s">
        <v>2279</v>
      </c>
      <c r="C865" s="2" t="s">
        <v>2236</v>
      </c>
      <c r="D865" s="2" t="s">
        <v>252</v>
      </c>
      <c r="E865" s="2" t="n">
        <v>199625</v>
      </c>
      <c r="F865" s="15" t="n">
        <v>44025</v>
      </c>
      <c r="G865" s="15" t="n">
        <v>44032</v>
      </c>
      <c r="H865" s="3" t="n">
        <v>7</v>
      </c>
      <c r="I865" s="3" t="n">
        <v>1</v>
      </c>
      <c r="J865" s="3" t="n">
        <v>80</v>
      </c>
      <c r="K865" s="3" t="n">
        <v>2</v>
      </c>
      <c r="L865" s="3" t="n">
        <v>2</v>
      </c>
      <c r="M865" s="3" t="n">
        <v>1</v>
      </c>
      <c r="N865" s="3" t="n">
        <v>2</v>
      </c>
      <c r="O865" s="3" t="n">
        <v>2</v>
      </c>
      <c r="P865" s="3" t="n">
        <v>2</v>
      </c>
      <c r="Q865" s="3" t="n">
        <v>1</v>
      </c>
      <c r="R865" s="3" t="n">
        <v>2</v>
      </c>
      <c r="S865" s="3" t="n">
        <v>2</v>
      </c>
      <c r="T865" s="4" t="n">
        <v>2</v>
      </c>
      <c r="U865" s="3" t="n">
        <v>2</v>
      </c>
      <c r="V865" s="3" t="n">
        <v>5.83</v>
      </c>
      <c r="W865" s="3" t="n">
        <v>1.96</v>
      </c>
      <c r="X865" s="3" t="n">
        <v>11.2</v>
      </c>
      <c r="Y865" s="3" t="n">
        <v>754</v>
      </c>
      <c r="Z865" s="3" t="n">
        <v>185</v>
      </c>
      <c r="AA865" s="3" t="n">
        <v>0.2</v>
      </c>
      <c r="AB865" s="3" t="n">
        <v>14.7</v>
      </c>
      <c r="AC865" s="3" t="n">
        <v>2</v>
      </c>
      <c r="AD865" s="3" t="n">
        <v>1</v>
      </c>
      <c r="AE865" s="3" t="n">
        <v>1</v>
      </c>
      <c r="AF865" s="3" t="n">
        <v>2</v>
      </c>
      <c r="AG865" s="3" t="n">
        <v>1</v>
      </c>
      <c r="AH865" s="3" t="n">
        <v>1</v>
      </c>
      <c r="AI865" s="3" t="n">
        <v>2</v>
      </c>
      <c r="AJ865" s="3" t="n">
        <v>2</v>
      </c>
      <c r="AK865" s="3" t="n">
        <v>2</v>
      </c>
      <c r="AL865" s="3" t="n">
        <v>2</v>
      </c>
      <c r="AM865" s="3" t="n">
        <v>1</v>
      </c>
      <c r="AN865" s="3" t="n">
        <v>2</v>
      </c>
      <c r="AO865" s="3" t="n">
        <v>2</v>
      </c>
      <c r="AP865" s="3" t="n">
        <v>3</v>
      </c>
      <c r="AQ865" s="3" t="n">
        <v>4</v>
      </c>
      <c r="AR865" s="3" t="n">
        <v>4</v>
      </c>
      <c r="AS865" s="3" t="n">
        <v>6</v>
      </c>
      <c r="AT865" s="3" t="n">
        <v>4</v>
      </c>
      <c r="AU865" s="3" t="n">
        <v>4</v>
      </c>
      <c r="AV865" s="3" t="n">
        <v>6</v>
      </c>
      <c r="AW865" s="3" t="n">
        <v>6</v>
      </c>
      <c r="AX865" s="3" t="n">
        <v>3</v>
      </c>
      <c r="AY865" s="3" t="n">
        <v>3</v>
      </c>
      <c r="AZ865" s="3" t="n">
        <v>1</v>
      </c>
      <c r="BA865" s="5" t="n">
        <v>1</v>
      </c>
      <c r="BB865" s="3" t="n">
        <v>1</v>
      </c>
      <c r="BC865" s="3" t="n">
        <v>1</v>
      </c>
      <c r="BD865" s="3" t="n">
        <v>2</v>
      </c>
      <c r="BE865" s="3" t="n">
        <v>3</v>
      </c>
      <c r="BF865" s="3" t="n">
        <v>5</v>
      </c>
      <c r="BG865" s="3" t="n">
        <v>3</v>
      </c>
      <c r="BH865" s="3" t="n">
        <v>4</v>
      </c>
      <c r="BI865" s="3" t="n">
        <v>1</v>
      </c>
      <c r="BJ865" s="3" t="n">
        <v>1</v>
      </c>
      <c r="BK865" s="6" t="s">
        <v>2280</v>
      </c>
    </row>
    <row r="866" customFormat="false" ht="15" hidden="false" customHeight="true" outlineLevel="0" collapsed="false">
      <c r="B866" s="2" t="s">
        <v>1138</v>
      </c>
      <c r="C866" s="2" t="s">
        <v>2281</v>
      </c>
      <c r="D866" s="2" t="s">
        <v>2282</v>
      </c>
      <c r="E866" s="2" t="n">
        <v>199640</v>
      </c>
      <c r="F866" s="15" t="n">
        <v>44025</v>
      </c>
      <c r="G866" s="15" t="n">
        <v>44033</v>
      </c>
      <c r="H866" s="3" t="n">
        <v>8</v>
      </c>
      <c r="I866" s="3" t="n">
        <v>2</v>
      </c>
      <c r="J866" s="3" t="n">
        <v>55</v>
      </c>
      <c r="K866" s="3" t="n">
        <v>2</v>
      </c>
      <c r="L866" s="3" t="n">
        <v>1</v>
      </c>
      <c r="M866" s="3" t="n">
        <v>1</v>
      </c>
      <c r="N866" s="3" t="n">
        <v>2</v>
      </c>
      <c r="O866" s="3" t="n">
        <v>2</v>
      </c>
      <c r="P866" s="3" t="n">
        <v>2</v>
      </c>
      <c r="Q866" s="3" t="n">
        <v>2</v>
      </c>
      <c r="R866" s="3" t="n">
        <v>2</v>
      </c>
      <c r="S866" s="3" t="n">
        <v>2</v>
      </c>
      <c r="T866" s="4" t="n">
        <v>2</v>
      </c>
      <c r="U866" s="3" t="n">
        <v>2</v>
      </c>
      <c r="V866" s="3" t="n">
        <v>4.12</v>
      </c>
      <c r="W866" s="3" t="n">
        <v>1.11</v>
      </c>
      <c r="X866" s="3" t="n">
        <v>9.5</v>
      </c>
      <c r="Y866" s="3" t="n">
        <v>585</v>
      </c>
      <c r="Z866" s="3" t="n">
        <v>170</v>
      </c>
      <c r="AA866" s="3" t="n">
        <v>0.55</v>
      </c>
      <c r="AB866" s="3" t="n">
        <v>14.9</v>
      </c>
      <c r="AC866" s="3" t="n">
        <v>2</v>
      </c>
      <c r="AD866" s="3" t="n">
        <v>1</v>
      </c>
      <c r="AE866" s="3" t="n">
        <v>1</v>
      </c>
      <c r="AF866" s="3" t="n">
        <v>1</v>
      </c>
      <c r="AG866" s="3" t="n">
        <v>1</v>
      </c>
      <c r="AH866" s="3" t="n">
        <v>2</v>
      </c>
      <c r="AI866" s="3" t="n">
        <v>1</v>
      </c>
      <c r="AJ866" s="3" t="n">
        <v>1</v>
      </c>
      <c r="AK866" s="3" t="n">
        <v>2</v>
      </c>
      <c r="AL866" s="3" t="n">
        <v>2</v>
      </c>
      <c r="AM866" s="3" t="n">
        <v>2</v>
      </c>
      <c r="AN866" s="3" t="n">
        <v>1</v>
      </c>
      <c r="AO866" s="3" t="n">
        <v>2</v>
      </c>
      <c r="AP866" s="3" t="n">
        <v>2</v>
      </c>
      <c r="AQ866" s="3" t="n">
        <v>3</v>
      </c>
      <c r="AR866" s="3" t="n">
        <v>3</v>
      </c>
      <c r="AS866" s="3" t="n">
        <v>2</v>
      </c>
      <c r="AT866" s="3" t="n">
        <v>1</v>
      </c>
      <c r="AU866" s="3" t="n">
        <v>1</v>
      </c>
      <c r="AV866" s="3" t="n">
        <v>1</v>
      </c>
      <c r="AW866" s="3" t="n">
        <v>8</v>
      </c>
      <c r="AX866" s="3" t="n">
        <v>2</v>
      </c>
      <c r="AY866" s="3" t="n">
        <v>2</v>
      </c>
      <c r="AZ866" s="3" t="n">
        <v>6</v>
      </c>
      <c r="BA866" s="5" t="n">
        <v>1</v>
      </c>
      <c r="BB866" s="3" t="n">
        <v>1</v>
      </c>
      <c r="BC866" s="3" t="n">
        <v>1</v>
      </c>
      <c r="BD866" s="3" t="n">
        <v>2</v>
      </c>
      <c r="BE866" s="3" t="n">
        <v>3</v>
      </c>
      <c r="BF866" s="3" t="n">
        <v>5</v>
      </c>
      <c r="BG866" s="3" t="n">
        <v>3</v>
      </c>
      <c r="BH866" s="3" t="n">
        <v>4</v>
      </c>
      <c r="BI866" s="3" t="n">
        <v>1</v>
      </c>
      <c r="BJ866" s="3" t="n">
        <v>1</v>
      </c>
      <c r="BK866" s="6" t="s">
        <v>2283</v>
      </c>
    </row>
    <row r="867" customFormat="false" ht="15" hidden="false" customHeight="true" outlineLevel="0" collapsed="false">
      <c r="B867" s="2" t="s">
        <v>2284</v>
      </c>
      <c r="C867" s="2" t="s">
        <v>2285</v>
      </c>
      <c r="D867" s="2" t="s">
        <v>2006</v>
      </c>
      <c r="E867" s="2" t="n">
        <v>199833</v>
      </c>
      <c r="F867" s="15" t="n">
        <v>44027</v>
      </c>
      <c r="G867" s="15" t="n">
        <v>44033</v>
      </c>
      <c r="H867" s="3" t="n">
        <v>6</v>
      </c>
      <c r="I867" s="3" t="n">
        <v>1</v>
      </c>
      <c r="J867" s="3" t="n">
        <v>56</v>
      </c>
      <c r="K867" s="3" t="n">
        <v>2</v>
      </c>
      <c r="L867" s="3" t="n">
        <v>1</v>
      </c>
      <c r="M867" s="3" t="n">
        <v>1</v>
      </c>
      <c r="N867" s="3" t="n">
        <v>2</v>
      </c>
      <c r="O867" s="3" t="n">
        <v>1</v>
      </c>
      <c r="P867" s="3" t="n">
        <v>1</v>
      </c>
      <c r="Q867" s="3" t="n">
        <v>1</v>
      </c>
      <c r="R867" s="3" t="n">
        <v>2</v>
      </c>
      <c r="S867" s="3" t="n">
        <v>2</v>
      </c>
      <c r="T867" s="4" t="n">
        <v>2</v>
      </c>
      <c r="U867" s="3" t="n">
        <v>2</v>
      </c>
      <c r="V867" s="3" t="n">
        <v>5.59</v>
      </c>
      <c r="W867" s="3" t="n">
        <v>2.29</v>
      </c>
      <c r="X867" s="3" t="n">
        <v>7.6</v>
      </c>
      <c r="Y867" s="3" t="n">
        <v>550</v>
      </c>
      <c r="Z867" s="3" t="n">
        <v>82</v>
      </c>
      <c r="AA867" s="3" t="n">
        <v>0.5</v>
      </c>
      <c r="AB867" s="3" t="n">
        <v>12.2</v>
      </c>
      <c r="AC867" s="3" t="n">
        <v>1</v>
      </c>
      <c r="AD867" s="3" t="n">
        <v>1</v>
      </c>
      <c r="AE867" s="3" t="n">
        <v>1</v>
      </c>
      <c r="AF867" s="3" t="n">
        <v>1</v>
      </c>
      <c r="AG867" s="3" t="n">
        <v>2</v>
      </c>
      <c r="AH867" s="3" t="n">
        <v>1</v>
      </c>
      <c r="AI867" s="3" t="n">
        <v>1</v>
      </c>
      <c r="AJ867" s="3" t="n">
        <v>1</v>
      </c>
      <c r="AK867" s="3" t="n">
        <v>2</v>
      </c>
      <c r="AL867" s="3" t="n">
        <v>2</v>
      </c>
      <c r="AM867" s="3" t="n">
        <v>1</v>
      </c>
      <c r="AN867" s="3" t="n">
        <v>2</v>
      </c>
      <c r="AO867" s="3" t="n">
        <v>2</v>
      </c>
      <c r="AP867" s="3" t="n">
        <v>3</v>
      </c>
      <c r="AQ867" s="3" t="n">
        <v>4</v>
      </c>
      <c r="AR867" s="3" t="n">
        <v>4</v>
      </c>
      <c r="AS867" s="3" t="n">
        <v>6</v>
      </c>
      <c r="AT867" s="3" t="n">
        <v>4</v>
      </c>
      <c r="AU867" s="3" t="n">
        <v>4</v>
      </c>
      <c r="AV867" s="3" t="n">
        <v>6</v>
      </c>
      <c r="AW867" s="3" t="n">
        <v>6</v>
      </c>
      <c r="AX867" s="3" t="n">
        <v>3</v>
      </c>
      <c r="AY867" s="3" t="n">
        <v>3</v>
      </c>
      <c r="AZ867" s="3" t="n">
        <v>1</v>
      </c>
      <c r="BA867" s="5" t="n">
        <v>1</v>
      </c>
      <c r="BB867" s="3" t="n">
        <v>1</v>
      </c>
      <c r="BC867" s="3" t="n">
        <v>1</v>
      </c>
      <c r="BD867" s="3" t="n">
        <v>4</v>
      </c>
      <c r="BE867" s="3" t="n">
        <v>1</v>
      </c>
      <c r="BF867" s="3" t="n">
        <v>2</v>
      </c>
      <c r="BG867" s="3" t="n">
        <v>1</v>
      </c>
      <c r="BH867" s="3" t="n">
        <v>4</v>
      </c>
      <c r="BI867" s="3" t="n">
        <v>1</v>
      </c>
      <c r="BJ867" s="3" t="n">
        <v>1</v>
      </c>
      <c r="BK867" s="6" t="s">
        <v>2286</v>
      </c>
    </row>
    <row r="868" customFormat="false" ht="15" hidden="false" customHeight="true" outlineLevel="0" collapsed="false">
      <c r="B868" s="2" t="s">
        <v>2287</v>
      </c>
      <c r="C868" s="2" t="s">
        <v>414</v>
      </c>
      <c r="D868" s="2" t="s">
        <v>443</v>
      </c>
      <c r="E868" s="2" t="n">
        <v>199743</v>
      </c>
      <c r="F868" s="15" t="n">
        <v>44024</v>
      </c>
      <c r="G868" s="15" t="n">
        <v>44030</v>
      </c>
      <c r="H868" s="3" t="n">
        <v>6</v>
      </c>
      <c r="I868" s="3" t="n">
        <v>1</v>
      </c>
      <c r="J868" s="3" t="n">
        <v>77</v>
      </c>
      <c r="K868" s="3" t="n">
        <v>1</v>
      </c>
      <c r="L868" s="3" t="n">
        <v>2</v>
      </c>
      <c r="M868" s="3" t="n">
        <v>1</v>
      </c>
      <c r="N868" s="3" t="n">
        <v>2</v>
      </c>
      <c r="O868" s="3" t="n">
        <v>2</v>
      </c>
      <c r="P868" s="3" t="n">
        <v>2</v>
      </c>
      <c r="Q868" s="3" t="n">
        <v>2</v>
      </c>
      <c r="R868" s="3" t="n">
        <v>2</v>
      </c>
      <c r="S868" s="3" t="n">
        <v>2</v>
      </c>
      <c r="T868" s="4" t="n">
        <v>2</v>
      </c>
      <c r="U868" s="3" t="n">
        <v>2</v>
      </c>
      <c r="V868" s="3" t="n">
        <v>4.24</v>
      </c>
      <c r="W868" s="3" t="n">
        <v>0.93</v>
      </c>
      <c r="X868" s="3" t="n">
        <v>5.5</v>
      </c>
      <c r="Y868" s="3" t="n">
        <v>124</v>
      </c>
      <c r="Z868" s="3" t="n">
        <v>339</v>
      </c>
      <c r="AA868" s="3" t="n">
        <v>0.39</v>
      </c>
      <c r="AB868" s="3" t="n">
        <v>13</v>
      </c>
      <c r="AC868" s="3" t="n">
        <v>1</v>
      </c>
      <c r="AD868" s="3" t="n">
        <v>2</v>
      </c>
      <c r="AE868" s="3" t="n">
        <v>1</v>
      </c>
      <c r="AF868" s="3" t="n">
        <v>1</v>
      </c>
      <c r="AG868" s="3" t="n">
        <v>2</v>
      </c>
      <c r="AH868" s="3" t="n">
        <v>2</v>
      </c>
      <c r="AI868" s="3" t="n">
        <v>1</v>
      </c>
      <c r="AJ868" s="3" t="n">
        <v>2</v>
      </c>
      <c r="AK868" s="3" t="n">
        <v>2</v>
      </c>
      <c r="AL868" s="3" t="n">
        <v>2</v>
      </c>
      <c r="AM868" s="3" t="n">
        <v>1</v>
      </c>
      <c r="AN868" s="3" t="n">
        <v>2</v>
      </c>
      <c r="AO868" s="3" t="n">
        <v>2</v>
      </c>
      <c r="AP868" s="3" t="n">
        <v>3</v>
      </c>
      <c r="AQ868" s="3" t="n">
        <v>4</v>
      </c>
      <c r="AR868" s="3" t="n">
        <v>4</v>
      </c>
      <c r="AS868" s="3" t="n">
        <v>6</v>
      </c>
      <c r="AT868" s="3" t="n">
        <v>4</v>
      </c>
      <c r="AU868" s="3" t="n">
        <v>4</v>
      </c>
      <c r="AV868" s="3" t="n">
        <v>6</v>
      </c>
      <c r="AW868" s="3" t="n">
        <v>6</v>
      </c>
      <c r="AX868" s="3" t="n">
        <v>3</v>
      </c>
      <c r="AY868" s="3" t="n">
        <v>3</v>
      </c>
      <c r="AZ868" s="3" t="n">
        <v>4</v>
      </c>
      <c r="BA868" s="5" t="n">
        <v>1</v>
      </c>
      <c r="BB868" s="3" t="n">
        <v>1</v>
      </c>
      <c r="BC868" s="3" t="n">
        <v>1</v>
      </c>
      <c r="BD868" s="3" t="n">
        <v>2</v>
      </c>
      <c r="BE868" s="3" t="n">
        <v>1</v>
      </c>
      <c r="BF868" s="3" t="n">
        <v>2</v>
      </c>
      <c r="BG868" s="3" t="n">
        <v>1</v>
      </c>
      <c r="BH868" s="3" t="n">
        <v>4</v>
      </c>
      <c r="BI868" s="3" t="n">
        <v>1</v>
      </c>
      <c r="BJ868" s="3" t="n">
        <v>1</v>
      </c>
      <c r="BK868" s="6" t="s">
        <v>2288</v>
      </c>
    </row>
    <row r="869" customFormat="false" ht="15" hidden="false" customHeight="true" outlineLevel="0" collapsed="false">
      <c r="B869" s="2" t="s">
        <v>323</v>
      </c>
      <c r="C869" s="2" t="s">
        <v>78</v>
      </c>
      <c r="D869" s="2" t="s">
        <v>197</v>
      </c>
      <c r="E869" s="2" t="n">
        <v>199874</v>
      </c>
      <c r="F869" s="15" t="n">
        <v>44031</v>
      </c>
      <c r="G869" s="15" t="n">
        <v>44034</v>
      </c>
      <c r="H869" s="3" t="n">
        <v>3</v>
      </c>
      <c r="I869" s="3" t="n">
        <v>2</v>
      </c>
      <c r="J869" s="3" t="n">
        <v>58</v>
      </c>
      <c r="K869" s="3" t="n">
        <v>1</v>
      </c>
      <c r="L869" s="3" t="n">
        <v>1</v>
      </c>
      <c r="M869" s="3" t="n">
        <v>2</v>
      </c>
      <c r="N869" s="3" t="n">
        <v>2</v>
      </c>
      <c r="O869" s="3" t="n">
        <v>2</v>
      </c>
      <c r="P869" s="3" t="n">
        <v>2</v>
      </c>
      <c r="Q869" s="3" t="n">
        <v>2</v>
      </c>
      <c r="R869" s="3" t="n">
        <v>2</v>
      </c>
      <c r="S869" s="3" t="n">
        <v>2</v>
      </c>
      <c r="T869" s="4" t="n">
        <v>12</v>
      </c>
      <c r="U869" s="3" t="n">
        <v>1</v>
      </c>
      <c r="V869" s="3" t="n">
        <v>2.45</v>
      </c>
      <c r="W869" s="3" t="n">
        <v>0.94</v>
      </c>
      <c r="X869" s="3" t="n">
        <v>5.1</v>
      </c>
      <c r="Y869" s="3" t="n">
        <v>314</v>
      </c>
      <c r="Z869" s="3" t="n">
        <v>43</v>
      </c>
      <c r="AA869" s="3" t="n">
        <v>0.35</v>
      </c>
      <c r="AB869" s="3" t="n">
        <v>8.4</v>
      </c>
      <c r="AC869" s="3" t="n">
        <v>1</v>
      </c>
      <c r="AD869" s="3" t="n">
        <v>2</v>
      </c>
      <c r="AE869" s="3" t="n">
        <v>2</v>
      </c>
      <c r="AF869" s="3" t="n">
        <v>2</v>
      </c>
      <c r="AG869" s="3" t="n">
        <v>2</v>
      </c>
      <c r="AH869" s="3" t="n">
        <v>2</v>
      </c>
      <c r="AI869" s="3" t="n">
        <v>2</v>
      </c>
      <c r="AJ869" s="3" t="n">
        <v>2</v>
      </c>
      <c r="AK869" s="3" t="n">
        <v>2</v>
      </c>
      <c r="AL869" s="3" t="n">
        <v>2</v>
      </c>
      <c r="AM869" s="3" t="n">
        <v>2</v>
      </c>
      <c r="AN869" s="3" t="n">
        <v>2</v>
      </c>
      <c r="AO869" s="3" t="n">
        <v>2</v>
      </c>
      <c r="AP869" s="3" t="n">
        <v>3</v>
      </c>
      <c r="AQ869" s="3" t="n">
        <v>4</v>
      </c>
      <c r="AR869" s="3" t="n">
        <v>4</v>
      </c>
      <c r="AS869" s="3" t="n">
        <v>6</v>
      </c>
      <c r="AT869" s="3" t="n">
        <v>4</v>
      </c>
      <c r="AU869" s="3" t="n">
        <v>4</v>
      </c>
      <c r="AV869" s="3" t="n">
        <v>6</v>
      </c>
      <c r="AW869" s="3" t="n">
        <v>6</v>
      </c>
      <c r="AX869" s="3" t="n">
        <v>3</v>
      </c>
      <c r="AY869" s="3" t="n">
        <v>3</v>
      </c>
      <c r="AZ869" s="3" t="n">
        <v>1</v>
      </c>
      <c r="BA869" s="5" t="n">
        <v>3</v>
      </c>
      <c r="BB869" s="3" t="n">
        <v>2</v>
      </c>
      <c r="BC869" s="3" t="n">
        <v>1</v>
      </c>
      <c r="BD869" s="3" t="n">
        <v>6</v>
      </c>
      <c r="BE869" s="3" t="n">
        <v>3</v>
      </c>
      <c r="BF869" s="3" t="n">
        <v>5</v>
      </c>
      <c r="BG869" s="3" t="n">
        <v>3</v>
      </c>
      <c r="BH869" s="3" t="n">
        <v>4</v>
      </c>
      <c r="BI869" s="3" t="n">
        <v>1</v>
      </c>
      <c r="BJ869" s="3" t="n">
        <v>1</v>
      </c>
      <c r="BK869" s="6" t="s">
        <v>2289</v>
      </c>
    </row>
    <row r="870" s="30" customFormat="true" ht="15" hidden="false" customHeight="true" outlineLevel="0" collapsed="false">
      <c r="A870" s="24"/>
      <c r="B870" s="26" t="s">
        <v>1477</v>
      </c>
      <c r="C870" s="26" t="s">
        <v>288</v>
      </c>
      <c r="D870" s="26" t="s">
        <v>879</v>
      </c>
      <c r="E870" s="26" t="n">
        <v>199890</v>
      </c>
      <c r="F870" s="27" t="n">
        <v>44032</v>
      </c>
      <c r="G870" s="27" t="n">
        <v>44034</v>
      </c>
      <c r="H870" s="30" t="n">
        <v>2</v>
      </c>
      <c r="I870" s="30" t="n">
        <v>2</v>
      </c>
      <c r="J870" s="30" t="n">
        <v>81</v>
      </c>
      <c r="K870" s="30" t="n">
        <v>1</v>
      </c>
      <c r="L870" s="30" t="n">
        <v>2</v>
      </c>
      <c r="M870" s="30" t="n">
        <v>1</v>
      </c>
      <c r="N870" s="30" t="n">
        <v>2</v>
      </c>
      <c r="O870" s="30" t="n">
        <v>2</v>
      </c>
      <c r="P870" s="30" t="n">
        <v>2</v>
      </c>
      <c r="Q870" s="30" t="n">
        <v>2</v>
      </c>
      <c r="R870" s="30" t="n">
        <v>2</v>
      </c>
      <c r="S870" s="30" t="n">
        <v>2</v>
      </c>
      <c r="T870" s="4" t="n">
        <v>12</v>
      </c>
      <c r="U870" s="30" t="n">
        <v>1</v>
      </c>
      <c r="AC870" s="30" t="n">
        <v>1</v>
      </c>
      <c r="AD870" s="30" t="n">
        <v>2</v>
      </c>
      <c r="AE870" s="30" t="n">
        <v>1</v>
      </c>
      <c r="AF870" s="30" t="n">
        <v>2</v>
      </c>
      <c r="AG870" s="30" t="n">
        <v>2</v>
      </c>
      <c r="AH870" s="30" t="n">
        <v>2</v>
      </c>
      <c r="AI870" s="30" t="n">
        <v>2</v>
      </c>
      <c r="AJ870" s="30" t="n">
        <v>2</v>
      </c>
      <c r="AK870" s="30" t="n">
        <v>2</v>
      </c>
      <c r="AL870" s="30" t="n">
        <v>2</v>
      </c>
      <c r="AM870" s="30" t="n">
        <v>2</v>
      </c>
      <c r="AN870" s="30" t="n">
        <v>2</v>
      </c>
      <c r="AO870" s="30" t="n">
        <v>2</v>
      </c>
      <c r="AP870" s="30" t="n">
        <v>3</v>
      </c>
      <c r="AQ870" s="30" t="n">
        <v>4</v>
      </c>
      <c r="AR870" s="30" t="n">
        <v>4</v>
      </c>
      <c r="AS870" s="30" t="n">
        <v>6</v>
      </c>
      <c r="AT870" s="30" t="n">
        <v>4</v>
      </c>
      <c r="AU870" s="30" t="n">
        <v>4</v>
      </c>
      <c r="AV870" s="30" t="n">
        <v>6</v>
      </c>
      <c r="AW870" s="30" t="n">
        <v>6</v>
      </c>
      <c r="AX870" s="30" t="n">
        <v>3</v>
      </c>
      <c r="AY870" s="30" t="n">
        <v>3</v>
      </c>
      <c r="AZ870" s="30" t="n">
        <v>1</v>
      </c>
      <c r="BA870" s="5" t="n">
        <v>7</v>
      </c>
      <c r="BB870" s="30" t="n">
        <v>2</v>
      </c>
      <c r="BC870" s="30" t="n">
        <v>2</v>
      </c>
      <c r="BD870" s="30" t="n">
        <v>6</v>
      </c>
      <c r="BE870" s="30" t="n">
        <v>3</v>
      </c>
      <c r="BF870" s="30" t="n">
        <v>5</v>
      </c>
      <c r="BG870" s="30" t="n">
        <v>3</v>
      </c>
      <c r="BH870" s="30" t="n">
        <v>4</v>
      </c>
      <c r="BI870" s="30" t="n">
        <v>1</v>
      </c>
      <c r="BJ870" s="30" t="n">
        <v>1</v>
      </c>
      <c r="BK870" s="31" t="s">
        <v>2290</v>
      </c>
    </row>
    <row r="871" customFormat="false" ht="15" hidden="false" customHeight="true" outlineLevel="0" collapsed="false">
      <c r="B871" s="2" t="s">
        <v>1143</v>
      </c>
      <c r="C871" s="2" t="s">
        <v>2291</v>
      </c>
      <c r="D871" s="2" t="s">
        <v>2292</v>
      </c>
      <c r="E871" s="2" t="n">
        <v>199663</v>
      </c>
      <c r="F871" s="15" t="n">
        <v>44029</v>
      </c>
      <c r="G871" s="15" t="n">
        <v>44036</v>
      </c>
      <c r="H871" s="3" t="n">
        <v>7</v>
      </c>
      <c r="I871" s="3" t="n">
        <v>2</v>
      </c>
      <c r="J871" s="3" t="n">
        <v>57</v>
      </c>
      <c r="K871" s="3" t="n">
        <v>1</v>
      </c>
      <c r="L871" s="3" t="n">
        <v>1</v>
      </c>
      <c r="M871" s="3" t="n">
        <v>1</v>
      </c>
      <c r="N871" s="3" t="n">
        <v>1</v>
      </c>
      <c r="O871" s="3" t="n">
        <v>2</v>
      </c>
      <c r="P871" s="3" t="n">
        <v>2</v>
      </c>
      <c r="Q871" s="3" t="n">
        <v>2</v>
      </c>
      <c r="R871" s="3" t="n">
        <v>2</v>
      </c>
      <c r="S871" s="3" t="n">
        <v>2</v>
      </c>
      <c r="T871" s="4" t="n">
        <v>2</v>
      </c>
      <c r="U871" s="3" t="n">
        <v>2</v>
      </c>
      <c r="X871" s="3" t="n">
        <v>6.4</v>
      </c>
      <c r="Y871" s="3" t="n">
        <v>399</v>
      </c>
      <c r="Z871" s="3" t="n">
        <v>70</v>
      </c>
      <c r="AA871" s="3" t="n">
        <v>0.45</v>
      </c>
      <c r="AB871" s="3" t="n">
        <v>7.7</v>
      </c>
      <c r="AC871" s="3" t="n">
        <v>2</v>
      </c>
      <c r="AD871" s="3" t="n">
        <v>2</v>
      </c>
      <c r="AE871" s="3" t="n">
        <v>1</v>
      </c>
      <c r="AF871" s="3" t="n">
        <v>1</v>
      </c>
      <c r="AG871" s="3" t="n">
        <v>2</v>
      </c>
      <c r="AH871" s="3" t="n">
        <v>2</v>
      </c>
      <c r="AI871" s="3" t="n">
        <v>1</v>
      </c>
      <c r="AJ871" s="3" t="n">
        <v>2</v>
      </c>
      <c r="AK871" s="3" t="n">
        <v>2</v>
      </c>
      <c r="AL871" s="3" t="n">
        <v>2</v>
      </c>
      <c r="AM871" s="3" t="n">
        <v>2</v>
      </c>
      <c r="AN871" s="3" t="n">
        <v>1</v>
      </c>
      <c r="AO871" s="3" t="n">
        <v>2</v>
      </c>
      <c r="AP871" s="3" t="n">
        <v>3</v>
      </c>
      <c r="AQ871" s="3" t="n">
        <v>4</v>
      </c>
      <c r="AR871" s="3" t="n">
        <v>4</v>
      </c>
      <c r="AS871" s="3" t="n">
        <v>6</v>
      </c>
      <c r="AT871" s="3" t="n">
        <v>4</v>
      </c>
      <c r="AU871" s="3" t="n">
        <v>4</v>
      </c>
      <c r="AV871" s="3" t="n">
        <v>6</v>
      </c>
      <c r="AW871" s="3" t="n">
        <v>6</v>
      </c>
      <c r="AX871" s="3" t="n">
        <v>3</v>
      </c>
      <c r="AY871" s="3" t="n">
        <v>3</v>
      </c>
      <c r="AZ871" s="3" t="n">
        <v>6</v>
      </c>
      <c r="BA871" s="5" t="n">
        <v>1</v>
      </c>
      <c r="BB871" s="3" t="n">
        <v>1</v>
      </c>
      <c r="BC871" s="3" t="n">
        <v>1</v>
      </c>
      <c r="BD871" s="3" t="n">
        <v>2</v>
      </c>
      <c r="BE871" s="3" t="n">
        <v>1</v>
      </c>
      <c r="BF871" s="3" t="n">
        <v>3</v>
      </c>
      <c r="BG871" s="3" t="n">
        <v>1</v>
      </c>
      <c r="BH871" s="3" t="n">
        <v>4</v>
      </c>
      <c r="BI871" s="3" t="n">
        <v>1</v>
      </c>
      <c r="BJ871" s="3" t="n">
        <v>1</v>
      </c>
      <c r="BK871" s="6" t="s">
        <v>2293</v>
      </c>
    </row>
    <row r="872" customFormat="false" ht="15" hidden="false" customHeight="true" outlineLevel="0" collapsed="false">
      <c r="B872" s="2" t="s">
        <v>1138</v>
      </c>
      <c r="C872" s="2" t="s">
        <v>999</v>
      </c>
      <c r="D872" s="2" t="s">
        <v>641</v>
      </c>
      <c r="E872" s="2" t="n">
        <v>199906</v>
      </c>
      <c r="F872" s="15" t="n">
        <v>44034</v>
      </c>
      <c r="G872" s="15" t="n">
        <v>44040</v>
      </c>
      <c r="H872" s="3" t="n">
        <v>6</v>
      </c>
      <c r="I872" s="3" t="n">
        <v>2</v>
      </c>
      <c r="J872" s="3" t="n">
        <v>58</v>
      </c>
      <c r="K872" s="3" t="n">
        <v>1</v>
      </c>
      <c r="L872" s="3" t="n">
        <v>2</v>
      </c>
      <c r="M872" s="3" t="n">
        <v>1</v>
      </c>
      <c r="N872" s="3" t="n">
        <v>2</v>
      </c>
      <c r="O872" s="3" t="n">
        <v>1</v>
      </c>
      <c r="P872" s="3" t="n">
        <v>1</v>
      </c>
      <c r="Q872" s="3" t="n">
        <v>1</v>
      </c>
      <c r="R872" s="3" t="n">
        <v>2</v>
      </c>
      <c r="S872" s="3" t="n">
        <v>2</v>
      </c>
      <c r="T872" s="4" t="n">
        <v>1</v>
      </c>
      <c r="U872" s="3" t="n">
        <v>1</v>
      </c>
      <c r="V872" s="3" t="n">
        <v>5.52</v>
      </c>
      <c r="W872" s="3" t="n">
        <v>5.2</v>
      </c>
      <c r="X872" s="3" t="n">
        <v>10</v>
      </c>
      <c r="Y872" s="3" t="n">
        <v>408</v>
      </c>
      <c r="Z872" s="3" t="n">
        <v>78</v>
      </c>
      <c r="AA872" s="3" t="n">
        <v>0.45</v>
      </c>
      <c r="AB872" s="3" t="n">
        <v>10.3</v>
      </c>
      <c r="AC872" s="3" t="n">
        <v>1</v>
      </c>
      <c r="AD872" s="3" t="n">
        <v>1</v>
      </c>
      <c r="AE872" s="3" t="n">
        <v>1</v>
      </c>
      <c r="AF872" s="3" t="n">
        <v>1</v>
      </c>
      <c r="AG872" s="3" t="n">
        <v>1</v>
      </c>
      <c r="AH872" s="3" t="n">
        <v>2</v>
      </c>
      <c r="AI872" s="3" t="n">
        <v>1</v>
      </c>
      <c r="AJ872" s="3" t="n">
        <v>1</v>
      </c>
      <c r="AK872" s="3" t="n">
        <v>1</v>
      </c>
      <c r="AL872" s="3" t="n">
        <v>2</v>
      </c>
      <c r="AM872" s="3" t="n">
        <v>1</v>
      </c>
      <c r="AN872" s="3" t="n">
        <v>2</v>
      </c>
      <c r="AO872" s="3" t="n">
        <v>2</v>
      </c>
      <c r="AP872" s="3" t="n">
        <v>3</v>
      </c>
      <c r="AQ872" s="3" t="n">
        <v>4</v>
      </c>
      <c r="AR872" s="3" t="n">
        <v>4</v>
      </c>
      <c r="AS872" s="3" t="n">
        <v>6</v>
      </c>
      <c r="AT872" s="3" t="n">
        <v>4</v>
      </c>
      <c r="AU872" s="3" t="n">
        <v>4</v>
      </c>
      <c r="AV872" s="3" t="n">
        <v>6</v>
      </c>
      <c r="AW872" s="3" t="n">
        <v>6</v>
      </c>
      <c r="AX872" s="3" t="n">
        <v>3</v>
      </c>
      <c r="AY872" s="3" t="n">
        <v>3</v>
      </c>
      <c r="AZ872" s="3" t="n">
        <v>1</v>
      </c>
      <c r="BA872" s="5" t="n">
        <v>5</v>
      </c>
      <c r="BB872" s="3" t="n">
        <v>2</v>
      </c>
      <c r="BC872" s="3" t="n">
        <v>1</v>
      </c>
      <c r="BD872" s="3" t="n">
        <v>6</v>
      </c>
      <c r="BE872" s="3" t="n">
        <v>3</v>
      </c>
      <c r="BF872" s="3" t="n">
        <v>5</v>
      </c>
      <c r="BG872" s="3" t="n">
        <v>3</v>
      </c>
      <c r="BH872" s="3" t="n">
        <v>4</v>
      </c>
      <c r="BI872" s="3" t="n">
        <v>1</v>
      </c>
      <c r="BJ872" s="3" t="n">
        <v>1</v>
      </c>
      <c r="BK872" s="6" t="s">
        <v>2294</v>
      </c>
    </row>
    <row r="873" customFormat="false" ht="15" hidden="false" customHeight="true" outlineLevel="0" collapsed="false">
      <c r="B873" s="2" t="s">
        <v>2295</v>
      </c>
      <c r="C873" s="2" t="s">
        <v>239</v>
      </c>
      <c r="D873" s="2" t="s">
        <v>102</v>
      </c>
      <c r="E873" s="2" t="n">
        <v>199847</v>
      </c>
      <c r="F873" s="15" t="n">
        <v>44028</v>
      </c>
      <c r="G873" s="15" t="n">
        <v>44034</v>
      </c>
      <c r="H873" s="3" t="n">
        <v>6</v>
      </c>
      <c r="I873" s="3" t="n">
        <v>2</v>
      </c>
      <c r="J873" s="3" t="n">
        <v>56</v>
      </c>
      <c r="K873" s="3" t="n">
        <v>1</v>
      </c>
      <c r="L873" s="3" t="n">
        <v>1</v>
      </c>
      <c r="M873" s="3" t="n">
        <v>2</v>
      </c>
      <c r="N873" s="3" t="n">
        <v>2</v>
      </c>
      <c r="O873" s="3" t="n">
        <v>2</v>
      </c>
      <c r="P873" s="3" t="n">
        <v>2</v>
      </c>
      <c r="Q873" s="3" t="n">
        <v>2</v>
      </c>
      <c r="R873" s="3" t="n">
        <v>2</v>
      </c>
      <c r="S873" s="3" t="n">
        <v>2</v>
      </c>
      <c r="T873" s="4" t="n">
        <v>2</v>
      </c>
      <c r="U873" s="3" t="n">
        <v>2</v>
      </c>
      <c r="V873" s="3" t="n">
        <v>4.67</v>
      </c>
      <c r="W873" s="3" t="n">
        <v>1.29</v>
      </c>
      <c r="X873" s="3" t="n">
        <v>5.7</v>
      </c>
      <c r="Y873" s="3" t="n">
        <v>288</v>
      </c>
      <c r="Z873" s="3" t="n">
        <v>74</v>
      </c>
      <c r="AA873" s="3" t="n">
        <v>0.47</v>
      </c>
      <c r="AB873" s="3" t="n">
        <v>10.9</v>
      </c>
      <c r="AC873" s="3" t="n">
        <v>1</v>
      </c>
      <c r="AD873" s="3" t="n">
        <v>2</v>
      </c>
      <c r="AE873" s="3" t="n">
        <v>1</v>
      </c>
      <c r="AF873" s="3" t="n">
        <v>1</v>
      </c>
      <c r="AG873" s="3" t="n">
        <v>2</v>
      </c>
      <c r="AH873" s="3" t="n">
        <v>2</v>
      </c>
      <c r="AI873" s="3" t="n">
        <v>1</v>
      </c>
      <c r="AJ873" s="3" t="n">
        <v>1</v>
      </c>
      <c r="AK873" s="3" t="n">
        <v>2</v>
      </c>
      <c r="AL873" s="3" t="n">
        <v>2</v>
      </c>
      <c r="AM873" s="3" t="n">
        <v>2</v>
      </c>
      <c r="AN873" s="3" t="n">
        <v>2</v>
      </c>
      <c r="AO873" s="3" t="n">
        <v>2</v>
      </c>
      <c r="AP873" s="3" t="n">
        <v>3</v>
      </c>
      <c r="AQ873" s="3" t="n">
        <v>4</v>
      </c>
      <c r="AR873" s="3" t="n">
        <v>4</v>
      </c>
      <c r="AS873" s="3" t="n">
        <v>6</v>
      </c>
      <c r="AT873" s="3" t="n">
        <v>4</v>
      </c>
      <c r="AU873" s="3" t="n">
        <v>4</v>
      </c>
      <c r="AV873" s="3" t="n">
        <v>6</v>
      </c>
      <c r="AW873" s="3" t="n">
        <v>6</v>
      </c>
      <c r="AX873" s="3" t="n">
        <v>3</v>
      </c>
      <c r="AY873" s="3" t="n">
        <v>3</v>
      </c>
      <c r="AZ873" s="3" t="n">
        <v>1</v>
      </c>
      <c r="BA873" s="5" t="n">
        <v>1</v>
      </c>
      <c r="BB873" s="3" t="n">
        <v>1</v>
      </c>
      <c r="BC873" s="3" t="n">
        <v>1</v>
      </c>
      <c r="BD873" s="3" t="n">
        <v>4</v>
      </c>
      <c r="BE873" s="3" t="n">
        <v>1</v>
      </c>
      <c r="BF873" s="3" t="n">
        <v>2</v>
      </c>
      <c r="BG873" s="3" t="n">
        <v>1</v>
      </c>
      <c r="BH873" s="3" t="n">
        <v>4</v>
      </c>
      <c r="BI873" s="3" t="n">
        <v>1</v>
      </c>
      <c r="BJ873" s="3" t="n">
        <v>1</v>
      </c>
      <c r="BK873" s="6" t="s">
        <v>1182</v>
      </c>
    </row>
    <row r="874" customFormat="false" ht="15" hidden="false" customHeight="true" outlineLevel="0" collapsed="false">
      <c r="B874" s="2" t="s">
        <v>653</v>
      </c>
      <c r="C874" s="2" t="s">
        <v>2296</v>
      </c>
      <c r="D874" s="2" t="s">
        <v>767</v>
      </c>
      <c r="E874" s="2" t="n">
        <v>199869</v>
      </c>
      <c r="F874" s="15" t="n">
        <v>44029</v>
      </c>
      <c r="G874" s="15" t="n">
        <v>44037</v>
      </c>
      <c r="H874" s="3" t="n">
        <v>8</v>
      </c>
      <c r="I874" s="3" t="n">
        <v>2</v>
      </c>
      <c r="J874" s="3" t="n">
        <v>58</v>
      </c>
      <c r="K874" s="3" t="n">
        <v>1</v>
      </c>
      <c r="L874" s="3" t="n">
        <v>1</v>
      </c>
      <c r="M874" s="3" t="n">
        <v>2</v>
      </c>
      <c r="N874" s="3" t="n">
        <v>2</v>
      </c>
      <c r="O874" s="3" t="n">
        <v>2</v>
      </c>
      <c r="P874" s="3" t="n">
        <v>2</v>
      </c>
      <c r="Q874" s="3" t="n">
        <v>1</v>
      </c>
      <c r="R874" s="3" t="n">
        <v>2</v>
      </c>
      <c r="S874" s="3" t="n">
        <v>2</v>
      </c>
      <c r="T874" s="4" t="n">
        <v>2</v>
      </c>
      <c r="U874" s="3" t="n">
        <v>2</v>
      </c>
      <c r="V874" s="3" t="n">
        <v>4.67</v>
      </c>
      <c r="W874" s="3" t="n">
        <v>2.92</v>
      </c>
      <c r="X874" s="3" t="n">
        <v>12.4</v>
      </c>
      <c r="Y874" s="3" t="n">
        <v>323</v>
      </c>
      <c r="Z874" s="3" t="n">
        <v>141</v>
      </c>
      <c r="AA874" s="3" t="n">
        <v>0.55</v>
      </c>
      <c r="AB874" s="3" t="n">
        <v>14.2</v>
      </c>
      <c r="AC874" s="3" t="n">
        <v>1</v>
      </c>
      <c r="AD874" s="3" t="n">
        <v>2</v>
      </c>
      <c r="AE874" s="3" t="n">
        <v>1</v>
      </c>
      <c r="AF874" s="3" t="n">
        <v>1</v>
      </c>
      <c r="AG874" s="3" t="n">
        <v>2</v>
      </c>
      <c r="AH874" s="3" t="n">
        <v>2</v>
      </c>
      <c r="AI874" s="3" t="n">
        <v>1</v>
      </c>
      <c r="AJ874" s="3" t="n">
        <v>1</v>
      </c>
      <c r="AK874" s="3" t="n">
        <v>2</v>
      </c>
      <c r="AL874" s="3" t="n">
        <v>2</v>
      </c>
      <c r="AM874" s="3" t="n">
        <v>2</v>
      </c>
      <c r="AN874" s="3" t="n">
        <v>2</v>
      </c>
      <c r="AO874" s="3" t="n">
        <v>2</v>
      </c>
      <c r="AP874" s="3" t="n">
        <v>3</v>
      </c>
      <c r="AQ874" s="3" t="n">
        <v>4</v>
      </c>
      <c r="AR874" s="3" t="n">
        <v>4</v>
      </c>
      <c r="AS874" s="3" t="n">
        <v>6</v>
      </c>
      <c r="AT874" s="3" t="n">
        <v>4</v>
      </c>
      <c r="AU874" s="3" t="n">
        <v>4</v>
      </c>
      <c r="AV874" s="3" t="n">
        <v>6</v>
      </c>
      <c r="AW874" s="3" t="n">
        <v>6</v>
      </c>
      <c r="AX874" s="3" t="n">
        <v>3</v>
      </c>
      <c r="AY874" s="3" t="n">
        <v>3</v>
      </c>
      <c r="AZ874" s="3" t="n">
        <v>1</v>
      </c>
      <c r="BA874" s="5" t="n">
        <v>1</v>
      </c>
      <c r="BB874" s="3" t="n">
        <v>1</v>
      </c>
      <c r="BC874" s="3" t="n">
        <v>1</v>
      </c>
      <c r="BD874" s="3" t="n">
        <v>4</v>
      </c>
      <c r="BE874" s="3" t="n">
        <v>1</v>
      </c>
      <c r="BF874" s="3" t="n">
        <v>2</v>
      </c>
      <c r="BG874" s="3" t="n">
        <v>1</v>
      </c>
      <c r="BH874" s="3" t="n">
        <v>4</v>
      </c>
      <c r="BI874" s="3" t="n">
        <v>1</v>
      </c>
      <c r="BJ874" s="3" t="n">
        <v>1</v>
      </c>
      <c r="BK874" s="6" t="s">
        <v>2297</v>
      </c>
    </row>
    <row r="875" customFormat="false" ht="15" hidden="false" customHeight="true" outlineLevel="0" collapsed="false">
      <c r="B875" s="2" t="s">
        <v>782</v>
      </c>
      <c r="C875" s="2" t="s">
        <v>2298</v>
      </c>
      <c r="D875" s="2" t="s">
        <v>2299</v>
      </c>
      <c r="E875" s="2" t="n">
        <v>199696</v>
      </c>
      <c r="F875" s="15" t="n">
        <v>44031</v>
      </c>
      <c r="G875" s="15" t="n">
        <v>44038</v>
      </c>
      <c r="H875" s="3" t="n">
        <v>7</v>
      </c>
      <c r="I875" s="3" t="n">
        <v>1</v>
      </c>
      <c r="J875" s="3" t="n">
        <v>90</v>
      </c>
      <c r="K875" s="3" t="n">
        <v>1</v>
      </c>
      <c r="L875" s="3" t="n">
        <v>2</v>
      </c>
      <c r="M875" s="3" t="n">
        <v>2</v>
      </c>
      <c r="N875" s="3" t="n">
        <v>1</v>
      </c>
      <c r="O875" s="3" t="n">
        <v>2</v>
      </c>
      <c r="P875" s="3" t="n">
        <v>2</v>
      </c>
      <c r="Q875" s="3" t="n">
        <v>2</v>
      </c>
      <c r="R875" s="3" t="n">
        <v>2</v>
      </c>
      <c r="S875" s="3" t="n">
        <v>2</v>
      </c>
      <c r="T875" s="4" t="n">
        <v>3</v>
      </c>
      <c r="U875" s="3" t="n">
        <v>4</v>
      </c>
      <c r="V875" s="3" t="n">
        <v>6.58</v>
      </c>
      <c r="W875" s="3" t="n">
        <v>1.82</v>
      </c>
      <c r="X875" s="3" t="n">
        <v>3.6</v>
      </c>
      <c r="Y875" s="3" t="n">
        <v>580</v>
      </c>
      <c r="Z875" s="3" t="n">
        <v>68</v>
      </c>
      <c r="AA875" s="3" t="n">
        <v>0.46</v>
      </c>
      <c r="AB875" s="3" t="n">
        <v>12.8</v>
      </c>
      <c r="AC875" s="3" t="n">
        <v>2</v>
      </c>
      <c r="AD875" s="3" t="n">
        <v>1</v>
      </c>
      <c r="AE875" s="3" t="n">
        <v>1</v>
      </c>
      <c r="AF875" s="3" t="n">
        <v>1</v>
      </c>
      <c r="AG875" s="3" t="n">
        <v>2</v>
      </c>
      <c r="AH875" s="3" t="n">
        <v>2</v>
      </c>
      <c r="AI875" s="3" t="n">
        <v>1</v>
      </c>
      <c r="AJ875" s="3" t="n">
        <v>1</v>
      </c>
      <c r="AK875" s="3" t="n">
        <v>2</v>
      </c>
      <c r="AL875" s="3" t="n">
        <v>2</v>
      </c>
      <c r="AM875" s="3" t="n">
        <v>1</v>
      </c>
      <c r="AN875" s="3" t="n">
        <v>2</v>
      </c>
      <c r="AO875" s="3" t="n">
        <v>1</v>
      </c>
      <c r="AP875" s="3" t="n">
        <v>3</v>
      </c>
      <c r="AQ875" s="3" t="n">
        <v>4</v>
      </c>
      <c r="AR875" s="3" t="n">
        <v>4</v>
      </c>
      <c r="AS875" s="3" t="n">
        <v>6</v>
      </c>
      <c r="AT875" s="3" t="n">
        <v>4</v>
      </c>
      <c r="AU875" s="3" t="n">
        <v>4</v>
      </c>
      <c r="AV875" s="3" t="n">
        <v>6</v>
      </c>
      <c r="AW875" s="3" t="n">
        <v>6</v>
      </c>
      <c r="AX875" s="3" t="n">
        <v>3</v>
      </c>
      <c r="AY875" s="3" t="n">
        <v>3</v>
      </c>
      <c r="AZ875" s="3" t="n">
        <v>1</v>
      </c>
      <c r="BA875" s="5" t="n">
        <v>11</v>
      </c>
      <c r="BB875" s="3" t="n">
        <v>2</v>
      </c>
      <c r="BC875" s="3" t="n">
        <v>1</v>
      </c>
      <c r="BD875" s="3" t="n">
        <v>6</v>
      </c>
      <c r="BE875" s="3" t="n">
        <v>3</v>
      </c>
      <c r="BF875" s="3" t="n">
        <v>5</v>
      </c>
      <c r="BG875" s="3" t="n">
        <v>3</v>
      </c>
      <c r="BH875" s="3" t="n">
        <v>4</v>
      </c>
      <c r="BI875" s="3" t="n">
        <v>1</v>
      </c>
      <c r="BJ875" s="3" t="n">
        <v>1</v>
      </c>
      <c r="BK875" s="6" t="s">
        <v>2300</v>
      </c>
    </row>
    <row r="876" customFormat="false" ht="15" hidden="false" customHeight="true" outlineLevel="0" collapsed="false">
      <c r="B876" s="2" t="s">
        <v>348</v>
      </c>
      <c r="C876" s="2" t="s">
        <v>2301</v>
      </c>
      <c r="D876" s="2" t="s">
        <v>2302</v>
      </c>
      <c r="E876" s="2" t="n">
        <v>199955</v>
      </c>
      <c r="F876" s="15" t="n">
        <v>44036</v>
      </c>
      <c r="G876" s="15" t="n">
        <v>44040</v>
      </c>
      <c r="H876" s="3" t="n">
        <v>4</v>
      </c>
      <c r="I876" s="3" t="n">
        <v>1</v>
      </c>
      <c r="J876" s="3" t="n">
        <v>58</v>
      </c>
      <c r="K876" s="3" t="n">
        <v>2</v>
      </c>
      <c r="L876" s="3" t="n">
        <v>2</v>
      </c>
      <c r="M876" s="3" t="n">
        <v>1</v>
      </c>
      <c r="N876" s="3" t="n">
        <v>2</v>
      </c>
      <c r="O876" s="3" t="n">
        <v>2</v>
      </c>
      <c r="P876" s="3" t="n">
        <v>2</v>
      </c>
      <c r="Q876" s="3" t="n">
        <v>2</v>
      </c>
      <c r="R876" s="3" t="n">
        <v>2</v>
      </c>
      <c r="S876" s="3" t="n">
        <v>2</v>
      </c>
      <c r="T876" s="4" t="n">
        <v>4</v>
      </c>
      <c r="U876" s="3" t="n">
        <v>4</v>
      </c>
      <c r="AC876" s="3" t="n">
        <v>1</v>
      </c>
      <c r="AD876" s="3" t="n">
        <v>1</v>
      </c>
      <c r="AE876" s="3" t="n">
        <v>2</v>
      </c>
      <c r="AF876" s="3" t="n">
        <v>1</v>
      </c>
      <c r="AG876" s="3" t="n">
        <v>2</v>
      </c>
      <c r="AH876" s="3" t="n">
        <v>2</v>
      </c>
      <c r="AI876" s="3" t="n">
        <v>2</v>
      </c>
      <c r="AJ876" s="3" t="n">
        <v>2</v>
      </c>
      <c r="AK876" s="3" t="n">
        <v>2</v>
      </c>
      <c r="AL876" s="3" t="n">
        <v>2</v>
      </c>
      <c r="AM876" s="3" t="n">
        <v>2</v>
      </c>
      <c r="AN876" s="3" t="n">
        <v>2</v>
      </c>
      <c r="AO876" s="3" t="n">
        <v>1</v>
      </c>
      <c r="AP876" s="3" t="n">
        <v>3</v>
      </c>
      <c r="AQ876" s="3" t="n">
        <v>4</v>
      </c>
      <c r="AR876" s="3" t="n">
        <v>4</v>
      </c>
      <c r="AS876" s="3" t="n">
        <v>6</v>
      </c>
      <c r="AT876" s="3" t="n">
        <v>4</v>
      </c>
      <c r="AU876" s="3" t="n">
        <v>4</v>
      </c>
      <c r="AV876" s="3" t="n">
        <v>6</v>
      </c>
      <c r="AW876" s="3" t="n">
        <v>6</v>
      </c>
      <c r="AX876" s="3" t="n">
        <v>3</v>
      </c>
      <c r="AY876" s="3" t="n">
        <v>3</v>
      </c>
      <c r="AZ876" s="3" t="n">
        <v>1</v>
      </c>
      <c r="BA876" s="5" t="n">
        <v>10</v>
      </c>
      <c r="BB876" s="3" t="n">
        <v>2</v>
      </c>
      <c r="BC876" s="3" t="n">
        <v>1</v>
      </c>
      <c r="BD876" s="3" t="n">
        <v>6</v>
      </c>
      <c r="BE876" s="3" t="n">
        <v>3</v>
      </c>
      <c r="BF876" s="3" t="n">
        <v>5</v>
      </c>
      <c r="BG876" s="3" t="n">
        <v>3</v>
      </c>
      <c r="BH876" s="3" t="n">
        <v>4</v>
      </c>
      <c r="BI876" s="3" t="n">
        <v>1</v>
      </c>
      <c r="BJ876" s="3" t="n">
        <v>1</v>
      </c>
      <c r="BK876" s="6" t="s">
        <v>2303</v>
      </c>
    </row>
    <row r="877" customFormat="false" ht="15" hidden="false" customHeight="true" outlineLevel="0" collapsed="false">
      <c r="B877" s="2" t="s">
        <v>1116</v>
      </c>
      <c r="C877" s="2" t="s">
        <v>169</v>
      </c>
      <c r="D877" s="2" t="s">
        <v>307</v>
      </c>
      <c r="E877" s="2" t="n">
        <v>199794</v>
      </c>
      <c r="F877" s="15" t="n">
        <v>44034</v>
      </c>
      <c r="G877" s="15" t="n">
        <v>44040</v>
      </c>
      <c r="H877" s="3" t="n">
        <v>6</v>
      </c>
      <c r="I877" s="3" t="n">
        <v>2</v>
      </c>
      <c r="J877" s="3" t="n">
        <v>81</v>
      </c>
      <c r="K877" s="3" t="n">
        <v>1</v>
      </c>
      <c r="L877" s="3" t="n">
        <v>1</v>
      </c>
      <c r="M877" s="3" t="n">
        <v>1</v>
      </c>
      <c r="N877" s="3" t="n">
        <v>2</v>
      </c>
      <c r="O877" s="3" t="n">
        <v>2</v>
      </c>
      <c r="P877" s="3" t="n">
        <v>2</v>
      </c>
      <c r="Q877" s="3" t="n">
        <v>2</v>
      </c>
      <c r="R877" s="3" t="n">
        <v>2</v>
      </c>
      <c r="S877" s="3" t="n">
        <v>2</v>
      </c>
      <c r="T877" s="4" t="n">
        <v>2</v>
      </c>
      <c r="U877" s="3" t="n">
        <v>2</v>
      </c>
      <c r="AC877" s="3" t="n">
        <v>1</v>
      </c>
      <c r="AD877" s="3" t="n">
        <v>1</v>
      </c>
      <c r="AE877" s="3" t="n">
        <v>1</v>
      </c>
      <c r="AF877" s="3" t="n">
        <v>1</v>
      </c>
      <c r="AG877" s="3" t="n">
        <v>2</v>
      </c>
      <c r="AH877" s="3" t="n">
        <v>2</v>
      </c>
      <c r="AI877" s="3" t="n">
        <v>1</v>
      </c>
      <c r="AJ877" s="3" t="n">
        <v>1</v>
      </c>
      <c r="AK877" s="3" t="n">
        <v>2</v>
      </c>
      <c r="AL877" s="3" t="n">
        <v>2</v>
      </c>
      <c r="AM877" s="3" t="n">
        <v>2</v>
      </c>
      <c r="AN877" s="3" t="n">
        <v>2</v>
      </c>
      <c r="AO877" s="3" t="n">
        <v>2</v>
      </c>
      <c r="AP877" s="3" t="n">
        <v>3</v>
      </c>
      <c r="AQ877" s="3" t="n">
        <v>4</v>
      </c>
      <c r="AR877" s="3" t="n">
        <v>4</v>
      </c>
      <c r="AS877" s="3" t="n">
        <v>6</v>
      </c>
      <c r="AT877" s="3" t="n">
        <v>4</v>
      </c>
      <c r="AU877" s="3" t="n">
        <v>4</v>
      </c>
      <c r="AV877" s="3" t="n">
        <v>6</v>
      </c>
      <c r="AW877" s="3" t="n">
        <v>6</v>
      </c>
      <c r="AX877" s="3" t="n">
        <v>3</v>
      </c>
      <c r="AY877" s="3" t="n">
        <v>3</v>
      </c>
      <c r="AZ877" s="3" t="n">
        <v>1</v>
      </c>
      <c r="BA877" s="5" t="n">
        <v>1</v>
      </c>
      <c r="BB877" s="3" t="n">
        <v>1</v>
      </c>
      <c r="BC877" s="3" t="n">
        <v>1</v>
      </c>
      <c r="BD877" s="3" t="n">
        <v>2</v>
      </c>
      <c r="BE877" s="3" t="n">
        <v>3</v>
      </c>
      <c r="BF877" s="3" t="n">
        <v>5</v>
      </c>
      <c r="BG877" s="3" t="n">
        <v>3</v>
      </c>
      <c r="BH877" s="3" t="n">
        <v>4</v>
      </c>
      <c r="BI877" s="3" t="n">
        <v>1</v>
      </c>
      <c r="BJ877" s="3" t="n">
        <v>1</v>
      </c>
      <c r="BK877" s="6" t="s">
        <v>2304</v>
      </c>
    </row>
    <row r="878" customFormat="false" ht="15" hidden="false" customHeight="true" outlineLevel="0" collapsed="false">
      <c r="B878" s="2" t="s">
        <v>2305</v>
      </c>
      <c r="C878" s="2" t="s">
        <v>2306</v>
      </c>
      <c r="D878" s="2" t="s">
        <v>2307</v>
      </c>
      <c r="E878" s="2" t="n">
        <v>200501</v>
      </c>
      <c r="F878" s="15" t="n">
        <v>44037</v>
      </c>
      <c r="G878" s="15" t="n">
        <v>44042</v>
      </c>
      <c r="H878" s="3" t="n">
        <v>5</v>
      </c>
      <c r="I878" s="3" t="n">
        <v>2</v>
      </c>
      <c r="J878" s="3" t="n">
        <v>69</v>
      </c>
      <c r="K878" s="3" t="n">
        <v>1</v>
      </c>
      <c r="L878" s="3" t="n">
        <v>2</v>
      </c>
      <c r="M878" s="3" t="n">
        <v>1</v>
      </c>
      <c r="N878" s="3" t="n">
        <v>1</v>
      </c>
      <c r="O878" s="3" t="n">
        <v>1</v>
      </c>
      <c r="P878" s="3" t="n">
        <v>2</v>
      </c>
      <c r="Q878" s="3" t="n">
        <v>2</v>
      </c>
      <c r="R878" s="3" t="n">
        <v>2</v>
      </c>
      <c r="S878" s="3" t="n">
        <v>2</v>
      </c>
      <c r="T878" s="4" t="n">
        <v>1</v>
      </c>
      <c r="U878" s="3" t="n">
        <v>1</v>
      </c>
      <c r="V878" s="3" t="n">
        <v>4.42</v>
      </c>
      <c r="W878" s="3" t="n">
        <v>1.14</v>
      </c>
      <c r="X878" s="3" t="n">
        <v>4.5</v>
      </c>
      <c r="Y878" s="3" t="n">
        <v>223</v>
      </c>
      <c r="Z878" s="3" t="n">
        <v>130</v>
      </c>
      <c r="AA878" s="3" t="n">
        <v>0.46</v>
      </c>
      <c r="AB878" s="3" t="n">
        <v>4.5</v>
      </c>
      <c r="AC878" s="3" t="n">
        <v>1</v>
      </c>
      <c r="AD878" s="3" t="n">
        <v>2</v>
      </c>
      <c r="AE878" s="3" t="n">
        <v>1</v>
      </c>
      <c r="AF878" s="3" t="n">
        <v>1</v>
      </c>
      <c r="AG878" s="3" t="n">
        <v>2</v>
      </c>
      <c r="AH878" s="3" t="n">
        <v>1</v>
      </c>
      <c r="AI878" s="3" t="n">
        <v>1</v>
      </c>
      <c r="AJ878" s="3" t="n">
        <v>1</v>
      </c>
      <c r="AK878" s="3" t="n">
        <v>2</v>
      </c>
      <c r="AL878" s="3" t="n">
        <v>2</v>
      </c>
      <c r="AM878" s="3" t="n">
        <v>2</v>
      </c>
      <c r="AN878" s="3" t="n">
        <v>2</v>
      </c>
      <c r="AO878" s="3" t="n">
        <v>2</v>
      </c>
      <c r="AP878" s="3" t="n">
        <v>3</v>
      </c>
      <c r="AQ878" s="3" t="n">
        <v>4</v>
      </c>
      <c r="AR878" s="3" t="n">
        <v>4</v>
      </c>
      <c r="AS878" s="3" t="n">
        <v>6</v>
      </c>
      <c r="AT878" s="3" t="n">
        <v>4</v>
      </c>
      <c r="AU878" s="3" t="n">
        <v>4</v>
      </c>
      <c r="AV878" s="3" t="n">
        <v>6</v>
      </c>
      <c r="AW878" s="3" t="n">
        <v>6</v>
      </c>
      <c r="AX878" s="3" t="n">
        <v>3</v>
      </c>
      <c r="AY878" s="3" t="n">
        <v>3</v>
      </c>
      <c r="AZ878" s="3" t="n">
        <v>1</v>
      </c>
      <c r="BA878" s="5" t="n">
        <v>5</v>
      </c>
      <c r="BB878" s="3" t="n">
        <v>2</v>
      </c>
      <c r="BC878" s="3" t="n">
        <v>1</v>
      </c>
      <c r="BD878" s="3" t="n">
        <v>6</v>
      </c>
      <c r="BE878" s="3" t="n">
        <v>3</v>
      </c>
      <c r="BF878" s="3" t="n">
        <v>5</v>
      </c>
      <c r="BG878" s="3" t="n">
        <v>3</v>
      </c>
      <c r="BH878" s="3" t="n">
        <v>4</v>
      </c>
      <c r="BI878" s="3" t="n">
        <v>1</v>
      </c>
      <c r="BJ878" s="3" t="n">
        <v>1</v>
      </c>
      <c r="BK878" s="6" t="s">
        <v>2308</v>
      </c>
    </row>
    <row r="879" customFormat="false" ht="15" hidden="false" customHeight="true" outlineLevel="0" collapsed="false">
      <c r="B879" s="2" t="s">
        <v>2309</v>
      </c>
      <c r="C879" s="2" t="s">
        <v>95</v>
      </c>
      <c r="D879" s="2" t="s">
        <v>118</v>
      </c>
      <c r="E879" s="2" t="n">
        <v>200502</v>
      </c>
      <c r="F879" s="15" t="n">
        <v>44037</v>
      </c>
      <c r="G879" s="15" t="n">
        <v>44043</v>
      </c>
      <c r="H879" s="3" t="n">
        <v>6</v>
      </c>
      <c r="I879" s="3" t="n">
        <v>1</v>
      </c>
      <c r="J879" s="3" t="n">
        <v>66</v>
      </c>
      <c r="K879" s="3" t="n">
        <v>2</v>
      </c>
      <c r="L879" s="3" t="n">
        <v>1</v>
      </c>
      <c r="M879" s="3" t="n">
        <v>2</v>
      </c>
      <c r="N879" s="3" t="n">
        <v>2</v>
      </c>
      <c r="O879" s="3" t="n">
        <v>2</v>
      </c>
      <c r="P879" s="3" t="n">
        <v>2</v>
      </c>
      <c r="Q879" s="3" t="n">
        <v>2</v>
      </c>
      <c r="R879" s="3" t="n">
        <v>2</v>
      </c>
      <c r="S879" s="3" t="n">
        <v>2</v>
      </c>
      <c r="T879" s="4" t="n">
        <v>2</v>
      </c>
      <c r="U879" s="3" t="n">
        <v>2</v>
      </c>
      <c r="V879" s="3" t="n">
        <v>5.28</v>
      </c>
      <c r="W879" s="3" t="n">
        <v>1.96</v>
      </c>
      <c r="X879" s="3" t="n">
        <v>9.2</v>
      </c>
      <c r="Y879" s="3" t="n">
        <v>87</v>
      </c>
      <c r="Z879" s="3" t="n">
        <v>104</v>
      </c>
      <c r="AA879" s="3" t="n">
        <v>0.48</v>
      </c>
      <c r="AB879" s="3" t="n">
        <v>8.4</v>
      </c>
      <c r="AC879" s="3" t="n">
        <v>1</v>
      </c>
      <c r="AD879" s="3" t="n">
        <v>2</v>
      </c>
      <c r="AE879" s="3" t="n">
        <v>1</v>
      </c>
      <c r="AF879" s="3" t="n">
        <v>1</v>
      </c>
      <c r="AG879" s="3" t="n">
        <v>2</v>
      </c>
      <c r="AH879" s="3" t="n">
        <v>2</v>
      </c>
      <c r="AI879" s="3" t="n">
        <v>1</v>
      </c>
      <c r="AJ879" s="3" t="n">
        <v>1</v>
      </c>
      <c r="AK879" s="3" t="n">
        <v>2</v>
      </c>
      <c r="AL879" s="3" t="n">
        <v>2</v>
      </c>
      <c r="AM879" s="3" t="n">
        <v>1</v>
      </c>
      <c r="AN879" s="3" t="n">
        <v>2</v>
      </c>
      <c r="AO879" s="3" t="n">
        <v>2</v>
      </c>
      <c r="AP879" s="3" t="n">
        <v>3</v>
      </c>
      <c r="AQ879" s="3" t="n">
        <v>4</v>
      </c>
      <c r="AR879" s="3" t="n">
        <v>4</v>
      </c>
      <c r="AS879" s="3" t="n">
        <v>6</v>
      </c>
      <c r="AT879" s="3" t="n">
        <v>4</v>
      </c>
      <c r="AU879" s="3" t="n">
        <v>4</v>
      </c>
      <c r="AV879" s="3" t="n">
        <v>6</v>
      </c>
      <c r="AW879" s="3" t="n">
        <v>6</v>
      </c>
      <c r="AX879" s="3" t="n">
        <v>3</v>
      </c>
      <c r="AY879" s="3" t="n">
        <v>3</v>
      </c>
      <c r="AZ879" s="3" t="n">
        <v>1</v>
      </c>
      <c r="BA879" s="5" t="n">
        <v>1</v>
      </c>
      <c r="BB879" s="3" t="n">
        <v>1</v>
      </c>
      <c r="BC879" s="3" t="n">
        <v>1</v>
      </c>
      <c r="BD879" s="3" t="n">
        <v>4</v>
      </c>
      <c r="BE879" s="3" t="n">
        <v>1</v>
      </c>
      <c r="BF879" s="3" t="n">
        <v>2</v>
      </c>
      <c r="BG879" s="3" t="n">
        <v>1</v>
      </c>
      <c r="BH879" s="3" t="n">
        <v>4</v>
      </c>
      <c r="BI879" s="3" t="n">
        <v>1</v>
      </c>
      <c r="BJ879" s="3" t="n">
        <v>1</v>
      </c>
      <c r="BK879" s="6" t="s">
        <v>1182</v>
      </c>
    </row>
    <row r="880" customFormat="false" ht="15" hidden="false" customHeight="true" outlineLevel="0" collapsed="false">
      <c r="B880" s="2" t="s">
        <v>413</v>
      </c>
      <c r="C880" s="2" t="s">
        <v>2310</v>
      </c>
      <c r="D880" s="2" t="s">
        <v>172</v>
      </c>
      <c r="E880" s="2" t="n">
        <v>200242</v>
      </c>
      <c r="F880" s="15" t="n">
        <v>44038</v>
      </c>
      <c r="G880" s="15" t="n">
        <v>44044</v>
      </c>
      <c r="H880" s="3" t="n">
        <v>6</v>
      </c>
      <c r="I880" s="3" t="n">
        <v>2</v>
      </c>
      <c r="J880" s="3" t="n">
        <v>49</v>
      </c>
      <c r="K880" s="3" t="n">
        <v>2</v>
      </c>
      <c r="L880" s="3" t="n">
        <v>2</v>
      </c>
      <c r="M880" s="3" t="n">
        <v>1</v>
      </c>
      <c r="N880" s="3" t="n">
        <v>2</v>
      </c>
      <c r="O880" s="3" t="n">
        <v>2</v>
      </c>
      <c r="P880" s="3" t="n">
        <v>2</v>
      </c>
      <c r="Q880" s="3" t="n">
        <v>2</v>
      </c>
      <c r="R880" s="3" t="n">
        <v>2</v>
      </c>
      <c r="S880" s="3" t="n">
        <v>2</v>
      </c>
      <c r="T880" s="4" t="n">
        <v>2</v>
      </c>
      <c r="U880" s="3" t="n">
        <v>2</v>
      </c>
      <c r="V880" s="3" t="n">
        <v>3.77</v>
      </c>
      <c r="W880" s="3" t="n">
        <v>0.96</v>
      </c>
      <c r="X880" s="3" t="n">
        <v>8.2</v>
      </c>
      <c r="Y880" s="3" t="n">
        <v>166</v>
      </c>
      <c r="Z880" s="3" t="n">
        <v>85</v>
      </c>
      <c r="AA880" s="3" t="n">
        <v>0.47</v>
      </c>
      <c r="AB880" s="3" t="n">
        <v>9</v>
      </c>
      <c r="AC880" s="3" t="n">
        <v>1</v>
      </c>
      <c r="AD880" s="3" t="n">
        <v>2</v>
      </c>
      <c r="AE880" s="3" t="n">
        <v>1</v>
      </c>
      <c r="AF880" s="3" t="n">
        <v>1</v>
      </c>
      <c r="AG880" s="3" t="n">
        <v>2</v>
      </c>
      <c r="AH880" s="3" t="n">
        <v>2</v>
      </c>
      <c r="AI880" s="3" t="n">
        <v>1</v>
      </c>
      <c r="AJ880" s="3" t="n">
        <v>1</v>
      </c>
      <c r="AK880" s="3" t="n">
        <v>2</v>
      </c>
      <c r="AL880" s="3" t="n">
        <v>2</v>
      </c>
      <c r="AM880" s="3" t="n">
        <v>2</v>
      </c>
      <c r="AN880" s="3" t="n">
        <v>2</v>
      </c>
      <c r="AO880" s="3" t="n">
        <v>2</v>
      </c>
      <c r="AP880" s="3" t="n">
        <v>3</v>
      </c>
      <c r="AQ880" s="3" t="n">
        <v>4</v>
      </c>
      <c r="AR880" s="3" t="n">
        <v>4</v>
      </c>
      <c r="AS880" s="3" t="n">
        <v>6</v>
      </c>
      <c r="AT880" s="3" t="n">
        <v>4</v>
      </c>
      <c r="AU880" s="3" t="n">
        <v>4</v>
      </c>
      <c r="AV880" s="3" t="n">
        <v>6</v>
      </c>
      <c r="AW880" s="3" t="n">
        <v>6</v>
      </c>
      <c r="AX880" s="3" t="n">
        <v>3</v>
      </c>
      <c r="AY880" s="3" t="n">
        <v>3</v>
      </c>
      <c r="AZ880" s="3" t="n">
        <v>1</v>
      </c>
      <c r="BA880" s="5" t="n">
        <v>1</v>
      </c>
      <c r="BB880" s="3" t="n">
        <v>1</v>
      </c>
      <c r="BC880" s="3" t="n">
        <v>1</v>
      </c>
      <c r="BD880" s="3" t="n">
        <v>4</v>
      </c>
      <c r="BE880" s="3" t="n">
        <v>1</v>
      </c>
      <c r="BF880" s="3" t="n">
        <v>2</v>
      </c>
      <c r="BG880" s="3" t="n">
        <v>1</v>
      </c>
      <c r="BH880" s="3" t="n">
        <v>4</v>
      </c>
      <c r="BI880" s="3" t="n">
        <v>1</v>
      </c>
      <c r="BJ880" s="3" t="n">
        <v>1</v>
      </c>
      <c r="BK880" s="6" t="s">
        <v>1182</v>
      </c>
    </row>
    <row r="881" customFormat="false" ht="15" hidden="false" customHeight="true" outlineLevel="0" collapsed="false">
      <c r="B881" s="2" t="s">
        <v>1477</v>
      </c>
      <c r="C881" s="2" t="s">
        <v>2203</v>
      </c>
      <c r="D881" s="2" t="s">
        <v>118</v>
      </c>
      <c r="E881" s="2" t="n">
        <v>200421</v>
      </c>
      <c r="F881" s="15" t="n">
        <v>44042</v>
      </c>
      <c r="G881" s="15" t="n">
        <v>44046</v>
      </c>
      <c r="H881" s="3" t="n">
        <v>4</v>
      </c>
      <c r="I881" s="3" t="n">
        <v>2</v>
      </c>
      <c r="J881" s="3" t="n">
        <v>60</v>
      </c>
      <c r="K881" s="3" t="n">
        <v>1</v>
      </c>
      <c r="L881" s="3" t="n">
        <v>2</v>
      </c>
      <c r="M881" s="3" t="n">
        <v>1</v>
      </c>
      <c r="N881" s="3" t="n">
        <v>1</v>
      </c>
      <c r="O881" s="3" t="n">
        <v>2</v>
      </c>
      <c r="P881" s="3" t="n">
        <v>2</v>
      </c>
      <c r="Q881" s="3" t="n">
        <v>2</v>
      </c>
      <c r="R881" s="3" t="n">
        <v>2</v>
      </c>
      <c r="S881" s="3" t="n">
        <v>2</v>
      </c>
      <c r="T881" s="4" t="n">
        <v>1</v>
      </c>
      <c r="U881" s="3" t="n">
        <v>1</v>
      </c>
      <c r="AC881" s="3" t="n">
        <v>1</v>
      </c>
      <c r="AD881" s="3" t="n">
        <v>1</v>
      </c>
      <c r="AE881" s="3" t="n">
        <v>1</v>
      </c>
      <c r="AF881" s="3" t="n">
        <v>1</v>
      </c>
      <c r="AG881" s="3" t="n">
        <v>2</v>
      </c>
      <c r="AH881" s="3" t="n">
        <v>1</v>
      </c>
      <c r="AI881" s="3" t="n">
        <v>1</v>
      </c>
      <c r="AJ881" s="3" t="n">
        <v>1</v>
      </c>
      <c r="AK881" s="3" t="n">
        <v>2</v>
      </c>
      <c r="AL881" s="3" t="n">
        <v>2</v>
      </c>
      <c r="AM881" s="3" t="n">
        <v>2</v>
      </c>
      <c r="AN881" s="3" t="n">
        <v>2</v>
      </c>
      <c r="AO881" s="3" t="n">
        <v>2</v>
      </c>
      <c r="AP881" s="3" t="n">
        <v>3</v>
      </c>
      <c r="AQ881" s="3" t="n">
        <v>4</v>
      </c>
      <c r="AR881" s="3" t="n">
        <v>4</v>
      </c>
      <c r="AS881" s="3" t="n">
        <v>6</v>
      </c>
      <c r="AT881" s="3" t="n">
        <v>4</v>
      </c>
      <c r="AU881" s="3" t="n">
        <v>4</v>
      </c>
      <c r="AV881" s="3" t="n">
        <v>6</v>
      </c>
      <c r="AW881" s="3" t="n">
        <v>6</v>
      </c>
      <c r="AX881" s="3" t="n">
        <v>3</v>
      </c>
      <c r="AY881" s="3" t="n">
        <v>3</v>
      </c>
      <c r="AZ881" s="3" t="n">
        <v>1</v>
      </c>
      <c r="BA881" s="5" t="n">
        <v>5</v>
      </c>
      <c r="BB881" s="3" t="n">
        <v>2</v>
      </c>
      <c r="BC881" s="3" t="n">
        <v>1</v>
      </c>
      <c r="BD881" s="3" t="n">
        <v>6</v>
      </c>
      <c r="BE881" s="3" t="n">
        <v>3</v>
      </c>
      <c r="BF881" s="3" t="n">
        <v>5</v>
      </c>
      <c r="BG881" s="3" t="n">
        <v>3</v>
      </c>
      <c r="BH881" s="3" t="n">
        <v>4</v>
      </c>
      <c r="BI881" s="3" t="n">
        <v>1</v>
      </c>
      <c r="BJ881" s="3" t="n">
        <v>1</v>
      </c>
      <c r="BK881" s="6" t="s">
        <v>2311</v>
      </c>
    </row>
    <row r="882" customFormat="false" ht="15" hidden="false" customHeight="true" outlineLevel="0" collapsed="false">
      <c r="B882" s="2" t="s">
        <v>2295</v>
      </c>
      <c r="C882" s="2" t="s">
        <v>239</v>
      </c>
      <c r="D882" s="2" t="s">
        <v>102</v>
      </c>
      <c r="E882" s="2" t="n">
        <v>199847</v>
      </c>
      <c r="F882" s="15" t="n">
        <v>44040</v>
      </c>
      <c r="G882" s="15" t="n">
        <v>44047</v>
      </c>
      <c r="H882" s="3" t="n">
        <v>7</v>
      </c>
      <c r="I882" s="3" t="n">
        <v>2</v>
      </c>
      <c r="J882" s="3" t="n">
        <v>56</v>
      </c>
      <c r="K882" s="3" t="n">
        <v>1</v>
      </c>
      <c r="L882" s="3" t="n">
        <v>1</v>
      </c>
      <c r="M882" s="3" t="n">
        <v>2</v>
      </c>
      <c r="N882" s="3" t="n">
        <v>2</v>
      </c>
      <c r="O882" s="3" t="n">
        <v>2</v>
      </c>
      <c r="P882" s="3" t="n">
        <v>2</v>
      </c>
      <c r="Q882" s="3" t="n">
        <v>2</v>
      </c>
      <c r="R882" s="3" t="n">
        <v>2</v>
      </c>
      <c r="S882" s="3" t="n">
        <v>2</v>
      </c>
      <c r="T882" s="4" t="n">
        <v>1</v>
      </c>
      <c r="U882" s="3" t="n">
        <v>1</v>
      </c>
      <c r="V882" s="3" t="n">
        <v>3.86</v>
      </c>
      <c r="W882" s="3" t="n">
        <v>1.51</v>
      </c>
      <c r="X882" s="3" t="n">
        <v>9.1</v>
      </c>
      <c r="Y882" s="3" t="n">
        <v>319</v>
      </c>
      <c r="Z882" s="3" t="n">
        <v>76</v>
      </c>
      <c r="AA882" s="3" t="n">
        <v>0.45</v>
      </c>
      <c r="AB882" s="3" t="n">
        <v>10.4</v>
      </c>
      <c r="AC882" s="3" t="n">
        <v>1</v>
      </c>
      <c r="AD882" s="3" t="n">
        <v>2</v>
      </c>
      <c r="AE882" s="3" t="n">
        <v>1</v>
      </c>
      <c r="AF882" s="3" t="n">
        <v>1</v>
      </c>
      <c r="AG882" s="3" t="n">
        <v>2</v>
      </c>
      <c r="AH882" s="3" t="n">
        <v>2</v>
      </c>
      <c r="AI882" s="3" t="n">
        <v>1</v>
      </c>
      <c r="AJ882" s="3" t="n">
        <v>1</v>
      </c>
      <c r="AK882" s="3" t="n">
        <v>2</v>
      </c>
      <c r="AL882" s="3" t="n">
        <v>2</v>
      </c>
      <c r="AM882" s="3" t="n">
        <v>2</v>
      </c>
      <c r="AN882" s="3" t="n">
        <v>2</v>
      </c>
      <c r="AO882" s="3" t="n">
        <v>2</v>
      </c>
      <c r="AP882" s="3" t="n">
        <v>3</v>
      </c>
      <c r="AQ882" s="3" t="n">
        <v>4</v>
      </c>
      <c r="AR882" s="3" t="n">
        <v>4</v>
      </c>
      <c r="AS882" s="3" t="n">
        <v>6</v>
      </c>
      <c r="AT882" s="3" t="n">
        <v>4</v>
      </c>
      <c r="AU882" s="3" t="n">
        <v>4</v>
      </c>
      <c r="AV882" s="3" t="n">
        <v>6</v>
      </c>
      <c r="AW882" s="3" t="n">
        <v>6</v>
      </c>
      <c r="AX882" s="3" t="n">
        <v>3</v>
      </c>
      <c r="AY882" s="3" t="n">
        <v>3</v>
      </c>
      <c r="AZ882" s="3" t="n">
        <v>1</v>
      </c>
      <c r="BA882" s="5" t="n">
        <v>5</v>
      </c>
      <c r="BB882" s="3" t="n">
        <v>2</v>
      </c>
      <c r="BC882" s="3" t="n">
        <v>1</v>
      </c>
      <c r="BD882" s="3" t="n">
        <v>6</v>
      </c>
      <c r="BE882" s="3" t="n">
        <v>3</v>
      </c>
      <c r="BF882" s="3" t="n">
        <v>5</v>
      </c>
      <c r="BG882" s="3" t="n">
        <v>3</v>
      </c>
      <c r="BH882" s="3" t="n">
        <v>4</v>
      </c>
      <c r="BI882" s="3" t="n">
        <v>1</v>
      </c>
      <c r="BJ882" s="3" t="n">
        <v>1</v>
      </c>
      <c r="BK882" s="6" t="s">
        <v>2312</v>
      </c>
    </row>
    <row r="883" customFormat="false" ht="15" hidden="false" customHeight="true" outlineLevel="0" collapsed="false">
      <c r="B883" s="2" t="s">
        <v>2313</v>
      </c>
      <c r="C883" s="2" t="s">
        <v>886</v>
      </c>
      <c r="D883" s="2" t="s">
        <v>519</v>
      </c>
      <c r="E883" s="2" t="n">
        <v>200992</v>
      </c>
      <c r="F883" s="15" t="n">
        <v>44046</v>
      </c>
      <c r="G883" s="15" t="n">
        <v>44049</v>
      </c>
      <c r="H883" s="3" t="n">
        <v>3</v>
      </c>
      <c r="I883" s="3" t="n">
        <v>2</v>
      </c>
      <c r="J883" s="3" t="n">
        <v>65</v>
      </c>
      <c r="K883" s="3" t="n">
        <v>2</v>
      </c>
      <c r="L883" s="3" t="n">
        <v>2</v>
      </c>
      <c r="M883" s="3" t="n">
        <v>1</v>
      </c>
      <c r="N883" s="3" t="n">
        <v>2</v>
      </c>
      <c r="O883" s="3" t="n">
        <v>2</v>
      </c>
      <c r="P883" s="3" t="n">
        <v>2</v>
      </c>
      <c r="Q883" s="3" t="n">
        <v>2</v>
      </c>
      <c r="R883" s="3" t="n">
        <v>2</v>
      </c>
      <c r="S883" s="3" t="n">
        <v>2</v>
      </c>
      <c r="T883" s="4" t="n">
        <v>2</v>
      </c>
      <c r="U883" s="3" t="n">
        <v>2</v>
      </c>
      <c r="V883" s="3" t="n">
        <v>5.4</v>
      </c>
      <c r="W883" s="3" t="n">
        <v>2.9</v>
      </c>
      <c r="X883" s="3" t="n">
        <v>7.1</v>
      </c>
      <c r="Y883" s="3" t="n">
        <v>396</v>
      </c>
      <c r="Z883" s="3" t="n">
        <v>149</v>
      </c>
      <c r="AA883" s="3" t="n">
        <v>0.48</v>
      </c>
      <c r="AB883" s="3" t="n">
        <v>7</v>
      </c>
      <c r="AC883" s="3" t="n">
        <v>1</v>
      </c>
      <c r="AD883" s="3" t="n">
        <v>2</v>
      </c>
      <c r="AE883" s="3" t="n">
        <v>1</v>
      </c>
      <c r="AF883" s="3" t="n">
        <v>1</v>
      </c>
      <c r="AG883" s="3" t="n">
        <v>1</v>
      </c>
      <c r="AH883" s="3" t="n">
        <v>1</v>
      </c>
      <c r="AI883" s="3" t="n">
        <v>1</v>
      </c>
      <c r="AJ883" s="3" t="n">
        <v>1</v>
      </c>
      <c r="AK883" s="3" t="n">
        <v>2</v>
      </c>
      <c r="AL883" s="3" t="n">
        <v>2</v>
      </c>
      <c r="AM883" s="3" t="n">
        <v>2</v>
      </c>
      <c r="AN883" s="3" t="n">
        <v>2</v>
      </c>
      <c r="AO883" s="3" t="n">
        <v>2</v>
      </c>
      <c r="AP883" s="3" t="n">
        <v>3</v>
      </c>
      <c r="AQ883" s="3" t="n">
        <v>4</v>
      </c>
      <c r="AR883" s="3" t="n">
        <v>4</v>
      </c>
      <c r="AS883" s="3" t="n">
        <v>6</v>
      </c>
      <c r="AT883" s="3" t="n">
        <v>4</v>
      </c>
      <c r="AU883" s="3" t="n">
        <v>4</v>
      </c>
      <c r="AV883" s="3" t="n">
        <v>6</v>
      </c>
      <c r="AW883" s="3" t="n">
        <v>6</v>
      </c>
      <c r="AX883" s="3" t="n">
        <v>3</v>
      </c>
      <c r="AY883" s="3" t="n">
        <v>3</v>
      </c>
      <c r="AZ883" s="3" t="n">
        <v>1</v>
      </c>
      <c r="BA883" s="5" t="n">
        <v>1</v>
      </c>
      <c r="BB883" s="3" t="n">
        <v>1</v>
      </c>
      <c r="BC883" s="3" t="n">
        <v>1</v>
      </c>
      <c r="BD883" s="3" t="n">
        <v>4</v>
      </c>
      <c r="BE883" s="3" t="n">
        <v>1</v>
      </c>
      <c r="BF883" s="3" t="n">
        <v>2</v>
      </c>
      <c r="BG883" s="3" t="n">
        <v>1</v>
      </c>
      <c r="BH883" s="3" t="n">
        <v>4</v>
      </c>
      <c r="BI883" s="3" t="n">
        <v>1</v>
      </c>
      <c r="BJ883" s="3" t="n">
        <v>1</v>
      </c>
      <c r="BK883" s="6" t="s">
        <v>2314</v>
      </c>
    </row>
    <row r="884" customFormat="false" ht="15" hidden="false" customHeight="true" outlineLevel="0" collapsed="false">
      <c r="B884" s="2" t="s">
        <v>2315</v>
      </c>
      <c r="C884" s="2" t="s">
        <v>74</v>
      </c>
      <c r="D884" s="2" t="s">
        <v>948</v>
      </c>
      <c r="E884" s="2" t="n">
        <v>165591</v>
      </c>
      <c r="F884" s="15" t="n">
        <v>44044</v>
      </c>
      <c r="G884" s="15" t="n">
        <v>44049</v>
      </c>
      <c r="H884" s="3" t="n">
        <v>5</v>
      </c>
      <c r="I884" s="3" t="n">
        <v>1</v>
      </c>
      <c r="J884" s="3" t="n">
        <v>59</v>
      </c>
      <c r="K884" s="3" t="n">
        <v>1</v>
      </c>
      <c r="L884" s="3" t="n">
        <v>2</v>
      </c>
      <c r="M884" s="3" t="n">
        <v>1</v>
      </c>
      <c r="N884" s="3" t="n">
        <v>2</v>
      </c>
      <c r="O884" s="3" t="n">
        <v>2</v>
      </c>
      <c r="P884" s="3" t="n">
        <v>2</v>
      </c>
      <c r="Q884" s="3" t="n">
        <v>2</v>
      </c>
      <c r="R884" s="3" t="n">
        <v>2</v>
      </c>
      <c r="S884" s="3" t="n">
        <v>2</v>
      </c>
      <c r="T884" s="4" t="n">
        <v>1</v>
      </c>
      <c r="U884" s="3" t="n">
        <v>1</v>
      </c>
      <c r="X884" s="3" t="n">
        <v>8.9</v>
      </c>
      <c r="Z884" s="3" t="n">
        <v>80.5</v>
      </c>
      <c r="AA884" s="3" t="n">
        <v>0.36</v>
      </c>
      <c r="AB884" s="3" t="n">
        <v>10.2</v>
      </c>
      <c r="AC884" s="3" t="n">
        <v>1</v>
      </c>
      <c r="AD884" s="3" t="n">
        <v>2</v>
      </c>
      <c r="AE884" s="3" t="n">
        <v>1</v>
      </c>
      <c r="AF884" s="3" t="n">
        <v>1</v>
      </c>
      <c r="AG884" s="3" t="n">
        <v>2</v>
      </c>
      <c r="AH884" s="3" t="n">
        <v>1</v>
      </c>
      <c r="AI884" s="3" t="n">
        <v>1</v>
      </c>
      <c r="AJ884" s="3" t="n">
        <v>1</v>
      </c>
      <c r="AK884" s="3" t="n">
        <v>2</v>
      </c>
      <c r="AL884" s="3" t="n">
        <v>2</v>
      </c>
      <c r="AM884" s="3" t="n">
        <v>1</v>
      </c>
      <c r="AN884" s="3" t="n">
        <v>2</v>
      </c>
      <c r="AO884" s="3" t="n">
        <v>2</v>
      </c>
      <c r="AP884" s="3" t="n">
        <v>1</v>
      </c>
      <c r="AQ884" s="3" t="n">
        <v>1</v>
      </c>
      <c r="AR884" s="3" t="n">
        <v>4</v>
      </c>
      <c r="AS884" s="3" t="n">
        <v>6</v>
      </c>
      <c r="AT884" s="3" t="n">
        <v>4</v>
      </c>
      <c r="AU884" s="3" t="n">
        <v>4</v>
      </c>
      <c r="AV884" s="3" t="n">
        <v>1</v>
      </c>
      <c r="AW884" s="3" t="n">
        <v>6</v>
      </c>
      <c r="AX884" s="3" t="n">
        <v>3</v>
      </c>
      <c r="AY884" s="3" t="n">
        <v>3</v>
      </c>
      <c r="AZ884" s="3" t="n">
        <v>1</v>
      </c>
      <c r="BA884" s="5" t="n">
        <v>5</v>
      </c>
      <c r="BB884" s="3" t="n">
        <v>2</v>
      </c>
      <c r="BC884" s="3" t="n">
        <v>1</v>
      </c>
      <c r="BD884" s="3" t="n">
        <v>6</v>
      </c>
      <c r="BE884" s="3" t="n">
        <v>3</v>
      </c>
      <c r="BF884" s="3" t="n">
        <v>5</v>
      </c>
      <c r="BG884" s="3" t="n">
        <v>3</v>
      </c>
      <c r="BH884" s="3" t="n">
        <v>4</v>
      </c>
      <c r="BI884" s="3" t="n">
        <v>1</v>
      </c>
      <c r="BJ884" s="3" t="n">
        <v>1</v>
      </c>
      <c r="BK884" s="6" t="s">
        <v>2316</v>
      </c>
    </row>
    <row r="885" customFormat="false" ht="15" hidden="false" customHeight="true" outlineLevel="0" collapsed="false">
      <c r="B885" s="2" t="s">
        <v>2317</v>
      </c>
      <c r="C885" s="2" t="s">
        <v>298</v>
      </c>
      <c r="D885" s="2" t="s">
        <v>2318</v>
      </c>
      <c r="E885" s="2" t="n">
        <v>200532</v>
      </c>
      <c r="F885" s="15" t="n">
        <v>44039</v>
      </c>
      <c r="G885" s="15" t="n">
        <v>44050</v>
      </c>
      <c r="H885" s="3" t="n">
        <v>11</v>
      </c>
      <c r="I885" s="3" t="n">
        <v>1</v>
      </c>
      <c r="J885" s="3" t="n">
        <v>75</v>
      </c>
      <c r="K885" s="3" t="n">
        <v>2</v>
      </c>
      <c r="L885" s="3" t="n">
        <v>2</v>
      </c>
      <c r="M885" s="3" t="n">
        <v>1</v>
      </c>
      <c r="N885" s="3" t="n">
        <v>2</v>
      </c>
      <c r="O885" s="3" t="n">
        <v>2</v>
      </c>
      <c r="P885" s="3" t="n">
        <v>1</v>
      </c>
      <c r="Q885" s="3" t="n">
        <v>1</v>
      </c>
      <c r="R885" s="3" t="n">
        <v>2</v>
      </c>
      <c r="S885" s="3" t="n">
        <v>2</v>
      </c>
      <c r="T885" s="4" t="n">
        <v>4</v>
      </c>
      <c r="U885" s="3" t="n">
        <v>4</v>
      </c>
      <c r="V885" s="3" t="n">
        <v>2.63</v>
      </c>
      <c r="W885" s="3" t="n">
        <v>0.87</v>
      </c>
      <c r="X885" s="3" t="n">
        <v>14</v>
      </c>
      <c r="Y885" s="3" t="n">
        <v>85</v>
      </c>
      <c r="Z885" s="3" t="n">
        <v>60</v>
      </c>
      <c r="AA885" s="3" t="n">
        <v>0.37</v>
      </c>
      <c r="AB885" s="3" t="n">
        <v>21.6</v>
      </c>
      <c r="AC885" s="3" t="n">
        <v>1</v>
      </c>
      <c r="AD885" s="3" t="n">
        <v>1</v>
      </c>
      <c r="AE885" s="3" t="n">
        <v>2</v>
      </c>
      <c r="AF885" s="3" t="n">
        <v>1</v>
      </c>
      <c r="AG885" s="3" t="n">
        <v>2</v>
      </c>
      <c r="AH885" s="3" t="n">
        <v>2</v>
      </c>
      <c r="AI885" s="3" t="n">
        <v>1</v>
      </c>
      <c r="AJ885" s="3" t="n">
        <v>1</v>
      </c>
      <c r="AK885" s="3" t="n">
        <v>1</v>
      </c>
      <c r="AL885" s="3" t="n">
        <v>2</v>
      </c>
      <c r="AM885" s="3" t="n">
        <v>2</v>
      </c>
      <c r="AN885" s="3" t="n">
        <v>2</v>
      </c>
      <c r="AO885" s="3" t="n">
        <v>2</v>
      </c>
      <c r="AP885" s="3" t="n">
        <v>3</v>
      </c>
      <c r="AQ885" s="3" t="n">
        <v>4</v>
      </c>
      <c r="AR885" s="3" t="n">
        <v>4</v>
      </c>
      <c r="AS885" s="3" t="n">
        <v>6</v>
      </c>
      <c r="AT885" s="3" t="n">
        <v>4</v>
      </c>
      <c r="AU885" s="3" t="n">
        <v>4</v>
      </c>
      <c r="AV885" s="3" t="n">
        <v>6</v>
      </c>
      <c r="AW885" s="3" t="n">
        <v>6</v>
      </c>
      <c r="AX885" s="3" t="n">
        <v>3</v>
      </c>
      <c r="AY885" s="3" t="n">
        <v>3</v>
      </c>
      <c r="AZ885" s="3" t="n">
        <v>1</v>
      </c>
      <c r="BA885" s="5" t="n">
        <v>10</v>
      </c>
      <c r="BB885" s="3" t="n">
        <v>2</v>
      </c>
      <c r="BC885" s="3" t="n">
        <v>1</v>
      </c>
      <c r="BD885" s="3" t="n">
        <v>6</v>
      </c>
      <c r="BE885" s="3" t="n">
        <v>3</v>
      </c>
      <c r="BF885" s="3" t="n">
        <v>5</v>
      </c>
      <c r="BG885" s="3" t="n">
        <v>3</v>
      </c>
      <c r="BH885" s="3" t="n">
        <v>4</v>
      </c>
      <c r="BI885" s="3" t="n">
        <v>1</v>
      </c>
      <c r="BJ885" s="3" t="n">
        <v>1</v>
      </c>
      <c r="BK885" s="6" t="s">
        <v>2319</v>
      </c>
    </row>
    <row r="886" customFormat="false" ht="15" hidden="false" customHeight="true" outlineLevel="0" collapsed="false">
      <c r="B886" s="2" t="s">
        <v>2320</v>
      </c>
      <c r="C886" s="2" t="s">
        <v>2321</v>
      </c>
      <c r="D886" s="2" t="s">
        <v>2322</v>
      </c>
      <c r="E886" s="2" t="n">
        <v>199883</v>
      </c>
      <c r="F886" s="15" t="n">
        <v>44032</v>
      </c>
      <c r="G886" s="15" t="n">
        <v>44050</v>
      </c>
      <c r="H886" s="3" t="n">
        <v>19</v>
      </c>
      <c r="I886" s="3" t="n">
        <v>2</v>
      </c>
      <c r="J886" s="3" t="n">
        <v>55</v>
      </c>
      <c r="K886" s="3" t="n">
        <v>2</v>
      </c>
      <c r="L886" s="3" t="n">
        <v>2</v>
      </c>
      <c r="M886" s="3" t="n">
        <v>1</v>
      </c>
      <c r="N886" s="3" t="n">
        <v>2</v>
      </c>
      <c r="O886" s="3" t="n">
        <v>2</v>
      </c>
      <c r="P886" s="3" t="n">
        <v>2</v>
      </c>
      <c r="Q886" s="3" t="n">
        <v>2</v>
      </c>
      <c r="R886" s="3" t="n">
        <v>2</v>
      </c>
      <c r="S886" s="3" t="n">
        <v>2</v>
      </c>
      <c r="T886" s="4" t="n">
        <v>1</v>
      </c>
      <c r="U886" s="3" t="n">
        <v>1</v>
      </c>
      <c r="V886" s="3" t="n">
        <v>1.17</v>
      </c>
      <c r="W886" s="3" t="n">
        <v>0.43</v>
      </c>
      <c r="X886" s="3" t="n">
        <v>6.5</v>
      </c>
      <c r="Y886" s="3" t="n">
        <v>22</v>
      </c>
      <c r="Z886" s="3" t="n">
        <v>93</v>
      </c>
      <c r="AA886" s="3" t="n">
        <v>0.48</v>
      </c>
      <c r="AB886" s="3" t="n">
        <v>15.3</v>
      </c>
      <c r="AC886" s="3" t="n">
        <v>1</v>
      </c>
      <c r="AD886" s="3" t="n">
        <v>2</v>
      </c>
      <c r="AE886" s="3" t="n">
        <v>1</v>
      </c>
      <c r="AF886" s="3" t="n">
        <v>1</v>
      </c>
      <c r="AG886" s="3" t="n">
        <v>2</v>
      </c>
      <c r="AH886" s="3" t="n">
        <v>2</v>
      </c>
      <c r="AI886" s="3" t="n">
        <v>1</v>
      </c>
      <c r="AJ886" s="3" t="n">
        <v>1</v>
      </c>
      <c r="AK886" s="3" t="n">
        <v>2</v>
      </c>
      <c r="AL886" s="3" t="n">
        <v>2</v>
      </c>
      <c r="AM886" s="3" t="n">
        <v>2</v>
      </c>
      <c r="AN886" s="3" t="n">
        <v>2</v>
      </c>
      <c r="AO886" s="3" t="n">
        <v>2</v>
      </c>
      <c r="AP886" s="3" t="n">
        <v>1</v>
      </c>
      <c r="AQ886" s="3" t="n">
        <v>2</v>
      </c>
      <c r="AR886" s="3" t="n">
        <v>4</v>
      </c>
      <c r="AS886" s="3" t="n">
        <v>6</v>
      </c>
      <c r="AT886" s="3" t="n">
        <v>4</v>
      </c>
      <c r="AU886" s="3" t="n">
        <v>4</v>
      </c>
      <c r="AV886" s="3" t="n">
        <v>1</v>
      </c>
      <c r="AW886" s="3" t="n">
        <v>6</v>
      </c>
      <c r="AX886" s="3" t="n">
        <v>3</v>
      </c>
      <c r="AY886" s="3" t="n">
        <v>3</v>
      </c>
      <c r="AZ886" s="3" t="n">
        <v>1</v>
      </c>
      <c r="BA886" s="5" t="n">
        <v>2</v>
      </c>
      <c r="BB886" s="3" t="n">
        <v>2</v>
      </c>
      <c r="BC886" s="3" t="n">
        <v>1</v>
      </c>
      <c r="BD886" s="3" t="n">
        <v>6</v>
      </c>
      <c r="BE886" s="3" t="n">
        <v>3</v>
      </c>
      <c r="BF886" s="3" t="n">
        <v>5</v>
      </c>
      <c r="BG886" s="3" t="n">
        <v>3</v>
      </c>
      <c r="BH886" s="3" t="n">
        <v>4</v>
      </c>
      <c r="BI886" s="3" t="n">
        <v>1</v>
      </c>
      <c r="BJ886" s="3" t="n">
        <v>1</v>
      </c>
      <c r="BK886" s="6" t="s">
        <v>2323</v>
      </c>
    </row>
    <row r="887" customFormat="false" ht="15" hidden="false" customHeight="true" outlineLevel="0" collapsed="false">
      <c r="A887" s="1" t="s">
        <v>2324</v>
      </c>
      <c r="B887" s="2" t="s">
        <v>2325</v>
      </c>
      <c r="C887" s="2" t="s">
        <v>153</v>
      </c>
      <c r="D887" s="2" t="s">
        <v>2326</v>
      </c>
      <c r="E887" s="2" t="n">
        <v>200430</v>
      </c>
      <c r="F887" s="15" t="n">
        <v>44043</v>
      </c>
      <c r="G887" s="15" t="n">
        <v>44050</v>
      </c>
      <c r="H887" s="3" t="n">
        <v>8</v>
      </c>
      <c r="I887" s="3" t="n">
        <v>1</v>
      </c>
      <c r="J887" s="3" t="n">
        <v>62</v>
      </c>
      <c r="K887" s="3" t="n">
        <v>1</v>
      </c>
      <c r="L887" s="3" t="n">
        <v>1</v>
      </c>
      <c r="M887" s="3" t="n">
        <v>1</v>
      </c>
      <c r="N887" s="3" t="n">
        <v>2</v>
      </c>
      <c r="O887" s="3" t="n">
        <v>1</v>
      </c>
      <c r="P887" s="3" t="n">
        <v>1</v>
      </c>
      <c r="Q887" s="3" t="n">
        <v>1</v>
      </c>
      <c r="R887" s="3" t="n">
        <v>2</v>
      </c>
      <c r="S887" s="3" t="n">
        <v>2</v>
      </c>
      <c r="T887" s="4" t="n">
        <v>2</v>
      </c>
      <c r="U887" s="3" t="n">
        <v>2</v>
      </c>
      <c r="V887" s="3" t="n">
        <v>6.1</v>
      </c>
      <c r="X887" s="3" t="n">
        <v>9.2</v>
      </c>
      <c r="Y887" s="3" t="n">
        <v>493</v>
      </c>
      <c r="Z887" s="3" t="n">
        <v>133</v>
      </c>
      <c r="AA887" s="3" t="n">
        <v>0.43</v>
      </c>
      <c r="AB887" s="3" t="n">
        <v>15.2</v>
      </c>
      <c r="AC887" s="3" t="n">
        <v>1</v>
      </c>
      <c r="AD887" s="3" t="n">
        <v>1</v>
      </c>
      <c r="AE887" s="3" t="n">
        <v>1</v>
      </c>
      <c r="AF887" s="3" t="n">
        <v>1</v>
      </c>
      <c r="AG887" s="3" t="n">
        <v>1</v>
      </c>
      <c r="AH887" s="3" t="n">
        <v>1</v>
      </c>
      <c r="AI887" s="3" t="n">
        <v>1</v>
      </c>
      <c r="AJ887" s="3" t="n">
        <v>1</v>
      </c>
      <c r="AK887" s="3" t="n">
        <v>1</v>
      </c>
      <c r="AL887" s="3" t="n">
        <v>2</v>
      </c>
      <c r="AM887" s="3" t="n">
        <v>2</v>
      </c>
      <c r="AN887" s="3" t="n">
        <v>2</v>
      </c>
      <c r="AO887" s="3" t="n">
        <v>2</v>
      </c>
      <c r="AP887" s="3" t="n">
        <v>3</v>
      </c>
      <c r="AQ887" s="3" t="n">
        <v>4</v>
      </c>
      <c r="AR887" s="3" t="n">
        <v>4</v>
      </c>
      <c r="AS887" s="3" t="n">
        <v>6</v>
      </c>
      <c r="AT887" s="3" t="n">
        <v>4</v>
      </c>
      <c r="AU887" s="3" t="n">
        <v>4</v>
      </c>
      <c r="AV887" s="3" t="n">
        <v>6</v>
      </c>
      <c r="AW887" s="3" t="n">
        <v>6</v>
      </c>
      <c r="AX887" s="3" t="n">
        <v>3</v>
      </c>
      <c r="AY887" s="3" t="n">
        <v>3</v>
      </c>
      <c r="AZ887" s="3" t="n">
        <v>5</v>
      </c>
      <c r="BA887" s="5" t="n">
        <v>1</v>
      </c>
      <c r="BB887" s="3" t="n">
        <v>1</v>
      </c>
      <c r="BC887" s="3" t="n">
        <v>1</v>
      </c>
      <c r="BD887" s="3" t="n">
        <v>4</v>
      </c>
      <c r="BE887" s="3" t="n">
        <v>3</v>
      </c>
      <c r="BF887" s="3" t="n">
        <v>5</v>
      </c>
      <c r="BG887" s="3" t="n">
        <v>3</v>
      </c>
      <c r="BH887" s="3" t="n">
        <v>4</v>
      </c>
      <c r="BI887" s="3" t="n">
        <v>1</v>
      </c>
      <c r="BJ887" s="3" t="n">
        <v>1</v>
      </c>
      <c r="BK887" s="6" t="s">
        <v>2327</v>
      </c>
    </row>
    <row r="888" customFormat="false" ht="15" hidden="false" customHeight="true" outlineLevel="0" collapsed="false">
      <c r="B888" s="2" t="s">
        <v>2328</v>
      </c>
      <c r="C888" s="2" t="s">
        <v>2329</v>
      </c>
      <c r="D888" s="2" t="s">
        <v>1929</v>
      </c>
      <c r="E888" s="2" t="n">
        <v>200962</v>
      </c>
      <c r="F888" s="15" t="n">
        <v>44047</v>
      </c>
      <c r="G888" s="15" t="n">
        <v>44053</v>
      </c>
      <c r="H888" s="3" t="n">
        <v>7</v>
      </c>
      <c r="I888" s="3" t="n">
        <v>2</v>
      </c>
      <c r="J888" s="3" t="n">
        <v>60</v>
      </c>
      <c r="K888" s="3" t="n">
        <v>2</v>
      </c>
      <c r="L888" s="3" t="n">
        <v>2</v>
      </c>
      <c r="M888" s="3" t="n">
        <v>1</v>
      </c>
      <c r="N888" s="3" t="n">
        <v>2</v>
      </c>
      <c r="O888" s="3" t="n">
        <v>2</v>
      </c>
      <c r="P888" s="3" t="n">
        <v>2</v>
      </c>
      <c r="Q888" s="3" t="n">
        <v>2</v>
      </c>
      <c r="R888" s="3" t="n">
        <v>2</v>
      </c>
      <c r="S888" s="3" t="n">
        <v>2</v>
      </c>
      <c r="T888" s="4" t="n">
        <v>2</v>
      </c>
      <c r="U888" s="3" t="n">
        <v>2</v>
      </c>
      <c r="V888" s="3" t="n">
        <v>4.85</v>
      </c>
      <c r="W888" s="3" t="n">
        <v>0.64</v>
      </c>
      <c r="X888" s="3" t="n">
        <v>6</v>
      </c>
      <c r="Y888" s="3" t="n">
        <v>616</v>
      </c>
      <c r="Z888" s="3" t="n">
        <v>50</v>
      </c>
      <c r="AA888" s="3" t="n">
        <v>0.35</v>
      </c>
      <c r="AB888" s="3" t="n">
        <v>11.8</v>
      </c>
      <c r="AC888" s="3" t="n">
        <v>1</v>
      </c>
      <c r="AD888" s="3" t="n">
        <v>2</v>
      </c>
      <c r="AE888" s="3" t="n">
        <v>1</v>
      </c>
      <c r="AF888" s="3" t="n">
        <v>1</v>
      </c>
      <c r="AG888" s="3" t="n">
        <v>1</v>
      </c>
      <c r="AH888" s="3" t="n">
        <v>1</v>
      </c>
      <c r="AI888" s="3" t="n">
        <v>1</v>
      </c>
      <c r="AJ888" s="3" t="n">
        <v>1</v>
      </c>
      <c r="AK888" s="3" t="n">
        <v>2</v>
      </c>
      <c r="AL888" s="3" t="n">
        <v>2</v>
      </c>
      <c r="AM888" s="3" t="n">
        <v>2</v>
      </c>
      <c r="AN888" s="3" t="n">
        <v>2</v>
      </c>
      <c r="AO888" s="3" t="n">
        <v>2</v>
      </c>
      <c r="AP888" s="3" t="n">
        <v>3</v>
      </c>
      <c r="AQ888" s="3" t="n">
        <v>4</v>
      </c>
      <c r="AR888" s="3" t="n">
        <v>4</v>
      </c>
      <c r="AS888" s="3" t="n">
        <v>6</v>
      </c>
      <c r="AT888" s="3" t="n">
        <v>4</v>
      </c>
      <c r="AU888" s="3" t="n">
        <v>4</v>
      </c>
      <c r="AV888" s="3" t="n">
        <v>6</v>
      </c>
      <c r="AW888" s="3" t="n">
        <v>6</v>
      </c>
      <c r="AX888" s="3" t="n">
        <v>3</v>
      </c>
      <c r="AY888" s="3" t="n">
        <v>3</v>
      </c>
      <c r="AZ888" s="3" t="n">
        <v>1</v>
      </c>
      <c r="BA888" s="5" t="n">
        <v>1</v>
      </c>
      <c r="BB888" s="3" t="n">
        <v>1</v>
      </c>
      <c r="BC888" s="3" t="n">
        <v>1</v>
      </c>
      <c r="BD888" s="3" t="n">
        <v>4</v>
      </c>
      <c r="BE888" s="3" t="n">
        <v>3</v>
      </c>
      <c r="BF888" s="3" t="n">
        <v>3</v>
      </c>
      <c r="BG888" s="3" t="n">
        <v>3</v>
      </c>
      <c r="BH888" s="3" t="n">
        <v>4</v>
      </c>
      <c r="BI888" s="3" t="n">
        <v>1</v>
      </c>
      <c r="BJ888" s="3" t="n">
        <v>1</v>
      </c>
      <c r="BK888" s="6" t="s">
        <v>2330</v>
      </c>
    </row>
    <row r="889" customFormat="false" ht="15" hidden="false" customHeight="true" outlineLevel="0" collapsed="false">
      <c r="B889" s="2" t="s">
        <v>2331</v>
      </c>
      <c r="C889" s="2" t="s">
        <v>2332</v>
      </c>
      <c r="D889" s="2" t="s">
        <v>1098</v>
      </c>
      <c r="E889" s="2" t="n">
        <v>200488</v>
      </c>
      <c r="F889" s="15" t="n">
        <v>44049</v>
      </c>
      <c r="G889" s="15" t="n">
        <v>44054</v>
      </c>
      <c r="H889" s="3" t="n">
        <v>7</v>
      </c>
      <c r="I889" s="3" t="n">
        <v>2</v>
      </c>
      <c r="J889" s="3" t="n">
        <v>81</v>
      </c>
      <c r="K889" s="3" t="n">
        <v>1</v>
      </c>
      <c r="L889" s="3" t="n">
        <v>2</v>
      </c>
      <c r="M889" s="3" t="n">
        <v>1</v>
      </c>
      <c r="N889" s="3" t="n">
        <v>2</v>
      </c>
      <c r="O889" s="3" t="n">
        <v>2</v>
      </c>
      <c r="P889" s="3" t="n">
        <v>2</v>
      </c>
      <c r="Q889" s="3" t="n">
        <v>2</v>
      </c>
      <c r="R889" s="3" t="n">
        <v>2</v>
      </c>
      <c r="S889" s="3" t="n">
        <v>2</v>
      </c>
      <c r="T889" s="4" t="n">
        <v>2</v>
      </c>
      <c r="U889" s="3" t="n">
        <v>2</v>
      </c>
      <c r="V889" s="3" t="n">
        <v>5.76</v>
      </c>
      <c r="W889" s="3" t="n">
        <v>1.41</v>
      </c>
      <c r="X889" s="3" t="n">
        <v>6.2</v>
      </c>
      <c r="Y889" s="3" t="n">
        <v>423</v>
      </c>
      <c r="Z889" s="3" t="n">
        <v>71</v>
      </c>
      <c r="AA889" s="3" t="n">
        <v>0.42</v>
      </c>
      <c r="AB889" s="3" t="n">
        <v>5.1</v>
      </c>
      <c r="AC889" s="3" t="n">
        <v>1</v>
      </c>
      <c r="AD889" s="3" t="n">
        <v>2</v>
      </c>
      <c r="AE889" s="3" t="n">
        <v>1</v>
      </c>
      <c r="AF889" s="3" t="n">
        <v>1</v>
      </c>
      <c r="AG889" s="3" t="n">
        <v>2</v>
      </c>
      <c r="AH889" s="3" t="n">
        <v>2</v>
      </c>
      <c r="AI889" s="3" t="n">
        <v>1</v>
      </c>
      <c r="AJ889" s="3" t="n">
        <v>1</v>
      </c>
      <c r="AK889" s="3" t="n">
        <v>2</v>
      </c>
      <c r="AL889" s="3" t="n">
        <v>2</v>
      </c>
      <c r="AM889" s="3" t="n">
        <v>2</v>
      </c>
      <c r="AN889" s="3" t="n">
        <v>2</v>
      </c>
      <c r="AO889" s="3" t="n">
        <v>2</v>
      </c>
      <c r="AP889" s="3" t="n">
        <v>3</v>
      </c>
      <c r="AQ889" s="3" t="n">
        <v>4</v>
      </c>
      <c r="AR889" s="3" t="n">
        <v>4</v>
      </c>
      <c r="AS889" s="3" t="n">
        <v>6</v>
      </c>
      <c r="AT889" s="3" t="n">
        <v>4</v>
      </c>
      <c r="AU889" s="3" t="n">
        <v>4</v>
      </c>
      <c r="AV889" s="3" t="n">
        <v>6</v>
      </c>
      <c r="AW889" s="3" t="n">
        <v>6</v>
      </c>
      <c r="AX889" s="3" t="n">
        <v>3</v>
      </c>
      <c r="AY889" s="3" t="n">
        <v>3</v>
      </c>
      <c r="AZ889" s="3" t="n">
        <v>1</v>
      </c>
      <c r="BA889" s="5" t="n">
        <v>1</v>
      </c>
      <c r="BB889" s="3" t="n">
        <v>1</v>
      </c>
      <c r="BC889" s="3" t="n">
        <v>1</v>
      </c>
      <c r="BD889" s="3" t="n">
        <v>2</v>
      </c>
      <c r="BE889" s="3" t="n">
        <v>2</v>
      </c>
      <c r="BF889" s="3" t="n">
        <v>4</v>
      </c>
      <c r="BG889" s="3" t="n">
        <v>3</v>
      </c>
      <c r="BH889" s="3" t="n">
        <v>4</v>
      </c>
      <c r="BI889" s="3" t="n">
        <v>1</v>
      </c>
      <c r="BJ889" s="3" t="n">
        <v>1</v>
      </c>
      <c r="BK889" s="6" t="s">
        <v>2333</v>
      </c>
    </row>
    <row r="890" customFormat="false" ht="15" hidden="false" customHeight="true" outlineLevel="0" collapsed="false">
      <c r="B890" s="17" t="s">
        <v>2334</v>
      </c>
      <c r="C890" s="17" t="s">
        <v>2335</v>
      </c>
      <c r="D890" s="17" t="s">
        <v>2336</v>
      </c>
      <c r="E890" s="2" t="n">
        <v>197520</v>
      </c>
      <c r="F890" s="15" t="n">
        <v>44048</v>
      </c>
      <c r="G890" s="15" t="n">
        <v>44055</v>
      </c>
      <c r="H890" s="3" t="n">
        <v>7</v>
      </c>
      <c r="I890" s="3" t="n">
        <v>1</v>
      </c>
      <c r="J890" s="3" t="n">
        <v>66</v>
      </c>
      <c r="K890" s="3" t="n">
        <v>2</v>
      </c>
      <c r="L890" s="3" t="n">
        <v>2</v>
      </c>
      <c r="M890" s="3" t="n">
        <v>2</v>
      </c>
      <c r="N890" s="3" t="n">
        <v>2</v>
      </c>
      <c r="O890" s="3" t="n">
        <v>2</v>
      </c>
      <c r="P890" s="3" t="n">
        <v>2</v>
      </c>
      <c r="Q890" s="3" t="n">
        <v>2</v>
      </c>
      <c r="R890" s="3" t="n">
        <v>2</v>
      </c>
      <c r="S890" s="3" t="n">
        <v>1</v>
      </c>
      <c r="T890" s="4" t="n">
        <v>2</v>
      </c>
      <c r="U890" s="3" t="n">
        <v>2</v>
      </c>
      <c r="V890" s="3" t="n">
        <v>4.23</v>
      </c>
      <c r="W890" s="3" t="n">
        <v>1.98</v>
      </c>
      <c r="X890" s="3" t="n">
        <v>4.7</v>
      </c>
      <c r="Y890" s="3" t="n">
        <v>288</v>
      </c>
      <c r="Z890" s="3" t="n">
        <v>48</v>
      </c>
      <c r="AA890" s="3" t="n">
        <v>0.25</v>
      </c>
      <c r="AB890" s="3" t="n">
        <v>15</v>
      </c>
      <c r="AC890" s="3" t="n">
        <v>1</v>
      </c>
      <c r="AD890" s="3" t="n">
        <v>2</v>
      </c>
      <c r="AE890" s="3" t="n">
        <v>1</v>
      </c>
      <c r="AF890" s="3" t="n">
        <v>1</v>
      </c>
      <c r="AG890" s="3" t="n">
        <v>1</v>
      </c>
      <c r="AH890" s="3" t="n">
        <v>1</v>
      </c>
      <c r="AI890" s="3" t="n">
        <v>1</v>
      </c>
      <c r="AJ890" s="3" t="n">
        <v>2</v>
      </c>
      <c r="AK890" s="3" t="n">
        <v>2</v>
      </c>
      <c r="AL890" s="3" t="n">
        <v>2</v>
      </c>
      <c r="AM890" s="3" t="n">
        <v>2</v>
      </c>
      <c r="AN890" s="3" t="n">
        <v>2</v>
      </c>
      <c r="AO890" s="3" t="n">
        <v>2</v>
      </c>
      <c r="AP890" s="3" t="n">
        <v>3</v>
      </c>
      <c r="AQ890" s="3" t="n">
        <v>4</v>
      </c>
      <c r="AR890" s="3" t="n">
        <v>4</v>
      </c>
      <c r="AS890" s="3" t="n">
        <v>6</v>
      </c>
      <c r="AT890" s="3" t="n">
        <v>4</v>
      </c>
      <c r="AU890" s="3" t="n">
        <v>4</v>
      </c>
      <c r="AV890" s="3" t="n">
        <v>6</v>
      </c>
      <c r="AW890" s="3" t="n">
        <v>6</v>
      </c>
      <c r="AX890" s="3" t="n">
        <v>3</v>
      </c>
      <c r="AY890" s="3" t="n">
        <v>3</v>
      </c>
      <c r="AZ890" s="3" t="n">
        <v>1</v>
      </c>
      <c r="BA890" s="5" t="n">
        <v>3</v>
      </c>
      <c r="BB890" s="3" t="n">
        <v>2</v>
      </c>
      <c r="BC890" s="3" t="n">
        <v>1</v>
      </c>
      <c r="BD890" s="3" t="n">
        <v>4</v>
      </c>
      <c r="BE890" s="3" t="n">
        <v>3</v>
      </c>
      <c r="BF890" s="3" t="n">
        <v>5</v>
      </c>
      <c r="BG890" s="3" t="n">
        <v>3</v>
      </c>
      <c r="BH890" s="3" t="n">
        <v>4</v>
      </c>
      <c r="BI890" s="3" t="n">
        <v>3</v>
      </c>
      <c r="BJ890" s="3" t="n">
        <v>4</v>
      </c>
      <c r="BK890" s="6" t="s">
        <v>2337</v>
      </c>
    </row>
    <row r="891" customFormat="false" ht="15" hidden="false" customHeight="true" outlineLevel="0" collapsed="false">
      <c r="B891" s="2" t="s">
        <v>680</v>
      </c>
      <c r="C891" s="17" t="s">
        <v>307</v>
      </c>
      <c r="D891" s="2" t="s">
        <v>95</v>
      </c>
      <c r="E891" s="2" t="n">
        <v>201061</v>
      </c>
      <c r="F891" s="15" t="n">
        <v>44051</v>
      </c>
      <c r="G891" s="15" t="n">
        <v>44056</v>
      </c>
      <c r="H891" s="3" t="n">
        <v>5</v>
      </c>
      <c r="I891" s="3" t="n">
        <v>2</v>
      </c>
      <c r="J891" s="3" t="n">
        <v>76</v>
      </c>
      <c r="K891" s="3" t="n">
        <v>2</v>
      </c>
      <c r="L891" s="3" t="n">
        <v>1</v>
      </c>
      <c r="M891" s="3" t="n">
        <v>1</v>
      </c>
      <c r="N891" s="3" t="n">
        <v>2</v>
      </c>
      <c r="O891" s="3" t="n">
        <v>2</v>
      </c>
      <c r="P891" s="3" t="n">
        <v>2</v>
      </c>
      <c r="Q891" s="3" t="n">
        <v>2</v>
      </c>
      <c r="R891" s="3" t="n">
        <v>2</v>
      </c>
      <c r="S891" s="3" t="n">
        <v>1</v>
      </c>
      <c r="T891" s="4" t="n">
        <v>1</v>
      </c>
      <c r="U891" s="3" t="n">
        <v>1</v>
      </c>
      <c r="V891" s="3" t="n">
        <v>4.19</v>
      </c>
      <c r="W891" s="3" t="n">
        <v>1.65</v>
      </c>
      <c r="X891" s="3" t="n">
        <v>6.08</v>
      </c>
      <c r="Y891" s="3" t="n">
        <v>343</v>
      </c>
      <c r="Z891" s="3" t="n">
        <v>149</v>
      </c>
      <c r="AA891" s="3" t="n">
        <v>0.48</v>
      </c>
      <c r="AB891" s="3" t="n">
        <v>11.6</v>
      </c>
      <c r="AC891" s="3" t="n">
        <v>1</v>
      </c>
      <c r="AD891" s="3" t="n">
        <v>2</v>
      </c>
      <c r="AE891" s="3" t="n">
        <v>1</v>
      </c>
      <c r="AF891" s="3" t="n">
        <v>1</v>
      </c>
      <c r="AG891" s="3" t="n">
        <v>2</v>
      </c>
      <c r="AH891" s="3" t="n">
        <v>2</v>
      </c>
      <c r="AI891" s="3" t="n">
        <v>1</v>
      </c>
      <c r="AJ891" s="3" t="n">
        <v>2</v>
      </c>
      <c r="AK891" s="3" t="n">
        <v>2</v>
      </c>
      <c r="AL891" s="3" t="n">
        <v>2</v>
      </c>
      <c r="AM891" s="3" t="n">
        <v>1</v>
      </c>
      <c r="AN891" s="3" t="n">
        <v>2</v>
      </c>
      <c r="AO891" s="3" t="n">
        <v>2</v>
      </c>
      <c r="AP891" s="3" t="n">
        <v>3</v>
      </c>
      <c r="AQ891" s="3" t="n">
        <v>4</v>
      </c>
      <c r="AR891" s="3" t="n">
        <v>4</v>
      </c>
      <c r="AS891" s="3" t="n">
        <v>6</v>
      </c>
      <c r="AT891" s="3" t="n">
        <v>4</v>
      </c>
      <c r="AU891" s="3" t="n">
        <v>4</v>
      </c>
      <c r="AV891" s="3" t="n">
        <v>6</v>
      </c>
      <c r="AW891" s="3" t="n">
        <v>6</v>
      </c>
      <c r="AX891" s="3" t="n">
        <v>3</v>
      </c>
      <c r="AY891" s="3" t="n">
        <v>3</v>
      </c>
      <c r="AZ891" s="3" t="n">
        <v>1</v>
      </c>
      <c r="BA891" s="5" t="n">
        <v>5</v>
      </c>
      <c r="BB891" s="3" t="n">
        <v>2</v>
      </c>
      <c r="BC891" s="3" t="n">
        <v>1</v>
      </c>
      <c r="BD891" s="3" t="n">
        <v>2</v>
      </c>
      <c r="BE891" s="3" t="n">
        <v>3</v>
      </c>
      <c r="BF891" s="3" t="n">
        <v>5</v>
      </c>
      <c r="BG891" s="3" t="n">
        <v>3</v>
      </c>
      <c r="BH891" s="3" t="n">
        <v>4</v>
      </c>
      <c r="BI891" s="3" t="n">
        <v>1</v>
      </c>
      <c r="BJ891" s="3" t="n">
        <v>1</v>
      </c>
      <c r="BK891" s="6" t="s">
        <v>2338</v>
      </c>
    </row>
    <row r="892" customFormat="false" ht="15" hidden="false" customHeight="true" outlineLevel="0" collapsed="false">
      <c r="B892" s="2" t="s">
        <v>2339</v>
      </c>
      <c r="C892" s="2" t="s">
        <v>2340</v>
      </c>
      <c r="D892" s="2" t="s">
        <v>2341</v>
      </c>
      <c r="E892" s="2" t="n">
        <v>200929</v>
      </c>
      <c r="F892" s="15" t="n">
        <v>44052</v>
      </c>
      <c r="G892" s="15" t="n">
        <v>44056</v>
      </c>
      <c r="H892" s="3" t="n">
        <v>6</v>
      </c>
      <c r="I892" s="3" t="n">
        <v>1</v>
      </c>
      <c r="J892" s="3" t="n">
        <v>83</v>
      </c>
      <c r="K892" s="3" t="n">
        <v>2</v>
      </c>
      <c r="L892" s="3" t="n">
        <v>2</v>
      </c>
      <c r="M892" s="3" t="n">
        <v>1</v>
      </c>
      <c r="N892" s="3" t="n">
        <v>1</v>
      </c>
      <c r="O892" s="3" t="n">
        <v>1</v>
      </c>
      <c r="P892" s="3" t="n">
        <v>2</v>
      </c>
      <c r="Q892" s="3" t="n">
        <v>1</v>
      </c>
      <c r="R892" s="3" t="n">
        <v>2</v>
      </c>
      <c r="S892" s="3" t="n">
        <v>1</v>
      </c>
      <c r="T892" s="4" t="n">
        <v>1</v>
      </c>
      <c r="U892" s="3" t="n">
        <v>1</v>
      </c>
      <c r="V892" s="3" t="n">
        <v>5.68</v>
      </c>
      <c r="W892" s="3" t="n">
        <v>2.48</v>
      </c>
      <c r="X892" s="3" t="n">
        <v>5.07</v>
      </c>
      <c r="Y892" s="3" t="n">
        <v>595</v>
      </c>
      <c r="Z892" s="3" t="n">
        <v>113</v>
      </c>
      <c r="AA892" s="3" t="n">
        <v>0.34</v>
      </c>
      <c r="AB892" s="3" t="n">
        <v>7.5</v>
      </c>
      <c r="AC892" s="3" t="n">
        <v>1</v>
      </c>
      <c r="AD892" s="3" t="n">
        <v>1</v>
      </c>
      <c r="AE892" s="3" t="n">
        <v>1</v>
      </c>
      <c r="AF892" s="3" t="n">
        <v>1</v>
      </c>
      <c r="AG892" s="3" t="n">
        <v>2</v>
      </c>
      <c r="AH892" s="3" t="n">
        <v>2</v>
      </c>
      <c r="AI892" s="3" t="n">
        <v>1</v>
      </c>
      <c r="AJ892" s="3" t="n">
        <v>1</v>
      </c>
      <c r="AK892" s="3" t="n">
        <v>2</v>
      </c>
      <c r="AL892" s="3" t="n">
        <v>2</v>
      </c>
      <c r="AM892" s="3" t="n">
        <v>1</v>
      </c>
      <c r="AN892" s="3" t="n">
        <v>2</v>
      </c>
      <c r="AO892" s="3" t="n">
        <v>2</v>
      </c>
      <c r="AP892" s="3" t="n">
        <v>3</v>
      </c>
      <c r="AQ892" s="3" t="n">
        <v>4</v>
      </c>
      <c r="AR892" s="3" t="n">
        <v>4</v>
      </c>
      <c r="AS892" s="3" t="n">
        <v>6</v>
      </c>
      <c r="AT892" s="3" t="n">
        <v>4</v>
      </c>
      <c r="AU892" s="3" t="n">
        <v>4</v>
      </c>
      <c r="AV892" s="3" t="n">
        <v>6</v>
      </c>
      <c r="AW892" s="3" t="n">
        <v>6</v>
      </c>
      <c r="AX892" s="3" t="n">
        <v>3</v>
      </c>
      <c r="AY892" s="3" t="n">
        <v>3</v>
      </c>
      <c r="AZ892" s="3" t="n">
        <v>1</v>
      </c>
      <c r="BA892" s="5" t="n">
        <v>5</v>
      </c>
      <c r="BB892" s="3" t="n">
        <v>2</v>
      </c>
      <c r="BC892" s="3" t="n">
        <v>1</v>
      </c>
      <c r="BD892" s="3" t="n">
        <v>6</v>
      </c>
      <c r="BE892" s="3" t="n">
        <v>3</v>
      </c>
      <c r="BF892" s="3" t="n">
        <v>5</v>
      </c>
      <c r="BG892" s="3" t="n">
        <v>3</v>
      </c>
      <c r="BH892" s="3" t="n">
        <v>4</v>
      </c>
      <c r="BI892" s="3" t="n">
        <v>1</v>
      </c>
      <c r="BJ892" s="3" t="n">
        <v>1</v>
      </c>
      <c r="BK892" s="6" t="s">
        <v>2342</v>
      </c>
    </row>
    <row r="893" customFormat="false" ht="15" hidden="false" customHeight="true" outlineLevel="0" collapsed="false">
      <c r="B893" s="2" t="s">
        <v>2343</v>
      </c>
      <c r="C893" s="2" t="s">
        <v>109</v>
      </c>
      <c r="D893" s="2" t="s">
        <v>2344</v>
      </c>
      <c r="E893" s="2" t="n">
        <v>201050</v>
      </c>
      <c r="F893" s="15" t="n">
        <v>44054</v>
      </c>
      <c r="G893" s="15" t="n">
        <v>44057</v>
      </c>
      <c r="H893" s="3" t="n">
        <v>3</v>
      </c>
      <c r="I893" s="3" t="n">
        <v>1</v>
      </c>
      <c r="J893" s="3" t="n">
        <v>69</v>
      </c>
      <c r="K893" s="3" t="n">
        <v>1</v>
      </c>
      <c r="L893" s="3" t="n">
        <v>2</v>
      </c>
      <c r="M893" s="3" t="n">
        <v>1</v>
      </c>
      <c r="N893" s="3" t="n">
        <v>2</v>
      </c>
      <c r="O893" s="3" t="n">
        <v>2</v>
      </c>
      <c r="P893" s="3" t="n">
        <v>2</v>
      </c>
      <c r="Q893" s="3" t="n">
        <v>2</v>
      </c>
      <c r="R893" s="3" t="n">
        <v>2</v>
      </c>
      <c r="S893" s="3" t="n">
        <v>2</v>
      </c>
      <c r="T893" s="4" t="n">
        <v>1</v>
      </c>
      <c r="U893" s="3" t="n">
        <v>1</v>
      </c>
      <c r="V893" s="3" t="n">
        <v>4</v>
      </c>
      <c r="W893" s="3" t="n">
        <v>1.23</v>
      </c>
      <c r="X893" s="3" t="n">
        <v>5.1</v>
      </c>
      <c r="Y893" s="3" t="n">
        <v>254</v>
      </c>
      <c r="Z893" s="3" t="n">
        <v>102</v>
      </c>
      <c r="AA893" s="3" t="n">
        <v>0.48</v>
      </c>
      <c r="AB893" s="3" t="n">
        <v>10.2</v>
      </c>
      <c r="AC893" s="3" t="n">
        <v>1</v>
      </c>
      <c r="AD893" s="3" t="n">
        <v>2</v>
      </c>
      <c r="AE893" s="3" t="n">
        <v>1</v>
      </c>
      <c r="AF893" s="3" t="n">
        <v>1</v>
      </c>
      <c r="AG893" s="3" t="n">
        <v>2</v>
      </c>
      <c r="AH893" s="3" t="n">
        <v>2</v>
      </c>
      <c r="AI893" s="3" t="n">
        <v>1</v>
      </c>
      <c r="AJ893" s="3" t="n">
        <v>1</v>
      </c>
      <c r="AK893" s="3" t="n">
        <v>2</v>
      </c>
      <c r="AL893" s="3" t="n">
        <v>2</v>
      </c>
      <c r="AM893" s="3" t="n">
        <v>1</v>
      </c>
      <c r="AN893" s="3" t="n">
        <v>2</v>
      </c>
      <c r="AO893" s="3" t="n">
        <v>2</v>
      </c>
      <c r="AP893" s="3" t="n">
        <v>3</v>
      </c>
      <c r="AQ893" s="3" t="n">
        <v>4</v>
      </c>
      <c r="AR893" s="3" t="n">
        <v>4</v>
      </c>
      <c r="AS893" s="3" t="n">
        <v>6</v>
      </c>
      <c r="AT893" s="3" t="n">
        <v>4</v>
      </c>
      <c r="AU893" s="3" t="n">
        <v>4</v>
      </c>
      <c r="AV893" s="3" t="n">
        <v>6</v>
      </c>
      <c r="AW893" s="3" t="n">
        <v>6</v>
      </c>
      <c r="AX893" s="3" t="n">
        <v>3</v>
      </c>
      <c r="AY893" s="3" t="n">
        <v>3</v>
      </c>
      <c r="AZ893" s="3" t="n">
        <v>1</v>
      </c>
      <c r="BA893" s="5" t="n">
        <v>5</v>
      </c>
      <c r="BB893" s="3" t="n">
        <v>2</v>
      </c>
      <c r="BC893" s="3" t="n">
        <v>1</v>
      </c>
      <c r="BD893" s="3" t="n">
        <v>2</v>
      </c>
      <c r="BE893" s="3" t="n">
        <v>2</v>
      </c>
      <c r="BF893" s="3" t="n">
        <v>5</v>
      </c>
      <c r="BG893" s="3" t="n">
        <v>3</v>
      </c>
      <c r="BH893" s="3" t="n">
        <v>4</v>
      </c>
      <c r="BI893" s="3" t="n">
        <v>1</v>
      </c>
      <c r="BJ893" s="3" t="n">
        <v>1</v>
      </c>
      <c r="BK893" s="6" t="s">
        <v>2345</v>
      </c>
    </row>
    <row r="894" customFormat="false" ht="15" hidden="false" customHeight="true" outlineLevel="0" collapsed="false">
      <c r="B894" s="2" t="s">
        <v>1579</v>
      </c>
      <c r="C894" s="2" t="s">
        <v>222</v>
      </c>
      <c r="D894" s="2" t="s">
        <v>898</v>
      </c>
      <c r="E894" s="2" t="n">
        <v>200913</v>
      </c>
      <c r="F894" s="15" t="n">
        <v>44052</v>
      </c>
      <c r="G894" s="15" t="n">
        <v>44057</v>
      </c>
      <c r="H894" s="3" t="n">
        <v>5</v>
      </c>
      <c r="I894" s="3" t="n">
        <v>2</v>
      </c>
      <c r="J894" s="3" t="n">
        <v>52</v>
      </c>
      <c r="K894" s="3" t="n">
        <v>1</v>
      </c>
      <c r="L894" s="3" t="n">
        <v>2</v>
      </c>
      <c r="M894" s="3" t="n">
        <v>1</v>
      </c>
      <c r="N894" s="3" t="n">
        <v>2</v>
      </c>
      <c r="O894" s="3" t="n">
        <v>2</v>
      </c>
      <c r="P894" s="3" t="n">
        <v>2</v>
      </c>
      <c r="Q894" s="3" t="n">
        <v>1</v>
      </c>
      <c r="R894" s="3" t="n">
        <v>2</v>
      </c>
      <c r="S894" s="3" t="n">
        <v>1</v>
      </c>
      <c r="T894" s="4" t="n">
        <v>1</v>
      </c>
      <c r="U894" s="3" t="n">
        <v>1</v>
      </c>
      <c r="V894" s="3" t="n">
        <v>2.39</v>
      </c>
      <c r="W894" s="3" t="n">
        <v>1.37</v>
      </c>
      <c r="X894" s="3" t="n">
        <v>4.16</v>
      </c>
      <c r="Y894" s="3" t="n">
        <v>287</v>
      </c>
      <c r="Z894" s="3" t="n">
        <v>125</v>
      </c>
      <c r="AA894" s="3" t="n">
        <v>0.45</v>
      </c>
      <c r="AB894" s="3" t="n">
        <v>8</v>
      </c>
      <c r="AC894" s="3" t="n">
        <v>1</v>
      </c>
      <c r="AD894" s="3" t="n">
        <v>1</v>
      </c>
      <c r="AE894" s="3" t="n">
        <v>1</v>
      </c>
      <c r="AF894" s="3" t="n">
        <v>1</v>
      </c>
      <c r="AG894" s="3" t="n">
        <v>1</v>
      </c>
      <c r="AH894" s="3" t="n">
        <v>2</v>
      </c>
      <c r="AI894" s="3" t="n">
        <v>1</v>
      </c>
      <c r="AJ894" s="3" t="n">
        <v>1</v>
      </c>
      <c r="AK894" s="3" t="n">
        <v>2</v>
      </c>
      <c r="AL894" s="3" t="n">
        <v>2</v>
      </c>
      <c r="AM894" s="3" t="n">
        <v>2</v>
      </c>
      <c r="AN894" s="3" t="n">
        <v>2</v>
      </c>
      <c r="AO894" s="3" t="n">
        <v>2</v>
      </c>
      <c r="AP894" s="3" t="n">
        <v>1</v>
      </c>
      <c r="AQ894" s="3" t="n">
        <v>1</v>
      </c>
      <c r="AR894" s="3" t="n">
        <v>4</v>
      </c>
      <c r="AS894" s="3" t="n">
        <v>6</v>
      </c>
      <c r="AT894" s="3" t="n">
        <v>4</v>
      </c>
      <c r="AU894" s="3" t="n">
        <v>4</v>
      </c>
      <c r="AV894" s="3" t="n">
        <v>6</v>
      </c>
      <c r="AW894" s="3" t="n">
        <v>6</v>
      </c>
      <c r="AX894" s="3" t="n">
        <v>3</v>
      </c>
      <c r="AY894" s="3" t="n">
        <v>1</v>
      </c>
      <c r="AZ894" s="3" t="n">
        <v>1</v>
      </c>
      <c r="BA894" s="5" t="n">
        <v>3</v>
      </c>
      <c r="BB894" s="3" t="n">
        <v>2</v>
      </c>
      <c r="BC894" s="3" t="n">
        <v>1</v>
      </c>
      <c r="BD894" s="3" t="n">
        <v>2</v>
      </c>
      <c r="BE894" s="3" t="n">
        <v>2</v>
      </c>
      <c r="BF894" s="3" t="n">
        <v>5</v>
      </c>
      <c r="BG894" s="3" t="n">
        <v>3</v>
      </c>
      <c r="BH894" s="3" t="n">
        <v>4</v>
      </c>
      <c r="BI894" s="3" t="n">
        <v>1</v>
      </c>
      <c r="BJ894" s="3" t="n">
        <v>1</v>
      </c>
      <c r="BK894" s="6" t="s">
        <v>2346</v>
      </c>
    </row>
    <row r="895" customFormat="false" ht="15" hidden="false" customHeight="true" outlineLevel="0" collapsed="false">
      <c r="B895" s="2" t="s">
        <v>2347</v>
      </c>
      <c r="C895" s="2" t="s">
        <v>2348</v>
      </c>
      <c r="D895" s="2" t="s">
        <v>118</v>
      </c>
      <c r="E895" s="2" t="n">
        <v>201195</v>
      </c>
      <c r="F895" s="15" t="n">
        <v>44054</v>
      </c>
      <c r="G895" s="15" t="n">
        <v>44060</v>
      </c>
      <c r="H895" s="3" t="n">
        <v>6</v>
      </c>
      <c r="I895" s="3" t="n">
        <v>1</v>
      </c>
      <c r="J895" s="3" t="n">
        <v>86</v>
      </c>
      <c r="K895" s="3" t="n">
        <v>1</v>
      </c>
      <c r="L895" s="3" t="n">
        <v>2</v>
      </c>
      <c r="M895" s="3" t="n">
        <v>1</v>
      </c>
      <c r="N895" s="3" t="n">
        <v>2</v>
      </c>
      <c r="O895" s="3" t="n">
        <v>2</v>
      </c>
      <c r="P895" s="3" t="n">
        <v>2</v>
      </c>
      <c r="Q895" s="3" t="n">
        <v>1</v>
      </c>
      <c r="R895" s="3" t="n">
        <v>2</v>
      </c>
      <c r="S895" s="3" t="n">
        <v>2</v>
      </c>
      <c r="T895" s="4" t="n">
        <v>4</v>
      </c>
      <c r="U895" s="3" t="n">
        <v>4</v>
      </c>
      <c r="V895" s="3" t="n">
        <v>4.12</v>
      </c>
      <c r="W895" s="3" t="n">
        <v>0.93</v>
      </c>
      <c r="X895" s="3" t="n">
        <v>7.13</v>
      </c>
      <c r="Y895" s="3" t="n">
        <v>704</v>
      </c>
      <c r="Z895" s="3" t="n">
        <v>307</v>
      </c>
      <c r="AA895" s="3" t="n">
        <v>0.3</v>
      </c>
      <c r="AB895" s="3" t="n">
        <v>12.4</v>
      </c>
      <c r="AC895" s="3" t="n">
        <v>3</v>
      </c>
      <c r="AD895" s="3" t="n">
        <v>2</v>
      </c>
      <c r="AE895" s="3" t="n">
        <v>1</v>
      </c>
      <c r="AF895" s="3" t="n">
        <v>2</v>
      </c>
      <c r="AG895" s="3" t="n">
        <v>2</v>
      </c>
      <c r="AH895" s="3" t="n">
        <v>2</v>
      </c>
      <c r="AI895" s="3" t="n">
        <v>2</v>
      </c>
      <c r="AJ895" s="3" t="n">
        <v>2</v>
      </c>
      <c r="AK895" s="3" t="n">
        <v>1</v>
      </c>
      <c r="AL895" s="3" t="n">
        <v>2</v>
      </c>
      <c r="AM895" s="3" t="n">
        <v>1</v>
      </c>
      <c r="AN895" s="3" t="n">
        <v>2</v>
      </c>
      <c r="AO895" s="3" t="n">
        <v>2</v>
      </c>
      <c r="AP895" s="3" t="n">
        <v>3</v>
      </c>
      <c r="AQ895" s="3" t="n">
        <v>4</v>
      </c>
      <c r="AR895" s="3" t="n">
        <v>4</v>
      </c>
      <c r="AS895" s="3" t="n">
        <v>6</v>
      </c>
      <c r="AT895" s="3" t="n">
        <v>4</v>
      </c>
      <c r="AU895" s="3" t="n">
        <v>4</v>
      </c>
      <c r="AV895" s="3" t="n">
        <v>6</v>
      </c>
      <c r="AW895" s="3" t="n">
        <v>6</v>
      </c>
      <c r="AX895" s="3" t="n">
        <v>3</v>
      </c>
      <c r="AY895" s="3" t="n">
        <v>3</v>
      </c>
      <c r="AZ895" s="3" t="n">
        <v>4</v>
      </c>
      <c r="BA895" s="5" t="n">
        <v>10</v>
      </c>
      <c r="BB895" s="3" t="n">
        <v>2</v>
      </c>
      <c r="BC895" s="3" t="n">
        <v>1</v>
      </c>
      <c r="BD895" s="3" t="n">
        <v>6</v>
      </c>
      <c r="BE895" s="3" t="n">
        <v>2</v>
      </c>
      <c r="BF895" s="3" t="n">
        <v>5</v>
      </c>
      <c r="BG895" s="3" t="n">
        <v>3</v>
      </c>
      <c r="BH895" s="3" t="n">
        <v>4</v>
      </c>
      <c r="BI895" s="3" t="n">
        <v>1</v>
      </c>
      <c r="BJ895" s="3" t="n">
        <v>1</v>
      </c>
      <c r="BK895" s="21" t="s">
        <v>2349</v>
      </c>
    </row>
    <row r="896" customFormat="false" ht="15" hidden="false" customHeight="true" outlineLevel="0" collapsed="false">
      <c r="B896" s="2" t="s">
        <v>2350</v>
      </c>
      <c r="C896" s="2" t="s">
        <v>898</v>
      </c>
      <c r="D896" s="2" t="s">
        <v>410</v>
      </c>
      <c r="E896" s="2" t="n">
        <v>201046</v>
      </c>
      <c r="F896" s="15" t="n">
        <v>44055</v>
      </c>
      <c r="G896" s="15" t="n">
        <v>44060</v>
      </c>
      <c r="H896" s="3" t="n">
        <v>5</v>
      </c>
      <c r="I896" s="3" t="n">
        <v>2</v>
      </c>
      <c r="J896" s="3" t="n">
        <v>74</v>
      </c>
      <c r="K896" s="3" t="n">
        <v>1</v>
      </c>
      <c r="L896" s="3" t="n">
        <v>2</v>
      </c>
      <c r="M896" s="3" t="n">
        <v>1</v>
      </c>
      <c r="N896" s="3" t="n">
        <v>2</v>
      </c>
      <c r="O896" s="3" t="n">
        <v>1</v>
      </c>
      <c r="P896" s="3" t="n">
        <v>1</v>
      </c>
      <c r="Q896" s="3" t="n">
        <v>2</v>
      </c>
      <c r="R896" s="3" t="n">
        <v>2</v>
      </c>
      <c r="S896" s="3" t="n">
        <v>2</v>
      </c>
      <c r="T896" s="4" t="n">
        <v>1</v>
      </c>
      <c r="U896" s="3" t="n">
        <v>1</v>
      </c>
      <c r="V896" s="3" t="n">
        <v>3.2</v>
      </c>
      <c r="W896" s="3" t="n">
        <v>2.28</v>
      </c>
      <c r="X896" s="3" t="n">
        <v>3.22</v>
      </c>
      <c r="Y896" s="3" t="n">
        <v>714</v>
      </c>
      <c r="Z896" s="3" t="n">
        <v>169</v>
      </c>
      <c r="AA896" s="3" t="n">
        <v>42</v>
      </c>
      <c r="AB896" s="3" t="n">
        <v>11.3</v>
      </c>
      <c r="AC896" s="3" t="n">
        <v>1</v>
      </c>
      <c r="AD896" s="3" t="n">
        <v>2</v>
      </c>
      <c r="AE896" s="3" t="n">
        <v>1</v>
      </c>
      <c r="AF896" s="3" t="n">
        <v>1</v>
      </c>
      <c r="AG896" s="3" t="n">
        <v>1</v>
      </c>
      <c r="AH896" s="3" t="n">
        <v>1</v>
      </c>
      <c r="AI896" s="3" t="n">
        <v>1</v>
      </c>
      <c r="AJ896" s="3" t="n">
        <v>2</v>
      </c>
      <c r="AK896" s="3" t="n">
        <v>2</v>
      </c>
      <c r="AL896" s="3" t="n">
        <v>2</v>
      </c>
      <c r="AM896" s="3" t="n">
        <v>1</v>
      </c>
      <c r="AN896" s="3" t="n">
        <v>2</v>
      </c>
      <c r="AO896" s="3" t="n">
        <v>2</v>
      </c>
      <c r="AP896" s="3" t="n">
        <v>3</v>
      </c>
      <c r="AQ896" s="3" t="n">
        <v>4</v>
      </c>
      <c r="AR896" s="3" t="n">
        <v>4</v>
      </c>
      <c r="AS896" s="3" t="n">
        <v>6</v>
      </c>
      <c r="AT896" s="3" t="n">
        <v>4</v>
      </c>
      <c r="AU896" s="3" t="n">
        <v>4</v>
      </c>
      <c r="AV896" s="3" t="n">
        <v>6</v>
      </c>
      <c r="AW896" s="3" t="n">
        <v>6</v>
      </c>
      <c r="AX896" s="3" t="n">
        <v>3</v>
      </c>
      <c r="AY896" s="3" t="n">
        <v>3</v>
      </c>
      <c r="AZ896" s="3" t="n">
        <v>1</v>
      </c>
      <c r="BA896" s="5" t="n">
        <v>5</v>
      </c>
      <c r="BB896" s="3" t="n">
        <v>2</v>
      </c>
      <c r="BC896" s="3" t="n">
        <v>1</v>
      </c>
      <c r="BD896" s="3" t="n">
        <v>2</v>
      </c>
      <c r="BE896" s="3" t="n">
        <v>1</v>
      </c>
      <c r="BF896" s="3" t="n">
        <v>2</v>
      </c>
      <c r="BG896" s="3" t="n">
        <v>1</v>
      </c>
      <c r="BH896" s="3" t="n">
        <v>4</v>
      </c>
      <c r="BI896" s="3" t="n">
        <v>1</v>
      </c>
      <c r="BJ896" s="3" t="n">
        <v>1</v>
      </c>
      <c r="BK896" s="21" t="s">
        <v>2351</v>
      </c>
    </row>
    <row r="897" customFormat="false" ht="15" hidden="false" customHeight="true" outlineLevel="0" collapsed="false">
      <c r="B897" s="2" t="s">
        <v>1601</v>
      </c>
      <c r="C897" s="2" t="s">
        <v>94</v>
      </c>
      <c r="D897" s="2" t="s">
        <v>2352</v>
      </c>
      <c r="E897" s="2" t="n">
        <v>200940</v>
      </c>
      <c r="F897" s="15" t="n">
        <v>44051</v>
      </c>
      <c r="G897" s="15" t="n">
        <v>44058</v>
      </c>
      <c r="H897" s="3" t="n">
        <v>7</v>
      </c>
      <c r="I897" s="3" t="n">
        <v>2</v>
      </c>
      <c r="J897" s="3" t="n">
        <v>72</v>
      </c>
      <c r="K897" s="3" t="n">
        <v>1</v>
      </c>
      <c r="L897" s="3" t="n">
        <v>1</v>
      </c>
      <c r="M897" s="3" t="n">
        <v>2</v>
      </c>
      <c r="N897" s="3" t="n">
        <v>2</v>
      </c>
      <c r="O897" s="3" t="n">
        <v>2</v>
      </c>
      <c r="P897" s="3" t="n">
        <v>2</v>
      </c>
      <c r="Q897" s="3" t="n">
        <v>2</v>
      </c>
      <c r="R897" s="3" t="n">
        <v>2</v>
      </c>
      <c r="S897" s="3" t="n">
        <v>2</v>
      </c>
      <c r="T897" s="4" t="n">
        <v>2</v>
      </c>
      <c r="U897" s="3" t="n">
        <v>2</v>
      </c>
      <c r="V897" s="3" t="n">
        <v>4.89</v>
      </c>
      <c r="W897" s="3" t="n">
        <v>1.61</v>
      </c>
      <c r="X897" s="3" t="n">
        <v>4.32</v>
      </c>
      <c r="Y897" s="3" t="n">
        <v>437</v>
      </c>
      <c r="Z897" s="3" t="n">
        <v>134</v>
      </c>
      <c r="AA897" s="3" t="n">
        <v>0.39</v>
      </c>
      <c r="AB897" s="3" t="n">
        <v>10</v>
      </c>
      <c r="AC897" s="3" t="n">
        <v>2</v>
      </c>
      <c r="AD897" s="3" t="n">
        <v>2</v>
      </c>
      <c r="AE897" s="3" t="n">
        <v>1</v>
      </c>
      <c r="AF897" s="3" t="n">
        <v>1</v>
      </c>
      <c r="AG897" s="3" t="n">
        <v>2</v>
      </c>
      <c r="AH897" s="3" t="n">
        <v>2</v>
      </c>
      <c r="AI897" s="3" t="n">
        <v>1</v>
      </c>
      <c r="AJ897" s="3" t="n">
        <v>2</v>
      </c>
      <c r="AK897" s="3" t="n">
        <v>2</v>
      </c>
      <c r="AL897" s="3" t="n">
        <v>2</v>
      </c>
      <c r="AM897" s="3" t="n">
        <v>2</v>
      </c>
      <c r="AN897" s="3" t="n">
        <v>2</v>
      </c>
      <c r="AO897" s="3" t="n">
        <v>2</v>
      </c>
      <c r="AP897" s="3" t="n">
        <v>3</v>
      </c>
      <c r="AQ897" s="3" t="n">
        <v>4</v>
      </c>
      <c r="AR897" s="3" t="n">
        <v>4</v>
      </c>
      <c r="AS897" s="3" t="n">
        <v>6</v>
      </c>
      <c r="AT897" s="3" t="n">
        <v>4</v>
      </c>
      <c r="AU897" s="3" t="n">
        <v>4</v>
      </c>
      <c r="AV897" s="3" t="n">
        <v>6</v>
      </c>
      <c r="AW897" s="3" t="n">
        <v>6</v>
      </c>
      <c r="AX897" s="3" t="n">
        <v>3</v>
      </c>
      <c r="AY897" s="3" t="n">
        <v>3</v>
      </c>
      <c r="AZ897" s="3" t="n">
        <v>5</v>
      </c>
      <c r="BA897" s="5" t="n">
        <v>1</v>
      </c>
      <c r="BB897" s="3" t="n">
        <v>1</v>
      </c>
      <c r="BC897" s="3" t="n">
        <v>1</v>
      </c>
      <c r="BD897" s="3" t="n">
        <v>4</v>
      </c>
      <c r="BE897" s="3" t="n">
        <v>1</v>
      </c>
      <c r="BF897" s="3" t="n">
        <v>1</v>
      </c>
      <c r="BG897" s="3" t="n">
        <v>1</v>
      </c>
      <c r="BH897" s="3" t="n">
        <v>4</v>
      </c>
      <c r="BI897" s="3" t="n">
        <v>1</v>
      </c>
      <c r="BJ897" s="3" t="n">
        <v>1</v>
      </c>
      <c r="BK897" s="6" t="s">
        <v>2353</v>
      </c>
    </row>
    <row r="898" customFormat="false" ht="15" hidden="false" customHeight="true" outlineLevel="0" collapsed="false">
      <c r="B898" s="2" t="s">
        <v>2354</v>
      </c>
      <c r="C898" s="2" t="s">
        <v>2355</v>
      </c>
      <c r="D898" s="2" t="s">
        <v>462</v>
      </c>
      <c r="E898" s="2" t="n">
        <v>66599</v>
      </c>
      <c r="F898" s="15" t="n">
        <v>44056</v>
      </c>
      <c r="G898" s="15" t="n">
        <v>44060</v>
      </c>
      <c r="H898" s="3" t="n">
        <v>4</v>
      </c>
      <c r="I898" s="3" t="n">
        <v>1</v>
      </c>
      <c r="J898" s="3" t="n">
        <v>80</v>
      </c>
      <c r="K898" s="3" t="n">
        <v>1</v>
      </c>
      <c r="L898" s="3" t="n">
        <v>2</v>
      </c>
      <c r="M898" s="3" t="n">
        <v>1</v>
      </c>
      <c r="N898" s="3" t="n">
        <v>1</v>
      </c>
      <c r="O898" s="3" t="n">
        <v>1</v>
      </c>
      <c r="P898" s="3" t="n">
        <v>1</v>
      </c>
      <c r="Q898" s="3" t="n">
        <v>1</v>
      </c>
      <c r="R898" s="3" t="n">
        <v>2</v>
      </c>
      <c r="S898" s="3" t="n">
        <v>1</v>
      </c>
      <c r="T898" s="4" t="n">
        <v>3</v>
      </c>
      <c r="U898" s="3" t="n">
        <v>1</v>
      </c>
      <c r="AC898" s="3" t="n">
        <v>2</v>
      </c>
      <c r="AD898" s="3" t="n">
        <v>2</v>
      </c>
      <c r="AE898" s="3" t="n">
        <v>1</v>
      </c>
      <c r="AF898" s="3" t="n">
        <v>1</v>
      </c>
      <c r="AG898" s="3" t="n">
        <v>2</v>
      </c>
      <c r="AH898" s="3" t="n">
        <v>2</v>
      </c>
      <c r="AI898" s="3" t="n">
        <v>1</v>
      </c>
      <c r="AJ898" s="3" t="n">
        <v>1</v>
      </c>
      <c r="AK898" s="3" t="n">
        <v>1</v>
      </c>
      <c r="AL898" s="3" t="n">
        <v>1</v>
      </c>
      <c r="AM898" s="3" t="n">
        <v>1</v>
      </c>
      <c r="AN898" s="3" t="n">
        <v>2</v>
      </c>
      <c r="AO898" s="3" t="n">
        <v>1</v>
      </c>
      <c r="AP898" s="3" t="n">
        <v>3</v>
      </c>
      <c r="AQ898" s="3" t="n">
        <v>4</v>
      </c>
      <c r="AR898" s="3" t="n">
        <v>4</v>
      </c>
      <c r="AS898" s="3" t="n">
        <v>6</v>
      </c>
      <c r="AT898" s="3" t="n">
        <v>4</v>
      </c>
      <c r="AU898" s="3" t="n">
        <v>4</v>
      </c>
      <c r="AV898" s="3" t="n">
        <v>6</v>
      </c>
      <c r="AW898" s="3" t="n">
        <v>6</v>
      </c>
      <c r="AX898" s="3" t="n">
        <v>3</v>
      </c>
      <c r="AY898" s="3" t="n">
        <v>3</v>
      </c>
      <c r="AZ898" s="3" t="n">
        <v>1</v>
      </c>
      <c r="BA898" s="5" t="n">
        <v>11</v>
      </c>
      <c r="BB898" s="3" t="n">
        <v>2</v>
      </c>
      <c r="BC898" s="3" t="n">
        <v>1</v>
      </c>
      <c r="BD898" s="3" t="n">
        <v>6</v>
      </c>
      <c r="BE898" s="3" t="n">
        <v>3</v>
      </c>
      <c r="BF898" s="3" t="n">
        <v>5</v>
      </c>
      <c r="BG898" s="3" t="n">
        <v>3</v>
      </c>
      <c r="BH898" s="3" t="n">
        <v>4</v>
      </c>
      <c r="BI898" s="3" t="n">
        <v>1</v>
      </c>
      <c r="BJ898" s="3" t="n">
        <v>1</v>
      </c>
      <c r="BK898" s="6" t="s">
        <v>2356</v>
      </c>
    </row>
    <row r="899" customFormat="false" ht="15" hidden="false" customHeight="true" outlineLevel="0" collapsed="false">
      <c r="B899" s="2" t="s">
        <v>2357</v>
      </c>
      <c r="C899" s="2" t="s">
        <v>544</v>
      </c>
      <c r="D899" s="2" t="s">
        <v>1417</v>
      </c>
      <c r="E899" s="2" t="n">
        <v>201145</v>
      </c>
      <c r="F899" s="15" t="n">
        <v>44056</v>
      </c>
      <c r="G899" s="15" t="n">
        <v>44062</v>
      </c>
      <c r="H899" s="3" t="n">
        <v>6</v>
      </c>
      <c r="I899" s="3" t="n">
        <v>2</v>
      </c>
      <c r="J899" s="3" t="n">
        <v>71</v>
      </c>
      <c r="K899" s="3" t="n">
        <v>2</v>
      </c>
      <c r="L899" s="3" t="n">
        <v>1</v>
      </c>
      <c r="M899" s="3" t="n">
        <v>1</v>
      </c>
      <c r="N899" s="3" t="n">
        <v>2</v>
      </c>
      <c r="O899" s="3" t="n">
        <v>2</v>
      </c>
      <c r="P899" s="3" t="n">
        <v>2</v>
      </c>
      <c r="Q899" s="3" t="n">
        <v>1</v>
      </c>
      <c r="R899" s="3" t="n">
        <v>2</v>
      </c>
      <c r="S899" s="3" t="n">
        <v>1</v>
      </c>
      <c r="T899" s="4" t="n">
        <v>2</v>
      </c>
      <c r="U899" s="3" t="n">
        <v>2</v>
      </c>
      <c r="AD899" s="3" t="n">
        <v>2</v>
      </c>
      <c r="AE899" s="3" t="n">
        <v>1</v>
      </c>
      <c r="AF899" s="3" t="n">
        <v>1</v>
      </c>
      <c r="AG899" s="3" t="n">
        <v>2</v>
      </c>
      <c r="AH899" s="3" t="n">
        <v>2</v>
      </c>
      <c r="AI899" s="3" t="n">
        <v>1</v>
      </c>
      <c r="AJ899" s="3" t="n">
        <v>1</v>
      </c>
      <c r="AK899" s="3" t="n">
        <v>1</v>
      </c>
      <c r="AL899" s="3" t="n">
        <v>2</v>
      </c>
      <c r="AM899" s="3" t="n">
        <v>1</v>
      </c>
      <c r="AN899" s="3" t="n">
        <v>2</v>
      </c>
      <c r="AO899" s="3" t="n">
        <v>2</v>
      </c>
      <c r="AP899" s="3" t="n">
        <v>3</v>
      </c>
      <c r="AQ899" s="3" t="n">
        <v>4</v>
      </c>
      <c r="AR899" s="3" t="n">
        <v>4</v>
      </c>
      <c r="AS899" s="3" t="n">
        <v>6</v>
      </c>
      <c r="AT899" s="3" t="n">
        <v>4</v>
      </c>
      <c r="AU899" s="3" t="n">
        <v>4</v>
      </c>
      <c r="AV899" s="3" t="n">
        <v>6</v>
      </c>
      <c r="AW899" s="3" t="n">
        <v>6</v>
      </c>
      <c r="AX899" s="3" t="n">
        <v>3</v>
      </c>
      <c r="AY899" s="3" t="n">
        <v>3</v>
      </c>
      <c r="AZ899" s="3" t="n">
        <v>1</v>
      </c>
      <c r="BA899" s="5" t="n">
        <v>1</v>
      </c>
      <c r="BB899" s="3" t="n">
        <v>1</v>
      </c>
      <c r="BC899" s="3" t="n">
        <v>1</v>
      </c>
      <c r="BD899" s="3" t="n">
        <v>4</v>
      </c>
      <c r="BE899" s="3" t="n">
        <v>3</v>
      </c>
      <c r="BF899" s="3" t="n">
        <v>5</v>
      </c>
      <c r="BG899" s="3" t="n">
        <v>3</v>
      </c>
      <c r="BH899" s="3" t="n">
        <v>4</v>
      </c>
      <c r="BI899" s="3" t="n">
        <v>1</v>
      </c>
      <c r="BJ899" s="3" t="n">
        <v>1</v>
      </c>
      <c r="BK899" s="6" t="s">
        <v>2358</v>
      </c>
    </row>
    <row r="900" customFormat="false" ht="15" hidden="false" customHeight="true" outlineLevel="0" collapsed="false">
      <c r="B900" s="17" t="s">
        <v>569</v>
      </c>
      <c r="C900" s="17" t="s">
        <v>2359</v>
      </c>
      <c r="D900" s="17" t="s">
        <v>153</v>
      </c>
      <c r="E900" s="2" t="n">
        <v>200657</v>
      </c>
      <c r="F900" s="15" t="n">
        <v>44061</v>
      </c>
      <c r="G900" s="15" t="n">
        <v>44065</v>
      </c>
      <c r="H900" s="3" t="n">
        <v>4</v>
      </c>
      <c r="I900" s="3" t="n">
        <v>2</v>
      </c>
      <c r="J900" s="3" t="n">
        <v>58</v>
      </c>
      <c r="K900" s="3" t="n">
        <v>1</v>
      </c>
      <c r="L900" s="3" t="n">
        <v>1</v>
      </c>
      <c r="M900" s="3" t="n">
        <v>1</v>
      </c>
      <c r="N900" s="3" t="n">
        <v>2</v>
      </c>
      <c r="O900" s="3" t="n">
        <v>2</v>
      </c>
      <c r="P900" s="3" t="n">
        <v>2</v>
      </c>
      <c r="Q900" s="3" t="n">
        <v>2</v>
      </c>
      <c r="R900" s="3" t="n">
        <v>2</v>
      </c>
      <c r="S900" s="3" t="n">
        <v>2</v>
      </c>
      <c r="T900" s="4" t="n">
        <v>1</v>
      </c>
      <c r="U900" s="3" t="n">
        <v>1</v>
      </c>
      <c r="V900" s="3" t="n">
        <v>5.19</v>
      </c>
      <c r="W900" s="3" t="n">
        <v>3.22</v>
      </c>
      <c r="X900" s="3" t="n">
        <v>4.79</v>
      </c>
      <c r="Y900" s="3" t="n">
        <v>470</v>
      </c>
      <c r="Z900" s="3" t="n">
        <v>109</v>
      </c>
      <c r="AA900" s="3" t="n">
        <v>0.49</v>
      </c>
      <c r="AB900" s="3" t="n">
        <v>5.9</v>
      </c>
      <c r="AC900" s="3" t="n">
        <v>1</v>
      </c>
      <c r="AD900" s="3" t="n">
        <v>1</v>
      </c>
      <c r="AE900" s="3" t="n">
        <v>1</v>
      </c>
      <c r="AF900" s="3" t="n">
        <v>1</v>
      </c>
      <c r="AG900" s="3" t="n">
        <v>2</v>
      </c>
      <c r="AH900" s="3" t="n">
        <v>2</v>
      </c>
      <c r="AI900" s="3" t="n">
        <v>1</v>
      </c>
      <c r="AJ900" s="3" t="n">
        <v>1</v>
      </c>
      <c r="AK900" s="3" t="n">
        <v>2</v>
      </c>
      <c r="AL900" s="3" t="n">
        <v>2</v>
      </c>
      <c r="AM900" s="3" t="n">
        <v>2</v>
      </c>
      <c r="AN900" s="3" t="n">
        <v>2</v>
      </c>
      <c r="AO900" s="3" t="n">
        <v>2</v>
      </c>
      <c r="AP900" s="3" t="n">
        <v>3</v>
      </c>
      <c r="AQ900" s="3" t="n">
        <v>4</v>
      </c>
      <c r="AR900" s="3" t="n">
        <v>4</v>
      </c>
      <c r="AS900" s="3" t="n">
        <v>6</v>
      </c>
      <c r="AT900" s="3" t="n">
        <v>4</v>
      </c>
      <c r="AU900" s="3" t="n">
        <v>4</v>
      </c>
      <c r="AV900" s="3" t="n">
        <v>6</v>
      </c>
      <c r="AW900" s="3" t="n">
        <v>6</v>
      </c>
      <c r="AX900" s="3" t="n">
        <v>3</v>
      </c>
      <c r="AY900" s="3" t="n">
        <v>3</v>
      </c>
      <c r="AZ900" s="3" t="n">
        <v>1</v>
      </c>
      <c r="BA900" s="5" t="n">
        <v>5</v>
      </c>
      <c r="BB900" s="3" t="n">
        <v>2</v>
      </c>
      <c r="BC900" s="3" t="n">
        <v>1</v>
      </c>
      <c r="BD900" s="3" t="n">
        <v>6</v>
      </c>
      <c r="BE900" s="3" t="n">
        <v>3</v>
      </c>
      <c r="BF900" s="3" t="n">
        <v>5</v>
      </c>
      <c r="BG900" s="3" t="n">
        <v>3</v>
      </c>
      <c r="BH900" s="3" t="n">
        <v>4</v>
      </c>
      <c r="BI900" s="3" t="n">
        <v>1</v>
      </c>
      <c r="BJ900" s="3" t="n">
        <v>1</v>
      </c>
      <c r="BK900" s="21" t="s">
        <v>2360</v>
      </c>
    </row>
    <row r="901" customFormat="false" ht="15" hidden="false" customHeight="true" outlineLevel="0" collapsed="false">
      <c r="B901" s="2" t="s">
        <v>323</v>
      </c>
      <c r="C901" s="2" t="s">
        <v>1512</v>
      </c>
      <c r="D901" s="2" t="s">
        <v>2361</v>
      </c>
      <c r="E901" s="2" t="n">
        <v>201127</v>
      </c>
      <c r="F901" s="15" t="n">
        <v>44057</v>
      </c>
      <c r="G901" s="15" t="n">
        <v>44064</v>
      </c>
      <c r="H901" s="3" t="n">
        <v>7</v>
      </c>
      <c r="I901" s="3" t="n">
        <v>2</v>
      </c>
      <c r="J901" s="3" t="n">
        <v>57</v>
      </c>
      <c r="K901" s="3" t="n">
        <v>1</v>
      </c>
      <c r="L901" s="3" t="n">
        <v>1</v>
      </c>
      <c r="M901" s="3" t="n">
        <v>1</v>
      </c>
      <c r="N901" s="3" t="n">
        <v>1</v>
      </c>
      <c r="O901" s="3" t="n">
        <v>1</v>
      </c>
      <c r="P901" s="3" t="n">
        <v>1</v>
      </c>
      <c r="Q901" s="3" t="n">
        <v>2</v>
      </c>
      <c r="R901" s="3" t="n">
        <v>2</v>
      </c>
      <c r="S901" s="3" t="n">
        <v>1</v>
      </c>
      <c r="T901" s="4" t="n">
        <v>2</v>
      </c>
      <c r="U901" s="3" t="n">
        <v>2</v>
      </c>
      <c r="V901" s="3" t="n">
        <v>3.29</v>
      </c>
      <c r="W901" s="3" t="n">
        <v>1.07</v>
      </c>
      <c r="X901" s="3" t="n">
        <v>4.74</v>
      </c>
      <c r="Y901" s="3" t="n">
        <v>404</v>
      </c>
      <c r="Z901" s="3" t="n">
        <v>146</v>
      </c>
      <c r="AA901" s="3" t="n">
        <v>0.5</v>
      </c>
      <c r="AB901" s="3" t="n">
        <v>7.2</v>
      </c>
      <c r="AC901" s="3" t="n">
        <v>2</v>
      </c>
      <c r="AD901" s="3" t="n">
        <v>2</v>
      </c>
      <c r="AE901" s="3" t="n">
        <v>1</v>
      </c>
      <c r="AF901" s="3" t="n">
        <v>1</v>
      </c>
      <c r="AG901" s="3" t="n">
        <v>2</v>
      </c>
      <c r="AH901" s="3" t="n">
        <v>1</v>
      </c>
      <c r="AI901" s="3" t="n">
        <v>1</v>
      </c>
      <c r="AJ901" s="3" t="n">
        <v>1</v>
      </c>
      <c r="AK901" s="3" t="n">
        <v>2</v>
      </c>
      <c r="AL901" s="3" t="n">
        <v>2</v>
      </c>
      <c r="AM901" s="3" t="n">
        <v>1</v>
      </c>
      <c r="AN901" s="3" t="n">
        <v>2</v>
      </c>
      <c r="AO901" s="3" t="n">
        <v>2</v>
      </c>
      <c r="AP901" s="3" t="n">
        <v>3</v>
      </c>
      <c r="AQ901" s="3" t="n">
        <v>4</v>
      </c>
      <c r="AR901" s="3" t="n">
        <v>4</v>
      </c>
      <c r="AS901" s="3" t="n">
        <v>6</v>
      </c>
      <c r="AT901" s="3" t="n">
        <v>4</v>
      </c>
      <c r="AU901" s="3" t="n">
        <v>4</v>
      </c>
      <c r="AV901" s="3" t="n">
        <v>6</v>
      </c>
      <c r="AW901" s="3" t="n">
        <v>6</v>
      </c>
      <c r="AX901" s="3" t="n">
        <v>3</v>
      </c>
      <c r="AY901" s="3" t="n">
        <v>3</v>
      </c>
      <c r="AZ901" s="3" t="n">
        <v>1</v>
      </c>
      <c r="BA901" s="5" t="n">
        <v>1</v>
      </c>
      <c r="BB901" s="3" t="n">
        <v>1</v>
      </c>
      <c r="BC901" s="3" t="n">
        <v>1</v>
      </c>
      <c r="BD901" s="3" t="n">
        <v>2</v>
      </c>
      <c r="BE901" s="3" t="n">
        <v>1</v>
      </c>
      <c r="BF901" s="3" t="n">
        <v>2</v>
      </c>
      <c r="BG901" s="3" t="n">
        <v>1</v>
      </c>
      <c r="BH901" s="3" t="n">
        <v>4</v>
      </c>
      <c r="BI901" s="3" t="n">
        <v>1</v>
      </c>
      <c r="BJ901" s="3" t="n">
        <v>1</v>
      </c>
      <c r="BK901" s="6" t="s">
        <v>2362</v>
      </c>
    </row>
    <row r="902" customFormat="false" ht="15" hidden="false" customHeight="true" outlineLevel="0" collapsed="false">
      <c r="B902" s="2" t="s">
        <v>2331</v>
      </c>
      <c r="C902" s="2" t="s">
        <v>2332</v>
      </c>
      <c r="D902" s="2" t="s">
        <v>1098</v>
      </c>
      <c r="E902" s="2" t="n">
        <v>200488</v>
      </c>
      <c r="F902" s="15" t="n">
        <v>44058</v>
      </c>
      <c r="G902" s="15" t="n">
        <v>44064</v>
      </c>
      <c r="H902" s="3" t="n">
        <v>6</v>
      </c>
      <c r="I902" s="3" t="n">
        <v>2</v>
      </c>
      <c r="J902" s="3" t="n">
        <v>81</v>
      </c>
      <c r="K902" s="3" t="n">
        <v>1</v>
      </c>
      <c r="L902" s="3" t="n">
        <v>2</v>
      </c>
      <c r="M902" s="3" t="n">
        <v>1</v>
      </c>
      <c r="N902" s="3" t="n">
        <v>1</v>
      </c>
      <c r="O902" s="3" t="n">
        <v>2</v>
      </c>
      <c r="P902" s="3" t="n">
        <v>2</v>
      </c>
      <c r="Q902" s="3" t="n">
        <v>2</v>
      </c>
      <c r="R902" s="3" t="n">
        <v>2</v>
      </c>
      <c r="S902" s="3" t="n">
        <v>2</v>
      </c>
      <c r="T902" s="4" t="n">
        <v>1</v>
      </c>
      <c r="U902" s="3" t="n">
        <v>1</v>
      </c>
      <c r="V902" s="3" t="n">
        <f aca="false">-W902</f>
        <v>0</v>
      </c>
      <c r="W902" s="3" t="n">
        <v>0</v>
      </c>
      <c r="X902" s="3" t="n">
        <v>0</v>
      </c>
      <c r="Y902" s="3" t="n">
        <v>0</v>
      </c>
      <c r="Z902" s="3" t="n">
        <v>0</v>
      </c>
      <c r="AA902" s="3" t="n">
        <v>0</v>
      </c>
      <c r="AB902" s="3" t="n">
        <v>0</v>
      </c>
      <c r="AC902" s="3" t="n">
        <v>3</v>
      </c>
      <c r="AD902" s="3" t="n">
        <v>2</v>
      </c>
      <c r="AE902" s="3" t="n">
        <v>1</v>
      </c>
      <c r="AF902" s="3" t="n">
        <v>1</v>
      </c>
      <c r="AG902" s="3" t="n">
        <v>2</v>
      </c>
      <c r="AH902" s="3" t="n">
        <v>2</v>
      </c>
      <c r="AI902" s="3" t="n">
        <v>1</v>
      </c>
      <c r="AJ902" s="3" t="n">
        <v>1</v>
      </c>
      <c r="AK902" s="3" t="n">
        <v>2</v>
      </c>
      <c r="AL902" s="3" t="n">
        <v>2</v>
      </c>
      <c r="AM902" s="3" t="n">
        <v>2</v>
      </c>
      <c r="AN902" s="3" t="n">
        <v>2</v>
      </c>
      <c r="AO902" s="3" t="n">
        <v>2</v>
      </c>
      <c r="AP902" s="3" t="n">
        <v>3</v>
      </c>
      <c r="AQ902" s="3" t="n">
        <v>4</v>
      </c>
      <c r="AR902" s="3" t="n">
        <v>4</v>
      </c>
      <c r="AS902" s="3" t="n">
        <v>6</v>
      </c>
      <c r="AT902" s="3" t="n">
        <v>4</v>
      </c>
      <c r="AU902" s="3" t="n">
        <v>4</v>
      </c>
      <c r="AV902" s="3" t="n">
        <v>6</v>
      </c>
      <c r="AW902" s="3" t="n">
        <v>6</v>
      </c>
      <c r="AX902" s="3" t="n">
        <v>3</v>
      </c>
      <c r="AY902" s="3" t="n">
        <v>3</v>
      </c>
      <c r="AZ902" s="3" t="n">
        <v>1</v>
      </c>
      <c r="BA902" s="5" t="n">
        <v>5</v>
      </c>
      <c r="BB902" s="3" t="n">
        <v>2</v>
      </c>
      <c r="BC902" s="3" t="n">
        <v>1</v>
      </c>
      <c r="BD902" s="3" t="n">
        <v>6</v>
      </c>
      <c r="BE902" s="3" t="n">
        <v>3</v>
      </c>
      <c r="BF902" s="3" t="n">
        <v>5</v>
      </c>
      <c r="BG902" s="3" t="n">
        <v>3</v>
      </c>
      <c r="BH902" s="3" t="n">
        <v>4</v>
      </c>
      <c r="BI902" s="3" t="n">
        <v>1</v>
      </c>
      <c r="BJ902" s="3" t="n">
        <v>1</v>
      </c>
      <c r="BK902" s="21" t="s">
        <v>2363</v>
      </c>
    </row>
    <row r="903" s="30" customFormat="true" ht="15" hidden="false" customHeight="true" outlineLevel="0" collapsed="false">
      <c r="A903" s="24"/>
      <c r="B903" s="26" t="s">
        <v>2364</v>
      </c>
      <c r="C903" s="26" t="s">
        <v>127</v>
      </c>
      <c r="D903" s="26" t="s">
        <v>153</v>
      </c>
      <c r="E903" s="26" t="n">
        <v>152741</v>
      </c>
      <c r="F903" s="27" t="n">
        <v>44064</v>
      </c>
      <c r="G903" s="27" t="n">
        <v>44065</v>
      </c>
      <c r="H903" s="30" t="n">
        <v>1</v>
      </c>
      <c r="I903" s="30" t="n">
        <v>1</v>
      </c>
      <c r="J903" s="30" t="n">
        <v>65</v>
      </c>
      <c r="K903" s="30" t="n">
        <v>1</v>
      </c>
      <c r="T903" s="4" t="n">
        <v>2</v>
      </c>
      <c r="U903" s="30" t="n">
        <v>2</v>
      </c>
      <c r="AP903" s="30" t="n">
        <v>3</v>
      </c>
      <c r="AQ903" s="30" t="n">
        <v>4</v>
      </c>
      <c r="AR903" s="30" t="n">
        <v>4</v>
      </c>
      <c r="AS903" s="30" t="n">
        <v>6</v>
      </c>
      <c r="AT903" s="30" t="n">
        <v>4</v>
      </c>
      <c r="AU903" s="30" t="n">
        <v>4</v>
      </c>
      <c r="AV903" s="30" t="n">
        <v>6</v>
      </c>
      <c r="AW903" s="30" t="n">
        <v>6</v>
      </c>
      <c r="AX903" s="30" t="n">
        <v>3</v>
      </c>
      <c r="AY903" s="30" t="n">
        <v>3</v>
      </c>
      <c r="AZ903" s="30" t="n">
        <v>14</v>
      </c>
      <c r="BA903" s="5" t="n">
        <v>1</v>
      </c>
      <c r="BB903" s="30" t="n">
        <v>1</v>
      </c>
      <c r="BC903" s="30" t="n">
        <v>1</v>
      </c>
      <c r="BD903" s="30" t="n">
        <v>4</v>
      </c>
      <c r="BE903" s="30" t="n">
        <v>1</v>
      </c>
      <c r="BF903" s="30" t="n">
        <v>2</v>
      </c>
      <c r="BG903" s="30" t="n">
        <v>1</v>
      </c>
      <c r="BH903" s="30" t="n">
        <v>4</v>
      </c>
      <c r="BI903" s="30" t="n">
        <v>3</v>
      </c>
      <c r="BJ903" s="30" t="n">
        <v>3</v>
      </c>
      <c r="BK903" s="31" t="s">
        <v>2365</v>
      </c>
    </row>
    <row r="904" customFormat="false" ht="15" hidden="false" customHeight="true" outlineLevel="0" collapsed="false">
      <c r="B904" s="17" t="s">
        <v>2366</v>
      </c>
      <c r="C904" s="17" t="s">
        <v>2367</v>
      </c>
      <c r="D904" s="17" t="s">
        <v>2368</v>
      </c>
      <c r="E904" s="2" t="n">
        <v>200632</v>
      </c>
      <c r="F904" s="15" t="n">
        <v>44062</v>
      </c>
      <c r="G904" s="15" t="n">
        <v>44068</v>
      </c>
      <c r="H904" s="3" t="n">
        <v>6</v>
      </c>
      <c r="I904" s="3" t="n">
        <v>1</v>
      </c>
      <c r="J904" s="3" t="n">
        <v>69</v>
      </c>
      <c r="K904" s="3" t="n">
        <v>2</v>
      </c>
      <c r="L904" s="3" t="n">
        <v>1</v>
      </c>
      <c r="M904" s="3" t="n">
        <v>2</v>
      </c>
      <c r="N904" s="3" t="n">
        <v>2</v>
      </c>
      <c r="O904" s="3" t="n">
        <v>2</v>
      </c>
      <c r="P904" s="3" t="n">
        <v>2</v>
      </c>
      <c r="Q904" s="3" t="n">
        <v>2</v>
      </c>
      <c r="R904" s="3" t="n">
        <v>2</v>
      </c>
      <c r="S904" s="3" t="n">
        <v>2</v>
      </c>
      <c r="T904" s="4" t="n">
        <v>2</v>
      </c>
      <c r="U904" s="3" t="n">
        <v>2</v>
      </c>
      <c r="V904" s="3" t="n">
        <v>5.32</v>
      </c>
      <c r="W904" s="3" t="n">
        <v>2.01</v>
      </c>
      <c r="X904" s="3" t="n">
        <v>6.12</v>
      </c>
      <c r="Y904" s="3" t="n">
        <v>447</v>
      </c>
      <c r="Z904" s="3" t="n">
        <v>119</v>
      </c>
      <c r="AA904" s="3" t="n">
        <v>0.41</v>
      </c>
      <c r="AB904" s="3" t="n">
        <v>12.8</v>
      </c>
      <c r="AC904" s="3" t="n">
        <v>1</v>
      </c>
      <c r="AD904" s="3" t="n">
        <v>2</v>
      </c>
      <c r="AE904" s="3" t="n">
        <v>1</v>
      </c>
      <c r="AF904" s="3" t="n">
        <v>1</v>
      </c>
      <c r="AG904" s="3" t="n">
        <v>2</v>
      </c>
      <c r="AH904" s="3" t="n">
        <v>2</v>
      </c>
      <c r="AI904" s="3" t="n">
        <v>1</v>
      </c>
      <c r="AJ904" s="3" t="n">
        <v>2</v>
      </c>
      <c r="AK904" s="3" t="n">
        <v>2</v>
      </c>
      <c r="AL904" s="3" t="n">
        <v>2</v>
      </c>
      <c r="AM904" s="3" t="n">
        <v>2</v>
      </c>
      <c r="AN904" s="3" t="n">
        <v>2</v>
      </c>
      <c r="AO904" s="3" t="n">
        <v>2</v>
      </c>
      <c r="AP904" s="3" t="n">
        <v>3</v>
      </c>
      <c r="AQ904" s="3" t="n">
        <v>4</v>
      </c>
      <c r="AR904" s="3" t="n">
        <v>4</v>
      </c>
      <c r="AS904" s="3" t="n">
        <v>6</v>
      </c>
      <c r="AT904" s="3" t="n">
        <v>4</v>
      </c>
      <c r="AU904" s="3" t="n">
        <v>4</v>
      </c>
      <c r="AV904" s="3" t="n">
        <v>6</v>
      </c>
      <c r="AW904" s="3" t="n">
        <v>6</v>
      </c>
      <c r="AX904" s="3" t="n">
        <v>3</v>
      </c>
      <c r="AY904" s="3" t="n">
        <v>3</v>
      </c>
      <c r="AZ904" s="3" t="n">
        <v>1</v>
      </c>
      <c r="BA904" s="5" t="n">
        <v>1</v>
      </c>
      <c r="BB904" s="3" t="n">
        <v>1</v>
      </c>
      <c r="BC904" s="3" t="n">
        <v>1</v>
      </c>
      <c r="BD904" s="3" t="n">
        <v>4</v>
      </c>
      <c r="BE904" s="3" t="n">
        <v>1</v>
      </c>
      <c r="BF904" s="3" t="n">
        <v>2</v>
      </c>
      <c r="BG904" s="3" t="n">
        <v>1</v>
      </c>
      <c r="BH904" s="3" t="n">
        <v>4</v>
      </c>
      <c r="BI904" s="3" t="n">
        <v>1</v>
      </c>
      <c r="BJ904" s="3" t="n">
        <v>1</v>
      </c>
      <c r="BK904" s="21" t="s">
        <v>448</v>
      </c>
    </row>
    <row r="905" customFormat="false" ht="15" hidden="false" customHeight="true" outlineLevel="0" collapsed="false">
      <c r="B905" s="17" t="s">
        <v>801</v>
      </c>
      <c r="C905" s="17" t="s">
        <v>386</v>
      </c>
      <c r="D905" s="17" t="s">
        <v>330</v>
      </c>
      <c r="E905" s="2" t="n">
        <v>200654</v>
      </c>
      <c r="F905" s="15" t="n">
        <v>44061</v>
      </c>
      <c r="G905" s="15" t="n">
        <v>44069</v>
      </c>
      <c r="H905" s="3" t="n">
        <v>8</v>
      </c>
      <c r="I905" s="3" t="n">
        <v>2</v>
      </c>
      <c r="J905" s="3" t="n">
        <v>57</v>
      </c>
      <c r="K905" s="3" t="n">
        <v>1</v>
      </c>
      <c r="L905" s="3" t="n">
        <v>1</v>
      </c>
      <c r="M905" s="3" t="n">
        <v>1</v>
      </c>
      <c r="N905" s="3" t="n">
        <v>2</v>
      </c>
      <c r="O905" s="3" t="n">
        <v>2</v>
      </c>
      <c r="P905" s="3" t="n">
        <v>1</v>
      </c>
      <c r="Q905" s="3" t="n">
        <v>1</v>
      </c>
      <c r="R905" s="3" t="n">
        <v>2</v>
      </c>
      <c r="S905" s="3" t="n">
        <v>2</v>
      </c>
      <c r="T905" s="4" t="n">
        <v>2</v>
      </c>
      <c r="U905" s="3" t="n">
        <v>2</v>
      </c>
      <c r="V905" s="3" t="n">
        <v>4.92</v>
      </c>
      <c r="W905" s="3" t="n">
        <v>1.09</v>
      </c>
      <c r="X905" s="3" t="n">
        <v>8.1</v>
      </c>
      <c r="Y905" s="3" t="n">
        <v>525</v>
      </c>
      <c r="Z905" s="3" t="n">
        <v>114</v>
      </c>
      <c r="AA905" s="3" t="n">
        <v>0.54</v>
      </c>
      <c r="AB905" s="3" t="n">
        <v>15.9</v>
      </c>
      <c r="AC905" s="3" t="n">
        <v>2</v>
      </c>
      <c r="AD905" s="3" t="n">
        <v>2</v>
      </c>
      <c r="AE905" s="3" t="n">
        <v>1</v>
      </c>
      <c r="AF905" s="3" t="n">
        <v>1</v>
      </c>
      <c r="AG905" s="3" t="n">
        <v>1</v>
      </c>
      <c r="AH905" s="3" t="n">
        <v>2</v>
      </c>
      <c r="AI905" s="3" t="n">
        <v>1</v>
      </c>
      <c r="AJ905" s="3" t="n">
        <v>1</v>
      </c>
      <c r="AK905" s="3" t="n">
        <v>2</v>
      </c>
      <c r="AL905" s="3" t="n">
        <v>2</v>
      </c>
      <c r="AM905" s="3" t="n">
        <v>1</v>
      </c>
      <c r="AN905" s="3" t="n">
        <v>1</v>
      </c>
      <c r="AO905" s="3" t="n">
        <v>2</v>
      </c>
      <c r="AP905" s="3" t="n">
        <v>3</v>
      </c>
      <c r="AQ905" s="3" t="n">
        <v>4</v>
      </c>
      <c r="AR905" s="3" t="n">
        <v>4</v>
      </c>
      <c r="AS905" s="3" t="n">
        <v>6</v>
      </c>
      <c r="AT905" s="3" t="n">
        <v>4</v>
      </c>
      <c r="AU905" s="3" t="n">
        <v>4</v>
      </c>
      <c r="AV905" s="3" t="n">
        <v>6</v>
      </c>
      <c r="AW905" s="3" t="n">
        <v>6</v>
      </c>
      <c r="AX905" s="3" t="n">
        <v>3</v>
      </c>
      <c r="AY905" s="3" t="n">
        <v>3</v>
      </c>
      <c r="AZ905" s="3" t="n">
        <v>4</v>
      </c>
      <c r="BA905" s="5" t="n">
        <v>1</v>
      </c>
      <c r="BB905" s="3" t="n">
        <v>1</v>
      </c>
      <c r="BC905" s="3" t="n">
        <v>1</v>
      </c>
      <c r="BD905" s="3" t="n">
        <v>2</v>
      </c>
      <c r="BE905" s="3" t="n">
        <v>1</v>
      </c>
      <c r="BF905" s="3" t="n">
        <v>2</v>
      </c>
      <c r="BG905" s="3" t="n">
        <v>2</v>
      </c>
      <c r="BH905" s="3" t="n">
        <v>4</v>
      </c>
      <c r="BI905" s="3" t="n">
        <v>1</v>
      </c>
      <c r="BJ905" s="3" t="n">
        <v>1</v>
      </c>
      <c r="BK905" s="21" t="s">
        <v>2369</v>
      </c>
    </row>
    <row r="906" customFormat="false" ht="15" hidden="false" customHeight="true" outlineLevel="0" collapsed="false">
      <c r="B906" s="17" t="s">
        <v>2370</v>
      </c>
      <c r="C906" s="17" t="s">
        <v>2371</v>
      </c>
      <c r="D906" s="17" t="s">
        <v>1007</v>
      </c>
      <c r="E906" s="2" t="n">
        <v>200617</v>
      </c>
      <c r="F906" s="15" t="n">
        <v>44060</v>
      </c>
      <c r="G906" s="15" t="n">
        <v>44069</v>
      </c>
      <c r="H906" s="3" t="n">
        <v>9</v>
      </c>
      <c r="I906" s="3" t="n">
        <v>1</v>
      </c>
      <c r="J906" s="3" t="n">
        <v>81</v>
      </c>
      <c r="K906" s="3" t="n">
        <v>1</v>
      </c>
      <c r="L906" s="3" t="n">
        <v>1</v>
      </c>
      <c r="M906" s="3" t="n">
        <v>1</v>
      </c>
      <c r="N906" s="3" t="n">
        <v>2</v>
      </c>
      <c r="O906" s="3" t="n">
        <v>2</v>
      </c>
      <c r="P906" s="3" t="n">
        <v>2</v>
      </c>
      <c r="Q906" s="3" t="n">
        <v>1</v>
      </c>
      <c r="R906" s="3" t="n">
        <v>2</v>
      </c>
      <c r="S906" s="3" t="n">
        <v>2</v>
      </c>
      <c r="T906" s="4" t="n">
        <v>4</v>
      </c>
      <c r="U906" s="3" t="n">
        <v>4</v>
      </c>
      <c r="V906" s="3" t="n">
        <v>5.64</v>
      </c>
      <c r="W906" s="3" t="n">
        <v>1.21</v>
      </c>
      <c r="X906" s="3" t="n">
        <v>11.4</v>
      </c>
      <c r="Y906" s="3" t="n">
        <v>660</v>
      </c>
      <c r="Z906" s="3" t="n">
        <v>108</v>
      </c>
      <c r="AA906" s="3" t="n">
        <v>0.39</v>
      </c>
      <c r="AB906" s="3" t="n">
        <v>7.7</v>
      </c>
      <c r="AD906" s="3" t="n">
        <v>1</v>
      </c>
      <c r="AE906" s="3" t="n">
        <v>2</v>
      </c>
      <c r="AF906" s="3" t="n">
        <v>2</v>
      </c>
      <c r="AG906" s="3" t="n">
        <v>2</v>
      </c>
      <c r="AH906" s="3" t="n">
        <v>2</v>
      </c>
      <c r="AI906" s="3" t="n">
        <v>2</v>
      </c>
      <c r="AJ906" s="3" t="n">
        <v>1</v>
      </c>
      <c r="AK906" s="3" t="n">
        <v>2</v>
      </c>
      <c r="AL906" s="3" t="n">
        <v>2</v>
      </c>
      <c r="AM906" s="3" t="n">
        <v>1</v>
      </c>
      <c r="AN906" s="3" t="n">
        <v>2</v>
      </c>
      <c r="AO906" s="3" t="n">
        <v>2</v>
      </c>
      <c r="AP906" s="3" t="n">
        <v>3</v>
      </c>
      <c r="AQ906" s="3" t="n">
        <v>4</v>
      </c>
      <c r="AR906" s="3" t="n">
        <v>4</v>
      </c>
      <c r="AS906" s="3" t="n">
        <v>6</v>
      </c>
      <c r="AT906" s="3" t="n">
        <v>4</v>
      </c>
      <c r="AU906" s="3" t="n">
        <v>4</v>
      </c>
      <c r="AV906" s="3" t="n">
        <v>6</v>
      </c>
      <c r="AW906" s="3" t="n">
        <v>6</v>
      </c>
      <c r="AX906" s="3" t="n">
        <v>3</v>
      </c>
      <c r="AY906" s="3" t="n">
        <v>3</v>
      </c>
      <c r="AZ906" s="3" t="n">
        <v>1</v>
      </c>
      <c r="BA906" s="5" t="n">
        <v>10</v>
      </c>
      <c r="BB906" s="3" t="n">
        <v>2</v>
      </c>
      <c r="BC906" s="3" t="n">
        <v>1</v>
      </c>
      <c r="BD906" s="3" t="n">
        <v>6</v>
      </c>
      <c r="BE906" s="3" t="n">
        <v>3</v>
      </c>
      <c r="BF906" s="3" t="n">
        <v>5</v>
      </c>
      <c r="BG906" s="3" t="n">
        <v>3</v>
      </c>
      <c r="BH906" s="3" t="n">
        <v>4</v>
      </c>
      <c r="BI906" s="3" t="n">
        <v>1</v>
      </c>
      <c r="BJ906" s="3" t="n">
        <v>1</v>
      </c>
      <c r="BK906" s="21" t="s">
        <v>2372</v>
      </c>
    </row>
    <row r="907" customFormat="false" ht="15" hidden="false" customHeight="true" outlineLevel="0" collapsed="false">
      <c r="B907" s="2" t="s">
        <v>2373</v>
      </c>
      <c r="C907" s="2" t="s">
        <v>102</v>
      </c>
      <c r="D907" s="2" t="s">
        <v>2374</v>
      </c>
      <c r="E907" s="2" t="n">
        <v>201340</v>
      </c>
      <c r="F907" s="15" t="n">
        <v>44066</v>
      </c>
      <c r="G907" s="15" t="n">
        <v>44072</v>
      </c>
      <c r="H907" s="3" t="n">
        <v>6</v>
      </c>
      <c r="I907" s="3" t="n">
        <v>1</v>
      </c>
      <c r="J907" s="3" t="n">
        <v>59</v>
      </c>
      <c r="K907" s="3" t="n">
        <v>2</v>
      </c>
      <c r="L907" s="3" t="n">
        <v>1</v>
      </c>
      <c r="M907" s="3" t="n">
        <v>1</v>
      </c>
      <c r="N907" s="3" t="n">
        <v>2</v>
      </c>
      <c r="O907" s="3" t="n">
        <v>1</v>
      </c>
      <c r="P907" s="3" t="n">
        <v>2</v>
      </c>
      <c r="Q907" s="3" t="n">
        <v>1</v>
      </c>
      <c r="R907" s="3" t="n">
        <v>2</v>
      </c>
      <c r="S907" s="3" t="n">
        <v>2</v>
      </c>
      <c r="T907" s="4" t="n">
        <v>2</v>
      </c>
      <c r="U907" s="3" t="n">
        <v>2</v>
      </c>
      <c r="V907" s="3" t="n">
        <v>6.13</v>
      </c>
      <c r="W907" s="3" t="n">
        <v>2.42</v>
      </c>
      <c r="X907" s="3" t="n">
        <v>7.83</v>
      </c>
      <c r="Y907" s="3" t="n">
        <v>415</v>
      </c>
      <c r="Z907" s="3" t="n">
        <v>115</v>
      </c>
      <c r="AA907" s="3" t="n">
        <v>0.45</v>
      </c>
      <c r="AB907" s="3" t="n">
        <v>12.8</v>
      </c>
      <c r="AC907" s="3" t="n">
        <v>1</v>
      </c>
      <c r="AD907" s="3" t="n">
        <v>2</v>
      </c>
      <c r="AE907" s="3" t="n">
        <v>1</v>
      </c>
      <c r="AF907" s="3" t="n">
        <v>1</v>
      </c>
      <c r="AG907" s="3" t="n">
        <v>2</v>
      </c>
      <c r="AH907" s="3" t="n">
        <v>2</v>
      </c>
      <c r="AI907" s="3" t="n">
        <v>1</v>
      </c>
      <c r="AJ907" s="3" t="n">
        <v>1</v>
      </c>
      <c r="AK907" s="3" t="n">
        <v>2</v>
      </c>
      <c r="AL907" s="3" t="n">
        <v>2</v>
      </c>
      <c r="AM907" s="3" t="n">
        <v>2</v>
      </c>
      <c r="AN907" s="3" t="n">
        <v>2</v>
      </c>
      <c r="AO907" s="3" t="n">
        <v>2</v>
      </c>
      <c r="AP907" s="3" t="n">
        <v>3</v>
      </c>
      <c r="AQ907" s="3" t="n">
        <v>4</v>
      </c>
      <c r="AR907" s="3" t="n">
        <v>4</v>
      </c>
      <c r="AS907" s="3" t="n">
        <v>6</v>
      </c>
      <c r="AT907" s="3" t="n">
        <v>4</v>
      </c>
      <c r="AU907" s="3" t="n">
        <v>4</v>
      </c>
      <c r="AV907" s="3" t="n">
        <v>6</v>
      </c>
      <c r="AW907" s="3" t="n">
        <v>6</v>
      </c>
      <c r="AX907" s="3" t="n">
        <v>3</v>
      </c>
      <c r="AY907" s="3" t="n">
        <v>3</v>
      </c>
      <c r="AZ907" s="3" t="n">
        <v>1</v>
      </c>
      <c r="BA907" s="5" t="n">
        <v>1</v>
      </c>
      <c r="BB907" s="3" t="n">
        <v>1</v>
      </c>
      <c r="BC907" s="3" t="n">
        <v>1</v>
      </c>
      <c r="BD907" s="3" t="n">
        <v>4</v>
      </c>
      <c r="BE907" s="3" t="n">
        <v>1</v>
      </c>
      <c r="BF907" s="3" t="n">
        <v>2</v>
      </c>
      <c r="BG907" s="3" t="n">
        <v>1</v>
      </c>
      <c r="BH907" s="3" t="n">
        <v>4</v>
      </c>
      <c r="BI907" s="3" t="n">
        <v>1</v>
      </c>
      <c r="BJ907" s="3" t="n">
        <v>1</v>
      </c>
      <c r="BK907" s="6" t="s">
        <v>2375</v>
      </c>
    </row>
    <row r="908" customFormat="false" ht="15" hidden="false" customHeight="true" outlineLevel="0" collapsed="false">
      <c r="B908" s="2" t="s">
        <v>2376</v>
      </c>
      <c r="C908" s="2" t="s">
        <v>438</v>
      </c>
      <c r="D908" s="2" t="s">
        <v>608</v>
      </c>
      <c r="E908" s="2" t="n">
        <v>196241</v>
      </c>
      <c r="F908" s="15" t="n">
        <v>44069</v>
      </c>
      <c r="G908" s="15" t="n">
        <v>44072</v>
      </c>
      <c r="H908" s="3" t="n">
        <v>3</v>
      </c>
      <c r="I908" s="3" t="n">
        <v>1</v>
      </c>
      <c r="J908" s="3" t="n">
        <v>53</v>
      </c>
      <c r="K908" s="3" t="n">
        <v>1</v>
      </c>
      <c r="L908" s="3" t="n">
        <v>2</v>
      </c>
      <c r="M908" s="3" t="n">
        <v>1</v>
      </c>
      <c r="N908" s="3" t="n">
        <v>2</v>
      </c>
      <c r="O908" s="3" t="n">
        <v>2</v>
      </c>
      <c r="P908" s="3" t="n">
        <v>2</v>
      </c>
      <c r="Q908" s="3" t="n">
        <v>2</v>
      </c>
      <c r="R908" s="3" t="n">
        <v>2</v>
      </c>
      <c r="S908" s="3" t="n">
        <v>2</v>
      </c>
      <c r="T908" s="4" t="n">
        <v>12</v>
      </c>
      <c r="U908" s="3" t="n">
        <v>1</v>
      </c>
      <c r="V908" s="3" t="n">
        <v>5.69</v>
      </c>
      <c r="W908" s="3" t="n">
        <v>2.33</v>
      </c>
      <c r="X908" s="3" t="n">
        <v>7.86</v>
      </c>
      <c r="Y908" s="3" t="n">
        <v>579</v>
      </c>
      <c r="Z908" s="3" t="n">
        <v>102</v>
      </c>
      <c r="AA908" s="3" t="n">
        <v>0.5</v>
      </c>
      <c r="AB908" s="3" t="n">
        <v>17.8</v>
      </c>
      <c r="AC908" s="3" t="n">
        <v>3</v>
      </c>
      <c r="AD908" s="3" t="n">
        <v>2</v>
      </c>
      <c r="AE908" s="3" t="n">
        <v>2</v>
      </c>
      <c r="AF908" s="3" t="n">
        <v>2</v>
      </c>
      <c r="AG908" s="3" t="n">
        <v>2</v>
      </c>
      <c r="AH908" s="3" t="n">
        <v>1</v>
      </c>
      <c r="AI908" s="3" t="n">
        <v>2</v>
      </c>
      <c r="AJ908" s="3" t="n">
        <v>1</v>
      </c>
      <c r="AK908" s="3" t="n">
        <v>2</v>
      </c>
      <c r="AL908" s="3" t="n">
        <v>2</v>
      </c>
      <c r="AM908" s="3" t="n">
        <v>1</v>
      </c>
      <c r="AN908" s="3" t="n">
        <v>2</v>
      </c>
      <c r="AO908" s="3" t="n">
        <v>2</v>
      </c>
      <c r="AP908" s="3" t="n">
        <v>3</v>
      </c>
      <c r="AQ908" s="3" t="n">
        <v>4</v>
      </c>
      <c r="AR908" s="3" t="n">
        <v>4</v>
      </c>
      <c r="AS908" s="3" t="n">
        <v>6</v>
      </c>
      <c r="AT908" s="3" t="n">
        <v>4</v>
      </c>
      <c r="AU908" s="3" t="n">
        <v>4</v>
      </c>
      <c r="AV908" s="3" t="n">
        <v>6</v>
      </c>
      <c r="AW908" s="3" t="n">
        <v>6</v>
      </c>
      <c r="AX908" s="3" t="n">
        <v>3</v>
      </c>
      <c r="AY908" s="3" t="n">
        <v>3</v>
      </c>
      <c r="AZ908" s="3" t="n">
        <v>1</v>
      </c>
      <c r="BA908" s="5" t="n">
        <v>3</v>
      </c>
      <c r="BB908" s="3" t="n">
        <v>2</v>
      </c>
      <c r="BC908" s="3" t="n">
        <v>1</v>
      </c>
      <c r="BD908" s="3" t="n">
        <v>6</v>
      </c>
      <c r="BE908" s="3" t="n">
        <v>3</v>
      </c>
      <c r="BF908" s="3" t="n">
        <v>5</v>
      </c>
      <c r="BG908" s="3" t="n">
        <v>3</v>
      </c>
      <c r="BH908" s="3" t="n">
        <v>4</v>
      </c>
      <c r="BI908" s="3" t="n">
        <v>1</v>
      </c>
      <c r="BJ908" s="3" t="n">
        <v>1</v>
      </c>
      <c r="BK908" s="6" t="s">
        <v>2377</v>
      </c>
    </row>
    <row r="909" s="30" customFormat="true" ht="15" hidden="false" customHeight="true" outlineLevel="0" collapsed="false">
      <c r="A909" s="24"/>
      <c r="B909" s="26" t="s">
        <v>2378</v>
      </c>
      <c r="C909" s="26" t="s">
        <v>2379</v>
      </c>
      <c r="D909" s="26" t="s">
        <v>2380</v>
      </c>
      <c r="E909" s="26" t="n">
        <v>201718</v>
      </c>
      <c r="F909" s="27" t="n">
        <v>44073</v>
      </c>
      <c r="G909" s="27" t="n">
        <v>44073</v>
      </c>
      <c r="H909" s="30" t="n">
        <v>0</v>
      </c>
      <c r="I909" s="30" t="n">
        <v>1</v>
      </c>
      <c r="J909" s="30" t="n">
        <v>87</v>
      </c>
      <c r="K909" s="30" t="n">
        <v>1</v>
      </c>
      <c r="L909" s="30" t="n">
        <v>2</v>
      </c>
      <c r="M909" s="30" t="n">
        <v>1</v>
      </c>
      <c r="N909" s="30" t="n">
        <v>2</v>
      </c>
      <c r="O909" s="30" t="n">
        <v>2</v>
      </c>
      <c r="P909" s="30" t="n">
        <v>2</v>
      </c>
      <c r="Q909" s="30" t="n">
        <v>2</v>
      </c>
      <c r="R909" s="30" t="n">
        <v>2</v>
      </c>
      <c r="S909" s="30" t="n">
        <v>1</v>
      </c>
      <c r="T909" s="4" t="n">
        <v>4</v>
      </c>
      <c r="U909" s="30" t="n">
        <v>4</v>
      </c>
      <c r="X909" s="30" t="n">
        <v>12</v>
      </c>
      <c r="AB909" s="30" t="n">
        <v>15.6</v>
      </c>
      <c r="AD909" s="30" t="n">
        <v>2</v>
      </c>
      <c r="AE909" s="30" t="n">
        <v>2</v>
      </c>
      <c r="AF909" s="30" t="n">
        <v>2</v>
      </c>
      <c r="AG909" s="30" t="n">
        <v>2</v>
      </c>
      <c r="AH909" s="30" t="n">
        <v>2</v>
      </c>
      <c r="AI909" s="30" t="n">
        <v>1</v>
      </c>
      <c r="AJ909" s="30" t="n">
        <v>1</v>
      </c>
      <c r="AK909" s="30" t="n">
        <v>2</v>
      </c>
      <c r="AL909" s="30" t="n">
        <v>2</v>
      </c>
      <c r="AM909" s="30" t="n">
        <v>1</v>
      </c>
      <c r="AN909" s="30" t="n">
        <v>2</v>
      </c>
      <c r="AO909" s="30" t="n">
        <v>2</v>
      </c>
      <c r="AP909" s="30" t="n">
        <v>3</v>
      </c>
      <c r="AQ909" s="30" t="n">
        <v>4</v>
      </c>
      <c r="AR909" s="30" t="n">
        <v>4</v>
      </c>
      <c r="AS909" s="30" t="n">
        <v>6</v>
      </c>
      <c r="AT909" s="30" t="n">
        <v>4</v>
      </c>
      <c r="AU909" s="30" t="n">
        <v>4</v>
      </c>
      <c r="AV909" s="30" t="n">
        <v>6</v>
      </c>
      <c r="AW909" s="30" t="n">
        <v>6</v>
      </c>
      <c r="AX909" s="30" t="n">
        <v>3</v>
      </c>
      <c r="AY909" s="30" t="n">
        <v>3</v>
      </c>
      <c r="AZ909" s="30" t="n">
        <v>10</v>
      </c>
      <c r="BA909" s="5" t="n">
        <v>10</v>
      </c>
      <c r="BB909" s="30" t="n">
        <v>2</v>
      </c>
      <c r="BC909" s="30" t="n">
        <v>2</v>
      </c>
      <c r="BD909" s="30" t="n">
        <v>6</v>
      </c>
      <c r="BE909" s="30" t="n">
        <v>3</v>
      </c>
      <c r="BF909" s="30" t="n">
        <v>5</v>
      </c>
      <c r="BG909" s="30" t="n">
        <v>3</v>
      </c>
      <c r="BH909" s="30" t="n">
        <v>4</v>
      </c>
      <c r="BI909" s="30" t="n">
        <v>1</v>
      </c>
      <c r="BJ909" s="30" t="n">
        <v>1</v>
      </c>
      <c r="BK909" s="31" t="s">
        <v>2381</v>
      </c>
    </row>
    <row r="910" customFormat="false" ht="15" hidden="false" customHeight="true" outlineLevel="0" collapsed="false">
      <c r="B910" s="2" t="s">
        <v>2382</v>
      </c>
      <c r="C910" s="2" t="s">
        <v>2383</v>
      </c>
      <c r="D910" s="2" t="s">
        <v>94</v>
      </c>
      <c r="E910" s="2" t="n">
        <v>201691</v>
      </c>
      <c r="F910" s="15" t="n">
        <v>44071</v>
      </c>
      <c r="G910" s="15" t="n">
        <v>44077</v>
      </c>
      <c r="H910" s="3" t="n">
        <v>6</v>
      </c>
      <c r="I910" s="3" t="n">
        <v>2</v>
      </c>
      <c r="J910" s="3" t="n">
        <v>76</v>
      </c>
      <c r="K910" s="3" t="n">
        <v>2</v>
      </c>
      <c r="L910" s="3" t="n">
        <v>1</v>
      </c>
      <c r="M910" s="3" t="n">
        <v>1</v>
      </c>
      <c r="N910" s="3" t="n">
        <v>2</v>
      </c>
      <c r="O910" s="3" t="n">
        <v>2</v>
      </c>
      <c r="P910" s="3" t="n">
        <v>1</v>
      </c>
      <c r="Q910" s="3" t="n">
        <v>1</v>
      </c>
      <c r="R910" s="3" t="n">
        <v>2</v>
      </c>
      <c r="S910" s="3" t="n">
        <v>2</v>
      </c>
      <c r="T910" s="4" t="n">
        <v>6</v>
      </c>
      <c r="U910" s="3" t="n">
        <v>1</v>
      </c>
      <c r="V910" s="3" t="n">
        <v>4.72</v>
      </c>
      <c r="W910" s="3" t="n">
        <v>1.67</v>
      </c>
      <c r="X910" s="3" t="n">
        <v>10.6</v>
      </c>
      <c r="Y910" s="3" t="n">
        <v>368</v>
      </c>
      <c r="Z910" s="3" t="n">
        <v>125</v>
      </c>
      <c r="AA910" s="3" t="n">
        <v>0.4</v>
      </c>
      <c r="AB910" s="3" t="n">
        <v>14.7</v>
      </c>
      <c r="AC910" s="3" t="n">
        <v>1</v>
      </c>
      <c r="AD910" s="3" t="n">
        <v>2</v>
      </c>
      <c r="AE910" s="3" t="n">
        <v>1</v>
      </c>
      <c r="AF910" s="3" t="n">
        <v>1</v>
      </c>
      <c r="AG910" s="3" t="n">
        <v>2</v>
      </c>
      <c r="AH910" s="3" t="n">
        <v>1</v>
      </c>
      <c r="AI910" s="3" t="n">
        <v>1</v>
      </c>
      <c r="AJ910" s="3" t="n">
        <v>1</v>
      </c>
      <c r="AK910" s="3" t="n">
        <v>1</v>
      </c>
      <c r="AL910" s="3" t="n">
        <v>2</v>
      </c>
      <c r="AM910" s="3" t="n">
        <v>2</v>
      </c>
      <c r="AN910" s="3" t="n">
        <v>2</v>
      </c>
      <c r="AO910" s="3" t="n">
        <v>2</v>
      </c>
      <c r="AP910" s="3" t="n">
        <v>3</v>
      </c>
      <c r="AQ910" s="3" t="n">
        <v>4</v>
      </c>
      <c r="AR910" s="3" t="n">
        <v>4</v>
      </c>
      <c r="AS910" s="3" t="n">
        <v>6</v>
      </c>
      <c r="AT910" s="3" t="n">
        <v>4</v>
      </c>
      <c r="AU910" s="3" t="n">
        <v>4</v>
      </c>
      <c r="AV910" s="3" t="n">
        <v>6</v>
      </c>
      <c r="AW910" s="3" t="n">
        <v>6</v>
      </c>
      <c r="AX910" s="3" t="n">
        <v>3</v>
      </c>
      <c r="AY910" s="3" t="n">
        <v>3</v>
      </c>
      <c r="AZ910" s="3" t="n">
        <v>1</v>
      </c>
      <c r="BA910" s="5" t="n">
        <v>5</v>
      </c>
      <c r="BB910" s="3" t="n">
        <v>2</v>
      </c>
      <c r="BC910" s="3" t="n">
        <v>1</v>
      </c>
      <c r="BD910" s="3" t="n">
        <v>6</v>
      </c>
      <c r="BE910" s="3" t="n">
        <v>3</v>
      </c>
      <c r="BF910" s="3" t="n">
        <v>5</v>
      </c>
      <c r="BG910" s="3" t="n">
        <v>3</v>
      </c>
      <c r="BH910" s="3" t="n">
        <v>4</v>
      </c>
      <c r="BI910" s="3" t="n">
        <v>1</v>
      </c>
      <c r="BJ910" s="3" t="n">
        <v>1</v>
      </c>
      <c r="BK910" s="6" t="s">
        <v>2384</v>
      </c>
    </row>
    <row r="911" customFormat="false" ht="15" hidden="false" customHeight="true" outlineLevel="0" collapsed="false">
      <c r="B911" s="2" t="s">
        <v>1586</v>
      </c>
      <c r="C911" s="2" t="s">
        <v>802</v>
      </c>
      <c r="D911" s="2" t="s">
        <v>222</v>
      </c>
      <c r="E911" s="2" t="n">
        <v>201641</v>
      </c>
      <c r="F911" s="15" t="n">
        <v>44069</v>
      </c>
      <c r="G911" s="15" t="n">
        <v>44077</v>
      </c>
      <c r="H911" s="3" t="n">
        <v>8</v>
      </c>
      <c r="I911" s="3" t="n">
        <v>2</v>
      </c>
      <c r="J911" s="3" t="n">
        <v>68</v>
      </c>
      <c r="K911" s="3" t="n">
        <v>1</v>
      </c>
      <c r="L911" s="3" t="n">
        <v>2</v>
      </c>
      <c r="M911" s="3" t="n">
        <v>1</v>
      </c>
      <c r="N911" s="3" t="n">
        <v>2</v>
      </c>
      <c r="O911" s="3" t="n">
        <v>2</v>
      </c>
      <c r="P911" s="3" t="n">
        <v>2</v>
      </c>
      <c r="Q911" s="3" t="n">
        <v>2</v>
      </c>
      <c r="R911" s="3" t="n">
        <v>2</v>
      </c>
      <c r="S911" s="3" t="n">
        <v>1</v>
      </c>
      <c r="T911" s="4" t="n">
        <v>1</v>
      </c>
      <c r="U911" s="3" t="n">
        <v>1</v>
      </c>
      <c r="V911" s="3" t="n">
        <v>3.19</v>
      </c>
      <c r="W911" s="3" t="n">
        <v>0.79</v>
      </c>
      <c r="X911" s="3" t="n">
        <v>6.72</v>
      </c>
      <c r="Y911" s="3" t="n">
        <v>624</v>
      </c>
      <c r="Z911" s="3" t="n">
        <v>211</v>
      </c>
      <c r="AA911" s="3" t="n">
        <v>0.42</v>
      </c>
      <c r="AB911" s="3" t="n">
        <v>15.1</v>
      </c>
      <c r="AC911" s="3" t="n">
        <v>1</v>
      </c>
      <c r="AD911" s="3" t="n">
        <v>1</v>
      </c>
      <c r="AE911" s="3" t="n">
        <v>1</v>
      </c>
      <c r="AF911" s="3" t="n">
        <v>1</v>
      </c>
      <c r="AG911" s="3" t="n">
        <v>1</v>
      </c>
      <c r="AH911" s="3" t="n">
        <v>2</v>
      </c>
      <c r="AI911" s="3" t="n">
        <v>2</v>
      </c>
      <c r="AJ911" s="3" t="n">
        <v>1</v>
      </c>
      <c r="AK911" s="3" t="n">
        <v>2</v>
      </c>
      <c r="AL911" s="3" t="n">
        <v>2</v>
      </c>
      <c r="AM911" s="3" t="n">
        <v>1</v>
      </c>
      <c r="AN911" s="3" t="n">
        <v>2</v>
      </c>
      <c r="AO911" s="3" t="n">
        <v>2</v>
      </c>
      <c r="AP911" s="3" t="n">
        <v>3</v>
      </c>
      <c r="AQ911" s="3" t="n">
        <v>4</v>
      </c>
      <c r="AR911" s="3" t="n">
        <v>4</v>
      </c>
      <c r="AS911" s="3" t="n">
        <v>6</v>
      </c>
      <c r="AT911" s="3" t="n">
        <v>4</v>
      </c>
      <c r="AU911" s="3" t="n">
        <v>4</v>
      </c>
      <c r="AV911" s="3" t="n">
        <v>6</v>
      </c>
      <c r="AW911" s="3" t="n">
        <v>6</v>
      </c>
      <c r="AX911" s="3" t="n">
        <v>3</v>
      </c>
      <c r="AY911" s="3" t="n">
        <v>3</v>
      </c>
      <c r="AZ911" s="3" t="n">
        <v>1</v>
      </c>
      <c r="BA911" s="5" t="n">
        <v>5</v>
      </c>
      <c r="BB911" s="3" t="n">
        <v>2</v>
      </c>
      <c r="BC911" s="3" t="n">
        <v>1</v>
      </c>
      <c r="BD911" s="3" t="n">
        <v>6</v>
      </c>
      <c r="BE911" s="3" t="n">
        <v>3</v>
      </c>
      <c r="BF911" s="3" t="n">
        <v>5</v>
      </c>
      <c r="BG911" s="3" t="n">
        <v>3</v>
      </c>
      <c r="BH911" s="3" t="n">
        <v>4</v>
      </c>
      <c r="BI911" s="3" t="n">
        <v>1</v>
      </c>
      <c r="BJ911" s="3" t="n">
        <v>1</v>
      </c>
      <c r="BK911" s="6" t="s">
        <v>2385</v>
      </c>
    </row>
    <row r="912" customFormat="false" ht="15" hidden="false" customHeight="true" outlineLevel="0" collapsed="false">
      <c r="B912" s="2" t="s">
        <v>1801</v>
      </c>
      <c r="C912" s="2" t="s">
        <v>153</v>
      </c>
      <c r="D912" s="2" t="s">
        <v>94</v>
      </c>
      <c r="E912" s="2" t="n">
        <v>201702</v>
      </c>
      <c r="F912" s="15" t="n">
        <v>44072</v>
      </c>
      <c r="G912" s="15" t="n">
        <v>44077</v>
      </c>
      <c r="H912" s="3" t="n">
        <v>5</v>
      </c>
      <c r="I912" s="3" t="n">
        <v>1</v>
      </c>
      <c r="J912" s="3" t="n">
        <v>73</v>
      </c>
      <c r="K912" s="3" t="n">
        <v>1</v>
      </c>
      <c r="L912" s="3" t="n">
        <v>2</v>
      </c>
      <c r="M912" s="3" t="n">
        <v>1</v>
      </c>
      <c r="N912" s="3" t="n">
        <v>2</v>
      </c>
      <c r="O912" s="3" t="n">
        <v>2</v>
      </c>
      <c r="P912" s="3" t="n">
        <v>2</v>
      </c>
      <c r="Q912" s="3" t="n">
        <v>2</v>
      </c>
      <c r="R912" s="3" t="n">
        <v>2</v>
      </c>
      <c r="S912" s="3" t="n">
        <v>2</v>
      </c>
      <c r="T912" s="4" t="n">
        <v>1</v>
      </c>
      <c r="U912" s="3" t="n">
        <v>1</v>
      </c>
      <c r="V912" s="3" t="n">
        <v>4.17</v>
      </c>
      <c r="W912" s="3" t="n">
        <v>2.08</v>
      </c>
      <c r="X912" s="3" t="n">
        <v>5.13</v>
      </c>
      <c r="Y912" s="3" t="n">
        <v>191</v>
      </c>
      <c r="Z912" s="3" t="n">
        <v>102</v>
      </c>
      <c r="AA912" s="3" t="n">
        <v>0.48</v>
      </c>
      <c r="AB912" s="3" t="n">
        <v>8.6</v>
      </c>
      <c r="AC912" s="3" t="n">
        <v>1</v>
      </c>
      <c r="AD912" s="3" t="n">
        <v>1</v>
      </c>
      <c r="AE912" s="3" t="n">
        <v>1</v>
      </c>
      <c r="AF912" s="3" t="n">
        <v>1</v>
      </c>
      <c r="AG912" s="3" t="n">
        <v>1</v>
      </c>
      <c r="AH912" s="3" t="n">
        <v>2</v>
      </c>
      <c r="AI912" s="3" t="n">
        <v>1</v>
      </c>
      <c r="AJ912" s="3" t="n">
        <v>1</v>
      </c>
      <c r="AK912" s="3" t="n">
        <v>2</v>
      </c>
      <c r="AL912" s="3" t="n">
        <v>2</v>
      </c>
      <c r="AM912" s="3" t="n">
        <v>2</v>
      </c>
      <c r="AN912" s="3" t="n">
        <v>2</v>
      </c>
      <c r="AO912" s="3" t="n">
        <v>2</v>
      </c>
      <c r="AP912" s="3" t="n">
        <v>3</v>
      </c>
      <c r="AQ912" s="3" t="n">
        <v>4</v>
      </c>
      <c r="AR912" s="3" t="n">
        <v>4</v>
      </c>
      <c r="AS912" s="3" t="n">
        <v>6</v>
      </c>
      <c r="AT912" s="3" t="n">
        <v>4</v>
      </c>
      <c r="AU912" s="3" t="n">
        <v>4</v>
      </c>
      <c r="AV912" s="3" t="n">
        <v>6</v>
      </c>
      <c r="AW912" s="3" t="n">
        <v>6</v>
      </c>
      <c r="AX912" s="3" t="n">
        <v>3</v>
      </c>
      <c r="AY912" s="3" t="n">
        <v>3</v>
      </c>
      <c r="AZ912" s="3" t="n">
        <v>1</v>
      </c>
      <c r="BA912" s="5" t="n">
        <v>5</v>
      </c>
      <c r="BB912" s="3" t="n">
        <v>2</v>
      </c>
      <c r="BC912" s="3" t="n">
        <v>1</v>
      </c>
      <c r="BD912" s="3" t="n">
        <v>6</v>
      </c>
      <c r="BE912" s="3" t="n">
        <v>3</v>
      </c>
      <c r="BF912" s="3" t="n">
        <v>5</v>
      </c>
      <c r="BG912" s="3" t="n">
        <v>3</v>
      </c>
      <c r="BH912" s="3" t="n">
        <v>4</v>
      </c>
      <c r="BI912" s="3" t="n">
        <v>1</v>
      </c>
      <c r="BJ912" s="3" t="n">
        <v>1</v>
      </c>
      <c r="BK912" s="6" t="s">
        <v>2386</v>
      </c>
    </row>
    <row r="913" customFormat="false" ht="15" hidden="false" customHeight="true" outlineLevel="0" collapsed="false">
      <c r="B913" s="2" t="s">
        <v>2387</v>
      </c>
      <c r="C913" s="2" t="s">
        <v>2388</v>
      </c>
      <c r="D913" s="2" t="s">
        <v>611</v>
      </c>
      <c r="E913" s="2" t="n">
        <v>201789</v>
      </c>
      <c r="F913" s="15" t="n">
        <v>44075</v>
      </c>
      <c r="G913" s="15" t="n">
        <v>44081</v>
      </c>
      <c r="H913" s="3" t="n">
        <v>6</v>
      </c>
      <c r="I913" s="3" t="n">
        <v>2</v>
      </c>
      <c r="J913" s="3" t="n">
        <v>62</v>
      </c>
      <c r="K913" s="3" t="n">
        <v>1</v>
      </c>
      <c r="L913" s="3" t="n">
        <v>1</v>
      </c>
      <c r="M913" s="3" t="n">
        <v>1</v>
      </c>
      <c r="N913" s="3" t="n">
        <v>2</v>
      </c>
      <c r="O913" s="3" t="n">
        <v>2</v>
      </c>
      <c r="P913" s="3" t="n">
        <v>2</v>
      </c>
      <c r="Q913" s="3" t="n">
        <v>1</v>
      </c>
      <c r="R913" s="3" t="n">
        <v>2</v>
      </c>
      <c r="S913" s="3" t="n">
        <v>2</v>
      </c>
      <c r="T913" s="4" t="n">
        <v>2</v>
      </c>
      <c r="U913" s="3" t="n">
        <v>2</v>
      </c>
      <c r="V913" s="3" t="n">
        <v>4.06</v>
      </c>
      <c r="W913" s="3" t="n">
        <v>1.97</v>
      </c>
      <c r="X913" s="3" t="n">
        <v>6.67</v>
      </c>
      <c r="Y913" s="3" t="n">
        <v>370</v>
      </c>
      <c r="Z913" s="3" t="n">
        <v>118</v>
      </c>
      <c r="AA913" s="3" t="n">
        <v>0.43</v>
      </c>
      <c r="AB913" s="3" t="n">
        <v>10.1</v>
      </c>
      <c r="AC913" s="3" t="n">
        <v>1</v>
      </c>
      <c r="AD913" s="3" t="n">
        <v>1</v>
      </c>
      <c r="AE913" s="3" t="n">
        <v>1</v>
      </c>
      <c r="AF913" s="3" t="n">
        <v>1</v>
      </c>
      <c r="AG913" s="3" t="n">
        <v>1</v>
      </c>
      <c r="AH913" s="3" t="n">
        <v>2</v>
      </c>
      <c r="AI913" s="3" t="n">
        <v>1</v>
      </c>
      <c r="AJ913" s="3" t="n">
        <v>1</v>
      </c>
      <c r="AK913" s="3" t="n">
        <v>2</v>
      </c>
      <c r="AL913" s="3" t="n">
        <v>2</v>
      </c>
      <c r="AM913" s="3" t="n">
        <v>2</v>
      </c>
      <c r="AN913" s="3" t="n">
        <v>2</v>
      </c>
      <c r="AO913" s="3" t="n">
        <v>2</v>
      </c>
      <c r="AP913" s="3" t="n">
        <v>3</v>
      </c>
      <c r="AQ913" s="3" t="n">
        <v>4</v>
      </c>
      <c r="AR913" s="3" t="n">
        <v>4</v>
      </c>
      <c r="AS913" s="3" t="n">
        <v>6</v>
      </c>
      <c r="AT913" s="3" t="n">
        <v>4</v>
      </c>
      <c r="AU913" s="3" t="n">
        <v>4</v>
      </c>
      <c r="AV913" s="3" t="n">
        <v>6</v>
      </c>
      <c r="AW913" s="3" t="n">
        <v>6</v>
      </c>
      <c r="AX913" s="3" t="n">
        <v>3</v>
      </c>
      <c r="AY913" s="3" t="n">
        <v>3</v>
      </c>
      <c r="AZ913" s="3" t="n">
        <v>1</v>
      </c>
      <c r="BA913" s="5" t="n">
        <v>5</v>
      </c>
      <c r="BB913" s="3" t="n">
        <v>2</v>
      </c>
      <c r="BC913" s="3" t="n">
        <v>1</v>
      </c>
      <c r="BD913" s="3" t="n">
        <v>6</v>
      </c>
      <c r="BE913" s="3" t="n">
        <v>3</v>
      </c>
      <c r="BF913" s="3" t="n">
        <v>5</v>
      </c>
      <c r="BG913" s="3" t="n">
        <v>3</v>
      </c>
      <c r="BH913" s="3" t="n">
        <v>4</v>
      </c>
      <c r="BI913" s="3" t="n">
        <v>1</v>
      </c>
      <c r="BJ913" s="3" t="n">
        <v>1</v>
      </c>
      <c r="BK913" s="6" t="s">
        <v>2389</v>
      </c>
    </row>
    <row r="914" customFormat="false" ht="15" hidden="false" customHeight="true" outlineLevel="0" collapsed="false">
      <c r="B914" s="2" t="s">
        <v>2390</v>
      </c>
      <c r="C914" s="2" t="s">
        <v>560</v>
      </c>
      <c r="D914" s="2" t="s">
        <v>2391</v>
      </c>
      <c r="E914" s="2" t="n">
        <v>201778</v>
      </c>
      <c r="F914" s="15" t="n">
        <v>44075</v>
      </c>
      <c r="G914" s="15" t="n">
        <v>44081</v>
      </c>
      <c r="H914" s="3" t="n">
        <v>6</v>
      </c>
      <c r="I914" s="3" t="n">
        <v>1</v>
      </c>
      <c r="J914" s="3" t="n">
        <v>64</v>
      </c>
      <c r="K914" s="3" t="n">
        <v>2</v>
      </c>
      <c r="L914" s="3" t="n">
        <v>2</v>
      </c>
      <c r="M914" s="3" t="n">
        <v>1</v>
      </c>
      <c r="N914" s="3" t="n">
        <v>2</v>
      </c>
      <c r="O914" s="3" t="n">
        <v>2</v>
      </c>
      <c r="P914" s="3" t="n">
        <v>2</v>
      </c>
      <c r="Q914" s="3" t="n">
        <v>1</v>
      </c>
      <c r="R914" s="3" t="n">
        <v>2</v>
      </c>
      <c r="S914" s="3" t="n">
        <v>2</v>
      </c>
      <c r="T914" s="4" t="n">
        <v>2</v>
      </c>
      <c r="U914" s="3" t="n">
        <v>2</v>
      </c>
      <c r="V914" s="3" t="n">
        <v>5.51</v>
      </c>
      <c r="W914" s="3" t="n">
        <v>1.35</v>
      </c>
      <c r="X914" s="3" t="n">
        <v>10.42</v>
      </c>
      <c r="Y914" s="3" t="n">
        <v>247</v>
      </c>
      <c r="Z914" s="3" t="n">
        <v>108</v>
      </c>
      <c r="AA914" s="3" t="n">
        <v>0.36</v>
      </c>
      <c r="AB914" s="3" t="n">
        <v>11</v>
      </c>
      <c r="AC914" s="3" t="n">
        <v>2</v>
      </c>
      <c r="AD914" s="3" t="n">
        <v>2</v>
      </c>
      <c r="AE914" s="3" t="n">
        <v>1</v>
      </c>
      <c r="AF914" s="3" t="n">
        <v>1</v>
      </c>
      <c r="AG914" s="3" t="n">
        <v>2</v>
      </c>
      <c r="AH914" s="3" t="n">
        <v>1</v>
      </c>
      <c r="AI914" s="3" t="n">
        <v>1</v>
      </c>
      <c r="AJ914" s="3" t="n">
        <v>2</v>
      </c>
      <c r="AK914" s="3" t="n">
        <v>1</v>
      </c>
      <c r="AL914" s="3" t="n">
        <v>2</v>
      </c>
      <c r="AM914" s="3" t="n">
        <v>1</v>
      </c>
      <c r="AN914" s="3" t="n">
        <v>2</v>
      </c>
      <c r="AO914" s="3" t="n">
        <v>2</v>
      </c>
      <c r="AP914" s="3" t="n">
        <v>3</v>
      </c>
      <c r="AQ914" s="3" t="n">
        <v>4</v>
      </c>
      <c r="AR914" s="3" t="n">
        <v>4</v>
      </c>
      <c r="AS914" s="3" t="n">
        <v>6</v>
      </c>
      <c r="AT914" s="3" t="n">
        <v>4</v>
      </c>
      <c r="AU914" s="3" t="n">
        <v>4</v>
      </c>
      <c r="AV914" s="3" t="n">
        <v>6</v>
      </c>
      <c r="AW914" s="3" t="n">
        <v>6</v>
      </c>
      <c r="AX914" s="3" t="n">
        <v>3</v>
      </c>
      <c r="AY914" s="3" t="n">
        <v>3</v>
      </c>
      <c r="AZ914" s="3" t="n">
        <v>1</v>
      </c>
      <c r="BA914" s="5" t="n">
        <v>1</v>
      </c>
      <c r="BB914" s="3" t="n">
        <v>1</v>
      </c>
      <c r="BC914" s="3" t="n">
        <v>1</v>
      </c>
      <c r="BD914" s="3" t="n">
        <v>2</v>
      </c>
      <c r="BE914" s="3" t="n">
        <v>1</v>
      </c>
      <c r="BF914" s="3" t="n">
        <v>2</v>
      </c>
      <c r="BG914" s="3" t="n">
        <v>1</v>
      </c>
      <c r="BH914" s="3" t="n">
        <v>4</v>
      </c>
      <c r="BI914" s="3" t="n">
        <v>1</v>
      </c>
      <c r="BJ914" s="3" t="n">
        <v>1</v>
      </c>
      <c r="BK914" s="6" t="s">
        <v>2392</v>
      </c>
    </row>
    <row r="915" customFormat="false" ht="15" hidden="false" customHeight="true" outlineLevel="0" collapsed="false">
      <c r="B915" s="2" t="s">
        <v>2393</v>
      </c>
      <c r="C915" s="2" t="s">
        <v>2394</v>
      </c>
      <c r="D915" s="2" t="s">
        <v>2395</v>
      </c>
      <c r="E915" s="2" t="n">
        <v>201880</v>
      </c>
      <c r="F915" s="15" t="n">
        <v>44078</v>
      </c>
      <c r="G915" s="15" t="n">
        <v>44084</v>
      </c>
      <c r="H915" s="3" t="n">
        <v>6</v>
      </c>
      <c r="I915" s="3" t="n">
        <v>1</v>
      </c>
      <c r="J915" s="3" t="n">
        <v>63</v>
      </c>
      <c r="K915" s="3" t="n">
        <v>2</v>
      </c>
      <c r="L915" s="3" t="n">
        <v>2</v>
      </c>
      <c r="M915" s="3" t="n">
        <v>1</v>
      </c>
      <c r="N915" s="3" t="n">
        <v>2</v>
      </c>
      <c r="O915" s="3" t="n">
        <v>2</v>
      </c>
      <c r="P915" s="3" t="n">
        <v>2</v>
      </c>
      <c r="Q915" s="3" t="n">
        <v>1</v>
      </c>
      <c r="R915" s="3" t="n">
        <v>1</v>
      </c>
      <c r="S915" s="3" t="n">
        <v>2</v>
      </c>
      <c r="T915" s="4" t="n">
        <v>4</v>
      </c>
      <c r="U915" s="3" t="n">
        <v>4</v>
      </c>
      <c r="V915" s="3" t="n">
        <v>6.93</v>
      </c>
      <c r="W915" s="3" t="n">
        <v>2.13</v>
      </c>
      <c r="X915" s="3" t="n">
        <v>4.72</v>
      </c>
      <c r="Y915" s="3" t="n">
        <v>482</v>
      </c>
      <c r="Z915" s="3" t="n">
        <v>69</v>
      </c>
      <c r="AA915" s="3" t="n">
        <v>0.49</v>
      </c>
      <c r="AB915" s="3" t="n">
        <v>9.2</v>
      </c>
      <c r="AC915" s="3" t="n">
        <v>1</v>
      </c>
      <c r="AD915" s="3" t="n">
        <v>1</v>
      </c>
      <c r="AE915" s="3" t="n">
        <v>2</v>
      </c>
      <c r="AF915" s="3" t="n">
        <v>2</v>
      </c>
      <c r="AG915" s="3" t="n">
        <v>2</v>
      </c>
      <c r="AH915" s="3" t="n">
        <v>1</v>
      </c>
      <c r="AI915" s="3" t="n">
        <v>2</v>
      </c>
      <c r="AJ915" s="3" t="n">
        <v>2</v>
      </c>
      <c r="AK915" s="3" t="n">
        <v>1</v>
      </c>
      <c r="AL915" s="3" t="n">
        <v>2</v>
      </c>
      <c r="AM915" s="3" t="n">
        <v>1</v>
      </c>
      <c r="AN915" s="3" t="n">
        <v>2</v>
      </c>
      <c r="AO915" s="3" t="n">
        <v>2</v>
      </c>
      <c r="AP915" s="3" t="n">
        <v>3</v>
      </c>
      <c r="AQ915" s="3" t="n">
        <v>4</v>
      </c>
      <c r="AR915" s="3" t="n">
        <v>4</v>
      </c>
      <c r="AS915" s="3" t="n">
        <v>6</v>
      </c>
      <c r="AT915" s="3" t="n">
        <v>4</v>
      </c>
      <c r="AU915" s="3" t="n">
        <v>4</v>
      </c>
      <c r="AV915" s="3" t="n">
        <v>6</v>
      </c>
      <c r="AW915" s="3" t="n">
        <v>6</v>
      </c>
      <c r="AX915" s="3" t="n">
        <v>3</v>
      </c>
      <c r="AY915" s="3" t="n">
        <v>3</v>
      </c>
      <c r="AZ915" s="3" t="n">
        <v>1</v>
      </c>
      <c r="BA915" s="5" t="n">
        <v>10</v>
      </c>
      <c r="BB915" s="3" t="n">
        <v>2</v>
      </c>
      <c r="BC915" s="3" t="n">
        <v>1</v>
      </c>
      <c r="BD915" s="3" t="n">
        <v>6</v>
      </c>
      <c r="BE915" s="3" t="n">
        <v>3</v>
      </c>
      <c r="BF915" s="3" t="n">
        <v>5</v>
      </c>
      <c r="BG915" s="3" t="n">
        <v>3</v>
      </c>
      <c r="BH915" s="3" t="n">
        <v>4</v>
      </c>
      <c r="BI915" s="3" t="n">
        <v>1</v>
      </c>
      <c r="BJ915" s="3" t="n">
        <v>1</v>
      </c>
      <c r="BK915" s="6" t="s">
        <v>2396</v>
      </c>
    </row>
    <row r="916" customFormat="false" ht="15" hidden="false" customHeight="true" outlineLevel="0" collapsed="false">
      <c r="B916" s="2" t="s">
        <v>348</v>
      </c>
      <c r="C916" s="2" t="s">
        <v>2397</v>
      </c>
      <c r="D916" s="2" t="s">
        <v>2398</v>
      </c>
      <c r="E916" s="2" t="n">
        <v>201853</v>
      </c>
      <c r="F916" s="15" t="n">
        <v>44077</v>
      </c>
      <c r="G916" s="15" t="n">
        <v>44083</v>
      </c>
      <c r="H916" s="3" t="n">
        <v>6</v>
      </c>
      <c r="I916" s="3" t="n">
        <v>1</v>
      </c>
      <c r="J916" s="3" t="n">
        <v>69</v>
      </c>
      <c r="K916" s="3" t="n">
        <v>2</v>
      </c>
      <c r="L916" s="3" t="n">
        <v>1</v>
      </c>
      <c r="M916" s="3" t="n">
        <v>1</v>
      </c>
      <c r="N916" s="3" t="n">
        <v>2</v>
      </c>
      <c r="O916" s="3" t="n">
        <v>2</v>
      </c>
      <c r="P916" s="3" t="n">
        <v>2</v>
      </c>
      <c r="Q916" s="3" t="n">
        <v>2</v>
      </c>
      <c r="R916" s="3" t="n">
        <v>2</v>
      </c>
      <c r="S916" s="3" t="n">
        <v>2</v>
      </c>
      <c r="T916" s="4" t="n">
        <v>2</v>
      </c>
      <c r="U916" s="3" t="n">
        <v>2</v>
      </c>
      <c r="V916" s="3" t="n">
        <v>5.81</v>
      </c>
      <c r="W916" s="3" t="n">
        <v>1.03</v>
      </c>
      <c r="X916" s="3" t="n">
        <v>5.84</v>
      </c>
      <c r="Y916" s="3" t="n">
        <v>227</v>
      </c>
      <c r="Z916" s="3" t="n">
        <v>111</v>
      </c>
      <c r="AA916" s="3" t="n">
        <v>0.44</v>
      </c>
      <c r="AB916" s="3" t="n">
        <v>11.9</v>
      </c>
      <c r="AC916" s="3" t="n">
        <v>1</v>
      </c>
      <c r="AD916" s="3" t="n">
        <v>2</v>
      </c>
      <c r="AE916" s="3" t="n">
        <v>1</v>
      </c>
      <c r="AF916" s="3" t="n">
        <v>1</v>
      </c>
      <c r="AG916" s="3" t="n">
        <v>1</v>
      </c>
      <c r="AH916" s="3" t="n">
        <v>2</v>
      </c>
      <c r="AI916" s="3" t="n">
        <v>1</v>
      </c>
      <c r="AJ916" s="3" t="n">
        <v>1</v>
      </c>
      <c r="AK916" s="3" t="n">
        <v>2</v>
      </c>
      <c r="AL916" s="3" t="n">
        <v>2</v>
      </c>
      <c r="AM916" s="3" t="n">
        <v>1</v>
      </c>
      <c r="AN916" s="3" t="n">
        <v>2</v>
      </c>
      <c r="AO916" s="3" t="n">
        <v>2</v>
      </c>
      <c r="AP916" s="3" t="n">
        <v>3</v>
      </c>
      <c r="AQ916" s="3" t="n">
        <v>4</v>
      </c>
      <c r="AR916" s="3" t="n">
        <v>4</v>
      </c>
      <c r="AS916" s="3" t="n">
        <v>6</v>
      </c>
      <c r="AT916" s="3" t="n">
        <v>4</v>
      </c>
      <c r="AU916" s="3" t="n">
        <v>4</v>
      </c>
      <c r="AV916" s="3" t="n">
        <v>6</v>
      </c>
      <c r="AW916" s="3" t="n">
        <v>6</v>
      </c>
      <c r="AX916" s="3" t="n">
        <v>3</v>
      </c>
      <c r="AY916" s="3" t="n">
        <v>3</v>
      </c>
      <c r="AZ916" s="3" t="n">
        <v>1</v>
      </c>
      <c r="BA916" s="5" t="n">
        <v>1</v>
      </c>
      <c r="BB916" s="3" t="n">
        <v>1</v>
      </c>
      <c r="BC916" s="3" t="n">
        <v>1</v>
      </c>
      <c r="BD916" s="3" t="n">
        <v>4</v>
      </c>
      <c r="BE916" s="3" t="n">
        <v>1</v>
      </c>
      <c r="BF916" s="3" t="n">
        <v>2</v>
      </c>
      <c r="BG916" s="3" t="n">
        <v>1</v>
      </c>
      <c r="BH916" s="3" t="n">
        <v>4</v>
      </c>
      <c r="BI916" s="3" t="n">
        <v>1</v>
      </c>
      <c r="BJ916" s="3" t="n">
        <v>1</v>
      </c>
      <c r="BK916" s="6" t="s">
        <v>2399</v>
      </c>
    </row>
    <row r="917" customFormat="false" ht="15" hidden="false" customHeight="true" outlineLevel="0" collapsed="false">
      <c r="B917" s="2" t="s">
        <v>2400</v>
      </c>
      <c r="C917" s="2" t="s">
        <v>109</v>
      </c>
      <c r="D917" s="2" t="s">
        <v>74</v>
      </c>
      <c r="E917" s="2" t="n">
        <v>201918</v>
      </c>
      <c r="F917" s="15" t="n">
        <v>44079</v>
      </c>
      <c r="G917" s="15" t="n">
        <v>44085</v>
      </c>
      <c r="H917" s="3" t="n">
        <v>6</v>
      </c>
      <c r="I917" s="3" t="n">
        <v>2</v>
      </c>
      <c r="J917" s="3" t="n">
        <v>68</v>
      </c>
      <c r="K917" s="3" t="n">
        <v>2</v>
      </c>
      <c r="L917" s="3" t="n">
        <v>1</v>
      </c>
      <c r="M917" s="3" t="n">
        <v>1</v>
      </c>
      <c r="N917" s="3" t="n">
        <v>2</v>
      </c>
      <c r="O917" s="3" t="n">
        <v>2</v>
      </c>
      <c r="P917" s="3" t="n">
        <v>2</v>
      </c>
      <c r="Q917" s="3" t="n">
        <v>2</v>
      </c>
      <c r="R917" s="3" t="n">
        <v>2</v>
      </c>
      <c r="S917" s="3" t="n">
        <v>2</v>
      </c>
      <c r="T917" s="4" t="n">
        <v>1</v>
      </c>
      <c r="U917" s="3" t="n">
        <v>1</v>
      </c>
      <c r="V917" s="3" t="n">
        <v>4.38</v>
      </c>
      <c r="W917" s="3" t="n">
        <v>1.73</v>
      </c>
      <c r="X917" s="3" t="n">
        <v>6.82</v>
      </c>
      <c r="Y917" s="3" t="n">
        <v>420</v>
      </c>
      <c r="Z917" s="3" t="n">
        <v>148</v>
      </c>
      <c r="AA917" s="3" t="n">
        <v>0.43</v>
      </c>
      <c r="AB917" s="3" t="n">
        <v>10.9</v>
      </c>
      <c r="AC917" s="3" t="n">
        <v>2</v>
      </c>
      <c r="AD917" s="3" t="n">
        <v>2</v>
      </c>
      <c r="AE917" s="3" t="n">
        <v>1</v>
      </c>
      <c r="AF917" s="3" t="n">
        <v>1</v>
      </c>
      <c r="AG917" s="3" t="n">
        <v>1</v>
      </c>
      <c r="AH917" s="3" t="n">
        <v>2</v>
      </c>
      <c r="AI917" s="3" t="n">
        <v>1</v>
      </c>
      <c r="AJ917" s="3" t="n">
        <v>2</v>
      </c>
      <c r="AK917" s="3" t="n">
        <v>2</v>
      </c>
      <c r="AL917" s="3" t="n">
        <v>2</v>
      </c>
      <c r="AM917" s="3" t="n">
        <v>2</v>
      </c>
      <c r="AN917" s="3" t="n">
        <v>2</v>
      </c>
      <c r="AO917" s="3" t="n">
        <v>2</v>
      </c>
      <c r="AP917" s="3" t="n">
        <v>3</v>
      </c>
      <c r="AQ917" s="3" t="n">
        <v>4</v>
      </c>
      <c r="AR917" s="3" t="n">
        <v>4</v>
      </c>
      <c r="AS917" s="3" t="n">
        <v>6</v>
      </c>
      <c r="AT917" s="3" t="n">
        <v>4</v>
      </c>
      <c r="AU917" s="3" t="n">
        <v>4</v>
      </c>
      <c r="AV917" s="3" t="n">
        <v>6</v>
      </c>
      <c r="AW917" s="3" t="n">
        <v>6</v>
      </c>
      <c r="AX917" s="3" t="n">
        <v>3</v>
      </c>
      <c r="AY917" s="3" t="n">
        <v>3</v>
      </c>
      <c r="AZ917" s="3" t="n">
        <v>1</v>
      </c>
      <c r="BA917" s="5" t="n">
        <v>1</v>
      </c>
      <c r="BB917" s="3" t="n">
        <v>1</v>
      </c>
      <c r="BC917" s="3" t="n">
        <v>1</v>
      </c>
      <c r="BD917" s="3" t="n">
        <v>2</v>
      </c>
      <c r="BE917" s="3" t="n">
        <v>3</v>
      </c>
      <c r="BF917" s="3" t="n">
        <v>5</v>
      </c>
      <c r="BG917" s="3" t="n">
        <v>3</v>
      </c>
      <c r="BH917" s="3" t="n">
        <v>4</v>
      </c>
      <c r="BI917" s="3" t="n">
        <v>1</v>
      </c>
      <c r="BJ917" s="3" t="n">
        <v>1</v>
      </c>
      <c r="BK917" s="6" t="s">
        <v>2401</v>
      </c>
    </row>
    <row r="918" customFormat="false" ht="15" hidden="false" customHeight="true" outlineLevel="0" collapsed="false">
      <c r="B918" s="2" t="s">
        <v>2402</v>
      </c>
      <c r="C918" s="2" t="s">
        <v>95</v>
      </c>
      <c r="D918" s="2" t="s">
        <v>109</v>
      </c>
      <c r="E918" s="2" t="n">
        <v>201901</v>
      </c>
      <c r="F918" s="15" t="n">
        <v>44079</v>
      </c>
      <c r="G918" s="15" t="n">
        <v>44085</v>
      </c>
      <c r="H918" s="3" t="n">
        <v>6</v>
      </c>
      <c r="I918" s="3" t="n">
        <v>1</v>
      </c>
      <c r="J918" s="3" t="n">
        <v>51</v>
      </c>
      <c r="K918" s="3" t="n">
        <v>1</v>
      </c>
      <c r="L918" s="3" t="n">
        <v>1</v>
      </c>
      <c r="M918" s="3" t="n">
        <v>1</v>
      </c>
      <c r="N918" s="3" t="n">
        <v>2</v>
      </c>
      <c r="O918" s="3" t="n">
        <v>2</v>
      </c>
      <c r="P918" s="3" t="n">
        <v>2</v>
      </c>
      <c r="Q918" s="3" t="n">
        <v>2</v>
      </c>
      <c r="R918" s="3" t="n">
        <v>2</v>
      </c>
      <c r="S918" s="3" t="n">
        <v>2</v>
      </c>
      <c r="T918" s="4" t="n">
        <v>2</v>
      </c>
      <c r="U918" s="3" t="n">
        <v>2</v>
      </c>
      <c r="V918" s="3" t="n">
        <v>5.11</v>
      </c>
      <c r="W918" s="3" t="n">
        <v>1.8</v>
      </c>
      <c r="X918" s="3" t="n">
        <v>6.43</v>
      </c>
      <c r="Y918" s="3" t="n">
        <v>378</v>
      </c>
      <c r="Z918" s="3" t="n">
        <v>101</v>
      </c>
      <c r="AA918" s="3" t="n">
        <v>0.4</v>
      </c>
      <c r="AB918" s="3" t="n">
        <v>13</v>
      </c>
      <c r="AC918" s="3" t="n">
        <v>2</v>
      </c>
      <c r="AD918" s="3" t="n">
        <v>1</v>
      </c>
      <c r="AE918" s="3" t="n">
        <v>1</v>
      </c>
      <c r="AF918" s="3" t="n">
        <v>1</v>
      </c>
      <c r="AG918" s="3" t="n">
        <v>1</v>
      </c>
      <c r="AH918" s="3" t="n">
        <v>1</v>
      </c>
      <c r="AI918" s="3" t="n">
        <v>1</v>
      </c>
      <c r="AJ918" s="3" t="n">
        <v>2</v>
      </c>
      <c r="AK918" s="3" t="n">
        <v>2</v>
      </c>
      <c r="AL918" s="3" t="n">
        <v>2</v>
      </c>
      <c r="AM918" s="3" t="n">
        <v>1</v>
      </c>
      <c r="AN918" s="3" t="n">
        <v>2</v>
      </c>
      <c r="AO918" s="3" t="n">
        <v>2</v>
      </c>
      <c r="AP918" s="3" t="n">
        <v>3</v>
      </c>
      <c r="AQ918" s="3" t="n">
        <v>4</v>
      </c>
      <c r="AR918" s="3" t="n">
        <v>4</v>
      </c>
      <c r="AS918" s="3" t="n">
        <v>6</v>
      </c>
      <c r="AT918" s="3" t="n">
        <v>4</v>
      </c>
      <c r="AU918" s="3" t="n">
        <v>4</v>
      </c>
      <c r="AV918" s="3" t="n">
        <v>6</v>
      </c>
      <c r="AW918" s="3" t="n">
        <v>6</v>
      </c>
      <c r="AX918" s="3" t="n">
        <v>3</v>
      </c>
      <c r="AY918" s="3" t="n">
        <v>3</v>
      </c>
      <c r="AZ918" s="3" t="n">
        <v>1</v>
      </c>
      <c r="BA918" s="5" t="n">
        <v>1</v>
      </c>
      <c r="BB918" s="3" t="n">
        <v>1</v>
      </c>
      <c r="BC918" s="3" t="n">
        <v>1</v>
      </c>
      <c r="BD918" s="3" t="n">
        <v>2</v>
      </c>
      <c r="BE918" s="3" t="n">
        <v>3</v>
      </c>
      <c r="BF918" s="3" t="n">
        <v>5</v>
      </c>
      <c r="BG918" s="3" t="n">
        <v>3</v>
      </c>
      <c r="BH918" s="3" t="n">
        <v>4</v>
      </c>
      <c r="BI918" s="3" t="n">
        <v>1</v>
      </c>
      <c r="BJ918" s="3" t="n">
        <v>1</v>
      </c>
      <c r="BK918" s="6" t="s">
        <v>2403</v>
      </c>
    </row>
    <row r="919" customFormat="false" ht="15" hidden="false" customHeight="true" outlineLevel="0" collapsed="false">
      <c r="B919" s="2" t="s">
        <v>2404</v>
      </c>
      <c r="C919" s="2" t="s">
        <v>877</v>
      </c>
      <c r="D919" s="2" t="s">
        <v>458</v>
      </c>
      <c r="E919" s="2" t="n">
        <v>202006</v>
      </c>
      <c r="F919" s="15" t="n">
        <v>44083</v>
      </c>
      <c r="G919" s="15" t="n">
        <v>44088</v>
      </c>
      <c r="H919" s="3" t="n">
        <v>5</v>
      </c>
      <c r="I919" s="3" t="n">
        <v>1</v>
      </c>
      <c r="J919" s="3" t="n">
        <v>70</v>
      </c>
      <c r="K919" s="3" t="n">
        <v>1</v>
      </c>
      <c r="L919" s="3" t="n">
        <v>2</v>
      </c>
      <c r="M919" s="3" t="n">
        <v>1</v>
      </c>
      <c r="N919" s="3" t="n">
        <v>2</v>
      </c>
      <c r="O919" s="3" t="n">
        <v>2</v>
      </c>
      <c r="P919" s="3" t="n">
        <v>2</v>
      </c>
      <c r="Q919" s="3" t="n">
        <v>2</v>
      </c>
      <c r="R919" s="3" t="n">
        <v>2</v>
      </c>
      <c r="S919" s="3" t="n">
        <v>2</v>
      </c>
      <c r="T919" s="4" t="n">
        <v>1</v>
      </c>
      <c r="U919" s="3" t="n">
        <v>1</v>
      </c>
      <c r="V919" s="3" t="n">
        <v>4.98</v>
      </c>
      <c r="W919" s="3" t="n">
        <v>2.9</v>
      </c>
      <c r="X919" s="3" t="n">
        <v>6.23</v>
      </c>
      <c r="Y919" s="3" t="n">
        <v>596</v>
      </c>
      <c r="Z919" s="3" t="n">
        <v>126</v>
      </c>
      <c r="AA919" s="3" t="n">
        <v>0.35</v>
      </c>
      <c r="AB919" s="3" t="n">
        <v>7.8</v>
      </c>
      <c r="AC919" s="3" t="n">
        <v>1</v>
      </c>
      <c r="AD919" s="3" t="n">
        <v>1</v>
      </c>
      <c r="AE919" s="3" t="n">
        <v>1</v>
      </c>
      <c r="AF919" s="3" t="n">
        <v>1</v>
      </c>
      <c r="AG919" s="3" t="n">
        <v>2</v>
      </c>
      <c r="AH919" s="3" t="n">
        <v>2</v>
      </c>
      <c r="AI919" s="3" t="n">
        <v>1</v>
      </c>
      <c r="AJ919" s="3" t="n">
        <v>1</v>
      </c>
      <c r="AK919" s="3" t="n">
        <v>2</v>
      </c>
      <c r="AL919" s="3" t="n">
        <v>2</v>
      </c>
      <c r="AM919" s="3" t="n">
        <v>1</v>
      </c>
      <c r="AN919" s="3" t="n">
        <v>2</v>
      </c>
      <c r="AO919" s="3" t="n">
        <v>2</v>
      </c>
      <c r="AP919" s="3" t="n">
        <v>3</v>
      </c>
      <c r="AQ919" s="3" t="n">
        <v>4</v>
      </c>
      <c r="AR919" s="3" t="n">
        <v>4</v>
      </c>
      <c r="AS919" s="3" t="n">
        <v>6</v>
      </c>
      <c r="AT919" s="3" t="n">
        <v>4</v>
      </c>
      <c r="AU919" s="3" t="n">
        <v>4</v>
      </c>
      <c r="AV919" s="3" t="n">
        <v>6</v>
      </c>
      <c r="AW919" s="3" t="n">
        <v>6</v>
      </c>
      <c r="AX919" s="3" t="n">
        <v>3</v>
      </c>
      <c r="AY919" s="3" t="n">
        <v>3</v>
      </c>
      <c r="AZ919" s="3" t="n">
        <v>1</v>
      </c>
      <c r="BA919" s="5" t="n">
        <v>5</v>
      </c>
      <c r="BB919" s="3" t="n">
        <v>2</v>
      </c>
      <c r="BC919" s="3" t="n">
        <v>1</v>
      </c>
      <c r="BD919" s="3" t="n">
        <v>6</v>
      </c>
      <c r="BE919" s="3" t="n">
        <v>3</v>
      </c>
      <c r="BF919" s="3" t="n">
        <v>5</v>
      </c>
      <c r="BG919" s="3" t="n">
        <v>3</v>
      </c>
      <c r="BH919" s="3" t="n">
        <v>4</v>
      </c>
      <c r="BI919" s="3" t="n">
        <v>1</v>
      </c>
      <c r="BJ919" s="3" t="n">
        <v>1</v>
      </c>
      <c r="BK919" s="6" t="s">
        <v>2405</v>
      </c>
    </row>
    <row r="920" customFormat="false" ht="15" hidden="false" customHeight="true" outlineLevel="0" collapsed="false">
      <c r="B920" s="2" t="s">
        <v>1917</v>
      </c>
      <c r="C920" s="2" t="s">
        <v>2406</v>
      </c>
      <c r="D920" s="2" t="s">
        <v>898</v>
      </c>
      <c r="E920" s="2" t="n">
        <v>201942</v>
      </c>
      <c r="F920" s="15" t="n">
        <v>44081</v>
      </c>
      <c r="G920" s="15" t="n">
        <v>44088</v>
      </c>
      <c r="H920" s="3" t="n">
        <v>7</v>
      </c>
      <c r="I920" s="3" t="n">
        <v>1</v>
      </c>
      <c r="J920" s="3" t="n">
        <v>65</v>
      </c>
      <c r="K920" s="3" t="n">
        <v>1</v>
      </c>
      <c r="L920" s="3" t="n">
        <v>1</v>
      </c>
      <c r="M920" s="3" t="n">
        <v>1</v>
      </c>
      <c r="N920" s="3" t="n">
        <v>2</v>
      </c>
      <c r="O920" s="3" t="n">
        <v>2</v>
      </c>
      <c r="P920" s="3" t="n">
        <v>2</v>
      </c>
      <c r="Q920" s="3" t="n">
        <v>2</v>
      </c>
      <c r="R920" s="3" t="n">
        <v>2</v>
      </c>
      <c r="S920" s="3" t="n">
        <v>2</v>
      </c>
      <c r="T920" s="4" t="n">
        <v>2</v>
      </c>
      <c r="U920" s="3" t="n">
        <v>2</v>
      </c>
      <c r="V920" s="3" t="n">
        <v>6.2</v>
      </c>
      <c r="W920" s="3" t="n">
        <v>4.91</v>
      </c>
      <c r="X920" s="3" t="n">
        <v>6.03</v>
      </c>
      <c r="Y920" s="3" t="n">
        <v>456</v>
      </c>
      <c r="Z920" s="3" t="n">
        <v>134</v>
      </c>
      <c r="AA920" s="3" t="n">
        <v>0.45</v>
      </c>
      <c r="AB920" s="3" t="n">
        <v>11.6</v>
      </c>
      <c r="AC920" s="3" t="n">
        <v>1</v>
      </c>
      <c r="AD920" s="3" t="n">
        <v>2</v>
      </c>
      <c r="AE920" s="3" t="n">
        <v>1</v>
      </c>
      <c r="AF920" s="3" t="n">
        <v>1</v>
      </c>
      <c r="AG920" s="3" t="n">
        <v>2</v>
      </c>
      <c r="AH920" s="3" t="n">
        <v>2</v>
      </c>
      <c r="AI920" s="3" t="n">
        <v>1</v>
      </c>
      <c r="AJ920" s="3" t="n">
        <v>1</v>
      </c>
      <c r="AK920" s="3" t="n">
        <v>2</v>
      </c>
      <c r="AL920" s="3" t="n">
        <v>2</v>
      </c>
      <c r="AM920" s="3" t="n">
        <v>1</v>
      </c>
      <c r="AN920" s="3" t="n">
        <v>2</v>
      </c>
      <c r="AO920" s="3" t="n">
        <v>2</v>
      </c>
      <c r="AP920" s="3" t="n">
        <v>3</v>
      </c>
      <c r="AQ920" s="3" t="n">
        <v>4</v>
      </c>
      <c r="AR920" s="3" t="n">
        <v>4</v>
      </c>
      <c r="AS920" s="3" t="n">
        <v>6</v>
      </c>
      <c r="AT920" s="3" t="n">
        <v>4</v>
      </c>
      <c r="AU920" s="3" t="n">
        <v>4</v>
      </c>
      <c r="AV920" s="3" t="n">
        <v>6</v>
      </c>
      <c r="AW920" s="3" t="n">
        <v>6</v>
      </c>
      <c r="AX920" s="3" t="n">
        <v>3</v>
      </c>
      <c r="AY920" s="3" t="n">
        <v>3</v>
      </c>
      <c r="AZ920" s="3" t="n">
        <v>1</v>
      </c>
      <c r="BA920" s="5" t="n">
        <v>1</v>
      </c>
      <c r="BB920" s="3" t="n">
        <v>1</v>
      </c>
      <c r="BC920" s="3" t="n">
        <v>1</v>
      </c>
      <c r="BD920" s="3" t="n">
        <v>4</v>
      </c>
      <c r="BE920" s="3" t="n">
        <v>1</v>
      </c>
      <c r="BF920" s="3" t="n">
        <v>2</v>
      </c>
      <c r="BG920" s="3" t="n">
        <v>1</v>
      </c>
      <c r="BH920" s="3" t="n">
        <v>4</v>
      </c>
      <c r="BI920" s="3" t="n">
        <v>1</v>
      </c>
      <c r="BJ920" s="3" t="n">
        <v>1</v>
      </c>
      <c r="BK920" s="6" t="s">
        <v>2407</v>
      </c>
    </row>
    <row r="921" s="30" customFormat="true" ht="15" hidden="false" customHeight="true" outlineLevel="0" collapsed="false">
      <c r="A921" s="24"/>
      <c r="B921" s="26" t="s">
        <v>1579</v>
      </c>
      <c r="C921" s="26" t="s">
        <v>457</v>
      </c>
      <c r="D921" s="26" t="s">
        <v>458</v>
      </c>
      <c r="E921" s="26" t="n">
        <v>165050</v>
      </c>
      <c r="F921" s="27" t="n">
        <v>44085</v>
      </c>
      <c r="G921" s="27" t="n">
        <v>44085</v>
      </c>
      <c r="H921" s="30" t="n">
        <v>0</v>
      </c>
      <c r="I921" s="30" t="n">
        <v>1</v>
      </c>
      <c r="J921" s="30" t="n">
        <v>23</v>
      </c>
      <c r="K921" s="30" t="n">
        <v>1</v>
      </c>
      <c r="L921" s="30" t="n">
        <v>2</v>
      </c>
      <c r="M921" s="30" t="n">
        <v>2</v>
      </c>
      <c r="N921" s="30" t="n">
        <v>2</v>
      </c>
      <c r="O921" s="30" t="n">
        <v>2</v>
      </c>
      <c r="P921" s="30" t="n">
        <v>2</v>
      </c>
      <c r="Q921" s="30" t="n">
        <v>2</v>
      </c>
      <c r="R921" s="30" t="n">
        <v>2</v>
      </c>
      <c r="S921" s="30" t="n">
        <v>2</v>
      </c>
      <c r="T921" s="4" t="n">
        <v>12</v>
      </c>
      <c r="U921" s="30" t="n">
        <v>3</v>
      </c>
      <c r="AD921" s="30" t="n">
        <v>2</v>
      </c>
      <c r="AE921" s="30" t="n">
        <v>1</v>
      </c>
      <c r="AF921" s="30" t="n">
        <v>2</v>
      </c>
      <c r="AG921" s="30" t="n">
        <v>2</v>
      </c>
      <c r="AH921" s="30" t="n">
        <v>2</v>
      </c>
      <c r="AI921" s="30" t="n">
        <v>2</v>
      </c>
      <c r="AJ921" s="30" t="n">
        <v>2</v>
      </c>
      <c r="AK921" s="30" t="n">
        <v>2</v>
      </c>
      <c r="AL921" s="30" t="n">
        <v>2</v>
      </c>
      <c r="AM921" s="30" t="n">
        <v>2</v>
      </c>
      <c r="AN921" s="30" t="n">
        <v>1</v>
      </c>
      <c r="AO921" s="30" t="n">
        <v>2</v>
      </c>
      <c r="AP921" s="30" t="n">
        <v>3</v>
      </c>
      <c r="AQ921" s="30" t="n">
        <v>4</v>
      </c>
      <c r="AR921" s="30" t="n">
        <v>4</v>
      </c>
      <c r="AS921" s="30" t="n">
        <v>6</v>
      </c>
      <c r="AT921" s="30" t="n">
        <v>4</v>
      </c>
      <c r="AU921" s="30" t="n">
        <v>4</v>
      </c>
      <c r="AV921" s="30" t="n">
        <v>6</v>
      </c>
      <c r="AW921" s="30" t="n">
        <v>6</v>
      </c>
      <c r="AX921" s="30" t="n">
        <v>3</v>
      </c>
      <c r="AY921" s="30" t="n">
        <v>3</v>
      </c>
      <c r="AZ921" s="30" t="n">
        <v>6</v>
      </c>
      <c r="BA921" s="5" t="n">
        <v>7</v>
      </c>
      <c r="BB921" s="30" t="n">
        <v>2</v>
      </c>
      <c r="BC921" s="30" t="n">
        <v>2</v>
      </c>
      <c r="BD921" s="30" t="n">
        <v>4</v>
      </c>
      <c r="BE921" s="30" t="n">
        <v>3</v>
      </c>
      <c r="BF921" s="30" t="n">
        <v>5</v>
      </c>
      <c r="BG921" s="30" t="n">
        <v>3</v>
      </c>
      <c r="BH921" s="30" t="n">
        <v>4</v>
      </c>
      <c r="BI921" s="30" t="n">
        <v>1</v>
      </c>
      <c r="BK921" s="31" t="s">
        <v>2408</v>
      </c>
    </row>
    <row r="922" customFormat="false" ht="15" hidden="false" customHeight="true" outlineLevel="0" collapsed="false">
      <c r="B922" s="2" t="s">
        <v>1809</v>
      </c>
      <c r="C922" s="2" t="s">
        <v>109</v>
      </c>
      <c r="D922" s="2" t="s">
        <v>78</v>
      </c>
      <c r="E922" s="2" t="n">
        <v>202010</v>
      </c>
      <c r="F922" s="15" t="n">
        <v>44083</v>
      </c>
      <c r="G922" s="15" t="n">
        <v>44090</v>
      </c>
      <c r="H922" s="3" t="n">
        <v>7</v>
      </c>
      <c r="I922" s="3" t="n">
        <v>2</v>
      </c>
      <c r="J922" s="3" t="n">
        <v>68</v>
      </c>
      <c r="K922" s="3" t="n">
        <v>1</v>
      </c>
      <c r="L922" s="3" t="n">
        <v>2</v>
      </c>
      <c r="M922" s="3" t="n">
        <v>1</v>
      </c>
      <c r="N922" s="3" t="n">
        <v>2</v>
      </c>
      <c r="O922" s="3" t="n">
        <v>2</v>
      </c>
      <c r="P922" s="3" t="n">
        <v>2</v>
      </c>
      <c r="Q922" s="3" t="n">
        <v>2</v>
      </c>
      <c r="R922" s="3" t="n">
        <v>2</v>
      </c>
      <c r="S922" s="3" t="n">
        <v>2</v>
      </c>
      <c r="T922" s="4" t="n">
        <v>4</v>
      </c>
      <c r="U922" s="3" t="n">
        <v>4</v>
      </c>
      <c r="V922" s="3" t="n">
        <v>4.99</v>
      </c>
      <c r="W922" s="3" t="n">
        <v>1.47</v>
      </c>
      <c r="X922" s="3" t="n">
        <v>6.67</v>
      </c>
      <c r="Y922" s="3" t="n">
        <v>533</v>
      </c>
      <c r="Z922" s="3" t="n">
        <v>98</v>
      </c>
      <c r="AA922" s="3" t="n">
        <v>0.45</v>
      </c>
      <c r="AB922" s="3" t="n">
        <v>12.3</v>
      </c>
      <c r="AC922" s="3" t="n">
        <v>1</v>
      </c>
      <c r="AD922" s="3" t="n">
        <v>2</v>
      </c>
      <c r="AE922" s="3" t="n">
        <v>2</v>
      </c>
      <c r="AF922" s="3" t="n">
        <v>2</v>
      </c>
      <c r="AG922" s="3" t="n">
        <v>2</v>
      </c>
      <c r="AH922" s="3" t="n">
        <v>1</v>
      </c>
      <c r="AI922" s="3" t="n">
        <v>2</v>
      </c>
      <c r="AJ922" s="3" t="n">
        <v>1</v>
      </c>
      <c r="AK922" s="3" t="n">
        <v>2</v>
      </c>
      <c r="AL922" s="3" t="n">
        <v>2</v>
      </c>
      <c r="AM922" s="3" t="n">
        <v>1</v>
      </c>
      <c r="AN922" s="3" t="n">
        <v>1</v>
      </c>
      <c r="AO922" s="3" t="n">
        <v>2</v>
      </c>
      <c r="AP922" s="3" t="n">
        <v>3</v>
      </c>
      <c r="AQ922" s="3" t="n">
        <v>4</v>
      </c>
      <c r="AR922" s="3" t="n">
        <v>4</v>
      </c>
      <c r="AS922" s="3" t="n">
        <v>6</v>
      </c>
      <c r="AT922" s="3" t="n">
        <v>4</v>
      </c>
      <c r="AU922" s="3" t="n">
        <v>4</v>
      </c>
      <c r="AV922" s="3" t="n">
        <v>6</v>
      </c>
      <c r="AW922" s="3" t="n">
        <v>6</v>
      </c>
      <c r="AX922" s="3" t="n">
        <v>3</v>
      </c>
      <c r="AY922" s="3" t="n">
        <v>3</v>
      </c>
      <c r="AZ922" s="3" t="n">
        <v>1</v>
      </c>
      <c r="BA922" s="5" t="n">
        <v>10</v>
      </c>
      <c r="BB922" s="3" t="n">
        <v>2</v>
      </c>
      <c r="BC922" s="3" t="n">
        <v>1</v>
      </c>
      <c r="BD922" s="3" t="n">
        <v>6</v>
      </c>
      <c r="BE922" s="3" t="n">
        <v>3</v>
      </c>
      <c r="BF922" s="3" t="n">
        <v>5</v>
      </c>
      <c r="BG922" s="3" t="n">
        <v>3</v>
      </c>
      <c r="BH922" s="3" t="n">
        <v>4</v>
      </c>
      <c r="BI922" s="3" t="n">
        <v>1</v>
      </c>
      <c r="BJ922" s="3" t="n">
        <v>1</v>
      </c>
      <c r="BK922" s="6" t="s">
        <v>2409</v>
      </c>
    </row>
    <row r="923" customFormat="false" ht="15" hidden="false" customHeight="true" outlineLevel="0" collapsed="false">
      <c r="B923" s="2" t="s">
        <v>2410</v>
      </c>
      <c r="C923" s="2" t="s">
        <v>2411</v>
      </c>
      <c r="D923" s="2" t="s">
        <v>544</v>
      </c>
      <c r="E923" s="2" t="n">
        <v>202070</v>
      </c>
      <c r="F923" s="15" t="n">
        <v>44089</v>
      </c>
      <c r="G923" s="15" t="n">
        <v>44090</v>
      </c>
      <c r="H923" s="3" t="n">
        <v>1</v>
      </c>
      <c r="I923" s="3" t="n">
        <v>1</v>
      </c>
      <c r="J923" s="3" t="n">
        <v>72</v>
      </c>
      <c r="K923" s="3" t="n">
        <v>2</v>
      </c>
      <c r="L923" s="3" t="n">
        <v>1</v>
      </c>
      <c r="M923" s="3" t="n">
        <v>1</v>
      </c>
      <c r="N923" s="3" t="n">
        <v>2</v>
      </c>
      <c r="O923" s="3" t="n">
        <v>1</v>
      </c>
      <c r="P923" s="3" t="n">
        <v>1</v>
      </c>
      <c r="Q923" s="3" t="n">
        <v>1</v>
      </c>
      <c r="R923" s="3" t="n">
        <v>2</v>
      </c>
      <c r="S923" s="3" t="n">
        <v>1</v>
      </c>
      <c r="T923" s="4" t="n">
        <v>3</v>
      </c>
      <c r="U923" s="3" t="n">
        <v>4</v>
      </c>
      <c r="AC923" s="3" t="n">
        <v>1</v>
      </c>
      <c r="AD923" s="3" t="n">
        <v>2</v>
      </c>
      <c r="AE923" s="3" t="n">
        <v>2</v>
      </c>
      <c r="AF923" s="3" t="n">
        <v>1</v>
      </c>
      <c r="AG923" s="3" t="n">
        <v>2</v>
      </c>
      <c r="AH923" s="3" t="n">
        <v>2</v>
      </c>
      <c r="AI923" s="3" t="n">
        <v>1</v>
      </c>
      <c r="AJ923" s="3" t="n">
        <v>1</v>
      </c>
      <c r="AK923" s="3" t="n">
        <v>2</v>
      </c>
      <c r="AL923" s="3" t="n">
        <v>2</v>
      </c>
      <c r="AM923" s="3" t="n">
        <v>2</v>
      </c>
      <c r="AN923" s="3" t="n">
        <v>2</v>
      </c>
      <c r="AO923" s="3" t="n">
        <v>2</v>
      </c>
      <c r="AP923" s="3" t="n">
        <v>3</v>
      </c>
      <c r="AQ923" s="3" t="n">
        <v>4</v>
      </c>
      <c r="AR923" s="3" t="n">
        <v>4</v>
      </c>
      <c r="AS923" s="3" t="n">
        <v>6</v>
      </c>
      <c r="AT923" s="3" t="n">
        <v>4</v>
      </c>
      <c r="AU923" s="3" t="n">
        <v>4</v>
      </c>
      <c r="AV923" s="3" t="n">
        <v>6</v>
      </c>
      <c r="AW923" s="3" t="n">
        <v>6</v>
      </c>
      <c r="AX923" s="3" t="n">
        <v>3</v>
      </c>
      <c r="AY923" s="3" t="n">
        <v>3</v>
      </c>
      <c r="AZ923" s="3" t="n">
        <v>1</v>
      </c>
      <c r="BA923" s="5" t="n">
        <v>11</v>
      </c>
      <c r="BB923" s="3" t="n">
        <v>2</v>
      </c>
      <c r="BC923" s="3" t="n">
        <v>1</v>
      </c>
      <c r="BD923" s="3" t="n">
        <v>6</v>
      </c>
      <c r="BE923" s="3" t="n">
        <v>3</v>
      </c>
      <c r="BF923" s="3" t="n">
        <v>5</v>
      </c>
      <c r="BG923" s="3" t="n">
        <v>3</v>
      </c>
      <c r="BH923" s="3" t="n">
        <v>4</v>
      </c>
      <c r="BI923" s="3" t="n">
        <v>1</v>
      </c>
      <c r="BJ923" s="3" t="n">
        <v>1</v>
      </c>
      <c r="BK923" s="6" t="s">
        <v>2412</v>
      </c>
    </row>
    <row r="924" customFormat="false" ht="15" hidden="false" customHeight="true" outlineLevel="0" collapsed="false">
      <c r="B924" s="2" t="s">
        <v>2413</v>
      </c>
      <c r="C924" s="2" t="s">
        <v>2133</v>
      </c>
      <c r="D924" s="2" t="s">
        <v>2332</v>
      </c>
      <c r="E924" s="2" t="n">
        <v>201964</v>
      </c>
      <c r="F924" s="15" t="n">
        <v>44088</v>
      </c>
      <c r="G924" s="15" t="n">
        <v>44091</v>
      </c>
      <c r="H924" s="3" t="n">
        <v>3</v>
      </c>
      <c r="I924" s="3" t="n">
        <v>1</v>
      </c>
      <c r="J924" s="3" t="n">
        <v>35</v>
      </c>
      <c r="K924" s="3" t="n">
        <v>2</v>
      </c>
      <c r="L924" s="3" t="n">
        <v>1</v>
      </c>
      <c r="M924" s="3" t="n">
        <v>2</v>
      </c>
      <c r="N924" s="3" t="n">
        <v>2</v>
      </c>
      <c r="O924" s="3" t="n">
        <v>2</v>
      </c>
      <c r="P924" s="3" t="n">
        <v>2</v>
      </c>
      <c r="Q924" s="3" t="n">
        <v>2</v>
      </c>
      <c r="R924" s="3" t="n">
        <v>2</v>
      </c>
      <c r="S924" s="3" t="n">
        <v>2</v>
      </c>
      <c r="T924" s="4" t="n">
        <v>12</v>
      </c>
      <c r="U924" s="3" t="n">
        <v>3</v>
      </c>
      <c r="V924" s="3" t="n">
        <v>302</v>
      </c>
      <c r="W924" s="3" t="n">
        <v>1.2</v>
      </c>
      <c r="X924" s="3" t="n">
        <v>6.6</v>
      </c>
      <c r="Y924" s="3" t="n">
        <v>250</v>
      </c>
      <c r="Z924" s="3" t="n">
        <v>85</v>
      </c>
      <c r="AA924" s="3" t="n">
        <v>39</v>
      </c>
      <c r="AB924" s="3" t="n">
        <v>8</v>
      </c>
      <c r="AC924" s="3" t="n">
        <v>1</v>
      </c>
      <c r="AD924" s="3" t="n">
        <v>2</v>
      </c>
      <c r="AE924" s="3" t="n">
        <v>2</v>
      </c>
      <c r="AF924" s="3" t="n">
        <v>2</v>
      </c>
      <c r="AG924" s="3" t="n">
        <v>2</v>
      </c>
      <c r="AH924" s="3" t="n">
        <v>2</v>
      </c>
      <c r="AI924" s="3" t="n">
        <v>2</v>
      </c>
      <c r="AJ924" s="3" t="n">
        <v>2</v>
      </c>
      <c r="AK924" s="3" t="n">
        <v>2</v>
      </c>
      <c r="AL924" s="3" t="n">
        <v>2</v>
      </c>
      <c r="AM924" s="3" t="n">
        <v>2</v>
      </c>
      <c r="AN924" s="3" t="n">
        <v>2</v>
      </c>
      <c r="AO924" s="3" t="n">
        <v>2</v>
      </c>
      <c r="AP924" s="3" t="n">
        <v>3</v>
      </c>
      <c r="AQ924" s="3" t="n">
        <v>4</v>
      </c>
      <c r="AR924" s="3" t="n">
        <v>4</v>
      </c>
      <c r="AS924" s="3" t="n">
        <v>6</v>
      </c>
      <c r="AT924" s="3" t="n">
        <v>4</v>
      </c>
      <c r="AU924" s="3" t="n">
        <v>4</v>
      </c>
      <c r="AV924" s="3" t="n">
        <v>6</v>
      </c>
      <c r="AW924" s="3" t="n">
        <v>6</v>
      </c>
      <c r="AX924" s="3" t="n">
        <v>3</v>
      </c>
      <c r="AY924" s="3" t="n">
        <v>3</v>
      </c>
      <c r="AZ924" s="3" t="n">
        <v>1</v>
      </c>
      <c r="BA924" s="5" t="n">
        <v>3</v>
      </c>
      <c r="BB924" s="3" t="n">
        <v>2</v>
      </c>
      <c r="BC924" s="3" t="n">
        <v>1</v>
      </c>
      <c r="BD924" s="3" t="n">
        <v>6</v>
      </c>
      <c r="BE924" s="3" t="n">
        <v>3</v>
      </c>
      <c r="BF924" s="3" t="n">
        <v>5</v>
      </c>
      <c r="BG924" s="3" t="n">
        <v>3</v>
      </c>
      <c r="BH924" s="3" t="n">
        <v>4</v>
      </c>
      <c r="BI924" s="3" t="n">
        <v>1</v>
      </c>
      <c r="BJ924" s="3" t="n">
        <v>1</v>
      </c>
      <c r="BK924" s="6" t="s">
        <v>2414</v>
      </c>
    </row>
    <row r="925" customFormat="false" ht="15" hidden="false" customHeight="true" outlineLevel="0" collapsed="false">
      <c r="B925" s="2" t="s">
        <v>2359</v>
      </c>
      <c r="C925" s="2" t="s">
        <v>2415</v>
      </c>
      <c r="D925" s="2" t="s">
        <v>314</v>
      </c>
      <c r="E925" s="2" t="n">
        <v>202098</v>
      </c>
      <c r="F925" s="15" t="n">
        <v>44085</v>
      </c>
      <c r="G925" s="15" t="n">
        <v>44092</v>
      </c>
      <c r="H925" s="3" t="n">
        <v>7</v>
      </c>
      <c r="I925" s="3" t="n">
        <v>2</v>
      </c>
      <c r="J925" s="3" t="n">
        <v>55</v>
      </c>
      <c r="K925" s="3" t="n">
        <v>1</v>
      </c>
      <c r="L925" s="3" t="n">
        <v>1</v>
      </c>
      <c r="M925" s="3" t="n">
        <v>1</v>
      </c>
      <c r="N925" s="3" t="n">
        <v>2</v>
      </c>
      <c r="O925" s="3" t="n">
        <v>2</v>
      </c>
      <c r="P925" s="3" t="n">
        <v>2</v>
      </c>
      <c r="Q925" s="3" t="n">
        <v>1</v>
      </c>
      <c r="R925" s="3" t="n">
        <v>2</v>
      </c>
      <c r="S925" s="3" t="n">
        <v>2</v>
      </c>
      <c r="T925" s="4" t="n">
        <v>1</v>
      </c>
      <c r="U925" s="3" t="n">
        <v>1</v>
      </c>
      <c r="V925" s="3" t="n">
        <v>4.96</v>
      </c>
      <c r="W925" s="3" t="n">
        <v>1.94</v>
      </c>
      <c r="X925" s="3" t="n">
        <v>7.3</v>
      </c>
      <c r="Y925" s="3" t="n">
        <v>195</v>
      </c>
      <c r="Z925" s="3" t="n">
        <v>90</v>
      </c>
      <c r="AA925" s="3" t="n">
        <v>0.46</v>
      </c>
      <c r="AB925" s="3" t="n">
        <v>8.2</v>
      </c>
      <c r="AC925" s="3" t="n">
        <v>2</v>
      </c>
      <c r="AD925" s="3" t="n">
        <v>1</v>
      </c>
      <c r="AE925" s="3" t="n">
        <v>1</v>
      </c>
      <c r="AF925" s="3" t="n">
        <v>1</v>
      </c>
      <c r="AG925" s="3" t="n">
        <v>1</v>
      </c>
      <c r="AH925" s="3" t="n">
        <v>1</v>
      </c>
      <c r="AI925" s="3" t="n">
        <v>1</v>
      </c>
      <c r="AJ925" s="3" t="n">
        <v>1</v>
      </c>
      <c r="AK925" s="3" t="n">
        <v>1</v>
      </c>
      <c r="AL925" s="3" t="n">
        <v>2</v>
      </c>
      <c r="AM925" s="3" t="n">
        <v>1</v>
      </c>
      <c r="AN925" s="3" t="n">
        <v>2</v>
      </c>
      <c r="AO925" s="3" t="n">
        <v>2</v>
      </c>
      <c r="AP925" s="3" t="n">
        <v>3</v>
      </c>
      <c r="AQ925" s="3" t="n">
        <v>4</v>
      </c>
      <c r="AR925" s="3" t="n">
        <v>4</v>
      </c>
      <c r="AS925" s="3" t="n">
        <v>6</v>
      </c>
      <c r="AT925" s="3" t="n">
        <v>4</v>
      </c>
      <c r="AU925" s="3" t="n">
        <v>4</v>
      </c>
      <c r="AV925" s="3" t="n">
        <v>6</v>
      </c>
      <c r="AW925" s="3" t="n">
        <v>6</v>
      </c>
      <c r="AX925" s="3" t="n">
        <v>3</v>
      </c>
      <c r="AY925" s="3" t="n">
        <v>3</v>
      </c>
      <c r="AZ925" s="3" t="n">
        <v>1</v>
      </c>
      <c r="BA925" s="5" t="n">
        <v>1</v>
      </c>
      <c r="BB925" s="3" t="n">
        <v>1</v>
      </c>
      <c r="BC925" s="3" t="n">
        <v>1</v>
      </c>
      <c r="BD925" s="3" t="n">
        <v>4</v>
      </c>
      <c r="BE925" s="3" t="n">
        <v>3</v>
      </c>
      <c r="BF925" s="3" t="n">
        <v>5</v>
      </c>
      <c r="BG925" s="3" t="n">
        <v>3</v>
      </c>
      <c r="BH925" s="3" t="n">
        <v>4</v>
      </c>
      <c r="BI925" s="3" t="n">
        <v>1</v>
      </c>
      <c r="BJ925" s="3" t="n">
        <v>1</v>
      </c>
      <c r="BK925" s="6" t="s">
        <v>2416</v>
      </c>
    </row>
    <row r="926" customFormat="false" ht="15" hidden="false" customHeight="true" outlineLevel="0" collapsed="false">
      <c r="B926" s="2" t="s">
        <v>2417</v>
      </c>
      <c r="C926" s="2" t="s">
        <v>2133</v>
      </c>
      <c r="D926" s="2" t="s">
        <v>588</v>
      </c>
      <c r="E926" s="2" t="n">
        <v>202241</v>
      </c>
      <c r="F926" s="15" t="n">
        <v>44089</v>
      </c>
      <c r="G926" s="15" t="n">
        <v>44092</v>
      </c>
      <c r="H926" s="3" t="n">
        <v>3</v>
      </c>
      <c r="I926" s="3" t="n">
        <v>2</v>
      </c>
      <c r="J926" s="3" t="n">
        <v>57</v>
      </c>
      <c r="K926" s="3" t="n">
        <v>1</v>
      </c>
      <c r="L926" s="3" t="n">
        <v>2</v>
      </c>
      <c r="M926" s="3" t="n">
        <v>1</v>
      </c>
      <c r="N926" s="3" t="n">
        <v>2</v>
      </c>
      <c r="O926" s="3" t="n">
        <v>1</v>
      </c>
      <c r="P926" s="3" t="n">
        <v>2</v>
      </c>
      <c r="Q926" s="3" t="n">
        <v>2</v>
      </c>
      <c r="R926" s="3" t="n">
        <v>2</v>
      </c>
      <c r="S926" s="3" t="n">
        <v>2</v>
      </c>
      <c r="T926" s="4" t="n">
        <v>2</v>
      </c>
      <c r="U926" s="3" t="n">
        <v>2</v>
      </c>
      <c r="V926" s="3" t="n">
        <v>4.5</v>
      </c>
      <c r="W926" s="3" t="n">
        <v>1.3</v>
      </c>
      <c r="X926" s="3" t="n">
        <v>5.4</v>
      </c>
      <c r="Y926" s="3" t="n">
        <v>410</v>
      </c>
      <c r="Z926" s="3" t="n">
        <v>88</v>
      </c>
      <c r="AA926" s="3" t="n">
        <v>0.49</v>
      </c>
      <c r="AB926" s="3" t="n">
        <v>11.8</v>
      </c>
      <c r="AC926" s="3" t="n">
        <v>1</v>
      </c>
      <c r="AD926" s="3" t="n">
        <v>2</v>
      </c>
      <c r="AE926" s="3" t="n">
        <v>1</v>
      </c>
      <c r="AF926" s="3" t="n">
        <v>1</v>
      </c>
      <c r="AG926" s="3" t="n">
        <v>1</v>
      </c>
      <c r="AH926" s="3" t="n">
        <v>2</v>
      </c>
      <c r="AI926" s="3" t="n">
        <v>1</v>
      </c>
      <c r="AJ926" s="3" t="n">
        <v>1</v>
      </c>
      <c r="AK926" s="3" t="n">
        <v>2</v>
      </c>
      <c r="AL926" s="3" t="n">
        <v>2</v>
      </c>
      <c r="AM926" s="3" t="n">
        <v>2</v>
      </c>
      <c r="AN926" s="3" t="n">
        <v>2</v>
      </c>
      <c r="AO926" s="3" t="n">
        <v>2</v>
      </c>
      <c r="AP926" s="3" t="n">
        <v>2</v>
      </c>
      <c r="AQ926" s="3" t="n">
        <v>3</v>
      </c>
      <c r="AR926" s="3" t="n">
        <v>7</v>
      </c>
      <c r="AS926" s="3" t="n">
        <v>2</v>
      </c>
      <c r="AT926" s="3" t="n">
        <v>2</v>
      </c>
      <c r="AU926" s="3" t="n">
        <v>1</v>
      </c>
      <c r="AV926" s="3" t="n">
        <v>1</v>
      </c>
      <c r="AW926" s="3" t="n">
        <v>1</v>
      </c>
      <c r="AX926" s="3" t="n">
        <v>2</v>
      </c>
      <c r="AY926" s="3" t="n">
        <v>2</v>
      </c>
      <c r="AZ926" s="3" t="n">
        <v>1</v>
      </c>
      <c r="BA926" s="5" t="n">
        <v>1</v>
      </c>
      <c r="BB926" s="3" t="n">
        <v>1</v>
      </c>
      <c r="BC926" s="3" t="n">
        <v>1</v>
      </c>
      <c r="BD926" s="3" t="n">
        <v>4</v>
      </c>
      <c r="BE926" s="3" t="n">
        <v>1</v>
      </c>
      <c r="BF926" s="3" t="n">
        <v>2</v>
      </c>
      <c r="BG926" s="3" t="n">
        <v>1</v>
      </c>
      <c r="BH926" s="3" t="n">
        <v>4</v>
      </c>
      <c r="BI926" s="3" t="n">
        <v>1</v>
      </c>
      <c r="BJ926" s="3" t="n">
        <v>1</v>
      </c>
      <c r="BK926" s="6" t="s">
        <v>2418</v>
      </c>
    </row>
    <row r="927" customFormat="false" ht="15" hidden="false" customHeight="true" outlineLevel="0" collapsed="false">
      <c r="B927" s="2" t="s">
        <v>2419</v>
      </c>
      <c r="C927" s="2" t="s">
        <v>1643</v>
      </c>
      <c r="D927" s="2" t="s">
        <v>197</v>
      </c>
      <c r="E927" s="2" t="n">
        <v>202274</v>
      </c>
      <c r="F927" s="15" t="n">
        <v>44089</v>
      </c>
      <c r="G927" s="15" t="n">
        <v>44096</v>
      </c>
      <c r="H927" s="3" t="n">
        <v>7</v>
      </c>
      <c r="I927" s="3" t="n">
        <v>2</v>
      </c>
      <c r="J927" s="3" t="n">
        <v>51</v>
      </c>
      <c r="K927" s="3" t="n">
        <v>2</v>
      </c>
      <c r="L927" s="3" t="n">
        <v>2</v>
      </c>
      <c r="M927" s="3" t="n">
        <v>1</v>
      </c>
      <c r="N927" s="3" t="n">
        <v>2</v>
      </c>
      <c r="O927" s="3" t="n">
        <v>2</v>
      </c>
      <c r="P927" s="3" t="n">
        <v>1</v>
      </c>
      <c r="Q927" s="3" t="n">
        <v>1</v>
      </c>
      <c r="R927" s="3" t="n">
        <v>2</v>
      </c>
      <c r="S927" s="3" t="n">
        <v>2</v>
      </c>
      <c r="T927" s="4" t="n">
        <v>2</v>
      </c>
      <c r="U927" s="3" t="n">
        <v>2</v>
      </c>
      <c r="V927" s="3" t="n">
        <v>5.13</v>
      </c>
      <c r="W927" s="3" t="n">
        <v>2.37</v>
      </c>
      <c r="X927" s="3" t="n">
        <v>11.56</v>
      </c>
      <c r="Y927" s="3" t="n">
        <v>407</v>
      </c>
      <c r="Z927" s="3" t="n">
        <v>102</v>
      </c>
      <c r="AA927" s="3" t="n">
        <v>0.5</v>
      </c>
      <c r="AB927" s="3" t="n">
        <v>12</v>
      </c>
      <c r="AC927" s="3" t="n">
        <v>1</v>
      </c>
      <c r="AD927" s="3" t="n">
        <v>2</v>
      </c>
      <c r="AE927" s="3" t="n">
        <v>1</v>
      </c>
      <c r="AF927" s="3" t="n">
        <v>1</v>
      </c>
      <c r="AG927" s="3" t="n">
        <v>1</v>
      </c>
      <c r="AH927" s="3" t="n">
        <v>2</v>
      </c>
      <c r="AI927" s="3" t="n">
        <v>1</v>
      </c>
      <c r="AJ927" s="3" t="n">
        <v>1</v>
      </c>
      <c r="AK927" s="3" t="n">
        <v>2</v>
      </c>
      <c r="AL927" s="3" t="n">
        <v>2</v>
      </c>
      <c r="AM927" s="3" t="n">
        <v>1</v>
      </c>
      <c r="AN927" s="3" t="n">
        <v>2</v>
      </c>
      <c r="AO927" s="3" t="n">
        <v>2</v>
      </c>
      <c r="AP927" s="3" t="n">
        <v>3</v>
      </c>
      <c r="AQ927" s="3" t="n">
        <v>4</v>
      </c>
      <c r="AR927" s="3" t="n">
        <v>4</v>
      </c>
      <c r="AS927" s="3" t="n">
        <v>6</v>
      </c>
      <c r="AT927" s="3" t="n">
        <v>4</v>
      </c>
      <c r="AU927" s="3" t="n">
        <v>4</v>
      </c>
      <c r="AV927" s="3" t="n">
        <v>6</v>
      </c>
      <c r="AW927" s="3" t="n">
        <v>6</v>
      </c>
      <c r="AX927" s="3" t="n">
        <v>3</v>
      </c>
      <c r="AY927" s="3" t="n">
        <v>3</v>
      </c>
      <c r="AZ927" s="3" t="n">
        <v>1</v>
      </c>
      <c r="BA927" s="5" t="n">
        <v>1</v>
      </c>
      <c r="BB927" s="3" t="n">
        <v>1</v>
      </c>
      <c r="BC927" s="3" t="n">
        <v>1</v>
      </c>
      <c r="BD927" s="3" t="n">
        <v>2</v>
      </c>
      <c r="BE927" s="3" t="n">
        <v>1</v>
      </c>
      <c r="BF927" s="3" t="n">
        <v>3</v>
      </c>
      <c r="BG927" s="3" t="n">
        <v>1</v>
      </c>
      <c r="BH927" s="3" t="n">
        <v>4</v>
      </c>
      <c r="BI927" s="3" t="n">
        <v>1</v>
      </c>
      <c r="BJ927" s="3" t="n">
        <v>1</v>
      </c>
      <c r="BK927" s="6" t="s">
        <v>2420</v>
      </c>
    </row>
    <row r="928" customFormat="false" ht="15" hidden="false" customHeight="true" outlineLevel="0" collapsed="false">
      <c r="B928" s="2" t="s">
        <v>2421</v>
      </c>
      <c r="C928" s="2" t="s">
        <v>1482</v>
      </c>
      <c r="D928" s="2" t="s">
        <v>2422</v>
      </c>
      <c r="E928" s="2" t="n">
        <v>202266</v>
      </c>
      <c r="F928" s="15" t="n">
        <v>44089</v>
      </c>
      <c r="G928" s="15" t="n">
        <v>44094</v>
      </c>
      <c r="H928" s="3" t="n">
        <v>5</v>
      </c>
      <c r="I928" s="3" t="n">
        <v>2</v>
      </c>
      <c r="J928" s="3" t="n">
        <v>63</v>
      </c>
      <c r="K928" s="3" t="n">
        <v>1</v>
      </c>
      <c r="L928" s="3" t="n">
        <v>1</v>
      </c>
      <c r="M928" s="3" t="n">
        <v>1</v>
      </c>
      <c r="N928" s="3" t="n">
        <v>2</v>
      </c>
      <c r="O928" s="3" t="n">
        <v>2</v>
      </c>
      <c r="P928" s="3" t="n">
        <v>2</v>
      </c>
      <c r="Q928" s="3" t="n">
        <v>2</v>
      </c>
      <c r="R928" s="3" t="n">
        <v>2</v>
      </c>
      <c r="S928" s="3" t="n">
        <v>1</v>
      </c>
      <c r="T928" s="4" t="n">
        <v>1</v>
      </c>
      <c r="U928" s="3" t="n">
        <v>1</v>
      </c>
      <c r="V928" s="3" t="n">
        <v>4.93</v>
      </c>
      <c r="W928" s="3" t="n">
        <v>1.87</v>
      </c>
      <c r="X928" s="3" t="n">
        <v>6.51</v>
      </c>
      <c r="Y928" s="3" t="n">
        <v>412</v>
      </c>
      <c r="Z928" s="3" t="n">
        <v>99</v>
      </c>
      <c r="AA928" s="3" t="n">
        <v>0.53</v>
      </c>
      <c r="AB928" s="3" t="n">
        <v>15.9</v>
      </c>
      <c r="AC928" s="3" t="n">
        <v>1</v>
      </c>
      <c r="AD928" s="3" t="n">
        <v>1</v>
      </c>
      <c r="AE928" s="3" t="n">
        <v>1</v>
      </c>
      <c r="AF928" s="3" t="n">
        <v>1</v>
      </c>
      <c r="AG928" s="3" t="n">
        <v>2</v>
      </c>
      <c r="AH928" s="3" t="n">
        <v>1</v>
      </c>
      <c r="AI928" s="3" t="n">
        <v>1</v>
      </c>
      <c r="AJ928" s="3" t="n">
        <v>1</v>
      </c>
      <c r="AK928" s="3" t="n">
        <v>2</v>
      </c>
      <c r="AL928" s="3" t="n">
        <v>2</v>
      </c>
      <c r="AM928" s="3" t="n">
        <v>2</v>
      </c>
      <c r="AN928" s="3" t="n">
        <v>2</v>
      </c>
      <c r="AO928" s="3" t="n">
        <v>2</v>
      </c>
      <c r="AP928" s="3" t="n">
        <v>3</v>
      </c>
      <c r="AQ928" s="3" t="n">
        <v>4</v>
      </c>
      <c r="AR928" s="3" t="n">
        <v>4</v>
      </c>
      <c r="AS928" s="3" t="n">
        <v>6</v>
      </c>
      <c r="AT928" s="3" t="n">
        <v>4</v>
      </c>
      <c r="AU928" s="3" t="n">
        <v>4</v>
      </c>
      <c r="AV928" s="3" t="n">
        <v>6</v>
      </c>
      <c r="AW928" s="3" t="n">
        <v>6</v>
      </c>
      <c r="AX928" s="3" t="n">
        <v>3</v>
      </c>
      <c r="AY928" s="3" t="n">
        <v>3</v>
      </c>
      <c r="AZ928" s="3" t="n">
        <v>1</v>
      </c>
      <c r="BA928" s="5" t="n">
        <v>5</v>
      </c>
      <c r="BB928" s="3" t="n">
        <v>2</v>
      </c>
      <c r="BC928" s="3" t="n">
        <v>1</v>
      </c>
      <c r="BD928" s="3" t="n">
        <v>2</v>
      </c>
      <c r="BE928" s="3" t="n">
        <v>3</v>
      </c>
      <c r="BF928" s="3" t="n">
        <v>5</v>
      </c>
      <c r="BG928" s="3" t="n">
        <v>3</v>
      </c>
      <c r="BH928" s="3" t="n">
        <v>4</v>
      </c>
      <c r="BI928" s="3" t="n">
        <v>1</v>
      </c>
      <c r="BJ928" s="3" t="n">
        <v>1</v>
      </c>
      <c r="BK928" s="6" t="s">
        <v>2423</v>
      </c>
    </row>
    <row r="929" customFormat="false" ht="15.75" hidden="false" customHeight="true" outlineLevel="0" collapsed="false">
      <c r="B929" s="14" t="s">
        <v>923</v>
      </c>
      <c r="C929" s="14" t="s">
        <v>873</v>
      </c>
      <c r="D929" s="14" t="s">
        <v>661</v>
      </c>
      <c r="E929" s="14" t="n">
        <v>202114</v>
      </c>
      <c r="F929" s="22" t="n">
        <v>44090</v>
      </c>
      <c r="G929" s="22" t="n">
        <v>44097</v>
      </c>
      <c r="H929" s="3" t="n">
        <v>7</v>
      </c>
      <c r="I929" s="3" t="n">
        <v>1</v>
      </c>
      <c r="J929" s="3" t="n">
        <v>51</v>
      </c>
      <c r="K929" s="3" t="n">
        <v>2</v>
      </c>
      <c r="L929" s="3" t="n">
        <v>1</v>
      </c>
      <c r="M929" s="3" t="n">
        <v>1</v>
      </c>
      <c r="N929" s="3" t="n">
        <v>2</v>
      </c>
      <c r="O929" s="3" t="n">
        <v>2</v>
      </c>
      <c r="P929" s="3" t="n">
        <v>2</v>
      </c>
      <c r="Q929" s="3" t="n">
        <v>2</v>
      </c>
      <c r="R929" s="3" t="n">
        <v>2</v>
      </c>
      <c r="S929" s="3" t="n">
        <v>1</v>
      </c>
      <c r="T929" s="4" t="n">
        <v>1</v>
      </c>
      <c r="U929" s="3" t="n">
        <v>1</v>
      </c>
      <c r="V929" s="3" t="n">
        <v>4.54</v>
      </c>
      <c r="W929" s="3" t="n">
        <v>1.6</v>
      </c>
      <c r="X929" s="3" t="n">
        <v>5.37</v>
      </c>
      <c r="Y929" s="3" t="n">
        <v>407</v>
      </c>
      <c r="Z929" s="3" t="n">
        <v>83</v>
      </c>
      <c r="AA929" s="3" t="n">
        <v>0.47</v>
      </c>
      <c r="AB929" s="3" t="n">
        <v>6.9</v>
      </c>
      <c r="AC929" s="3" t="n">
        <v>1</v>
      </c>
      <c r="AD929" s="3" t="n">
        <v>1</v>
      </c>
      <c r="AE929" s="3" t="n">
        <v>1</v>
      </c>
      <c r="AF929" s="3" t="n">
        <v>1</v>
      </c>
      <c r="AG929" s="3" t="n">
        <v>1</v>
      </c>
      <c r="AH929" s="3" t="n">
        <v>2</v>
      </c>
      <c r="AI929" s="3" t="n">
        <v>1</v>
      </c>
      <c r="AJ929" s="3" t="n">
        <v>2</v>
      </c>
      <c r="AK929" s="3" t="n">
        <v>2</v>
      </c>
      <c r="AL929" s="3" t="n">
        <v>2</v>
      </c>
      <c r="AM929" s="3" t="n">
        <v>2</v>
      </c>
      <c r="AN929" s="3" t="n">
        <v>2</v>
      </c>
      <c r="AO929" s="3" t="n">
        <v>2</v>
      </c>
      <c r="AP929" s="3" t="n">
        <v>3</v>
      </c>
      <c r="AQ929" s="3" t="n">
        <v>4</v>
      </c>
      <c r="AR929" s="3" t="n">
        <v>4</v>
      </c>
      <c r="AS929" s="3" t="n">
        <v>6</v>
      </c>
      <c r="AT929" s="3" t="n">
        <v>4</v>
      </c>
      <c r="AU929" s="3" t="n">
        <v>4</v>
      </c>
      <c r="AV929" s="3" t="n">
        <v>6</v>
      </c>
      <c r="AW929" s="3" t="n">
        <v>6</v>
      </c>
      <c r="AX929" s="3" t="n">
        <v>3</v>
      </c>
      <c r="AY929" s="3" t="n">
        <v>3</v>
      </c>
      <c r="AZ929" s="3" t="n">
        <v>1</v>
      </c>
      <c r="BA929" s="5" t="n">
        <v>5</v>
      </c>
      <c r="BB929" s="3" t="n">
        <v>2</v>
      </c>
      <c r="BC929" s="3" t="n">
        <v>1</v>
      </c>
      <c r="BD929" s="3" t="n">
        <v>6</v>
      </c>
      <c r="BE929" s="3" t="n">
        <v>3</v>
      </c>
      <c r="BF929" s="3" t="n">
        <v>5</v>
      </c>
      <c r="BG929" s="3" t="n">
        <v>3</v>
      </c>
      <c r="BH929" s="3" t="n">
        <v>4</v>
      </c>
      <c r="BI929" s="3" t="n">
        <v>1</v>
      </c>
      <c r="BJ929" s="3" t="n">
        <v>1</v>
      </c>
      <c r="BK929" s="16" t="s">
        <v>2424</v>
      </c>
    </row>
    <row r="930" customFormat="false" ht="15" hidden="false" customHeight="true" outlineLevel="0" collapsed="false">
      <c r="B930" s="2" t="s">
        <v>2425</v>
      </c>
      <c r="C930" s="2" t="s">
        <v>1482</v>
      </c>
      <c r="D930" s="2" t="s">
        <v>118</v>
      </c>
      <c r="E930" s="2" t="n">
        <v>202039</v>
      </c>
      <c r="F930" s="15" t="n">
        <v>44094</v>
      </c>
      <c r="G930" s="15" t="n">
        <v>44098</v>
      </c>
      <c r="H930" s="3" t="n">
        <v>4</v>
      </c>
      <c r="I930" s="3" t="n">
        <v>1</v>
      </c>
      <c r="J930" s="3" t="n">
        <v>66</v>
      </c>
      <c r="K930" s="3" t="n">
        <v>2</v>
      </c>
      <c r="L930" s="3" t="n">
        <v>2</v>
      </c>
      <c r="M930" s="3" t="n">
        <v>1</v>
      </c>
      <c r="N930" s="3" t="n">
        <v>1</v>
      </c>
      <c r="O930" s="3" t="n">
        <v>2</v>
      </c>
      <c r="P930" s="3" t="n">
        <v>2</v>
      </c>
      <c r="Q930" s="3" t="n">
        <v>2</v>
      </c>
      <c r="R930" s="3" t="n">
        <v>2</v>
      </c>
      <c r="S930" s="3" t="n">
        <v>2</v>
      </c>
      <c r="T930" s="4" t="n">
        <v>1</v>
      </c>
      <c r="U930" s="3" t="n">
        <v>1</v>
      </c>
      <c r="V930" s="3" t="n">
        <v>6.67</v>
      </c>
      <c r="W930" s="3" t="n">
        <v>0.98</v>
      </c>
      <c r="X930" s="3" t="n">
        <v>10.82</v>
      </c>
      <c r="Y930" s="3" t="n">
        <v>291</v>
      </c>
      <c r="Z930" s="3" t="n">
        <v>86</v>
      </c>
      <c r="AA930" s="3" t="n">
        <v>0.43</v>
      </c>
      <c r="AB930" s="3" t="n">
        <v>14.5</v>
      </c>
      <c r="AC930" s="3" t="n">
        <v>1</v>
      </c>
      <c r="AD930" s="3" t="n">
        <v>1</v>
      </c>
      <c r="AE930" s="3" t="n">
        <v>1</v>
      </c>
      <c r="AF930" s="3" t="n">
        <v>1</v>
      </c>
      <c r="AG930" s="3" t="n">
        <v>2</v>
      </c>
      <c r="AH930" s="3" t="n">
        <v>1</v>
      </c>
      <c r="AI930" s="3" t="n">
        <v>1</v>
      </c>
      <c r="AJ930" s="3" t="n">
        <v>2</v>
      </c>
      <c r="AK930" s="3" t="n">
        <v>2</v>
      </c>
      <c r="AL930" s="3" t="n">
        <v>2</v>
      </c>
      <c r="AM930" s="3" t="n">
        <v>2</v>
      </c>
      <c r="AN930" s="3" t="n">
        <v>2</v>
      </c>
      <c r="AO930" s="3" t="n">
        <v>2</v>
      </c>
      <c r="AP930" s="3" t="n">
        <v>3</v>
      </c>
      <c r="AQ930" s="3" t="n">
        <v>4</v>
      </c>
      <c r="AR930" s="3" t="n">
        <v>4</v>
      </c>
      <c r="AS930" s="3" t="n">
        <v>6</v>
      </c>
      <c r="AT930" s="3" t="n">
        <v>4</v>
      </c>
      <c r="AU930" s="3" t="n">
        <v>4</v>
      </c>
      <c r="AV930" s="3" t="n">
        <v>6</v>
      </c>
      <c r="AW930" s="3" t="n">
        <v>6</v>
      </c>
      <c r="AX930" s="3" t="n">
        <v>3</v>
      </c>
      <c r="AY930" s="3" t="n">
        <v>3</v>
      </c>
      <c r="AZ930" s="3" t="n">
        <v>1</v>
      </c>
      <c r="BA930" s="5" t="n">
        <v>5</v>
      </c>
      <c r="BB930" s="3" t="n">
        <v>2</v>
      </c>
      <c r="BC930" s="3" t="n">
        <v>1</v>
      </c>
      <c r="BD930" s="3" t="n">
        <v>6</v>
      </c>
      <c r="BE930" s="3" t="n">
        <v>3</v>
      </c>
      <c r="BF930" s="3" t="n">
        <v>5</v>
      </c>
      <c r="BG930" s="3" t="n">
        <v>3</v>
      </c>
      <c r="BH930" s="3" t="n">
        <v>4</v>
      </c>
      <c r="BI930" s="3" t="n">
        <v>1</v>
      </c>
      <c r="BJ930" s="3" t="n">
        <v>1</v>
      </c>
      <c r="BK930" s="6" t="s">
        <v>2426</v>
      </c>
    </row>
    <row r="931" customFormat="false" ht="15" hidden="false" customHeight="true" outlineLevel="0" collapsed="false">
      <c r="B931" s="2" t="s">
        <v>2427</v>
      </c>
      <c r="C931" s="2" t="s">
        <v>2428</v>
      </c>
      <c r="D931" s="2" t="s">
        <v>2256</v>
      </c>
      <c r="E931" s="2" t="n">
        <v>202152</v>
      </c>
      <c r="F931" s="15" t="n">
        <v>44091</v>
      </c>
      <c r="G931" s="15" t="n">
        <v>44097</v>
      </c>
      <c r="H931" s="3" t="n">
        <v>6</v>
      </c>
      <c r="I931" s="3" t="n">
        <v>2</v>
      </c>
      <c r="J931" s="3" t="n">
        <v>56</v>
      </c>
      <c r="K931" s="3" t="n">
        <v>1</v>
      </c>
      <c r="L931" s="3" t="n">
        <v>2</v>
      </c>
      <c r="M931" s="3" t="n">
        <v>1</v>
      </c>
      <c r="N931" s="3" t="n">
        <v>2</v>
      </c>
      <c r="O931" s="3" t="n">
        <v>2</v>
      </c>
      <c r="P931" s="3" t="n">
        <v>1</v>
      </c>
      <c r="Q931" s="3" t="n">
        <v>1</v>
      </c>
      <c r="R931" s="3" t="n">
        <v>2</v>
      </c>
      <c r="S931" s="3" t="n">
        <v>2</v>
      </c>
      <c r="T931" s="4" t="n">
        <v>1</v>
      </c>
      <c r="U931" s="3" t="n">
        <v>1</v>
      </c>
      <c r="V931" s="3" t="n">
        <v>5.43</v>
      </c>
      <c r="W931" s="3" t="n">
        <v>1.04</v>
      </c>
      <c r="X931" s="3" t="n">
        <v>5.75</v>
      </c>
      <c r="Y931" s="3" t="n">
        <v>394</v>
      </c>
      <c r="Z931" s="3" t="n">
        <v>96</v>
      </c>
      <c r="AA931" s="3" t="n">
        <v>0.48</v>
      </c>
      <c r="AB931" s="3" t="n">
        <v>6.4</v>
      </c>
      <c r="AC931" s="3" t="n">
        <v>2</v>
      </c>
      <c r="AD931" s="3" t="n">
        <v>1</v>
      </c>
      <c r="AE931" s="3" t="n">
        <v>1</v>
      </c>
      <c r="AF931" s="3" t="n">
        <v>1</v>
      </c>
      <c r="AG931" s="3" t="n">
        <v>2</v>
      </c>
      <c r="AH931" s="3" t="n">
        <v>1</v>
      </c>
      <c r="AI931" s="3" t="n">
        <v>1</v>
      </c>
      <c r="AJ931" s="3" t="n">
        <v>2</v>
      </c>
      <c r="AK931" s="3" t="n">
        <v>1</v>
      </c>
      <c r="AL931" s="3" t="n">
        <v>2</v>
      </c>
      <c r="AM931" s="3" t="n">
        <v>1</v>
      </c>
      <c r="AN931" s="3" t="n">
        <v>2</v>
      </c>
      <c r="AO931" s="3" t="n">
        <v>2</v>
      </c>
      <c r="AP931" s="3" t="n">
        <v>3</v>
      </c>
      <c r="AQ931" s="3" t="n">
        <v>4</v>
      </c>
      <c r="AR931" s="3" t="n">
        <v>4</v>
      </c>
      <c r="AS931" s="3" t="n">
        <v>6</v>
      </c>
      <c r="AT931" s="3" t="n">
        <v>4</v>
      </c>
      <c r="AU931" s="3" t="n">
        <v>4</v>
      </c>
      <c r="AV931" s="3" t="n">
        <v>6</v>
      </c>
      <c r="AW931" s="3" t="n">
        <v>6</v>
      </c>
      <c r="AX931" s="3" t="n">
        <v>3</v>
      </c>
      <c r="AY931" s="3" t="n">
        <v>3</v>
      </c>
      <c r="AZ931" s="3" t="n">
        <v>1</v>
      </c>
      <c r="BA931" s="5" t="n">
        <v>5</v>
      </c>
      <c r="BB931" s="3" t="n">
        <v>2</v>
      </c>
      <c r="BC931" s="3" t="n">
        <v>1</v>
      </c>
      <c r="BD931" s="3" t="n">
        <v>6</v>
      </c>
      <c r="BE931" s="3" t="n">
        <v>3</v>
      </c>
      <c r="BF931" s="3" t="n">
        <v>5</v>
      </c>
      <c r="BG931" s="3" t="n">
        <v>3</v>
      </c>
      <c r="BH931" s="3" t="n">
        <v>4</v>
      </c>
      <c r="BI931" s="3" t="n">
        <v>1</v>
      </c>
      <c r="BJ931" s="3" t="n">
        <v>1</v>
      </c>
      <c r="BK931" s="6" t="s">
        <v>2429</v>
      </c>
    </row>
    <row r="932" customFormat="false" ht="15" hidden="false" customHeight="true" outlineLevel="0" collapsed="false">
      <c r="B932" s="2" t="s">
        <v>2430</v>
      </c>
      <c r="C932" s="2" t="s">
        <v>144</v>
      </c>
      <c r="D932" s="2" t="s">
        <v>2431</v>
      </c>
      <c r="E932" s="2" t="n">
        <v>202119</v>
      </c>
      <c r="F932" s="15" t="n">
        <v>44090</v>
      </c>
      <c r="G932" s="15" t="n">
        <v>44097</v>
      </c>
      <c r="H932" s="3" t="n">
        <v>7</v>
      </c>
      <c r="I932" s="3" t="n">
        <v>1</v>
      </c>
      <c r="J932" s="3" t="n">
        <v>65</v>
      </c>
      <c r="K932" s="3" t="n">
        <v>2</v>
      </c>
      <c r="L932" s="3" t="n">
        <v>1</v>
      </c>
      <c r="M932" s="3" t="n">
        <v>1</v>
      </c>
      <c r="N932" s="3" t="n">
        <v>1</v>
      </c>
      <c r="O932" s="3" t="n">
        <v>2</v>
      </c>
      <c r="P932" s="3" t="n">
        <v>2</v>
      </c>
      <c r="Q932" s="3" t="n">
        <v>2</v>
      </c>
      <c r="R932" s="3" t="n">
        <v>2</v>
      </c>
      <c r="S932" s="3" t="n">
        <v>2</v>
      </c>
      <c r="T932" s="4" t="n">
        <v>2</v>
      </c>
      <c r="U932" s="3" t="n">
        <v>2</v>
      </c>
      <c r="V932" s="3" t="n">
        <v>4.57</v>
      </c>
      <c r="W932" s="3" t="n">
        <v>1.22</v>
      </c>
      <c r="X932" s="3" t="n">
        <v>5.45</v>
      </c>
      <c r="Y932" s="3" t="n">
        <v>471</v>
      </c>
      <c r="Z932" s="3" t="n">
        <v>87</v>
      </c>
      <c r="AA932" s="3" t="n">
        <v>0.37</v>
      </c>
      <c r="AB932" s="3" t="n">
        <v>6.6</v>
      </c>
      <c r="AC932" s="3" t="n">
        <v>1</v>
      </c>
      <c r="AD932" s="3" t="n">
        <v>2</v>
      </c>
      <c r="AE932" s="3" t="n">
        <v>1</v>
      </c>
      <c r="AF932" s="3" t="n">
        <v>1</v>
      </c>
      <c r="AG932" s="3" t="n">
        <v>2</v>
      </c>
      <c r="AH932" s="3" t="n">
        <v>2</v>
      </c>
      <c r="AI932" s="3" t="n">
        <v>1</v>
      </c>
      <c r="AJ932" s="3" t="n">
        <v>1</v>
      </c>
      <c r="AK932" s="3" t="n">
        <v>2</v>
      </c>
      <c r="AL932" s="3" t="n">
        <v>2</v>
      </c>
      <c r="AM932" s="3" t="n">
        <v>2</v>
      </c>
      <c r="AN932" s="3" t="n">
        <v>2</v>
      </c>
      <c r="AO932" s="3" t="n">
        <v>2</v>
      </c>
      <c r="AP932" s="3" t="n">
        <v>3</v>
      </c>
      <c r="AQ932" s="3" t="n">
        <v>4</v>
      </c>
      <c r="AR932" s="3" t="n">
        <v>4</v>
      </c>
      <c r="AS932" s="3" t="n">
        <v>6</v>
      </c>
      <c r="AT932" s="3" t="n">
        <v>4</v>
      </c>
      <c r="AU932" s="3" t="n">
        <v>4</v>
      </c>
      <c r="AV932" s="3" t="n">
        <v>6</v>
      </c>
      <c r="AW932" s="3" t="n">
        <v>6</v>
      </c>
      <c r="AX932" s="3" t="n">
        <v>3</v>
      </c>
      <c r="AY932" s="3" t="n">
        <v>3</v>
      </c>
      <c r="AZ932" s="3" t="n">
        <v>1</v>
      </c>
      <c r="BA932" s="5" t="n">
        <v>1</v>
      </c>
      <c r="BB932" s="3" t="n">
        <v>1</v>
      </c>
      <c r="BC932" s="3" t="n">
        <v>1</v>
      </c>
      <c r="BD932" s="3" t="n">
        <v>4</v>
      </c>
      <c r="BE932" s="3" t="n">
        <v>1</v>
      </c>
      <c r="BF932" s="3" t="n">
        <v>2</v>
      </c>
      <c r="BG932" s="3" t="n">
        <v>1</v>
      </c>
      <c r="BH932" s="3" t="n">
        <v>4</v>
      </c>
      <c r="BI932" s="3" t="n">
        <v>1</v>
      </c>
      <c r="BJ932" s="3" t="n">
        <v>1</v>
      </c>
      <c r="BK932" s="6" t="s">
        <v>2432</v>
      </c>
    </row>
    <row r="933" customFormat="false" ht="15" hidden="false" customHeight="true" outlineLevel="0" collapsed="false">
      <c r="B933" s="2" t="s">
        <v>1801</v>
      </c>
      <c r="C933" s="2" t="s">
        <v>154</v>
      </c>
      <c r="D933" s="2" t="s">
        <v>197</v>
      </c>
      <c r="E933" s="2" t="n">
        <v>202522</v>
      </c>
      <c r="F933" s="15" t="n">
        <v>44098</v>
      </c>
      <c r="G933" s="15" t="n">
        <v>44102</v>
      </c>
      <c r="H933" s="3" t="n">
        <v>4</v>
      </c>
      <c r="I933" s="3" t="n">
        <v>1</v>
      </c>
      <c r="J933" s="3" t="n">
        <v>78</v>
      </c>
      <c r="K933" s="3" t="n">
        <v>1</v>
      </c>
      <c r="L933" s="3" t="n">
        <v>2</v>
      </c>
      <c r="M933" s="3" t="n">
        <v>1</v>
      </c>
      <c r="N933" s="3" t="n">
        <v>2</v>
      </c>
      <c r="O933" s="3" t="n">
        <v>2</v>
      </c>
      <c r="P933" s="3" t="n">
        <v>2</v>
      </c>
      <c r="Q933" s="3" t="n">
        <v>2</v>
      </c>
      <c r="R933" s="3" t="n">
        <v>2</v>
      </c>
      <c r="S933" s="3" t="n">
        <v>2</v>
      </c>
      <c r="T933" s="4" t="n">
        <v>6</v>
      </c>
      <c r="U933" s="3" t="n">
        <v>1</v>
      </c>
      <c r="V933" s="3" t="n">
        <v>5.21</v>
      </c>
      <c r="W933" s="3" t="n">
        <v>1.71</v>
      </c>
      <c r="Y933" s="3" t="n">
        <v>346</v>
      </c>
      <c r="Z933" s="3" t="n">
        <v>95</v>
      </c>
      <c r="AA933" s="3" t="n">
        <v>0.52</v>
      </c>
      <c r="AB933" s="3" t="n">
        <v>14.6</v>
      </c>
      <c r="AC933" s="3" t="n">
        <v>1</v>
      </c>
      <c r="AD933" s="3" t="n">
        <v>2</v>
      </c>
      <c r="AE933" s="3" t="n">
        <v>1</v>
      </c>
      <c r="AF933" s="3" t="n">
        <v>1</v>
      </c>
      <c r="AG933" s="3" t="n">
        <v>1</v>
      </c>
      <c r="AH933" s="3" t="n">
        <v>2</v>
      </c>
      <c r="AI933" s="3" t="n">
        <v>2</v>
      </c>
      <c r="AJ933" s="3" t="n">
        <v>2</v>
      </c>
      <c r="AK933" s="3" t="n">
        <v>2</v>
      </c>
      <c r="AL933" s="3" t="n">
        <v>2</v>
      </c>
      <c r="AM933" s="3" t="n">
        <v>2</v>
      </c>
      <c r="AN933" s="3" t="n">
        <v>2</v>
      </c>
      <c r="AO933" s="3" t="n">
        <v>2</v>
      </c>
      <c r="AP933" s="3" t="n">
        <v>3</v>
      </c>
      <c r="AQ933" s="3" t="n">
        <v>4</v>
      </c>
      <c r="AR933" s="3" t="n">
        <v>4</v>
      </c>
      <c r="AS933" s="3" t="n">
        <v>6</v>
      </c>
      <c r="AT933" s="3" t="n">
        <v>4</v>
      </c>
      <c r="AU933" s="3" t="n">
        <v>4</v>
      </c>
      <c r="AV933" s="3" t="n">
        <v>6</v>
      </c>
      <c r="AW933" s="3" t="n">
        <v>6</v>
      </c>
      <c r="AX933" s="3" t="n">
        <v>3</v>
      </c>
      <c r="AY933" s="3" t="n">
        <v>3</v>
      </c>
      <c r="AZ933" s="3" t="n">
        <v>1</v>
      </c>
      <c r="BA933" s="5" t="n">
        <v>4</v>
      </c>
      <c r="BB933" s="3" t="n">
        <v>2</v>
      </c>
      <c r="BC933" s="3" t="n">
        <v>1</v>
      </c>
      <c r="BD933" s="3" t="n">
        <v>6</v>
      </c>
      <c r="BE933" s="3" t="n">
        <v>3</v>
      </c>
      <c r="BF933" s="3" t="n">
        <v>5</v>
      </c>
      <c r="BG933" s="3" t="n">
        <v>3</v>
      </c>
      <c r="BH933" s="3" t="n">
        <v>4</v>
      </c>
      <c r="BI933" s="3" t="n">
        <v>1</v>
      </c>
      <c r="BJ933" s="3" t="n">
        <v>1</v>
      </c>
      <c r="BK933" s="6" t="s">
        <v>2433</v>
      </c>
    </row>
    <row r="934" customFormat="false" ht="15" hidden="false" customHeight="true" outlineLevel="0" collapsed="false">
      <c r="B934" s="2" t="s">
        <v>2434</v>
      </c>
      <c r="C934" s="2" t="s">
        <v>109</v>
      </c>
      <c r="D934" s="2" t="s">
        <v>222</v>
      </c>
      <c r="E934" s="2" t="n">
        <v>202043</v>
      </c>
      <c r="F934" s="15" t="n">
        <v>44094</v>
      </c>
      <c r="G934" s="15" t="n">
        <v>44100</v>
      </c>
      <c r="H934" s="3" t="n">
        <v>6</v>
      </c>
      <c r="I934" s="3" t="n">
        <v>2</v>
      </c>
      <c r="J934" s="3" t="n">
        <v>83</v>
      </c>
      <c r="K934" s="3" t="n">
        <v>1</v>
      </c>
      <c r="L934" s="3" t="n">
        <v>2</v>
      </c>
      <c r="M934" s="3" t="n">
        <v>1</v>
      </c>
      <c r="N934" s="3" t="n">
        <v>2</v>
      </c>
      <c r="O934" s="3" t="n">
        <v>2</v>
      </c>
      <c r="P934" s="3" t="n">
        <v>2</v>
      </c>
      <c r="Q934" s="3" t="n">
        <v>2</v>
      </c>
      <c r="R934" s="3" t="n">
        <v>2</v>
      </c>
      <c r="S934" s="3" t="n">
        <v>2</v>
      </c>
      <c r="T934" s="4" t="n">
        <v>1</v>
      </c>
      <c r="U934" s="3" t="n">
        <v>1</v>
      </c>
      <c r="V934" s="3" t="n">
        <v>4.19</v>
      </c>
      <c r="W934" s="3" t="n">
        <v>1.18</v>
      </c>
      <c r="X934" s="3" t="n">
        <v>5.83</v>
      </c>
      <c r="Y934" s="3" t="n">
        <v>349</v>
      </c>
      <c r="Z934" s="3" t="n">
        <v>111</v>
      </c>
      <c r="AA934" s="3" t="n">
        <v>0.45</v>
      </c>
      <c r="AB934" s="3" t="n">
        <v>9</v>
      </c>
      <c r="AD934" s="3" t="n">
        <v>2</v>
      </c>
      <c r="AE934" s="3" t="n">
        <v>1</v>
      </c>
      <c r="AF934" s="3" t="n">
        <v>1</v>
      </c>
      <c r="AG934" s="3" t="n">
        <v>2</v>
      </c>
      <c r="AH934" s="3" t="n">
        <v>2</v>
      </c>
      <c r="AI934" s="3" t="n">
        <v>1</v>
      </c>
      <c r="AJ934" s="3" t="n">
        <v>2</v>
      </c>
      <c r="AK934" s="3" t="n">
        <v>2</v>
      </c>
      <c r="AL934" s="3" t="n">
        <v>2</v>
      </c>
      <c r="AM934" s="3" t="n">
        <v>2</v>
      </c>
      <c r="AN934" s="3" t="n">
        <v>2</v>
      </c>
      <c r="AO934" s="3" t="n">
        <v>2</v>
      </c>
      <c r="AP934" s="3" t="n">
        <v>3</v>
      </c>
      <c r="AQ934" s="3" t="n">
        <v>4</v>
      </c>
      <c r="AR934" s="3" t="n">
        <v>4</v>
      </c>
      <c r="AS934" s="3" t="n">
        <v>6</v>
      </c>
      <c r="AT934" s="3" t="n">
        <v>4</v>
      </c>
      <c r="AU934" s="3" t="n">
        <v>4</v>
      </c>
      <c r="AV934" s="3" t="n">
        <v>6</v>
      </c>
      <c r="AW934" s="3" t="n">
        <v>6</v>
      </c>
      <c r="AX934" s="3" t="n">
        <v>3</v>
      </c>
      <c r="AY934" s="3" t="n">
        <v>3</v>
      </c>
      <c r="AZ934" s="3" t="n">
        <v>1</v>
      </c>
      <c r="BA934" s="5" t="n">
        <v>1</v>
      </c>
      <c r="BB934" s="3" t="n">
        <v>1</v>
      </c>
      <c r="BC934" s="3" t="n">
        <v>1</v>
      </c>
      <c r="BD934" s="3" t="n">
        <v>6</v>
      </c>
      <c r="BE934" s="3" t="n">
        <v>3</v>
      </c>
      <c r="BF934" s="3" t="n">
        <v>5</v>
      </c>
      <c r="BG934" s="3" t="n">
        <v>3</v>
      </c>
      <c r="BH934" s="3" t="n">
        <v>4</v>
      </c>
      <c r="BI934" s="3" t="n">
        <v>1</v>
      </c>
      <c r="BJ934" s="3" t="n">
        <v>1</v>
      </c>
      <c r="BK934" s="6" t="s">
        <v>2435</v>
      </c>
    </row>
    <row r="935" customFormat="false" ht="15" hidden="false" customHeight="true" outlineLevel="0" collapsed="false">
      <c r="B935" s="2" t="s">
        <v>2436</v>
      </c>
      <c r="C935" s="2" t="s">
        <v>2437</v>
      </c>
      <c r="D935" s="2" t="s">
        <v>66</v>
      </c>
      <c r="E935" s="2" t="n">
        <v>202317</v>
      </c>
      <c r="F935" s="15" t="n">
        <v>44095</v>
      </c>
      <c r="G935" s="15" t="n">
        <v>44102</v>
      </c>
      <c r="H935" s="3" t="n">
        <v>7</v>
      </c>
      <c r="I935" s="3" t="n">
        <v>1</v>
      </c>
      <c r="J935" s="3" t="n">
        <v>75</v>
      </c>
      <c r="K935" s="3" t="n">
        <v>1</v>
      </c>
      <c r="L935" s="3" t="n">
        <v>2</v>
      </c>
      <c r="M935" s="3" t="n">
        <v>1</v>
      </c>
      <c r="N935" s="3" t="n">
        <v>1</v>
      </c>
      <c r="O935" s="3" t="n">
        <v>1</v>
      </c>
      <c r="P935" s="3" t="n">
        <v>1</v>
      </c>
      <c r="Q935" s="3" t="n">
        <v>1</v>
      </c>
      <c r="R935" s="3" t="n">
        <v>1</v>
      </c>
      <c r="S935" s="3" t="n">
        <v>2</v>
      </c>
      <c r="T935" s="4" t="n">
        <v>4</v>
      </c>
      <c r="U935" s="3" t="n">
        <v>4</v>
      </c>
      <c r="V935" s="3" t="n">
        <v>3.09</v>
      </c>
      <c r="W935" s="3" t="n">
        <v>0.86</v>
      </c>
      <c r="X935" s="3" t="n">
        <v>11.38</v>
      </c>
      <c r="Y935" s="3" t="n">
        <v>683</v>
      </c>
      <c r="Z935" s="3" t="n">
        <v>123</v>
      </c>
      <c r="AA935" s="3" t="n">
        <v>0.41</v>
      </c>
      <c r="AB935" s="3" t="n">
        <v>13.8</v>
      </c>
      <c r="AC935" s="3" t="n">
        <v>1</v>
      </c>
      <c r="AD935" s="3" t="n">
        <v>2</v>
      </c>
      <c r="AE935" s="3" t="n">
        <v>1</v>
      </c>
      <c r="AF935" s="3" t="n">
        <v>1</v>
      </c>
      <c r="AG935" s="3" t="n">
        <v>2</v>
      </c>
      <c r="AH935" s="3" t="n">
        <v>2</v>
      </c>
      <c r="AI935" s="3" t="n">
        <v>1</v>
      </c>
      <c r="AJ935" s="3" t="n">
        <v>1</v>
      </c>
      <c r="AK935" s="3" t="n">
        <v>1</v>
      </c>
      <c r="AL935" s="3" t="n">
        <v>1</v>
      </c>
      <c r="AM935" s="3" t="n">
        <v>1</v>
      </c>
      <c r="AN935" s="3" t="n">
        <v>2</v>
      </c>
      <c r="AO935" s="3" t="n">
        <v>1</v>
      </c>
      <c r="AP935" s="3" t="n">
        <v>3</v>
      </c>
      <c r="AQ935" s="3" t="n">
        <v>4</v>
      </c>
      <c r="AR935" s="3" t="n">
        <v>4</v>
      </c>
      <c r="AS935" s="3" t="n">
        <v>6</v>
      </c>
      <c r="AT935" s="3" t="n">
        <v>4</v>
      </c>
      <c r="AU935" s="3" t="n">
        <v>4</v>
      </c>
      <c r="AV935" s="3" t="n">
        <v>6</v>
      </c>
      <c r="AW935" s="3" t="n">
        <v>6</v>
      </c>
      <c r="AX935" s="3" t="n">
        <v>3</v>
      </c>
      <c r="AY935" s="3" t="n">
        <v>3</v>
      </c>
      <c r="AZ935" s="3" t="n">
        <v>1</v>
      </c>
      <c r="BA935" s="5" t="n">
        <v>11</v>
      </c>
      <c r="BB935" s="3" t="n">
        <v>2</v>
      </c>
      <c r="BC935" s="3" t="n">
        <v>1</v>
      </c>
      <c r="BD935" s="3" t="n">
        <v>6</v>
      </c>
      <c r="BE935" s="3" t="n">
        <v>3</v>
      </c>
      <c r="BF935" s="3" t="n">
        <v>5</v>
      </c>
      <c r="BG935" s="3" t="n">
        <v>3</v>
      </c>
      <c r="BH935" s="3" t="n">
        <v>4</v>
      </c>
      <c r="BI935" s="3" t="n">
        <v>1</v>
      </c>
      <c r="BJ935" s="3" t="n">
        <v>1</v>
      </c>
      <c r="BK935" s="6" t="s">
        <v>2438</v>
      </c>
    </row>
    <row r="936" customFormat="false" ht="15" hidden="false" customHeight="true" outlineLevel="0" collapsed="false">
      <c r="B936" s="2" t="s">
        <v>2439</v>
      </c>
      <c r="C936" s="2" t="s">
        <v>109</v>
      </c>
      <c r="D936" s="2" t="s">
        <v>78</v>
      </c>
      <c r="E936" s="2" t="n">
        <v>202395</v>
      </c>
      <c r="F936" s="15" t="n">
        <v>44098</v>
      </c>
      <c r="G936" s="15" t="n">
        <v>44103</v>
      </c>
      <c r="H936" s="3" t="n">
        <v>5</v>
      </c>
      <c r="I936" s="3" t="n">
        <v>2</v>
      </c>
      <c r="J936" s="3" t="n">
        <v>59</v>
      </c>
      <c r="K936" s="3" t="n">
        <v>1</v>
      </c>
      <c r="L936" s="3" t="n">
        <v>2</v>
      </c>
      <c r="M936" s="3" t="n">
        <v>1</v>
      </c>
      <c r="N936" s="3" t="n">
        <v>1</v>
      </c>
      <c r="O936" s="3" t="n">
        <v>2</v>
      </c>
      <c r="P936" s="3" t="n">
        <v>2</v>
      </c>
      <c r="Q936" s="3" t="n">
        <v>2</v>
      </c>
      <c r="R936" s="3" t="n">
        <v>2</v>
      </c>
      <c r="S936" s="3" t="n">
        <v>2</v>
      </c>
      <c r="T936" s="4" t="n">
        <v>1</v>
      </c>
      <c r="U936" s="3" t="n">
        <v>1</v>
      </c>
      <c r="V936" s="3" t="n">
        <v>5.42</v>
      </c>
      <c r="W936" s="3" t="n">
        <v>3.29</v>
      </c>
      <c r="X936" s="3" t="n">
        <v>16.2</v>
      </c>
      <c r="Y936" s="3" t="n">
        <v>439</v>
      </c>
      <c r="Z936" s="3" t="n">
        <v>102</v>
      </c>
      <c r="AA936" s="3" t="n">
        <v>0.41</v>
      </c>
      <c r="AB936" s="3" t="n">
        <v>10.6</v>
      </c>
      <c r="AC936" s="3" t="n">
        <v>1</v>
      </c>
      <c r="AD936" s="3" t="n">
        <v>1</v>
      </c>
      <c r="AE936" s="3" t="n">
        <v>1</v>
      </c>
      <c r="AF936" s="3" t="n">
        <v>1</v>
      </c>
      <c r="AG936" s="3" t="n">
        <v>2</v>
      </c>
      <c r="AH936" s="3" t="n">
        <v>1</v>
      </c>
      <c r="AI936" s="3" t="n">
        <v>1</v>
      </c>
      <c r="AJ936" s="3" t="n">
        <v>1</v>
      </c>
      <c r="AK936" s="3" t="n">
        <v>2</v>
      </c>
      <c r="AL936" s="3" t="n">
        <v>2</v>
      </c>
      <c r="AM936" s="3" t="n">
        <v>2</v>
      </c>
      <c r="AN936" s="3" t="n">
        <v>2</v>
      </c>
      <c r="AO936" s="3" t="n">
        <v>2</v>
      </c>
      <c r="AP936" s="3" t="n">
        <v>3</v>
      </c>
      <c r="AQ936" s="3" t="n">
        <v>4</v>
      </c>
      <c r="AR936" s="3" t="n">
        <v>4</v>
      </c>
      <c r="AS936" s="3" t="n">
        <v>6</v>
      </c>
      <c r="AT936" s="3" t="n">
        <v>4</v>
      </c>
      <c r="AU936" s="3" t="n">
        <v>4</v>
      </c>
      <c r="AV936" s="3" t="n">
        <v>6</v>
      </c>
      <c r="AW936" s="3" t="n">
        <v>6</v>
      </c>
      <c r="AX936" s="3" t="n">
        <v>3</v>
      </c>
      <c r="AY936" s="3" t="n">
        <v>3</v>
      </c>
      <c r="AZ936" s="3" t="n">
        <v>1</v>
      </c>
      <c r="BA936" s="5" t="n">
        <v>5</v>
      </c>
      <c r="BB936" s="3" t="n">
        <v>2</v>
      </c>
      <c r="BC936" s="3" t="n">
        <v>1</v>
      </c>
      <c r="BD936" s="3" t="n">
        <v>6</v>
      </c>
      <c r="BE936" s="3" t="n">
        <v>3</v>
      </c>
      <c r="BF936" s="3" t="n">
        <v>5</v>
      </c>
      <c r="BG936" s="3" t="n">
        <v>3</v>
      </c>
      <c r="BH936" s="3" t="n">
        <v>4</v>
      </c>
      <c r="BI936" s="3" t="n">
        <v>1</v>
      </c>
      <c r="BJ936" s="3" t="n">
        <v>1</v>
      </c>
      <c r="BK936" s="6" t="s">
        <v>2440</v>
      </c>
    </row>
    <row r="937" customFormat="false" ht="15" hidden="false" customHeight="true" outlineLevel="0" collapsed="false">
      <c r="B937" s="2" t="s">
        <v>2441</v>
      </c>
      <c r="C937" s="2" t="s">
        <v>699</v>
      </c>
      <c r="D937" s="2" t="s">
        <v>2442</v>
      </c>
      <c r="E937" s="2" t="n">
        <v>202554</v>
      </c>
      <c r="F937" s="15" t="n">
        <v>44100</v>
      </c>
      <c r="G937" s="15" t="n">
        <v>44104</v>
      </c>
      <c r="H937" s="3" t="n">
        <v>4</v>
      </c>
      <c r="I937" s="3" t="n">
        <v>1</v>
      </c>
      <c r="J937" s="3" t="n">
        <v>60</v>
      </c>
      <c r="K937" s="3" t="n">
        <v>1</v>
      </c>
      <c r="L937" s="3" t="n">
        <v>2</v>
      </c>
      <c r="M937" s="3" t="n">
        <v>1</v>
      </c>
      <c r="N937" s="3" t="n">
        <v>2</v>
      </c>
      <c r="O937" s="3" t="n">
        <v>2</v>
      </c>
      <c r="P937" s="3" t="n">
        <v>2</v>
      </c>
      <c r="Q937" s="3" t="n">
        <v>2</v>
      </c>
      <c r="R937" s="3" t="n">
        <v>2</v>
      </c>
      <c r="S937" s="3" t="n">
        <v>2</v>
      </c>
      <c r="T937" s="4" t="n">
        <v>1</v>
      </c>
      <c r="U937" s="3" t="n">
        <v>1</v>
      </c>
      <c r="AC937" s="3" t="n">
        <v>1</v>
      </c>
      <c r="AD937" s="3" t="n">
        <v>1</v>
      </c>
      <c r="AE937" s="3" t="n">
        <v>1</v>
      </c>
      <c r="AF937" s="3" t="n">
        <v>1</v>
      </c>
      <c r="AG937" s="3" t="n">
        <v>2</v>
      </c>
      <c r="AH937" s="3" t="n">
        <v>1</v>
      </c>
      <c r="AI937" s="3" t="n">
        <v>1</v>
      </c>
      <c r="AJ937" s="3" t="n">
        <v>2</v>
      </c>
      <c r="AK937" s="3" t="n">
        <v>2</v>
      </c>
      <c r="AL937" s="3" t="n">
        <v>2</v>
      </c>
      <c r="AM937" s="3" t="n">
        <v>2</v>
      </c>
      <c r="AN937" s="3" t="n">
        <v>2</v>
      </c>
      <c r="AO937" s="3" t="n">
        <v>2</v>
      </c>
      <c r="AP937" s="3" t="n">
        <v>3</v>
      </c>
      <c r="AQ937" s="3" t="n">
        <v>4</v>
      </c>
      <c r="AR937" s="3" t="n">
        <v>4</v>
      </c>
      <c r="AS937" s="3" t="n">
        <v>6</v>
      </c>
      <c r="AT937" s="3" t="n">
        <v>4</v>
      </c>
      <c r="AU937" s="3" t="n">
        <v>4</v>
      </c>
      <c r="AV937" s="3" t="n">
        <v>6</v>
      </c>
      <c r="AW937" s="3" t="n">
        <v>6</v>
      </c>
      <c r="AX937" s="3" t="n">
        <v>3</v>
      </c>
      <c r="AY937" s="3" t="n">
        <v>3</v>
      </c>
      <c r="AZ937" s="3" t="n">
        <v>1</v>
      </c>
      <c r="BA937" s="5" t="n">
        <v>5</v>
      </c>
      <c r="BB937" s="3" t="n">
        <v>2</v>
      </c>
      <c r="BC937" s="3" t="n">
        <v>1</v>
      </c>
      <c r="BD937" s="3" t="n">
        <v>6</v>
      </c>
      <c r="BE937" s="3" t="n">
        <v>3</v>
      </c>
      <c r="BF937" s="3" t="n">
        <v>5</v>
      </c>
      <c r="BG937" s="3" t="n">
        <v>3</v>
      </c>
      <c r="BH937" s="3" t="n">
        <v>4</v>
      </c>
      <c r="BI937" s="3" t="n">
        <v>1</v>
      </c>
      <c r="BJ937" s="3" t="n">
        <v>1</v>
      </c>
      <c r="BK937" s="6" t="s">
        <v>2443</v>
      </c>
    </row>
    <row r="938" customFormat="false" ht="15" hidden="false" customHeight="true" outlineLevel="0" collapsed="false">
      <c r="B938" s="14" t="s">
        <v>2444</v>
      </c>
      <c r="C938" s="14" t="s">
        <v>450</v>
      </c>
      <c r="D938" s="14" t="s">
        <v>66</v>
      </c>
      <c r="E938" s="14" t="n">
        <v>186417</v>
      </c>
      <c r="F938" s="22" t="n">
        <v>44099</v>
      </c>
      <c r="G938" s="22" t="n">
        <v>44103</v>
      </c>
      <c r="H938" s="3" t="n">
        <v>4</v>
      </c>
      <c r="I938" s="3" t="n">
        <v>1</v>
      </c>
      <c r="J938" s="3" t="n">
        <v>67</v>
      </c>
      <c r="K938" s="3" t="n">
        <v>1</v>
      </c>
      <c r="L938" s="3" t="n">
        <v>2</v>
      </c>
      <c r="M938" s="3" t="n">
        <v>1</v>
      </c>
      <c r="N938" s="3" t="n">
        <v>2</v>
      </c>
      <c r="O938" s="3" t="n">
        <v>2</v>
      </c>
      <c r="P938" s="3" t="n">
        <v>2</v>
      </c>
      <c r="Q938" s="3" t="n">
        <v>2</v>
      </c>
      <c r="R938" s="3" t="n">
        <v>2</v>
      </c>
      <c r="S938" s="3" t="n">
        <v>1</v>
      </c>
      <c r="T938" s="4" t="n">
        <v>1</v>
      </c>
      <c r="U938" s="3" t="n">
        <v>1</v>
      </c>
      <c r="V938" s="3" t="n">
        <v>5.59</v>
      </c>
      <c r="W938" s="3" t="n">
        <v>1.31</v>
      </c>
      <c r="X938" s="3" t="n">
        <v>6.1</v>
      </c>
      <c r="Y938" s="3" t="n">
        <v>628</v>
      </c>
      <c r="Z938" s="3" t="n">
        <v>151</v>
      </c>
      <c r="AA938" s="3" t="n">
        <v>0.4</v>
      </c>
      <c r="AB938" s="3" t="n">
        <v>9.4</v>
      </c>
      <c r="AC938" s="3" t="n">
        <v>1</v>
      </c>
      <c r="AD938" s="3" t="n">
        <v>1</v>
      </c>
      <c r="AE938" s="3" t="n">
        <v>1</v>
      </c>
      <c r="AF938" s="3" t="n">
        <v>1</v>
      </c>
      <c r="AG938" s="3" t="n">
        <v>2</v>
      </c>
      <c r="AH938" s="3" t="n">
        <v>1</v>
      </c>
      <c r="AI938" s="3" t="n">
        <v>1</v>
      </c>
      <c r="AJ938" s="3" t="n">
        <v>1</v>
      </c>
      <c r="AK938" s="3" t="n">
        <v>2</v>
      </c>
      <c r="AL938" s="3" t="n">
        <v>2</v>
      </c>
      <c r="AM938" s="3" t="n">
        <v>2</v>
      </c>
      <c r="AN938" s="3" t="n">
        <v>2</v>
      </c>
      <c r="AO938" s="3" t="n">
        <v>2</v>
      </c>
      <c r="AP938" s="3" t="n">
        <v>3</v>
      </c>
      <c r="AQ938" s="3" t="n">
        <v>4</v>
      </c>
      <c r="AR938" s="3" t="n">
        <v>4</v>
      </c>
      <c r="AS938" s="3" t="n">
        <v>6</v>
      </c>
      <c r="AT938" s="3" t="n">
        <v>4</v>
      </c>
      <c r="AU938" s="3" t="n">
        <v>4</v>
      </c>
      <c r="AV938" s="3" t="n">
        <v>6</v>
      </c>
      <c r="AW938" s="3" t="n">
        <v>6</v>
      </c>
      <c r="AX938" s="3" t="n">
        <v>3</v>
      </c>
      <c r="AY938" s="3" t="n">
        <v>3</v>
      </c>
      <c r="AZ938" s="3" t="n">
        <v>1</v>
      </c>
      <c r="BA938" s="5" t="n">
        <v>5</v>
      </c>
      <c r="BB938" s="3" t="n">
        <v>2</v>
      </c>
      <c r="BC938" s="3" t="n">
        <v>1</v>
      </c>
      <c r="BD938" s="3" t="n">
        <v>6</v>
      </c>
      <c r="BE938" s="3" t="n">
        <v>3</v>
      </c>
      <c r="BF938" s="3" t="n">
        <v>5</v>
      </c>
      <c r="BG938" s="3" t="n">
        <v>3</v>
      </c>
      <c r="BH938" s="3" t="n">
        <v>4</v>
      </c>
      <c r="BI938" s="3" t="n">
        <v>1</v>
      </c>
      <c r="BJ938" s="3" t="n">
        <v>1</v>
      </c>
      <c r="BK938" s="16" t="s">
        <v>2445</v>
      </c>
    </row>
    <row r="939" customFormat="false" ht="15" hidden="false" customHeight="true" outlineLevel="0" collapsed="false">
      <c r="B939" s="2" t="s">
        <v>1091</v>
      </c>
      <c r="C939" s="2" t="s">
        <v>2245</v>
      </c>
      <c r="D939" s="2" t="s">
        <v>222</v>
      </c>
      <c r="E939" s="2" t="n">
        <v>202391</v>
      </c>
      <c r="F939" s="15" t="n">
        <v>44100</v>
      </c>
      <c r="G939" s="15" t="n">
        <v>44106</v>
      </c>
      <c r="H939" s="3" t="n">
        <v>6</v>
      </c>
      <c r="I939" s="3" t="n">
        <v>1</v>
      </c>
      <c r="J939" s="3" t="n">
        <v>55</v>
      </c>
      <c r="K939" s="3" t="n">
        <v>2</v>
      </c>
      <c r="L939" s="3" t="n">
        <v>1</v>
      </c>
      <c r="M939" s="3" t="n">
        <v>1</v>
      </c>
      <c r="N939" s="3" t="n">
        <v>2</v>
      </c>
      <c r="O939" s="3" t="n">
        <v>2</v>
      </c>
      <c r="P939" s="3" t="n">
        <v>1</v>
      </c>
      <c r="Q939" s="3" t="n">
        <v>1</v>
      </c>
      <c r="R939" s="3" t="n">
        <v>2</v>
      </c>
      <c r="S939" s="3" t="n">
        <v>2</v>
      </c>
      <c r="T939" s="4" t="n">
        <v>1</v>
      </c>
      <c r="U939" s="3" t="n">
        <v>1</v>
      </c>
      <c r="AC939" s="3" t="n">
        <v>1</v>
      </c>
      <c r="AD939" s="3" t="n">
        <v>1</v>
      </c>
      <c r="AE939" s="3" t="n">
        <v>1</v>
      </c>
      <c r="AF939" s="3" t="n">
        <v>1</v>
      </c>
      <c r="AG939" s="3" t="n">
        <v>2</v>
      </c>
      <c r="AH939" s="3" t="n">
        <v>2</v>
      </c>
      <c r="AI939" s="3" t="n">
        <v>1</v>
      </c>
      <c r="AJ939" s="3" t="n">
        <v>1</v>
      </c>
      <c r="AK939" s="3" t="n">
        <v>2</v>
      </c>
      <c r="AL939" s="3" t="n">
        <v>2</v>
      </c>
      <c r="AM939" s="3" t="n">
        <v>1</v>
      </c>
      <c r="AN939" s="3" t="n">
        <v>2</v>
      </c>
      <c r="AO939" s="3" t="n">
        <v>2</v>
      </c>
      <c r="AP939" s="3" t="n">
        <v>3</v>
      </c>
      <c r="AQ939" s="3" t="n">
        <v>4</v>
      </c>
      <c r="AR939" s="3" t="n">
        <v>4</v>
      </c>
      <c r="AS939" s="3" t="n">
        <v>6</v>
      </c>
      <c r="AT939" s="3" t="n">
        <v>4</v>
      </c>
      <c r="AU939" s="3" t="n">
        <v>4</v>
      </c>
      <c r="AV939" s="3" t="n">
        <v>6</v>
      </c>
      <c r="AW939" s="3" t="n">
        <v>6</v>
      </c>
      <c r="AX939" s="3" t="n">
        <v>3</v>
      </c>
      <c r="AY939" s="3" t="n">
        <v>3</v>
      </c>
      <c r="AZ939" s="3" t="n">
        <v>1</v>
      </c>
      <c r="BA939" s="5" t="n">
        <v>5</v>
      </c>
      <c r="BB939" s="3" t="n">
        <v>2</v>
      </c>
      <c r="BC939" s="3" t="n">
        <v>1</v>
      </c>
      <c r="BD939" s="3" t="n">
        <v>6</v>
      </c>
      <c r="BE939" s="3" t="n">
        <v>3</v>
      </c>
      <c r="BF939" s="3" t="n">
        <v>5</v>
      </c>
      <c r="BG939" s="3" t="n">
        <v>3</v>
      </c>
      <c r="BH939" s="3" t="n">
        <v>4</v>
      </c>
      <c r="BI939" s="3" t="n">
        <v>1</v>
      </c>
      <c r="BJ939" s="3" t="n">
        <v>1</v>
      </c>
      <c r="BK939" s="6" t="s">
        <v>2446</v>
      </c>
    </row>
    <row r="940" customFormat="false" ht="15" hidden="false" customHeight="true" outlineLevel="0" collapsed="false">
      <c r="B940" s="2" t="s">
        <v>1832</v>
      </c>
      <c r="C940" s="2" t="s">
        <v>808</v>
      </c>
      <c r="D940" s="2" t="s">
        <v>780</v>
      </c>
      <c r="E940" s="2" t="n">
        <v>202507</v>
      </c>
      <c r="F940" s="15" t="n">
        <v>44098</v>
      </c>
      <c r="G940" s="15" t="n">
        <v>44105</v>
      </c>
      <c r="H940" s="3" t="n">
        <v>6</v>
      </c>
      <c r="I940" s="3" t="n">
        <v>2</v>
      </c>
      <c r="J940" s="3" t="n">
        <v>68</v>
      </c>
      <c r="K940" s="3" t="n">
        <v>1</v>
      </c>
      <c r="L940" s="3" t="n">
        <v>1</v>
      </c>
      <c r="M940" s="3" t="n">
        <v>1</v>
      </c>
      <c r="N940" s="3" t="n">
        <v>2</v>
      </c>
      <c r="O940" s="3" t="n">
        <v>2</v>
      </c>
      <c r="P940" s="3" t="n">
        <v>2</v>
      </c>
      <c r="Q940" s="3" t="n">
        <v>2</v>
      </c>
      <c r="R940" s="3" t="n">
        <v>2</v>
      </c>
      <c r="S940" s="3" t="n">
        <v>1</v>
      </c>
      <c r="T940" s="4" t="n">
        <v>2</v>
      </c>
      <c r="U940" s="3" t="n">
        <v>2</v>
      </c>
      <c r="V940" s="3" t="n">
        <v>4.46</v>
      </c>
      <c r="W940" s="3" t="n">
        <v>1.82</v>
      </c>
      <c r="X940" s="3" t="n">
        <v>5.3</v>
      </c>
      <c r="Y940" s="3" t="n">
        <v>398</v>
      </c>
      <c r="Z940" s="3" t="n">
        <v>93</v>
      </c>
      <c r="AA940" s="3" t="n">
        <v>0.47</v>
      </c>
      <c r="AB940" s="3" t="n">
        <v>13</v>
      </c>
      <c r="AC940" s="3" t="n">
        <v>1</v>
      </c>
      <c r="AD940" s="3" t="n">
        <v>2</v>
      </c>
      <c r="AE940" s="3" t="n">
        <v>1</v>
      </c>
      <c r="AF940" s="3" t="n">
        <v>1</v>
      </c>
      <c r="AG940" s="3" t="n">
        <v>2</v>
      </c>
      <c r="AH940" s="3" t="n">
        <v>2</v>
      </c>
      <c r="AI940" s="3" t="n">
        <v>1</v>
      </c>
      <c r="AJ940" s="3" t="n">
        <v>1</v>
      </c>
      <c r="AK940" s="3" t="n">
        <v>2</v>
      </c>
      <c r="AL940" s="3" t="n">
        <v>2</v>
      </c>
      <c r="AM940" s="3" t="n">
        <v>2</v>
      </c>
      <c r="AN940" s="3" t="n">
        <v>2</v>
      </c>
      <c r="AO940" s="3" t="n">
        <v>2</v>
      </c>
      <c r="AP940" s="3" t="n">
        <v>3</v>
      </c>
      <c r="AQ940" s="3" t="n">
        <v>4</v>
      </c>
      <c r="AR940" s="3" t="n">
        <v>4</v>
      </c>
      <c r="AS940" s="3" t="n">
        <v>6</v>
      </c>
      <c r="AT940" s="3" t="n">
        <v>4</v>
      </c>
      <c r="AU940" s="3" t="n">
        <v>4</v>
      </c>
      <c r="AV940" s="3" t="n">
        <v>6</v>
      </c>
      <c r="AW940" s="3" t="n">
        <v>6</v>
      </c>
      <c r="AX940" s="3" t="n">
        <v>3</v>
      </c>
      <c r="AY940" s="3" t="n">
        <v>3</v>
      </c>
      <c r="AZ940" s="3" t="n">
        <v>1</v>
      </c>
      <c r="BA940" s="5" t="n">
        <v>1</v>
      </c>
      <c r="BB940" s="3" t="n">
        <v>1</v>
      </c>
      <c r="BC940" s="3" t="n">
        <v>1</v>
      </c>
      <c r="BD940" s="3" t="n">
        <v>2</v>
      </c>
      <c r="BE940" s="3" t="n">
        <v>3</v>
      </c>
      <c r="BF940" s="3" t="n">
        <v>5</v>
      </c>
      <c r="BG940" s="3" t="n">
        <v>3</v>
      </c>
      <c r="BH940" s="3" t="n">
        <v>4</v>
      </c>
      <c r="BI940" s="3" t="n">
        <v>1</v>
      </c>
      <c r="BJ940" s="3" t="n">
        <v>1</v>
      </c>
      <c r="BK940" s="6" t="s">
        <v>2447</v>
      </c>
    </row>
    <row r="941" customFormat="false" ht="15" hidden="false" customHeight="true" outlineLevel="0" collapsed="false">
      <c r="B941" s="2" t="s">
        <v>2448</v>
      </c>
      <c r="C941" s="2" t="s">
        <v>2449</v>
      </c>
      <c r="D941" s="2" t="s">
        <v>78</v>
      </c>
      <c r="E941" s="2" t="n">
        <v>202530</v>
      </c>
      <c r="F941" s="15" t="n">
        <v>44098</v>
      </c>
      <c r="G941" s="15" t="n">
        <v>44105</v>
      </c>
      <c r="H941" s="3" t="n">
        <v>6</v>
      </c>
      <c r="I941" s="3" t="n">
        <v>1</v>
      </c>
      <c r="J941" s="3" t="n">
        <v>58</v>
      </c>
      <c r="K941" s="3" t="n">
        <v>1</v>
      </c>
      <c r="L941" s="3" t="n">
        <v>1</v>
      </c>
      <c r="M941" s="3" t="n">
        <v>1</v>
      </c>
      <c r="N941" s="3" t="n">
        <v>2</v>
      </c>
      <c r="O941" s="3" t="n">
        <v>1</v>
      </c>
      <c r="P941" s="3" t="n">
        <v>2</v>
      </c>
      <c r="Q941" s="3" t="n">
        <v>1</v>
      </c>
      <c r="R941" s="3" t="n">
        <v>2</v>
      </c>
      <c r="S941" s="3" t="n">
        <v>2</v>
      </c>
      <c r="T941" s="4" t="n">
        <v>2</v>
      </c>
      <c r="U941" s="3" t="n">
        <v>2</v>
      </c>
      <c r="V941" s="3" t="n">
        <v>5.73</v>
      </c>
      <c r="W941" s="3" t="n">
        <v>1.48</v>
      </c>
      <c r="X941" s="3" t="n">
        <v>7.15</v>
      </c>
      <c r="Y941" s="3" t="n">
        <v>356</v>
      </c>
      <c r="Z941" s="3" t="n">
        <v>149</v>
      </c>
      <c r="AA941" s="3" t="n">
        <v>0.42</v>
      </c>
      <c r="AB941" s="3" t="n">
        <v>18</v>
      </c>
      <c r="AC941" s="3" t="n">
        <v>1</v>
      </c>
      <c r="AD941" s="3" t="n">
        <v>2</v>
      </c>
      <c r="AE941" s="3" t="n">
        <v>1</v>
      </c>
      <c r="AF941" s="3" t="n">
        <v>1</v>
      </c>
      <c r="AG941" s="3" t="n">
        <v>2</v>
      </c>
      <c r="AH941" s="3" t="n">
        <v>1</v>
      </c>
      <c r="AI941" s="3" t="n">
        <v>1</v>
      </c>
      <c r="AJ941" s="3" t="n">
        <v>1</v>
      </c>
      <c r="AK941" s="3" t="n">
        <v>2</v>
      </c>
      <c r="AL941" s="3" t="n">
        <v>2</v>
      </c>
      <c r="AM941" s="3" t="n">
        <v>2</v>
      </c>
      <c r="AN941" s="3" t="n">
        <v>2</v>
      </c>
      <c r="AO941" s="3" t="n">
        <v>2</v>
      </c>
      <c r="AP941" s="3" t="n">
        <v>3</v>
      </c>
      <c r="AQ941" s="3" t="n">
        <v>4</v>
      </c>
      <c r="AR941" s="3" t="n">
        <v>4</v>
      </c>
      <c r="AS941" s="3" t="n">
        <v>6</v>
      </c>
      <c r="AT941" s="3" t="n">
        <v>4</v>
      </c>
      <c r="AU941" s="3" t="n">
        <v>4</v>
      </c>
      <c r="AV941" s="3" t="n">
        <v>6</v>
      </c>
      <c r="AW941" s="3" t="n">
        <v>6</v>
      </c>
      <c r="AX941" s="3" t="n">
        <v>3</v>
      </c>
      <c r="AY941" s="3" t="n">
        <v>3</v>
      </c>
      <c r="AZ941" s="3" t="n">
        <v>1</v>
      </c>
      <c r="BA941" s="5" t="n">
        <v>1</v>
      </c>
      <c r="BB941" s="3" t="n">
        <v>1</v>
      </c>
      <c r="BC941" s="3" t="n">
        <v>1</v>
      </c>
      <c r="BD941" s="3" t="n">
        <v>4</v>
      </c>
      <c r="BE941" s="3" t="n">
        <v>1</v>
      </c>
      <c r="BF941" s="3" t="n">
        <v>2</v>
      </c>
      <c r="BG941" s="3" t="n">
        <v>1</v>
      </c>
      <c r="BH941" s="3" t="n">
        <v>4</v>
      </c>
      <c r="BI941" s="3" t="n">
        <v>1</v>
      </c>
      <c r="BJ941" s="3" t="n">
        <v>1</v>
      </c>
      <c r="BK941" s="6" t="s">
        <v>2450</v>
      </c>
    </row>
    <row r="942" customFormat="false" ht="15" hidden="false" customHeight="true" outlineLevel="0" collapsed="false">
      <c r="B942" s="2" t="s">
        <v>1746</v>
      </c>
      <c r="C942" s="2" t="s">
        <v>2451</v>
      </c>
      <c r="D942" s="2" t="s">
        <v>474</v>
      </c>
      <c r="E942" s="2" t="n">
        <v>202682</v>
      </c>
      <c r="F942" s="15" t="n">
        <v>44104</v>
      </c>
      <c r="G942" s="15" t="n">
        <v>44109</v>
      </c>
      <c r="H942" s="3" t="n">
        <v>5</v>
      </c>
      <c r="I942" s="3" t="n">
        <v>2</v>
      </c>
      <c r="J942" s="3" t="n">
        <v>80</v>
      </c>
      <c r="K942" s="3" t="n">
        <v>1</v>
      </c>
      <c r="L942" s="3" t="n">
        <v>2</v>
      </c>
      <c r="M942" s="3" t="n">
        <v>1</v>
      </c>
      <c r="N942" s="3" t="n">
        <v>2</v>
      </c>
      <c r="O942" s="3" t="n">
        <v>2</v>
      </c>
      <c r="P942" s="3" t="n">
        <v>2</v>
      </c>
      <c r="Q942" s="3" t="n">
        <v>2</v>
      </c>
      <c r="R942" s="3" t="n">
        <v>2</v>
      </c>
      <c r="S942" s="3" t="n">
        <v>2</v>
      </c>
      <c r="T942" s="4" t="n">
        <v>4</v>
      </c>
      <c r="U942" s="3" t="n">
        <v>4</v>
      </c>
      <c r="V942" s="3" t="n">
        <v>5.49</v>
      </c>
      <c r="W942" s="3" t="n">
        <v>1.02</v>
      </c>
      <c r="X942" s="3" t="n">
        <v>5.4</v>
      </c>
      <c r="Y942" s="3" t="n">
        <v>403</v>
      </c>
      <c r="Z942" s="3" t="n">
        <v>110</v>
      </c>
      <c r="AA942" s="3" t="n">
        <v>0.48</v>
      </c>
      <c r="AB942" s="3" t="n">
        <v>8.3</v>
      </c>
      <c r="AC942" s="3" t="n">
        <v>1</v>
      </c>
      <c r="AD942" s="3" t="n">
        <v>2</v>
      </c>
      <c r="AE942" s="3" t="n">
        <v>2</v>
      </c>
      <c r="AF942" s="3" t="n">
        <v>2</v>
      </c>
      <c r="AG942" s="3" t="n">
        <v>2</v>
      </c>
      <c r="AH942" s="3" t="n">
        <v>1</v>
      </c>
      <c r="AI942" s="3" t="n">
        <v>2</v>
      </c>
      <c r="AJ942" s="3" t="n">
        <v>1</v>
      </c>
      <c r="AK942" s="3" t="n">
        <v>2</v>
      </c>
      <c r="AL942" s="3" t="n">
        <v>2</v>
      </c>
      <c r="AM942" s="3" t="n">
        <v>2</v>
      </c>
      <c r="AN942" s="3" t="n">
        <v>2</v>
      </c>
      <c r="AO942" s="3" t="n">
        <v>2</v>
      </c>
      <c r="AP942" s="3" t="n">
        <v>3</v>
      </c>
      <c r="AQ942" s="3" t="n">
        <v>4</v>
      </c>
      <c r="AR942" s="3" t="n">
        <v>4</v>
      </c>
      <c r="AS942" s="3" t="n">
        <v>6</v>
      </c>
      <c r="AT942" s="3" t="n">
        <v>4</v>
      </c>
      <c r="AU942" s="3" t="n">
        <v>4</v>
      </c>
      <c r="AV942" s="3" t="n">
        <v>6</v>
      </c>
      <c r="AW942" s="3" t="n">
        <v>6</v>
      </c>
      <c r="AX942" s="3" t="n">
        <v>3</v>
      </c>
      <c r="AY942" s="3" t="n">
        <v>3</v>
      </c>
      <c r="AZ942" s="3" t="n">
        <v>1</v>
      </c>
      <c r="BA942" s="5" t="n">
        <v>6</v>
      </c>
      <c r="BB942" s="3" t="n">
        <v>2</v>
      </c>
      <c r="BC942" s="3" t="n">
        <v>1</v>
      </c>
      <c r="BD942" s="3" t="n">
        <v>6</v>
      </c>
      <c r="BE942" s="3" t="n">
        <v>3</v>
      </c>
      <c r="BF942" s="3" t="n">
        <v>5</v>
      </c>
      <c r="BG942" s="3" t="n">
        <v>3</v>
      </c>
      <c r="BH942" s="3" t="n">
        <v>4</v>
      </c>
      <c r="BI942" s="3" t="n">
        <v>1</v>
      </c>
      <c r="BJ942" s="3" t="n">
        <v>1</v>
      </c>
      <c r="BK942" s="6" t="s">
        <v>2452</v>
      </c>
    </row>
    <row r="943" customFormat="false" ht="15" hidden="false" customHeight="true" outlineLevel="0" collapsed="false">
      <c r="B943" s="2" t="s">
        <v>912</v>
      </c>
      <c r="C943" s="2" t="s">
        <v>1984</v>
      </c>
      <c r="D943" s="2" t="s">
        <v>414</v>
      </c>
      <c r="E943" s="2" t="n">
        <v>202718</v>
      </c>
      <c r="F943" s="15" t="n">
        <v>44104</v>
      </c>
      <c r="G943" s="15" t="n">
        <v>44110</v>
      </c>
      <c r="H943" s="3" t="n">
        <v>7</v>
      </c>
      <c r="I943" s="3" t="n">
        <v>2</v>
      </c>
      <c r="J943" s="3" t="n">
        <v>49</v>
      </c>
      <c r="K943" s="3" t="n">
        <v>1</v>
      </c>
      <c r="L943" s="3" t="n">
        <v>1</v>
      </c>
      <c r="M943" s="3" t="n">
        <v>1</v>
      </c>
      <c r="N943" s="3" t="n">
        <v>2</v>
      </c>
      <c r="O943" s="3" t="n">
        <v>2</v>
      </c>
      <c r="P943" s="3" t="n">
        <v>2</v>
      </c>
      <c r="Q943" s="3" t="n">
        <v>2</v>
      </c>
      <c r="R943" s="3" t="n">
        <v>2</v>
      </c>
      <c r="S943" s="3" t="n">
        <v>2</v>
      </c>
      <c r="T943" s="4" t="n">
        <v>2</v>
      </c>
      <c r="U943" s="3" t="n">
        <v>2</v>
      </c>
      <c r="V943" s="3" t="n">
        <v>4.97</v>
      </c>
      <c r="W943" s="3" t="n">
        <v>2.03</v>
      </c>
      <c r="X943" s="3" t="n">
        <v>3.34</v>
      </c>
      <c r="Y943" s="3" t="n">
        <v>346</v>
      </c>
      <c r="Z943" s="3" t="n">
        <v>93</v>
      </c>
      <c r="AA943" s="3" t="n">
        <v>0.5</v>
      </c>
      <c r="AB943" s="3" t="n">
        <v>8.1</v>
      </c>
      <c r="AC943" s="3" t="n">
        <v>1</v>
      </c>
      <c r="AD943" s="3" t="n">
        <v>2</v>
      </c>
      <c r="AE943" s="3" t="n">
        <v>1</v>
      </c>
      <c r="AF943" s="3" t="n">
        <v>1</v>
      </c>
      <c r="AG943" s="3" t="n">
        <v>1</v>
      </c>
      <c r="AH943" s="3" t="n">
        <v>2</v>
      </c>
      <c r="AI943" s="3" t="n">
        <v>1</v>
      </c>
      <c r="AJ943" s="3" t="n">
        <v>1</v>
      </c>
      <c r="AK943" s="3" t="n">
        <v>2</v>
      </c>
      <c r="AL943" s="3" t="n">
        <v>2</v>
      </c>
      <c r="AM943" s="3" t="n">
        <v>2</v>
      </c>
      <c r="AN943" s="3" t="n">
        <v>2</v>
      </c>
      <c r="AO943" s="3" t="n">
        <v>2</v>
      </c>
      <c r="AP943" s="3" t="n">
        <v>3</v>
      </c>
      <c r="AQ943" s="3" t="n">
        <v>4</v>
      </c>
      <c r="AR943" s="3" t="n">
        <v>4</v>
      </c>
      <c r="AS943" s="3" t="n">
        <v>6</v>
      </c>
      <c r="AT943" s="3" t="n">
        <v>4</v>
      </c>
      <c r="AU943" s="3" t="n">
        <v>4</v>
      </c>
      <c r="AV943" s="3" t="n">
        <v>6</v>
      </c>
      <c r="AW943" s="3" t="n">
        <v>6</v>
      </c>
      <c r="AX943" s="3" t="n">
        <v>3</v>
      </c>
      <c r="AY943" s="3" t="n">
        <v>3</v>
      </c>
      <c r="AZ943" s="3" t="n">
        <v>1</v>
      </c>
      <c r="BA943" s="5" t="n">
        <v>1</v>
      </c>
      <c r="BB943" s="3" t="n">
        <v>1</v>
      </c>
      <c r="BC943" s="3" t="n">
        <v>1</v>
      </c>
      <c r="BD943" s="3" t="n">
        <v>4</v>
      </c>
      <c r="BE943" s="3" t="n">
        <v>1</v>
      </c>
      <c r="BF943" s="3" t="n">
        <v>1</v>
      </c>
      <c r="BG943" s="3" t="n">
        <v>1</v>
      </c>
      <c r="BH943" s="3" t="n">
        <v>4</v>
      </c>
      <c r="BI943" s="3" t="n">
        <v>1</v>
      </c>
      <c r="BJ943" s="3" t="n">
        <v>1</v>
      </c>
      <c r="BK943" s="6" t="s">
        <v>2453</v>
      </c>
    </row>
    <row r="944" s="30" customFormat="true" ht="15" hidden="false" customHeight="true" outlineLevel="0" collapsed="false">
      <c r="A944" s="24"/>
      <c r="B944" s="26" t="s">
        <v>2454</v>
      </c>
      <c r="C944" s="26" t="s">
        <v>78</v>
      </c>
      <c r="D944" s="26" t="s">
        <v>735</v>
      </c>
      <c r="E944" s="26" t="n">
        <v>202645</v>
      </c>
      <c r="F944" s="27" t="n">
        <v>44103</v>
      </c>
      <c r="G944" s="27" t="n">
        <v>44110</v>
      </c>
      <c r="H944" s="30" t="n">
        <v>7</v>
      </c>
      <c r="I944" s="30" t="n">
        <v>1</v>
      </c>
      <c r="J944" s="30" t="n">
        <v>94</v>
      </c>
      <c r="K944" s="30" t="n">
        <v>1</v>
      </c>
      <c r="L944" s="30" t="n">
        <v>2</v>
      </c>
      <c r="M944" s="30" t="n">
        <v>1</v>
      </c>
      <c r="N944" s="30" t="n">
        <v>2</v>
      </c>
      <c r="O944" s="30" t="n">
        <v>2</v>
      </c>
      <c r="P944" s="30" t="n">
        <v>2</v>
      </c>
      <c r="Q944" s="30" t="n">
        <v>2</v>
      </c>
      <c r="R944" s="30" t="n">
        <v>2</v>
      </c>
      <c r="S944" s="30" t="n">
        <v>2</v>
      </c>
      <c r="T944" s="4" t="n">
        <v>4</v>
      </c>
      <c r="U944" s="30" t="n">
        <v>4</v>
      </c>
      <c r="AD944" s="30" t="n">
        <v>2</v>
      </c>
      <c r="AE944" s="30" t="n">
        <v>2</v>
      </c>
      <c r="AF944" s="30" t="n">
        <v>2</v>
      </c>
      <c r="AG944" s="30" t="n">
        <v>2</v>
      </c>
      <c r="AH944" s="30" t="n">
        <v>2</v>
      </c>
      <c r="AI944" s="30" t="n">
        <v>2</v>
      </c>
      <c r="AJ944" s="30" t="n">
        <v>2</v>
      </c>
      <c r="AK944" s="30" t="n">
        <v>2</v>
      </c>
      <c r="AL944" s="30" t="n">
        <v>2</v>
      </c>
      <c r="AM944" s="30" t="n">
        <v>2</v>
      </c>
      <c r="AN944" s="30" t="n">
        <v>1</v>
      </c>
      <c r="AO944" s="30" t="n">
        <v>2</v>
      </c>
      <c r="AP944" s="30" t="n">
        <v>3</v>
      </c>
      <c r="AQ944" s="30" t="n">
        <v>4</v>
      </c>
      <c r="AR944" s="30" t="n">
        <v>4</v>
      </c>
      <c r="AS944" s="30" t="n">
        <v>6</v>
      </c>
      <c r="AT944" s="30" t="n">
        <v>4</v>
      </c>
      <c r="AU944" s="30" t="n">
        <v>4</v>
      </c>
      <c r="AV944" s="30" t="n">
        <v>6</v>
      </c>
      <c r="AW944" s="30" t="n">
        <v>6</v>
      </c>
      <c r="AX944" s="30" t="n">
        <v>3</v>
      </c>
      <c r="AY944" s="30" t="n">
        <v>3</v>
      </c>
      <c r="AZ944" s="30" t="n">
        <v>14</v>
      </c>
      <c r="BA944" s="5" t="n">
        <v>10</v>
      </c>
      <c r="BB944" s="30" t="n">
        <v>2</v>
      </c>
      <c r="BC944" s="30" t="n">
        <v>1</v>
      </c>
      <c r="BD944" s="30" t="n">
        <v>6</v>
      </c>
      <c r="BE944" s="30" t="n">
        <v>3</v>
      </c>
      <c r="BF944" s="30" t="n">
        <v>5</v>
      </c>
      <c r="BG944" s="30" t="n">
        <v>3</v>
      </c>
      <c r="BH944" s="30" t="n">
        <v>4</v>
      </c>
      <c r="BI944" s="30" t="n">
        <v>1</v>
      </c>
      <c r="BJ944" s="30" t="n">
        <v>1</v>
      </c>
      <c r="BK944" s="31" t="s">
        <v>2455</v>
      </c>
    </row>
    <row r="945" customFormat="false" ht="15" hidden="false" customHeight="true" outlineLevel="0" collapsed="false">
      <c r="B945" s="2" t="s">
        <v>335</v>
      </c>
      <c r="C945" s="2" t="s">
        <v>336</v>
      </c>
      <c r="D945" s="2" t="s">
        <v>337</v>
      </c>
      <c r="E945" s="2" t="n">
        <v>202690</v>
      </c>
      <c r="F945" s="15" t="n">
        <v>44105</v>
      </c>
      <c r="G945" s="15" t="n">
        <v>44110</v>
      </c>
      <c r="H945" s="3" t="n">
        <v>5</v>
      </c>
      <c r="I945" s="3" t="n">
        <v>1</v>
      </c>
      <c r="J945" s="3" t="n">
        <v>81</v>
      </c>
      <c r="K945" s="3" t="n">
        <v>2</v>
      </c>
      <c r="L945" s="3" t="n">
        <v>2</v>
      </c>
      <c r="M945" s="3" t="n">
        <v>1</v>
      </c>
      <c r="N945" s="3" t="n">
        <v>2</v>
      </c>
      <c r="O945" s="3" t="n">
        <v>2</v>
      </c>
      <c r="P945" s="3" t="n">
        <v>2</v>
      </c>
      <c r="Q945" s="3" t="n">
        <v>2</v>
      </c>
      <c r="R945" s="3" t="n">
        <v>2</v>
      </c>
      <c r="S945" s="3" t="n">
        <v>2</v>
      </c>
      <c r="T945" s="4" t="n">
        <v>1</v>
      </c>
      <c r="U945" s="3" t="n">
        <v>1</v>
      </c>
      <c r="V945" s="3" t="n">
        <v>3.51</v>
      </c>
      <c r="W945" s="3" t="n">
        <v>1.3</v>
      </c>
      <c r="X945" s="3" t="n">
        <v>6.42</v>
      </c>
      <c r="Y945" s="3" t="n">
        <v>469</v>
      </c>
      <c r="Z945" s="3" t="n">
        <v>142</v>
      </c>
      <c r="AA945" s="3" t="n">
        <v>0.44</v>
      </c>
      <c r="AB945" s="3" t="n">
        <v>4.4</v>
      </c>
      <c r="AC945" s="3" t="n">
        <v>1</v>
      </c>
      <c r="AD945" s="3" t="n">
        <v>1</v>
      </c>
      <c r="AE945" s="3" t="n">
        <v>1</v>
      </c>
      <c r="AF945" s="3" t="n">
        <v>1</v>
      </c>
      <c r="AG945" s="3" t="n">
        <v>1</v>
      </c>
      <c r="AH945" s="3" t="n">
        <v>1</v>
      </c>
      <c r="AI945" s="3" t="n">
        <v>1</v>
      </c>
      <c r="AJ945" s="3" t="n">
        <v>2</v>
      </c>
      <c r="AK945" s="3" t="n">
        <v>2</v>
      </c>
      <c r="AL945" s="3" t="n">
        <v>2</v>
      </c>
      <c r="AM945" s="3" t="n">
        <v>1</v>
      </c>
      <c r="AN945" s="3" t="n">
        <v>2</v>
      </c>
      <c r="AO945" s="3" t="n">
        <v>2</v>
      </c>
      <c r="AP945" s="3" t="n">
        <v>3</v>
      </c>
      <c r="AQ945" s="3" t="n">
        <v>4</v>
      </c>
      <c r="AR945" s="3" t="n">
        <v>4</v>
      </c>
      <c r="AS945" s="3" t="n">
        <v>6</v>
      </c>
      <c r="AT945" s="3" t="n">
        <v>4</v>
      </c>
      <c r="AU945" s="3" t="n">
        <v>4</v>
      </c>
      <c r="AV945" s="3" t="n">
        <v>6</v>
      </c>
      <c r="AW945" s="3" t="n">
        <v>6</v>
      </c>
      <c r="AX945" s="3" t="n">
        <v>3</v>
      </c>
      <c r="AY945" s="3" t="n">
        <v>3</v>
      </c>
      <c r="AZ945" s="3" t="n">
        <v>1</v>
      </c>
      <c r="BA945" s="5" t="n">
        <v>5</v>
      </c>
      <c r="BB945" s="3" t="n">
        <v>2</v>
      </c>
      <c r="BC945" s="3" t="n">
        <v>1</v>
      </c>
      <c r="BD945" s="3" t="n">
        <v>6</v>
      </c>
      <c r="BE945" s="3" t="n">
        <v>3</v>
      </c>
      <c r="BF945" s="3" t="n">
        <v>5</v>
      </c>
      <c r="BG945" s="3" t="n">
        <v>3</v>
      </c>
      <c r="BH945" s="3" t="n">
        <v>4</v>
      </c>
      <c r="BI945" s="3" t="n">
        <v>1</v>
      </c>
      <c r="BJ945" s="3" t="n">
        <v>1</v>
      </c>
      <c r="BK945" s="6" t="s">
        <v>2456</v>
      </c>
    </row>
    <row r="946" customFormat="false" ht="15" hidden="false" customHeight="true" outlineLevel="0" collapsed="false">
      <c r="B946" s="2" t="s">
        <v>2457</v>
      </c>
      <c r="C946" s="2" t="s">
        <v>826</v>
      </c>
      <c r="D946" s="2" t="s">
        <v>118</v>
      </c>
      <c r="E946" s="2" t="n">
        <v>202667</v>
      </c>
      <c r="F946" s="15" t="n">
        <v>44104</v>
      </c>
      <c r="G946" s="15" t="n">
        <v>44111</v>
      </c>
      <c r="H946" s="3" t="n">
        <v>7</v>
      </c>
      <c r="I946" s="3" t="n">
        <v>2</v>
      </c>
      <c r="J946" s="3" t="n">
        <v>71</v>
      </c>
      <c r="K946" s="3" t="n">
        <v>2</v>
      </c>
      <c r="L946" s="3" t="n">
        <v>1</v>
      </c>
      <c r="M946" s="3" t="n">
        <v>2</v>
      </c>
      <c r="N946" s="3" t="n">
        <v>2</v>
      </c>
      <c r="O946" s="3" t="n">
        <v>2</v>
      </c>
      <c r="P946" s="3" t="n">
        <v>2</v>
      </c>
      <c r="Q946" s="3" t="n">
        <v>2</v>
      </c>
      <c r="R946" s="3" t="n">
        <v>2</v>
      </c>
      <c r="S946" s="3" t="n">
        <v>2</v>
      </c>
      <c r="T946" s="4" t="n">
        <v>2</v>
      </c>
      <c r="U946" s="3" t="n">
        <v>2</v>
      </c>
      <c r="V946" s="3" t="n">
        <v>3.8</v>
      </c>
      <c r="W946" s="3" t="n">
        <v>2.12</v>
      </c>
      <c r="X946" s="3" t="n">
        <v>11.8</v>
      </c>
      <c r="Y946" s="3" t="n">
        <v>482</v>
      </c>
      <c r="Z946" s="3" t="n">
        <v>104</v>
      </c>
      <c r="AA946" s="3" t="n">
        <v>0.41</v>
      </c>
      <c r="AB946" s="3" t="n">
        <v>18.3</v>
      </c>
      <c r="AC946" s="3" t="n">
        <v>1</v>
      </c>
      <c r="AD946" s="3" t="n">
        <v>1</v>
      </c>
      <c r="AE946" s="3" t="n">
        <v>1</v>
      </c>
      <c r="AF946" s="3" t="n">
        <v>1</v>
      </c>
      <c r="AG946" s="3" t="n">
        <v>1</v>
      </c>
      <c r="AH946" s="3" t="n">
        <v>2</v>
      </c>
      <c r="AI946" s="3" t="n">
        <v>1</v>
      </c>
      <c r="AJ946" s="3" t="n">
        <v>1</v>
      </c>
      <c r="AK946" s="3" t="n">
        <v>2</v>
      </c>
      <c r="AL946" s="3" t="n">
        <v>2</v>
      </c>
      <c r="AM946" s="3" t="n">
        <v>2</v>
      </c>
      <c r="AN946" s="3" t="n">
        <v>2</v>
      </c>
      <c r="AO946" s="3" t="n">
        <v>2</v>
      </c>
      <c r="AP946" s="3" t="n">
        <v>3</v>
      </c>
      <c r="AQ946" s="3" t="n">
        <v>4</v>
      </c>
      <c r="AR946" s="3" t="n">
        <v>4</v>
      </c>
      <c r="AS946" s="3" t="n">
        <v>6</v>
      </c>
      <c r="AT946" s="3" t="n">
        <v>4</v>
      </c>
      <c r="AU946" s="3" t="n">
        <v>4</v>
      </c>
      <c r="AV946" s="3" t="n">
        <v>6</v>
      </c>
      <c r="AW946" s="3" t="n">
        <v>6</v>
      </c>
      <c r="AX946" s="3" t="n">
        <v>3</v>
      </c>
      <c r="AY946" s="3" t="n">
        <v>3</v>
      </c>
      <c r="AZ946" s="3" t="n">
        <v>1</v>
      </c>
      <c r="BA946" s="5" t="n">
        <v>1</v>
      </c>
      <c r="BB946" s="3" t="n">
        <v>1</v>
      </c>
      <c r="BC946" s="3" t="n">
        <v>1</v>
      </c>
      <c r="BD946" s="3" t="n">
        <v>4</v>
      </c>
      <c r="BE946" s="3" t="n">
        <v>1</v>
      </c>
      <c r="BF946" s="3" t="n">
        <v>2</v>
      </c>
      <c r="BG946" s="3" t="n">
        <v>1</v>
      </c>
      <c r="BH946" s="3" t="n">
        <v>4</v>
      </c>
      <c r="BI946" s="3" t="n">
        <v>1</v>
      </c>
      <c r="BJ946" s="3" t="n">
        <v>1</v>
      </c>
      <c r="BK946" s="6" t="s">
        <v>2458</v>
      </c>
    </row>
    <row r="947" customFormat="false" ht="15" hidden="false" customHeight="true" outlineLevel="0" collapsed="false">
      <c r="B947" s="2" t="s">
        <v>556</v>
      </c>
      <c r="C947" s="2" t="s">
        <v>382</v>
      </c>
      <c r="D947" s="2" t="s">
        <v>849</v>
      </c>
      <c r="E947" s="2" t="n">
        <v>202686</v>
      </c>
      <c r="F947" s="15" t="n">
        <v>44105</v>
      </c>
      <c r="G947" s="15" t="n">
        <v>44112</v>
      </c>
      <c r="H947" s="3" t="n">
        <v>7</v>
      </c>
      <c r="I947" s="3" t="n">
        <v>2</v>
      </c>
      <c r="J947" s="3" t="n">
        <v>84</v>
      </c>
      <c r="K947" s="3" t="n">
        <v>1</v>
      </c>
      <c r="L947" s="3" t="n">
        <v>2</v>
      </c>
      <c r="M947" s="3" t="n">
        <v>2</v>
      </c>
      <c r="N947" s="3" t="n">
        <v>2</v>
      </c>
      <c r="O947" s="3" t="n">
        <v>2</v>
      </c>
      <c r="P947" s="3" t="n">
        <v>2</v>
      </c>
      <c r="Q947" s="3" t="n">
        <v>2</v>
      </c>
      <c r="R947" s="3" t="n">
        <v>2</v>
      </c>
      <c r="S947" s="3" t="n">
        <v>2</v>
      </c>
      <c r="T947" s="4" t="n">
        <v>4</v>
      </c>
      <c r="U947" s="3" t="n">
        <v>4</v>
      </c>
      <c r="V947" s="3" t="n">
        <v>3.34</v>
      </c>
      <c r="W947" s="3" t="n">
        <v>0.63</v>
      </c>
      <c r="X947" s="3" t="n">
        <v>8.47</v>
      </c>
      <c r="Y947" s="3" t="n">
        <v>278</v>
      </c>
      <c r="Z947" s="3" t="n">
        <v>108</v>
      </c>
      <c r="AA947" s="3" t="n">
        <v>0.36</v>
      </c>
      <c r="AB947" s="3" t="n">
        <v>5.5</v>
      </c>
      <c r="AC947" s="3" t="n">
        <v>1</v>
      </c>
      <c r="AD947" s="3" t="n">
        <v>2</v>
      </c>
      <c r="AE947" s="3" t="n">
        <v>2</v>
      </c>
      <c r="AF947" s="3" t="n">
        <v>2</v>
      </c>
      <c r="AG947" s="3" t="n">
        <v>2</v>
      </c>
      <c r="AH947" s="3" t="n">
        <v>2</v>
      </c>
      <c r="AI947" s="3" t="n">
        <v>2</v>
      </c>
      <c r="AJ947" s="3" t="n">
        <v>2</v>
      </c>
      <c r="AK947" s="3" t="n">
        <v>2</v>
      </c>
      <c r="AL947" s="3" t="n">
        <v>2</v>
      </c>
      <c r="AM947" s="3" t="n">
        <v>2</v>
      </c>
      <c r="AN947" s="3" t="n">
        <v>2</v>
      </c>
      <c r="AO947" s="3" t="n">
        <v>2</v>
      </c>
      <c r="AP947" s="3" t="n">
        <v>3</v>
      </c>
      <c r="AQ947" s="3" t="n">
        <v>4</v>
      </c>
      <c r="AR947" s="3" t="n">
        <v>4</v>
      </c>
      <c r="AS947" s="3" t="n">
        <v>6</v>
      </c>
      <c r="AT947" s="3" t="n">
        <v>4</v>
      </c>
      <c r="AU947" s="3" t="n">
        <v>4</v>
      </c>
      <c r="AV947" s="3" t="n">
        <v>6</v>
      </c>
      <c r="AW947" s="3" t="n">
        <v>6</v>
      </c>
      <c r="AX947" s="3" t="n">
        <v>3</v>
      </c>
      <c r="AY947" s="3" t="n">
        <v>3</v>
      </c>
      <c r="AZ947" s="3" t="n">
        <v>1</v>
      </c>
      <c r="BA947" s="5" t="n">
        <v>10</v>
      </c>
      <c r="BB947" s="3" t="n">
        <v>2</v>
      </c>
      <c r="BC947" s="3" t="n">
        <v>1</v>
      </c>
      <c r="BD947" s="3" t="n">
        <v>6</v>
      </c>
      <c r="BE947" s="3" t="n">
        <v>3</v>
      </c>
      <c r="BF947" s="3" t="n">
        <v>5</v>
      </c>
      <c r="BG947" s="3" t="n">
        <v>3</v>
      </c>
      <c r="BH947" s="3" t="n">
        <v>4</v>
      </c>
      <c r="BI947" s="3" t="n">
        <v>1</v>
      </c>
      <c r="BJ947" s="3" t="n">
        <v>1</v>
      </c>
      <c r="BK947" s="21" t="s">
        <v>2459</v>
      </c>
    </row>
    <row r="948" customFormat="false" ht="15" hidden="false" customHeight="true" outlineLevel="0" collapsed="false">
      <c r="B948" s="2" t="s">
        <v>2460</v>
      </c>
      <c r="C948" s="2" t="s">
        <v>2461</v>
      </c>
      <c r="D948" s="2" t="s">
        <v>898</v>
      </c>
      <c r="E948" s="2" t="n">
        <v>202757</v>
      </c>
      <c r="F948" s="15" t="n">
        <v>44106</v>
      </c>
      <c r="G948" s="15" t="n">
        <v>44112</v>
      </c>
      <c r="H948" s="3" t="n">
        <v>6</v>
      </c>
      <c r="I948" s="3" t="n">
        <v>2</v>
      </c>
      <c r="J948" s="3" t="n">
        <v>71</v>
      </c>
      <c r="K948" s="3" t="n">
        <v>1</v>
      </c>
      <c r="L948" s="3" t="n">
        <v>1</v>
      </c>
      <c r="M948" s="3" t="n">
        <v>2</v>
      </c>
      <c r="N948" s="3" t="n">
        <v>2</v>
      </c>
      <c r="O948" s="3" t="n">
        <v>2</v>
      </c>
      <c r="P948" s="3" t="n">
        <v>2</v>
      </c>
      <c r="Q948" s="3" t="n">
        <v>2</v>
      </c>
      <c r="R948" s="3" t="n">
        <v>2</v>
      </c>
      <c r="S948" s="3" t="n">
        <v>2</v>
      </c>
      <c r="T948" s="4" t="n">
        <v>2</v>
      </c>
      <c r="U948" s="3" t="n">
        <v>2</v>
      </c>
      <c r="V948" s="3" t="n">
        <v>3.88</v>
      </c>
      <c r="W948" s="3" t="n">
        <v>0.68</v>
      </c>
      <c r="X948" s="3" t="n">
        <v>5.86</v>
      </c>
      <c r="Y948" s="3" t="n">
        <v>359</v>
      </c>
      <c r="Z948" s="3" t="n">
        <v>105</v>
      </c>
      <c r="AA948" s="3" t="n">
        <v>0.44</v>
      </c>
      <c r="AB948" s="3" t="n">
        <v>12.4</v>
      </c>
      <c r="AC948" s="3" t="n">
        <v>1</v>
      </c>
      <c r="AD948" s="3" t="n">
        <v>2</v>
      </c>
      <c r="AE948" s="3" t="n">
        <v>1</v>
      </c>
      <c r="AF948" s="3" t="n">
        <v>1</v>
      </c>
      <c r="AG948" s="3" t="n">
        <v>1</v>
      </c>
      <c r="AH948" s="3" t="n">
        <v>2</v>
      </c>
      <c r="AI948" s="3" t="n">
        <v>1</v>
      </c>
      <c r="AJ948" s="3" t="n">
        <v>1</v>
      </c>
      <c r="AK948" s="3" t="n">
        <v>2</v>
      </c>
      <c r="AL948" s="3" t="n">
        <v>2</v>
      </c>
      <c r="AM948" s="3" t="n">
        <v>2</v>
      </c>
      <c r="AN948" s="3" t="n">
        <v>2</v>
      </c>
      <c r="AO948" s="3" t="n">
        <v>2</v>
      </c>
      <c r="AP948" s="3" t="n">
        <v>3</v>
      </c>
      <c r="AQ948" s="3" t="n">
        <v>4</v>
      </c>
      <c r="AR948" s="3" t="n">
        <v>4</v>
      </c>
      <c r="AS948" s="3" t="n">
        <v>6</v>
      </c>
      <c r="AT948" s="3" t="n">
        <v>4</v>
      </c>
      <c r="AU948" s="3" t="n">
        <v>4</v>
      </c>
      <c r="AV948" s="3" t="n">
        <v>6</v>
      </c>
      <c r="AW948" s="3" t="n">
        <v>6</v>
      </c>
      <c r="AX948" s="3" t="n">
        <v>3</v>
      </c>
      <c r="AY948" s="3" t="n">
        <v>3</v>
      </c>
      <c r="AZ948" s="3" t="n">
        <v>1</v>
      </c>
      <c r="BA948" s="5" t="n">
        <v>1</v>
      </c>
      <c r="BB948" s="3" t="n">
        <v>1</v>
      </c>
      <c r="BC948" s="3" t="n">
        <v>1</v>
      </c>
      <c r="BD948" s="3" t="n">
        <v>4</v>
      </c>
      <c r="BE948" s="3" t="n">
        <v>2</v>
      </c>
      <c r="BF948" s="3" t="n">
        <v>5</v>
      </c>
      <c r="BG948" s="3" t="n">
        <v>3</v>
      </c>
      <c r="BH948" s="3" t="n">
        <v>4</v>
      </c>
      <c r="BI948" s="3" t="n">
        <v>1</v>
      </c>
      <c r="BJ948" s="3" t="n">
        <v>1</v>
      </c>
      <c r="BK948" s="6" t="s">
        <v>2462</v>
      </c>
    </row>
    <row r="949" customFormat="false" ht="15" hidden="false" customHeight="true" outlineLevel="0" collapsed="false">
      <c r="B949" s="2" t="s">
        <v>394</v>
      </c>
      <c r="C949" s="2" t="s">
        <v>2463</v>
      </c>
      <c r="D949" s="2" t="s">
        <v>2464</v>
      </c>
      <c r="E949" s="2" t="n">
        <v>202721</v>
      </c>
      <c r="F949" s="15" t="n">
        <v>44105</v>
      </c>
      <c r="G949" s="15" t="n">
        <v>44112</v>
      </c>
      <c r="H949" s="3" t="n">
        <v>7</v>
      </c>
      <c r="I949" s="3" t="n">
        <v>2</v>
      </c>
      <c r="J949" s="3" t="n">
        <v>63</v>
      </c>
      <c r="K949" s="3" t="n">
        <v>1</v>
      </c>
      <c r="L949" s="3" t="n">
        <v>2</v>
      </c>
      <c r="M949" s="3" t="n">
        <v>2</v>
      </c>
      <c r="N949" s="3" t="n">
        <v>2</v>
      </c>
      <c r="O949" s="3" t="n">
        <v>2</v>
      </c>
      <c r="P949" s="3" t="n">
        <v>2</v>
      </c>
      <c r="Q949" s="3" t="n">
        <v>2</v>
      </c>
      <c r="R949" s="3" t="n">
        <v>2</v>
      </c>
      <c r="S949" s="3" t="n">
        <v>2</v>
      </c>
      <c r="T949" s="4" t="n">
        <v>2</v>
      </c>
      <c r="U949" s="3" t="n">
        <v>2</v>
      </c>
      <c r="V949" s="3" t="n">
        <v>3.21</v>
      </c>
      <c r="W949" s="3" t="n">
        <v>1.76</v>
      </c>
      <c r="X949" s="3" t="n">
        <v>5.11</v>
      </c>
      <c r="Y949" s="3" t="n">
        <v>363</v>
      </c>
      <c r="Z949" s="3" t="n">
        <v>99</v>
      </c>
      <c r="AA949" s="3" t="n">
        <v>0.45</v>
      </c>
      <c r="AB949" s="3" t="n">
        <v>6.8</v>
      </c>
      <c r="AC949" s="3" t="n">
        <v>1</v>
      </c>
      <c r="AD949" s="3" t="n">
        <v>2</v>
      </c>
      <c r="AE949" s="3" t="n">
        <v>1</v>
      </c>
      <c r="AF949" s="3" t="n">
        <v>1</v>
      </c>
      <c r="AG949" s="3" t="n">
        <v>2</v>
      </c>
      <c r="AH949" s="3" t="n">
        <v>2</v>
      </c>
      <c r="AI949" s="3" t="n">
        <v>1</v>
      </c>
      <c r="AJ949" s="3" t="n">
        <v>1</v>
      </c>
      <c r="AK949" s="3" t="n">
        <v>2</v>
      </c>
      <c r="AL949" s="3" t="n">
        <v>2</v>
      </c>
      <c r="AM949" s="3" t="n">
        <v>2</v>
      </c>
      <c r="AN949" s="3" t="n">
        <v>1</v>
      </c>
      <c r="AO949" s="3" t="n">
        <v>2</v>
      </c>
      <c r="AP949" s="3" t="n">
        <v>3</v>
      </c>
      <c r="AQ949" s="3" t="n">
        <v>4</v>
      </c>
      <c r="AR949" s="3" t="n">
        <v>4</v>
      </c>
      <c r="AS949" s="3" t="n">
        <v>6</v>
      </c>
      <c r="AT949" s="3" t="n">
        <v>4</v>
      </c>
      <c r="AU949" s="3" t="n">
        <v>4</v>
      </c>
      <c r="AV949" s="3" t="n">
        <v>6</v>
      </c>
      <c r="AW949" s="3" t="n">
        <v>6</v>
      </c>
      <c r="AX949" s="3" t="n">
        <v>3</v>
      </c>
      <c r="AY949" s="3" t="n">
        <v>3</v>
      </c>
      <c r="AZ949" s="3" t="n">
        <v>1</v>
      </c>
      <c r="BA949" s="5" t="n">
        <v>1</v>
      </c>
      <c r="BB949" s="3" t="n">
        <v>1</v>
      </c>
      <c r="BC949" s="3" t="n">
        <v>1</v>
      </c>
      <c r="BD949" s="3" t="n">
        <v>2</v>
      </c>
      <c r="BE949" s="3" t="n">
        <v>1</v>
      </c>
      <c r="BF949" s="3" t="n">
        <v>1</v>
      </c>
      <c r="BG949" s="3" t="n">
        <v>1</v>
      </c>
      <c r="BH949" s="3" t="n">
        <v>4</v>
      </c>
      <c r="BI949" s="3" t="n">
        <v>1</v>
      </c>
      <c r="BJ949" s="3" t="n">
        <v>1</v>
      </c>
      <c r="BK949" s="6" t="s">
        <v>2465</v>
      </c>
    </row>
    <row r="950" customFormat="false" ht="15" hidden="false" customHeight="true" outlineLevel="0" collapsed="false">
      <c r="B950" s="14" t="s">
        <v>2466</v>
      </c>
      <c r="C950" s="14" t="s">
        <v>510</v>
      </c>
      <c r="D950" s="14" t="s">
        <v>1361</v>
      </c>
      <c r="E950" s="14" t="n">
        <v>202697</v>
      </c>
      <c r="F950" s="22" t="n">
        <v>44105</v>
      </c>
      <c r="G950" s="22" t="n">
        <v>44112</v>
      </c>
      <c r="H950" s="3" t="n">
        <v>7</v>
      </c>
      <c r="I950" s="3" t="n">
        <v>2</v>
      </c>
      <c r="J950" s="3" t="n">
        <v>73</v>
      </c>
      <c r="K950" s="3" t="n">
        <v>1</v>
      </c>
      <c r="L950" s="3" t="n">
        <v>2</v>
      </c>
      <c r="M950" s="3" t="n">
        <v>1</v>
      </c>
      <c r="N950" s="3" t="n">
        <v>2</v>
      </c>
      <c r="O950" s="3" t="n">
        <v>1</v>
      </c>
      <c r="P950" s="3" t="n">
        <v>1</v>
      </c>
      <c r="Q950" s="3" t="n">
        <v>2</v>
      </c>
      <c r="R950" s="3" t="n">
        <v>2</v>
      </c>
      <c r="S950" s="3" t="n">
        <v>2</v>
      </c>
      <c r="T950" s="4" t="n">
        <v>1</v>
      </c>
      <c r="U950" s="3" t="n">
        <v>4</v>
      </c>
      <c r="V950" s="3" t="n">
        <v>4.81</v>
      </c>
      <c r="W950" s="3" t="n">
        <v>4.39</v>
      </c>
      <c r="X950" s="3" t="n">
        <v>7.18</v>
      </c>
      <c r="Y950" s="3" t="n">
        <v>669</v>
      </c>
      <c r="Z950" s="3" t="n">
        <v>124</v>
      </c>
      <c r="AA950" s="3" t="n">
        <v>0.52</v>
      </c>
      <c r="AB950" s="3" t="n">
        <v>11.3</v>
      </c>
      <c r="AC950" s="3" t="n">
        <v>1</v>
      </c>
      <c r="AD950" s="3" t="n">
        <v>1</v>
      </c>
      <c r="AE950" s="3" t="n">
        <v>1</v>
      </c>
      <c r="AF950" s="3" t="n">
        <v>1</v>
      </c>
      <c r="AG950" s="3" t="n">
        <v>2</v>
      </c>
      <c r="AH950" s="3" t="n">
        <v>2</v>
      </c>
      <c r="AI950" s="3" t="n">
        <v>1</v>
      </c>
      <c r="AJ950" s="3" t="n">
        <v>1</v>
      </c>
      <c r="AK950" s="3" t="n">
        <v>2</v>
      </c>
      <c r="AL950" s="3" t="n">
        <v>2</v>
      </c>
      <c r="AM950" s="3" t="n">
        <v>1</v>
      </c>
      <c r="AN950" s="3" t="n">
        <v>2</v>
      </c>
      <c r="AO950" s="3" t="n">
        <v>2</v>
      </c>
      <c r="AP950" s="3" t="n">
        <v>3</v>
      </c>
      <c r="AQ950" s="3" t="n">
        <v>4</v>
      </c>
      <c r="AR950" s="3" t="n">
        <v>4</v>
      </c>
      <c r="AS950" s="3" t="n">
        <v>6</v>
      </c>
      <c r="AT950" s="3" t="n">
        <v>4</v>
      </c>
      <c r="AU950" s="3" t="n">
        <v>4</v>
      </c>
      <c r="AV950" s="3" t="n">
        <v>6</v>
      </c>
      <c r="AW950" s="3" t="n">
        <v>6</v>
      </c>
      <c r="AX950" s="3" t="n">
        <v>3</v>
      </c>
      <c r="AY950" s="3" t="n">
        <v>3</v>
      </c>
      <c r="AZ950" s="3" t="n">
        <v>1</v>
      </c>
      <c r="BA950" s="5" t="n">
        <v>5</v>
      </c>
      <c r="BB950" s="3" t="n">
        <v>2</v>
      </c>
      <c r="BC950" s="3" t="n">
        <v>1</v>
      </c>
      <c r="BD950" s="3" t="n">
        <v>6</v>
      </c>
      <c r="BE950" s="3" t="n">
        <v>3</v>
      </c>
      <c r="BF950" s="3" t="n">
        <v>5</v>
      </c>
      <c r="BG950" s="3" t="n">
        <v>3</v>
      </c>
      <c r="BH950" s="3" t="n">
        <v>4</v>
      </c>
      <c r="BI950" s="3" t="n">
        <v>1</v>
      </c>
      <c r="BJ950" s="3" t="n">
        <v>1</v>
      </c>
      <c r="BK950" s="16" t="s">
        <v>2467</v>
      </c>
    </row>
    <row r="951" customFormat="false" ht="15" hidden="false" customHeight="true" outlineLevel="0" collapsed="false">
      <c r="B951" s="2" t="s">
        <v>2468</v>
      </c>
      <c r="C951" s="2" t="s">
        <v>74</v>
      </c>
      <c r="D951" s="2" t="s">
        <v>172</v>
      </c>
      <c r="E951" s="2" t="n">
        <v>202512</v>
      </c>
      <c r="F951" s="15" t="n">
        <v>44099</v>
      </c>
      <c r="G951" s="15" t="n">
        <v>44114</v>
      </c>
      <c r="H951" s="3" t="n">
        <v>15</v>
      </c>
      <c r="I951" s="3" t="n">
        <v>2</v>
      </c>
      <c r="J951" s="3" t="n">
        <v>65</v>
      </c>
      <c r="K951" s="3" t="n">
        <v>2</v>
      </c>
      <c r="L951" s="3" t="n">
        <v>2</v>
      </c>
      <c r="M951" s="3" t="n">
        <v>1</v>
      </c>
      <c r="N951" s="3" t="n">
        <v>2</v>
      </c>
      <c r="O951" s="3" t="n">
        <v>2</v>
      </c>
      <c r="P951" s="3" t="n">
        <v>2</v>
      </c>
      <c r="Q951" s="3" t="n">
        <v>1</v>
      </c>
      <c r="R951" s="3" t="n">
        <v>2</v>
      </c>
      <c r="S951" s="3" t="n">
        <v>2</v>
      </c>
      <c r="T951" s="4" t="n">
        <v>1</v>
      </c>
      <c r="U951" s="3" t="n">
        <v>4</v>
      </c>
      <c r="V951" s="3" t="n">
        <v>3.57</v>
      </c>
      <c r="W951" s="3" t="n">
        <v>1.1</v>
      </c>
      <c r="X951" s="3" t="n">
        <v>4.9</v>
      </c>
      <c r="Y951" s="3" t="n">
        <v>684</v>
      </c>
      <c r="Z951" s="3" t="n">
        <v>462</v>
      </c>
      <c r="AA951" s="3" t="n">
        <v>0.41</v>
      </c>
      <c r="AB951" s="3" t="n">
        <v>10</v>
      </c>
      <c r="AC951" s="3" t="n">
        <v>1</v>
      </c>
      <c r="AD951" s="3" t="n">
        <v>1</v>
      </c>
      <c r="AE951" s="3" t="n">
        <v>1</v>
      </c>
      <c r="AF951" s="3" t="n">
        <v>1</v>
      </c>
      <c r="AG951" s="3" t="n">
        <v>2</v>
      </c>
      <c r="AH951" s="3" t="n">
        <v>1</v>
      </c>
      <c r="AI951" s="3" t="n">
        <v>1</v>
      </c>
      <c r="AJ951" s="3" t="n">
        <v>1</v>
      </c>
      <c r="AK951" s="3" t="n">
        <v>2</v>
      </c>
      <c r="AL951" s="3" t="n">
        <v>2</v>
      </c>
      <c r="AM951" s="3" t="n">
        <v>2</v>
      </c>
      <c r="AN951" s="3" t="n">
        <v>2</v>
      </c>
      <c r="AO951" s="3" t="n">
        <v>2</v>
      </c>
      <c r="AP951" s="3" t="n">
        <v>1</v>
      </c>
      <c r="AQ951" s="3" t="n">
        <v>3</v>
      </c>
      <c r="AR951" s="3" t="n">
        <v>4</v>
      </c>
      <c r="AS951" s="3" t="n">
        <v>6</v>
      </c>
      <c r="AT951" s="3" t="n">
        <v>4</v>
      </c>
      <c r="AU951" s="3" t="n">
        <v>4</v>
      </c>
      <c r="AV951" s="3" t="n">
        <v>1</v>
      </c>
      <c r="AW951" s="3" t="n">
        <v>6</v>
      </c>
      <c r="AX951" s="3" t="n">
        <v>1</v>
      </c>
      <c r="AY951" s="3" t="n">
        <v>2</v>
      </c>
      <c r="AZ951" s="3" t="n">
        <v>1</v>
      </c>
      <c r="BA951" s="5" t="n">
        <v>5</v>
      </c>
      <c r="BB951" s="3" t="n">
        <v>2</v>
      </c>
      <c r="BC951" s="3" t="n">
        <v>1</v>
      </c>
      <c r="BD951" s="3" t="n">
        <v>6</v>
      </c>
      <c r="BE951" s="3" t="n">
        <v>3</v>
      </c>
      <c r="BF951" s="3" t="n">
        <v>5</v>
      </c>
      <c r="BG951" s="3" t="n">
        <v>3</v>
      </c>
      <c r="BH951" s="3" t="n">
        <v>4</v>
      </c>
      <c r="BI951" s="3" t="n">
        <v>1</v>
      </c>
      <c r="BJ951" s="3" t="n">
        <v>1</v>
      </c>
      <c r="BK951" s="6" t="s">
        <v>2469</v>
      </c>
    </row>
    <row r="952" customFormat="false" ht="15" hidden="false" customHeight="true" outlineLevel="0" collapsed="false">
      <c r="B952" s="2" t="s">
        <v>2470</v>
      </c>
      <c r="C952" s="2" t="s">
        <v>396</v>
      </c>
      <c r="D952" s="2" t="s">
        <v>2471</v>
      </c>
      <c r="E952" s="2" t="n">
        <v>202732</v>
      </c>
      <c r="F952" s="15" t="n">
        <v>44110</v>
      </c>
      <c r="G952" s="15" t="n">
        <v>44114</v>
      </c>
      <c r="H952" s="3" t="n">
        <v>4</v>
      </c>
      <c r="I952" s="3" t="n">
        <v>2</v>
      </c>
      <c r="J952" s="3" t="n">
        <v>61</v>
      </c>
      <c r="K952" s="3" t="n">
        <v>1</v>
      </c>
      <c r="L952" s="3" t="n">
        <v>2</v>
      </c>
      <c r="M952" s="3" t="n">
        <v>1</v>
      </c>
      <c r="N952" s="3" t="n">
        <v>2</v>
      </c>
      <c r="O952" s="3" t="n">
        <v>2</v>
      </c>
      <c r="P952" s="3" t="n">
        <v>2</v>
      </c>
      <c r="Q952" s="3" t="n">
        <v>2</v>
      </c>
      <c r="R952" s="3" t="n">
        <v>2</v>
      </c>
      <c r="S952" s="3" t="n">
        <v>1</v>
      </c>
      <c r="T952" s="4" t="n">
        <v>5</v>
      </c>
      <c r="U952" s="3" t="n">
        <v>1</v>
      </c>
      <c r="V952" s="3" t="n">
        <v>3.44</v>
      </c>
      <c r="W952" s="3" t="n">
        <v>2.44</v>
      </c>
      <c r="X952" s="3" t="n">
        <v>8.2</v>
      </c>
      <c r="Y952" s="3" t="n">
        <v>388</v>
      </c>
      <c r="Z952" s="3" t="n">
        <v>96</v>
      </c>
      <c r="AA952" s="3" t="n">
        <v>0.47</v>
      </c>
      <c r="AB952" s="3" t="n">
        <v>6.3</v>
      </c>
      <c r="AC952" s="3" t="n">
        <v>1</v>
      </c>
      <c r="AD952" s="3" t="n">
        <v>1</v>
      </c>
      <c r="AE952" s="3" t="n">
        <v>2</v>
      </c>
      <c r="AF952" s="3" t="n">
        <v>1</v>
      </c>
      <c r="AG952" s="3" t="n">
        <v>1</v>
      </c>
      <c r="AH952" s="3" t="n">
        <v>2</v>
      </c>
      <c r="AI952" s="3" t="n">
        <v>1</v>
      </c>
      <c r="AJ952" s="3" t="n">
        <v>1</v>
      </c>
      <c r="AK952" s="3" t="n">
        <v>2</v>
      </c>
      <c r="AL952" s="3" t="n">
        <v>2</v>
      </c>
      <c r="AM952" s="3" t="n">
        <v>2</v>
      </c>
      <c r="AN952" s="3" t="n">
        <v>2</v>
      </c>
      <c r="AO952" s="3" t="n">
        <v>2</v>
      </c>
      <c r="AP952" s="3" t="n">
        <v>1</v>
      </c>
      <c r="AQ952" s="3" t="n">
        <v>2</v>
      </c>
      <c r="AR952" s="3" t="n">
        <v>5</v>
      </c>
      <c r="AS952" s="3" t="n">
        <v>4</v>
      </c>
      <c r="AT952" s="3" t="n">
        <v>3</v>
      </c>
      <c r="AU952" s="3" t="n">
        <v>1</v>
      </c>
      <c r="AV952" s="3" t="n">
        <v>1</v>
      </c>
      <c r="AW952" s="3" t="n">
        <v>1</v>
      </c>
      <c r="AX952" s="3" t="n">
        <v>2</v>
      </c>
      <c r="AY952" s="3" t="n">
        <v>2</v>
      </c>
      <c r="AZ952" s="3" t="n">
        <v>1</v>
      </c>
      <c r="BA952" s="5" t="n">
        <v>5</v>
      </c>
      <c r="BB952" s="3" t="n">
        <v>2</v>
      </c>
      <c r="BC952" s="3" t="n">
        <v>1</v>
      </c>
      <c r="BD952" s="3" t="n">
        <v>6</v>
      </c>
      <c r="BE952" s="3" t="n">
        <v>3</v>
      </c>
      <c r="BF952" s="3" t="n">
        <v>5</v>
      </c>
      <c r="BG952" s="3" t="n">
        <v>3</v>
      </c>
      <c r="BH952" s="3" t="n">
        <v>4</v>
      </c>
      <c r="BI952" s="3" t="n">
        <v>1</v>
      </c>
      <c r="BJ952" s="3" t="n">
        <v>1</v>
      </c>
      <c r="BK952" s="6" t="s">
        <v>2472</v>
      </c>
    </row>
    <row r="953" customFormat="false" ht="15" hidden="false" customHeight="true" outlineLevel="0" collapsed="false">
      <c r="B953" s="2" t="s">
        <v>2473</v>
      </c>
      <c r="C953" s="2" t="s">
        <v>846</v>
      </c>
      <c r="D953" s="2" t="s">
        <v>458</v>
      </c>
      <c r="E953" s="2" t="n">
        <v>202700</v>
      </c>
      <c r="F953" s="15" t="n">
        <v>44109</v>
      </c>
      <c r="G953" s="15" t="n">
        <v>44116</v>
      </c>
      <c r="H953" s="3" t="n">
        <v>7</v>
      </c>
      <c r="I953" s="3" t="n">
        <v>2</v>
      </c>
      <c r="J953" s="3" t="n">
        <v>79</v>
      </c>
      <c r="K953" s="3" t="n">
        <v>1</v>
      </c>
      <c r="L953" s="3" t="n">
        <v>1</v>
      </c>
      <c r="M953" s="3" t="n">
        <v>1</v>
      </c>
      <c r="N953" s="3" t="n">
        <v>2</v>
      </c>
      <c r="O953" s="3" t="n">
        <v>2</v>
      </c>
      <c r="P953" s="3" t="n">
        <v>2</v>
      </c>
      <c r="Q953" s="3" t="n">
        <v>2</v>
      </c>
      <c r="R953" s="3" t="n">
        <v>2</v>
      </c>
      <c r="S953" s="3" t="n">
        <v>2</v>
      </c>
      <c r="T953" s="4" t="n">
        <v>2</v>
      </c>
      <c r="U953" s="3" t="n">
        <v>2</v>
      </c>
      <c r="V953" s="3" t="n">
        <v>5.81</v>
      </c>
      <c r="W953" s="3" t="n">
        <v>0.64</v>
      </c>
      <c r="X953" s="3" t="n">
        <v>6.9</v>
      </c>
      <c r="Y953" s="3" t="n">
        <v>443</v>
      </c>
      <c r="Z953" s="3" t="n">
        <v>98</v>
      </c>
      <c r="AA953" s="3" t="n">
        <v>0.52</v>
      </c>
      <c r="AB953" s="3" t="n">
        <v>15.6</v>
      </c>
      <c r="AC953" s="3" t="n">
        <v>1</v>
      </c>
      <c r="AD953" s="3" t="n">
        <v>2</v>
      </c>
      <c r="AE953" s="3" t="n">
        <v>1</v>
      </c>
      <c r="AF953" s="3" t="n">
        <v>1</v>
      </c>
      <c r="AG953" s="3" t="n">
        <v>1</v>
      </c>
      <c r="AH953" s="3" t="n">
        <v>2</v>
      </c>
      <c r="AI953" s="3" t="n">
        <v>1</v>
      </c>
      <c r="AJ953" s="3" t="n">
        <v>1</v>
      </c>
      <c r="AK953" s="3" t="n">
        <v>2</v>
      </c>
      <c r="AL953" s="3" t="n">
        <v>2</v>
      </c>
      <c r="AM953" s="3" t="n">
        <v>1</v>
      </c>
      <c r="AN953" s="3" t="n">
        <v>2</v>
      </c>
      <c r="AO953" s="3" t="n">
        <v>2</v>
      </c>
      <c r="AP953" s="3" t="n">
        <v>3</v>
      </c>
      <c r="AQ953" s="3" t="n">
        <v>4</v>
      </c>
      <c r="AR953" s="3" t="n">
        <v>4</v>
      </c>
      <c r="AS953" s="3" t="n">
        <v>6</v>
      </c>
      <c r="AT953" s="3" t="n">
        <v>4</v>
      </c>
      <c r="AU953" s="3" t="n">
        <v>4</v>
      </c>
      <c r="AV953" s="3" t="n">
        <v>6</v>
      </c>
      <c r="AW953" s="3" t="n">
        <v>6</v>
      </c>
      <c r="AX953" s="3" t="n">
        <v>3</v>
      </c>
      <c r="AY953" s="3" t="n">
        <v>3</v>
      </c>
      <c r="AZ953" s="3" t="n">
        <v>1</v>
      </c>
      <c r="BA953" s="5" t="n">
        <v>1</v>
      </c>
      <c r="BB953" s="3" t="n">
        <v>1</v>
      </c>
      <c r="BC953" s="3" t="n">
        <v>1</v>
      </c>
      <c r="BD953" s="3" t="n">
        <v>2</v>
      </c>
      <c r="BE953" s="3" t="n">
        <v>3</v>
      </c>
      <c r="BF953" s="3" t="n">
        <v>5</v>
      </c>
      <c r="BG953" s="3" t="n">
        <v>3</v>
      </c>
      <c r="BH953" s="3" t="n">
        <v>4</v>
      </c>
      <c r="BI953" s="3" t="n">
        <v>1</v>
      </c>
      <c r="BJ953" s="3" t="n">
        <v>1</v>
      </c>
      <c r="BK953" s="6" t="s">
        <v>2474</v>
      </c>
    </row>
    <row r="954" customFormat="false" ht="15" hidden="false" customHeight="true" outlineLevel="0" collapsed="false">
      <c r="B954" s="2" t="s">
        <v>2475</v>
      </c>
      <c r="C954" s="2" t="s">
        <v>2476</v>
      </c>
      <c r="D954" s="2" t="s">
        <v>197</v>
      </c>
      <c r="E954" s="2" t="n">
        <v>202735</v>
      </c>
      <c r="F954" s="15" t="n">
        <v>44110</v>
      </c>
      <c r="G954" s="15" t="n">
        <v>44116</v>
      </c>
      <c r="H954" s="3" t="n">
        <v>6</v>
      </c>
      <c r="I954" s="3" t="n">
        <v>2</v>
      </c>
      <c r="J954" s="3" t="n">
        <v>66</v>
      </c>
      <c r="K954" s="3" t="n">
        <v>1</v>
      </c>
      <c r="L954" s="3" t="n">
        <v>1</v>
      </c>
      <c r="M954" s="3" t="n">
        <v>1</v>
      </c>
      <c r="N954" s="3" t="n">
        <v>2</v>
      </c>
      <c r="O954" s="3" t="n">
        <v>2</v>
      </c>
      <c r="P954" s="3" t="n">
        <v>2</v>
      </c>
      <c r="Q954" s="3" t="n">
        <v>2</v>
      </c>
      <c r="R954" s="3" t="n">
        <v>2</v>
      </c>
      <c r="S954" s="3" t="n">
        <v>2</v>
      </c>
      <c r="T954" s="4" t="n">
        <v>2</v>
      </c>
      <c r="U954" s="3" t="n">
        <v>2</v>
      </c>
      <c r="V954" s="3" t="n">
        <v>5.4</v>
      </c>
      <c r="W954" s="3" t="n">
        <v>1.19</v>
      </c>
      <c r="X954" s="3" t="n">
        <v>5.58</v>
      </c>
      <c r="Y954" s="3" t="n">
        <v>353</v>
      </c>
      <c r="Z954" s="3" t="n">
        <v>96</v>
      </c>
      <c r="AA954" s="3" t="n">
        <v>0.5</v>
      </c>
      <c r="AB954" s="3" t="n">
        <v>12</v>
      </c>
      <c r="AC954" s="3" t="n">
        <v>1</v>
      </c>
      <c r="AD954" s="3" t="n">
        <v>2</v>
      </c>
      <c r="AE954" s="3" t="n">
        <v>1</v>
      </c>
      <c r="AF954" s="3" t="n">
        <v>1</v>
      </c>
      <c r="AG954" s="3" t="n">
        <v>1</v>
      </c>
      <c r="AH954" s="3" t="n">
        <v>2</v>
      </c>
      <c r="AI954" s="3" t="n">
        <v>1</v>
      </c>
      <c r="AJ954" s="3" t="n">
        <v>1</v>
      </c>
      <c r="AK954" s="3" t="n">
        <v>2</v>
      </c>
      <c r="AL954" s="3" t="n">
        <v>2</v>
      </c>
      <c r="AM954" s="3" t="n">
        <v>1</v>
      </c>
      <c r="AN954" s="3" t="n">
        <v>2</v>
      </c>
      <c r="AO954" s="3" t="n">
        <v>2</v>
      </c>
      <c r="AP954" s="3" t="n">
        <v>3</v>
      </c>
      <c r="AQ954" s="3" t="n">
        <v>4</v>
      </c>
      <c r="AR954" s="3" t="n">
        <v>4</v>
      </c>
      <c r="AS954" s="3" t="n">
        <v>6</v>
      </c>
      <c r="AT954" s="3" t="n">
        <v>4</v>
      </c>
      <c r="AU954" s="3" t="n">
        <v>4</v>
      </c>
      <c r="AV954" s="3" t="n">
        <v>6</v>
      </c>
      <c r="AW954" s="3" t="n">
        <v>6</v>
      </c>
      <c r="AX954" s="3" t="n">
        <v>3</v>
      </c>
      <c r="AY954" s="3" t="n">
        <v>3</v>
      </c>
      <c r="AZ954" s="3" t="n">
        <v>1</v>
      </c>
      <c r="BA954" s="5" t="n">
        <v>1</v>
      </c>
      <c r="BB954" s="3" t="n">
        <v>1</v>
      </c>
      <c r="BC954" s="3" t="n">
        <v>1</v>
      </c>
      <c r="BD954" s="3" t="n">
        <v>6</v>
      </c>
      <c r="BE954" s="3" t="n">
        <v>3</v>
      </c>
      <c r="BF954" s="3" t="n">
        <v>5</v>
      </c>
      <c r="BG954" s="3" t="n">
        <v>3</v>
      </c>
      <c r="BH954" s="3" t="n">
        <v>4</v>
      </c>
      <c r="BI954" s="3" t="n">
        <v>1</v>
      </c>
      <c r="BJ954" s="3" t="n">
        <v>1</v>
      </c>
      <c r="BK954" s="6" t="s">
        <v>2477</v>
      </c>
    </row>
    <row r="955" customFormat="false" ht="15" hidden="false" customHeight="true" outlineLevel="0" collapsed="false">
      <c r="B955" s="2" t="s">
        <v>2478</v>
      </c>
      <c r="C955" s="2" t="s">
        <v>2479</v>
      </c>
      <c r="D955" s="2" t="s">
        <v>1984</v>
      </c>
      <c r="E955" s="2" t="n">
        <v>202988</v>
      </c>
      <c r="F955" s="15" t="n">
        <v>44112</v>
      </c>
      <c r="G955" s="15" t="n">
        <v>44117</v>
      </c>
      <c r="H955" s="3" t="n">
        <v>5</v>
      </c>
      <c r="I955" s="3" t="n">
        <v>2</v>
      </c>
      <c r="J955" s="3" t="n">
        <v>57</v>
      </c>
      <c r="K955" s="3" t="n">
        <v>1</v>
      </c>
      <c r="L955" s="3" t="n">
        <v>1</v>
      </c>
      <c r="M955" s="3" t="n">
        <v>1</v>
      </c>
      <c r="N955" s="3" t="n">
        <v>2</v>
      </c>
      <c r="O955" s="3" t="n">
        <v>2</v>
      </c>
      <c r="P955" s="3" t="n">
        <v>2</v>
      </c>
      <c r="Q955" s="3" t="n">
        <v>2</v>
      </c>
      <c r="R955" s="3" t="n">
        <v>2</v>
      </c>
      <c r="S955" s="3" t="n">
        <v>2</v>
      </c>
      <c r="T955" s="4" t="n">
        <v>1</v>
      </c>
      <c r="U955" s="3" t="n">
        <v>1</v>
      </c>
      <c r="V955" s="3" t="n">
        <v>4.8</v>
      </c>
      <c r="W955" s="3" t="n">
        <v>1.69</v>
      </c>
      <c r="X955" s="3" t="n">
        <v>4.2</v>
      </c>
      <c r="Y955" s="3" t="n">
        <v>544</v>
      </c>
      <c r="Z955" s="3" t="n">
        <v>136</v>
      </c>
      <c r="AA955" s="3" t="n">
        <v>0.51</v>
      </c>
      <c r="AB955" s="3" t="n">
        <v>10.5</v>
      </c>
      <c r="AC955" s="3" t="n">
        <v>1</v>
      </c>
      <c r="AD955" s="3" t="n">
        <v>2</v>
      </c>
      <c r="AE955" s="3" t="n">
        <v>1</v>
      </c>
      <c r="AF955" s="3" t="n">
        <v>1</v>
      </c>
      <c r="AG955" s="3" t="n">
        <v>1</v>
      </c>
      <c r="AH955" s="3" t="n">
        <v>1</v>
      </c>
      <c r="AI955" s="3" t="n">
        <v>1</v>
      </c>
      <c r="AJ955" s="3" t="n">
        <v>1</v>
      </c>
      <c r="AK955" s="3" t="n">
        <v>2</v>
      </c>
      <c r="AL955" s="3" t="n">
        <v>2</v>
      </c>
      <c r="AM955" s="3" t="n">
        <v>1</v>
      </c>
      <c r="AN955" s="3" t="n">
        <v>2</v>
      </c>
      <c r="AO955" s="3" t="n">
        <v>2</v>
      </c>
      <c r="AP955" s="3" t="n">
        <v>3</v>
      </c>
      <c r="AQ955" s="3" t="n">
        <v>4</v>
      </c>
      <c r="AR955" s="3" t="n">
        <v>4</v>
      </c>
      <c r="AS955" s="3" t="n">
        <v>6</v>
      </c>
      <c r="AT955" s="3" t="n">
        <v>4</v>
      </c>
      <c r="AU955" s="3" t="n">
        <v>4</v>
      </c>
      <c r="AV955" s="3" t="n">
        <v>6</v>
      </c>
      <c r="AW955" s="3" t="n">
        <v>6</v>
      </c>
      <c r="AX955" s="3" t="n">
        <v>3</v>
      </c>
      <c r="AY955" s="3" t="n">
        <v>3</v>
      </c>
      <c r="AZ955" s="3" t="n">
        <v>1</v>
      </c>
      <c r="BA955" s="5" t="n">
        <v>5</v>
      </c>
      <c r="BB955" s="3" t="n">
        <v>2</v>
      </c>
      <c r="BC955" s="3" t="n">
        <v>1</v>
      </c>
      <c r="BD955" s="3" t="n">
        <v>6</v>
      </c>
      <c r="BE955" s="3" t="n">
        <v>3</v>
      </c>
      <c r="BF955" s="3" t="n">
        <v>5</v>
      </c>
      <c r="BG955" s="3" t="n">
        <v>3</v>
      </c>
      <c r="BH955" s="3" t="n">
        <v>4</v>
      </c>
      <c r="BI955" s="3" t="n">
        <v>1</v>
      </c>
      <c r="BJ955" s="3" t="n">
        <v>1</v>
      </c>
      <c r="BK955" s="6" t="s">
        <v>2480</v>
      </c>
    </row>
    <row r="956" customFormat="false" ht="15" hidden="false" customHeight="true" outlineLevel="0" collapsed="false">
      <c r="B956" s="2" t="s">
        <v>2481</v>
      </c>
      <c r="C956" s="2" t="s">
        <v>549</v>
      </c>
      <c r="D956" s="2" t="s">
        <v>269</v>
      </c>
      <c r="E956" s="2" t="n">
        <v>152327</v>
      </c>
      <c r="F956" s="15" t="n">
        <v>44113</v>
      </c>
      <c r="G956" s="15" t="n">
        <v>44117</v>
      </c>
      <c r="H956" s="3" t="n">
        <v>5</v>
      </c>
      <c r="I956" s="3" t="n">
        <v>2</v>
      </c>
      <c r="J956" s="3" t="n">
        <v>73</v>
      </c>
      <c r="K956" s="3" t="n">
        <v>1</v>
      </c>
      <c r="L956" s="3" t="n">
        <v>2</v>
      </c>
      <c r="M956" s="3" t="n">
        <v>1</v>
      </c>
      <c r="N956" s="3" t="n">
        <v>2</v>
      </c>
      <c r="O956" s="3" t="n">
        <v>2</v>
      </c>
      <c r="P956" s="3" t="n">
        <v>2</v>
      </c>
      <c r="Q956" s="3" t="n">
        <v>2</v>
      </c>
      <c r="R956" s="3" t="n">
        <v>2</v>
      </c>
      <c r="S956" s="3" t="n">
        <v>2</v>
      </c>
      <c r="T956" s="4" t="n">
        <v>1</v>
      </c>
      <c r="U956" s="3" t="n">
        <v>1</v>
      </c>
      <c r="V956" s="3" t="n">
        <v>5.39</v>
      </c>
      <c r="W956" s="3" t="n">
        <v>1.39</v>
      </c>
      <c r="X956" s="3" t="n">
        <v>4.8</v>
      </c>
      <c r="Y956" s="3" t="n">
        <v>442</v>
      </c>
      <c r="Z956" s="3" t="n">
        <v>83</v>
      </c>
      <c r="AA956" s="3" t="n">
        <v>0.42</v>
      </c>
      <c r="AB956" s="3" t="n">
        <v>9.3</v>
      </c>
      <c r="AC956" s="3" t="n">
        <v>1</v>
      </c>
      <c r="AD956" s="3" t="n">
        <v>1</v>
      </c>
      <c r="AE956" s="3" t="n">
        <v>1</v>
      </c>
      <c r="AF956" s="3" t="n">
        <v>1</v>
      </c>
      <c r="AG956" s="3" t="n">
        <v>1</v>
      </c>
      <c r="AH956" s="3" t="n">
        <v>1</v>
      </c>
      <c r="AI956" s="3" t="n">
        <v>1</v>
      </c>
      <c r="AJ956" s="3" t="n">
        <v>1</v>
      </c>
      <c r="AK956" s="3" t="n">
        <v>2</v>
      </c>
      <c r="AL956" s="3" t="n">
        <v>2</v>
      </c>
      <c r="AM956" s="3" t="n">
        <v>2</v>
      </c>
      <c r="AN956" s="3" t="n">
        <v>2</v>
      </c>
      <c r="AO956" s="3" t="n">
        <v>2</v>
      </c>
      <c r="AP956" s="3" t="n">
        <v>3</v>
      </c>
      <c r="AQ956" s="3" t="n">
        <v>4</v>
      </c>
      <c r="AR956" s="3" t="n">
        <v>4</v>
      </c>
      <c r="AS956" s="3" t="n">
        <v>6</v>
      </c>
      <c r="AT956" s="3" t="n">
        <v>4</v>
      </c>
      <c r="AU956" s="3" t="n">
        <v>4</v>
      </c>
      <c r="AV956" s="3" t="n">
        <v>6</v>
      </c>
      <c r="AW956" s="3" t="n">
        <v>6</v>
      </c>
      <c r="AX956" s="3" t="n">
        <v>3</v>
      </c>
      <c r="AY956" s="3" t="n">
        <v>3</v>
      </c>
      <c r="AZ956" s="3" t="n">
        <v>1</v>
      </c>
      <c r="BA956" s="5" t="n">
        <v>5</v>
      </c>
      <c r="BB956" s="3" t="n">
        <v>2</v>
      </c>
      <c r="BC956" s="3" t="n">
        <v>1</v>
      </c>
      <c r="BD956" s="3" t="n">
        <v>6</v>
      </c>
      <c r="BE956" s="3" t="n">
        <v>3</v>
      </c>
      <c r="BF956" s="3" t="n">
        <v>5</v>
      </c>
      <c r="BG956" s="3" t="n">
        <v>3</v>
      </c>
      <c r="BH956" s="3" t="n">
        <v>4</v>
      </c>
      <c r="BI956" s="3" t="n">
        <v>1</v>
      </c>
      <c r="BJ956" s="3" t="n">
        <v>1</v>
      </c>
      <c r="BK956" s="6" t="s">
        <v>2482</v>
      </c>
    </row>
    <row r="957" customFormat="false" ht="15.75" hidden="false" customHeight="true" outlineLevel="0" collapsed="false">
      <c r="B957" s="14" t="s">
        <v>89</v>
      </c>
      <c r="C957" s="14" t="s">
        <v>549</v>
      </c>
      <c r="D957" s="14" t="s">
        <v>456</v>
      </c>
      <c r="E957" s="14" t="n">
        <v>203060</v>
      </c>
      <c r="F957" s="22" t="n">
        <v>44116</v>
      </c>
      <c r="G957" s="22" t="n">
        <v>44117</v>
      </c>
      <c r="H957" s="3" t="n">
        <v>1</v>
      </c>
      <c r="I957" s="3" t="n">
        <v>1</v>
      </c>
      <c r="J957" s="3" t="n">
        <v>60</v>
      </c>
      <c r="K957" s="3" t="n">
        <v>1</v>
      </c>
      <c r="L957" s="3" t="n">
        <v>2</v>
      </c>
      <c r="M957" s="3" t="n">
        <v>1</v>
      </c>
      <c r="N957" s="3" t="n">
        <v>1</v>
      </c>
      <c r="O957" s="3" t="n">
        <v>2</v>
      </c>
      <c r="P957" s="3" t="n">
        <v>2</v>
      </c>
      <c r="Q957" s="3" t="n">
        <v>2</v>
      </c>
      <c r="R957" s="3" t="n">
        <v>2</v>
      </c>
      <c r="S957" s="3" t="n">
        <v>2</v>
      </c>
      <c r="T957" s="4" t="n">
        <v>5</v>
      </c>
      <c r="U957" s="3" t="n">
        <v>1</v>
      </c>
      <c r="V957" s="3" t="n">
        <v>6.2</v>
      </c>
      <c r="W957" s="3" t="n">
        <v>2.4</v>
      </c>
      <c r="X957" s="3" t="n">
        <v>4.1</v>
      </c>
      <c r="Y957" s="3" t="n">
        <v>286</v>
      </c>
      <c r="Z957" s="3" t="n">
        <v>62</v>
      </c>
      <c r="AA957" s="3" t="n">
        <v>0.43</v>
      </c>
      <c r="AB957" s="3" t="n">
        <v>12.9</v>
      </c>
      <c r="AC957" s="3" t="n">
        <v>3</v>
      </c>
      <c r="AD957" s="3" t="n">
        <v>1</v>
      </c>
      <c r="AE957" s="3" t="n">
        <v>2</v>
      </c>
      <c r="AF957" s="3" t="n">
        <v>1</v>
      </c>
      <c r="AG957" s="3" t="n">
        <v>1</v>
      </c>
      <c r="AH957" s="3" t="n">
        <v>1</v>
      </c>
      <c r="AI957" s="3" t="n">
        <v>1</v>
      </c>
      <c r="AJ957" s="3" t="n">
        <v>2</v>
      </c>
      <c r="AK957" s="3" t="n">
        <v>2</v>
      </c>
      <c r="AL957" s="3" t="n">
        <v>2</v>
      </c>
      <c r="AM957" s="3" t="n">
        <v>2</v>
      </c>
      <c r="AN957" s="3" t="n">
        <v>2</v>
      </c>
      <c r="AO957" s="3" t="n">
        <v>2</v>
      </c>
      <c r="AP957" s="3" t="n">
        <v>5</v>
      </c>
      <c r="AQ957" s="3" t="n">
        <v>1</v>
      </c>
      <c r="AR957" s="3" t="n">
        <v>4</v>
      </c>
      <c r="AS957" s="3" t="n">
        <v>6</v>
      </c>
      <c r="AT957" s="3" t="n">
        <v>4</v>
      </c>
      <c r="AU957" s="3" t="n">
        <v>4</v>
      </c>
      <c r="AV957" s="3" t="n">
        <v>1</v>
      </c>
      <c r="AW957" s="3" t="n">
        <v>6</v>
      </c>
      <c r="AX957" s="3" t="n">
        <v>2</v>
      </c>
      <c r="AY957" s="3" t="n">
        <v>1</v>
      </c>
      <c r="AZ957" s="3" t="n">
        <v>1</v>
      </c>
      <c r="BA957" s="5" t="n">
        <v>3</v>
      </c>
      <c r="BB957" s="3" t="n">
        <v>2</v>
      </c>
      <c r="BC957" s="3" t="n">
        <v>1</v>
      </c>
      <c r="BD957" s="3" t="n">
        <v>6</v>
      </c>
      <c r="BE957" s="3" t="n">
        <v>3</v>
      </c>
      <c r="BF957" s="3" t="n">
        <v>5</v>
      </c>
      <c r="BG957" s="3" t="n">
        <v>3</v>
      </c>
      <c r="BH957" s="3" t="n">
        <v>4</v>
      </c>
      <c r="BI957" s="3" t="n">
        <v>1</v>
      </c>
      <c r="BJ957" s="3" t="n">
        <v>1</v>
      </c>
      <c r="BK957" s="16" t="s">
        <v>2483</v>
      </c>
    </row>
    <row r="958" customFormat="false" ht="15" hidden="false" customHeight="true" outlineLevel="0" collapsed="false">
      <c r="B958" s="2" t="s">
        <v>180</v>
      </c>
      <c r="C958" s="2" t="s">
        <v>2484</v>
      </c>
      <c r="D958" s="2" t="s">
        <v>244</v>
      </c>
      <c r="E958" s="2" t="n">
        <v>202991</v>
      </c>
      <c r="F958" s="15" t="n">
        <v>44113</v>
      </c>
      <c r="G958" s="15" t="n">
        <v>44120</v>
      </c>
      <c r="H958" s="3" t="n">
        <v>7</v>
      </c>
      <c r="I958" s="3" t="n">
        <v>2</v>
      </c>
      <c r="J958" s="3" t="n">
        <v>43</v>
      </c>
      <c r="K958" s="3" t="n">
        <v>2</v>
      </c>
      <c r="L958" s="3" t="n">
        <v>1</v>
      </c>
      <c r="M958" s="3" t="n">
        <v>1</v>
      </c>
      <c r="N958" s="3" t="n">
        <v>2</v>
      </c>
      <c r="O958" s="3" t="n">
        <v>2</v>
      </c>
      <c r="P958" s="3" t="n">
        <v>2</v>
      </c>
      <c r="Q958" s="3" t="n">
        <v>2</v>
      </c>
      <c r="R958" s="3" t="n">
        <v>2</v>
      </c>
      <c r="S958" s="3" t="n">
        <v>2</v>
      </c>
      <c r="T958" s="4" t="n">
        <v>2</v>
      </c>
      <c r="U958" s="3" t="n">
        <v>2</v>
      </c>
      <c r="V958" s="3" t="n">
        <v>4.83</v>
      </c>
      <c r="W958" s="3" t="n">
        <v>1.56</v>
      </c>
      <c r="X958" s="3" t="n">
        <v>4.9</v>
      </c>
      <c r="Y958" s="3" t="n">
        <v>422</v>
      </c>
      <c r="Z958" s="3" t="n">
        <v>102</v>
      </c>
      <c r="AA958" s="3" t="n">
        <v>0.53</v>
      </c>
      <c r="AB958" s="3" t="n">
        <v>9.6</v>
      </c>
      <c r="AC958" s="3" t="n">
        <v>1</v>
      </c>
      <c r="AD958" s="3" t="n">
        <v>2</v>
      </c>
      <c r="AE958" s="3" t="n">
        <v>1</v>
      </c>
      <c r="AF958" s="3" t="n">
        <v>1</v>
      </c>
      <c r="AG958" s="3" t="n">
        <v>2</v>
      </c>
      <c r="AH958" s="3" t="n">
        <v>2</v>
      </c>
      <c r="AI958" s="3" t="n">
        <v>1</v>
      </c>
      <c r="AJ958" s="3" t="n">
        <v>1</v>
      </c>
      <c r="AK958" s="3" t="n">
        <v>2</v>
      </c>
      <c r="AL958" s="3" t="n">
        <v>2</v>
      </c>
      <c r="AM958" s="3" t="n">
        <v>2</v>
      </c>
      <c r="AN958" s="3" t="n">
        <v>2</v>
      </c>
      <c r="AO958" s="3" t="n">
        <v>2</v>
      </c>
      <c r="AP958" s="3" t="n">
        <v>3</v>
      </c>
      <c r="AQ958" s="3" t="n">
        <v>4</v>
      </c>
      <c r="AR958" s="3" t="n">
        <v>4</v>
      </c>
      <c r="AS958" s="3" t="n">
        <v>6</v>
      </c>
      <c r="AT958" s="3" t="n">
        <v>4</v>
      </c>
      <c r="AU958" s="3" t="n">
        <v>4</v>
      </c>
      <c r="AV958" s="3" t="n">
        <v>6</v>
      </c>
      <c r="AW958" s="3" t="n">
        <v>6</v>
      </c>
      <c r="AX958" s="3" t="n">
        <v>3</v>
      </c>
      <c r="AY958" s="3" t="n">
        <v>3</v>
      </c>
      <c r="AZ958" s="3" t="n">
        <v>5</v>
      </c>
      <c r="BA958" s="5" t="n">
        <v>1</v>
      </c>
      <c r="BB958" s="3" t="n">
        <v>1</v>
      </c>
      <c r="BC958" s="3" t="n">
        <v>1</v>
      </c>
      <c r="BD958" s="3" t="n">
        <v>2</v>
      </c>
      <c r="BE958" s="3" t="n">
        <v>3</v>
      </c>
      <c r="BF958" s="3" t="n">
        <v>5</v>
      </c>
      <c r="BG958" s="3" t="n">
        <v>3</v>
      </c>
      <c r="BH958" s="3" t="n">
        <v>4</v>
      </c>
      <c r="BI958" s="3" t="n">
        <v>1</v>
      </c>
      <c r="BJ958" s="3" t="n">
        <v>1</v>
      </c>
      <c r="BK958" s="6" t="s">
        <v>2485</v>
      </c>
    </row>
    <row r="959" customFormat="false" ht="15" hidden="false" customHeight="true" outlineLevel="0" collapsed="false">
      <c r="B959" s="2" t="s">
        <v>339</v>
      </c>
      <c r="C959" s="2" t="s">
        <v>244</v>
      </c>
      <c r="D959" s="2" t="s">
        <v>2486</v>
      </c>
      <c r="E959" s="2" t="n">
        <v>203040</v>
      </c>
      <c r="F959" s="15" t="n">
        <v>44114</v>
      </c>
      <c r="G959" s="15" t="n">
        <v>44121</v>
      </c>
      <c r="H959" s="3" t="n">
        <v>7</v>
      </c>
      <c r="I959" s="3" t="n">
        <v>1</v>
      </c>
      <c r="J959" s="3" t="n">
        <v>72</v>
      </c>
      <c r="K959" s="3" t="n">
        <v>1</v>
      </c>
      <c r="L959" s="3" t="n">
        <v>2</v>
      </c>
      <c r="M959" s="3" t="n">
        <v>1</v>
      </c>
      <c r="N959" s="3" t="n">
        <v>2</v>
      </c>
      <c r="O959" s="3" t="n">
        <v>2</v>
      </c>
      <c r="P959" s="3" t="n">
        <v>2</v>
      </c>
      <c r="Q959" s="3" t="n">
        <v>2</v>
      </c>
      <c r="R959" s="3" t="n">
        <v>2</v>
      </c>
      <c r="S959" s="3" t="n">
        <v>2</v>
      </c>
      <c r="T959" s="4" t="n">
        <v>2</v>
      </c>
      <c r="U959" s="3" t="n">
        <v>2</v>
      </c>
      <c r="V959" s="3" t="n">
        <v>5.89</v>
      </c>
      <c r="W959" s="3" t="n">
        <v>3.45</v>
      </c>
      <c r="X959" s="3" t="n">
        <v>5.24</v>
      </c>
      <c r="Y959" s="3" t="n">
        <v>318</v>
      </c>
      <c r="Z959" s="3" t="n">
        <v>106</v>
      </c>
      <c r="AA959" s="3" t="n">
        <v>0.41</v>
      </c>
      <c r="AB959" s="3" t="n">
        <v>12.4</v>
      </c>
      <c r="AC959" s="3" t="n">
        <v>1</v>
      </c>
      <c r="AD959" s="3" t="n">
        <v>2</v>
      </c>
      <c r="AE959" s="3" t="n">
        <v>1</v>
      </c>
      <c r="AF959" s="3" t="n">
        <v>1</v>
      </c>
      <c r="AG959" s="3" t="n">
        <v>1</v>
      </c>
      <c r="AH959" s="3" t="n">
        <v>2</v>
      </c>
      <c r="AI959" s="3" t="n">
        <v>1</v>
      </c>
      <c r="AJ959" s="3" t="n">
        <v>1</v>
      </c>
      <c r="AK959" s="3" t="n">
        <v>2</v>
      </c>
      <c r="AL959" s="3" t="n">
        <v>2</v>
      </c>
      <c r="AM959" s="3" t="n">
        <v>1</v>
      </c>
      <c r="AN959" s="3" t="n">
        <v>2</v>
      </c>
      <c r="AO959" s="3" t="n">
        <v>2</v>
      </c>
      <c r="AP959" s="3" t="n">
        <v>3</v>
      </c>
      <c r="AQ959" s="3" t="n">
        <v>4</v>
      </c>
      <c r="AR959" s="3" t="n">
        <v>4</v>
      </c>
      <c r="AS959" s="3" t="n">
        <v>6</v>
      </c>
      <c r="AT959" s="3" t="n">
        <v>4</v>
      </c>
      <c r="AU959" s="3" t="n">
        <v>4</v>
      </c>
      <c r="AV959" s="3" t="n">
        <v>6</v>
      </c>
      <c r="AW959" s="3" t="n">
        <v>6</v>
      </c>
      <c r="AX959" s="3" t="n">
        <v>3</v>
      </c>
      <c r="AY959" s="3" t="n">
        <v>3</v>
      </c>
      <c r="AZ959" s="3" t="n">
        <v>1</v>
      </c>
      <c r="BA959" s="5" t="n">
        <v>1</v>
      </c>
      <c r="BB959" s="3" t="n">
        <v>1</v>
      </c>
      <c r="BC959" s="3" t="n">
        <v>1</v>
      </c>
      <c r="BD959" s="3" t="n">
        <v>4</v>
      </c>
      <c r="BE959" s="3" t="n">
        <v>1</v>
      </c>
      <c r="BF959" s="3" t="n">
        <v>2</v>
      </c>
      <c r="BG959" s="3" t="n">
        <v>1</v>
      </c>
      <c r="BH959" s="3" t="n">
        <v>4</v>
      </c>
      <c r="BI959" s="3" t="n">
        <v>1</v>
      </c>
      <c r="BJ959" s="3" t="n">
        <v>1</v>
      </c>
      <c r="BK959" s="6" t="s">
        <v>2487</v>
      </c>
    </row>
    <row r="960" customFormat="false" ht="15" hidden="false" customHeight="true" outlineLevel="0" collapsed="false">
      <c r="B960" s="2" t="s">
        <v>2488</v>
      </c>
      <c r="C960" s="2" t="s">
        <v>272</v>
      </c>
      <c r="D960" s="2" t="s">
        <v>127</v>
      </c>
      <c r="E960" s="2" t="n">
        <v>203028</v>
      </c>
      <c r="F960" s="15" t="n">
        <v>44114</v>
      </c>
      <c r="G960" s="15" t="n">
        <v>44120</v>
      </c>
      <c r="H960" s="3" t="n">
        <v>6</v>
      </c>
      <c r="I960" s="3" t="n">
        <v>1</v>
      </c>
      <c r="J960" s="3" t="n">
        <v>56</v>
      </c>
      <c r="K960" s="3" t="n">
        <v>2</v>
      </c>
      <c r="L960" s="3" t="n">
        <v>2</v>
      </c>
      <c r="M960" s="3" t="n">
        <v>1</v>
      </c>
      <c r="N960" s="3" t="n">
        <v>2</v>
      </c>
      <c r="O960" s="3" t="n">
        <v>2</v>
      </c>
      <c r="P960" s="3" t="n">
        <v>2</v>
      </c>
      <c r="Q960" s="3" t="n">
        <v>2</v>
      </c>
      <c r="R960" s="3" t="n">
        <v>2</v>
      </c>
      <c r="S960" s="3" t="n">
        <v>2</v>
      </c>
      <c r="T960" s="4" t="n">
        <v>1</v>
      </c>
      <c r="U960" s="3" t="n">
        <v>1</v>
      </c>
      <c r="V960" s="3" t="n">
        <v>5.64</v>
      </c>
      <c r="W960" s="3" t="n">
        <v>1.09</v>
      </c>
      <c r="X960" s="3" t="n">
        <v>5.01</v>
      </c>
      <c r="Y960" s="3" t="n">
        <v>245</v>
      </c>
      <c r="Z960" s="3" t="n">
        <v>93</v>
      </c>
      <c r="AA960" s="3" t="n">
        <v>0.42</v>
      </c>
      <c r="AB960" s="3" t="n">
        <v>5.9</v>
      </c>
      <c r="AC960" s="3" t="n">
        <v>1</v>
      </c>
      <c r="AD960" s="3" t="n">
        <v>1</v>
      </c>
      <c r="AE960" s="3" t="n">
        <v>1</v>
      </c>
      <c r="AF960" s="3" t="n">
        <v>1</v>
      </c>
      <c r="AG960" s="3" t="n">
        <v>2</v>
      </c>
      <c r="AH960" s="3" t="n">
        <v>1</v>
      </c>
      <c r="AI960" s="3" t="n">
        <v>1</v>
      </c>
      <c r="AJ960" s="3" t="n">
        <v>2</v>
      </c>
      <c r="AK960" s="3" t="n">
        <v>2</v>
      </c>
      <c r="AL960" s="3" t="n">
        <v>2</v>
      </c>
      <c r="AM960" s="3" t="n">
        <v>2</v>
      </c>
      <c r="AN960" s="3" t="n">
        <v>2</v>
      </c>
      <c r="AO960" s="3" t="n">
        <v>2</v>
      </c>
      <c r="AP960" s="3" t="n">
        <v>3</v>
      </c>
      <c r="AQ960" s="3" t="n">
        <v>4</v>
      </c>
      <c r="AR960" s="3" t="n">
        <v>4</v>
      </c>
      <c r="AS960" s="3" t="n">
        <v>6</v>
      </c>
      <c r="AT960" s="3" t="n">
        <v>4</v>
      </c>
      <c r="AU960" s="3" t="n">
        <v>4</v>
      </c>
      <c r="AV960" s="3" t="n">
        <v>6</v>
      </c>
      <c r="AW960" s="3" t="n">
        <v>6</v>
      </c>
      <c r="AX960" s="3" t="n">
        <v>3</v>
      </c>
      <c r="AY960" s="3" t="n">
        <v>3</v>
      </c>
      <c r="AZ960" s="3" t="n">
        <v>1</v>
      </c>
      <c r="BA960" s="5" t="n">
        <v>5</v>
      </c>
      <c r="BB960" s="3" t="n">
        <v>2</v>
      </c>
      <c r="BC960" s="3" t="n">
        <v>1</v>
      </c>
      <c r="BD960" s="3" t="n">
        <v>6</v>
      </c>
      <c r="BE960" s="3" t="n">
        <v>3</v>
      </c>
      <c r="BF960" s="3" t="n">
        <v>5</v>
      </c>
      <c r="BG960" s="3" t="n">
        <v>3</v>
      </c>
      <c r="BH960" s="3" t="n">
        <v>4</v>
      </c>
      <c r="BI960" s="3" t="n">
        <v>1</v>
      </c>
      <c r="BJ960" s="3" t="n">
        <v>1</v>
      </c>
      <c r="BK960" s="6" t="s">
        <v>2489</v>
      </c>
    </row>
    <row r="961" customFormat="false" ht="15" hidden="false" customHeight="true" outlineLevel="0" collapsed="false">
      <c r="B961" s="2" t="s">
        <v>2490</v>
      </c>
      <c r="C961" s="2" t="s">
        <v>1591</v>
      </c>
      <c r="D961" s="2" t="s">
        <v>2491</v>
      </c>
      <c r="E961" s="2" t="n">
        <v>203032</v>
      </c>
      <c r="F961" s="15" t="n">
        <v>44114</v>
      </c>
      <c r="G961" s="15" t="n">
        <v>44121</v>
      </c>
      <c r="H961" s="3" t="n">
        <v>7</v>
      </c>
      <c r="I961" s="3" t="n">
        <v>2</v>
      </c>
      <c r="J961" s="3" t="n">
        <v>67</v>
      </c>
      <c r="K961" s="3" t="n">
        <v>2</v>
      </c>
      <c r="L961" s="3" t="n">
        <v>1</v>
      </c>
      <c r="M961" s="3" t="n">
        <v>2</v>
      </c>
      <c r="N961" s="3" t="n">
        <v>2</v>
      </c>
      <c r="O961" s="3" t="n">
        <v>2</v>
      </c>
      <c r="P961" s="3" t="n">
        <v>2</v>
      </c>
      <c r="Q961" s="3" t="n">
        <v>2</v>
      </c>
      <c r="R961" s="3" t="n">
        <v>2</v>
      </c>
      <c r="S961" s="3" t="n">
        <v>2</v>
      </c>
      <c r="T961" s="4" t="n">
        <v>2</v>
      </c>
      <c r="U961" s="3" t="n">
        <v>2</v>
      </c>
      <c r="V961" s="3" t="n">
        <v>5.12</v>
      </c>
      <c r="W961" s="3" t="n">
        <v>1.12</v>
      </c>
      <c r="X961" s="3" t="n">
        <v>5.29</v>
      </c>
      <c r="Y961" s="3" t="n">
        <v>367</v>
      </c>
      <c r="Z961" s="3" t="n">
        <v>112</v>
      </c>
      <c r="AA961" s="3" t="n">
        <v>0.42</v>
      </c>
      <c r="AB961" s="3" t="n">
        <v>5.26</v>
      </c>
      <c r="AC961" s="3" t="n">
        <v>1</v>
      </c>
      <c r="AD961" s="3" t="n">
        <v>2</v>
      </c>
      <c r="AE961" s="3" t="n">
        <v>1</v>
      </c>
      <c r="AF961" s="3" t="n">
        <v>1</v>
      </c>
      <c r="AG961" s="3" t="n">
        <v>2</v>
      </c>
      <c r="AH961" s="3" t="n">
        <v>2</v>
      </c>
      <c r="AI961" s="3" t="n">
        <v>1</v>
      </c>
      <c r="AJ961" s="3" t="n">
        <v>1</v>
      </c>
      <c r="AK961" s="3" t="n">
        <v>2</v>
      </c>
      <c r="AL961" s="3" t="n">
        <v>2</v>
      </c>
      <c r="AM961" s="3" t="n">
        <v>2</v>
      </c>
      <c r="AN961" s="3" t="n">
        <v>2</v>
      </c>
      <c r="AO961" s="3" t="n">
        <v>2</v>
      </c>
      <c r="AP961" s="3" t="n">
        <v>3</v>
      </c>
      <c r="AQ961" s="3" t="n">
        <v>4</v>
      </c>
      <c r="AR961" s="3" t="n">
        <v>4</v>
      </c>
      <c r="AS961" s="3" t="n">
        <v>6</v>
      </c>
      <c r="AT961" s="3" t="n">
        <v>4</v>
      </c>
      <c r="AU961" s="3" t="n">
        <v>4</v>
      </c>
      <c r="AV961" s="3" t="n">
        <v>6</v>
      </c>
      <c r="AW961" s="3" t="n">
        <v>6</v>
      </c>
      <c r="AX961" s="3" t="n">
        <v>3</v>
      </c>
      <c r="AY961" s="3" t="n">
        <v>3</v>
      </c>
      <c r="AZ961" s="3" t="n">
        <v>1</v>
      </c>
      <c r="BA961" s="5" t="n">
        <v>1</v>
      </c>
      <c r="BB961" s="3" t="n">
        <v>1</v>
      </c>
      <c r="BC961" s="3" t="n">
        <v>1</v>
      </c>
      <c r="BD961" s="3" t="n">
        <v>2</v>
      </c>
      <c r="BE961" s="3" t="n">
        <v>1</v>
      </c>
      <c r="BF961" s="3" t="n">
        <v>2</v>
      </c>
      <c r="BG961" s="3" t="n">
        <v>1</v>
      </c>
      <c r="BH961" s="3" t="n">
        <v>4</v>
      </c>
      <c r="BI961" s="3" t="n">
        <v>1</v>
      </c>
      <c r="BJ961" s="3" t="n">
        <v>1</v>
      </c>
      <c r="BK961" s="6" t="s">
        <v>2492</v>
      </c>
    </row>
    <row r="962" customFormat="false" ht="15" hidden="false" customHeight="true" outlineLevel="0" collapsed="false">
      <c r="B962" s="14" t="s">
        <v>2493</v>
      </c>
      <c r="C962" s="14" t="s">
        <v>598</v>
      </c>
      <c r="D962" s="14" t="s">
        <v>2494</v>
      </c>
      <c r="E962" s="14" t="n">
        <v>203049</v>
      </c>
      <c r="F962" s="22" t="n">
        <v>44115</v>
      </c>
      <c r="G962" s="22" t="n">
        <v>44122</v>
      </c>
      <c r="H962" s="3" t="n">
        <v>7</v>
      </c>
      <c r="I962" s="3" t="n">
        <v>1</v>
      </c>
      <c r="J962" s="3" t="n">
        <v>52</v>
      </c>
      <c r="K962" s="3" t="n">
        <v>2</v>
      </c>
      <c r="L962" s="3" t="n">
        <v>1</v>
      </c>
      <c r="M962" s="3" t="n">
        <v>1</v>
      </c>
      <c r="N962" s="3" t="n">
        <v>2</v>
      </c>
      <c r="O962" s="3" t="n">
        <v>1</v>
      </c>
      <c r="P962" s="3" t="n">
        <v>1</v>
      </c>
      <c r="Q962" s="3" t="n">
        <v>1</v>
      </c>
      <c r="R962" s="3" t="n">
        <v>2</v>
      </c>
      <c r="S962" s="3" t="n">
        <v>2</v>
      </c>
      <c r="T962" s="4" t="n">
        <v>1</v>
      </c>
      <c r="U962" s="3" t="n">
        <v>1</v>
      </c>
      <c r="V962" s="3" t="n">
        <v>6.43</v>
      </c>
      <c r="W962" s="3" t="n">
        <v>1.56</v>
      </c>
      <c r="X962" s="3" t="n">
        <v>7.49</v>
      </c>
      <c r="Y962" s="3" t="n">
        <v>294</v>
      </c>
      <c r="Z962" s="3" t="n">
        <v>75</v>
      </c>
      <c r="AA962" s="3" t="n">
        <v>0.38</v>
      </c>
      <c r="AB962" s="3" t="n">
        <v>13.8</v>
      </c>
      <c r="AC962" s="3" t="n">
        <v>1</v>
      </c>
      <c r="AD962" s="3" t="n">
        <v>1</v>
      </c>
      <c r="AE962" s="3" t="n">
        <v>1</v>
      </c>
      <c r="AF962" s="3" t="n">
        <v>1</v>
      </c>
      <c r="AG962" s="3" t="n">
        <v>2</v>
      </c>
      <c r="AH962" s="3" t="n">
        <v>2</v>
      </c>
      <c r="AI962" s="3" t="n">
        <v>1</v>
      </c>
      <c r="AJ962" s="3" t="n">
        <v>1</v>
      </c>
      <c r="AK962" s="3" t="n">
        <v>2</v>
      </c>
      <c r="AL962" s="3" t="n">
        <v>2</v>
      </c>
      <c r="AM962" s="3" t="n">
        <v>2</v>
      </c>
      <c r="AN962" s="3" t="n">
        <v>2</v>
      </c>
      <c r="AO962" s="3" t="n">
        <v>2</v>
      </c>
      <c r="AP962" s="3" t="n">
        <v>3</v>
      </c>
      <c r="AQ962" s="3" t="n">
        <v>4</v>
      </c>
      <c r="AR962" s="3" t="n">
        <v>4</v>
      </c>
      <c r="AS962" s="3" t="n">
        <v>6</v>
      </c>
      <c r="AT962" s="3" t="n">
        <v>4</v>
      </c>
      <c r="AU962" s="3" t="n">
        <v>4</v>
      </c>
      <c r="AV962" s="3" t="n">
        <v>6</v>
      </c>
      <c r="AW962" s="3" t="n">
        <v>6</v>
      </c>
      <c r="AX962" s="3" t="n">
        <v>3</v>
      </c>
      <c r="AY962" s="3" t="n">
        <v>3</v>
      </c>
      <c r="AZ962" s="3" t="n">
        <v>1</v>
      </c>
      <c r="BA962" s="5" t="n">
        <v>1</v>
      </c>
      <c r="BB962" s="3" t="n">
        <v>1</v>
      </c>
      <c r="BC962" s="3" t="n">
        <v>1</v>
      </c>
      <c r="BD962" s="3" t="n">
        <v>6</v>
      </c>
      <c r="BE962" s="3" t="n">
        <v>3</v>
      </c>
      <c r="BF962" s="3" t="n">
        <v>5</v>
      </c>
      <c r="BG962" s="3" t="n">
        <v>3</v>
      </c>
      <c r="BH962" s="3" t="n">
        <v>4</v>
      </c>
      <c r="BI962" s="3" t="n">
        <v>1</v>
      </c>
      <c r="BJ962" s="3" t="n">
        <v>1</v>
      </c>
      <c r="BK962" s="16" t="s">
        <v>2495</v>
      </c>
    </row>
    <row r="963" s="30" customFormat="true" ht="15" hidden="false" customHeight="true" outlineLevel="0" collapsed="false">
      <c r="A963" s="24"/>
      <c r="B963" s="26" t="s">
        <v>2496</v>
      </c>
      <c r="C963" s="26" t="s">
        <v>2497</v>
      </c>
      <c r="D963" s="26" t="s">
        <v>536</v>
      </c>
      <c r="E963" s="26" t="n">
        <v>202933</v>
      </c>
      <c r="F963" s="27" t="n">
        <v>44111</v>
      </c>
      <c r="G963" s="27" t="n">
        <v>44120</v>
      </c>
      <c r="H963" s="30" t="n">
        <v>9</v>
      </c>
      <c r="I963" s="30" t="n">
        <v>1</v>
      </c>
      <c r="J963" s="30" t="n">
        <v>79</v>
      </c>
      <c r="K963" s="30" t="n">
        <v>1</v>
      </c>
      <c r="L963" s="30" t="n">
        <v>2</v>
      </c>
      <c r="M963" s="30" t="n">
        <v>1</v>
      </c>
      <c r="N963" s="30" t="n">
        <v>2</v>
      </c>
      <c r="O963" s="30" t="n">
        <v>2</v>
      </c>
      <c r="P963" s="30" t="n">
        <v>2</v>
      </c>
      <c r="Q963" s="30" t="n">
        <v>2</v>
      </c>
      <c r="R963" s="30" t="n">
        <v>2</v>
      </c>
      <c r="S963" s="30" t="n">
        <v>2</v>
      </c>
      <c r="T963" s="4" t="n">
        <v>2</v>
      </c>
      <c r="U963" s="30" t="n">
        <v>4</v>
      </c>
      <c r="V963" s="30" t="n">
        <v>4.46</v>
      </c>
      <c r="W963" s="30" t="n">
        <v>1.23</v>
      </c>
      <c r="X963" s="30" t="n">
        <v>10.19</v>
      </c>
      <c r="Y963" s="30" t="n">
        <v>456</v>
      </c>
      <c r="Z963" s="30" t="n">
        <v>185</v>
      </c>
      <c r="AA963" s="30" t="n">
        <v>0.41</v>
      </c>
      <c r="AB963" s="30" t="n">
        <v>11.8</v>
      </c>
      <c r="AC963" s="30" t="n">
        <v>3</v>
      </c>
      <c r="AD963" s="30" t="n">
        <v>2</v>
      </c>
      <c r="AE963" s="30" t="n">
        <v>1</v>
      </c>
      <c r="AF963" s="30" t="n">
        <v>1</v>
      </c>
      <c r="AG963" s="30" t="n">
        <v>2</v>
      </c>
      <c r="AH963" s="30" t="n">
        <v>2</v>
      </c>
      <c r="AI963" s="30" t="n">
        <v>1</v>
      </c>
      <c r="AJ963" s="30" t="n">
        <v>2</v>
      </c>
      <c r="AK963" s="30" t="n">
        <v>2</v>
      </c>
      <c r="AL963" s="30" t="n">
        <v>2</v>
      </c>
      <c r="AM963" s="30" t="n">
        <v>2</v>
      </c>
      <c r="AN963" s="30" t="n">
        <v>1</v>
      </c>
      <c r="AO963" s="30" t="n">
        <v>2</v>
      </c>
      <c r="AP963" s="30" t="n">
        <v>3</v>
      </c>
      <c r="AQ963" s="30" t="n">
        <v>4</v>
      </c>
      <c r="AR963" s="30" t="n">
        <v>4</v>
      </c>
      <c r="AS963" s="30" t="n">
        <v>6</v>
      </c>
      <c r="AT963" s="30" t="n">
        <v>4</v>
      </c>
      <c r="AU963" s="30" t="n">
        <v>4</v>
      </c>
      <c r="AV963" s="30" t="n">
        <v>6</v>
      </c>
      <c r="AW963" s="30" t="n">
        <v>6</v>
      </c>
      <c r="AX963" s="30" t="n">
        <v>3</v>
      </c>
      <c r="AY963" s="30" t="n">
        <v>3</v>
      </c>
      <c r="AZ963" s="30" t="n">
        <v>5</v>
      </c>
      <c r="BA963" s="5" t="n">
        <v>1</v>
      </c>
      <c r="BB963" s="30" t="n">
        <v>1</v>
      </c>
      <c r="BC963" s="30" t="n">
        <v>2</v>
      </c>
      <c r="BD963" s="30" t="n">
        <v>4</v>
      </c>
      <c r="BE963" s="30" t="n">
        <v>3</v>
      </c>
      <c r="BF963" s="30" t="n">
        <v>5</v>
      </c>
      <c r="BG963" s="30" t="n">
        <v>3</v>
      </c>
      <c r="BH963" s="30" t="n">
        <v>4</v>
      </c>
      <c r="BI963" s="30" t="n">
        <v>2</v>
      </c>
      <c r="BJ963" s="30" t="n">
        <v>2</v>
      </c>
      <c r="BK963" s="31" t="s">
        <v>2498</v>
      </c>
    </row>
    <row r="964" customFormat="false" ht="15" hidden="false" customHeight="true" outlineLevel="0" collapsed="false">
      <c r="B964" s="2" t="s">
        <v>2499</v>
      </c>
      <c r="C964" s="2" t="s">
        <v>197</v>
      </c>
      <c r="D964" s="2" t="s">
        <v>2500</v>
      </c>
      <c r="E964" s="2" t="n">
        <v>203271</v>
      </c>
      <c r="F964" s="15" t="n">
        <v>44120</v>
      </c>
      <c r="G964" s="15" t="n">
        <v>44125</v>
      </c>
      <c r="H964" s="3" t="n">
        <v>5</v>
      </c>
      <c r="I964" s="3" t="n">
        <v>1</v>
      </c>
      <c r="J964" s="3" t="n">
        <v>89</v>
      </c>
      <c r="K964" s="3" t="n">
        <v>1</v>
      </c>
      <c r="L964" s="3" t="n">
        <v>2</v>
      </c>
      <c r="M964" s="3" t="n">
        <v>1</v>
      </c>
      <c r="N964" s="3" t="n">
        <v>2</v>
      </c>
      <c r="O964" s="3" t="n">
        <v>2</v>
      </c>
      <c r="P964" s="3" t="n">
        <v>2</v>
      </c>
      <c r="Q964" s="3" t="n">
        <v>2</v>
      </c>
      <c r="R964" s="3" t="n">
        <v>2</v>
      </c>
      <c r="S964" s="3" t="n">
        <v>2</v>
      </c>
      <c r="T964" s="4" t="n">
        <v>1</v>
      </c>
      <c r="U964" s="3" t="n">
        <v>1</v>
      </c>
      <c r="V964" s="3" t="n">
        <v>6.57</v>
      </c>
      <c r="W964" s="3" t="n">
        <v>1.7</v>
      </c>
      <c r="X964" s="3" t="n">
        <v>5.2</v>
      </c>
      <c r="Y964" s="3" t="n">
        <v>451</v>
      </c>
      <c r="Z964" s="3" t="n">
        <v>77</v>
      </c>
      <c r="AA964" s="3" t="n">
        <v>0.41</v>
      </c>
      <c r="AB964" s="3" t="n">
        <v>8.7</v>
      </c>
      <c r="AC964" s="3" t="n">
        <v>1</v>
      </c>
      <c r="AD964" s="3" t="n">
        <v>1</v>
      </c>
      <c r="AE964" s="3" t="n">
        <v>1</v>
      </c>
      <c r="AF964" s="3" t="n">
        <v>1</v>
      </c>
      <c r="AG964" s="3" t="n">
        <v>1</v>
      </c>
      <c r="AH964" s="3" t="n">
        <v>2</v>
      </c>
      <c r="AI964" s="3" t="n">
        <v>1</v>
      </c>
      <c r="AJ964" s="3" t="n">
        <v>1</v>
      </c>
      <c r="AK964" s="3" t="n">
        <v>2</v>
      </c>
      <c r="AL964" s="3" t="n">
        <v>2</v>
      </c>
      <c r="AM964" s="3" t="n">
        <v>1</v>
      </c>
      <c r="AN964" s="3" t="n">
        <v>2</v>
      </c>
      <c r="AO964" s="3" t="n">
        <v>2</v>
      </c>
      <c r="AP964" s="3" t="n">
        <v>3</v>
      </c>
      <c r="AQ964" s="3" t="n">
        <v>4</v>
      </c>
      <c r="AR964" s="3" t="n">
        <v>4</v>
      </c>
      <c r="AS964" s="3" t="n">
        <v>6</v>
      </c>
      <c r="AT964" s="3" t="n">
        <v>4</v>
      </c>
      <c r="AU964" s="3" t="n">
        <v>4</v>
      </c>
      <c r="AV964" s="3" t="n">
        <v>6</v>
      </c>
      <c r="AW964" s="3" t="n">
        <v>6</v>
      </c>
      <c r="AX964" s="3" t="n">
        <v>3</v>
      </c>
      <c r="AY964" s="3" t="n">
        <v>3</v>
      </c>
      <c r="AZ964" s="3" t="n">
        <v>1</v>
      </c>
      <c r="BA964" s="5" t="n">
        <v>5</v>
      </c>
      <c r="BB964" s="3" t="n">
        <v>2</v>
      </c>
      <c r="BC964" s="3" t="n">
        <v>1</v>
      </c>
      <c r="BD964" s="3" t="n">
        <v>6</v>
      </c>
      <c r="BE964" s="3" t="n">
        <v>3</v>
      </c>
      <c r="BF964" s="3" t="n">
        <v>5</v>
      </c>
      <c r="BG964" s="3" t="n">
        <v>3</v>
      </c>
      <c r="BH964" s="3" t="n">
        <v>4</v>
      </c>
      <c r="BI964" s="3" t="n">
        <v>1</v>
      </c>
      <c r="BJ964" s="3" t="n">
        <v>1</v>
      </c>
      <c r="BK964" s="6" t="s">
        <v>2501</v>
      </c>
    </row>
    <row r="965" s="30" customFormat="true" ht="15" hidden="false" customHeight="true" outlineLevel="0" collapsed="false">
      <c r="A965" s="24"/>
      <c r="B965" s="26" t="s">
        <v>1477</v>
      </c>
      <c r="C965" s="26" t="s">
        <v>1335</v>
      </c>
      <c r="D965" s="26" t="s">
        <v>95</v>
      </c>
      <c r="E965" s="26" t="n">
        <v>203593</v>
      </c>
      <c r="F965" s="27" t="n">
        <v>44125</v>
      </c>
      <c r="G965" s="27" t="n">
        <v>44125</v>
      </c>
      <c r="H965" s="30" t="n">
        <v>0</v>
      </c>
      <c r="I965" s="30" t="n">
        <v>1</v>
      </c>
      <c r="K965" s="30" t="n">
        <v>1</v>
      </c>
      <c r="L965" s="30" t="n">
        <v>1</v>
      </c>
      <c r="M965" s="30" t="n">
        <v>1</v>
      </c>
      <c r="N965" s="30" t="n">
        <v>1</v>
      </c>
      <c r="O965" s="30" t="n">
        <v>2</v>
      </c>
      <c r="P965" s="30" t="n">
        <v>2</v>
      </c>
      <c r="Q965" s="30" t="n">
        <v>2</v>
      </c>
      <c r="R965" s="30" t="n">
        <v>2</v>
      </c>
      <c r="S965" s="30" t="n">
        <v>2</v>
      </c>
      <c r="T965" s="4" t="n">
        <v>3</v>
      </c>
      <c r="U965" s="30" t="n">
        <v>1</v>
      </c>
      <c r="AC965" s="30" t="n">
        <v>3</v>
      </c>
      <c r="AD965" s="30" t="n">
        <v>1</v>
      </c>
      <c r="AE965" s="30" t="n">
        <v>1</v>
      </c>
      <c r="AF965" s="30" t="n">
        <v>1</v>
      </c>
      <c r="AG965" s="30" t="n">
        <v>2</v>
      </c>
      <c r="AH965" s="30" t="n">
        <v>1</v>
      </c>
      <c r="AI965" s="30" t="n">
        <v>1</v>
      </c>
      <c r="AJ965" s="30" t="n">
        <v>1</v>
      </c>
      <c r="AK965" s="30" t="n">
        <v>1</v>
      </c>
      <c r="AL965" s="30" t="n">
        <v>1</v>
      </c>
      <c r="AM965" s="30" t="n">
        <v>1</v>
      </c>
      <c r="AN965" s="30" t="n">
        <v>1</v>
      </c>
      <c r="AO965" s="30" t="n">
        <v>2</v>
      </c>
      <c r="AP965" s="30" t="n">
        <v>3</v>
      </c>
      <c r="AQ965" s="30" t="n">
        <v>4</v>
      </c>
      <c r="AR965" s="30" t="n">
        <v>4</v>
      </c>
      <c r="AS965" s="30" t="n">
        <v>6</v>
      </c>
      <c r="AT965" s="30" t="n">
        <v>4</v>
      </c>
      <c r="AU965" s="30" t="n">
        <v>4</v>
      </c>
      <c r="AV965" s="30" t="n">
        <v>6</v>
      </c>
      <c r="AW965" s="30" t="n">
        <v>6</v>
      </c>
      <c r="AX965" s="30" t="n">
        <v>3</v>
      </c>
      <c r="AY965" s="30" t="n">
        <v>3</v>
      </c>
      <c r="AZ965" s="30" t="n">
        <v>1</v>
      </c>
      <c r="BA965" s="5" t="n">
        <v>11</v>
      </c>
      <c r="BB965" s="30" t="n">
        <v>2</v>
      </c>
      <c r="BC965" s="30" t="n">
        <v>2</v>
      </c>
      <c r="BD965" s="30" t="n">
        <v>6</v>
      </c>
      <c r="BE965" s="30" t="n">
        <v>3</v>
      </c>
      <c r="BF965" s="30" t="n">
        <v>5</v>
      </c>
      <c r="BG965" s="30" t="n">
        <v>3</v>
      </c>
      <c r="BH965" s="30" t="n">
        <v>4</v>
      </c>
      <c r="BI965" s="30" t="n">
        <v>1</v>
      </c>
      <c r="BJ965" s="30" t="n">
        <v>1</v>
      </c>
      <c r="BK965" s="31" t="s">
        <v>2502</v>
      </c>
    </row>
    <row r="966" customFormat="false" ht="15" hidden="false" customHeight="true" outlineLevel="0" collapsed="false">
      <c r="B966" s="2" t="s">
        <v>2503</v>
      </c>
      <c r="C966" s="2" t="s">
        <v>298</v>
      </c>
      <c r="D966" s="2" t="s">
        <v>608</v>
      </c>
      <c r="E966" s="2" t="n">
        <v>203527</v>
      </c>
      <c r="F966" s="15" t="n">
        <v>44122</v>
      </c>
      <c r="G966" s="15" t="n">
        <v>44127</v>
      </c>
      <c r="H966" s="3" t="n">
        <v>5</v>
      </c>
      <c r="I966" s="3" t="n">
        <v>2</v>
      </c>
      <c r="J966" s="3" t="n">
        <v>91</v>
      </c>
      <c r="K966" s="3" t="n">
        <v>1</v>
      </c>
      <c r="L966" s="3" t="n">
        <v>2</v>
      </c>
      <c r="M966" s="3" t="n">
        <v>1</v>
      </c>
      <c r="N966" s="3" t="n">
        <v>1</v>
      </c>
      <c r="O966" s="3" t="n">
        <v>1</v>
      </c>
      <c r="P966" s="3" t="n">
        <v>1</v>
      </c>
      <c r="Q966" s="3" t="n">
        <v>1</v>
      </c>
      <c r="R966" s="3" t="n">
        <v>2</v>
      </c>
      <c r="S966" s="3" t="n">
        <v>2</v>
      </c>
      <c r="T966" s="4" t="n">
        <v>6</v>
      </c>
      <c r="U966" s="3" t="n">
        <v>1</v>
      </c>
      <c r="V966" s="3" t="n">
        <v>4.39</v>
      </c>
      <c r="W966" s="3" t="n">
        <v>1.54</v>
      </c>
      <c r="X966" s="3" t="n">
        <v>6.13</v>
      </c>
      <c r="Y966" s="3" t="n">
        <v>606</v>
      </c>
      <c r="Z966" s="3" t="n">
        <v>160</v>
      </c>
      <c r="AA966" s="3" t="n">
        <v>0.48</v>
      </c>
      <c r="AB966" s="3" t="n">
        <v>9.3</v>
      </c>
      <c r="AC966" s="3" t="n">
        <v>1</v>
      </c>
      <c r="AD966" s="3" t="n">
        <v>2</v>
      </c>
      <c r="AE966" s="3" t="n">
        <v>1</v>
      </c>
      <c r="AF966" s="3" t="n">
        <v>1</v>
      </c>
      <c r="AG966" s="3" t="n">
        <v>2</v>
      </c>
      <c r="AH966" s="3" t="n">
        <v>2</v>
      </c>
      <c r="AI966" s="3" t="n">
        <v>1</v>
      </c>
      <c r="AJ966" s="3" t="n">
        <v>1</v>
      </c>
      <c r="AK966" s="3" t="n">
        <v>2</v>
      </c>
      <c r="AL966" s="3" t="n">
        <v>2</v>
      </c>
      <c r="AM966" s="3" t="n">
        <v>1</v>
      </c>
      <c r="AN966" s="3" t="n">
        <v>2</v>
      </c>
      <c r="AO966" s="3" t="n">
        <v>2</v>
      </c>
      <c r="AP966" s="3" t="n">
        <v>3</v>
      </c>
      <c r="AQ966" s="3" t="n">
        <v>4</v>
      </c>
      <c r="AR966" s="3" t="n">
        <v>4</v>
      </c>
      <c r="AS966" s="3" t="n">
        <v>6</v>
      </c>
      <c r="AT966" s="3" t="n">
        <v>4</v>
      </c>
      <c r="AU966" s="3" t="n">
        <v>4</v>
      </c>
      <c r="AV966" s="3" t="n">
        <v>6</v>
      </c>
      <c r="AW966" s="3" t="n">
        <v>6</v>
      </c>
      <c r="AX966" s="3" t="n">
        <v>3</v>
      </c>
      <c r="AY966" s="3" t="n">
        <v>3</v>
      </c>
      <c r="AZ966" s="3" t="n">
        <v>1</v>
      </c>
      <c r="BA966" s="5" t="n">
        <v>6</v>
      </c>
      <c r="BB966" s="3" t="n">
        <v>2</v>
      </c>
      <c r="BC966" s="3" t="n">
        <v>1</v>
      </c>
      <c r="BD966" s="3" t="n">
        <v>6</v>
      </c>
      <c r="BE966" s="3" t="n">
        <v>3</v>
      </c>
      <c r="BF966" s="3" t="n">
        <v>5</v>
      </c>
      <c r="BG966" s="3" t="n">
        <v>3</v>
      </c>
      <c r="BH966" s="3" t="n">
        <v>4</v>
      </c>
      <c r="BI966" s="3" t="n">
        <v>1</v>
      </c>
      <c r="BJ966" s="3" t="n">
        <v>1</v>
      </c>
      <c r="BK966" s="6" t="s">
        <v>2504</v>
      </c>
    </row>
    <row r="967" customFormat="false" ht="15" hidden="false" customHeight="true" outlineLevel="0" collapsed="false">
      <c r="B967" s="2" t="s">
        <v>2473</v>
      </c>
      <c r="C967" s="2" t="s">
        <v>846</v>
      </c>
      <c r="D967" s="2" t="s">
        <v>458</v>
      </c>
      <c r="E967" s="2" t="n">
        <v>203280</v>
      </c>
      <c r="F967" s="15" t="n">
        <v>44120</v>
      </c>
      <c r="G967" s="15" t="n">
        <v>44127</v>
      </c>
      <c r="H967" s="3" t="n">
        <v>7</v>
      </c>
      <c r="I967" s="3" t="n">
        <v>2</v>
      </c>
      <c r="J967" s="3" t="n">
        <v>79</v>
      </c>
      <c r="K967" s="3" t="n">
        <v>1</v>
      </c>
      <c r="L967" s="3" t="n">
        <v>1</v>
      </c>
      <c r="M967" s="3" t="n">
        <v>1</v>
      </c>
      <c r="N967" s="3" t="n">
        <v>1</v>
      </c>
      <c r="O967" s="3" t="n">
        <v>2</v>
      </c>
      <c r="P967" s="3" t="n">
        <v>2</v>
      </c>
      <c r="Q967" s="3" t="n">
        <v>2</v>
      </c>
      <c r="R967" s="3" t="n">
        <v>2</v>
      </c>
      <c r="S967" s="3" t="n">
        <v>2</v>
      </c>
      <c r="T967" s="4" t="n">
        <v>1</v>
      </c>
      <c r="U967" s="3" t="n">
        <v>1</v>
      </c>
      <c r="V967" s="3" t="n">
        <v>4.46</v>
      </c>
      <c r="W967" s="3" t="n">
        <v>1.77</v>
      </c>
      <c r="X967" s="3" t="n">
        <v>6.1</v>
      </c>
      <c r="Y967" s="3" t="n">
        <v>445</v>
      </c>
      <c r="Z967" s="3" t="n">
        <v>106</v>
      </c>
      <c r="AA967" s="3" t="n">
        <v>0.49</v>
      </c>
      <c r="AB967" s="3" t="n">
        <v>12.3</v>
      </c>
      <c r="AC967" s="3" t="n">
        <v>3</v>
      </c>
      <c r="AD967" s="3" t="n">
        <v>1</v>
      </c>
      <c r="AE967" s="3" t="n">
        <v>1</v>
      </c>
      <c r="AF967" s="3" t="n">
        <v>1</v>
      </c>
      <c r="AG967" s="3" t="n">
        <v>1</v>
      </c>
      <c r="AH967" s="3" t="n">
        <v>2</v>
      </c>
      <c r="AI967" s="3" t="n">
        <v>1</v>
      </c>
      <c r="AJ967" s="3" t="n">
        <v>2</v>
      </c>
      <c r="AK967" s="3" t="n">
        <v>2</v>
      </c>
      <c r="AL967" s="3" t="n">
        <v>2</v>
      </c>
      <c r="AM967" s="3" t="n">
        <v>2</v>
      </c>
      <c r="AN967" s="3" t="n">
        <v>2</v>
      </c>
      <c r="AO967" s="3" t="n">
        <v>2</v>
      </c>
      <c r="AP967" s="3" t="n">
        <v>3</v>
      </c>
      <c r="AQ967" s="3" t="n">
        <v>4</v>
      </c>
      <c r="AR967" s="3" t="n">
        <v>4</v>
      </c>
      <c r="AS967" s="3" t="n">
        <v>6</v>
      </c>
      <c r="AT967" s="3" t="n">
        <v>4</v>
      </c>
      <c r="AU967" s="3" t="n">
        <v>4</v>
      </c>
      <c r="AV967" s="3" t="n">
        <v>6</v>
      </c>
      <c r="AW967" s="3" t="n">
        <v>6</v>
      </c>
      <c r="AX967" s="3" t="n">
        <v>3</v>
      </c>
      <c r="AY967" s="3" t="n">
        <v>3</v>
      </c>
      <c r="AZ967" s="3" t="n">
        <v>1</v>
      </c>
      <c r="BA967" s="5" t="n">
        <v>5</v>
      </c>
      <c r="BB967" s="3" t="n">
        <v>2</v>
      </c>
      <c r="BC967" s="3" t="n">
        <v>1</v>
      </c>
      <c r="BD967" s="3" t="n">
        <v>6</v>
      </c>
      <c r="BE967" s="3" t="n">
        <v>3</v>
      </c>
      <c r="BF967" s="3" t="n">
        <v>5</v>
      </c>
      <c r="BG967" s="3" t="n">
        <v>3</v>
      </c>
      <c r="BH967" s="3" t="n">
        <v>4</v>
      </c>
      <c r="BI967" s="3" t="n">
        <v>1</v>
      </c>
      <c r="BJ967" s="3" t="n">
        <v>1</v>
      </c>
      <c r="BK967" s="6" t="s">
        <v>2505</v>
      </c>
    </row>
    <row r="968" customFormat="false" ht="15" hidden="false" customHeight="true" outlineLevel="0" collapsed="false">
      <c r="B968" s="2" t="s">
        <v>653</v>
      </c>
      <c r="C968" s="2" t="s">
        <v>846</v>
      </c>
      <c r="D968" s="2" t="s">
        <v>858</v>
      </c>
      <c r="E968" s="2" t="n">
        <v>203544</v>
      </c>
      <c r="F968" s="15" t="n">
        <v>44123</v>
      </c>
      <c r="G968" s="15" t="n">
        <v>44128</v>
      </c>
      <c r="H968" s="3" t="n">
        <v>5</v>
      </c>
      <c r="I968" s="3" t="n">
        <v>2</v>
      </c>
      <c r="J968" s="3" t="n">
        <v>80</v>
      </c>
      <c r="K968" s="3" t="n">
        <v>1</v>
      </c>
      <c r="L968" s="3" t="n">
        <v>2</v>
      </c>
      <c r="M968" s="3" t="n">
        <v>1</v>
      </c>
      <c r="N968" s="3" t="n">
        <v>2</v>
      </c>
      <c r="O968" s="3" t="n">
        <v>2</v>
      </c>
      <c r="P968" s="3" t="n">
        <v>2</v>
      </c>
      <c r="Q968" s="3" t="n">
        <v>2</v>
      </c>
      <c r="R968" s="3" t="n">
        <v>2</v>
      </c>
      <c r="S968" s="3" t="n">
        <v>2</v>
      </c>
      <c r="T968" s="4" t="n">
        <v>1</v>
      </c>
      <c r="U968" s="3" t="n">
        <v>1</v>
      </c>
      <c r="V968" s="3" t="n">
        <v>3.63</v>
      </c>
      <c r="W968" s="3" t="n">
        <v>1.18</v>
      </c>
      <c r="X968" s="3" t="n">
        <v>5.71</v>
      </c>
      <c r="Y968" s="3" t="n">
        <v>260</v>
      </c>
      <c r="Z968" s="3" t="n">
        <v>71</v>
      </c>
      <c r="AA968" s="3" t="n">
        <v>0.41</v>
      </c>
      <c r="AB968" s="3" t="n">
        <v>13.2</v>
      </c>
      <c r="AC968" s="3" t="n">
        <v>2</v>
      </c>
      <c r="AD968" s="3" t="n">
        <v>1</v>
      </c>
      <c r="AE968" s="3" t="n">
        <v>1</v>
      </c>
      <c r="AF968" s="3" t="n">
        <v>1</v>
      </c>
      <c r="AG968" s="3" t="n">
        <v>1</v>
      </c>
      <c r="AH968" s="3" t="n">
        <v>2</v>
      </c>
      <c r="AI968" s="3" t="n">
        <v>1</v>
      </c>
      <c r="AJ968" s="3" t="n">
        <v>1</v>
      </c>
      <c r="AK968" s="3" t="n">
        <v>2</v>
      </c>
      <c r="AL968" s="3" t="n">
        <v>2</v>
      </c>
      <c r="AM968" s="3" t="n">
        <v>2</v>
      </c>
      <c r="AN968" s="3" t="n">
        <v>2</v>
      </c>
      <c r="AO968" s="3" t="n">
        <v>2</v>
      </c>
      <c r="AP968" s="3" t="n">
        <v>1</v>
      </c>
      <c r="AQ968" s="3" t="n">
        <v>2</v>
      </c>
      <c r="AR968" s="3" t="n">
        <v>5</v>
      </c>
      <c r="AS968" s="3" t="n">
        <v>2</v>
      </c>
      <c r="AT968" s="3" t="n">
        <v>3</v>
      </c>
      <c r="AU968" s="3" t="n">
        <v>1</v>
      </c>
      <c r="AV968" s="3" t="n">
        <v>1</v>
      </c>
      <c r="AW968" s="3" t="n">
        <v>1</v>
      </c>
      <c r="AX968" s="3" t="n">
        <v>2</v>
      </c>
      <c r="AY968" s="3" t="n">
        <v>2</v>
      </c>
      <c r="AZ968" s="3" t="n">
        <v>1</v>
      </c>
      <c r="BA968" s="5" t="n">
        <v>5</v>
      </c>
      <c r="BB968" s="3" t="n">
        <v>2</v>
      </c>
      <c r="BC968" s="3" t="n">
        <v>1</v>
      </c>
      <c r="BD968" s="3" t="n">
        <v>6</v>
      </c>
      <c r="BE968" s="3" t="n">
        <v>3</v>
      </c>
      <c r="BF968" s="3" t="n">
        <v>5</v>
      </c>
      <c r="BG968" s="3" t="n">
        <v>3</v>
      </c>
      <c r="BH968" s="3" t="n">
        <v>4</v>
      </c>
      <c r="BI968" s="3" t="n">
        <v>1</v>
      </c>
      <c r="BJ968" s="3" t="n">
        <v>1</v>
      </c>
      <c r="BK968" s="6" t="s">
        <v>2506</v>
      </c>
    </row>
    <row r="969" s="30" customFormat="true" ht="15" hidden="false" customHeight="true" outlineLevel="0" collapsed="false">
      <c r="A969" s="24"/>
      <c r="B969" s="26" t="s">
        <v>2507</v>
      </c>
      <c r="C969" s="26" t="s">
        <v>2508</v>
      </c>
      <c r="D969" s="26" t="s">
        <v>304</v>
      </c>
      <c r="E969" s="26" t="n">
        <v>203427</v>
      </c>
      <c r="F969" s="27" t="n">
        <v>44127</v>
      </c>
      <c r="G969" s="27" t="n">
        <v>44127</v>
      </c>
      <c r="H969" s="30" t="n">
        <v>0</v>
      </c>
      <c r="I969" s="30" t="n">
        <v>1</v>
      </c>
      <c r="J969" s="30" t="n">
        <v>86</v>
      </c>
      <c r="K969" s="30" t="n">
        <v>1</v>
      </c>
      <c r="L969" s="30" t="n">
        <v>2</v>
      </c>
      <c r="M969" s="30" t="n">
        <v>1</v>
      </c>
      <c r="N969" s="30" t="n">
        <v>2</v>
      </c>
      <c r="O969" s="30" t="n">
        <v>2</v>
      </c>
      <c r="P969" s="30" t="n">
        <v>2</v>
      </c>
      <c r="Q969" s="30" t="n">
        <v>1</v>
      </c>
      <c r="R969" s="30" t="n">
        <v>2</v>
      </c>
      <c r="S969" s="30" t="n">
        <v>2</v>
      </c>
      <c r="T969" s="4" t="n">
        <v>2</v>
      </c>
      <c r="U969" s="30" t="n">
        <v>2</v>
      </c>
      <c r="AD969" s="30" t="n">
        <v>2</v>
      </c>
      <c r="AE969" s="30" t="n">
        <v>1</v>
      </c>
      <c r="AF969" s="30" t="n">
        <v>1</v>
      </c>
      <c r="AG969" s="30" t="n">
        <v>2</v>
      </c>
      <c r="AH969" s="30" t="n">
        <v>2</v>
      </c>
      <c r="AI969" s="30" t="n">
        <v>1</v>
      </c>
      <c r="AJ969" s="30" t="n">
        <v>2</v>
      </c>
      <c r="AK969" s="30" t="n">
        <v>1</v>
      </c>
      <c r="AL969" s="30" t="n">
        <v>1</v>
      </c>
      <c r="AM969" s="30" t="n">
        <v>1</v>
      </c>
      <c r="AN969" s="30" t="n">
        <v>1</v>
      </c>
      <c r="AO969" s="30" t="n">
        <v>1</v>
      </c>
      <c r="AP969" s="30" t="n">
        <v>3</v>
      </c>
      <c r="AQ969" s="30" t="n">
        <v>4</v>
      </c>
      <c r="AR969" s="30" t="n">
        <v>4</v>
      </c>
      <c r="AS969" s="30" t="n">
        <v>6</v>
      </c>
      <c r="AT969" s="30" t="n">
        <v>4</v>
      </c>
      <c r="AU969" s="30" t="n">
        <v>4</v>
      </c>
      <c r="AV969" s="30" t="n">
        <v>6</v>
      </c>
      <c r="AW969" s="30" t="n">
        <v>6</v>
      </c>
      <c r="AX969" s="30" t="n">
        <v>3</v>
      </c>
      <c r="AY969" s="30" t="n">
        <v>3</v>
      </c>
      <c r="AZ969" s="30" t="n">
        <v>6</v>
      </c>
      <c r="BA969" s="5" t="n">
        <v>1</v>
      </c>
      <c r="BB969" s="30" t="n">
        <v>1</v>
      </c>
      <c r="BC969" s="30" t="n">
        <v>2</v>
      </c>
      <c r="BD969" s="30" t="n">
        <v>2</v>
      </c>
      <c r="BE969" s="30" t="n">
        <v>1</v>
      </c>
      <c r="BF969" s="30" t="n">
        <v>2</v>
      </c>
      <c r="BG969" s="30" t="n">
        <v>1</v>
      </c>
      <c r="BH969" s="30" t="n">
        <v>4</v>
      </c>
      <c r="BI969" s="30" t="n">
        <v>1</v>
      </c>
      <c r="BJ969" s="30" t="n">
        <v>1</v>
      </c>
      <c r="BK969" s="31" t="s">
        <v>2509</v>
      </c>
    </row>
    <row r="970" customFormat="false" ht="15" hidden="false" customHeight="true" outlineLevel="0" collapsed="false">
      <c r="B970" s="2" t="s">
        <v>2510</v>
      </c>
      <c r="C970" s="2" t="s">
        <v>2511</v>
      </c>
      <c r="D970" s="2" t="s">
        <v>2512</v>
      </c>
      <c r="E970" s="2" t="n">
        <v>203466</v>
      </c>
      <c r="F970" s="15" t="n">
        <v>44126</v>
      </c>
      <c r="G970" s="15" t="n">
        <v>44131</v>
      </c>
      <c r="H970" s="3" t="n">
        <v>5</v>
      </c>
      <c r="I970" s="3" t="n">
        <v>2</v>
      </c>
      <c r="J970" s="3" t="n">
        <v>61</v>
      </c>
      <c r="K970" s="3" t="n">
        <v>2</v>
      </c>
      <c r="L970" s="3" t="n">
        <v>2</v>
      </c>
      <c r="M970" s="3" t="n">
        <v>1</v>
      </c>
      <c r="N970" s="3" t="n">
        <v>2</v>
      </c>
      <c r="O970" s="3" t="n">
        <v>2</v>
      </c>
      <c r="P970" s="3" t="n">
        <v>1</v>
      </c>
      <c r="Q970" s="3" t="n">
        <v>1</v>
      </c>
      <c r="R970" s="3" t="n">
        <v>2</v>
      </c>
      <c r="S970" s="3" t="n">
        <v>2</v>
      </c>
      <c r="T970" s="4" t="n">
        <v>2</v>
      </c>
      <c r="U970" s="3" t="n">
        <v>2</v>
      </c>
      <c r="V970" s="3" t="n">
        <v>6.63</v>
      </c>
      <c r="W970" s="3" t="n">
        <v>6.33</v>
      </c>
      <c r="X970" s="3" t="n">
        <v>13.42</v>
      </c>
      <c r="Y970" s="3" t="n">
        <v>453</v>
      </c>
      <c r="Z970" s="3" t="n">
        <v>113</v>
      </c>
      <c r="AA970" s="3" t="n">
        <v>0.5</v>
      </c>
      <c r="AB970" s="3" t="n">
        <v>9.3</v>
      </c>
      <c r="AC970" s="3" t="n">
        <v>2</v>
      </c>
      <c r="AD970" s="3" t="n">
        <v>1</v>
      </c>
      <c r="AE970" s="3" t="n">
        <v>1</v>
      </c>
      <c r="AF970" s="3" t="n">
        <v>1</v>
      </c>
      <c r="AG970" s="3" t="n">
        <v>1</v>
      </c>
      <c r="AH970" s="3" t="n">
        <v>2</v>
      </c>
      <c r="AI970" s="3" t="n">
        <v>1</v>
      </c>
      <c r="AJ970" s="3" t="n">
        <v>1</v>
      </c>
      <c r="AK970" s="3" t="n">
        <v>2</v>
      </c>
      <c r="AL970" s="3" t="n">
        <v>2</v>
      </c>
      <c r="AM970" s="3" t="n">
        <v>2</v>
      </c>
      <c r="AN970" s="3" t="n">
        <v>2</v>
      </c>
      <c r="AO970" s="3" t="n">
        <v>2</v>
      </c>
      <c r="AP970" s="3" t="n">
        <v>3</v>
      </c>
      <c r="AQ970" s="3" t="n">
        <v>4</v>
      </c>
      <c r="AR970" s="3" t="n">
        <v>4</v>
      </c>
      <c r="AS970" s="3" t="n">
        <v>6</v>
      </c>
      <c r="AT970" s="3" t="n">
        <v>4</v>
      </c>
      <c r="AU970" s="3" t="n">
        <v>4</v>
      </c>
      <c r="AV970" s="3" t="n">
        <v>6</v>
      </c>
      <c r="AW970" s="3" t="n">
        <v>6</v>
      </c>
      <c r="AX970" s="3" t="n">
        <v>3</v>
      </c>
      <c r="AY970" s="3" t="n">
        <v>3</v>
      </c>
      <c r="AZ970" s="3" t="n">
        <v>1</v>
      </c>
      <c r="BA970" s="5" t="n">
        <v>1</v>
      </c>
      <c r="BB970" s="3" t="n">
        <v>1</v>
      </c>
      <c r="BC970" s="3" t="n">
        <v>1</v>
      </c>
      <c r="BD970" s="3" t="n">
        <v>2</v>
      </c>
      <c r="BE970" s="3" t="n">
        <v>3</v>
      </c>
      <c r="BF970" s="3" t="n">
        <v>5</v>
      </c>
      <c r="BG970" s="3" t="n">
        <v>3</v>
      </c>
      <c r="BH970" s="3" t="n">
        <v>4</v>
      </c>
      <c r="BI970" s="3" t="n">
        <v>1</v>
      </c>
      <c r="BJ970" s="3" t="n">
        <v>1</v>
      </c>
      <c r="BK970" s="6" t="s">
        <v>2513</v>
      </c>
    </row>
    <row r="971" customFormat="false" ht="15" hidden="false" customHeight="true" outlineLevel="0" collapsed="false">
      <c r="B971" s="2" t="s">
        <v>2514</v>
      </c>
      <c r="C971" s="2" t="s">
        <v>2515</v>
      </c>
      <c r="D971" s="2" t="s">
        <v>2516</v>
      </c>
      <c r="E971" s="2" t="n">
        <v>203562</v>
      </c>
      <c r="F971" s="15" t="n">
        <v>44123</v>
      </c>
      <c r="G971" s="15" t="n">
        <v>44130</v>
      </c>
      <c r="H971" s="3" t="n">
        <v>7</v>
      </c>
      <c r="I971" s="3" t="n">
        <v>1</v>
      </c>
      <c r="J971" s="3" t="n">
        <v>56</v>
      </c>
      <c r="K971" s="3" t="n">
        <v>1</v>
      </c>
      <c r="L971" s="3" t="n">
        <v>2</v>
      </c>
      <c r="M971" s="3" t="n">
        <v>1</v>
      </c>
      <c r="N971" s="3" t="n">
        <v>2</v>
      </c>
      <c r="O971" s="3" t="n">
        <v>2</v>
      </c>
      <c r="P971" s="3" t="n">
        <v>2</v>
      </c>
      <c r="Q971" s="3" t="n">
        <v>1</v>
      </c>
      <c r="R971" s="3" t="n">
        <v>2</v>
      </c>
      <c r="S971" s="3" t="n">
        <v>2</v>
      </c>
      <c r="T971" s="4" t="n">
        <v>2</v>
      </c>
      <c r="U971" s="3" t="n">
        <v>2</v>
      </c>
      <c r="V971" s="3" t="n">
        <v>3.73</v>
      </c>
      <c r="W971" s="3" t="n">
        <v>1.32</v>
      </c>
      <c r="X971" s="3" t="n">
        <v>18.58</v>
      </c>
      <c r="Y971" s="3" t="n">
        <v>678</v>
      </c>
      <c r="Z971" s="3" t="n">
        <v>229</v>
      </c>
      <c r="AA971" s="3" t="n">
        <v>0.25</v>
      </c>
      <c r="AB971" s="3" t="n">
        <v>14.8</v>
      </c>
      <c r="AC971" s="3" t="n">
        <v>2</v>
      </c>
      <c r="AD971" s="3" t="n">
        <v>2</v>
      </c>
      <c r="AE971" s="3" t="n">
        <v>1</v>
      </c>
      <c r="AF971" s="3" t="n">
        <v>1</v>
      </c>
      <c r="AG971" s="3" t="n">
        <v>2</v>
      </c>
      <c r="AH971" s="3" t="n">
        <v>2</v>
      </c>
      <c r="AI971" s="3" t="n">
        <v>1</v>
      </c>
      <c r="AJ971" s="3" t="n">
        <v>1</v>
      </c>
      <c r="AK971" s="3" t="n">
        <v>2</v>
      </c>
      <c r="AL971" s="3" t="n">
        <v>2</v>
      </c>
      <c r="AM971" s="3" t="n">
        <v>2</v>
      </c>
      <c r="AN971" s="3" t="n">
        <v>2</v>
      </c>
      <c r="AO971" s="3" t="n">
        <v>2</v>
      </c>
      <c r="AP971" s="3" t="n">
        <v>3</v>
      </c>
      <c r="AQ971" s="3" t="n">
        <v>4</v>
      </c>
      <c r="AR971" s="3" t="n">
        <v>4</v>
      </c>
      <c r="AS971" s="3" t="n">
        <v>6</v>
      </c>
      <c r="AT971" s="3" t="n">
        <v>4</v>
      </c>
      <c r="AU971" s="3" t="n">
        <v>4</v>
      </c>
      <c r="AV971" s="3" t="n">
        <v>6</v>
      </c>
      <c r="AW971" s="3" t="n">
        <v>6</v>
      </c>
      <c r="AX971" s="3" t="n">
        <v>3</v>
      </c>
      <c r="AY971" s="3" t="n">
        <v>3</v>
      </c>
      <c r="AZ971" s="3" t="n">
        <v>1</v>
      </c>
      <c r="BA971" s="5" t="n">
        <v>1</v>
      </c>
      <c r="BB971" s="3" t="n">
        <v>1</v>
      </c>
      <c r="BC971" s="3" t="n">
        <v>1</v>
      </c>
      <c r="BD971" s="3" t="n">
        <v>2</v>
      </c>
      <c r="BE971" s="3" t="n">
        <v>1</v>
      </c>
      <c r="BF971" s="3" t="n">
        <v>2</v>
      </c>
      <c r="BG971" s="3" t="n">
        <v>1</v>
      </c>
      <c r="BH971" s="3" t="n">
        <v>4</v>
      </c>
      <c r="BI971" s="3" t="n">
        <v>1</v>
      </c>
      <c r="BJ971" s="3" t="n">
        <v>1</v>
      </c>
      <c r="BK971" s="6" t="s">
        <v>2517</v>
      </c>
    </row>
    <row r="972" customFormat="false" ht="15" hidden="false" customHeight="true" outlineLevel="0" collapsed="false">
      <c r="B972" s="2" t="s">
        <v>254</v>
      </c>
      <c r="C972" s="2" t="s">
        <v>898</v>
      </c>
      <c r="D972" s="2" t="s">
        <v>2518</v>
      </c>
      <c r="E972" s="2" t="n">
        <v>202948</v>
      </c>
      <c r="F972" s="15" t="n">
        <v>44124</v>
      </c>
      <c r="G972" s="15" t="n">
        <v>44130</v>
      </c>
      <c r="H972" s="3" t="n">
        <v>6</v>
      </c>
      <c r="I972" s="3" t="n">
        <v>2</v>
      </c>
      <c r="J972" s="3" t="n">
        <v>68</v>
      </c>
      <c r="K972" s="3" t="n">
        <v>2</v>
      </c>
      <c r="L972" s="3" t="n">
        <v>2</v>
      </c>
      <c r="M972" s="3" t="n">
        <v>1</v>
      </c>
      <c r="N972" s="3" t="n">
        <v>1</v>
      </c>
      <c r="O972" s="3" t="n">
        <v>2</v>
      </c>
      <c r="P972" s="3" t="n">
        <v>2</v>
      </c>
      <c r="Q972" s="3" t="n">
        <v>2</v>
      </c>
      <c r="R972" s="3" t="n">
        <v>2</v>
      </c>
      <c r="S972" s="3" t="n">
        <v>1</v>
      </c>
      <c r="T972" s="4" t="n">
        <v>2</v>
      </c>
      <c r="U972" s="3" t="n">
        <v>2</v>
      </c>
      <c r="V972" s="3" t="n">
        <v>2.71</v>
      </c>
      <c r="W972" s="3" t="n">
        <v>0.69</v>
      </c>
      <c r="Y972" s="3" t="n">
        <v>416</v>
      </c>
      <c r="Z972" s="3" t="n">
        <v>226</v>
      </c>
      <c r="AA972" s="3" t="n">
        <v>0.37</v>
      </c>
      <c r="AB972" s="3" t="n">
        <v>6</v>
      </c>
      <c r="AC972" s="3" t="n">
        <v>1</v>
      </c>
      <c r="AD972" s="3" t="n">
        <v>1</v>
      </c>
      <c r="AE972" s="3" t="n">
        <v>1</v>
      </c>
      <c r="AF972" s="3" t="n">
        <v>1</v>
      </c>
      <c r="AG972" s="3" t="n">
        <v>2</v>
      </c>
      <c r="AH972" s="3" t="n">
        <v>1</v>
      </c>
      <c r="AI972" s="3" t="n">
        <v>1</v>
      </c>
      <c r="AJ972" s="3" t="n">
        <v>2</v>
      </c>
      <c r="AK972" s="3" t="n">
        <v>2</v>
      </c>
      <c r="AL972" s="3" t="n">
        <v>2</v>
      </c>
      <c r="AM972" s="3" t="n">
        <v>1</v>
      </c>
      <c r="AN972" s="3" t="n">
        <v>2</v>
      </c>
      <c r="AO972" s="3" t="n">
        <v>2</v>
      </c>
      <c r="AP972" s="3" t="n">
        <v>3</v>
      </c>
      <c r="AQ972" s="3" t="n">
        <v>4</v>
      </c>
      <c r="AR972" s="3" t="n">
        <v>4</v>
      </c>
      <c r="AS972" s="3" t="n">
        <v>6</v>
      </c>
      <c r="AT972" s="3" t="n">
        <v>4</v>
      </c>
      <c r="AU972" s="3" t="n">
        <v>4</v>
      </c>
      <c r="AV972" s="3" t="n">
        <v>6</v>
      </c>
      <c r="AW972" s="3" t="n">
        <v>6</v>
      </c>
      <c r="AX972" s="3" t="n">
        <v>3</v>
      </c>
      <c r="AY972" s="3" t="n">
        <v>3</v>
      </c>
      <c r="AZ972" s="3" t="n">
        <v>1</v>
      </c>
      <c r="BA972" s="5" t="n">
        <v>5</v>
      </c>
      <c r="BB972" s="3" t="n">
        <v>2</v>
      </c>
      <c r="BC972" s="3" t="n">
        <v>1</v>
      </c>
      <c r="BD972" s="3" t="n">
        <v>6</v>
      </c>
      <c r="BE972" s="3" t="n">
        <v>3</v>
      </c>
      <c r="BF972" s="3" t="n">
        <v>5</v>
      </c>
      <c r="BG972" s="3" t="n">
        <v>3</v>
      </c>
      <c r="BH972" s="3" t="n">
        <v>4</v>
      </c>
      <c r="BI972" s="3" t="n">
        <v>1</v>
      </c>
      <c r="BJ972" s="3" t="n">
        <v>1</v>
      </c>
      <c r="BK972" s="6" t="s">
        <v>2519</v>
      </c>
    </row>
    <row r="973" customFormat="false" ht="15" hidden="false" customHeight="true" outlineLevel="0" collapsed="false">
      <c r="B973" s="2" t="s">
        <v>140</v>
      </c>
      <c r="C973" s="2" t="s">
        <v>66</v>
      </c>
      <c r="D973" s="2" t="s">
        <v>95</v>
      </c>
      <c r="E973" s="2" t="n">
        <v>203582</v>
      </c>
      <c r="F973" s="15" t="n">
        <v>44124</v>
      </c>
      <c r="G973" s="15" t="n">
        <v>44131</v>
      </c>
      <c r="H973" s="3" t="n">
        <v>7</v>
      </c>
      <c r="I973" s="3" t="n">
        <v>2</v>
      </c>
      <c r="J973" s="3" t="n">
        <v>74</v>
      </c>
      <c r="K973" s="3" t="n">
        <v>1</v>
      </c>
      <c r="L973" s="3" t="n">
        <v>2</v>
      </c>
      <c r="M973" s="3" t="n">
        <v>1</v>
      </c>
      <c r="N973" s="3" t="n">
        <v>2</v>
      </c>
      <c r="O973" s="3" t="n">
        <v>2</v>
      </c>
      <c r="P973" s="3" t="n">
        <v>2</v>
      </c>
      <c r="Q973" s="3" t="n">
        <v>2</v>
      </c>
      <c r="R973" s="3" t="n">
        <v>2</v>
      </c>
      <c r="S973" s="3" t="n">
        <v>2</v>
      </c>
      <c r="T973" s="4" t="n">
        <v>2</v>
      </c>
      <c r="U973" s="3" t="n">
        <v>2</v>
      </c>
      <c r="V973" s="3" t="n">
        <v>3.44</v>
      </c>
      <c r="W973" s="3" t="n">
        <v>1.26</v>
      </c>
      <c r="X973" s="3" t="n">
        <v>7.28</v>
      </c>
      <c r="Y973" s="3" t="n">
        <v>474</v>
      </c>
      <c r="Z973" s="3" t="n">
        <v>111</v>
      </c>
      <c r="AC973" s="3" t="n">
        <v>2</v>
      </c>
      <c r="AD973" s="3" t="n">
        <v>2</v>
      </c>
      <c r="AE973" s="3" t="n">
        <v>1</v>
      </c>
      <c r="AF973" s="3" t="n">
        <v>1</v>
      </c>
      <c r="AG973" s="3" t="n">
        <v>2</v>
      </c>
      <c r="AH973" s="3" t="n">
        <v>2</v>
      </c>
      <c r="AI973" s="3" t="n">
        <v>1</v>
      </c>
      <c r="AJ973" s="3" t="n">
        <v>1</v>
      </c>
      <c r="AK973" s="3" t="n">
        <v>2</v>
      </c>
      <c r="AL973" s="3" t="n">
        <v>2</v>
      </c>
      <c r="AM973" s="3" t="n">
        <v>1</v>
      </c>
      <c r="AN973" s="3" t="n">
        <v>2</v>
      </c>
      <c r="AO973" s="3" t="n">
        <v>2</v>
      </c>
      <c r="AP973" s="3" t="n">
        <v>3</v>
      </c>
      <c r="AQ973" s="3" t="n">
        <v>4</v>
      </c>
      <c r="AR973" s="3" t="n">
        <v>4</v>
      </c>
      <c r="AS973" s="3" t="n">
        <v>6</v>
      </c>
      <c r="AT973" s="3" t="n">
        <v>4</v>
      </c>
      <c r="AU973" s="3" t="n">
        <v>4</v>
      </c>
      <c r="AV973" s="3" t="n">
        <v>6</v>
      </c>
      <c r="AW973" s="3" t="n">
        <v>4</v>
      </c>
      <c r="AX973" s="3" t="n">
        <v>3</v>
      </c>
      <c r="AY973" s="3" t="n">
        <v>3</v>
      </c>
      <c r="AZ973" s="3" t="n">
        <v>1</v>
      </c>
      <c r="BA973" s="5" t="n">
        <v>1</v>
      </c>
      <c r="BB973" s="3" t="n">
        <v>1</v>
      </c>
      <c r="BC973" s="3" t="n">
        <v>1</v>
      </c>
      <c r="BD973" s="3" t="n">
        <v>2</v>
      </c>
      <c r="BE973" s="3" t="n">
        <v>1</v>
      </c>
      <c r="BF973" s="3" t="n">
        <v>2</v>
      </c>
      <c r="BG973" s="3" t="n">
        <v>1</v>
      </c>
      <c r="BH973" s="3" t="n">
        <v>4</v>
      </c>
      <c r="BI973" s="3" t="n">
        <v>1</v>
      </c>
      <c r="BJ973" s="3" t="n">
        <v>1</v>
      </c>
      <c r="BK973" s="6" t="s">
        <v>2103</v>
      </c>
    </row>
    <row r="974" customFormat="false" ht="15" hidden="false" customHeight="true" outlineLevel="0" collapsed="false">
      <c r="B974" s="2" t="s">
        <v>2520</v>
      </c>
      <c r="C974" s="2" t="s">
        <v>324</v>
      </c>
      <c r="D974" s="2" t="s">
        <v>153</v>
      </c>
      <c r="E974" s="2" t="n">
        <v>203462</v>
      </c>
      <c r="F974" s="15" t="n">
        <v>44126</v>
      </c>
      <c r="G974" s="15" t="n">
        <v>44132</v>
      </c>
      <c r="H974" s="3" t="n">
        <v>6</v>
      </c>
      <c r="I974" s="3" t="n">
        <v>2</v>
      </c>
      <c r="J974" s="3" t="n">
        <v>56</v>
      </c>
      <c r="K974" s="3" t="n">
        <v>1</v>
      </c>
      <c r="L974" s="3" t="n">
        <v>2</v>
      </c>
      <c r="M974" s="3" t="n">
        <v>1</v>
      </c>
      <c r="N974" s="3" t="n">
        <v>2</v>
      </c>
      <c r="O974" s="3" t="n">
        <v>2</v>
      </c>
      <c r="P974" s="3" t="n">
        <v>2</v>
      </c>
      <c r="Q974" s="3" t="n">
        <v>2</v>
      </c>
      <c r="R974" s="3" t="n">
        <v>2</v>
      </c>
      <c r="S974" s="3" t="n">
        <v>1</v>
      </c>
      <c r="T974" s="4" t="n">
        <v>2</v>
      </c>
      <c r="U974" s="3" t="n">
        <v>2</v>
      </c>
      <c r="V974" s="3" t="n">
        <v>4.32</v>
      </c>
      <c r="W974" s="3" t="n">
        <v>1.54</v>
      </c>
      <c r="X974" s="3" t="n">
        <v>5.49</v>
      </c>
      <c r="Y974" s="3" t="n">
        <v>340</v>
      </c>
      <c r="Z974" s="3" t="n">
        <v>109</v>
      </c>
      <c r="AA974" s="3" t="n">
        <v>0.48</v>
      </c>
      <c r="AB974" s="3" t="n">
        <v>10.9</v>
      </c>
      <c r="AC974" s="3" t="n">
        <v>1</v>
      </c>
      <c r="AD974" s="3" t="n">
        <v>2</v>
      </c>
      <c r="AE974" s="3" t="n">
        <v>1</v>
      </c>
      <c r="AF974" s="3" t="n">
        <v>1</v>
      </c>
      <c r="AG974" s="3" t="n">
        <v>1</v>
      </c>
      <c r="AH974" s="3" t="n">
        <v>2</v>
      </c>
      <c r="AI974" s="3" t="n">
        <v>1</v>
      </c>
      <c r="AJ974" s="3" t="n">
        <v>1</v>
      </c>
      <c r="AK974" s="3" t="n">
        <v>2</v>
      </c>
      <c r="AL974" s="3" t="n">
        <v>2</v>
      </c>
      <c r="AM974" s="3" t="n">
        <v>2</v>
      </c>
      <c r="AN974" s="3" t="n">
        <v>2</v>
      </c>
      <c r="AO974" s="3" t="n">
        <v>2</v>
      </c>
      <c r="AP974" s="3" t="n">
        <v>3</v>
      </c>
      <c r="AQ974" s="3" t="n">
        <v>4</v>
      </c>
      <c r="AR974" s="3" t="n">
        <v>4</v>
      </c>
      <c r="AS974" s="3" t="n">
        <v>6</v>
      </c>
      <c r="AT974" s="3" t="n">
        <v>4</v>
      </c>
      <c r="AU974" s="3" t="n">
        <v>4</v>
      </c>
      <c r="AV974" s="3" t="n">
        <v>6</v>
      </c>
      <c r="AW974" s="3" t="n">
        <v>6</v>
      </c>
      <c r="AX974" s="3" t="n">
        <v>3</v>
      </c>
      <c r="AY974" s="3" t="n">
        <v>3</v>
      </c>
      <c r="AZ974" s="3" t="n">
        <v>1</v>
      </c>
      <c r="BA974" s="5" t="n">
        <v>1</v>
      </c>
      <c r="BB974" s="3" t="n">
        <v>1</v>
      </c>
      <c r="BC974" s="3" t="n">
        <v>1</v>
      </c>
      <c r="BD974" s="3" t="n">
        <v>4</v>
      </c>
      <c r="BE974" s="3" t="n">
        <v>1</v>
      </c>
      <c r="BF974" s="3" t="n">
        <v>2</v>
      </c>
      <c r="BG974" s="3" t="n">
        <v>1</v>
      </c>
      <c r="BH974" s="3" t="n">
        <v>4</v>
      </c>
      <c r="BI974" s="3" t="n">
        <v>1</v>
      </c>
      <c r="BJ974" s="3" t="n">
        <v>1</v>
      </c>
      <c r="BK974" s="6" t="s">
        <v>2521</v>
      </c>
    </row>
    <row r="975" customFormat="false" ht="15" hidden="false" customHeight="true" outlineLevel="0" collapsed="false">
      <c r="B975" s="2" t="s">
        <v>156</v>
      </c>
      <c r="C975" s="2" t="s">
        <v>536</v>
      </c>
      <c r="D975" s="2" t="s">
        <v>2522</v>
      </c>
      <c r="E975" s="2" t="n">
        <v>196230</v>
      </c>
      <c r="F975" s="15" t="n">
        <v>44132</v>
      </c>
      <c r="G975" s="15" t="n">
        <v>44134</v>
      </c>
      <c r="H975" s="3" t="n">
        <v>2</v>
      </c>
      <c r="I975" s="3" t="n">
        <v>2</v>
      </c>
      <c r="J975" s="3" t="n">
        <v>49</v>
      </c>
      <c r="K975" s="3" t="n">
        <v>1</v>
      </c>
      <c r="L975" s="3" t="n">
        <v>1</v>
      </c>
      <c r="M975" s="3" t="n">
        <v>1</v>
      </c>
      <c r="N975" s="3" t="n">
        <v>1</v>
      </c>
      <c r="O975" s="3" t="n">
        <v>2</v>
      </c>
      <c r="P975" s="3" t="n">
        <v>1</v>
      </c>
      <c r="Q975" s="3" t="n">
        <v>1</v>
      </c>
      <c r="R975" s="3" t="n">
        <v>2</v>
      </c>
      <c r="S975" s="3" t="n">
        <v>2</v>
      </c>
      <c r="T975" s="4" t="n">
        <v>5</v>
      </c>
      <c r="U975" s="3" t="n">
        <v>1</v>
      </c>
      <c r="Z975" s="3" t="n">
        <v>91.1</v>
      </c>
      <c r="AA975" s="3" t="n">
        <v>0.4</v>
      </c>
      <c r="AC975" s="3" t="n">
        <v>3</v>
      </c>
      <c r="AD975" s="3" t="n">
        <v>1</v>
      </c>
      <c r="AE975" s="3" t="n">
        <v>1</v>
      </c>
      <c r="AF975" s="3" t="n">
        <v>1</v>
      </c>
      <c r="AG975" s="3" t="n">
        <v>1</v>
      </c>
      <c r="AH975" s="3" t="n">
        <v>2</v>
      </c>
      <c r="AI975" s="3" t="n">
        <v>1</v>
      </c>
      <c r="AJ975" s="3" t="n">
        <v>1</v>
      </c>
      <c r="AK975" s="3" t="n">
        <v>2</v>
      </c>
      <c r="AL975" s="3" t="n">
        <v>2</v>
      </c>
      <c r="AM975" s="3" t="n">
        <v>2</v>
      </c>
      <c r="AN975" s="3" t="n">
        <v>2</v>
      </c>
      <c r="AO975" s="3" t="n">
        <v>2</v>
      </c>
      <c r="AP975" s="3" t="n">
        <v>1</v>
      </c>
      <c r="AQ975" s="3" t="n">
        <v>3</v>
      </c>
      <c r="AR975" s="3" t="n">
        <v>5</v>
      </c>
      <c r="AS975" s="3" t="n">
        <v>6</v>
      </c>
      <c r="AT975" s="3" t="n">
        <v>4</v>
      </c>
      <c r="AU975" s="3" t="n">
        <v>4</v>
      </c>
      <c r="AV975" s="3" t="n">
        <v>1</v>
      </c>
      <c r="AW975" s="3" t="n">
        <v>6</v>
      </c>
      <c r="AX975" s="3" t="n">
        <v>2</v>
      </c>
      <c r="AY975" s="3" t="n">
        <v>1</v>
      </c>
      <c r="AZ975" s="3" t="n">
        <v>1</v>
      </c>
      <c r="BA975" s="5" t="n">
        <v>3</v>
      </c>
      <c r="BB975" s="3" t="n">
        <v>2</v>
      </c>
      <c r="BC975" s="3" t="n">
        <v>1</v>
      </c>
      <c r="BD975" s="3" t="n">
        <v>6</v>
      </c>
      <c r="BE975" s="3" t="n">
        <v>3</v>
      </c>
      <c r="BF975" s="3" t="n">
        <v>5</v>
      </c>
      <c r="BG975" s="3" t="n">
        <v>3</v>
      </c>
      <c r="BH975" s="3" t="n">
        <v>4</v>
      </c>
      <c r="BI975" s="3" t="n">
        <v>1</v>
      </c>
      <c r="BJ975" s="3" t="n">
        <v>1</v>
      </c>
      <c r="BK975" s="6" t="s">
        <v>2523</v>
      </c>
    </row>
    <row r="976" customFormat="false" ht="15" hidden="false" customHeight="true" outlineLevel="0" collapsed="false">
      <c r="B976" s="2" t="s">
        <v>601</v>
      </c>
      <c r="C976" s="2" t="s">
        <v>1176</v>
      </c>
      <c r="D976" s="2" t="s">
        <v>301</v>
      </c>
      <c r="E976" s="2" t="n">
        <v>133026</v>
      </c>
      <c r="F976" s="15" t="n">
        <v>44129</v>
      </c>
      <c r="G976" s="15" t="n">
        <v>44134</v>
      </c>
      <c r="H976" s="3" t="n">
        <v>5</v>
      </c>
      <c r="I976" s="3" t="n">
        <v>1</v>
      </c>
      <c r="J976" s="3" t="n">
        <v>89</v>
      </c>
      <c r="K976" s="3" t="n">
        <v>1</v>
      </c>
      <c r="L976" s="3" t="n">
        <v>2</v>
      </c>
      <c r="M976" s="3" t="n">
        <v>1</v>
      </c>
      <c r="N976" s="3" t="n">
        <v>2</v>
      </c>
      <c r="O976" s="3" t="n">
        <v>2</v>
      </c>
      <c r="P976" s="3" t="n">
        <v>2</v>
      </c>
      <c r="Q976" s="3" t="n">
        <v>2</v>
      </c>
      <c r="R976" s="3" t="n">
        <v>2</v>
      </c>
      <c r="S976" s="3" t="n">
        <v>2</v>
      </c>
      <c r="T976" s="4" t="n">
        <v>4</v>
      </c>
      <c r="U976" s="3" t="n">
        <v>4</v>
      </c>
      <c r="X976" s="3" t="n">
        <v>4.34</v>
      </c>
      <c r="Y976" s="3" t="n">
        <v>283</v>
      </c>
      <c r="Z976" s="3" t="n">
        <v>294</v>
      </c>
      <c r="AA976" s="3" t="n">
        <v>0.54</v>
      </c>
      <c r="AB976" s="3" t="n">
        <v>7.8</v>
      </c>
      <c r="AC976" s="3" t="n">
        <v>1</v>
      </c>
      <c r="AD976" s="3" t="n">
        <v>2</v>
      </c>
      <c r="AE976" s="3" t="n">
        <v>1</v>
      </c>
      <c r="AF976" s="3" t="n">
        <v>2</v>
      </c>
      <c r="AG976" s="3" t="n">
        <v>2</v>
      </c>
      <c r="AH976" s="3" t="n">
        <v>2</v>
      </c>
      <c r="AI976" s="3" t="n">
        <v>1</v>
      </c>
      <c r="AJ976" s="3" t="n">
        <v>1</v>
      </c>
      <c r="AK976" s="3" t="n">
        <v>2</v>
      </c>
      <c r="AL976" s="3" t="n">
        <v>2</v>
      </c>
      <c r="AM976" s="3" t="n">
        <v>1</v>
      </c>
      <c r="AN976" s="3" t="n">
        <v>2</v>
      </c>
      <c r="AO976" s="3" t="n">
        <v>2</v>
      </c>
      <c r="AP976" s="3" t="n">
        <v>3</v>
      </c>
      <c r="AQ976" s="3" t="n">
        <v>4</v>
      </c>
      <c r="AR976" s="3" t="n">
        <v>4</v>
      </c>
      <c r="AS976" s="3" t="n">
        <v>6</v>
      </c>
      <c r="AT976" s="3" t="n">
        <v>4</v>
      </c>
      <c r="AU976" s="3" t="n">
        <v>4</v>
      </c>
      <c r="AV976" s="3" t="n">
        <v>6</v>
      </c>
      <c r="AW976" s="3" t="n">
        <v>6</v>
      </c>
      <c r="AX976" s="3" t="n">
        <v>3</v>
      </c>
      <c r="AY976" s="3" t="n">
        <v>3</v>
      </c>
      <c r="AZ976" s="3" t="n">
        <v>1</v>
      </c>
      <c r="BA976" s="5" t="n">
        <v>10</v>
      </c>
      <c r="BB976" s="3" t="n">
        <v>2</v>
      </c>
      <c r="BC976" s="3" t="n">
        <v>1</v>
      </c>
      <c r="BD976" s="3" t="n">
        <v>6</v>
      </c>
      <c r="BE976" s="3" t="n">
        <v>3</v>
      </c>
      <c r="BF976" s="3" t="n">
        <v>5</v>
      </c>
      <c r="BG976" s="3" t="n">
        <v>3</v>
      </c>
      <c r="BH976" s="3" t="n">
        <v>4</v>
      </c>
      <c r="BI976" s="3" t="n">
        <v>1</v>
      </c>
      <c r="BJ976" s="3" t="n">
        <v>1</v>
      </c>
      <c r="BK976" s="6" t="s">
        <v>2524</v>
      </c>
    </row>
    <row r="977" customFormat="false" ht="15" hidden="false" customHeight="true" outlineLevel="0" collapsed="false">
      <c r="B977" s="2" t="s">
        <v>912</v>
      </c>
      <c r="C977" s="2" t="s">
        <v>99</v>
      </c>
      <c r="D977" s="2" t="s">
        <v>2525</v>
      </c>
      <c r="E977" s="2" t="n">
        <v>203981</v>
      </c>
      <c r="F977" s="15" t="n">
        <v>44132</v>
      </c>
      <c r="G977" s="15" t="n">
        <v>44134</v>
      </c>
      <c r="H977" s="3" t="n">
        <v>2</v>
      </c>
      <c r="I977" s="3" t="n">
        <v>2</v>
      </c>
      <c r="J977" s="3" t="n">
        <v>59</v>
      </c>
      <c r="K977" s="3" t="n">
        <v>1</v>
      </c>
      <c r="L977" s="3" t="n">
        <v>2</v>
      </c>
      <c r="M977" s="3" t="n">
        <v>1</v>
      </c>
      <c r="N977" s="3" t="n">
        <v>1</v>
      </c>
      <c r="O977" s="3" t="n">
        <v>2</v>
      </c>
      <c r="P977" s="3" t="n">
        <v>1</v>
      </c>
      <c r="Q977" s="3" t="n">
        <v>1</v>
      </c>
      <c r="R977" s="3" t="n">
        <v>2</v>
      </c>
      <c r="S977" s="3" t="n">
        <v>1</v>
      </c>
      <c r="T977" s="4" t="n">
        <v>1</v>
      </c>
      <c r="U977" s="3" t="n">
        <v>4</v>
      </c>
      <c r="V977" s="3" t="n">
        <v>3.7</v>
      </c>
      <c r="W977" s="3" t="n">
        <v>2.2</v>
      </c>
      <c r="X977" s="3" t="n">
        <v>5.68</v>
      </c>
      <c r="Y977" s="3" t="n">
        <v>509</v>
      </c>
      <c r="Z977" s="3" t="n">
        <v>106</v>
      </c>
      <c r="AA977" s="3" t="n">
        <v>0.35</v>
      </c>
      <c r="AB977" s="3" t="n">
        <v>7.7</v>
      </c>
      <c r="AC977" s="3" t="n">
        <v>3</v>
      </c>
      <c r="AD977" s="3" t="n">
        <v>2</v>
      </c>
      <c r="AE977" s="3" t="n">
        <v>1</v>
      </c>
      <c r="AF977" s="3" t="n">
        <v>2</v>
      </c>
      <c r="AG977" s="3" t="n">
        <v>1</v>
      </c>
      <c r="AH977" s="3" t="n">
        <v>2</v>
      </c>
      <c r="AI977" s="3" t="n">
        <v>2</v>
      </c>
      <c r="AJ977" s="3" t="n">
        <v>1</v>
      </c>
      <c r="AK977" s="3" t="n">
        <v>2</v>
      </c>
      <c r="AL977" s="3" t="n">
        <v>2</v>
      </c>
      <c r="AM977" s="3" t="n">
        <v>2</v>
      </c>
      <c r="AN977" s="3" t="n">
        <v>2</v>
      </c>
      <c r="AO977" s="3" t="n">
        <v>2</v>
      </c>
      <c r="AP977" s="3" t="n">
        <v>3</v>
      </c>
      <c r="AQ977" s="3" t="n">
        <v>4</v>
      </c>
      <c r="AR977" s="3" t="n">
        <v>4</v>
      </c>
      <c r="AS977" s="3" t="n">
        <v>6</v>
      </c>
      <c r="AT977" s="3" t="n">
        <v>4</v>
      </c>
      <c r="AU977" s="3" t="n">
        <v>4</v>
      </c>
      <c r="AV977" s="3" t="n">
        <v>6</v>
      </c>
      <c r="AW977" s="3" t="n">
        <v>6</v>
      </c>
      <c r="AX977" s="3" t="n">
        <v>3</v>
      </c>
      <c r="AY977" s="3" t="n">
        <v>3</v>
      </c>
      <c r="AZ977" s="3" t="n">
        <v>1</v>
      </c>
      <c r="BA977" s="5" t="n">
        <v>5</v>
      </c>
      <c r="BB977" s="3" t="n">
        <v>2</v>
      </c>
      <c r="BC977" s="3" t="n">
        <v>1</v>
      </c>
      <c r="BD977" s="3" t="n">
        <v>6</v>
      </c>
      <c r="BE977" s="3" t="n">
        <v>3</v>
      </c>
      <c r="BF977" s="3" t="n">
        <v>5</v>
      </c>
      <c r="BG977" s="3" t="n">
        <v>3</v>
      </c>
      <c r="BH977" s="3" t="n">
        <v>4</v>
      </c>
      <c r="BI977" s="3" t="n">
        <v>1</v>
      </c>
      <c r="BJ977" s="3" t="n">
        <v>1</v>
      </c>
      <c r="BK977" s="6" t="s">
        <v>2526</v>
      </c>
    </row>
    <row r="978" customFormat="false" ht="15" hidden="false" customHeight="true" outlineLevel="0" collapsed="false">
      <c r="B978" s="2" t="s">
        <v>2527</v>
      </c>
      <c r="C978" s="2" t="s">
        <v>244</v>
      </c>
      <c r="D978" s="2" t="s">
        <v>94</v>
      </c>
      <c r="E978" s="2" t="n">
        <v>203963</v>
      </c>
      <c r="F978" s="15" t="n">
        <v>44130</v>
      </c>
      <c r="G978" s="15" t="n">
        <v>44134</v>
      </c>
      <c r="H978" s="3" t="n">
        <v>4</v>
      </c>
      <c r="I978" s="3" t="n">
        <v>1</v>
      </c>
      <c r="J978" s="3" t="n">
        <v>57</v>
      </c>
      <c r="K978" s="3" t="n">
        <v>1</v>
      </c>
      <c r="L978" s="3" t="n">
        <v>2</v>
      </c>
      <c r="M978" s="3" t="n">
        <v>1</v>
      </c>
      <c r="N978" s="3" t="n">
        <v>2</v>
      </c>
      <c r="O978" s="3" t="n">
        <v>1</v>
      </c>
      <c r="P978" s="3" t="n">
        <v>1</v>
      </c>
      <c r="Q978" s="3" t="n">
        <v>1</v>
      </c>
      <c r="R978" s="3" t="n">
        <v>1</v>
      </c>
      <c r="S978" s="3" t="n">
        <v>2</v>
      </c>
      <c r="T978" s="4" t="n">
        <v>1</v>
      </c>
      <c r="U978" s="3" t="n">
        <v>1</v>
      </c>
      <c r="V978" s="3" t="n">
        <v>5.32</v>
      </c>
      <c r="W978" s="3" t="n">
        <v>2.74</v>
      </c>
      <c r="X978" s="3" t="n">
        <v>7.87</v>
      </c>
      <c r="Y978" s="3" t="n">
        <v>300</v>
      </c>
      <c r="Z978" s="3" t="n">
        <v>101</v>
      </c>
      <c r="AA978" s="3" t="n">
        <v>0.43</v>
      </c>
      <c r="AB978" s="3" t="n">
        <v>7.8</v>
      </c>
      <c r="AC978" s="3" t="n">
        <v>1</v>
      </c>
      <c r="AD978" s="3" t="n">
        <v>1</v>
      </c>
      <c r="AE978" s="3" t="n">
        <v>1</v>
      </c>
      <c r="AF978" s="3" t="n">
        <v>1</v>
      </c>
      <c r="AG978" s="3" t="n">
        <v>2</v>
      </c>
      <c r="AH978" s="3" t="n">
        <v>2</v>
      </c>
      <c r="AI978" s="3" t="n">
        <v>1</v>
      </c>
      <c r="AJ978" s="3" t="n">
        <v>1</v>
      </c>
      <c r="AK978" s="3" t="n">
        <v>2</v>
      </c>
      <c r="AL978" s="3" t="n">
        <v>2</v>
      </c>
      <c r="AM978" s="3" t="n">
        <v>1</v>
      </c>
      <c r="AN978" s="3" t="n">
        <v>2</v>
      </c>
      <c r="AO978" s="3" t="n">
        <v>2</v>
      </c>
      <c r="AP978" s="3" t="n">
        <v>3</v>
      </c>
      <c r="AQ978" s="3" t="n">
        <v>4</v>
      </c>
      <c r="AR978" s="3" t="n">
        <v>4</v>
      </c>
      <c r="AS978" s="3" t="n">
        <v>6</v>
      </c>
      <c r="AT978" s="3" t="n">
        <v>4</v>
      </c>
      <c r="AU978" s="3" t="n">
        <v>4</v>
      </c>
      <c r="AV978" s="3" t="n">
        <v>6</v>
      </c>
      <c r="AW978" s="3" t="n">
        <v>6</v>
      </c>
      <c r="AX978" s="3" t="n">
        <v>3</v>
      </c>
      <c r="AY978" s="3" t="n">
        <v>3</v>
      </c>
      <c r="AZ978" s="3" t="n">
        <v>1</v>
      </c>
      <c r="BA978" s="5" t="n">
        <v>5</v>
      </c>
      <c r="BB978" s="3" t="n">
        <v>2</v>
      </c>
      <c r="BC978" s="3" t="n">
        <v>1</v>
      </c>
      <c r="BD978" s="3" t="n">
        <v>6</v>
      </c>
      <c r="BE978" s="3" t="n">
        <v>3</v>
      </c>
      <c r="BF978" s="3" t="n">
        <v>5</v>
      </c>
      <c r="BG978" s="3" t="n">
        <v>3</v>
      </c>
      <c r="BH978" s="3" t="n">
        <v>4</v>
      </c>
      <c r="BI978" s="3" t="n">
        <v>1</v>
      </c>
      <c r="BJ978" s="3" t="n">
        <v>1</v>
      </c>
      <c r="BK978" s="6" t="s">
        <v>2528</v>
      </c>
    </row>
    <row r="979" customFormat="false" ht="15" hidden="false" customHeight="true" outlineLevel="0" collapsed="false">
      <c r="B979" s="2" t="s">
        <v>2529</v>
      </c>
      <c r="C979" s="2" t="s">
        <v>127</v>
      </c>
      <c r="D979" s="2" t="s">
        <v>802</v>
      </c>
      <c r="E979" s="2" t="n">
        <v>203950</v>
      </c>
      <c r="F979" s="15" t="n">
        <v>44129</v>
      </c>
      <c r="G979" s="15" t="n">
        <v>44136</v>
      </c>
      <c r="H979" s="3" t="n">
        <v>6</v>
      </c>
      <c r="I979" s="3" t="n">
        <v>1</v>
      </c>
      <c r="J979" s="3" t="n">
        <v>55</v>
      </c>
      <c r="K979" s="3" t="n">
        <v>1</v>
      </c>
      <c r="L979" s="3" t="n">
        <v>2</v>
      </c>
      <c r="M979" s="3" t="n">
        <v>1</v>
      </c>
      <c r="N979" s="3" t="n">
        <v>2</v>
      </c>
      <c r="O979" s="3" t="n">
        <v>2</v>
      </c>
      <c r="P979" s="3" t="n">
        <v>2</v>
      </c>
      <c r="Q979" s="3" t="n">
        <v>1</v>
      </c>
      <c r="R979" s="3" t="n">
        <v>2</v>
      </c>
      <c r="S979" s="3" t="n">
        <v>2</v>
      </c>
      <c r="T979" s="4" t="n">
        <v>1</v>
      </c>
      <c r="U979" s="3" t="n">
        <v>1</v>
      </c>
      <c r="V979" s="3" t="n">
        <v>5.59</v>
      </c>
      <c r="W979" s="3" t="n">
        <v>2.93</v>
      </c>
      <c r="X979" s="3" t="n">
        <v>8.6</v>
      </c>
      <c r="Y979" s="3" t="n">
        <v>444</v>
      </c>
      <c r="Z979" s="3" t="n">
        <v>93</v>
      </c>
      <c r="AA979" s="3" t="n">
        <v>0.37</v>
      </c>
      <c r="AB979" s="3" t="n">
        <v>10.3</v>
      </c>
      <c r="AC979" s="3" t="n">
        <v>1</v>
      </c>
      <c r="AD979" s="3" t="n">
        <v>1</v>
      </c>
      <c r="AE979" s="3" t="n">
        <v>1</v>
      </c>
      <c r="AF979" s="3" t="n">
        <v>1</v>
      </c>
      <c r="AG979" s="3" t="n">
        <v>2</v>
      </c>
      <c r="AH979" s="3" t="n">
        <v>1</v>
      </c>
      <c r="AI979" s="3" t="n">
        <v>1</v>
      </c>
      <c r="AJ979" s="3" t="n">
        <v>2</v>
      </c>
      <c r="AK979" s="3" t="n">
        <v>2</v>
      </c>
      <c r="AL979" s="3" t="n">
        <v>2</v>
      </c>
      <c r="AM979" s="3" t="n">
        <v>2</v>
      </c>
      <c r="AN979" s="3" t="n">
        <v>2</v>
      </c>
      <c r="AO979" s="3" t="n">
        <v>2</v>
      </c>
      <c r="AP979" s="3" t="n">
        <v>3</v>
      </c>
      <c r="AQ979" s="3" t="n">
        <v>4</v>
      </c>
      <c r="AR979" s="3" t="n">
        <v>4</v>
      </c>
      <c r="AS979" s="3" t="n">
        <v>6</v>
      </c>
      <c r="AT979" s="3" t="n">
        <v>4</v>
      </c>
      <c r="AU979" s="3" t="n">
        <v>4</v>
      </c>
      <c r="AV979" s="3" t="n">
        <v>6</v>
      </c>
      <c r="AW979" s="3" t="n">
        <v>6</v>
      </c>
      <c r="AX979" s="3" t="n">
        <v>3</v>
      </c>
      <c r="AY979" s="3" t="n">
        <v>3</v>
      </c>
      <c r="AZ979" s="3" t="n">
        <v>1</v>
      </c>
      <c r="BA979" s="5" t="n">
        <v>1</v>
      </c>
      <c r="BB979" s="3" t="n">
        <v>1</v>
      </c>
      <c r="BC979" s="3" t="n">
        <v>1</v>
      </c>
      <c r="BD979" s="3" t="n">
        <v>4</v>
      </c>
      <c r="BE979" s="3" t="n">
        <v>3</v>
      </c>
      <c r="BF979" s="3" t="n">
        <v>5</v>
      </c>
      <c r="BG979" s="3" t="n">
        <v>3</v>
      </c>
      <c r="BH979" s="3" t="n">
        <v>4</v>
      </c>
      <c r="BI979" s="3" t="n">
        <v>1</v>
      </c>
      <c r="BJ979" s="3" t="n">
        <v>1</v>
      </c>
    </row>
    <row r="980" s="30" customFormat="true" ht="15" hidden="false" customHeight="true" outlineLevel="0" collapsed="false">
      <c r="A980" s="24"/>
      <c r="B980" s="26" t="s">
        <v>2530</v>
      </c>
      <c r="C980" s="26" t="s">
        <v>1176</v>
      </c>
      <c r="D980" s="26" t="s">
        <v>95</v>
      </c>
      <c r="E980" s="26" t="n">
        <v>204528</v>
      </c>
      <c r="F980" s="27" t="n">
        <v>44134</v>
      </c>
      <c r="G980" s="27" t="n">
        <v>44137</v>
      </c>
      <c r="H980" s="30" t="n">
        <v>3</v>
      </c>
      <c r="I980" s="30" t="n">
        <v>1</v>
      </c>
      <c r="J980" s="30" t="n">
        <v>65</v>
      </c>
      <c r="K980" s="30" t="n">
        <v>1</v>
      </c>
      <c r="L980" s="30" t="n">
        <v>2</v>
      </c>
      <c r="M980" s="30" t="n">
        <v>1</v>
      </c>
      <c r="N980" s="30" t="n">
        <v>2</v>
      </c>
      <c r="O980" s="30" t="n">
        <v>2</v>
      </c>
      <c r="P980" s="30" t="n">
        <v>1</v>
      </c>
      <c r="Q980" s="30" t="n">
        <v>1</v>
      </c>
      <c r="R980" s="30" t="n">
        <v>2</v>
      </c>
      <c r="S980" s="30" t="n">
        <v>2</v>
      </c>
      <c r="T980" s="4" t="n">
        <v>1</v>
      </c>
      <c r="U980" s="30" t="n">
        <v>1</v>
      </c>
      <c r="V980" s="30" t="n">
        <v>5.57</v>
      </c>
      <c r="W980" s="30" t="n">
        <v>1.52</v>
      </c>
      <c r="X980" s="30" t="n">
        <v>9.57</v>
      </c>
      <c r="Y980" s="30" t="n">
        <v>525</v>
      </c>
      <c r="Z980" s="30" t="n">
        <v>99</v>
      </c>
      <c r="AA980" s="30" t="n">
        <v>0.5</v>
      </c>
      <c r="AB980" s="30" t="n">
        <v>12</v>
      </c>
      <c r="AC980" s="30" t="n">
        <v>3</v>
      </c>
      <c r="AD980" s="30" t="n">
        <v>2</v>
      </c>
      <c r="AE980" s="30" t="n">
        <v>1</v>
      </c>
      <c r="AF980" s="30" t="n">
        <v>1</v>
      </c>
      <c r="AG980" s="30" t="n">
        <v>2</v>
      </c>
      <c r="AH980" s="30" t="n">
        <v>2</v>
      </c>
      <c r="AI980" s="30" t="n">
        <v>1</v>
      </c>
      <c r="AJ980" s="30" t="n">
        <v>2</v>
      </c>
      <c r="AK980" s="30" t="n">
        <v>2</v>
      </c>
      <c r="AL980" s="30" t="n">
        <v>2</v>
      </c>
      <c r="AM980" s="30" t="n">
        <v>2</v>
      </c>
      <c r="AN980" s="30" t="n">
        <v>2</v>
      </c>
      <c r="AO980" s="30" t="n">
        <v>2</v>
      </c>
      <c r="AP980" s="30" t="n">
        <v>3</v>
      </c>
      <c r="AQ980" s="30" t="n">
        <v>4</v>
      </c>
      <c r="AR980" s="30" t="n">
        <v>4</v>
      </c>
      <c r="AS980" s="30" t="n">
        <v>6</v>
      </c>
      <c r="AT980" s="30" t="n">
        <v>4</v>
      </c>
      <c r="AU980" s="30" t="n">
        <v>4</v>
      </c>
      <c r="AV980" s="30" t="n">
        <v>6</v>
      </c>
      <c r="AW980" s="30" t="n">
        <v>6</v>
      </c>
      <c r="AX980" s="30" t="n">
        <v>3</v>
      </c>
      <c r="AY980" s="30" t="n">
        <v>3</v>
      </c>
      <c r="AZ980" s="30" t="n">
        <v>13</v>
      </c>
      <c r="BA980" s="5" t="n">
        <v>5</v>
      </c>
      <c r="BB980" s="30" t="n">
        <v>2</v>
      </c>
      <c r="BC980" s="30" t="n">
        <v>2</v>
      </c>
      <c r="BD980" s="30" t="n">
        <v>6</v>
      </c>
      <c r="BE980" s="30" t="n">
        <v>3</v>
      </c>
      <c r="BF980" s="30" t="n">
        <v>5</v>
      </c>
      <c r="BG980" s="30" t="n">
        <v>3</v>
      </c>
      <c r="BH980" s="30" t="n">
        <v>4</v>
      </c>
      <c r="BI980" s="30" t="n">
        <v>1</v>
      </c>
      <c r="BJ980" s="30" t="n">
        <v>1</v>
      </c>
      <c r="BK980" s="31" t="s">
        <v>2531</v>
      </c>
    </row>
    <row r="981" customFormat="false" ht="15" hidden="false" customHeight="true" outlineLevel="0" collapsed="false">
      <c r="B981" s="2" t="s">
        <v>2532</v>
      </c>
      <c r="C981" s="2" t="s">
        <v>95</v>
      </c>
      <c r="D981" s="2" t="s">
        <v>1220</v>
      </c>
      <c r="E981" s="2" t="n">
        <v>203485</v>
      </c>
      <c r="F981" s="15" t="n">
        <v>44128</v>
      </c>
      <c r="G981" s="15" t="n">
        <v>44137</v>
      </c>
      <c r="H981" s="3" t="n">
        <v>8</v>
      </c>
      <c r="I981" s="3" t="n">
        <v>1</v>
      </c>
      <c r="J981" s="3" t="n">
        <v>79</v>
      </c>
      <c r="K981" s="3" t="n">
        <v>1</v>
      </c>
      <c r="L981" s="3" t="n">
        <v>2</v>
      </c>
      <c r="M981" s="3" t="n">
        <v>1</v>
      </c>
      <c r="N981" s="3" t="n">
        <v>2</v>
      </c>
      <c r="O981" s="3" t="n">
        <v>1</v>
      </c>
      <c r="P981" s="3" t="n">
        <v>1</v>
      </c>
      <c r="Q981" s="3" t="n">
        <v>1</v>
      </c>
      <c r="R981" s="3" t="n">
        <v>2</v>
      </c>
      <c r="S981" s="3" t="n">
        <v>2</v>
      </c>
      <c r="T981" s="4" t="n">
        <v>3</v>
      </c>
      <c r="U981" s="3" t="n">
        <v>4</v>
      </c>
      <c r="V981" s="3" t="n">
        <v>4.02</v>
      </c>
      <c r="W981" s="3" t="n">
        <v>1.75</v>
      </c>
      <c r="X981" s="3" t="n">
        <v>8.32</v>
      </c>
      <c r="Y981" s="3" t="n">
        <v>691</v>
      </c>
      <c r="Z981" s="3" t="n">
        <v>165</v>
      </c>
      <c r="AA981" s="3" t="n">
        <v>0.36</v>
      </c>
      <c r="AB981" s="3" t="n">
        <v>12.9</v>
      </c>
      <c r="AC981" s="3" t="n">
        <v>1</v>
      </c>
      <c r="AD981" s="3" t="n">
        <v>2</v>
      </c>
      <c r="AE981" s="3" t="n">
        <v>1</v>
      </c>
      <c r="AF981" s="3" t="n">
        <v>1</v>
      </c>
      <c r="AG981" s="3" t="n">
        <v>2</v>
      </c>
      <c r="AH981" s="3" t="n">
        <v>2</v>
      </c>
      <c r="AI981" s="3" t="n">
        <v>1</v>
      </c>
      <c r="AJ981" s="3" t="n">
        <v>1</v>
      </c>
      <c r="AK981" s="3" t="n">
        <v>2</v>
      </c>
      <c r="AL981" s="3" t="n">
        <v>1</v>
      </c>
      <c r="AM981" s="3" t="n">
        <v>1</v>
      </c>
      <c r="AN981" s="3" t="n">
        <v>2</v>
      </c>
      <c r="AO981" s="3" t="n">
        <v>1</v>
      </c>
      <c r="AP981" s="3" t="n">
        <v>3</v>
      </c>
      <c r="AQ981" s="3" t="n">
        <v>4</v>
      </c>
      <c r="AR981" s="3" t="n">
        <v>4</v>
      </c>
      <c r="AS981" s="3" t="n">
        <v>6</v>
      </c>
      <c r="AT981" s="3" t="n">
        <v>4</v>
      </c>
      <c r="AU981" s="3" t="n">
        <v>4</v>
      </c>
      <c r="AV981" s="3" t="n">
        <v>6</v>
      </c>
      <c r="AW981" s="3" t="n">
        <v>6</v>
      </c>
      <c r="AX981" s="3" t="n">
        <v>3</v>
      </c>
      <c r="AY981" s="3" t="n">
        <v>3</v>
      </c>
      <c r="AZ981" s="3" t="n">
        <v>1</v>
      </c>
      <c r="BA981" s="5" t="n">
        <v>1</v>
      </c>
      <c r="BB981" s="3" t="n">
        <v>1</v>
      </c>
      <c r="BC981" s="3" t="n">
        <v>1</v>
      </c>
      <c r="BD981" s="3" t="n">
        <v>4</v>
      </c>
      <c r="BE981" s="3" t="n">
        <v>3</v>
      </c>
      <c r="BF981" s="3" t="n">
        <v>5</v>
      </c>
      <c r="BG981" s="3" t="n">
        <v>3</v>
      </c>
      <c r="BH981" s="3" t="n">
        <v>4</v>
      </c>
      <c r="BI981" s="3" t="n">
        <v>1</v>
      </c>
      <c r="BJ981" s="3" t="n">
        <v>1</v>
      </c>
      <c r="BK981" s="6" t="s">
        <v>2533</v>
      </c>
    </row>
    <row r="982" customFormat="false" ht="15" hidden="false" customHeight="true" outlineLevel="0" collapsed="false">
      <c r="B982" s="2" t="s">
        <v>2534</v>
      </c>
      <c r="C982" s="2" t="s">
        <v>1432</v>
      </c>
      <c r="D982" s="2" t="s">
        <v>2535</v>
      </c>
      <c r="E982" s="2" t="n">
        <v>203918</v>
      </c>
      <c r="F982" s="15" t="n">
        <v>44132</v>
      </c>
      <c r="G982" s="15" t="n">
        <v>44138</v>
      </c>
      <c r="H982" s="3" t="n">
        <v>6</v>
      </c>
      <c r="I982" s="3" t="n">
        <v>1</v>
      </c>
      <c r="J982" s="3" t="n">
        <v>54</v>
      </c>
      <c r="K982" s="3" t="n">
        <v>2</v>
      </c>
      <c r="L982" s="3" t="n">
        <v>1</v>
      </c>
      <c r="M982" s="3" t="n">
        <v>1</v>
      </c>
      <c r="N982" s="3" t="n">
        <v>2</v>
      </c>
      <c r="O982" s="3" t="n">
        <v>1</v>
      </c>
      <c r="P982" s="3" t="n">
        <v>1</v>
      </c>
      <c r="Q982" s="3" t="n">
        <v>1</v>
      </c>
      <c r="R982" s="3" t="n">
        <v>2</v>
      </c>
      <c r="S982" s="3" t="n">
        <v>2</v>
      </c>
      <c r="T982" s="4" t="n">
        <v>2</v>
      </c>
      <c r="U982" s="3" t="n">
        <v>2</v>
      </c>
      <c r="V982" s="3" t="n">
        <v>4.23</v>
      </c>
      <c r="W982" s="3" t="n">
        <v>6.29</v>
      </c>
      <c r="X982" s="3" t="n">
        <v>9.63</v>
      </c>
      <c r="Y982" s="3" t="n">
        <v>207</v>
      </c>
      <c r="Z982" s="3" t="n">
        <v>77</v>
      </c>
      <c r="AA982" s="3" t="n">
        <v>0.41</v>
      </c>
      <c r="AB982" s="3" t="n">
        <v>8.3</v>
      </c>
      <c r="AC982" s="3" t="n">
        <v>1</v>
      </c>
      <c r="AD982" s="3" t="n">
        <v>2</v>
      </c>
      <c r="AE982" s="3" t="n">
        <v>1</v>
      </c>
      <c r="AF982" s="3" t="n">
        <v>1</v>
      </c>
      <c r="AG982" s="3" t="n">
        <v>2</v>
      </c>
      <c r="AH982" s="3" t="n">
        <v>1</v>
      </c>
      <c r="AI982" s="3" t="n">
        <v>1</v>
      </c>
      <c r="AJ982" s="3" t="n">
        <v>1</v>
      </c>
      <c r="AK982" s="3" t="n">
        <v>1</v>
      </c>
      <c r="AL982" s="3" t="n">
        <v>2</v>
      </c>
      <c r="AM982" s="3" t="n">
        <v>2</v>
      </c>
      <c r="AN982" s="3" t="n">
        <v>2</v>
      </c>
      <c r="AO982" s="3" t="n">
        <v>2</v>
      </c>
      <c r="AP982" s="3" t="n">
        <v>3</v>
      </c>
      <c r="AQ982" s="3" t="n">
        <v>4</v>
      </c>
      <c r="AR982" s="3" t="n">
        <v>4</v>
      </c>
      <c r="AS982" s="3" t="n">
        <v>6</v>
      </c>
      <c r="AT982" s="3" t="n">
        <v>4</v>
      </c>
      <c r="AU982" s="3" t="n">
        <v>4</v>
      </c>
      <c r="AV982" s="3" t="n">
        <v>6</v>
      </c>
      <c r="AW982" s="3" t="n">
        <v>6</v>
      </c>
      <c r="AX982" s="3" t="n">
        <v>3</v>
      </c>
      <c r="AY982" s="3" t="n">
        <v>3</v>
      </c>
      <c r="AZ982" s="3" t="n">
        <v>1</v>
      </c>
      <c r="BA982" s="5" t="n">
        <v>1</v>
      </c>
      <c r="BB982" s="3" t="n">
        <v>1</v>
      </c>
      <c r="BC982" s="3" t="n">
        <v>1</v>
      </c>
      <c r="BD982" s="3" t="n">
        <v>4</v>
      </c>
      <c r="BE982" s="3" t="n">
        <v>1</v>
      </c>
      <c r="BF982" s="3" t="n">
        <v>2</v>
      </c>
      <c r="BG982" s="3" t="n">
        <v>1</v>
      </c>
      <c r="BH982" s="3" t="n">
        <v>4</v>
      </c>
      <c r="BI982" s="3" t="n">
        <v>1</v>
      </c>
      <c r="BJ982" s="3" t="n">
        <v>1</v>
      </c>
      <c r="BK982" s="6" t="s">
        <v>2536</v>
      </c>
    </row>
    <row r="983" customFormat="false" ht="15" hidden="false" customHeight="true" outlineLevel="0" collapsed="false">
      <c r="B983" s="2" t="s">
        <v>2537</v>
      </c>
      <c r="C983" s="2" t="s">
        <v>91</v>
      </c>
      <c r="D983" s="2" t="s">
        <v>2538</v>
      </c>
      <c r="E983" s="2" t="n">
        <v>203908</v>
      </c>
      <c r="F983" s="15" t="n">
        <v>44131</v>
      </c>
      <c r="G983" s="15" t="n">
        <v>44137</v>
      </c>
      <c r="H983" s="3" t="n">
        <v>5</v>
      </c>
      <c r="I983" s="3" t="n">
        <v>2</v>
      </c>
      <c r="J983" s="3" t="n">
        <v>76</v>
      </c>
      <c r="K983" s="3" t="n">
        <v>2</v>
      </c>
      <c r="L983" s="3" t="n">
        <v>2</v>
      </c>
      <c r="M983" s="3" t="n">
        <v>1</v>
      </c>
      <c r="N983" s="3" t="n">
        <v>2</v>
      </c>
      <c r="O983" s="3" t="n">
        <v>2</v>
      </c>
      <c r="P983" s="3" t="n">
        <v>2</v>
      </c>
      <c r="Q983" s="3" t="n">
        <v>2</v>
      </c>
      <c r="R983" s="3" t="n">
        <v>2</v>
      </c>
      <c r="S983" s="3" t="n">
        <v>2</v>
      </c>
      <c r="T983" s="4" t="n">
        <v>1</v>
      </c>
      <c r="U983" s="3" t="n">
        <v>1</v>
      </c>
      <c r="V983" s="3" t="n">
        <v>4.36</v>
      </c>
      <c r="W983" s="3" t="n">
        <v>0.7</v>
      </c>
      <c r="X983" s="3" t="n">
        <v>4.16</v>
      </c>
      <c r="Y983" s="3" t="n">
        <v>384</v>
      </c>
      <c r="Z983" s="3" t="n">
        <v>117</v>
      </c>
      <c r="AA983" s="3" t="n">
        <v>0.36</v>
      </c>
      <c r="AB983" s="3" t="n">
        <v>6.8</v>
      </c>
      <c r="AC983" s="3" t="n">
        <v>1</v>
      </c>
      <c r="AD983" s="3" t="n">
        <v>1</v>
      </c>
      <c r="AE983" s="3" t="n">
        <v>1</v>
      </c>
      <c r="AF983" s="3" t="n">
        <v>1</v>
      </c>
      <c r="AG983" s="3" t="n">
        <v>2</v>
      </c>
      <c r="AH983" s="3" t="n">
        <v>1</v>
      </c>
      <c r="AI983" s="3" t="n">
        <v>1</v>
      </c>
      <c r="AJ983" s="3" t="n">
        <v>1</v>
      </c>
      <c r="AK983" s="3" t="n">
        <v>2</v>
      </c>
      <c r="AL983" s="3" t="n">
        <v>2</v>
      </c>
      <c r="AM983" s="3" t="n">
        <v>2</v>
      </c>
      <c r="AN983" s="3" t="n">
        <v>2</v>
      </c>
      <c r="AO983" s="3" t="n">
        <v>2</v>
      </c>
      <c r="AP983" s="3" t="n">
        <v>3</v>
      </c>
      <c r="AQ983" s="3" t="n">
        <v>4</v>
      </c>
      <c r="AR983" s="3" t="n">
        <v>4</v>
      </c>
      <c r="AS983" s="3" t="n">
        <v>6</v>
      </c>
      <c r="AT983" s="3" t="n">
        <v>4</v>
      </c>
      <c r="AU983" s="3" t="n">
        <v>4</v>
      </c>
      <c r="AV983" s="3" t="n">
        <v>6</v>
      </c>
      <c r="AW983" s="3" t="n">
        <v>6</v>
      </c>
      <c r="AX983" s="3" t="n">
        <v>3</v>
      </c>
      <c r="AY983" s="3" t="n">
        <v>3</v>
      </c>
      <c r="AZ983" s="3" t="n">
        <v>1</v>
      </c>
      <c r="BA983" s="5" t="n">
        <v>5</v>
      </c>
      <c r="BB983" s="3" t="n">
        <v>2</v>
      </c>
      <c r="BC983" s="3" t="n">
        <v>1</v>
      </c>
      <c r="BD983" s="3" t="n">
        <v>6</v>
      </c>
      <c r="BE983" s="3" t="n">
        <v>3</v>
      </c>
      <c r="BF983" s="3" t="n">
        <v>5</v>
      </c>
      <c r="BG983" s="3" t="n">
        <v>3</v>
      </c>
      <c r="BH983" s="3" t="n">
        <v>4</v>
      </c>
      <c r="BI983" s="3" t="n">
        <v>1</v>
      </c>
      <c r="BJ983" s="3" t="n">
        <v>1</v>
      </c>
      <c r="BK983" s="6" t="s">
        <v>2539</v>
      </c>
    </row>
    <row r="984" s="30" customFormat="true" ht="15" hidden="false" customHeight="true" outlineLevel="0" collapsed="false">
      <c r="A984" s="24" t="s">
        <v>125</v>
      </c>
      <c r="B984" s="25" t="s">
        <v>2540</v>
      </c>
      <c r="C984" s="25" t="s">
        <v>608</v>
      </c>
      <c r="D984" s="25" t="s">
        <v>528</v>
      </c>
      <c r="E984" s="26" t="n">
        <v>204005</v>
      </c>
      <c r="F984" s="27" t="n">
        <v>44136</v>
      </c>
      <c r="G984" s="27" t="n">
        <v>44139</v>
      </c>
      <c r="H984" s="30" t="n">
        <v>3</v>
      </c>
      <c r="I984" s="30" t="n">
        <v>1</v>
      </c>
      <c r="J984" s="30" t="n">
        <v>78</v>
      </c>
      <c r="K984" s="30" t="n">
        <v>1</v>
      </c>
      <c r="L984" s="30" t="n">
        <v>2</v>
      </c>
      <c r="M984" s="30" t="n">
        <v>1</v>
      </c>
      <c r="N984" s="30" t="n">
        <v>1</v>
      </c>
      <c r="O984" s="30" t="n">
        <v>2</v>
      </c>
      <c r="P984" s="30" t="n">
        <v>2</v>
      </c>
      <c r="Q984" s="30" t="n">
        <v>2</v>
      </c>
      <c r="R984" s="30" t="n">
        <v>2</v>
      </c>
      <c r="S984" s="30" t="n">
        <v>2</v>
      </c>
      <c r="T984" s="4" t="n">
        <v>2</v>
      </c>
      <c r="U984" s="30" t="n">
        <v>2</v>
      </c>
      <c r="V984" s="30" t="n">
        <v>3.58</v>
      </c>
      <c r="W984" s="30" t="n">
        <v>4.74</v>
      </c>
      <c r="X984" s="30" t="n">
        <v>15.16</v>
      </c>
      <c r="Y984" s="30" t="n">
        <v>489</v>
      </c>
      <c r="Z984" s="30" t="n">
        <v>228</v>
      </c>
      <c r="AA984" s="30" t="n">
        <v>0.32</v>
      </c>
      <c r="AB984" s="30" t="n">
        <v>12.6</v>
      </c>
      <c r="AC984" s="30" t="n">
        <v>2</v>
      </c>
      <c r="AD984" s="30" t="n">
        <v>2</v>
      </c>
      <c r="AE984" s="30" t="n">
        <v>1</v>
      </c>
      <c r="AF984" s="30" t="n">
        <v>1</v>
      </c>
      <c r="AG984" s="30" t="n">
        <v>2</v>
      </c>
      <c r="AH984" s="30" t="n">
        <v>2</v>
      </c>
      <c r="AI984" s="30" t="n">
        <v>1</v>
      </c>
      <c r="AJ984" s="30" t="n">
        <v>2</v>
      </c>
      <c r="AK984" s="30" t="n">
        <v>2</v>
      </c>
      <c r="AL984" s="30" t="n">
        <v>2</v>
      </c>
      <c r="AM984" s="30" t="n">
        <v>1</v>
      </c>
      <c r="AN984" s="30" t="n">
        <v>1</v>
      </c>
      <c r="AO984" s="30" t="n">
        <v>2</v>
      </c>
      <c r="AP984" s="30" t="n">
        <v>3</v>
      </c>
      <c r="AQ984" s="30" t="n">
        <v>4</v>
      </c>
      <c r="AR984" s="30" t="n">
        <v>4</v>
      </c>
      <c r="AS984" s="30" t="n">
        <v>6</v>
      </c>
      <c r="AT984" s="30" t="n">
        <v>4</v>
      </c>
      <c r="AU984" s="30" t="n">
        <v>4</v>
      </c>
      <c r="AV984" s="30" t="n">
        <v>6</v>
      </c>
      <c r="AW984" s="30" t="n">
        <v>6</v>
      </c>
      <c r="AX984" s="30" t="n">
        <v>3</v>
      </c>
      <c r="AY984" s="30" t="n">
        <v>3</v>
      </c>
      <c r="AZ984" s="30" t="n">
        <v>6</v>
      </c>
      <c r="BA984" s="5" t="n">
        <v>1</v>
      </c>
      <c r="BB984" s="30" t="n">
        <v>1</v>
      </c>
      <c r="BC984" s="30" t="n">
        <v>2</v>
      </c>
      <c r="BD984" s="30" t="n">
        <v>2</v>
      </c>
      <c r="BE984" s="30" t="n">
        <v>3</v>
      </c>
      <c r="BF984" s="30" t="n">
        <v>5</v>
      </c>
      <c r="BG984" s="30" t="n">
        <v>3</v>
      </c>
      <c r="BH984" s="30" t="n">
        <v>4</v>
      </c>
      <c r="BI984" s="30" t="n">
        <v>1</v>
      </c>
      <c r="BJ984" s="30" t="n">
        <v>1</v>
      </c>
      <c r="BK984" s="31" t="s">
        <v>2541</v>
      </c>
    </row>
    <row r="985" s="30" customFormat="true" ht="15" hidden="false" customHeight="true" outlineLevel="0" collapsed="false">
      <c r="A985" s="24"/>
      <c r="B985" s="26" t="s">
        <v>2514</v>
      </c>
      <c r="C985" s="26" t="s">
        <v>2515</v>
      </c>
      <c r="D985" s="26" t="s">
        <v>2516</v>
      </c>
      <c r="E985" s="26" t="n">
        <v>203562</v>
      </c>
      <c r="F985" s="27" t="n">
        <v>44133</v>
      </c>
      <c r="G985" s="27" t="n">
        <v>44140</v>
      </c>
      <c r="H985" s="30" t="n">
        <v>7</v>
      </c>
      <c r="I985" s="30" t="n">
        <v>1</v>
      </c>
      <c r="J985" s="30" t="n">
        <v>56</v>
      </c>
      <c r="K985" s="30" t="n">
        <v>1</v>
      </c>
      <c r="L985" s="30" t="n">
        <v>2</v>
      </c>
      <c r="M985" s="30" t="n">
        <v>1</v>
      </c>
      <c r="N985" s="30" t="n">
        <v>1</v>
      </c>
      <c r="O985" s="30" t="n">
        <v>2</v>
      </c>
      <c r="P985" s="30" t="n">
        <v>2</v>
      </c>
      <c r="Q985" s="30" t="n">
        <v>1</v>
      </c>
      <c r="R985" s="30" t="n">
        <v>2</v>
      </c>
      <c r="S985" s="30" t="n">
        <v>2</v>
      </c>
      <c r="T985" s="4" t="n">
        <v>1</v>
      </c>
      <c r="U985" s="30" t="n">
        <v>1</v>
      </c>
      <c r="V985" s="30" t="n">
        <v>3.74</v>
      </c>
      <c r="W985" s="30" t="n">
        <v>1.59</v>
      </c>
      <c r="X985" s="30" t="n">
        <v>6.35</v>
      </c>
      <c r="Y985" s="30" t="n">
        <v>687</v>
      </c>
      <c r="Z985" s="30" t="n">
        <v>167</v>
      </c>
      <c r="AA985" s="30" t="n">
        <v>0.29</v>
      </c>
      <c r="AB985" s="30" t="n">
        <v>13</v>
      </c>
      <c r="AC985" s="30" t="n">
        <v>2</v>
      </c>
      <c r="AD985" s="30" t="n">
        <v>1</v>
      </c>
      <c r="AE985" s="30" t="n">
        <v>1</v>
      </c>
      <c r="AF985" s="30" t="n">
        <v>1</v>
      </c>
      <c r="AG985" s="30" t="n">
        <v>2</v>
      </c>
      <c r="AH985" s="30" t="n">
        <v>2</v>
      </c>
      <c r="AI985" s="30" t="n">
        <v>1</v>
      </c>
      <c r="AJ985" s="30" t="n">
        <v>1</v>
      </c>
      <c r="AK985" s="30" t="n">
        <v>2</v>
      </c>
      <c r="AL985" s="30" t="n">
        <v>2</v>
      </c>
      <c r="AM985" s="30" t="n">
        <v>1</v>
      </c>
      <c r="AN985" s="30" t="n">
        <v>2</v>
      </c>
      <c r="AO985" s="30" t="n">
        <v>2</v>
      </c>
      <c r="AP985" s="30" t="n">
        <v>3</v>
      </c>
      <c r="AQ985" s="30" t="n">
        <v>4</v>
      </c>
      <c r="AR985" s="30" t="n">
        <v>4</v>
      </c>
      <c r="AS985" s="30" t="n">
        <v>6</v>
      </c>
      <c r="AT985" s="30" t="n">
        <v>4</v>
      </c>
      <c r="AU985" s="30" t="n">
        <v>4</v>
      </c>
      <c r="AV985" s="30" t="n">
        <v>6</v>
      </c>
      <c r="AW985" s="30" t="n">
        <v>6</v>
      </c>
      <c r="AX985" s="30" t="n">
        <v>3</v>
      </c>
      <c r="AY985" s="30" t="n">
        <v>3</v>
      </c>
      <c r="AZ985" s="30" t="n">
        <v>1</v>
      </c>
      <c r="BA985" s="5" t="n">
        <v>5</v>
      </c>
      <c r="BB985" s="30" t="n">
        <v>2</v>
      </c>
      <c r="BC985" s="30" t="n">
        <v>2</v>
      </c>
      <c r="BD985" s="30" t="n">
        <v>6</v>
      </c>
      <c r="BE985" s="30" t="n">
        <v>3</v>
      </c>
      <c r="BF985" s="30" t="n">
        <v>5</v>
      </c>
      <c r="BG985" s="30" t="n">
        <v>3</v>
      </c>
      <c r="BH985" s="30" t="n">
        <v>4</v>
      </c>
      <c r="BI985" s="30" t="n">
        <v>1</v>
      </c>
      <c r="BJ985" s="30" t="n">
        <v>1</v>
      </c>
      <c r="BK985" s="31" t="s">
        <v>2542</v>
      </c>
    </row>
    <row r="986" customFormat="false" ht="15" hidden="false" customHeight="true" outlineLevel="0" collapsed="false">
      <c r="B986" s="17" t="s">
        <v>2543</v>
      </c>
      <c r="C986" s="17" t="s">
        <v>2544</v>
      </c>
      <c r="D986" s="17" t="s">
        <v>2545</v>
      </c>
      <c r="E986" s="2" t="n">
        <v>204555</v>
      </c>
      <c r="F986" s="15" t="n">
        <v>44135</v>
      </c>
      <c r="G986" s="15" t="n">
        <v>44141</v>
      </c>
      <c r="H986" s="3" t="n">
        <v>6</v>
      </c>
      <c r="I986" s="3" t="n">
        <v>2</v>
      </c>
      <c r="J986" s="3" t="n">
        <v>80</v>
      </c>
      <c r="K986" s="3" t="n">
        <v>1</v>
      </c>
      <c r="L986" s="3" t="n">
        <v>2</v>
      </c>
      <c r="M986" s="3" t="n">
        <v>1</v>
      </c>
      <c r="N986" s="3" t="n">
        <v>1</v>
      </c>
      <c r="O986" s="3" t="n">
        <v>2</v>
      </c>
      <c r="P986" s="3" t="n">
        <v>2</v>
      </c>
      <c r="Q986" s="3" t="n">
        <v>1</v>
      </c>
      <c r="R986" s="3" t="n">
        <v>2</v>
      </c>
      <c r="S986" s="3" t="n">
        <v>2</v>
      </c>
      <c r="T986" s="4" t="n">
        <v>1</v>
      </c>
      <c r="U986" s="3" t="n">
        <v>1</v>
      </c>
      <c r="V986" s="3" t="n">
        <v>5.78</v>
      </c>
      <c r="W986" s="3" t="n">
        <v>4.64</v>
      </c>
      <c r="X986" s="3" t="n">
        <v>10.11</v>
      </c>
      <c r="Y986" s="3" t="n">
        <v>359</v>
      </c>
      <c r="Z986" s="3" t="n">
        <v>123</v>
      </c>
      <c r="AA986" s="3" t="n">
        <v>0.4</v>
      </c>
      <c r="AB986" s="3" t="n">
        <v>8.9</v>
      </c>
      <c r="AC986" s="3" t="n">
        <v>1</v>
      </c>
      <c r="AD986" s="3" t="n">
        <v>1</v>
      </c>
      <c r="AE986" s="3" t="n">
        <v>1</v>
      </c>
      <c r="AF986" s="3" t="n">
        <v>1</v>
      </c>
      <c r="AG986" s="3" t="n">
        <v>2</v>
      </c>
      <c r="AH986" s="3" t="n">
        <v>2</v>
      </c>
      <c r="AI986" s="3" t="n">
        <v>1</v>
      </c>
      <c r="AJ986" s="3" t="n">
        <v>1</v>
      </c>
      <c r="AK986" s="3" t="n">
        <v>1</v>
      </c>
      <c r="AL986" s="3" t="n">
        <v>2</v>
      </c>
      <c r="AM986" s="3" t="n">
        <v>2</v>
      </c>
      <c r="AN986" s="3" t="n">
        <v>2</v>
      </c>
      <c r="AO986" s="3" t="n">
        <v>2</v>
      </c>
      <c r="AP986" s="3" t="n">
        <v>3</v>
      </c>
      <c r="AQ986" s="3" t="n">
        <v>4</v>
      </c>
      <c r="AR986" s="3" t="n">
        <v>4</v>
      </c>
      <c r="AS986" s="3" t="n">
        <v>6</v>
      </c>
      <c r="AT986" s="3" t="n">
        <v>4</v>
      </c>
      <c r="AU986" s="3" t="n">
        <v>4</v>
      </c>
      <c r="AV986" s="3" t="n">
        <v>6</v>
      </c>
      <c r="AW986" s="3" t="n">
        <v>6</v>
      </c>
      <c r="AX986" s="3" t="n">
        <v>3</v>
      </c>
      <c r="AY986" s="3" t="n">
        <v>3</v>
      </c>
      <c r="AZ986" s="3" t="n">
        <v>1</v>
      </c>
      <c r="BA986" s="5" t="n">
        <v>5</v>
      </c>
      <c r="BB986" s="3" t="n">
        <v>2</v>
      </c>
      <c r="BC986" s="3" t="n">
        <v>1</v>
      </c>
      <c r="BD986" s="3" t="n">
        <v>6</v>
      </c>
      <c r="BE986" s="3" t="n">
        <v>3</v>
      </c>
      <c r="BF986" s="3" t="n">
        <v>5</v>
      </c>
      <c r="BG986" s="3" t="n">
        <v>3</v>
      </c>
      <c r="BH986" s="3" t="n">
        <v>4</v>
      </c>
      <c r="BI986" s="3" t="n">
        <v>1</v>
      </c>
      <c r="BJ986" s="3" t="n">
        <v>1</v>
      </c>
      <c r="BK986" s="21" t="s">
        <v>2546</v>
      </c>
    </row>
    <row r="987" customFormat="false" ht="15" hidden="false" customHeight="true" outlineLevel="0" collapsed="false">
      <c r="B987" s="17" t="s">
        <v>415</v>
      </c>
      <c r="C987" s="17" t="s">
        <v>419</v>
      </c>
      <c r="D987" s="17" t="s">
        <v>898</v>
      </c>
      <c r="E987" s="2" t="n">
        <v>204038</v>
      </c>
      <c r="F987" s="15" t="n">
        <v>44136</v>
      </c>
      <c r="G987" s="15" t="n">
        <v>44141</v>
      </c>
      <c r="H987" s="3" t="n">
        <v>5</v>
      </c>
      <c r="I987" s="3" t="n">
        <v>2</v>
      </c>
      <c r="J987" s="3" t="n">
        <v>51</v>
      </c>
      <c r="K987" s="3" t="n">
        <v>2</v>
      </c>
      <c r="L987" s="3" t="n">
        <v>1</v>
      </c>
      <c r="M987" s="3" t="n">
        <v>1</v>
      </c>
      <c r="N987" s="3" t="n">
        <v>2</v>
      </c>
      <c r="O987" s="3" t="n">
        <v>2</v>
      </c>
      <c r="P987" s="3" t="n">
        <v>2</v>
      </c>
      <c r="Q987" s="3" t="n">
        <v>2</v>
      </c>
      <c r="R987" s="3" t="n">
        <v>2</v>
      </c>
      <c r="S987" s="3" t="n">
        <v>2</v>
      </c>
      <c r="T987" s="4" t="n">
        <v>2</v>
      </c>
      <c r="U987" s="3" t="n">
        <v>2</v>
      </c>
      <c r="V987" s="3" t="n">
        <v>4.29</v>
      </c>
      <c r="W987" s="3" t="n">
        <v>1.38</v>
      </c>
      <c r="X987" s="3" t="n">
        <v>7</v>
      </c>
      <c r="Y987" s="3" t="n">
        <v>430</v>
      </c>
      <c r="Z987" s="3" t="n">
        <v>89</v>
      </c>
      <c r="AA987" s="3" t="n">
        <v>0.49</v>
      </c>
      <c r="AB987" s="3" t="n">
        <v>8.2</v>
      </c>
      <c r="AC987" s="3" t="n">
        <v>1</v>
      </c>
      <c r="AD987" s="3" t="n">
        <v>2</v>
      </c>
      <c r="AE987" s="3" t="n">
        <v>1</v>
      </c>
      <c r="AF987" s="3" t="n">
        <v>1</v>
      </c>
      <c r="AG987" s="3" t="n">
        <v>2</v>
      </c>
      <c r="AH987" s="3" t="n">
        <v>2</v>
      </c>
      <c r="AI987" s="3" t="n">
        <v>1</v>
      </c>
      <c r="AJ987" s="3" t="n">
        <v>1</v>
      </c>
      <c r="AK987" s="3" t="n">
        <v>2</v>
      </c>
      <c r="AL987" s="3" t="n">
        <v>1</v>
      </c>
      <c r="AM987" s="3" t="n">
        <v>2</v>
      </c>
      <c r="AN987" s="3" t="n">
        <v>2</v>
      </c>
      <c r="AO987" s="3" t="n">
        <v>2</v>
      </c>
      <c r="AP987" s="3" t="n">
        <v>3</v>
      </c>
      <c r="AQ987" s="3" t="n">
        <v>4</v>
      </c>
      <c r="AR987" s="3" t="n">
        <v>4</v>
      </c>
      <c r="AS987" s="3" t="n">
        <v>6</v>
      </c>
      <c r="AT987" s="3" t="n">
        <v>4</v>
      </c>
      <c r="AU987" s="3" t="n">
        <v>4</v>
      </c>
      <c r="AV987" s="3" t="n">
        <v>6</v>
      </c>
      <c r="AW987" s="3" t="n">
        <v>6</v>
      </c>
      <c r="AX987" s="3" t="n">
        <v>3</v>
      </c>
      <c r="AY987" s="3" t="n">
        <v>3</v>
      </c>
      <c r="AZ987" s="3" t="n">
        <v>1</v>
      </c>
      <c r="BA987" s="5" t="n">
        <v>1</v>
      </c>
      <c r="BB987" s="3" t="n">
        <v>1</v>
      </c>
      <c r="BC987" s="3" t="n">
        <v>1</v>
      </c>
      <c r="BD987" s="3" t="n">
        <v>2</v>
      </c>
      <c r="BE987" s="3" t="n">
        <v>3</v>
      </c>
      <c r="BF987" s="3" t="n">
        <v>5</v>
      </c>
      <c r="BG987" s="3" t="n">
        <v>3</v>
      </c>
      <c r="BH987" s="3" t="n">
        <v>4</v>
      </c>
      <c r="BI987" s="3" t="n">
        <v>1</v>
      </c>
      <c r="BJ987" s="3" t="n">
        <v>1</v>
      </c>
      <c r="BK987" s="21" t="s">
        <v>2547</v>
      </c>
    </row>
    <row r="988" customFormat="false" ht="15" hidden="false" customHeight="true" outlineLevel="0" collapsed="false">
      <c r="B988" s="2" t="s">
        <v>2548</v>
      </c>
      <c r="C988" s="2" t="s">
        <v>438</v>
      </c>
      <c r="D988" s="2" t="s">
        <v>222</v>
      </c>
      <c r="E988" s="2" t="n">
        <v>204031</v>
      </c>
      <c r="F988" s="15" t="n">
        <v>44138</v>
      </c>
      <c r="G988" s="15" t="n">
        <v>44142</v>
      </c>
      <c r="H988" s="3" t="n">
        <v>4</v>
      </c>
      <c r="I988" s="3" t="n">
        <v>2</v>
      </c>
      <c r="J988" s="3" t="n">
        <v>66</v>
      </c>
      <c r="K988" s="3" t="n">
        <v>2</v>
      </c>
      <c r="L988" s="3" t="n">
        <v>1</v>
      </c>
      <c r="M988" s="3" t="n">
        <v>2</v>
      </c>
      <c r="N988" s="3" t="n">
        <v>2</v>
      </c>
      <c r="O988" s="3" t="n">
        <v>2</v>
      </c>
      <c r="P988" s="3" t="n">
        <v>2</v>
      </c>
      <c r="Q988" s="3" t="n">
        <v>2</v>
      </c>
      <c r="R988" s="3" t="n">
        <v>2</v>
      </c>
      <c r="S988" s="3" t="n">
        <v>2</v>
      </c>
      <c r="T988" s="4" t="n">
        <v>4</v>
      </c>
      <c r="U988" s="3" t="n">
        <v>4</v>
      </c>
      <c r="V988" s="3" t="n">
        <v>3.69</v>
      </c>
      <c r="W988" s="3" t="n">
        <v>1.14</v>
      </c>
      <c r="X988" s="3" t="n">
        <v>6.46</v>
      </c>
      <c r="Y988" s="3" t="n">
        <v>523</v>
      </c>
      <c r="Z988" s="3" t="n">
        <v>93</v>
      </c>
      <c r="AA988" s="3" t="n">
        <v>0.4</v>
      </c>
      <c r="AB988" s="3" t="n">
        <v>6.6</v>
      </c>
      <c r="AC988" s="3" t="n">
        <v>2</v>
      </c>
      <c r="AD988" s="3" t="n">
        <v>2</v>
      </c>
      <c r="AE988" s="3" t="n">
        <v>1</v>
      </c>
      <c r="AF988" s="3" t="n">
        <v>1</v>
      </c>
      <c r="AG988" s="3" t="n">
        <v>2</v>
      </c>
      <c r="AH988" s="3" t="n">
        <v>2</v>
      </c>
      <c r="AI988" s="3" t="n">
        <v>1</v>
      </c>
      <c r="AJ988" s="3" t="n">
        <v>2</v>
      </c>
      <c r="AK988" s="3" t="n">
        <v>2</v>
      </c>
      <c r="AL988" s="3" t="n">
        <v>1</v>
      </c>
      <c r="AM988" s="3" t="n">
        <v>1</v>
      </c>
      <c r="AN988" s="3" t="n">
        <v>2</v>
      </c>
      <c r="AO988" s="3" t="n">
        <v>1</v>
      </c>
      <c r="AP988" s="3" t="n">
        <v>3</v>
      </c>
      <c r="AQ988" s="3" t="n">
        <v>4</v>
      </c>
      <c r="AR988" s="3" t="n">
        <v>4</v>
      </c>
      <c r="AS988" s="3" t="n">
        <v>6</v>
      </c>
      <c r="AT988" s="3" t="n">
        <v>4</v>
      </c>
      <c r="AU988" s="3" t="n">
        <v>4</v>
      </c>
      <c r="AV988" s="3" t="n">
        <v>6</v>
      </c>
      <c r="AW988" s="3" t="n">
        <v>6</v>
      </c>
      <c r="AX988" s="3" t="n">
        <v>3</v>
      </c>
      <c r="AY988" s="3" t="n">
        <v>3</v>
      </c>
      <c r="AZ988" s="3" t="n">
        <v>1</v>
      </c>
      <c r="BA988" s="5" t="n">
        <v>10</v>
      </c>
      <c r="BB988" s="3" t="n">
        <v>2</v>
      </c>
      <c r="BC988" s="3" t="n">
        <v>1</v>
      </c>
      <c r="BD988" s="3" t="n">
        <v>6</v>
      </c>
      <c r="BE988" s="3" t="n">
        <v>3</v>
      </c>
      <c r="BF988" s="3" t="n">
        <v>5</v>
      </c>
      <c r="BG988" s="3" t="n">
        <v>3</v>
      </c>
      <c r="BH988" s="3" t="n">
        <v>4</v>
      </c>
      <c r="BI988" s="3" t="n">
        <v>1</v>
      </c>
      <c r="BJ988" s="3" t="n">
        <v>1</v>
      </c>
      <c r="BK988" s="6" t="s">
        <v>2549</v>
      </c>
    </row>
    <row r="989" customFormat="false" ht="15" hidden="false" customHeight="true" outlineLevel="0" collapsed="false">
      <c r="B989" s="2" t="s">
        <v>2550</v>
      </c>
      <c r="C989" s="2" t="s">
        <v>210</v>
      </c>
      <c r="D989" s="2" t="s">
        <v>665</v>
      </c>
      <c r="E989" s="2" t="n">
        <v>204048</v>
      </c>
      <c r="F989" s="15" t="n">
        <v>44137</v>
      </c>
      <c r="G989" s="15" t="n">
        <v>44142</v>
      </c>
      <c r="H989" s="3" t="n">
        <v>5</v>
      </c>
      <c r="I989" s="3" t="n">
        <v>2</v>
      </c>
      <c r="J989" s="3" t="n">
        <v>47</v>
      </c>
      <c r="K989" s="3" t="n">
        <v>1</v>
      </c>
      <c r="L989" s="3" t="n">
        <v>1</v>
      </c>
      <c r="M989" s="3" t="n">
        <v>1</v>
      </c>
      <c r="N989" s="3" t="n">
        <v>2</v>
      </c>
      <c r="O989" s="3" t="n">
        <v>2</v>
      </c>
      <c r="P989" s="3" t="n">
        <v>2</v>
      </c>
      <c r="Q989" s="3" t="n">
        <v>2</v>
      </c>
      <c r="R989" s="3" t="n">
        <v>2</v>
      </c>
      <c r="S989" s="3" t="n">
        <v>2</v>
      </c>
      <c r="T989" s="4" t="n">
        <v>2</v>
      </c>
      <c r="U989" s="3" t="n">
        <v>2</v>
      </c>
      <c r="V989" s="3" t="n">
        <v>5.42</v>
      </c>
      <c r="W989" s="3" t="n">
        <v>0.99</v>
      </c>
      <c r="X989" s="3" t="n">
        <v>5.85</v>
      </c>
      <c r="Y989" s="3" t="n">
        <v>356</v>
      </c>
      <c r="Z989" s="3" t="n">
        <v>100</v>
      </c>
      <c r="AA989" s="3" t="n">
        <v>0.55</v>
      </c>
      <c r="AB989" s="3" t="n">
        <v>13</v>
      </c>
      <c r="AC989" s="3" t="n">
        <v>1</v>
      </c>
      <c r="AD989" s="3" t="n">
        <v>2</v>
      </c>
      <c r="AE989" s="3" t="n">
        <v>1</v>
      </c>
      <c r="AF989" s="3" t="n">
        <v>1</v>
      </c>
      <c r="AG989" s="3" t="n">
        <v>1</v>
      </c>
      <c r="AH989" s="3" t="n">
        <v>2</v>
      </c>
      <c r="AI989" s="3" t="n">
        <v>1</v>
      </c>
      <c r="AJ989" s="3" t="n">
        <v>1</v>
      </c>
      <c r="AK989" s="3" t="n">
        <v>2</v>
      </c>
      <c r="AL989" s="3" t="n">
        <v>2</v>
      </c>
      <c r="AM989" s="3" t="n">
        <v>1</v>
      </c>
      <c r="AN989" s="3" t="n">
        <v>2</v>
      </c>
      <c r="AO989" s="3" t="n">
        <v>2</v>
      </c>
      <c r="AP989" s="3" t="n">
        <v>3</v>
      </c>
      <c r="AQ989" s="3" t="n">
        <v>4</v>
      </c>
      <c r="AR989" s="3" t="n">
        <v>4</v>
      </c>
      <c r="AS989" s="3" t="n">
        <v>6</v>
      </c>
      <c r="AT989" s="3" t="n">
        <v>4</v>
      </c>
      <c r="AU989" s="3" t="n">
        <v>4</v>
      </c>
      <c r="AV989" s="3" t="n">
        <v>6</v>
      </c>
      <c r="AW989" s="3" t="n">
        <v>6</v>
      </c>
      <c r="AX989" s="3" t="n">
        <v>3</v>
      </c>
      <c r="AY989" s="3" t="n">
        <v>3</v>
      </c>
      <c r="AZ989" s="3" t="n">
        <v>1</v>
      </c>
      <c r="BA989" s="5" t="n">
        <v>1</v>
      </c>
      <c r="BB989" s="3" t="n">
        <v>1</v>
      </c>
      <c r="BC989" s="3" t="n">
        <v>1</v>
      </c>
      <c r="BD989" s="3" t="n">
        <v>2</v>
      </c>
      <c r="BE989" s="3" t="n">
        <v>3</v>
      </c>
      <c r="BF989" s="3" t="n">
        <v>5</v>
      </c>
      <c r="BG989" s="3" t="n">
        <v>3</v>
      </c>
      <c r="BH989" s="3" t="n">
        <v>4</v>
      </c>
      <c r="BI989" s="3" t="n">
        <v>1</v>
      </c>
      <c r="BJ989" s="3" t="n">
        <v>1</v>
      </c>
      <c r="BK989" s="6" t="s">
        <v>2551</v>
      </c>
    </row>
    <row r="990" customFormat="false" ht="15" hidden="false" customHeight="true" outlineLevel="0" collapsed="false">
      <c r="B990" s="2" t="s">
        <v>2552</v>
      </c>
      <c r="C990" s="2" t="s">
        <v>2553</v>
      </c>
      <c r="D990" s="2" t="s">
        <v>2554</v>
      </c>
      <c r="E990" s="2" t="n">
        <v>204087</v>
      </c>
      <c r="F990" s="15" t="n">
        <v>44142</v>
      </c>
      <c r="G990" s="15" t="n">
        <v>44144</v>
      </c>
      <c r="H990" s="3" t="n">
        <v>2</v>
      </c>
      <c r="I990" s="3" t="n">
        <v>1</v>
      </c>
      <c r="J990" s="3" t="n">
        <v>57</v>
      </c>
      <c r="K990" s="3" t="n">
        <v>2</v>
      </c>
      <c r="L990" s="3" t="n">
        <v>2</v>
      </c>
      <c r="M990" s="3" t="n">
        <v>1</v>
      </c>
      <c r="N990" s="3" t="n">
        <v>2</v>
      </c>
      <c r="O990" s="3" t="n">
        <v>2</v>
      </c>
      <c r="P990" s="3" t="n">
        <v>2</v>
      </c>
      <c r="Q990" s="3" t="n">
        <v>2</v>
      </c>
      <c r="R990" s="3" t="n">
        <v>2</v>
      </c>
      <c r="S990" s="3" t="n">
        <v>2</v>
      </c>
      <c r="T990" s="4" t="n">
        <v>4</v>
      </c>
      <c r="U990" s="3" t="n">
        <v>4</v>
      </c>
      <c r="V990" s="3" t="n">
        <v>4.08</v>
      </c>
      <c r="W990" s="3" t="n">
        <v>1.01</v>
      </c>
      <c r="X990" s="3" t="n">
        <v>4.5</v>
      </c>
      <c r="Y990" s="3" t="n">
        <v>424</v>
      </c>
      <c r="Z990" s="3" t="n">
        <v>95</v>
      </c>
      <c r="AA990" s="3" t="n">
        <v>0.41</v>
      </c>
      <c r="AB990" s="3" t="n">
        <v>8.6</v>
      </c>
      <c r="AC990" s="3" t="n">
        <v>1</v>
      </c>
      <c r="AD990" s="3" t="n">
        <v>2</v>
      </c>
      <c r="AE990" s="3" t="n">
        <v>1</v>
      </c>
      <c r="AF990" s="3" t="n">
        <v>1</v>
      </c>
      <c r="AG990" s="3" t="n">
        <v>2</v>
      </c>
      <c r="AH990" s="3" t="n">
        <v>1</v>
      </c>
      <c r="AI990" s="3" t="n">
        <v>1</v>
      </c>
      <c r="AJ990" s="3" t="n">
        <v>2</v>
      </c>
      <c r="AK990" s="3" t="n">
        <v>2</v>
      </c>
      <c r="AL990" s="3" t="n">
        <v>2</v>
      </c>
      <c r="AM990" s="3" t="n">
        <v>1</v>
      </c>
      <c r="AN990" s="3" t="n">
        <v>2</v>
      </c>
      <c r="AO990" s="3" t="n">
        <v>2</v>
      </c>
      <c r="AP990" s="3" t="n">
        <v>3</v>
      </c>
      <c r="AQ990" s="3" t="n">
        <v>4</v>
      </c>
      <c r="AR990" s="3" t="n">
        <v>4</v>
      </c>
      <c r="AS990" s="3" t="n">
        <v>6</v>
      </c>
      <c r="AT990" s="3" t="n">
        <v>4</v>
      </c>
      <c r="AU990" s="3" t="n">
        <v>4</v>
      </c>
      <c r="AV990" s="3" t="n">
        <v>6</v>
      </c>
      <c r="AW990" s="3" t="n">
        <v>6</v>
      </c>
      <c r="AX990" s="3" t="n">
        <v>3</v>
      </c>
      <c r="AY990" s="3" t="n">
        <v>3</v>
      </c>
      <c r="AZ990" s="3" t="n">
        <v>1</v>
      </c>
      <c r="BA990" s="5" t="n">
        <v>10</v>
      </c>
      <c r="BB990" s="3" t="n">
        <v>2</v>
      </c>
      <c r="BC990" s="3" t="n">
        <v>1</v>
      </c>
      <c r="BD990" s="3" t="n">
        <v>6</v>
      </c>
      <c r="BE990" s="3" t="n">
        <v>3</v>
      </c>
      <c r="BF990" s="3" t="n">
        <v>5</v>
      </c>
      <c r="BG990" s="3" t="n">
        <v>3</v>
      </c>
      <c r="BH990" s="3" t="n">
        <v>4</v>
      </c>
      <c r="BI990" s="3" t="n">
        <v>1</v>
      </c>
      <c r="BJ990" s="3" t="n">
        <v>1</v>
      </c>
      <c r="BK990" s="6" t="s">
        <v>2555</v>
      </c>
    </row>
    <row r="991" customFormat="false" ht="15" hidden="false" customHeight="true" outlineLevel="0" collapsed="false">
      <c r="B991" s="2" t="s">
        <v>758</v>
      </c>
      <c r="C991" s="2" t="s">
        <v>2556</v>
      </c>
      <c r="D991" s="2" t="s">
        <v>2557</v>
      </c>
      <c r="E991" s="2" t="n">
        <v>204093</v>
      </c>
      <c r="F991" s="15" t="n">
        <v>44140</v>
      </c>
      <c r="G991" s="15" t="n">
        <v>44142</v>
      </c>
      <c r="H991" s="3" t="n">
        <v>2</v>
      </c>
      <c r="I991" s="3" t="n">
        <v>2</v>
      </c>
      <c r="J991" s="3" t="n">
        <v>59</v>
      </c>
      <c r="K991" s="3" t="n">
        <v>1</v>
      </c>
      <c r="L991" s="3" t="n">
        <v>2</v>
      </c>
      <c r="M991" s="3" t="n">
        <v>1</v>
      </c>
      <c r="N991" s="3" t="n">
        <v>1</v>
      </c>
      <c r="O991" s="3" t="n">
        <v>2</v>
      </c>
      <c r="P991" s="3" t="n">
        <v>2</v>
      </c>
      <c r="Q991" s="3" t="n">
        <v>2</v>
      </c>
      <c r="R991" s="3" t="n">
        <v>2</v>
      </c>
      <c r="S991" s="3" t="n">
        <v>2</v>
      </c>
      <c r="T991" s="4" t="n">
        <v>5</v>
      </c>
      <c r="U991" s="3" t="n">
        <v>1</v>
      </c>
      <c r="AC991" s="3" t="n">
        <v>3</v>
      </c>
      <c r="AD991" s="3" t="n">
        <v>1</v>
      </c>
      <c r="AE991" s="3" t="n">
        <v>2</v>
      </c>
      <c r="AF991" s="3" t="n">
        <v>1</v>
      </c>
      <c r="AG991" s="3" t="n">
        <v>1</v>
      </c>
      <c r="AH991" s="3" t="n">
        <v>2</v>
      </c>
      <c r="AI991" s="3" t="n">
        <v>1</v>
      </c>
      <c r="AJ991" s="3" t="n">
        <v>1</v>
      </c>
      <c r="AK991" s="3" t="n">
        <v>2</v>
      </c>
      <c r="AL991" s="3" t="n">
        <v>2</v>
      </c>
      <c r="AM991" s="3" t="n">
        <v>2</v>
      </c>
      <c r="AN991" s="3" t="n">
        <v>2</v>
      </c>
      <c r="AO991" s="3" t="n">
        <v>2</v>
      </c>
      <c r="AP991" s="3" t="n">
        <v>4</v>
      </c>
      <c r="AQ991" s="3" t="n">
        <v>3</v>
      </c>
      <c r="AR991" s="3" t="n">
        <v>4</v>
      </c>
      <c r="AS991" s="3" t="n">
        <v>6</v>
      </c>
      <c r="AT991" s="3" t="n">
        <v>4</v>
      </c>
      <c r="AU991" s="3" t="n">
        <v>4</v>
      </c>
      <c r="AV991" s="3" t="n">
        <v>1</v>
      </c>
      <c r="AW991" s="3" t="n">
        <v>6</v>
      </c>
      <c r="AX991" s="3" t="n">
        <v>1</v>
      </c>
      <c r="AY991" s="3" t="n">
        <v>2</v>
      </c>
      <c r="AZ991" s="3" t="n">
        <v>1</v>
      </c>
      <c r="BA991" s="5" t="n">
        <v>3</v>
      </c>
      <c r="BB991" s="3" t="n">
        <v>2</v>
      </c>
      <c r="BC991" s="3" t="n">
        <v>1</v>
      </c>
      <c r="BD991" s="3" t="n">
        <v>6</v>
      </c>
      <c r="BE991" s="3" t="n">
        <v>3</v>
      </c>
      <c r="BF991" s="3" t="n">
        <v>5</v>
      </c>
      <c r="BG991" s="3" t="n">
        <v>3</v>
      </c>
      <c r="BH991" s="3" t="n">
        <v>4</v>
      </c>
      <c r="BI991" s="3" t="n">
        <v>1</v>
      </c>
      <c r="BJ991" s="3" t="n">
        <v>1</v>
      </c>
      <c r="BK991" s="6" t="s">
        <v>2558</v>
      </c>
    </row>
    <row r="992" s="19" customFormat="true" ht="15" hidden="false" customHeight="true" outlineLevel="0" collapsed="false">
      <c r="A992" s="1"/>
      <c r="B992" s="17" t="s">
        <v>2559</v>
      </c>
      <c r="C992" s="17" t="s">
        <v>2560</v>
      </c>
      <c r="D992" s="17" t="s">
        <v>2273</v>
      </c>
      <c r="E992" s="17" t="n">
        <v>204060</v>
      </c>
      <c r="F992" s="18" t="n">
        <v>44139</v>
      </c>
      <c r="G992" s="18" t="n">
        <v>44144</v>
      </c>
      <c r="H992" s="19" t="n">
        <v>5</v>
      </c>
      <c r="I992" s="19" t="n">
        <v>1</v>
      </c>
      <c r="J992" s="19" t="n">
        <v>70</v>
      </c>
      <c r="K992" s="19" t="n">
        <v>2</v>
      </c>
      <c r="L992" s="19" t="n">
        <v>2</v>
      </c>
      <c r="M992" s="19" t="n">
        <v>1</v>
      </c>
      <c r="N992" s="19" t="n">
        <v>2</v>
      </c>
      <c r="O992" s="19" t="n">
        <v>2</v>
      </c>
      <c r="P992" s="19" t="n">
        <v>2</v>
      </c>
      <c r="Q992" s="19" t="n">
        <v>2</v>
      </c>
      <c r="R992" s="19" t="n">
        <v>2</v>
      </c>
      <c r="S992" s="19" t="n">
        <v>2</v>
      </c>
      <c r="T992" s="20" t="n">
        <v>1</v>
      </c>
      <c r="U992" s="19" t="n">
        <v>1</v>
      </c>
      <c r="X992" s="19" t="n">
        <v>5.17</v>
      </c>
      <c r="Y992" s="19" t="n">
        <v>332</v>
      </c>
      <c r="Z992" s="19" t="n">
        <v>89</v>
      </c>
      <c r="AA992" s="19" t="n">
        <v>0.38</v>
      </c>
      <c r="AB992" s="19" t="n">
        <v>5</v>
      </c>
      <c r="AC992" s="19" t="n">
        <v>1</v>
      </c>
      <c r="AD992" s="19" t="n">
        <v>2</v>
      </c>
      <c r="AE992" s="19" t="n">
        <v>1</v>
      </c>
      <c r="AF992" s="19" t="n">
        <v>1</v>
      </c>
      <c r="AG992" s="19" t="n">
        <v>2</v>
      </c>
      <c r="AH992" s="19" t="n">
        <v>1</v>
      </c>
      <c r="AI992" s="19" t="n">
        <v>1</v>
      </c>
      <c r="AJ992" s="19" t="n">
        <v>1</v>
      </c>
      <c r="AK992" s="19" t="n">
        <v>2</v>
      </c>
      <c r="AL992" s="19" t="n">
        <v>2</v>
      </c>
      <c r="AM992" s="19" t="n">
        <v>2</v>
      </c>
      <c r="AN992" s="19" t="n">
        <v>2</v>
      </c>
      <c r="AO992" s="19" t="n">
        <v>2</v>
      </c>
      <c r="AP992" s="19" t="n">
        <v>3</v>
      </c>
      <c r="AQ992" s="19" t="n">
        <v>4</v>
      </c>
      <c r="AR992" s="19" t="n">
        <v>4</v>
      </c>
      <c r="AS992" s="19" t="n">
        <v>6</v>
      </c>
      <c r="AT992" s="19" t="n">
        <v>4</v>
      </c>
      <c r="AU992" s="19" t="n">
        <v>4</v>
      </c>
      <c r="AV992" s="19" t="n">
        <v>6</v>
      </c>
      <c r="AW992" s="19" t="n">
        <v>6</v>
      </c>
      <c r="AX992" s="19" t="n">
        <v>3</v>
      </c>
      <c r="AY992" s="19" t="n">
        <v>3</v>
      </c>
      <c r="AZ992" s="19" t="n">
        <v>1</v>
      </c>
      <c r="BA992" s="20" t="n">
        <v>5</v>
      </c>
      <c r="BB992" s="19" t="n">
        <v>2</v>
      </c>
      <c r="BC992" s="19" t="n">
        <v>1</v>
      </c>
      <c r="BD992" s="19" t="n">
        <v>6</v>
      </c>
      <c r="BE992" s="19" t="n">
        <v>3</v>
      </c>
      <c r="BF992" s="19" t="n">
        <v>5</v>
      </c>
      <c r="BG992" s="19" t="n">
        <v>3</v>
      </c>
      <c r="BH992" s="19" t="n">
        <v>4</v>
      </c>
      <c r="BI992" s="19" t="n">
        <v>1</v>
      </c>
      <c r="BJ992" s="19" t="n">
        <v>1</v>
      </c>
      <c r="BK992" s="21" t="s">
        <v>2561</v>
      </c>
    </row>
    <row r="993" customFormat="false" ht="15" hidden="false" customHeight="true" outlineLevel="0" collapsed="false">
      <c r="B993" s="2" t="s">
        <v>2562</v>
      </c>
      <c r="C993" s="2" t="s">
        <v>118</v>
      </c>
      <c r="D993" s="2" t="s">
        <v>2563</v>
      </c>
      <c r="E993" s="2" t="n">
        <v>204586</v>
      </c>
      <c r="F993" s="15" t="n">
        <v>44139</v>
      </c>
      <c r="G993" s="15" t="n">
        <v>44146</v>
      </c>
      <c r="H993" s="3" t="n">
        <v>7</v>
      </c>
      <c r="I993" s="3" t="n">
        <v>2</v>
      </c>
      <c r="J993" s="3" t="n">
        <v>83</v>
      </c>
      <c r="K993" s="3" t="n">
        <v>1</v>
      </c>
      <c r="L993" s="3" t="n">
        <v>1</v>
      </c>
      <c r="M993" s="3" t="n">
        <v>1</v>
      </c>
      <c r="N993" s="3" t="n">
        <v>2</v>
      </c>
      <c r="O993" s="3" t="n">
        <v>2</v>
      </c>
      <c r="P993" s="3" t="n">
        <v>2</v>
      </c>
      <c r="Q993" s="3" t="n">
        <v>1</v>
      </c>
      <c r="R993" s="3" t="n">
        <v>2</v>
      </c>
      <c r="S993" s="3" t="n">
        <v>2</v>
      </c>
      <c r="T993" s="4" t="n">
        <v>2</v>
      </c>
      <c r="U993" s="3" t="n">
        <v>2</v>
      </c>
      <c r="V993" s="3" t="n">
        <v>3.4</v>
      </c>
      <c r="W993" s="3" t="n">
        <v>0.54</v>
      </c>
      <c r="X993" s="3" t="n">
        <v>6.08</v>
      </c>
      <c r="Y993" s="3" t="n">
        <v>267</v>
      </c>
      <c r="Z993" s="3" t="n">
        <v>99</v>
      </c>
      <c r="AA993" s="3" t="n">
        <v>0.32</v>
      </c>
      <c r="AB993" s="3" t="n">
        <v>11.7</v>
      </c>
      <c r="AC993" s="3" t="n">
        <v>1</v>
      </c>
      <c r="AD993" s="3" t="n">
        <v>2</v>
      </c>
      <c r="AE993" s="3" t="n">
        <v>1</v>
      </c>
      <c r="AF993" s="3" t="n">
        <v>1</v>
      </c>
      <c r="AG993" s="3" t="n">
        <v>2</v>
      </c>
      <c r="AH993" s="3" t="n">
        <v>2</v>
      </c>
      <c r="AI993" s="3" t="n">
        <v>1</v>
      </c>
      <c r="AJ993" s="3" t="n">
        <v>2</v>
      </c>
      <c r="AK993" s="3" t="n">
        <v>2</v>
      </c>
      <c r="AL993" s="3" t="n">
        <v>2</v>
      </c>
      <c r="AM993" s="3" t="n">
        <v>2</v>
      </c>
      <c r="AN993" s="3" t="n">
        <v>2</v>
      </c>
      <c r="AO993" s="3" t="n">
        <v>2</v>
      </c>
      <c r="AP993" s="3" t="n">
        <v>3</v>
      </c>
      <c r="AQ993" s="3" t="n">
        <v>4</v>
      </c>
      <c r="AR993" s="3" t="n">
        <v>4</v>
      </c>
      <c r="AS993" s="3" t="n">
        <v>6</v>
      </c>
      <c r="AT993" s="3" t="n">
        <v>4</v>
      </c>
      <c r="AU993" s="3" t="n">
        <v>4</v>
      </c>
      <c r="AV993" s="3" t="n">
        <v>6</v>
      </c>
      <c r="AW993" s="3" t="n">
        <v>6</v>
      </c>
      <c r="AX993" s="3" t="n">
        <v>3</v>
      </c>
      <c r="AY993" s="3" t="n">
        <v>3</v>
      </c>
      <c r="AZ993" s="3" t="n">
        <v>1</v>
      </c>
      <c r="BA993" s="5" t="n">
        <v>1</v>
      </c>
      <c r="BB993" s="3" t="n">
        <v>1</v>
      </c>
      <c r="BC993" s="3" t="n">
        <v>1</v>
      </c>
      <c r="BD993" s="3" t="n">
        <v>4</v>
      </c>
      <c r="BE993" s="3" t="n">
        <v>3</v>
      </c>
      <c r="BF993" s="3" t="n">
        <v>5</v>
      </c>
      <c r="BG993" s="3" t="n">
        <v>3</v>
      </c>
      <c r="BH993" s="3" t="n">
        <v>4</v>
      </c>
      <c r="BI993" s="3" t="n">
        <v>1</v>
      </c>
      <c r="BJ993" s="3" t="n">
        <v>1</v>
      </c>
      <c r="BK993" s="6" t="s">
        <v>2564</v>
      </c>
    </row>
    <row r="994" customFormat="false" ht="15" hidden="false" customHeight="true" outlineLevel="0" collapsed="false">
      <c r="B994" s="2" t="s">
        <v>2565</v>
      </c>
      <c r="C994" s="2" t="s">
        <v>2566</v>
      </c>
      <c r="D994" s="2" t="s">
        <v>2567</v>
      </c>
      <c r="E994" s="2" t="n">
        <v>204670</v>
      </c>
      <c r="F994" s="15" t="n">
        <v>44142</v>
      </c>
      <c r="G994" s="15" t="n">
        <v>44148</v>
      </c>
      <c r="H994" s="3" t="n">
        <v>6</v>
      </c>
      <c r="I994" s="3" t="n">
        <v>2</v>
      </c>
      <c r="J994" s="3" t="n">
        <v>63</v>
      </c>
      <c r="K994" s="3" t="n">
        <v>1</v>
      </c>
      <c r="L994" s="3" t="n">
        <v>2</v>
      </c>
      <c r="M994" s="3" t="n">
        <v>1</v>
      </c>
      <c r="N994" s="3" t="n">
        <v>2</v>
      </c>
      <c r="O994" s="3" t="n">
        <v>1</v>
      </c>
      <c r="P994" s="3" t="n">
        <v>2</v>
      </c>
      <c r="Q994" s="3" t="n">
        <v>1</v>
      </c>
      <c r="R994" s="3" t="n">
        <v>2</v>
      </c>
      <c r="S994" s="3" t="n">
        <v>2</v>
      </c>
      <c r="T994" s="4" t="n">
        <v>3</v>
      </c>
      <c r="U994" s="3" t="n">
        <v>1</v>
      </c>
      <c r="V994" s="3" t="n">
        <v>3.54</v>
      </c>
      <c r="W994" s="3" t="n">
        <v>0.57</v>
      </c>
      <c r="X994" s="3" t="n">
        <v>3.52</v>
      </c>
      <c r="Y994" s="3" t="n">
        <v>561</v>
      </c>
      <c r="Z994" s="3" t="n">
        <v>95</v>
      </c>
      <c r="AA994" s="3" t="n">
        <v>0.4</v>
      </c>
      <c r="AB994" s="3" t="n">
        <v>11.3</v>
      </c>
      <c r="AC994" s="3" t="n">
        <v>1</v>
      </c>
      <c r="AD994" s="3" t="n">
        <v>1</v>
      </c>
      <c r="AE994" s="3" t="n">
        <v>1</v>
      </c>
      <c r="AF994" s="3" t="n">
        <v>2</v>
      </c>
      <c r="AG994" s="3" t="n">
        <v>2</v>
      </c>
      <c r="AH994" s="3" t="n">
        <v>2</v>
      </c>
      <c r="AI994" s="3" t="n">
        <v>1</v>
      </c>
      <c r="AJ994" s="3" t="n">
        <v>1</v>
      </c>
      <c r="AK994" s="3" t="n">
        <v>1</v>
      </c>
      <c r="AL994" s="3" t="n">
        <v>1</v>
      </c>
      <c r="AM994" s="3" t="n">
        <v>1</v>
      </c>
      <c r="AN994" s="3" t="n">
        <v>2</v>
      </c>
      <c r="AO994" s="3" t="n">
        <v>2</v>
      </c>
      <c r="AP994" s="3" t="n">
        <v>3</v>
      </c>
      <c r="AQ994" s="3" t="n">
        <v>4</v>
      </c>
      <c r="AR994" s="3" t="n">
        <v>4</v>
      </c>
      <c r="AS994" s="3" t="n">
        <v>6</v>
      </c>
      <c r="AT994" s="3" t="n">
        <v>4</v>
      </c>
      <c r="AU994" s="3" t="n">
        <v>4</v>
      </c>
      <c r="AV994" s="3" t="n">
        <v>6</v>
      </c>
      <c r="AW994" s="3" t="n">
        <v>6</v>
      </c>
      <c r="AX994" s="3" t="n">
        <v>3</v>
      </c>
      <c r="AY994" s="3" t="n">
        <v>3</v>
      </c>
      <c r="AZ994" s="3" t="n">
        <v>1</v>
      </c>
      <c r="BA994" s="5" t="n">
        <v>11</v>
      </c>
      <c r="BB994" s="3" t="n">
        <v>2</v>
      </c>
      <c r="BC994" s="3" t="n">
        <v>1</v>
      </c>
      <c r="BD994" s="3" t="n">
        <v>6</v>
      </c>
      <c r="BE994" s="3" t="n">
        <v>3</v>
      </c>
      <c r="BF994" s="3" t="n">
        <v>5</v>
      </c>
      <c r="BG994" s="3" t="n">
        <v>3</v>
      </c>
      <c r="BH994" s="3" t="n">
        <v>4</v>
      </c>
      <c r="BI994" s="3" t="n">
        <v>1</v>
      </c>
      <c r="BJ994" s="3" t="n">
        <v>1</v>
      </c>
      <c r="BK994" s="6" t="s">
        <v>2568</v>
      </c>
    </row>
    <row r="995" customFormat="false" ht="15" hidden="false" customHeight="true" outlineLevel="0" collapsed="false">
      <c r="B995" s="2" t="s">
        <v>2569</v>
      </c>
      <c r="C995" s="2" t="s">
        <v>419</v>
      </c>
      <c r="D995" s="2" t="s">
        <v>419</v>
      </c>
      <c r="E995" s="2" t="n">
        <v>204673</v>
      </c>
      <c r="F995" s="15" t="n">
        <v>44142</v>
      </c>
      <c r="G995" s="15" t="n">
        <v>44149</v>
      </c>
      <c r="H995" s="3" t="n">
        <v>7</v>
      </c>
      <c r="I995" s="3" t="n">
        <v>2</v>
      </c>
      <c r="J995" s="3" t="n">
        <v>86</v>
      </c>
      <c r="K995" s="3" t="n">
        <v>1</v>
      </c>
      <c r="L995" s="3" t="n">
        <v>2</v>
      </c>
      <c r="M995" s="3" t="n">
        <v>1</v>
      </c>
      <c r="N995" s="3" t="n">
        <v>2</v>
      </c>
      <c r="O995" s="3" t="n">
        <v>2</v>
      </c>
      <c r="P995" s="3" t="n">
        <v>2</v>
      </c>
      <c r="Q995" s="3" t="n">
        <v>1</v>
      </c>
      <c r="R995" s="3" t="n">
        <v>2</v>
      </c>
      <c r="S995" s="3" t="n">
        <v>2</v>
      </c>
      <c r="T995" s="4" t="n">
        <v>6</v>
      </c>
      <c r="U995" s="3" t="n">
        <v>1</v>
      </c>
      <c r="V995" s="3" t="n">
        <v>3.91</v>
      </c>
      <c r="W995" s="3" t="n">
        <v>0.63</v>
      </c>
      <c r="X995" s="3" t="n">
        <v>3.96</v>
      </c>
      <c r="Y995" s="3" t="n">
        <v>203</v>
      </c>
      <c r="Z995" s="3" t="n">
        <v>80</v>
      </c>
      <c r="AA995" s="3" t="n">
        <v>0.38</v>
      </c>
      <c r="AB995" s="3" t="n">
        <v>8.3</v>
      </c>
      <c r="AC995" s="3" t="n">
        <v>1</v>
      </c>
      <c r="AD995" s="3" t="n">
        <v>2</v>
      </c>
      <c r="AE995" s="3" t="n">
        <v>1</v>
      </c>
      <c r="AF995" s="3" t="n">
        <v>2</v>
      </c>
      <c r="AG995" s="3" t="n">
        <v>2</v>
      </c>
      <c r="AH995" s="3" t="n">
        <v>1</v>
      </c>
      <c r="AI995" s="3" t="n">
        <v>2</v>
      </c>
      <c r="AJ995" s="3" t="n">
        <v>2</v>
      </c>
      <c r="AK995" s="3" t="n">
        <v>2</v>
      </c>
      <c r="AL995" s="3" t="n">
        <v>2</v>
      </c>
      <c r="AM995" s="3" t="n">
        <v>2</v>
      </c>
      <c r="AN995" s="3" t="n">
        <v>2</v>
      </c>
      <c r="AO995" s="3" t="n">
        <v>2</v>
      </c>
      <c r="AP995" s="3" t="n">
        <v>3</v>
      </c>
      <c r="AQ995" s="3" t="n">
        <v>4</v>
      </c>
      <c r="AR995" s="3" t="n">
        <v>4</v>
      </c>
      <c r="AS995" s="3" t="n">
        <v>6</v>
      </c>
      <c r="AT995" s="3" t="n">
        <v>4</v>
      </c>
      <c r="AU995" s="3" t="n">
        <v>4</v>
      </c>
      <c r="AV995" s="3" t="n">
        <v>6</v>
      </c>
      <c r="AW995" s="3" t="n">
        <v>6</v>
      </c>
      <c r="AX995" s="3" t="n">
        <v>3</v>
      </c>
      <c r="AY995" s="3" t="n">
        <v>3</v>
      </c>
      <c r="AZ995" s="3" t="n">
        <v>1</v>
      </c>
      <c r="BA995" s="5" t="n">
        <v>5</v>
      </c>
      <c r="BB995" s="3" t="n">
        <v>2</v>
      </c>
      <c r="BC995" s="3" t="n">
        <v>1</v>
      </c>
      <c r="BD995" s="3" t="n">
        <v>6</v>
      </c>
      <c r="BE995" s="3" t="n">
        <v>3</v>
      </c>
      <c r="BF995" s="3" t="n">
        <v>5</v>
      </c>
      <c r="BG995" s="3" t="n">
        <v>3</v>
      </c>
      <c r="BH995" s="3" t="n">
        <v>4</v>
      </c>
      <c r="BI995" s="3" t="n">
        <v>1</v>
      </c>
      <c r="BJ995" s="3" t="n">
        <v>1</v>
      </c>
      <c r="BK995" s="6" t="s">
        <v>2570</v>
      </c>
    </row>
    <row r="996" customFormat="false" ht="15" hidden="false" customHeight="true" outlineLevel="0" collapsed="false">
      <c r="B996" s="2" t="s">
        <v>1440</v>
      </c>
      <c r="C996" s="2" t="s">
        <v>94</v>
      </c>
      <c r="D996" s="2" t="s">
        <v>95</v>
      </c>
      <c r="E996" s="2" t="n">
        <v>204890</v>
      </c>
      <c r="F996" s="15" t="n">
        <v>44145</v>
      </c>
      <c r="G996" s="15" t="n">
        <v>44149</v>
      </c>
      <c r="H996" s="3" t="n">
        <v>4</v>
      </c>
      <c r="I996" s="3" t="n">
        <v>1</v>
      </c>
      <c r="J996" s="3" t="n">
        <v>62</v>
      </c>
      <c r="K996" s="3" t="n">
        <v>2</v>
      </c>
      <c r="L996" s="3" t="n">
        <v>1</v>
      </c>
      <c r="M996" s="3" t="n">
        <v>1</v>
      </c>
      <c r="N996" s="3" t="n">
        <v>2</v>
      </c>
      <c r="O996" s="3" t="n">
        <v>2</v>
      </c>
      <c r="P996" s="3" t="n">
        <v>2</v>
      </c>
      <c r="Q996" s="3" t="n">
        <v>2</v>
      </c>
      <c r="R996" s="3" t="n">
        <v>2</v>
      </c>
      <c r="S996" s="3" t="n">
        <v>1</v>
      </c>
      <c r="T996" s="4" t="n">
        <v>1</v>
      </c>
      <c r="U996" s="3" t="n">
        <v>1</v>
      </c>
      <c r="X996" s="3" t="n">
        <v>5.94</v>
      </c>
      <c r="Y996" s="3" t="n">
        <v>344</v>
      </c>
      <c r="Z996" s="3" t="n">
        <v>64</v>
      </c>
      <c r="AA996" s="3" t="n">
        <v>0.47</v>
      </c>
      <c r="AB996" s="3" t="n">
        <v>15.8</v>
      </c>
      <c r="AC996" s="3" t="n">
        <v>1</v>
      </c>
      <c r="AD996" s="3" t="n">
        <v>2</v>
      </c>
      <c r="AE996" s="3" t="n">
        <v>1</v>
      </c>
      <c r="AF996" s="3" t="n">
        <v>1</v>
      </c>
      <c r="AG996" s="3" t="n">
        <v>2</v>
      </c>
      <c r="AH996" s="3" t="n">
        <v>2</v>
      </c>
      <c r="AI996" s="3" t="n">
        <v>1</v>
      </c>
      <c r="AJ996" s="3" t="n">
        <v>1</v>
      </c>
      <c r="AK996" s="3" t="n">
        <v>2</v>
      </c>
      <c r="AL996" s="3" t="n">
        <v>2</v>
      </c>
      <c r="AM996" s="3" t="n">
        <v>2</v>
      </c>
      <c r="AN996" s="3" t="n">
        <v>2</v>
      </c>
      <c r="AO996" s="3" t="n">
        <v>2</v>
      </c>
      <c r="AP996" s="3" t="n">
        <v>3</v>
      </c>
      <c r="AQ996" s="3" t="n">
        <v>4</v>
      </c>
      <c r="AR996" s="3" t="n">
        <v>4</v>
      </c>
      <c r="AS996" s="3" t="n">
        <v>6</v>
      </c>
      <c r="AT996" s="3" t="n">
        <v>4</v>
      </c>
      <c r="AU996" s="3" t="n">
        <v>4</v>
      </c>
      <c r="AV996" s="3" t="n">
        <v>6</v>
      </c>
      <c r="AW996" s="3" t="n">
        <v>6</v>
      </c>
      <c r="AX996" s="3" t="n">
        <v>3</v>
      </c>
      <c r="AY996" s="3" t="n">
        <v>3</v>
      </c>
      <c r="AZ996" s="3" t="n">
        <v>1</v>
      </c>
      <c r="BA996" s="5" t="n">
        <v>5</v>
      </c>
      <c r="BB996" s="3" t="n">
        <v>2</v>
      </c>
      <c r="BC996" s="3" t="n">
        <v>1</v>
      </c>
      <c r="BD996" s="3" t="n">
        <v>6</v>
      </c>
      <c r="BE996" s="3" t="n">
        <v>3</v>
      </c>
      <c r="BF996" s="3" t="n">
        <v>5</v>
      </c>
      <c r="BG996" s="3" t="n">
        <v>3</v>
      </c>
      <c r="BH996" s="3" t="n">
        <v>4</v>
      </c>
      <c r="BI996" s="3" t="n">
        <v>1</v>
      </c>
      <c r="BJ996" s="3" t="n">
        <v>1</v>
      </c>
      <c r="BK996" s="6" t="s">
        <v>2571</v>
      </c>
    </row>
    <row r="997" customFormat="false" ht="15" hidden="false" customHeight="true" outlineLevel="0" collapsed="false">
      <c r="B997" s="2" t="s">
        <v>335</v>
      </c>
      <c r="C997" s="2" t="s">
        <v>2572</v>
      </c>
      <c r="D997" s="2" t="s">
        <v>595</v>
      </c>
      <c r="E997" s="2" t="n">
        <v>204666</v>
      </c>
      <c r="F997" s="15" t="n">
        <v>44142</v>
      </c>
      <c r="G997" s="15" t="n">
        <v>44149</v>
      </c>
      <c r="H997" s="3" t="n">
        <v>7</v>
      </c>
      <c r="I997" s="3" t="n">
        <v>1</v>
      </c>
      <c r="J997" s="3" t="n">
        <v>80</v>
      </c>
      <c r="K997" s="3" t="n">
        <v>1</v>
      </c>
      <c r="L997" s="3" t="n">
        <v>2</v>
      </c>
      <c r="M997" s="3" t="n">
        <v>1</v>
      </c>
      <c r="N997" s="3" t="n">
        <v>2</v>
      </c>
      <c r="O997" s="3" t="n">
        <v>2</v>
      </c>
      <c r="P997" s="3" t="n">
        <v>2</v>
      </c>
      <c r="Q997" s="3" t="n">
        <v>2</v>
      </c>
      <c r="R997" s="3" t="n">
        <v>2</v>
      </c>
      <c r="S997" s="3" t="n">
        <v>2</v>
      </c>
      <c r="T997" s="4" t="n">
        <v>2</v>
      </c>
      <c r="U997" s="3" t="n">
        <v>2</v>
      </c>
      <c r="V997" s="3" t="n">
        <v>4.28</v>
      </c>
      <c r="W997" s="3" t="n">
        <v>1.82</v>
      </c>
      <c r="X997" s="3" t="n">
        <v>6</v>
      </c>
      <c r="Y997" s="3" t="n">
        <v>199</v>
      </c>
      <c r="Z997" s="3" t="n">
        <v>78</v>
      </c>
      <c r="AA997" s="3" t="n">
        <v>0.43</v>
      </c>
      <c r="AB997" s="3" t="n">
        <v>9.6</v>
      </c>
      <c r="AC997" s="3" t="n">
        <v>2</v>
      </c>
      <c r="AD997" s="3" t="n">
        <v>2</v>
      </c>
      <c r="AE997" s="3" t="n">
        <v>1</v>
      </c>
      <c r="AF997" s="3" t="n">
        <v>1</v>
      </c>
      <c r="AG997" s="3" t="n">
        <v>2</v>
      </c>
      <c r="AH997" s="3" t="n">
        <v>2</v>
      </c>
      <c r="AI997" s="3" t="n">
        <v>1</v>
      </c>
      <c r="AJ997" s="3" t="n">
        <v>1</v>
      </c>
      <c r="AK997" s="3" t="n">
        <v>2</v>
      </c>
      <c r="AL997" s="3" t="n">
        <v>2</v>
      </c>
      <c r="AM997" s="3" t="n">
        <v>1</v>
      </c>
      <c r="AN997" s="3" t="n">
        <v>2</v>
      </c>
      <c r="AO997" s="3" t="n">
        <v>2</v>
      </c>
      <c r="AP997" s="3" t="n">
        <v>3</v>
      </c>
      <c r="AQ997" s="3" t="n">
        <v>4</v>
      </c>
      <c r="AR997" s="3" t="n">
        <v>4</v>
      </c>
      <c r="AS997" s="3" t="n">
        <v>6</v>
      </c>
      <c r="AT997" s="3" t="n">
        <v>4</v>
      </c>
      <c r="AU997" s="3" t="n">
        <v>4</v>
      </c>
      <c r="AV997" s="3" t="n">
        <v>6</v>
      </c>
      <c r="AW997" s="3" t="n">
        <v>6</v>
      </c>
      <c r="AX997" s="3" t="n">
        <v>3</v>
      </c>
      <c r="AY997" s="3" t="n">
        <v>3</v>
      </c>
      <c r="AZ997" s="3" t="n">
        <v>1</v>
      </c>
      <c r="BA997" s="5" t="n">
        <v>1</v>
      </c>
      <c r="BB997" s="3" t="n">
        <v>1</v>
      </c>
      <c r="BC997" s="3" t="n">
        <v>1</v>
      </c>
      <c r="BD997" s="3" t="n">
        <v>2</v>
      </c>
      <c r="BE997" s="3" t="n">
        <v>3</v>
      </c>
      <c r="BF997" s="3" t="n">
        <v>5</v>
      </c>
      <c r="BG997" s="3" t="n">
        <v>3</v>
      </c>
      <c r="BH997" s="3" t="n">
        <v>4</v>
      </c>
      <c r="BI997" s="3" t="n">
        <v>1</v>
      </c>
      <c r="BJ997" s="3" t="n">
        <v>1</v>
      </c>
      <c r="BK997" s="6" t="s">
        <v>2573</v>
      </c>
    </row>
    <row r="998" customFormat="false" ht="15" hidden="false" customHeight="true" outlineLevel="0" collapsed="false">
      <c r="B998" s="2" t="s">
        <v>2421</v>
      </c>
      <c r="C998" s="2" t="s">
        <v>1482</v>
      </c>
      <c r="D998" s="2" t="s">
        <v>2574</v>
      </c>
      <c r="E998" s="2" t="n">
        <v>202266</v>
      </c>
      <c r="F998" s="15" t="n">
        <v>44147</v>
      </c>
      <c r="G998" s="15" t="n">
        <v>44149</v>
      </c>
      <c r="H998" s="3" t="n">
        <v>2</v>
      </c>
      <c r="I998" s="3" t="n">
        <v>2</v>
      </c>
      <c r="J998" s="3" t="n">
        <v>65</v>
      </c>
      <c r="K998" s="3" t="n">
        <v>1</v>
      </c>
      <c r="L998" s="3" t="n">
        <v>2</v>
      </c>
      <c r="M998" s="3" t="n">
        <v>1</v>
      </c>
      <c r="N998" s="3" t="n">
        <v>2</v>
      </c>
      <c r="O998" s="3" t="n">
        <v>2</v>
      </c>
      <c r="P998" s="3" t="n">
        <v>2</v>
      </c>
      <c r="Q998" s="3" t="n">
        <v>2</v>
      </c>
      <c r="R998" s="3" t="n">
        <v>2</v>
      </c>
      <c r="S998" s="3" t="n">
        <v>2</v>
      </c>
      <c r="T998" s="4" t="n">
        <v>5</v>
      </c>
      <c r="U998" s="3" t="n">
        <v>1</v>
      </c>
      <c r="V998" s="3" t="n">
        <v>4.93</v>
      </c>
      <c r="W998" s="3" t="n">
        <v>1.46</v>
      </c>
      <c r="X998" s="3" t="n">
        <v>6.51</v>
      </c>
      <c r="Y998" s="3" t="n">
        <v>412</v>
      </c>
      <c r="Z998" s="3" t="n">
        <v>99</v>
      </c>
      <c r="AA998" s="3" t="n">
        <v>0.53</v>
      </c>
      <c r="AB998" s="3" t="n">
        <v>15</v>
      </c>
      <c r="AC998" s="3" t="n">
        <v>3</v>
      </c>
      <c r="AD998" s="3" t="n">
        <v>1</v>
      </c>
      <c r="AE998" s="3" t="n">
        <v>2</v>
      </c>
      <c r="AF998" s="3" t="n">
        <v>1</v>
      </c>
      <c r="AG998" s="3" t="n">
        <v>2</v>
      </c>
      <c r="AH998" s="3" t="n">
        <v>1</v>
      </c>
      <c r="AI998" s="3" t="n">
        <v>1</v>
      </c>
      <c r="AJ998" s="3" t="n">
        <v>1</v>
      </c>
      <c r="AK998" s="3" t="n">
        <v>2</v>
      </c>
      <c r="AL998" s="3" t="n">
        <v>2</v>
      </c>
      <c r="AM998" s="3" t="n">
        <v>2</v>
      </c>
      <c r="AN998" s="3" t="n">
        <v>2</v>
      </c>
      <c r="AO998" s="3" t="n">
        <v>2</v>
      </c>
      <c r="AZ998" s="3" t="n">
        <v>1</v>
      </c>
      <c r="BA998" s="5" t="n">
        <v>3</v>
      </c>
      <c r="BB998" s="3" t="n">
        <v>2</v>
      </c>
      <c r="BC998" s="3" t="n">
        <v>1</v>
      </c>
      <c r="BD998" s="3" t="n">
        <v>6</v>
      </c>
      <c r="BE998" s="3" t="n">
        <v>3</v>
      </c>
      <c r="BF998" s="3" t="n">
        <v>5</v>
      </c>
      <c r="BG998" s="3" t="n">
        <v>3</v>
      </c>
      <c r="BH998" s="3" t="n">
        <v>4</v>
      </c>
      <c r="BI998" s="3" t="n">
        <v>1</v>
      </c>
      <c r="BJ998" s="3" t="n">
        <v>1</v>
      </c>
      <c r="BK998" s="6" t="s">
        <v>2575</v>
      </c>
    </row>
    <row r="999" customFormat="false" ht="15" hidden="false" customHeight="true" outlineLevel="0" collapsed="false">
      <c r="B999" s="2" t="s">
        <v>966</v>
      </c>
      <c r="C999" s="2" t="s">
        <v>2576</v>
      </c>
      <c r="D999" s="2" t="s">
        <v>78</v>
      </c>
      <c r="E999" s="2" t="n">
        <v>204695</v>
      </c>
      <c r="F999" s="15" t="n">
        <v>44145</v>
      </c>
      <c r="G999" s="15" t="n">
        <v>44151</v>
      </c>
      <c r="H999" s="3" t="n">
        <v>6</v>
      </c>
      <c r="I999" s="3" t="n">
        <v>1</v>
      </c>
      <c r="J999" s="3" t="n">
        <v>56</v>
      </c>
      <c r="K999" s="3" t="n">
        <v>2</v>
      </c>
      <c r="L999" s="3" t="n">
        <v>2</v>
      </c>
      <c r="M999" s="3" t="n">
        <v>2</v>
      </c>
      <c r="N999" s="3" t="n">
        <v>2</v>
      </c>
      <c r="O999" s="3" t="n">
        <v>2</v>
      </c>
      <c r="P999" s="3" t="n">
        <v>2</v>
      </c>
      <c r="Q999" s="3" t="n">
        <v>2</v>
      </c>
      <c r="R999" s="3" t="n">
        <v>2</v>
      </c>
      <c r="S999" s="3" t="n">
        <v>2</v>
      </c>
      <c r="T999" s="4" t="n">
        <v>1</v>
      </c>
      <c r="U999" s="3" t="n">
        <v>4</v>
      </c>
      <c r="V999" s="3" t="n">
        <v>4.95</v>
      </c>
      <c r="W999" s="3" t="n">
        <v>2.06</v>
      </c>
      <c r="X999" s="3" t="n">
        <v>5.74</v>
      </c>
      <c r="Y999" s="3" t="n">
        <v>442</v>
      </c>
      <c r="Z999" s="3" t="n">
        <v>89</v>
      </c>
      <c r="AA999" s="3" t="n">
        <v>0.46</v>
      </c>
      <c r="AB999" s="3" t="n">
        <v>8.8</v>
      </c>
      <c r="AC999" s="3" t="n">
        <v>2</v>
      </c>
      <c r="AD999" s="3" t="n">
        <v>1</v>
      </c>
      <c r="AE999" s="3" t="n">
        <v>1</v>
      </c>
      <c r="AF999" s="3" t="n">
        <v>1</v>
      </c>
      <c r="AG999" s="3" t="n">
        <v>1</v>
      </c>
      <c r="AH999" s="3" t="n">
        <v>2</v>
      </c>
      <c r="AI999" s="3" t="n">
        <v>1</v>
      </c>
      <c r="AJ999" s="3" t="n">
        <v>1</v>
      </c>
      <c r="AK999" s="3" t="n">
        <v>2</v>
      </c>
      <c r="AL999" s="3" t="n">
        <v>2</v>
      </c>
      <c r="AM999" s="3" t="n">
        <v>2</v>
      </c>
      <c r="AN999" s="3" t="n">
        <v>2</v>
      </c>
      <c r="AO999" s="3" t="n">
        <v>2</v>
      </c>
      <c r="AP999" s="3" t="n">
        <v>3</v>
      </c>
      <c r="AQ999" s="3" t="n">
        <v>4</v>
      </c>
      <c r="AR999" s="3" t="n">
        <v>4</v>
      </c>
      <c r="AS999" s="3" t="n">
        <v>6</v>
      </c>
      <c r="AT999" s="3" t="n">
        <v>4</v>
      </c>
      <c r="AU999" s="3" t="n">
        <v>4</v>
      </c>
      <c r="AV999" s="3" t="n">
        <v>6</v>
      </c>
      <c r="AW999" s="3" t="n">
        <v>6</v>
      </c>
      <c r="AX999" s="3" t="n">
        <v>3</v>
      </c>
      <c r="AY999" s="3" t="n">
        <v>3</v>
      </c>
      <c r="AZ999" s="3" t="n">
        <v>1</v>
      </c>
      <c r="BA999" s="5" t="n">
        <v>10</v>
      </c>
      <c r="BB999" s="3" t="n">
        <v>2</v>
      </c>
      <c r="BC999" s="3" t="n">
        <v>1</v>
      </c>
      <c r="BD999" s="3" t="n">
        <v>6</v>
      </c>
      <c r="BE999" s="3" t="n">
        <v>3</v>
      </c>
      <c r="BF999" s="3" t="n">
        <v>5</v>
      </c>
      <c r="BG999" s="3" t="n">
        <v>3</v>
      </c>
      <c r="BH999" s="3" t="n">
        <v>4</v>
      </c>
      <c r="BI999" s="3" t="n">
        <v>1</v>
      </c>
      <c r="BJ999" s="3" t="n">
        <v>1</v>
      </c>
      <c r="BK999" s="6" t="s">
        <v>2577</v>
      </c>
    </row>
    <row r="1000" customFormat="false" ht="15" hidden="false" customHeight="true" outlineLevel="0" collapsed="false">
      <c r="B1000" s="2" t="s">
        <v>1017</v>
      </c>
      <c r="C1000" s="2" t="s">
        <v>118</v>
      </c>
      <c r="D1000" s="2" t="s">
        <v>2578</v>
      </c>
      <c r="E1000" s="2" t="n">
        <v>205199</v>
      </c>
      <c r="F1000" s="15" t="n">
        <v>44146</v>
      </c>
      <c r="G1000" s="15" t="n">
        <v>44151</v>
      </c>
      <c r="H1000" s="3" t="n">
        <v>5</v>
      </c>
      <c r="I1000" s="3" t="n">
        <v>1</v>
      </c>
      <c r="J1000" s="3" t="n">
        <v>81</v>
      </c>
      <c r="K1000" s="3" t="n">
        <v>1</v>
      </c>
      <c r="L1000" s="3" t="n">
        <v>1</v>
      </c>
      <c r="M1000" s="3" t="n">
        <v>1</v>
      </c>
      <c r="N1000" s="3" t="n">
        <v>2</v>
      </c>
      <c r="O1000" s="3" t="n">
        <v>2</v>
      </c>
      <c r="P1000" s="3" t="n">
        <v>2</v>
      </c>
      <c r="Q1000" s="3" t="n">
        <v>2</v>
      </c>
      <c r="R1000" s="3" t="n">
        <v>2</v>
      </c>
      <c r="S1000" s="3" t="n">
        <v>2</v>
      </c>
      <c r="T1000" s="4" t="n">
        <v>2</v>
      </c>
      <c r="U1000" s="3" t="n">
        <v>2</v>
      </c>
      <c r="V1000" s="3" t="n">
        <v>6.99</v>
      </c>
      <c r="W1000" s="3" t="n">
        <v>2.03</v>
      </c>
      <c r="X1000" s="3" t="n">
        <v>8.43</v>
      </c>
      <c r="Y1000" s="3" t="n">
        <v>377</v>
      </c>
      <c r="Z1000" s="3" t="n">
        <v>96</v>
      </c>
      <c r="AA1000" s="3" t="n">
        <v>0.5</v>
      </c>
      <c r="AB1000" s="3" t="n">
        <v>19.9</v>
      </c>
      <c r="AC1000" s="3" t="n">
        <v>2</v>
      </c>
      <c r="AD1000" s="3" t="n">
        <v>2</v>
      </c>
      <c r="AE1000" s="3" t="n">
        <v>1</v>
      </c>
      <c r="AF1000" s="3" t="n">
        <v>1</v>
      </c>
      <c r="AG1000" s="3" t="n">
        <v>2</v>
      </c>
      <c r="AH1000" s="3" t="n">
        <v>2</v>
      </c>
      <c r="AI1000" s="3" t="n">
        <v>1</v>
      </c>
      <c r="AJ1000" s="3" t="n">
        <v>1</v>
      </c>
      <c r="AK1000" s="3" t="n">
        <v>2</v>
      </c>
      <c r="AL1000" s="3" t="n">
        <v>2</v>
      </c>
      <c r="AM1000" s="3" t="n">
        <v>1</v>
      </c>
      <c r="AN1000" s="3" t="n">
        <v>2</v>
      </c>
      <c r="AO1000" s="3" t="n">
        <v>2</v>
      </c>
      <c r="AP1000" s="3" t="n">
        <v>3</v>
      </c>
      <c r="AQ1000" s="3" t="n">
        <v>4</v>
      </c>
      <c r="AR1000" s="3" t="n">
        <v>4</v>
      </c>
      <c r="AS1000" s="3" t="n">
        <v>6</v>
      </c>
      <c r="AT1000" s="3" t="n">
        <v>4</v>
      </c>
      <c r="AU1000" s="3" t="n">
        <v>4</v>
      </c>
      <c r="AV1000" s="3" t="n">
        <v>6</v>
      </c>
      <c r="AW1000" s="3" t="n">
        <v>6</v>
      </c>
      <c r="AX1000" s="3" t="n">
        <v>3</v>
      </c>
      <c r="AY1000" s="3" t="n">
        <v>3</v>
      </c>
      <c r="AZ1000" s="3" t="n">
        <v>14</v>
      </c>
      <c r="BA1000" s="5" t="n">
        <v>1</v>
      </c>
      <c r="BB1000" s="3" t="n">
        <v>1</v>
      </c>
      <c r="BC1000" s="3" t="n">
        <v>2</v>
      </c>
      <c r="BD1000" s="3" t="n">
        <v>2</v>
      </c>
      <c r="BE1000" s="3" t="n">
        <v>1</v>
      </c>
      <c r="BF1000" s="3" t="n">
        <v>2</v>
      </c>
      <c r="BG1000" s="3" t="n">
        <v>1</v>
      </c>
      <c r="BH1000" s="3" t="n">
        <v>4</v>
      </c>
      <c r="BI1000" s="3" t="n">
        <v>1</v>
      </c>
      <c r="BJ1000" s="3" t="n">
        <v>1</v>
      </c>
      <c r="BK1000" s="6" t="s">
        <v>2579</v>
      </c>
    </row>
    <row r="1001" customFormat="false" ht="15" hidden="false" customHeight="true" outlineLevel="0" collapsed="false">
      <c r="B1001" s="2" t="s">
        <v>2434</v>
      </c>
      <c r="C1001" s="2" t="s">
        <v>109</v>
      </c>
      <c r="D1001" s="2" t="s">
        <v>222</v>
      </c>
      <c r="E1001" s="2" t="n">
        <v>202043</v>
      </c>
      <c r="F1001" s="15" t="n">
        <v>44147</v>
      </c>
      <c r="G1001" s="15" t="n">
        <v>44153</v>
      </c>
      <c r="H1001" s="3" t="n">
        <v>4</v>
      </c>
      <c r="I1001" s="3" t="n">
        <v>2</v>
      </c>
      <c r="J1001" s="3" t="n">
        <v>83</v>
      </c>
      <c r="K1001" s="3" t="n">
        <v>1</v>
      </c>
      <c r="L1001" s="3" t="n">
        <v>1</v>
      </c>
      <c r="M1001" s="3" t="n">
        <v>1</v>
      </c>
      <c r="N1001" s="3" t="n">
        <v>1</v>
      </c>
      <c r="O1001" s="3" t="n">
        <v>2</v>
      </c>
      <c r="P1001" s="3" t="n">
        <v>2</v>
      </c>
      <c r="Q1001" s="3" t="n">
        <v>2</v>
      </c>
      <c r="R1001" s="3" t="n">
        <v>2</v>
      </c>
      <c r="S1001" s="3" t="n">
        <v>2</v>
      </c>
      <c r="T1001" s="4" t="n">
        <v>1</v>
      </c>
      <c r="U1001" s="3" t="n">
        <v>4</v>
      </c>
      <c r="V1001" s="3" t="n">
        <v>3.12</v>
      </c>
      <c r="W1001" s="3" t="n">
        <v>1.28</v>
      </c>
      <c r="X1001" s="3" t="n">
        <v>6.47</v>
      </c>
      <c r="Z1001" s="3" t="n">
        <v>100</v>
      </c>
      <c r="AA1001" s="3" t="n">
        <v>0.4</v>
      </c>
      <c r="AB1001" s="3" t="n">
        <v>9</v>
      </c>
      <c r="AC1001" s="3" t="n">
        <v>3</v>
      </c>
      <c r="AD1001" s="3" t="n">
        <v>1</v>
      </c>
      <c r="AE1001" s="3" t="n">
        <v>1</v>
      </c>
      <c r="AF1001" s="3" t="n">
        <v>1</v>
      </c>
      <c r="AG1001" s="3" t="n">
        <v>2</v>
      </c>
      <c r="AH1001" s="3" t="n">
        <v>2</v>
      </c>
      <c r="AI1001" s="3" t="n">
        <v>1</v>
      </c>
      <c r="AJ1001" s="3" t="n">
        <v>2</v>
      </c>
      <c r="AK1001" s="3" t="n">
        <v>2</v>
      </c>
      <c r="AL1001" s="3" t="n">
        <v>2</v>
      </c>
      <c r="AM1001" s="3" t="n">
        <v>1</v>
      </c>
      <c r="AN1001" s="3" t="n">
        <v>2</v>
      </c>
      <c r="AO1001" s="3" t="n">
        <v>1</v>
      </c>
      <c r="AP1001" s="3" t="n">
        <v>1</v>
      </c>
      <c r="AQ1001" s="3" t="n">
        <v>5</v>
      </c>
      <c r="AR1001" s="3" t="n">
        <v>4</v>
      </c>
      <c r="AS1001" s="3" t="n">
        <v>6</v>
      </c>
      <c r="AT1001" s="3" t="n">
        <v>4</v>
      </c>
      <c r="AU1001" s="3" t="n">
        <v>4</v>
      </c>
      <c r="AV1001" s="3" t="n">
        <v>1</v>
      </c>
      <c r="AW1001" s="3" t="n">
        <v>6</v>
      </c>
      <c r="AX1001" s="3" t="n">
        <v>1</v>
      </c>
      <c r="AY1001" s="3" t="n">
        <v>2</v>
      </c>
      <c r="AZ1001" s="3" t="n">
        <v>1</v>
      </c>
      <c r="BA1001" s="5" t="n">
        <v>5</v>
      </c>
      <c r="BB1001" s="3" t="n">
        <v>2</v>
      </c>
      <c r="BC1001" s="3" t="n">
        <v>1</v>
      </c>
      <c r="BD1001" s="3" t="n">
        <v>6</v>
      </c>
      <c r="BE1001" s="3" t="n">
        <v>3</v>
      </c>
      <c r="BF1001" s="3" t="n">
        <v>5</v>
      </c>
      <c r="BG1001" s="3" t="n">
        <v>3</v>
      </c>
      <c r="BH1001" s="3" t="n">
        <v>4</v>
      </c>
      <c r="BI1001" s="3" t="n">
        <v>1</v>
      </c>
      <c r="BJ1001" s="3" t="n">
        <v>1</v>
      </c>
      <c r="BK1001" s="6" t="s">
        <v>2580</v>
      </c>
    </row>
    <row r="1002" customFormat="false" ht="15" hidden="false" customHeight="true" outlineLevel="0" collapsed="false">
      <c r="B1002" s="2" t="s">
        <v>1828</v>
      </c>
      <c r="C1002" s="2" t="s">
        <v>2581</v>
      </c>
      <c r="D1002" s="2" t="s">
        <v>78</v>
      </c>
      <c r="E1002" s="2" t="n">
        <v>205292</v>
      </c>
      <c r="F1002" s="15" t="n">
        <v>44149</v>
      </c>
      <c r="G1002" s="15" t="n">
        <v>44153</v>
      </c>
      <c r="H1002" s="3" t="n">
        <v>4</v>
      </c>
      <c r="I1002" s="3" t="n">
        <v>2</v>
      </c>
      <c r="J1002" s="3" t="n">
        <v>67</v>
      </c>
      <c r="K1002" s="3" t="n">
        <v>1</v>
      </c>
      <c r="L1002" s="3" t="n">
        <v>1</v>
      </c>
      <c r="M1002" s="3" t="n">
        <v>1</v>
      </c>
      <c r="N1002" s="3" t="n">
        <v>2</v>
      </c>
      <c r="O1002" s="3" t="n">
        <v>2</v>
      </c>
      <c r="P1002" s="3" t="n">
        <v>2</v>
      </c>
      <c r="Q1002" s="3" t="n">
        <v>2</v>
      </c>
      <c r="R1002" s="3" t="n">
        <v>2</v>
      </c>
      <c r="S1002" s="3" t="n">
        <v>2</v>
      </c>
      <c r="T1002" s="4" t="n">
        <v>3</v>
      </c>
      <c r="U1002" s="3" t="n">
        <v>1</v>
      </c>
      <c r="V1002" s="3" t="n">
        <v>4.36</v>
      </c>
      <c r="W1002" s="3" t="n">
        <v>1.67</v>
      </c>
      <c r="X1002" s="3" t="n">
        <v>12.64</v>
      </c>
      <c r="Y1002" s="3" t="n">
        <v>408</v>
      </c>
      <c r="Z1002" s="3" t="n">
        <v>101</v>
      </c>
      <c r="AA1002" s="3" t="n">
        <v>0.48</v>
      </c>
      <c r="AB1002" s="3" t="n">
        <v>8.6</v>
      </c>
      <c r="AC1002" s="3" t="n">
        <v>1</v>
      </c>
      <c r="AD1002" s="3" t="n">
        <v>2</v>
      </c>
      <c r="AE1002" s="3" t="n">
        <v>2</v>
      </c>
      <c r="AF1002" s="3" t="n">
        <v>2</v>
      </c>
      <c r="AG1002" s="3" t="n">
        <v>2</v>
      </c>
      <c r="AH1002" s="3" t="n">
        <v>2</v>
      </c>
      <c r="AI1002" s="3" t="n">
        <v>2</v>
      </c>
      <c r="AJ1002" s="3" t="n">
        <v>1</v>
      </c>
      <c r="AK1002" s="3" t="n">
        <v>2</v>
      </c>
      <c r="AL1002" s="3" t="n">
        <v>2</v>
      </c>
      <c r="AM1002" s="3" t="n">
        <v>1</v>
      </c>
      <c r="AN1002" s="3" t="n">
        <v>2</v>
      </c>
      <c r="AO1002" s="3" t="n">
        <v>2</v>
      </c>
      <c r="AP1002" s="3" t="n">
        <v>3</v>
      </c>
      <c r="AQ1002" s="3" t="n">
        <v>4</v>
      </c>
      <c r="AR1002" s="3" t="n">
        <v>4</v>
      </c>
      <c r="AS1002" s="3" t="n">
        <v>6</v>
      </c>
      <c r="AT1002" s="3" t="n">
        <v>4</v>
      </c>
      <c r="AU1002" s="3" t="n">
        <v>4</v>
      </c>
      <c r="AV1002" s="3" t="n">
        <v>6</v>
      </c>
      <c r="AW1002" s="3" t="n">
        <v>6</v>
      </c>
      <c r="AX1002" s="3" t="n">
        <v>3</v>
      </c>
      <c r="AY1002" s="3" t="n">
        <v>3</v>
      </c>
      <c r="AZ1002" s="3" t="n">
        <v>1</v>
      </c>
      <c r="BA1002" s="5" t="n">
        <v>3</v>
      </c>
      <c r="BB1002" s="3" t="n">
        <v>2</v>
      </c>
      <c r="BC1002" s="3" t="n">
        <v>1</v>
      </c>
      <c r="BD1002" s="3" t="n">
        <v>6</v>
      </c>
      <c r="BE1002" s="3" t="n">
        <v>3</v>
      </c>
      <c r="BF1002" s="3" t="n">
        <v>5</v>
      </c>
      <c r="BG1002" s="3" t="n">
        <v>3</v>
      </c>
      <c r="BH1002" s="3" t="n">
        <v>4</v>
      </c>
      <c r="BI1002" s="3" t="n">
        <v>1</v>
      </c>
      <c r="BJ1002" s="3" t="n">
        <v>1</v>
      </c>
      <c r="BK1002" s="6" t="s">
        <v>2582</v>
      </c>
    </row>
    <row r="1003" customFormat="false" ht="15" hidden="false" customHeight="true" outlineLevel="0" collapsed="false">
      <c r="B1003" s="2" t="s">
        <v>2583</v>
      </c>
      <c r="C1003" s="2" t="s">
        <v>78</v>
      </c>
      <c r="D1003" s="2" t="s">
        <v>2584</v>
      </c>
      <c r="E1003" s="2" t="n">
        <v>205228</v>
      </c>
      <c r="F1003" s="15" t="n">
        <v>44150</v>
      </c>
      <c r="G1003" s="15" t="n">
        <v>44153</v>
      </c>
      <c r="H1003" s="3" t="n">
        <v>3</v>
      </c>
      <c r="I1003" s="3" t="n">
        <v>2</v>
      </c>
      <c r="J1003" s="3" t="n">
        <v>85</v>
      </c>
      <c r="K1003" s="3" t="n">
        <v>1</v>
      </c>
      <c r="L1003" s="3" t="n">
        <v>1</v>
      </c>
      <c r="M1003" s="3" t="n">
        <v>2</v>
      </c>
      <c r="N1003" s="3" t="n">
        <v>2</v>
      </c>
      <c r="O1003" s="3" t="n">
        <v>2</v>
      </c>
      <c r="P1003" s="3" t="n">
        <v>2</v>
      </c>
      <c r="Q1003" s="3" t="n">
        <v>2</v>
      </c>
      <c r="R1003" s="3" t="n">
        <v>2</v>
      </c>
      <c r="S1003" s="3" t="n">
        <v>2</v>
      </c>
      <c r="T1003" s="4" t="n">
        <v>4</v>
      </c>
      <c r="U1003" s="3" t="n">
        <v>4</v>
      </c>
      <c r="V1003" s="3" t="n">
        <v>3.08</v>
      </c>
      <c r="W1003" s="3" t="n">
        <v>1.59</v>
      </c>
      <c r="X1003" s="3" t="n">
        <v>5.59</v>
      </c>
      <c r="Y1003" s="3" t="n">
        <v>478</v>
      </c>
      <c r="Z1003" s="3" t="n">
        <v>126</v>
      </c>
      <c r="AA1003" s="3" t="n">
        <v>0.37</v>
      </c>
      <c r="AB1003" s="3" t="n">
        <v>9.3</v>
      </c>
      <c r="AC1003" s="3" t="n">
        <v>3</v>
      </c>
      <c r="AD1003" s="3" t="n">
        <v>2</v>
      </c>
      <c r="AE1003" s="3" t="n">
        <v>2</v>
      </c>
      <c r="AF1003" s="3" t="n">
        <v>2</v>
      </c>
      <c r="AG1003" s="3" t="n">
        <v>2</v>
      </c>
      <c r="AH1003" s="3" t="n">
        <v>2</v>
      </c>
      <c r="AI1003" s="3" t="n">
        <v>2</v>
      </c>
      <c r="AJ1003" s="3" t="n">
        <v>1</v>
      </c>
      <c r="AK1003" s="3" t="n">
        <v>2</v>
      </c>
      <c r="AL1003" s="3" t="n">
        <v>2</v>
      </c>
      <c r="AM1003" s="3" t="n">
        <v>1</v>
      </c>
      <c r="AN1003" s="3" t="n">
        <v>2</v>
      </c>
      <c r="AO1003" s="3" t="n">
        <v>2</v>
      </c>
      <c r="AP1003" s="3" t="n">
        <v>3</v>
      </c>
      <c r="AQ1003" s="3" t="n">
        <v>4</v>
      </c>
      <c r="AR1003" s="3" t="n">
        <v>4</v>
      </c>
      <c r="AS1003" s="3" t="n">
        <v>6</v>
      </c>
      <c r="AT1003" s="3" t="n">
        <v>4</v>
      </c>
      <c r="AU1003" s="3" t="n">
        <v>4</v>
      </c>
      <c r="AV1003" s="3" t="n">
        <v>6</v>
      </c>
      <c r="AW1003" s="3" t="n">
        <v>6</v>
      </c>
      <c r="AX1003" s="3" t="n">
        <v>3</v>
      </c>
      <c r="AY1003" s="3" t="n">
        <v>3</v>
      </c>
      <c r="AZ1003" s="3" t="n">
        <v>1</v>
      </c>
      <c r="BA1003" s="5" t="n">
        <v>10</v>
      </c>
      <c r="BB1003" s="3" t="n">
        <v>2</v>
      </c>
      <c r="BC1003" s="3" t="n">
        <v>1</v>
      </c>
      <c r="BD1003" s="3" t="n">
        <v>6</v>
      </c>
      <c r="BE1003" s="3" t="n">
        <v>3</v>
      </c>
      <c r="BF1003" s="3" t="n">
        <v>5</v>
      </c>
      <c r="BG1003" s="3" t="n">
        <v>3</v>
      </c>
      <c r="BH1003" s="3" t="n">
        <v>4</v>
      </c>
      <c r="BI1003" s="3" t="n">
        <v>1</v>
      </c>
      <c r="BJ1003" s="3" t="n">
        <v>1</v>
      </c>
      <c r="BK1003" s="6" t="s">
        <v>2585</v>
      </c>
    </row>
    <row r="1004" customFormat="false" ht="15" hidden="false" customHeight="true" outlineLevel="0" collapsed="false">
      <c r="B1004" s="2" t="s">
        <v>2586</v>
      </c>
      <c r="C1004" s="2" t="s">
        <v>462</v>
      </c>
      <c r="D1004" s="2" t="s">
        <v>410</v>
      </c>
      <c r="E1004" s="2" t="n">
        <v>205232</v>
      </c>
      <c r="F1004" s="15" t="n">
        <v>44150</v>
      </c>
      <c r="G1004" s="15" t="n">
        <v>44156</v>
      </c>
      <c r="H1004" s="3" t="n">
        <v>6</v>
      </c>
      <c r="I1004" s="3" t="n">
        <v>1</v>
      </c>
      <c r="J1004" s="3" t="n">
        <v>94</v>
      </c>
      <c r="K1004" s="3" t="n">
        <v>1</v>
      </c>
      <c r="L1004" s="3" t="n">
        <v>2</v>
      </c>
      <c r="M1004" s="3" t="n">
        <v>1</v>
      </c>
      <c r="N1004" s="3" t="n">
        <v>2</v>
      </c>
      <c r="O1004" s="3" t="n">
        <v>2</v>
      </c>
      <c r="P1004" s="3" t="n">
        <v>2</v>
      </c>
      <c r="Q1004" s="3" t="n">
        <v>1</v>
      </c>
      <c r="R1004" s="3" t="n">
        <v>2</v>
      </c>
      <c r="S1004" s="3" t="n">
        <v>2</v>
      </c>
      <c r="T1004" s="4" t="n">
        <v>4</v>
      </c>
      <c r="U1004" s="3" t="n">
        <v>4</v>
      </c>
      <c r="V1004" s="3" t="n">
        <v>4.4</v>
      </c>
      <c r="W1004" s="3" t="n">
        <v>1.5</v>
      </c>
      <c r="X1004" s="3" t="n">
        <v>11.68</v>
      </c>
      <c r="Y1004" s="3" t="n">
        <v>278</v>
      </c>
      <c r="Z1004" s="3" t="n">
        <v>85</v>
      </c>
      <c r="AA1004" s="3" t="n">
        <v>0.38</v>
      </c>
      <c r="AB1004" s="3" t="n">
        <v>12.3</v>
      </c>
      <c r="AC1004" s="3" t="n">
        <v>3</v>
      </c>
      <c r="AD1004" s="3" t="n">
        <v>2</v>
      </c>
      <c r="AE1004" s="3" t="n">
        <v>2</v>
      </c>
      <c r="AF1004" s="3" t="n">
        <v>2</v>
      </c>
      <c r="AG1004" s="3" t="n">
        <v>2</v>
      </c>
      <c r="AH1004" s="3" t="n">
        <v>2</v>
      </c>
      <c r="AI1004" s="3" t="n">
        <v>2</v>
      </c>
      <c r="AJ1004" s="3" t="n">
        <v>1</v>
      </c>
      <c r="AK1004" s="3" t="n">
        <v>1</v>
      </c>
      <c r="AL1004" s="3" t="n">
        <v>2</v>
      </c>
      <c r="AM1004" s="3" t="n">
        <v>1</v>
      </c>
      <c r="AN1004" s="3" t="n">
        <v>2</v>
      </c>
      <c r="AO1004" s="3" t="n">
        <v>2</v>
      </c>
      <c r="AP1004" s="3" t="n">
        <v>3</v>
      </c>
      <c r="AQ1004" s="3" t="n">
        <v>4</v>
      </c>
      <c r="AR1004" s="3" t="n">
        <v>4</v>
      </c>
      <c r="AS1004" s="3" t="n">
        <v>6</v>
      </c>
      <c r="AT1004" s="3" t="n">
        <v>4</v>
      </c>
      <c r="AU1004" s="3" t="n">
        <v>4</v>
      </c>
      <c r="AV1004" s="3" t="n">
        <v>6</v>
      </c>
      <c r="AW1004" s="3" t="n">
        <v>6</v>
      </c>
      <c r="AX1004" s="3" t="n">
        <v>3</v>
      </c>
      <c r="AY1004" s="3" t="n">
        <v>3</v>
      </c>
      <c r="AZ1004" s="3" t="n">
        <v>1</v>
      </c>
      <c r="BA1004" s="5" t="n">
        <v>10</v>
      </c>
      <c r="BB1004" s="3" t="n">
        <v>2</v>
      </c>
      <c r="BC1004" s="3" t="n">
        <v>1</v>
      </c>
      <c r="BD1004" s="3" t="n">
        <v>6</v>
      </c>
      <c r="BE1004" s="3" t="n">
        <v>3</v>
      </c>
      <c r="BF1004" s="3" t="n">
        <v>5</v>
      </c>
      <c r="BG1004" s="3" t="n">
        <v>3</v>
      </c>
      <c r="BH1004" s="3" t="n">
        <v>4</v>
      </c>
      <c r="BI1004" s="3" t="n">
        <v>1</v>
      </c>
      <c r="BJ1004" s="3" t="n">
        <v>1</v>
      </c>
      <c r="BK1004" s="6" t="s">
        <v>2587</v>
      </c>
    </row>
    <row r="1005" customFormat="false" ht="15" hidden="false" customHeight="true" outlineLevel="0" collapsed="false">
      <c r="B1005" s="2" t="s">
        <v>167</v>
      </c>
      <c r="C1005" s="2" t="s">
        <v>168</v>
      </c>
      <c r="D1005" s="2" t="s">
        <v>169</v>
      </c>
      <c r="E1005" s="2" t="n">
        <v>205127</v>
      </c>
      <c r="F1005" s="15" t="n">
        <v>44153</v>
      </c>
      <c r="G1005" s="15" t="n">
        <v>44158</v>
      </c>
      <c r="H1005" s="3" t="n">
        <v>5</v>
      </c>
      <c r="I1005" s="3" t="n">
        <v>2</v>
      </c>
      <c r="J1005" s="3" t="n">
        <v>64</v>
      </c>
      <c r="K1005" s="3" t="n">
        <v>2</v>
      </c>
      <c r="L1005" s="3" t="n">
        <v>2</v>
      </c>
      <c r="M1005" s="3" t="n">
        <v>1</v>
      </c>
      <c r="N1005" s="3" t="n">
        <v>1</v>
      </c>
      <c r="O1005" s="3" t="n">
        <v>1</v>
      </c>
      <c r="P1005" s="3" t="n">
        <v>1</v>
      </c>
      <c r="Q1005" s="3" t="n">
        <v>1</v>
      </c>
      <c r="R1005" s="3" t="n">
        <v>2</v>
      </c>
      <c r="S1005" s="3" t="n">
        <v>2</v>
      </c>
      <c r="T1005" s="4" t="n">
        <v>3</v>
      </c>
      <c r="U1005" s="3" t="n">
        <v>1</v>
      </c>
      <c r="V1005" s="3" t="n">
        <v>5.08</v>
      </c>
      <c r="W1005" s="3" t="n">
        <v>1.1</v>
      </c>
      <c r="X1005" s="3" t="n">
        <v>5.63</v>
      </c>
      <c r="Y1005" s="3" t="n">
        <v>417</v>
      </c>
      <c r="Z1005" s="3" t="n">
        <v>84</v>
      </c>
      <c r="AA1005" s="3" t="n">
        <v>0.42</v>
      </c>
      <c r="AB1005" s="3" t="n">
        <v>9.9</v>
      </c>
      <c r="AC1005" s="3" t="n">
        <v>1</v>
      </c>
      <c r="AD1005" s="3" t="n">
        <v>1</v>
      </c>
      <c r="AE1005" s="3" t="n">
        <v>1</v>
      </c>
      <c r="AF1005" s="3" t="n">
        <v>1</v>
      </c>
      <c r="AG1005" s="3" t="n">
        <v>2</v>
      </c>
      <c r="AH1005" s="3" t="n">
        <v>2</v>
      </c>
      <c r="AI1005" s="3" t="n">
        <v>1</v>
      </c>
      <c r="AJ1005" s="3" t="n">
        <v>1</v>
      </c>
      <c r="AK1005" s="3" t="n">
        <v>1</v>
      </c>
      <c r="AL1005" s="3" t="n">
        <v>2</v>
      </c>
      <c r="AM1005" s="3" t="n">
        <v>1</v>
      </c>
      <c r="AN1005" s="3" t="n">
        <v>2</v>
      </c>
      <c r="AO1005" s="3" t="n">
        <v>2</v>
      </c>
      <c r="AP1005" s="3" t="n">
        <v>3</v>
      </c>
      <c r="AQ1005" s="3" t="n">
        <v>4</v>
      </c>
      <c r="AR1005" s="3" t="n">
        <v>4</v>
      </c>
      <c r="AS1005" s="3" t="n">
        <v>6</v>
      </c>
      <c r="AT1005" s="3" t="n">
        <v>4</v>
      </c>
      <c r="AU1005" s="3" t="n">
        <v>4</v>
      </c>
      <c r="AV1005" s="3" t="n">
        <v>6</v>
      </c>
      <c r="AW1005" s="3" t="n">
        <v>6</v>
      </c>
      <c r="AX1005" s="3" t="n">
        <v>3</v>
      </c>
      <c r="AY1005" s="3" t="n">
        <v>3</v>
      </c>
      <c r="AZ1005" s="3" t="n">
        <v>1</v>
      </c>
      <c r="BA1005" s="5" t="n">
        <v>11</v>
      </c>
      <c r="BB1005" s="3" t="n">
        <v>2</v>
      </c>
      <c r="BC1005" s="3" t="n">
        <v>1</v>
      </c>
      <c r="BD1005" s="3" t="n">
        <v>6</v>
      </c>
      <c r="BE1005" s="3" t="n">
        <v>3</v>
      </c>
      <c r="BF1005" s="3" t="n">
        <v>5</v>
      </c>
      <c r="BG1005" s="3" t="n">
        <v>3</v>
      </c>
      <c r="BH1005" s="3" t="n">
        <v>4</v>
      </c>
      <c r="BI1005" s="3" t="n">
        <v>1</v>
      </c>
      <c r="BJ1005" s="3" t="n">
        <v>1</v>
      </c>
      <c r="BK1005" s="6" t="s">
        <v>2588</v>
      </c>
    </row>
    <row r="1006" customFormat="false" ht="15" hidden="false" customHeight="true" outlineLevel="0" collapsed="false">
      <c r="B1006" s="2" t="s">
        <v>228</v>
      </c>
      <c r="C1006" s="2" t="s">
        <v>2589</v>
      </c>
      <c r="D1006" s="2" t="s">
        <v>75</v>
      </c>
      <c r="E1006" s="2" t="n">
        <v>205148</v>
      </c>
      <c r="F1006" s="15" t="n">
        <v>44152</v>
      </c>
      <c r="G1006" s="15" t="n">
        <v>44158</v>
      </c>
      <c r="H1006" s="3" t="n">
        <v>6</v>
      </c>
      <c r="I1006" s="3" t="n">
        <v>1</v>
      </c>
      <c r="J1006" s="3" t="n">
        <v>65</v>
      </c>
      <c r="K1006" s="3" t="n">
        <v>1</v>
      </c>
      <c r="L1006" s="3" t="n">
        <v>2</v>
      </c>
      <c r="M1006" s="3" t="n">
        <v>1</v>
      </c>
      <c r="N1006" s="3" t="n">
        <v>1</v>
      </c>
      <c r="O1006" s="3" t="n">
        <v>1</v>
      </c>
      <c r="P1006" s="3" t="n">
        <v>1</v>
      </c>
      <c r="Q1006" s="3" t="n">
        <v>1</v>
      </c>
      <c r="R1006" s="3" t="n">
        <v>2</v>
      </c>
      <c r="S1006" s="3" t="n">
        <v>1</v>
      </c>
      <c r="T1006" s="4" t="n">
        <v>3</v>
      </c>
      <c r="U1006" s="3" t="n">
        <v>1</v>
      </c>
      <c r="V1006" s="3" t="n">
        <v>5.48</v>
      </c>
      <c r="W1006" s="3" t="n">
        <v>0.76</v>
      </c>
      <c r="X1006" s="3" t="n">
        <v>19.27</v>
      </c>
      <c r="Y1006" s="3" t="n">
        <v>280</v>
      </c>
      <c r="Z1006" s="3" t="n">
        <v>112</v>
      </c>
      <c r="AA1006" s="3" t="n">
        <v>0.43</v>
      </c>
      <c r="AB1006" s="3" t="n">
        <v>12</v>
      </c>
      <c r="AC1006" s="3" t="n">
        <v>2</v>
      </c>
      <c r="AD1006" s="3" t="n">
        <v>2</v>
      </c>
      <c r="AE1006" s="3" t="n">
        <v>1</v>
      </c>
      <c r="AF1006" s="3" t="n">
        <v>1</v>
      </c>
      <c r="AG1006" s="3" t="n">
        <v>2</v>
      </c>
      <c r="AH1006" s="3" t="n">
        <v>2</v>
      </c>
      <c r="AI1006" s="3" t="n">
        <v>1</v>
      </c>
      <c r="AJ1006" s="3" t="n">
        <v>2</v>
      </c>
      <c r="AK1006" s="3" t="n">
        <v>1</v>
      </c>
      <c r="AL1006" s="3" t="n">
        <v>2</v>
      </c>
      <c r="AM1006" s="3" t="n">
        <v>1</v>
      </c>
      <c r="AN1006" s="3" t="n">
        <v>1</v>
      </c>
      <c r="AO1006" s="3" t="n">
        <v>2</v>
      </c>
      <c r="AP1006" s="3" t="n">
        <v>3</v>
      </c>
      <c r="AQ1006" s="3" t="n">
        <v>4</v>
      </c>
      <c r="AR1006" s="3" t="n">
        <v>4</v>
      </c>
      <c r="AS1006" s="3" t="n">
        <v>6</v>
      </c>
      <c r="AT1006" s="3" t="n">
        <v>4</v>
      </c>
      <c r="AU1006" s="3" t="n">
        <v>4</v>
      </c>
      <c r="AV1006" s="3" t="n">
        <v>6</v>
      </c>
      <c r="AW1006" s="3" t="n">
        <v>6</v>
      </c>
      <c r="AX1006" s="3" t="n">
        <v>3</v>
      </c>
      <c r="AY1006" s="3" t="n">
        <v>3</v>
      </c>
      <c r="AZ1006" s="3" t="n">
        <v>6</v>
      </c>
      <c r="BA1006" s="5" t="n">
        <v>11</v>
      </c>
      <c r="BB1006" s="3" t="n">
        <v>2</v>
      </c>
      <c r="BC1006" s="3" t="n">
        <v>1</v>
      </c>
      <c r="BD1006" s="3" t="n">
        <v>6</v>
      </c>
      <c r="BE1006" s="3" t="n">
        <v>3</v>
      </c>
      <c r="BF1006" s="3" t="n">
        <v>5</v>
      </c>
      <c r="BG1006" s="3" t="n">
        <v>3</v>
      </c>
      <c r="BH1006" s="3" t="n">
        <v>4</v>
      </c>
      <c r="BI1006" s="3" t="n">
        <v>1</v>
      </c>
      <c r="BJ1006" s="3" t="n">
        <v>1</v>
      </c>
      <c r="BK1006" s="6" t="s">
        <v>2590</v>
      </c>
    </row>
    <row r="1007" customFormat="false" ht="15" hidden="false" customHeight="true" outlineLevel="0" collapsed="false">
      <c r="B1007" s="2" t="s">
        <v>2591</v>
      </c>
      <c r="C1007" s="2" t="s">
        <v>2592</v>
      </c>
      <c r="D1007" s="2" t="s">
        <v>2593</v>
      </c>
      <c r="E1007" s="2" t="n">
        <v>204847</v>
      </c>
      <c r="F1007" s="15" t="n">
        <v>44155</v>
      </c>
      <c r="G1007" s="15" t="n">
        <v>44158</v>
      </c>
      <c r="H1007" s="3" t="n">
        <v>3</v>
      </c>
      <c r="I1007" s="3" t="n">
        <v>1</v>
      </c>
      <c r="J1007" s="3" t="n">
        <v>63</v>
      </c>
      <c r="K1007" s="3" t="n">
        <v>1</v>
      </c>
      <c r="L1007" s="3" t="n">
        <v>1</v>
      </c>
      <c r="M1007" s="3" t="n">
        <v>1</v>
      </c>
      <c r="N1007" s="3" t="n">
        <v>2</v>
      </c>
      <c r="O1007" s="3" t="n">
        <v>2</v>
      </c>
      <c r="P1007" s="3" t="n">
        <v>2</v>
      </c>
      <c r="Q1007" s="3" t="n">
        <v>2</v>
      </c>
      <c r="R1007" s="3" t="n">
        <v>2</v>
      </c>
      <c r="S1007" s="3" t="n">
        <v>2</v>
      </c>
      <c r="T1007" s="4" t="n">
        <v>3</v>
      </c>
      <c r="U1007" s="3" t="n">
        <v>1</v>
      </c>
      <c r="V1007" s="3" t="n">
        <v>4.44</v>
      </c>
      <c r="W1007" s="3" t="n">
        <v>2.37</v>
      </c>
      <c r="X1007" s="3" t="n">
        <v>9.5</v>
      </c>
      <c r="Y1007" s="3" t="n">
        <v>405</v>
      </c>
      <c r="Z1007" s="3" t="n">
        <v>112</v>
      </c>
      <c r="AA1007" s="3" t="n">
        <v>0.36</v>
      </c>
      <c r="AB1007" s="3" t="n">
        <v>8.5</v>
      </c>
      <c r="AC1007" s="3" t="n">
        <v>3</v>
      </c>
      <c r="AD1007" s="3" t="n">
        <v>2</v>
      </c>
      <c r="AE1007" s="3" t="n">
        <v>1</v>
      </c>
      <c r="AF1007" s="3" t="n">
        <v>1</v>
      </c>
      <c r="AG1007" s="3" t="n">
        <v>2</v>
      </c>
      <c r="AH1007" s="3" t="n">
        <v>2</v>
      </c>
      <c r="AI1007" s="3" t="n">
        <v>1</v>
      </c>
      <c r="AJ1007" s="3" t="n">
        <v>1</v>
      </c>
      <c r="AK1007" s="3" t="n">
        <v>2</v>
      </c>
      <c r="AL1007" s="3" t="n">
        <v>2</v>
      </c>
      <c r="AM1007" s="3" t="n">
        <v>1</v>
      </c>
      <c r="AN1007" s="3" t="n">
        <v>2</v>
      </c>
      <c r="AO1007" s="3" t="n">
        <v>2</v>
      </c>
      <c r="AP1007" s="3" t="n">
        <v>3</v>
      </c>
      <c r="AQ1007" s="3" t="n">
        <v>4</v>
      </c>
      <c r="AR1007" s="3" t="n">
        <v>4</v>
      </c>
      <c r="AS1007" s="3" t="n">
        <v>6</v>
      </c>
      <c r="AT1007" s="3" t="n">
        <v>4</v>
      </c>
      <c r="AU1007" s="3" t="n">
        <v>4</v>
      </c>
      <c r="AV1007" s="3" t="n">
        <v>6</v>
      </c>
      <c r="AW1007" s="3" t="n">
        <v>6</v>
      </c>
      <c r="AX1007" s="3" t="n">
        <v>3</v>
      </c>
      <c r="AY1007" s="3" t="n">
        <v>3</v>
      </c>
      <c r="AZ1007" s="3" t="n">
        <v>1</v>
      </c>
      <c r="BA1007" s="5" t="n">
        <v>11</v>
      </c>
      <c r="BB1007" s="3" t="n">
        <v>2</v>
      </c>
      <c r="BC1007" s="3" t="n">
        <v>1</v>
      </c>
      <c r="BD1007" s="3" t="n">
        <v>6</v>
      </c>
      <c r="BE1007" s="3" t="n">
        <v>3</v>
      </c>
      <c r="BF1007" s="3" t="n">
        <v>5</v>
      </c>
      <c r="BG1007" s="3" t="n">
        <v>3</v>
      </c>
      <c r="BH1007" s="3" t="n">
        <v>4</v>
      </c>
      <c r="BI1007" s="3" t="n">
        <v>1</v>
      </c>
      <c r="BJ1007" s="3" t="n">
        <v>1</v>
      </c>
      <c r="BK1007" s="6" t="s">
        <v>2594</v>
      </c>
    </row>
    <row r="1008" customFormat="false" ht="15" hidden="false" customHeight="true" outlineLevel="0" collapsed="false">
      <c r="B1008" s="2" t="s">
        <v>2595</v>
      </c>
      <c r="C1008" s="2" t="s">
        <v>414</v>
      </c>
      <c r="D1008" s="2" t="s">
        <v>118</v>
      </c>
      <c r="E1008" s="2" t="n">
        <v>205108</v>
      </c>
      <c r="F1008" s="15" t="n">
        <v>44153</v>
      </c>
      <c r="G1008" s="15" t="n">
        <v>44160</v>
      </c>
      <c r="H1008" s="3" t="n">
        <v>7</v>
      </c>
      <c r="I1008" s="3" t="n">
        <v>1</v>
      </c>
      <c r="J1008" s="3" t="n">
        <v>69</v>
      </c>
      <c r="K1008" s="3" t="n">
        <v>1</v>
      </c>
      <c r="L1008" s="3" t="n">
        <v>2</v>
      </c>
      <c r="M1008" s="3" t="n">
        <v>1</v>
      </c>
      <c r="N1008" s="3" t="n">
        <v>2</v>
      </c>
      <c r="O1008" s="3" t="n">
        <v>2</v>
      </c>
      <c r="P1008" s="3" t="n">
        <v>2</v>
      </c>
      <c r="Q1008" s="3" t="n">
        <v>1</v>
      </c>
      <c r="R1008" s="3" t="n">
        <v>2</v>
      </c>
      <c r="S1008" s="3" t="n">
        <v>1</v>
      </c>
      <c r="T1008" s="4" t="n">
        <v>2</v>
      </c>
      <c r="U1008" s="3" t="n">
        <v>2</v>
      </c>
      <c r="V1008" s="3" t="n">
        <v>6.6</v>
      </c>
      <c r="W1008" s="3" t="n">
        <v>3.08</v>
      </c>
      <c r="X1008" s="3" t="n">
        <v>24.39</v>
      </c>
      <c r="Y1008" s="3" t="n">
        <v>460</v>
      </c>
      <c r="Z1008" s="3" t="n">
        <v>189</v>
      </c>
      <c r="AA1008" s="3" t="n">
        <v>0.32</v>
      </c>
      <c r="AB1008" s="3" t="n">
        <v>11.9</v>
      </c>
      <c r="AC1008" s="3" t="n">
        <v>2</v>
      </c>
      <c r="AD1008" s="3" t="n">
        <v>2</v>
      </c>
      <c r="AE1008" s="3" t="n">
        <v>1</v>
      </c>
      <c r="AF1008" s="3" t="n">
        <v>1</v>
      </c>
      <c r="AG1008" s="3" t="n">
        <v>2</v>
      </c>
      <c r="AH1008" s="3" t="n">
        <v>2</v>
      </c>
      <c r="AI1008" s="3" t="n">
        <v>1</v>
      </c>
      <c r="AJ1008" s="3" t="n">
        <v>1</v>
      </c>
      <c r="AK1008" s="3" t="n">
        <v>1</v>
      </c>
      <c r="AL1008" s="3" t="n">
        <v>2</v>
      </c>
      <c r="AM1008" s="3" t="n">
        <v>1</v>
      </c>
      <c r="AN1008" s="3" t="n">
        <v>2</v>
      </c>
      <c r="AO1008" s="3" t="n">
        <v>2</v>
      </c>
      <c r="AP1008" s="3" t="n">
        <v>3</v>
      </c>
      <c r="AQ1008" s="3" t="n">
        <v>4</v>
      </c>
      <c r="AR1008" s="3" t="n">
        <v>4</v>
      </c>
      <c r="AS1008" s="3" t="n">
        <v>6</v>
      </c>
      <c r="AT1008" s="3" t="n">
        <v>4</v>
      </c>
      <c r="AU1008" s="3" t="n">
        <v>4</v>
      </c>
      <c r="AV1008" s="3" t="n">
        <v>6</v>
      </c>
      <c r="AW1008" s="3" t="n">
        <v>6</v>
      </c>
      <c r="AX1008" s="3" t="n">
        <v>3</v>
      </c>
      <c r="AY1008" s="3" t="n">
        <v>3</v>
      </c>
      <c r="AZ1008" s="3" t="n">
        <v>1</v>
      </c>
      <c r="BA1008" s="5" t="n">
        <v>1</v>
      </c>
      <c r="BB1008" s="3" t="n">
        <v>1</v>
      </c>
      <c r="BC1008" s="3" t="n">
        <v>1</v>
      </c>
      <c r="BD1008" s="3" t="n">
        <v>4</v>
      </c>
      <c r="BE1008" s="3" t="n">
        <v>1</v>
      </c>
      <c r="BF1008" s="3" t="n">
        <v>2</v>
      </c>
      <c r="BG1008" s="3" t="n">
        <v>1</v>
      </c>
      <c r="BH1008" s="3" t="n">
        <v>4</v>
      </c>
      <c r="BI1008" s="3" t="n">
        <v>1</v>
      </c>
      <c r="BJ1008" s="3" t="n">
        <v>1</v>
      </c>
      <c r="BK1008" s="6" t="s">
        <v>2596</v>
      </c>
    </row>
    <row r="1009" customFormat="false" ht="15" hidden="false" customHeight="true" outlineLevel="0" collapsed="false">
      <c r="B1009" s="2" t="s">
        <v>569</v>
      </c>
      <c r="C1009" s="2" t="s">
        <v>172</v>
      </c>
      <c r="D1009" s="2" t="s">
        <v>118</v>
      </c>
      <c r="E1009" s="2" t="n">
        <v>196872</v>
      </c>
      <c r="F1009" s="15" t="n">
        <v>44154</v>
      </c>
      <c r="G1009" s="15" t="n">
        <v>44160</v>
      </c>
      <c r="H1009" s="3" t="n">
        <v>6</v>
      </c>
      <c r="I1009" s="3" t="n">
        <v>2</v>
      </c>
      <c r="J1009" s="3" t="n">
        <v>58</v>
      </c>
      <c r="K1009" s="3" t="n">
        <v>2</v>
      </c>
      <c r="L1009" s="3" t="n">
        <v>1</v>
      </c>
      <c r="M1009" s="3" t="n">
        <v>1</v>
      </c>
      <c r="N1009" s="3" t="n">
        <v>1</v>
      </c>
      <c r="O1009" s="3" t="n">
        <v>2</v>
      </c>
      <c r="P1009" s="3" t="n">
        <v>2</v>
      </c>
      <c r="Q1009" s="3" t="n">
        <v>2</v>
      </c>
      <c r="R1009" s="3" t="n">
        <v>2</v>
      </c>
      <c r="S1009" s="3" t="n">
        <v>2</v>
      </c>
      <c r="T1009" s="4" t="n">
        <v>1</v>
      </c>
      <c r="U1009" s="3" t="n">
        <v>1</v>
      </c>
      <c r="V1009" s="3" t="n">
        <v>4.95</v>
      </c>
      <c r="W1009" s="3" t="n">
        <v>1.2</v>
      </c>
      <c r="X1009" s="3" t="n">
        <v>4.95</v>
      </c>
      <c r="Y1009" s="3" t="n">
        <v>385</v>
      </c>
      <c r="Z1009" s="3" t="n">
        <v>108</v>
      </c>
      <c r="AA1009" s="3" t="n">
        <v>0.45</v>
      </c>
      <c r="AB1009" s="3" t="n">
        <v>7</v>
      </c>
      <c r="AC1009" s="3" t="n">
        <v>1</v>
      </c>
      <c r="AD1009" s="3" t="n">
        <v>1</v>
      </c>
      <c r="AE1009" s="3" t="n">
        <v>1</v>
      </c>
      <c r="AF1009" s="3" t="n">
        <v>1</v>
      </c>
      <c r="AG1009" s="3" t="n">
        <v>1</v>
      </c>
      <c r="AH1009" s="3" t="n">
        <v>2</v>
      </c>
      <c r="AI1009" s="3" t="n">
        <v>1</v>
      </c>
      <c r="AJ1009" s="3" t="n">
        <v>2</v>
      </c>
      <c r="AK1009" s="3" t="n">
        <v>2</v>
      </c>
      <c r="AL1009" s="3" t="n">
        <v>2</v>
      </c>
      <c r="AM1009" s="3" t="n">
        <v>2</v>
      </c>
      <c r="AN1009" s="3" t="n">
        <v>2</v>
      </c>
      <c r="AO1009" s="3" t="n">
        <v>2</v>
      </c>
      <c r="AP1009" s="3" t="n">
        <v>1</v>
      </c>
      <c r="AQ1009" s="3" t="n">
        <v>3</v>
      </c>
      <c r="AR1009" s="3" t="n">
        <v>4</v>
      </c>
      <c r="AS1009" s="3" t="n">
        <v>6</v>
      </c>
      <c r="AT1009" s="3" t="n">
        <v>4</v>
      </c>
      <c r="AU1009" s="3" t="n">
        <v>4</v>
      </c>
      <c r="AV1009" s="3" t="n">
        <v>1</v>
      </c>
      <c r="AW1009" s="3" t="n">
        <v>6</v>
      </c>
      <c r="AX1009" s="3" t="n">
        <v>1</v>
      </c>
      <c r="AY1009" s="3" t="n">
        <v>2</v>
      </c>
      <c r="AZ1009" s="3" t="n">
        <v>1</v>
      </c>
      <c r="BA1009" s="5" t="n">
        <v>5</v>
      </c>
      <c r="BB1009" s="3" t="n">
        <v>2</v>
      </c>
      <c r="BC1009" s="3" t="n">
        <v>1</v>
      </c>
      <c r="BD1009" s="3" t="n">
        <v>6</v>
      </c>
      <c r="BE1009" s="3" t="n">
        <v>3</v>
      </c>
      <c r="BF1009" s="3" t="n">
        <v>5</v>
      </c>
      <c r="BG1009" s="3" t="n">
        <v>3</v>
      </c>
      <c r="BH1009" s="3" t="n">
        <v>4</v>
      </c>
      <c r="BI1009" s="3" t="n">
        <v>1</v>
      </c>
      <c r="BJ1009" s="3" t="n">
        <v>1</v>
      </c>
      <c r="BK1009" s="6" t="s">
        <v>2597</v>
      </c>
    </row>
    <row r="1010" customFormat="false" ht="15" hidden="false" customHeight="true" outlineLevel="0" collapsed="false">
      <c r="B1010" s="2" t="s">
        <v>2598</v>
      </c>
      <c r="C1010" s="2" t="s">
        <v>2189</v>
      </c>
      <c r="D1010" s="2" t="s">
        <v>414</v>
      </c>
      <c r="E1010" s="2" t="n">
        <v>205130</v>
      </c>
      <c r="F1010" s="15" t="n">
        <v>44153</v>
      </c>
      <c r="G1010" s="15" t="n">
        <v>44160</v>
      </c>
      <c r="H1010" s="3" t="n">
        <v>7</v>
      </c>
      <c r="I1010" s="3" t="n">
        <v>1</v>
      </c>
      <c r="J1010" s="3" t="n">
        <v>74</v>
      </c>
      <c r="K1010" s="3" t="n">
        <v>2</v>
      </c>
      <c r="L1010" s="3" t="n">
        <v>2</v>
      </c>
      <c r="M1010" s="3" t="n">
        <v>1</v>
      </c>
      <c r="N1010" s="3" t="n">
        <v>2</v>
      </c>
      <c r="O1010" s="3" t="n">
        <v>2</v>
      </c>
      <c r="P1010" s="3" t="n">
        <v>2</v>
      </c>
      <c r="Q1010" s="3" t="n">
        <v>2</v>
      </c>
      <c r="R1010" s="3" t="n">
        <v>2</v>
      </c>
      <c r="S1010" s="3" t="n">
        <v>2</v>
      </c>
      <c r="T1010" s="4" t="n">
        <v>1</v>
      </c>
      <c r="U1010" s="3" t="n">
        <v>1</v>
      </c>
      <c r="V1010" s="3" t="n">
        <v>4.15</v>
      </c>
      <c r="W1010" s="3" t="n">
        <v>2.11</v>
      </c>
      <c r="X1010" s="3" t="n">
        <v>6.24</v>
      </c>
      <c r="Y1010" s="3" t="n">
        <v>547</v>
      </c>
      <c r="Z1010" s="3" t="n">
        <v>191</v>
      </c>
      <c r="AA1010" s="3" t="n">
        <v>0.17</v>
      </c>
      <c r="AB1010" s="3" t="n">
        <v>12.6</v>
      </c>
      <c r="AC1010" s="3" t="n">
        <v>1</v>
      </c>
      <c r="AD1010" s="3" t="n">
        <v>1</v>
      </c>
      <c r="AE1010" s="3" t="n">
        <v>1</v>
      </c>
      <c r="AF1010" s="3" t="n">
        <v>1</v>
      </c>
      <c r="AG1010" s="3" t="n">
        <v>2</v>
      </c>
      <c r="AH1010" s="3" t="n">
        <v>1</v>
      </c>
      <c r="AI1010" s="3" t="n">
        <v>1</v>
      </c>
      <c r="AJ1010" s="3" t="n">
        <v>1</v>
      </c>
      <c r="AK1010" s="3" t="n">
        <v>2</v>
      </c>
      <c r="AL1010" s="3" t="n">
        <v>2</v>
      </c>
      <c r="AM1010" s="3" t="n">
        <v>2</v>
      </c>
      <c r="AN1010" s="3" t="n">
        <v>2</v>
      </c>
      <c r="AO1010" s="3" t="n">
        <v>2</v>
      </c>
      <c r="AP1010" s="3" t="n">
        <v>3</v>
      </c>
      <c r="AQ1010" s="3" t="n">
        <v>4</v>
      </c>
      <c r="AR1010" s="3" t="n">
        <v>4</v>
      </c>
      <c r="AS1010" s="3" t="n">
        <v>6</v>
      </c>
      <c r="AT1010" s="3" t="n">
        <v>4</v>
      </c>
      <c r="AU1010" s="3" t="n">
        <v>4</v>
      </c>
      <c r="AV1010" s="3" t="n">
        <v>6</v>
      </c>
      <c r="AW1010" s="3" t="n">
        <v>6</v>
      </c>
      <c r="AX1010" s="3" t="n">
        <v>3</v>
      </c>
      <c r="AY1010" s="3" t="n">
        <v>3</v>
      </c>
      <c r="AZ1010" s="3" t="n">
        <v>1</v>
      </c>
      <c r="BA1010" s="5" t="n">
        <v>5</v>
      </c>
      <c r="BB1010" s="3" t="n">
        <v>2</v>
      </c>
      <c r="BC1010" s="3" t="n">
        <v>1</v>
      </c>
      <c r="BD1010" s="3" t="n">
        <v>6</v>
      </c>
      <c r="BE1010" s="3" t="n">
        <v>3</v>
      </c>
      <c r="BF1010" s="3" t="n">
        <v>5</v>
      </c>
      <c r="BG1010" s="3" t="n">
        <v>3</v>
      </c>
      <c r="BH1010" s="3" t="n">
        <v>4</v>
      </c>
      <c r="BI1010" s="3" t="n">
        <v>1</v>
      </c>
      <c r="BJ1010" s="3" t="n">
        <v>1</v>
      </c>
      <c r="BK1010" s="6" t="s">
        <v>2599</v>
      </c>
    </row>
    <row r="1011" customFormat="false" ht="15" hidden="false" customHeight="true" outlineLevel="0" collapsed="false">
      <c r="B1011" s="2" t="s">
        <v>828</v>
      </c>
      <c r="C1011" s="2" t="s">
        <v>304</v>
      </c>
      <c r="D1011" s="2" t="s">
        <v>127</v>
      </c>
      <c r="E1011" s="2" t="n">
        <v>204851</v>
      </c>
      <c r="F1011" s="15" t="n">
        <v>44157</v>
      </c>
      <c r="G1011" s="15" t="n">
        <v>44161</v>
      </c>
      <c r="H1011" s="3" t="n">
        <v>5</v>
      </c>
      <c r="I1011" s="3" t="n">
        <v>1</v>
      </c>
      <c r="J1011" s="3" t="n">
        <v>89</v>
      </c>
      <c r="K1011" s="3" t="n">
        <v>1</v>
      </c>
      <c r="L1011" s="3" t="n">
        <v>2</v>
      </c>
      <c r="M1011" s="3" t="n">
        <v>1</v>
      </c>
      <c r="N1011" s="3" t="n">
        <v>2</v>
      </c>
      <c r="O1011" s="3" t="n">
        <v>2</v>
      </c>
      <c r="P1011" s="3" t="n">
        <v>2</v>
      </c>
      <c r="Q1011" s="3" t="n">
        <v>2</v>
      </c>
      <c r="R1011" s="3" t="n">
        <v>2</v>
      </c>
      <c r="S1011" s="3" t="n">
        <v>2</v>
      </c>
      <c r="T1011" s="4" t="n">
        <v>4</v>
      </c>
      <c r="U1011" s="3" t="n">
        <v>4</v>
      </c>
      <c r="V1011" s="3" t="n">
        <v>3.94</v>
      </c>
      <c r="W1011" s="3" t="n">
        <v>0.72</v>
      </c>
      <c r="X1011" s="3" t="n">
        <v>5.2</v>
      </c>
      <c r="Y1011" s="3" t="n">
        <v>251</v>
      </c>
      <c r="Z1011" s="3" t="n">
        <v>67</v>
      </c>
      <c r="AA1011" s="3" t="n">
        <v>0.37</v>
      </c>
      <c r="AB1011" s="3" t="n">
        <v>11.2</v>
      </c>
      <c r="AC1011" s="3" t="n">
        <v>3</v>
      </c>
      <c r="AD1011" s="3" t="n">
        <v>2</v>
      </c>
      <c r="AE1011" s="3" t="n">
        <v>2</v>
      </c>
      <c r="AF1011" s="3" t="n">
        <v>2</v>
      </c>
      <c r="AG1011" s="3" t="n">
        <v>2</v>
      </c>
      <c r="AH1011" s="3" t="n">
        <v>1</v>
      </c>
      <c r="AI1011" s="3" t="n">
        <v>2</v>
      </c>
      <c r="AJ1011" s="3" t="n">
        <v>2</v>
      </c>
      <c r="AK1011" s="3" t="n">
        <v>1</v>
      </c>
      <c r="AL1011" s="3" t="n">
        <v>2</v>
      </c>
      <c r="AM1011" s="3" t="n">
        <v>2</v>
      </c>
      <c r="AN1011" s="3" t="n">
        <v>1</v>
      </c>
      <c r="AO1011" s="3" t="n">
        <v>2</v>
      </c>
      <c r="AP1011" s="3" t="n">
        <v>3</v>
      </c>
      <c r="AQ1011" s="3" t="n">
        <v>4</v>
      </c>
      <c r="AR1011" s="3" t="n">
        <v>4</v>
      </c>
      <c r="AS1011" s="3" t="n">
        <v>6</v>
      </c>
      <c r="AT1011" s="3" t="n">
        <v>4</v>
      </c>
      <c r="AU1011" s="3" t="n">
        <v>4</v>
      </c>
      <c r="AV1011" s="3" t="n">
        <v>6</v>
      </c>
      <c r="AW1011" s="3" t="n">
        <v>6</v>
      </c>
      <c r="AX1011" s="3" t="n">
        <v>3</v>
      </c>
      <c r="AY1011" s="3" t="n">
        <v>3</v>
      </c>
      <c r="AZ1011" s="3" t="n">
        <v>1</v>
      </c>
      <c r="BA1011" s="5" t="n">
        <v>10</v>
      </c>
      <c r="BB1011" s="3" t="n">
        <v>2</v>
      </c>
      <c r="BC1011" s="3" t="n">
        <v>1</v>
      </c>
      <c r="BD1011" s="3" t="n">
        <v>6</v>
      </c>
      <c r="BE1011" s="3" t="n">
        <v>3</v>
      </c>
      <c r="BF1011" s="3" t="n">
        <v>5</v>
      </c>
      <c r="BG1011" s="3" t="n">
        <v>3</v>
      </c>
      <c r="BH1011" s="3" t="n">
        <v>4</v>
      </c>
      <c r="BI1011" s="3" t="n">
        <v>1</v>
      </c>
      <c r="BJ1011" s="3" t="n">
        <v>1</v>
      </c>
      <c r="BK1011" s="6" t="s">
        <v>2600</v>
      </c>
    </row>
    <row r="1012" customFormat="false" ht="15" hidden="false" customHeight="true" outlineLevel="0" collapsed="false">
      <c r="B1012" s="2" t="s">
        <v>569</v>
      </c>
      <c r="C1012" s="2" t="s">
        <v>2601</v>
      </c>
      <c r="D1012" s="2" t="s">
        <v>108</v>
      </c>
      <c r="E1012" s="2" t="n">
        <v>204853</v>
      </c>
      <c r="F1012" s="15" t="n">
        <v>44155</v>
      </c>
      <c r="G1012" s="15" t="n">
        <v>44161</v>
      </c>
      <c r="H1012" s="3" t="n">
        <v>6</v>
      </c>
      <c r="I1012" s="3" t="n">
        <v>2</v>
      </c>
      <c r="J1012" s="3" t="n">
        <v>58</v>
      </c>
      <c r="K1012" s="3" t="n">
        <v>1</v>
      </c>
      <c r="L1012" s="3" t="n">
        <v>1</v>
      </c>
      <c r="M1012" s="3" t="n">
        <v>1</v>
      </c>
      <c r="N1012" s="3" t="n">
        <v>2</v>
      </c>
      <c r="O1012" s="3" t="n">
        <v>2</v>
      </c>
      <c r="P1012" s="3" t="n">
        <v>2</v>
      </c>
      <c r="Q1012" s="3" t="n">
        <v>2</v>
      </c>
      <c r="R1012" s="3" t="n">
        <v>2</v>
      </c>
      <c r="S1012" s="3" t="n">
        <v>2</v>
      </c>
      <c r="T1012" s="4" t="n">
        <v>2</v>
      </c>
      <c r="U1012" s="3" t="n">
        <v>2</v>
      </c>
      <c r="V1012" s="3" t="n">
        <v>4.61</v>
      </c>
      <c r="W1012" s="3" t="n">
        <v>1.59</v>
      </c>
      <c r="X1012" s="3" t="n">
        <v>7.81</v>
      </c>
      <c r="Y1012" s="3" t="n">
        <v>532</v>
      </c>
      <c r="Z1012" s="3" t="n">
        <v>99</v>
      </c>
      <c r="AA1012" s="3" t="n">
        <v>0.51</v>
      </c>
      <c r="AB1012" s="3" t="n">
        <v>11.9</v>
      </c>
      <c r="AC1012" s="3" t="n">
        <v>1</v>
      </c>
      <c r="AD1012" s="3" t="n">
        <v>2</v>
      </c>
      <c r="AE1012" s="3" t="n">
        <v>1</v>
      </c>
      <c r="AF1012" s="3" t="n">
        <v>1</v>
      </c>
      <c r="AG1012" s="3" t="n">
        <v>2</v>
      </c>
      <c r="AH1012" s="3" t="n">
        <v>2</v>
      </c>
      <c r="AI1012" s="3" t="n">
        <v>1</v>
      </c>
      <c r="AJ1012" s="3" t="n">
        <v>1</v>
      </c>
      <c r="AK1012" s="3" t="n">
        <v>2</v>
      </c>
      <c r="AL1012" s="3" t="n">
        <v>2</v>
      </c>
      <c r="AM1012" s="3" t="n">
        <v>2</v>
      </c>
      <c r="AN1012" s="3" t="n">
        <v>2</v>
      </c>
      <c r="AO1012" s="3" t="n">
        <v>2</v>
      </c>
      <c r="AP1012" s="3" t="n">
        <v>3</v>
      </c>
      <c r="AQ1012" s="3" t="n">
        <v>4</v>
      </c>
      <c r="AR1012" s="3" t="n">
        <v>4</v>
      </c>
      <c r="AS1012" s="3" t="n">
        <v>6</v>
      </c>
      <c r="AT1012" s="3" t="n">
        <v>4</v>
      </c>
      <c r="AU1012" s="3" t="n">
        <v>4</v>
      </c>
      <c r="AV1012" s="3" t="n">
        <v>6</v>
      </c>
      <c r="AW1012" s="3" t="n">
        <v>6</v>
      </c>
      <c r="AX1012" s="3" t="n">
        <v>3</v>
      </c>
      <c r="AY1012" s="3" t="n">
        <v>3</v>
      </c>
      <c r="AZ1012" s="3" t="n">
        <v>1</v>
      </c>
      <c r="BA1012" s="5" t="n">
        <v>1</v>
      </c>
      <c r="BB1012" s="3" t="n">
        <v>1</v>
      </c>
      <c r="BC1012" s="3" t="n">
        <v>1</v>
      </c>
      <c r="BD1012" s="3" t="n">
        <v>2</v>
      </c>
      <c r="BE1012" s="3" t="n">
        <v>1</v>
      </c>
      <c r="BF1012" s="3" t="n">
        <v>2</v>
      </c>
      <c r="BG1012" s="3" t="n">
        <v>1</v>
      </c>
      <c r="BH1012" s="3" t="n">
        <v>4</v>
      </c>
      <c r="BI1012" s="3" t="n">
        <v>1</v>
      </c>
      <c r="BJ1012" s="3" t="n">
        <v>1</v>
      </c>
      <c r="BK1012" s="6" t="s">
        <v>2602</v>
      </c>
    </row>
    <row r="1013" customFormat="false" ht="15" hidden="false" customHeight="true" outlineLevel="0" collapsed="false">
      <c r="B1013" s="2" t="s">
        <v>2434</v>
      </c>
      <c r="C1013" s="2" t="s">
        <v>109</v>
      </c>
      <c r="D1013" s="2" t="s">
        <v>222</v>
      </c>
      <c r="E1013" s="2" t="n">
        <v>202043</v>
      </c>
      <c r="F1013" s="15" t="n">
        <v>44154</v>
      </c>
      <c r="G1013" s="15" t="n">
        <v>44162</v>
      </c>
      <c r="H1013" s="3" t="n">
        <v>6</v>
      </c>
      <c r="I1013" s="3" t="n">
        <v>2</v>
      </c>
      <c r="J1013" s="3" t="n">
        <v>83</v>
      </c>
      <c r="K1013" s="3" t="n">
        <v>1</v>
      </c>
      <c r="L1013" s="3" t="n">
        <v>1</v>
      </c>
      <c r="M1013" s="3" t="n">
        <v>1</v>
      </c>
      <c r="N1013" s="3" t="n">
        <v>1</v>
      </c>
      <c r="O1013" s="3" t="n">
        <v>2</v>
      </c>
      <c r="P1013" s="3" t="n">
        <v>2</v>
      </c>
      <c r="Q1013" s="3" t="n">
        <v>2</v>
      </c>
      <c r="R1013" s="3" t="n">
        <v>2</v>
      </c>
      <c r="S1013" s="3" t="n">
        <v>2</v>
      </c>
      <c r="T1013" s="4" t="n">
        <v>1</v>
      </c>
      <c r="U1013" s="3" t="n">
        <v>4</v>
      </c>
      <c r="V1013" s="3" t="n">
        <v>3.43</v>
      </c>
      <c r="W1013" s="3" t="n">
        <v>1.27</v>
      </c>
      <c r="X1013" s="3" t="n">
        <v>5.68</v>
      </c>
      <c r="Y1013" s="3" t="n">
        <v>641</v>
      </c>
      <c r="Z1013" s="3" t="n">
        <v>153</v>
      </c>
      <c r="AA1013" s="3" t="n">
        <v>0.4</v>
      </c>
      <c r="AB1013" s="3" t="n">
        <v>7.8</v>
      </c>
      <c r="AC1013" s="3" t="n">
        <v>2</v>
      </c>
      <c r="AD1013" s="3" t="n">
        <v>1</v>
      </c>
      <c r="AE1013" s="3" t="n">
        <v>1</v>
      </c>
      <c r="AF1013" s="3" t="n">
        <v>1</v>
      </c>
      <c r="AG1013" s="3" t="n">
        <v>2</v>
      </c>
      <c r="AH1013" s="3" t="n">
        <v>2</v>
      </c>
      <c r="AI1013" s="3" t="n">
        <v>1</v>
      </c>
      <c r="AJ1013" s="3" t="n">
        <v>2</v>
      </c>
      <c r="AK1013" s="3" t="n">
        <v>2</v>
      </c>
      <c r="AL1013" s="3" t="n">
        <v>2</v>
      </c>
      <c r="AM1013" s="3" t="n">
        <v>1</v>
      </c>
      <c r="AN1013" s="3" t="n">
        <v>2</v>
      </c>
      <c r="AO1013" s="3" t="n">
        <v>1</v>
      </c>
      <c r="AP1013" s="3" t="n">
        <v>3</v>
      </c>
      <c r="AQ1013" s="3" t="n">
        <v>4</v>
      </c>
      <c r="AR1013" s="3" t="n">
        <v>4</v>
      </c>
      <c r="AS1013" s="3" t="n">
        <v>6</v>
      </c>
      <c r="AT1013" s="3" t="n">
        <v>4</v>
      </c>
      <c r="AU1013" s="3" t="n">
        <v>4</v>
      </c>
      <c r="AV1013" s="3" t="n">
        <v>6</v>
      </c>
      <c r="AW1013" s="3" t="n">
        <v>6</v>
      </c>
      <c r="AX1013" s="3" t="n">
        <v>3</v>
      </c>
      <c r="AY1013" s="3" t="n">
        <v>3</v>
      </c>
      <c r="AZ1013" s="3" t="n">
        <v>1</v>
      </c>
      <c r="BA1013" s="5" t="n">
        <v>5</v>
      </c>
      <c r="BB1013" s="3" t="n">
        <v>2</v>
      </c>
      <c r="BC1013" s="3" t="n">
        <v>1</v>
      </c>
      <c r="BD1013" s="3" t="n">
        <v>6</v>
      </c>
      <c r="BE1013" s="3" t="n">
        <v>3</v>
      </c>
      <c r="BF1013" s="3" t="n">
        <v>5</v>
      </c>
      <c r="BG1013" s="3" t="n">
        <v>3</v>
      </c>
      <c r="BH1013" s="3" t="n">
        <v>4</v>
      </c>
      <c r="BI1013" s="3" t="n">
        <v>1</v>
      </c>
      <c r="BJ1013" s="3" t="n">
        <v>1</v>
      </c>
      <c r="BK1013" s="6" t="s">
        <v>2603</v>
      </c>
    </row>
    <row r="1014" customFormat="false" ht="15" hidden="false" customHeight="true" outlineLevel="0" collapsed="false">
      <c r="B1014" s="2" t="s">
        <v>1852</v>
      </c>
      <c r="C1014" s="2" t="s">
        <v>544</v>
      </c>
      <c r="D1014" s="2" t="s">
        <v>2604</v>
      </c>
      <c r="E1014" s="2" t="n">
        <v>205354</v>
      </c>
      <c r="F1014" s="15" t="n">
        <v>44158</v>
      </c>
      <c r="G1014" s="15" t="n">
        <v>44162</v>
      </c>
      <c r="H1014" s="3" t="n">
        <v>4</v>
      </c>
      <c r="I1014" s="3" t="n">
        <v>1</v>
      </c>
      <c r="J1014" s="3" t="n">
        <v>56</v>
      </c>
      <c r="K1014" s="3" t="n">
        <v>1</v>
      </c>
      <c r="L1014" s="3" t="n">
        <v>2</v>
      </c>
      <c r="M1014" s="3" t="n">
        <v>1</v>
      </c>
      <c r="N1014" s="3" t="n">
        <v>2</v>
      </c>
      <c r="O1014" s="3" t="n">
        <v>2</v>
      </c>
      <c r="P1014" s="3" t="n">
        <v>1</v>
      </c>
      <c r="Q1014" s="3" t="n">
        <v>2</v>
      </c>
      <c r="R1014" s="3" t="n">
        <v>2</v>
      </c>
      <c r="S1014" s="3" t="n">
        <v>2</v>
      </c>
      <c r="T1014" s="4" t="n">
        <v>12</v>
      </c>
      <c r="U1014" s="3" t="n">
        <v>1</v>
      </c>
      <c r="V1014" s="3" t="n">
        <v>3.39</v>
      </c>
      <c r="W1014" s="3" t="n">
        <v>1.91</v>
      </c>
      <c r="X1014" s="3" t="n">
        <v>6.27</v>
      </c>
      <c r="Y1014" s="3" t="n">
        <v>275</v>
      </c>
      <c r="Z1014" s="3" t="n">
        <v>51</v>
      </c>
      <c r="AA1014" s="3" t="n">
        <v>0.42</v>
      </c>
      <c r="AB1014" s="3" t="n">
        <v>11.8</v>
      </c>
      <c r="AC1014" s="3" t="n">
        <v>1</v>
      </c>
      <c r="AD1014" s="3" t="n">
        <v>2</v>
      </c>
      <c r="AE1014" s="3" t="n">
        <v>1</v>
      </c>
      <c r="AF1014" s="3" t="n">
        <v>1</v>
      </c>
      <c r="AG1014" s="3" t="n">
        <v>1</v>
      </c>
      <c r="AH1014" s="3" t="n">
        <v>1</v>
      </c>
      <c r="AI1014" s="3" t="n">
        <v>1</v>
      </c>
      <c r="AJ1014" s="3" t="n">
        <v>2</v>
      </c>
      <c r="AK1014" s="3" t="n">
        <v>1</v>
      </c>
      <c r="AL1014" s="3" t="n">
        <v>2</v>
      </c>
      <c r="AM1014" s="3" t="n">
        <v>1</v>
      </c>
      <c r="AN1014" s="3" t="n">
        <v>2</v>
      </c>
      <c r="AO1014" s="3" t="n">
        <v>2</v>
      </c>
      <c r="AP1014" s="3" t="n">
        <v>3</v>
      </c>
      <c r="AQ1014" s="3" t="n">
        <v>4</v>
      </c>
      <c r="AR1014" s="3" t="n">
        <v>4</v>
      </c>
      <c r="AS1014" s="3" t="n">
        <v>6</v>
      </c>
      <c r="AT1014" s="3" t="n">
        <v>4</v>
      </c>
      <c r="AU1014" s="3" t="n">
        <v>4</v>
      </c>
      <c r="AV1014" s="3" t="n">
        <v>6</v>
      </c>
      <c r="AW1014" s="3" t="n">
        <v>6</v>
      </c>
      <c r="AX1014" s="3" t="n">
        <v>3</v>
      </c>
      <c r="AY1014" s="3" t="n">
        <v>3</v>
      </c>
      <c r="AZ1014" s="3" t="n">
        <v>1</v>
      </c>
      <c r="BA1014" s="5" t="n">
        <v>3</v>
      </c>
      <c r="BB1014" s="3" t="n">
        <v>2</v>
      </c>
      <c r="BC1014" s="3" t="n">
        <v>1</v>
      </c>
      <c r="BD1014" s="3" t="n">
        <v>6</v>
      </c>
      <c r="BE1014" s="3" t="n">
        <v>3</v>
      </c>
      <c r="BF1014" s="3" t="n">
        <v>5</v>
      </c>
      <c r="BG1014" s="3" t="n">
        <v>3</v>
      </c>
      <c r="BH1014" s="3" t="n">
        <v>4</v>
      </c>
      <c r="BI1014" s="3" t="n">
        <v>1</v>
      </c>
      <c r="BJ1014" s="3" t="n">
        <v>1</v>
      </c>
      <c r="BK1014" s="6" t="s">
        <v>2605</v>
      </c>
    </row>
    <row r="1015" customFormat="false" ht="15" hidden="false" customHeight="true" outlineLevel="0" collapsed="false">
      <c r="B1015" s="2" t="s">
        <v>286</v>
      </c>
      <c r="C1015" s="2" t="s">
        <v>2606</v>
      </c>
      <c r="D1015" s="2" t="s">
        <v>78</v>
      </c>
      <c r="E1015" s="2" t="n">
        <v>205309</v>
      </c>
      <c r="F1015" s="15" t="n">
        <v>44157</v>
      </c>
      <c r="G1015" s="15" t="n">
        <v>44164</v>
      </c>
      <c r="H1015" s="3" t="n">
        <v>7</v>
      </c>
      <c r="I1015" s="3" t="n">
        <v>2</v>
      </c>
      <c r="J1015" s="3" t="n">
        <v>67</v>
      </c>
      <c r="K1015" s="3" t="n">
        <v>1</v>
      </c>
      <c r="L1015" s="3" t="n">
        <v>1</v>
      </c>
      <c r="M1015" s="3" t="n">
        <v>2</v>
      </c>
      <c r="N1015" s="3" t="n">
        <v>2</v>
      </c>
      <c r="O1015" s="3" t="n">
        <v>2</v>
      </c>
      <c r="P1015" s="3" t="n">
        <v>2</v>
      </c>
      <c r="Q1015" s="3" t="n">
        <v>2</v>
      </c>
      <c r="R1015" s="3" t="n">
        <v>2</v>
      </c>
      <c r="S1015" s="3" t="n">
        <v>2</v>
      </c>
      <c r="T1015" s="4" t="n">
        <v>2</v>
      </c>
      <c r="U1015" s="3" t="n">
        <v>2</v>
      </c>
      <c r="V1015" s="3" t="n">
        <v>3.74</v>
      </c>
      <c r="W1015" s="3" t="n">
        <v>1.56</v>
      </c>
      <c r="X1015" s="3" t="n">
        <v>5.74</v>
      </c>
      <c r="Y1015" s="3" t="n">
        <v>254</v>
      </c>
      <c r="Z1015" s="3" t="n">
        <v>91</v>
      </c>
      <c r="AA1015" s="3" t="n">
        <v>0.42</v>
      </c>
      <c r="AB1015" s="3" t="n">
        <v>19.9</v>
      </c>
      <c r="AC1015" s="3" t="n">
        <v>2</v>
      </c>
      <c r="AD1015" s="3" t="n">
        <v>2</v>
      </c>
      <c r="AE1015" s="3" t="n">
        <v>1</v>
      </c>
      <c r="AF1015" s="3" t="n">
        <v>1</v>
      </c>
      <c r="AG1015" s="3" t="n">
        <v>2</v>
      </c>
      <c r="AH1015" s="3" t="n">
        <v>2</v>
      </c>
      <c r="AI1015" s="3" t="n">
        <v>1</v>
      </c>
      <c r="AJ1015" s="3" t="n">
        <v>1</v>
      </c>
      <c r="AK1015" s="3" t="n">
        <v>2</v>
      </c>
      <c r="AL1015" s="3" t="n">
        <v>2</v>
      </c>
      <c r="AM1015" s="3" t="n">
        <v>2</v>
      </c>
      <c r="AN1015" s="3" t="n">
        <v>2</v>
      </c>
      <c r="AO1015" s="3" t="n">
        <v>2</v>
      </c>
      <c r="AP1015" s="3" t="n">
        <v>3</v>
      </c>
      <c r="AQ1015" s="3" t="n">
        <v>4</v>
      </c>
      <c r="AR1015" s="3" t="n">
        <v>4</v>
      </c>
      <c r="AS1015" s="3" t="n">
        <v>6</v>
      </c>
      <c r="AT1015" s="3" t="n">
        <v>4</v>
      </c>
      <c r="AU1015" s="3" t="n">
        <v>4</v>
      </c>
      <c r="AV1015" s="3" t="n">
        <v>6</v>
      </c>
      <c r="AW1015" s="3" t="n">
        <v>6</v>
      </c>
      <c r="AX1015" s="3" t="n">
        <v>3</v>
      </c>
      <c r="AY1015" s="3" t="n">
        <v>3</v>
      </c>
      <c r="AZ1015" s="3" t="n">
        <v>1</v>
      </c>
      <c r="BA1015" s="5" t="n">
        <v>1</v>
      </c>
      <c r="BB1015" s="3" t="n">
        <v>1</v>
      </c>
      <c r="BC1015" s="3" t="n">
        <v>1</v>
      </c>
      <c r="BD1015" s="3" t="n">
        <v>2</v>
      </c>
      <c r="BE1015" s="3" t="n">
        <v>1</v>
      </c>
      <c r="BF1015" s="3" t="n">
        <v>2</v>
      </c>
      <c r="BG1015" s="3" t="n">
        <v>1</v>
      </c>
      <c r="BH1015" s="3" t="n">
        <v>4</v>
      </c>
      <c r="BI1015" s="3" t="n">
        <v>1</v>
      </c>
      <c r="BJ1015" s="3" t="n">
        <v>1</v>
      </c>
      <c r="BK1015" s="6" t="s">
        <v>2607</v>
      </c>
    </row>
    <row r="1016" customFormat="false" ht="15" hidden="false" customHeight="true" outlineLevel="0" collapsed="false">
      <c r="B1016" s="2" t="s">
        <v>2608</v>
      </c>
      <c r="C1016" s="2" t="s">
        <v>2609</v>
      </c>
      <c r="D1016" s="2" t="s">
        <v>2610</v>
      </c>
      <c r="E1016" s="2" t="n">
        <v>205352</v>
      </c>
      <c r="F1016" s="15" t="n">
        <v>44158</v>
      </c>
      <c r="G1016" s="15" t="n">
        <v>44165</v>
      </c>
      <c r="H1016" s="3" t="n">
        <v>7</v>
      </c>
      <c r="I1016" s="3" t="n">
        <v>1</v>
      </c>
      <c r="J1016" s="3" t="n">
        <v>86</v>
      </c>
      <c r="K1016" s="3" t="n">
        <v>1</v>
      </c>
      <c r="L1016" s="3" t="n">
        <v>2</v>
      </c>
      <c r="M1016" s="3" t="n">
        <v>1</v>
      </c>
      <c r="N1016" s="3" t="n">
        <v>2</v>
      </c>
      <c r="O1016" s="3" t="n">
        <v>2</v>
      </c>
      <c r="P1016" s="3" t="n">
        <v>2</v>
      </c>
      <c r="Q1016" s="3" t="n">
        <v>2</v>
      </c>
      <c r="R1016" s="3" t="n">
        <v>2</v>
      </c>
      <c r="S1016" s="3" t="n">
        <v>1</v>
      </c>
      <c r="T1016" s="4" t="n">
        <v>2</v>
      </c>
      <c r="U1016" s="3" t="n">
        <v>2</v>
      </c>
      <c r="V1016" s="3" t="n">
        <v>3.19</v>
      </c>
      <c r="W1016" s="3" t="n">
        <v>1.97</v>
      </c>
      <c r="X1016" s="3" t="n">
        <v>5.59</v>
      </c>
      <c r="Y1016" s="3" t="n">
        <v>354</v>
      </c>
      <c r="Z1016" s="3" t="n">
        <v>65</v>
      </c>
      <c r="AA1016" s="3" t="n">
        <v>0.45</v>
      </c>
      <c r="AB1016" s="3" t="n">
        <v>12.9</v>
      </c>
      <c r="AD1016" s="3" t="n">
        <v>2</v>
      </c>
      <c r="AE1016" s="3" t="n">
        <v>1</v>
      </c>
      <c r="AF1016" s="3" t="n">
        <v>1</v>
      </c>
      <c r="AG1016" s="3" t="n">
        <v>2</v>
      </c>
      <c r="AH1016" s="3" t="n">
        <v>2</v>
      </c>
      <c r="AI1016" s="3" t="n">
        <v>1</v>
      </c>
      <c r="AJ1016" s="3" t="n">
        <v>2</v>
      </c>
      <c r="AK1016" s="3" t="n">
        <v>2</v>
      </c>
      <c r="AL1016" s="3" t="n">
        <v>2</v>
      </c>
      <c r="AM1016" s="3" t="n">
        <v>2</v>
      </c>
      <c r="AN1016" s="3" t="n">
        <v>2</v>
      </c>
      <c r="AO1016" s="3" t="n">
        <v>2</v>
      </c>
      <c r="AP1016" s="3" t="n">
        <v>3</v>
      </c>
      <c r="AQ1016" s="3" t="n">
        <v>4</v>
      </c>
      <c r="AR1016" s="3" t="n">
        <v>4</v>
      </c>
      <c r="AS1016" s="3" t="n">
        <v>6</v>
      </c>
      <c r="AT1016" s="3" t="n">
        <v>4</v>
      </c>
      <c r="AU1016" s="3" t="n">
        <v>4</v>
      </c>
      <c r="AV1016" s="3" t="n">
        <v>6</v>
      </c>
      <c r="AW1016" s="3" t="n">
        <v>6</v>
      </c>
      <c r="AX1016" s="3" t="n">
        <v>3</v>
      </c>
      <c r="AY1016" s="3" t="n">
        <v>3</v>
      </c>
      <c r="AZ1016" s="3" t="n">
        <v>1</v>
      </c>
      <c r="BA1016" s="5" t="n">
        <v>1</v>
      </c>
      <c r="BB1016" s="3" t="n">
        <v>1</v>
      </c>
      <c r="BC1016" s="3" t="n">
        <v>1</v>
      </c>
      <c r="BD1016" s="3" t="n">
        <v>4</v>
      </c>
      <c r="BE1016" s="3" t="n">
        <v>3</v>
      </c>
      <c r="BF1016" s="3" t="n">
        <v>5</v>
      </c>
      <c r="BG1016" s="3" t="n">
        <v>3</v>
      </c>
      <c r="BH1016" s="3" t="n">
        <v>4</v>
      </c>
      <c r="BI1016" s="3" t="n">
        <v>1</v>
      </c>
      <c r="BJ1016" s="3" t="n">
        <v>1</v>
      </c>
      <c r="BK1016" s="6" t="s">
        <v>2611</v>
      </c>
    </row>
    <row r="1017" customFormat="false" ht="15" hidden="false" customHeight="true" outlineLevel="0" collapsed="false">
      <c r="B1017" s="2" t="s">
        <v>228</v>
      </c>
      <c r="C1017" s="2" t="s">
        <v>808</v>
      </c>
      <c r="D1017" s="2" t="s">
        <v>780</v>
      </c>
      <c r="E1017" s="2" t="n">
        <v>205304</v>
      </c>
      <c r="F1017" s="15" t="n">
        <v>44157</v>
      </c>
      <c r="G1017" s="15" t="n">
        <v>44163</v>
      </c>
      <c r="H1017" s="3" t="n">
        <v>6</v>
      </c>
      <c r="I1017" s="3" t="n">
        <v>2</v>
      </c>
      <c r="J1017" s="3" t="n">
        <v>62</v>
      </c>
      <c r="K1017" s="3" t="n">
        <v>1</v>
      </c>
      <c r="L1017" s="3" t="n">
        <v>2</v>
      </c>
      <c r="M1017" s="3" t="n">
        <v>1</v>
      </c>
      <c r="N1017" s="3" t="n">
        <v>1</v>
      </c>
      <c r="O1017" s="3" t="n">
        <v>2</v>
      </c>
      <c r="P1017" s="3" t="n">
        <v>2</v>
      </c>
      <c r="Q1017" s="3" t="n">
        <v>2</v>
      </c>
      <c r="R1017" s="3" t="n">
        <v>2</v>
      </c>
      <c r="S1017" s="3" t="n">
        <v>2</v>
      </c>
      <c r="T1017" s="4" t="n">
        <v>1</v>
      </c>
      <c r="U1017" s="3" t="n">
        <v>1</v>
      </c>
      <c r="V1017" s="3" t="n">
        <v>4.38</v>
      </c>
      <c r="W1017" s="3" t="n">
        <v>1.31</v>
      </c>
      <c r="X1017" s="3" t="n">
        <v>7.35</v>
      </c>
      <c r="Y1017" s="3" t="n">
        <v>341</v>
      </c>
      <c r="Z1017" s="3" t="n">
        <v>84</v>
      </c>
      <c r="AA1017" s="3" t="n">
        <v>0.47</v>
      </c>
      <c r="AB1017" s="3" t="n">
        <v>12</v>
      </c>
      <c r="AC1017" s="3" t="n">
        <v>3</v>
      </c>
      <c r="AD1017" s="3" t="n">
        <v>1</v>
      </c>
      <c r="AE1017" s="3" t="n">
        <v>1</v>
      </c>
      <c r="AF1017" s="3" t="n">
        <v>1</v>
      </c>
      <c r="AG1017" s="3" t="n">
        <v>1</v>
      </c>
      <c r="AH1017" s="3" t="n">
        <v>2</v>
      </c>
      <c r="AI1017" s="3" t="n">
        <v>1</v>
      </c>
      <c r="AJ1017" s="3" t="n">
        <v>1</v>
      </c>
      <c r="AK1017" s="3" t="n">
        <v>2</v>
      </c>
      <c r="AL1017" s="3" t="n">
        <v>2</v>
      </c>
      <c r="AM1017" s="3" t="n">
        <v>2</v>
      </c>
      <c r="AN1017" s="3" t="n">
        <v>2</v>
      </c>
      <c r="AO1017" s="3" t="n">
        <v>2</v>
      </c>
      <c r="AP1017" s="3" t="n">
        <v>1</v>
      </c>
      <c r="AQ1017" s="3" t="n">
        <v>2</v>
      </c>
      <c r="AR1017" s="3" t="n">
        <v>5</v>
      </c>
      <c r="AS1017" s="3" t="n">
        <v>2</v>
      </c>
      <c r="AT1017" s="3" t="n">
        <v>1</v>
      </c>
      <c r="AU1017" s="3" t="n">
        <v>1</v>
      </c>
      <c r="AV1017" s="3" t="n">
        <v>1</v>
      </c>
      <c r="AW1017" s="3" t="n">
        <v>1</v>
      </c>
      <c r="AX1017" s="3" t="n">
        <v>3</v>
      </c>
      <c r="AY1017" s="3" t="n">
        <v>3</v>
      </c>
      <c r="AZ1017" s="3" t="n">
        <v>1</v>
      </c>
      <c r="BA1017" s="5" t="n">
        <v>5</v>
      </c>
      <c r="BB1017" s="3" t="n">
        <v>2</v>
      </c>
      <c r="BC1017" s="3" t="n">
        <v>1</v>
      </c>
      <c r="BD1017" s="3" t="n">
        <v>6</v>
      </c>
      <c r="BE1017" s="3" t="n">
        <v>3</v>
      </c>
      <c r="BF1017" s="3" t="n">
        <v>5</v>
      </c>
      <c r="BG1017" s="3" t="n">
        <v>3</v>
      </c>
      <c r="BH1017" s="3" t="n">
        <v>4</v>
      </c>
      <c r="BI1017" s="3" t="n">
        <v>1</v>
      </c>
      <c r="BJ1017" s="3" t="n">
        <v>1</v>
      </c>
      <c r="BK1017" s="6" t="s">
        <v>2612</v>
      </c>
    </row>
    <row r="1018" customFormat="false" ht="15" hidden="false" customHeight="true" outlineLevel="0" collapsed="false">
      <c r="B1018" s="2" t="s">
        <v>2613</v>
      </c>
      <c r="C1018" s="2" t="s">
        <v>2614</v>
      </c>
      <c r="D1018" s="2" t="s">
        <v>2615</v>
      </c>
      <c r="E1018" s="2" t="n">
        <v>205347</v>
      </c>
      <c r="F1018" s="15" t="n">
        <v>44158</v>
      </c>
      <c r="G1018" s="15" t="n">
        <v>44164</v>
      </c>
      <c r="H1018" s="3" t="n">
        <v>6</v>
      </c>
      <c r="I1018" s="3" t="n">
        <v>1</v>
      </c>
      <c r="J1018" s="3" t="n">
        <v>40</v>
      </c>
      <c r="K1018" s="3" t="n">
        <v>1</v>
      </c>
      <c r="L1018" s="3" t="n">
        <v>1</v>
      </c>
      <c r="M1018" s="3" t="n">
        <v>2</v>
      </c>
      <c r="N1018" s="3" t="n">
        <v>2</v>
      </c>
      <c r="O1018" s="3" t="n">
        <v>2</v>
      </c>
      <c r="P1018" s="3" t="n">
        <v>2</v>
      </c>
      <c r="Q1018" s="3" t="n">
        <v>2</v>
      </c>
      <c r="R1018" s="3" t="n">
        <v>2</v>
      </c>
      <c r="S1018" s="3" t="n">
        <v>2</v>
      </c>
      <c r="T1018" s="4" t="n">
        <v>2</v>
      </c>
      <c r="U1018" s="3" t="n">
        <v>2</v>
      </c>
      <c r="V1018" s="3" t="n">
        <v>4.97</v>
      </c>
      <c r="W1018" s="3" t="n">
        <v>2.64</v>
      </c>
      <c r="X1018" s="3" t="n">
        <v>4.29</v>
      </c>
      <c r="Y1018" s="3" t="n">
        <v>208</v>
      </c>
      <c r="Z1018" s="3" t="n">
        <v>82</v>
      </c>
      <c r="AA1018" s="3" t="n">
        <v>0.44</v>
      </c>
      <c r="AB1018" s="3" t="n">
        <v>10.8</v>
      </c>
      <c r="AC1018" s="3" t="n">
        <v>1</v>
      </c>
      <c r="AD1018" s="3" t="n">
        <v>1</v>
      </c>
      <c r="AE1018" s="3" t="n">
        <v>1</v>
      </c>
      <c r="AF1018" s="3" t="n">
        <v>1</v>
      </c>
      <c r="AG1018" s="3" t="n">
        <v>2</v>
      </c>
      <c r="AH1018" s="3" t="n">
        <v>2</v>
      </c>
      <c r="AI1018" s="3" t="n">
        <v>1</v>
      </c>
      <c r="AJ1018" s="3" t="n">
        <v>1</v>
      </c>
      <c r="AK1018" s="3" t="n">
        <v>2</v>
      </c>
      <c r="AL1018" s="3" t="n">
        <v>2</v>
      </c>
      <c r="AM1018" s="3" t="n">
        <v>1</v>
      </c>
      <c r="AN1018" s="3" t="n">
        <v>2</v>
      </c>
      <c r="AO1018" s="3" t="n">
        <v>2</v>
      </c>
      <c r="AP1018" s="3" t="n">
        <v>3</v>
      </c>
      <c r="AQ1018" s="3" t="n">
        <v>4</v>
      </c>
      <c r="AR1018" s="3" t="n">
        <v>4</v>
      </c>
      <c r="AS1018" s="3" t="n">
        <v>6</v>
      </c>
      <c r="AT1018" s="3" t="n">
        <v>4</v>
      </c>
      <c r="AU1018" s="3" t="n">
        <v>4</v>
      </c>
      <c r="AV1018" s="3" t="n">
        <v>6</v>
      </c>
      <c r="AW1018" s="3" t="n">
        <v>6</v>
      </c>
      <c r="AX1018" s="3" t="n">
        <v>3</v>
      </c>
      <c r="AY1018" s="3" t="n">
        <v>3</v>
      </c>
      <c r="AZ1018" s="3" t="n">
        <v>1</v>
      </c>
      <c r="BA1018" s="5" t="n">
        <v>1</v>
      </c>
      <c r="BB1018" s="3" t="n">
        <v>1</v>
      </c>
      <c r="BC1018" s="3" t="n">
        <v>1</v>
      </c>
      <c r="BD1018" s="3" t="n">
        <v>2</v>
      </c>
      <c r="BE1018" s="3" t="n">
        <v>3</v>
      </c>
      <c r="BF1018" s="3" t="n">
        <v>5</v>
      </c>
      <c r="BG1018" s="3" t="n">
        <v>3</v>
      </c>
      <c r="BH1018" s="3" t="n">
        <v>4</v>
      </c>
      <c r="BI1018" s="3" t="n">
        <v>1</v>
      </c>
      <c r="BJ1018" s="3" t="n">
        <v>1</v>
      </c>
      <c r="BK1018" s="6" t="s">
        <v>2616</v>
      </c>
    </row>
    <row r="1019" customFormat="false" ht="15" hidden="false" customHeight="true" outlineLevel="0" collapsed="false">
      <c r="B1019" s="2" t="s">
        <v>2617</v>
      </c>
      <c r="C1019" s="2" t="s">
        <v>2618</v>
      </c>
      <c r="D1019" s="2" t="s">
        <v>626</v>
      </c>
      <c r="E1019" s="2" t="n">
        <v>205787</v>
      </c>
      <c r="F1019" s="15" t="n">
        <v>44162</v>
      </c>
      <c r="G1019" s="15" t="n">
        <v>44136</v>
      </c>
      <c r="H1019" s="3" t="n">
        <v>4</v>
      </c>
      <c r="I1019" s="3" t="n">
        <v>1</v>
      </c>
      <c r="J1019" s="3" t="n">
        <v>81</v>
      </c>
      <c r="K1019" s="3" t="n">
        <v>1</v>
      </c>
      <c r="L1019" s="3" t="n">
        <v>2</v>
      </c>
      <c r="M1019" s="3" t="n">
        <v>1</v>
      </c>
      <c r="N1019" s="3" t="n">
        <v>2</v>
      </c>
      <c r="O1019" s="3" t="n">
        <v>2</v>
      </c>
      <c r="P1019" s="3" t="n">
        <v>1</v>
      </c>
      <c r="Q1019" s="3" t="n">
        <v>1</v>
      </c>
      <c r="R1019" s="3" t="n">
        <v>2</v>
      </c>
      <c r="S1019" s="3" t="n">
        <v>2</v>
      </c>
      <c r="T1019" s="4" t="n">
        <v>3</v>
      </c>
      <c r="U1019" s="3" t="n">
        <v>4</v>
      </c>
      <c r="V1019" s="3" t="n">
        <v>2.5</v>
      </c>
      <c r="W1019" s="3" t="n">
        <v>1.16</v>
      </c>
      <c r="X1019" s="3" t="n">
        <v>4.35</v>
      </c>
      <c r="Y1019" s="3" t="n">
        <v>722</v>
      </c>
      <c r="Z1019" s="3" t="n">
        <v>95</v>
      </c>
      <c r="AA1019" s="3" t="n">
        <v>0.34</v>
      </c>
      <c r="AB1019" s="3" t="n">
        <v>6</v>
      </c>
      <c r="AC1019" s="3" t="n">
        <v>1</v>
      </c>
      <c r="AD1019" s="3" t="n">
        <v>2</v>
      </c>
      <c r="AE1019" s="3" t="n">
        <v>1</v>
      </c>
      <c r="AF1019" s="3" t="n">
        <v>1</v>
      </c>
      <c r="AG1019" s="3" t="n">
        <v>2</v>
      </c>
      <c r="AH1019" s="3" t="n">
        <v>2</v>
      </c>
      <c r="AI1019" s="3" t="n">
        <v>1</v>
      </c>
      <c r="AJ1019" s="3" t="n">
        <v>1</v>
      </c>
      <c r="AK1019" s="3" t="n">
        <v>1</v>
      </c>
      <c r="AL1019" s="3" t="n">
        <v>1</v>
      </c>
      <c r="AM1019" s="3" t="n">
        <v>1</v>
      </c>
      <c r="AN1019" s="3" t="n">
        <v>2</v>
      </c>
      <c r="AO1019" s="3" t="n">
        <v>2</v>
      </c>
      <c r="AP1019" s="3" t="n">
        <v>3</v>
      </c>
      <c r="AQ1019" s="3" t="n">
        <v>4</v>
      </c>
      <c r="AR1019" s="3" t="n">
        <v>4</v>
      </c>
      <c r="AS1019" s="3" t="n">
        <v>6</v>
      </c>
      <c r="AT1019" s="3" t="n">
        <v>4</v>
      </c>
      <c r="AU1019" s="3" t="n">
        <v>4</v>
      </c>
      <c r="AV1019" s="3" t="n">
        <v>6</v>
      </c>
      <c r="AW1019" s="3" t="n">
        <v>6</v>
      </c>
      <c r="AX1019" s="3" t="n">
        <v>3</v>
      </c>
      <c r="AY1019" s="3" t="n">
        <v>3</v>
      </c>
      <c r="AZ1019" s="3" t="n">
        <v>1</v>
      </c>
      <c r="BA1019" s="5" t="n">
        <v>11</v>
      </c>
      <c r="BB1019" s="3" t="n">
        <v>2</v>
      </c>
      <c r="BC1019" s="3" t="n">
        <v>1</v>
      </c>
      <c r="BD1019" s="3" t="n">
        <v>6</v>
      </c>
      <c r="BE1019" s="3" t="n">
        <v>3</v>
      </c>
      <c r="BF1019" s="3" t="n">
        <v>5</v>
      </c>
      <c r="BG1019" s="3" t="n">
        <v>3</v>
      </c>
      <c r="BH1019" s="3" t="n">
        <v>4</v>
      </c>
      <c r="BI1019" s="3" t="n">
        <v>1</v>
      </c>
      <c r="BJ1019" s="3" t="n">
        <v>1</v>
      </c>
      <c r="BK1019" s="6" t="s">
        <v>2619</v>
      </c>
    </row>
    <row r="1020" customFormat="false" ht="15" hidden="false" customHeight="true" outlineLevel="0" collapsed="false">
      <c r="B1020" s="2" t="s">
        <v>2070</v>
      </c>
      <c r="C1020" s="2" t="s">
        <v>168</v>
      </c>
      <c r="D1020" s="2" t="s">
        <v>386</v>
      </c>
      <c r="E1020" s="2" t="n">
        <v>195259</v>
      </c>
      <c r="F1020" s="15" t="n">
        <v>44156</v>
      </c>
      <c r="G1020" s="15" t="n">
        <v>44167</v>
      </c>
      <c r="H1020" s="3" t="n">
        <v>9</v>
      </c>
      <c r="I1020" s="3" t="n">
        <v>1</v>
      </c>
      <c r="J1020" s="3" t="n">
        <v>67</v>
      </c>
      <c r="K1020" s="3" t="n">
        <v>2</v>
      </c>
      <c r="L1020" s="3" t="n">
        <v>2</v>
      </c>
      <c r="M1020" s="3" t="n">
        <v>1</v>
      </c>
      <c r="N1020" s="3" t="n">
        <v>1</v>
      </c>
      <c r="O1020" s="3" t="n">
        <v>2</v>
      </c>
      <c r="P1020" s="3" t="n">
        <v>2</v>
      </c>
      <c r="Q1020" s="3" t="n">
        <v>1</v>
      </c>
      <c r="R1020" s="3" t="n">
        <v>2</v>
      </c>
      <c r="S1020" s="3" t="n">
        <v>2</v>
      </c>
      <c r="T1020" s="4" t="n">
        <v>4</v>
      </c>
      <c r="U1020" s="3" t="n">
        <v>4</v>
      </c>
      <c r="V1020" s="3" t="n">
        <v>4</v>
      </c>
      <c r="W1020" s="3" t="n">
        <v>1.67</v>
      </c>
      <c r="X1020" s="3" t="n">
        <v>8.06</v>
      </c>
      <c r="Y1020" s="3" t="n">
        <v>532</v>
      </c>
      <c r="Z1020" s="3" t="n">
        <v>95</v>
      </c>
      <c r="AA1020" s="3" t="n">
        <v>0.45</v>
      </c>
      <c r="AB1020" s="3" t="n">
        <v>11.2</v>
      </c>
      <c r="AC1020" s="3" t="n">
        <v>3</v>
      </c>
      <c r="AD1020" s="3" t="n">
        <v>1</v>
      </c>
      <c r="AE1020" s="3" t="n">
        <v>1</v>
      </c>
      <c r="AF1020" s="3" t="n">
        <v>1</v>
      </c>
      <c r="AG1020" s="3" t="n">
        <v>2</v>
      </c>
      <c r="AH1020" s="3" t="n">
        <v>2</v>
      </c>
      <c r="AI1020" s="3" t="n">
        <v>1</v>
      </c>
      <c r="AJ1020" s="3" t="n">
        <v>1</v>
      </c>
      <c r="AK1020" s="3" t="n">
        <v>2</v>
      </c>
      <c r="AL1020" s="3" t="n">
        <v>2</v>
      </c>
      <c r="AM1020" s="3" t="n">
        <v>2</v>
      </c>
      <c r="AN1020" s="3" t="n">
        <v>2</v>
      </c>
      <c r="AO1020" s="3" t="n">
        <v>2</v>
      </c>
      <c r="AP1020" s="3" t="n">
        <v>1</v>
      </c>
      <c r="AQ1020" s="3" t="n">
        <v>3</v>
      </c>
      <c r="AR1020" s="3" t="n">
        <v>4</v>
      </c>
      <c r="AS1020" s="3" t="n">
        <v>6</v>
      </c>
      <c r="AT1020" s="3" t="n">
        <v>4</v>
      </c>
      <c r="AU1020" s="3" t="n">
        <v>4</v>
      </c>
      <c r="AV1020" s="3" t="n">
        <v>1</v>
      </c>
      <c r="AW1020" s="3" t="n">
        <v>6</v>
      </c>
      <c r="AX1020" s="3" t="n">
        <v>3</v>
      </c>
      <c r="AY1020" s="3" t="n">
        <v>3</v>
      </c>
      <c r="AZ1020" s="3" t="n">
        <v>1</v>
      </c>
      <c r="BA1020" s="5" t="n">
        <v>10</v>
      </c>
      <c r="BB1020" s="3" t="n">
        <v>2</v>
      </c>
      <c r="BC1020" s="3" t="n">
        <v>1</v>
      </c>
      <c r="BD1020" s="3" t="n">
        <v>6</v>
      </c>
      <c r="BE1020" s="3" t="n">
        <v>3</v>
      </c>
      <c r="BF1020" s="3" t="n">
        <v>5</v>
      </c>
      <c r="BG1020" s="3" t="n">
        <v>3</v>
      </c>
      <c r="BH1020" s="3" t="n">
        <v>4</v>
      </c>
      <c r="BI1020" s="3" t="n">
        <v>1</v>
      </c>
      <c r="BJ1020" s="3" t="n">
        <v>1</v>
      </c>
      <c r="BK1020" s="6" t="s">
        <v>2620</v>
      </c>
    </row>
    <row r="1021" customFormat="false" ht="15" hidden="false" customHeight="true" outlineLevel="0" collapsed="false">
      <c r="B1021" s="2" t="s">
        <v>2621</v>
      </c>
      <c r="C1021" s="2" t="s">
        <v>153</v>
      </c>
      <c r="D1021" s="2" t="s">
        <v>66</v>
      </c>
      <c r="E1021" s="2" t="n">
        <v>205703</v>
      </c>
      <c r="F1021" s="15" t="n">
        <v>44162</v>
      </c>
      <c r="G1021" s="15" t="n">
        <v>44173</v>
      </c>
      <c r="H1021" s="3" t="n">
        <v>11</v>
      </c>
      <c r="I1021" s="3" t="n">
        <v>2</v>
      </c>
      <c r="J1021" s="3" t="n">
        <v>73</v>
      </c>
      <c r="K1021" s="3" t="n">
        <v>1</v>
      </c>
      <c r="L1021" s="3" t="n">
        <v>2</v>
      </c>
      <c r="M1021" s="3" t="n">
        <v>1</v>
      </c>
      <c r="N1021" s="3" t="n">
        <v>1</v>
      </c>
      <c r="O1021" s="3" t="n">
        <v>2</v>
      </c>
      <c r="P1021" s="3" t="n">
        <v>1</v>
      </c>
      <c r="Q1021" s="3" t="n">
        <v>1</v>
      </c>
      <c r="R1021" s="3" t="n">
        <v>2</v>
      </c>
      <c r="S1021" s="3" t="n">
        <v>2</v>
      </c>
      <c r="T1021" s="4" t="n">
        <v>1</v>
      </c>
      <c r="U1021" s="3" t="n">
        <v>1</v>
      </c>
      <c r="V1021" s="3" t="n">
        <v>3.26</v>
      </c>
      <c r="W1021" s="3" t="n">
        <v>2.05</v>
      </c>
      <c r="X1021" s="3" t="n">
        <v>19.02</v>
      </c>
      <c r="Y1021" s="3" t="n">
        <v>383</v>
      </c>
      <c r="Z1021" s="3" t="n">
        <v>118</v>
      </c>
      <c r="AA1021" s="3" t="n">
        <v>0.39</v>
      </c>
      <c r="AB1021" s="3" t="n">
        <v>6</v>
      </c>
      <c r="AC1021" s="3" t="n">
        <v>3</v>
      </c>
      <c r="AD1021" s="3" t="n">
        <v>1</v>
      </c>
      <c r="AE1021" s="3" t="n">
        <v>1</v>
      </c>
      <c r="AF1021" s="3" t="n">
        <v>1</v>
      </c>
      <c r="AG1021" s="3" t="n">
        <v>2</v>
      </c>
      <c r="AH1021" s="3" t="n">
        <v>2</v>
      </c>
      <c r="AI1021" s="3" t="n">
        <v>1</v>
      </c>
      <c r="AJ1021" s="3" t="n">
        <v>1</v>
      </c>
      <c r="AK1021" s="3" t="n">
        <v>1</v>
      </c>
      <c r="AL1021" s="3" t="n">
        <v>2</v>
      </c>
      <c r="AM1021" s="3" t="n">
        <v>1</v>
      </c>
      <c r="AN1021" s="3" t="n">
        <v>2</v>
      </c>
      <c r="AO1021" s="3" t="n">
        <v>1</v>
      </c>
      <c r="AP1021" s="3" t="n">
        <v>3</v>
      </c>
      <c r="AQ1021" s="3" t="n">
        <v>4</v>
      </c>
      <c r="AR1021" s="3" t="n">
        <v>4</v>
      </c>
      <c r="AS1021" s="3" t="n">
        <v>6</v>
      </c>
      <c r="AT1021" s="3" t="n">
        <v>4</v>
      </c>
      <c r="AU1021" s="3" t="n">
        <v>4</v>
      </c>
      <c r="AV1021" s="3" t="n">
        <v>6</v>
      </c>
      <c r="AW1021" s="3" t="n">
        <v>6</v>
      </c>
      <c r="AX1021" s="3" t="n">
        <v>3</v>
      </c>
      <c r="AY1021" s="3" t="n">
        <v>3</v>
      </c>
      <c r="AZ1021" s="3" t="n">
        <v>1</v>
      </c>
      <c r="BA1021" s="5" t="n">
        <v>5</v>
      </c>
      <c r="BB1021" s="3" t="n">
        <v>2</v>
      </c>
      <c r="BC1021" s="3" t="n">
        <v>1</v>
      </c>
      <c r="BD1021" s="3" t="n">
        <v>6</v>
      </c>
      <c r="BE1021" s="3" t="n">
        <v>3</v>
      </c>
      <c r="BF1021" s="3" t="n">
        <v>5</v>
      </c>
      <c r="BG1021" s="3" t="n">
        <v>3</v>
      </c>
      <c r="BH1021" s="3" t="n">
        <v>4</v>
      </c>
      <c r="BI1021" s="3" t="n">
        <v>1</v>
      </c>
      <c r="BJ1021" s="3" t="n">
        <v>1</v>
      </c>
      <c r="BK1021" s="6" t="s">
        <v>2622</v>
      </c>
    </row>
    <row r="1022" customFormat="false" ht="15" hidden="false" customHeight="true" outlineLevel="0" collapsed="false">
      <c r="B1022" s="2" t="s">
        <v>2623</v>
      </c>
      <c r="C1022" s="2" t="s">
        <v>78</v>
      </c>
      <c r="D1022" s="2" t="s">
        <v>78</v>
      </c>
      <c r="E1022" s="2" t="n">
        <v>205773</v>
      </c>
      <c r="F1022" s="15" t="n">
        <v>44166</v>
      </c>
      <c r="G1022" s="15" t="n">
        <v>44172</v>
      </c>
      <c r="H1022" s="3" t="n">
        <v>6</v>
      </c>
      <c r="I1022" s="3" t="n">
        <v>2</v>
      </c>
      <c r="J1022" s="3" t="n">
        <v>69</v>
      </c>
      <c r="K1022" s="3" t="n">
        <v>1</v>
      </c>
      <c r="L1022" s="3" t="n">
        <v>2</v>
      </c>
      <c r="M1022" s="3" t="n">
        <v>1</v>
      </c>
      <c r="N1022" s="3" t="n">
        <v>2</v>
      </c>
      <c r="O1022" s="3" t="n">
        <v>2</v>
      </c>
      <c r="P1022" s="3" t="n">
        <v>2</v>
      </c>
      <c r="Q1022" s="3" t="n">
        <v>2</v>
      </c>
      <c r="R1022" s="3" t="n">
        <v>2</v>
      </c>
      <c r="S1022" s="3" t="n">
        <v>2</v>
      </c>
      <c r="T1022" s="4" t="n">
        <v>2</v>
      </c>
      <c r="U1022" s="3" t="n">
        <v>2</v>
      </c>
      <c r="V1022" s="3" t="n">
        <v>4.36</v>
      </c>
      <c r="W1022" s="3" t="n">
        <v>1.48</v>
      </c>
      <c r="X1022" s="3" t="n">
        <v>5.87</v>
      </c>
      <c r="Y1022" s="3" t="n">
        <v>259</v>
      </c>
      <c r="Z1022" s="3" t="n">
        <v>77</v>
      </c>
      <c r="AA1022" s="3" t="n">
        <v>0.48</v>
      </c>
      <c r="AB1022" s="3" t="n">
        <v>13</v>
      </c>
      <c r="AC1022" s="3" t="n">
        <v>1</v>
      </c>
      <c r="AD1022" s="3" t="n">
        <v>2</v>
      </c>
      <c r="AE1022" s="3" t="n">
        <v>1</v>
      </c>
      <c r="AF1022" s="3" t="n">
        <v>1</v>
      </c>
      <c r="AG1022" s="3" t="n">
        <v>1</v>
      </c>
      <c r="AH1022" s="3" t="n">
        <v>2</v>
      </c>
      <c r="AI1022" s="3" t="n">
        <v>1</v>
      </c>
      <c r="AJ1022" s="3" t="n">
        <v>1</v>
      </c>
      <c r="AK1022" s="3" t="n">
        <v>2</v>
      </c>
      <c r="AL1022" s="3" t="n">
        <v>2</v>
      </c>
      <c r="AM1022" s="3" t="n">
        <v>2</v>
      </c>
      <c r="AN1022" s="3" t="n">
        <v>2</v>
      </c>
      <c r="AO1022" s="3" t="n">
        <v>2</v>
      </c>
      <c r="AP1022" s="3" t="n">
        <v>3</v>
      </c>
      <c r="AQ1022" s="3" t="n">
        <v>4</v>
      </c>
      <c r="AR1022" s="3" t="n">
        <v>4</v>
      </c>
      <c r="AS1022" s="3" t="n">
        <v>6</v>
      </c>
      <c r="AT1022" s="3" t="n">
        <v>4</v>
      </c>
      <c r="AU1022" s="3" t="n">
        <v>4</v>
      </c>
      <c r="AV1022" s="3" t="n">
        <v>6</v>
      </c>
      <c r="AW1022" s="3" t="n">
        <v>6</v>
      </c>
      <c r="AX1022" s="3" t="n">
        <v>3</v>
      </c>
      <c r="AY1022" s="3" t="n">
        <v>3</v>
      </c>
      <c r="AZ1022" s="3" t="n">
        <v>1</v>
      </c>
      <c r="BA1022" s="5" t="n">
        <v>1</v>
      </c>
      <c r="BB1022" s="3" t="n">
        <v>1</v>
      </c>
      <c r="BC1022" s="3" t="n">
        <v>1</v>
      </c>
      <c r="BD1022" s="3" t="n">
        <v>2</v>
      </c>
      <c r="BE1022" s="3" t="n">
        <v>3</v>
      </c>
      <c r="BF1022" s="3" t="n">
        <v>5</v>
      </c>
      <c r="BG1022" s="3" t="n">
        <v>3</v>
      </c>
      <c r="BH1022" s="3" t="n">
        <v>4</v>
      </c>
      <c r="BI1022" s="3" t="n">
        <v>1</v>
      </c>
      <c r="BJ1022" s="3" t="n">
        <v>1</v>
      </c>
      <c r="BK1022" s="6" t="s">
        <v>2624</v>
      </c>
    </row>
    <row r="1023" s="30" customFormat="true" ht="15" hidden="false" customHeight="true" outlineLevel="0" collapsed="false">
      <c r="A1023" s="24"/>
      <c r="B1023" s="26" t="s">
        <v>2625</v>
      </c>
      <c r="C1023" s="26" t="s">
        <v>2626</v>
      </c>
      <c r="D1023" s="26" t="s">
        <v>2627</v>
      </c>
      <c r="E1023" s="26" t="n">
        <v>206177</v>
      </c>
      <c r="F1023" s="27" t="n">
        <v>44173</v>
      </c>
      <c r="G1023" s="27" t="n">
        <v>44174</v>
      </c>
      <c r="H1023" s="30" t="n">
        <v>1</v>
      </c>
      <c r="I1023" s="30" t="n">
        <v>1</v>
      </c>
      <c r="J1023" s="30" t="n">
        <v>90</v>
      </c>
      <c r="K1023" s="30" t="n">
        <v>2</v>
      </c>
      <c r="L1023" s="30" t="n">
        <v>2</v>
      </c>
      <c r="M1023" s="30" t="n">
        <v>1</v>
      </c>
      <c r="N1023" s="30" t="n">
        <v>2</v>
      </c>
      <c r="O1023" s="30" t="n">
        <v>2</v>
      </c>
      <c r="P1023" s="30" t="n">
        <v>2</v>
      </c>
      <c r="Q1023" s="30" t="n">
        <v>2</v>
      </c>
      <c r="R1023" s="30" t="n">
        <v>2</v>
      </c>
      <c r="S1023" s="30" t="n">
        <v>2</v>
      </c>
      <c r="T1023" s="4" t="n">
        <v>2</v>
      </c>
      <c r="U1023" s="30" t="n">
        <v>2</v>
      </c>
      <c r="AC1023" s="30" t="n">
        <v>3</v>
      </c>
      <c r="AD1023" s="30" t="n">
        <v>2</v>
      </c>
      <c r="AE1023" s="30" t="n">
        <v>1</v>
      </c>
      <c r="AF1023" s="30" t="n">
        <v>1</v>
      </c>
      <c r="AG1023" s="30" t="n">
        <v>1</v>
      </c>
      <c r="AH1023" s="30" t="n">
        <v>2</v>
      </c>
      <c r="AI1023" s="30" t="n">
        <v>1</v>
      </c>
      <c r="AJ1023" s="30" t="n">
        <v>2</v>
      </c>
      <c r="AK1023" s="30" t="n">
        <v>2</v>
      </c>
      <c r="AL1023" s="30" t="n">
        <v>1</v>
      </c>
      <c r="AM1023" s="30" t="n">
        <v>2</v>
      </c>
      <c r="AN1023" s="30" t="n">
        <v>2</v>
      </c>
      <c r="AO1023" s="30" t="n">
        <v>2</v>
      </c>
      <c r="AP1023" s="30" t="n">
        <v>3</v>
      </c>
      <c r="AQ1023" s="30" t="n">
        <v>4</v>
      </c>
      <c r="AR1023" s="30" t="n">
        <v>4</v>
      </c>
      <c r="AS1023" s="30" t="n">
        <v>6</v>
      </c>
      <c r="AT1023" s="30" t="n">
        <v>4</v>
      </c>
      <c r="AU1023" s="30" t="n">
        <v>4</v>
      </c>
      <c r="AV1023" s="30" t="n">
        <v>6</v>
      </c>
      <c r="AW1023" s="30" t="n">
        <v>6</v>
      </c>
      <c r="AX1023" s="30" t="n">
        <v>3</v>
      </c>
      <c r="AY1023" s="30" t="n">
        <v>3</v>
      </c>
      <c r="AZ1023" s="30" t="n">
        <v>5</v>
      </c>
      <c r="BA1023" s="5" t="n">
        <v>2</v>
      </c>
      <c r="BB1023" s="30" t="n">
        <v>1</v>
      </c>
      <c r="BC1023" s="30" t="n">
        <v>2</v>
      </c>
      <c r="BD1023" s="30" t="n">
        <v>2</v>
      </c>
      <c r="BE1023" s="30" t="n">
        <v>3</v>
      </c>
      <c r="BF1023" s="30" t="n">
        <v>5</v>
      </c>
      <c r="BG1023" s="30" t="n">
        <v>3</v>
      </c>
      <c r="BH1023" s="30" t="n">
        <v>4</v>
      </c>
      <c r="BI1023" s="30" t="n">
        <v>1</v>
      </c>
      <c r="BJ1023" s="30" t="n">
        <v>1</v>
      </c>
      <c r="BK1023" s="31" t="s">
        <v>2628</v>
      </c>
    </row>
    <row r="1024" customFormat="false" ht="15" hidden="false" customHeight="true" outlineLevel="0" collapsed="false">
      <c r="B1024" s="2" t="s">
        <v>497</v>
      </c>
      <c r="C1024" s="2" t="s">
        <v>2629</v>
      </c>
      <c r="D1024" s="2" t="s">
        <v>611</v>
      </c>
      <c r="E1024" s="2" t="n">
        <v>205321</v>
      </c>
      <c r="F1024" s="15" t="n">
        <v>44163</v>
      </c>
      <c r="G1024" s="15" t="n">
        <v>44170</v>
      </c>
      <c r="H1024" s="3" t="n">
        <v>7</v>
      </c>
      <c r="I1024" s="3" t="n">
        <v>2</v>
      </c>
      <c r="J1024" s="3" t="n">
        <v>78</v>
      </c>
      <c r="K1024" s="3" t="n">
        <v>1</v>
      </c>
      <c r="L1024" s="3" t="n">
        <v>2</v>
      </c>
      <c r="M1024" s="3" t="n">
        <v>1</v>
      </c>
      <c r="N1024" s="3" t="n">
        <v>2</v>
      </c>
      <c r="O1024" s="3" t="n">
        <v>2</v>
      </c>
      <c r="P1024" s="3" t="n">
        <v>2</v>
      </c>
      <c r="Q1024" s="3" t="n">
        <v>2</v>
      </c>
      <c r="R1024" s="3" t="n">
        <v>2</v>
      </c>
      <c r="S1024" s="3" t="n">
        <v>2</v>
      </c>
      <c r="T1024" s="4" t="n">
        <v>2</v>
      </c>
      <c r="U1024" s="3" t="n">
        <v>2</v>
      </c>
      <c r="V1024" s="3" t="n">
        <v>4.74</v>
      </c>
      <c r="W1024" s="3" t="n">
        <v>1.61</v>
      </c>
      <c r="X1024" s="3" t="n">
        <v>5.83</v>
      </c>
      <c r="Y1024" s="3" t="n">
        <v>459</v>
      </c>
      <c r="Z1024" s="3" t="n">
        <v>91</v>
      </c>
      <c r="AA1024" s="3" t="n">
        <v>0.54</v>
      </c>
      <c r="AB1024" s="3" t="n">
        <v>12.5</v>
      </c>
      <c r="AC1024" s="3" t="n">
        <v>2</v>
      </c>
      <c r="AD1024" s="3" t="n">
        <v>2</v>
      </c>
      <c r="AE1024" s="3" t="n">
        <v>1</v>
      </c>
      <c r="AF1024" s="3" t="n">
        <v>1</v>
      </c>
      <c r="AG1024" s="3" t="n">
        <v>1</v>
      </c>
      <c r="AH1024" s="3" t="n">
        <v>2</v>
      </c>
      <c r="AI1024" s="3" t="n">
        <v>1</v>
      </c>
      <c r="AJ1024" s="3" t="n">
        <v>1</v>
      </c>
      <c r="AK1024" s="3" t="n">
        <v>2</v>
      </c>
      <c r="AL1024" s="3" t="n">
        <v>2</v>
      </c>
      <c r="AM1024" s="3" t="n">
        <v>1</v>
      </c>
      <c r="AN1024" s="3" t="n">
        <v>2</v>
      </c>
      <c r="AO1024" s="3" t="n">
        <v>2</v>
      </c>
      <c r="AP1024" s="3" t="n">
        <v>3</v>
      </c>
      <c r="AQ1024" s="3" t="n">
        <v>4</v>
      </c>
      <c r="AR1024" s="3" t="n">
        <v>4</v>
      </c>
      <c r="AS1024" s="3" t="n">
        <v>6</v>
      </c>
      <c r="AT1024" s="3" t="n">
        <v>4</v>
      </c>
      <c r="AU1024" s="3" t="n">
        <v>4</v>
      </c>
      <c r="AV1024" s="3" t="n">
        <v>6</v>
      </c>
      <c r="AW1024" s="3" t="n">
        <v>6</v>
      </c>
      <c r="AX1024" s="3" t="n">
        <v>3</v>
      </c>
      <c r="AY1024" s="3" t="n">
        <v>3</v>
      </c>
      <c r="AZ1024" s="3" t="n">
        <v>1</v>
      </c>
      <c r="BA1024" s="5" t="n">
        <v>1</v>
      </c>
      <c r="BB1024" s="3" t="n">
        <v>1</v>
      </c>
      <c r="BC1024" s="3" t="n">
        <v>1</v>
      </c>
      <c r="BD1024" s="3" t="n">
        <v>2</v>
      </c>
      <c r="BE1024" s="3" t="n">
        <v>1</v>
      </c>
      <c r="BF1024" s="3" t="n">
        <v>2</v>
      </c>
      <c r="BG1024" s="3" t="n">
        <v>1</v>
      </c>
      <c r="BH1024" s="3" t="n">
        <v>4</v>
      </c>
      <c r="BI1024" s="3" t="n">
        <v>1</v>
      </c>
      <c r="BJ1024" s="3" t="n">
        <v>1</v>
      </c>
      <c r="BK1024" s="6" t="s">
        <v>2630</v>
      </c>
    </row>
    <row r="1025" customFormat="false" ht="15" hidden="false" customHeight="true" outlineLevel="0" collapsed="false">
      <c r="B1025" s="2" t="s">
        <v>2631</v>
      </c>
      <c r="C1025" s="2" t="s">
        <v>639</v>
      </c>
      <c r="D1025" s="2" t="s">
        <v>2632</v>
      </c>
      <c r="E1025" s="2" t="n">
        <v>205392</v>
      </c>
      <c r="F1025" s="15" t="n">
        <v>44163</v>
      </c>
      <c r="G1025" s="15" t="n">
        <v>44170</v>
      </c>
      <c r="H1025" s="3" t="n">
        <v>7</v>
      </c>
      <c r="I1025" s="3" t="n">
        <v>1</v>
      </c>
      <c r="J1025" s="3" t="n">
        <v>80</v>
      </c>
      <c r="K1025" s="3" t="n">
        <v>1</v>
      </c>
      <c r="L1025" s="3" t="n">
        <v>2</v>
      </c>
      <c r="M1025" s="3" t="n">
        <v>1</v>
      </c>
      <c r="N1025" s="3" t="n">
        <v>2</v>
      </c>
      <c r="O1025" s="3" t="n">
        <v>2</v>
      </c>
      <c r="P1025" s="3" t="n">
        <v>2</v>
      </c>
      <c r="Q1025" s="3" t="n">
        <v>1</v>
      </c>
      <c r="R1025" s="3" t="n">
        <v>2</v>
      </c>
      <c r="S1025" s="3" t="n">
        <v>2</v>
      </c>
      <c r="T1025" s="4" t="n">
        <v>3</v>
      </c>
      <c r="U1025" s="3" t="n">
        <v>1</v>
      </c>
      <c r="V1025" s="3" t="n">
        <v>3.37</v>
      </c>
      <c r="W1025" s="3" t="n">
        <v>0.77</v>
      </c>
      <c r="X1025" s="3" t="n">
        <v>4.27</v>
      </c>
      <c r="Y1025" s="3" t="n">
        <v>893</v>
      </c>
      <c r="Z1025" s="3" t="n">
        <v>373</v>
      </c>
      <c r="AA1025" s="3" t="n">
        <v>0.34</v>
      </c>
      <c r="AB1025" s="3" t="n">
        <v>9.9</v>
      </c>
      <c r="AC1025" s="3" t="n">
        <v>2</v>
      </c>
      <c r="AD1025" s="3" t="n">
        <v>1</v>
      </c>
      <c r="AE1025" s="3" t="n">
        <v>1</v>
      </c>
      <c r="AF1025" s="3" t="n">
        <v>1</v>
      </c>
      <c r="AG1025" s="3" t="n">
        <v>2</v>
      </c>
      <c r="AH1025" s="3" t="n">
        <v>2</v>
      </c>
      <c r="AI1025" s="3" t="n">
        <v>1</v>
      </c>
      <c r="AJ1025" s="3" t="n">
        <v>1</v>
      </c>
      <c r="AK1025" s="3" t="n">
        <v>2</v>
      </c>
      <c r="AL1025" s="3" t="n">
        <v>1</v>
      </c>
      <c r="AM1025" s="3" t="n">
        <v>1</v>
      </c>
      <c r="AN1025" s="3" t="n">
        <v>2</v>
      </c>
      <c r="AO1025" s="3" t="n">
        <v>1</v>
      </c>
      <c r="AP1025" s="3" t="n">
        <v>3</v>
      </c>
      <c r="AQ1025" s="3" t="n">
        <v>4</v>
      </c>
      <c r="AR1025" s="3" t="n">
        <v>4</v>
      </c>
      <c r="AS1025" s="3" t="n">
        <v>6</v>
      </c>
      <c r="AT1025" s="3" t="n">
        <v>4</v>
      </c>
      <c r="AU1025" s="3" t="n">
        <v>4</v>
      </c>
      <c r="AV1025" s="3" t="n">
        <v>6</v>
      </c>
      <c r="AW1025" s="3" t="n">
        <v>6</v>
      </c>
      <c r="AX1025" s="3" t="n">
        <v>3</v>
      </c>
      <c r="AY1025" s="3" t="n">
        <v>3</v>
      </c>
      <c r="AZ1025" s="3" t="n">
        <v>1</v>
      </c>
      <c r="BA1025" s="5" t="n">
        <v>11</v>
      </c>
      <c r="BB1025" s="3" t="n">
        <v>2</v>
      </c>
      <c r="BC1025" s="3" t="n">
        <v>1</v>
      </c>
      <c r="BD1025" s="3" t="n">
        <v>6</v>
      </c>
      <c r="BE1025" s="3" t="n">
        <v>3</v>
      </c>
      <c r="BF1025" s="3" t="n">
        <v>5</v>
      </c>
      <c r="BG1025" s="3" t="n">
        <v>3</v>
      </c>
      <c r="BH1025" s="3" t="n">
        <v>4</v>
      </c>
      <c r="BI1025" s="3" t="n">
        <v>1</v>
      </c>
      <c r="BJ1025" s="3" t="n">
        <v>1</v>
      </c>
      <c r="BK1025" s="6" t="s">
        <v>2633</v>
      </c>
    </row>
    <row r="1026" customFormat="false" ht="15" hidden="false" customHeight="true" outlineLevel="0" collapsed="false">
      <c r="B1026" s="2" t="s">
        <v>556</v>
      </c>
      <c r="C1026" s="2" t="s">
        <v>802</v>
      </c>
      <c r="D1026" s="2" t="s">
        <v>433</v>
      </c>
      <c r="E1026" s="2" t="n">
        <v>205734</v>
      </c>
      <c r="F1026" s="15" t="n">
        <v>44165</v>
      </c>
      <c r="G1026" s="15" t="n">
        <v>44172</v>
      </c>
      <c r="H1026" s="3" t="n">
        <v>7</v>
      </c>
      <c r="I1026" s="3" t="n">
        <v>2</v>
      </c>
      <c r="J1026" s="3" t="n">
        <v>78</v>
      </c>
      <c r="K1026" s="3" t="n">
        <v>1</v>
      </c>
      <c r="L1026" s="3" t="n">
        <v>1</v>
      </c>
      <c r="M1026" s="3" t="n">
        <v>1</v>
      </c>
      <c r="N1026" s="3" t="n">
        <v>2</v>
      </c>
      <c r="O1026" s="3" t="n">
        <v>2</v>
      </c>
      <c r="P1026" s="3" t="n">
        <v>2</v>
      </c>
      <c r="Q1026" s="3" t="n">
        <v>2</v>
      </c>
      <c r="R1026" s="3" t="n">
        <v>2</v>
      </c>
      <c r="S1026" s="3" t="n">
        <v>2</v>
      </c>
      <c r="T1026" s="4" t="n">
        <v>2</v>
      </c>
      <c r="U1026" s="3" t="n">
        <v>2</v>
      </c>
      <c r="V1026" s="3" t="n">
        <v>4.79</v>
      </c>
      <c r="W1026" s="3" t="n">
        <v>0.69</v>
      </c>
      <c r="X1026" s="3" t="n">
        <v>5.16</v>
      </c>
      <c r="Y1026" s="3" t="n">
        <v>313</v>
      </c>
      <c r="Z1026" s="3" t="n">
        <v>102</v>
      </c>
      <c r="AA1026" s="3" t="n">
        <v>0.45</v>
      </c>
      <c r="AB1026" s="3" t="n">
        <v>11.9</v>
      </c>
      <c r="AC1026" s="3" t="n">
        <v>1</v>
      </c>
      <c r="AD1026" s="3" t="n">
        <v>2</v>
      </c>
      <c r="AE1026" s="3" t="n">
        <v>1</v>
      </c>
      <c r="AF1026" s="3" t="n">
        <v>1</v>
      </c>
      <c r="AG1026" s="3" t="n">
        <v>1</v>
      </c>
      <c r="AH1026" s="3" t="n">
        <v>2</v>
      </c>
      <c r="AI1026" s="3" t="n">
        <v>1</v>
      </c>
      <c r="AJ1026" s="3" t="n">
        <v>1</v>
      </c>
      <c r="AK1026" s="3" t="n">
        <v>2</v>
      </c>
      <c r="AL1026" s="3" t="n">
        <v>2</v>
      </c>
      <c r="AM1026" s="3" t="n">
        <v>1</v>
      </c>
      <c r="AN1026" s="3" t="n">
        <v>2</v>
      </c>
      <c r="AO1026" s="3" t="n">
        <v>2</v>
      </c>
      <c r="AP1026" s="3" t="n">
        <v>3</v>
      </c>
      <c r="AQ1026" s="3" t="n">
        <v>4</v>
      </c>
      <c r="AR1026" s="3" t="n">
        <v>4</v>
      </c>
      <c r="AS1026" s="3" t="n">
        <v>6</v>
      </c>
      <c r="AT1026" s="3" t="n">
        <v>4</v>
      </c>
      <c r="AU1026" s="3" t="n">
        <v>4</v>
      </c>
      <c r="AV1026" s="3" t="n">
        <v>6</v>
      </c>
      <c r="AW1026" s="3" t="n">
        <v>6</v>
      </c>
      <c r="AX1026" s="3" t="n">
        <v>3</v>
      </c>
      <c r="AY1026" s="3" t="n">
        <v>3</v>
      </c>
      <c r="AZ1026" s="3" t="n">
        <v>1</v>
      </c>
      <c r="BA1026" s="5" t="n">
        <v>1</v>
      </c>
      <c r="BB1026" s="3" t="n">
        <v>1</v>
      </c>
      <c r="BC1026" s="3" t="n">
        <v>1</v>
      </c>
      <c r="BD1026" s="3" t="n">
        <v>2</v>
      </c>
      <c r="BE1026" s="3" t="n">
        <v>3</v>
      </c>
      <c r="BF1026" s="3" t="n">
        <v>5</v>
      </c>
      <c r="BG1026" s="3" t="n">
        <v>3</v>
      </c>
      <c r="BH1026" s="3" t="n">
        <v>4</v>
      </c>
      <c r="BI1026" s="3" t="n">
        <v>1</v>
      </c>
      <c r="BJ1026" s="3" t="n">
        <v>1</v>
      </c>
      <c r="BK1026" s="6" t="s">
        <v>2634</v>
      </c>
    </row>
    <row r="1027" customFormat="false" ht="15" hidden="false" customHeight="true" outlineLevel="0" collapsed="false">
      <c r="B1027" s="2" t="s">
        <v>2635</v>
      </c>
      <c r="C1027" s="2" t="s">
        <v>2636</v>
      </c>
      <c r="D1027" s="2" t="s">
        <v>1462</v>
      </c>
      <c r="E1027" s="2" t="n">
        <v>205739</v>
      </c>
      <c r="F1027" s="15" t="n">
        <v>44165</v>
      </c>
      <c r="G1027" s="15" t="n">
        <v>44172</v>
      </c>
      <c r="H1027" s="3" t="n">
        <v>7</v>
      </c>
      <c r="I1027" s="3" t="n">
        <v>2</v>
      </c>
      <c r="J1027" s="3" t="n">
        <v>76</v>
      </c>
      <c r="K1027" s="3" t="n">
        <v>1</v>
      </c>
      <c r="L1027" s="3" t="n">
        <v>1</v>
      </c>
      <c r="M1027" s="3" t="n">
        <v>2</v>
      </c>
      <c r="N1027" s="3" t="n">
        <v>2</v>
      </c>
      <c r="O1027" s="3" t="n">
        <v>2</v>
      </c>
      <c r="P1027" s="3" t="n">
        <v>2</v>
      </c>
      <c r="Q1027" s="3" t="n">
        <v>2</v>
      </c>
      <c r="R1027" s="3" t="n">
        <v>2</v>
      </c>
      <c r="S1027" s="3" t="n">
        <v>2</v>
      </c>
      <c r="T1027" s="4" t="n">
        <v>2</v>
      </c>
      <c r="U1027" s="3" t="n">
        <v>2</v>
      </c>
      <c r="V1027" s="3" t="n">
        <v>4.25</v>
      </c>
      <c r="W1027" s="3" t="n">
        <v>1.15</v>
      </c>
      <c r="X1027" s="3" t="n">
        <v>7.68</v>
      </c>
      <c r="Y1027" s="3" t="n">
        <v>231</v>
      </c>
      <c r="Z1027" s="3" t="n">
        <v>90</v>
      </c>
      <c r="AA1027" s="3" t="n">
        <v>0.49</v>
      </c>
      <c r="AB1027" s="3" t="n">
        <v>10.1</v>
      </c>
      <c r="AC1027" s="3" t="n">
        <v>1</v>
      </c>
      <c r="AD1027" s="3" t="n">
        <v>2</v>
      </c>
      <c r="AE1027" s="3" t="n">
        <v>1</v>
      </c>
      <c r="AF1027" s="3" t="n">
        <v>1</v>
      </c>
      <c r="AG1027" s="3" t="n">
        <v>2</v>
      </c>
      <c r="AH1027" s="3" t="n">
        <v>2</v>
      </c>
      <c r="AI1027" s="3" t="n">
        <v>1</v>
      </c>
      <c r="AJ1027" s="3" t="n">
        <v>1</v>
      </c>
      <c r="AK1027" s="3" t="n">
        <v>2</v>
      </c>
      <c r="AL1027" s="3" t="n">
        <v>2</v>
      </c>
      <c r="AM1027" s="3" t="n">
        <v>1</v>
      </c>
      <c r="AN1027" s="3" t="n">
        <v>2</v>
      </c>
      <c r="AO1027" s="3" t="n">
        <v>2</v>
      </c>
      <c r="AP1027" s="3" t="n">
        <v>3</v>
      </c>
      <c r="AQ1027" s="3" t="n">
        <v>4</v>
      </c>
      <c r="AR1027" s="3" t="n">
        <v>4</v>
      </c>
      <c r="AS1027" s="3" t="n">
        <v>6</v>
      </c>
      <c r="AT1027" s="3" t="n">
        <v>4</v>
      </c>
      <c r="AU1027" s="3" t="n">
        <v>4</v>
      </c>
      <c r="AV1027" s="3" t="n">
        <v>6</v>
      </c>
      <c r="AW1027" s="3" t="n">
        <v>6</v>
      </c>
      <c r="AX1027" s="3" t="n">
        <v>3</v>
      </c>
      <c r="AY1027" s="3" t="n">
        <v>3</v>
      </c>
      <c r="AZ1027" s="3" t="n">
        <v>1</v>
      </c>
      <c r="BA1027" s="5" t="n">
        <v>1</v>
      </c>
      <c r="BB1027" s="3" t="n">
        <v>1</v>
      </c>
      <c r="BC1027" s="3" t="n">
        <v>1</v>
      </c>
      <c r="BD1027" s="3" t="n">
        <v>4</v>
      </c>
      <c r="BE1027" s="3" t="n">
        <v>1</v>
      </c>
      <c r="BF1027" s="3" t="n">
        <v>2</v>
      </c>
      <c r="BG1027" s="3" t="n">
        <v>1</v>
      </c>
      <c r="BH1027" s="3" t="n">
        <v>4</v>
      </c>
      <c r="BI1027" s="3" t="n">
        <v>1</v>
      </c>
      <c r="BJ1027" s="3" t="n">
        <v>1</v>
      </c>
      <c r="BK1027" s="6" t="s">
        <v>1182</v>
      </c>
    </row>
    <row r="1028" customFormat="false" ht="15" hidden="false" customHeight="true" outlineLevel="0" collapsed="false">
      <c r="B1028" s="2" t="s">
        <v>857</v>
      </c>
      <c r="C1028" s="2" t="s">
        <v>153</v>
      </c>
      <c r="D1028" s="2" t="s">
        <v>2637</v>
      </c>
      <c r="E1028" s="2" t="n">
        <v>205314</v>
      </c>
      <c r="F1028" s="15" t="n">
        <v>44165</v>
      </c>
      <c r="G1028" s="15" t="n">
        <v>44142</v>
      </c>
      <c r="H1028" s="3" t="n">
        <v>7</v>
      </c>
      <c r="I1028" s="3" t="n">
        <v>1</v>
      </c>
      <c r="J1028" s="3" t="n">
        <v>71</v>
      </c>
      <c r="K1028" s="3" t="n">
        <v>2</v>
      </c>
      <c r="L1028" s="3" t="n">
        <v>2</v>
      </c>
      <c r="M1028" s="3" t="n">
        <v>1</v>
      </c>
      <c r="N1028" s="3" t="n">
        <v>2</v>
      </c>
      <c r="O1028" s="3" t="n">
        <v>2</v>
      </c>
      <c r="P1028" s="3" t="n">
        <v>2</v>
      </c>
      <c r="Q1028" s="3" t="n">
        <v>2</v>
      </c>
      <c r="R1028" s="3" t="n">
        <v>2</v>
      </c>
      <c r="S1028" s="3" t="n">
        <v>2</v>
      </c>
      <c r="T1028" s="4" t="n">
        <v>4</v>
      </c>
      <c r="U1028" s="3" t="n">
        <v>4</v>
      </c>
      <c r="V1028" s="3" t="n">
        <v>3.15</v>
      </c>
      <c r="W1028" s="3" t="n">
        <v>1</v>
      </c>
      <c r="X1028" s="3" t="n">
        <v>8</v>
      </c>
      <c r="Z1028" s="3" t="n">
        <v>54</v>
      </c>
      <c r="AA1028" s="3" t="n">
        <v>0.35</v>
      </c>
      <c r="AB1028" s="3" t="n">
        <v>5.7</v>
      </c>
      <c r="AC1028" s="3" t="n">
        <v>1</v>
      </c>
      <c r="AD1028" s="3" t="n">
        <v>2</v>
      </c>
      <c r="AE1028" s="3" t="n">
        <v>2</v>
      </c>
      <c r="AF1028" s="3" t="n">
        <v>2</v>
      </c>
      <c r="AG1028" s="3" t="n">
        <v>2</v>
      </c>
      <c r="AH1028" s="3" t="n">
        <v>2</v>
      </c>
      <c r="AI1028" s="3" t="n">
        <v>1</v>
      </c>
      <c r="AJ1028" s="3" t="n">
        <v>1</v>
      </c>
      <c r="AK1028" s="3" t="n">
        <v>2</v>
      </c>
      <c r="AL1028" s="3" t="n">
        <v>2</v>
      </c>
      <c r="AM1028" s="3" t="n">
        <v>1</v>
      </c>
      <c r="AN1028" s="3" t="n">
        <v>2</v>
      </c>
      <c r="AO1028" s="3" t="n">
        <v>1</v>
      </c>
      <c r="AP1028" s="3" t="n">
        <v>3</v>
      </c>
      <c r="AQ1028" s="3" t="n">
        <v>4</v>
      </c>
      <c r="AR1028" s="3" t="n">
        <v>4</v>
      </c>
      <c r="AS1028" s="3" t="n">
        <v>6</v>
      </c>
      <c r="AT1028" s="3" t="n">
        <v>4</v>
      </c>
      <c r="AU1028" s="3" t="n">
        <v>4</v>
      </c>
      <c r="AV1028" s="3" t="n">
        <v>6</v>
      </c>
      <c r="AW1028" s="3" t="n">
        <v>6</v>
      </c>
      <c r="AX1028" s="3" t="n">
        <v>3</v>
      </c>
      <c r="AY1028" s="3" t="n">
        <v>3</v>
      </c>
      <c r="AZ1028" s="3" t="n">
        <v>1</v>
      </c>
      <c r="BA1028" s="5" t="n">
        <v>10</v>
      </c>
      <c r="BB1028" s="3" t="n">
        <v>2</v>
      </c>
      <c r="BC1028" s="3" t="n">
        <v>1</v>
      </c>
      <c r="BD1028" s="3" t="n">
        <v>6</v>
      </c>
      <c r="BE1028" s="3" t="n">
        <v>3</v>
      </c>
      <c r="BF1028" s="3" t="n">
        <v>5</v>
      </c>
      <c r="BG1028" s="3" t="n">
        <v>3</v>
      </c>
      <c r="BH1028" s="3" t="n">
        <v>4</v>
      </c>
      <c r="BI1028" s="3" t="n">
        <v>1</v>
      </c>
      <c r="BJ1028" s="3" t="n">
        <v>1</v>
      </c>
      <c r="BK1028" s="6" t="s">
        <v>2638</v>
      </c>
    </row>
    <row r="1029" customFormat="false" ht="15" hidden="false" customHeight="true" outlineLevel="0" collapsed="false">
      <c r="B1029" s="2" t="s">
        <v>2639</v>
      </c>
      <c r="C1029" s="2" t="s">
        <v>232</v>
      </c>
      <c r="D1029" s="2" t="s">
        <v>2640</v>
      </c>
      <c r="E1029" s="2" t="n">
        <v>206160</v>
      </c>
      <c r="F1029" s="15" t="n">
        <v>44173</v>
      </c>
      <c r="G1029" s="15" t="n">
        <v>44179</v>
      </c>
      <c r="H1029" s="3" t="n">
        <v>6</v>
      </c>
      <c r="I1029" s="3" t="n">
        <v>1</v>
      </c>
      <c r="J1029" s="3" t="n">
        <v>52</v>
      </c>
      <c r="K1029" s="3" t="n">
        <v>2</v>
      </c>
      <c r="L1029" s="3" t="n">
        <v>1</v>
      </c>
      <c r="M1029" s="3" t="n">
        <v>2</v>
      </c>
      <c r="N1029" s="3" t="n">
        <v>2</v>
      </c>
      <c r="O1029" s="3" t="n">
        <v>2</v>
      </c>
      <c r="P1029" s="3" t="n">
        <v>2</v>
      </c>
      <c r="Q1029" s="3" t="n">
        <v>2</v>
      </c>
      <c r="R1029" s="3" t="n">
        <v>2</v>
      </c>
      <c r="S1029" s="3" t="n">
        <v>2</v>
      </c>
      <c r="T1029" s="4" t="n">
        <v>1</v>
      </c>
      <c r="U1029" s="3" t="n">
        <v>1</v>
      </c>
      <c r="V1029" s="3" t="n">
        <v>4.76</v>
      </c>
      <c r="W1029" s="3" t="n">
        <v>0.91</v>
      </c>
      <c r="X1029" s="3" t="n">
        <v>6.26</v>
      </c>
      <c r="Y1029" s="3" t="n">
        <v>292</v>
      </c>
      <c r="Z1029" s="3" t="n">
        <v>83</v>
      </c>
      <c r="AA1029" s="3" t="n">
        <v>0.4</v>
      </c>
      <c r="AB1029" s="3" t="n">
        <v>7.9</v>
      </c>
      <c r="AC1029" s="3" t="n">
        <v>2</v>
      </c>
      <c r="AD1029" s="3" t="n">
        <v>1</v>
      </c>
      <c r="AE1029" s="3" t="n">
        <v>1</v>
      </c>
      <c r="AF1029" s="3" t="n">
        <v>1</v>
      </c>
      <c r="AG1029" s="3" t="n">
        <v>2</v>
      </c>
      <c r="AH1029" s="3" t="n">
        <v>2</v>
      </c>
      <c r="AI1029" s="3" t="n">
        <v>1</v>
      </c>
      <c r="AJ1029" s="3" t="n">
        <v>1</v>
      </c>
      <c r="AK1029" s="3" t="n">
        <v>2</v>
      </c>
      <c r="AL1029" s="3" t="n">
        <v>2</v>
      </c>
      <c r="AM1029" s="3" t="n">
        <v>1</v>
      </c>
      <c r="AN1029" s="3" t="n">
        <v>2</v>
      </c>
      <c r="AO1029" s="3" t="n">
        <v>2</v>
      </c>
      <c r="AP1029" s="3" t="n">
        <v>3</v>
      </c>
      <c r="AQ1029" s="3" t="n">
        <v>4</v>
      </c>
      <c r="AR1029" s="3" t="n">
        <v>4</v>
      </c>
      <c r="AS1029" s="3" t="n">
        <v>6</v>
      </c>
      <c r="AT1029" s="3" t="n">
        <v>4</v>
      </c>
      <c r="AU1029" s="3" t="n">
        <v>4</v>
      </c>
      <c r="AV1029" s="3" t="n">
        <v>6</v>
      </c>
      <c r="AW1029" s="3" t="n">
        <v>6</v>
      </c>
      <c r="AX1029" s="3" t="n">
        <v>3</v>
      </c>
      <c r="AY1029" s="3" t="n">
        <v>3</v>
      </c>
      <c r="AZ1029" s="3" t="n">
        <v>1</v>
      </c>
      <c r="BA1029" s="5" t="n">
        <v>5</v>
      </c>
      <c r="BB1029" s="3" t="n">
        <v>2</v>
      </c>
      <c r="BC1029" s="3" t="n">
        <v>1</v>
      </c>
      <c r="BD1029" s="3" t="n">
        <v>6</v>
      </c>
      <c r="BE1029" s="3" t="n">
        <v>3</v>
      </c>
      <c r="BF1029" s="3" t="n">
        <v>5</v>
      </c>
      <c r="BG1029" s="3" t="n">
        <v>3</v>
      </c>
      <c r="BH1029" s="3" t="n">
        <v>4</v>
      </c>
      <c r="BI1029" s="3" t="n">
        <v>1</v>
      </c>
      <c r="BJ1029" s="3" t="n">
        <v>1</v>
      </c>
      <c r="BK1029" s="6" t="s">
        <v>2641</v>
      </c>
    </row>
    <row r="1030" customFormat="false" ht="15" hidden="false" customHeight="true" outlineLevel="0" collapsed="false">
      <c r="B1030" s="2" t="s">
        <v>569</v>
      </c>
      <c r="C1030" s="2" t="s">
        <v>2359</v>
      </c>
      <c r="D1030" s="2" t="s">
        <v>153</v>
      </c>
      <c r="E1030" s="2" t="n">
        <v>205602</v>
      </c>
      <c r="F1030" s="15" t="n">
        <v>44160</v>
      </c>
      <c r="G1030" s="15" t="n">
        <v>44181</v>
      </c>
      <c r="H1030" s="3" t="n">
        <v>21</v>
      </c>
      <c r="I1030" s="3" t="n">
        <v>2</v>
      </c>
      <c r="J1030" s="3" t="n">
        <v>59</v>
      </c>
      <c r="K1030" s="3" t="n">
        <v>1</v>
      </c>
      <c r="L1030" s="3" t="n">
        <v>2</v>
      </c>
      <c r="M1030" s="3" t="n">
        <v>1</v>
      </c>
      <c r="N1030" s="3" t="n">
        <v>2</v>
      </c>
      <c r="O1030" s="3" t="n">
        <v>2</v>
      </c>
      <c r="P1030" s="3" t="n">
        <v>2</v>
      </c>
      <c r="Q1030" s="3" t="n">
        <v>2</v>
      </c>
      <c r="R1030" s="3" t="n">
        <v>2</v>
      </c>
      <c r="S1030" s="3" t="n">
        <v>2</v>
      </c>
      <c r="T1030" s="4" t="n">
        <v>5</v>
      </c>
      <c r="U1030" s="3" t="n">
        <v>1</v>
      </c>
      <c r="V1030" s="3" t="n">
        <v>3.6</v>
      </c>
      <c r="W1030" s="3" t="n">
        <v>1.3</v>
      </c>
      <c r="X1030" s="3" t="n">
        <v>4.9</v>
      </c>
      <c r="Z1030" s="3" t="n">
        <v>75.5</v>
      </c>
      <c r="AA1030" s="3" t="n">
        <v>0.42</v>
      </c>
      <c r="AB1030" s="3" t="n">
        <v>9.8</v>
      </c>
      <c r="AC1030" s="3" t="n">
        <v>1</v>
      </c>
      <c r="AD1030" s="3" t="n">
        <v>1</v>
      </c>
      <c r="AE1030" s="3" t="n">
        <v>2</v>
      </c>
      <c r="AF1030" s="3" t="n">
        <v>1</v>
      </c>
      <c r="AG1030" s="3" t="n">
        <v>1</v>
      </c>
      <c r="AH1030" s="3" t="n">
        <v>2</v>
      </c>
      <c r="AI1030" s="3" t="n">
        <v>1</v>
      </c>
      <c r="AJ1030" s="3" t="n">
        <v>1</v>
      </c>
      <c r="AK1030" s="3" t="n">
        <v>2</v>
      </c>
      <c r="AL1030" s="3" t="n">
        <v>2</v>
      </c>
      <c r="AM1030" s="3" t="n">
        <v>2</v>
      </c>
      <c r="AN1030" s="3" t="n">
        <v>2</v>
      </c>
      <c r="AO1030" s="3" t="n">
        <v>2</v>
      </c>
      <c r="AP1030" s="3" t="n">
        <v>1</v>
      </c>
      <c r="AQ1030" s="3" t="n">
        <v>3</v>
      </c>
      <c r="AR1030" s="3" t="n">
        <v>4</v>
      </c>
      <c r="AS1030" s="3" t="n">
        <v>6</v>
      </c>
      <c r="AT1030" s="3" t="n">
        <v>4</v>
      </c>
      <c r="AU1030" s="3" t="n">
        <v>4</v>
      </c>
      <c r="AV1030" s="3" t="n">
        <v>1</v>
      </c>
      <c r="AW1030" s="3" t="n">
        <v>6</v>
      </c>
      <c r="AX1030" s="3" t="n">
        <v>1</v>
      </c>
      <c r="AY1030" s="3" t="n">
        <v>2</v>
      </c>
      <c r="AZ1030" s="3" t="n">
        <v>1</v>
      </c>
      <c r="BA1030" s="5" t="n">
        <v>5</v>
      </c>
      <c r="BB1030" s="3" t="n">
        <v>2</v>
      </c>
      <c r="BC1030" s="3" t="n">
        <v>1</v>
      </c>
      <c r="BD1030" s="3" t="n">
        <v>6</v>
      </c>
      <c r="BE1030" s="3" t="n">
        <v>3</v>
      </c>
      <c r="BF1030" s="3" t="n">
        <v>5</v>
      </c>
      <c r="BG1030" s="3" t="n">
        <v>3</v>
      </c>
      <c r="BH1030" s="3" t="n">
        <v>4</v>
      </c>
      <c r="BI1030" s="3" t="n">
        <v>1</v>
      </c>
      <c r="BJ1030" s="3" t="n">
        <v>1</v>
      </c>
      <c r="BK1030" s="6" t="s">
        <v>2642</v>
      </c>
    </row>
    <row r="1031" customFormat="false" ht="15" hidden="false" customHeight="true" outlineLevel="0" collapsed="false">
      <c r="B1031" s="2" t="s">
        <v>1075</v>
      </c>
      <c r="C1031" s="2" t="s">
        <v>2643</v>
      </c>
      <c r="D1031" s="2" t="s">
        <v>608</v>
      </c>
      <c r="E1031" s="2" t="n">
        <v>205801</v>
      </c>
      <c r="F1031" s="15" t="n">
        <v>44172</v>
      </c>
      <c r="G1031" s="15" t="n">
        <v>44179</v>
      </c>
      <c r="H1031" s="3" t="n">
        <v>7</v>
      </c>
      <c r="I1031" s="3" t="n">
        <v>2</v>
      </c>
      <c r="J1031" s="3" t="n">
        <v>57</v>
      </c>
      <c r="K1031" s="3" t="n">
        <v>2</v>
      </c>
      <c r="L1031" s="3" t="n">
        <v>1</v>
      </c>
      <c r="M1031" s="3" t="n">
        <v>2</v>
      </c>
      <c r="N1031" s="3" t="n">
        <v>2</v>
      </c>
      <c r="O1031" s="3" t="n">
        <v>2</v>
      </c>
      <c r="P1031" s="3" t="n">
        <v>2</v>
      </c>
      <c r="Q1031" s="3" t="n">
        <v>2</v>
      </c>
      <c r="R1031" s="3" t="n">
        <v>2</v>
      </c>
      <c r="S1031" s="3" t="n">
        <v>2</v>
      </c>
      <c r="T1031" s="4" t="n">
        <v>2</v>
      </c>
      <c r="U1031" s="3" t="n">
        <v>2</v>
      </c>
      <c r="V1031" s="3" t="n">
        <v>4.4</v>
      </c>
      <c r="W1031" s="3" t="n">
        <v>1.35</v>
      </c>
      <c r="X1031" s="3" t="n">
        <v>5.76</v>
      </c>
      <c r="Y1031" s="3" t="n">
        <v>351</v>
      </c>
      <c r="Z1031" s="3" t="n">
        <v>131</v>
      </c>
      <c r="AA1031" s="3" t="n">
        <v>0.48</v>
      </c>
      <c r="AB1031" s="3" t="n">
        <v>9.3</v>
      </c>
      <c r="AC1031" s="3" t="n">
        <v>1</v>
      </c>
      <c r="AD1031" s="3" t="n">
        <v>2</v>
      </c>
      <c r="AE1031" s="3" t="n">
        <v>2</v>
      </c>
      <c r="AF1031" s="3" t="n">
        <v>1</v>
      </c>
      <c r="AG1031" s="3" t="n">
        <v>2</v>
      </c>
      <c r="AH1031" s="3" t="n">
        <v>2</v>
      </c>
      <c r="AI1031" s="3" t="n">
        <v>1</v>
      </c>
      <c r="AJ1031" s="3" t="n">
        <v>1</v>
      </c>
      <c r="AK1031" s="3" t="n">
        <v>2</v>
      </c>
      <c r="AL1031" s="3" t="n">
        <v>2</v>
      </c>
      <c r="AM1031" s="3" t="n">
        <v>2</v>
      </c>
      <c r="AN1031" s="3" t="n">
        <v>2</v>
      </c>
      <c r="AO1031" s="3" t="n">
        <v>2</v>
      </c>
      <c r="AP1031" s="3" t="n">
        <v>3</v>
      </c>
      <c r="AQ1031" s="3" t="n">
        <v>4</v>
      </c>
      <c r="AR1031" s="3" t="n">
        <v>4</v>
      </c>
      <c r="AS1031" s="3" t="n">
        <v>6</v>
      </c>
      <c r="AT1031" s="3" t="n">
        <v>4</v>
      </c>
      <c r="AU1031" s="3" t="n">
        <v>4</v>
      </c>
      <c r="AV1031" s="3" t="n">
        <v>6</v>
      </c>
      <c r="AW1031" s="3" t="n">
        <v>6</v>
      </c>
      <c r="AX1031" s="3" t="n">
        <v>3</v>
      </c>
      <c r="AY1031" s="3" t="n">
        <v>3</v>
      </c>
      <c r="AZ1031" s="3" t="n">
        <v>1</v>
      </c>
      <c r="BA1031" s="5" t="n">
        <v>1</v>
      </c>
      <c r="BB1031" s="3" t="n">
        <v>1</v>
      </c>
      <c r="BC1031" s="3" t="n">
        <v>1</v>
      </c>
      <c r="BD1031" s="3" t="n">
        <v>4</v>
      </c>
      <c r="BE1031" s="3" t="n">
        <v>1</v>
      </c>
      <c r="BF1031" s="3" t="n">
        <v>2</v>
      </c>
      <c r="BG1031" s="3" t="n">
        <v>1</v>
      </c>
      <c r="BH1031" s="3" t="n">
        <v>4</v>
      </c>
      <c r="BI1031" s="3" t="n">
        <v>1</v>
      </c>
      <c r="BJ1031" s="3" t="n">
        <v>1</v>
      </c>
      <c r="BK1031" s="6" t="s">
        <v>2644</v>
      </c>
    </row>
    <row r="1032" customFormat="false" ht="15" hidden="false" customHeight="true" outlineLevel="0" collapsed="false">
      <c r="B1032" s="2" t="s">
        <v>2645</v>
      </c>
      <c r="C1032" s="2" t="s">
        <v>109</v>
      </c>
      <c r="D1032" s="2" t="s">
        <v>2003</v>
      </c>
      <c r="E1032" s="2" t="n">
        <v>193733</v>
      </c>
      <c r="F1032" s="15" t="n">
        <v>44172</v>
      </c>
      <c r="G1032" s="15" t="n">
        <v>44180</v>
      </c>
      <c r="H1032" s="3" t="n">
        <v>8</v>
      </c>
      <c r="I1032" s="3" t="n">
        <v>2</v>
      </c>
      <c r="J1032" s="3" t="n">
        <v>58</v>
      </c>
      <c r="K1032" s="3" t="n">
        <v>1</v>
      </c>
      <c r="L1032" s="3" t="n">
        <v>2</v>
      </c>
      <c r="M1032" s="3" t="n">
        <v>2</v>
      </c>
      <c r="N1032" s="3" t="n">
        <v>2</v>
      </c>
      <c r="O1032" s="3" t="n">
        <v>2</v>
      </c>
      <c r="P1032" s="3" t="n">
        <v>2</v>
      </c>
      <c r="Q1032" s="3" t="n">
        <v>1</v>
      </c>
      <c r="R1032" s="3" t="n">
        <v>2</v>
      </c>
      <c r="S1032" s="3" t="n">
        <v>2</v>
      </c>
      <c r="T1032" s="4" t="n">
        <v>3</v>
      </c>
      <c r="U1032" s="3" t="n">
        <v>4</v>
      </c>
      <c r="V1032" s="3" t="n">
        <v>3.13</v>
      </c>
      <c r="W1032" s="3" t="n">
        <v>0.55</v>
      </c>
      <c r="X1032" s="3" t="n">
        <v>7.72</v>
      </c>
      <c r="Y1032" s="3" t="n">
        <v>462</v>
      </c>
      <c r="Z1032" s="3" t="n">
        <v>109</v>
      </c>
      <c r="AA1032" s="3" t="n">
        <v>0.37</v>
      </c>
      <c r="AB1032" s="3" t="n">
        <v>8.7</v>
      </c>
      <c r="AC1032" s="3" t="n">
        <v>2</v>
      </c>
      <c r="AD1032" s="3" t="n">
        <v>2</v>
      </c>
      <c r="AE1032" s="3" t="n">
        <v>2</v>
      </c>
      <c r="AF1032" s="3" t="n">
        <v>2</v>
      </c>
      <c r="AG1032" s="3" t="n">
        <v>2</v>
      </c>
      <c r="AH1032" s="3" t="n">
        <v>2</v>
      </c>
      <c r="AI1032" s="3" t="n">
        <v>2</v>
      </c>
      <c r="AJ1032" s="3" t="n">
        <v>2</v>
      </c>
      <c r="AK1032" s="3" t="n">
        <v>1</v>
      </c>
      <c r="AL1032" s="3" t="n">
        <v>2</v>
      </c>
      <c r="AM1032" s="3" t="n">
        <v>1</v>
      </c>
      <c r="AN1032" s="3" t="n">
        <v>2</v>
      </c>
      <c r="AO1032" s="3" t="n">
        <v>2</v>
      </c>
      <c r="AP1032" s="3" t="n">
        <v>3</v>
      </c>
      <c r="AQ1032" s="3" t="n">
        <v>4</v>
      </c>
      <c r="AR1032" s="3" t="n">
        <v>4</v>
      </c>
      <c r="AS1032" s="3" t="n">
        <v>6</v>
      </c>
      <c r="AT1032" s="3" t="n">
        <v>4</v>
      </c>
      <c r="AU1032" s="3" t="n">
        <v>4</v>
      </c>
      <c r="AV1032" s="3" t="n">
        <v>6</v>
      </c>
      <c r="AW1032" s="3" t="n">
        <v>6</v>
      </c>
      <c r="AX1032" s="3" t="n">
        <v>3</v>
      </c>
      <c r="AY1032" s="3" t="n">
        <v>3</v>
      </c>
      <c r="AZ1032" s="3" t="n">
        <v>1</v>
      </c>
      <c r="BA1032" s="5" t="n">
        <v>11</v>
      </c>
      <c r="BB1032" s="3" t="n">
        <v>2</v>
      </c>
      <c r="BC1032" s="3" t="n">
        <v>1</v>
      </c>
      <c r="BD1032" s="3" t="n">
        <v>6</v>
      </c>
      <c r="BE1032" s="3" t="n">
        <v>3</v>
      </c>
      <c r="BF1032" s="3" t="n">
        <v>5</v>
      </c>
      <c r="BG1032" s="3" t="n">
        <v>3</v>
      </c>
      <c r="BH1032" s="3" t="n">
        <v>4</v>
      </c>
      <c r="BI1032" s="3" t="n">
        <v>1</v>
      </c>
      <c r="BJ1032" s="3" t="n">
        <v>1</v>
      </c>
      <c r="BK1032" s="6" t="s">
        <v>2646</v>
      </c>
    </row>
    <row r="1033" customFormat="false" ht="15" hidden="false" customHeight="true" outlineLevel="0" collapsed="false">
      <c r="B1033" s="2" t="s">
        <v>1917</v>
      </c>
      <c r="C1033" s="2" t="s">
        <v>1838</v>
      </c>
      <c r="D1033" s="2" t="s">
        <v>66</v>
      </c>
      <c r="E1033" s="2" t="n">
        <v>205657</v>
      </c>
      <c r="F1033" s="15" t="n">
        <v>44167</v>
      </c>
      <c r="G1033" s="15" t="n">
        <v>44180</v>
      </c>
      <c r="H1033" s="3" t="n">
        <v>13</v>
      </c>
      <c r="I1033" s="3" t="n">
        <v>1</v>
      </c>
      <c r="J1033" s="3" t="n">
        <v>59</v>
      </c>
      <c r="K1033" s="3" t="n">
        <v>1</v>
      </c>
      <c r="L1033" s="3" t="n">
        <v>1</v>
      </c>
      <c r="M1033" s="3" t="n">
        <v>1</v>
      </c>
      <c r="N1033" s="3" t="n">
        <v>2</v>
      </c>
      <c r="O1033" s="3" t="n">
        <v>2</v>
      </c>
      <c r="P1033" s="3" t="n">
        <v>2</v>
      </c>
      <c r="Q1033" s="3" t="n">
        <v>1</v>
      </c>
      <c r="R1033" s="3" t="n">
        <v>2</v>
      </c>
      <c r="S1033" s="3" t="n">
        <v>2</v>
      </c>
      <c r="T1033" s="4" t="n">
        <v>2</v>
      </c>
      <c r="U1033" s="3" t="n">
        <v>4</v>
      </c>
      <c r="V1033" s="3" t="n">
        <v>4.37</v>
      </c>
      <c r="W1033" s="3" t="n">
        <v>3.16</v>
      </c>
      <c r="X1033" s="3" t="n">
        <v>7.93</v>
      </c>
      <c r="Y1033" s="3" t="n">
        <v>143</v>
      </c>
      <c r="AA1033" s="3" t="n">
        <v>0.32</v>
      </c>
      <c r="AB1033" s="3" t="n">
        <v>12.3</v>
      </c>
      <c r="AC1033" s="3" t="n">
        <v>2</v>
      </c>
      <c r="AD1033" s="3" t="n">
        <v>2</v>
      </c>
      <c r="AE1033" s="3" t="n">
        <v>1</v>
      </c>
      <c r="AF1033" s="3" t="n">
        <v>1</v>
      </c>
      <c r="AG1033" s="3" t="n">
        <v>1</v>
      </c>
      <c r="AH1033" s="3" t="n">
        <v>2</v>
      </c>
      <c r="AI1033" s="3" t="n">
        <v>1</v>
      </c>
      <c r="AJ1033" s="3" t="n">
        <v>2</v>
      </c>
      <c r="AK1033" s="3" t="n">
        <v>1</v>
      </c>
      <c r="AL1033" s="3" t="n">
        <v>2</v>
      </c>
      <c r="AM1033" s="3" t="n">
        <v>2</v>
      </c>
      <c r="AN1033" s="3" t="n">
        <v>1</v>
      </c>
      <c r="AO1033" s="3" t="n">
        <v>2</v>
      </c>
      <c r="AP1033" s="3" t="n">
        <v>3</v>
      </c>
      <c r="AQ1033" s="3" t="n">
        <v>4</v>
      </c>
      <c r="AR1033" s="3" t="n">
        <v>4</v>
      </c>
      <c r="AS1033" s="3" t="n">
        <v>6</v>
      </c>
      <c r="AT1033" s="3" t="n">
        <v>4</v>
      </c>
      <c r="AU1033" s="3" t="n">
        <v>4</v>
      </c>
      <c r="AV1033" s="3" t="n">
        <v>6</v>
      </c>
      <c r="AW1033" s="3" t="n">
        <v>6</v>
      </c>
      <c r="AX1033" s="3" t="n">
        <v>3</v>
      </c>
      <c r="AY1033" s="3" t="n">
        <v>3</v>
      </c>
      <c r="AZ1033" s="3" t="n">
        <v>7</v>
      </c>
      <c r="BA1033" s="5" t="n">
        <v>1</v>
      </c>
      <c r="BB1033" s="3" t="n">
        <v>1</v>
      </c>
      <c r="BC1033" s="3" t="n">
        <v>1</v>
      </c>
      <c r="BD1033" s="3" t="n">
        <v>4</v>
      </c>
      <c r="BE1033" s="3" t="n">
        <v>3</v>
      </c>
      <c r="BF1033" s="3" t="n">
        <v>5</v>
      </c>
      <c r="BG1033" s="3" t="n">
        <v>3</v>
      </c>
      <c r="BH1033" s="3" t="n">
        <v>4</v>
      </c>
      <c r="BI1033" s="3" t="n">
        <v>1</v>
      </c>
      <c r="BJ1033" s="3" t="n">
        <v>1</v>
      </c>
      <c r="BK1033" s="6" t="s">
        <v>2647</v>
      </c>
    </row>
    <row r="1034" s="30" customFormat="true" ht="15" hidden="false" customHeight="true" outlineLevel="0" collapsed="false">
      <c r="A1034" s="24"/>
      <c r="B1034" s="25" t="s">
        <v>2648</v>
      </c>
      <c r="C1034" s="25" t="s">
        <v>2649</v>
      </c>
      <c r="D1034" s="25" t="s">
        <v>194</v>
      </c>
      <c r="E1034" s="26" t="n">
        <v>206197</v>
      </c>
      <c r="F1034" s="27" t="n">
        <v>44170</v>
      </c>
      <c r="G1034" s="27" t="n">
        <v>44171</v>
      </c>
      <c r="H1034" s="30" t="n">
        <v>1</v>
      </c>
      <c r="I1034" s="30" t="n">
        <v>2</v>
      </c>
      <c r="J1034" s="30" t="n">
        <v>68</v>
      </c>
      <c r="K1034" s="30" t="n">
        <v>2</v>
      </c>
      <c r="L1034" s="30" t="n">
        <v>1</v>
      </c>
      <c r="M1034" s="30" t="n">
        <v>1</v>
      </c>
      <c r="N1034" s="30" t="n">
        <v>2</v>
      </c>
      <c r="O1034" s="30" t="n">
        <v>2</v>
      </c>
      <c r="P1034" s="30" t="n">
        <v>2</v>
      </c>
      <c r="Q1034" s="30" t="n">
        <v>2</v>
      </c>
      <c r="R1034" s="30" t="n">
        <v>2</v>
      </c>
      <c r="S1034" s="30" t="n">
        <v>2</v>
      </c>
      <c r="T1034" s="4" t="n">
        <v>2</v>
      </c>
      <c r="U1034" s="30" t="n">
        <v>2</v>
      </c>
      <c r="AP1034" s="30" t="n">
        <v>3</v>
      </c>
      <c r="AQ1034" s="30" t="n">
        <v>4</v>
      </c>
      <c r="AR1034" s="30" t="n">
        <v>4</v>
      </c>
      <c r="AS1034" s="30" t="n">
        <v>6</v>
      </c>
      <c r="AT1034" s="30" t="n">
        <v>4</v>
      </c>
      <c r="AU1034" s="30" t="n">
        <v>4</v>
      </c>
      <c r="AV1034" s="30" t="n">
        <v>6</v>
      </c>
      <c r="AW1034" s="30" t="n">
        <v>6</v>
      </c>
      <c r="AX1034" s="30" t="n">
        <v>3</v>
      </c>
      <c r="AY1034" s="30" t="n">
        <v>3</v>
      </c>
      <c r="AZ1034" s="30" t="n">
        <v>5</v>
      </c>
      <c r="BA1034" s="5" t="n">
        <v>1</v>
      </c>
      <c r="BB1034" s="30" t="n">
        <v>1</v>
      </c>
      <c r="BC1034" s="30" t="n">
        <v>2</v>
      </c>
      <c r="BD1034" s="30" t="n">
        <v>2</v>
      </c>
      <c r="BE1034" s="30" t="n">
        <v>1</v>
      </c>
      <c r="BF1034" s="30" t="n">
        <v>2</v>
      </c>
      <c r="BG1034" s="30" t="n">
        <v>1</v>
      </c>
      <c r="BH1034" s="30" t="n">
        <v>4</v>
      </c>
      <c r="BI1034" s="30" t="n">
        <v>1</v>
      </c>
      <c r="BJ1034" s="30" t="n">
        <v>1</v>
      </c>
      <c r="BK1034" s="44" t="s">
        <v>2650</v>
      </c>
    </row>
    <row r="1035" customFormat="false" ht="15" hidden="false" customHeight="true" outlineLevel="0" collapsed="false">
      <c r="B1035" s="2" t="s">
        <v>2651</v>
      </c>
      <c r="C1035" s="2" t="s">
        <v>2652</v>
      </c>
      <c r="D1035" s="2" t="s">
        <v>78</v>
      </c>
      <c r="E1035" s="2" t="n">
        <v>205848</v>
      </c>
      <c r="F1035" s="15" t="n">
        <v>44169</v>
      </c>
      <c r="G1035" s="15" t="n">
        <v>44180</v>
      </c>
      <c r="H1035" s="3" t="n">
        <v>11</v>
      </c>
      <c r="I1035" s="3" t="n">
        <v>1</v>
      </c>
      <c r="J1035" s="3" t="n">
        <v>52</v>
      </c>
      <c r="K1035" s="3" t="n">
        <v>2</v>
      </c>
      <c r="L1035" s="3" t="n">
        <v>2</v>
      </c>
      <c r="M1035" s="3" t="n">
        <v>1</v>
      </c>
      <c r="N1035" s="3" t="n">
        <v>2</v>
      </c>
      <c r="O1035" s="3" t="n">
        <v>2</v>
      </c>
      <c r="P1035" s="3" t="n">
        <v>2</v>
      </c>
      <c r="Q1035" s="3" t="n">
        <v>2</v>
      </c>
      <c r="R1035" s="3" t="n">
        <v>2</v>
      </c>
      <c r="S1035" s="3" t="n">
        <v>2</v>
      </c>
      <c r="T1035" s="4" t="n">
        <v>1</v>
      </c>
      <c r="U1035" s="3" t="n">
        <v>1</v>
      </c>
      <c r="V1035" s="3" t="n">
        <v>5.19</v>
      </c>
      <c r="W1035" s="3" t="n">
        <v>1.42</v>
      </c>
      <c r="X1035" s="3" t="n">
        <v>6.76</v>
      </c>
      <c r="Y1035" s="3" t="n">
        <v>328</v>
      </c>
      <c r="Z1035" s="3" t="n">
        <v>85</v>
      </c>
      <c r="AA1035" s="3" t="n">
        <v>0.51</v>
      </c>
      <c r="AB1035" s="3" t="n">
        <v>14.1</v>
      </c>
      <c r="AC1035" s="3" t="n">
        <v>1</v>
      </c>
      <c r="AD1035" s="3" t="n">
        <v>2</v>
      </c>
      <c r="AE1035" s="3" t="n">
        <v>2</v>
      </c>
      <c r="AF1035" s="3" t="n">
        <v>1</v>
      </c>
      <c r="AG1035" s="3" t="n">
        <v>2</v>
      </c>
      <c r="AH1035" s="3" t="n">
        <v>2</v>
      </c>
      <c r="AI1035" s="3" t="n">
        <v>2</v>
      </c>
      <c r="AJ1035" s="3" t="n">
        <v>1</v>
      </c>
      <c r="AK1035" s="3" t="n">
        <v>2</v>
      </c>
      <c r="AL1035" s="3" t="n">
        <v>2</v>
      </c>
      <c r="AM1035" s="3" t="n">
        <v>2</v>
      </c>
      <c r="AN1035" s="3" t="n">
        <v>2</v>
      </c>
      <c r="AO1035" s="3" t="n">
        <v>2</v>
      </c>
      <c r="AP1035" s="3" t="n">
        <v>3</v>
      </c>
      <c r="AQ1035" s="3" t="n">
        <v>4</v>
      </c>
      <c r="AR1035" s="3" t="n">
        <v>4</v>
      </c>
      <c r="AS1035" s="3" t="n">
        <v>6</v>
      </c>
      <c r="AT1035" s="3" t="n">
        <v>4</v>
      </c>
      <c r="AU1035" s="3" t="n">
        <v>4</v>
      </c>
      <c r="AV1035" s="3" t="n">
        <v>6</v>
      </c>
      <c r="AW1035" s="3" t="n">
        <v>6</v>
      </c>
      <c r="AX1035" s="3" t="n">
        <v>3</v>
      </c>
      <c r="AY1035" s="3" t="n">
        <v>3</v>
      </c>
      <c r="AZ1035" s="3" t="n">
        <v>1</v>
      </c>
      <c r="BA1035" s="5" t="n">
        <v>3</v>
      </c>
      <c r="BB1035" s="3" t="n">
        <v>2</v>
      </c>
      <c r="BC1035" s="3" t="n">
        <v>1</v>
      </c>
      <c r="BD1035" s="3" t="n">
        <v>6</v>
      </c>
      <c r="BE1035" s="3" t="n">
        <v>3</v>
      </c>
      <c r="BF1035" s="3" t="n">
        <v>5</v>
      </c>
      <c r="BG1035" s="3" t="n">
        <v>3</v>
      </c>
      <c r="BH1035" s="3" t="n">
        <v>4</v>
      </c>
      <c r="BI1035" s="3" t="n">
        <v>1</v>
      </c>
      <c r="BJ1035" s="3" t="n">
        <v>1</v>
      </c>
      <c r="BK1035" s="6" t="s">
        <v>2653</v>
      </c>
    </row>
    <row r="1036" customFormat="false" ht="15" hidden="false" customHeight="true" outlineLevel="0" collapsed="false">
      <c r="B1036" s="2" t="s">
        <v>2654</v>
      </c>
      <c r="C1036" s="2" t="s">
        <v>161</v>
      </c>
      <c r="D1036" s="2" t="s">
        <v>763</v>
      </c>
      <c r="E1036" s="2" t="n">
        <v>205747</v>
      </c>
      <c r="F1036" s="15" t="n">
        <v>44175</v>
      </c>
      <c r="G1036" s="15" t="n">
        <v>44181</v>
      </c>
      <c r="H1036" s="3" t="n">
        <v>6</v>
      </c>
      <c r="I1036" s="3" t="n">
        <v>2</v>
      </c>
      <c r="J1036" s="3" t="n">
        <v>51</v>
      </c>
      <c r="K1036" s="3" t="n">
        <v>1</v>
      </c>
      <c r="L1036" s="3" t="n">
        <v>1</v>
      </c>
      <c r="M1036" s="3" t="n">
        <v>2</v>
      </c>
      <c r="N1036" s="3" t="n">
        <v>2</v>
      </c>
      <c r="O1036" s="3" t="n">
        <v>2</v>
      </c>
      <c r="P1036" s="3" t="n">
        <v>2</v>
      </c>
      <c r="Q1036" s="3" t="n">
        <v>2</v>
      </c>
      <c r="R1036" s="3" t="n">
        <v>2</v>
      </c>
      <c r="S1036" s="3" t="n">
        <v>2</v>
      </c>
      <c r="T1036" s="4" t="n">
        <v>1</v>
      </c>
      <c r="U1036" s="3" t="n">
        <v>1</v>
      </c>
      <c r="V1036" s="3" t="n">
        <v>4.67</v>
      </c>
      <c r="W1036" s="3" t="n">
        <v>1.08</v>
      </c>
      <c r="X1036" s="3" t="n">
        <v>5.39</v>
      </c>
      <c r="Y1036" s="3" t="n">
        <v>282</v>
      </c>
      <c r="Z1036" s="3" t="n">
        <v>95</v>
      </c>
      <c r="AA1036" s="3" t="n">
        <v>0.42</v>
      </c>
      <c r="AB1036" s="3" t="n">
        <v>12</v>
      </c>
      <c r="AC1036" s="3" t="n">
        <v>1</v>
      </c>
      <c r="AD1036" s="3" t="n">
        <v>1</v>
      </c>
      <c r="AE1036" s="3" t="n">
        <v>1</v>
      </c>
      <c r="AF1036" s="3" t="n">
        <v>1</v>
      </c>
      <c r="AG1036" s="3" t="n">
        <v>2</v>
      </c>
      <c r="AH1036" s="3" t="n">
        <v>2</v>
      </c>
      <c r="AI1036" s="3" t="n">
        <v>1</v>
      </c>
      <c r="AJ1036" s="3" t="n">
        <v>2</v>
      </c>
      <c r="AK1036" s="3" t="n">
        <v>2</v>
      </c>
      <c r="AL1036" s="3" t="n">
        <v>2</v>
      </c>
      <c r="AM1036" s="3" t="n">
        <v>2</v>
      </c>
      <c r="AN1036" s="3" t="n">
        <v>2</v>
      </c>
      <c r="AO1036" s="3" t="n">
        <v>2</v>
      </c>
      <c r="AP1036" s="3" t="n">
        <v>1</v>
      </c>
      <c r="AQ1036" s="3" t="n">
        <v>1</v>
      </c>
      <c r="AR1036" s="3" t="n">
        <v>4</v>
      </c>
      <c r="AS1036" s="3" t="n">
        <v>3</v>
      </c>
      <c r="AT1036" s="3" t="n">
        <v>4</v>
      </c>
      <c r="AU1036" s="3" t="n">
        <v>4</v>
      </c>
      <c r="AV1036" s="3" t="n">
        <v>1</v>
      </c>
      <c r="AW1036" s="3" t="n">
        <v>6</v>
      </c>
      <c r="AX1036" s="3" t="n">
        <v>2</v>
      </c>
      <c r="AY1036" s="3" t="n">
        <v>1</v>
      </c>
      <c r="AZ1036" s="3" t="n">
        <v>1</v>
      </c>
      <c r="BA1036" s="5" t="n">
        <v>5</v>
      </c>
      <c r="BB1036" s="3" t="n">
        <v>2</v>
      </c>
      <c r="BC1036" s="3" t="n">
        <v>1</v>
      </c>
      <c r="BD1036" s="3" t="n">
        <v>6</v>
      </c>
      <c r="BE1036" s="3" t="n">
        <v>3</v>
      </c>
      <c r="BF1036" s="3" t="n">
        <v>5</v>
      </c>
      <c r="BG1036" s="3" t="n">
        <v>3</v>
      </c>
      <c r="BH1036" s="3" t="n">
        <v>4</v>
      </c>
      <c r="BI1036" s="3" t="n">
        <v>1</v>
      </c>
      <c r="BJ1036" s="3" t="n">
        <v>1</v>
      </c>
      <c r="BK1036" s="6" t="s">
        <v>2655</v>
      </c>
    </row>
    <row r="1037" customFormat="false" ht="15" hidden="false" customHeight="true" outlineLevel="0" collapsed="false">
      <c r="B1037" s="2" t="s">
        <v>413</v>
      </c>
      <c r="C1037" s="2" t="s">
        <v>826</v>
      </c>
      <c r="D1037" s="2" t="s">
        <v>668</v>
      </c>
      <c r="E1037" s="2" t="n">
        <v>205694</v>
      </c>
      <c r="F1037" s="15" t="n">
        <v>44177</v>
      </c>
      <c r="G1037" s="15" t="n">
        <v>44181</v>
      </c>
      <c r="H1037" s="3" t="n">
        <v>4</v>
      </c>
      <c r="I1037" s="3" t="n">
        <v>2</v>
      </c>
      <c r="J1037" s="3" t="n">
        <v>56</v>
      </c>
      <c r="K1037" s="3" t="n">
        <v>1</v>
      </c>
      <c r="L1037" s="3" t="n">
        <v>1</v>
      </c>
      <c r="M1037" s="3" t="n">
        <v>1</v>
      </c>
      <c r="N1037" s="3" t="n">
        <v>2</v>
      </c>
      <c r="O1037" s="3" t="n">
        <v>2</v>
      </c>
      <c r="P1037" s="3" t="n">
        <v>2</v>
      </c>
      <c r="Q1037" s="3" t="n">
        <v>2</v>
      </c>
      <c r="R1037" s="3" t="n">
        <v>2</v>
      </c>
      <c r="S1037" s="3" t="n">
        <v>2</v>
      </c>
      <c r="T1037" s="4" t="n">
        <v>1</v>
      </c>
      <c r="U1037" s="3" t="n">
        <v>1</v>
      </c>
      <c r="V1037" s="3" t="n">
        <v>4.09</v>
      </c>
      <c r="W1037" s="3" t="n">
        <v>1.02</v>
      </c>
      <c r="X1037" s="3" t="n">
        <v>5.13</v>
      </c>
      <c r="Y1037" s="3" t="n">
        <v>375</v>
      </c>
      <c r="Z1037" s="3" t="n">
        <v>73</v>
      </c>
      <c r="AA1037" s="3" t="n">
        <v>0.5</v>
      </c>
      <c r="AB1037" s="3" t="n">
        <v>11.7</v>
      </c>
      <c r="AC1037" s="3" t="n">
        <v>1</v>
      </c>
      <c r="AD1037" s="3" t="n">
        <v>2</v>
      </c>
      <c r="AE1037" s="3" t="n">
        <v>1</v>
      </c>
      <c r="AF1037" s="3" t="n">
        <v>1</v>
      </c>
      <c r="AG1037" s="3" t="n">
        <v>1</v>
      </c>
      <c r="AH1037" s="3" t="n">
        <v>2</v>
      </c>
      <c r="AI1037" s="3" t="n">
        <v>1</v>
      </c>
      <c r="AJ1037" s="3" t="n">
        <v>1</v>
      </c>
      <c r="AK1037" s="3" t="n">
        <v>2</v>
      </c>
      <c r="AL1037" s="3" t="n">
        <v>2</v>
      </c>
      <c r="AM1037" s="3" t="n">
        <v>1</v>
      </c>
      <c r="AN1037" s="3" t="n">
        <v>2</v>
      </c>
      <c r="AO1037" s="3" t="n">
        <v>2</v>
      </c>
      <c r="AP1037" s="3" t="n">
        <v>3</v>
      </c>
      <c r="AQ1037" s="3" t="n">
        <v>4</v>
      </c>
      <c r="AR1037" s="3" t="n">
        <v>4</v>
      </c>
      <c r="AS1037" s="3" t="n">
        <v>6</v>
      </c>
      <c r="AT1037" s="3" t="n">
        <v>4</v>
      </c>
      <c r="AU1037" s="3" t="n">
        <v>4</v>
      </c>
      <c r="AV1037" s="3" t="n">
        <v>6</v>
      </c>
      <c r="AW1037" s="3" t="n">
        <v>6</v>
      </c>
      <c r="AX1037" s="3" t="n">
        <v>3</v>
      </c>
      <c r="AY1037" s="3" t="n">
        <v>3</v>
      </c>
      <c r="AZ1037" s="3" t="n">
        <v>1</v>
      </c>
      <c r="BA1037" s="5" t="n">
        <v>5</v>
      </c>
      <c r="BB1037" s="3" t="n">
        <v>2</v>
      </c>
      <c r="BC1037" s="3" t="n">
        <v>1</v>
      </c>
      <c r="BD1037" s="3" t="n">
        <v>6</v>
      </c>
      <c r="BE1037" s="3" t="n">
        <v>3</v>
      </c>
      <c r="BF1037" s="3" t="n">
        <v>5</v>
      </c>
      <c r="BG1037" s="3" t="n">
        <v>3</v>
      </c>
      <c r="BH1037" s="3" t="n">
        <v>4</v>
      </c>
      <c r="BI1037" s="3" t="n">
        <v>1</v>
      </c>
      <c r="BJ1037" s="3" t="n">
        <v>1</v>
      </c>
      <c r="BK1037" s="6" t="s">
        <v>2656</v>
      </c>
    </row>
    <row r="1038" customFormat="false" ht="15" hidden="false" customHeight="true" outlineLevel="0" collapsed="false">
      <c r="B1038" s="2" t="s">
        <v>660</v>
      </c>
      <c r="C1038" s="2" t="s">
        <v>168</v>
      </c>
      <c r="D1038" s="2" t="s">
        <v>1211</v>
      </c>
      <c r="E1038" s="2" t="n">
        <v>206476</v>
      </c>
      <c r="F1038" s="15" t="n">
        <v>44178</v>
      </c>
      <c r="G1038" s="15" t="n">
        <v>44180</v>
      </c>
      <c r="H1038" s="3" t="n">
        <v>2</v>
      </c>
      <c r="I1038" s="3" t="n">
        <v>2</v>
      </c>
      <c r="J1038" s="3" t="n">
        <v>69</v>
      </c>
      <c r="K1038" s="3" t="n">
        <v>1</v>
      </c>
      <c r="L1038" s="3" t="n">
        <v>1</v>
      </c>
      <c r="M1038" s="3" t="n">
        <v>1</v>
      </c>
      <c r="N1038" s="3" t="n">
        <v>2</v>
      </c>
      <c r="O1038" s="3" t="n">
        <v>2</v>
      </c>
      <c r="P1038" s="3" t="n">
        <v>2</v>
      </c>
      <c r="Q1038" s="3" t="n">
        <v>2</v>
      </c>
      <c r="R1038" s="3" t="n">
        <v>2</v>
      </c>
      <c r="S1038" s="3" t="n">
        <v>2</v>
      </c>
      <c r="T1038" s="4" t="n">
        <v>5</v>
      </c>
      <c r="U1038" s="3" t="n">
        <v>1</v>
      </c>
      <c r="V1038" s="3" t="n">
        <v>5.38</v>
      </c>
      <c r="W1038" s="3" t="n">
        <v>2.75</v>
      </c>
      <c r="X1038" s="3" t="n">
        <v>6.96</v>
      </c>
      <c r="Y1038" s="3" t="n">
        <v>424</v>
      </c>
      <c r="Z1038" s="3" t="n">
        <v>88</v>
      </c>
      <c r="AA1038" s="3" t="n">
        <v>0.41</v>
      </c>
      <c r="AB1038" s="3" t="n">
        <v>6</v>
      </c>
      <c r="AC1038" s="3" t="n">
        <v>3</v>
      </c>
      <c r="AD1038" s="3" t="n">
        <v>1</v>
      </c>
      <c r="AE1038" s="3" t="n">
        <v>1</v>
      </c>
      <c r="AF1038" s="3" t="n">
        <v>1</v>
      </c>
      <c r="AG1038" s="3" t="n">
        <v>1</v>
      </c>
      <c r="AH1038" s="3" t="n">
        <v>2</v>
      </c>
      <c r="AI1038" s="3" t="n">
        <v>1</v>
      </c>
      <c r="AJ1038" s="3" t="n">
        <v>1</v>
      </c>
      <c r="AK1038" s="3" t="n">
        <v>2</v>
      </c>
      <c r="AL1038" s="3" t="n">
        <v>2</v>
      </c>
      <c r="AM1038" s="3" t="n">
        <v>2</v>
      </c>
      <c r="AN1038" s="3" t="n">
        <v>2</v>
      </c>
      <c r="AO1038" s="3" t="n">
        <v>2</v>
      </c>
      <c r="AP1038" s="3" t="n">
        <v>1</v>
      </c>
      <c r="AQ1038" s="3" t="n">
        <v>2</v>
      </c>
      <c r="AR1038" s="3" t="n">
        <v>7</v>
      </c>
      <c r="AS1038" s="3" t="n">
        <v>3</v>
      </c>
      <c r="AT1038" s="3" t="n">
        <v>3</v>
      </c>
      <c r="AU1038" s="3" t="n">
        <v>1</v>
      </c>
      <c r="AV1038" s="3" t="n">
        <v>1</v>
      </c>
      <c r="AW1038" s="3" t="n">
        <v>1</v>
      </c>
      <c r="AX1038" s="3" t="n">
        <v>2</v>
      </c>
      <c r="AY1038" s="3" t="n">
        <v>2</v>
      </c>
      <c r="AZ1038" s="3" t="n">
        <v>1</v>
      </c>
      <c r="BA1038" s="5" t="n">
        <v>3</v>
      </c>
      <c r="BB1038" s="3" t="n">
        <v>2</v>
      </c>
      <c r="BC1038" s="3" t="n">
        <v>1</v>
      </c>
      <c r="BD1038" s="3" t="n">
        <v>6</v>
      </c>
      <c r="BE1038" s="3" t="n">
        <v>3</v>
      </c>
      <c r="BF1038" s="3" t="n">
        <v>5</v>
      </c>
      <c r="BG1038" s="3" t="n">
        <v>3</v>
      </c>
      <c r="BH1038" s="3" t="n">
        <v>4</v>
      </c>
      <c r="BI1038" s="3" t="n">
        <v>1</v>
      </c>
      <c r="BJ1038" s="3" t="n">
        <v>1</v>
      </c>
      <c r="BK1038" s="6" t="s">
        <v>2657</v>
      </c>
    </row>
    <row r="1039" s="30" customFormat="true" ht="15" hidden="false" customHeight="true" outlineLevel="0" collapsed="false">
      <c r="A1039" s="24"/>
      <c r="B1039" s="26" t="s">
        <v>442</v>
      </c>
      <c r="C1039" s="26" t="s">
        <v>595</v>
      </c>
      <c r="D1039" s="26" t="s">
        <v>2658</v>
      </c>
      <c r="E1039" s="26" t="n">
        <v>206448</v>
      </c>
      <c r="F1039" s="27" t="n">
        <v>44179</v>
      </c>
      <c r="G1039" s="27" t="n">
        <v>44180</v>
      </c>
      <c r="H1039" s="30" t="n">
        <v>1</v>
      </c>
      <c r="I1039" s="30" t="n">
        <v>2</v>
      </c>
      <c r="J1039" s="30" t="n">
        <v>58</v>
      </c>
      <c r="K1039" s="30" t="n">
        <v>1</v>
      </c>
      <c r="L1039" s="30" t="n">
        <v>1</v>
      </c>
      <c r="M1039" s="30" t="n">
        <v>1</v>
      </c>
      <c r="N1039" s="30" t="n">
        <v>2</v>
      </c>
      <c r="O1039" s="30" t="n">
        <v>2</v>
      </c>
      <c r="P1039" s="30" t="n">
        <v>2</v>
      </c>
      <c r="Q1039" s="30" t="n">
        <v>2</v>
      </c>
      <c r="R1039" s="30" t="n">
        <v>2</v>
      </c>
      <c r="S1039" s="30" t="n">
        <v>2</v>
      </c>
      <c r="T1039" s="4" t="n">
        <v>2</v>
      </c>
      <c r="U1039" s="30" t="n">
        <v>2</v>
      </c>
      <c r="AC1039" s="30" t="n">
        <v>3</v>
      </c>
      <c r="AD1039" s="30" t="n">
        <v>2</v>
      </c>
      <c r="AE1039" s="30" t="n">
        <v>1</v>
      </c>
      <c r="AF1039" s="30" t="n">
        <v>1</v>
      </c>
      <c r="AG1039" s="30" t="n">
        <v>1</v>
      </c>
      <c r="AH1039" s="30" t="n">
        <v>2</v>
      </c>
      <c r="AI1039" s="30" t="n">
        <v>1</v>
      </c>
      <c r="AJ1039" s="30" t="n">
        <v>1</v>
      </c>
      <c r="AK1039" s="30" t="n">
        <v>2</v>
      </c>
      <c r="AL1039" s="30" t="n">
        <v>2</v>
      </c>
      <c r="AM1039" s="30" t="n">
        <v>1</v>
      </c>
      <c r="AN1039" s="30" t="n">
        <v>2</v>
      </c>
      <c r="AO1039" s="30" t="n">
        <v>2</v>
      </c>
      <c r="AP1039" s="30" t="n">
        <v>3</v>
      </c>
      <c r="AQ1039" s="30" t="n">
        <v>4</v>
      </c>
      <c r="AR1039" s="30" t="n">
        <v>4</v>
      </c>
      <c r="AS1039" s="30" t="n">
        <v>6</v>
      </c>
      <c r="AT1039" s="30" t="n">
        <v>4</v>
      </c>
      <c r="AU1039" s="30" t="n">
        <v>4</v>
      </c>
      <c r="AV1039" s="30" t="n">
        <v>6</v>
      </c>
      <c r="AW1039" s="30" t="n">
        <v>6</v>
      </c>
      <c r="AX1039" s="30" t="n">
        <v>3</v>
      </c>
      <c r="AY1039" s="30" t="n">
        <v>3</v>
      </c>
      <c r="AZ1039" s="30" t="n">
        <v>5</v>
      </c>
      <c r="BA1039" s="5" t="n">
        <v>1</v>
      </c>
      <c r="BB1039" s="30" t="n">
        <v>1</v>
      </c>
      <c r="BC1039" s="30" t="n">
        <v>2</v>
      </c>
      <c r="BD1039" s="30" t="n">
        <v>2</v>
      </c>
      <c r="BE1039" s="30" t="n">
        <v>3</v>
      </c>
      <c r="BF1039" s="30" t="n">
        <v>5</v>
      </c>
      <c r="BG1039" s="30" t="n">
        <v>3</v>
      </c>
      <c r="BH1039" s="30" t="n">
        <v>4</v>
      </c>
      <c r="BI1039" s="30" t="n">
        <v>1</v>
      </c>
      <c r="BJ1039" s="30" t="n">
        <v>1</v>
      </c>
      <c r="BK1039" s="31" t="s">
        <v>2659</v>
      </c>
    </row>
    <row r="1040" customFormat="false" ht="15" hidden="false" customHeight="true" outlineLevel="0" collapsed="false">
      <c r="B1040" s="2" t="s">
        <v>2660</v>
      </c>
      <c r="C1040" s="2" t="s">
        <v>2661</v>
      </c>
      <c r="D1040" s="2" t="s">
        <v>877</v>
      </c>
      <c r="E1040" s="2" t="n">
        <v>206482</v>
      </c>
      <c r="F1040" s="15" t="n">
        <v>44178</v>
      </c>
      <c r="G1040" s="15" t="n">
        <v>44180</v>
      </c>
      <c r="H1040" s="3" t="n">
        <v>2</v>
      </c>
      <c r="I1040" s="3" t="n">
        <v>2</v>
      </c>
      <c r="J1040" s="3" t="n">
        <v>35</v>
      </c>
      <c r="K1040" s="3" t="n">
        <v>1</v>
      </c>
      <c r="L1040" s="3" t="n">
        <v>1</v>
      </c>
      <c r="M1040" s="3" t="n">
        <v>2</v>
      </c>
      <c r="N1040" s="3" t="n">
        <v>2</v>
      </c>
      <c r="O1040" s="3" t="n">
        <v>2</v>
      </c>
      <c r="P1040" s="3" t="n">
        <v>2</v>
      </c>
      <c r="Q1040" s="3" t="n">
        <v>2</v>
      </c>
      <c r="R1040" s="3" t="n">
        <v>2</v>
      </c>
      <c r="S1040" s="3" t="n">
        <v>2</v>
      </c>
      <c r="T1040" s="4" t="n">
        <v>2</v>
      </c>
      <c r="U1040" s="3" t="n">
        <v>2</v>
      </c>
      <c r="V1040" s="3" t="n">
        <v>5.63</v>
      </c>
      <c r="W1040" s="3" t="n">
        <v>1.75</v>
      </c>
      <c r="X1040" s="3" t="n">
        <v>6.06</v>
      </c>
      <c r="Y1040" s="3" t="n">
        <v>556</v>
      </c>
      <c r="Z1040" s="3" t="n">
        <v>87</v>
      </c>
      <c r="AA1040" s="3" t="n">
        <v>0.52</v>
      </c>
      <c r="AB1040" s="3" t="n">
        <v>16.6</v>
      </c>
      <c r="AC1040" s="3" t="n">
        <v>3</v>
      </c>
      <c r="AD1040" s="3" t="n">
        <v>2</v>
      </c>
      <c r="AE1040" s="3" t="n">
        <v>1</v>
      </c>
      <c r="AF1040" s="3" t="n">
        <v>1</v>
      </c>
      <c r="AG1040" s="3" t="n">
        <v>1</v>
      </c>
      <c r="AH1040" s="3" t="n">
        <v>2</v>
      </c>
      <c r="AI1040" s="3" t="n">
        <v>1</v>
      </c>
      <c r="AJ1040" s="3" t="n">
        <v>1</v>
      </c>
      <c r="AK1040" s="3" t="n">
        <v>2</v>
      </c>
      <c r="AL1040" s="3" t="n">
        <v>2</v>
      </c>
      <c r="AM1040" s="3" t="n">
        <v>1</v>
      </c>
      <c r="AN1040" s="3" t="n">
        <v>2</v>
      </c>
      <c r="AO1040" s="3" t="n">
        <v>2</v>
      </c>
      <c r="AP1040" s="3" t="n">
        <v>3</v>
      </c>
      <c r="AQ1040" s="3" t="n">
        <v>4</v>
      </c>
      <c r="AR1040" s="3" t="n">
        <v>4</v>
      </c>
      <c r="AS1040" s="3" t="n">
        <v>6</v>
      </c>
      <c r="AT1040" s="3" t="n">
        <v>4</v>
      </c>
      <c r="AU1040" s="3" t="n">
        <v>4</v>
      </c>
      <c r="AV1040" s="3" t="n">
        <v>6</v>
      </c>
      <c r="AW1040" s="3" t="n">
        <v>6</v>
      </c>
      <c r="AX1040" s="3" t="n">
        <v>3</v>
      </c>
      <c r="AY1040" s="3" t="n">
        <v>3</v>
      </c>
      <c r="AZ1040" s="3" t="n">
        <v>1</v>
      </c>
      <c r="BA1040" s="5" t="n">
        <v>1</v>
      </c>
      <c r="BB1040" s="3" t="n">
        <v>1</v>
      </c>
      <c r="BC1040" s="3" t="n">
        <v>1</v>
      </c>
      <c r="BD1040" s="3" t="n">
        <v>4</v>
      </c>
      <c r="BE1040" s="3" t="n">
        <v>1</v>
      </c>
      <c r="BF1040" s="3" t="n">
        <v>2</v>
      </c>
      <c r="BG1040" s="3" t="n">
        <v>1</v>
      </c>
      <c r="BH1040" s="3" t="n">
        <v>4</v>
      </c>
      <c r="BI1040" s="3" t="n">
        <v>1</v>
      </c>
      <c r="BJ1040" s="3" t="n">
        <v>1</v>
      </c>
      <c r="BK1040" s="6" t="s">
        <v>2662</v>
      </c>
    </row>
    <row r="1041" customFormat="false" ht="15" hidden="false" customHeight="true" outlineLevel="0" collapsed="false">
      <c r="B1041" s="2" t="s">
        <v>2663</v>
      </c>
      <c r="C1041" s="2" t="s">
        <v>66</v>
      </c>
      <c r="D1041" s="2" t="s">
        <v>2664</v>
      </c>
      <c r="E1041" s="2" t="n">
        <v>153444</v>
      </c>
      <c r="F1041" s="15" t="n">
        <v>44173</v>
      </c>
      <c r="G1041" s="15" t="n">
        <v>44182</v>
      </c>
      <c r="H1041" s="3" t="n">
        <v>9</v>
      </c>
      <c r="I1041" s="3" t="n">
        <v>2</v>
      </c>
      <c r="J1041" s="3" t="n">
        <v>53</v>
      </c>
      <c r="K1041" s="3" t="n">
        <v>2</v>
      </c>
      <c r="L1041" s="3" t="n">
        <v>2</v>
      </c>
      <c r="M1041" s="3" t="n">
        <v>1</v>
      </c>
      <c r="N1041" s="3" t="n">
        <v>2</v>
      </c>
      <c r="O1041" s="3" t="n">
        <v>2</v>
      </c>
      <c r="P1041" s="3" t="n">
        <v>2</v>
      </c>
      <c r="Q1041" s="3" t="n">
        <v>2</v>
      </c>
      <c r="R1041" s="3" t="n">
        <v>2</v>
      </c>
      <c r="S1041" s="3" t="n">
        <v>2</v>
      </c>
      <c r="T1041" s="4" t="n">
        <v>2</v>
      </c>
      <c r="U1041" s="3" t="n">
        <v>2</v>
      </c>
      <c r="V1041" s="3" t="n">
        <v>4.17</v>
      </c>
      <c r="W1041" s="3" t="n">
        <v>0.79</v>
      </c>
      <c r="X1041" s="3" t="n">
        <v>5.78</v>
      </c>
      <c r="Y1041" s="3" t="n">
        <v>472</v>
      </c>
      <c r="Z1041" s="3" t="n">
        <v>141</v>
      </c>
      <c r="AA1041" s="3" t="n">
        <v>0.41</v>
      </c>
      <c r="AB1041" s="3" t="n">
        <v>8.6</v>
      </c>
      <c r="AC1041" s="3" t="n">
        <v>1</v>
      </c>
      <c r="AD1041" s="3" t="n">
        <v>1</v>
      </c>
      <c r="AE1041" s="3" t="n">
        <v>1</v>
      </c>
      <c r="AF1041" s="3" t="n">
        <v>1</v>
      </c>
      <c r="AG1041" s="3" t="n">
        <v>2</v>
      </c>
      <c r="AH1041" s="3" t="n">
        <v>1</v>
      </c>
      <c r="AI1041" s="3" t="n">
        <v>1</v>
      </c>
      <c r="AJ1041" s="3" t="n">
        <v>2</v>
      </c>
      <c r="AK1041" s="3" t="n">
        <v>2</v>
      </c>
      <c r="AL1041" s="3" t="n">
        <v>2</v>
      </c>
      <c r="AM1041" s="3" t="n">
        <v>1</v>
      </c>
      <c r="AN1041" s="3" t="n">
        <v>2</v>
      </c>
      <c r="AO1041" s="3" t="n">
        <v>2</v>
      </c>
      <c r="AP1041" s="3" t="n">
        <v>3</v>
      </c>
      <c r="AQ1041" s="3" t="n">
        <v>4</v>
      </c>
      <c r="AR1041" s="3" t="n">
        <v>4</v>
      </c>
      <c r="AS1041" s="3" t="n">
        <v>6</v>
      </c>
      <c r="AT1041" s="3" t="n">
        <v>4</v>
      </c>
      <c r="AU1041" s="3" t="n">
        <v>4</v>
      </c>
      <c r="AV1041" s="3" t="n">
        <v>6</v>
      </c>
      <c r="AW1041" s="3" t="n">
        <v>6</v>
      </c>
      <c r="AX1041" s="3" t="n">
        <v>3</v>
      </c>
      <c r="AY1041" s="3" t="n">
        <v>3</v>
      </c>
      <c r="AZ1041" s="3" t="n">
        <v>1</v>
      </c>
      <c r="BA1041" s="5" t="n">
        <v>1</v>
      </c>
      <c r="BB1041" s="3" t="n">
        <v>1</v>
      </c>
      <c r="BC1041" s="3" t="n">
        <v>1</v>
      </c>
      <c r="BD1041" s="3" t="n">
        <v>2</v>
      </c>
      <c r="BE1041" s="3" t="n">
        <v>1</v>
      </c>
      <c r="BF1041" s="3" t="n">
        <v>2</v>
      </c>
      <c r="BG1041" s="3" t="n">
        <v>2</v>
      </c>
      <c r="BH1041" s="3" t="n">
        <v>4</v>
      </c>
      <c r="BI1041" s="3" t="n">
        <v>1</v>
      </c>
      <c r="BJ1041" s="3" t="n">
        <v>1</v>
      </c>
      <c r="BK1041" s="6" t="s">
        <v>2665</v>
      </c>
    </row>
    <row r="1042" customFormat="false" ht="15" hidden="false" customHeight="true" outlineLevel="0" collapsed="false">
      <c r="B1042" s="2" t="s">
        <v>2666</v>
      </c>
      <c r="C1042" s="2" t="s">
        <v>2667</v>
      </c>
      <c r="D1042" s="2" t="s">
        <v>2668</v>
      </c>
      <c r="E1042" s="2" t="n">
        <v>206449</v>
      </c>
      <c r="F1042" s="15" t="n">
        <v>44179</v>
      </c>
      <c r="G1042" s="15" t="n">
        <v>44185</v>
      </c>
      <c r="H1042" s="3" t="n">
        <v>6</v>
      </c>
      <c r="I1042" s="3" t="n">
        <v>1</v>
      </c>
      <c r="J1042" s="3" t="n">
        <v>53</v>
      </c>
      <c r="K1042" s="3" t="n">
        <v>2</v>
      </c>
      <c r="L1042" s="3" t="n">
        <v>1</v>
      </c>
      <c r="M1042" s="3" t="n">
        <v>1</v>
      </c>
      <c r="N1042" s="3" t="n">
        <v>2</v>
      </c>
      <c r="O1042" s="3" t="n">
        <v>2</v>
      </c>
      <c r="P1042" s="3" t="n">
        <v>2</v>
      </c>
      <c r="Q1042" s="3" t="n">
        <v>2</v>
      </c>
      <c r="R1042" s="3" t="n">
        <v>2</v>
      </c>
      <c r="S1042" s="3" t="n">
        <v>2</v>
      </c>
      <c r="T1042" s="4" t="n">
        <v>2</v>
      </c>
      <c r="U1042" s="3" t="n">
        <v>2</v>
      </c>
      <c r="V1042" s="3" t="n">
        <v>4.57</v>
      </c>
      <c r="W1042" s="3" t="n">
        <v>1.74</v>
      </c>
      <c r="X1042" s="3" t="n">
        <v>18.16</v>
      </c>
      <c r="Y1042" s="3" t="n">
        <v>298</v>
      </c>
      <c r="Z1042" s="3" t="n">
        <v>88</v>
      </c>
      <c r="AA1042" s="3" t="n">
        <v>0.41</v>
      </c>
      <c r="AB1042" s="3" t="n">
        <v>10.9</v>
      </c>
      <c r="AC1042" s="3" t="n">
        <v>1</v>
      </c>
      <c r="AD1042" s="3" t="n">
        <v>1</v>
      </c>
      <c r="AE1042" s="3" t="n">
        <v>2</v>
      </c>
      <c r="AF1042" s="3" t="n">
        <v>1</v>
      </c>
      <c r="AG1042" s="3" t="n">
        <v>1</v>
      </c>
      <c r="AH1042" s="3" t="n">
        <v>2</v>
      </c>
      <c r="AI1042" s="3" t="n">
        <v>1</v>
      </c>
      <c r="AJ1042" s="3" t="n">
        <v>1</v>
      </c>
      <c r="AK1042" s="3" t="n">
        <v>2</v>
      </c>
      <c r="AL1042" s="3" t="n">
        <v>2</v>
      </c>
      <c r="AM1042" s="3" t="n">
        <v>1</v>
      </c>
      <c r="AN1042" s="3" t="n">
        <v>2</v>
      </c>
      <c r="AO1042" s="3" t="n">
        <v>2</v>
      </c>
      <c r="AP1042" s="3" t="n">
        <v>3</v>
      </c>
      <c r="AQ1042" s="3" t="n">
        <v>4</v>
      </c>
      <c r="AR1042" s="3" t="n">
        <v>4</v>
      </c>
      <c r="AS1042" s="3" t="n">
        <v>6</v>
      </c>
      <c r="AT1042" s="3" t="n">
        <v>4</v>
      </c>
      <c r="AU1042" s="3" t="n">
        <v>4</v>
      </c>
      <c r="AV1042" s="3" t="n">
        <v>6</v>
      </c>
      <c r="AW1042" s="3" t="n">
        <v>6</v>
      </c>
      <c r="AX1042" s="3" t="n">
        <v>3</v>
      </c>
      <c r="AY1042" s="3" t="n">
        <v>3</v>
      </c>
      <c r="AZ1042" s="3" t="n">
        <v>1</v>
      </c>
      <c r="BA1042" s="5" t="n">
        <v>1</v>
      </c>
      <c r="BB1042" s="3" t="n">
        <v>1</v>
      </c>
      <c r="BC1042" s="3" t="n">
        <v>1</v>
      </c>
      <c r="BD1042" s="3" t="n">
        <v>2</v>
      </c>
      <c r="BE1042" s="3" t="n">
        <v>1</v>
      </c>
      <c r="BF1042" s="3" t="n">
        <v>2</v>
      </c>
      <c r="BG1042" s="3" t="n">
        <v>1</v>
      </c>
      <c r="BH1042" s="3" t="n">
        <v>4</v>
      </c>
      <c r="BI1042" s="3" t="n">
        <v>1</v>
      </c>
      <c r="BJ1042" s="3" t="n">
        <v>1</v>
      </c>
      <c r="BK1042" s="6" t="s">
        <v>2669</v>
      </c>
    </row>
    <row r="1043" customFormat="false" ht="15" hidden="false" customHeight="true" outlineLevel="0" collapsed="false">
      <c r="B1043" s="2" t="s">
        <v>2670</v>
      </c>
      <c r="C1043" s="2" t="s">
        <v>153</v>
      </c>
      <c r="D1043" s="2" t="s">
        <v>275</v>
      </c>
      <c r="E1043" s="2" t="n">
        <v>206544</v>
      </c>
      <c r="F1043" s="15" t="n">
        <v>44182</v>
      </c>
      <c r="G1043" s="15" t="n">
        <v>44185</v>
      </c>
      <c r="H1043" s="3" t="n">
        <v>3</v>
      </c>
      <c r="I1043" s="3" t="n">
        <v>1</v>
      </c>
      <c r="J1043" s="3" t="n">
        <v>81</v>
      </c>
      <c r="K1043" s="3" t="n">
        <v>2</v>
      </c>
      <c r="L1043" s="3" t="n">
        <v>2</v>
      </c>
      <c r="M1043" s="3" t="n">
        <v>1</v>
      </c>
      <c r="N1043" s="3" t="n">
        <v>2</v>
      </c>
      <c r="O1043" s="3" t="n">
        <v>2</v>
      </c>
      <c r="P1043" s="3" t="n">
        <v>2</v>
      </c>
      <c r="Q1043" s="3" t="n">
        <v>1</v>
      </c>
      <c r="R1043" s="3" t="n">
        <v>2</v>
      </c>
      <c r="S1043" s="3" t="n">
        <v>2</v>
      </c>
      <c r="T1043" s="4" t="n">
        <v>6</v>
      </c>
      <c r="U1043" s="3" t="n">
        <v>4</v>
      </c>
      <c r="V1043" s="3" t="n">
        <v>4.41</v>
      </c>
      <c r="W1043" s="3" t="n">
        <v>1.56</v>
      </c>
      <c r="X1043" s="3" t="n">
        <v>7.51</v>
      </c>
      <c r="Y1043" s="3" t="n">
        <v>505</v>
      </c>
      <c r="Z1043" s="3" t="n">
        <v>75</v>
      </c>
      <c r="AA1043" s="3" t="n">
        <v>0.36</v>
      </c>
      <c r="AB1043" s="3" t="n">
        <v>7.1</v>
      </c>
      <c r="AC1043" s="3" t="n">
        <v>1</v>
      </c>
      <c r="AD1043" s="3" t="n">
        <v>2</v>
      </c>
      <c r="AE1043" s="3" t="n">
        <v>2</v>
      </c>
      <c r="AF1043" s="3" t="n">
        <v>2</v>
      </c>
      <c r="AG1043" s="3" t="n">
        <v>2</v>
      </c>
      <c r="AH1043" s="3" t="n">
        <v>1</v>
      </c>
      <c r="AI1043" s="3" t="n">
        <v>1</v>
      </c>
      <c r="AJ1043" s="3" t="n">
        <v>2</v>
      </c>
      <c r="AK1043" s="3" t="n">
        <v>1</v>
      </c>
      <c r="AL1043" s="3" t="n">
        <v>2</v>
      </c>
      <c r="AM1043" s="3" t="n">
        <v>1</v>
      </c>
      <c r="AN1043" s="3" t="n">
        <v>2</v>
      </c>
      <c r="AO1043" s="3" t="n">
        <v>2</v>
      </c>
      <c r="AP1043" s="3" t="n">
        <v>3</v>
      </c>
      <c r="AQ1043" s="3" t="n">
        <v>4</v>
      </c>
      <c r="AR1043" s="3" t="n">
        <v>4</v>
      </c>
      <c r="AS1043" s="3" t="n">
        <v>6</v>
      </c>
      <c r="AT1043" s="3" t="n">
        <v>4</v>
      </c>
      <c r="AU1043" s="3" t="n">
        <v>4</v>
      </c>
      <c r="AV1043" s="3" t="n">
        <v>6</v>
      </c>
      <c r="AW1043" s="3" t="n">
        <v>6</v>
      </c>
      <c r="AX1043" s="3" t="n">
        <v>3</v>
      </c>
      <c r="AY1043" s="3" t="n">
        <v>3</v>
      </c>
      <c r="AZ1043" s="3" t="n">
        <v>1</v>
      </c>
      <c r="BA1043" s="5" t="n">
        <v>10</v>
      </c>
      <c r="BB1043" s="3" t="n">
        <v>2</v>
      </c>
      <c r="BC1043" s="3" t="n">
        <v>1</v>
      </c>
      <c r="BD1043" s="3" t="n">
        <v>6</v>
      </c>
      <c r="BE1043" s="3" t="n">
        <v>3</v>
      </c>
      <c r="BF1043" s="3" t="n">
        <v>5</v>
      </c>
      <c r="BG1043" s="3" t="n">
        <v>3</v>
      </c>
      <c r="BH1043" s="3" t="n">
        <v>4</v>
      </c>
      <c r="BI1043" s="3" t="n">
        <v>1</v>
      </c>
      <c r="BJ1043" s="3" t="n">
        <v>1</v>
      </c>
      <c r="BK1043" s="6" t="s">
        <v>2671</v>
      </c>
    </row>
    <row r="1044" customFormat="false" ht="15" hidden="false" customHeight="true" outlineLevel="0" collapsed="false">
      <c r="B1044" s="2" t="s">
        <v>2672</v>
      </c>
      <c r="C1044" s="2" t="s">
        <v>95</v>
      </c>
      <c r="D1044" s="2" t="s">
        <v>94</v>
      </c>
      <c r="E1044" s="2" t="n">
        <v>206428</v>
      </c>
      <c r="F1044" s="15" t="n">
        <v>44180</v>
      </c>
      <c r="G1044" s="15" t="n">
        <v>44185</v>
      </c>
      <c r="H1044" s="3" t="n">
        <v>5</v>
      </c>
      <c r="I1044" s="3" t="n">
        <v>2</v>
      </c>
      <c r="J1044" s="3" t="n">
        <v>64</v>
      </c>
      <c r="K1044" s="3" t="n">
        <v>1</v>
      </c>
      <c r="L1044" s="3" t="n">
        <v>1</v>
      </c>
      <c r="M1044" s="3" t="n">
        <v>1</v>
      </c>
      <c r="N1044" s="3" t="n">
        <v>2</v>
      </c>
      <c r="O1044" s="3" t="n">
        <v>2</v>
      </c>
      <c r="P1044" s="3" t="n">
        <v>2</v>
      </c>
      <c r="Q1044" s="3" t="n">
        <v>1</v>
      </c>
      <c r="R1044" s="3" t="n">
        <v>2</v>
      </c>
      <c r="S1044" s="3" t="n">
        <v>2</v>
      </c>
      <c r="T1044" s="4" t="n">
        <v>1</v>
      </c>
      <c r="U1044" s="3" t="n">
        <v>1</v>
      </c>
      <c r="V1044" s="3" t="n">
        <v>5.3</v>
      </c>
      <c r="W1044" s="3" t="n">
        <v>2.36</v>
      </c>
      <c r="X1044" s="3" t="n">
        <v>5.04</v>
      </c>
      <c r="Y1044" s="3" t="n">
        <v>413</v>
      </c>
      <c r="Z1044" s="3" t="n">
        <v>87</v>
      </c>
      <c r="AA1044" s="3" t="n">
        <v>0.44</v>
      </c>
      <c r="AB1044" s="3" t="n">
        <v>9.6</v>
      </c>
      <c r="AC1044" s="3" t="n">
        <v>2</v>
      </c>
      <c r="AD1044" s="3" t="n">
        <v>1</v>
      </c>
      <c r="AE1044" s="3" t="n">
        <v>1</v>
      </c>
      <c r="AF1044" s="3" t="n">
        <v>1</v>
      </c>
      <c r="AG1044" s="3" t="n">
        <v>1</v>
      </c>
      <c r="AH1044" s="3" t="n">
        <v>2</v>
      </c>
      <c r="AI1044" s="3" t="n">
        <v>1</v>
      </c>
      <c r="AJ1044" s="3" t="n">
        <v>1</v>
      </c>
      <c r="AK1044" s="3" t="n">
        <v>2</v>
      </c>
      <c r="AL1044" s="3" t="n">
        <v>2</v>
      </c>
      <c r="AM1044" s="3" t="n">
        <v>1</v>
      </c>
      <c r="AN1044" s="3" t="n">
        <v>2</v>
      </c>
      <c r="AO1044" s="3" t="n">
        <v>2</v>
      </c>
      <c r="AP1044" s="3" t="n">
        <v>3</v>
      </c>
      <c r="AQ1044" s="3" t="n">
        <v>4</v>
      </c>
      <c r="AR1044" s="3" t="n">
        <v>4</v>
      </c>
      <c r="AS1044" s="3" t="n">
        <v>6</v>
      </c>
      <c r="AT1044" s="3" t="n">
        <v>4</v>
      </c>
      <c r="AU1044" s="3" t="n">
        <v>4</v>
      </c>
      <c r="AV1044" s="3" t="n">
        <v>6</v>
      </c>
      <c r="AW1044" s="3" t="n">
        <v>6</v>
      </c>
      <c r="AX1044" s="3" t="n">
        <v>3</v>
      </c>
      <c r="AY1044" s="3" t="n">
        <v>3</v>
      </c>
      <c r="AZ1044" s="3" t="n">
        <v>1</v>
      </c>
      <c r="BA1044" s="5" t="n">
        <v>5</v>
      </c>
      <c r="BB1044" s="3" t="n">
        <v>2</v>
      </c>
      <c r="BC1044" s="3" t="n">
        <v>1</v>
      </c>
      <c r="BD1044" s="3" t="n">
        <v>6</v>
      </c>
      <c r="BE1044" s="3" t="n">
        <v>3</v>
      </c>
      <c r="BF1044" s="3" t="n">
        <v>5</v>
      </c>
      <c r="BG1044" s="3" t="n">
        <v>3</v>
      </c>
      <c r="BH1044" s="3" t="n">
        <v>4</v>
      </c>
      <c r="BI1044" s="3" t="n">
        <v>1</v>
      </c>
      <c r="BJ1044" s="3" t="n">
        <v>1</v>
      </c>
      <c r="BK1044" s="6" t="s">
        <v>2673</v>
      </c>
    </row>
    <row r="1045" s="30" customFormat="true" ht="15" hidden="false" customHeight="true" outlineLevel="0" collapsed="false">
      <c r="A1045" s="24"/>
      <c r="B1045" s="26" t="s">
        <v>2674</v>
      </c>
      <c r="C1045" s="26" t="s">
        <v>386</v>
      </c>
      <c r="D1045" s="26" t="s">
        <v>541</v>
      </c>
      <c r="E1045" s="26" t="n">
        <v>206670</v>
      </c>
      <c r="F1045" s="27" t="n">
        <v>44184</v>
      </c>
      <c r="G1045" s="27" t="n">
        <v>44186</v>
      </c>
      <c r="H1045" s="30" t="n">
        <v>2</v>
      </c>
      <c r="I1045" s="30" t="n">
        <v>2</v>
      </c>
      <c r="J1045" s="30" t="n">
        <v>59</v>
      </c>
      <c r="K1045" s="30" t="n">
        <v>2</v>
      </c>
      <c r="L1045" s="30" t="n">
        <v>1</v>
      </c>
      <c r="M1045" s="30" t="n">
        <v>1</v>
      </c>
      <c r="N1045" s="30" t="n">
        <v>2</v>
      </c>
      <c r="O1045" s="30" t="n">
        <v>2</v>
      </c>
      <c r="P1045" s="30" t="n">
        <v>2</v>
      </c>
      <c r="Q1045" s="30" t="n">
        <v>1</v>
      </c>
      <c r="R1045" s="30" t="n">
        <v>2</v>
      </c>
      <c r="S1045" s="30" t="n">
        <v>2</v>
      </c>
      <c r="T1045" s="4" t="n">
        <v>2</v>
      </c>
      <c r="U1045" s="30" t="n">
        <v>2</v>
      </c>
      <c r="W1045" s="30" t="n">
        <v>0.63</v>
      </c>
      <c r="X1045" s="30" t="n">
        <v>10.25</v>
      </c>
      <c r="Y1045" s="30" t="n">
        <v>448</v>
      </c>
      <c r="Z1045" s="30" t="n">
        <v>207</v>
      </c>
      <c r="AA1045" s="30" t="n">
        <v>0.44</v>
      </c>
      <c r="AB1045" s="30" t="n">
        <v>19.6</v>
      </c>
      <c r="AC1045" s="30" t="n">
        <v>3</v>
      </c>
      <c r="AD1045" s="30" t="n">
        <v>2</v>
      </c>
      <c r="AE1045" s="30" t="n">
        <v>1</v>
      </c>
      <c r="AF1045" s="30" t="n">
        <v>1</v>
      </c>
      <c r="AG1045" s="30" t="n">
        <v>2</v>
      </c>
      <c r="AH1045" s="30" t="n">
        <v>2</v>
      </c>
      <c r="AI1045" s="30" t="n">
        <v>1</v>
      </c>
      <c r="AJ1045" s="30" t="n">
        <v>1</v>
      </c>
      <c r="AK1045" s="30" t="n">
        <v>1</v>
      </c>
      <c r="AL1045" s="30" t="n">
        <v>1</v>
      </c>
      <c r="AM1045" s="30" t="n">
        <v>2</v>
      </c>
      <c r="AN1045" s="30" t="n">
        <v>2</v>
      </c>
      <c r="AO1045" s="30" t="n">
        <v>2</v>
      </c>
      <c r="AP1045" s="30" t="n">
        <v>3</v>
      </c>
      <c r="AQ1045" s="30" t="n">
        <v>4</v>
      </c>
      <c r="AR1045" s="30" t="n">
        <v>4</v>
      </c>
      <c r="AS1045" s="30" t="n">
        <v>6</v>
      </c>
      <c r="AT1045" s="30" t="n">
        <v>4</v>
      </c>
      <c r="AU1045" s="30" t="n">
        <v>4</v>
      </c>
      <c r="AV1045" s="30" t="n">
        <v>6</v>
      </c>
      <c r="AW1045" s="30" t="n">
        <v>6</v>
      </c>
      <c r="AX1045" s="30" t="n">
        <v>3</v>
      </c>
      <c r="AY1045" s="30" t="n">
        <v>3</v>
      </c>
      <c r="AZ1045" s="30" t="n">
        <v>5</v>
      </c>
      <c r="BA1045" s="5" t="n">
        <v>1</v>
      </c>
      <c r="BB1045" s="30" t="n">
        <v>1</v>
      </c>
      <c r="BC1045" s="30" t="n">
        <v>2</v>
      </c>
      <c r="BD1045" s="30" t="n">
        <v>2</v>
      </c>
      <c r="BE1045" s="30" t="n">
        <v>3</v>
      </c>
      <c r="BF1045" s="30" t="n">
        <v>5</v>
      </c>
      <c r="BG1045" s="30" t="n">
        <v>3</v>
      </c>
      <c r="BH1045" s="30" t="n">
        <v>4</v>
      </c>
      <c r="BI1045" s="30" t="n">
        <v>1</v>
      </c>
      <c r="BJ1045" s="30" t="n">
        <v>1</v>
      </c>
      <c r="BK1045" s="31" t="s">
        <v>2675</v>
      </c>
    </row>
    <row r="1046" customFormat="false" ht="15" hidden="false" customHeight="true" outlineLevel="0" collapsed="false">
      <c r="B1046" s="2" t="s">
        <v>2676</v>
      </c>
      <c r="C1046" s="2" t="s">
        <v>808</v>
      </c>
      <c r="D1046" s="2" t="s">
        <v>1482</v>
      </c>
      <c r="E1046" s="2" t="n">
        <v>205892</v>
      </c>
      <c r="F1046" s="15" t="n">
        <v>44181</v>
      </c>
      <c r="G1046" s="15" t="n">
        <v>44187</v>
      </c>
      <c r="H1046" s="3" t="n">
        <v>6</v>
      </c>
      <c r="I1046" s="3" t="n">
        <v>1</v>
      </c>
      <c r="J1046" s="3" t="n">
        <v>80</v>
      </c>
      <c r="K1046" s="3" t="n">
        <v>1</v>
      </c>
      <c r="L1046" s="3" t="n">
        <v>2</v>
      </c>
      <c r="M1046" s="3" t="n">
        <v>1</v>
      </c>
      <c r="N1046" s="3" t="n">
        <v>1</v>
      </c>
      <c r="O1046" s="3" t="n">
        <v>2</v>
      </c>
      <c r="P1046" s="3" t="n">
        <v>2</v>
      </c>
      <c r="Q1046" s="3" t="n">
        <v>2</v>
      </c>
      <c r="R1046" s="3" t="n">
        <v>2</v>
      </c>
      <c r="S1046" s="3" t="n">
        <v>2</v>
      </c>
      <c r="T1046" s="4" t="n">
        <v>4</v>
      </c>
      <c r="U1046" s="3" t="n">
        <v>4</v>
      </c>
      <c r="AD1046" s="3" t="n">
        <v>1</v>
      </c>
      <c r="AE1046" s="3" t="n">
        <v>2</v>
      </c>
      <c r="AF1046" s="3" t="n">
        <v>2</v>
      </c>
      <c r="AG1046" s="3" t="n">
        <v>1</v>
      </c>
      <c r="AH1046" s="3" t="n">
        <v>2</v>
      </c>
      <c r="AI1046" s="3" t="n">
        <v>2</v>
      </c>
      <c r="AJ1046" s="3" t="n">
        <v>1</v>
      </c>
      <c r="AK1046" s="3" t="n">
        <v>2</v>
      </c>
      <c r="AL1046" s="3" t="n">
        <v>2</v>
      </c>
      <c r="AM1046" s="3" t="n">
        <v>1</v>
      </c>
      <c r="AN1046" s="3" t="n">
        <v>2</v>
      </c>
      <c r="AO1046" s="3" t="n">
        <v>1</v>
      </c>
      <c r="AP1046" s="3" t="n">
        <v>3</v>
      </c>
      <c r="AQ1046" s="3" t="n">
        <v>4</v>
      </c>
      <c r="AR1046" s="3" t="n">
        <v>4</v>
      </c>
      <c r="AS1046" s="3" t="n">
        <v>6</v>
      </c>
      <c r="AT1046" s="3" t="n">
        <v>4</v>
      </c>
      <c r="AU1046" s="3" t="n">
        <v>4</v>
      </c>
      <c r="AV1046" s="3" t="n">
        <v>6</v>
      </c>
      <c r="AW1046" s="3" t="n">
        <v>6</v>
      </c>
      <c r="AX1046" s="3" t="n">
        <v>3</v>
      </c>
      <c r="AY1046" s="3" t="n">
        <v>3</v>
      </c>
      <c r="AZ1046" s="3" t="n">
        <v>1</v>
      </c>
      <c r="BA1046" s="5" t="n">
        <v>10</v>
      </c>
      <c r="BB1046" s="3" t="n">
        <v>2</v>
      </c>
      <c r="BC1046" s="3" t="n">
        <v>1</v>
      </c>
      <c r="BD1046" s="3" t="n">
        <v>6</v>
      </c>
      <c r="BE1046" s="3" t="n">
        <v>3</v>
      </c>
      <c r="BF1046" s="3" t="n">
        <v>5</v>
      </c>
      <c r="BG1046" s="3" t="n">
        <v>3</v>
      </c>
      <c r="BH1046" s="3" t="n">
        <v>4</v>
      </c>
      <c r="BI1046" s="3" t="n">
        <v>1</v>
      </c>
      <c r="BJ1046" s="3" t="n">
        <v>1</v>
      </c>
      <c r="BK1046" s="6" t="s">
        <v>2677</v>
      </c>
    </row>
    <row r="1047" customFormat="false" ht="15" hidden="false" customHeight="true" outlineLevel="0" collapsed="false">
      <c r="B1047" s="2" t="s">
        <v>2678</v>
      </c>
      <c r="C1047" s="2" t="s">
        <v>2679</v>
      </c>
      <c r="D1047" s="2" t="s">
        <v>115</v>
      </c>
      <c r="E1047" s="2" t="n">
        <v>206681</v>
      </c>
      <c r="F1047" s="15" t="n">
        <v>44185</v>
      </c>
      <c r="G1047" s="15" t="n">
        <v>44187</v>
      </c>
      <c r="H1047" s="3" t="n">
        <v>2</v>
      </c>
      <c r="I1047" s="3" t="n">
        <v>2</v>
      </c>
      <c r="J1047" s="3" t="n">
        <v>55</v>
      </c>
      <c r="K1047" s="3" t="n">
        <v>1</v>
      </c>
      <c r="L1047" s="3" t="n">
        <v>1</v>
      </c>
      <c r="M1047" s="3" t="n">
        <v>1</v>
      </c>
      <c r="N1047" s="3" t="n">
        <v>2</v>
      </c>
      <c r="O1047" s="3" t="n">
        <v>1</v>
      </c>
      <c r="P1047" s="3" t="n">
        <v>1</v>
      </c>
      <c r="Q1047" s="3" t="n">
        <v>1</v>
      </c>
      <c r="R1047" s="3" t="n">
        <v>2</v>
      </c>
      <c r="S1047" s="3" t="n">
        <v>2</v>
      </c>
      <c r="T1047" s="4" t="n">
        <v>12</v>
      </c>
      <c r="U1047" s="3" t="n">
        <v>1</v>
      </c>
      <c r="AA1047" s="3" t="n">
        <v>0.48</v>
      </c>
      <c r="AB1047" s="3" t="n">
        <v>9.3</v>
      </c>
      <c r="AD1047" s="3" t="n">
        <v>2</v>
      </c>
      <c r="AE1047" s="3" t="n">
        <v>2</v>
      </c>
      <c r="AF1047" s="3" t="n">
        <v>1</v>
      </c>
      <c r="AG1047" s="3" t="n">
        <v>2</v>
      </c>
      <c r="AH1047" s="3" t="n">
        <v>2</v>
      </c>
      <c r="AI1047" s="3" t="n">
        <v>1</v>
      </c>
      <c r="AJ1047" s="3" t="n">
        <v>1</v>
      </c>
      <c r="AK1047" s="3" t="n">
        <v>2</v>
      </c>
      <c r="AL1047" s="3" t="n">
        <v>2</v>
      </c>
      <c r="AM1047" s="3" t="n">
        <v>1</v>
      </c>
      <c r="AN1047" s="3" t="n">
        <v>2</v>
      </c>
      <c r="AO1047" s="3" t="n">
        <v>1</v>
      </c>
      <c r="AP1047" s="3" t="n">
        <v>3</v>
      </c>
      <c r="AQ1047" s="3" t="n">
        <v>4</v>
      </c>
      <c r="AR1047" s="3" t="n">
        <v>4</v>
      </c>
      <c r="AS1047" s="3" t="n">
        <v>6</v>
      </c>
      <c r="AT1047" s="3" t="n">
        <v>4</v>
      </c>
      <c r="AU1047" s="3" t="n">
        <v>4</v>
      </c>
      <c r="AV1047" s="3" t="n">
        <v>6</v>
      </c>
      <c r="AW1047" s="3" t="n">
        <v>6</v>
      </c>
      <c r="AX1047" s="3" t="n">
        <v>3</v>
      </c>
      <c r="AY1047" s="3" t="n">
        <v>3</v>
      </c>
      <c r="AZ1047" s="3" t="n">
        <v>1</v>
      </c>
      <c r="BA1047" s="5" t="n">
        <v>3</v>
      </c>
      <c r="BB1047" s="3" t="n">
        <v>2</v>
      </c>
      <c r="BC1047" s="3" t="n">
        <v>1</v>
      </c>
      <c r="BD1047" s="3" t="n">
        <v>6</v>
      </c>
      <c r="BE1047" s="3" t="n">
        <v>3</v>
      </c>
      <c r="BF1047" s="3" t="n">
        <v>5</v>
      </c>
      <c r="BG1047" s="3" t="n">
        <v>3</v>
      </c>
      <c r="BH1047" s="3" t="n">
        <v>4</v>
      </c>
      <c r="BI1047" s="3" t="n">
        <v>1</v>
      </c>
      <c r="BJ1047" s="3" t="n">
        <v>1</v>
      </c>
      <c r="BK1047" s="6" t="s">
        <v>2680</v>
      </c>
    </row>
    <row r="1048" customFormat="false" ht="15" hidden="false" customHeight="true" outlineLevel="0" collapsed="false">
      <c r="B1048" s="2" t="s">
        <v>206</v>
      </c>
      <c r="C1048" s="2" t="s">
        <v>802</v>
      </c>
      <c r="D1048" s="2" t="s">
        <v>2170</v>
      </c>
      <c r="E1048" s="2" t="n">
        <v>202465</v>
      </c>
      <c r="F1048" s="15" t="n">
        <v>44179</v>
      </c>
      <c r="G1048" s="15" t="n">
        <v>44188</v>
      </c>
      <c r="H1048" s="3" t="n">
        <v>9</v>
      </c>
      <c r="I1048" s="3" t="n">
        <v>2</v>
      </c>
      <c r="J1048" s="3" t="n">
        <v>68</v>
      </c>
      <c r="K1048" s="3" t="n">
        <v>2</v>
      </c>
      <c r="L1048" s="3" t="n">
        <v>2</v>
      </c>
      <c r="M1048" s="3" t="n">
        <v>1</v>
      </c>
      <c r="N1048" s="3" t="n">
        <v>2</v>
      </c>
      <c r="O1048" s="3" t="n">
        <v>2</v>
      </c>
      <c r="P1048" s="3" t="n">
        <v>2</v>
      </c>
      <c r="Q1048" s="3" t="n">
        <v>2</v>
      </c>
      <c r="R1048" s="3" t="n">
        <v>2</v>
      </c>
      <c r="S1048" s="3" t="n">
        <v>2</v>
      </c>
      <c r="T1048" s="4" t="n">
        <v>4</v>
      </c>
      <c r="U1048" s="3" t="n">
        <v>4</v>
      </c>
      <c r="V1048" s="3" t="n">
        <v>5.39</v>
      </c>
      <c r="W1048" s="3" t="n">
        <v>2.25</v>
      </c>
      <c r="X1048" s="3" t="n">
        <v>4.36</v>
      </c>
      <c r="Y1048" s="3" t="n">
        <v>577</v>
      </c>
      <c r="Z1048" s="3" t="n">
        <v>128</v>
      </c>
      <c r="AA1048" s="3" t="n">
        <v>0.37</v>
      </c>
      <c r="AB1048" s="3" t="n">
        <v>8.4</v>
      </c>
      <c r="AC1048" s="3" t="n">
        <v>3</v>
      </c>
      <c r="AD1048" s="3" t="n">
        <v>1</v>
      </c>
      <c r="AE1048" s="3" t="n">
        <v>2</v>
      </c>
      <c r="AF1048" s="3" t="n">
        <v>2</v>
      </c>
      <c r="AG1048" s="3" t="n">
        <v>2</v>
      </c>
      <c r="AH1048" s="3" t="n">
        <v>1</v>
      </c>
      <c r="AI1048" s="3" t="n">
        <v>1</v>
      </c>
      <c r="AJ1048" s="3" t="n">
        <v>2</v>
      </c>
      <c r="AK1048" s="3" t="n">
        <v>2</v>
      </c>
      <c r="AL1048" s="3" t="n">
        <v>2</v>
      </c>
      <c r="AM1048" s="3" t="n">
        <v>2</v>
      </c>
      <c r="AN1048" s="3" t="n">
        <v>2</v>
      </c>
      <c r="AO1048" s="3" t="n">
        <v>2</v>
      </c>
      <c r="AP1048" s="3" t="n">
        <v>3</v>
      </c>
      <c r="AQ1048" s="3" t="n">
        <v>4</v>
      </c>
      <c r="AR1048" s="3" t="n">
        <v>4</v>
      </c>
      <c r="AS1048" s="3" t="n">
        <v>3</v>
      </c>
      <c r="AT1048" s="3" t="n">
        <v>4</v>
      </c>
      <c r="AU1048" s="3" t="n">
        <v>4</v>
      </c>
      <c r="AV1048" s="3" t="n">
        <v>6</v>
      </c>
      <c r="AW1048" s="3" t="n">
        <v>6</v>
      </c>
      <c r="AX1048" s="3" t="n">
        <v>3</v>
      </c>
      <c r="AY1048" s="3" t="n">
        <v>3</v>
      </c>
      <c r="AZ1048" s="3" t="n">
        <v>1</v>
      </c>
      <c r="BA1048" s="5" t="n">
        <v>10</v>
      </c>
      <c r="BB1048" s="3" t="n">
        <v>2</v>
      </c>
      <c r="BC1048" s="3" t="n">
        <v>1</v>
      </c>
      <c r="BD1048" s="3" t="n">
        <v>6</v>
      </c>
      <c r="BE1048" s="3" t="n">
        <v>3</v>
      </c>
      <c r="BF1048" s="3" t="n">
        <v>5</v>
      </c>
      <c r="BG1048" s="3" t="n">
        <v>3</v>
      </c>
      <c r="BH1048" s="3" t="n">
        <v>4</v>
      </c>
      <c r="BI1048" s="3" t="n">
        <v>1</v>
      </c>
      <c r="BJ1048" s="3" t="n">
        <v>1</v>
      </c>
      <c r="BK1048" s="6" t="s">
        <v>2681</v>
      </c>
    </row>
    <row r="1049" customFormat="false" ht="15" hidden="false" customHeight="true" outlineLevel="0" collapsed="false">
      <c r="B1049" s="2" t="s">
        <v>672</v>
      </c>
      <c r="C1049" s="2" t="s">
        <v>2682</v>
      </c>
      <c r="D1049" s="2" t="s">
        <v>78</v>
      </c>
      <c r="E1049" s="2" t="n">
        <v>206690</v>
      </c>
      <c r="F1049" s="15" t="n">
        <v>44185</v>
      </c>
      <c r="G1049" s="15" t="n">
        <v>44191</v>
      </c>
      <c r="H1049" s="3" t="n">
        <v>6</v>
      </c>
      <c r="I1049" s="3" t="n">
        <v>2</v>
      </c>
      <c r="J1049" s="3" t="n">
        <v>55</v>
      </c>
      <c r="K1049" s="3" t="n">
        <v>1</v>
      </c>
      <c r="L1049" s="3" t="n">
        <v>2</v>
      </c>
      <c r="M1049" s="3" t="n">
        <v>1</v>
      </c>
      <c r="N1049" s="3" t="n">
        <v>2</v>
      </c>
      <c r="O1049" s="3" t="n">
        <v>2</v>
      </c>
      <c r="P1049" s="3" t="n">
        <v>2</v>
      </c>
      <c r="Q1049" s="3" t="n">
        <v>2</v>
      </c>
      <c r="R1049" s="3" t="n">
        <v>2</v>
      </c>
      <c r="S1049" s="3" t="n">
        <v>2</v>
      </c>
      <c r="T1049" s="4" t="n">
        <v>2</v>
      </c>
      <c r="U1049" s="3" t="n">
        <v>2</v>
      </c>
      <c r="V1049" s="3" t="n">
        <v>4.4</v>
      </c>
      <c r="W1049" s="3" t="n">
        <v>1.3</v>
      </c>
      <c r="X1049" s="3" t="n">
        <v>6.18</v>
      </c>
      <c r="Y1049" s="3" t="n">
        <v>274</v>
      </c>
      <c r="Z1049" s="3" t="n">
        <v>71</v>
      </c>
      <c r="AA1049" s="3" t="n">
        <v>0.49</v>
      </c>
      <c r="AB1049" s="3" t="n">
        <v>12</v>
      </c>
      <c r="AD1049" s="3" t="n">
        <v>1</v>
      </c>
      <c r="AE1049" s="3" t="n">
        <v>1</v>
      </c>
      <c r="AF1049" s="3" t="n">
        <v>1</v>
      </c>
      <c r="AG1049" s="3" t="n">
        <v>1</v>
      </c>
      <c r="AH1049" s="3" t="n">
        <v>2</v>
      </c>
      <c r="AI1049" s="3" t="n">
        <v>1</v>
      </c>
      <c r="AJ1049" s="3" t="n">
        <v>1</v>
      </c>
      <c r="AK1049" s="3" t="n">
        <v>2</v>
      </c>
      <c r="AL1049" s="3" t="n">
        <v>2</v>
      </c>
      <c r="AM1049" s="3" t="n">
        <v>1</v>
      </c>
      <c r="AN1049" s="3" t="n">
        <v>2</v>
      </c>
      <c r="AO1049" s="3" t="n">
        <v>2</v>
      </c>
      <c r="AP1049" s="3" t="n">
        <v>3</v>
      </c>
      <c r="AQ1049" s="3" t="n">
        <v>4</v>
      </c>
      <c r="AR1049" s="3" t="n">
        <v>4</v>
      </c>
      <c r="AS1049" s="3" t="n">
        <v>6</v>
      </c>
      <c r="AT1049" s="3" t="n">
        <v>4</v>
      </c>
      <c r="AU1049" s="3" t="n">
        <v>4</v>
      </c>
      <c r="AV1049" s="3" t="n">
        <v>6</v>
      </c>
      <c r="AW1049" s="3" t="n">
        <v>6</v>
      </c>
      <c r="AX1049" s="3" t="n">
        <v>3</v>
      </c>
      <c r="AY1049" s="3" t="n">
        <v>3</v>
      </c>
      <c r="AZ1049" s="3" t="n">
        <v>1</v>
      </c>
      <c r="BA1049" s="5" t="n">
        <v>1</v>
      </c>
      <c r="BB1049" s="3" t="n">
        <v>1</v>
      </c>
      <c r="BC1049" s="3" t="n">
        <v>1</v>
      </c>
      <c r="BD1049" s="3" t="n">
        <v>4</v>
      </c>
      <c r="BE1049" s="3" t="n">
        <v>1</v>
      </c>
      <c r="BF1049" s="3" t="n">
        <v>2</v>
      </c>
      <c r="BG1049" s="3" t="n">
        <v>1</v>
      </c>
      <c r="BH1049" s="3" t="n">
        <v>4</v>
      </c>
      <c r="BI1049" s="3" t="n">
        <v>1</v>
      </c>
      <c r="BJ1049" s="3" t="n">
        <v>1</v>
      </c>
      <c r="BK1049" s="6" t="s">
        <v>2683</v>
      </c>
    </row>
    <row r="1050" customFormat="false" ht="15" hidden="false" customHeight="true" outlineLevel="0" collapsed="false">
      <c r="B1050" s="2" t="s">
        <v>2684</v>
      </c>
      <c r="C1050" s="2" t="s">
        <v>433</v>
      </c>
      <c r="D1050" s="2" t="s">
        <v>127</v>
      </c>
      <c r="E1050" s="2" t="n">
        <v>206601</v>
      </c>
      <c r="F1050" s="15" t="n">
        <v>44182</v>
      </c>
      <c r="G1050" s="15" t="n">
        <v>44191</v>
      </c>
      <c r="H1050" s="3" t="n">
        <v>9</v>
      </c>
      <c r="I1050" s="3" t="n">
        <v>2</v>
      </c>
      <c r="J1050" s="3" t="n">
        <v>81</v>
      </c>
      <c r="K1050" s="3" t="n">
        <v>1</v>
      </c>
      <c r="L1050" s="3" t="n">
        <v>2</v>
      </c>
      <c r="M1050" s="3" t="n">
        <v>1</v>
      </c>
      <c r="N1050" s="3" t="n">
        <v>2</v>
      </c>
      <c r="O1050" s="3" t="n">
        <v>2</v>
      </c>
      <c r="P1050" s="3" t="n">
        <v>2</v>
      </c>
      <c r="Q1050" s="3" t="n">
        <v>2</v>
      </c>
      <c r="R1050" s="3" t="n">
        <v>2</v>
      </c>
      <c r="S1050" s="3" t="n">
        <v>2</v>
      </c>
      <c r="T1050" s="4" t="n">
        <v>3</v>
      </c>
      <c r="U1050" s="3" t="n">
        <v>4</v>
      </c>
      <c r="V1050" s="3" t="n">
        <v>3.72</v>
      </c>
      <c r="W1050" s="3" t="n">
        <v>0.58</v>
      </c>
      <c r="X1050" s="3" t="n">
        <v>4.16</v>
      </c>
      <c r="Y1050" s="3" t="n">
        <v>356</v>
      </c>
      <c r="Z1050" s="3" t="n">
        <v>75</v>
      </c>
      <c r="AA1050" s="3" t="n">
        <v>0.46</v>
      </c>
      <c r="AB1050" s="3" t="n">
        <v>6.6</v>
      </c>
      <c r="AD1050" s="3" t="n">
        <v>2</v>
      </c>
      <c r="AE1050" s="3" t="n">
        <v>1</v>
      </c>
      <c r="AF1050" s="3" t="n">
        <v>1</v>
      </c>
      <c r="AG1050" s="3" t="n">
        <v>2</v>
      </c>
      <c r="AH1050" s="3" t="n">
        <v>2</v>
      </c>
      <c r="AI1050" s="3" t="n">
        <v>2</v>
      </c>
      <c r="AJ1050" s="3" t="n">
        <v>1</v>
      </c>
      <c r="AK1050" s="3" t="n">
        <v>2</v>
      </c>
      <c r="AL1050" s="3" t="n">
        <v>1</v>
      </c>
      <c r="AM1050" s="3" t="n">
        <v>1</v>
      </c>
      <c r="AN1050" s="3" t="n">
        <v>2</v>
      </c>
      <c r="AO1050" s="3" t="n">
        <v>2</v>
      </c>
      <c r="AP1050" s="3" t="n">
        <v>3</v>
      </c>
      <c r="AQ1050" s="3" t="n">
        <v>4</v>
      </c>
      <c r="AR1050" s="3" t="n">
        <v>4</v>
      </c>
      <c r="AS1050" s="3" t="n">
        <v>6</v>
      </c>
      <c r="AT1050" s="3" t="n">
        <v>4</v>
      </c>
      <c r="AU1050" s="3" t="n">
        <v>4</v>
      </c>
      <c r="AV1050" s="3" t="n">
        <v>6</v>
      </c>
      <c r="AW1050" s="3" t="n">
        <v>6</v>
      </c>
      <c r="AX1050" s="3" t="n">
        <v>3</v>
      </c>
      <c r="AY1050" s="3" t="n">
        <v>3</v>
      </c>
      <c r="AZ1050" s="3" t="n">
        <v>1</v>
      </c>
      <c r="BA1050" s="5" t="n">
        <v>11</v>
      </c>
      <c r="BB1050" s="3" t="n">
        <v>2</v>
      </c>
      <c r="BC1050" s="3" t="n">
        <v>1</v>
      </c>
      <c r="BD1050" s="3" t="n">
        <v>6</v>
      </c>
      <c r="BE1050" s="3" t="n">
        <v>3</v>
      </c>
      <c r="BF1050" s="3" t="n">
        <v>5</v>
      </c>
      <c r="BG1050" s="3" t="n">
        <v>3</v>
      </c>
      <c r="BH1050" s="3" t="n">
        <v>4</v>
      </c>
      <c r="BI1050" s="3" t="n">
        <v>1</v>
      </c>
      <c r="BJ1050" s="3" t="n">
        <v>1</v>
      </c>
      <c r="BK1050" s="6" t="s">
        <v>2685</v>
      </c>
    </row>
    <row r="1051" customFormat="false" ht="15" hidden="false" customHeight="true" outlineLevel="0" collapsed="false">
      <c r="B1051" s="2" t="s">
        <v>2686</v>
      </c>
      <c r="C1051" s="2" t="s">
        <v>919</v>
      </c>
      <c r="D1051" s="2" t="s">
        <v>1797</v>
      </c>
      <c r="E1051" s="2" t="n">
        <v>206688</v>
      </c>
      <c r="F1051" s="15" t="n">
        <v>44185</v>
      </c>
      <c r="G1051" s="15" t="n">
        <v>44192</v>
      </c>
      <c r="H1051" s="3" t="n">
        <v>7</v>
      </c>
      <c r="I1051" s="3" t="n">
        <v>2</v>
      </c>
      <c r="J1051" s="3" t="n">
        <v>70</v>
      </c>
      <c r="K1051" s="3" t="n">
        <v>1</v>
      </c>
      <c r="L1051" s="3" t="n">
        <v>2</v>
      </c>
      <c r="M1051" s="3" t="n">
        <v>1</v>
      </c>
      <c r="N1051" s="3" t="n">
        <v>2</v>
      </c>
      <c r="O1051" s="3" t="n">
        <v>2</v>
      </c>
      <c r="P1051" s="3" t="n">
        <v>2</v>
      </c>
      <c r="Q1051" s="3" t="n">
        <v>1</v>
      </c>
      <c r="R1051" s="3" t="n">
        <v>2</v>
      </c>
      <c r="S1051" s="3" t="n">
        <v>2</v>
      </c>
      <c r="T1051" s="4" t="n">
        <v>2</v>
      </c>
      <c r="U1051" s="3" t="n">
        <v>2</v>
      </c>
      <c r="V1051" s="3" t="n">
        <v>4.43</v>
      </c>
      <c r="W1051" s="3" t="n">
        <v>1.55</v>
      </c>
      <c r="X1051" s="3" t="n">
        <v>8.73</v>
      </c>
      <c r="Y1051" s="3" t="n">
        <v>415</v>
      </c>
      <c r="Z1051" s="3" t="n">
        <v>108</v>
      </c>
      <c r="AA1051" s="3" t="n">
        <v>0.49</v>
      </c>
      <c r="AB1051" s="3" t="n">
        <v>6.6</v>
      </c>
      <c r="AD1051" s="3" t="n">
        <v>2</v>
      </c>
      <c r="AE1051" s="3" t="n">
        <v>1</v>
      </c>
      <c r="AF1051" s="3" t="n">
        <v>1</v>
      </c>
      <c r="AG1051" s="3" t="n">
        <v>2</v>
      </c>
      <c r="AH1051" s="3" t="n">
        <v>2</v>
      </c>
      <c r="AI1051" s="3" t="n">
        <v>1</v>
      </c>
      <c r="AJ1051" s="3" t="n">
        <v>1</v>
      </c>
      <c r="AK1051" s="3" t="n">
        <v>2</v>
      </c>
      <c r="AL1051" s="3" t="n">
        <v>2</v>
      </c>
      <c r="AM1051" s="3" t="n">
        <v>1</v>
      </c>
      <c r="AN1051" s="3" t="n">
        <v>2</v>
      </c>
      <c r="AO1051" s="3" t="n">
        <v>2</v>
      </c>
      <c r="AP1051" s="3" t="n">
        <v>3</v>
      </c>
      <c r="AQ1051" s="3" t="n">
        <v>4</v>
      </c>
      <c r="AR1051" s="3" t="n">
        <v>4</v>
      </c>
      <c r="AS1051" s="3" t="n">
        <v>6</v>
      </c>
      <c r="AT1051" s="3" t="n">
        <v>4</v>
      </c>
      <c r="AU1051" s="3" t="n">
        <v>4</v>
      </c>
      <c r="AV1051" s="3" t="n">
        <v>6</v>
      </c>
      <c r="AW1051" s="3" t="n">
        <v>6</v>
      </c>
      <c r="AX1051" s="3" t="n">
        <v>3</v>
      </c>
      <c r="AY1051" s="3" t="n">
        <v>3</v>
      </c>
      <c r="AZ1051" s="3" t="n">
        <v>1</v>
      </c>
      <c r="BA1051" s="5" t="n">
        <v>1</v>
      </c>
      <c r="BB1051" s="3" t="n">
        <v>1</v>
      </c>
      <c r="BC1051" s="3" t="n">
        <v>1</v>
      </c>
      <c r="BD1051" s="3" t="n">
        <v>4</v>
      </c>
      <c r="BE1051" s="3" t="n">
        <v>3</v>
      </c>
      <c r="BF1051" s="3" t="n">
        <v>5</v>
      </c>
      <c r="BG1051" s="3" t="n">
        <v>3</v>
      </c>
      <c r="BH1051" s="3" t="n">
        <v>4</v>
      </c>
      <c r="BI1051" s="3" t="n">
        <v>1</v>
      </c>
      <c r="BJ1051" s="3" t="n">
        <v>1</v>
      </c>
      <c r="BK1051" s="6" t="s">
        <v>2687</v>
      </c>
    </row>
    <row r="1052" customFormat="false" ht="15" hidden="false" customHeight="true" outlineLevel="0" collapsed="false">
      <c r="B1052" s="2" t="s">
        <v>2010</v>
      </c>
      <c r="C1052" s="2" t="s">
        <v>2688</v>
      </c>
      <c r="D1052" s="2" t="s">
        <v>2554</v>
      </c>
      <c r="E1052" s="2" t="n">
        <v>206759</v>
      </c>
      <c r="F1052" s="15" t="n">
        <v>44186</v>
      </c>
      <c r="G1052" s="15" t="n">
        <v>44193</v>
      </c>
      <c r="H1052" s="3" t="n">
        <v>7</v>
      </c>
      <c r="I1052" s="3" t="n">
        <v>2</v>
      </c>
      <c r="J1052" s="3" t="n">
        <v>71</v>
      </c>
      <c r="K1052" s="3" t="n">
        <v>1</v>
      </c>
      <c r="L1052" s="3" t="n">
        <v>2</v>
      </c>
      <c r="M1052" s="3" t="n">
        <v>1</v>
      </c>
      <c r="N1052" s="3" t="n">
        <v>1</v>
      </c>
      <c r="O1052" s="3" t="n">
        <v>2</v>
      </c>
      <c r="P1052" s="3" t="n">
        <v>2</v>
      </c>
      <c r="Q1052" s="3" t="n">
        <v>2</v>
      </c>
      <c r="R1052" s="3" t="n">
        <v>2</v>
      </c>
      <c r="S1052" s="3" t="n">
        <v>2</v>
      </c>
      <c r="T1052" s="4" t="n">
        <v>1</v>
      </c>
      <c r="U1052" s="3" t="n">
        <v>1</v>
      </c>
      <c r="V1052" s="3" t="n">
        <v>5.01</v>
      </c>
      <c r="W1052" s="3" t="n">
        <v>1.28</v>
      </c>
      <c r="X1052" s="3" t="n">
        <v>4.87</v>
      </c>
      <c r="Y1052" s="3" t="n">
        <v>396</v>
      </c>
      <c r="Z1052" s="3" t="n">
        <v>88</v>
      </c>
      <c r="AA1052" s="3" t="n">
        <v>0.41</v>
      </c>
      <c r="AB1052" s="3" t="n">
        <v>9.9</v>
      </c>
      <c r="AD1052" s="3" t="n">
        <v>1</v>
      </c>
      <c r="AE1052" s="3" t="n">
        <v>1</v>
      </c>
      <c r="AF1052" s="3" t="n">
        <v>1</v>
      </c>
      <c r="AG1052" s="3" t="n">
        <v>1</v>
      </c>
      <c r="AH1052" s="3" t="n">
        <v>2</v>
      </c>
      <c r="AI1052" s="3" t="n">
        <v>1</v>
      </c>
      <c r="AJ1052" s="3" t="n">
        <v>1</v>
      </c>
      <c r="AK1052" s="3" t="n">
        <v>2</v>
      </c>
      <c r="AL1052" s="3" t="n">
        <v>2</v>
      </c>
      <c r="AM1052" s="3" t="n">
        <v>1</v>
      </c>
      <c r="AN1052" s="3" t="n">
        <v>2</v>
      </c>
      <c r="AO1052" s="3" t="n">
        <v>2</v>
      </c>
      <c r="AP1052" s="3" t="n">
        <v>3</v>
      </c>
      <c r="AQ1052" s="3" t="n">
        <v>4</v>
      </c>
      <c r="AR1052" s="3" t="n">
        <v>4</v>
      </c>
      <c r="AS1052" s="3" t="n">
        <v>6</v>
      </c>
      <c r="AT1052" s="3" t="n">
        <v>4</v>
      </c>
      <c r="AU1052" s="3" t="n">
        <v>4</v>
      </c>
      <c r="AV1052" s="3" t="n">
        <v>6</v>
      </c>
      <c r="AW1052" s="3" t="n">
        <v>6</v>
      </c>
      <c r="AX1052" s="3" t="n">
        <v>3</v>
      </c>
      <c r="AY1052" s="3" t="n">
        <v>3</v>
      </c>
      <c r="AZ1052" s="3" t="n">
        <v>1</v>
      </c>
      <c r="BA1052" s="5" t="n">
        <v>5</v>
      </c>
      <c r="BB1052" s="3" t="n">
        <v>2</v>
      </c>
      <c r="BC1052" s="3" t="n">
        <v>1</v>
      </c>
      <c r="BD1052" s="3" t="n">
        <v>6</v>
      </c>
      <c r="BE1052" s="3" t="n">
        <v>3</v>
      </c>
      <c r="BF1052" s="3" t="n">
        <v>5</v>
      </c>
      <c r="BG1052" s="3" t="n">
        <v>3</v>
      </c>
      <c r="BH1052" s="3" t="n">
        <v>4</v>
      </c>
      <c r="BI1052" s="3" t="n">
        <v>1</v>
      </c>
      <c r="BJ1052" s="3" t="n">
        <v>1</v>
      </c>
      <c r="BK1052" s="6" t="s">
        <v>2689</v>
      </c>
    </row>
    <row r="1053" customFormat="false" ht="15" hidden="false" customHeight="true" outlineLevel="0" collapsed="false">
      <c r="B1053" s="2" t="s">
        <v>2690</v>
      </c>
      <c r="C1053" s="2" t="s">
        <v>2691</v>
      </c>
      <c r="D1053" s="2" t="s">
        <v>214</v>
      </c>
      <c r="E1053" s="2" t="n">
        <v>206765</v>
      </c>
      <c r="F1053" s="15" t="n">
        <v>44186</v>
      </c>
      <c r="G1053" s="15" t="n">
        <v>44192</v>
      </c>
      <c r="H1053" s="3" t="n">
        <v>6</v>
      </c>
      <c r="I1053" s="3" t="n">
        <v>1</v>
      </c>
      <c r="J1053" s="3" t="n">
        <v>76</v>
      </c>
      <c r="K1053" s="3" t="n">
        <v>2</v>
      </c>
      <c r="L1053" s="3" t="n">
        <v>2</v>
      </c>
      <c r="M1053" s="3" t="n">
        <v>1</v>
      </c>
      <c r="N1053" s="3" t="n">
        <v>1</v>
      </c>
      <c r="O1053" s="3" t="n">
        <v>1</v>
      </c>
      <c r="P1053" s="3" t="n">
        <v>2</v>
      </c>
      <c r="Q1053" s="3" t="n">
        <v>1</v>
      </c>
      <c r="R1053" s="3" t="n">
        <v>2</v>
      </c>
      <c r="S1053" s="3" t="n">
        <v>2</v>
      </c>
      <c r="T1053" s="4" t="n">
        <v>1</v>
      </c>
      <c r="U1053" s="3" t="n">
        <v>1</v>
      </c>
      <c r="V1053" s="3" t="n">
        <v>4.91</v>
      </c>
      <c r="W1053" s="3" t="n">
        <v>2.95</v>
      </c>
      <c r="X1053" s="3" t="n">
        <v>7.97</v>
      </c>
      <c r="Y1053" s="3" t="n">
        <v>413</v>
      </c>
      <c r="Z1053" s="3" t="n">
        <v>94</v>
      </c>
      <c r="AA1053" s="3" t="n">
        <v>0.39</v>
      </c>
      <c r="AB1053" s="3" t="n">
        <v>7.2</v>
      </c>
      <c r="AD1053" s="3" t="n">
        <v>1</v>
      </c>
      <c r="AE1053" s="3" t="n">
        <v>1</v>
      </c>
      <c r="AF1053" s="3" t="n">
        <v>1</v>
      </c>
      <c r="AG1053" s="3" t="n">
        <v>2</v>
      </c>
      <c r="AH1053" s="3" t="n">
        <v>1</v>
      </c>
      <c r="AI1053" s="3" t="n">
        <v>1</v>
      </c>
      <c r="AJ1053" s="3" t="n">
        <v>1</v>
      </c>
      <c r="AK1053" s="3" t="n">
        <v>1</v>
      </c>
      <c r="AL1053" s="3" t="n">
        <v>2</v>
      </c>
      <c r="AM1053" s="3" t="n">
        <v>1</v>
      </c>
      <c r="AN1053" s="3" t="n">
        <v>2</v>
      </c>
      <c r="AO1053" s="3" t="n">
        <v>2</v>
      </c>
      <c r="AP1053" s="3" t="n">
        <v>3</v>
      </c>
      <c r="AQ1053" s="3" t="n">
        <v>4</v>
      </c>
      <c r="AR1053" s="3" t="n">
        <v>4</v>
      </c>
      <c r="AS1053" s="3" t="n">
        <v>6</v>
      </c>
      <c r="AT1053" s="3" t="n">
        <v>4</v>
      </c>
      <c r="AU1053" s="3" t="n">
        <v>4</v>
      </c>
      <c r="AV1053" s="3" t="n">
        <v>6</v>
      </c>
      <c r="AW1053" s="3" t="n">
        <v>6</v>
      </c>
      <c r="AX1053" s="3" t="n">
        <v>3</v>
      </c>
      <c r="AY1053" s="3" t="n">
        <v>3</v>
      </c>
      <c r="AZ1053" s="3" t="n">
        <v>1</v>
      </c>
      <c r="BA1053" s="5" t="n">
        <v>5</v>
      </c>
      <c r="BB1053" s="3" t="n">
        <v>2</v>
      </c>
      <c r="BC1053" s="3" t="n">
        <v>1</v>
      </c>
      <c r="BD1053" s="3" t="n">
        <v>6</v>
      </c>
      <c r="BE1053" s="3" t="n">
        <v>3</v>
      </c>
      <c r="BF1053" s="3" t="n">
        <v>5</v>
      </c>
      <c r="BG1053" s="3" t="n">
        <v>3</v>
      </c>
      <c r="BH1053" s="3" t="n">
        <v>4</v>
      </c>
      <c r="BI1053" s="3" t="n">
        <v>1</v>
      </c>
      <c r="BJ1053" s="3" t="n">
        <v>1</v>
      </c>
      <c r="BK1053" s="6" t="s">
        <v>2692</v>
      </c>
    </row>
    <row r="1054" customFormat="false" ht="15" hidden="false" customHeight="true" outlineLevel="0" collapsed="false">
      <c r="B1054" s="2" t="s">
        <v>2693</v>
      </c>
      <c r="C1054" s="2" t="s">
        <v>2694</v>
      </c>
      <c r="D1054" s="2" t="s">
        <v>127</v>
      </c>
      <c r="E1054" s="2" t="n">
        <v>206687</v>
      </c>
      <c r="F1054" s="15" t="n">
        <v>44185</v>
      </c>
      <c r="G1054" s="15" t="n">
        <v>44192</v>
      </c>
      <c r="H1054" s="3" t="n">
        <v>7</v>
      </c>
      <c r="I1054" s="3" t="n">
        <v>1</v>
      </c>
      <c r="J1054" s="3" t="n">
        <v>74</v>
      </c>
      <c r="K1054" s="3" t="n">
        <v>2</v>
      </c>
      <c r="L1054" s="3" t="n">
        <v>2</v>
      </c>
      <c r="M1054" s="3" t="n">
        <v>1</v>
      </c>
      <c r="N1054" s="3" t="n">
        <v>2</v>
      </c>
      <c r="O1054" s="3" t="n">
        <v>2</v>
      </c>
      <c r="P1054" s="3" t="n">
        <v>2</v>
      </c>
      <c r="Q1054" s="3" t="n">
        <v>1</v>
      </c>
      <c r="R1054" s="3" t="n">
        <v>2</v>
      </c>
      <c r="S1054" s="3" t="n">
        <v>2</v>
      </c>
      <c r="T1054" s="4" t="n">
        <v>2</v>
      </c>
      <c r="U1054" s="3" t="n">
        <v>2</v>
      </c>
      <c r="V1054" s="3" t="n">
        <v>5.03</v>
      </c>
      <c r="W1054" s="3" t="n">
        <v>1.3</v>
      </c>
      <c r="X1054" s="3" t="n">
        <v>4.62</v>
      </c>
      <c r="Y1054" s="3" t="n">
        <v>250</v>
      </c>
      <c r="Z1054" s="3" t="n">
        <v>93</v>
      </c>
      <c r="AA1054" s="3" t="n">
        <v>0.44</v>
      </c>
      <c r="AB1054" s="3" t="n">
        <v>7.6</v>
      </c>
      <c r="AD1054" s="3" t="n">
        <v>1</v>
      </c>
      <c r="AE1054" s="3" t="n">
        <v>1</v>
      </c>
      <c r="AF1054" s="3" t="n">
        <v>1</v>
      </c>
      <c r="AG1054" s="3" t="n">
        <v>1</v>
      </c>
      <c r="AH1054" s="3" t="n">
        <v>1</v>
      </c>
      <c r="AI1054" s="3" t="n">
        <v>1</v>
      </c>
      <c r="AJ1054" s="3" t="n">
        <v>1</v>
      </c>
      <c r="AK1054" s="3" t="n">
        <v>1</v>
      </c>
      <c r="AL1054" s="3" t="n">
        <v>2</v>
      </c>
      <c r="AM1054" s="3" t="n">
        <v>2</v>
      </c>
      <c r="AN1054" s="3" t="n">
        <v>2</v>
      </c>
      <c r="AO1054" s="3" t="n">
        <v>2</v>
      </c>
      <c r="AP1054" s="3" t="n">
        <v>3</v>
      </c>
      <c r="AQ1054" s="3" t="n">
        <v>4</v>
      </c>
      <c r="AR1054" s="3" t="n">
        <v>4</v>
      </c>
      <c r="AS1054" s="3" t="n">
        <v>6</v>
      </c>
      <c r="AT1054" s="3" t="n">
        <v>4</v>
      </c>
      <c r="AU1054" s="3" t="n">
        <v>4</v>
      </c>
      <c r="AV1054" s="3" t="n">
        <v>6</v>
      </c>
      <c r="AW1054" s="3" t="n">
        <v>6</v>
      </c>
      <c r="AX1054" s="3" t="n">
        <v>3</v>
      </c>
      <c r="AY1054" s="3" t="n">
        <v>3</v>
      </c>
      <c r="AZ1054" s="3" t="n">
        <v>1</v>
      </c>
      <c r="BA1054" s="5" t="n">
        <v>1</v>
      </c>
      <c r="BB1054" s="3" t="n">
        <v>1</v>
      </c>
      <c r="BC1054" s="3" t="n">
        <v>1</v>
      </c>
      <c r="BD1054" s="3" t="n">
        <v>2</v>
      </c>
      <c r="BE1054" s="3" t="n">
        <v>3</v>
      </c>
      <c r="BF1054" s="3" t="n">
        <v>5</v>
      </c>
      <c r="BG1054" s="3" t="n">
        <v>3</v>
      </c>
      <c r="BH1054" s="3" t="n">
        <v>4</v>
      </c>
      <c r="BI1054" s="3" t="n">
        <v>1</v>
      </c>
      <c r="BJ1054" s="3" t="n">
        <v>1</v>
      </c>
      <c r="BK1054" s="6" t="s">
        <v>341</v>
      </c>
    </row>
    <row r="1055" customFormat="false" ht="15" hidden="false" customHeight="true" outlineLevel="0" collapsed="false">
      <c r="B1055" s="2" t="s">
        <v>556</v>
      </c>
      <c r="C1055" s="2" t="s">
        <v>95</v>
      </c>
      <c r="D1055" s="2" t="s">
        <v>94</v>
      </c>
      <c r="E1055" s="2" t="n">
        <v>206428</v>
      </c>
      <c r="F1055" s="15" t="n">
        <v>44193</v>
      </c>
      <c r="G1055" s="15" t="n">
        <v>44195</v>
      </c>
      <c r="H1055" s="3" t="n">
        <v>2</v>
      </c>
      <c r="I1055" s="3" t="n">
        <v>2</v>
      </c>
      <c r="J1055" s="3" t="n">
        <v>64</v>
      </c>
      <c r="K1055" s="3" t="n">
        <v>1</v>
      </c>
      <c r="L1055" s="3" t="n">
        <v>1</v>
      </c>
      <c r="M1055" s="3" t="n">
        <v>1</v>
      </c>
      <c r="N1055" s="3" t="n">
        <v>2</v>
      </c>
      <c r="O1055" s="3" t="n">
        <v>1</v>
      </c>
      <c r="P1055" s="3" t="n">
        <v>1</v>
      </c>
      <c r="Q1055" s="3" t="n">
        <v>1</v>
      </c>
      <c r="R1055" s="3" t="n">
        <v>2</v>
      </c>
      <c r="S1055" s="3" t="n">
        <v>2</v>
      </c>
      <c r="T1055" s="4" t="n">
        <v>5</v>
      </c>
      <c r="U1055" s="3" t="n">
        <v>1</v>
      </c>
      <c r="V1055" s="3" t="n">
        <v>4.21</v>
      </c>
      <c r="W1055" s="3" t="n">
        <v>3.81</v>
      </c>
      <c r="X1055" s="3" t="n">
        <v>6.01</v>
      </c>
      <c r="Y1055" s="3" t="n">
        <v>357</v>
      </c>
      <c r="Z1055" s="3" t="n">
        <v>93</v>
      </c>
      <c r="AA1055" s="3" t="n">
        <v>0.47</v>
      </c>
      <c r="AB1055" s="3" t="n">
        <v>16.7</v>
      </c>
      <c r="AC1055" s="3" t="n">
        <v>3</v>
      </c>
      <c r="AD1055" s="3" t="n">
        <v>1</v>
      </c>
      <c r="AE1055" s="3" t="n">
        <v>1</v>
      </c>
      <c r="AF1055" s="3" t="n">
        <v>1</v>
      </c>
      <c r="AG1055" s="3" t="n">
        <v>2</v>
      </c>
      <c r="AH1055" s="3" t="n">
        <v>1</v>
      </c>
      <c r="AI1055" s="3" t="n">
        <v>1</v>
      </c>
      <c r="AJ1055" s="3" t="n">
        <v>2</v>
      </c>
      <c r="AK1055" s="3" t="n">
        <v>2</v>
      </c>
      <c r="AL1055" s="3" t="n">
        <v>2</v>
      </c>
      <c r="AM1055" s="3" t="n">
        <v>1</v>
      </c>
      <c r="AN1055" s="3" t="n">
        <v>2</v>
      </c>
      <c r="AO1055" s="3" t="n">
        <v>2</v>
      </c>
      <c r="AP1055" s="3" t="n">
        <v>1</v>
      </c>
      <c r="AQ1055" s="3" t="n">
        <v>2</v>
      </c>
      <c r="AR1055" s="3" t="n">
        <v>5</v>
      </c>
      <c r="AS1055" s="3" t="n">
        <v>2</v>
      </c>
      <c r="AT1055" s="3" t="n">
        <v>2</v>
      </c>
      <c r="AU1055" s="3" t="n">
        <v>1</v>
      </c>
      <c r="AV1055" s="3" t="n">
        <v>1</v>
      </c>
      <c r="AW1055" s="3" t="n">
        <v>1</v>
      </c>
      <c r="AX1055" s="3" t="n">
        <v>2</v>
      </c>
      <c r="AY1055" s="3" t="n">
        <v>2</v>
      </c>
      <c r="AZ1055" s="3" t="n">
        <v>1</v>
      </c>
      <c r="BA1055" s="5" t="n">
        <v>3</v>
      </c>
      <c r="BB1055" s="3" t="n">
        <v>2</v>
      </c>
      <c r="BC1055" s="3" t="n">
        <v>1</v>
      </c>
      <c r="BD1055" s="3" t="n">
        <v>6</v>
      </c>
      <c r="BE1055" s="3" t="n">
        <v>3</v>
      </c>
      <c r="BF1055" s="3" t="n">
        <v>5</v>
      </c>
      <c r="BG1055" s="3" t="n">
        <v>3</v>
      </c>
      <c r="BH1055" s="3" t="n">
        <v>4</v>
      </c>
      <c r="BI1055" s="3" t="n">
        <v>1</v>
      </c>
      <c r="BJ1055" s="3" t="n">
        <v>1</v>
      </c>
      <c r="BK1055" s="6" t="s">
        <v>2695</v>
      </c>
    </row>
    <row r="1056" customFormat="false" ht="15" hidden="false" customHeight="true" outlineLevel="0" collapsed="false">
      <c r="B1056" s="2" t="s">
        <v>2696</v>
      </c>
      <c r="C1056" s="2" t="s">
        <v>2697</v>
      </c>
      <c r="D1056" s="2" t="s">
        <v>398</v>
      </c>
      <c r="E1056" s="2" t="n">
        <v>206807</v>
      </c>
      <c r="F1056" s="15" t="n">
        <v>44191</v>
      </c>
      <c r="G1056" s="15" t="n">
        <v>44195</v>
      </c>
      <c r="H1056" s="3" t="n">
        <v>4</v>
      </c>
      <c r="I1056" s="3" t="n">
        <v>2</v>
      </c>
      <c r="J1056" s="3" t="n">
        <v>72</v>
      </c>
      <c r="K1056" s="3" t="n">
        <v>2</v>
      </c>
      <c r="L1056" s="3" t="n">
        <v>1</v>
      </c>
      <c r="M1056" s="3" t="n">
        <v>1</v>
      </c>
      <c r="N1056" s="3" t="n">
        <v>2</v>
      </c>
      <c r="O1056" s="3" t="n">
        <v>2</v>
      </c>
      <c r="P1056" s="3" t="n">
        <v>1</v>
      </c>
      <c r="Q1056" s="3" t="n">
        <v>1</v>
      </c>
      <c r="R1056" s="3" t="n">
        <v>2</v>
      </c>
      <c r="S1056" s="3" t="n">
        <v>1</v>
      </c>
      <c r="T1056" s="4" t="n">
        <v>1</v>
      </c>
      <c r="U1056" s="3" t="n">
        <v>1</v>
      </c>
      <c r="V1056" s="3" t="s">
        <v>2698</v>
      </c>
      <c r="W1056" s="3" t="s">
        <v>2699</v>
      </c>
      <c r="X1056" s="3" t="s">
        <v>2700</v>
      </c>
      <c r="Y1056" s="3" t="n">
        <v>413</v>
      </c>
      <c r="Z1056" s="3" t="n">
        <v>181</v>
      </c>
      <c r="AA1056" s="3" t="s">
        <v>2701</v>
      </c>
      <c r="AB1056" s="3" t="s">
        <v>2702</v>
      </c>
      <c r="AC1056" s="3" t="n">
        <v>1</v>
      </c>
      <c r="AD1056" s="3" t="n">
        <v>1</v>
      </c>
      <c r="AE1056" s="3" t="n">
        <v>1</v>
      </c>
      <c r="AF1056" s="3" t="n">
        <v>1</v>
      </c>
      <c r="AG1056" s="3" t="n">
        <v>1</v>
      </c>
      <c r="AH1056" s="3" t="n">
        <v>2</v>
      </c>
      <c r="AI1056" s="3" t="n">
        <v>1</v>
      </c>
      <c r="AJ1056" s="3" t="n">
        <v>1</v>
      </c>
      <c r="AK1056" s="3" t="n">
        <v>1</v>
      </c>
      <c r="AL1056" s="3" t="n">
        <v>2</v>
      </c>
      <c r="AM1056" s="3" t="n">
        <v>1</v>
      </c>
      <c r="AN1056" s="3" t="n">
        <v>2</v>
      </c>
      <c r="AO1056" s="3" t="n">
        <v>2</v>
      </c>
      <c r="AP1056" s="3" t="n">
        <v>3</v>
      </c>
      <c r="AQ1056" s="3" t="n">
        <v>4</v>
      </c>
      <c r="AR1056" s="3" t="n">
        <v>4</v>
      </c>
      <c r="AS1056" s="3" t="n">
        <v>6</v>
      </c>
      <c r="AT1056" s="3" t="n">
        <v>4</v>
      </c>
      <c r="AU1056" s="3" t="n">
        <v>4</v>
      </c>
      <c r="AV1056" s="3" t="n">
        <v>6</v>
      </c>
      <c r="AW1056" s="3" t="n">
        <v>6</v>
      </c>
      <c r="AX1056" s="3" t="n">
        <v>3</v>
      </c>
      <c r="AY1056" s="3" t="n">
        <v>3</v>
      </c>
      <c r="AZ1056" s="3" t="n">
        <v>1</v>
      </c>
      <c r="BA1056" s="5" t="n">
        <v>5</v>
      </c>
      <c r="BB1056" s="3" t="n">
        <v>2</v>
      </c>
      <c r="BC1056" s="3" t="n">
        <v>1</v>
      </c>
      <c r="BD1056" s="3" t="n">
        <v>6</v>
      </c>
      <c r="BE1056" s="3" t="n">
        <v>3</v>
      </c>
      <c r="BF1056" s="3" t="n">
        <v>5</v>
      </c>
      <c r="BG1056" s="3" t="n">
        <v>3</v>
      </c>
      <c r="BH1056" s="3" t="n">
        <v>4</v>
      </c>
      <c r="BI1056" s="3" t="n">
        <v>1</v>
      </c>
      <c r="BJ1056" s="3" t="n">
        <v>1</v>
      </c>
      <c r="BK1056" s="6" t="s">
        <v>2703</v>
      </c>
    </row>
    <row r="1057" s="30" customFormat="true" ht="15" hidden="false" customHeight="true" outlineLevel="0" collapsed="false">
      <c r="A1057" s="24"/>
      <c r="B1057" s="26" t="s">
        <v>2343</v>
      </c>
      <c r="C1057" s="26" t="s">
        <v>869</v>
      </c>
      <c r="D1057" s="26" t="s">
        <v>2704</v>
      </c>
      <c r="E1057" s="26" t="n">
        <v>501931</v>
      </c>
      <c r="F1057" s="27" t="n">
        <v>44187</v>
      </c>
      <c r="G1057" s="27" t="n">
        <v>44188</v>
      </c>
      <c r="H1057" s="30" t="n">
        <v>1</v>
      </c>
      <c r="I1057" s="30" t="n">
        <v>1</v>
      </c>
      <c r="J1057" s="30" t="n">
        <v>53</v>
      </c>
      <c r="K1057" s="30" t="n">
        <v>2</v>
      </c>
      <c r="L1057" s="30" t="n">
        <v>1</v>
      </c>
      <c r="M1057" s="30" t="n">
        <v>1</v>
      </c>
      <c r="N1057" s="30" t="n">
        <v>2</v>
      </c>
      <c r="O1057" s="30" t="n">
        <v>2</v>
      </c>
      <c r="P1057" s="30" t="n">
        <v>1</v>
      </c>
      <c r="Q1057" s="30" t="n">
        <v>1</v>
      </c>
      <c r="R1057" s="30" t="n">
        <v>2</v>
      </c>
      <c r="S1057" s="30" t="n">
        <v>2</v>
      </c>
      <c r="T1057" s="4" t="n">
        <v>2</v>
      </c>
      <c r="U1057" s="30" t="n">
        <v>2</v>
      </c>
      <c r="AD1057" s="30" t="n">
        <v>1</v>
      </c>
      <c r="AE1057" s="30" t="n">
        <v>1</v>
      </c>
      <c r="AF1057" s="30" t="n">
        <v>1</v>
      </c>
      <c r="AG1057" s="30" t="n">
        <v>2</v>
      </c>
      <c r="AH1057" s="30" t="n">
        <v>2</v>
      </c>
      <c r="AI1057" s="30" t="n">
        <v>1</v>
      </c>
      <c r="AJ1057" s="30" t="n">
        <v>2</v>
      </c>
      <c r="AK1057" s="30" t="n">
        <v>2</v>
      </c>
      <c r="AL1057" s="30" t="n">
        <v>2</v>
      </c>
      <c r="AM1057" s="30" t="n">
        <v>1</v>
      </c>
      <c r="AN1057" s="30" t="n">
        <v>2</v>
      </c>
      <c r="AO1057" s="30" t="n">
        <v>2</v>
      </c>
      <c r="AP1057" s="30" t="n">
        <v>3</v>
      </c>
      <c r="AQ1057" s="30" t="n">
        <v>4</v>
      </c>
      <c r="AR1057" s="30" t="n">
        <v>4</v>
      </c>
      <c r="AS1057" s="30" t="n">
        <v>6</v>
      </c>
      <c r="AT1057" s="30" t="n">
        <v>4</v>
      </c>
      <c r="AU1057" s="30" t="n">
        <v>4</v>
      </c>
      <c r="AV1057" s="30" t="n">
        <v>6</v>
      </c>
      <c r="AW1057" s="30" t="n">
        <v>6</v>
      </c>
      <c r="AX1057" s="30" t="n">
        <v>3</v>
      </c>
      <c r="AY1057" s="30" t="n">
        <v>3</v>
      </c>
      <c r="AZ1057" s="30" t="n">
        <v>10</v>
      </c>
      <c r="BA1057" s="5" t="n">
        <v>1</v>
      </c>
      <c r="BB1057" s="30" t="n">
        <v>1</v>
      </c>
      <c r="BC1057" s="30" t="n">
        <v>2</v>
      </c>
      <c r="BD1057" s="30" t="n">
        <v>2</v>
      </c>
      <c r="BE1057" s="30" t="n">
        <v>1</v>
      </c>
      <c r="BF1057" s="30" t="n">
        <v>2</v>
      </c>
      <c r="BG1057" s="30" t="n">
        <v>1</v>
      </c>
      <c r="BH1057" s="30" t="n">
        <v>4</v>
      </c>
      <c r="BI1057" s="30" t="n">
        <v>1</v>
      </c>
      <c r="BJ1057" s="30" t="n">
        <v>1</v>
      </c>
      <c r="BK1057" s="31" t="s">
        <v>2705</v>
      </c>
    </row>
    <row r="1058" customFormat="false" ht="15" hidden="false" customHeight="true" outlineLevel="0" collapsed="false">
      <c r="B1058" s="2" t="s">
        <v>2421</v>
      </c>
      <c r="C1058" s="2" t="s">
        <v>2668</v>
      </c>
      <c r="D1058" s="2" t="s">
        <v>2706</v>
      </c>
      <c r="E1058" s="2" t="n">
        <v>206779</v>
      </c>
      <c r="F1058" s="15" t="n">
        <v>44187</v>
      </c>
      <c r="G1058" s="15" t="n">
        <v>44193</v>
      </c>
      <c r="H1058" s="3" t="n">
        <v>6</v>
      </c>
      <c r="I1058" s="3" t="n">
        <v>2</v>
      </c>
      <c r="J1058" s="3" t="n">
        <v>67</v>
      </c>
      <c r="K1058" s="3" t="n">
        <v>1</v>
      </c>
      <c r="L1058" s="3" t="n">
        <v>1</v>
      </c>
      <c r="M1058" s="3" t="n">
        <v>1</v>
      </c>
      <c r="N1058" s="3" t="n">
        <v>2</v>
      </c>
      <c r="O1058" s="3" t="n">
        <v>2</v>
      </c>
      <c r="P1058" s="3" t="n">
        <v>2</v>
      </c>
      <c r="Q1058" s="3" t="n">
        <v>2</v>
      </c>
      <c r="R1058" s="3" t="n">
        <v>2</v>
      </c>
      <c r="S1058" s="3" t="n">
        <v>2</v>
      </c>
      <c r="T1058" s="4" t="n">
        <v>2</v>
      </c>
      <c r="U1058" s="3" t="n">
        <v>2</v>
      </c>
      <c r="V1058" s="3" t="n">
        <v>3.85</v>
      </c>
      <c r="W1058" s="3" t="n">
        <v>0.77</v>
      </c>
      <c r="X1058" s="3" t="n">
        <v>5.63</v>
      </c>
      <c r="Y1058" s="3" t="n">
        <v>721</v>
      </c>
      <c r="Z1058" s="3" t="n">
        <v>126</v>
      </c>
      <c r="AA1058" s="3" t="n">
        <v>0.45</v>
      </c>
      <c r="AB1058" s="3" t="n">
        <v>8.6</v>
      </c>
      <c r="AC1058" s="3" t="n">
        <v>2</v>
      </c>
      <c r="AD1058" s="3" t="n">
        <v>2</v>
      </c>
      <c r="AE1058" s="3" t="n">
        <v>2</v>
      </c>
      <c r="AF1058" s="3" t="n">
        <v>1</v>
      </c>
      <c r="AG1058" s="3" t="n">
        <v>2</v>
      </c>
      <c r="AH1058" s="3" t="n">
        <v>1</v>
      </c>
      <c r="AI1058" s="3" t="n">
        <v>1</v>
      </c>
      <c r="AJ1058" s="3" t="n">
        <v>1</v>
      </c>
      <c r="AK1058" s="3" t="n">
        <v>2</v>
      </c>
      <c r="AL1058" s="3" t="n">
        <v>2</v>
      </c>
      <c r="AM1058" s="3" t="n">
        <v>1</v>
      </c>
      <c r="AN1058" s="3" t="n">
        <v>2</v>
      </c>
      <c r="AO1058" s="3" t="n">
        <v>2</v>
      </c>
      <c r="AP1058" s="3" t="n">
        <v>3</v>
      </c>
      <c r="AQ1058" s="3" t="n">
        <v>4</v>
      </c>
      <c r="AR1058" s="3" t="n">
        <v>4</v>
      </c>
      <c r="AS1058" s="3" t="n">
        <v>6</v>
      </c>
      <c r="AT1058" s="3" t="n">
        <v>4</v>
      </c>
      <c r="AU1058" s="3" t="n">
        <v>4</v>
      </c>
      <c r="AV1058" s="3" t="n">
        <v>6</v>
      </c>
      <c r="AW1058" s="3" t="n">
        <v>6</v>
      </c>
      <c r="AX1058" s="3" t="n">
        <v>3</v>
      </c>
      <c r="AY1058" s="3" t="n">
        <v>3</v>
      </c>
      <c r="AZ1058" s="3" t="n">
        <v>1</v>
      </c>
      <c r="BA1058" s="5" t="n">
        <v>5</v>
      </c>
      <c r="BB1058" s="3" t="n">
        <v>2</v>
      </c>
      <c r="BC1058" s="3" t="n">
        <v>1</v>
      </c>
      <c r="BD1058" s="3" t="n">
        <v>6</v>
      </c>
      <c r="BE1058" s="3" t="n">
        <v>3</v>
      </c>
      <c r="BF1058" s="3" t="n">
        <v>5</v>
      </c>
      <c r="BG1058" s="3" t="n">
        <v>3</v>
      </c>
      <c r="BH1058" s="3" t="n">
        <v>4</v>
      </c>
      <c r="BI1058" s="3" t="n">
        <v>1</v>
      </c>
      <c r="BJ1058" s="3" t="n">
        <v>1</v>
      </c>
      <c r="BK1058" s="6" t="s">
        <v>2707</v>
      </c>
    </row>
    <row r="1059" customFormat="false" ht="15" hidden="false" customHeight="true" outlineLevel="0" collapsed="false">
      <c r="B1059" s="2" t="s">
        <v>807</v>
      </c>
      <c r="C1059" s="2" t="s">
        <v>2708</v>
      </c>
      <c r="D1059" s="2" t="s">
        <v>1709</v>
      </c>
      <c r="E1059" s="2" t="n">
        <v>206876</v>
      </c>
      <c r="F1059" s="15" t="n">
        <v>44194</v>
      </c>
      <c r="G1059" s="15" t="n">
        <v>44196</v>
      </c>
      <c r="H1059" s="3" t="n">
        <v>2</v>
      </c>
      <c r="I1059" s="3" t="n">
        <v>1</v>
      </c>
      <c r="J1059" s="3" t="n">
        <v>76</v>
      </c>
      <c r="K1059" s="3" t="n">
        <v>1</v>
      </c>
      <c r="L1059" s="3" t="n">
        <v>1</v>
      </c>
      <c r="M1059" s="3" t="n">
        <v>1</v>
      </c>
      <c r="N1059" s="3" t="n">
        <v>2</v>
      </c>
      <c r="O1059" s="3" t="n">
        <v>2</v>
      </c>
      <c r="P1059" s="3" t="n">
        <v>1</v>
      </c>
      <c r="Q1059" s="3" t="n">
        <v>2</v>
      </c>
      <c r="R1059" s="3" t="n">
        <v>2</v>
      </c>
      <c r="S1059" s="3" t="n">
        <v>2</v>
      </c>
      <c r="T1059" s="4" t="n">
        <v>3</v>
      </c>
      <c r="U1059" s="3" t="n">
        <v>1</v>
      </c>
      <c r="V1059" s="3" t="n">
        <v>3.79</v>
      </c>
      <c r="W1059" s="3" t="n">
        <v>1.3</v>
      </c>
      <c r="X1059" s="3" t="n">
        <v>7.13</v>
      </c>
      <c r="Y1059" s="3" t="n">
        <v>418</v>
      </c>
      <c r="Z1059" s="3" t="n">
        <v>88</v>
      </c>
      <c r="AA1059" s="3" t="n">
        <v>0.38</v>
      </c>
      <c r="AB1059" s="3" t="n">
        <v>7.5</v>
      </c>
      <c r="AC1059" s="3" t="n">
        <v>1</v>
      </c>
      <c r="AD1059" s="3" t="n">
        <v>2</v>
      </c>
      <c r="AE1059" s="3" t="n">
        <v>1</v>
      </c>
      <c r="AF1059" s="3" t="n">
        <v>1</v>
      </c>
      <c r="AG1059" s="3" t="n">
        <v>1</v>
      </c>
      <c r="AH1059" s="3" t="n">
        <v>2</v>
      </c>
      <c r="AI1059" s="3" t="n">
        <v>1</v>
      </c>
      <c r="AJ1059" s="3" t="n">
        <v>1</v>
      </c>
      <c r="AK1059" s="3" t="n">
        <v>2</v>
      </c>
      <c r="AL1059" s="3" t="n">
        <v>2</v>
      </c>
      <c r="AM1059" s="3" t="n">
        <v>1</v>
      </c>
      <c r="AN1059" s="3" t="n">
        <v>2</v>
      </c>
      <c r="AO1059" s="3" t="n">
        <v>2</v>
      </c>
      <c r="AP1059" s="3" t="n">
        <v>3</v>
      </c>
      <c r="AQ1059" s="3" t="n">
        <v>4</v>
      </c>
      <c r="AR1059" s="3" t="n">
        <v>4</v>
      </c>
      <c r="AS1059" s="3" t="n">
        <v>6</v>
      </c>
      <c r="AT1059" s="3" t="n">
        <v>4</v>
      </c>
      <c r="AU1059" s="3" t="n">
        <v>4</v>
      </c>
      <c r="AV1059" s="3" t="n">
        <v>6</v>
      </c>
      <c r="AW1059" s="3" t="n">
        <v>6</v>
      </c>
      <c r="AX1059" s="3" t="n">
        <v>3</v>
      </c>
      <c r="AY1059" s="3" t="n">
        <v>3</v>
      </c>
      <c r="AZ1059" s="3" t="n">
        <v>1</v>
      </c>
      <c r="BA1059" s="5" t="n">
        <v>11</v>
      </c>
      <c r="BB1059" s="3" t="n">
        <v>2</v>
      </c>
      <c r="BC1059" s="3" t="n">
        <v>1</v>
      </c>
      <c r="BD1059" s="3" t="n">
        <v>6</v>
      </c>
      <c r="BE1059" s="3" t="n">
        <v>3</v>
      </c>
      <c r="BF1059" s="3" t="n">
        <v>5</v>
      </c>
      <c r="BG1059" s="3" t="n">
        <v>3</v>
      </c>
      <c r="BH1059" s="3" t="n">
        <v>4</v>
      </c>
      <c r="BI1059" s="3" t="n">
        <v>1</v>
      </c>
      <c r="BJ1059" s="3" t="n">
        <v>1</v>
      </c>
      <c r="BK1059" s="6" t="s">
        <v>2709</v>
      </c>
    </row>
    <row r="1060" customFormat="false" ht="15" hidden="false" customHeight="true" outlineLevel="0" collapsed="false">
      <c r="B1060" s="2" t="s">
        <v>2710</v>
      </c>
      <c r="C1060" s="2" t="s">
        <v>95</v>
      </c>
      <c r="D1060" s="2" t="s">
        <v>746</v>
      </c>
      <c r="E1060" s="2" t="n">
        <v>206711</v>
      </c>
      <c r="F1060" s="15" t="n">
        <v>44188</v>
      </c>
      <c r="G1060" s="15" t="n">
        <v>44196</v>
      </c>
      <c r="H1060" s="3" t="n">
        <v>8</v>
      </c>
      <c r="I1060" s="3" t="n">
        <v>1</v>
      </c>
      <c r="J1060" s="3" t="n">
        <v>72</v>
      </c>
      <c r="K1060" s="3" t="n">
        <v>2</v>
      </c>
      <c r="L1060" s="3" t="n">
        <v>2</v>
      </c>
      <c r="M1060" s="3" t="n">
        <v>1</v>
      </c>
      <c r="N1060" s="3" t="n">
        <v>2</v>
      </c>
      <c r="O1060" s="3" t="n">
        <v>2</v>
      </c>
      <c r="P1060" s="3" t="n">
        <v>2</v>
      </c>
      <c r="Q1060" s="3" t="n">
        <v>2</v>
      </c>
      <c r="R1060" s="3" t="n">
        <v>2</v>
      </c>
      <c r="S1060" s="3" t="n">
        <v>2</v>
      </c>
      <c r="T1060" s="4" t="n">
        <v>4</v>
      </c>
      <c r="U1060" s="3" t="n">
        <v>4</v>
      </c>
      <c r="V1060" s="3" t="n">
        <v>5.47</v>
      </c>
      <c r="W1060" s="3" t="n">
        <v>1.21</v>
      </c>
      <c r="X1060" s="3" t="n">
        <v>4.62</v>
      </c>
      <c r="Y1060" s="3" t="n">
        <v>332</v>
      </c>
      <c r="Z1060" s="3" t="n">
        <v>88</v>
      </c>
      <c r="AA1060" s="3" t="n">
        <v>0.35</v>
      </c>
      <c r="AB1060" s="3" t="n">
        <v>8.6</v>
      </c>
      <c r="AC1060" s="3" t="n">
        <v>1</v>
      </c>
      <c r="AD1060" s="3" t="n">
        <v>2</v>
      </c>
      <c r="AE1060" s="3" t="n">
        <v>2</v>
      </c>
      <c r="AF1060" s="3" t="n">
        <v>2</v>
      </c>
      <c r="AG1060" s="3" t="n">
        <v>2</v>
      </c>
      <c r="AH1060" s="3" t="n">
        <v>1</v>
      </c>
      <c r="AI1060" s="3" t="n">
        <v>1</v>
      </c>
      <c r="AJ1060" s="3" t="n">
        <v>1</v>
      </c>
      <c r="AK1060" s="3" t="n">
        <v>2</v>
      </c>
      <c r="AL1060" s="3" t="n">
        <v>2</v>
      </c>
      <c r="AM1060" s="3" t="n">
        <v>2</v>
      </c>
      <c r="AN1060" s="3" t="n">
        <v>2</v>
      </c>
      <c r="AO1060" s="3" t="n">
        <v>2</v>
      </c>
      <c r="AP1060" s="3" t="n">
        <v>3</v>
      </c>
      <c r="AQ1060" s="3" t="n">
        <v>4</v>
      </c>
      <c r="AR1060" s="3" t="n">
        <v>4</v>
      </c>
      <c r="AS1060" s="3" t="n">
        <v>6</v>
      </c>
      <c r="AT1060" s="3" t="n">
        <v>4</v>
      </c>
      <c r="AU1060" s="3" t="n">
        <v>4</v>
      </c>
      <c r="AV1060" s="3" t="n">
        <v>6</v>
      </c>
      <c r="AW1060" s="3" t="n">
        <v>6</v>
      </c>
      <c r="AX1060" s="3" t="n">
        <v>3</v>
      </c>
      <c r="AY1060" s="3" t="n">
        <v>3</v>
      </c>
      <c r="AZ1060" s="3" t="n">
        <v>1</v>
      </c>
      <c r="BA1060" s="5" t="n">
        <v>10</v>
      </c>
      <c r="BB1060" s="3" t="n">
        <v>2</v>
      </c>
      <c r="BC1060" s="3" t="n">
        <v>1</v>
      </c>
      <c r="BD1060" s="3" t="n">
        <v>6</v>
      </c>
      <c r="BE1060" s="3" t="n">
        <v>3</v>
      </c>
      <c r="BF1060" s="3" t="n">
        <v>5</v>
      </c>
      <c r="BG1060" s="3" t="n">
        <v>3</v>
      </c>
      <c r="BH1060" s="3" t="n">
        <v>4</v>
      </c>
      <c r="BI1060" s="3" t="n">
        <v>1</v>
      </c>
      <c r="BJ1060" s="3" t="n">
        <v>1</v>
      </c>
      <c r="BK1060" s="6" t="s">
        <v>2711</v>
      </c>
    </row>
    <row r="1061" customFormat="false" ht="15" hidden="false" customHeight="true" outlineLevel="0" collapsed="false">
      <c r="B1061" s="2" t="s">
        <v>660</v>
      </c>
      <c r="C1061" s="2" t="s">
        <v>168</v>
      </c>
      <c r="D1061" s="2" t="s">
        <v>1214</v>
      </c>
      <c r="E1061" s="2" t="n">
        <v>206850</v>
      </c>
      <c r="F1061" s="15" t="n">
        <v>44193</v>
      </c>
      <c r="G1061" s="15" t="n">
        <v>44199</v>
      </c>
      <c r="H1061" s="3" t="n">
        <v>6</v>
      </c>
      <c r="I1061" s="3" t="n">
        <v>2</v>
      </c>
      <c r="J1061" s="3" t="n">
        <v>74</v>
      </c>
      <c r="K1061" s="3" t="n">
        <v>2</v>
      </c>
      <c r="L1061" s="3" t="n">
        <v>1</v>
      </c>
      <c r="M1061" s="3" t="n">
        <v>1</v>
      </c>
      <c r="N1061" s="3" t="n">
        <v>2</v>
      </c>
      <c r="O1061" s="3" t="n">
        <v>2</v>
      </c>
      <c r="P1061" s="3" t="n">
        <v>2</v>
      </c>
      <c r="Q1061" s="3" t="n">
        <v>2</v>
      </c>
      <c r="R1061" s="3" t="n">
        <v>2</v>
      </c>
      <c r="S1061" s="3" t="n">
        <v>2</v>
      </c>
      <c r="T1061" s="4" t="n">
        <v>3</v>
      </c>
      <c r="U1061" s="3" t="n">
        <v>4</v>
      </c>
      <c r="V1061" s="3" t="n">
        <v>3.85</v>
      </c>
      <c r="W1061" s="3" t="n">
        <v>0.77</v>
      </c>
      <c r="X1061" s="3" t="n">
        <v>5.65</v>
      </c>
      <c r="Y1061" s="3" t="n">
        <v>721</v>
      </c>
      <c r="Z1061" s="3" t="n">
        <v>126</v>
      </c>
      <c r="AA1061" s="3" t="n">
        <v>0.45</v>
      </c>
      <c r="AB1061" s="3" t="n">
        <v>8.6</v>
      </c>
      <c r="AC1061" s="3" t="n">
        <v>2</v>
      </c>
      <c r="AD1061" s="3" t="n">
        <v>2</v>
      </c>
      <c r="AE1061" s="3" t="n">
        <v>1</v>
      </c>
      <c r="AF1061" s="3" t="n">
        <v>1</v>
      </c>
      <c r="AG1061" s="3" t="n">
        <v>1</v>
      </c>
      <c r="AH1061" s="3" t="n">
        <v>2</v>
      </c>
      <c r="AI1061" s="3" t="n">
        <v>1</v>
      </c>
      <c r="AJ1061" s="3" t="n">
        <v>1</v>
      </c>
      <c r="AK1061" s="3" t="n">
        <v>2</v>
      </c>
      <c r="AL1061" s="3" t="n">
        <v>1</v>
      </c>
      <c r="AM1061" s="3" t="n">
        <v>1</v>
      </c>
      <c r="AN1061" s="3" t="n">
        <v>2</v>
      </c>
      <c r="AO1061" s="3" t="n">
        <v>2</v>
      </c>
      <c r="AP1061" s="3" t="n">
        <v>3</v>
      </c>
      <c r="AQ1061" s="3" t="n">
        <v>4</v>
      </c>
      <c r="AR1061" s="3" t="n">
        <v>4</v>
      </c>
      <c r="AS1061" s="3" t="n">
        <v>6</v>
      </c>
      <c r="AT1061" s="3" t="n">
        <v>4</v>
      </c>
      <c r="AU1061" s="3" t="n">
        <v>4</v>
      </c>
      <c r="AV1061" s="3" t="n">
        <v>6</v>
      </c>
      <c r="AW1061" s="3" t="n">
        <v>6</v>
      </c>
      <c r="AX1061" s="3" t="n">
        <v>3</v>
      </c>
      <c r="AY1061" s="3" t="n">
        <v>3</v>
      </c>
      <c r="AZ1061" s="3" t="n">
        <v>1</v>
      </c>
      <c r="BA1061" s="5" t="n">
        <v>11</v>
      </c>
      <c r="BB1061" s="3" t="n">
        <v>2</v>
      </c>
      <c r="BC1061" s="3" t="n">
        <v>1</v>
      </c>
      <c r="BD1061" s="3" t="n">
        <v>6</v>
      </c>
      <c r="BE1061" s="3" t="n">
        <v>3</v>
      </c>
      <c r="BF1061" s="3" t="n">
        <v>5</v>
      </c>
      <c r="BG1061" s="3" t="n">
        <v>3</v>
      </c>
      <c r="BH1061" s="3" t="n">
        <v>4</v>
      </c>
      <c r="BI1061" s="3" t="n">
        <v>1</v>
      </c>
      <c r="BJ1061" s="3" t="n">
        <v>1</v>
      </c>
      <c r="BK1061" s="6" t="s">
        <v>2712</v>
      </c>
    </row>
    <row r="1062" customFormat="false" ht="15" hidden="false" customHeight="true" outlineLevel="0" collapsed="false">
      <c r="B1062" s="2" t="s">
        <v>2617</v>
      </c>
      <c r="C1062" s="2" t="s">
        <v>2618</v>
      </c>
      <c r="D1062" s="2" t="s">
        <v>626</v>
      </c>
      <c r="E1062" s="2" t="n">
        <v>206865</v>
      </c>
      <c r="F1062" s="15" t="n">
        <v>44193</v>
      </c>
      <c r="G1062" s="15" t="n">
        <v>44197</v>
      </c>
      <c r="H1062" s="3" t="n">
        <v>4</v>
      </c>
      <c r="I1062" s="3" t="n">
        <v>1</v>
      </c>
      <c r="J1062" s="3" t="n">
        <v>81</v>
      </c>
      <c r="K1062" s="3" t="n">
        <v>2</v>
      </c>
      <c r="M1062" s="3" t="n">
        <v>1</v>
      </c>
      <c r="N1062" s="3" t="n">
        <v>2</v>
      </c>
      <c r="O1062" s="3" t="n">
        <v>2</v>
      </c>
      <c r="P1062" s="3" t="n">
        <v>2</v>
      </c>
      <c r="Q1062" s="3" t="n">
        <v>1</v>
      </c>
      <c r="R1062" s="3" t="n">
        <v>2</v>
      </c>
      <c r="S1062" s="3" t="n">
        <v>1</v>
      </c>
      <c r="T1062" s="4" t="n">
        <v>3</v>
      </c>
      <c r="U1062" s="3" t="n">
        <v>1</v>
      </c>
      <c r="V1062" s="3" t="n">
        <v>1.98</v>
      </c>
      <c r="W1062" s="3" t="n">
        <v>0.78</v>
      </c>
      <c r="X1062" s="3" t="n">
        <v>9.89</v>
      </c>
      <c r="Y1062" s="3" t="n">
        <v>623</v>
      </c>
      <c r="Z1062" s="3" t="n">
        <v>99</v>
      </c>
      <c r="AA1062" s="3" t="n">
        <v>0.36</v>
      </c>
      <c r="AB1062" s="3" t="n">
        <v>9.6</v>
      </c>
      <c r="AC1062" s="3" t="n">
        <v>1</v>
      </c>
      <c r="AD1062" s="3" t="n">
        <v>1</v>
      </c>
      <c r="AE1062" s="3" t="n">
        <v>2</v>
      </c>
      <c r="AF1062" s="3" t="n">
        <v>1</v>
      </c>
      <c r="AG1062" s="3" t="n">
        <v>2</v>
      </c>
      <c r="AH1062" s="3" t="n">
        <v>2</v>
      </c>
      <c r="AI1062" s="3" t="n">
        <v>1</v>
      </c>
      <c r="AJ1062" s="3" t="n">
        <v>1</v>
      </c>
      <c r="AK1062" s="3" t="n">
        <v>2</v>
      </c>
      <c r="AL1062" s="3" t="n">
        <v>1</v>
      </c>
      <c r="AM1062" s="3" t="n">
        <v>1</v>
      </c>
      <c r="AN1062" s="3" t="n">
        <v>2</v>
      </c>
      <c r="AO1062" s="3" t="n">
        <v>2</v>
      </c>
      <c r="AP1062" s="3" t="n">
        <v>3</v>
      </c>
      <c r="AQ1062" s="3" t="n">
        <v>4</v>
      </c>
      <c r="AR1062" s="3" t="n">
        <v>4</v>
      </c>
      <c r="AS1062" s="3" t="n">
        <v>6</v>
      </c>
      <c r="AT1062" s="3" t="n">
        <v>4</v>
      </c>
      <c r="AU1062" s="3" t="n">
        <v>4</v>
      </c>
      <c r="AV1062" s="3" t="n">
        <v>6</v>
      </c>
      <c r="AW1062" s="3" t="n">
        <v>6</v>
      </c>
      <c r="AX1062" s="3" t="n">
        <v>3</v>
      </c>
      <c r="AY1062" s="3" t="n">
        <v>3</v>
      </c>
      <c r="AZ1062" s="3" t="n">
        <v>1</v>
      </c>
      <c r="BA1062" s="5" t="n">
        <v>11</v>
      </c>
      <c r="BB1062" s="3" t="n">
        <v>2</v>
      </c>
      <c r="BC1062" s="3" t="n">
        <v>1</v>
      </c>
      <c r="BD1062" s="3" t="n">
        <v>6</v>
      </c>
      <c r="BE1062" s="3" t="n">
        <v>3</v>
      </c>
      <c r="BF1062" s="3" t="n">
        <v>5</v>
      </c>
      <c r="BG1062" s="3" t="n">
        <v>3</v>
      </c>
      <c r="BH1062" s="3" t="n">
        <v>4</v>
      </c>
      <c r="BI1062" s="3" t="n">
        <v>1</v>
      </c>
      <c r="BJ1062" s="3" t="n">
        <v>1</v>
      </c>
      <c r="BK1062" s="6" t="s">
        <v>2713</v>
      </c>
    </row>
    <row r="1063" customFormat="false" ht="15" hidden="false" customHeight="true" outlineLevel="0" collapsed="false">
      <c r="B1063" s="2" t="s">
        <v>2714</v>
      </c>
      <c r="C1063" s="2" t="s">
        <v>410</v>
      </c>
      <c r="D1063" s="2" t="s">
        <v>528</v>
      </c>
      <c r="E1063" s="2" t="n">
        <v>206706</v>
      </c>
      <c r="F1063" s="15" t="n">
        <v>44190</v>
      </c>
      <c r="G1063" s="15" t="n">
        <v>44197</v>
      </c>
      <c r="H1063" s="3" t="n">
        <v>7</v>
      </c>
      <c r="I1063" s="3" t="n">
        <v>1</v>
      </c>
      <c r="J1063" s="3" t="n">
        <v>63</v>
      </c>
      <c r="K1063" s="3" t="n">
        <v>2</v>
      </c>
      <c r="L1063" s="3" t="n">
        <v>2</v>
      </c>
      <c r="M1063" s="3" t="n">
        <v>1</v>
      </c>
      <c r="N1063" s="3" t="n">
        <v>2</v>
      </c>
      <c r="O1063" s="3" t="n">
        <v>2</v>
      </c>
      <c r="P1063" s="3" t="n">
        <v>2</v>
      </c>
      <c r="Q1063" s="3" t="n">
        <v>2</v>
      </c>
      <c r="R1063" s="3" t="n">
        <v>2</v>
      </c>
      <c r="S1063" s="3" t="n">
        <v>2</v>
      </c>
      <c r="T1063" s="4" t="n">
        <v>2</v>
      </c>
      <c r="U1063" s="3" t="n">
        <v>2</v>
      </c>
      <c r="V1063" s="3" t="n">
        <v>5.38</v>
      </c>
      <c r="W1063" s="3" t="n">
        <v>0.88</v>
      </c>
      <c r="X1063" s="3" t="n">
        <v>1.11</v>
      </c>
      <c r="Y1063" s="3" t="n">
        <v>135</v>
      </c>
      <c r="Z1063" s="3" t="n">
        <v>57</v>
      </c>
      <c r="AA1063" s="3" t="n">
        <v>0.34</v>
      </c>
      <c r="AB1063" s="3" t="n">
        <v>12.8</v>
      </c>
      <c r="AC1063" s="3" t="n">
        <v>1</v>
      </c>
      <c r="AD1063" s="3" t="n">
        <v>1</v>
      </c>
      <c r="AE1063" s="3" t="n">
        <v>1</v>
      </c>
      <c r="AF1063" s="3" t="n">
        <v>1</v>
      </c>
      <c r="AG1063" s="3" t="n">
        <v>1</v>
      </c>
      <c r="AH1063" s="3" t="n">
        <v>2</v>
      </c>
      <c r="AI1063" s="3" t="n">
        <v>1</v>
      </c>
      <c r="AJ1063" s="3" t="n">
        <v>2</v>
      </c>
      <c r="AK1063" s="3" t="n">
        <v>2</v>
      </c>
      <c r="AL1063" s="3" t="n">
        <v>2</v>
      </c>
      <c r="AM1063" s="3" t="n">
        <v>1</v>
      </c>
      <c r="AN1063" s="3" t="n">
        <v>2</v>
      </c>
      <c r="AO1063" s="3" t="n">
        <v>2</v>
      </c>
      <c r="AP1063" s="3" t="n">
        <v>3</v>
      </c>
      <c r="AQ1063" s="3" t="n">
        <v>4</v>
      </c>
      <c r="AR1063" s="3" t="n">
        <v>4</v>
      </c>
      <c r="AS1063" s="3" t="n">
        <v>6</v>
      </c>
      <c r="AT1063" s="3" t="n">
        <v>4</v>
      </c>
      <c r="AU1063" s="3" t="n">
        <v>4</v>
      </c>
      <c r="AV1063" s="3" t="n">
        <v>6</v>
      </c>
      <c r="AW1063" s="3" t="n">
        <v>6</v>
      </c>
      <c r="AX1063" s="3" t="n">
        <v>3</v>
      </c>
      <c r="AY1063" s="3" t="n">
        <v>3</v>
      </c>
      <c r="AZ1063" s="3" t="n">
        <v>1</v>
      </c>
      <c r="BA1063" s="5" t="n">
        <v>1</v>
      </c>
      <c r="BB1063" s="3" t="n">
        <v>1</v>
      </c>
      <c r="BC1063" s="3" t="n">
        <v>1</v>
      </c>
      <c r="BD1063" s="3" t="n">
        <v>4</v>
      </c>
      <c r="BE1063" s="3" t="n">
        <v>1</v>
      </c>
      <c r="BF1063" s="3" t="n">
        <v>2</v>
      </c>
      <c r="BG1063" s="3" t="n">
        <v>1</v>
      </c>
      <c r="BH1063" s="3" t="n">
        <v>4</v>
      </c>
      <c r="BI1063" s="3" t="n">
        <v>1</v>
      </c>
      <c r="BJ1063" s="3" t="n">
        <v>1</v>
      </c>
      <c r="BK1063" s="6" t="s">
        <v>2715</v>
      </c>
    </row>
    <row r="1064" customFormat="false" ht="15" hidden="false" customHeight="true" outlineLevel="0" collapsed="false">
      <c r="B1064" s="2" t="s">
        <v>912</v>
      </c>
      <c r="C1064" s="2" t="s">
        <v>78</v>
      </c>
      <c r="D1064" s="2" t="s">
        <v>808</v>
      </c>
      <c r="E1064" s="2" t="n">
        <v>206730</v>
      </c>
      <c r="F1064" s="15" t="n">
        <v>44186</v>
      </c>
      <c r="G1064" s="15" t="n">
        <v>44197</v>
      </c>
      <c r="H1064" s="3" t="n">
        <v>12</v>
      </c>
      <c r="I1064" s="3" t="n">
        <v>2</v>
      </c>
      <c r="J1064" s="3" t="n">
        <v>78</v>
      </c>
      <c r="K1064" s="3" t="n">
        <v>1</v>
      </c>
      <c r="L1064" s="3" t="n">
        <v>2</v>
      </c>
      <c r="M1064" s="3" t="n">
        <v>1</v>
      </c>
      <c r="N1064" s="3" t="n">
        <v>2</v>
      </c>
      <c r="O1064" s="3" t="n">
        <v>2</v>
      </c>
      <c r="P1064" s="3" t="n">
        <v>2</v>
      </c>
      <c r="Q1064" s="3" t="n">
        <v>2</v>
      </c>
      <c r="R1064" s="3" t="n">
        <v>2</v>
      </c>
      <c r="S1064" s="3" t="n">
        <v>2</v>
      </c>
      <c r="T1064" s="4" t="n">
        <v>2</v>
      </c>
      <c r="U1064" s="3" t="n">
        <v>2</v>
      </c>
      <c r="V1064" s="3" t="n">
        <v>5.69</v>
      </c>
      <c r="W1064" s="3" t="n">
        <v>1.57</v>
      </c>
      <c r="X1064" s="3" t="n">
        <v>6.06</v>
      </c>
      <c r="Y1064" s="3" t="n">
        <v>373</v>
      </c>
      <c r="Z1064" s="3" t="n">
        <v>174</v>
      </c>
      <c r="AA1064" s="3" t="n">
        <v>0.41</v>
      </c>
      <c r="AB1064" s="3" t="n">
        <v>14.6</v>
      </c>
      <c r="AC1064" s="3" t="n">
        <v>1</v>
      </c>
      <c r="AD1064" s="3" t="n">
        <v>1</v>
      </c>
      <c r="AE1064" s="3" t="n">
        <v>1</v>
      </c>
      <c r="AF1064" s="3" t="n">
        <v>1</v>
      </c>
      <c r="AG1064" s="3" t="n">
        <v>2</v>
      </c>
      <c r="AH1064" s="3" t="n">
        <v>2</v>
      </c>
      <c r="AI1064" s="3" t="n">
        <v>1</v>
      </c>
      <c r="AJ1064" s="3" t="n">
        <v>2</v>
      </c>
      <c r="AK1064" s="3" t="n">
        <v>2</v>
      </c>
      <c r="AL1064" s="3" t="n">
        <v>2</v>
      </c>
      <c r="AM1064" s="3" t="n">
        <v>2</v>
      </c>
      <c r="AN1064" s="3" t="n">
        <v>2</v>
      </c>
      <c r="AO1064" s="3" t="n">
        <v>2</v>
      </c>
      <c r="AP1064" s="3" t="n">
        <v>3</v>
      </c>
      <c r="AQ1064" s="3" t="n">
        <v>4</v>
      </c>
      <c r="AR1064" s="3" t="n">
        <v>4</v>
      </c>
      <c r="AS1064" s="3" t="n">
        <v>6</v>
      </c>
      <c r="AT1064" s="3" t="n">
        <v>4</v>
      </c>
      <c r="AU1064" s="3" t="n">
        <v>4</v>
      </c>
      <c r="AV1064" s="3" t="n">
        <v>6</v>
      </c>
      <c r="AW1064" s="3" t="n">
        <v>6</v>
      </c>
      <c r="AX1064" s="3" t="n">
        <v>3</v>
      </c>
      <c r="AY1064" s="3" t="n">
        <v>3</v>
      </c>
      <c r="AZ1064" s="3" t="n">
        <v>1</v>
      </c>
      <c r="BA1064" s="5" t="n">
        <v>1</v>
      </c>
      <c r="BB1064" s="3" t="n">
        <v>1</v>
      </c>
      <c r="BC1064" s="3" t="n">
        <v>1</v>
      </c>
      <c r="BD1064" s="3" t="n">
        <v>4</v>
      </c>
      <c r="BE1064" s="3" t="n">
        <v>3</v>
      </c>
      <c r="BF1064" s="3" t="n">
        <v>5</v>
      </c>
      <c r="BG1064" s="3" t="n">
        <v>3</v>
      </c>
      <c r="BH1064" s="3" t="n">
        <v>4</v>
      </c>
      <c r="BI1064" s="3" t="n">
        <v>1</v>
      </c>
      <c r="BJ1064" s="3" t="n">
        <v>1</v>
      </c>
      <c r="BK1064" s="6" t="s">
        <v>2716</v>
      </c>
    </row>
    <row r="1065" customFormat="false" ht="15" hidden="false" customHeight="true" outlineLevel="0" collapsed="false">
      <c r="B1065" s="2" t="s">
        <v>2717</v>
      </c>
      <c r="C1065" s="2" t="s">
        <v>2718</v>
      </c>
      <c r="D1065" s="2" t="s">
        <v>665</v>
      </c>
      <c r="E1065" s="2" t="n">
        <v>207312</v>
      </c>
      <c r="F1065" s="15" t="n">
        <v>44195</v>
      </c>
      <c r="G1065" s="15" t="n">
        <v>44201</v>
      </c>
      <c r="H1065" s="3" t="n">
        <v>6</v>
      </c>
      <c r="I1065" s="3" t="n">
        <v>2</v>
      </c>
      <c r="J1065" s="3" t="n">
        <v>77</v>
      </c>
      <c r="K1065" s="3" t="n">
        <v>1</v>
      </c>
      <c r="L1065" s="3" t="n">
        <v>2</v>
      </c>
      <c r="M1065" s="3" t="n">
        <v>1</v>
      </c>
      <c r="N1065" s="3" t="n">
        <v>2</v>
      </c>
      <c r="O1065" s="3" t="n">
        <v>2</v>
      </c>
      <c r="P1065" s="3" t="n">
        <v>2</v>
      </c>
      <c r="Q1065" s="3" t="n">
        <v>2</v>
      </c>
      <c r="R1065" s="3" t="n">
        <v>2</v>
      </c>
      <c r="S1065" s="3" t="n">
        <v>2</v>
      </c>
      <c r="T1065" s="4" t="n">
        <v>2</v>
      </c>
      <c r="U1065" s="3" t="n">
        <v>2</v>
      </c>
      <c r="V1065" s="3" t="n">
        <v>5.46</v>
      </c>
      <c r="W1065" s="3" t="n">
        <v>1.87</v>
      </c>
      <c r="X1065" s="3" t="n">
        <v>9.03</v>
      </c>
      <c r="Y1065" s="3" t="n">
        <v>409</v>
      </c>
      <c r="Z1065" s="3" t="n">
        <v>99</v>
      </c>
      <c r="AA1065" s="3" t="n">
        <v>0.45</v>
      </c>
      <c r="AB1065" s="3" t="n">
        <v>9</v>
      </c>
      <c r="AC1065" s="3" t="n">
        <v>1</v>
      </c>
      <c r="AD1065" s="3" t="n">
        <v>2</v>
      </c>
      <c r="AE1065" s="3" t="n">
        <v>1</v>
      </c>
      <c r="AF1065" s="3" t="n">
        <v>1</v>
      </c>
      <c r="AG1065" s="3" t="n">
        <v>2</v>
      </c>
      <c r="AH1065" s="3" t="n">
        <v>2</v>
      </c>
      <c r="AI1065" s="3" t="n">
        <v>1</v>
      </c>
      <c r="AJ1065" s="3" t="n">
        <v>1</v>
      </c>
      <c r="AK1065" s="3" t="n">
        <v>2</v>
      </c>
      <c r="AL1065" s="3" t="n">
        <v>2</v>
      </c>
      <c r="AM1065" s="3" t="n">
        <v>2</v>
      </c>
      <c r="AN1065" s="3" t="n">
        <v>2</v>
      </c>
      <c r="AO1065" s="3" t="n">
        <v>2</v>
      </c>
      <c r="AP1065" s="3" t="n">
        <v>3</v>
      </c>
      <c r="AQ1065" s="3" t="n">
        <v>4</v>
      </c>
      <c r="AR1065" s="3" t="n">
        <v>4</v>
      </c>
      <c r="AS1065" s="3" t="n">
        <v>6</v>
      </c>
      <c r="AT1065" s="3" t="n">
        <v>4</v>
      </c>
      <c r="AU1065" s="3" t="n">
        <v>4</v>
      </c>
      <c r="AV1065" s="3" t="n">
        <v>6</v>
      </c>
      <c r="AW1065" s="3" t="n">
        <v>6</v>
      </c>
      <c r="AX1065" s="3" t="n">
        <v>3</v>
      </c>
      <c r="AY1065" s="3" t="n">
        <v>3</v>
      </c>
      <c r="AZ1065" s="3" t="n">
        <v>1</v>
      </c>
      <c r="BA1065" s="5" t="n">
        <v>1</v>
      </c>
      <c r="BB1065" s="3" t="n">
        <v>1</v>
      </c>
      <c r="BC1065" s="3" t="n">
        <v>1</v>
      </c>
      <c r="BD1065" s="3" t="n">
        <v>4</v>
      </c>
      <c r="BE1065" s="3" t="n">
        <v>1</v>
      </c>
      <c r="BF1065" s="3" t="n">
        <v>2</v>
      </c>
      <c r="BG1065" s="3" t="n">
        <v>1</v>
      </c>
      <c r="BH1065" s="3" t="n">
        <v>4</v>
      </c>
      <c r="BI1065" s="3" t="n">
        <v>1</v>
      </c>
      <c r="BJ1065" s="3" t="n">
        <v>1</v>
      </c>
      <c r="BK1065" s="6" t="s">
        <v>2719</v>
      </c>
    </row>
    <row r="1066" customFormat="false" ht="15" hidden="false" customHeight="true" outlineLevel="0" collapsed="false">
      <c r="B1066" s="2" t="s">
        <v>2720</v>
      </c>
      <c r="C1066" s="2" t="s">
        <v>898</v>
      </c>
      <c r="D1066" s="2" t="s">
        <v>2721</v>
      </c>
      <c r="E1066" s="2" t="n">
        <v>206875</v>
      </c>
      <c r="F1066" s="15" t="n">
        <v>44194</v>
      </c>
      <c r="G1066" s="15" t="n">
        <v>44201</v>
      </c>
      <c r="H1066" s="3" t="n">
        <v>8</v>
      </c>
      <c r="I1066" s="3" t="n">
        <v>1</v>
      </c>
      <c r="J1066" s="3" t="n">
        <v>76</v>
      </c>
      <c r="K1066" s="3" t="n">
        <v>1</v>
      </c>
      <c r="L1066" s="3" t="n">
        <v>1</v>
      </c>
      <c r="M1066" s="3" t="n">
        <v>1</v>
      </c>
      <c r="N1066" s="3" t="n">
        <v>2</v>
      </c>
      <c r="O1066" s="3" t="n">
        <v>2</v>
      </c>
      <c r="P1066" s="3" t="n">
        <v>2</v>
      </c>
      <c r="Q1066" s="3" t="n">
        <v>1</v>
      </c>
      <c r="R1066" s="3" t="n">
        <v>2</v>
      </c>
      <c r="S1066" s="3" t="n">
        <v>2</v>
      </c>
      <c r="T1066" s="4" t="n">
        <v>1</v>
      </c>
      <c r="U1066" s="3" t="n">
        <v>1</v>
      </c>
      <c r="V1066" s="3" t="n">
        <v>5.15</v>
      </c>
      <c r="W1066" s="3" t="n">
        <v>1.37</v>
      </c>
      <c r="X1066" s="3" t="n">
        <v>6.64</v>
      </c>
      <c r="Y1066" s="3" t="n">
        <v>246</v>
      </c>
      <c r="Z1066" s="3" t="n">
        <v>78</v>
      </c>
      <c r="AA1066" s="3" t="n">
        <v>0.42</v>
      </c>
      <c r="AB1066" s="3" t="n">
        <v>6</v>
      </c>
      <c r="AC1066" s="3" t="n">
        <v>1</v>
      </c>
      <c r="AD1066" s="3" t="n">
        <v>2</v>
      </c>
      <c r="AE1066" s="3" t="n">
        <v>1</v>
      </c>
      <c r="AF1066" s="3" t="n">
        <v>1</v>
      </c>
      <c r="AG1066" s="3" t="n">
        <v>2</v>
      </c>
      <c r="AH1066" s="3" t="n">
        <v>2</v>
      </c>
      <c r="AI1066" s="3" t="n">
        <v>1</v>
      </c>
      <c r="AJ1066" s="3" t="n">
        <v>1</v>
      </c>
      <c r="AK1066" s="3" t="n">
        <v>2</v>
      </c>
      <c r="AL1066" s="3" t="n">
        <v>2</v>
      </c>
      <c r="AM1066" s="3" t="n">
        <v>2</v>
      </c>
      <c r="AN1066" s="3" t="n">
        <v>2</v>
      </c>
      <c r="AO1066" s="3" t="n">
        <v>2</v>
      </c>
      <c r="AP1066" s="3" t="n">
        <v>3</v>
      </c>
      <c r="AQ1066" s="3" t="n">
        <v>4</v>
      </c>
      <c r="AR1066" s="3" t="n">
        <v>4</v>
      </c>
      <c r="AS1066" s="3" t="n">
        <v>6</v>
      </c>
      <c r="AT1066" s="3" t="n">
        <v>4</v>
      </c>
      <c r="AU1066" s="3" t="n">
        <v>4</v>
      </c>
      <c r="AV1066" s="3" t="n">
        <v>6</v>
      </c>
      <c r="AW1066" s="3" t="n">
        <v>6</v>
      </c>
      <c r="AX1066" s="3" t="n">
        <v>3</v>
      </c>
      <c r="AY1066" s="3" t="n">
        <v>3</v>
      </c>
      <c r="AZ1066" s="3" t="n">
        <v>1</v>
      </c>
      <c r="BA1066" s="5" t="n">
        <v>1</v>
      </c>
      <c r="BB1066" s="3" t="n">
        <v>2</v>
      </c>
      <c r="BC1066" s="3" t="n">
        <v>1</v>
      </c>
      <c r="BD1066" s="3" t="n">
        <v>2</v>
      </c>
      <c r="BE1066" s="3" t="n">
        <v>1</v>
      </c>
      <c r="BF1066" s="3" t="n">
        <v>2</v>
      </c>
      <c r="BG1066" s="3" t="n">
        <v>1</v>
      </c>
      <c r="BH1066" s="3" t="n">
        <v>4</v>
      </c>
      <c r="BI1066" s="3" t="n">
        <v>1</v>
      </c>
      <c r="BJ1066" s="3" t="n">
        <v>1</v>
      </c>
      <c r="BK1066" s="6" t="s">
        <v>2722</v>
      </c>
    </row>
    <row r="1067" customFormat="false" ht="15" hidden="false" customHeight="true" outlineLevel="0" collapsed="false">
      <c r="B1067" s="2" t="s">
        <v>2723</v>
      </c>
      <c r="C1067" s="2" t="s">
        <v>684</v>
      </c>
      <c r="D1067" s="2" t="s">
        <v>685</v>
      </c>
      <c r="E1067" s="2" t="n">
        <v>139933</v>
      </c>
      <c r="F1067" s="15" t="n">
        <v>44193</v>
      </c>
      <c r="G1067" s="15" t="n">
        <v>44202</v>
      </c>
      <c r="H1067" s="3" t="n">
        <v>9</v>
      </c>
      <c r="I1067" s="3" t="n">
        <v>2</v>
      </c>
      <c r="J1067" s="3" t="n">
        <v>57</v>
      </c>
      <c r="K1067" s="3" t="n">
        <v>1</v>
      </c>
      <c r="L1067" s="3" t="n">
        <v>1</v>
      </c>
      <c r="M1067" s="3" t="n">
        <v>1</v>
      </c>
      <c r="N1067" s="3" t="n">
        <v>1</v>
      </c>
      <c r="O1067" s="3" t="n">
        <v>2</v>
      </c>
      <c r="P1067" s="3" t="n">
        <v>2</v>
      </c>
      <c r="Q1067" s="3" t="n">
        <v>2</v>
      </c>
      <c r="R1067" s="3" t="n">
        <v>2</v>
      </c>
      <c r="S1067" s="3" t="n">
        <v>1</v>
      </c>
      <c r="T1067" s="4" t="n">
        <v>2</v>
      </c>
      <c r="U1067" s="3" t="n">
        <v>2</v>
      </c>
      <c r="V1067" s="3" t="n">
        <v>3.87</v>
      </c>
      <c r="W1067" s="3" t="n">
        <v>5.3</v>
      </c>
      <c r="X1067" s="3" t="n">
        <v>5.18</v>
      </c>
      <c r="Y1067" s="3" t="n">
        <v>326</v>
      </c>
      <c r="Z1067" s="3" t="n">
        <v>85</v>
      </c>
      <c r="AA1067" s="3" t="n">
        <v>0.46</v>
      </c>
      <c r="AB1067" s="3" t="n">
        <v>13.6</v>
      </c>
      <c r="AC1067" s="3" t="n">
        <v>1</v>
      </c>
      <c r="AD1067" s="3" t="n">
        <v>2</v>
      </c>
      <c r="AE1067" s="3" t="n">
        <v>1</v>
      </c>
      <c r="AF1067" s="3" t="n">
        <v>1</v>
      </c>
      <c r="AG1067" s="3" t="n">
        <v>2</v>
      </c>
      <c r="AH1067" s="3" t="n">
        <v>2</v>
      </c>
      <c r="AI1067" s="3" t="n">
        <v>1</v>
      </c>
      <c r="AJ1067" s="3" t="n">
        <v>1</v>
      </c>
      <c r="AK1067" s="3" t="n">
        <v>2</v>
      </c>
      <c r="AL1067" s="3" t="n">
        <v>2</v>
      </c>
      <c r="AM1067" s="3" t="n">
        <v>2</v>
      </c>
      <c r="AN1067" s="3" t="n">
        <v>1</v>
      </c>
      <c r="AO1067" s="3" t="n">
        <v>2</v>
      </c>
      <c r="AP1067" s="3" t="n">
        <v>2</v>
      </c>
      <c r="AQ1067" s="3" t="n">
        <v>1</v>
      </c>
      <c r="AR1067" s="3" t="n">
        <v>4</v>
      </c>
      <c r="AS1067" s="3" t="n">
        <v>6</v>
      </c>
      <c r="AT1067" s="3" t="n">
        <v>4</v>
      </c>
      <c r="AU1067" s="3" t="n">
        <v>4</v>
      </c>
      <c r="AV1067" s="3" t="n">
        <v>1</v>
      </c>
      <c r="AW1067" s="3" t="n">
        <v>6</v>
      </c>
      <c r="AX1067" s="3" t="n">
        <v>2</v>
      </c>
      <c r="AY1067" s="3" t="n">
        <v>1</v>
      </c>
      <c r="AZ1067" s="3" t="n">
        <v>6</v>
      </c>
      <c r="BA1067" s="5" t="n">
        <v>1</v>
      </c>
      <c r="BB1067" s="3" t="n">
        <v>1</v>
      </c>
      <c r="BC1067" s="3" t="n">
        <v>1</v>
      </c>
      <c r="BD1067" s="3" t="n">
        <v>4</v>
      </c>
      <c r="BE1067" s="3" t="n">
        <v>1</v>
      </c>
      <c r="BF1067" s="3" t="n">
        <v>2</v>
      </c>
      <c r="BG1067" s="3" t="n">
        <v>1</v>
      </c>
      <c r="BH1067" s="3" t="n">
        <v>4</v>
      </c>
      <c r="BI1067" s="3" t="n">
        <v>1</v>
      </c>
      <c r="BJ1067" s="3" t="n">
        <v>1</v>
      </c>
      <c r="BK1067" s="6" t="s">
        <v>2724</v>
      </c>
    </row>
    <row r="1068" customFormat="false" ht="15" hidden="false" customHeight="true" outlineLevel="0" collapsed="false">
      <c r="B1068" s="2" t="s">
        <v>2725</v>
      </c>
      <c r="C1068" s="2" t="s">
        <v>222</v>
      </c>
      <c r="D1068" s="2" t="s">
        <v>298</v>
      </c>
      <c r="E1068" s="2" t="n">
        <v>207237</v>
      </c>
      <c r="F1068" s="15" t="n">
        <v>44198</v>
      </c>
      <c r="G1068" s="15" t="n">
        <v>44203</v>
      </c>
      <c r="H1068" s="3" t="n">
        <v>5</v>
      </c>
      <c r="I1068" s="3" t="n">
        <v>1</v>
      </c>
      <c r="J1068" s="3" t="n">
        <v>74</v>
      </c>
      <c r="K1068" s="3" t="n">
        <v>2</v>
      </c>
      <c r="L1068" s="3" t="n">
        <v>2</v>
      </c>
      <c r="M1068" s="3" t="n">
        <v>1</v>
      </c>
      <c r="N1068" s="3" t="n">
        <v>2</v>
      </c>
      <c r="O1068" s="3" t="n">
        <v>2</v>
      </c>
      <c r="P1068" s="3" t="n">
        <v>2</v>
      </c>
      <c r="Q1068" s="3" t="n">
        <v>1</v>
      </c>
      <c r="R1068" s="3" t="n">
        <v>2</v>
      </c>
      <c r="S1068" s="3" t="n">
        <v>2</v>
      </c>
      <c r="T1068" s="4" t="n">
        <v>1</v>
      </c>
      <c r="U1068" s="3" t="n">
        <v>1</v>
      </c>
      <c r="AA1068" s="3" t="n">
        <v>0.48</v>
      </c>
      <c r="AB1068" s="3" t="n">
        <v>10</v>
      </c>
      <c r="AC1068" s="3" t="n">
        <v>1</v>
      </c>
      <c r="AD1068" s="3" t="n">
        <v>1</v>
      </c>
      <c r="AE1068" s="3" t="n">
        <v>1</v>
      </c>
      <c r="AF1068" s="3" t="n">
        <v>1</v>
      </c>
      <c r="AG1068" s="3" t="n">
        <v>2</v>
      </c>
      <c r="AH1068" s="3" t="n">
        <v>1</v>
      </c>
      <c r="AI1068" s="3" t="n">
        <v>1</v>
      </c>
      <c r="AJ1068" s="3" t="n">
        <v>1</v>
      </c>
      <c r="AK1068" s="3" t="n">
        <v>2</v>
      </c>
      <c r="AL1068" s="3" t="n">
        <v>2</v>
      </c>
      <c r="AM1068" s="3" t="n">
        <v>2</v>
      </c>
      <c r="AN1068" s="3" t="n">
        <v>2</v>
      </c>
      <c r="AO1068" s="3" t="n">
        <v>2</v>
      </c>
      <c r="AP1068" s="3" t="n">
        <v>3</v>
      </c>
      <c r="AQ1068" s="3" t="n">
        <v>4</v>
      </c>
      <c r="AR1068" s="3" t="n">
        <v>4</v>
      </c>
      <c r="AS1068" s="3" t="n">
        <v>6</v>
      </c>
      <c r="AT1068" s="3" t="n">
        <v>4</v>
      </c>
      <c r="AU1068" s="3" t="n">
        <v>4</v>
      </c>
      <c r="AV1068" s="3" t="n">
        <v>6</v>
      </c>
      <c r="AW1068" s="3" t="n">
        <v>6</v>
      </c>
      <c r="AX1068" s="3" t="n">
        <v>3</v>
      </c>
      <c r="AY1068" s="3" t="n">
        <v>3</v>
      </c>
      <c r="AZ1068" s="3" t="n">
        <v>1</v>
      </c>
      <c r="BA1068" s="5" t="n">
        <v>5</v>
      </c>
      <c r="BB1068" s="3" t="n">
        <v>2</v>
      </c>
      <c r="BC1068" s="3" t="n">
        <v>1</v>
      </c>
      <c r="BD1068" s="3" t="n">
        <v>6</v>
      </c>
      <c r="BE1068" s="3" t="n">
        <v>3</v>
      </c>
      <c r="BF1068" s="3" t="n">
        <v>5</v>
      </c>
      <c r="BG1068" s="3" t="n">
        <v>3</v>
      </c>
      <c r="BH1068" s="3" t="n">
        <v>4</v>
      </c>
      <c r="BI1068" s="3" t="n">
        <v>1</v>
      </c>
      <c r="BJ1068" s="3" t="n">
        <v>1</v>
      </c>
      <c r="BK1068" s="6" t="s">
        <v>2726</v>
      </c>
    </row>
    <row r="1069" customFormat="false" ht="15" hidden="false" customHeight="true" outlineLevel="0" collapsed="false">
      <c r="B1069" s="2" t="s">
        <v>228</v>
      </c>
      <c r="C1069" s="2" t="s">
        <v>1883</v>
      </c>
      <c r="D1069" s="2" t="s">
        <v>1335</v>
      </c>
      <c r="E1069" s="2" t="n">
        <v>207204</v>
      </c>
      <c r="F1069" s="15" t="n">
        <v>44197</v>
      </c>
      <c r="G1069" s="15" t="n">
        <v>44203</v>
      </c>
      <c r="H1069" s="3" t="n">
        <v>6</v>
      </c>
      <c r="I1069" s="3" t="n">
        <v>2</v>
      </c>
      <c r="J1069" s="3" t="n">
        <v>43</v>
      </c>
      <c r="K1069" s="3" t="n">
        <v>2</v>
      </c>
      <c r="L1069" s="3" t="n">
        <v>1</v>
      </c>
      <c r="M1069" s="3" t="n">
        <v>2</v>
      </c>
      <c r="N1069" s="3" t="n">
        <v>2</v>
      </c>
      <c r="O1069" s="3" t="n">
        <v>2</v>
      </c>
      <c r="P1069" s="3" t="n">
        <v>2</v>
      </c>
      <c r="Q1069" s="3" t="n">
        <v>2</v>
      </c>
      <c r="R1069" s="3" t="n">
        <v>2</v>
      </c>
      <c r="S1069" s="3" t="n">
        <v>2</v>
      </c>
      <c r="T1069" s="4" t="n">
        <v>2</v>
      </c>
      <c r="U1069" s="3" t="n">
        <v>2</v>
      </c>
      <c r="V1069" s="3" t="n">
        <v>3.95</v>
      </c>
      <c r="W1069" s="3" t="n">
        <v>0.48</v>
      </c>
      <c r="X1069" s="3" t="n">
        <v>4.34</v>
      </c>
      <c r="Y1069" s="3" t="n">
        <v>349</v>
      </c>
      <c r="Z1069" s="3" t="n">
        <v>70</v>
      </c>
      <c r="AA1069" s="3" t="n">
        <v>0.43</v>
      </c>
      <c r="AB1069" s="3" t="n">
        <v>7.1</v>
      </c>
      <c r="AC1069" s="3" t="n">
        <v>1</v>
      </c>
      <c r="AD1069" s="3" t="n">
        <v>2</v>
      </c>
      <c r="AE1069" s="3" t="n">
        <v>1</v>
      </c>
      <c r="AF1069" s="3" t="n">
        <v>1</v>
      </c>
      <c r="AG1069" s="3" t="n">
        <v>2</v>
      </c>
      <c r="AH1069" s="3" t="n">
        <v>2</v>
      </c>
      <c r="AI1069" s="3" t="n">
        <v>1</v>
      </c>
      <c r="AJ1069" s="3" t="n">
        <v>1</v>
      </c>
      <c r="AK1069" s="3" t="n">
        <v>2</v>
      </c>
      <c r="AL1069" s="3" t="n">
        <v>2</v>
      </c>
      <c r="AM1069" s="3" t="n">
        <v>1</v>
      </c>
      <c r="AN1069" s="3" t="n">
        <v>2</v>
      </c>
      <c r="AO1069" s="3" t="n">
        <v>2</v>
      </c>
      <c r="AP1069" s="3" t="n">
        <v>3</v>
      </c>
      <c r="AQ1069" s="3" t="n">
        <v>4</v>
      </c>
      <c r="AR1069" s="3" t="n">
        <v>4</v>
      </c>
      <c r="AS1069" s="3" t="n">
        <v>6</v>
      </c>
      <c r="AT1069" s="3" t="n">
        <v>4</v>
      </c>
      <c r="AU1069" s="3" t="n">
        <v>4</v>
      </c>
      <c r="AV1069" s="3" t="n">
        <v>6</v>
      </c>
      <c r="AW1069" s="3" t="n">
        <v>6</v>
      </c>
      <c r="AX1069" s="3" t="n">
        <v>3</v>
      </c>
      <c r="AY1069" s="3" t="n">
        <v>3</v>
      </c>
      <c r="AZ1069" s="3" t="n">
        <v>1</v>
      </c>
      <c r="BA1069" s="5" t="n">
        <v>1</v>
      </c>
      <c r="BB1069" s="3" t="n">
        <v>1</v>
      </c>
      <c r="BC1069" s="3" t="n">
        <v>1</v>
      </c>
      <c r="BD1069" s="3" t="n">
        <v>4</v>
      </c>
      <c r="BE1069" s="3" t="n">
        <v>1</v>
      </c>
      <c r="BF1069" s="3" t="n">
        <v>2</v>
      </c>
      <c r="BG1069" s="3" t="n">
        <v>1</v>
      </c>
      <c r="BH1069" s="3" t="n">
        <v>4</v>
      </c>
      <c r="BI1069" s="3" t="n">
        <v>1</v>
      </c>
      <c r="BJ1069" s="3" t="n">
        <v>1</v>
      </c>
      <c r="BK1069" s="6" t="s">
        <v>1182</v>
      </c>
    </row>
    <row r="1070" customFormat="false" ht="15" hidden="false" customHeight="true" outlineLevel="0" collapsed="false">
      <c r="B1070" s="2" t="s">
        <v>1549</v>
      </c>
      <c r="C1070" s="2" t="s">
        <v>770</v>
      </c>
      <c r="D1070" s="2" t="s">
        <v>193</v>
      </c>
      <c r="E1070" s="2" t="n">
        <v>207270</v>
      </c>
      <c r="F1070" s="15" t="n">
        <v>44200</v>
      </c>
      <c r="G1070" s="15" t="n">
        <v>44203</v>
      </c>
      <c r="H1070" s="3" t="n">
        <v>3</v>
      </c>
      <c r="I1070" s="3" t="n">
        <v>2</v>
      </c>
      <c r="J1070" s="3" t="n">
        <v>35</v>
      </c>
      <c r="K1070" s="3" t="n">
        <v>1</v>
      </c>
      <c r="L1070" s="3" t="n">
        <v>2</v>
      </c>
      <c r="M1070" s="3" t="n">
        <v>2</v>
      </c>
      <c r="N1070" s="3" t="n">
        <v>2</v>
      </c>
      <c r="O1070" s="3" t="n">
        <v>2</v>
      </c>
      <c r="P1070" s="3" t="n">
        <v>2</v>
      </c>
      <c r="Q1070" s="3" t="n">
        <v>2</v>
      </c>
      <c r="R1070" s="3" t="n">
        <v>2</v>
      </c>
      <c r="S1070" s="3" t="n">
        <v>2</v>
      </c>
      <c r="T1070" s="4" t="n">
        <v>4</v>
      </c>
      <c r="U1070" s="3" t="n">
        <v>4</v>
      </c>
      <c r="AC1070" s="3" t="n">
        <v>1</v>
      </c>
      <c r="AD1070" s="3" t="n">
        <v>2</v>
      </c>
      <c r="AE1070" s="3" t="n">
        <v>2</v>
      </c>
      <c r="AF1070" s="3" t="n">
        <v>2</v>
      </c>
      <c r="AG1070" s="3" t="n">
        <v>2</v>
      </c>
      <c r="AH1070" s="3" t="n">
        <v>2</v>
      </c>
      <c r="AI1070" s="3" t="n">
        <v>2</v>
      </c>
      <c r="AJ1070" s="3" t="n">
        <v>1</v>
      </c>
      <c r="AK1070" s="3" t="n">
        <v>2</v>
      </c>
      <c r="AL1070" s="3" t="n">
        <v>2</v>
      </c>
      <c r="AM1070" s="3" t="n">
        <v>2</v>
      </c>
      <c r="AN1070" s="3" t="n">
        <v>2</v>
      </c>
      <c r="AO1070" s="3" t="n">
        <v>1</v>
      </c>
      <c r="AP1070" s="3" t="n">
        <v>3</v>
      </c>
      <c r="AQ1070" s="3" t="n">
        <v>4</v>
      </c>
      <c r="AR1070" s="3" t="n">
        <v>4</v>
      </c>
      <c r="AS1070" s="3" t="n">
        <v>6</v>
      </c>
      <c r="AT1070" s="3" t="n">
        <v>4</v>
      </c>
      <c r="AU1070" s="3" t="n">
        <v>4</v>
      </c>
      <c r="AV1070" s="3" t="n">
        <v>6</v>
      </c>
      <c r="AW1070" s="3" t="n">
        <v>6</v>
      </c>
      <c r="AX1070" s="3" t="n">
        <v>3</v>
      </c>
      <c r="AY1070" s="3" t="n">
        <v>3</v>
      </c>
      <c r="AZ1070" s="3" t="n">
        <v>1</v>
      </c>
      <c r="BA1070" s="5" t="n">
        <v>10</v>
      </c>
      <c r="BB1070" s="3" t="n">
        <v>2</v>
      </c>
      <c r="BC1070" s="3" t="n">
        <v>1</v>
      </c>
      <c r="BD1070" s="3" t="n">
        <v>6</v>
      </c>
      <c r="BE1070" s="3" t="n">
        <v>3</v>
      </c>
      <c r="BF1070" s="3" t="n">
        <v>5</v>
      </c>
      <c r="BG1070" s="3" t="n">
        <v>3</v>
      </c>
      <c r="BH1070" s="3" t="n">
        <v>4</v>
      </c>
      <c r="BI1070" s="3" t="n">
        <v>1</v>
      </c>
      <c r="BJ1070" s="3" t="n">
        <v>1</v>
      </c>
      <c r="BK1070" s="21" t="s">
        <v>2727</v>
      </c>
    </row>
    <row r="1071" customFormat="false" ht="15" hidden="false" customHeight="true" outlineLevel="0" collapsed="false">
      <c r="B1071" s="17" t="s">
        <v>672</v>
      </c>
      <c r="C1071" s="17" t="s">
        <v>95</v>
      </c>
      <c r="D1071" s="17" t="s">
        <v>293</v>
      </c>
      <c r="E1071" s="2" t="n">
        <v>207204</v>
      </c>
      <c r="F1071" s="15" t="n">
        <v>44197</v>
      </c>
      <c r="G1071" s="15" t="n">
        <v>44199</v>
      </c>
      <c r="H1071" s="3" t="n">
        <v>2</v>
      </c>
      <c r="I1071" s="3" t="n">
        <v>2</v>
      </c>
      <c r="J1071" s="3" t="n">
        <v>56</v>
      </c>
      <c r="K1071" s="3" t="n">
        <v>1</v>
      </c>
      <c r="L1071" s="3" t="n">
        <v>1</v>
      </c>
      <c r="M1071" s="3" t="n">
        <v>1</v>
      </c>
      <c r="N1071" s="3" t="n">
        <v>1</v>
      </c>
      <c r="O1071" s="3" t="n">
        <v>2</v>
      </c>
      <c r="P1071" s="3" t="n">
        <v>2</v>
      </c>
      <c r="Q1071" s="3" t="n">
        <v>2</v>
      </c>
      <c r="R1071" s="3" t="n">
        <v>2</v>
      </c>
      <c r="S1071" s="3" t="n">
        <v>2</v>
      </c>
      <c r="T1071" s="4" t="n">
        <v>4</v>
      </c>
      <c r="U1071" s="3" t="n">
        <v>4</v>
      </c>
      <c r="AD1071" s="3" t="n">
        <v>1</v>
      </c>
      <c r="AE1071" s="3" t="n">
        <v>1</v>
      </c>
      <c r="AF1071" s="3" t="n">
        <v>1</v>
      </c>
      <c r="AG1071" s="3" t="n">
        <v>1</v>
      </c>
      <c r="AH1071" s="3" t="n">
        <v>2</v>
      </c>
      <c r="AI1071" s="3" t="n">
        <v>1</v>
      </c>
      <c r="AJ1071" s="3" t="n">
        <v>1</v>
      </c>
      <c r="AK1071" s="3" t="n">
        <v>2</v>
      </c>
      <c r="AL1071" s="3" t="n">
        <v>2</v>
      </c>
      <c r="AM1071" s="3" t="n">
        <v>1</v>
      </c>
      <c r="AN1071" s="3" t="n">
        <v>2</v>
      </c>
      <c r="AO1071" s="3" t="n">
        <v>1</v>
      </c>
      <c r="AP1071" s="3" t="n">
        <v>3</v>
      </c>
      <c r="AQ1071" s="3" t="n">
        <v>4</v>
      </c>
      <c r="AR1071" s="3" t="n">
        <v>4</v>
      </c>
      <c r="AS1071" s="3" t="n">
        <v>6</v>
      </c>
      <c r="AT1071" s="3" t="n">
        <v>4</v>
      </c>
      <c r="AU1071" s="3" t="n">
        <v>4</v>
      </c>
      <c r="AV1071" s="3" t="n">
        <v>6</v>
      </c>
      <c r="AW1071" s="3" t="n">
        <v>6</v>
      </c>
      <c r="AX1071" s="3" t="n">
        <v>3</v>
      </c>
      <c r="AY1071" s="3" t="n">
        <v>3</v>
      </c>
      <c r="AZ1071" s="3" t="n">
        <v>1</v>
      </c>
      <c r="BA1071" s="5" t="n">
        <v>10</v>
      </c>
      <c r="BB1071" s="3" t="n">
        <v>2</v>
      </c>
      <c r="BC1071" s="3" t="n">
        <v>1</v>
      </c>
      <c r="BD1071" s="3" t="n">
        <v>6</v>
      </c>
      <c r="BE1071" s="3" t="n">
        <v>3</v>
      </c>
      <c r="BF1071" s="3" t="n">
        <v>5</v>
      </c>
      <c r="BG1071" s="3" t="n">
        <v>3</v>
      </c>
      <c r="BH1071" s="3" t="n">
        <v>4</v>
      </c>
      <c r="BI1071" s="3" t="n">
        <v>1</v>
      </c>
      <c r="BJ1071" s="3" t="n">
        <v>1</v>
      </c>
      <c r="BK1071" s="21" t="s">
        <v>2728</v>
      </c>
    </row>
    <row r="1072" customFormat="false" ht="15" hidden="false" customHeight="true" outlineLevel="0" collapsed="false">
      <c r="B1072" s="2" t="s">
        <v>915</v>
      </c>
      <c r="C1072" s="2" t="s">
        <v>873</v>
      </c>
      <c r="D1072" s="2" t="s">
        <v>873</v>
      </c>
      <c r="E1072" s="2" t="n">
        <v>207300</v>
      </c>
      <c r="F1072" s="15" t="n">
        <v>44195</v>
      </c>
      <c r="G1072" s="15" t="n">
        <v>44204</v>
      </c>
      <c r="H1072" s="3" t="n">
        <v>9</v>
      </c>
      <c r="I1072" s="3" t="n">
        <v>2</v>
      </c>
      <c r="J1072" s="3" t="n">
        <v>75</v>
      </c>
      <c r="K1072" s="3" t="n">
        <v>1</v>
      </c>
      <c r="L1072" s="3" t="n">
        <v>2</v>
      </c>
      <c r="M1072" s="3" t="n">
        <v>1</v>
      </c>
      <c r="N1072" s="3" t="n">
        <v>2</v>
      </c>
      <c r="O1072" s="3" t="n">
        <v>2</v>
      </c>
      <c r="P1072" s="3" t="n">
        <v>2</v>
      </c>
      <c r="Q1072" s="3" t="n">
        <v>1</v>
      </c>
      <c r="R1072" s="3" t="n">
        <v>2</v>
      </c>
      <c r="S1072" s="3" t="n">
        <v>2</v>
      </c>
      <c r="T1072" s="4" t="n">
        <v>2</v>
      </c>
      <c r="U1072" s="3" t="n">
        <v>2</v>
      </c>
      <c r="V1072" s="3" t="n">
        <v>2.24</v>
      </c>
      <c r="W1072" s="3" t="n">
        <v>0.75</v>
      </c>
      <c r="X1072" s="3" t="n">
        <v>24.24</v>
      </c>
      <c r="Y1072" s="3" t="n">
        <v>431</v>
      </c>
      <c r="Z1072" s="3" t="n">
        <v>194</v>
      </c>
      <c r="AA1072" s="3" t="n">
        <v>0.63</v>
      </c>
      <c r="AB1072" s="3" t="n">
        <v>16.1</v>
      </c>
      <c r="AC1072" s="3" t="n">
        <v>1</v>
      </c>
      <c r="AD1072" s="3" t="n">
        <v>2</v>
      </c>
      <c r="AE1072" s="3" t="n">
        <v>1</v>
      </c>
      <c r="AF1072" s="3" t="n">
        <v>1</v>
      </c>
      <c r="AG1072" s="3" t="n">
        <v>2</v>
      </c>
      <c r="AH1072" s="3" t="n">
        <v>2</v>
      </c>
      <c r="AI1072" s="3" t="n">
        <v>1</v>
      </c>
      <c r="AJ1072" s="3" t="n">
        <v>1</v>
      </c>
      <c r="AK1072" s="3" t="n">
        <v>1</v>
      </c>
      <c r="AL1072" s="3" t="n">
        <v>2</v>
      </c>
      <c r="AM1072" s="3" t="n">
        <v>2</v>
      </c>
      <c r="AN1072" s="3" t="n">
        <v>2</v>
      </c>
      <c r="AO1072" s="3" t="n">
        <v>2</v>
      </c>
      <c r="AP1072" s="3" t="n">
        <v>3</v>
      </c>
      <c r="AQ1072" s="3" t="n">
        <v>4</v>
      </c>
      <c r="AR1072" s="3" t="n">
        <v>4</v>
      </c>
      <c r="AS1072" s="3" t="n">
        <v>6</v>
      </c>
      <c r="AT1072" s="3" t="n">
        <v>4</v>
      </c>
      <c r="AU1072" s="3" t="n">
        <v>4</v>
      </c>
      <c r="AV1072" s="3" t="n">
        <v>6</v>
      </c>
      <c r="AW1072" s="3" t="n">
        <v>6</v>
      </c>
      <c r="AX1072" s="3" t="n">
        <v>3</v>
      </c>
      <c r="AY1072" s="3" t="n">
        <v>3</v>
      </c>
      <c r="AZ1072" s="3" t="n">
        <v>1</v>
      </c>
      <c r="BA1072" s="5" t="n">
        <v>1</v>
      </c>
      <c r="BB1072" s="3" t="n">
        <v>1</v>
      </c>
      <c r="BC1072" s="3" t="n">
        <v>1</v>
      </c>
      <c r="BD1072" s="3" t="n">
        <v>4</v>
      </c>
      <c r="BE1072" s="3" t="n">
        <v>1</v>
      </c>
      <c r="BF1072" s="3" t="n">
        <v>2</v>
      </c>
      <c r="BG1072" s="3" t="n">
        <v>1</v>
      </c>
      <c r="BH1072" s="3" t="n">
        <v>4</v>
      </c>
      <c r="BI1072" s="3" t="n">
        <v>1</v>
      </c>
      <c r="BJ1072" s="3" t="n">
        <v>1</v>
      </c>
      <c r="BK1072" s="6" t="s">
        <v>2729</v>
      </c>
    </row>
    <row r="1073" customFormat="false" ht="15" hidden="false" customHeight="true" outlineLevel="0" collapsed="false">
      <c r="B1073" s="2" t="s">
        <v>2730</v>
      </c>
      <c r="C1073" s="2" t="s">
        <v>78</v>
      </c>
      <c r="D1073" s="2" t="s">
        <v>2731</v>
      </c>
      <c r="E1073" s="2" t="n">
        <v>207201</v>
      </c>
      <c r="F1073" s="15" t="n">
        <v>44197</v>
      </c>
      <c r="G1073" s="15" t="n">
        <v>44204</v>
      </c>
      <c r="H1073" s="3" t="n">
        <v>7</v>
      </c>
      <c r="I1073" s="3" t="n">
        <v>2</v>
      </c>
      <c r="J1073" s="3" t="n">
        <v>41</v>
      </c>
      <c r="K1073" s="3" t="n">
        <v>1</v>
      </c>
      <c r="L1073" s="3" t="n">
        <v>2</v>
      </c>
      <c r="M1073" s="3" t="n">
        <v>2</v>
      </c>
      <c r="N1073" s="3" t="n">
        <v>2</v>
      </c>
      <c r="O1073" s="3" t="n">
        <v>2</v>
      </c>
      <c r="P1073" s="3" t="n">
        <v>2</v>
      </c>
      <c r="Q1073" s="3" t="n">
        <v>2</v>
      </c>
      <c r="R1073" s="3" t="n">
        <v>2</v>
      </c>
      <c r="S1073" s="3" t="n">
        <v>2</v>
      </c>
      <c r="T1073" s="4" t="n">
        <v>2</v>
      </c>
      <c r="U1073" s="3" t="n">
        <v>2</v>
      </c>
      <c r="V1073" s="3" t="n">
        <v>3.94</v>
      </c>
      <c r="W1073" s="3" t="n">
        <v>0.62</v>
      </c>
      <c r="X1073" s="3" t="n">
        <v>5.15</v>
      </c>
      <c r="Y1073" s="3" t="n">
        <v>254</v>
      </c>
      <c r="Z1073" s="3" t="n">
        <v>76</v>
      </c>
      <c r="AA1073" s="3" t="n">
        <v>0.46</v>
      </c>
      <c r="AB1073" s="3" t="n">
        <v>9</v>
      </c>
      <c r="AC1073" s="3" t="n">
        <v>1</v>
      </c>
      <c r="AD1073" s="3" t="n">
        <v>2</v>
      </c>
      <c r="AE1073" s="3" t="n">
        <v>1</v>
      </c>
      <c r="AF1073" s="3" t="n">
        <v>1</v>
      </c>
      <c r="AG1073" s="3" t="n">
        <v>2</v>
      </c>
      <c r="AH1073" s="3" t="n">
        <v>2</v>
      </c>
      <c r="AI1073" s="3" t="n">
        <v>1</v>
      </c>
      <c r="AJ1073" s="3" t="n">
        <v>2</v>
      </c>
      <c r="AK1073" s="3" t="n">
        <v>2</v>
      </c>
      <c r="AL1073" s="3" t="n">
        <v>2</v>
      </c>
      <c r="AM1073" s="3" t="n">
        <v>1</v>
      </c>
      <c r="AN1073" s="3" t="n">
        <v>2</v>
      </c>
      <c r="AO1073" s="3" t="n">
        <v>2</v>
      </c>
      <c r="AP1073" s="3" t="n">
        <v>3</v>
      </c>
      <c r="AQ1073" s="3" t="n">
        <v>4</v>
      </c>
      <c r="AR1073" s="3" t="n">
        <v>4</v>
      </c>
      <c r="AS1073" s="3" t="n">
        <v>6</v>
      </c>
      <c r="AT1073" s="3" t="n">
        <v>4</v>
      </c>
      <c r="AU1073" s="3" t="n">
        <v>4</v>
      </c>
      <c r="AV1073" s="3" t="n">
        <v>6</v>
      </c>
      <c r="AW1073" s="3" t="n">
        <v>6</v>
      </c>
      <c r="AX1073" s="3" t="n">
        <v>3</v>
      </c>
      <c r="AY1073" s="3" t="n">
        <v>3</v>
      </c>
      <c r="AZ1073" s="3" t="n">
        <v>1</v>
      </c>
      <c r="BA1073" s="5" t="n">
        <v>1</v>
      </c>
      <c r="BB1073" s="3" t="n">
        <v>1</v>
      </c>
      <c r="BC1073" s="3" t="n">
        <v>1</v>
      </c>
      <c r="BD1073" s="3" t="n">
        <v>3</v>
      </c>
      <c r="BE1073" s="3" t="n">
        <v>1</v>
      </c>
      <c r="BF1073" s="3" t="n">
        <v>2</v>
      </c>
      <c r="BG1073" s="3" t="n">
        <v>1</v>
      </c>
      <c r="BH1073" s="3" t="n">
        <v>4</v>
      </c>
      <c r="BI1073" s="3" t="n">
        <v>1</v>
      </c>
      <c r="BJ1073" s="3" t="n">
        <v>1</v>
      </c>
      <c r="BK1073" s="6" t="s">
        <v>2732</v>
      </c>
    </row>
    <row r="1074" customFormat="false" ht="15" hidden="false" customHeight="true" outlineLevel="0" collapsed="false">
      <c r="B1074" s="2" t="s">
        <v>2733</v>
      </c>
      <c r="C1074" s="2" t="s">
        <v>153</v>
      </c>
      <c r="D1074" s="2" t="s">
        <v>91</v>
      </c>
      <c r="E1074" s="2" t="n">
        <v>207239</v>
      </c>
      <c r="F1074" s="15" t="n">
        <v>44198</v>
      </c>
      <c r="G1074" s="15" t="n">
        <v>44205</v>
      </c>
      <c r="H1074" s="3" t="n">
        <v>7</v>
      </c>
      <c r="I1074" s="3" t="n">
        <v>2</v>
      </c>
      <c r="J1074" s="3" t="n">
        <v>59</v>
      </c>
      <c r="K1074" s="3" t="n">
        <v>2</v>
      </c>
      <c r="L1074" s="3" t="n">
        <v>1</v>
      </c>
      <c r="M1074" s="3" t="n">
        <v>1</v>
      </c>
      <c r="N1074" s="3" t="n">
        <v>2</v>
      </c>
      <c r="O1074" s="3" t="n">
        <v>2</v>
      </c>
      <c r="P1074" s="3" t="n">
        <v>2</v>
      </c>
      <c r="Q1074" s="3" t="n">
        <v>2</v>
      </c>
      <c r="R1074" s="3" t="n">
        <v>2</v>
      </c>
      <c r="S1074" s="3" t="n">
        <v>2</v>
      </c>
      <c r="T1074" s="4" t="n">
        <v>2</v>
      </c>
      <c r="U1074" s="3" t="n">
        <v>2</v>
      </c>
      <c r="V1074" s="3" t="n">
        <v>5.19</v>
      </c>
      <c r="W1074" s="3" t="n">
        <v>1.35</v>
      </c>
      <c r="X1074" s="3" t="n">
        <v>5.02</v>
      </c>
      <c r="Y1074" s="3" t="n">
        <v>382</v>
      </c>
      <c r="Z1074" s="3" t="n">
        <v>110</v>
      </c>
      <c r="AA1074" s="3" t="n">
        <v>0.47</v>
      </c>
      <c r="AB1074" s="3" t="n">
        <v>9</v>
      </c>
      <c r="AC1074" s="3" t="n">
        <v>1</v>
      </c>
      <c r="AD1074" s="3" t="n">
        <v>2</v>
      </c>
      <c r="AE1074" s="3" t="n">
        <v>1</v>
      </c>
      <c r="AF1074" s="3" t="n">
        <v>1</v>
      </c>
      <c r="AG1074" s="3" t="n">
        <v>1</v>
      </c>
      <c r="AH1074" s="3" t="n">
        <v>2</v>
      </c>
      <c r="AI1074" s="3" t="n">
        <v>1</v>
      </c>
      <c r="AJ1074" s="3" t="n">
        <v>1</v>
      </c>
      <c r="AK1074" s="3" t="n">
        <v>2</v>
      </c>
      <c r="AL1074" s="3" t="n">
        <v>2</v>
      </c>
      <c r="AM1074" s="3" t="n">
        <v>1</v>
      </c>
      <c r="AN1074" s="3" t="n">
        <v>2</v>
      </c>
      <c r="AO1074" s="3" t="n">
        <v>2</v>
      </c>
      <c r="AP1074" s="3" t="n">
        <v>3</v>
      </c>
      <c r="AQ1074" s="3" t="n">
        <v>4</v>
      </c>
      <c r="AR1074" s="3" t="n">
        <v>4</v>
      </c>
      <c r="AS1074" s="3" t="n">
        <v>6</v>
      </c>
      <c r="AT1074" s="3" t="n">
        <v>4</v>
      </c>
      <c r="AU1074" s="3" t="n">
        <v>4</v>
      </c>
      <c r="AV1074" s="3" t="n">
        <v>6</v>
      </c>
      <c r="AW1074" s="3" t="n">
        <v>6</v>
      </c>
      <c r="AX1074" s="3" t="n">
        <v>3</v>
      </c>
      <c r="AY1074" s="3" t="n">
        <v>3</v>
      </c>
      <c r="AZ1074" s="3" t="n">
        <v>1</v>
      </c>
      <c r="BA1074" s="5" t="n">
        <v>1</v>
      </c>
      <c r="BB1074" s="3" t="n">
        <v>1</v>
      </c>
      <c r="BC1074" s="3" t="n">
        <v>1</v>
      </c>
      <c r="BD1074" s="3" t="n">
        <v>4</v>
      </c>
      <c r="BE1074" s="3" t="n">
        <v>3</v>
      </c>
      <c r="BF1074" s="3" t="n">
        <v>5</v>
      </c>
      <c r="BG1074" s="3" t="n">
        <v>3</v>
      </c>
      <c r="BH1074" s="3" t="n">
        <v>4</v>
      </c>
      <c r="BI1074" s="3" t="n">
        <v>1</v>
      </c>
      <c r="BJ1074" s="3" t="n">
        <v>1</v>
      </c>
      <c r="BK1074" s="6" t="s">
        <v>2734</v>
      </c>
    </row>
    <row r="1075" customFormat="false" ht="15" hidden="false" customHeight="true" outlineLevel="0" collapsed="false">
      <c r="B1075" s="2" t="s">
        <v>258</v>
      </c>
      <c r="C1075" s="2" t="s">
        <v>2189</v>
      </c>
      <c r="D1075" s="2" t="s">
        <v>153</v>
      </c>
      <c r="E1075" s="2" t="n">
        <v>207382</v>
      </c>
      <c r="F1075" s="15" t="n">
        <v>44201</v>
      </c>
      <c r="G1075" s="15" t="n">
        <v>44207</v>
      </c>
      <c r="H1075" s="3" t="n">
        <v>6</v>
      </c>
      <c r="I1075" s="3" t="n">
        <v>2</v>
      </c>
      <c r="J1075" s="3" t="n">
        <v>78</v>
      </c>
      <c r="K1075" s="3" t="n">
        <v>2</v>
      </c>
      <c r="L1075" s="3" t="n">
        <v>1</v>
      </c>
      <c r="M1075" s="3" t="n">
        <v>1</v>
      </c>
      <c r="N1075" s="3" t="n">
        <v>2</v>
      </c>
      <c r="O1075" s="3" t="n">
        <v>2</v>
      </c>
      <c r="P1075" s="3" t="n">
        <v>2</v>
      </c>
      <c r="Q1075" s="3" t="n">
        <v>2</v>
      </c>
      <c r="R1075" s="3" t="n">
        <v>2</v>
      </c>
      <c r="S1075" s="3" t="n">
        <v>2</v>
      </c>
      <c r="T1075" s="4" t="n">
        <v>2</v>
      </c>
      <c r="U1075" s="3" t="n">
        <v>2</v>
      </c>
      <c r="V1075" s="3" t="n">
        <v>4.17</v>
      </c>
      <c r="W1075" s="3" t="n">
        <v>0.7</v>
      </c>
      <c r="X1075" s="3" t="n">
        <v>5.39</v>
      </c>
      <c r="Y1075" s="3" t="n">
        <v>324</v>
      </c>
      <c r="Z1075" s="3" t="n">
        <v>96</v>
      </c>
      <c r="AA1075" s="3" t="n">
        <v>0.44</v>
      </c>
      <c r="AB1075" s="3" t="n">
        <v>9.6</v>
      </c>
      <c r="AC1075" s="3" t="n">
        <v>1</v>
      </c>
      <c r="AD1075" s="3" t="n">
        <v>1</v>
      </c>
      <c r="AE1075" s="3" t="n">
        <v>1</v>
      </c>
      <c r="AF1075" s="3" t="n">
        <v>1</v>
      </c>
      <c r="AG1075" s="3" t="n">
        <v>2</v>
      </c>
      <c r="AH1075" s="3" t="n">
        <v>1</v>
      </c>
      <c r="AI1075" s="3" t="n">
        <v>1</v>
      </c>
      <c r="AJ1075" s="3" t="n">
        <v>1</v>
      </c>
      <c r="AK1075" s="3" t="n">
        <v>2</v>
      </c>
      <c r="AL1075" s="3" t="n">
        <v>2</v>
      </c>
      <c r="AM1075" s="3" t="n">
        <v>1</v>
      </c>
      <c r="AN1075" s="3" t="n">
        <v>2</v>
      </c>
      <c r="AO1075" s="3" t="n">
        <v>2</v>
      </c>
      <c r="AP1075" s="3" t="n">
        <v>3</v>
      </c>
      <c r="AQ1075" s="3" t="n">
        <v>4</v>
      </c>
      <c r="AR1075" s="3" t="n">
        <v>4</v>
      </c>
      <c r="AS1075" s="3" t="n">
        <v>6</v>
      </c>
      <c r="AT1075" s="3" t="n">
        <v>4</v>
      </c>
      <c r="AU1075" s="3" t="n">
        <v>4</v>
      </c>
      <c r="AV1075" s="3" t="n">
        <v>6</v>
      </c>
      <c r="AW1075" s="3" t="n">
        <v>6</v>
      </c>
      <c r="AX1075" s="3" t="n">
        <v>3</v>
      </c>
      <c r="AY1075" s="3" t="n">
        <v>3</v>
      </c>
      <c r="AZ1075" s="3" t="n">
        <v>1</v>
      </c>
      <c r="BA1075" s="5" t="n">
        <v>1</v>
      </c>
      <c r="BB1075" s="3" t="n">
        <v>1</v>
      </c>
      <c r="BC1075" s="3" t="n">
        <v>1</v>
      </c>
      <c r="BD1075" s="3" t="n">
        <v>2</v>
      </c>
      <c r="BE1075" s="3" t="n">
        <v>3</v>
      </c>
      <c r="BF1075" s="3" t="n">
        <v>5</v>
      </c>
      <c r="BG1075" s="3" t="n">
        <v>3</v>
      </c>
      <c r="BH1075" s="3" t="n">
        <v>4</v>
      </c>
      <c r="BI1075" s="3" t="n">
        <v>1</v>
      </c>
      <c r="BJ1075" s="3" t="n">
        <v>1</v>
      </c>
      <c r="BK1075" s="6" t="s">
        <v>2735</v>
      </c>
    </row>
    <row r="1076" customFormat="false" ht="15" hidden="false" customHeight="true" outlineLevel="0" collapsed="false">
      <c r="B1076" s="2" t="s">
        <v>1729</v>
      </c>
      <c r="C1076" s="2" t="s">
        <v>2736</v>
      </c>
      <c r="D1076" s="2" t="s">
        <v>2491</v>
      </c>
      <c r="E1076" s="2" t="n">
        <v>207254</v>
      </c>
      <c r="F1076" s="15" t="n">
        <v>44199</v>
      </c>
      <c r="G1076" s="15" t="n">
        <v>44207</v>
      </c>
      <c r="H1076" s="3" t="n">
        <v>6</v>
      </c>
      <c r="I1076" s="3" t="n">
        <v>1</v>
      </c>
      <c r="J1076" s="3" t="n">
        <v>72</v>
      </c>
      <c r="K1076" s="3" t="n">
        <v>1</v>
      </c>
      <c r="L1076" s="3" t="n">
        <v>1</v>
      </c>
      <c r="M1076" s="3" t="n">
        <v>1</v>
      </c>
      <c r="N1076" s="3" t="n">
        <v>2</v>
      </c>
      <c r="O1076" s="3" t="n">
        <v>2</v>
      </c>
      <c r="P1076" s="3" t="n">
        <v>2</v>
      </c>
      <c r="Q1076" s="3" t="n">
        <v>2</v>
      </c>
      <c r="R1076" s="3" t="n">
        <v>2</v>
      </c>
      <c r="S1076" s="3" t="n">
        <v>2</v>
      </c>
      <c r="T1076" s="4" t="n">
        <v>2</v>
      </c>
      <c r="U1076" s="3" t="n">
        <v>2</v>
      </c>
      <c r="V1076" s="3" t="n">
        <v>4.08</v>
      </c>
      <c r="W1076" s="3" t="n">
        <v>1.06</v>
      </c>
      <c r="X1076" s="3" t="n">
        <v>8.94</v>
      </c>
      <c r="Y1076" s="3" t="n">
        <v>548</v>
      </c>
      <c r="Z1076" s="3" t="n">
        <v>116</v>
      </c>
      <c r="AA1076" s="3" t="n">
        <v>0.46</v>
      </c>
      <c r="AB1076" s="3" t="n">
        <v>16.1</v>
      </c>
      <c r="AC1076" s="3" t="n">
        <v>2</v>
      </c>
      <c r="AD1076" s="3" t="n">
        <v>1</v>
      </c>
      <c r="AE1076" s="3" t="n">
        <v>1</v>
      </c>
      <c r="AF1076" s="3" t="n">
        <v>1</v>
      </c>
      <c r="AG1076" s="3" t="n">
        <v>1</v>
      </c>
      <c r="AH1076" s="3" t="n">
        <v>2</v>
      </c>
      <c r="AI1076" s="3" t="n">
        <v>1</v>
      </c>
      <c r="AJ1076" s="3" t="n">
        <v>1</v>
      </c>
      <c r="AK1076" s="3" t="n">
        <v>2</v>
      </c>
      <c r="AL1076" s="3" t="n">
        <v>2</v>
      </c>
      <c r="AM1076" s="3" t="n">
        <v>1</v>
      </c>
      <c r="AN1076" s="3" t="n">
        <v>2</v>
      </c>
      <c r="AO1076" s="3" t="n">
        <v>2</v>
      </c>
      <c r="AP1076" s="3" t="n">
        <v>3</v>
      </c>
      <c r="AQ1076" s="3" t="n">
        <v>4</v>
      </c>
      <c r="AR1076" s="3" t="n">
        <v>4</v>
      </c>
      <c r="AS1076" s="3" t="n">
        <v>6</v>
      </c>
      <c r="AT1076" s="3" t="n">
        <v>4</v>
      </c>
      <c r="AU1076" s="3" t="n">
        <v>4</v>
      </c>
      <c r="AV1076" s="3" t="n">
        <v>6</v>
      </c>
      <c r="AW1076" s="3" t="n">
        <v>6</v>
      </c>
      <c r="AX1076" s="3" t="n">
        <v>3</v>
      </c>
      <c r="AY1076" s="3" t="n">
        <v>3</v>
      </c>
      <c r="AZ1076" s="3" t="n">
        <v>1</v>
      </c>
      <c r="BA1076" s="5" t="n">
        <v>1</v>
      </c>
      <c r="BB1076" s="3" t="n">
        <v>1</v>
      </c>
      <c r="BC1076" s="3" t="n">
        <v>1</v>
      </c>
      <c r="BD1076" s="3" t="n">
        <v>2</v>
      </c>
      <c r="BE1076" s="3" t="n">
        <v>1</v>
      </c>
      <c r="BF1076" s="3" t="n">
        <v>2</v>
      </c>
      <c r="BG1076" s="3" t="n">
        <v>1</v>
      </c>
      <c r="BH1076" s="3" t="n">
        <v>4</v>
      </c>
      <c r="BI1076" s="3" t="n">
        <v>1</v>
      </c>
      <c r="BJ1076" s="3" t="n">
        <v>1</v>
      </c>
      <c r="BK1076" s="6" t="s">
        <v>2737</v>
      </c>
    </row>
    <row r="1077" customFormat="false" ht="15" hidden="false" customHeight="true" outlineLevel="0" collapsed="false">
      <c r="B1077" s="17" t="s">
        <v>1901</v>
      </c>
      <c r="C1077" s="17" t="s">
        <v>197</v>
      </c>
      <c r="D1077" s="17" t="s">
        <v>1472</v>
      </c>
      <c r="E1077" s="2" t="n">
        <v>207683</v>
      </c>
      <c r="F1077" s="15" t="n">
        <v>44203</v>
      </c>
      <c r="G1077" s="15" t="n">
        <v>44207</v>
      </c>
      <c r="H1077" s="3" t="n">
        <v>4</v>
      </c>
      <c r="I1077" s="3" t="n">
        <v>1</v>
      </c>
      <c r="J1077" s="3" t="n">
        <v>92</v>
      </c>
      <c r="K1077" s="3" t="n">
        <v>1</v>
      </c>
      <c r="L1077" s="3" t="n">
        <v>2</v>
      </c>
      <c r="M1077" s="3" t="n">
        <v>1</v>
      </c>
      <c r="N1077" s="3" t="n">
        <v>2</v>
      </c>
      <c r="O1077" s="3" t="n">
        <v>2</v>
      </c>
      <c r="P1077" s="3" t="n">
        <v>2</v>
      </c>
      <c r="Q1077" s="3" t="n">
        <v>2</v>
      </c>
      <c r="R1077" s="3" t="n">
        <v>2</v>
      </c>
      <c r="S1077" s="3" t="n">
        <v>2</v>
      </c>
      <c r="T1077" s="4" t="n">
        <v>1</v>
      </c>
      <c r="U1077" s="3" t="n">
        <v>1</v>
      </c>
      <c r="AC1077" s="3" t="n">
        <v>1</v>
      </c>
      <c r="AD1077" s="3" t="n">
        <v>1</v>
      </c>
      <c r="AE1077" s="3" t="n">
        <v>1</v>
      </c>
      <c r="AF1077" s="3" t="n">
        <v>1</v>
      </c>
      <c r="AG1077" s="3" t="n">
        <v>2</v>
      </c>
      <c r="AH1077" s="3" t="n">
        <v>1</v>
      </c>
      <c r="AI1077" s="3" t="n">
        <v>1</v>
      </c>
      <c r="AJ1077" s="3" t="n">
        <v>1</v>
      </c>
      <c r="AK1077" s="3" t="n">
        <v>2</v>
      </c>
      <c r="AL1077" s="3" t="n">
        <v>2</v>
      </c>
      <c r="AM1077" s="3" t="n">
        <v>1</v>
      </c>
      <c r="AN1077" s="3" t="n">
        <v>2</v>
      </c>
      <c r="AO1077" s="3" t="n">
        <v>2</v>
      </c>
      <c r="AP1077" s="3" t="n">
        <v>3</v>
      </c>
      <c r="AQ1077" s="3" t="n">
        <v>4</v>
      </c>
      <c r="AR1077" s="3" t="n">
        <v>4</v>
      </c>
      <c r="AS1077" s="3" t="n">
        <v>6</v>
      </c>
      <c r="AT1077" s="3" t="n">
        <v>4</v>
      </c>
      <c r="AU1077" s="3" t="n">
        <v>4</v>
      </c>
      <c r="AV1077" s="3" t="n">
        <v>6</v>
      </c>
      <c r="AW1077" s="3" t="n">
        <v>6</v>
      </c>
      <c r="AX1077" s="3" t="n">
        <v>3</v>
      </c>
      <c r="AY1077" s="3" t="n">
        <v>3</v>
      </c>
      <c r="AZ1077" s="3" t="n">
        <v>1</v>
      </c>
      <c r="BA1077" s="5" t="n">
        <v>5</v>
      </c>
      <c r="BB1077" s="3" t="n">
        <v>2</v>
      </c>
      <c r="BC1077" s="3" t="n">
        <v>1</v>
      </c>
      <c r="BD1077" s="3" t="n">
        <v>6</v>
      </c>
      <c r="BE1077" s="3" t="n">
        <v>3</v>
      </c>
      <c r="BF1077" s="3" t="n">
        <v>5</v>
      </c>
      <c r="BG1077" s="3" t="n">
        <v>3</v>
      </c>
      <c r="BH1077" s="3" t="n">
        <v>4</v>
      </c>
      <c r="BI1077" s="3" t="n">
        <v>1</v>
      </c>
      <c r="BJ1077" s="3" t="n">
        <v>1</v>
      </c>
      <c r="BK1077" s="21" t="s">
        <v>2738</v>
      </c>
    </row>
    <row r="1078" customFormat="false" ht="15" hidden="false" customHeight="true" outlineLevel="0" collapsed="false">
      <c r="B1078" s="2" t="s">
        <v>573</v>
      </c>
      <c r="C1078" s="2" t="s">
        <v>2081</v>
      </c>
      <c r="D1078" s="2" t="s">
        <v>2739</v>
      </c>
      <c r="E1078" s="2" t="n">
        <v>207494</v>
      </c>
      <c r="F1078" s="15" t="n">
        <v>44202</v>
      </c>
      <c r="G1078" s="15" t="n">
        <v>44208</v>
      </c>
      <c r="H1078" s="3" t="n">
        <v>6</v>
      </c>
      <c r="I1078" s="3" t="n">
        <v>2</v>
      </c>
      <c r="J1078" s="3" t="n">
        <v>53</v>
      </c>
      <c r="K1078" s="3" t="n">
        <v>2</v>
      </c>
      <c r="L1078" s="3" t="n">
        <v>2</v>
      </c>
      <c r="M1078" s="3" t="n">
        <v>1</v>
      </c>
      <c r="N1078" s="3" t="n">
        <v>1</v>
      </c>
      <c r="O1078" s="3" t="n">
        <v>2</v>
      </c>
      <c r="P1078" s="3" t="n">
        <v>2</v>
      </c>
      <c r="Q1078" s="3" t="n">
        <v>2</v>
      </c>
      <c r="R1078" s="3" t="n">
        <v>2</v>
      </c>
      <c r="S1078" s="3" t="n">
        <v>2</v>
      </c>
      <c r="T1078" s="4" t="n">
        <v>2</v>
      </c>
      <c r="U1078" s="3" t="n">
        <v>2</v>
      </c>
      <c r="V1078" s="3" t="n">
        <v>4.39</v>
      </c>
      <c r="W1078" s="3" t="n">
        <v>1.14</v>
      </c>
      <c r="X1078" s="3" t="n">
        <v>4.67</v>
      </c>
      <c r="Y1078" s="3" t="n">
        <v>305</v>
      </c>
      <c r="Z1078" s="3" t="n">
        <v>99.4</v>
      </c>
      <c r="AA1078" s="3" t="n">
        <v>0.45</v>
      </c>
      <c r="AB1078" s="3" t="n">
        <v>12</v>
      </c>
      <c r="AC1078" s="3" t="n">
        <v>2</v>
      </c>
      <c r="AD1078" s="3" t="n">
        <v>1</v>
      </c>
      <c r="AE1078" s="3" t="n">
        <v>1</v>
      </c>
      <c r="AF1078" s="3" t="n">
        <v>1</v>
      </c>
      <c r="AG1078" s="3" t="n">
        <v>2</v>
      </c>
      <c r="AH1078" s="3" t="n">
        <v>2</v>
      </c>
      <c r="AI1078" s="3" t="n">
        <v>1</v>
      </c>
      <c r="AJ1078" s="3" t="n">
        <v>1</v>
      </c>
      <c r="AK1078" s="3" t="n">
        <v>2</v>
      </c>
      <c r="AL1078" s="3" t="n">
        <v>2</v>
      </c>
      <c r="AM1078" s="3" t="n">
        <v>1</v>
      </c>
      <c r="AN1078" s="3" t="n">
        <v>2</v>
      </c>
      <c r="AO1078" s="3" t="n">
        <v>2</v>
      </c>
      <c r="AP1078" s="3" t="n">
        <v>3</v>
      </c>
      <c r="AQ1078" s="3" t="n">
        <v>4</v>
      </c>
      <c r="AR1078" s="3" t="n">
        <v>4</v>
      </c>
      <c r="AS1078" s="3" t="n">
        <v>6</v>
      </c>
      <c r="AT1078" s="3" t="n">
        <v>4</v>
      </c>
      <c r="AU1078" s="3" t="n">
        <v>4</v>
      </c>
      <c r="AV1078" s="3" t="n">
        <v>6</v>
      </c>
      <c r="AW1078" s="3" t="n">
        <v>6</v>
      </c>
      <c r="AX1078" s="3" t="n">
        <v>3</v>
      </c>
      <c r="AY1078" s="3" t="n">
        <v>3</v>
      </c>
      <c r="AZ1078" s="3" t="n">
        <v>1</v>
      </c>
      <c r="BA1078" s="5" t="n">
        <v>1</v>
      </c>
      <c r="BB1078" s="3" t="n">
        <v>1</v>
      </c>
      <c r="BC1078" s="3" t="n">
        <v>1</v>
      </c>
      <c r="BD1078" s="3" t="n">
        <v>2</v>
      </c>
      <c r="BE1078" s="3" t="n">
        <v>3</v>
      </c>
      <c r="BF1078" s="3" t="n">
        <v>5</v>
      </c>
      <c r="BG1078" s="3" t="n">
        <v>3</v>
      </c>
      <c r="BH1078" s="3" t="n">
        <v>4</v>
      </c>
      <c r="BI1078" s="3" t="n">
        <v>1</v>
      </c>
      <c r="BJ1078" s="3" t="n">
        <v>1</v>
      </c>
      <c r="BK1078" s="21" t="s">
        <v>2740</v>
      </c>
    </row>
    <row r="1079" customFormat="false" ht="15" hidden="false" customHeight="true" outlineLevel="0" collapsed="false">
      <c r="B1079" s="2" t="s">
        <v>2339</v>
      </c>
      <c r="C1079" s="2" t="s">
        <v>386</v>
      </c>
      <c r="D1079" s="2" t="s">
        <v>608</v>
      </c>
      <c r="E1079" s="2" t="n">
        <v>207372</v>
      </c>
      <c r="F1079" s="15" t="n">
        <v>44201</v>
      </c>
      <c r="G1079" s="15" t="n">
        <v>44208</v>
      </c>
      <c r="H1079" s="3" t="n">
        <v>7</v>
      </c>
      <c r="I1079" s="3" t="n">
        <v>1</v>
      </c>
      <c r="J1079" s="3" t="n">
        <v>84</v>
      </c>
      <c r="K1079" s="3" t="n">
        <v>1</v>
      </c>
      <c r="L1079" s="3" t="n">
        <v>2</v>
      </c>
      <c r="M1079" s="3" t="n">
        <v>1</v>
      </c>
      <c r="N1079" s="3" t="n">
        <v>2</v>
      </c>
      <c r="O1079" s="3" t="n">
        <v>1</v>
      </c>
      <c r="P1079" s="3" t="n">
        <v>1</v>
      </c>
      <c r="Q1079" s="3" t="n">
        <v>1</v>
      </c>
      <c r="R1079" s="3" t="n">
        <v>2</v>
      </c>
      <c r="S1079" s="3" t="n">
        <v>2</v>
      </c>
      <c r="T1079" s="4" t="n">
        <v>4</v>
      </c>
      <c r="U1079" s="3" t="n">
        <v>4</v>
      </c>
      <c r="V1079" s="3" t="n">
        <v>2.93</v>
      </c>
      <c r="W1079" s="3" t="n">
        <v>1.28</v>
      </c>
      <c r="X1079" s="3" t="n">
        <v>30.38</v>
      </c>
      <c r="Y1079" s="3" t="n">
        <v>520</v>
      </c>
      <c r="Z1079" s="3" t="n">
        <v>131</v>
      </c>
      <c r="AA1079" s="3" t="n">
        <v>0.44</v>
      </c>
      <c r="AB1079" s="3" t="n">
        <v>12.6</v>
      </c>
      <c r="AC1079" s="3" t="n">
        <v>3</v>
      </c>
      <c r="AD1079" s="3" t="n">
        <v>1</v>
      </c>
      <c r="AE1079" s="3" t="n">
        <v>2</v>
      </c>
      <c r="AF1079" s="3" t="n">
        <v>2</v>
      </c>
      <c r="AG1079" s="3" t="n">
        <v>2</v>
      </c>
      <c r="AH1079" s="3" t="n">
        <v>1</v>
      </c>
      <c r="AI1079" s="3" t="n">
        <v>1</v>
      </c>
      <c r="AJ1079" s="3" t="n">
        <v>2</v>
      </c>
      <c r="AK1079" s="3" t="n">
        <v>1</v>
      </c>
      <c r="AL1079" s="3" t="n">
        <v>2</v>
      </c>
      <c r="AM1079" s="3" t="n">
        <v>1</v>
      </c>
      <c r="AN1079" s="3" t="n">
        <v>2</v>
      </c>
      <c r="AO1079" s="3" t="n">
        <v>2</v>
      </c>
      <c r="AP1079" s="3" t="n">
        <v>3</v>
      </c>
      <c r="AQ1079" s="3" t="n">
        <v>4</v>
      </c>
      <c r="AR1079" s="3" t="n">
        <v>4</v>
      </c>
      <c r="AS1079" s="3" t="n">
        <v>6</v>
      </c>
      <c r="AT1079" s="3" t="n">
        <v>4</v>
      </c>
      <c r="AU1079" s="3" t="n">
        <v>4</v>
      </c>
      <c r="AV1079" s="3" t="n">
        <v>6</v>
      </c>
      <c r="AW1079" s="3" t="n">
        <v>6</v>
      </c>
      <c r="AX1079" s="3" t="n">
        <v>3</v>
      </c>
      <c r="AY1079" s="3" t="n">
        <v>3</v>
      </c>
      <c r="AZ1079" s="3" t="n">
        <v>1</v>
      </c>
      <c r="BA1079" s="5" t="n">
        <v>10</v>
      </c>
      <c r="BB1079" s="3" t="n">
        <v>2</v>
      </c>
      <c r="BC1079" s="3" t="n">
        <v>1</v>
      </c>
      <c r="BD1079" s="3" t="n">
        <v>6</v>
      </c>
      <c r="BE1079" s="3" t="n">
        <v>3</v>
      </c>
      <c r="BF1079" s="3" t="n">
        <v>5</v>
      </c>
      <c r="BG1079" s="3" t="n">
        <v>3</v>
      </c>
      <c r="BH1079" s="3" t="n">
        <v>4</v>
      </c>
      <c r="BI1079" s="3" t="n">
        <v>1</v>
      </c>
      <c r="BJ1079" s="3" t="n">
        <v>1</v>
      </c>
      <c r="BK1079" s="6" t="s">
        <v>2741</v>
      </c>
    </row>
    <row r="1080" customFormat="false" ht="15" hidden="false" customHeight="true" outlineLevel="0" collapsed="false">
      <c r="B1080" s="17" t="s">
        <v>2742</v>
      </c>
      <c r="C1080" s="17" t="s">
        <v>1841</v>
      </c>
      <c r="D1080" s="17" t="s">
        <v>153</v>
      </c>
      <c r="E1080" s="2" t="n">
        <v>207395</v>
      </c>
      <c r="F1080" s="15" t="n">
        <v>44202</v>
      </c>
      <c r="G1080" s="15" t="n">
        <v>44208</v>
      </c>
      <c r="H1080" s="3" t="n">
        <v>6</v>
      </c>
      <c r="I1080" s="3" t="n">
        <v>2</v>
      </c>
      <c r="J1080" s="3" t="n">
        <v>62</v>
      </c>
      <c r="K1080" s="3" t="n">
        <v>1</v>
      </c>
      <c r="L1080" s="3" t="n">
        <v>2</v>
      </c>
      <c r="M1080" s="3" t="n">
        <v>1</v>
      </c>
      <c r="N1080" s="3" t="n">
        <v>2</v>
      </c>
      <c r="O1080" s="3" t="n">
        <v>2</v>
      </c>
      <c r="P1080" s="3" t="n">
        <v>2</v>
      </c>
      <c r="Q1080" s="3" t="n">
        <v>2</v>
      </c>
      <c r="R1080" s="3" t="n">
        <v>2</v>
      </c>
      <c r="S1080" s="3" t="n">
        <v>2</v>
      </c>
      <c r="T1080" s="4" t="n">
        <v>1</v>
      </c>
      <c r="U1080" s="3" t="n">
        <v>1</v>
      </c>
      <c r="V1080" s="3" t="n">
        <v>6.28</v>
      </c>
      <c r="W1080" s="3" t="n">
        <v>1.06</v>
      </c>
      <c r="X1080" s="3" t="n">
        <v>29.2</v>
      </c>
      <c r="Y1080" s="3" t="n">
        <v>3.65</v>
      </c>
      <c r="Z1080" s="3" t="n">
        <v>135.6</v>
      </c>
      <c r="AA1080" s="3" t="n">
        <v>0.48</v>
      </c>
      <c r="AB1080" s="3" t="n">
        <v>12.3</v>
      </c>
      <c r="AC1080" s="3" t="n">
        <v>2</v>
      </c>
      <c r="AD1080" s="3" t="n">
        <v>1</v>
      </c>
      <c r="AE1080" s="3" t="n">
        <v>1</v>
      </c>
      <c r="AF1080" s="3" t="n">
        <v>1</v>
      </c>
      <c r="AG1080" s="3" t="n">
        <v>1</v>
      </c>
      <c r="AH1080" s="3" t="n">
        <v>2</v>
      </c>
      <c r="AI1080" s="3" t="n">
        <v>1</v>
      </c>
      <c r="AJ1080" s="3" t="n">
        <v>1</v>
      </c>
      <c r="AK1080" s="3" t="n">
        <v>2</v>
      </c>
      <c r="AL1080" s="3" t="n">
        <v>2</v>
      </c>
      <c r="AM1080" s="3" t="n">
        <v>1</v>
      </c>
      <c r="AN1080" s="3" t="n">
        <v>2</v>
      </c>
      <c r="AO1080" s="3" t="n">
        <v>2</v>
      </c>
      <c r="AP1080" s="3" t="n">
        <v>3</v>
      </c>
      <c r="AQ1080" s="3" t="n">
        <v>4</v>
      </c>
      <c r="AR1080" s="3" t="n">
        <v>4</v>
      </c>
      <c r="AS1080" s="3" t="n">
        <v>6</v>
      </c>
      <c r="AT1080" s="3" t="n">
        <v>4</v>
      </c>
      <c r="AU1080" s="3" t="n">
        <v>4</v>
      </c>
      <c r="AV1080" s="3" t="n">
        <v>6</v>
      </c>
      <c r="AW1080" s="3" t="n">
        <v>6</v>
      </c>
      <c r="AX1080" s="3" t="n">
        <v>3</v>
      </c>
      <c r="AY1080" s="3" t="n">
        <v>3</v>
      </c>
      <c r="AZ1080" s="3" t="n">
        <v>1</v>
      </c>
      <c r="BA1080" s="5" t="n">
        <v>2</v>
      </c>
      <c r="BB1080" s="3" t="n">
        <v>1</v>
      </c>
      <c r="BC1080" s="3" t="n">
        <v>1</v>
      </c>
      <c r="BD1080" s="3" t="n">
        <v>2</v>
      </c>
      <c r="BE1080" s="3" t="n">
        <v>3</v>
      </c>
      <c r="BF1080" s="3" t="n">
        <v>5</v>
      </c>
      <c r="BG1080" s="3" t="n">
        <v>3</v>
      </c>
      <c r="BH1080" s="3" t="n">
        <v>4</v>
      </c>
      <c r="BI1080" s="3" t="n">
        <v>1</v>
      </c>
      <c r="BJ1080" s="3" t="n">
        <v>1</v>
      </c>
      <c r="BK1080" s="21" t="s">
        <v>2743</v>
      </c>
    </row>
    <row r="1081" customFormat="false" ht="15" hidden="false" customHeight="true" outlineLevel="0" collapsed="false">
      <c r="B1081" s="2" t="s">
        <v>1801</v>
      </c>
      <c r="C1081" s="2" t="s">
        <v>967</v>
      </c>
      <c r="D1081" s="2" t="s">
        <v>2744</v>
      </c>
      <c r="E1081" s="2" t="n">
        <v>207430</v>
      </c>
      <c r="F1081" s="15" t="n">
        <v>44204</v>
      </c>
      <c r="G1081" s="15" t="n">
        <v>44211</v>
      </c>
      <c r="H1081" s="3" t="n">
        <v>7</v>
      </c>
      <c r="I1081" s="3" t="n">
        <v>1</v>
      </c>
      <c r="J1081" s="3" t="n">
        <v>59</v>
      </c>
      <c r="K1081" s="3" t="n">
        <v>1</v>
      </c>
      <c r="L1081" s="3" t="n">
        <v>1</v>
      </c>
      <c r="M1081" s="3" t="n">
        <v>1</v>
      </c>
      <c r="N1081" s="3" t="n">
        <v>2</v>
      </c>
      <c r="O1081" s="3" t="n">
        <v>2</v>
      </c>
      <c r="P1081" s="3" t="n">
        <v>2</v>
      </c>
      <c r="Q1081" s="3" t="n">
        <v>2</v>
      </c>
      <c r="R1081" s="3" t="n">
        <v>2</v>
      </c>
      <c r="S1081" s="3" t="n">
        <v>2</v>
      </c>
      <c r="T1081" s="4" t="n">
        <v>2</v>
      </c>
      <c r="U1081" s="3" t="n">
        <v>2</v>
      </c>
      <c r="V1081" s="3" t="n">
        <v>5.09</v>
      </c>
      <c r="W1081" s="3" t="n">
        <v>1.69</v>
      </c>
      <c r="X1081" s="3" t="n">
        <v>6.89</v>
      </c>
      <c r="Y1081" s="3" t="n">
        <v>140</v>
      </c>
      <c r="Z1081" s="3" t="n">
        <v>59</v>
      </c>
      <c r="AA1081" s="3" t="n">
        <v>0.34</v>
      </c>
      <c r="AB1081" s="3" t="n">
        <v>13.8</v>
      </c>
      <c r="AC1081" s="3" t="n">
        <v>1</v>
      </c>
      <c r="AD1081" s="3" t="n">
        <v>2</v>
      </c>
      <c r="AE1081" s="3" t="n">
        <v>1</v>
      </c>
      <c r="AF1081" s="3" t="n">
        <v>1</v>
      </c>
      <c r="AG1081" s="3" t="n">
        <v>2</v>
      </c>
      <c r="AH1081" s="3" t="n">
        <v>2</v>
      </c>
      <c r="AI1081" s="3" t="n">
        <v>1</v>
      </c>
      <c r="AJ1081" s="3" t="n">
        <v>2</v>
      </c>
      <c r="AK1081" s="3" t="n">
        <v>2</v>
      </c>
      <c r="AL1081" s="3" t="n">
        <v>2</v>
      </c>
      <c r="AM1081" s="3" t="n">
        <v>2</v>
      </c>
      <c r="AN1081" s="3" t="n">
        <v>2</v>
      </c>
      <c r="AO1081" s="3" t="n">
        <v>2</v>
      </c>
      <c r="AP1081" s="3" t="n">
        <v>3</v>
      </c>
      <c r="AQ1081" s="3" t="n">
        <v>4</v>
      </c>
      <c r="AR1081" s="3" t="n">
        <v>4</v>
      </c>
      <c r="AS1081" s="3" t="n">
        <v>6</v>
      </c>
      <c r="AT1081" s="3" t="n">
        <v>4</v>
      </c>
      <c r="AU1081" s="3" t="n">
        <v>4</v>
      </c>
      <c r="AV1081" s="3" t="n">
        <v>6</v>
      </c>
      <c r="AW1081" s="3" t="n">
        <v>6</v>
      </c>
      <c r="AX1081" s="3" t="n">
        <v>3</v>
      </c>
      <c r="AY1081" s="3" t="n">
        <v>3</v>
      </c>
      <c r="AZ1081" s="3" t="n">
        <v>1</v>
      </c>
      <c r="BA1081" s="5" t="n">
        <v>1</v>
      </c>
      <c r="BB1081" s="3" t="n">
        <v>1</v>
      </c>
      <c r="BC1081" s="3" t="n">
        <v>1</v>
      </c>
      <c r="BD1081" s="3" t="n">
        <v>4</v>
      </c>
      <c r="BE1081" s="3" t="n">
        <v>1</v>
      </c>
      <c r="BF1081" s="3" t="n">
        <v>2</v>
      </c>
      <c r="BG1081" s="3" t="n">
        <v>1</v>
      </c>
      <c r="BH1081" s="3" t="n">
        <v>4</v>
      </c>
      <c r="BI1081" s="3" t="n">
        <v>1</v>
      </c>
      <c r="BJ1081" s="3" t="n">
        <v>1</v>
      </c>
      <c r="BK1081" s="6" t="s">
        <v>2745</v>
      </c>
    </row>
    <row r="1082" customFormat="false" ht="15" hidden="false" customHeight="true" outlineLevel="0" collapsed="false">
      <c r="B1082" s="2" t="s">
        <v>442</v>
      </c>
      <c r="C1082" s="2" t="s">
        <v>2746</v>
      </c>
      <c r="D1082" s="2" t="s">
        <v>66</v>
      </c>
      <c r="E1082" s="2" t="n">
        <v>207647</v>
      </c>
      <c r="F1082" s="15" t="n">
        <v>44209</v>
      </c>
      <c r="G1082" s="15" t="n">
        <v>44214</v>
      </c>
      <c r="H1082" s="3" t="n">
        <v>5</v>
      </c>
      <c r="I1082" s="3" t="n">
        <v>2</v>
      </c>
      <c r="J1082" s="3" t="n">
        <v>64</v>
      </c>
      <c r="K1082" s="3" t="n">
        <v>1</v>
      </c>
      <c r="L1082" s="3" t="n">
        <v>1</v>
      </c>
      <c r="M1082" s="3" t="n">
        <v>2</v>
      </c>
      <c r="N1082" s="3" t="n">
        <v>2</v>
      </c>
      <c r="O1082" s="3" t="n">
        <v>2</v>
      </c>
      <c r="P1082" s="3" t="n">
        <v>2</v>
      </c>
      <c r="Q1082" s="3" t="n">
        <v>2</v>
      </c>
      <c r="R1082" s="3" t="n">
        <v>2</v>
      </c>
      <c r="S1082" s="3" t="n">
        <v>2</v>
      </c>
      <c r="T1082" s="4" t="n">
        <v>1</v>
      </c>
      <c r="U1082" s="3" t="n">
        <v>1</v>
      </c>
      <c r="V1082" s="3" t="n">
        <v>4.66</v>
      </c>
      <c r="W1082" s="3" t="n">
        <v>0.7</v>
      </c>
      <c r="X1082" s="3" t="n">
        <v>6.04</v>
      </c>
      <c r="Y1082" s="3" t="n">
        <v>300</v>
      </c>
      <c r="Z1082" s="3" t="n">
        <v>82</v>
      </c>
      <c r="AA1082" s="3" t="n">
        <v>0.43</v>
      </c>
      <c r="AB1082" s="3" t="n">
        <v>8.9</v>
      </c>
      <c r="AC1082" s="3" t="n">
        <v>1</v>
      </c>
      <c r="AD1082" s="3" t="n">
        <v>1</v>
      </c>
      <c r="AE1082" s="3" t="n">
        <v>1</v>
      </c>
      <c r="AF1082" s="3" t="n">
        <v>1</v>
      </c>
      <c r="AG1082" s="3" t="n">
        <v>1</v>
      </c>
      <c r="AH1082" s="3" t="n">
        <v>2</v>
      </c>
      <c r="AI1082" s="3" t="n">
        <v>1</v>
      </c>
      <c r="AJ1082" s="3" t="n">
        <v>1</v>
      </c>
      <c r="AK1082" s="3" t="n">
        <v>2</v>
      </c>
      <c r="AL1082" s="3" t="n">
        <v>2</v>
      </c>
      <c r="AM1082" s="3" t="n">
        <v>2</v>
      </c>
      <c r="AN1082" s="3" t="n">
        <v>2</v>
      </c>
      <c r="AO1082" s="3" t="n">
        <v>2</v>
      </c>
      <c r="AP1082" s="3" t="n">
        <v>3</v>
      </c>
      <c r="AQ1082" s="3" t="n">
        <v>4</v>
      </c>
      <c r="AR1082" s="3" t="n">
        <v>4</v>
      </c>
      <c r="AS1082" s="3" t="n">
        <v>6</v>
      </c>
      <c r="AT1082" s="3" t="n">
        <v>4</v>
      </c>
      <c r="AU1082" s="3" t="n">
        <v>4</v>
      </c>
      <c r="AV1082" s="3" t="n">
        <v>6</v>
      </c>
      <c r="AW1082" s="3" t="n">
        <v>6</v>
      </c>
      <c r="AX1082" s="3" t="n">
        <v>3</v>
      </c>
      <c r="AY1082" s="3" t="n">
        <v>3</v>
      </c>
      <c r="AZ1082" s="3" t="n">
        <v>1</v>
      </c>
      <c r="BA1082" s="5" t="n">
        <v>5</v>
      </c>
      <c r="BB1082" s="3" t="n">
        <v>2</v>
      </c>
      <c r="BC1082" s="3" t="n">
        <v>1</v>
      </c>
      <c r="BD1082" s="3" t="n">
        <v>6</v>
      </c>
      <c r="BE1082" s="3" t="n">
        <v>3</v>
      </c>
      <c r="BF1082" s="3" t="n">
        <v>5</v>
      </c>
      <c r="BG1082" s="3" t="n">
        <v>3</v>
      </c>
      <c r="BH1082" s="3" t="n">
        <v>4</v>
      </c>
      <c r="BI1082" s="3" t="n">
        <v>1</v>
      </c>
      <c r="BJ1082" s="3" t="n">
        <v>1</v>
      </c>
      <c r="BK1082" s="6" t="s">
        <v>2747</v>
      </c>
    </row>
    <row r="1083" customFormat="false" ht="15" hidden="false" customHeight="true" outlineLevel="0" collapsed="false">
      <c r="B1083" s="2" t="s">
        <v>1933</v>
      </c>
      <c r="C1083" s="2" t="s">
        <v>1122</v>
      </c>
      <c r="D1083" s="2" t="s">
        <v>95</v>
      </c>
      <c r="E1083" s="2" t="n">
        <v>177764</v>
      </c>
      <c r="F1083" s="15" t="n">
        <v>44197</v>
      </c>
      <c r="G1083" s="15" t="n">
        <v>43846</v>
      </c>
      <c r="H1083" s="3" t="n">
        <v>15</v>
      </c>
      <c r="I1083" s="3" t="n">
        <v>2</v>
      </c>
      <c r="J1083" s="3" t="n">
        <v>72</v>
      </c>
      <c r="K1083" s="3" t="n">
        <v>1</v>
      </c>
      <c r="L1083" s="3" t="n">
        <v>2</v>
      </c>
      <c r="M1083" s="3" t="n">
        <v>1</v>
      </c>
      <c r="N1083" s="3" t="n">
        <v>1</v>
      </c>
      <c r="O1083" s="3" t="n">
        <v>2</v>
      </c>
      <c r="P1083" s="3" t="n">
        <v>2</v>
      </c>
      <c r="Q1083" s="3" t="n">
        <v>1</v>
      </c>
      <c r="R1083" s="3" t="n">
        <v>1</v>
      </c>
      <c r="S1083" s="3" t="n">
        <v>2</v>
      </c>
      <c r="T1083" s="4" t="n">
        <v>2</v>
      </c>
      <c r="U1083" s="3" t="n">
        <v>2</v>
      </c>
      <c r="V1083" s="3" t="n">
        <v>3.35</v>
      </c>
      <c r="W1083" s="3" t="n">
        <v>1.11</v>
      </c>
      <c r="X1083" s="3" t="n">
        <v>7.57</v>
      </c>
      <c r="Y1083" s="3" t="n">
        <v>744</v>
      </c>
      <c r="Z1083" s="3" t="n">
        <v>122</v>
      </c>
      <c r="AA1083" s="3" t="n">
        <v>0.36</v>
      </c>
      <c r="AB1083" s="3" t="n">
        <v>11.4</v>
      </c>
      <c r="AC1083" s="3" t="n">
        <v>2</v>
      </c>
      <c r="AD1083" s="3" t="n">
        <v>1</v>
      </c>
      <c r="AE1083" s="3" t="n">
        <v>1</v>
      </c>
      <c r="AF1083" s="3" t="n">
        <v>1</v>
      </c>
      <c r="AG1083" s="3" t="n">
        <v>2</v>
      </c>
      <c r="AH1083" s="3" t="n">
        <v>2</v>
      </c>
      <c r="AI1083" s="3" t="n">
        <v>1</v>
      </c>
      <c r="AJ1083" s="3" t="n">
        <v>1</v>
      </c>
      <c r="AK1083" s="3" t="n">
        <v>1</v>
      </c>
      <c r="AL1083" s="3" t="n">
        <v>1</v>
      </c>
      <c r="AM1083" s="3" t="n">
        <v>1</v>
      </c>
      <c r="AN1083" s="3" t="n">
        <v>2</v>
      </c>
      <c r="AO1083" s="3" t="n">
        <v>2</v>
      </c>
      <c r="AP1083" s="3" t="n">
        <v>2</v>
      </c>
      <c r="AQ1083" s="3" t="n">
        <v>2</v>
      </c>
      <c r="AR1083" s="3" t="n">
        <v>4</v>
      </c>
      <c r="AS1083" s="3" t="n">
        <v>6</v>
      </c>
      <c r="AT1083" s="3" t="n">
        <v>4</v>
      </c>
      <c r="AU1083" s="3" t="n">
        <v>4</v>
      </c>
      <c r="AV1083" s="3" t="n">
        <v>1</v>
      </c>
      <c r="AW1083" s="3" t="n">
        <v>6</v>
      </c>
      <c r="AX1083" s="3" t="n">
        <v>2</v>
      </c>
      <c r="AY1083" s="3" t="n">
        <v>1</v>
      </c>
      <c r="AZ1083" s="3" t="n">
        <v>1</v>
      </c>
      <c r="BA1083" s="5" t="n">
        <v>1</v>
      </c>
      <c r="BB1083" s="3" t="n">
        <v>1</v>
      </c>
      <c r="BC1083" s="3" t="n">
        <v>1</v>
      </c>
      <c r="BD1083" s="3" t="n">
        <v>2</v>
      </c>
      <c r="BE1083" s="3" t="n">
        <v>1</v>
      </c>
      <c r="BF1083" s="3" t="n">
        <v>2</v>
      </c>
      <c r="BG1083" s="3" t="n">
        <v>1</v>
      </c>
      <c r="BH1083" s="3" t="n">
        <v>4</v>
      </c>
      <c r="BI1083" s="3" t="n">
        <v>1</v>
      </c>
      <c r="BJ1083" s="3" t="n">
        <v>1</v>
      </c>
      <c r="BK1083" s="6" t="s">
        <v>2748</v>
      </c>
    </row>
    <row r="1084" customFormat="false" ht="15" hidden="false" customHeight="true" outlineLevel="0" collapsed="false">
      <c r="B1084" s="2" t="s">
        <v>1360</v>
      </c>
      <c r="C1084" s="2" t="s">
        <v>608</v>
      </c>
      <c r="D1084" s="2" t="s">
        <v>2749</v>
      </c>
      <c r="E1084" s="2" t="n">
        <v>207635</v>
      </c>
      <c r="F1084" s="15" t="n">
        <v>44208</v>
      </c>
      <c r="G1084" s="15" t="n">
        <v>44214</v>
      </c>
      <c r="H1084" s="3" t="n">
        <v>6</v>
      </c>
      <c r="I1084" s="3" t="n">
        <v>1</v>
      </c>
      <c r="J1084" s="3" t="n">
        <v>59</v>
      </c>
      <c r="K1084" s="3" t="n">
        <v>1</v>
      </c>
      <c r="L1084" s="3" t="n">
        <v>1</v>
      </c>
      <c r="M1084" s="3" t="n">
        <v>1</v>
      </c>
      <c r="N1084" s="3" t="n">
        <v>2</v>
      </c>
      <c r="O1084" s="3" t="n">
        <v>2</v>
      </c>
      <c r="P1084" s="3" t="n">
        <v>2</v>
      </c>
      <c r="Q1084" s="3" t="n">
        <v>2</v>
      </c>
      <c r="R1084" s="3" t="n">
        <v>2</v>
      </c>
      <c r="S1084" s="3" t="n">
        <v>2</v>
      </c>
      <c r="T1084" s="4" t="n">
        <v>2</v>
      </c>
      <c r="U1084" s="3" t="n">
        <v>2</v>
      </c>
      <c r="V1084" s="3" t="n">
        <v>4.45</v>
      </c>
      <c r="W1084" s="3" t="n">
        <v>2.2</v>
      </c>
      <c r="X1084" s="3" t="n">
        <v>4.71</v>
      </c>
      <c r="Y1084" s="3" t="n">
        <v>387</v>
      </c>
      <c r="Z1084" s="3" t="n">
        <v>95</v>
      </c>
      <c r="AA1084" s="3" t="n">
        <v>0.39</v>
      </c>
      <c r="AB1084" s="3" t="n">
        <v>11.8</v>
      </c>
      <c r="AC1084" s="3" t="n">
        <v>2</v>
      </c>
      <c r="AD1084" s="3" t="n">
        <v>2</v>
      </c>
      <c r="AE1084" s="3" t="n">
        <v>1</v>
      </c>
      <c r="AF1084" s="3" t="n">
        <v>1</v>
      </c>
      <c r="AG1084" s="3" t="n">
        <v>1</v>
      </c>
      <c r="AH1084" s="3" t="n">
        <v>2</v>
      </c>
      <c r="AI1084" s="3" t="n">
        <v>1</v>
      </c>
      <c r="AJ1084" s="3" t="n">
        <v>1</v>
      </c>
      <c r="AK1084" s="3" t="n">
        <v>2</v>
      </c>
      <c r="AL1084" s="3" t="n">
        <v>2</v>
      </c>
      <c r="AM1084" s="3" t="n">
        <v>1</v>
      </c>
      <c r="AN1084" s="3" t="n">
        <v>2</v>
      </c>
      <c r="AO1084" s="3" t="n">
        <v>2</v>
      </c>
      <c r="AP1084" s="3" t="n">
        <v>3</v>
      </c>
      <c r="AQ1084" s="3" t="n">
        <v>4</v>
      </c>
      <c r="AR1084" s="3" t="n">
        <v>4</v>
      </c>
      <c r="AS1084" s="3" t="n">
        <v>6</v>
      </c>
      <c r="AT1084" s="3" t="n">
        <v>4</v>
      </c>
      <c r="AU1084" s="3" t="n">
        <v>4</v>
      </c>
      <c r="AV1084" s="3" t="n">
        <v>6</v>
      </c>
      <c r="AW1084" s="3" t="n">
        <v>6</v>
      </c>
      <c r="AX1084" s="3" t="n">
        <v>3</v>
      </c>
      <c r="AY1084" s="3" t="n">
        <v>3</v>
      </c>
      <c r="AZ1084" s="3" t="n">
        <v>1</v>
      </c>
      <c r="BA1084" s="5" t="n">
        <v>1</v>
      </c>
      <c r="BB1084" s="3" t="n">
        <v>1</v>
      </c>
      <c r="BC1084" s="3" t="n">
        <v>1</v>
      </c>
      <c r="BD1084" s="3" t="n">
        <v>4</v>
      </c>
      <c r="BE1084" s="3" t="n">
        <v>1</v>
      </c>
      <c r="BF1084" s="3" t="n">
        <v>2</v>
      </c>
      <c r="BG1084" s="3" t="n">
        <v>1</v>
      </c>
      <c r="BH1084" s="3" t="n">
        <v>4</v>
      </c>
      <c r="BI1084" s="3" t="n">
        <v>1</v>
      </c>
      <c r="BJ1084" s="3" t="n">
        <v>1</v>
      </c>
      <c r="BK1084" s="6" t="s">
        <v>2750</v>
      </c>
    </row>
    <row r="1085" customFormat="false" ht="15" hidden="false" customHeight="true" outlineLevel="0" collapsed="false">
      <c r="B1085" s="2" t="s">
        <v>2714</v>
      </c>
      <c r="C1085" s="2" t="s">
        <v>410</v>
      </c>
      <c r="D1085" s="2" t="s">
        <v>528</v>
      </c>
      <c r="E1085" s="2" t="n">
        <v>206706</v>
      </c>
      <c r="F1085" s="15" t="n">
        <v>44205</v>
      </c>
      <c r="G1085" s="15" t="n">
        <v>44212</v>
      </c>
      <c r="H1085" s="3" t="n">
        <v>7</v>
      </c>
      <c r="I1085" s="3" t="n">
        <v>1</v>
      </c>
      <c r="J1085" s="3" t="n">
        <v>63</v>
      </c>
      <c r="K1085" s="3" t="n">
        <v>2</v>
      </c>
      <c r="L1085" s="3" t="n">
        <v>2</v>
      </c>
      <c r="M1085" s="3" t="n">
        <v>1</v>
      </c>
      <c r="N1085" s="3" t="n">
        <v>1</v>
      </c>
      <c r="O1085" s="3" t="n">
        <v>2</v>
      </c>
      <c r="P1085" s="3" t="n">
        <v>2</v>
      </c>
      <c r="Q1085" s="3" t="n">
        <v>2</v>
      </c>
      <c r="R1085" s="3" t="n">
        <v>2</v>
      </c>
      <c r="S1085" s="3" t="n">
        <v>2</v>
      </c>
      <c r="T1085" s="4" t="n">
        <v>1</v>
      </c>
      <c r="U1085" s="3" t="n">
        <v>1</v>
      </c>
      <c r="V1085" s="3" t="n">
        <v>4.99</v>
      </c>
      <c r="W1085" s="3" t="n">
        <v>0.92</v>
      </c>
      <c r="X1085" s="3" t="n">
        <v>5.97</v>
      </c>
      <c r="Y1085" s="3" t="n">
        <v>288</v>
      </c>
      <c r="Z1085" s="3" t="n">
        <v>77</v>
      </c>
      <c r="AC1085" s="3" t="n">
        <v>1</v>
      </c>
      <c r="AD1085" s="3" t="n">
        <v>1</v>
      </c>
      <c r="AE1085" s="3" t="n">
        <v>1</v>
      </c>
      <c r="AF1085" s="3" t="n">
        <v>1</v>
      </c>
      <c r="AG1085" s="3" t="n">
        <v>1</v>
      </c>
      <c r="AH1085" s="3" t="n">
        <v>2</v>
      </c>
      <c r="AI1085" s="3" t="n">
        <v>1</v>
      </c>
      <c r="AJ1085" s="3" t="n">
        <v>1</v>
      </c>
      <c r="AK1085" s="3" t="n">
        <v>2</v>
      </c>
      <c r="AL1085" s="3" t="n">
        <v>2</v>
      </c>
      <c r="AM1085" s="3" t="n">
        <v>2</v>
      </c>
      <c r="AN1085" s="3" t="n">
        <v>2</v>
      </c>
      <c r="AO1085" s="3" t="n">
        <v>2</v>
      </c>
      <c r="AP1085" s="3" t="n">
        <v>1</v>
      </c>
      <c r="AQ1085" s="3" t="n">
        <v>3</v>
      </c>
      <c r="AR1085" s="3" t="n">
        <v>5</v>
      </c>
      <c r="AS1085" s="3" t="n">
        <v>4</v>
      </c>
      <c r="AT1085" s="3" t="n">
        <v>2</v>
      </c>
      <c r="AU1085" s="3" t="n">
        <v>1</v>
      </c>
      <c r="AV1085" s="3" t="n">
        <v>1</v>
      </c>
      <c r="AW1085" s="3" t="n">
        <v>1</v>
      </c>
      <c r="AX1085" s="3" t="n">
        <v>2</v>
      </c>
      <c r="AY1085" s="3" t="n">
        <v>2</v>
      </c>
      <c r="AZ1085" s="3" t="n">
        <v>1</v>
      </c>
      <c r="BA1085" s="5" t="n">
        <v>5</v>
      </c>
      <c r="BB1085" s="3" t="n">
        <v>2</v>
      </c>
      <c r="BC1085" s="3" t="n">
        <v>1</v>
      </c>
      <c r="BD1085" s="3" t="n">
        <v>6</v>
      </c>
      <c r="BE1085" s="3" t="n">
        <v>3</v>
      </c>
      <c r="BF1085" s="3" t="n">
        <v>5</v>
      </c>
      <c r="BG1085" s="3" t="n">
        <v>3</v>
      </c>
      <c r="BH1085" s="3" t="n">
        <v>4</v>
      </c>
      <c r="BI1085" s="3" t="n">
        <v>1</v>
      </c>
      <c r="BJ1085" s="3" t="n">
        <v>1</v>
      </c>
      <c r="BK1085" s="6" t="s">
        <v>2751</v>
      </c>
    </row>
    <row r="1086" customFormat="false" ht="15" hidden="false" customHeight="true" outlineLevel="0" collapsed="false">
      <c r="B1086" s="2" t="s">
        <v>2752</v>
      </c>
      <c r="C1086" s="2" t="s">
        <v>2753</v>
      </c>
      <c r="D1086" s="2" t="s">
        <v>536</v>
      </c>
      <c r="E1086" s="2" t="n">
        <v>207438</v>
      </c>
      <c r="F1086" s="15" t="n">
        <v>44207</v>
      </c>
      <c r="G1086" s="15" t="n">
        <v>44212</v>
      </c>
      <c r="H1086" s="3" t="n">
        <v>5</v>
      </c>
      <c r="I1086" s="3" t="n">
        <v>2</v>
      </c>
      <c r="J1086" s="3" t="n">
        <v>65</v>
      </c>
      <c r="K1086" s="3" t="n">
        <v>2</v>
      </c>
      <c r="L1086" s="3" t="n">
        <v>2</v>
      </c>
      <c r="M1086" s="3" t="n">
        <v>2</v>
      </c>
      <c r="N1086" s="3" t="n">
        <v>2</v>
      </c>
      <c r="O1086" s="3" t="n">
        <v>2</v>
      </c>
      <c r="P1086" s="3" t="n">
        <v>2</v>
      </c>
      <c r="Q1086" s="3" t="n">
        <v>2</v>
      </c>
      <c r="R1086" s="3" t="n">
        <v>2</v>
      </c>
      <c r="S1086" s="3" t="n">
        <v>2</v>
      </c>
      <c r="T1086" s="4" t="n">
        <v>1</v>
      </c>
      <c r="U1086" s="3" t="n">
        <v>1</v>
      </c>
      <c r="V1086" s="3" t="n">
        <v>4.11</v>
      </c>
      <c r="W1086" s="3" t="n">
        <v>0.85</v>
      </c>
      <c r="X1086" s="3" t="n">
        <v>6.24</v>
      </c>
      <c r="Y1086" s="3" t="n">
        <v>252</v>
      </c>
      <c r="Z1086" s="3" t="n">
        <v>67</v>
      </c>
      <c r="AA1086" s="3" t="n">
        <v>0.48</v>
      </c>
      <c r="AB1086" s="3" t="n">
        <v>6.8</v>
      </c>
      <c r="AC1086" s="3" t="n">
        <v>1</v>
      </c>
      <c r="AD1086" s="3" t="n">
        <v>1</v>
      </c>
      <c r="AE1086" s="3" t="n">
        <v>1</v>
      </c>
      <c r="AF1086" s="3" t="n">
        <v>1</v>
      </c>
      <c r="AG1086" s="3" t="n">
        <v>2</v>
      </c>
      <c r="AH1086" s="3" t="n">
        <v>2</v>
      </c>
      <c r="AI1086" s="3" t="n">
        <v>1</v>
      </c>
      <c r="AJ1086" s="3" t="n">
        <v>1</v>
      </c>
      <c r="AK1086" s="3" t="n">
        <v>2</v>
      </c>
      <c r="AL1086" s="3" t="n">
        <v>2</v>
      </c>
      <c r="AM1086" s="3" t="n">
        <v>2</v>
      </c>
      <c r="AN1086" s="3" t="n">
        <v>2</v>
      </c>
      <c r="AO1086" s="3" t="n">
        <v>2</v>
      </c>
      <c r="AP1086" s="3" t="n">
        <v>3</v>
      </c>
      <c r="AQ1086" s="3" t="n">
        <v>4</v>
      </c>
      <c r="AR1086" s="3" t="n">
        <v>4</v>
      </c>
      <c r="AS1086" s="3" t="n">
        <v>6</v>
      </c>
      <c r="AT1086" s="3" t="n">
        <v>4</v>
      </c>
      <c r="AU1086" s="3" t="n">
        <v>4</v>
      </c>
      <c r="AV1086" s="3" t="n">
        <v>6</v>
      </c>
      <c r="AW1086" s="3" t="n">
        <v>6</v>
      </c>
      <c r="AX1086" s="3" t="n">
        <v>3</v>
      </c>
      <c r="AY1086" s="3" t="n">
        <v>3</v>
      </c>
      <c r="AZ1086" s="3" t="n">
        <v>1</v>
      </c>
      <c r="BA1086" s="5" t="n">
        <v>5</v>
      </c>
      <c r="BB1086" s="3" t="n">
        <v>2</v>
      </c>
      <c r="BC1086" s="3" t="n">
        <v>1</v>
      </c>
      <c r="BD1086" s="3" t="n">
        <v>6</v>
      </c>
      <c r="BE1086" s="3" t="n">
        <v>3</v>
      </c>
      <c r="BF1086" s="3" t="n">
        <v>5</v>
      </c>
      <c r="BG1086" s="3" t="n">
        <v>3</v>
      </c>
      <c r="BH1086" s="3" t="n">
        <v>4</v>
      </c>
      <c r="BI1086" s="3" t="n">
        <v>1</v>
      </c>
      <c r="BJ1086" s="3" t="n">
        <v>1</v>
      </c>
      <c r="BK1086" s="6" t="s">
        <v>2754</v>
      </c>
    </row>
    <row r="1087" customFormat="false" ht="15" hidden="false" customHeight="true" outlineLevel="0" collapsed="false">
      <c r="B1087" s="2" t="s">
        <v>2755</v>
      </c>
      <c r="C1087" s="2" t="s">
        <v>115</v>
      </c>
      <c r="D1087" s="2" t="s">
        <v>2756</v>
      </c>
      <c r="E1087" s="2" t="n">
        <v>203040</v>
      </c>
      <c r="F1087" s="15" t="n">
        <v>44205</v>
      </c>
      <c r="G1087" s="15" t="n">
        <v>44212</v>
      </c>
      <c r="H1087" s="3" t="n">
        <v>7</v>
      </c>
      <c r="I1087" s="3" t="n">
        <v>1</v>
      </c>
      <c r="J1087" s="3" t="n">
        <v>70</v>
      </c>
      <c r="K1087" s="3" t="n">
        <v>1</v>
      </c>
      <c r="L1087" s="3" t="n">
        <v>2</v>
      </c>
      <c r="M1087" s="3" t="n">
        <v>1</v>
      </c>
      <c r="N1087" s="3" t="n">
        <v>1</v>
      </c>
      <c r="O1087" s="3" t="n">
        <v>2</v>
      </c>
      <c r="P1087" s="3" t="n">
        <v>2</v>
      </c>
      <c r="Q1087" s="3" t="n">
        <v>2</v>
      </c>
      <c r="R1087" s="3" t="n">
        <v>2</v>
      </c>
      <c r="S1087" s="3" t="n">
        <v>2</v>
      </c>
      <c r="T1087" s="4" t="n">
        <v>2</v>
      </c>
      <c r="U1087" s="3" t="n">
        <v>2</v>
      </c>
      <c r="V1087" s="3" t="n">
        <v>3.94</v>
      </c>
      <c r="W1087" s="3" t="n">
        <v>2.24</v>
      </c>
      <c r="X1087" s="3" t="n">
        <v>5.69</v>
      </c>
      <c r="Y1087" s="3" t="n">
        <v>268</v>
      </c>
      <c r="Z1087" s="3" t="n">
        <v>101</v>
      </c>
      <c r="AC1087" s="3" t="n">
        <v>1</v>
      </c>
      <c r="AD1087" s="3" t="n">
        <v>1</v>
      </c>
      <c r="AE1087" s="3" t="n">
        <v>1</v>
      </c>
      <c r="AF1087" s="3" t="n">
        <v>1</v>
      </c>
      <c r="AG1087" s="3" t="n">
        <v>2</v>
      </c>
      <c r="AH1087" s="3" t="n">
        <v>1</v>
      </c>
      <c r="AI1087" s="3" t="n">
        <v>1</v>
      </c>
      <c r="AJ1087" s="3" t="n">
        <v>1</v>
      </c>
      <c r="AK1087" s="3" t="n">
        <v>2</v>
      </c>
      <c r="AL1087" s="3" t="n">
        <v>2</v>
      </c>
      <c r="AM1087" s="3" t="n">
        <v>2</v>
      </c>
      <c r="AN1087" s="3" t="n">
        <v>2</v>
      </c>
      <c r="AO1087" s="3" t="n">
        <v>2</v>
      </c>
      <c r="AP1087" s="3" t="n">
        <v>1</v>
      </c>
      <c r="AQ1087" s="3" t="n">
        <v>3</v>
      </c>
      <c r="AR1087" s="3" t="n">
        <v>5</v>
      </c>
      <c r="AS1087" s="3" t="n">
        <v>4</v>
      </c>
      <c r="AT1087" s="3" t="n">
        <v>3</v>
      </c>
      <c r="AU1087" s="3" t="n">
        <v>1</v>
      </c>
      <c r="AV1087" s="3" t="n">
        <v>1</v>
      </c>
      <c r="AW1087" s="3" t="n">
        <v>1</v>
      </c>
      <c r="AX1087" s="3" t="n">
        <v>2</v>
      </c>
      <c r="AY1087" s="3" t="n">
        <v>2</v>
      </c>
      <c r="AZ1087" s="3" t="n">
        <v>1</v>
      </c>
      <c r="BA1087" s="5" t="n">
        <v>5</v>
      </c>
      <c r="BB1087" s="3" t="n">
        <v>2</v>
      </c>
      <c r="BC1087" s="3" t="n">
        <v>1</v>
      </c>
      <c r="BD1087" s="3" t="n">
        <v>6</v>
      </c>
      <c r="BE1087" s="3" t="n">
        <v>3</v>
      </c>
      <c r="BF1087" s="3" t="n">
        <v>5</v>
      </c>
      <c r="BG1087" s="3" t="n">
        <v>3</v>
      </c>
      <c r="BH1087" s="3" t="n">
        <v>4</v>
      </c>
      <c r="BI1087" s="3" t="n">
        <v>1</v>
      </c>
      <c r="BJ1087" s="3" t="n">
        <v>1</v>
      </c>
      <c r="BK1087" s="6" t="s">
        <v>2757</v>
      </c>
    </row>
    <row r="1088" customFormat="false" ht="15" hidden="false" customHeight="true" outlineLevel="0" collapsed="false">
      <c r="B1088" s="2" t="s">
        <v>2758</v>
      </c>
      <c r="C1088" s="2" t="s">
        <v>109</v>
      </c>
      <c r="D1088" s="2" t="s">
        <v>780</v>
      </c>
      <c r="E1088" s="2" t="n">
        <v>207455</v>
      </c>
      <c r="F1088" s="15" t="n">
        <v>44208</v>
      </c>
      <c r="G1088" s="15" t="n">
        <v>44215</v>
      </c>
      <c r="H1088" s="3" t="n">
        <v>7</v>
      </c>
      <c r="I1088" s="3" t="n">
        <v>1</v>
      </c>
      <c r="J1088" s="3" t="n">
        <v>43</v>
      </c>
      <c r="K1088" s="3" t="n">
        <v>1</v>
      </c>
      <c r="L1088" s="3" t="n">
        <v>1</v>
      </c>
      <c r="M1088" s="3" t="n">
        <v>2</v>
      </c>
      <c r="N1088" s="3" t="n">
        <v>2</v>
      </c>
      <c r="O1088" s="3" t="n">
        <v>2</v>
      </c>
      <c r="P1088" s="3" t="n">
        <v>2</v>
      </c>
      <c r="Q1088" s="3" t="n">
        <v>2</v>
      </c>
      <c r="R1088" s="3" t="n">
        <v>2</v>
      </c>
      <c r="S1088" s="3" t="n">
        <v>2</v>
      </c>
      <c r="T1088" s="4" t="n">
        <v>2</v>
      </c>
      <c r="U1088" s="3" t="n">
        <v>2</v>
      </c>
      <c r="V1088" s="3" t="n">
        <v>4.08</v>
      </c>
      <c r="W1088" s="3" t="n">
        <v>1.44</v>
      </c>
      <c r="X1088" s="3" t="n">
        <v>5</v>
      </c>
      <c r="Y1088" s="3" t="n">
        <v>218</v>
      </c>
      <c r="Z1088" s="3" t="n">
        <v>73</v>
      </c>
      <c r="AA1088" s="3" t="n">
        <v>0.38</v>
      </c>
      <c r="AB1088" s="3" t="n">
        <v>7.8</v>
      </c>
      <c r="AD1088" s="3" t="n">
        <v>1</v>
      </c>
      <c r="AE1088" s="3" t="n">
        <v>1</v>
      </c>
      <c r="AF1088" s="3" t="n">
        <v>1</v>
      </c>
      <c r="AG1088" s="3" t="n">
        <v>2</v>
      </c>
      <c r="AH1088" s="3" t="n">
        <v>2</v>
      </c>
      <c r="AI1088" s="3" t="n">
        <v>1</v>
      </c>
      <c r="AJ1088" s="3" t="n">
        <v>2</v>
      </c>
      <c r="AK1088" s="3" t="n">
        <v>2</v>
      </c>
      <c r="AL1088" s="3" t="n">
        <v>2</v>
      </c>
      <c r="AM1088" s="3" t="n">
        <v>2</v>
      </c>
      <c r="AN1088" s="3" t="n">
        <v>2</v>
      </c>
      <c r="AO1088" s="3" t="n">
        <v>2</v>
      </c>
      <c r="AP1088" s="3" t="n">
        <v>3</v>
      </c>
      <c r="AQ1088" s="3" t="n">
        <v>4</v>
      </c>
      <c r="AR1088" s="3" t="n">
        <v>4</v>
      </c>
      <c r="AS1088" s="3" t="n">
        <v>6</v>
      </c>
      <c r="AT1088" s="3" t="n">
        <v>4</v>
      </c>
      <c r="AU1088" s="3" t="n">
        <v>4</v>
      </c>
      <c r="AV1088" s="3" t="n">
        <v>6</v>
      </c>
      <c r="AW1088" s="3" t="n">
        <v>6</v>
      </c>
      <c r="AX1088" s="3" t="n">
        <v>3</v>
      </c>
      <c r="AY1088" s="3" t="n">
        <v>3</v>
      </c>
      <c r="AZ1088" s="3" t="n">
        <v>1</v>
      </c>
      <c r="BA1088" s="5" t="n">
        <v>1</v>
      </c>
      <c r="BB1088" s="3" t="n">
        <v>1</v>
      </c>
      <c r="BC1088" s="3" t="n">
        <v>1</v>
      </c>
      <c r="BD1088" s="3" t="n">
        <v>2</v>
      </c>
      <c r="BE1088" s="3" t="n">
        <v>1</v>
      </c>
      <c r="BF1088" s="3" t="n">
        <v>2</v>
      </c>
      <c r="BG1088" s="3" t="n">
        <v>1</v>
      </c>
      <c r="BH1088" s="3" t="n">
        <v>4</v>
      </c>
      <c r="BI1088" s="3" t="n">
        <v>1</v>
      </c>
      <c r="BJ1088" s="3" t="n">
        <v>1</v>
      </c>
      <c r="BK1088" s="6" t="s">
        <v>2759</v>
      </c>
    </row>
    <row r="1089" customFormat="false" ht="15" hidden="false" customHeight="true" outlineLevel="0" collapsed="false">
      <c r="B1089" s="2" t="s">
        <v>2760</v>
      </c>
      <c r="C1089" s="2" t="s">
        <v>2236</v>
      </c>
      <c r="D1089" s="2" t="s">
        <v>2761</v>
      </c>
      <c r="E1089" s="2" t="n">
        <v>208207</v>
      </c>
      <c r="F1089" s="15" t="n">
        <v>44214</v>
      </c>
      <c r="G1089" s="15" t="n">
        <v>44219</v>
      </c>
      <c r="H1089" s="3" t="n">
        <v>5</v>
      </c>
      <c r="I1089" s="3" t="n">
        <v>2</v>
      </c>
      <c r="J1089" s="3" t="n">
        <v>65</v>
      </c>
      <c r="K1089" s="3" t="n">
        <v>2</v>
      </c>
      <c r="L1089" s="3" t="n">
        <v>1</v>
      </c>
      <c r="M1089" s="3" t="n">
        <v>1</v>
      </c>
      <c r="N1089" s="3" t="n">
        <v>2</v>
      </c>
      <c r="O1089" s="3" t="n">
        <v>2</v>
      </c>
      <c r="P1089" s="3" t="n">
        <v>2</v>
      </c>
      <c r="Q1089" s="3" t="n">
        <v>2</v>
      </c>
      <c r="R1089" s="3" t="n">
        <v>2</v>
      </c>
      <c r="S1089" s="3" t="n">
        <v>2</v>
      </c>
      <c r="T1089" s="4" t="n">
        <v>1</v>
      </c>
      <c r="U1089" s="3" t="n">
        <v>1</v>
      </c>
      <c r="V1089" s="3" t="n">
        <v>5.53</v>
      </c>
      <c r="W1089" s="3" t="n">
        <v>1.96</v>
      </c>
      <c r="X1089" s="3" t="n">
        <v>4.42</v>
      </c>
      <c r="Y1089" s="3" t="n">
        <v>614</v>
      </c>
      <c r="Z1089" s="3" t="n">
        <v>112</v>
      </c>
      <c r="AA1089" s="3" t="n">
        <v>0.41</v>
      </c>
      <c r="AB1089" s="3" t="n">
        <v>8.4</v>
      </c>
      <c r="AC1089" s="3" t="n">
        <v>1</v>
      </c>
      <c r="AD1089" s="3" t="n">
        <v>1</v>
      </c>
      <c r="AE1089" s="3" t="n">
        <v>1</v>
      </c>
      <c r="AF1089" s="3" t="n">
        <v>1</v>
      </c>
      <c r="AG1089" s="3" t="n">
        <v>2</v>
      </c>
      <c r="AH1089" s="3" t="n">
        <v>2</v>
      </c>
      <c r="AI1089" s="3" t="n">
        <v>1</v>
      </c>
      <c r="AJ1089" s="3" t="n">
        <v>1</v>
      </c>
      <c r="AK1089" s="3" t="n">
        <v>2</v>
      </c>
      <c r="AL1089" s="3" t="n">
        <v>2</v>
      </c>
      <c r="AM1089" s="3" t="n">
        <v>2</v>
      </c>
      <c r="AN1089" s="3" t="n">
        <v>2</v>
      </c>
      <c r="AO1089" s="3" t="n">
        <v>2</v>
      </c>
      <c r="AP1089" s="3" t="n">
        <v>3</v>
      </c>
      <c r="AQ1089" s="3" t="n">
        <v>4</v>
      </c>
      <c r="AR1089" s="3" t="n">
        <v>4</v>
      </c>
      <c r="AS1089" s="3" t="n">
        <v>6</v>
      </c>
      <c r="AT1089" s="3" t="n">
        <v>4</v>
      </c>
      <c r="AU1089" s="3" t="n">
        <v>4</v>
      </c>
      <c r="AV1089" s="3" t="n">
        <v>6</v>
      </c>
      <c r="AW1089" s="3" t="n">
        <v>6</v>
      </c>
      <c r="AX1089" s="3" t="n">
        <v>3</v>
      </c>
      <c r="AY1089" s="3" t="n">
        <v>3</v>
      </c>
      <c r="AZ1089" s="3" t="n">
        <v>1</v>
      </c>
      <c r="BA1089" s="5" t="n">
        <v>5</v>
      </c>
      <c r="BB1089" s="3" t="n">
        <v>2</v>
      </c>
      <c r="BC1089" s="3" t="n">
        <v>1</v>
      </c>
      <c r="BD1089" s="3" t="n">
        <v>6</v>
      </c>
      <c r="BE1089" s="3" t="n">
        <v>3</v>
      </c>
      <c r="BF1089" s="3" t="n">
        <v>5</v>
      </c>
      <c r="BG1089" s="3" t="n">
        <v>3</v>
      </c>
      <c r="BH1089" s="3" t="n">
        <v>4</v>
      </c>
      <c r="BI1089" s="3" t="n">
        <v>1</v>
      </c>
      <c r="BJ1089" s="3" t="n">
        <v>1</v>
      </c>
      <c r="BK1089" s="6" t="s">
        <v>2762</v>
      </c>
    </row>
    <row r="1090" customFormat="false" ht="15" hidden="false" customHeight="true" outlineLevel="0" collapsed="false">
      <c r="B1090" s="2" t="s">
        <v>2763</v>
      </c>
      <c r="C1090" s="2" t="s">
        <v>1830</v>
      </c>
      <c r="D1090" s="2" t="s">
        <v>588</v>
      </c>
      <c r="E1090" s="2" t="n">
        <v>207661</v>
      </c>
      <c r="F1090" s="15" t="n">
        <v>44209</v>
      </c>
      <c r="G1090" s="15" t="n">
        <v>44215</v>
      </c>
      <c r="H1090" s="3" t="n">
        <v>6</v>
      </c>
      <c r="I1090" s="3" t="n">
        <v>1</v>
      </c>
      <c r="J1090" s="3" t="n">
        <v>71</v>
      </c>
      <c r="K1090" s="3" t="n">
        <v>1</v>
      </c>
      <c r="L1090" s="3" t="n">
        <v>1</v>
      </c>
      <c r="M1090" s="3" t="n">
        <v>1</v>
      </c>
      <c r="N1090" s="3" t="n">
        <v>2</v>
      </c>
      <c r="O1090" s="3" t="n">
        <v>2</v>
      </c>
      <c r="P1090" s="3" t="n">
        <v>2</v>
      </c>
      <c r="Q1090" s="3" t="n">
        <v>2</v>
      </c>
      <c r="R1090" s="3" t="n">
        <v>2</v>
      </c>
      <c r="S1090" s="3" t="n">
        <v>2</v>
      </c>
      <c r="T1090" s="4" t="n">
        <v>2</v>
      </c>
      <c r="U1090" s="3" t="n">
        <v>2</v>
      </c>
      <c r="V1090" s="3" t="n">
        <v>3.46</v>
      </c>
      <c r="W1090" s="3" t="n">
        <v>1.11</v>
      </c>
      <c r="X1090" s="3" t="n">
        <v>8.67</v>
      </c>
      <c r="Y1090" s="3" t="n">
        <v>257</v>
      </c>
      <c r="Z1090" s="3" t="n">
        <v>108</v>
      </c>
      <c r="AA1090" s="3" t="n">
        <v>0.5</v>
      </c>
      <c r="AB1090" s="3" t="n">
        <v>15</v>
      </c>
      <c r="AC1090" s="3" t="n">
        <v>1</v>
      </c>
      <c r="AD1090" s="3" t="n">
        <v>2</v>
      </c>
      <c r="AE1090" s="3" t="n">
        <v>1</v>
      </c>
      <c r="AF1090" s="3" t="n">
        <v>1</v>
      </c>
      <c r="AG1090" s="3" t="n">
        <v>2</v>
      </c>
      <c r="AH1090" s="3" t="n">
        <v>2</v>
      </c>
      <c r="AI1090" s="3" t="n">
        <v>1</v>
      </c>
      <c r="AJ1090" s="3" t="n">
        <v>2</v>
      </c>
      <c r="AK1090" s="3" t="n">
        <v>2</v>
      </c>
      <c r="AL1090" s="3" t="n">
        <v>2</v>
      </c>
      <c r="AM1090" s="3" t="n">
        <v>2</v>
      </c>
      <c r="AN1090" s="3" t="n">
        <v>2</v>
      </c>
      <c r="AO1090" s="3" t="n">
        <v>2</v>
      </c>
      <c r="AP1090" s="3" t="n">
        <v>3</v>
      </c>
      <c r="AQ1090" s="3" t="n">
        <v>4</v>
      </c>
      <c r="AR1090" s="3" t="n">
        <v>4</v>
      </c>
      <c r="AS1090" s="3" t="n">
        <v>6</v>
      </c>
      <c r="AT1090" s="3" t="n">
        <v>4</v>
      </c>
      <c r="AU1090" s="3" t="n">
        <v>4</v>
      </c>
      <c r="AV1090" s="3" t="n">
        <v>6</v>
      </c>
      <c r="AW1090" s="3" t="n">
        <v>6</v>
      </c>
      <c r="AX1090" s="3" t="n">
        <v>3</v>
      </c>
      <c r="AY1090" s="3" t="n">
        <v>3</v>
      </c>
      <c r="AZ1090" s="3" t="n">
        <v>1</v>
      </c>
      <c r="BA1090" s="5" t="n">
        <v>1</v>
      </c>
      <c r="BB1090" s="3" t="n">
        <v>1</v>
      </c>
      <c r="BC1090" s="3" t="n">
        <v>1</v>
      </c>
      <c r="BD1090" s="3" t="n">
        <v>4</v>
      </c>
      <c r="BE1090" s="3" t="n">
        <v>1</v>
      </c>
      <c r="BF1090" s="3" t="n">
        <v>2</v>
      </c>
      <c r="BG1090" s="3" t="n">
        <v>1</v>
      </c>
      <c r="BH1090" s="3" t="n">
        <v>4</v>
      </c>
      <c r="BI1090" s="3" t="n">
        <v>1</v>
      </c>
      <c r="BJ1090" s="3" t="n">
        <v>1</v>
      </c>
      <c r="BK1090" s="6" t="s">
        <v>2764</v>
      </c>
    </row>
    <row r="1091" customFormat="false" ht="15" hidden="false" customHeight="true" outlineLevel="0" collapsed="false">
      <c r="B1091" s="2" t="s">
        <v>187</v>
      </c>
      <c r="C1091" s="2" t="s">
        <v>127</v>
      </c>
      <c r="D1091" s="2" t="s">
        <v>198</v>
      </c>
      <c r="E1091" s="2" t="n">
        <v>207854</v>
      </c>
      <c r="F1091" s="15" t="n">
        <v>44212</v>
      </c>
      <c r="G1091" s="15" t="n">
        <v>44218</v>
      </c>
      <c r="H1091" s="3" t="n">
        <v>6</v>
      </c>
      <c r="I1091" s="3" t="n">
        <v>2</v>
      </c>
      <c r="J1091" s="3" t="n">
        <v>80</v>
      </c>
      <c r="K1091" s="3" t="n">
        <v>1</v>
      </c>
      <c r="L1091" s="3" t="n">
        <v>1</v>
      </c>
      <c r="M1091" s="3" t="n">
        <v>1</v>
      </c>
      <c r="N1091" s="3" t="n">
        <v>2</v>
      </c>
      <c r="O1091" s="3" t="n">
        <v>2</v>
      </c>
      <c r="P1091" s="3" t="n">
        <v>2</v>
      </c>
      <c r="Q1091" s="3" t="n">
        <v>2</v>
      </c>
      <c r="R1091" s="3" t="n">
        <v>2</v>
      </c>
      <c r="S1091" s="3" t="n">
        <v>2</v>
      </c>
      <c r="T1091" s="4" t="n">
        <v>2</v>
      </c>
      <c r="U1091" s="3" t="n">
        <v>2</v>
      </c>
      <c r="V1091" s="3" t="n">
        <v>5.17</v>
      </c>
      <c r="W1091" s="3" t="n">
        <v>1.73</v>
      </c>
      <c r="X1091" s="3" t="n">
        <v>5.07</v>
      </c>
      <c r="Y1091" s="3" t="n">
        <v>511</v>
      </c>
      <c r="Z1091" s="3" t="n">
        <v>123</v>
      </c>
      <c r="AA1091" s="3" t="n">
        <v>0.43</v>
      </c>
      <c r="AB1091" s="3" t="n">
        <v>12</v>
      </c>
      <c r="AC1091" s="3" t="n">
        <v>2</v>
      </c>
      <c r="AD1091" s="3" t="n">
        <v>2</v>
      </c>
      <c r="AE1091" s="3" t="n">
        <v>1</v>
      </c>
      <c r="AF1091" s="3" t="n">
        <v>1</v>
      </c>
      <c r="AG1091" s="3" t="n">
        <v>2</v>
      </c>
      <c r="AH1091" s="3" t="n">
        <v>2</v>
      </c>
      <c r="AI1091" s="3" t="n">
        <v>1</v>
      </c>
      <c r="AJ1091" s="3" t="n">
        <v>1</v>
      </c>
      <c r="AK1091" s="3" t="n">
        <v>2</v>
      </c>
      <c r="AL1091" s="3" t="n">
        <v>2</v>
      </c>
      <c r="AM1091" s="3" t="n">
        <v>1</v>
      </c>
      <c r="AN1091" s="3" t="n">
        <v>2</v>
      </c>
      <c r="AO1091" s="3" t="n">
        <v>2</v>
      </c>
      <c r="AP1091" s="3" t="n">
        <v>3</v>
      </c>
      <c r="AQ1091" s="3" t="n">
        <v>4</v>
      </c>
      <c r="AR1091" s="3" t="n">
        <v>4</v>
      </c>
      <c r="AS1091" s="3" t="n">
        <v>6</v>
      </c>
      <c r="AT1091" s="3" t="n">
        <v>4</v>
      </c>
      <c r="AU1091" s="3" t="n">
        <v>4</v>
      </c>
      <c r="AV1091" s="3" t="n">
        <v>6</v>
      </c>
      <c r="AW1091" s="3" t="n">
        <v>6</v>
      </c>
      <c r="AX1091" s="3" t="n">
        <v>3</v>
      </c>
      <c r="AY1091" s="3" t="n">
        <v>3</v>
      </c>
      <c r="AZ1091" s="3" t="n">
        <v>5</v>
      </c>
      <c r="BA1091" s="5" t="n">
        <v>1</v>
      </c>
      <c r="BB1091" s="3" t="n">
        <v>1</v>
      </c>
      <c r="BC1091" s="3" t="n">
        <v>1</v>
      </c>
      <c r="BD1091" s="3" t="n">
        <v>4</v>
      </c>
      <c r="BE1091" s="3" t="n">
        <v>1</v>
      </c>
      <c r="BF1091" s="3" t="n">
        <v>2</v>
      </c>
      <c r="BG1091" s="3" t="n">
        <v>1</v>
      </c>
      <c r="BH1091" s="3" t="n">
        <v>4</v>
      </c>
      <c r="BI1091" s="3" t="n">
        <v>1</v>
      </c>
      <c r="BJ1091" s="3" t="n">
        <v>1</v>
      </c>
      <c r="BK1091" s="6" t="s">
        <v>2765</v>
      </c>
    </row>
    <row r="1092" customFormat="false" ht="15" hidden="false" customHeight="true" outlineLevel="0" collapsed="false">
      <c r="B1092" s="2" t="s">
        <v>2766</v>
      </c>
      <c r="C1092" s="2" t="s">
        <v>898</v>
      </c>
      <c r="D1092" s="2" t="s">
        <v>172</v>
      </c>
      <c r="E1092" s="2" t="n">
        <v>989995</v>
      </c>
      <c r="F1092" s="15" t="n">
        <v>44217</v>
      </c>
      <c r="G1092" s="15" t="n">
        <v>44219</v>
      </c>
      <c r="H1092" s="3" t="n">
        <v>2</v>
      </c>
      <c r="I1092" s="3" t="n">
        <v>1</v>
      </c>
      <c r="J1092" s="3" t="n">
        <v>69</v>
      </c>
      <c r="K1092" s="3" t="n">
        <v>1</v>
      </c>
      <c r="L1092" s="3" t="n">
        <v>2</v>
      </c>
      <c r="M1092" s="3" t="n">
        <v>2</v>
      </c>
      <c r="N1092" s="3" t="n">
        <v>2</v>
      </c>
      <c r="O1092" s="3" t="n">
        <v>2</v>
      </c>
      <c r="P1092" s="3" t="n">
        <v>2</v>
      </c>
      <c r="Q1092" s="3" t="n">
        <v>2</v>
      </c>
      <c r="R1092" s="3" t="n">
        <v>2</v>
      </c>
      <c r="S1092" s="3" t="n">
        <v>2</v>
      </c>
      <c r="T1092" s="4" t="n">
        <v>2</v>
      </c>
      <c r="U1092" s="3" t="n">
        <v>2</v>
      </c>
      <c r="V1092" s="3" t="n">
        <v>5.14</v>
      </c>
      <c r="W1092" s="3" t="n">
        <v>0.75</v>
      </c>
      <c r="X1092" s="3" t="n">
        <v>5.16</v>
      </c>
      <c r="Y1092" s="3" t="n">
        <v>141</v>
      </c>
      <c r="Z1092" s="3" t="n">
        <v>88</v>
      </c>
      <c r="AA1092" s="3" t="n">
        <v>0.4</v>
      </c>
      <c r="AB1092" s="3" t="n">
        <v>8.9</v>
      </c>
      <c r="AC1092" s="3" t="n">
        <v>3</v>
      </c>
      <c r="AD1092" s="3" t="n">
        <v>1</v>
      </c>
      <c r="AE1092" s="3" t="n">
        <v>1</v>
      </c>
      <c r="AF1092" s="3" t="n">
        <v>1</v>
      </c>
      <c r="AG1092" s="3" t="n">
        <v>2</v>
      </c>
      <c r="AH1092" s="3" t="n">
        <v>2</v>
      </c>
      <c r="AI1092" s="3" t="n">
        <v>1</v>
      </c>
      <c r="AJ1092" s="3" t="n">
        <v>1</v>
      </c>
      <c r="AK1092" s="3" t="n">
        <v>2</v>
      </c>
      <c r="AL1092" s="3" t="n">
        <v>2</v>
      </c>
      <c r="AM1092" s="3" t="n">
        <v>2</v>
      </c>
      <c r="AN1092" s="3" t="n">
        <v>2</v>
      </c>
      <c r="AO1092" s="3" t="n">
        <v>2</v>
      </c>
      <c r="AP1092" s="3" t="n">
        <v>3</v>
      </c>
      <c r="AQ1092" s="3" t="n">
        <v>4</v>
      </c>
      <c r="AR1092" s="3" t="n">
        <v>4</v>
      </c>
      <c r="AS1092" s="3" t="n">
        <v>6</v>
      </c>
      <c r="AT1092" s="3" t="n">
        <v>4</v>
      </c>
      <c r="AU1092" s="3" t="n">
        <v>4</v>
      </c>
      <c r="AV1092" s="3" t="n">
        <v>6</v>
      </c>
      <c r="AW1092" s="3" t="n">
        <v>6</v>
      </c>
      <c r="AX1092" s="3" t="n">
        <v>3</v>
      </c>
      <c r="AY1092" s="3" t="n">
        <v>3</v>
      </c>
      <c r="AZ1092" s="3" t="n">
        <v>1</v>
      </c>
      <c r="BA1092" s="5" t="n">
        <v>5</v>
      </c>
      <c r="BB1092" s="3" t="n">
        <v>2</v>
      </c>
      <c r="BC1092" s="3" t="n">
        <v>1</v>
      </c>
      <c r="BD1092" s="3" t="n">
        <v>6</v>
      </c>
      <c r="BE1092" s="3" t="n">
        <v>3</v>
      </c>
      <c r="BF1092" s="3" t="n">
        <v>5</v>
      </c>
      <c r="BG1092" s="3" t="n">
        <v>3</v>
      </c>
      <c r="BH1092" s="3" t="n">
        <v>4</v>
      </c>
      <c r="BI1092" s="3" t="n">
        <v>1</v>
      </c>
      <c r="BJ1092" s="3" t="n">
        <v>1</v>
      </c>
      <c r="BK1092" s="6" t="s">
        <v>2767</v>
      </c>
    </row>
    <row r="1093" customFormat="false" ht="15" hidden="false" customHeight="true" outlineLevel="0" collapsed="false">
      <c r="B1093" s="2" t="s">
        <v>1138</v>
      </c>
      <c r="C1093" s="2" t="s">
        <v>561</v>
      </c>
      <c r="D1093" s="2" t="s">
        <v>2332</v>
      </c>
      <c r="E1093" s="2" t="n">
        <v>207826</v>
      </c>
      <c r="F1093" s="15" t="n">
        <v>44211</v>
      </c>
      <c r="G1093" s="15" t="n">
        <v>44217</v>
      </c>
      <c r="H1093" s="3" t="n">
        <v>6</v>
      </c>
      <c r="I1093" s="3" t="n">
        <v>2</v>
      </c>
      <c r="J1093" s="3" t="n">
        <v>60</v>
      </c>
      <c r="K1093" s="3" t="n">
        <v>2</v>
      </c>
      <c r="L1093" s="3" t="n">
        <v>1</v>
      </c>
      <c r="M1093" s="3" t="n">
        <v>1</v>
      </c>
      <c r="N1093" s="3" t="n">
        <v>1</v>
      </c>
      <c r="O1093" s="3" t="n">
        <v>2</v>
      </c>
      <c r="P1093" s="3" t="n">
        <v>2</v>
      </c>
      <c r="Q1093" s="3" t="n">
        <v>2</v>
      </c>
      <c r="R1093" s="3" t="n">
        <v>2</v>
      </c>
      <c r="S1093" s="3" t="n">
        <v>2</v>
      </c>
      <c r="T1093" s="4" t="n">
        <v>2</v>
      </c>
      <c r="U1093" s="3" t="n">
        <v>2</v>
      </c>
      <c r="V1093" s="3" t="n">
        <v>5.98</v>
      </c>
      <c r="W1093" s="3" t="n">
        <v>1.11</v>
      </c>
      <c r="X1093" s="3" t="n">
        <v>6.46</v>
      </c>
      <c r="Y1093" s="3" t="n">
        <v>715</v>
      </c>
      <c r="Z1093" s="3" t="n">
        <v>130</v>
      </c>
      <c r="AA1093" s="3" t="n">
        <v>0.45</v>
      </c>
      <c r="AB1093" s="3" t="n">
        <v>12.2</v>
      </c>
      <c r="AC1093" s="3" t="n">
        <v>1</v>
      </c>
      <c r="AD1093" s="3" t="n">
        <v>1</v>
      </c>
      <c r="AE1093" s="3" t="n">
        <v>1</v>
      </c>
      <c r="AF1093" s="3" t="n">
        <v>1</v>
      </c>
      <c r="AG1093" s="3" t="n">
        <v>1</v>
      </c>
      <c r="AH1093" s="3" t="n">
        <v>1</v>
      </c>
      <c r="AI1093" s="3" t="n">
        <v>1</v>
      </c>
      <c r="AJ1093" s="3" t="n">
        <v>1</v>
      </c>
      <c r="AK1093" s="3" t="n">
        <v>2</v>
      </c>
      <c r="AL1093" s="3" t="n">
        <v>2</v>
      </c>
      <c r="AM1093" s="3" t="n">
        <v>1</v>
      </c>
      <c r="AN1093" s="3" t="n">
        <v>2</v>
      </c>
      <c r="AO1093" s="3" t="n">
        <v>2</v>
      </c>
      <c r="AP1093" s="3" t="n">
        <v>3</v>
      </c>
      <c r="AQ1093" s="3" t="n">
        <v>4</v>
      </c>
      <c r="AR1093" s="3" t="n">
        <v>4</v>
      </c>
      <c r="AS1093" s="3" t="n">
        <v>6</v>
      </c>
      <c r="AT1093" s="3" t="n">
        <v>4</v>
      </c>
      <c r="AU1093" s="3" t="n">
        <v>4</v>
      </c>
      <c r="AV1093" s="3" t="n">
        <v>6</v>
      </c>
      <c r="AW1093" s="3" t="n">
        <v>6</v>
      </c>
      <c r="AX1093" s="3" t="n">
        <v>3</v>
      </c>
      <c r="AY1093" s="3" t="n">
        <v>3</v>
      </c>
      <c r="AZ1093" s="3" t="n">
        <v>1</v>
      </c>
      <c r="BA1093" s="5" t="n">
        <v>1</v>
      </c>
      <c r="BB1093" s="3" t="n">
        <v>1</v>
      </c>
      <c r="BC1093" s="3" t="n">
        <v>1</v>
      </c>
      <c r="BD1093" s="3" t="n">
        <v>4</v>
      </c>
      <c r="BE1093" s="3" t="n">
        <v>3</v>
      </c>
      <c r="BF1093" s="3" t="n">
        <v>5</v>
      </c>
      <c r="BG1093" s="3" t="n">
        <v>3</v>
      </c>
      <c r="BH1093" s="3" t="n">
        <v>4</v>
      </c>
      <c r="BI1093" s="3" t="n">
        <v>1</v>
      </c>
      <c r="BJ1093" s="3" t="n">
        <v>1</v>
      </c>
      <c r="BK1093" s="6" t="s">
        <v>2768</v>
      </c>
    </row>
    <row r="1094" customFormat="false" ht="15" hidden="false" customHeight="true" outlineLevel="0" collapsed="false">
      <c r="B1094" s="2" t="s">
        <v>2769</v>
      </c>
      <c r="C1094" s="2" t="s">
        <v>168</v>
      </c>
      <c r="D1094" s="2" t="s">
        <v>522</v>
      </c>
      <c r="E1094" s="2" t="n">
        <v>207811</v>
      </c>
      <c r="F1094" s="15" t="n">
        <v>44213</v>
      </c>
      <c r="G1094" s="15" t="n">
        <v>44218</v>
      </c>
      <c r="H1094" s="3" t="n">
        <v>5</v>
      </c>
      <c r="I1094" s="3" t="n">
        <v>2</v>
      </c>
      <c r="J1094" s="3" t="n">
        <v>68</v>
      </c>
      <c r="K1094" s="3" t="n">
        <v>1</v>
      </c>
      <c r="L1094" s="3" t="n">
        <v>1</v>
      </c>
      <c r="M1094" s="3" t="n">
        <v>1</v>
      </c>
      <c r="N1094" s="3" t="n">
        <v>2</v>
      </c>
      <c r="O1094" s="3" t="n">
        <v>2</v>
      </c>
      <c r="P1094" s="3" t="n">
        <v>2</v>
      </c>
      <c r="Q1094" s="3" t="n">
        <v>2</v>
      </c>
      <c r="R1094" s="3" t="n">
        <v>2</v>
      </c>
      <c r="S1094" s="3" t="n">
        <v>2</v>
      </c>
      <c r="T1094" s="4" t="n">
        <v>2</v>
      </c>
      <c r="U1094" s="3" t="n">
        <v>2</v>
      </c>
      <c r="V1094" s="3" t="n">
        <v>5.36</v>
      </c>
      <c r="W1094" s="3" t="n">
        <v>1.51</v>
      </c>
      <c r="X1094" s="3" t="n">
        <v>4.87</v>
      </c>
      <c r="Y1094" s="3" t="n">
        <v>239</v>
      </c>
      <c r="Z1094" s="3" t="n">
        <v>69</v>
      </c>
      <c r="AA1094" s="3" t="n">
        <v>0.45</v>
      </c>
      <c r="AB1094" s="3" t="n">
        <v>12</v>
      </c>
      <c r="AC1094" s="3" t="n">
        <v>3</v>
      </c>
      <c r="AD1094" s="3" t="n">
        <v>2</v>
      </c>
      <c r="AE1094" s="3" t="n">
        <v>1</v>
      </c>
      <c r="AF1094" s="3" t="n">
        <v>1</v>
      </c>
      <c r="AG1094" s="3" t="n">
        <v>2</v>
      </c>
      <c r="AH1094" s="3" t="n">
        <v>2</v>
      </c>
      <c r="AI1094" s="3" t="n">
        <v>1</v>
      </c>
      <c r="AJ1094" s="3" t="n">
        <v>1</v>
      </c>
      <c r="AK1094" s="3" t="n">
        <v>2</v>
      </c>
      <c r="AL1094" s="3" t="n">
        <v>2</v>
      </c>
      <c r="AM1094" s="3" t="n">
        <v>1</v>
      </c>
      <c r="AN1094" s="3" t="n">
        <v>2</v>
      </c>
      <c r="AO1094" s="3" t="n">
        <v>2</v>
      </c>
      <c r="AP1094" s="3" t="n">
        <v>3</v>
      </c>
      <c r="AQ1094" s="3" t="n">
        <v>4</v>
      </c>
      <c r="AR1094" s="3" t="n">
        <v>4</v>
      </c>
      <c r="AS1094" s="3" t="n">
        <v>6</v>
      </c>
      <c r="AT1094" s="3" t="n">
        <v>4</v>
      </c>
      <c r="AU1094" s="3" t="n">
        <v>4</v>
      </c>
      <c r="AV1094" s="3" t="n">
        <v>6</v>
      </c>
      <c r="AW1094" s="3" t="n">
        <v>6</v>
      </c>
      <c r="AX1094" s="3" t="n">
        <v>3</v>
      </c>
      <c r="AY1094" s="3" t="n">
        <v>3</v>
      </c>
      <c r="AZ1094" s="3" t="n">
        <v>1</v>
      </c>
      <c r="BA1094" s="5" t="n">
        <v>1</v>
      </c>
      <c r="BB1094" s="3" t="n">
        <v>1</v>
      </c>
      <c r="BC1094" s="3" t="n">
        <v>1</v>
      </c>
      <c r="BD1094" s="3" t="n">
        <v>2</v>
      </c>
      <c r="BE1094" s="3" t="n">
        <v>1</v>
      </c>
      <c r="BF1094" s="3" t="n">
        <v>2</v>
      </c>
      <c r="BG1094" s="3" t="n">
        <v>1</v>
      </c>
      <c r="BH1094" s="3" t="n">
        <v>4</v>
      </c>
      <c r="BI1094" s="3" t="n">
        <v>1</v>
      </c>
      <c r="BJ1094" s="3" t="n">
        <v>1</v>
      </c>
      <c r="BK1094" s="6" t="s">
        <v>2770</v>
      </c>
    </row>
    <row r="1095" s="30" customFormat="true" ht="15" hidden="false" customHeight="true" outlineLevel="0" collapsed="false">
      <c r="A1095" s="24"/>
      <c r="B1095" s="26" t="s">
        <v>137</v>
      </c>
      <c r="C1095" s="26" t="s">
        <v>2771</v>
      </c>
      <c r="D1095" s="26" t="s">
        <v>2772</v>
      </c>
      <c r="E1095" s="26" t="n">
        <v>208224</v>
      </c>
      <c r="F1095" s="27" t="n">
        <v>44214</v>
      </c>
      <c r="G1095" s="27" t="n">
        <v>44218</v>
      </c>
      <c r="H1095" s="30" t="n">
        <v>4</v>
      </c>
      <c r="I1095" s="30" t="n">
        <v>1</v>
      </c>
      <c r="J1095" s="30" t="n">
        <v>69</v>
      </c>
      <c r="K1095" s="30" t="n">
        <v>2</v>
      </c>
      <c r="L1095" s="30" t="n">
        <v>2</v>
      </c>
      <c r="M1095" s="30" t="n">
        <v>1</v>
      </c>
      <c r="N1095" s="30" t="n">
        <v>2</v>
      </c>
      <c r="O1095" s="30" t="n">
        <v>2</v>
      </c>
      <c r="P1095" s="30" t="n">
        <v>2</v>
      </c>
      <c r="Q1095" s="30" t="n">
        <v>2</v>
      </c>
      <c r="R1095" s="30" t="n">
        <v>2</v>
      </c>
      <c r="S1095" s="30" t="n">
        <v>2</v>
      </c>
      <c r="T1095" s="4" t="n">
        <v>2</v>
      </c>
      <c r="U1095" s="30" t="n">
        <v>2</v>
      </c>
      <c r="AC1095" s="30" t="n">
        <v>1</v>
      </c>
      <c r="AD1095" s="30" t="n">
        <v>2</v>
      </c>
      <c r="AE1095" s="30" t="n">
        <v>1</v>
      </c>
      <c r="AF1095" s="30" t="n">
        <v>1</v>
      </c>
      <c r="AG1095" s="30" t="n">
        <v>2</v>
      </c>
      <c r="AH1095" s="30" t="n">
        <v>2</v>
      </c>
      <c r="AI1095" s="30" t="n">
        <v>1</v>
      </c>
      <c r="AJ1095" s="30" t="n">
        <v>2</v>
      </c>
      <c r="AK1095" s="30" t="n">
        <v>2</v>
      </c>
      <c r="AL1095" s="30" t="n">
        <v>2</v>
      </c>
      <c r="AM1095" s="30" t="n">
        <v>1</v>
      </c>
      <c r="AN1095" s="30" t="n">
        <v>2</v>
      </c>
      <c r="AO1095" s="30" t="n">
        <v>2</v>
      </c>
      <c r="AP1095" s="30" t="n">
        <v>3</v>
      </c>
      <c r="AQ1095" s="30" t="n">
        <v>4</v>
      </c>
      <c r="AR1095" s="30" t="n">
        <v>4</v>
      </c>
      <c r="AS1095" s="30" t="n">
        <v>6</v>
      </c>
      <c r="AT1095" s="30" t="n">
        <v>4</v>
      </c>
      <c r="AU1095" s="30" t="n">
        <v>4</v>
      </c>
      <c r="AV1095" s="30" t="n">
        <v>6</v>
      </c>
      <c r="AW1095" s="30" t="n">
        <v>6</v>
      </c>
      <c r="AX1095" s="30" t="n">
        <v>3</v>
      </c>
      <c r="AY1095" s="30" t="n">
        <v>3</v>
      </c>
      <c r="AZ1095" s="30" t="n">
        <v>4</v>
      </c>
      <c r="BA1095" s="5" t="n">
        <v>1</v>
      </c>
      <c r="BB1095" s="30" t="n">
        <v>1</v>
      </c>
      <c r="BC1095" s="30" t="n">
        <v>2</v>
      </c>
      <c r="BD1095" s="30" t="n">
        <v>4</v>
      </c>
      <c r="BE1095" s="30" t="n">
        <v>3</v>
      </c>
      <c r="BF1095" s="30" t="n">
        <v>5</v>
      </c>
      <c r="BG1095" s="30" t="n">
        <v>3</v>
      </c>
      <c r="BH1095" s="30" t="n">
        <v>4</v>
      </c>
      <c r="BI1095" s="30" t="n">
        <v>1</v>
      </c>
      <c r="BJ1095" s="30" t="n">
        <v>1</v>
      </c>
      <c r="BK1095" s="31" t="s">
        <v>2773</v>
      </c>
    </row>
    <row r="1096" customFormat="false" ht="15" hidden="false" customHeight="true" outlineLevel="0" collapsed="false">
      <c r="B1096" s="2" t="s">
        <v>1601</v>
      </c>
      <c r="C1096" s="2" t="s">
        <v>95</v>
      </c>
      <c r="D1096" s="2" t="s">
        <v>94</v>
      </c>
      <c r="E1096" s="2" t="n">
        <v>207403</v>
      </c>
      <c r="F1096" s="15" t="n">
        <v>44210</v>
      </c>
      <c r="G1096" s="15" t="n">
        <v>44217</v>
      </c>
      <c r="H1096" s="3" t="n">
        <v>7</v>
      </c>
      <c r="I1096" s="3" t="n">
        <v>2</v>
      </c>
      <c r="J1096" s="3" t="n">
        <v>71</v>
      </c>
      <c r="K1096" s="3" t="n">
        <v>1</v>
      </c>
      <c r="L1096" s="3" t="n">
        <v>1</v>
      </c>
      <c r="M1096" s="3" t="n">
        <v>2</v>
      </c>
      <c r="N1096" s="3" t="n">
        <v>2</v>
      </c>
      <c r="O1096" s="3" t="n">
        <v>2</v>
      </c>
      <c r="P1096" s="3" t="n">
        <v>2</v>
      </c>
      <c r="Q1096" s="3" t="n">
        <v>2</v>
      </c>
      <c r="R1096" s="3" t="n">
        <v>2</v>
      </c>
      <c r="S1096" s="3" t="n">
        <v>2</v>
      </c>
      <c r="T1096" s="4" t="n">
        <v>4</v>
      </c>
      <c r="U1096" s="3" t="n">
        <v>4</v>
      </c>
      <c r="V1096" s="3" t="n">
        <v>3.58</v>
      </c>
      <c r="W1096" s="3" t="n">
        <v>0.94</v>
      </c>
      <c r="X1096" s="3" t="n">
        <v>4.49</v>
      </c>
      <c r="Y1096" s="3" t="n">
        <v>438</v>
      </c>
      <c r="Z1096" s="3" t="n">
        <v>74</v>
      </c>
      <c r="AA1096" s="3" t="n">
        <v>0.39</v>
      </c>
      <c r="AB1096" s="3" t="n">
        <v>11.3</v>
      </c>
      <c r="AC1096" s="3" t="n">
        <v>3</v>
      </c>
      <c r="AD1096" s="3" t="n">
        <v>2</v>
      </c>
      <c r="AE1096" s="3" t="n">
        <v>2</v>
      </c>
      <c r="AF1096" s="3" t="n">
        <v>2</v>
      </c>
      <c r="AG1096" s="3" t="n">
        <v>2</v>
      </c>
      <c r="AH1096" s="3" t="n">
        <v>2</v>
      </c>
      <c r="AI1096" s="3" t="n">
        <v>2</v>
      </c>
      <c r="AJ1096" s="3" t="n">
        <v>2</v>
      </c>
      <c r="AK1096" s="3" t="n">
        <v>2</v>
      </c>
      <c r="AL1096" s="3" t="n">
        <v>2</v>
      </c>
      <c r="AM1096" s="3" t="n">
        <v>1</v>
      </c>
      <c r="AN1096" s="3" t="n">
        <v>1</v>
      </c>
      <c r="AO1096" s="3" t="n">
        <v>2</v>
      </c>
      <c r="AP1096" s="3" t="n">
        <v>3</v>
      </c>
      <c r="AQ1096" s="3" t="n">
        <v>4</v>
      </c>
      <c r="AR1096" s="3" t="n">
        <v>4</v>
      </c>
      <c r="AS1096" s="3" t="n">
        <v>6</v>
      </c>
      <c r="AT1096" s="3" t="n">
        <v>4</v>
      </c>
      <c r="AU1096" s="3" t="n">
        <v>4</v>
      </c>
      <c r="AV1096" s="3" t="n">
        <v>6</v>
      </c>
      <c r="AW1096" s="3" t="n">
        <v>6</v>
      </c>
      <c r="AX1096" s="3" t="n">
        <v>3</v>
      </c>
      <c r="AY1096" s="3" t="n">
        <v>3</v>
      </c>
      <c r="AZ1096" s="3" t="n">
        <v>1</v>
      </c>
      <c r="BA1096" s="5" t="n">
        <v>10</v>
      </c>
      <c r="BB1096" s="3" t="n">
        <v>2</v>
      </c>
      <c r="BC1096" s="3" t="n">
        <v>1</v>
      </c>
      <c r="BD1096" s="3" t="n">
        <v>6</v>
      </c>
      <c r="BE1096" s="3" t="n">
        <v>3</v>
      </c>
      <c r="BF1096" s="3" t="n">
        <v>5</v>
      </c>
      <c r="BG1096" s="3" t="n">
        <v>3</v>
      </c>
      <c r="BH1096" s="3" t="n">
        <v>4</v>
      </c>
      <c r="BI1096" s="3" t="n">
        <v>1</v>
      </c>
      <c r="BJ1096" s="3" t="n">
        <v>1</v>
      </c>
      <c r="BK1096" s="6" t="s">
        <v>2774</v>
      </c>
    </row>
    <row r="1097" s="30" customFormat="true" ht="15" hidden="false" customHeight="true" outlineLevel="0" collapsed="false">
      <c r="A1097" s="24"/>
      <c r="B1097" s="26" t="s">
        <v>1933</v>
      </c>
      <c r="C1097" s="26" t="s">
        <v>1122</v>
      </c>
      <c r="D1097" s="26" t="s">
        <v>95</v>
      </c>
      <c r="E1097" s="26" t="n">
        <v>177764</v>
      </c>
      <c r="F1097" s="27" t="n">
        <v>44218</v>
      </c>
      <c r="G1097" s="27" t="n">
        <v>44217</v>
      </c>
      <c r="H1097" s="30" t="n">
        <v>0</v>
      </c>
      <c r="I1097" s="30" t="n">
        <v>2</v>
      </c>
      <c r="J1097" s="30" t="n">
        <v>72</v>
      </c>
      <c r="K1097" s="30" t="n">
        <v>1</v>
      </c>
      <c r="L1097" s="30" t="n">
        <v>2</v>
      </c>
      <c r="M1097" s="30" t="n">
        <v>1</v>
      </c>
      <c r="N1097" s="30" t="n">
        <v>1</v>
      </c>
      <c r="O1097" s="30" t="n">
        <v>2</v>
      </c>
      <c r="P1097" s="30" t="n">
        <v>2</v>
      </c>
      <c r="Q1097" s="30" t="n">
        <v>1</v>
      </c>
      <c r="R1097" s="30" t="n">
        <v>1</v>
      </c>
      <c r="S1097" s="30" t="n">
        <v>2</v>
      </c>
      <c r="T1097" s="4" t="n">
        <v>1</v>
      </c>
      <c r="U1097" s="30" t="n">
        <v>1</v>
      </c>
      <c r="W1097" s="30" t="s">
        <v>125</v>
      </c>
      <c r="X1097" s="30" t="s">
        <v>125</v>
      </c>
      <c r="Y1097" s="30" t="s">
        <v>125</v>
      </c>
      <c r="Z1097" s="30" t="s">
        <v>125</v>
      </c>
      <c r="AA1097" s="30" t="s">
        <v>125</v>
      </c>
      <c r="AB1097" s="30" t="s">
        <v>125</v>
      </c>
      <c r="AC1097" s="30" t="n">
        <v>3</v>
      </c>
      <c r="AD1097" s="30" t="n">
        <v>1</v>
      </c>
      <c r="AE1097" s="30" t="n">
        <v>1</v>
      </c>
      <c r="AF1097" s="30" t="n">
        <v>1</v>
      </c>
      <c r="AG1097" s="30" t="n">
        <v>2</v>
      </c>
      <c r="AH1097" s="30" t="n">
        <v>2</v>
      </c>
      <c r="AI1097" s="30" t="n">
        <v>1</v>
      </c>
      <c r="AJ1097" s="30" t="n">
        <v>1</v>
      </c>
      <c r="AK1097" s="30" t="n">
        <v>1</v>
      </c>
      <c r="AL1097" s="30" t="n">
        <v>1</v>
      </c>
      <c r="AM1097" s="30" t="n">
        <v>1</v>
      </c>
      <c r="AN1097" s="30" t="n">
        <v>2</v>
      </c>
      <c r="AO1097" s="30" t="n">
        <v>2</v>
      </c>
      <c r="AP1097" s="30" t="n">
        <v>3</v>
      </c>
      <c r="AQ1097" s="30" t="n">
        <v>4</v>
      </c>
      <c r="AR1097" s="30" t="n">
        <v>4</v>
      </c>
      <c r="AS1097" s="30" t="n">
        <v>6</v>
      </c>
      <c r="AT1097" s="30" t="n">
        <v>4</v>
      </c>
      <c r="AU1097" s="30" t="n">
        <v>4</v>
      </c>
      <c r="AV1097" s="30" t="n">
        <v>6</v>
      </c>
      <c r="AW1097" s="30" t="n">
        <v>6</v>
      </c>
      <c r="AX1097" s="30" t="n">
        <v>3</v>
      </c>
      <c r="AY1097" s="30" t="n">
        <v>3</v>
      </c>
      <c r="AZ1097" s="30" t="n">
        <v>5</v>
      </c>
      <c r="BA1097" s="5" t="n">
        <v>5</v>
      </c>
      <c r="BB1097" s="30" t="n">
        <v>2</v>
      </c>
      <c r="BC1097" s="30" t="n">
        <v>2</v>
      </c>
      <c r="BD1097" s="30" t="n">
        <v>6</v>
      </c>
      <c r="BE1097" s="30" t="n">
        <v>3</v>
      </c>
      <c r="BF1097" s="30" t="n">
        <v>5</v>
      </c>
      <c r="BG1097" s="30" t="n">
        <v>3</v>
      </c>
      <c r="BH1097" s="30" t="n">
        <v>4</v>
      </c>
      <c r="BI1097" s="30" t="n">
        <v>1</v>
      </c>
      <c r="BJ1097" s="30" t="n">
        <v>1</v>
      </c>
      <c r="BK1097" s="31" t="s">
        <v>2775</v>
      </c>
    </row>
    <row r="1098" customFormat="false" ht="15" hidden="false" customHeight="true" outlineLevel="0" collapsed="false">
      <c r="B1098" s="2" t="s">
        <v>1078</v>
      </c>
      <c r="C1098" s="2" t="s">
        <v>221</v>
      </c>
      <c r="D1098" s="2" t="s">
        <v>611</v>
      </c>
      <c r="E1098" s="2" t="n">
        <v>207869</v>
      </c>
      <c r="F1098" s="15" t="n">
        <v>44213</v>
      </c>
      <c r="G1098" s="15" t="n">
        <v>44220</v>
      </c>
      <c r="H1098" s="3" t="n">
        <v>7</v>
      </c>
      <c r="I1098" s="3" t="n">
        <v>2</v>
      </c>
      <c r="J1098" s="3" t="n">
        <v>52</v>
      </c>
      <c r="K1098" s="3" t="n">
        <v>2</v>
      </c>
      <c r="L1098" s="3" t="n">
        <v>2</v>
      </c>
      <c r="M1098" s="3" t="n">
        <v>1</v>
      </c>
      <c r="N1098" s="3" t="n">
        <v>2</v>
      </c>
      <c r="O1098" s="3" t="n">
        <v>2</v>
      </c>
      <c r="P1098" s="3" t="n">
        <v>2</v>
      </c>
      <c r="Q1098" s="3" t="n">
        <v>2</v>
      </c>
      <c r="R1098" s="3" t="n">
        <v>2</v>
      </c>
      <c r="S1098" s="3" t="n">
        <v>2</v>
      </c>
      <c r="T1098" s="4" t="n">
        <v>2</v>
      </c>
      <c r="U1098" s="3" t="n">
        <v>2</v>
      </c>
      <c r="V1098" s="3" t="n">
        <v>5.93</v>
      </c>
      <c r="W1098" s="3" t="n">
        <v>1.35</v>
      </c>
      <c r="X1098" s="3" t="n">
        <v>6.73</v>
      </c>
      <c r="Y1098" s="3" t="n">
        <v>292</v>
      </c>
      <c r="Z1098" s="3" t="n">
        <v>111</v>
      </c>
      <c r="AA1098" s="3" t="n">
        <v>0.5</v>
      </c>
      <c r="AB1098" s="3" t="n">
        <v>13.1</v>
      </c>
      <c r="AC1098" s="3" t="n">
        <v>1</v>
      </c>
      <c r="AD1098" s="3" t="n">
        <v>1</v>
      </c>
      <c r="AE1098" s="3" t="n">
        <v>1</v>
      </c>
      <c r="AF1098" s="3" t="n">
        <v>1</v>
      </c>
      <c r="AG1098" s="3" t="n">
        <v>2</v>
      </c>
      <c r="AH1098" s="3" t="n">
        <v>1</v>
      </c>
      <c r="AI1098" s="3" t="n">
        <v>1</v>
      </c>
      <c r="AJ1098" s="3" t="n">
        <v>1</v>
      </c>
      <c r="AK1098" s="3" t="n">
        <v>2</v>
      </c>
      <c r="AL1098" s="3" t="n">
        <v>2</v>
      </c>
      <c r="AM1098" s="3" t="n">
        <v>1</v>
      </c>
      <c r="AN1098" s="3" t="n">
        <v>2</v>
      </c>
      <c r="AO1098" s="3" t="n">
        <v>2</v>
      </c>
      <c r="AP1098" s="3" t="n">
        <v>3</v>
      </c>
      <c r="AQ1098" s="3" t="n">
        <v>4</v>
      </c>
      <c r="AR1098" s="3" t="n">
        <v>4</v>
      </c>
      <c r="AS1098" s="3" t="n">
        <v>6</v>
      </c>
      <c r="AT1098" s="3" t="n">
        <v>4</v>
      </c>
      <c r="AU1098" s="3" t="n">
        <v>4</v>
      </c>
      <c r="AV1098" s="3" t="n">
        <v>6</v>
      </c>
      <c r="AW1098" s="3" t="n">
        <v>6</v>
      </c>
      <c r="AX1098" s="3" t="n">
        <v>3</v>
      </c>
      <c r="AY1098" s="3" t="n">
        <v>3</v>
      </c>
      <c r="AZ1098" s="3" t="n">
        <v>1</v>
      </c>
      <c r="BA1098" s="5" t="n">
        <v>1</v>
      </c>
      <c r="BB1098" s="3" t="n">
        <v>1</v>
      </c>
      <c r="BC1098" s="3" t="n">
        <v>1</v>
      </c>
      <c r="BD1098" s="3" t="n">
        <v>4</v>
      </c>
      <c r="BE1098" s="3" t="n">
        <v>3</v>
      </c>
      <c r="BF1098" s="3" t="n">
        <v>5</v>
      </c>
      <c r="BG1098" s="3" t="n">
        <v>3</v>
      </c>
      <c r="BH1098" s="3" t="n">
        <v>4</v>
      </c>
      <c r="BI1098" s="3" t="n">
        <v>1</v>
      </c>
      <c r="BJ1098" s="3" t="n">
        <v>1</v>
      </c>
      <c r="BK1098" s="6" t="s">
        <v>2776</v>
      </c>
    </row>
    <row r="1099" customFormat="false" ht="15" hidden="false" customHeight="true" outlineLevel="0" collapsed="false">
      <c r="B1099" s="2" t="s">
        <v>894</v>
      </c>
      <c r="C1099" s="2" t="s">
        <v>115</v>
      </c>
      <c r="D1099" s="2" t="s">
        <v>808</v>
      </c>
      <c r="E1099" s="2" t="n">
        <v>208241</v>
      </c>
      <c r="F1099" s="15" t="n">
        <v>44215</v>
      </c>
      <c r="G1099" s="15" t="n">
        <v>44221</v>
      </c>
      <c r="H1099" s="3" t="n">
        <v>6</v>
      </c>
      <c r="I1099" s="3" t="n">
        <v>2</v>
      </c>
      <c r="J1099" s="3" t="n">
        <v>86</v>
      </c>
      <c r="K1099" s="3" t="n">
        <v>1</v>
      </c>
      <c r="L1099" s="3" t="n">
        <v>2</v>
      </c>
      <c r="M1099" s="3" t="n">
        <v>1</v>
      </c>
      <c r="N1099" s="3" t="n">
        <v>2</v>
      </c>
      <c r="O1099" s="3" t="n">
        <v>2</v>
      </c>
      <c r="P1099" s="3" t="n">
        <v>1</v>
      </c>
      <c r="Q1099" s="3" t="n">
        <v>2</v>
      </c>
      <c r="R1099" s="3" t="n">
        <v>2</v>
      </c>
      <c r="S1099" s="3" t="n">
        <v>2</v>
      </c>
      <c r="T1099" s="4" t="n">
        <v>1</v>
      </c>
      <c r="U1099" s="3" t="n">
        <v>4</v>
      </c>
      <c r="V1099" s="3" t="n">
        <v>3.81</v>
      </c>
      <c r="W1099" s="3" t="n">
        <v>1.41</v>
      </c>
      <c r="X1099" s="3" t="n">
        <v>4.96</v>
      </c>
      <c r="Y1099" s="3" t="n">
        <v>667</v>
      </c>
      <c r="Z1099" s="3" t="n">
        <v>136</v>
      </c>
      <c r="AA1099" s="3" t="n">
        <v>0.37</v>
      </c>
      <c r="AB1099" s="3" t="n">
        <v>14.8</v>
      </c>
      <c r="AC1099" s="3" t="n">
        <v>1</v>
      </c>
      <c r="AD1099" s="3" t="n">
        <v>1</v>
      </c>
      <c r="AE1099" s="3" t="n">
        <v>1</v>
      </c>
      <c r="AF1099" s="3" t="n">
        <v>1</v>
      </c>
      <c r="AG1099" s="3" t="n">
        <v>1</v>
      </c>
      <c r="AH1099" s="3" t="n">
        <v>2</v>
      </c>
      <c r="AI1099" s="3" t="n">
        <v>1</v>
      </c>
      <c r="AJ1099" s="3" t="n">
        <v>1</v>
      </c>
      <c r="AK1099" s="3" t="n">
        <v>2</v>
      </c>
      <c r="AL1099" s="3" t="n">
        <v>2</v>
      </c>
      <c r="AM1099" s="3" t="n">
        <v>2</v>
      </c>
      <c r="AN1099" s="3" t="n">
        <v>2</v>
      </c>
      <c r="AO1099" s="3" t="n">
        <v>2</v>
      </c>
      <c r="AP1099" s="3" t="n">
        <v>3</v>
      </c>
      <c r="AQ1099" s="3" t="n">
        <v>4</v>
      </c>
      <c r="AR1099" s="3" t="n">
        <v>4</v>
      </c>
      <c r="AS1099" s="3" t="n">
        <v>6</v>
      </c>
      <c r="AT1099" s="3" t="n">
        <v>4</v>
      </c>
      <c r="AU1099" s="3" t="n">
        <v>4</v>
      </c>
      <c r="AV1099" s="3" t="n">
        <v>6</v>
      </c>
      <c r="AW1099" s="3" t="n">
        <v>6</v>
      </c>
      <c r="AX1099" s="3" t="n">
        <v>3</v>
      </c>
      <c r="AY1099" s="3" t="n">
        <v>3</v>
      </c>
      <c r="AZ1099" s="3" t="n">
        <v>1</v>
      </c>
      <c r="BA1099" s="5" t="n">
        <v>5</v>
      </c>
      <c r="BB1099" s="3" t="n">
        <v>2</v>
      </c>
      <c r="BC1099" s="3" t="n">
        <v>1</v>
      </c>
      <c r="BD1099" s="3" t="n">
        <v>6</v>
      </c>
      <c r="BE1099" s="3" t="n">
        <v>3</v>
      </c>
      <c r="BF1099" s="3" t="n">
        <v>5</v>
      </c>
      <c r="BG1099" s="3" t="n">
        <v>3</v>
      </c>
      <c r="BH1099" s="3" t="n">
        <v>4</v>
      </c>
      <c r="BI1099" s="3" t="n">
        <v>1</v>
      </c>
      <c r="BJ1099" s="3" t="n">
        <v>1</v>
      </c>
      <c r="BK1099" s="6" t="s">
        <v>2777</v>
      </c>
    </row>
    <row r="1100" customFormat="false" ht="15" hidden="false" customHeight="true" outlineLevel="0" collapsed="false">
      <c r="B1100" s="2" t="s">
        <v>2778</v>
      </c>
      <c r="C1100" s="2" t="s">
        <v>2779</v>
      </c>
      <c r="D1100" s="2" t="s">
        <v>232</v>
      </c>
      <c r="E1100" s="2" t="n">
        <v>207892</v>
      </c>
      <c r="F1100" s="15" t="n">
        <v>44214</v>
      </c>
      <c r="G1100" s="15" t="n">
        <v>44221</v>
      </c>
      <c r="H1100" s="3" t="n">
        <v>7</v>
      </c>
      <c r="I1100" s="3" t="n">
        <v>2</v>
      </c>
      <c r="J1100" s="3" t="n">
        <v>70</v>
      </c>
      <c r="K1100" s="3" t="n">
        <v>1</v>
      </c>
      <c r="L1100" s="3" t="n">
        <v>1</v>
      </c>
      <c r="M1100" s="3" t="n">
        <v>1</v>
      </c>
      <c r="N1100" s="3" t="n">
        <v>1</v>
      </c>
      <c r="O1100" s="3" t="n">
        <v>2</v>
      </c>
      <c r="P1100" s="3" t="n">
        <v>2</v>
      </c>
      <c r="Q1100" s="3" t="n">
        <v>1</v>
      </c>
      <c r="R1100" s="3" t="n">
        <v>2</v>
      </c>
      <c r="S1100" s="3" t="n">
        <v>2</v>
      </c>
      <c r="T1100" s="4" t="n">
        <v>2</v>
      </c>
      <c r="U1100" s="3" t="n">
        <v>2</v>
      </c>
      <c r="V1100" s="3" t="n">
        <v>4.92</v>
      </c>
      <c r="W1100" s="3" t="n">
        <v>1.78</v>
      </c>
      <c r="X1100" s="3" t="n">
        <v>6.35</v>
      </c>
      <c r="Y1100" s="3" t="n">
        <v>417</v>
      </c>
      <c r="Z1100" s="3" t="n">
        <v>94</v>
      </c>
      <c r="AA1100" s="3" t="n">
        <v>0.44</v>
      </c>
      <c r="AB1100" s="3" t="n">
        <v>10.4</v>
      </c>
      <c r="AC1100" s="3" t="n">
        <v>1</v>
      </c>
      <c r="AD1100" s="3" t="n">
        <v>2</v>
      </c>
      <c r="AE1100" s="3" t="n">
        <v>1</v>
      </c>
      <c r="AF1100" s="3" t="n">
        <v>1</v>
      </c>
      <c r="AG1100" s="3" t="n">
        <v>2</v>
      </c>
      <c r="AH1100" s="3" t="n">
        <v>1</v>
      </c>
      <c r="AI1100" s="3" t="n">
        <v>1</v>
      </c>
      <c r="AJ1100" s="3" t="n">
        <v>2</v>
      </c>
      <c r="AK1100" s="3" t="n">
        <v>2</v>
      </c>
      <c r="AL1100" s="3" t="n">
        <v>2</v>
      </c>
      <c r="AM1100" s="3" t="n">
        <v>2</v>
      </c>
      <c r="AN1100" s="3" t="n">
        <v>2</v>
      </c>
      <c r="AO1100" s="3" t="n">
        <v>2</v>
      </c>
      <c r="AP1100" s="3" t="n">
        <v>3</v>
      </c>
      <c r="AQ1100" s="3" t="n">
        <v>4</v>
      </c>
      <c r="AR1100" s="3" t="n">
        <v>4</v>
      </c>
      <c r="AS1100" s="3" t="n">
        <v>6</v>
      </c>
      <c r="AT1100" s="3" t="n">
        <v>4</v>
      </c>
      <c r="AU1100" s="3" t="n">
        <v>4</v>
      </c>
      <c r="AV1100" s="3" t="n">
        <v>6</v>
      </c>
      <c r="AW1100" s="3" t="n">
        <v>6</v>
      </c>
      <c r="AX1100" s="3" t="n">
        <v>3</v>
      </c>
      <c r="AY1100" s="3" t="n">
        <v>3</v>
      </c>
      <c r="AZ1100" s="3" t="n">
        <v>1</v>
      </c>
      <c r="BA1100" s="5" t="n">
        <v>1</v>
      </c>
      <c r="BB1100" s="3" t="n">
        <v>1</v>
      </c>
      <c r="BC1100" s="3" t="n">
        <v>1</v>
      </c>
      <c r="BD1100" s="3" t="n">
        <v>4</v>
      </c>
      <c r="BE1100" s="3" t="n">
        <v>1</v>
      </c>
      <c r="BF1100" s="3" t="n">
        <v>2</v>
      </c>
      <c r="BG1100" s="3" t="n">
        <v>1</v>
      </c>
      <c r="BH1100" s="3" t="n">
        <v>4</v>
      </c>
      <c r="BI1100" s="3" t="n">
        <v>1</v>
      </c>
      <c r="BJ1100" s="3" t="n">
        <v>1</v>
      </c>
      <c r="BK1100" s="6" t="s">
        <v>2780</v>
      </c>
    </row>
    <row r="1101" customFormat="false" ht="15" hidden="false" customHeight="true" outlineLevel="0" collapsed="false">
      <c r="B1101" s="2" t="s">
        <v>1917</v>
      </c>
      <c r="C1101" s="2" t="s">
        <v>194</v>
      </c>
      <c r="D1101" s="2" t="s">
        <v>386</v>
      </c>
      <c r="E1101" s="2" t="n">
        <v>208286</v>
      </c>
      <c r="F1101" s="15" t="n">
        <v>44217</v>
      </c>
      <c r="G1101" s="15" t="n">
        <v>44221</v>
      </c>
      <c r="H1101" s="3" t="n">
        <v>4</v>
      </c>
      <c r="I1101" s="3" t="n">
        <v>1</v>
      </c>
      <c r="J1101" s="3" t="n">
        <v>67</v>
      </c>
      <c r="K1101" s="3" t="n">
        <v>1</v>
      </c>
      <c r="L1101" s="3" t="n">
        <v>1</v>
      </c>
      <c r="M1101" s="3" t="n">
        <v>1</v>
      </c>
      <c r="N1101" s="3" t="n">
        <v>1</v>
      </c>
      <c r="O1101" s="3" t="n">
        <v>2</v>
      </c>
      <c r="P1101" s="3" t="n">
        <v>2</v>
      </c>
      <c r="Q1101" s="3" t="n">
        <v>1</v>
      </c>
      <c r="R1101" s="3" t="n">
        <v>2</v>
      </c>
      <c r="S1101" s="3" t="n">
        <v>2</v>
      </c>
      <c r="T1101" s="4" t="n">
        <v>1</v>
      </c>
      <c r="U1101" s="3" t="n">
        <v>1</v>
      </c>
      <c r="V1101" s="3" t="n">
        <v>5.54</v>
      </c>
      <c r="W1101" s="3" t="n">
        <v>2.03</v>
      </c>
      <c r="X1101" s="3" t="n">
        <v>6.12</v>
      </c>
      <c r="Y1101" s="3" t="n">
        <v>484</v>
      </c>
      <c r="Z1101" s="3" t="n">
        <v>84</v>
      </c>
      <c r="AA1101" s="3" t="n">
        <v>0.42</v>
      </c>
      <c r="AB1101" s="3" t="n">
        <v>8</v>
      </c>
      <c r="AC1101" s="3" t="n">
        <v>1</v>
      </c>
      <c r="AD1101" s="3" t="n">
        <v>1</v>
      </c>
      <c r="AE1101" s="3" t="n">
        <v>1</v>
      </c>
      <c r="AF1101" s="3" t="n">
        <v>1</v>
      </c>
      <c r="AG1101" s="3" t="n">
        <v>2</v>
      </c>
      <c r="AH1101" s="3" t="n">
        <v>1</v>
      </c>
      <c r="AI1101" s="3" t="n">
        <v>1</v>
      </c>
      <c r="AJ1101" s="3" t="n">
        <v>1</v>
      </c>
      <c r="AK1101" s="3" t="n">
        <v>2</v>
      </c>
      <c r="AL1101" s="3" t="n">
        <v>2</v>
      </c>
      <c r="AM1101" s="3" t="n">
        <v>2</v>
      </c>
      <c r="AN1101" s="3" t="n">
        <v>2</v>
      </c>
      <c r="AO1101" s="3" t="n">
        <v>2</v>
      </c>
      <c r="AP1101" s="3" t="n">
        <v>3</v>
      </c>
      <c r="AQ1101" s="3" t="n">
        <v>4</v>
      </c>
      <c r="AR1101" s="3" t="n">
        <v>4</v>
      </c>
      <c r="AS1101" s="3" t="n">
        <v>6</v>
      </c>
      <c r="AT1101" s="3" t="n">
        <v>4</v>
      </c>
      <c r="AU1101" s="3" t="n">
        <v>4</v>
      </c>
      <c r="AV1101" s="3" t="n">
        <v>6</v>
      </c>
      <c r="AW1101" s="3" t="n">
        <v>6</v>
      </c>
      <c r="AX1101" s="3" t="n">
        <v>3</v>
      </c>
      <c r="AY1101" s="3" t="n">
        <v>3</v>
      </c>
      <c r="AZ1101" s="3" t="n">
        <v>1</v>
      </c>
      <c r="BA1101" s="5" t="n">
        <v>5</v>
      </c>
      <c r="BB1101" s="3" t="n">
        <v>2</v>
      </c>
      <c r="BC1101" s="3" t="n">
        <v>1</v>
      </c>
      <c r="BD1101" s="3" t="n">
        <v>6</v>
      </c>
      <c r="BE1101" s="3" t="n">
        <v>3</v>
      </c>
      <c r="BF1101" s="3" t="n">
        <v>5</v>
      </c>
      <c r="BG1101" s="3" t="n">
        <v>3</v>
      </c>
      <c r="BH1101" s="3" t="n">
        <v>4</v>
      </c>
      <c r="BI1101" s="3" t="n">
        <v>1</v>
      </c>
      <c r="BJ1101" s="3" t="n">
        <v>1</v>
      </c>
      <c r="BK1101" s="6" t="s">
        <v>2781</v>
      </c>
    </row>
    <row r="1102" s="30" customFormat="true" ht="15" hidden="false" customHeight="true" outlineLevel="0" collapsed="false">
      <c r="A1102" s="24"/>
      <c r="B1102" s="26" t="s">
        <v>2782</v>
      </c>
      <c r="C1102" s="26" t="s">
        <v>2206</v>
      </c>
      <c r="D1102" s="26" t="s">
        <v>1896</v>
      </c>
      <c r="E1102" s="26" t="n">
        <v>207851</v>
      </c>
      <c r="F1102" s="27" t="n">
        <v>44212</v>
      </c>
      <c r="G1102" s="27" t="n">
        <v>44219</v>
      </c>
      <c r="H1102" s="30" t="n">
        <v>7</v>
      </c>
      <c r="I1102" s="30" t="n">
        <v>1</v>
      </c>
      <c r="J1102" s="30" t="n">
        <v>82</v>
      </c>
      <c r="K1102" s="30" t="n">
        <v>2</v>
      </c>
      <c r="L1102" s="30" t="n">
        <v>2</v>
      </c>
      <c r="M1102" s="30" t="n">
        <v>1</v>
      </c>
      <c r="N1102" s="30" t="n">
        <v>2</v>
      </c>
      <c r="O1102" s="30" t="n">
        <v>2</v>
      </c>
      <c r="P1102" s="30" t="n">
        <v>2</v>
      </c>
      <c r="Q1102" s="30" t="n">
        <v>2</v>
      </c>
      <c r="R1102" s="30" t="n">
        <v>2</v>
      </c>
      <c r="S1102" s="30" t="n">
        <v>2</v>
      </c>
      <c r="T1102" s="4" t="n">
        <v>4</v>
      </c>
      <c r="U1102" s="30" t="n">
        <v>4</v>
      </c>
      <c r="V1102" s="30" t="n">
        <v>5.94</v>
      </c>
      <c r="W1102" s="30" t="n">
        <v>0.74</v>
      </c>
      <c r="X1102" s="30" t="n">
        <v>2.54</v>
      </c>
      <c r="Y1102" s="30" t="n">
        <v>487</v>
      </c>
      <c r="Z1102" s="30" t="n">
        <v>714</v>
      </c>
      <c r="AA1102" s="30" t="n">
        <v>0.38</v>
      </c>
      <c r="AB1102" s="30" t="n">
        <v>14.5</v>
      </c>
      <c r="AC1102" s="30" t="n">
        <v>1</v>
      </c>
      <c r="AD1102" s="30" t="n">
        <v>2</v>
      </c>
      <c r="AE1102" s="30" t="n">
        <v>2</v>
      </c>
      <c r="AF1102" s="30" t="n">
        <v>2</v>
      </c>
      <c r="AG1102" s="30" t="n">
        <v>2</v>
      </c>
      <c r="AH1102" s="30" t="n">
        <v>2</v>
      </c>
      <c r="AI1102" s="30" t="n">
        <v>2</v>
      </c>
      <c r="AJ1102" s="30" t="n">
        <v>2</v>
      </c>
      <c r="AK1102" s="30" t="n">
        <v>2</v>
      </c>
      <c r="AL1102" s="30" t="n">
        <v>2</v>
      </c>
      <c r="AM1102" s="30" t="n">
        <v>1</v>
      </c>
      <c r="AN1102" s="30" t="n">
        <v>2</v>
      </c>
      <c r="AO1102" s="30" t="n">
        <v>2</v>
      </c>
      <c r="AP1102" s="30" t="n">
        <v>3</v>
      </c>
      <c r="AQ1102" s="30" t="n">
        <v>4</v>
      </c>
      <c r="AR1102" s="30" t="n">
        <v>4</v>
      </c>
      <c r="AS1102" s="30" t="n">
        <v>6</v>
      </c>
      <c r="AT1102" s="30" t="n">
        <v>4</v>
      </c>
      <c r="AU1102" s="30" t="n">
        <v>4</v>
      </c>
      <c r="AV1102" s="30" t="n">
        <v>6</v>
      </c>
      <c r="AW1102" s="30" t="n">
        <v>6</v>
      </c>
      <c r="AX1102" s="30" t="n">
        <v>3</v>
      </c>
      <c r="AY1102" s="30" t="n">
        <v>3</v>
      </c>
      <c r="AZ1102" s="30" t="n">
        <v>1</v>
      </c>
      <c r="BA1102" s="5" t="n">
        <v>10</v>
      </c>
      <c r="BB1102" s="30" t="n">
        <v>2</v>
      </c>
      <c r="BC1102" s="30" t="n">
        <v>1</v>
      </c>
      <c r="BD1102" s="30" t="n">
        <v>6</v>
      </c>
      <c r="BE1102" s="30" t="n">
        <v>3</v>
      </c>
      <c r="BF1102" s="30" t="n">
        <v>5</v>
      </c>
      <c r="BG1102" s="30" t="n">
        <v>3</v>
      </c>
      <c r="BH1102" s="30" t="n">
        <v>4</v>
      </c>
      <c r="BI1102" s="30" t="n">
        <v>1</v>
      </c>
      <c r="BJ1102" s="30" t="n">
        <v>1</v>
      </c>
      <c r="BK1102" s="31" t="s">
        <v>2783</v>
      </c>
    </row>
    <row r="1103" customFormat="false" ht="15" hidden="false" customHeight="true" outlineLevel="0" collapsed="false">
      <c r="B1103" s="2" t="s">
        <v>2784</v>
      </c>
      <c r="C1103" s="2" t="s">
        <v>2785</v>
      </c>
      <c r="D1103" s="2" t="s">
        <v>2592</v>
      </c>
      <c r="E1103" s="2" t="n">
        <v>208255</v>
      </c>
      <c r="F1103" s="15" t="n">
        <v>44216</v>
      </c>
      <c r="G1103" s="15" t="n">
        <v>44223</v>
      </c>
      <c r="H1103" s="3" t="n">
        <v>7</v>
      </c>
      <c r="I1103" s="3" t="n">
        <v>2</v>
      </c>
      <c r="J1103" s="3" t="n">
        <v>63</v>
      </c>
      <c r="K1103" s="3" t="n">
        <v>1</v>
      </c>
      <c r="L1103" s="3" t="n">
        <v>2</v>
      </c>
      <c r="M1103" s="3" t="n">
        <v>1</v>
      </c>
      <c r="N1103" s="3" t="n">
        <v>2</v>
      </c>
      <c r="O1103" s="3" t="n">
        <v>2</v>
      </c>
      <c r="P1103" s="3" t="n">
        <v>2</v>
      </c>
      <c r="Q1103" s="3" t="n">
        <v>2</v>
      </c>
      <c r="R1103" s="3" t="n">
        <v>2</v>
      </c>
      <c r="S1103" s="3" t="n">
        <v>2</v>
      </c>
      <c r="T1103" s="4" t="n">
        <v>2</v>
      </c>
      <c r="U1103" s="3" t="n">
        <v>2</v>
      </c>
      <c r="V1103" s="3" t="n">
        <v>6.27</v>
      </c>
      <c r="W1103" s="3" t="n">
        <v>2.35</v>
      </c>
      <c r="X1103" s="3" t="n">
        <v>10.73</v>
      </c>
      <c r="Y1103" s="3" t="n">
        <v>663</v>
      </c>
      <c r="Z1103" s="3" t="n">
        <v>136</v>
      </c>
      <c r="AA1103" s="3" t="n">
        <v>0.52</v>
      </c>
      <c r="AB1103" s="3" t="n">
        <v>10</v>
      </c>
      <c r="AC1103" s="3" t="n">
        <v>1</v>
      </c>
      <c r="AD1103" s="3" t="n">
        <v>2</v>
      </c>
      <c r="AE1103" s="3" t="n">
        <v>1</v>
      </c>
      <c r="AF1103" s="3" t="n">
        <v>1</v>
      </c>
      <c r="AG1103" s="3" t="n">
        <v>1</v>
      </c>
      <c r="AH1103" s="3" t="n">
        <v>2</v>
      </c>
      <c r="AI1103" s="3" t="n">
        <v>1</v>
      </c>
      <c r="AJ1103" s="3" t="n">
        <v>1</v>
      </c>
      <c r="AK1103" s="3" t="n">
        <v>2</v>
      </c>
      <c r="AL1103" s="3" t="n">
        <v>2</v>
      </c>
      <c r="AM1103" s="3" t="n">
        <v>2</v>
      </c>
      <c r="AN1103" s="3" t="n">
        <v>2</v>
      </c>
      <c r="AO1103" s="3" t="n">
        <v>2</v>
      </c>
      <c r="AP1103" s="3" t="n">
        <v>3</v>
      </c>
      <c r="AQ1103" s="3" t="n">
        <v>4</v>
      </c>
      <c r="AR1103" s="3" t="n">
        <v>4</v>
      </c>
      <c r="AS1103" s="3" t="n">
        <v>6</v>
      </c>
      <c r="AT1103" s="3" t="n">
        <v>4</v>
      </c>
      <c r="AU1103" s="3" t="n">
        <v>4</v>
      </c>
      <c r="AV1103" s="3" t="n">
        <v>6</v>
      </c>
      <c r="AW1103" s="3" t="n">
        <v>6</v>
      </c>
      <c r="AX1103" s="3" t="n">
        <v>3</v>
      </c>
      <c r="AY1103" s="3" t="n">
        <v>3</v>
      </c>
      <c r="AZ1103" s="3" t="n">
        <v>1</v>
      </c>
      <c r="BA1103" s="5" t="n">
        <v>1</v>
      </c>
      <c r="BB1103" s="3" t="n">
        <v>1</v>
      </c>
      <c r="BC1103" s="3" t="n">
        <v>1</v>
      </c>
      <c r="BD1103" s="3" t="n">
        <v>2</v>
      </c>
      <c r="BE1103" s="3" t="n">
        <v>3</v>
      </c>
      <c r="BF1103" s="3" t="n">
        <v>5</v>
      </c>
      <c r="BG1103" s="3" t="n">
        <v>3</v>
      </c>
      <c r="BH1103" s="3" t="n">
        <v>4</v>
      </c>
      <c r="BI1103" s="3" t="n">
        <v>1</v>
      </c>
      <c r="BJ1103" s="3" t="n">
        <v>1</v>
      </c>
      <c r="BK1103" s="6" t="s">
        <v>2786</v>
      </c>
    </row>
    <row r="1104" customFormat="false" ht="15" hidden="false" customHeight="true" outlineLevel="0" collapsed="false">
      <c r="B1104" s="2" t="s">
        <v>915</v>
      </c>
      <c r="C1104" s="2" t="s">
        <v>2787</v>
      </c>
      <c r="D1104" s="2" t="s">
        <v>398</v>
      </c>
      <c r="E1104" s="2" t="n">
        <v>208615</v>
      </c>
      <c r="F1104" s="15" t="n">
        <v>44220</v>
      </c>
      <c r="G1104" s="15" t="n">
        <v>44225</v>
      </c>
      <c r="H1104" s="3" t="n">
        <v>5</v>
      </c>
      <c r="I1104" s="3" t="n">
        <v>2</v>
      </c>
      <c r="J1104" s="3" t="n">
        <v>88</v>
      </c>
      <c r="K1104" s="3" t="n">
        <v>1</v>
      </c>
      <c r="L1104" s="3" t="n">
        <v>2</v>
      </c>
      <c r="M1104" s="3" t="n">
        <v>1</v>
      </c>
      <c r="N1104" s="3" t="n">
        <v>2</v>
      </c>
      <c r="O1104" s="3" t="n">
        <v>2</v>
      </c>
      <c r="P1104" s="3" t="n">
        <v>2</v>
      </c>
      <c r="Q1104" s="3" t="n">
        <v>1</v>
      </c>
      <c r="R1104" s="3" t="n">
        <v>1</v>
      </c>
      <c r="S1104" s="3" t="n">
        <v>2</v>
      </c>
      <c r="T1104" s="4" t="n">
        <v>1</v>
      </c>
      <c r="U1104" s="3" t="n">
        <v>1</v>
      </c>
      <c r="V1104" s="3" t="n">
        <v>4.24</v>
      </c>
      <c r="W1104" s="3" t="n">
        <v>1.09</v>
      </c>
      <c r="X1104" s="3" t="n">
        <v>6.72</v>
      </c>
      <c r="Y1104" s="3" t="n">
        <v>322</v>
      </c>
      <c r="Z1104" s="3" t="n">
        <v>110</v>
      </c>
      <c r="AA1104" s="3" t="n">
        <v>0.39</v>
      </c>
      <c r="AB1104" s="3" t="n">
        <v>6</v>
      </c>
      <c r="AC1104" s="3" t="n">
        <v>1</v>
      </c>
      <c r="AD1104" s="3" t="n">
        <v>1</v>
      </c>
      <c r="AE1104" s="3" t="n">
        <v>1</v>
      </c>
      <c r="AF1104" s="3" t="n">
        <v>1</v>
      </c>
      <c r="AG1104" s="3" t="n">
        <v>1</v>
      </c>
      <c r="AH1104" s="3" t="n">
        <v>2</v>
      </c>
      <c r="AI1104" s="3" t="n">
        <v>1</v>
      </c>
      <c r="AJ1104" s="3" t="n">
        <v>1</v>
      </c>
      <c r="AK1104" s="3" t="n">
        <v>2</v>
      </c>
      <c r="AL1104" s="3" t="n">
        <v>2</v>
      </c>
      <c r="AM1104" s="3" t="n">
        <v>1</v>
      </c>
      <c r="AN1104" s="3" t="n">
        <v>2</v>
      </c>
      <c r="AO1104" s="3" t="n">
        <v>2</v>
      </c>
      <c r="AP1104" s="3" t="n">
        <v>3</v>
      </c>
      <c r="AQ1104" s="3" t="n">
        <v>4</v>
      </c>
      <c r="AR1104" s="3" t="n">
        <v>4</v>
      </c>
      <c r="AS1104" s="3" t="n">
        <v>6</v>
      </c>
      <c r="AT1104" s="3" t="n">
        <v>4</v>
      </c>
      <c r="AU1104" s="3" t="n">
        <v>4</v>
      </c>
      <c r="AV1104" s="3" t="n">
        <v>6</v>
      </c>
      <c r="AW1104" s="3" t="n">
        <v>6</v>
      </c>
      <c r="AX1104" s="3" t="n">
        <v>3</v>
      </c>
      <c r="AY1104" s="3" t="n">
        <v>3</v>
      </c>
      <c r="AZ1104" s="3" t="n">
        <v>1</v>
      </c>
      <c r="BA1104" s="5" t="n">
        <v>5</v>
      </c>
      <c r="BB1104" s="3" t="n">
        <v>2</v>
      </c>
      <c r="BC1104" s="3" t="n">
        <v>1</v>
      </c>
      <c r="BD1104" s="3" t="n">
        <v>6</v>
      </c>
      <c r="BE1104" s="3" t="n">
        <v>3</v>
      </c>
      <c r="BF1104" s="3" t="n">
        <v>5</v>
      </c>
      <c r="BG1104" s="3" t="n">
        <v>3</v>
      </c>
      <c r="BH1104" s="3" t="n">
        <v>4</v>
      </c>
      <c r="BI1104" s="3" t="n">
        <v>1</v>
      </c>
      <c r="BJ1104" s="3" t="n">
        <v>1</v>
      </c>
      <c r="BK1104" s="6" t="s">
        <v>2788</v>
      </c>
    </row>
    <row r="1105" customFormat="false" ht="15" hidden="false" customHeight="true" outlineLevel="0" collapsed="false">
      <c r="B1105" s="2" t="s">
        <v>2760</v>
      </c>
      <c r="C1105" s="2" t="s">
        <v>2236</v>
      </c>
      <c r="D1105" s="2" t="s">
        <v>2761</v>
      </c>
      <c r="E1105" s="2" t="n">
        <v>208207</v>
      </c>
      <c r="F1105" s="15" t="n">
        <v>44221</v>
      </c>
      <c r="G1105" s="15" t="n">
        <v>44224</v>
      </c>
      <c r="H1105" s="3" t="n">
        <v>3</v>
      </c>
      <c r="I1105" s="3" t="n">
        <v>2</v>
      </c>
      <c r="J1105" s="3" t="n">
        <v>65</v>
      </c>
      <c r="K1105" s="3" t="n">
        <v>2</v>
      </c>
      <c r="L1105" s="3" t="n">
        <v>1</v>
      </c>
      <c r="M1105" s="3" t="n">
        <v>1</v>
      </c>
      <c r="N1105" s="3" t="n">
        <v>2</v>
      </c>
      <c r="O1105" s="3" t="n">
        <v>2</v>
      </c>
      <c r="P1105" s="3" t="n">
        <v>2</v>
      </c>
      <c r="Q1105" s="3" t="n">
        <v>2</v>
      </c>
      <c r="R1105" s="3" t="n">
        <v>2</v>
      </c>
      <c r="S1105" s="3" t="n">
        <v>2</v>
      </c>
      <c r="T1105" s="4" t="n">
        <v>2</v>
      </c>
      <c r="U1105" s="3" t="n">
        <v>2</v>
      </c>
      <c r="V1105" s="3" t="n">
        <v>3.41</v>
      </c>
      <c r="W1105" s="3" t="n">
        <v>1.46</v>
      </c>
      <c r="X1105" s="3" t="n">
        <v>4.13</v>
      </c>
      <c r="Y1105" s="3" t="n">
        <v>464</v>
      </c>
      <c r="Z1105" s="3" t="n">
        <v>129</v>
      </c>
      <c r="AA1105" s="3" t="n">
        <v>0.44</v>
      </c>
      <c r="AB1105" s="3" t="n">
        <v>9.4</v>
      </c>
      <c r="AC1105" s="3" t="n">
        <v>3</v>
      </c>
      <c r="AD1105" s="3" t="n">
        <v>1</v>
      </c>
      <c r="AE1105" s="3" t="n">
        <v>1</v>
      </c>
      <c r="AF1105" s="3" t="n">
        <v>1</v>
      </c>
      <c r="AG1105" s="3" t="n">
        <v>2</v>
      </c>
      <c r="AH1105" s="3" t="n">
        <v>2</v>
      </c>
      <c r="AI1105" s="3" t="n">
        <v>1</v>
      </c>
      <c r="AJ1105" s="3" t="n">
        <v>1</v>
      </c>
      <c r="AK1105" s="3" t="n">
        <v>2</v>
      </c>
      <c r="AL1105" s="3" t="n">
        <v>2</v>
      </c>
      <c r="AM1105" s="3" t="n">
        <v>2</v>
      </c>
      <c r="AN1105" s="3" t="n">
        <v>2</v>
      </c>
      <c r="AO1105" s="3" t="n">
        <v>2</v>
      </c>
      <c r="AP1105" s="3" t="n">
        <v>2</v>
      </c>
      <c r="AQ1105" s="3" t="n">
        <v>2</v>
      </c>
      <c r="AR1105" s="3" t="n">
        <v>2</v>
      </c>
      <c r="AS1105" s="3" t="n">
        <v>4</v>
      </c>
      <c r="AT1105" s="3" t="n">
        <v>1</v>
      </c>
      <c r="AU1105" s="3" t="n">
        <v>1</v>
      </c>
      <c r="AV1105" s="3" t="n">
        <v>1</v>
      </c>
      <c r="AW1105" s="3" t="n">
        <v>1</v>
      </c>
      <c r="AX1105" s="3" t="n">
        <v>2</v>
      </c>
      <c r="AY1105" s="3" t="n">
        <v>2</v>
      </c>
      <c r="AZ1105" s="3" t="n">
        <v>1</v>
      </c>
      <c r="BA1105" s="5" t="n">
        <v>1</v>
      </c>
      <c r="BB1105" s="3" t="n">
        <v>1</v>
      </c>
      <c r="BC1105" s="3" t="n">
        <v>1</v>
      </c>
      <c r="BD1105" s="3" t="n">
        <v>4</v>
      </c>
      <c r="BE1105" s="3" t="n">
        <v>3</v>
      </c>
      <c r="BF1105" s="3" t="n">
        <v>5</v>
      </c>
      <c r="BG1105" s="3" t="n">
        <v>3</v>
      </c>
      <c r="BH1105" s="3" t="n">
        <v>4</v>
      </c>
      <c r="BI1105" s="3" t="n">
        <v>1</v>
      </c>
      <c r="BJ1105" s="3" t="n">
        <v>1</v>
      </c>
      <c r="BK1105" s="6" t="s">
        <v>2789</v>
      </c>
    </row>
    <row r="1106" customFormat="false" ht="15" hidden="false" customHeight="true" outlineLevel="0" collapsed="false">
      <c r="B1106" s="2" t="s">
        <v>2790</v>
      </c>
      <c r="C1106" s="2" t="s">
        <v>197</v>
      </c>
      <c r="D1106" s="2" t="s">
        <v>94</v>
      </c>
      <c r="E1106" s="2" t="n">
        <v>208284</v>
      </c>
      <c r="F1106" s="15" t="n">
        <v>44217</v>
      </c>
      <c r="G1106" s="15" t="n">
        <v>44224</v>
      </c>
      <c r="H1106" s="3" t="n">
        <v>7</v>
      </c>
      <c r="I1106" s="3" t="n">
        <v>1</v>
      </c>
      <c r="J1106" s="3" t="n">
        <v>65</v>
      </c>
      <c r="K1106" s="3" t="n">
        <v>1</v>
      </c>
      <c r="L1106" s="3" t="n">
        <v>1</v>
      </c>
      <c r="M1106" s="3" t="n">
        <v>1</v>
      </c>
      <c r="N1106" s="3" t="n">
        <v>2</v>
      </c>
      <c r="O1106" s="3" t="n">
        <v>2</v>
      </c>
      <c r="P1106" s="3" t="n">
        <v>2</v>
      </c>
      <c r="Q1106" s="3" t="n">
        <v>2</v>
      </c>
      <c r="R1106" s="3" t="n">
        <v>2</v>
      </c>
      <c r="S1106" s="3" t="n">
        <v>2</v>
      </c>
      <c r="T1106" s="4" t="n">
        <v>2</v>
      </c>
      <c r="U1106" s="3" t="n">
        <v>2</v>
      </c>
      <c r="V1106" s="3" t="n">
        <v>4.83</v>
      </c>
      <c r="W1106" s="3" t="n">
        <v>2.17</v>
      </c>
      <c r="X1106" s="3" t="n">
        <v>5.41</v>
      </c>
      <c r="Y1106" s="3" t="n">
        <v>394</v>
      </c>
      <c r="Z1106" s="3" t="n">
        <v>136</v>
      </c>
      <c r="AA1106" s="3" t="n">
        <v>0.41</v>
      </c>
      <c r="AB1106" s="3" t="n">
        <v>7.9</v>
      </c>
      <c r="AC1106" s="3" t="n">
        <v>1</v>
      </c>
      <c r="AD1106" s="3" t="n">
        <v>2</v>
      </c>
      <c r="AE1106" s="3" t="n">
        <v>1</v>
      </c>
      <c r="AF1106" s="3" t="n">
        <v>1</v>
      </c>
      <c r="AG1106" s="3" t="n">
        <v>2</v>
      </c>
      <c r="AH1106" s="3" t="n">
        <v>2</v>
      </c>
      <c r="AI1106" s="3" t="n">
        <v>1</v>
      </c>
      <c r="AJ1106" s="3" t="n">
        <v>1</v>
      </c>
      <c r="AK1106" s="3" t="n">
        <v>2</v>
      </c>
      <c r="AL1106" s="3" t="n">
        <v>2</v>
      </c>
      <c r="AM1106" s="3" t="n">
        <v>2</v>
      </c>
      <c r="AN1106" s="3" t="n">
        <v>2</v>
      </c>
      <c r="AO1106" s="3" t="n">
        <v>2</v>
      </c>
      <c r="AP1106" s="3" t="n">
        <v>3</v>
      </c>
      <c r="AQ1106" s="3" t="n">
        <v>4</v>
      </c>
      <c r="AR1106" s="3" t="n">
        <v>4</v>
      </c>
      <c r="AS1106" s="3" t="n">
        <v>6</v>
      </c>
      <c r="AT1106" s="3" t="n">
        <v>4</v>
      </c>
      <c r="AU1106" s="3" t="n">
        <v>4</v>
      </c>
      <c r="AV1106" s="3" t="n">
        <v>6</v>
      </c>
      <c r="AW1106" s="3" t="n">
        <v>6</v>
      </c>
      <c r="AX1106" s="3" t="n">
        <v>3</v>
      </c>
      <c r="AY1106" s="3" t="n">
        <v>3</v>
      </c>
      <c r="AZ1106" s="3" t="n">
        <v>1</v>
      </c>
      <c r="BA1106" s="5" t="n">
        <v>1</v>
      </c>
      <c r="BB1106" s="3" t="n">
        <v>1</v>
      </c>
      <c r="BC1106" s="3" t="n">
        <v>1</v>
      </c>
      <c r="BD1106" s="3" t="n">
        <v>2</v>
      </c>
      <c r="BE1106" s="3" t="n">
        <v>3</v>
      </c>
      <c r="BF1106" s="3" t="n">
        <v>5</v>
      </c>
      <c r="BG1106" s="3" t="n">
        <v>3</v>
      </c>
      <c r="BH1106" s="3" t="n">
        <v>4</v>
      </c>
      <c r="BI1106" s="3" t="n">
        <v>1</v>
      </c>
      <c r="BJ1106" s="3" t="n">
        <v>1</v>
      </c>
      <c r="BK1106" s="6" t="s">
        <v>2791</v>
      </c>
    </row>
    <row r="1107" customFormat="false" ht="15" hidden="false" customHeight="true" outlineLevel="0" collapsed="false">
      <c r="B1107" s="2" t="s">
        <v>2339</v>
      </c>
      <c r="C1107" s="2" t="s">
        <v>222</v>
      </c>
      <c r="D1107" s="2" t="s">
        <v>2341</v>
      </c>
      <c r="E1107" s="2" t="n">
        <v>208637</v>
      </c>
      <c r="F1107" s="15" t="n">
        <v>44221</v>
      </c>
      <c r="G1107" s="15" t="n">
        <v>44228</v>
      </c>
      <c r="H1107" s="3" t="n">
        <v>7</v>
      </c>
      <c r="I1107" s="3" t="n">
        <v>1</v>
      </c>
      <c r="J1107" s="3" t="n">
        <v>84</v>
      </c>
      <c r="K1107" s="3" t="n">
        <v>2</v>
      </c>
      <c r="L1107" s="3" t="n">
        <v>2</v>
      </c>
      <c r="M1107" s="3" t="n">
        <v>1</v>
      </c>
      <c r="N1107" s="3" t="n">
        <v>2</v>
      </c>
      <c r="O1107" s="3" t="n">
        <v>2</v>
      </c>
      <c r="P1107" s="3" t="n">
        <v>1</v>
      </c>
      <c r="Q1107" s="3" t="n">
        <v>1</v>
      </c>
      <c r="R1107" s="3" t="n">
        <v>2</v>
      </c>
      <c r="S1107" s="3" t="n">
        <v>2</v>
      </c>
      <c r="T1107" s="4" t="n">
        <v>1</v>
      </c>
      <c r="U1107" s="3" t="n">
        <v>1</v>
      </c>
      <c r="V1107" s="3" t="n">
        <v>4.37</v>
      </c>
      <c r="W1107" s="3" t="n">
        <v>1.65</v>
      </c>
      <c r="X1107" s="3" t="n">
        <v>6.35</v>
      </c>
      <c r="Y1107" s="3" t="n">
        <v>812</v>
      </c>
      <c r="Z1107" s="3" t="n">
        <v>181</v>
      </c>
      <c r="AA1107" s="3" t="n">
        <v>0.3</v>
      </c>
      <c r="AB1107" s="3" t="n">
        <v>11</v>
      </c>
      <c r="AC1107" s="3" t="n">
        <v>1</v>
      </c>
      <c r="AD1107" s="3" t="n">
        <v>1</v>
      </c>
      <c r="AE1107" s="3" t="n">
        <v>1</v>
      </c>
      <c r="AF1107" s="3" t="n">
        <v>1</v>
      </c>
      <c r="AG1107" s="3" t="n">
        <v>2</v>
      </c>
      <c r="AH1107" s="3" t="n">
        <v>1</v>
      </c>
      <c r="AI1107" s="3" t="n">
        <v>1</v>
      </c>
      <c r="AJ1107" s="3" t="n">
        <v>1</v>
      </c>
      <c r="AK1107" s="3" t="n">
        <v>2</v>
      </c>
      <c r="AL1107" s="3" t="n">
        <v>1</v>
      </c>
      <c r="AM1107" s="3" t="n">
        <v>1</v>
      </c>
      <c r="AN1107" s="3" t="n">
        <v>2</v>
      </c>
      <c r="AO1107" s="3" t="n">
        <v>2</v>
      </c>
      <c r="AP1107" s="3" t="n">
        <v>3</v>
      </c>
      <c r="AQ1107" s="3" t="n">
        <v>4</v>
      </c>
      <c r="AR1107" s="3" t="n">
        <v>4</v>
      </c>
      <c r="AS1107" s="3" t="n">
        <v>6</v>
      </c>
      <c r="AT1107" s="3" t="n">
        <v>4</v>
      </c>
      <c r="AU1107" s="3" t="n">
        <v>4</v>
      </c>
      <c r="AV1107" s="3" t="n">
        <v>6</v>
      </c>
      <c r="AW1107" s="3" t="n">
        <v>6</v>
      </c>
      <c r="AX1107" s="3" t="n">
        <v>3</v>
      </c>
      <c r="AY1107" s="3" t="n">
        <v>3</v>
      </c>
      <c r="AZ1107" s="3" t="n">
        <v>1</v>
      </c>
      <c r="BA1107" s="5" t="n">
        <v>2</v>
      </c>
      <c r="BB1107" s="3" t="n">
        <v>1</v>
      </c>
      <c r="BC1107" s="3" t="n">
        <v>1</v>
      </c>
      <c r="BD1107" s="3" t="n">
        <v>6</v>
      </c>
      <c r="BE1107" s="3" t="n">
        <v>1</v>
      </c>
      <c r="BF1107" s="3" t="n">
        <v>2</v>
      </c>
      <c r="BG1107" s="3" t="n">
        <v>1</v>
      </c>
      <c r="BH1107" s="3" t="n">
        <v>4</v>
      </c>
      <c r="BI1107" s="3" t="n">
        <v>1</v>
      </c>
      <c r="BJ1107" s="3" t="n">
        <v>1</v>
      </c>
      <c r="BK1107" s="6" t="s">
        <v>2792</v>
      </c>
    </row>
    <row r="1108" customFormat="false" ht="15" hidden="false" customHeight="true" outlineLevel="0" collapsed="false">
      <c r="B1108" s="2" t="s">
        <v>755</v>
      </c>
      <c r="C1108" s="2" t="s">
        <v>2793</v>
      </c>
      <c r="D1108" s="2" t="s">
        <v>2794</v>
      </c>
      <c r="E1108" s="2" t="n">
        <v>208623</v>
      </c>
      <c r="F1108" s="15" t="n">
        <v>44220</v>
      </c>
      <c r="G1108" s="15" t="n">
        <v>44228</v>
      </c>
      <c r="H1108" s="3" t="n">
        <v>7</v>
      </c>
      <c r="I1108" s="3" t="n">
        <v>2</v>
      </c>
      <c r="J1108" s="3" t="n">
        <v>61</v>
      </c>
      <c r="K1108" s="3" t="n">
        <v>2</v>
      </c>
      <c r="L1108" s="3" t="n">
        <v>2</v>
      </c>
      <c r="M1108" s="3" t="n">
        <v>1</v>
      </c>
      <c r="N1108" s="3" t="n">
        <v>2</v>
      </c>
      <c r="O1108" s="3" t="n">
        <v>2</v>
      </c>
      <c r="P1108" s="3" t="n">
        <v>2</v>
      </c>
      <c r="Q1108" s="3" t="n">
        <v>1</v>
      </c>
      <c r="R1108" s="3" t="n">
        <v>2</v>
      </c>
      <c r="S1108" s="3" t="n">
        <v>2</v>
      </c>
      <c r="T1108" s="4" t="n">
        <v>1</v>
      </c>
      <c r="U1108" s="3" t="n">
        <v>1</v>
      </c>
      <c r="V1108" s="3" t="n">
        <v>2.26</v>
      </c>
      <c r="W1108" s="3" t="n">
        <v>1.57</v>
      </c>
      <c r="X1108" s="3" t="n">
        <v>6.54</v>
      </c>
      <c r="Y1108" s="3" t="n">
        <v>362</v>
      </c>
      <c r="Z1108" s="3" t="n">
        <v>100</v>
      </c>
      <c r="AA1108" s="3" t="n">
        <v>0.38</v>
      </c>
      <c r="AB1108" s="3" t="n">
        <v>11.7</v>
      </c>
      <c r="AC1108" s="3" t="n">
        <v>1</v>
      </c>
      <c r="AD1108" s="3" t="n">
        <v>1</v>
      </c>
      <c r="AE1108" s="3" t="n">
        <v>1</v>
      </c>
      <c r="AF1108" s="3" t="n">
        <v>1</v>
      </c>
      <c r="AG1108" s="3" t="n">
        <v>1</v>
      </c>
      <c r="AH1108" s="3" t="n">
        <v>2</v>
      </c>
      <c r="AI1108" s="3" t="n">
        <v>1</v>
      </c>
      <c r="AJ1108" s="3" t="n">
        <v>1</v>
      </c>
      <c r="AK1108" s="3" t="n">
        <v>1</v>
      </c>
      <c r="AL1108" s="3" t="n">
        <v>2</v>
      </c>
      <c r="AM1108" s="3" t="n">
        <v>2</v>
      </c>
      <c r="AN1108" s="3" t="n">
        <v>2</v>
      </c>
      <c r="AO1108" s="3" t="n">
        <v>2</v>
      </c>
      <c r="AP1108" s="3" t="n">
        <v>3</v>
      </c>
      <c r="AQ1108" s="3" t="n">
        <v>4</v>
      </c>
      <c r="AR1108" s="3" t="n">
        <v>4</v>
      </c>
      <c r="AS1108" s="3" t="n">
        <v>6</v>
      </c>
      <c r="AT1108" s="3" t="n">
        <v>4</v>
      </c>
      <c r="AU1108" s="3" t="n">
        <v>4</v>
      </c>
      <c r="AV1108" s="3" t="n">
        <v>6</v>
      </c>
      <c r="AW1108" s="3" t="n">
        <v>6</v>
      </c>
      <c r="AX1108" s="3" t="n">
        <v>3</v>
      </c>
      <c r="AY1108" s="3" t="n">
        <v>3</v>
      </c>
      <c r="AZ1108" s="3" t="n">
        <v>1</v>
      </c>
      <c r="BA1108" s="5" t="n">
        <v>5</v>
      </c>
      <c r="BB1108" s="3" t="n">
        <v>2</v>
      </c>
      <c r="BC1108" s="3" t="n">
        <v>1</v>
      </c>
      <c r="BD1108" s="3" t="n">
        <v>6</v>
      </c>
      <c r="BE1108" s="3" t="n">
        <v>3</v>
      </c>
      <c r="BF1108" s="3" t="n">
        <v>5</v>
      </c>
      <c r="BG1108" s="3" t="n">
        <v>3</v>
      </c>
      <c r="BH1108" s="3" t="n">
        <v>4</v>
      </c>
      <c r="BI1108" s="3" t="n">
        <v>1</v>
      </c>
      <c r="BJ1108" s="3" t="n">
        <v>1</v>
      </c>
      <c r="BK1108" s="6" t="s">
        <v>2795</v>
      </c>
    </row>
    <row r="1109" customFormat="false" ht="15" hidden="false" customHeight="true" outlineLevel="0" collapsed="false">
      <c r="B1109" s="2" t="s">
        <v>1601</v>
      </c>
      <c r="C1109" s="2" t="s">
        <v>197</v>
      </c>
      <c r="D1109" s="2" t="s">
        <v>118</v>
      </c>
      <c r="E1109" s="2" t="n">
        <v>208628</v>
      </c>
      <c r="F1109" s="15" t="n">
        <v>44220</v>
      </c>
      <c r="G1109" s="15" t="n">
        <v>44228</v>
      </c>
      <c r="H1109" s="3" t="n">
        <v>8</v>
      </c>
      <c r="I1109" s="3" t="n">
        <v>2</v>
      </c>
      <c r="J1109" s="3" t="n">
        <v>71</v>
      </c>
      <c r="K1109" s="3" t="n">
        <v>1</v>
      </c>
      <c r="L1109" s="3" t="n">
        <v>1</v>
      </c>
      <c r="M1109" s="3" t="n">
        <v>1</v>
      </c>
      <c r="N1109" s="3" t="n">
        <v>2</v>
      </c>
      <c r="O1109" s="3" t="n">
        <v>2</v>
      </c>
      <c r="P1109" s="3" t="n">
        <v>2</v>
      </c>
      <c r="Q1109" s="3" t="n">
        <v>1</v>
      </c>
      <c r="R1109" s="3" t="n">
        <v>2</v>
      </c>
      <c r="S1109" s="3" t="n">
        <v>2</v>
      </c>
      <c r="T1109" s="4" t="n">
        <v>1</v>
      </c>
      <c r="U1109" s="3" t="n">
        <v>1</v>
      </c>
      <c r="V1109" s="3" t="n">
        <v>4.81</v>
      </c>
      <c r="W1109" s="3" t="n">
        <v>1.74</v>
      </c>
      <c r="X1109" s="3" t="n">
        <v>10.46</v>
      </c>
      <c r="Y1109" s="3" t="n">
        <v>487</v>
      </c>
      <c r="Z1109" s="3" t="n">
        <v>135</v>
      </c>
      <c r="AA1109" s="3" t="n">
        <v>0.55</v>
      </c>
      <c r="AB1109" s="3" t="n">
        <v>10.6</v>
      </c>
      <c r="AC1109" s="3" t="n">
        <v>1</v>
      </c>
      <c r="AD1109" s="3" t="n">
        <v>1</v>
      </c>
      <c r="AE1109" s="3" t="n">
        <v>1</v>
      </c>
      <c r="AF1109" s="3" t="n">
        <v>1</v>
      </c>
      <c r="AG1109" s="3" t="n">
        <v>1</v>
      </c>
      <c r="AH1109" s="3" t="n">
        <v>2</v>
      </c>
      <c r="AI1109" s="3" t="n">
        <v>1</v>
      </c>
      <c r="AJ1109" s="3" t="n">
        <v>1</v>
      </c>
      <c r="AK1109" s="3" t="n">
        <v>2</v>
      </c>
      <c r="AL1109" s="3" t="n">
        <v>2</v>
      </c>
      <c r="AM1109" s="3" t="n">
        <v>1</v>
      </c>
      <c r="AN1109" s="3" t="n">
        <v>2</v>
      </c>
      <c r="AO1109" s="3" t="n">
        <v>2</v>
      </c>
      <c r="AP1109" s="3" t="n">
        <v>3</v>
      </c>
      <c r="AQ1109" s="3" t="n">
        <v>4</v>
      </c>
      <c r="AR1109" s="3" t="n">
        <v>4</v>
      </c>
      <c r="AS1109" s="3" t="n">
        <v>6</v>
      </c>
      <c r="AT1109" s="3" t="n">
        <v>4</v>
      </c>
      <c r="AU1109" s="3" t="n">
        <v>4</v>
      </c>
      <c r="AV1109" s="3" t="n">
        <v>6</v>
      </c>
      <c r="AW1109" s="3" t="n">
        <v>6</v>
      </c>
      <c r="AX1109" s="3" t="n">
        <v>3</v>
      </c>
      <c r="AY1109" s="3" t="n">
        <v>3</v>
      </c>
      <c r="AZ1109" s="3" t="n">
        <v>1</v>
      </c>
      <c r="BA1109" s="5" t="n">
        <v>1</v>
      </c>
      <c r="BB1109" s="3" t="n">
        <v>1</v>
      </c>
      <c r="BC1109" s="3" t="n">
        <v>1</v>
      </c>
      <c r="BD1109" s="3" t="n">
        <v>2</v>
      </c>
      <c r="BE1109" s="3" t="n">
        <v>1</v>
      </c>
      <c r="BF1109" s="3" t="n">
        <v>2</v>
      </c>
      <c r="BG1109" s="3" t="n">
        <v>2</v>
      </c>
      <c r="BH1109" s="3" t="n">
        <v>4</v>
      </c>
      <c r="BI1109" s="3" t="n">
        <v>1</v>
      </c>
      <c r="BJ1109" s="3" t="n">
        <v>1</v>
      </c>
      <c r="BK1109" s="6" t="s">
        <v>2796</v>
      </c>
    </row>
    <row r="1110" s="30" customFormat="true" ht="15" hidden="false" customHeight="true" outlineLevel="0" collapsed="false">
      <c r="A1110" s="24"/>
      <c r="B1110" s="26" t="s">
        <v>2036</v>
      </c>
      <c r="C1110" s="26" t="s">
        <v>2281</v>
      </c>
      <c r="D1110" s="26" t="s">
        <v>78</v>
      </c>
      <c r="E1110" s="26" t="n">
        <v>208611</v>
      </c>
      <c r="F1110" s="27" t="n">
        <v>44224</v>
      </c>
      <c r="G1110" s="27" t="n">
        <v>44229</v>
      </c>
      <c r="H1110" s="30" t="n">
        <v>5</v>
      </c>
      <c r="I1110" s="30" t="n">
        <v>2</v>
      </c>
      <c r="J1110" s="30" t="n">
        <v>92</v>
      </c>
      <c r="K1110" s="30" t="n">
        <v>2</v>
      </c>
      <c r="L1110" s="30" t="n">
        <v>2</v>
      </c>
      <c r="M1110" s="30" t="n">
        <v>1</v>
      </c>
      <c r="N1110" s="30" t="n">
        <v>2</v>
      </c>
      <c r="O1110" s="30" t="n">
        <v>2</v>
      </c>
      <c r="P1110" s="30" t="n">
        <v>2</v>
      </c>
      <c r="Q1110" s="30" t="n">
        <v>2</v>
      </c>
      <c r="R1110" s="30" t="n">
        <v>2</v>
      </c>
      <c r="S1110" s="30" t="n">
        <v>2</v>
      </c>
      <c r="T1110" s="4" t="n">
        <v>4</v>
      </c>
      <c r="U1110" s="30" t="n">
        <v>4</v>
      </c>
      <c r="V1110" s="30" t="n">
        <v>4.53</v>
      </c>
      <c r="W1110" s="30" t="n">
        <v>0.83</v>
      </c>
      <c r="X1110" s="30" t="n">
        <v>4.68</v>
      </c>
      <c r="Y1110" s="30" t="n">
        <v>352</v>
      </c>
      <c r="Z1110" s="30" t="n">
        <v>127</v>
      </c>
      <c r="AA1110" s="30" t="n">
        <v>0.42</v>
      </c>
      <c r="AB1110" s="30" t="n">
        <v>10.6</v>
      </c>
      <c r="AC1110" s="30" t="n">
        <v>2</v>
      </c>
      <c r="AD1110" s="30" t="n">
        <v>2</v>
      </c>
      <c r="AE1110" s="30" t="n">
        <v>2</v>
      </c>
      <c r="AF1110" s="30" t="n">
        <v>2</v>
      </c>
      <c r="AG1110" s="30" t="n">
        <v>2</v>
      </c>
      <c r="AH1110" s="30" t="n">
        <v>1</v>
      </c>
      <c r="AI1110" s="30" t="n">
        <v>2</v>
      </c>
      <c r="AJ1110" s="30" t="n">
        <v>2</v>
      </c>
      <c r="AK1110" s="30" t="n">
        <v>2</v>
      </c>
      <c r="AL1110" s="30" t="n">
        <v>2</v>
      </c>
      <c r="AM1110" s="30" t="n">
        <v>2</v>
      </c>
      <c r="AN1110" s="30" t="n">
        <v>2</v>
      </c>
      <c r="AO1110" s="30" t="n">
        <v>2</v>
      </c>
      <c r="AP1110" s="30" t="n">
        <v>3</v>
      </c>
      <c r="AQ1110" s="30" t="n">
        <v>4</v>
      </c>
      <c r="AR1110" s="30" t="n">
        <v>4</v>
      </c>
      <c r="AS1110" s="30" t="n">
        <v>6</v>
      </c>
      <c r="AT1110" s="30" t="n">
        <v>4</v>
      </c>
      <c r="AU1110" s="30" t="n">
        <v>4</v>
      </c>
      <c r="AV1110" s="30" t="n">
        <v>6</v>
      </c>
      <c r="AW1110" s="30" t="n">
        <v>6</v>
      </c>
      <c r="AX1110" s="30" t="n">
        <v>3</v>
      </c>
      <c r="AY1110" s="30" t="n">
        <v>3</v>
      </c>
      <c r="AZ1110" s="30" t="n">
        <v>1</v>
      </c>
      <c r="BA1110" s="5" t="n">
        <v>10</v>
      </c>
      <c r="BB1110" s="30" t="n">
        <v>2</v>
      </c>
      <c r="BC1110" s="30" t="n">
        <v>2</v>
      </c>
      <c r="BD1110" s="30" t="n">
        <v>6</v>
      </c>
      <c r="BE1110" s="30" t="n">
        <v>3</v>
      </c>
      <c r="BF1110" s="30" t="n">
        <v>5</v>
      </c>
      <c r="BG1110" s="30" t="n">
        <v>3</v>
      </c>
      <c r="BH1110" s="30" t="n">
        <v>4</v>
      </c>
      <c r="BI1110" s="30" t="n">
        <v>1</v>
      </c>
      <c r="BJ1110" s="30" t="n">
        <v>1</v>
      </c>
      <c r="BK1110" s="31" t="s">
        <v>2797</v>
      </c>
    </row>
    <row r="1111" customFormat="false" ht="15" hidden="false" customHeight="true" outlineLevel="0" collapsed="false">
      <c r="B1111" s="2" t="s">
        <v>380</v>
      </c>
      <c r="C1111" s="2" t="s">
        <v>510</v>
      </c>
      <c r="D1111" s="2" t="s">
        <v>118</v>
      </c>
      <c r="E1111" s="2" t="n">
        <v>208725</v>
      </c>
      <c r="F1111" s="15" t="n">
        <v>44224</v>
      </c>
      <c r="G1111" s="15" t="n">
        <v>44229</v>
      </c>
      <c r="H1111" s="3" t="n">
        <v>5</v>
      </c>
      <c r="I1111" s="3" t="n">
        <v>2</v>
      </c>
      <c r="J1111" s="3" t="n">
        <v>80</v>
      </c>
      <c r="K1111" s="3" t="n">
        <v>1</v>
      </c>
      <c r="L1111" s="3" t="n">
        <v>2</v>
      </c>
      <c r="M1111" s="3" t="n">
        <v>1</v>
      </c>
      <c r="N1111" s="3" t="n">
        <v>2</v>
      </c>
      <c r="O1111" s="3" t="n">
        <v>2</v>
      </c>
      <c r="P1111" s="3" t="n">
        <v>2</v>
      </c>
      <c r="Q1111" s="3" t="n">
        <v>2</v>
      </c>
      <c r="R1111" s="3" t="n">
        <v>2</v>
      </c>
      <c r="S1111" s="3" t="n">
        <v>2</v>
      </c>
      <c r="T1111" s="4" t="n">
        <v>1</v>
      </c>
      <c r="U1111" s="3" t="n">
        <v>1</v>
      </c>
      <c r="AC1111" s="3" t="n">
        <v>1</v>
      </c>
      <c r="AD1111" s="3" t="n">
        <v>1</v>
      </c>
      <c r="AE1111" s="3" t="n">
        <v>1</v>
      </c>
      <c r="AF1111" s="3" t="n">
        <v>1</v>
      </c>
      <c r="AG1111" s="3" t="n">
        <v>2</v>
      </c>
      <c r="AH1111" s="3" t="n">
        <v>2</v>
      </c>
      <c r="AI1111" s="3" t="n">
        <v>1</v>
      </c>
      <c r="AJ1111" s="3" t="n">
        <v>1</v>
      </c>
      <c r="AK1111" s="3" t="n">
        <v>2</v>
      </c>
      <c r="AL1111" s="3" t="n">
        <v>2</v>
      </c>
      <c r="AM1111" s="3" t="n">
        <v>2</v>
      </c>
      <c r="AN1111" s="3" t="n">
        <v>2</v>
      </c>
      <c r="AO1111" s="3" t="n">
        <v>2</v>
      </c>
      <c r="AP1111" s="3" t="n">
        <v>3</v>
      </c>
      <c r="AQ1111" s="3" t="n">
        <v>4</v>
      </c>
      <c r="AR1111" s="3" t="n">
        <v>4</v>
      </c>
      <c r="AS1111" s="3" t="n">
        <v>6</v>
      </c>
      <c r="AT1111" s="3" t="n">
        <v>4</v>
      </c>
      <c r="AU1111" s="3" t="n">
        <v>4</v>
      </c>
      <c r="AV1111" s="3" t="n">
        <v>6</v>
      </c>
      <c r="AW1111" s="3" t="n">
        <v>6</v>
      </c>
      <c r="AX1111" s="3" t="n">
        <v>3</v>
      </c>
      <c r="AY1111" s="3" t="n">
        <v>3</v>
      </c>
      <c r="AZ1111" s="3" t="n">
        <v>1</v>
      </c>
      <c r="BA1111" s="5" t="n">
        <v>5</v>
      </c>
      <c r="BB1111" s="3" t="n">
        <v>2</v>
      </c>
      <c r="BC1111" s="3" t="n">
        <v>1</v>
      </c>
      <c r="BD1111" s="3" t="n">
        <v>6</v>
      </c>
      <c r="BE1111" s="3" t="n">
        <v>3</v>
      </c>
      <c r="BF1111" s="3" t="n">
        <v>5</v>
      </c>
      <c r="BG1111" s="3" t="n">
        <v>3</v>
      </c>
      <c r="BH1111" s="3" t="n">
        <v>4</v>
      </c>
      <c r="BI1111" s="3" t="n">
        <v>1</v>
      </c>
      <c r="BJ1111" s="3" t="n">
        <v>1</v>
      </c>
      <c r="BK1111" s="6" t="s">
        <v>1292</v>
      </c>
    </row>
    <row r="1112" customFormat="false" ht="15" hidden="false" customHeight="true" outlineLevel="0" collapsed="false">
      <c r="B1112" s="2" t="s">
        <v>2798</v>
      </c>
      <c r="C1112" s="2" t="s">
        <v>95</v>
      </c>
      <c r="D1112" s="2" t="s">
        <v>95</v>
      </c>
      <c r="E1112" s="2" t="n">
        <v>208631</v>
      </c>
      <c r="F1112" s="15" t="n">
        <v>44220</v>
      </c>
      <c r="G1112" s="15" t="n">
        <v>44228</v>
      </c>
      <c r="H1112" s="3" t="n">
        <v>8</v>
      </c>
      <c r="I1112" s="3" t="n">
        <v>2</v>
      </c>
      <c r="J1112" s="3" t="n">
        <v>65</v>
      </c>
      <c r="K1112" s="3" t="n">
        <v>2</v>
      </c>
      <c r="L1112" s="3" t="n">
        <v>1</v>
      </c>
      <c r="M1112" s="3" t="n">
        <v>1</v>
      </c>
      <c r="N1112" s="3" t="n">
        <v>2</v>
      </c>
      <c r="O1112" s="3" t="n">
        <v>2</v>
      </c>
      <c r="P1112" s="3" t="n">
        <v>2</v>
      </c>
      <c r="Q1112" s="3" t="n">
        <v>2</v>
      </c>
      <c r="R1112" s="3" t="n">
        <v>2</v>
      </c>
      <c r="S1112" s="3" t="n">
        <v>2</v>
      </c>
      <c r="T1112" s="4" t="n">
        <v>2</v>
      </c>
      <c r="U1112" s="3" t="n">
        <v>2</v>
      </c>
      <c r="V1112" s="3" t="n">
        <v>3.39</v>
      </c>
      <c r="W1112" s="3" t="n">
        <v>0.62</v>
      </c>
      <c r="X1112" s="3" t="n">
        <v>4.52</v>
      </c>
      <c r="Y1112" s="3" t="n">
        <v>375</v>
      </c>
      <c r="Z1112" s="3" t="n">
        <v>72</v>
      </c>
      <c r="AA1112" s="3" t="n">
        <v>0.45</v>
      </c>
      <c r="AB1112" s="3" t="n">
        <v>6.9</v>
      </c>
      <c r="AD1112" s="3" t="n">
        <v>2</v>
      </c>
      <c r="AE1112" s="3" t="n">
        <v>1</v>
      </c>
      <c r="AF1112" s="3" t="n">
        <v>1</v>
      </c>
      <c r="AG1112" s="3" t="n">
        <v>2</v>
      </c>
      <c r="AH1112" s="3" t="n">
        <v>1</v>
      </c>
      <c r="AI1112" s="3" t="n">
        <v>1</v>
      </c>
      <c r="AJ1112" s="3" t="n">
        <v>2</v>
      </c>
      <c r="AK1112" s="3" t="n">
        <v>2</v>
      </c>
      <c r="AL1112" s="3" t="n">
        <v>2</v>
      </c>
      <c r="AM1112" s="3" t="n">
        <v>2</v>
      </c>
      <c r="AN1112" s="3" t="n">
        <v>2</v>
      </c>
      <c r="AO1112" s="3" t="n">
        <v>2</v>
      </c>
      <c r="AP1112" s="3" t="n">
        <v>3</v>
      </c>
      <c r="AQ1112" s="3" t="n">
        <v>4</v>
      </c>
      <c r="AR1112" s="3" t="n">
        <v>4</v>
      </c>
      <c r="AS1112" s="3" t="n">
        <v>6</v>
      </c>
      <c r="AT1112" s="3" t="n">
        <v>4</v>
      </c>
      <c r="AU1112" s="3" t="n">
        <v>4</v>
      </c>
      <c r="AV1112" s="3" t="n">
        <v>6</v>
      </c>
      <c r="AW1112" s="3" t="n">
        <v>6</v>
      </c>
      <c r="AX1112" s="3" t="n">
        <v>3</v>
      </c>
      <c r="AY1112" s="3" t="n">
        <v>3</v>
      </c>
      <c r="AZ1112" s="3" t="n">
        <v>1</v>
      </c>
      <c r="BA1112" s="5" t="n">
        <v>1</v>
      </c>
      <c r="BB1112" s="3" t="n">
        <v>1</v>
      </c>
      <c r="BC1112" s="3" t="n">
        <v>1</v>
      </c>
      <c r="BD1112" s="3" t="n">
        <v>2</v>
      </c>
      <c r="BE1112" s="3" t="n">
        <v>3</v>
      </c>
      <c r="BF1112" s="3" t="n">
        <v>5</v>
      </c>
      <c r="BG1112" s="3" t="n">
        <v>3</v>
      </c>
      <c r="BH1112" s="3" t="n">
        <v>4</v>
      </c>
      <c r="BI1112" s="3" t="n">
        <v>1</v>
      </c>
      <c r="BJ1112" s="3" t="n">
        <v>1</v>
      </c>
      <c r="BK1112" s="6" t="s">
        <v>2799</v>
      </c>
    </row>
    <row r="1113" customFormat="false" ht="15" hidden="false" customHeight="true" outlineLevel="0" collapsed="false">
      <c r="B1113" s="2" t="s">
        <v>274</v>
      </c>
      <c r="C1113" s="2" t="s">
        <v>2800</v>
      </c>
      <c r="D1113" s="2" t="s">
        <v>494</v>
      </c>
      <c r="E1113" s="2" t="n">
        <v>208707</v>
      </c>
      <c r="F1113" s="15" t="n">
        <v>44223</v>
      </c>
      <c r="G1113" s="15" t="n">
        <v>44228</v>
      </c>
      <c r="H1113" s="3" t="n">
        <v>5</v>
      </c>
      <c r="I1113" s="3" t="n">
        <v>2</v>
      </c>
      <c r="J1113" s="3" t="n">
        <v>70</v>
      </c>
      <c r="K1113" s="3" t="n">
        <v>1</v>
      </c>
      <c r="L1113" s="3" t="n">
        <v>2</v>
      </c>
      <c r="M1113" s="3" t="n">
        <v>1</v>
      </c>
      <c r="N1113" s="3" t="n">
        <v>2</v>
      </c>
      <c r="O1113" s="3" t="n">
        <v>2</v>
      </c>
      <c r="P1113" s="3" t="n">
        <v>2</v>
      </c>
      <c r="Q1113" s="3" t="n">
        <v>2</v>
      </c>
      <c r="R1113" s="3" t="n">
        <v>2</v>
      </c>
      <c r="S1113" s="3" t="n">
        <v>2</v>
      </c>
      <c r="T1113" s="4" t="n">
        <v>1</v>
      </c>
      <c r="U1113" s="3" t="n">
        <v>1</v>
      </c>
      <c r="AA1113" s="3" t="n">
        <v>0.42</v>
      </c>
      <c r="AB1113" s="3" t="n">
        <v>9.1</v>
      </c>
      <c r="AC1113" s="3" t="n">
        <v>1</v>
      </c>
      <c r="AD1113" s="3" t="n">
        <v>1</v>
      </c>
      <c r="AE1113" s="3" t="n">
        <v>1</v>
      </c>
      <c r="AF1113" s="3" t="n">
        <v>1</v>
      </c>
      <c r="AG1113" s="3" t="n">
        <v>2</v>
      </c>
      <c r="AH1113" s="3" t="n">
        <v>1</v>
      </c>
      <c r="AI1113" s="3" t="n">
        <v>1</v>
      </c>
      <c r="AJ1113" s="3" t="n">
        <v>1</v>
      </c>
      <c r="AK1113" s="3" t="n">
        <v>2</v>
      </c>
      <c r="AL1113" s="3" t="n">
        <v>2</v>
      </c>
      <c r="AM1113" s="3" t="n">
        <v>2</v>
      </c>
      <c r="AN1113" s="3" t="n">
        <v>2</v>
      </c>
      <c r="AO1113" s="3" t="n">
        <v>2</v>
      </c>
      <c r="AP1113" s="3" t="n">
        <v>3</v>
      </c>
      <c r="AQ1113" s="3" t="n">
        <v>4</v>
      </c>
      <c r="AR1113" s="3" t="n">
        <v>4</v>
      </c>
      <c r="AS1113" s="3" t="n">
        <v>6</v>
      </c>
      <c r="AT1113" s="3" t="n">
        <v>4</v>
      </c>
      <c r="AU1113" s="3" t="n">
        <v>4</v>
      </c>
      <c r="AV1113" s="3" t="n">
        <v>6</v>
      </c>
      <c r="AW1113" s="3" t="n">
        <v>6</v>
      </c>
      <c r="AX1113" s="3" t="n">
        <v>3</v>
      </c>
      <c r="AY1113" s="3" t="n">
        <v>3</v>
      </c>
      <c r="AZ1113" s="3" t="n">
        <v>1</v>
      </c>
      <c r="BA1113" s="5" t="n">
        <v>5</v>
      </c>
      <c r="BB1113" s="3" t="n">
        <v>2</v>
      </c>
      <c r="BC1113" s="3" t="n">
        <v>1</v>
      </c>
      <c r="BD1113" s="3" t="n">
        <v>6</v>
      </c>
      <c r="BE1113" s="3" t="n">
        <v>3</v>
      </c>
      <c r="BF1113" s="3" t="n">
        <v>5</v>
      </c>
      <c r="BG1113" s="3" t="n">
        <v>3</v>
      </c>
      <c r="BH1113" s="3" t="n">
        <v>4</v>
      </c>
      <c r="BI1113" s="3" t="n">
        <v>1</v>
      </c>
      <c r="BJ1113" s="3" t="n">
        <v>1</v>
      </c>
      <c r="BK1113" s="6" t="s">
        <v>2801</v>
      </c>
    </row>
    <row r="1114" customFormat="false" ht="15" hidden="false" customHeight="true" outlineLevel="0" collapsed="false">
      <c r="A1114" s="1" t="s">
        <v>2802</v>
      </c>
      <c r="B1114" s="2" t="s">
        <v>2070</v>
      </c>
      <c r="C1114" s="2" t="s">
        <v>168</v>
      </c>
      <c r="D1114" s="2" t="s">
        <v>386</v>
      </c>
      <c r="E1114" s="2" t="n">
        <v>195259</v>
      </c>
      <c r="F1114" s="15" t="n">
        <v>44223</v>
      </c>
      <c r="G1114" s="15" t="n">
        <v>44229</v>
      </c>
      <c r="H1114" s="3" t="n">
        <v>6</v>
      </c>
      <c r="I1114" s="3" t="n">
        <v>1</v>
      </c>
      <c r="J1114" s="3" t="n">
        <v>67</v>
      </c>
      <c r="K1114" s="3" t="n">
        <v>2</v>
      </c>
      <c r="L1114" s="3" t="n">
        <v>2</v>
      </c>
      <c r="M1114" s="3" t="n">
        <v>1</v>
      </c>
      <c r="N1114" s="3" t="n">
        <v>1</v>
      </c>
      <c r="O1114" s="3" t="n">
        <v>2</v>
      </c>
      <c r="P1114" s="3" t="n">
        <v>2</v>
      </c>
      <c r="Q1114" s="3" t="n">
        <v>1</v>
      </c>
      <c r="R1114" s="3" t="n">
        <v>2</v>
      </c>
      <c r="S1114" s="3" t="n">
        <v>2</v>
      </c>
      <c r="T1114" s="4" t="n">
        <v>12</v>
      </c>
      <c r="U1114" s="3" t="n">
        <v>4</v>
      </c>
      <c r="V1114" s="3" t="n">
        <v>4.97</v>
      </c>
      <c r="W1114" s="3" t="n">
        <v>1.79</v>
      </c>
      <c r="X1114" s="3" t="n">
        <v>4.54</v>
      </c>
      <c r="Y1114" s="3" t="n">
        <v>462</v>
      </c>
      <c r="Z1114" s="3" t="n">
        <v>107</v>
      </c>
      <c r="AA1114" s="3" t="n">
        <v>0.48</v>
      </c>
      <c r="AB1114" s="3" t="n">
        <v>8.2</v>
      </c>
      <c r="AC1114" s="3" t="n">
        <v>1</v>
      </c>
      <c r="AD1114" s="3" t="n">
        <v>1</v>
      </c>
      <c r="AE1114" s="3" t="n">
        <v>2</v>
      </c>
      <c r="AF1114" s="3" t="n">
        <v>1</v>
      </c>
      <c r="AG1114" s="3" t="n">
        <v>1</v>
      </c>
      <c r="AH1114" s="3" t="n">
        <v>1</v>
      </c>
      <c r="AI1114" s="3" t="n">
        <v>2</v>
      </c>
      <c r="AJ1114" s="3" t="n">
        <v>1</v>
      </c>
      <c r="AK1114" s="3" t="n">
        <v>2</v>
      </c>
      <c r="AL1114" s="3" t="n">
        <v>2</v>
      </c>
      <c r="AM1114" s="3" t="n">
        <v>2</v>
      </c>
      <c r="AN1114" s="3" t="n">
        <v>2</v>
      </c>
      <c r="AO1114" s="3" t="n">
        <v>2</v>
      </c>
      <c r="AP1114" s="3" t="n">
        <v>3</v>
      </c>
      <c r="AQ1114" s="3" t="n">
        <v>4</v>
      </c>
      <c r="AR1114" s="3" t="n">
        <v>4</v>
      </c>
      <c r="AS1114" s="3" t="n">
        <v>6</v>
      </c>
      <c r="AT1114" s="3" t="n">
        <v>4</v>
      </c>
      <c r="AU1114" s="3" t="n">
        <v>4</v>
      </c>
      <c r="AV1114" s="3" t="n">
        <v>6</v>
      </c>
      <c r="AW1114" s="3" t="n">
        <v>6</v>
      </c>
      <c r="AX1114" s="3" t="n">
        <v>3</v>
      </c>
      <c r="AY1114" s="3" t="n">
        <v>3</v>
      </c>
      <c r="AZ1114" s="3" t="n">
        <v>1</v>
      </c>
      <c r="BA1114" s="5" t="n">
        <v>3</v>
      </c>
      <c r="BB1114" s="3" t="n">
        <v>2</v>
      </c>
      <c r="BC1114" s="3" t="n">
        <v>1</v>
      </c>
      <c r="BD1114" s="3" t="n">
        <v>6</v>
      </c>
      <c r="BE1114" s="3" t="n">
        <v>3</v>
      </c>
      <c r="BF1114" s="3" t="n">
        <v>5</v>
      </c>
      <c r="BG1114" s="3" t="n">
        <v>3</v>
      </c>
      <c r="BH1114" s="3" t="n">
        <v>4</v>
      </c>
      <c r="BI1114" s="3" t="n">
        <v>1</v>
      </c>
      <c r="BJ1114" s="3" t="n">
        <v>1</v>
      </c>
      <c r="BK1114" s="21" t="s">
        <v>2803</v>
      </c>
    </row>
    <row r="1115" customFormat="false" ht="15" hidden="false" customHeight="true" outlineLevel="0" collapsed="false">
      <c r="B1115" s="2" t="s">
        <v>2804</v>
      </c>
      <c r="C1115" s="2" t="s">
        <v>2805</v>
      </c>
      <c r="D1115" s="2" t="s">
        <v>2806</v>
      </c>
      <c r="E1115" s="2" t="n">
        <v>208757</v>
      </c>
      <c r="F1115" s="15" t="n">
        <v>44225</v>
      </c>
      <c r="G1115" s="15" t="n">
        <v>44230</v>
      </c>
      <c r="H1115" s="3" t="n">
        <v>5</v>
      </c>
      <c r="I1115" s="3" t="n">
        <v>2</v>
      </c>
      <c r="J1115" s="3" t="n">
        <v>63</v>
      </c>
      <c r="K1115" s="3" t="n">
        <v>2</v>
      </c>
      <c r="L1115" s="3" t="n">
        <v>2</v>
      </c>
      <c r="M1115" s="3" t="n">
        <v>1</v>
      </c>
      <c r="N1115" s="3" t="n">
        <v>2</v>
      </c>
      <c r="O1115" s="3" t="n">
        <v>2</v>
      </c>
      <c r="P1115" s="3" t="n">
        <v>2</v>
      </c>
      <c r="Q1115" s="3" t="n">
        <v>1</v>
      </c>
      <c r="R1115" s="3" t="n">
        <v>2</v>
      </c>
      <c r="S1115" s="3" t="n">
        <v>1</v>
      </c>
      <c r="T1115" s="4" t="n">
        <v>1</v>
      </c>
      <c r="U1115" s="3" t="n">
        <v>1</v>
      </c>
      <c r="V1115" s="3" t="s">
        <v>2807</v>
      </c>
      <c r="W1115" s="3" t="s">
        <v>2808</v>
      </c>
      <c r="X1115" s="3" t="s">
        <v>2809</v>
      </c>
      <c r="Y1115" s="3" t="n">
        <v>305</v>
      </c>
      <c r="Z1115" s="3" t="n">
        <v>116</v>
      </c>
      <c r="AA1115" s="3" t="s">
        <v>1262</v>
      </c>
      <c r="AB1115" s="3" t="s">
        <v>2810</v>
      </c>
      <c r="AC1115" s="3" t="n">
        <v>1</v>
      </c>
      <c r="AD1115" s="3" t="n">
        <v>1</v>
      </c>
      <c r="AE1115" s="3" t="n">
        <v>1</v>
      </c>
      <c r="AF1115" s="3" t="n">
        <v>1</v>
      </c>
      <c r="AG1115" s="3" t="n">
        <v>2</v>
      </c>
      <c r="AH1115" s="3" t="n">
        <v>1</v>
      </c>
      <c r="AI1115" s="3" t="n">
        <v>1</v>
      </c>
      <c r="AJ1115" s="3" t="n">
        <v>1</v>
      </c>
      <c r="AK1115" s="3" t="n">
        <v>2</v>
      </c>
      <c r="AL1115" s="3" t="n">
        <v>2</v>
      </c>
      <c r="AM1115" s="3" t="n">
        <v>2</v>
      </c>
      <c r="AN1115" s="3" t="n">
        <v>2</v>
      </c>
      <c r="AO1115" s="3" t="n">
        <v>2</v>
      </c>
      <c r="AP1115" s="3" t="n">
        <v>1</v>
      </c>
      <c r="AQ1115" s="3" t="n">
        <v>2</v>
      </c>
      <c r="AR1115" s="3" t="n">
        <v>5</v>
      </c>
      <c r="AS1115" s="3" t="n">
        <v>2</v>
      </c>
      <c r="AT1115" s="3" t="n">
        <v>1</v>
      </c>
      <c r="AU1115" s="3" t="n">
        <v>1</v>
      </c>
      <c r="AV1115" s="3" t="n">
        <v>1</v>
      </c>
      <c r="AW1115" s="3" t="n">
        <v>1</v>
      </c>
      <c r="AX1115" s="3" t="n">
        <v>2</v>
      </c>
      <c r="AY1115" s="3" t="n">
        <v>2</v>
      </c>
      <c r="AZ1115" s="3" t="n">
        <v>1</v>
      </c>
      <c r="BA1115" s="5" t="n">
        <v>5</v>
      </c>
      <c r="BB1115" s="3" t="n">
        <v>2</v>
      </c>
      <c r="BC1115" s="3" t="n">
        <v>1</v>
      </c>
      <c r="BD1115" s="3" t="n">
        <v>6</v>
      </c>
      <c r="BE1115" s="3" t="n">
        <v>3</v>
      </c>
      <c r="BF1115" s="3" t="n">
        <v>5</v>
      </c>
      <c r="BG1115" s="3" t="n">
        <v>3</v>
      </c>
      <c r="BH1115" s="3" t="n">
        <v>4</v>
      </c>
      <c r="BI1115" s="3" t="n">
        <v>1</v>
      </c>
      <c r="BJ1115" s="3" t="n">
        <v>1</v>
      </c>
      <c r="BK1115" s="21" t="s">
        <v>2811</v>
      </c>
    </row>
    <row r="1116" customFormat="false" ht="15" hidden="false" customHeight="true" outlineLevel="0" collapsed="false">
      <c r="B1116" s="2" t="s">
        <v>2812</v>
      </c>
      <c r="C1116" s="2" t="s">
        <v>2234</v>
      </c>
      <c r="D1116" s="2" t="s">
        <v>2813</v>
      </c>
      <c r="E1116" s="2" t="n">
        <v>208753</v>
      </c>
      <c r="F1116" s="15" t="n">
        <v>44225</v>
      </c>
      <c r="G1116" s="15" t="n">
        <v>44231</v>
      </c>
      <c r="H1116" s="3" t="n">
        <v>6</v>
      </c>
      <c r="I1116" s="3" t="n">
        <v>1</v>
      </c>
      <c r="J1116" s="3" t="n">
        <v>54</v>
      </c>
      <c r="K1116" s="3" t="n">
        <v>1</v>
      </c>
      <c r="L1116" s="3" t="n">
        <v>2</v>
      </c>
      <c r="M1116" s="3" t="n">
        <v>1</v>
      </c>
      <c r="N1116" s="3" t="n">
        <v>2</v>
      </c>
      <c r="O1116" s="3" t="n">
        <v>2</v>
      </c>
      <c r="P1116" s="3" t="n">
        <v>2</v>
      </c>
      <c r="Q1116" s="3" t="n">
        <v>2</v>
      </c>
      <c r="R1116" s="3" t="n">
        <v>2</v>
      </c>
      <c r="S1116" s="3" t="n">
        <v>1</v>
      </c>
      <c r="T1116" s="4" t="n">
        <v>2</v>
      </c>
      <c r="U1116" s="3" t="n">
        <v>2</v>
      </c>
      <c r="V1116" s="3" t="n">
        <v>4.3</v>
      </c>
      <c r="W1116" s="3" t="n">
        <v>2.21</v>
      </c>
      <c r="X1116" s="3" t="n">
        <v>4.62</v>
      </c>
      <c r="Y1116" s="3" t="n">
        <v>323</v>
      </c>
      <c r="Z1116" s="3" t="n">
        <v>98</v>
      </c>
      <c r="AA1116" s="3" t="s">
        <v>1402</v>
      </c>
      <c r="AB1116" s="3" t="n">
        <v>10</v>
      </c>
      <c r="AC1116" s="3" t="n">
        <v>1</v>
      </c>
      <c r="AD1116" s="3" t="n">
        <v>2</v>
      </c>
      <c r="AE1116" s="3" t="n">
        <v>1</v>
      </c>
      <c r="AF1116" s="3" t="n">
        <v>1</v>
      </c>
      <c r="AG1116" s="3" t="n">
        <v>2</v>
      </c>
      <c r="AH1116" s="3" t="n">
        <v>2</v>
      </c>
      <c r="AI1116" s="3" t="n">
        <v>1</v>
      </c>
      <c r="AJ1116" s="3" t="n">
        <v>1</v>
      </c>
      <c r="AK1116" s="3" t="n">
        <v>2</v>
      </c>
      <c r="AL1116" s="3" t="n">
        <v>2</v>
      </c>
      <c r="AM1116" s="3" t="n">
        <v>1</v>
      </c>
      <c r="AN1116" s="3" t="n">
        <v>2</v>
      </c>
      <c r="AO1116" s="3" t="n">
        <v>2</v>
      </c>
      <c r="AP1116" s="3" t="n">
        <v>3</v>
      </c>
      <c r="AQ1116" s="3" t="n">
        <v>4</v>
      </c>
      <c r="AR1116" s="3" t="n">
        <v>4</v>
      </c>
      <c r="AS1116" s="3" t="n">
        <v>6</v>
      </c>
      <c r="AT1116" s="3" t="n">
        <v>4</v>
      </c>
      <c r="AU1116" s="3" t="n">
        <v>4</v>
      </c>
      <c r="AV1116" s="3" t="n">
        <v>6</v>
      </c>
      <c r="AW1116" s="3" t="n">
        <v>6</v>
      </c>
      <c r="AX1116" s="3" t="n">
        <v>3</v>
      </c>
      <c r="AY1116" s="3" t="n">
        <v>3</v>
      </c>
      <c r="AZ1116" s="3" t="n">
        <v>1</v>
      </c>
      <c r="BA1116" s="5" t="n">
        <v>5</v>
      </c>
      <c r="BB1116" s="3" t="n">
        <v>2</v>
      </c>
      <c r="BC1116" s="3" t="n">
        <v>1</v>
      </c>
      <c r="BD1116" s="3" t="n">
        <v>5</v>
      </c>
      <c r="BE1116" s="3" t="n">
        <v>1</v>
      </c>
      <c r="BF1116" s="3" t="n">
        <v>2</v>
      </c>
      <c r="BG1116" s="3" t="n">
        <v>4</v>
      </c>
      <c r="BH1116" s="3" t="n">
        <v>4</v>
      </c>
      <c r="BI1116" s="3" t="n">
        <v>1</v>
      </c>
      <c r="BJ1116" s="3" t="n">
        <v>1</v>
      </c>
      <c r="BK1116" s="21" t="s">
        <v>2814</v>
      </c>
    </row>
    <row r="1117" customFormat="false" ht="15" hidden="false" customHeight="true" outlineLevel="0" collapsed="false">
      <c r="B1117" s="2" t="s">
        <v>1890</v>
      </c>
      <c r="C1117" s="2" t="s">
        <v>127</v>
      </c>
      <c r="D1117" s="2" t="s">
        <v>386</v>
      </c>
      <c r="E1117" s="2" t="n">
        <v>208774</v>
      </c>
      <c r="F1117" s="15" t="n">
        <v>44226</v>
      </c>
      <c r="G1117" s="15" t="n">
        <v>44232</v>
      </c>
      <c r="H1117" s="3" t="n">
        <v>7</v>
      </c>
      <c r="I1117" s="3" t="n">
        <v>2</v>
      </c>
      <c r="J1117" s="3" t="n">
        <v>49</v>
      </c>
      <c r="K1117" s="3" t="n">
        <v>1</v>
      </c>
      <c r="L1117" s="3" t="n">
        <v>1</v>
      </c>
      <c r="M1117" s="3" t="n">
        <v>2</v>
      </c>
      <c r="N1117" s="3" t="n">
        <v>2</v>
      </c>
      <c r="O1117" s="3" t="n">
        <v>2</v>
      </c>
      <c r="P1117" s="3" t="n">
        <v>2</v>
      </c>
      <c r="Q1117" s="3" t="n">
        <v>2</v>
      </c>
      <c r="R1117" s="3" t="n">
        <v>2</v>
      </c>
      <c r="S1117" s="3" t="n">
        <v>2</v>
      </c>
      <c r="T1117" s="4" t="n">
        <v>2</v>
      </c>
      <c r="U1117" s="3" t="n">
        <v>2</v>
      </c>
      <c r="V1117" s="3" t="n">
        <v>4.8</v>
      </c>
      <c r="W1117" s="3" t="n">
        <v>2.59</v>
      </c>
      <c r="X1117" s="3" t="n">
        <v>3.72</v>
      </c>
      <c r="Y1117" s="3" t="n">
        <v>413</v>
      </c>
      <c r="Z1117" s="3" t="n">
        <v>78</v>
      </c>
      <c r="AA1117" s="3" t="n">
        <v>0.52</v>
      </c>
      <c r="AB1117" s="3" t="n">
        <v>12.9</v>
      </c>
      <c r="AC1117" s="3" t="n">
        <v>2</v>
      </c>
      <c r="AD1117" s="3" t="n">
        <v>2</v>
      </c>
      <c r="AE1117" s="3" t="n">
        <v>2</v>
      </c>
      <c r="AF1117" s="3" t="n">
        <v>1</v>
      </c>
      <c r="AG1117" s="3" t="n">
        <v>1</v>
      </c>
      <c r="AH1117" s="3" t="n">
        <v>2</v>
      </c>
      <c r="AI1117" s="3" t="n">
        <v>1</v>
      </c>
      <c r="AJ1117" s="3" t="n">
        <v>1</v>
      </c>
      <c r="AK1117" s="3" t="n">
        <v>2</v>
      </c>
      <c r="AL1117" s="3" t="n">
        <v>2</v>
      </c>
      <c r="AM1117" s="3" t="n">
        <v>1</v>
      </c>
      <c r="AN1117" s="3" t="n">
        <v>2</v>
      </c>
      <c r="AO1117" s="3" t="n">
        <v>2</v>
      </c>
      <c r="AP1117" s="3" t="n">
        <v>3</v>
      </c>
      <c r="AQ1117" s="3" t="n">
        <v>4</v>
      </c>
      <c r="AR1117" s="3" t="n">
        <v>4</v>
      </c>
      <c r="AS1117" s="3" t="n">
        <v>6</v>
      </c>
      <c r="AT1117" s="3" t="n">
        <v>4</v>
      </c>
      <c r="AU1117" s="3" t="n">
        <v>4</v>
      </c>
      <c r="AV1117" s="3" t="n">
        <v>6</v>
      </c>
      <c r="AW1117" s="3" t="n">
        <v>6</v>
      </c>
      <c r="AX1117" s="3" t="n">
        <v>3</v>
      </c>
      <c r="AY1117" s="3" t="n">
        <v>3</v>
      </c>
      <c r="AZ1117" s="3" t="n">
        <v>1</v>
      </c>
      <c r="BA1117" s="5" t="n">
        <v>1</v>
      </c>
      <c r="BB1117" s="3" t="n">
        <v>1</v>
      </c>
      <c r="BC1117" s="3" t="n">
        <v>1</v>
      </c>
      <c r="BD1117" s="3" t="n">
        <v>2</v>
      </c>
      <c r="BE1117" s="3" t="n">
        <v>1</v>
      </c>
      <c r="BF1117" s="3" t="n">
        <v>2</v>
      </c>
      <c r="BG1117" s="3" t="n">
        <v>1</v>
      </c>
      <c r="BH1117" s="3" t="n">
        <v>4</v>
      </c>
      <c r="BI1117" s="3" t="n">
        <v>1</v>
      </c>
      <c r="BJ1117" s="3" t="n">
        <v>1</v>
      </c>
      <c r="BK1117" s="6" t="s">
        <v>2815</v>
      </c>
    </row>
    <row r="1118" customFormat="false" ht="15" hidden="false" customHeight="true" outlineLevel="0" collapsed="false">
      <c r="B1118" s="2" t="s">
        <v>918</v>
      </c>
      <c r="C1118" s="2" t="s">
        <v>2816</v>
      </c>
      <c r="D1118" s="2" t="s">
        <v>95</v>
      </c>
      <c r="E1118" s="2" t="n">
        <v>208606</v>
      </c>
      <c r="F1118" s="15" t="n">
        <v>44219</v>
      </c>
      <c r="G1118" s="15" t="n">
        <v>44232</v>
      </c>
      <c r="H1118" s="3" t="n">
        <v>12</v>
      </c>
      <c r="I1118" s="3" t="n">
        <v>1</v>
      </c>
      <c r="J1118" s="3" t="n">
        <v>57</v>
      </c>
      <c r="K1118" s="3" t="n">
        <v>1</v>
      </c>
      <c r="L1118" s="3" t="n">
        <v>2</v>
      </c>
      <c r="M1118" s="3" t="n">
        <v>1</v>
      </c>
      <c r="N1118" s="3" t="n">
        <v>2</v>
      </c>
      <c r="O1118" s="3" t="n">
        <v>2</v>
      </c>
      <c r="P1118" s="3" t="n">
        <v>2</v>
      </c>
      <c r="Q1118" s="3" t="n">
        <v>2</v>
      </c>
      <c r="R1118" s="3" t="n">
        <v>2</v>
      </c>
      <c r="S1118" s="3" t="n">
        <v>2</v>
      </c>
      <c r="T1118" s="4" t="n">
        <v>11</v>
      </c>
      <c r="U1118" s="3" t="n">
        <v>1</v>
      </c>
      <c r="V1118" s="3" t="n">
        <v>4.45</v>
      </c>
      <c r="W1118" s="3" t="n">
        <v>1.73</v>
      </c>
      <c r="X1118" s="3" t="n">
        <v>5.59</v>
      </c>
      <c r="Y1118" s="3" t="n">
        <v>558</v>
      </c>
      <c r="Z1118" s="3" t="n">
        <v>117</v>
      </c>
      <c r="AA1118" s="3" t="n">
        <v>0.4</v>
      </c>
      <c r="AB1118" s="3" t="n">
        <v>7.5</v>
      </c>
      <c r="AC1118" s="3" t="n">
        <v>1</v>
      </c>
      <c r="AD1118" s="3" t="n">
        <v>2</v>
      </c>
      <c r="AE1118" s="3" t="n">
        <v>1</v>
      </c>
      <c r="AF1118" s="3" t="n">
        <v>1</v>
      </c>
      <c r="AG1118" s="3" t="n">
        <v>1</v>
      </c>
      <c r="AH1118" s="3" t="n">
        <v>2</v>
      </c>
      <c r="AI1118" s="3" t="n">
        <v>1</v>
      </c>
      <c r="AJ1118" s="3" t="n">
        <v>1</v>
      </c>
      <c r="AK1118" s="3" t="n">
        <v>2</v>
      </c>
      <c r="AL1118" s="3" t="n">
        <v>2</v>
      </c>
      <c r="AM1118" s="3" t="n">
        <v>1</v>
      </c>
      <c r="AN1118" s="3" t="n">
        <v>2</v>
      </c>
      <c r="AO1118" s="3" t="n">
        <v>2</v>
      </c>
      <c r="AP1118" s="3" t="n">
        <v>3</v>
      </c>
      <c r="AQ1118" s="3" t="n">
        <v>4</v>
      </c>
      <c r="AR1118" s="3" t="n">
        <v>4</v>
      </c>
      <c r="AS1118" s="3" t="n">
        <v>6</v>
      </c>
      <c r="AT1118" s="3" t="n">
        <v>4</v>
      </c>
      <c r="AU1118" s="3" t="n">
        <v>4</v>
      </c>
      <c r="AV1118" s="3" t="n">
        <v>6</v>
      </c>
      <c r="AW1118" s="3" t="n">
        <v>6</v>
      </c>
      <c r="AX1118" s="3" t="n">
        <v>3</v>
      </c>
      <c r="AY1118" s="3" t="n">
        <v>3</v>
      </c>
      <c r="AZ1118" s="3" t="n">
        <v>1</v>
      </c>
      <c r="BA1118" s="5" t="n">
        <v>7</v>
      </c>
      <c r="BB1118" s="3" t="n">
        <v>2</v>
      </c>
      <c r="BC1118" s="3" t="n">
        <v>1</v>
      </c>
      <c r="BD1118" s="3" t="n">
        <v>6</v>
      </c>
      <c r="BE1118" s="3" t="n">
        <v>3</v>
      </c>
      <c r="BF1118" s="3" t="n">
        <v>5</v>
      </c>
      <c r="BG1118" s="3" t="n">
        <v>3</v>
      </c>
      <c r="BH1118" s="3" t="n">
        <v>4</v>
      </c>
      <c r="BI1118" s="3" t="n">
        <v>1</v>
      </c>
      <c r="BJ1118" s="3" t="n">
        <v>1</v>
      </c>
      <c r="BK1118" s="6" t="s">
        <v>2817</v>
      </c>
    </row>
    <row r="1119" customFormat="false" ht="15" hidden="false" customHeight="true" outlineLevel="0" collapsed="false">
      <c r="B1119" s="17" t="s">
        <v>2818</v>
      </c>
      <c r="C1119" s="17" t="s">
        <v>127</v>
      </c>
      <c r="D1119" s="17" t="s">
        <v>386</v>
      </c>
      <c r="E1119" s="2" t="n">
        <v>208820</v>
      </c>
      <c r="F1119" s="15" t="n">
        <v>44228</v>
      </c>
      <c r="G1119" s="15" t="n">
        <v>44234</v>
      </c>
      <c r="H1119" s="3" t="n">
        <v>7</v>
      </c>
      <c r="I1119" s="3" t="n">
        <v>1</v>
      </c>
      <c r="J1119" s="3" t="n">
        <v>69</v>
      </c>
      <c r="K1119" s="3" t="n">
        <v>1</v>
      </c>
      <c r="L1119" s="3" t="n">
        <v>1</v>
      </c>
      <c r="M1119" s="3" t="n">
        <v>1</v>
      </c>
      <c r="N1119" s="3" t="n">
        <v>2</v>
      </c>
      <c r="O1119" s="3" t="n">
        <v>1</v>
      </c>
      <c r="P1119" s="3" t="n">
        <v>2</v>
      </c>
      <c r="Q1119" s="3" t="n">
        <v>2</v>
      </c>
      <c r="R1119" s="3" t="n">
        <v>2</v>
      </c>
      <c r="S1119" s="3" t="n">
        <v>2</v>
      </c>
      <c r="T1119" s="4" t="n">
        <v>2</v>
      </c>
      <c r="U1119" s="3" t="n">
        <v>2</v>
      </c>
      <c r="V1119" s="3" t="n">
        <v>5.28</v>
      </c>
      <c r="W1119" s="3" t="n">
        <v>2.45</v>
      </c>
      <c r="X1119" s="3" t="n">
        <v>6.66</v>
      </c>
      <c r="Y1119" s="3" t="n">
        <v>481</v>
      </c>
      <c r="Z1119" s="3" t="n">
        <v>90</v>
      </c>
      <c r="AA1119" s="3" t="n">
        <v>0.45</v>
      </c>
      <c r="AB1119" s="3" t="n">
        <v>10</v>
      </c>
      <c r="AC1119" s="3" t="n">
        <v>1</v>
      </c>
      <c r="AD1119" s="3" t="n">
        <v>2</v>
      </c>
      <c r="AE1119" s="3" t="n">
        <v>1</v>
      </c>
      <c r="AF1119" s="3" t="n">
        <v>1</v>
      </c>
      <c r="AG1119" s="3" t="n">
        <v>2</v>
      </c>
      <c r="AH1119" s="3" t="n">
        <v>2</v>
      </c>
      <c r="AI1119" s="3" t="n">
        <v>1</v>
      </c>
      <c r="AJ1119" s="3" t="n">
        <v>1</v>
      </c>
      <c r="AK1119" s="3" t="n">
        <v>2</v>
      </c>
      <c r="AL1119" s="3" t="n">
        <v>2</v>
      </c>
      <c r="AM1119" s="3" t="n">
        <v>1</v>
      </c>
      <c r="AN1119" s="3" t="n">
        <v>2</v>
      </c>
      <c r="AO1119" s="3" t="n">
        <v>2</v>
      </c>
      <c r="AP1119" s="3" t="n">
        <v>3</v>
      </c>
      <c r="AQ1119" s="3" t="n">
        <v>4</v>
      </c>
      <c r="AR1119" s="3" t="n">
        <v>4</v>
      </c>
      <c r="AS1119" s="3" t="n">
        <v>6</v>
      </c>
      <c r="AT1119" s="3" t="n">
        <v>4</v>
      </c>
      <c r="AU1119" s="3" t="n">
        <v>4</v>
      </c>
      <c r="AV1119" s="3" t="n">
        <v>6</v>
      </c>
      <c r="AW1119" s="3" t="n">
        <v>6</v>
      </c>
      <c r="AX1119" s="3" t="n">
        <v>3</v>
      </c>
      <c r="AY1119" s="3" t="n">
        <v>3</v>
      </c>
      <c r="AZ1119" s="3" t="n">
        <v>1</v>
      </c>
      <c r="BA1119" s="5" t="n">
        <v>1</v>
      </c>
      <c r="BB1119" s="3" t="n">
        <v>1</v>
      </c>
      <c r="BC1119" s="3" t="n">
        <v>1</v>
      </c>
      <c r="BD1119" s="3" t="n">
        <v>4</v>
      </c>
      <c r="BE1119" s="3" t="n">
        <v>3</v>
      </c>
      <c r="BF1119" s="3" t="n">
        <v>5</v>
      </c>
      <c r="BG1119" s="3" t="n">
        <v>3</v>
      </c>
      <c r="BH1119" s="3" t="n">
        <v>4</v>
      </c>
      <c r="BI1119" s="3" t="n">
        <v>1</v>
      </c>
      <c r="BJ1119" s="3" t="n">
        <v>1</v>
      </c>
      <c r="BK1119" s="21" t="s">
        <v>2819</v>
      </c>
    </row>
    <row r="1120" customFormat="false" ht="15" hidden="false" customHeight="true" outlineLevel="0" collapsed="false">
      <c r="B1120" s="17" t="s">
        <v>2820</v>
      </c>
      <c r="C1120" s="17" t="s">
        <v>1042</v>
      </c>
      <c r="D1120" s="17" t="s">
        <v>2821</v>
      </c>
      <c r="E1120" s="2" t="n">
        <v>208818</v>
      </c>
      <c r="F1120" s="15" t="n">
        <v>44228</v>
      </c>
      <c r="G1120" s="15" t="n">
        <v>44234</v>
      </c>
      <c r="H1120" s="3" t="n">
        <v>7</v>
      </c>
      <c r="I1120" s="3" t="n">
        <v>1</v>
      </c>
      <c r="J1120" s="3" t="n">
        <v>65</v>
      </c>
      <c r="K1120" s="3" t="n">
        <v>1</v>
      </c>
      <c r="L1120" s="3" t="n">
        <v>1</v>
      </c>
      <c r="M1120" s="3" t="n">
        <v>1</v>
      </c>
      <c r="N1120" s="3" t="n">
        <v>2</v>
      </c>
      <c r="O1120" s="3" t="n">
        <v>2</v>
      </c>
      <c r="P1120" s="3" t="n">
        <v>2</v>
      </c>
      <c r="Q1120" s="3" t="n">
        <v>2</v>
      </c>
      <c r="R1120" s="3" t="n">
        <v>2</v>
      </c>
      <c r="S1120" s="3" t="n">
        <v>2</v>
      </c>
      <c r="T1120" s="4" t="n">
        <v>2</v>
      </c>
      <c r="U1120" s="3" t="n">
        <v>2</v>
      </c>
      <c r="V1120" s="3" t="n">
        <v>4.44</v>
      </c>
      <c r="W1120" s="3" t="n">
        <v>1.25</v>
      </c>
      <c r="X1120" s="3" t="n">
        <v>5.12</v>
      </c>
      <c r="Y1120" s="3" t="n">
        <v>355</v>
      </c>
      <c r="Z1120" s="3" t="n">
        <v>98</v>
      </c>
      <c r="AA1120" s="3" t="n">
        <v>0.42</v>
      </c>
      <c r="AB1120" s="3" t="n">
        <v>12.3</v>
      </c>
      <c r="AC1120" s="3" t="n">
        <v>1</v>
      </c>
      <c r="AD1120" s="3" t="n">
        <v>2</v>
      </c>
      <c r="AE1120" s="3" t="n">
        <v>1</v>
      </c>
      <c r="AF1120" s="3" t="n">
        <v>1</v>
      </c>
      <c r="AG1120" s="3" t="n">
        <v>2</v>
      </c>
      <c r="AH1120" s="3" t="n">
        <v>2</v>
      </c>
      <c r="AI1120" s="3" t="n">
        <v>1</v>
      </c>
      <c r="AJ1120" s="3" t="n">
        <v>1</v>
      </c>
      <c r="AK1120" s="3" t="n">
        <v>2</v>
      </c>
      <c r="AL1120" s="3" t="n">
        <v>2</v>
      </c>
      <c r="AM1120" s="3" t="n">
        <v>1</v>
      </c>
      <c r="AN1120" s="3" t="n">
        <v>2</v>
      </c>
      <c r="AO1120" s="3" t="n">
        <v>2</v>
      </c>
      <c r="AP1120" s="3" t="n">
        <v>3</v>
      </c>
      <c r="AQ1120" s="3" t="n">
        <v>4</v>
      </c>
      <c r="AR1120" s="3" t="n">
        <v>4</v>
      </c>
      <c r="AS1120" s="3" t="n">
        <v>6</v>
      </c>
      <c r="AT1120" s="3" t="n">
        <v>4</v>
      </c>
      <c r="AU1120" s="3" t="n">
        <v>4</v>
      </c>
      <c r="AV1120" s="3" t="n">
        <v>6</v>
      </c>
      <c r="AW1120" s="3" t="n">
        <v>6</v>
      </c>
      <c r="AX1120" s="3" t="n">
        <v>3</v>
      </c>
      <c r="AY1120" s="3" t="n">
        <v>3</v>
      </c>
      <c r="AZ1120" s="3" t="n">
        <v>4</v>
      </c>
      <c r="BA1120" s="5" t="n">
        <v>1</v>
      </c>
      <c r="BB1120" s="3" t="n">
        <v>1</v>
      </c>
      <c r="BC1120" s="3" t="n">
        <v>1</v>
      </c>
      <c r="BD1120" s="3" t="n">
        <v>4</v>
      </c>
      <c r="BE1120" s="3" t="n">
        <v>1</v>
      </c>
      <c r="BF1120" s="3" t="n">
        <v>2</v>
      </c>
      <c r="BG1120" s="3" t="n">
        <v>1</v>
      </c>
      <c r="BH1120" s="3" t="n">
        <v>4</v>
      </c>
      <c r="BI1120" s="3" t="n">
        <v>1</v>
      </c>
      <c r="BJ1120" s="3" t="n">
        <v>1</v>
      </c>
      <c r="BK1120" s="21" t="s">
        <v>2822</v>
      </c>
    </row>
    <row r="1121" customFormat="false" ht="15" hidden="false" customHeight="true" outlineLevel="0" collapsed="false">
      <c r="B1121" s="2" t="s">
        <v>2823</v>
      </c>
      <c r="C1121" s="2" t="s">
        <v>2824</v>
      </c>
      <c r="D1121" s="2" t="s">
        <v>484</v>
      </c>
      <c r="E1121" s="2" t="n">
        <v>208656</v>
      </c>
      <c r="F1121" s="15" t="n">
        <v>44221</v>
      </c>
      <c r="G1121" s="15" t="n">
        <v>44234</v>
      </c>
      <c r="H1121" s="3" t="n">
        <v>13</v>
      </c>
      <c r="I1121" s="3" t="n">
        <v>2</v>
      </c>
      <c r="J1121" s="3" t="n">
        <v>59</v>
      </c>
      <c r="K1121" s="3" t="n">
        <v>1</v>
      </c>
      <c r="L1121" s="3" t="n">
        <v>2</v>
      </c>
      <c r="M1121" s="3" t="n">
        <v>1</v>
      </c>
      <c r="N1121" s="3" t="n">
        <v>2</v>
      </c>
      <c r="O1121" s="3" t="n">
        <v>2</v>
      </c>
      <c r="P1121" s="3" t="n">
        <v>2</v>
      </c>
      <c r="Q1121" s="3" t="n">
        <v>2</v>
      </c>
      <c r="R1121" s="3" t="n">
        <v>2</v>
      </c>
      <c r="S1121" s="3" t="n">
        <v>2</v>
      </c>
      <c r="T1121" s="4" t="n">
        <v>1</v>
      </c>
      <c r="U1121" s="3" t="n">
        <v>1</v>
      </c>
      <c r="V1121" s="3" t="n">
        <v>4.53</v>
      </c>
      <c r="W1121" s="3" t="n">
        <v>1.56</v>
      </c>
      <c r="X1121" s="3" t="n">
        <v>5.08</v>
      </c>
      <c r="Y1121" s="3" t="n">
        <v>401</v>
      </c>
      <c r="Z1121" s="3" t="n">
        <v>126</v>
      </c>
      <c r="AA1121" s="3" t="n">
        <v>0.44</v>
      </c>
      <c r="AB1121" s="3" t="n">
        <v>9</v>
      </c>
      <c r="AC1121" s="3" t="n">
        <v>1</v>
      </c>
      <c r="AD1121" s="3" t="n">
        <v>2</v>
      </c>
      <c r="AE1121" s="3" t="n">
        <v>2</v>
      </c>
      <c r="AF1121" s="3" t="n">
        <v>1</v>
      </c>
      <c r="AG1121" s="3" t="n">
        <v>2</v>
      </c>
      <c r="AH1121" s="3" t="n">
        <v>1</v>
      </c>
      <c r="AI1121" s="3" t="n">
        <v>1</v>
      </c>
      <c r="AJ1121" s="3" t="n">
        <v>1</v>
      </c>
      <c r="AK1121" s="3" t="n">
        <v>2</v>
      </c>
      <c r="AL1121" s="3" t="n">
        <v>2</v>
      </c>
      <c r="AM1121" s="3" t="n">
        <v>2</v>
      </c>
      <c r="AN1121" s="3" t="n">
        <v>2</v>
      </c>
      <c r="AO1121" s="3" t="n">
        <v>2</v>
      </c>
      <c r="AP1121" s="3" t="n">
        <v>1</v>
      </c>
      <c r="AQ1121" s="3" t="n">
        <v>2</v>
      </c>
      <c r="AR1121" s="3" t="n">
        <v>4</v>
      </c>
      <c r="AS1121" s="3" t="n">
        <v>2</v>
      </c>
      <c r="AT1121" s="3" t="n">
        <v>5</v>
      </c>
      <c r="AU1121" s="3" t="n">
        <v>1</v>
      </c>
      <c r="AV1121" s="3" t="n">
        <v>1</v>
      </c>
      <c r="AW1121" s="3" t="n">
        <v>1</v>
      </c>
      <c r="AX1121" s="3" t="n">
        <v>2</v>
      </c>
      <c r="AY1121" s="3" t="n">
        <v>2</v>
      </c>
      <c r="AZ1121" s="3" t="n">
        <v>1</v>
      </c>
      <c r="BA1121" s="5" t="n">
        <v>5</v>
      </c>
      <c r="BB1121" s="3" t="n">
        <v>2</v>
      </c>
      <c r="BC1121" s="3" t="n">
        <v>1</v>
      </c>
      <c r="BD1121" s="3" t="n">
        <v>6</v>
      </c>
      <c r="BE1121" s="3" t="n">
        <v>3</v>
      </c>
      <c r="BF1121" s="3" t="n">
        <v>5</v>
      </c>
      <c r="BG1121" s="3" t="n">
        <v>3</v>
      </c>
      <c r="BH1121" s="3" t="n">
        <v>4</v>
      </c>
      <c r="BI1121" s="3" t="n">
        <v>1</v>
      </c>
      <c r="BJ1121" s="3" t="n">
        <v>1</v>
      </c>
      <c r="BK1121" s="21" t="s">
        <v>2825</v>
      </c>
    </row>
    <row r="1122" customFormat="false" ht="15" hidden="false" customHeight="true" outlineLevel="0" collapsed="false">
      <c r="B1122" s="17" t="s">
        <v>150</v>
      </c>
      <c r="C1122" s="17" t="s">
        <v>324</v>
      </c>
      <c r="D1122" s="17" t="s">
        <v>457</v>
      </c>
      <c r="E1122" s="2" t="n">
        <v>208837</v>
      </c>
      <c r="F1122" s="15" t="n">
        <v>44231</v>
      </c>
      <c r="G1122" s="15" t="n">
        <v>44233</v>
      </c>
      <c r="H1122" s="3" t="n">
        <v>2</v>
      </c>
      <c r="I1122" s="3" t="n">
        <v>2</v>
      </c>
      <c r="J1122" s="3" t="n">
        <v>74</v>
      </c>
      <c r="K1122" s="3" t="n">
        <v>1</v>
      </c>
      <c r="L1122" s="3" t="n">
        <v>2</v>
      </c>
      <c r="M1122" s="3" t="n">
        <v>1</v>
      </c>
      <c r="N1122" s="3" t="n">
        <v>2</v>
      </c>
      <c r="O1122" s="3" t="n">
        <v>2</v>
      </c>
      <c r="P1122" s="3" t="n">
        <v>2</v>
      </c>
      <c r="Q1122" s="3" t="n">
        <v>1</v>
      </c>
      <c r="R1122" s="3" t="n">
        <v>2</v>
      </c>
      <c r="S1122" s="3" t="n">
        <v>2</v>
      </c>
      <c r="T1122" s="4" t="n">
        <v>12</v>
      </c>
      <c r="U1122" s="3" t="n">
        <v>1</v>
      </c>
      <c r="AD1122" s="3" t="n">
        <v>2</v>
      </c>
      <c r="AE1122" s="3" t="n">
        <v>2</v>
      </c>
      <c r="AF1122" s="3" t="n">
        <v>2</v>
      </c>
      <c r="AG1122" s="3" t="n">
        <v>2</v>
      </c>
      <c r="AH1122" s="3" t="n">
        <v>2</v>
      </c>
      <c r="AI1122" s="3" t="n">
        <v>2</v>
      </c>
      <c r="AJ1122" s="3" t="n">
        <v>1</v>
      </c>
      <c r="AK1122" s="3" t="n">
        <v>1</v>
      </c>
      <c r="AL1122" s="3" t="n">
        <v>2</v>
      </c>
      <c r="AM1122" s="3" t="n">
        <v>2</v>
      </c>
      <c r="AN1122" s="3" t="n">
        <v>2</v>
      </c>
      <c r="AO1122" s="3" t="n">
        <v>2</v>
      </c>
      <c r="AP1122" s="3" t="n">
        <v>3</v>
      </c>
      <c r="AQ1122" s="3" t="n">
        <v>4</v>
      </c>
      <c r="AR1122" s="3" t="n">
        <v>4</v>
      </c>
      <c r="AS1122" s="3" t="n">
        <v>6</v>
      </c>
      <c r="AT1122" s="3" t="n">
        <v>4</v>
      </c>
      <c r="AU1122" s="3" t="n">
        <v>4</v>
      </c>
      <c r="AV1122" s="3" t="n">
        <v>6</v>
      </c>
      <c r="AW1122" s="3" t="n">
        <v>6</v>
      </c>
      <c r="AX1122" s="3" t="n">
        <v>3</v>
      </c>
      <c r="AY1122" s="3" t="n">
        <v>3</v>
      </c>
      <c r="AZ1122" s="3" t="n">
        <v>1</v>
      </c>
      <c r="BA1122" s="5" t="n">
        <v>3</v>
      </c>
      <c r="BB1122" s="3" t="n">
        <v>2</v>
      </c>
      <c r="BC1122" s="3" t="n">
        <v>1</v>
      </c>
      <c r="BD1122" s="3" t="n">
        <v>6</v>
      </c>
      <c r="BE1122" s="3" t="n">
        <v>3</v>
      </c>
      <c r="BF1122" s="3" t="n">
        <v>5</v>
      </c>
      <c r="BG1122" s="3" t="n">
        <v>3</v>
      </c>
      <c r="BH1122" s="3" t="n">
        <v>4</v>
      </c>
      <c r="BI1122" s="3" t="n">
        <v>1</v>
      </c>
      <c r="BJ1122" s="3" t="n">
        <v>1</v>
      </c>
      <c r="BK1122" s="21" t="s">
        <v>2826</v>
      </c>
    </row>
    <row r="1123" customFormat="false" ht="15" hidden="false" customHeight="true" outlineLevel="0" collapsed="false">
      <c r="B1123" s="2" t="s">
        <v>2827</v>
      </c>
      <c r="C1123" s="2" t="s">
        <v>386</v>
      </c>
      <c r="D1123" s="2" t="s">
        <v>118</v>
      </c>
      <c r="E1123" s="2" t="n">
        <v>208911</v>
      </c>
      <c r="F1123" s="15" t="n">
        <v>44233</v>
      </c>
      <c r="G1123" s="15" t="n">
        <v>44510</v>
      </c>
      <c r="H1123" s="3" t="n">
        <v>4</v>
      </c>
      <c r="I1123" s="3" t="n">
        <v>1</v>
      </c>
      <c r="J1123" s="3" t="n">
        <v>85</v>
      </c>
      <c r="K1123" s="3" t="n">
        <v>1</v>
      </c>
      <c r="L1123" s="3" t="n">
        <v>2</v>
      </c>
      <c r="M1123" s="3" t="n">
        <v>1</v>
      </c>
      <c r="N1123" s="3" t="n">
        <v>2</v>
      </c>
      <c r="O1123" s="3" t="n">
        <v>2</v>
      </c>
      <c r="P1123" s="3" t="n">
        <v>2</v>
      </c>
      <c r="Q1123" s="3" t="n">
        <v>2</v>
      </c>
      <c r="R1123" s="3" t="n">
        <v>2</v>
      </c>
      <c r="S1123" s="3" t="n">
        <v>2</v>
      </c>
      <c r="T1123" s="4" t="n">
        <v>4</v>
      </c>
      <c r="U1123" s="3" t="n">
        <v>4</v>
      </c>
      <c r="V1123" s="3" t="n">
        <v>80</v>
      </c>
      <c r="W1123" s="3" t="n">
        <v>1.19</v>
      </c>
      <c r="X1123" s="3" t="n">
        <v>4.71</v>
      </c>
      <c r="Y1123" s="3" t="n">
        <v>316</v>
      </c>
      <c r="Z1123" s="3" t="n">
        <v>80</v>
      </c>
      <c r="AA1123" s="3" t="n">
        <v>0.43</v>
      </c>
      <c r="AB1123" s="3" t="n">
        <v>7.3</v>
      </c>
      <c r="AC1123" s="3" t="n">
        <v>1</v>
      </c>
      <c r="AD1123" s="3" t="n">
        <v>2</v>
      </c>
      <c r="AE1123" s="3" t="n">
        <v>1</v>
      </c>
      <c r="AF1123" s="3" t="n">
        <v>2</v>
      </c>
      <c r="AG1123" s="3" t="n">
        <v>2</v>
      </c>
      <c r="AH1123" s="3" t="n">
        <v>1</v>
      </c>
      <c r="AI1123" s="3" t="n">
        <v>2</v>
      </c>
      <c r="AJ1123" s="3" t="n">
        <v>1</v>
      </c>
      <c r="AK1123" s="3" t="n">
        <v>2</v>
      </c>
      <c r="AL1123" s="3" t="n">
        <v>1</v>
      </c>
      <c r="AM1123" s="3" t="n">
        <v>1</v>
      </c>
      <c r="AN1123" s="3" t="n">
        <v>2</v>
      </c>
      <c r="AO1123" s="3" t="n">
        <v>1</v>
      </c>
      <c r="AP1123" s="3" t="n">
        <v>3</v>
      </c>
      <c r="AQ1123" s="3" t="n">
        <v>4</v>
      </c>
      <c r="AR1123" s="3" t="n">
        <v>4</v>
      </c>
      <c r="AS1123" s="3" t="n">
        <v>6</v>
      </c>
      <c r="AT1123" s="3" t="n">
        <v>4</v>
      </c>
      <c r="AU1123" s="3" t="n">
        <v>4</v>
      </c>
      <c r="AV1123" s="3" t="n">
        <v>6</v>
      </c>
      <c r="AW1123" s="3" t="n">
        <v>6</v>
      </c>
      <c r="AX1123" s="3" t="n">
        <v>3</v>
      </c>
      <c r="AY1123" s="3" t="n">
        <v>3</v>
      </c>
      <c r="AZ1123" s="3" t="n">
        <v>1</v>
      </c>
      <c r="BA1123" s="5" t="n">
        <v>10</v>
      </c>
      <c r="BB1123" s="3" t="n">
        <v>2</v>
      </c>
      <c r="BC1123" s="3" t="n">
        <v>1</v>
      </c>
      <c r="BD1123" s="3" t="n">
        <v>6</v>
      </c>
      <c r="BE1123" s="3" t="n">
        <v>3</v>
      </c>
      <c r="BF1123" s="3" t="n">
        <v>5</v>
      </c>
      <c r="BG1123" s="3" t="n">
        <v>3</v>
      </c>
      <c r="BH1123" s="3" t="n">
        <v>4</v>
      </c>
      <c r="BI1123" s="3" t="n">
        <v>1</v>
      </c>
      <c r="BJ1123" s="3" t="n">
        <v>1</v>
      </c>
      <c r="BK1123" s="6" t="s">
        <v>2828</v>
      </c>
    </row>
    <row r="1124" customFormat="false" ht="15" hidden="false" customHeight="true" outlineLevel="0" collapsed="false">
      <c r="B1124" s="2" t="s">
        <v>2829</v>
      </c>
      <c r="C1124" s="2" t="s">
        <v>446</v>
      </c>
      <c r="D1124" s="2" t="s">
        <v>522</v>
      </c>
      <c r="E1124" s="2" t="n">
        <v>208993</v>
      </c>
      <c r="F1124" s="15" t="n">
        <v>44230</v>
      </c>
      <c r="G1124" s="15" t="n">
        <v>44237</v>
      </c>
      <c r="H1124" s="3" t="n">
        <v>7</v>
      </c>
      <c r="I1124" s="3" t="n">
        <v>2</v>
      </c>
      <c r="J1124" s="3" t="n">
        <v>32</v>
      </c>
      <c r="K1124" s="3" t="n">
        <v>2</v>
      </c>
      <c r="L1124" s="3" t="n">
        <v>1</v>
      </c>
      <c r="M1124" s="3" t="n">
        <v>1</v>
      </c>
      <c r="N1124" s="3" t="n">
        <v>2</v>
      </c>
      <c r="O1124" s="3" t="n">
        <v>2</v>
      </c>
      <c r="P1124" s="3" t="n">
        <v>2</v>
      </c>
      <c r="Q1124" s="3" t="n">
        <v>2</v>
      </c>
      <c r="R1124" s="3" t="n">
        <v>2</v>
      </c>
      <c r="S1124" s="3" t="n">
        <v>2</v>
      </c>
      <c r="T1124" s="4" t="n">
        <v>2</v>
      </c>
      <c r="U1124" s="3" t="n">
        <v>2</v>
      </c>
      <c r="V1124" s="3" t="n">
        <v>4.91</v>
      </c>
      <c r="W1124" s="3" t="n">
        <v>0.55</v>
      </c>
      <c r="X1124" s="3" t="n">
        <v>5.9</v>
      </c>
      <c r="Y1124" s="3" t="n">
        <v>248</v>
      </c>
      <c r="Z1124" s="3" t="n">
        <v>90</v>
      </c>
      <c r="AA1124" s="3" t="n">
        <v>0.43</v>
      </c>
      <c r="AB1124" s="3" t="n">
        <v>12.8</v>
      </c>
      <c r="AC1124" s="3" t="n">
        <v>1</v>
      </c>
      <c r="AD1124" s="3" t="n">
        <v>2</v>
      </c>
      <c r="AE1124" s="3" t="n">
        <v>2</v>
      </c>
      <c r="AF1124" s="3" t="n">
        <v>1</v>
      </c>
      <c r="AG1124" s="3" t="n">
        <v>2</v>
      </c>
      <c r="AH1124" s="3" t="n">
        <v>2</v>
      </c>
      <c r="AI1124" s="3" t="n">
        <v>1</v>
      </c>
      <c r="AJ1124" s="3" t="n">
        <v>1</v>
      </c>
      <c r="AK1124" s="3" t="n">
        <v>2</v>
      </c>
      <c r="AL1124" s="3" t="n">
        <v>2</v>
      </c>
      <c r="AM1124" s="3" t="n">
        <v>2</v>
      </c>
      <c r="AN1124" s="3" t="n">
        <v>2</v>
      </c>
      <c r="AO1124" s="3" t="n">
        <v>2</v>
      </c>
      <c r="AP1124" s="3" t="n">
        <v>3</v>
      </c>
      <c r="AQ1124" s="3" t="n">
        <v>4</v>
      </c>
      <c r="AR1124" s="3" t="n">
        <v>4</v>
      </c>
      <c r="AS1124" s="3" t="n">
        <v>6</v>
      </c>
      <c r="AT1124" s="3" t="n">
        <v>4</v>
      </c>
      <c r="AU1124" s="3" t="n">
        <v>4</v>
      </c>
      <c r="AV1124" s="3" t="n">
        <v>6</v>
      </c>
      <c r="AW1124" s="3" t="n">
        <v>6</v>
      </c>
      <c r="AX1124" s="3" t="n">
        <v>3</v>
      </c>
      <c r="AY1124" s="3" t="n">
        <v>3</v>
      </c>
      <c r="AZ1124" s="3" t="n">
        <v>1</v>
      </c>
      <c r="BA1124" s="5" t="n">
        <v>1</v>
      </c>
      <c r="BB1124" s="3" t="n">
        <v>1</v>
      </c>
      <c r="BC1124" s="3" t="n">
        <v>1</v>
      </c>
      <c r="BD1124" s="3" t="n">
        <v>4</v>
      </c>
      <c r="BE1124" s="3" t="n">
        <v>1</v>
      </c>
      <c r="BF1124" s="3" t="n">
        <v>2</v>
      </c>
      <c r="BG1124" s="3" t="n">
        <v>1</v>
      </c>
      <c r="BH1124" s="3" t="n">
        <v>4</v>
      </c>
      <c r="BI1124" s="3" t="n">
        <v>1</v>
      </c>
      <c r="BJ1124" s="3" t="n">
        <v>1</v>
      </c>
      <c r="BK1124" s="6" t="s">
        <v>2830</v>
      </c>
    </row>
    <row r="1125" customFormat="false" ht="15" hidden="false" customHeight="true" outlineLevel="0" collapsed="false">
      <c r="B1125" s="2" t="s">
        <v>2831</v>
      </c>
      <c r="C1125" s="2" t="s">
        <v>2832</v>
      </c>
      <c r="D1125" s="2" t="s">
        <v>2833</v>
      </c>
      <c r="E1125" s="2" t="n">
        <v>208860</v>
      </c>
      <c r="F1125" s="15" t="n">
        <v>44232</v>
      </c>
      <c r="G1125" s="15" t="n">
        <v>44238</v>
      </c>
      <c r="H1125" s="3" t="n">
        <v>6</v>
      </c>
      <c r="I1125" s="3" t="n">
        <v>2</v>
      </c>
      <c r="J1125" s="3" t="n">
        <v>54</v>
      </c>
      <c r="K1125" s="3" t="n">
        <v>1</v>
      </c>
      <c r="L1125" s="3" t="n">
        <v>1</v>
      </c>
      <c r="M1125" s="3" t="n">
        <v>2</v>
      </c>
      <c r="N1125" s="3" t="n">
        <v>2</v>
      </c>
      <c r="O1125" s="3" t="n">
        <v>2</v>
      </c>
      <c r="P1125" s="3" t="n">
        <v>2</v>
      </c>
      <c r="Q1125" s="3" t="n">
        <v>2</v>
      </c>
      <c r="R1125" s="3" t="n">
        <v>2</v>
      </c>
      <c r="S1125" s="3" t="n">
        <v>2</v>
      </c>
      <c r="T1125" s="4" t="n">
        <v>12</v>
      </c>
      <c r="U1125" s="3" t="n">
        <v>3</v>
      </c>
      <c r="V1125" s="3" t="s">
        <v>2834</v>
      </c>
      <c r="W1125" s="3" t="n">
        <v>0.92</v>
      </c>
      <c r="X1125" s="3" t="n">
        <v>5.75</v>
      </c>
      <c r="Y1125" s="3" t="n">
        <v>310</v>
      </c>
      <c r="Z1125" s="3" t="n">
        <v>75</v>
      </c>
      <c r="AA1125" s="3" t="n">
        <v>0.45</v>
      </c>
      <c r="AB1125" s="3" t="n">
        <v>24</v>
      </c>
      <c r="AC1125" s="3" t="n">
        <v>3</v>
      </c>
      <c r="AD1125" s="3" t="n">
        <v>2</v>
      </c>
      <c r="AE1125" s="3" t="n">
        <v>2</v>
      </c>
      <c r="AF1125" s="3" t="n">
        <v>2</v>
      </c>
      <c r="AG1125" s="3" t="n">
        <v>2</v>
      </c>
      <c r="AH1125" s="3" t="n">
        <v>1</v>
      </c>
      <c r="AI1125" s="3" t="n">
        <v>2</v>
      </c>
      <c r="AJ1125" s="3" t="n">
        <v>2</v>
      </c>
      <c r="AK1125" s="3" t="n">
        <v>2</v>
      </c>
      <c r="AL1125" s="3" t="n">
        <v>2</v>
      </c>
      <c r="AM1125" s="3" t="n">
        <v>2</v>
      </c>
      <c r="AN1125" s="3" t="n">
        <v>2</v>
      </c>
      <c r="AO1125" s="3" t="n">
        <v>2</v>
      </c>
      <c r="AP1125" s="3" t="n">
        <v>3</v>
      </c>
      <c r="AQ1125" s="3" t="n">
        <v>4</v>
      </c>
      <c r="AR1125" s="3" t="n">
        <v>4</v>
      </c>
      <c r="AS1125" s="3" t="n">
        <v>6</v>
      </c>
      <c r="AT1125" s="3" t="n">
        <v>4</v>
      </c>
      <c r="AU1125" s="3" t="n">
        <v>4</v>
      </c>
      <c r="AV1125" s="3" t="n">
        <v>6</v>
      </c>
      <c r="AW1125" s="3" t="n">
        <v>6</v>
      </c>
      <c r="AX1125" s="3" t="n">
        <v>3</v>
      </c>
      <c r="AY1125" s="3" t="n">
        <v>3</v>
      </c>
      <c r="AZ1125" s="3" t="n">
        <v>1</v>
      </c>
      <c r="BA1125" s="5" t="n">
        <v>3</v>
      </c>
      <c r="BB1125" s="3" t="n">
        <v>2</v>
      </c>
      <c r="BC1125" s="3" t="n">
        <v>1</v>
      </c>
      <c r="BD1125" s="3" t="n">
        <v>6</v>
      </c>
      <c r="BE1125" s="3" t="n">
        <v>3</v>
      </c>
      <c r="BF1125" s="3" t="n">
        <v>5</v>
      </c>
      <c r="BG1125" s="3" t="n">
        <v>3</v>
      </c>
      <c r="BH1125" s="3" t="n">
        <v>4</v>
      </c>
      <c r="BI1125" s="3" t="n">
        <v>1</v>
      </c>
      <c r="BJ1125" s="3" t="n">
        <v>1</v>
      </c>
      <c r="BK1125" s="6" t="s">
        <v>2835</v>
      </c>
    </row>
    <row r="1126" customFormat="false" ht="15" hidden="false" customHeight="true" outlineLevel="0" collapsed="false">
      <c r="B1126" s="2" t="s">
        <v>2836</v>
      </c>
      <c r="C1126" s="2" t="s">
        <v>509</v>
      </c>
      <c r="D1126" s="2" t="s">
        <v>198</v>
      </c>
      <c r="E1126" s="2" t="n">
        <v>208941</v>
      </c>
      <c r="F1126" s="15" t="n">
        <v>44235</v>
      </c>
      <c r="G1126" s="15" t="n">
        <v>44238</v>
      </c>
      <c r="H1126" s="3" t="n">
        <v>3</v>
      </c>
      <c r="I1126" s="3" t="n">
        <v>1</v>
      </c>
      <c r="J1126" s="3" t="n">
        <v>55</v>
      </c>
      <c r="K1126" s="3" t="n">
        <v>2</v>
      </c>
      <c r="L1126" s="3" t="n">
        <v>2</v>
      </c>
      <c r="M1126" s="3" t="n">
        <v>1</v>
      </c>
      <c r="N1126" s="3" t="n">
        <v>2</v>
      </c>
      <c r="O1126" s="3" t="n">
        <v>2</v>
      </c>
      <c r="P1126" s="3" t="n">
        <v>2</v>
      </c>
      <c r="Q1126" s="3" t="n">
        <v>2</v>
      </c>
      <c r="R1126" s="3" t="n">
        <v>2</v>
      </c>
      <c r="S1126" s="3" t="n">
        <v>2</v>
      </c>
      <c r="T1126" s="4" t="n">
        <v>1</v>
      </c>
      <c r="U1126" s="3" t="n">
        <v>1</v>
      </c>
      <c r="V1126" s="3" t="n">
        <v>6.02</v>
      </c>
      <c r="W1126" s="3" t="n">
        <v>1.88</v>
      </c>
      <c r="X1126" s="3" t="n">
        <v>5.48</v>
      </c>
      <c r="Y1126" s="3" t="n">
        <v>299</v>
      </c>
      <c r="Z1126" s="3" t="n">
        <v>81</v>
      </c>
      <c r="AA1126" s="3" t="n">
        <v>0.4</v>
      </c>
      <c r="AB1126" s="3" t="n">
        <v>8.5</v>
      </c>
      <c r="AC1126" s="3" t="n">
        <v>1</v>
      </c>
      <c r="AD1126" s="3" t="n">
        <v>1</v>
      </c>
      <c r="AE1126" s="3" t="n">
        <v>1</v>
      </c>
      <c r="AF1126" s="3" t="n">
        <v>1</v>
      </c>
      <c r="AG1126" s="3" t="n">
        <v>2</v>
      </c>
      <c r="AH1126" s="3" t="n">
        <v>1</v>
      </c>
      <c r="AI1126" s="3" t="n">
        <v>1</v>
      </c>
      <c r="AJ1126" s="3" t="n">
        <v>1</v>
      </c>
      <c r="AK1126" s="3" t="n">
        <v>2</v>
      </c>
      <c r="AL1126" s="3" t="n">
        <v>2</v>
      </c>
      <c r="AM1126" s="3" t="n">
        <v>2</v>
      </c>
      <c r="AN1126" s="3" t="n">
        <v>2</v>
      </c>
      <c r="AO1126" s="3" t="n">
        <v>2</v>
      </c>
      <c r="AP1126" s="3" t="n">
        <v>3</v>
      </c>
      <c r="AQ1126" s="3" t="n">
        <v>4</v>
      </c>
      <c r="AR1126" s="3" t="n">
        <v>4</v>
      </c>
      <c r="AS1126" s="3" t="n">
        <v>6</v>
      </c>
      <c r="AT1126" s="3" t="n">
        <v>4</v>
      </c>
      <c r="AU1126" s="3" t="n">
        <v>4</v>
      </c>
      <c r="AV1126" s="3" t="n">
        <v>6</v>
      </c>
      <c r="AW1126" s="3" t="n">
        <v>6</v>
      </c>
      <c r="AX1126" s="3" t="n">
        <v>3</v>
      </c>
      <c r="AY1126" s="3" t="n">
        <v>3</v>
      </c>
      <c r="AZ1126" s="3" t="n">
        <v>1</v>
      </c>
      <c r="BA1126" s="5" t="n">
        <v>5</v>
      </c>
      <c r="BB1126" s="3" t="n">
        <v>2</v>
      </c>
      <c r="BC1126" s="3" t="n">
        <v>1</v>
      </c>
      <c r="BD1126" s="3" t="n">
        <v>6</v>
      </c>
      <c r="BE1126" s="3" t="n">
        <v>3</v>
      </c>
      <c r="BF1126" s="3" t="n">
        <v>5</v>
      </c>
      <c r="BG1126" s="3" t="n">
        <v>3</v>
      </c>
      <c r="BH1126" s="3" t="n">
        <v>4</v>
      </c>
      <c r="BI1126" s="3" t="n">
        <v>1</v>
      </c>
      <c r="BJ1126" s="3" t="n">
        <v>1</v>
      </c>
      <c r="BK1126" s="6" t="s">
        <v>2837</v>
      </c>
    </row>
    <row r="1127" customFormat="false" ht="15" hidden="false" customHeight="true" outlineLevel="0" collapsed="false">
      <c r="B1127" s="2" t="s">
        <v>2838</v>
      </c>
      <c r="C1127" s="2" t="s">
        <v>118</v>
      </c>
      <c r="D1127" s="2" t="s">
        <v>1481</v>
      </c>
      <c r="E1127" s="2" t="n">
        <v>208883</v>
      </c>
      <c r="F1127" s="15" t="n">
        <v>44236</v>
      </c>
      <c r="G1127" s="15" t="n">
        <v>44240</v>
      </c>
      <c r="H1127" s="3" t="n">
        <v>4</v>
      </c>
      <c r="I1127" s="3" t="n">
        <v>2</v>
      </c>
      <c r="J1127" s="3" t="n">
        <v>25</v>
      </c>
      <c r="K1127" s="3" t="n">
        <v>1</v>
      </c>
      <c r="L1127" s="3" t="n">
        <v>1</v>
      </c>
      <c r="M1127" s="3" t="n">
        <v>2</v>
      </c>
      <c r="N1127" s="3" t="n">
        <v>2</v>
      </c>
      <c r="O1127" s="3" t="n">
        <v>2</v>
      </c>
      <c r="P1127" s="3" t="n">
        <v>2</v>
      </c>
      <c r="Q1127" s="3" t="n">
        <v>2</v>
      </c>
      <c r="R1127" s="3" t="n">
        <v>2</v>
      </c>
      <c r="S1127" s="3" t="n">
        <v>2</v>
      </c>
      <c r="T1127" s="4" t="n">
        <v>2</v>
      </c>
      <c r="U1127" s="3" t="n">
        <v>2</v>
      </c>
      <c r="V1127" s="3" t="n">
        <v>2.7</v>
      </c>
      <c r="W1127" s="3" t="n">
        <v>0.76</v>
      </c>
      <c r="X1127" s="3" t="n">
        <v>5.7</v>
      </c>
      <c r="Y1127" s="3" t="n">
        <v>271</v>
      </c>
      <c r="Z1127" s="3" t="n">
        <v>77</v>
      </c>
      <c r="AA1127" s="3" t="n">
        <v>0.45</v>
      </c>
      <c r="AB1127" s="3" t="n">
        <v>8.9</v>
      </c>
      <c r="AC1127" s="3" t="n">
        <v>1</v>
      </c>
      <c r="AD1127" s="3" t="n">
        <v>2</v>
      </c>
      <c r="AE1127" s="3" t="n">
        <v>1</v>
      </c>
      <c r="AF1127" s="3" t="n">
        <v>1</v>
      </c>
      <c r="AG1127" s="3" t="n">
        <v>1</v>
      </c>
      <c r="AH1127" s="3" t="n">
        <v>2</v>
      </c>
      <c r="AI1127" s="3" t="n">
        <v>1</v>
      </c>
      <c r="AJ1127" s="3" t="n">
        <v>2</v>
      </c>
      <c r="AK1127" s="3" t="n">
        <v>2</v>
      </c>
      <c r="AL1127" s="3" t="n">
        <v>2</v>
      </c>
      <c r="AM1127" s="3" t="n">
        <v>2</v>
      </c>
      <c r="AN1127" s="3" t="n">
        <v>2</v>
      </c>
      <c r="AO1127" s="3" t="n">
        <v>2</v>
      </c>
      <c r="AP1127" s="3" t="n">
        <v>3</v>
      </c>
      <c r="AQ1127" s="3" t="n">
        <v>4</v>
      </c>
      <c r="AR1127" s="3" t="n">
        <v>4</v>
      </c>
      <c r="AS1127" s="3" t="n">
        <v>6</v>
      </c>
      <c r="AT1127" s="3" t="n">
        <v>4</v>
      </c>
      <c r="AU1127" s="3" t="n">
        <v>4</v>
      </c>
      <c r="AV1127" s="3" t="n">
        <v>6</v>
      </c>
      <c r="AW1127" s="3" t="n">
        <v>6</v>
      </c>
      <c r="AX1127" s="3" t="n">
        <v>3</v>
      </c>
      <c r="AY1127" s="3" t="n">
        <v>3</v>
      </c>
      <c r="AZ1127" s="3" t="n">
        <v>1</v>
      </c>
      <c r="BA1127" s="5" t="n">
        <v>12</v>
      </c>
      <c r="BB1127" s="3" t="n">
        <v>2</v>
      </c>
      <c r="BC1127" s="3" t="n">
        <v>1</v>
      </c>
      <c r="BD1127" s="3" t="n">
        <v>6</v>
      </c>
      <c r="BE1127" s="3" t="n">
        <v>3</v>
      </c>
      <c r="BF1127" s="3" t="n">
        <v>5</v>
      </c>
      <c r="BG1127" s="3" t="n">
        <v>3</v>
      </c>
      <c r="BH1127" s="3" t="n">
        <v>4</v>
      </c>
      <c r="BI1127" s="3" t="n">
        <v>1</v>
      </c>
      <c r="BJ1127" s="3" t="n">
        <v>1</v>
      </c>
      <c r="BK1127" s="6" t="s">
        <v>2839</v>
      </c>
    </row>
    <row r="1128" customFormat="false" ht="15" hidden="false" customHeight="true" outlineLevel="0" collapsed="false">
      <c r="B1128" s="2" t="s">
        <v>1801</v>
      </c>
      <c r="C1128" s="2" t="s">
        <v>967</v>
      </c>
      <c r="D1128" s="2" t="s">
        <v>2744</v>
      </c>
      <c r="E1128" s="2" t="n">
        <v>207430</v>
      </c>
      <c r="F1128" s="15" t="n">
        <v>44235</v>
      </c>
      <c r="G1128" s="15" t="n">
        <v>44240</v>
      </c>
      <c r="H1128" s="3" t="n">
        <v>5</v>
      </c>
      <c r="I1128" s="3" t="n">
        <v>1</v>
      </c>
      <c r="J1128" s="3" t="n">
        <v>59</v>
      </c>
      <c r="K1128" s="3" t="n">
        <v>1</v>
      </c>
      <c r="L1128" s="3" t="n">
        <v>1</v>
      </c>
      <c r="M1128" s="3" t="n">
        <v>1</v>
      </c>
      <c r="N1128" s="3" t="n">
        <v>1</v>
      </c>
      <c r="O1128" s="3" t="n">
        <v>2</v>
      </c>
      <c r="P1128" s="3" t="n">
        <v>2</v>
      </c>
      <c r="Q1128" s="3" t="n">
        <v>2</v>
      </c>
      <c r="R1128" s="3" t="n">
        <v>2</v>
      </c>
      <c r="S1128" s="3" t="n">
        <v>2</v>
      </c>
      <c r="T1128" s="4" t="n">
        <v>1</v>
      </c>
      <c r="U1128" s="3" t="n">
        <v>1</v>
      </c>
      <c r="V1128" s="3" t="n">
        <v>4.97</v>
      </c>
      <c r="W1128" s="3" t="n">
        <v>1.02</v>
      </c>
      <c r="X1128" s="3" t="n">
        <v>5.84</v>
      </c>
      <c r="Y1128" s="3" t="n">
        <v>233</v>
      </c>
      <c r="Z1128" s="3" t="n">
        <v>66</v>
      </c>
      <c r="AA1128" s="3" t="n">
        <v>0.35</v>
      </c>
      <c r="AB1128" s="3" t="n">
        <v>11.1</v>
      </c>
      <c r="AC1128" s="3" t="n">
        <v>3</v>
      </c>
      <c r="AD1128" s="3" t="n">
        <v>1</v>
      </c>
      <c r="AE1128" s="3" t="n">
        <v>1</v>
      </c>
      <c r="AF1128" s="3" t="n">
        <v>1</v>
      </c>
      <c r="AG1128" s="3" t="n">
        <v>2</v>
      </c>
      <c r="AH1128" s="3" t="n">
        <v>2</v>
      </c>
      <c r="AI1128" s="3" t="n">
        <v>1</v>
      </c>
      <c r="AJ1128" s="3" t="n">
        <v>2</v>
      </c>
      <c r="AK1128" s="3" t="n">
        <v>2</v>
      </c>
      <c r="AL1128" s="3" t="n">
        <v>2</v>
      </c>
      <c r="AM1128" s="3" t="n">
        <v>2</v>
      </c>
      <c r="AN1128" s="3" t="n">
        <v>2</v>
      </c>
      <c r="AO1128" s="3" t="n">
        <v>2</v>
      </c>
      <c r="AP1128" s="3" t="n">
        <v>1</v>
      </c>
      <c r="AQ1128" s="3" t="n">
        <v>3</v>
      </c>
      <c r="AR1128" s="3" t="n">
        <v>8</v>
      </c>
      <c r="AS1128" s="3" t="n">
        <v>4</v>
      </c>
      <c r="AT1128" s="3" t="n">
        <v>3</v>
      </c>
      <c r="AU1128" s="3" t="n">
        <v>1</v>
      </c>
      <c r="AV1128" s="3" t="n">
        <v>1</v>
      </c>
      <c r="AW1128" s="3" t="n">
        <v>1</v>
      </c>
      <c r="AX1128" s="3" t="n">
        <v>2</v>
      </c>
      <c r="AY1128" s="3" t="n">
        <v>2</v>
      </c>
      <c r="AZ1128" s="3" t="n">
        <v>1</v>
      </c>
      <c r="BA1128" s="5" t="n">
        <v>5</v>
      </c>
      <c r="BB1128" s="3" t="n">
        <v>2</v>
      </c>
      <c r="BC1128" s="3" t="n">
        <v>1</v>
      </c>
      <c r="BD1128" s="3" t="n">
        <v>6</v>
      </c>
      <c r="BE1128" s="3" t="n">
        <v>3</v>
      </c>
      <c r="BF1128" s="3" t="n">
        <v>5</v>
      </c>
      <c r="BG1128" s="3" t="n">
        <v>3</v>
      </c>
      <c r="BH1128" s="3" t="n">
        <v>4</v>
      </c>
      <c r="BI1128" s="3" t="n">
        <v>1</v>
      </c>
      <c r="BJ1128" s="3" t="n">
        <v>1</v>
      </c>
      <c r="BK1128" s="6" t="s">
        <v>2840</v>
      </c>
    </row>
    <row r="1129" customFormat="false" ht="15" hidden="false" customHeight="true" outlineLevel="0" collapsed="false">
      <c r="B1129" s="2" t="s">
        <v>2841</v>
      </c>
      <c r="C1129" s="2" t="s">
        <v>95</v>
      </c>
      <c r="D1129" s="2" t="s">
        <v>94</v>
      </c>
      <c r="E1129" s="2" t="n">
        <v>208893</v>
      </c>
      <c r="F1129" s="15" t="n">
        <v>44237</v>
      </c>
      <c r="G1129" s="15" t="n">
        <v>44242</v>
      </c>
      <c r="H1129" s="3" t="n">
        <v>5</v>
      </c>
      <c r="I1129" s="3" t="n">
        <v>2</v>
      </c>
      <c r="J1129" s="3" t="n">
        <v>51</v>
      </c>
      <c r="K1129" s="3" t="n">
        <v>2</v>
      </c>
      <c r="L1129" s="3" t="n">
        <v>2</v>
      </c>
      <c r="M1129" s="3" t="n">
        <v>1</v>
      </c>
      <c r="N1129" s="3" t="n">
        <v>2</v>
      </c>
      <c r="O1129" s="3" t="n">
        <v>2</v>
      </c>
      <c r="P1129" s="3" t="n">
        <v>2</v>
      </c>
      <c r="Q1129" s="3" t="n">
        <v>2</v>
      </c>
      <c r="R1129" s="3" t="n">
        <v>2</v>
      </c>
      <c r="S1129" s="3" t="n">
        <v>2</v>
      </c>
      <c r="T1129" s="4" t="n">
        <v>2</v>
      </c>
      <c r="U1129" s="3" t="n">
        <v>2</v>
      </c>
      <c r="V1129" s="3" t="n">
        <v>5.12</v>
      </c>
      <c r="W1129" s="3" t="n">
        <v>1.22</v>
      </c>
      <c r="X1129" s="3" t="n">
        <v>5.44</v>
      </c>
      <c r="Y1129" s="3" t="n">
        <v>478</v>
      </c>
      <c r="Z1129" s="3" t="n">
        <v>107</v>
      </c>
      <c r="AA1129" s="3" t="n">
        <v>0.51</v>
      </c>
      <c r="AB1129" s="3" t="n">
        <v>9</v>
      </c>
      <c r="AC1129" s="3" t="n">
        <v>1</v>
      </c>
      <c r="AD1129" s="3" t="n">
        <v>1</v>
      </c>
      <c r="AE1129" s="3" t="n">
        <v>1</v>
      </c>
      <c r="AF1129" s="3" t="n">
        <v>1</v>
      </c>
      <c r="AG1129" s="3" t="n">
        <v>2</v>
      </c>
      <c r="AH1129" s="3" t="n">
        <v>2</v>
      </c>
      <c r="AI1129" s="3" t="n">
        <v>1</v>
      </c>
      <c r="AJ1129" s="3" t="n">
        <v>1</v>
      </c>
      <c r="AK1129" s="3" t="n">
        <v>2</v>
      </c>
      <c r="AL1129" s="3" t="n">
        <v>2</v>
      </c>
      <c r="AM1129" s="3" t="n">
        <v>2</v>
      </c>
      <c r="AN1129" s="3" t="n">
        <v>2</v>
      </c>
      <c r="AO1129" s="3" t="n">
        <v>2</v>
      </c>
      <c r="AP1129" s="3" t="n">
        <v>3</v>
      </c>
      <c r="AQ1129" s="3" t="n">
        <v>4</v>
      </c>
      <c r="AR1129" s="3" t="n">
        <v>4</v>
      </c>
      <c r="AS1129" s="3" t="n">
        <v>6</v>
      </c>
      <c r="AT1129" s="3" t="n">
        <v>4</v>
      </c>
      <c r="AU1129" s="3" t="n">
        <v>4</v>
      </c>
      <c r="AV1129" s="3" t="n">
        <v>6</v>
      </c>
      <c r="AW1129" s="3" t="n">
        <v>6</v>
      </c>
      <c r="AX1129" s="3" t="n">
        <v>3</v>
      </c>
      <c r="AY1129" s="3" t="n">
        <v>3</v>
      </c>
      <c r="AZ1129" s="3" t="n">
        <v>1</v>
      </c>
      <c r="BA1129" s="5" t="n">
        <v>1</v>
      </c>
      <c r="BB1129" s="3" t="n">
        <v>1</v>
      </c>
      <c r="BC1129" s="3" t="n">
        <v>1</v>
      </c>
      <c r="BD1129" s="3" t="n">
        <v>5</v>
      </c>
      <c r="BE1129" s="3" t="n">
        <v>1</v>
      </c>
      <c r="BF1129" s="3" t="n">
        <v>2</v>
      </c>
      <c r="BG1129" s="3" t="n">
        <v>1</v>
      </c>
      <c r="BH1129" s="3" t="n">
        <v>4</v>
      </c>
      <c r="BI1129" s="3" t="n">
        <v>1</v>
      </c>
      <c r="BJ1129" s="3" t="n">
        <v>1</v>
      </c>
      <c r="BK1129" s="6" t="s">
        <v>2842</v>
      </c>
    </row>
    <row r="1130" customFormat="false" ht="15" hidden="false" customHeight="true" outlineLevel="0" collapsed="false">
      <c r="B1130" s="2" t="s">
        <v>2843</v>
      </c>
      <c r="C1130" s="2" t="s">
        <v>611</v>
      </c>
      <c r="D1130" s="2" t="s">
        <v>2844</v>
      </c>
      <c r="E1130" s="2" t="n">
        <v>208869</v>
      </c>
      <c r="F1130" s="15" t="n">
        <v>44236</v>
      </c>
      <c r="G1130" s="15" t="n">
        <v>44243</v>
      </c>
      <c r="H1130" s="3" t="n">
        <v>7</v>
      </c>
      <c r="I1130" s="3" t="n">
        <v>2</v>
      </c>
      <c r="J1130" s="3" t="n">
        <v>61</v>
      </c>
      <c r="K1130" s="3" t="n">
        <v>1</v>
      </c>
      <c r="L1130" s="3" t="n">
        <v>1</v>
      </c>
      <c r="M1130" s="3" t="n">
        <v>1</v>
      </c>
      <c r="N1130" s="3" t="n">
        <v>2</v>
      </c>
      <c r="O1130" s="3" t="n">
        <v>2</v>
      </c>
      <c r="P1130" s="3" t="n">
        <v>2</v>
      </c>
      <c r="Q1130" s="3" t="n">
        <v>2</v>
      </c>
      <c r="R1130" s="3" t="n">
        <v>2</v>
      </c>
      <c r="S1130" s="3" t="n">
        <v>2</v>
      </c>
      <c r="T1130" s="4" t="n">
        <v>2</v>
      </c>
      <c r="U1130" s="3" t="n">
        <v>2</v>
      </c>
      <c r="V1130" s="3" t="s">
        <v>1413</v>
      </c>
      <c r="W1130" s="3" t="n">
        <v>1.85</v>
      </c>
      <c r="X1130" s="3" t="n">
        <v>5.54</v>
      </c>
      <c r="Y1130" s="3" t="n">
        <v>273</v>
      </c>
      <c r="Z1130" s="3" t="n">
        <v>75</v>
      </c>
      <c r="AA1130" s="3" t="n">
        <v>0.45</v>
      </c>
      <c r="AB1130" s="3" t="n">
        <v>9.1</v>
      </c>
      <c r="AC1130" s="3" t="n">
        <v>2</v>
      </c>
      <c r="AD1130" s="3" t="n">
        <v>2</v>
      </c>
      <c r="AE1130" s="3" t="n">
        <v>1</v>
      </c>
      <c r="AF1130" s="3" t="n">
        <v>1</v>
      </c>
      <c r="AG1130" s="3" t="n">
        <v>2</v>
      </c>
      <c r="AH1130" s="3" t="n">
        <v>2</v>
      </c>
      <c r="AI1130" s="3" t="n">
        <v>1</v>
      </c>
      <c r="AJ1130" s="3" t="n">
        <v>1</v>
      </c>
      <c r="AK1130" s="3" t="n">
        <v>2</v>
      </c>
      <c r="AL1130" s="3" t="n">
        <v>2</v>
      </c>
      <c r="AM1130" s="3" t="n">
        <v>2</v>
      </c>
      <c r="AN1130" s="3" t="n">
        <v>2</v>
      </c>
      <c r="AO1130" s="3" t="n">
        <v>2</v>
      </c>
      <c r="AP1130" s="3" t="n">
        <v>3</v>
      </c>
      <c r="AQ1130" s="3" t="n">
        <v>4</v>
      </c>
      <c r="AR1130" s="3" t="n">
        <v>4</v>
      </c>
      <c r="AS1130" s="3" t="n">
        <v>6</v>
      </c>
      <c r="AT1130" s="3" t="n">
        <v>4</v>
      </c>
      <c r="AU1130" s="3" t="n">
        <v>4</v>
      </c>
      <c r="AV1130" s="3" t="n">
        <v>6</v>
      </c>
      <c r="AW1130" s="3" t="n">
        <v>6</v>
      </c>
      <c r="AX1130" s="3" t="n">
        <v>3</v>
      </c>
      <c r="AY1130" s="3" t="n">
        <v>3</v>
      </c>
      <c r="AZ1130" s="3" t="n">
        <v>1</v>
      </c>
      <c r="BA1130" s="5" t="n">
        <v>1</v>
      </c>
      <c r="BB1130" s="3" t="n">
        <v>1</v>
      </c>
      <c r="BC1130" s="3" t="n">
        <v>1</v>
      </c>
      <c r="BD1130" s="3" t="n">
        <v>5</v>
      </c>
      <c r="BE1130" s="3" t="n">
        <v>1</v>
      </c>
      <c r="BF1130" s="3" t="n">
        <v>2</v>
      </c>
      <c r="BG1130" s="3" t="n">
        <v>1</v>
      </c>
      <c r="BH1130" s="3" t="n">
        <v>4</v>
      </c>
      <c r="BI1130" s="3" t="n">
        <v>1</v>
      </c>
      <c r="BJ1130" s="3" t="n">
        <v>1</v>
      </c>
      <c r="BK1130" s="6" t="s">
        <v>2845</v>
      </c>
    </row>
    <row r="1131" customFormat="false" ht="15" hidden="false" customHeight="true" outlineLevel="0" collapsed="false">
      <c r="B1131" s="2" t="s">
        <v>1852</v>
      </c>
      <c r="C1131" s="2" t="s">
        <v>2846</v>
      </c>
      <c r="D1131" s="2" t="s">
        <v>95</v>
      </c>
      <c r="E1131" s="2" t="n">
        <v>209112</v>
      </c>
      <c r="F1131" s="15" t="n">
        <v>44239</v>
      </c>
      <c r="G1131" s="15" t="n">
        <v>44245</v>
      </c>
      <c r="H1131" s="3" t="n">
        <v>6</v>
      </c>
      <c r="I1131" s="3" t="n">
        <v>1</v>
      </c>
      <c r="J1131" s="3" t="n">
        <v>65</v>
      </c>
      <c r="K1131" s="3" t="n">
        <v>1</v>
      </c>
      <c r="L1131" s="3" t="n">
        <v>2</v>
      </c>
      <c r="M1131" s="3" t="n">
        <v>1</v>
      </c>
      <c r="N1131" s="3" t="n">
        <v>2</v>
      </c>
      <c r="O1131" s="3" t="n">
        <v>2</v>
      </c>
      <c r="P1131" s="3" t="n">
        <v>2</v>
      </c>
      <c r="Q1131" s="3" t="n">
        <v>2</v>
      </c>
      <c r="R1131" s="3" t="n">
        <v>2</v>
      </c>
      <c r="S1131" s="3" t="n">
        <v>2</v>
      </c>
      <c r="T1131" s="4" t="n">
        <v>1</v>
      </c>
      <c r="U1131" s="3" t="n">
        <v>1</v>
      </c>
      <c r="V1131" s="3" t="s">
        <v>2847</v>
      </c>
      <c r="W1131" s="3" t="s">
        <v>2848</v>
      </c>
      <c r="X1131" s="3" t="s">
        <v>2849</v>
      </c>
      <c r="Y1131" s="3" t="n">
        <v>463</v>
      </c>
      <c r="Z1131" s="3" t="n">
        <v>88</v>
      </c>
      <c r="AA1131" s="3" t="n">
        <v>0.41</v>
      </c>
      <c r="AB1131" s="3" t="s">
        <v>2850</v>
      </c>
      <c r="AC1131" s="3" t="n">
        <v>1</v>
      </c>
      <c r="AD1131" s="3" t="n">
        <v>1</v>
      </c>
      <c r="AE1131" s="3" t="n">
        <v>1</v>
      </c>
      <c r="AF1131" s="3" t="n">
        <v>1</v>
      </c>
      <c r="AG1131" s="3" t="n">
        <v>1</v>
      </c>
      <c r="AH1131" s="3" t="n">
        <v>1</v>
      </c>
      <c r="AI1131" s="3" t="n">
        <v>1</v>
      </c>
      <c r="AJ1131" s="3" t="n">
        <v>1</v>
      </c>
      <c r="AK1131" s="3" t="n">
        <v>2</v>
      </c>
      <c r="AL1131" s="3" t="n">
        <v>2</v>
      </c>
      <c r="AM1131" s="3" t="n">
        <v>1</v>
      </c>
      <c r="AN1131" s="3" t="n">
        <v>2</v>
      </c>
      <c r="AO1131" s="3" t="n">
        <v>2</v>
      </c>
      <c r="AP1131" s="3" t="n">
        <v>3</v>
      </c>
      <c r="AQ1131" s="3" t="n">
        <v>4</v>
      </c>
      <c r="AR1131" s="3" t="n">
        <v>4</v>
      </c>
      <c r="AS1131" s="3" t="n">
        <v>6</v>
      </c>
      <c r="AT1131" s="3" t="n">
        <v>4</v>
      </c>
      <c r="AU1131" s="3" t="n">
        <v>4</v>
      </c>
      <c r="AV1131" s="3" t="n">
        <v>6</v>
      </c>
      <c r="AW1131" s="3" t="n">
        <v>6</v>
      </c>
      <c r="AX1131" s="3" t="n">
        <v>3</v>
      </c>
      <c r="AY1131" s="3" t="n">
        <v>3</v>
      </c>
      <c r="AZ1131" s="3" t="n">
        <v>1</v>
      </c>
      <c r="BA1131" s="5" t="n">
        <v>5</v>
      </c>
      <c r="BB1131" s="3" t="n">
        <v>2</v>
      </c>
      <c r="BC1131" s="3" t="n">
        <v>1</v>
      </c>
      <c r="BD1131" s="3" t="n">
        <v>6</v>
      </c>
      <c r="BE1131" s="3" t="n">
        <v>3</v>
      </c>
      <c r="BF1131" s="3" t="n">
        <v>5</v>
      </c>
      <c r="BG1131" s="3" t="n">
        <v>3</v>
      </c>
      <c r="BH1131" s="3" t="n">
        <v>4</v>
      </c>
      <c r="BI1131" s="3" t="n">
        <v>1</v>
      </c>
      <c r="BJ1131" s="3" t="n">
        <v>1</v>
      </c>
      <c r="BK1131" s="6" t="s">
        <v>2851</v>
      </c>
    </row>
    <row r="1132" customFormat="false" ht="15" hidden="false" customHeight="true" outlineLevel="0" collapsed="false">
      <c r="B1132" s="2" t="s">
        <v>1423</v>
      </c>
      <c r="C1132" s="2" t="s">
        <v>94</v>
      </c>
      <c r="D1132" s="2" t="s">
        <v>94</v>
      </c>
      <c r="E1132" s="2" t="n">
        <v>209331</v>
      </c>
      <c r="F1132" s="15" t="n">
        <v>44243</v>
      </c>
      <c r="G1132" s="15" t="n">
        <v>44245</v>
      </c>
      <c r="H1132" s="3" t="n">
        <v>2</v>
      </c>
      <c r="I1132" s="3" t="n">
        <v>2</v>
      </c>
      <c r="J1132" s="3" t="n">
        <v>78</v>
      </c>
      <c r="K1132" s="3" t="n">
        <v>1</v>
      </c>
      <c r="L1132" s="3" t="n">
        <v>1</v>
      </c>
      <c r="M1132" s="3" t="n">
        <v>1</v>
      </c>
      <c r="N1132" s="3" t="n">
        <v>2</v>
      </c>
      <c r="O1132" s="3" t="n">
        <v>2</v>
      </c>
      <c r="P1132" s="3" t="n">
        <v>2</v>
      </c>
      <c r="Q1132" s="3" t="n">
        <v>2</v>
      </c>
      <c r="R1132" s="3" t="n">
        <v>2</v>
      </c>
      <c r="S1132" s="3" t="n">
        <v>1</v>
      </c>
      <c r="T1132" s="4" t="n">
        <v>1</v>
      </c>
      <c r="U1132" s="3" t="n">
        <v>1</v>
      </c>
      <c r="V1132" s="3" t="s">
        <v>2852</v>
      </c>
      <c r="W1132" s="3" t="n">
        <v>1.77</v>
      </c>
      <c r="X1132" s="3" t="n">
        <v>3.59</v>
      </c>
      <c r="Y1132" s="3" t="n">
        <v>379</v>
      </c>
      <c r="Z1132" s="3" t="n">
        <v>91</v>
      </c>
      <c r="AA1132" s="3" t="s">
        <v>1506</v>
      </c>
      <c r="AC1132" s="3" t="n">
        <v>1</v>
      </c>
      <c r="AD1132" s="3" t="n">
        <v>2</v>
      </c>
      <c r="AE1132" s="3" t="n">
        <v>2</v>
      </c>
      <c r="AF1132" s="3" t="n">
        <v>2</v>
      </c>
      <c r="AG1132" s="3" t="n">
        <v>2</v>
      </c>
      <c r="AH1132" s="3" t="n">
        <v>2</v>
      </c>
      <c r="AI1132" s="3" t="n">
        <v>2</v>
      </c>
      <c r="AJ1132" s="3" t="n">
        <v>1</v>
      </c>
      <c r="AK1132" s="3" t="n">
        <v>2</v>
      </c>
      <c r="AL1132" s="3" t="n">
        <v>2</v>
      </c>
      <c r="AM1132" s="3" t="n">
        <v>1</v>
      </c>
      <c r="AN1132" s="3" t="n">
        <v>2</v>
      </c>
      <c r="AO1132" s="3" t="n">
        <v>2</v>
      </c>
      <c r="AP1132" s="3" t="n">
        <v>3</v>
      </c>
      <c r="AQ1132" s="3" t="n">
        <v>4</v>
      </c>
      <c r="AR1132" s="3" t="n">
        <v>4</v>
      </c>
      <c r="AS1132" s="3" t="n">
        <v>6</v>
      </c>
      <c r="AT1132" s="3" t="n">
        <v>4</v>
      </c>
      <c r="AU1132" s="3" t="n">
        <v>4</v>
      </c>
      <c r="AV1132" s="3" t="n">
        <v>6</v>
      </c>
      <c r="AW1132" s="3" t="n">
        <v>6</v>
      </c>
      <c r="AX1132" s="3" t="n">
        <v>3</v>
      </c>
      <c r="AY1132" s="3" t="n">
        <v>3</v>
      </c>
      <c r="AZ1132" s="3" t="n">
        <v>1</v>
      </c>
      <c r="BA1132" s="5" t="n">
        <v>10</v>
      </c>
      <c r="BB1132" s="3" t="n">
        <v>2</v>
      </c>
      <c r="BC1132" s="3" t="n">
        <v>1</v>
      </c>
      <c r="BD1132" s="3" t="n">
        <v>6</v>
      </c>
      <c r="BE1132" s="3" t="n">
        <v>3</v>
      </c>
      <c r="BF1132" s="3" t="n">
        <v>5</v>
      </c>
      <c r="BG1132" s="3" t="n">
        <v>3</v>
      </c>
      <c r="BH1132" s="3" t="n">
        <v>4</v>
      </c>
      <c r="BI1132" s="3" t="n">
        <v>1</v>
      </c>
      <c r="BJ1132" s="3" t="n">
        <v>1</v>
      </c>
      <c r="BK1132" s="21" t="s">
        <v>2853</v>
      </c>
    </row>
    <row r="1133" customFormat="false" ht="15" hidden="false" customHeight="true" outlineLevel="0" collapsed="false">
      <c r="B1133" s="2" t="s">
        <v>1909</v>
      </c>
      <c r="C1133" s="2" t="s">
        <v>2854</v>
      </c>
      <c r="D1133" s="2" t="s">
        <v>414</v>
      </c>
      <c r="E1133" s="2" t="n">
        <v>208897</v>
      </c>
      <c r="F1133" s="15" t="n">
        <v>44237</v>
      </c>
      <c r="G1133" s="15" t="n">
        <v>44243</v>
      </c>
      <c r="H1133" s="3" t="n">
        <v>1</v>
      </c>
      <c r="I1133" s="3" t="n">
        <v>1</v>
      </c>
      <c r="J1133" s="3" t="n">
        <v>55</v>
      </c>
      <c r="K1133" s="3" t="n">
        <v>1</v>
      </c>
      <c r="L1133" s="3" t="n">
        <v>2</v>
      </c>
      <c r="M1133" s="3" t="n">
        <v>2</v>
      </c>
      <c r="N1133" s="3" t="n">
        <v>2</v>
      </c>
      <c r="O1133" s="3" t="n">
        <v>2</v>
      </c>
      <c r="P1133" s="3" t="n">
        <v>2</v>
      </c>
      <c r="Q1133" s="3" t="n">
        <v>2</v>
      </c>
      <c r="R1133" s="3" t="n">
        <v>2</v>
      </c>
      <c r="S1133" s="3" t="n">
        <v>2</v>
      </c>
      <c r="T1133" s="4" t="n">
        <v>3</v>
      </c>
      <c r="U1133" s="3" t="n">
        <v>1</v>
      </c>
      <c r="V1133" s="3" t="n">
        <v>2.8</v>
      </c>
      <c r="W1133" s="3" t="n">
        <v>0.82</v>
      </c>
      <c r="X1133" s="3" t="n">
        <v>4.57</v>
      </c>
      <c r="Y1133" s="3" t="n">
        <v>368</v>
      </c>
      <c r="Z1133" s="3" t="n">
        <v>62</v>
      </c>
      <c r="AA1133" s="3" t="n">
        <v>0.39</v>
      </c>
      <c r="AB1133" s="3" t="n">
        <v>12.7</v>
      </c>
      <c r="AC1133" s="3" t="n">
        <v>1</v>
      </c>
      <c r="AD1133" s="3" t="n">
        <v>2</v>
      </c>
      <c r="AE1133" s="3" t="n">
        <v>2</v>
      </c>
      <c r="AF1133" s="3" t="n">
        <v>2</v>
      </c>
      <c r="AG1133" s="3" t="n">
        <v>2</v>
      </c>
      <c r="AH1133" s="3" t="n">
        <v>2</v>
      </c>
      <c r="AI1133" s="3" t="n">
        <v>2</v>
      </c>
      <c r="AJ1133" s="3" t="n">
        <v>2</v>
      </c>
      <c r="AK1133" s="3" t="n">
        <v>2</v>
      </c>
      <c r="AL1133" s="3" t="n">
        <v>2</v>
      </c>
      <c r="AM1133" s="3" t="n">
        <v>1</v>
      </c>
      <c r="AN1133" s="3" t="n">
        <v>2</v>
      </c>
      <c r="AO1133" s="3" t="n">
        <v>2</v>
      </c>
      <c r="AP1133" s="3" t="n">
        <v>3</v>
      </c>
      <c r="AQ1133" s="3" t="n">
        <v>4</v>
      </c>
      <c r="AR1133" s="3" t="n">
        <v>4</v>
      </c>
      <c r="AS1133" s="3" t="n">
        <v>6</v>
      </c>
      <c r="AT1133" s="3" t="n">
        <v>4</v>
      </c>
      <c r="AU1133" s="3" t="n">
        <v>4</v>
      </c>
      <c r="AV1133" s="3" t="n">
        <v>6</v>
      </c>
      <c r="AW1133" s="3" t="n">
        <v>6</v>
      </c>
      <c r="AX1133" s="3" t="n">
        <v>3</v>
      </c>
      <c r="AY1133" s="3" t="n">
        <v>3</v>
      </c>
      <c r="AZ1133" s="3" t="n">
        <v>1</v>
      </c>
      <c r="BA1133" s="5" t="n">
        <v>12</v>
      </c>
      <c r="BB1133" s="3" t="n">
        <v>2</v>
      </c>
      <c r="BC1133" s="3" t="n">
        <v>1</v>
      </c>
      <c r="BD1133" s="3" t="n">
        <v>6</v>
      </c>
      <c r="BE1133" s="3" t="n">
        <v>3</v>
      </c>
      <c r="BF1133" s="3" t="n">
        <v>5</v>
      </c>
      <c r="BG1133" s="3" t="n">
        <v>3</v>
      </c>
      <c r="BH1133" s="3" t="n">
        <v>4</v>
      </c>
      <c r="BI1133" s="3" t="n">
        <v>1</v>
      </c>
      <c r="BJ1133" s="3" t="n">
        <v>1</v>
      </c>
      <c r="BK1133" s="6" t="s">
        <v>2855</v>
      </c>
    </row>
    <row r="1134" customFormat="false" ht="15" hidden="false" customHeight="true" outlineLevel="0" collapsed="false">
      <c r="B1134" s="2" t="s">
        <v>2856</v>
      </c>
      <c r="C1134" s="2" t="s">
        <v>2857</v>
      </c>
      <c r="D1134" s="2" t="s">
        <v>898</v>
      </c>
      <c r="E1134" s="2" t="n">
        <v>209176</v>
      </c>
      <c r="F1134" s="15" t="n">
        <v>44241</v>
      </c>
      <c r="G1134" s="15" t="n">
        <v>44248</v>
      </c>
      <c r="H1134" s="3" t="n">
        <v>7</v>
      </c>
      <c r="I1134" s="3" t="n">
        <v>2</v>
      </c>
      <c r="J1134" s="3" t="n">
        <v>62</v>
      </c>
      <c r="K1134" s="3" t="n">
        <v>2</v>
      </c>
      <c r="L1134" s="3" t="n">
        <v>2</v>
      </c>
      <c r="M1134" s="3" t="n">
        <v>1</v>
      </c>
      <c r="N1134" s="3" t="n">
        <v>2</v>
      </c>
      <c r="O1134" s="3" t="n">
        <v>2</v>
      </c>
      <c r="P1134" s="3" t="n">
        <v>2</v>
      </c>
      <c r="Q1134" s="3" t="n">
        <v>2</v>
      </c>
      <c r="R1134" s="3" t="n">
        <v>2</v>
      </c>
      <c r="S1134" s="3" t="n">
        <v>2</v>
      </c>
      <c r="T1134" s="4" t="n">
        <v>2</v>
      </c>
      <c r="U1134" s="3" t="n">
        <v>2</v>
      </c>
      <c r="V1134" s="3" t="n">
        <v>5.05</v>
      </c>
      <c r="W1134" s="3" t="n">
        <v>2.62</v>
      </c>
      <c r="X1134" s="3" t="n">
        <v>11.03</v>
      </c>
      <c r="Y1134" s="3" t="n">
        <v>273</v>
      </c>
      <c r="Z1134" s="3" t="n">
        <v>87</v>
      </c>
      <c r="AA1134" s="3" t="n">
        <v>0.41</v>
      </c>
      <c r="AB1134" s="3" t="n">
        <v>9.9</v>
      </c>
      <c r="AC1134" s="3" t="n">
        <v>1</v>
      </c>
      <c r="AD1134" s="3" t="n">
        <v>2</v>
      </c>
      <c r="AE1134" s="3" t="n">
        <v>2</v>
      </c>
      <c r="AF1134" s="3" t="n">
        <v>1</v>
      </c>
      <c r="AG1134" s="3" t="n">
        <v>2</v>
      </c>
      <c r="AH1134" s="3" t="n">
        <v>2</v>
      </c>
      <c r="AI1134" s="3" t="n">
        <v>1</v>
      </c>
      <c r="AJ1134" s="3" t="n">
        <v>1</v>
      </c>
      <c r="AK1134" s="3" t="n">
        <v>2</v>
      </c>
      <c r="AL1134" s="3" t="n">
        <v>2</v>
      </c>
      <c r="AM1134" s="3" t="n">
        <v>2</v>
      </c>
      <c r="AN1134" s="3" t="n">
        <v>2</v>
      </c>
      <c r="AO1134" s="3" t="n">
        <v>2</v>
      </c>
      <c r="AP1134" s="3" t="n">
        <v>3</v>
      </c>
      <c r="AQ1134" s="3" t="n">
        <v>4</v>
      </c>
      <c r="AR1134" s="3" t="n">
        <v>4</v>
      </c>
      <c r="AS1134" s="3" t="n">
        <v>6</v>
      </c>
      <c r="AT1134" s="3" t="n">
        <v>4</v>
      </c>
      <c r="AU1134" s="3" t="n">
        <v>4</v>
      </c>
      <c r="AV1134" s="3" t="n">
        <v>6</v>
      </c>
      <c r="AW1134" s="3" t="n">
        <v>6</v>
      </c>
      <c r="AX1134" s="3" t="n">
        <v>3</v>
      </c>
      <c r="AY1134" s="3" t="n">
        <v>3</v>
      </c>
      <c r="AZ1134" s="3" t="n">
        <v>1</v>
      </c>
      <c r="BA1134" s="5" t="n">
        <v>1</v>
      </c>
      <c r="BB1134" s="3" t="n">
        <v>1</v>
      </c>
      <c r="BC1134" s="3" t="n">
        <v>1</v>
      </c>
      <c r="BD1134" s="3" t="n">
        <v>4</v>
      </c>
      <c r="BE1134" s="3" t="n">
        <v>1</v>
      </c>
      <c r="BF1134" s="3" t="n">
        <v>2</v>
      </c>
      <c r="BG1134" s="3" t="n">
        <v>1</v>
      </c>
      <c r="BH1134" s="3" t="n">
        <v>4</v>
      </c>
      <c r="BI1134" s="3" t="n">
        <v>1</v>
      </c>
      <c r="BJ1134" s="3" t="n">
        <v>1</v>
      </c>
      <c r="BK1134" s="6" t="s">
        <v>2858</v>
      </c>
    </row>
    <row r="1135" customFormat="false" ht="15" hidden="false" customHeight="true" outlineLevel="0" collapsed="false">
      <c r="B1135" s="2" t="s">
        <v>2859</v>
      </c>
      <c r="C1135" s="2" t="s">
        <v>2224</v>
      </c>
      <c r="D1135" s="2" t="s">
        <v>127</v>
      </c>
      <c r="E1135" s="2" t="n">
        <v>209173</v>
      </c>
      <c r="F1135" s="15" t="n">
        <v>44241</v>
      </c>
      <c r="G1135" s="15" t="n">
        <v>44248</v>
      </c>
      <c r="H1135" s="3" t="n">
        <v>7</v>
      </c>
      <c r="I1135" s="3" t="n">
        <v>2</v>
      </c>
      <c r="J1135" s="3" t="n">
        <v>55</v>
      </c>
      <c r="K1135" s="3" t="n">
        <v>2</v>
      </c>
      <c r="L1135" s="3" t="n">
        <v>1</v>
      </c>
      <c r="M1135" s="3" t="n">
        <v>1</v>
      </c>
      <c r="N1135" s="3" t="n">
        <v>2</v>
      </c>
      <c r="O1135" s="3" t="n">
        <v>2</v>
      </c>
      <c r="P1135" s="3" t="n">
        <v>2</v>
      </c>
      <c r="Q1135" s="3" t="n">
        <v>2</v>
      </c>
      <c r="R1135" s="3" t="n">
        <v>2</v>
      </c>
      <c r="S1135" s="3" t="n">
        <v>2</v>
      </c>
      <c r="T1135" s="4" t="n">
        <v>2</v>
      </c>
      <c r="U1135" s="3" t="n">
        <v>2</v>
      </c>
      <c r="V1135" s="19" t="s">
        <v>2860</v>
      </c>
      <c r="W1135" s="19" t="s">
        <v>2861</v>
      </c>
      <c r="X1135" s="19" t="s">
        <v>2862</v>
      </c>
      <c r="Y1135" s="3" t="n">
        <v>369</v>
      </c>
      <c r="Z1135" s="3" t="n">
        <v>92</v>
      </c>
      <c r="AA1135" s="3" t="n">
        <v>0.49</v>
      </c>
      <c r="AC1135" s="3" t="n">
        <v>2</v>
      </c>
      <c r="AD1135" s="3" t="n">
        <v>1</v>
      </c>
      <c r="AE1135" s="3" t="n">
        <v>2</v>
      </c>
      <c r="AF1135" s="3" t="n">
        <v>1</v>
      </c>
      <c r="AG1135" s="3" t="n">
        <v>2</v>
      </c>
      <c r="AH1135" s="3" t="n">
        <v>2</v>
      </c>
      <c r="AI1135" s="3" t="n">
        <v>1</v>
      </c>
      <c r="AJ1135" s="3" t="n">
        <v>1</v>
      </c>
      <c r="AK1135" s="3" t="n">
        <v>2</v>
      </c>
      <c r="AL1135" s="3" t="n">
        <v>2</v>
      </c>
      <c r="AM1135" s="3" t="n">
        <v>2</v>
      </c>
      <c r="AN1135" s="3" t="n">
        <v>2</v>
      </c>
      <c r="AO1135" s="3" t="n">
        <v>2</v>
      </c>
      <c r="AP1135" s="3" t="n">
        <v>3</v>
      </c>
      <c r="AQ1135" s="3" t="n">
        <v>4</v>
      </c>
      <c r="AR1135" s="3" t="n">
        <v>4</v>
      </c>
      <c r="AS1135" s="3" t="n">
        <v>6</v>
      </c>
      <c r="AT1135" s="3" t="n">
        <v>4</v>
      </c>
      <c r="AU1135" s="3" t="n">
        <v>4</v>
      </c>
      <c r="AV1135" s="3" t="n">
        <v>6</v>
      </c>
      <c r="AW1135" s="3" t="n">
        <v>6</v>
      </c>
      <c r="AX1135" s="3" t="n">
        <v>3</v>
      </c>
      <c r="AY1135" s="3" t="n">
        <v>3</v>
      </c>
      <c r="AZ1135" s="3" t="n">
        <v>1</v>
      </c>
      <c r="BA1135" s="5" t="n">
        <v>1</v>
      </c>
      <c r="BB1135" s="3" t="n">
        <v>1</v>
      </c>
      <c r="BC1135" s="3" t="n">
        <v>1</v>
      </c>
      <c r="BD1135" s="3" t="n">
        <v>2</v>
      </c>
      <c r="BE1135" s="3" t="n">
        <v>1</v>
      </c>
      <c r="BF1135" s="3" t="n">
        <v>2</v>
      </c>
      <c r="BG1135" s="3" t="n">
        <v>1</v>
      </c>
      <c r="BH1135" s="3" t="n">
        <v>4</v>
      </c>
      <c r="BI1135" s="3" t="n">
        <v>1</v>
      </c>
      <c r="BJ1135" s="3" t="n">
        <v>1</v>
      </c>
      <c r="BK1135" s="6" t="s">
        <v>2103</v>
      </c>
    </row>
    <row r="1136" customFormat="false" ht="15" hidden="false" customHeight="true" outlineLevel="0" collapsed="false">
      <c r="B1136" s="2" t="s">
        <v>2863</v>
      </c>
      <c r="C1136" s="2" t="s">
        <v>1463</v>
      </c>
      <c r="D1136" s="2" t="s">
        <v>418</v>
      </c>
      <c r="E1136" s="2" t="n">
        <v>209161</v>
      </c>
      <c r="F1136" s="15" t="n">
        <v>44240</v>
      </c>
      <c r="G1136" s="15" t="n">
        <v>44245</v>
      </c>
      <c r="H1136" s="3" t="n">
        <v>5</v>
      </c>
      <c r="I1136" s="3" t="n">
        <v>1</v>
      </c>
      <c r="J1136" s="3" t="n">
        <v>83</v>
      </c>
      <c r="K1136" s="3" t="n">
        <v>2</v>
      </c>
      <c r="L1136" s="3" t="n">
        <v>2</v>
      </c>
      <c r="M1136" s="3" t="n">
        <v>1</v>
      </c>
      <c r="N1136" s="3" t="n">
        <v>2</v>
      </c>
      <c r="O1136" s="3" t="n">
        <v>1</v>
      </c>
      <c r="P1136" s="3" t="n">
        <v>1</v>
      </c>
      <c r="Q1136" s="3" t="n">
        <v>1</v>
      </c>
      <c r="R1136" s="3" t="n">
        <v>2</v>
      </c>
      <c r="S1136" s="3" t="n">
        <v>1</v>
      </c>
      <c r="T1136" s="4" t="n">
        <v>4</v>
      </c>
      <c r="U1136" s="3" t="n">
        <v>4</v>
      </c>
      <c r="V1136" s="3" t="s">
        <v>2864</v>
      </c>
      <c r="W1136" s="3" t="s">
        <v>2865</v>
      </c>
      <c r="Y1136" s="3" t="n">
        <v>453</v>
      </c>
      <c r="Z1136" s="3" t="n">
        <v>139</v>
      </c>
      <c r="AA1136" s="3" t="s">
        <v>1247</v>
      </c>
      <c r="AC1136" s="3" t="n">
        <v>2</v>
      </c>
      <c r="AD1136" s="3" t="n">
        <v>1</v>
      </c>
      <c r="AE1136" s="3" t="n">
        <v>1</v>
      </c>
      <c r="AF1136" s="3" t="n">
        <v>1</v>
      </c>
      <c r="AG1136" s="3" t="n">
        <v>2</v>
      </c>
      <c r="AH1136" s="3" t="n">
        <v>2</v>
      </c>
      <c r="AI1136" s="3" t="n">
        <v>1</v>
      </c>
      <c r="AJ1136" s="3" t="n">
        <v>1</v>
      </c>
      <c r="AK1136" s="3" t="n">
        <v>2</v>
      </c>
      <c r="AL1136" s="3" t="n">
        <v>2</v>
      </c>
      <c r="AM1136" s="3" t="n">
        <v>1</v>
      </c>
      <c r="AN1136" s="3" t="n">
        <v>2</v>
      </c>
      <c r="AO1136" s="3" t="n">
        <v>1</v>
      </c>
      <c r="AP1136" s="3" t="n">
        <v>3</v>
      </c>
      <c r="AQ1136" s="3" t="n">
        <v>4</v>
      </c>
      <c r="AR1136" s="3" t="n">
        <v>4</v>
      </c>
      <c r="AS1136" s="3" t="n">
        <v>6</v>
      </c>
      <c r="AT1136" s="3" t="n">
        <v>4</v>
      </c>
      <c r="AU1136" s="3" t="n">
        <v>4</v>
      </c>
      <c r="AV1136" s="3" t="n">
        <v>6</v>
      </c>
      <c r="AW1136" s="3" t="n">
        <v>6</v>
      </c>
      <c r="AX1136" s="3" t="n">
        <v>3</v>
      </c>
      <c r="AY1136" s="3" t="n">
        <v>3</v>
      </c>
      <c r="AZ1136" s="3" t="n">
        <v>4</v>
      </c>
      <c r="BA1136" s="5" t="n">
        <v>10</v>
      </c>
      <c r="BB1136" s="3" t="n">
        <v>2</v>
      </c>
      <c r="BC1136" s="3" t="n">
        <v>1</v>
      </c>
      <c r="BD1136" s="3" t="n">
        <v>6</v>
      </c>
      <c r="BE1136" s="3" t="n">
        <v>3</v>
      </c>
      <c r="BF1136" s="3" t="n">
        <v>5</v>
      </c>
      <c r="BG1136" s="3" t="n">
        <v>3</v>
      </c>
      <c r="BH1136" s="3" t="n">
        <v>4</v>
      </c>
      <c r="BI1136" s="3" t="n">
        <v>1</v>
      </c>
      <c r="BJ1136" s="3" t="n">
        <v>1</v>
      </c>
      <c r="BK1136" s="6" t="s">
        <v>2866</v>
      </c>
    </row>
    <row r="1137" customFormat="false" ht="15" hidden="false" customHeight="true" outlineLevel="0" collapsed="false">
      <c r="B1137" s="2" t="s">
        <v>2843</v>
      </c>
      <c r="C1137" s="2" t="s">
        <v>611</v>
      </c>
      <c r="D1137" s="2" t="s">
        <v>2844</v>
      </c>
      <c r="E1137" s="2" t="n">
        <v>208869</v>
      </c>
      <c r="F1137" s="15" t="n">
        <v>44236</v>
      </c>
      <c r="G1137" s="15" t="n">
        <v>44243</v>
      </c>
      <c r="H1137" s="3" t="n">
        <v>7</v>
      </c>
      <c r="I1137" s="3" t="n">
        <v>2</v>
      </c>
      <c r="J1137" s="3" t="n">
        <v>61</v>
      </c>
      <c r="K1137" s="3" t="n">
        <v>1</v>
      </c>
      <c r="L1137" s="3" t="n">
        <v>1</v>
      </c>
      <c r="M1137" s="3" t="n">
        <v>1</v>
      </c>
      <c r="N1137" s="3" t="n">
        <v>2</v>
      </c>
      <c r="O1137" s="3" t="n">
        <v>2</v>
      </c>
      <c r="P1137" s="3" t="n">
        <v>2</v>
      </c>
      <c r="Q1137" s="3" t="n">
        <v>2</v>
      </c>
      <c r="R1137" s="3" t="n">
        <v>2</v>
      </c>
      <c r="S1137" s="3" t="n">
        <v>2</v>
      </c>
      <c r="T1137" s="4" t="n">
        <v>2</v>
      </c>
      <c r="U1137" s="3" t="n">
        <v>2</v>
      </c>
      <c r="V1137" s="3" t="n">
        <v>5.3</v>
      </c>
      <c r="AD1137" s="3" t="n">
        <v>2</v>
      </c>
      <c r="AE1137" s="3" t="n">
        <v>1</v>
      </c>
      <c r="AF1137" s="3" t="n">
        <v>1</v>
      </c>
      <c r="AG1137" s="3" t="n">
        <v>1</v>
      </c>
      <c r="AH1137" s="3" t="n">
        <v>2</v>
      </c>
      <c r="AI1137" s="3" t="n">
        <v>2</v>
      </c>
      <c r="AJ1137" s="3" t="n">
        <v>2</v>
      </c>
      <c r="AK1137" s="3" t="n">
        <v>2</v>
      </c>
      <c r="AL1137" s="3" t="n">
        <v>2</v>
      </c>
      <c r="AM1137" s="3" t="n">
        <v>2</v>
      </c>
      <c r="AN1137" s="3" t="n">
        <v>2</v>
      </c>
      <c r="AO1137" s="3" t="n">
        <v>2</v>
      </c>
      <c r="AP1137" s="3" t="n">
        <v>3</v>
      </c>
      <c r="AQ1137" s="3" t="n">
        <v>4</v>
      </c>
      <c r="AR1137" s="3" t="n">
        <v>4</v>
      </c>
      <c r="AS1137" s="3" t="n">
        <v>6</v>
      </c>
      <c r="AT1137" s="3" t="n">
        <v>4</v>
      </c>
      <c r="AU1137" s="3" t="n">
        <v>4</v>
      </c>
      <c r="AV1137" s="3" t="n">
        <v>6</v>
      </c>
      <c r="AW1137" s="3" t="n">
        <v>6</v>
      </c>
      <c r="AX1137" s="3" t="n">
        <v>3</v>
      </c>
      <c r="AY1137" s="3" t="n">
        <v>3</v>
      </c>
      <c r="AZ1137" s="3" t="n">
        <v>1</v>
      </c>
      <c r="BA1137" s="5" t="n">
        <v>1</v>
      </c>
      <c r="BB1137" s="3" t="n">
        <v>1</v>
      </c>
      <c r="BC1137" s="3" t="n">
        <v>1</v>
      </c>
      <c r="BD1137" s="3" t="n">
        <v>5</v>
      </c>
      <c r="BE1137" s="3" t="n">
        <v>1</v>
      </c>
      <c r="BF1137" s="3" t="n">
        <v>2</v>
      </c>
      <c r="BG1137" s="3" t="n">
        <v>1</v>
      </c>
      <c r="BH1137" s="3" t="n">
        <v>4</v>
      </c>
      <c r="BI1137" s="3" t="n">
        <v>1</v>
      </c>
      <c r="BJ1137" s="3" t="n">
        <v>1</v>
      </c>
      <c r="BK1137" s="21" t="s">
        <v>2867</v>
      </c>
    </row>
    <row r="1138" customFormat="false" ht="15" hidden="false" customHeight="true" outlineLevel="0" collapsed="false">
      <c r="B1138" s="17" t="s">
        <v>2868</v>
      </c>
      <c r="C1138" s="17" t="s">
        <v>2869</v>
      </c>
      <c r="D1138" s="17" t="s">
        <v>519</v>
      </c>
      <c r="E1138" s="2" t="n">
        <v>209308</v>
      </c>
      <c r="F1138" s="15" t="n">
        <v>44242</v>
      </c>
      <c r="G1138" s="15" t="n">
        <v>44218</v>
      </c>
      <c r="H1138" s="3" t="n">
        <v>8</v>
      </c>
      <c r="I1138" s="3" t="n">
        <v>1</v>
      </c>
      <c r="J1138" s="3" t="n">
        <v>71</v>
      </c>
      <c r="K1138" s="3" t="n">
        <v>2</v>
      </c>
      <c r="L1138" s="3" t="n">
        <v>1</v>
      </c>
      <c r="M1138" s="3" t="n">
        <v>1</v>
      </c>
      <c r="N1138" s="3" t="n">
        <v>2</v>
      </c>
      <c r="O1138" s="3" t="n">
        <v>2</v>
      </c>
      <c r="P1138" s="3" t="n">
        <v>2</v>
      </c>
      <c r="Q1138" s="3" t="n">
        <v>1</v>
      </c>
      <c r="R1138" s="3" t="n">
        <v>2</v>
      </c>
      <c r="S1138" s="3" t="n">
        <v>1</v>
      </c>
      <c r="T1138" s="4" t="n">
        <v>2</v>
      </c>
      <c r="U1138" s="3" t="n">
        <v>2</v>
      </c>
      <c r="V1138" s="19" t="s">
        <v>2870</v>
      </c>
      <c r="W1138" s="19" t="s">
        <v>1391</v>
      </c>
      <c r="X1138" s="19" t="s">
        <v>2871</v>
      </c>
      <c r="Y1138" s="3" t="n">
        <v>457</v>
      </c>
      <c r="Z1138" s="3" t="n">
        <v>98</v>
      </c>
      <c r="AA1138" s="19" t="s">
        <v>2872</v>
      </c>
      <c r="AB1138" s="19" t="s">
        <v>2873</v>
      </c>
      <c r="AC1138" s="3" t="n">
        <v>1</v>
      </c>
      <c r="AD1138" s="3" t="n">
        <v>2</v>
      </c>
      <c r="AE1138" s="3" t="n">
        <v>2</v>
      </c>
      <c r="AF1138" s="3" t="n">
        <v>1</v>
      </c>
      <c r="AG1138" s="3" t="n">
        <v>2</v>
      </c>
      <c r="AH1138" s="3" t="n">
        <v>2</v>
      </c>
      <c r="AI1138" s="3" t="n">
        <v>1</v>
      </c>
      <c r="AJ1138" s="3" t="n">
        <v>2</v>
      </c>
      <c r="AK1138" s="3" t="n">
        <v>2</v>
      </c>
      <c r="AL1138" s="3" t="n">
        <v>2</v>
      </c>
      <c r="AM1138" s="3" t="n">
        <v>2</v>
      </c>
      <c r="AN1138" s="3" t="n">
        <v>2</v>
      </c>
      <c r="AO1138" s="3" t="n">
        <v>2</v>
      </c>
      <c r="AP1138" s="3" t="n">
        <v>3</v>
      </c>
      <c r="AQ1138" s="3" t="n">
        <v>4</v>
      </c>
      <c r="AR1138" s="3" t="n">
        <v>4</v>
      </c>
      <c r="AS1138" s="3" t="n">
        <v>6</v>
      </c>
      <c r="AT1138" s="3" t="n">
        <v>4</v>
      </c>
      <c r="AU1138" s="3" t="n">
        <v>4</v>
      </c>
      <c r="AV1138" s="3" t="n">
        <v>6</v>
      </c>
      <c r="AW1138" s="3" t="n">
        <v>6</v>
      </c>
      <c r="AX1138" s="3" t="n">
        <v>3</v>
      </c>
      <c r="AY1138" s="3" t="n">
        <v>3</v>
      </c>
      <c r="AZ1138" s="3" t="n">
        <v>1</v>
      </c>
      <c r="BA1138" s="5" t="n">
        <v>1</v>
      </c>
      <c r="BB1138" s="3" t="n">
        <v>1</v>
      </c>
      <c r="BC1138" s="3" t="n">
        <v>1</v>
      </c>
      <c r="BD1138" s="3" t="n">
        <v>4</v>
      </c>
      <c r="BE1138" s="3" t="n">
        <v>2</v>
      </c>
      <c r="BF1138" s="3" t="n">
        <v>1</v>
      </c>
      <c r="BG1138" s="3" t="n">
        <v>2</v>
      </c>
      <c r="BH1138" s="3" t="n">
        <v>4</v>
      </c>
      <c r="BI1138" s="3" t="n">
        <v>1</v>
      </c>
      <c r="BJ1138" s="3" t="n">
        <v>1</v>
      </c>
      <c r="BK1138" s="21" t="s">
        <v>2874</v>
      </c>
    </row>
    <row r="1139" customFormat="false" ht="15" hidden="false" customHeight="true" outlineLevel="0" collapsed="false">
      <c r="B1139" s="17" t="s">
        <v>1416</v>
      </c>
      <c r="C1139" s="17" t="s">
        <v>446</v>
      </c>
      <c r="D1139" s="17" t="s">
        <v>1784</v>
      </c>
      <c r="E1139" s="2" t="n">
        <v>209345</v>
      </c>
      <c r="F1139" s="15" t="n">
        <v>44244</v>
      </c>
      <c r="G1139" s="15" t="n">
        <v>44218</v>
      </c>
      <c r="H1139" s="3" t="n">
        <v>5</v>
      </c>
      <c r="I1139" s="3" t="n">
        <v>1</v>
      </c>
      <c r="J1139" s="3" t="n">
        <v>48</v>
      </c>
      <c r="K1139" s="3" t="n">
        <v>2</v>
      </c>
      <c r="L1139" s="3" t="n">
        <v>1</v>
      </c>
      <c r="M1139" s="3" t="n">
        <v>1</v>
      </c>
      <c r="N1139" s="3" t="n">
        <v>2</v>
      </c>
      <c r="O1139" s="3" t="n">
        <v>2</v>
      </c>
      <c r="P1139" s="3" t="n">
        <v>2</v>
      </c>
      <c r="Q1139" s="3" t="n">
        <v>2</v>
      </c>
      <c r="R1139" s="3" t="n">
        <v>2</v>
      </c>
      <c r="S1139" s="3" t="n">
        <v>2</v>
      </c>
      <c r="T1139" s="4" t="n">
        <v>1</v>
      </c>
      <c r="U1139" s="3" t="n">
        <v>1</v>
      </c>
      <c r="V1139" s="3" t="n">
        <v>3.04</v>
      </c>
      <c r="W1139" s="3" t="n">
        <v>1.04</v>
      </c>
      <c r="X1139" s="3" t="n">
        <v>5.26</v>
      </c>
      <c r="Y1139" s="3" t="n">
        <v>339</v>
      </c>
      <c r="Z1139" s="3" t="n">
        <v>69</v>
      </c>
      <c r="AA1139" s="3" t="n">
        <v>0.45</v>
      </c>
      <c r="AB1139" s="3" t="n">
        <v>5.1</v>
      </c>
      <c r="AC1139" s="3" t="n">
        <v>1</v>
      </c>
      <c r="AD1139" s="3" t="n">
        <v>1</v>
      </c>
      <c r="AE1139" s="3" t="n">
        <v>1</v>
      </c>
      <c r="AF1139" s="3" t="n">
        <v>1</v>
      </c>
      <c r="AG1139" s="3" t="n">
        <v>1</v>
      </c>
      <c r="AH1139" s="3" t="n">
        <v>1</v>
      </c>
      <c r="AI1139" s="3" t="n">
        <v>1</v>
      </c>
      <c r="AJ1139" s="3" t="n">
        <v>1</v>
      </c>
      <c r="AK1139" s="3" t="n">
        <v>2</v>
      </c>
      <c r="AL1139" s="3" t="n">
        <v>2</v>
      </c>
      <c r="AM1139" s="3" t="n">
        <v>1</v>
      </c>
      <c r="AN1139" s="3" t="n">
        <v>2</v>
      </c>
      <c r="AO1139" s="3" t="n">
        <v>2</v>
      </c>
      <c r="AP1139" s="3" t="n">
        <v>3</v>
      </c>
      <c r="AQ1139" s="3" t="n">
        <v>4</v>
      </c>
      <c r="AR1139" s="3" t="n">
        <v>4</v>
      </c>
      <c r="AS1139" s="3" t="n">
        <v>6</v>
      </c>
      <c r="AT1139" s="3" t="n">
        <v>4</v>
      </c>
      <c r="AU1139" s="3" t="n">
        <v>4</v>
      </c>
      <c r="AV1139" s="3" t="n">
        <v>6</v>
      </c>
      <c r="AW1139" s="3" t="n">
        <v>6</v>
      </c>
      <c r="AX1139" s="3" t="n">
        <v>3</v>
      </c>
      <c r="AY1139" s="3" t="n">
        <v>3</v>
      </c>
      <c r="AZ1139" s="3" t="n">
        <v>1</v>
      </c>
      <c r="BA1139" s="5" t="n">
        <v>5</v>
      </c>
      <c r="BB1139" s="3" t="n">
        <v>2</v>
      </c>
      <c r="BC1139" s="3" t="n">
        <v>1</v>
      </c>
      <c r="BD1139" s="3" t="n">
        <v>6</v>
      </c>
      <c r="BE1139" s="3" t="n">
        <v>3</v>
      </c>
      <c r="BF1139" s="3" t="n">
        <v>5</v>
      </c>
      <c r="BG1139" s="3" t="n">
        <v>3</v>
      </c>
      <c r="BH1139" s="3" t="n">
        <v>4</v>
      </c>
      <c r="BI1139" s="3" t="n">
        <v>1</v>
      </c>
      <c r="BJ1139" s="3" t="n">
        <v>1</v>
      </c>
      <c r="BK1139" s="21" t="s">
        <v>2875</v>
      </c>
    </row>
    <row r="1140" customFormat="false" ht="15" hidden="false" customHeight="true" outlineLevel="0" collapsed="false">
      <c r="B1140" s="2" t="s">
        <v>2876</v>
      </c>
      <c r="C1140" s="2" t="s">
        <v>2877</v>
      </c>
      <c r="D1140" s="2" t="s">
        <v>197</v>
      </c>
      <c r="E1140" s="2" t="n">
        <v>209158</v>
      </c>
      <c r="F1140" s="15" t="n">
        <v>44240</v>
      </c>
      <c r="G1140" s="15" t="n">
        <v>44249</v>
      </c>
      <c r="H1140" s="3" t="n">
        <v>9</v>
      </c>
      <c r="I1140" s="3" t="n">
        <v>1</v>
      </c>
      <c r="J1140" s="3" t="n">
        <v>90</v>
      </c>
      <c r="K1140" s="3" t="n">
        <v>2</v>
      </c>
      <c r="L1140" s="3" t="n">
        <v>2</v>
      </c>
      <c r="M1140" s="3" t="n">
        <v>1</v>
      </c>
      <c r="N1140" s="3" t="n">
        <v>2</v>
      </c>
      <c r="O1140" s="3" t="n">
        <v>2</v>
      </c>
      <c r="P1140" s="3" t="n">
        <v>2</v>
      </c>
      <c r="Q1140" s="3" t="n">
        <v>1</v>
      </c>
      <c r="R1140" s="3" t="n">
        <v>2</v>
      </c>
      <c r="S1140" s="3" t="n">
        <v>1</v>
      </c>
      <c r="T1140" s="4" t="n">
        <v>3</v>
      </c>
      <c r="U1140" s="3" t="n">
        <v>4</v>
      </c>
      <c r="V1140" s="19" t="s">
        <v>2878</v>
      </c>
      <c r="W1140" s="19" t="s">
        <v>2872</v>
      </c>
      <c r="X1140" s="19" t="s">
        <v>2879</v>
      </c>
      <c r="Y1140" s="3" t="n">
        <v>360</v>
      </c>
      <c r="Z1140" s="3" t="n">
        <v>107</v>
      </c>
      <c r="AA1140" s="19" t="s">
        <v>2880</v>
      </c>
      <c r="AD1140" s="3" t="n">
        <v>1</v>
      </c>
      <c r="AE1140" s="3" t="n">
        <v>1</v>
      </c>
      <c r="AF1140" s="3" t="n">
        <v>1</v>
      </c>
      <c r="AG1140" s="3" t="n">
        <v>2</v>
      </c>
      <c r="AH1140" s="3" t="n">
        <v>1</v>
      </c>
      <c r="AI1140" s="3" t="n">
        <v>1</v>
      </c>
      <c r="AJ1140" s="3" t="n">
        <v>1</v>
      </c>
      <c r="AK1140" s="3" t="n">
        <v>2</v>
      </c>
      <c r="AL1140" s="3" t="n">
        <v>2</v>
      </c>
      <c r="AM1140" s="3" t="n">
        <v>1</v>
      </c>
      <c r="AN1140" s="3" t="n">
        <v>2</v>
      </c>
      <c r="AO1140" s="3" t="n">
        <v>2</v>
      </c>
      <c r="AP1140" s="3" t="n">
        <v>3</v>
      </c>
      <c r="AQ1140" s="3" t="n">
        <v>4</v>
      </c>
      <c r="AR1140" s="3" t="n">
        <v>4</v>
      </c>
      <c r="AS1140" s="3" t="n">
        <v>6</v>
      </c>
      <c r="AT1140" s="3" t="n">
        <v>4</v>
      </c>
      <c r="AU1140" s="3" t="n">
        <v>4</v>
      </c>
      <c r="AV1140" s="3" t="n">
        <v>6</v>
      </c>
      <c r="AW1140" s="3" t="n">
        <v>6</v>
      </c>
      <c r="AX1140" s="3" t="n">
        <v>3</v>
      </c>
      <c r="AY1140" s="3" t="n">
        <v>3</v>
      </c>
      <c r="AZ1140" s="3" t="n">
        <v>1</v>
      </c>
      <c r="BA1140" s="5" t="n">
        <v>11</v>
      </c>
      <c r="BB1140" s="3" t="n">
        <v>2</v>
      </c>
      <c r="BC1140" s="3" t="n">
        <v>1</v>
      </c>
      <c r="BD1140" s="3" t="n">
        <v>6</v>
      </c>
      <c r="BE1140" s="3" t="n">
        <v>3</v>
      </c>
      <c r="BF1140" s="3" t="n">
        <v>5</v>
      </c>
      <c r="BG1140" s="3" t="n">
        <v>3</v>
      </c>
      <c r="BH1140" s="3" t="n">
        <v>4</v>
      </c>
      <c r="BI1140" s="3" t="n">
        <v>1</v>
      </c>
      <c r="BJ1140" s="3" t="n">
        <v>1</v>
      </c>
      <c r="BK1140" s="6" t="s">
        <v>2881</v>
      </c>
    </row>
    <row r="1141" customFormat="false" ht="15" hidden="false" customHeight="true" outlineLevel="0" collapsed="false">
      <c r="B1141" s="17" t="s">
        <v>2882</v>
      </c>
      <c r="C1141" s="17" t="s">
        <v>2563</v>
      </c>
      <c r="D1141" s="17" t="s">
        <v>2883</v>
      </c>
      <c r="E1141" s="2" t="n">
        <v>209471</v>
      </c>
      <c r="F1141" s="15" t="n">
        <v>44248</v>
      </c>
      <c r="G1141" s="15" t="n">
        <v>44255</v>
      </c>
      <c r="H1141" s="3" t="n">
        <v>7</v>
      </c>
      <c r="I1141" s="3" t="n">
        <v>2</v>
      </c>
      <c r="J1141" s="3" t="n">
        <v>67</v>
      </c>
      <c r="K1141" s="3" t="n">
        <v>1</v>
      </c>
      <c r="L1141" s="3" t="n">
        <v>1</v>
      </c>
      <c r="M1141" s="3" t="n">
        <v>1</v>
      </c>
      <c r="N1141" s="3" t="n">
        <v>1</v>
      </c>
      <c r="O1141" s="3" t="n">
        <v>2</v>
      </c>
      <c r="P1141" s="3" t="n">
        <v>2</v>
      </c>
      <c r="Q1141" s="3" t="n">
        <v>1</v>
      </c>
      <c r="R1141" s="3" t="n">
        <v>2</v>
      </c>
      <c r="S1141" s="3" t="n">
        <v>2</v>
      </c>
      <c r="T1141" s="4" t="n">
        <v>2</v>
      </c>
      <c r="U1141" s="3" t="n">
        <v>2</v>
      </c>
      <c r="AD1141" s="3" t="n">
        <v>2</v>
      </c>
      <c r="AE1141" s="3" t="n">
        <v>1</v>
      </c>
      <c r="AF1141" s="3" t="n">
        <v>1</v>
      </c>
      <c r="AG1141" s="3" t="n">
        <v>2</v>
      </c>
      <c r="AH1141" s="3" t="n">
        <v>2</v>
      </c>
      <c r="AI1141" s="3" t="n">
        <v>1</v>
      </c>
      <c r="AJ1141" s="3" t="n">
        <v>1</v>
      </c>
      <c r="AK1141" s="3" t="n">
        <v>2</v>
      </c>
      <c r="AL1141" s="3" t="n">
        <v>2</v>
      </c>
      <c r="AM1141" s="3" t="n">
        <v>2</v>
      </c>
      <c r="AN1141" s="3" t="n">
        <v>2</v>
      </c>
      <c r="AO1141" s="3" t="n">
        <v>2</v>
      </c>
      <c r="AP1141" s="3" t="n">
        <v>3</v>
      </c>
      <c r="AQ1141" s="3" t="n">
        <v>4</v>
      </c>
      <c r="AR1141" s="3" t="n">
        <v>4</v>
      </c>
      <c r="AS1141" s="3" t="n">
        <v>6</v>
      </c>
      <c r="AT1141" s="3" t="n">
        <v>4</v>
      </c>
      <c r="AU1141" s="3" t="n">
        <v>4</v>
      </c>
      <c r="AV1141" s="3" t="n">
        <v>6</v>
      </c>
      <c r="AW1141" s="3" t="n">
        <v>6</v>
      </c>
      <c r="AX1141" s="3" t="n">
        <v>3</v>
      </c>
      <c r="AY1141" s="3" t="n">
        <v>3</v>
      </c>
      <c r="AZ1141" s="3" t="n">
        <v>1</v>
      </c>
      <c r="BA1141" s="5" t="n">
        <v>1</v>
      </c>
      <c r="BB1141" s="3" t="n">
        <v>1</v>
      </c>
      <c r="BC1141" s="3" t="n">
        <v>1</v>
      </c>
      <c r="BD1141" s="3" t="n">
        <v>4</v>
      </c>
      <c r="BE1141" s="3" t="n">
        <v>1</v>
      </c>
      <c r="BF1141" s="3" t="n">
        <v>2</v>
      </c>
      <c r="BG1141" s="3" t="n">
        <v>1</v>
      </c>
      <c r="BH1141" s="3" t="n">
        <v>4</v>
      </c>
      <c r="BI1141" s="3" t="n">
        <v>1</v>
      </c>
      <c r="BJ1141" s="3" t="n">
        <v>1</v>
      </c>
      <c r="BK1141" s="21" t="s">
        <v>2884</v>
      </c>
    </row>
    <row r="1142" customFormat="false" ht="15" hidden="false" customHeight="true" outlineLevel="0" collapsed="false">
      <c r="B1142" s="17" t="s">
        <v>442</v>
      </c>
      <c r="C1142" s="17" t="s">
        <v>2885</v>
      </c>
      <c r="D1142" s="17" t="s">
        <v>2886</v>
      </c>
      <c r="E1142" s="2" t="n">
        <v>209410</v>
      </c>
      <c r="F1142" s="15" t="n">
        <v>44245</v>
      </c>
      <c r="G1142" s="15" t="n">
        <v>44252</v>
      </c>
      <c r="H1142" s="3" t="n">
        <v>7</v>
      </c>
      <c r="I1142" s="3" t="n">
        <v>2</v>
      </c>
      <c r="J1142" s="3" t="n">
        <v>55</v>
      </c>
      <c r="K1142" s="3" t="n">
        <v>2</v>
      </c>
      <c r="L1142" s="3" t="n">
        <v>1</v>
      </c>
      <c r="M1142" s="3" t="n">
        <v>1</v>
      </c>
      <c r="N1142" s="3" t="n">
        <v>2</v>
      </c>
      <c r="O1142" s="3" t="n">
        <v>2</v>
      </c>
      <c r="P1142" s="3" t="n">
        <v>2</v>
      </c>
      <c r="Q1142" s="3" t="n">
        <v>2</v>
      </c>
      <c r="R1142" s="3" t="n">
        <v>2</v>
      </c>
      <c r="S1142" s="3" t="n">
        <v>2</v>
      </c>
      <c r="T1142" s="4" t="n">
        <v>1</v>
      </c>
      <c r="U1142" s="3" t="n">
        <v>1</v>
      </c>
      <c r="V1142" s="3" t="n">
        <v>3.18</v>
      </c>
      <c r="W1142" s="3" t="n">
        <v>0.45</v>
      </c>
      <c r="X1142" s="3" t="n">
        <v>2.53</v>
      </c>
      <c r="Y1142" s="3" t="n">
        <v>397</v>
      </c>
      <c r="Z1142" s="3" t="n">
        <v>90</v>
      </c>
      <c r="AA1142" s="3" t="n">
        <v>0.44</v>
      </c>
      <c r="AB1142" s="3" t="n">
        <v>12</v>
      </c>
      <c r="AD1142" s="3" t="n">
        <v>1</v>
      </c>
      <c r="AE1142" s="3" t="n">
        <v>1</v>
      </c>
      <c r="AF1142" s="3" t="n">
        <v>1</v>
      </c>
      <c r="AG1142" s="3" t="n">
        <v>2</v>
      </c>
      <c r="AH1142" s="3" t="n">
        <v>1</v>
      </c>
      <c r="AI1142" s="3" t="n">
        <v>1</v>
      </c>
      <c r="AJ1142" s="3" t="n">
        <v>1</v>
      </c>
      <c r="AK1142" s="3" t="n">
        <v>2</v>
      </c>
      <c r="AL1142" s="3" t="n">
        <v>2</v>
      </c>
      <c r="AM1142" s="3" t="n">
        <v>2</v>
      </c>
      <c r="AN1142" s="3" t="n">
        <v>2</v>
      </c>
      <c r="AO1142" s="3" t="n">
        <v>2</v>
      </c>
      <c r="AP1142" s="3" t="n">
        <v>3</v>
      </c>
      <c r="AQ1142" s="3" t="n">
        <v>4</v>
      </c>
      <c r="AR1142" s="3" t="n">
        <v>4</v>
      </c>
      <c r="AS1142" s="3" t="n">
        <v>6</v>
      </c>
      <c r="AT1142" s="3" t="n">
        <v>4</v>
      </c>
      <c r="AU1142" s="3" t="n">
        <v>4</v>
      </c>
      <c r="AV1142" s="3" t="n">
        <v>6</v>
      </c>
      <c r="AW1142" s="3" t="n">
        <v>6</v>
      </c>
      <c r="AX1142" s="3" t="n">
        <v>3</v>
      </c>
      <c r="AY1142" s="3" t="n">
        <v>3</v>
      </c>
      <c r="AZ1142" s="3" t="n">
        <v>1</v>
      </c>
      <c r="BA1142" s="5" t="n">
        <v>5</v>
      </c>
      <c r="BB1142" s="3" t="n">
        <v>2</v>
      </c>
      <c r="BC1142" s="3" t="n">
        <v>1</v>
      </c>
      <c r="BD1142" s="3" t="n">
        <v>6</v>
      </c>
      <c r="BE1142" s="3" t="n">
        <v>3</v>
      </c>
      <c r="BF1142" s="3" t="n">
        <v>5</v>
      </c>
      <c r="BG1142" s="3" t="n">
        <v>3</v>
      </c>
      <c r="BH1142" s="3" t="n">
        <v>4</v>
      </c>
      <c r="BI1142" s="3" t="n">
        <v>1</v>
      </c>
      <c r="BJ1142" s="3" t="n">
        <v>1</v>
      </c>
      <c r="BK1142" s="21" t="s">
        <v>2887</v>
      </c>
    </row>
    <row r="1143" customFormat="false" ht="15" hidden="false" customHeight="false" outlineLevel="0" collapsed="false">
      <c r="B1143" s="17" t="s">
        <v>2888</v>
      </c>
      <c r="C1143" s="17" t="s">
        <v>898</v>
      </c>
      <c r="D1143" s="17" t="s">
        <v>2332</v>
      </c>
      <c r="E1143" s="2" t="n">
        <v>209347</v>
      </c>
      <c r="F1143" s="15" t="n">
        <v>44244</v>
      </c>
      <c r="G1143" s="15" t="n">
        <v>44251</v>
      </c>
      <c r="H1143" s="3" t="n">
        <v>7</v>
      </c>
      <c r="I1143" s="3" t="n">
        <v>1</v>
      </c>
      <c r="J1143" s="3" t="n">
        <v>61</v>
      </c>
      <c r="K1143" s="3" t="n">
        <v>2</v>
      </c>
      <c r="L1143" s="3" t="n">
        <v>1</v>
      </c>
      <c r="M1143" s="3" t="n">
        <v>1</v>
      </c>
      <c r="N1143" s="3" t="n">
        <v>2</v>
      </c>
      <c r="O1143" s="3" t="n">
        <v>2</v>
      </c>
      <c r="P1143" s="3" t="n">
        <v>2</v>
      </c>
      <c r="Q1143" s="3" t="n">
        <v>2</v>
      </c>
      <c r="R1143" s="3" t="n">
        <v>2</v>
      </c>
      <c r="S1143" s="3" t="n">
        <v>2</v>
      </c>
      <c r="T1143" s="4" t="n">
        <v>2</v>
      </c>
      <c r="U1143" s="3" t="n">
        <v>2</v>
      </c>
      <c r="V1143" s="19" t="s">
        <v>2889</v>
      </c>
      <c r="W1143" s="19" t="s">
        <v>2890</v>
      </c>
      <c r="X1143" s="19" t="s">
        <v>2891</v>
      </c>
      <c r="Y1143" s="3" t="n">
        <v>268</v>
      </c>
      <c r="Z1143" s="3" t="n">
        <v>76</v>
      </c>
      <c r="AA1143" s="19" t="s">
        <v>1427</v>
      </c>
      <c r="AB1143" s="19" t="s">
        <v>2892</v>
      </c>
      <c r="AD1143" s="3" t="n">
        <v>2</v>
      </c>
      <c r="AE1143" s="3" t="n">
        <v>1</v>
      </c>
      <c r="AF1143" s="3" t="n">
        <v>1</v>
      </c>
      <c r="AG1143" s="3" t="n">
        <v>2</v>
      </c>
      <c r="AH1143" s="3" t="n">
        <v>1</v>
      </c>
      <c r="AI1143" s="3" t="n">
        <v>1</v>
      </c>
      <c r="AJ1143" s="3" t="n">
        <v>1</v>
      </c>
      <c r="AK1143" s="3" t="n">
        <v>2</v>
      </c>
      <c r="AL1143" s="3" t="n">
        <v>2</v>
      </c>
      <c r="AM1143" s="3" t="n">
        <v>1</v>
      </c>
      <c r="AN1143" s="3" t="n">
        <v>2</v>
      </c>
      <c r="AO1143" s="3" t="n">
        <v>2</v>
      </c>
      <c r="AP1143" s="3" t="n">
        <v>3</v>
      </c>
      <c r="AQ1143" s="3" t="n">
        <v>4</v>
      </c>
      <c r="AR1143" s="3" t="n">
        <v>4</v>
      </c>
      <c r="AS1143" s="3" t="n">
        <v>6</v>
      </c>
      <c r="AT1143" s="3" t="n">
        <v>4</v>
      </c>
      <c r="AU1143" s="3" t="n">
        <v>4</v>
      </c>
      <c r="AV1143" s="3" t="n">
        <v>6</v>
      </c>
      <c r="AW1143" s="3" t="n">
        <v>6</v>
      </c>
      <c r="AX1143" s="3" t="n">
        <v>3</v>
      </c>
      <c r="AY1143" s="3" t="n">
        <v>3</v>
      </c>
      <c r="AZ1143" s="3" t="n">
        <v>1</v>
      </c>
      <c r="BA1143" s="5" t="n">
        <v>1</v>
      </c>
      <c r="BB1143" s="19" t="n">
        <v>1</v>
      </c>
      <c r="BC1143" s="19" t="n">
        <v>1</v>
      </c>
      <c r="BD1143" s="19" t="n">
        <v>2</v>
      </c>
      <c r="BE1143" s="19" t="n">
        <v>1</v>
      </c>
      <c r="BF1143" s="19" t="n">
        <v>2</v>
      </c>
      <c r="BG1143" s="19" t="n">
        <v>1</v>
      </c>
      <c r="BH1143" s="19" t="n">
        <v>4</v>
      </c>
      <c r="BI1143" s="19" t="n">
        <v>1</v>
      </c>
      <c r="BJ1143" s="19" t="n">
        <v>1</v>
      </c>
      <c r="BK1143" s="21" t="s">
        <v>2893</v>
      </c>
    </row>
    <row r="1144" customFormat="false" ht="15" hidden="false" customHeight="true" outlineLevel="0" collapsed="false">
      <c r="B1144" s="17" t="s">
        <v>2894</v>
      </c>
      <c r="C1144" s="17" t="s">
        <v>2895</v>
      </c>
      <c r="D1144" s="17" t="s">
        <v>2896</v>
      </c>
      <c r="E1144" s="2" t="n">
        <v>209336</v>
      </c>
      <c r="F1144" s="15" t="n">
        <v>44243</v>
      </c>
      <c r="G1144" s="15" t="n">
        <v>44250</v>
      </c>
      <c r="H1144" s="3" t="n">
        <v>7</v>
      </c>
      <c r="I1144" s="3" t="n">
        <v>2</v>
      </c>
      <c r="J1144" s="3" t="n">
        <v>65</v>
      </c>
      <c r="K1144" s="3" t="n">
        <v>2</v>
      </c>
      <c r="L1144" s="3" t="n">
        <v>2</v>
      </c>
      <c r="M1144" s="3" t="n">
        <v>1</v>
      </c>
      <c r="N1144" s="3" t="n">
        <v>1</v>
      </c>
      <c r="O1144" s="3" t="n">
        <v>2</v>
      </c>
      <c r="P1144" s="3" t="n">
        <v>2</v>
      </c>
      <c r="Q1144" s="3" t="n">
        <v>1</v>
      </c>
      <c r="R1144" s="3" t="n">
        <v>2</v>
      </c>
      <c r="S1144" s="3" t="n">
        <v>1</v>
      </c>
      <c r="T1144" s="4" t="n">
        <v>2</v>
      </c>
      <c r="U1144" s="3" t="n">
        <v>2</v>
      </c>
      <c r="V1144" s="19" t="s">
        <v>2897</v>
      </c>
      <c r="W1144" s="19" t="s">
        <v>1407</v>
      </c>
      <c r="X1144" s="19" t="s">
        <v>2898</v>
      </c>
      <c r="Y1144" s="3" t="n">
        <v>239</v>
      </c>
      <c r="Z1144" s="3" t="n">
        <v>99</v>
      </c>
      <c r="AA1144" s="19" t="s">
        <v>1262</v>
      </c>
      <c r="AB1144" s="19" t="s">
        <v>2899</v>
      </c>
      <c r="AC1144" s="3" t="n">
        <v>1</v>
      </c>
      <c r="AD1144" s="3" t="n">
        <v>2</v>
      </c>
      <c r="AE1144" s="3" t="n">
        <v>1</v>
      </c>
      <c r="AF1144" s="3" t="n">
        <v>1</v>
      </c>
      <c r="AG1144" s="3" t="n">
        <v>2</v>
      </c>
      <c r="AH1144" s="3" t="n">
        <v>1</v>
      </c>
      <c r="AI1144" s="3" t="n">
        <v>2</v>
      </c>
      <c r="AJ1144" s="3" t="n">
        <v>1</v>
      </c>
      <c r="AK1144" s="3" t="n">
        <v>2</v>
      </c>
      <c r="AL1144" s="3" t="n">
        <v>2</v>
      </c>
      <c r="AM1144" s="3" t="n">
        <v>2</v>
      </c>
      <c r="AN1144" s="3" t="n">
        <v>2</v>
      </c>
      <c r="AO1144" s="3" t="n">
        <v>2</v>
      </c>
      <c r="AP1144" s="3" t="n">
        <v>3</v>
      </c>
      <c r="AQ1144" s="3" t="n">
        <v>4</v>
      </c>
      <c r="AR1144" s="3" t="n">
        <v>4</v>
      </c>
      <c r="AS1144" s="3" t="n">
        <v>6</v>
      </c>
      <c r="AT1144" s="3" t="n">
        <v>4</v>
      </c>
      <c r="AU1144" s="3" t="n">
        <v>4</v>
      </c>
      <c r="AV1144" s="3" t="n">
        <v>6</v>
      </c>
      <c r="AW1144" s="3" t="n">
        <v>6</v>
      </c>
      <c r="AX1144" s="3" t="n">
        <v>3</v>
      </c>
      <c r="AY1144" s="3" t="n">
        <v>3</v>
      </c>
      <c r="AZ1144" s="3" t="n">
        <v>1</v>
      </c>
      <c r="BA1144" s="5" t="n">
        <v>1</v>
      </c>
      <c r="BB1144" s="3" t="n">
        <v>1</v>
      </c>
      <c r="BC1144" s="3" t="n">
        <v>1</v>
      </c>
      <c r="BD1144" s="3" t="n">
        <v>2</v>
      </c>
      <c r="BE1144" s="3" t="n">
        <v>3</v>
      </c>
      <c r="BF1144" s="3" t="n">
        <v>5</v>
      </c>
      <c r="BG1144" s="3" t="n">
        <v>3</v>
      </c>
      <c r="BH1144" s="3" t="n">
        <v>4</v>
      </c>
      <c r="BI1144" s="3" t="n">
        <v>1</v>
      </c>
      <c r="BJ1144" s="3" t="n">
        <v>1</v>
      </c>
      <c r="BK1144" s="21" t="s">
        <v>2893</v>
      </c>
    </row>
    <row r="1145" customFormat="false" ht="15" hidden="false" customHeight="true" outlineLevel="0" collapsed="false">
      <c r="B1145" s="17" t="s">
        <v>2900</v>
      </c>
      <c r="C1145" s="17" t="s">
        <v>1830</v>
      </c>
      <c r="D1145" s="17" t="s">
        <v>433</v>
      </c>
      <c r="E1145" s="2" t="n">
        <v>208435</v>
      </c>
      <c r="F1145" s="15" t="n">
        <v>44238</v>
      </c>
      <c r="G1145" s="15" t="n">
        <v>44249</v>
      </c>
      <c r="H1145" s="3" t="n">
        <v>11</v>
      </c>
      <c r="I1145" s="3" t="n">
        <v>1</v>
      </c>
      <c r="J1145" s="3" t="n">
        <v>77</v>
      </c>
      <c r="K1145" s="3" t="n">
        <v>1</v>
      </c>
      <c r="L1145" s="3" t="n">
        <v>2</v>
      </c>
      <c r="M1145" s="3" t="n">
        <v>1</v>
      </c>
      <c r="N1145" s="3" t="n">
        <v>2</v>
      </c>
      <c r="O1145" s="3" t="n">
        <v>2</v>
      </c>
      <c r="P1145" s="3" t="n">
        <v>1</v>
      </c>
      <c r="Q1145" s="3" t="n">
        <v>2</v>
      </c>
      <c r="R1145" s="3" t="n">
        <v>2</v>
      </c>
      <c r="S1145" s="3" t="n">
        <v>2</v>
      </c>
      <c r="T1145" s="4" t="n">
        <v>2</v>
      </c>
      <c r="U1145" s="3" t="n">
        <v>2</v>
      </c>
      <c r="V1145" s="19" t="n">
        <v>4.38</v>
      </c>
      <c r="W1145" s="19" t="n">
        <v>0.86</v>
      </c>
      <c r="X1145" s="19" t="n">
        <v>20.82</v>
      </c>
      <c r="Z1145" s="3" t="n">
        <v>123</v>
      </c>
      <c r="AA1145" s="19" t="n">
        <v>0.46</v>
      </c>
      <c r="AB1145" s="19"/>
      <c r="AC1145" s="3" t="n">
        <v>1</v>
      </c>
      <c r="AD1145" s="3" t="n">
        <v>2</v>
      </c>
      <c r="AE1145" s="3" t="n">
        <v>1</v>
      </c>
      <c r="AF1145" s="3" t="n">
        <v>1</v>
      </c>
      <c r="AG1145" s="3" t="n">
        <v>1</v>
      </c>
      <c r="AH1145" s="3" t="n">
        <v>2</v>
      </c>
      <c r="AI1145" s="3" t="n">
        <v>1</v>
      </c>
      <c r="AJ1145" s="3" t="n">
        <v>2</v>
      </c>
      <c r="AK1145" s="3" t="n">
        <v>2</v>
      </c>
      <c r="AL1145" s="3" t="n">
        <v>2</v>
      </c>
      <c r="AM1145" s="3" t="n">
        <v>2</v>
      </c>
      <c r="AN1145" s="3" t="n">
        <v>2</v>
      </c>
      <c r="AO1145" s="3" t="n">
        <v>2</v>
      </c>
      <c r="AP1145" s="3" t="n">
        <v>3</v>
      </c>
      <c r="AQ1145" s="3" t="n">
        <v>4</v>
      </c>
      <c r="AR1145" s="3" t="n">
        <v>4</v>
      </c>
      <c r="AS1145" s="3" t="n">
        <v>6</v>
      </c>
      <c r="AT1145" s="3" t="n">
        <v>4</v>
      </c>
      <c r="AU1145" s="3" t="n">
        <v>4</v>
      </c>
      <c r="AV1145" s="3" t="n">
        <v>6</v>
      </c>
      <c r="AW1145" s="3" t="n">
        <v>6</v>
      </c>
      <c r="AX1145" s="3" t="n">
        <v>3</v>
      </c>
      <c r="AY1145" s="3" t="n">
        <v>3</v>
      </c>
      <c r="AZ1145" s="3" t="n">
        <v>1</v>
      </c>
      <c r="BA1145" s="5" t="n">
        <v>1</v>
      </c>
      <c r="BB1145" s="3" t="n">
        <v>1</v>
      </c>
      <c r="BC1145" s="3" t="n">
        <v>1</v>
      </c>
      <c r="BD1145" s="3" t="n">
        <v>2</v>
      </c>
      <c r="BE1145" s="3" t="n">
        <v>1</v>
      </c>
      <c r="BF1145" s="3" t="n">
        <v>2</v>
      </c>
      <c r="BG1145" s="3" t="n">
        <v>1</v>
      </c>
      <c r="BH1145" s="3" t="n">
        <v>4</v>
      </c>
      <c r="BI1145" s="3" t="n">
        <v>1</v>
      </c>
      <c r="BJ1145" s="3" t="n">
        <v>1</v>
      </c>
      <c r="BK1145" s="21"/>
    </row>
    <row r="1146" customFormat="false" ht="15" hidden="false" customHeight="true" outlineLevel="0" collapsed="false">
      <c r="B1146" s="17" t="s">
        <v>2901</v>
      </c>
      <c r="C1146" s="17" t="s">
        <v>2589</v>
      </c>
      <c r="D1146" s="17" t="s">
        <v>2902</v>
      </c>
      <c r="E1146" s="2" t="n">
        <v>209328</v>
      </c>
      <c r="F1146" s="15" t="n">
        <v>44243</v>
      </c>
      <c r="G1146" s="15" t="n">
        <v>44245</v>
      </c>
      <c r="H1146" s="3" t="n">
        <v>2</v>
      </c>
      <c r="I1146" s="3" t="n">
        <v>1</v>
      </c>
      <c r="J1146" s="3" t="n">
        <v>56</v>
      </c>
      <c r="K1146" s="3" t="n">
        <v>2</v>
      </c>
      <c r="L1146" s="3" t="n">
        <v>2</v>
      </c>
      <c r="M1146" s="3" t="n">
        <v>1</v>
      </c>
      <c r="N1146" s="3" t="n">
        <v>2</v>
      </c>
      <c r="O1146" s="3" t="n">
        <v>2</v>
      </c>
      <c r="P1146" s="3" t="n">
        <v>2</v>
      </c>
      <c r="Q1146" s="3" t="n">
        <v>1</v>
      </c>
      <c r="R1146" s="3" t="n">
        <v>2</v>
      </c>
      <c r="S1146" s="3" t="n">
        <v>2</v>
      </c>
      <c r="T1146" s="4" t="n">
        <v>1</v>
      </c>
      <c r="U1146" s="3" t="n">
        <v>1</v>
      </c>
      <c r="V1146" s="19"/>
      <c r="W1146" s="19"/>
      <c r="X1146" s="19"/>
      <c r="AA1146" s="19"/>
      <c r="AB1146" s="19"/>
      <c r="AD1146" s="3" t="n">
        <v>1</v>
      </c>
      <c r="AE1146" s="3" t="n">
        <v>1</v>
      </c>
      <c r="AF1146" s="3" t="n">
        <v>1</v>
      </c>
      <c r="AG1146" s="3" t="n">
        <v>2</v>
      </c>
      <c r="AH1146" s="3" t="n">
        <v>2</v>
      </c>
      <c r="AI1146" s="3" t="n">
        <v>1</v>
      </c>
      <c r="AJ1146" s="3" t="n">
        <v>1</v>
      </c>
      <c r="AK1146" s="3" t="n">
        <v>2</v>
      </c>
      <c r="AL1146" s="3" t="n">
        <v>2</v>
      </c>
      <c r="AM1146" s="3" t="n">
        <v>2</v>
      </c>
      <c r="AN1146" s="3" t="n">
        <v>2</v>
      </c>
      <c r="AO1146" s="3" t="n">
        <v>2</v>
      </c>
      <c r="AP1146" s="3" t="n">
        <v>3</v>
      </c>
      <c r="AQ1146" s="3" t="n">
        <v>4</v>
      </c>
      <c r="AR1146" s="3" t="n">
        <v>4</v>
      </c>
      <c r="AS1146" s="3" t="n">
        <v>6</v>
      </c>
      <c r="AT1146" s="3" t="n">
        <v>4</v>
      </c>
      <c r="AU1146" s="3" t="n">
        <v>4</v>
      </c>
      <c r="AV1146" s="3" t="n">
        <v>6</v>
      </c>
      <c r="AW1146" s="3" t="n">
        <v>6</v>
      </c>
      <c r="AX1146" s="3" t="n">
        <v>3</v>
      </c>
      <c r="AY1146" s="3" t="n">
        <v>3</v>
      </c>
      <c r="AZ1146" s="3" t="n">
        <v>1</v>
      </c>
      <c r="BA1146" s="5" t="n">
        <v>2</v>
      </c>
      <c r="BB1146" s="3" t="n">
        <v>1</v>
      </c>
      <c r="BC1146" s="3" t="n">
        <v>1</v>
      </c>
      <c r="BD1146" s="3" t="n">
        <v>6</v>
      </c>
      <c r="BE1146" s="3" t="n">
        <v>3</v>
      </c>
      <c r="BF1146" s="3" t="n">
        <v>5</v>
      </c>
      <c r="BG1146" s="3" t="n">
        <v>3</v>
      </c>
      <c r="BH1146" s="3" t="n">
        <v>4</v>
      </c>
      <c r="BI1146" s="3" t="n">
        <v>1</v>
      </c>
      <c r="BJ1146" s="3" t="n">
        <v>1</v>
      </c>
      <c r="BK1146" s="21" t="s">
        <v>2903</v>
      </c>
    </row>
    <row r="1147" customFormat="false" ht="15" hidden="false" customHeight="true" outlineLevel="0" collapsed="false">
      <c r="B1147" s="17" t="s">
        <v>2904</v>
      </c>
      <c r="C1147" s="17" t="s">
        <v>2905</v>
      </c>
      <c r="D1147" s="17" t="s">
        <v>293</v>
      </c>
      <c r="E1147" s="2" t="n">
        <v>209433</v>
      </c>
      <c r="F1147" s="15" t="n">
        <v>44247</v>
      </c>
      <c r="G1147" s="15" t="n">
        <v>44253</v>
      </c>
      <c r="H1147" s="3" t="n">
        <v>6</v>
      </c>
      <c r="I1147" s="3" t="n">
        <v>2</v>
      </c>
      <c r="J1147" s="3" t="n">
        <v>59</v>
      </c>
      <c r="K1147" s="3" t="n">
        <v>1</v>
      </c>
      <c r="L1147" s="3" t="n">
        <v>1</v>
      </c>
      <c r="M1147" s="3" t="n">
        <v>1</v>
      </c>
      <c r="N1147" s="3" t="n">
        <v>2</v>
      </c>
      <c r="O1147" s="3" t="n">
        <v>2</v>
      </c>
      <c r="P1147" s="3" t="n">
        <v>2</v>
      </c>
      <c r="Q1147" s="3" t="n">
        <v>2</v>
      </c>
      <c r="R1147" s="3" t="n">
        <v>2</v>
      </c>
      <c r="S1147" s="3" t="n">
        <v>2</v>
      </c>
      <c r="T1147" s="4" t="n">
        <v>2</v>
      </c>
      <c r="U1147" s="3" t="n">
        <v>2</v>
      </c>
      <c r="AD1147" s="3" t="n">
        <v>2</v>
      </c>
      <c r="AE1147" s="3" t="n">
        <v>1</v>
      </c>
      <c r="AF1147" s="3" t="n">
        <v>1</v>
      </c>
      <c r="AG1147" s="3" t="n">
        <v>2</v>
      </c>
      <c r="AH1147" s="3" t="n">
        <v>1</v>
      </c>
      <c r="AI1147" s="3" t="n">
        <v>1</v>
      </c>
      <c r="AJ1147" s="3" t="n">
        <v>2</v>
      </c>
      <c r="AK1147" s="3" t="n">
        <v>2</v>
      </c>
      <c r="AL1147" s="3" t="n">
        <v>2</v>
      </c>
      <c r="AM1147" s="3" t="n">
        <v>1</v>
      </c>
      <c r="AN1147" s="3" t="n">
        <v>2</v>
      </c>
      <c r="AO1147" s="3" t="n">
        <v>2</v>
      </c>
      <c r="AP1147" s="3" t="n">
        <v>3</v>
      </c>
      <c r="AQ1147" s="3" t="n">
        <v>4</v>
      </c>
      <c r="AR1147" s="3" t="n">
        <v>4</v>
      </c>
      <c r="AS1147" s="3" t="n">
        <v>6</v>
      </c>
      <c r="AT1147" s="3" t="n">
        <v>4</v>
      </c>
      <c r="AU1147" s="3" t="n">
        <v>4</v>
      </c>
      <c r="AV1147" s="3" t="n">
        <v>6</v>
      </c>
      <c r="AW1147" s="3" t="n">
        <v>6</v>
      </c>
      <c r="AX1147" s="3" t="n">
        <v>3</v>
      </c>
      <c r="AY1147" s="3" t="n">
        <v>3</v>
      </c>
      <c r="AZ1147" s="3" t="n">
        <v>4</v>
      </c>
      <c r="BA1147" s="5" t="n">
        <v>1</v>
      </c>
      <c r="BB1147" s="3" t="n">
        <v>1</v>
      </c>
      <c r="BC1147" s="3" t="n">
        <v>1</v>
      </c>
      <c r="BD1147" s="3" t="n">
        <v>2</v>
      </c>
      <c r="BE1147" s="3" t="n">
        <v>1</v>
      </c>
      <c r="BF1147" s="3" t="n">
        <v>2</v>
      </c>
      <c r="BG1147" s="3" t="n">
        <v>2</v>
      </c>
      <c r="BH1147" s="3" t="n">
        <v>4</v>
      </c>
      <c r="BI1147" s="3" t="n">
        <v>1</v>
      </c>
      <c r="BJ1147" s="3" t="n">
        <v>1</v>
      </c>
      <c r="BK1147" s="21" t="s">
        <v>2906</v>
      </c>
    </row>
    <row r="1148" customFormat="false" ht="15" hidden="false" customHeight="true" outlineLevel="0" collapsed="false">
      <c r="B1148" s="17" t="s">
        <v>1477</v>
      </c>
      <c r="C1148" s="17" t="s">
        <v>109</v>
      </c>
      <c r="D1148" s="17" t="s">
        <v>2907</v>
      </c>
      <c r="E1148" s="2" t="n">
        <v>209416</v>
      </c>
      <c r="F1148" s="15" t="n">
        <v>44246</v>
      </c>
      <c r="G1148" s="15" t="n">
        <v>44253</v>
      </c>
      <c r="H1148" s="3" t="n">
        <v>7</v>
      </c>
      <c r="I1148" s="3" t="n">
        <v>2</v>
      </c>
      <c r="J1148" s="3" t="n">
        <v>62</v>
      </c>
      <c r="K1148" s="3" t="n">
        <v>1</v>
      </c>
      <c r="L1148" s="3" t="n">
        <v>1</v>
      </c>
      <c r="M1148" s="3" t="n">
        <v>2</v>
      </c>
      <c r="N1148" s="3" t="n">
        <v>2</v>
      </c>
      <c r="O1148" s="3" t="n">
        <v>2</v>
      </c>
      <c r="P1148" s="3" t="n">
        <v>2</v>
      </c>
      <c r="Q1148" s="3" t="n">
        <v>2</v>
      </c>
      <c r="R1148" s="3" t="n">
        <v>2</v>
      </c>
      <c r="S1148" s="3" t="n">
        <v>2</v>
      </c>
      <c r="T1148" s="4" t="n">
        <v>2</v>
      </c>
      <c r="U1148" s="3" t="n">
        <v>2</v>
      </c>
      <c r="V1148" s="3" t="n">
        <v>5.5</v>
      </c>
      <c r="W1148" s="3" t="n">
        <v>0.51</v>
      </c>
      <c r="X1148" s="3" t="n">
        <v>3.69</v>
      </c>
      <c r="Y1148" s="3" t="n">
        <v>332</v>
      </c>
      <c r="Z1148" s="3" t="n">
        <v>71</v>
      </c>
      <c r="AA1148" s="3" t="n">
        <v>0.4</v>
      </c>
      <c r="AB1148" s="3" t="n">
        <v>15</v>
      </c>
      <c r="AC1148" s="3" t="n">
        <v>1</v>
      </c>
      <c r="AD1148" s="3" t="n">
        <v>2</v>
      </c>
      <c r="AE1148" s="3" t="n">
        <v>1</v>
      </c>
      <c r="AF1148" s="3" t="n">
        <v>1</v>
      </c>
      <c r="AG1148" s="3" t="n">
        <v>1</v>
      </c>
      <c r="AH1148" s="3" t="n">
        <v>2</v>
      </c>
      <c r="AI1148" s="3" t="n">
        <v>1</v>
      </c>
      <c r="AJ1148" s="3" t="n">
        <v>1</v>
      </c>
      <c r="AK1148" s="3" t="n">
        <v>2</v>
      </c>
      <c r="AL1148" s="3" t="n">
        <v>2</v>
      </c>
      <c r="AM1148" s="3" t="n">
        <v>2</v>
      </c>
      <c r="AN1148" s="3" t="n">
        <v>2</v>
      </c>
      <c r="AO1148" s="3" t="n">
        <v>2</v>
      </c>
      <c r="AP1148" s="3" t="n">
        <v>3</v>
      </c>
      <c r="AQ1148" s="3" t="n">
        <v>4</v>
      </c>
      <c r="AR1148" s="3" t="n">
        <v>4</v>
      </c>
      <c r="AS1148" s="3" t="n">
        <v>6</v>
      </c>
      <c r="AT1148" s="3" t="n">
        <v>4</v>
      </c>
      <c r="AU1148" s="3" t="n">
        <v>4</v>
      </c>
      <c r="AV1148" s="3" t="n">
        <v>6</v>
      </c>
      <c r="AW1148" s="3" t="n">
        <v>6</v>
      </c>
      <c r="AX1148" s="3" t="n">
        <v>3</v>
      </c>
      <c r="AY1148" s="3" t="n">
        <v>3</v>
      </c>
      <c r="AZ1148" s="3" t="n">
        <v>1</v>
      </c>
      <c r="BA1148" s="5" t="n">
        <v>1</v>
      </c>
      <c r="BB1148" s="3" t="n">
        <v>1</v>
      </c>
      <c r="BC1148" s="3" t="n">
        <v>1</v>
      </c>
      <c r="BD1148" s="3" t="n">
        <v>2</v>
      </c>
      <c r="BE1148" s="3" t="n">
        <v>1</v>
      </c>
      <c r="BF1148" s="3" t="n">
        <v>2</v>
      </c>
      <c r="BG1148" s="3" t="n">
        <v>1</v>
      </c>
      <c r="BH1148" s="3" t="n">
        <v>4</v>
      </c>
      <c r="BI1148" s="3" t="n">
        <v>1</v>
      </c>
      <c r="BJ1148" s="3" t="n">
        <v>1</v>
      </c>
      <c r="BK1148" s="21" t="s">
        <v>2908</v>
      </c>
    </row>
    <row r="1149" customFormat="false" ht="15" hidden="false" customHeight="true" outlineLevel="0" collapsed="false">
      <c r="B1149" s="17" t="s">
        <v>912</v>
      </c>
      <c r="C1149" s="17" t="s">
        <v>94</v>
      </c>
      <c r="D1149" s="17" t="s">
        <v>1481</v>
      </c>
      <c r="E1149" s="2" t="n">
        <v>209477</v>
      </c>
      <c r="F1149" s="15" t="n">
        <v>44248</v>
      </c>
      <c r="G1149" s="15" t="n">
        <v>44254</v>
      </c>
      <c r="H1149" s="3" t="n">
        <v>6</v>
      </c>
      <c r="I1149" s="3" t="n">
        <v>2</v>
      </c>
      <c r="J1149" s="3" t="n">
        <v>79</v>
      </c>
      <c r="K1149" s="3" t="n">
        <v>1</v>
      </c>
      <c r="L1149" s="3" t="n">
        <v>2</v>
      </c>
      <c r="M1149" s="3" t="n">
        <v>1</v>
      </c>
      <c r="N1149" s="3" t="n">
        <v>2</v>
      </c>
      <c r="O1149" s="3" t="n">
        <v>2</v>
      </c>
      <c r="P1149" s="3" t="n">
        <v>2</v>
      </c>
      <c r="Q1149" s="3" t="n">
        <v>1</v>
      </c>
      <c r="R1149" s="3" t="n">
        <v>2</v>
      </c>
      <c r="S1149" s="3" t="n">
        <v>2</v>
      </c>
      <c r="T1149" s="4" t="n">
        <v>1</v>
      </c>
      <c r="U1149" s="3" t="n">
        <v>1</v>
      </c>
      <c r="AD1149" s="3" t="n">
        <v>2</v>
      </c>
      <c r="AE1149" s="3" t="n">
        <v>2</v>
      </c>
      <c r="AF1149" s="3" t="n">
        <v>1</v>
      </c>
      <c r="AG1149" s="3" t="n">
        <v>2</v>
      </c>
      <c r="AH1149" s="3" t="n">
        <v>2</v>
      </c>
      <c r="AI1149" s="3" t="n">
        <v>2</v>
      </c>
      <c r="AJ1149" s="3" t="n">
        <v>1</v>
      </c>
      <c r="AK1149" s="3" t="n">
        <v>1</v>
      </c>
      <c r="AL1149" s="3" t="n">
        <v>2</v>
      </c>
      <c r="AM1149" s="3" t="n">
        <v>2</v>
      </c>
      <c r="AN1149" s="3" t="n">
        <v>2</v>
      </c>
      <c r="AO1149" s="3" t="n">
        <v>2</v>
      </c>
      <c r="AP1149" s="3" t="n">
        <v>3</v>
      </c>
      <c r="AQ1149" s="3" t="n">
        <v>4</v>
      </c>
      <c r="AR1149" s="3" t="n">
        <v>4</v>
      </c>
      <c r="AS1149" s="3" t="n">
        <v>6</v>
      </c>
      <c r="AT1149" s="3" t="n">
        <v>4</v>
      </c>
      <c r="AU1149" s="3" t="n">
        <v>4</v>
      </c>
      <c r="AV1149" s="3" t="n">
        <v>6</v>
      </c>
      <c r="AW1149" s="3" t="n">
        <v>6</v>
      </c>
      <c r="AX1149" s="3" t="n">
        <v>3</v>
      </c>
      <c r="AY1149" s="3" t="n">
        <v>3</v>
      </c>
      <c r="AZ1149" s="3" t="n">
        <v>1</v>
      </c>
      <c r="BA1149" s="5" t="n">
        <v>5</v>
      </c>
      <c r="BB1149" s="3" t="n">
        <v>2</v>
      </c>
      <c r="BC1149" s="3" t="n">
        <v>1</v>
      </c>
      <c r="BD1149" s="3" t="n">
        <v>6</v>
      </c>
      <c r="BE1149" s="3" t="n">
        <v>3</v>
      </c>
      <c r="BF1149" s="3" t="n">
        <v>5</v>
      </c>
      <c r="BG1149" s="3" t="n">
        <v>3</v>
      </c>
      <c r="BH1149" s="3" t="n">
        <v>4</v>
      </c>
      <c r="BI1149" s="3" t="n">
        <v>1</v>
      </c>
      <c r="BJ1149" s="3" t="n">
        <v>1</v>
      </c>
      <c r="BK1149" s="21" t="s">
        <v>2909</v>
      </c>
    </row>
    <row r="1150" customFormat="false" ht="15" hidden="false" customHeight="true" outlineLevel="0" collapsed="false">
      <c r="B1150" s="17" t="s">
        <v>2910</v>
      </c>
      <c r="C1150" s="17" t="s">
        <v>2911</v>
      </c>
      <c r="D1150" s="17" t="s">
        <v>161</v>
      </c>
      <c r="E1150" s="2" t="n">
        <v>209495</v>
      </c>
      <c r="F1150" s="15" t="n">
        <v>44249</v>
      </c>
      <c r="G1150" s="15" t="n">
        <v>44253</v>
      </c>
      <c r="H1150" s="3" t="n">
        <v>4</v>
      </c>
      <c r="I1150" s="3" t="n">
        <v>2</v>
      </c>
      <c r="J1150" s="3" t="n">
        <v>70</v>
      </c>
      <c r="K1150" s="3" t="n">
        <v>1</v>
      </c>
      <c r="L1150" s="3" t="n">
        <v>1</v>
      </c>
      <c r="M1150" s="3" t="n">
        <v>1</v>
      </c>
      <c r="N1150" s="3" t="n">
        <v>2</v>
      </c>
      <c r="O1150" s="3" t="n">
        <v>2</v>
      </c>
      <c r="P1150" s="3" t="n">
        <v>2</v>
      </c>
      <c r="Q1150" s="3" t="n">
        <v>2</v>
      </c>
      <c r="R1150" s="3" t="n">
        <v>2</v>
      </c>
      <c r="S1150" s="3" t="n">
        <v>2</v>
      </c>
      <c r="T1150" s="4" t="n">
        <v>1</v>
      </c>
      <c r="U1150" s="3" t="n">
        <v>1</v>
      </c>
      <c r="AD1150" s="3" t="n">
        <v>1</v>
      </c>
      <c r="AE1150" s="3" t="n">
        <v>1</v>
      </c>
      <c r="AF1150" s="3" t="n">
        <v>1</v>
      </c>
      <c r="AG1150" s="3" t="n">
        <v>2</v>
      </c>
      <c r="AH1150" s="3" t="n">
        <v>1</v>
      </c>
      <c r="AI1150" s="3" t="n">
        <v>1</v>
      </c>
      <c r="AJ1150" s="3" t="n">
        <v>1</v>
      </c>
      <c r="AK1150" s="3" t="n">
        <v>2</v>
      </c>
      <c r="AL1150" s="3" t="n">
        <v>2</v>
      </c>
      <c r="AM1150" s="3" t="n">
        <v>2</v>
      </c>
      <c r="AN1150" s="3" t="n">
        <v>2</v>
      </c>
      <c r="AO1150" s="3" t="n">
        <v>2</v>
      </c>
      <c r="AP1150" s="3" t="n">
        <v>3</v>
      </c>
      <c r="AQ1150" s="3" t="n">
        <v>4</v>
      </c>
      <c r="AR1150" s="3" t="n">
        <v>4</v>
      </c>
      <c r="AS1150" s="3" t="n">
        <v>6</v>
      </c>
      <c r="AT1150" s="3" t="n">
        <v>4</v>
      </c>
      <c r="AU1150" s="3" t="n">
        <v>4</v>
      </c>
      <c r="AV1150" s="3" t="n">
        <v>6</v>
      </c>
      <c r="AW1150" s="3" t="n">
        <v>6</v>
      </c>
      <c r="AX1150" s="3" t="n">
        <v>3</v>
      </c>
      <c r="AY1150" s="3" t="n">
        <v>3</v>
      </c>
      <c r="AZ1150" s="3" t="n">
        <v>1</v>
      </c>
      <c r="BA1150" s="5" t="n">
        <v>5</v>
      </c>
      <c r="BB1150" s="3" t="n">
        <v>2</v>
      </c>
      <c r="BC1150" s="3" t="n">
        <v>1</v>
      </c>
      <c r="BD1150" s="3" t="n">
        <v>6</v>
      </c>
      <c r="BE1150" s="3" t="n">
        <v>3</v>
      </c>
      <c r="BF1150" s="3" t="n">
        <v>5</v>
      </c>
      <c r="BG1150" s="3" t="n">
        <v>3</v>
      </c>
      <c r="BH1150" s="3" t="n">
        <v>4</v>
      </c>
      <c r="BI1150" s="3" t="n">
        <v>1</v>
      </c>
      <c r="BJ1150" s="3" t="n">
        <v>1</v>
      </c>
      <c r="BK1150" s="21" t="s">
        <v>2912</v>
      </c>
    </row>
    <row r="1151" customFormat="false" ht="15" hidden="false" customHeight="true" outlineLevel="0" collapsed="false">
      <c r="B1151" s="2" t="s">
        <v>2913</v>
      </c>
      <c r="C1151" s="2" t="s">
        <v>294</v>
      </c>
      <c r="D1151" s="2" t="s">
        <v>298</v>
      </c>
      <c r="E1151" s="2" t="n">
        <v>208403</v>
      </c>
      <c r="F1151" s="15" t="n">
        <v>44250</v>
      </c>
      <c r="G1151" s="15" t="n">
        <v>44256</v>
      </c>
      <c r="H1151" s="3" t="n">
        <v>6</v>
      </c>
      <c r="I1151" s="3" t="n">
        <v>1</v>
      </c>
      <c r="J1151" s="3" t="n">
        <v>92</v>
      </c>
      <c r="K1151" s="3" t="n">
        <v>1</v>
      </c>
      <c r="L1151" s="3" t="n">
        <v>2</v>
      </c>
      <c r="M1151" s="3" t="n">
        <v>1</v>
      </c>
      <c r="N1151" s="3" t="n">
        <v>2</v>
      </c>
      <c r="O1151" s="3" t="n">
        <v>2</v>
      </c>
      <c r="P1151" s="3" t="n">
        <v>2</v>
      </c>
      <c r="Q1151" s="3" t="n">
        <v>2</v>
      </c>
      <c r="R1151" s="3" t="n">
        <v>2</v>
      </c>
      <c r="S1151" s="3" t="n">
        <v>2</v>
      </c>
      <c r="T1151" s="4" t="n">
        <v>1</v>
      </c>
      <c r="U1151" s="3" t="n">
        <v>1</v>
      </c>
      <c r="V1151" s="3" t="n">
        <v>5.92</v>
      </c>
      <c r="W1151" s="3" t="n">
        <v>0.33</v>
      </c>
      <c r="X1151" s="3" t="n">
        <v>7.17</v>
      </c>
      <c r="Y1151" s="3" t="n">
        <v>344</v>
      </c>
      <c r="Z1151" s="3" t="n">
        <v>77</v>
      </c>
      <c r="AA1151" s="3" t="n">
        <v>0.39</v>
      </c>
      <c r="AB1151" s="3" t="n">
        <v>7.2</v>
      </c>
      <c r="AC1151" s="3" t="n">
        <v>1</v>
      </c>
      <c r="AD1151" s="3" t="n">
        <v>1</v>
      </c>
      <c r="AE1151" s="3" t="n">
        <v>1</v>
      </c>
      <c r="AF1151" s="3" t="n">
        <v>1</v>
      </c>
      <c r="AG1151" s="3" t="n">
        <v>2</v>
      </c>
      <c r="AH1151" s="3" t="n">
        <v>2</v>
      </c>
      <c r="AI1151" s="3" t="n">
        <v>1</v>
      </c>
      <c r="AJ1151" s="3" t="n">
        <v>1</v>
      </c>
      <c r="AK1151" s="3" t="n">
        <v>2</v>
      </c>
      <c r="AL1151" s="3" t="n">
        <v>1</v>
      </c>
      <c r="AM1151" s="3" t="n">
        <v>1</v>
      </c>
      <c r="AN1151" s="3" t="n">
        <v>2</v>
      </c>
      <c r="AO1151" s="3" t="n">
        <v>2</v>
      </c>
      <c r="AP1151" s="3" t="n">
        <v>3</v>
      </c>
      <c r="AQ1151" s="3" t="n">
        <v>4</v>
      </c>
      <c r="AR1151" s="3" t="n">
        <v>4</v>
      </c>
      <c r="AS1151" s="3" t="n">
        <v>6</v>
      </c>
      <c r="AT1151" s="3" t="n">
        <v>4</v>
      </c>
      <c r="AU1151" s="3" t="n">
        <v>4</v>
      </c>
      <c r="AV1151" s="3" t="n">
        <v>6</v>
      </c>
      <c r="AW1151" s="3" t="n">
        <v>6</v>
      </c>
      <c r="AX1151" s="3" t="n">
        <v>3</v>
      </c>
      <c r="AY1151" s="3" t="n">
        <v>3</v>
      </c>
      <c r="AZ1151" s="3" t="n">
        <v>1</v>
      </c>
      <c r="BA1151" s="5" t="n">
        <v>5</v>
      </c>
      <c r="BB1151" s="3" t="n">
        <v>2</v>
      </c>
      <c r="BC1151" s="3" t="n">
        <v>1</v>
      </c>
      <c r="BD1151" s="3" t="n">
        <v>6</v>
      </c>
      <c r="BE1151" s="3" t="n">
        <v>3</v>
      </c>
      <c r="BF1151" s="3" t="n">
        <v>5</v>
      </c>
      <c r="BG1151" s="3" t="n">
        <v>3</v>
      </c>
      <c r="BH1151" s="3" t="n">
        <v>4</v>
      </c>
      <c r="BI1151" s="3" t="n">
        <v>1</v>
      </c>
      <c r="BJ1151" s="3" t="n">
        <v>1</v>
      </c>
      <c r="BK1151" s="21" t="s">
        <v>2914</v>
      </c>
    </row>
    <row r="1152" customFormat="false" ht="15" hidden="false" customHeight="true" outlineLevel="0" collapsed="false">
      <c r="B1152" s="17" t="s">
        <v>2915</v>
      </c>
      <c r="C1152" s="17" t="s">
        <v>2916</v>
      </c>
      <c r="D1152" s="17" t="s">
        <v>2917</v>
      </c>
      <c r="E1152" s="2" t="n">
        <v>209409</v>
      </c>
      <c r="F1152" s="15" t="n">
        <v>44246</v>
      </c>
      <c r="G1152" s="15" t="n">
        <v>44256</v>
      </c>
      <c r="H1152" s="3" t="n">
        <v>10</v>
      </c>
      <c r="I1152" s="3" t="n">
        <v>2</v>
      </c>
      <c r="J1152" s="3" t="n">
        <v>71</v>
      </c>
      <c r="K1152" s="3" t="n">
        <v>1</v>
      </c>
      <c r="L1152" s="3" t="n">
        <v>2</v>
      </c>
      <c r="M1152" s="3" t="n">
        <v>2</v>
      </c>
      <c r="N1152" s="3" t="n">
        <v>2</v>
      </c>
      <c r="O1152" s="3" t="n">
        <v>2</v>
      </c>
      <c r="P1152" s="3" t="n">
        <v>2</v>
      </c>
      <c r="Q1152" s="3" t="n">
        <v>2</v>
      </c>
      <c r="R1152" s="3" t="n">
        <v>2</v>
      </c>
      <c r="S1152" s="3" t="n">
        <v>2</v>
      </c>
      <c r="T1152" s="4" t="n">
        <v>2</v>
      </c>
      <c r="U1152" s="3" t="n">
        <v>2</v>
      </c>
      <c r="V1152" s="3" t="n">
        <v>5.47</v>
      </c>
      <c r="W1152" s="3" t="n">
        <v>1.52</v>
      </c>
      <c r="X1152" s="3" t="n">
        <v>9.72</v>
      </c>
      <c r="Y1152" s="3" t="n">
        <v>404</v>
      </c>
      <c r="Z1152" s="3" t="n">
        <v>95</v>
      </c>
      <c r="AA1152" s="3" t="n">
        <v>0.45</v>
      </c>
      <c r="AB1152" s="3" t="n">
        <v>11</v>
      </c>
      <c r="AC1152" s="3" t="n">
        <v>1</v>
      </c>
      <c r="AD1152" s="3" t="n">
        <v>2</v>
      </c>
      <c r="AE1152" s="3" t="n">
        <v>1</v>
      </c>
      <c r="AF1152" s="3" t="n">
        <v>1</v>
      </c>
      <c r="AG1152" s="3" t="n">
        <v>1</v>
      </c>
      <c r="AH1152" s="3" t="n">
        <v>2</v>
      </c>
      <c r="AI1152" s="3" t="n">
        <v>1</v>
      </c>
      <c r="AJ1152" s="3" t="n">
        <v>1</v>
      </c>
      <c r="AK1152" s="3" t="n">
        <v>2</v>
      </c>
      <c r="AL1152" s="3" t="n">
        <v>1</v>
      </c>
      <c r="AM1152" s="3" t="n">
        <v>1</v>
      </c>
      <c r="AN1152" s="3" t="n">
        <v>2</v>
      </c>
      <c r="AO1152" s="3" t="n">
        <v>2</v>
      </c>
      <c r="AP1152" s="3" t="n">
        <v>2</v>
      </c>
      <c r="AQ1152" s="3" t="n">
        <v>2</v>
      </c>
      <c r="AR1152" s="3" t="n">
        <v>2</v>
      </c>
      <c r="AS1152" s="3" t="n">
        <v>2</v>
      </c>
      <c r="AT1152" s="3" t="n">
        <v>1</v>
      </c>
      <c r="AU1152" s="3" t="n">
        <v>1</v>
      </c>
      <c r="AV1152" s="3" t="n">
        <v>1</v>
      </c>
      <c r="AW1152" s="3" t="n">
        <v>1</v>
      </c>
      <c r="AX1152" s="3" t="n">
        <v>2</v>
      </c>
      <c r="AY1152" s="3" t="n">
        <v>2</v>
      </c>
      <c r="AZ1152" s="3" t="n">
        <v>4</v>
      </c>
      <c r="BA1152" s="5" t="n">
        <v>1</v>
      </c>
      <c r="BB1152" s="3" t="n">
        <v>1</v>
      </c>
      <c r="BC1152" s="3" t="n">
        <v>1</v>
      </c>
      <c r="BD1152" s="3" t="n">
        <v>2</v>
      </c>
      <c r="BE1152" s="3" t="n">
        <v>1</v>
      </c>
      <c r="BF1152" s="3" t="n">
        <v>2</v>
      </c>
      <c r="BG1152" s="3" t="n">
        <v>1</v>
      </c>
      <c r="BH1152" s="3" t="n">
        <v>4</v>
      </c>
      <c r="BI1152" s="3" t="n">
        <v>1</v>
      </c>
      <c r="BJ1152" s="3" t="n">
        <v>1</v>
      </c>
      <c r="BK1152" s="21" t="s">
        <v>2918</v>
      </c>
    </row>
    <row r="1153" customFormat="false" ht="15" hidden="false" customHeight="true" outlineLevel="0" collapsed="false">
      <c r="B1153" s="17" t="s">
        <v>962</v>
      </c>
      <c r="C1153" s="17" t="s">
        <v>109</v>
      </c>
      <c r="D1153" s="17" t="s">
        <v>2919</v>
      </c>
      <c r="E1153" s="2" t="n">
        <v>209716</v>
      </c>
      <c r="F1153" s="15" t="n">
        <v>44251</v>
      </c>
      <c r="G1153" s="15" t="n">
        <v>44256</v>
      </c>
      <c r="H1153" s="3" t="n">
        <v>5</v>
      </c>
      <c r="I1153" s="3" t="n">
        <v>1</v>
      </c>
      <c r="J1153" s="3" t="n">
        <v>75</v>
      </c>
      <c r="K1153" s="3" t="n">
        <v>1</v>
      </c>
      <c r="L1153" s="3" t="n">
        <v>1</v>
      </c>
      <c r="M1153" s="3" t="n">
        <v>1</v>
      </c>
      <c r="N1153" s="3" t="n">
        <v>2</v>
      </c>
      <c r="O1153" s="3" t="n">
        <v>2</v>
      </c>
      <c r="P1153" s="3" t="n">
        <v>1</v>
      </c>
      <c r="Q1153" s="3" t="n">
        <v>1</v>
      </c>
      <c r="R1153" s="3" t="n">
        <v>2</v>
      </c>
      <c r="S1153" s="3" t="n">
        <v>2</v>
      </c>
      <c r="T1153" s="4" t="n">
        <v>1</v>
      </c>
      <c r="U1153" s="3" t="n">
        <v>1</v>
      </c>
      <c r="V1153" s="3" t="n">
        <v>3.51</v>
      </c>
      <c r="W1153" s="3" t="n">
        <v>1.09</v>
      </c>
      <c r="X1153" s="3" t="n">
        <v>6.43</v>
      </c>
      <c r="Y1153" s="3" t="n">
        <v>463</v>
      </c>
      <c r="Z1153" s="3" t="n">
        <v>114</v>
      </c>
      <c r="AA1153" s="3" t="n">
        <v>0.21</v>
      </c>
      <c r="AB1153" s="3" t="n">
        <v>4.2</v>
      </c>
      <c r="AC1153" s="3" t="n">
        <v>1</v>
      </c>
      <c r="AD1153" s="3" t="n">
        <v>1</v>
      </c>
      <c r="AE1153" s="3" t="n">
        <v>2</v>
      </c>
      <c r="AF1153" s="3" t="n">
        <v>2</v>
      </c>
      <c r="AG1153" s="3" t="n">
        <v>2</v>
      </c>
      <c r="AH1153" s="3" t="n">
        <v>1</v>
      </c>
      <c r="AI1153" s="3" t="n">
        <v>1</v>
      </c>
      <c r="AJ1153" s="3" t="n">
        <v>1</v>
      </c>
      <c r="AK1153" s="3" t="n">
        <v>2</v>
      </c>
      <c r="AL1153" s="3" t="n">
        <v>2</v>
      </c>
      <c r="AM1153" s="3" t="n">
        <v>2</v>
      </c>
      <c r="AN1153" s="3" t="n">
        <v>2</v>
      </c>
      <c r="AO1153" s="3" t="n">
        <v>2</v>
      </c>
      <c r="AP1153" s="3" t="n">
        <v>3</v>
      </c>
      <c r="AQ1153" s="3" t="n">
        <v>4</v>
      </c>
      <c r="AR1153" s="3" t="n">
        <v>4</v>
      </c>
      <c r="AS1153" s="3" t="n">
        <v>6</v>
      </c>
      <c r="AT1153" s="3" t="n">
        <v>4</v>
      </c>
      <c r="AU1153" s="3" t="n">
        <v>4</v>
      </c>
      <c r="AV1153" s="3" t="n">
        <v>6</v>
      </c>
      <c r="AW1153" s="3" t="n">
        <v>6</v>
      </c>
      <c r="AX1153" s="3" t="n">
        <v>3</v>
      </c>
      <c r="AY1153" s="3" t="n">
        <v>3</v>
      </c>
      <c r="AZ1153" s="3" t="n">
        <v>1</v>
      </c>
      <c r="BA1153" s="5" t="n">
        <v>5</v>
      </c>
      <c r="BB1153" s="3" t="n">
        <v>2</v>
      </c>
      <c r="BC1153" s="3" t="n">
        <v>1</v>
      </c>
      <c r="BD1153" s="3" t="n">
        <v>6</v>
      </c>
      <c r="BE1153" s="3" t="n">
        <v>3</v>
      </c>
      <c r="BF1153" s="3" t="n">
        <v>5</v>
      </c>
      <c r="BG1153" s="3" t="n">
        <v>3</v>
      </c>
      <c r="BH1153" s="3" t="n">
        <v>4</v>
      </c>
      <c r="BI1153" s="3" t="n">
        <v>1</v>
      </c>
      <c r="BJ1153" s="3" t="n">
        <v>1</v>
      </c>
      <c r="BK1153" s="21" t="s">
        <v>2920</v>
      </c>
    </row>
    <row r="1154" customFormat="false" ht="15" hidden="false" customHeight="true" outlineLevel="0" collapsed="false">
      <c r="B1154" s="17" t="s">
        <v>2921</v>
      </c>
      <c r="C1154" s="17" t="s">
        <v>304</v>
      </c>
      <c r="D1154" s="17" t="s">
        <v>783</v>
      </c>
      <c r="E1154" s="2" t="n">
        <v>101827</v>
      </c>
      <c r="F1154" s="15" t="n">
        <v>44249</v>
      </c>
      <c r="G1154" s="15" t="n">
        <v>44256</v>
      </c>
      <c r="H1154" s="3" t="n">
        <v>7</v>
      </c>
      <c r="I1154" s="3" t="n">
        <v>2</v>
      </c>
      <c r="J1154" s="3" t="n">
        <v>56</v>
      </c>
      <c r="K1154" s="3" t="n">
        <v>1</v>
      </c>
      <c r="L1154" s="3" t="n">
        <v>1</v>
      </c>
      <c r="M1154" s="3" t="n">
        <v>1</v>
      </c>
      <c r="N1154" s="3" t="n">
        <v>2</v>
      </c>
      <c r="O1154" s="3" t="n">
        <v>2</v>
      </c>
      <c r="P1154" s="3" t="n">
        <v>2</v>
      </c>
      <c r="Q1154" s="3" t="n">
        <v>1</v>
      </c>
      <c r="R1154" s="3" t="n">
        <v>2</v>
      </c>
      <c r="S1154" s="3" t="n">
        <v>2</v>
      </c>
      <c r="T1154" s="4" t="n">
        <v>2</v>
      </c>
      <c r="U1154" s="3" t="n">
        <v>2</v>
      </c>
      <c r="V1154" s="19" t="s">
        <v>2922</v>
      </c>
      <c r="W1154" s="3" t="n">
        <v>0.74</v>
      </c>
      <c r="X1154" s="3" t="n">
        <v>4.87</v>
      </c>
      <c r="Y1154" s="3" t="n">
        <v>323</v>
      </c>
      <c r="Z1154" s="3" t="n">
        <v>76</v>
      </c>
      <c r="AA1154" s="3" t="n">
        <v>0.27</v>
      </c>
      <c r="AB1154" s="3" t="n">
        <v>8.6</v>
      </c>
      <c r="AC1154" s="3" t="n">
        <v>1</v>
      </c>
      <c r="AD1154" s="3" t="n">
        <v>1</v>
      </c>
      <c r="AE1154" s="3" t="n">
        <v>1</v>
      </c>
      <c r="AF1154" s="3" t="n">
        <v>1</v>
      </c>
      <c r="AG1154" s="3" t="n">
        <v>2</v>
      </c>
      <c r="AH1154" s="3" t="n">
        <v>1</v>
      </c>
      <c r="AI1154" s="3" t="n">
        <v>1</v>
      </c>
      <c r="AJ1154" s="3" t="n">
        <v>1</v>
      </c>
      <c r="AK1154" s="3" t="n">
        <v>2</v>
      </c>
      <c r="AL1154" s="3" t="n">
        <v>2</v>
      </c>
      <c r="AM1154" s="3" t="n">
        <v>2</v>
      </c>
      <c r="AN1154" s="3" t="n">
        <v>2</v>
      </c>
      <c r="AO1154" s="3" t="n">
        <v>2</v>
      </c>
      <c r="AP1154" s="3" t="n">
        <v>3</v>
      </c>
      <c r="AQ1154" s="3" t="n">
        <v>4</v>
      </c>
      <c r="AR1154" s="3" t="n">
        <v>4</v>
      </c>
      <c r="AS1154" s="3" t="n">
        <v>6</v>
      </c>
      <c r="AT1154" s="3" t="n">
        <v>4</v>
      </c>
      <c r="AU1154" s="3" t="n">
        <v>4</v>
      </c>
      <c r="AV1154" s="3" t="n">
        <v>6</v>
      </c>
      <c r="AW1154" s="3" t="n">
        <v>6</v>
      </c>
      <c r="AX1154" s="3" t="n">
        <v>3</v>
      </c>
      <c r="AY1154" s="3" t="n">
        <v>3</v>
      </c>
      <c r="AZ1154" s="3" t="n">
        <v>1</v>
      </c>
      <c r="BA1154" s="5" t="n">
        <v>5</v>
      </c>
      <c r="BB1154" s="3" t="n">
        <v>2</v>
      </c>
      <c r="BC1154" s="3" t="n">
        <v>1</v>
      </c>
      <c r="BD1154" s="3" t="n">
        <v>6</v>
      </c>
      <c r="BE1154" s="3" t="n">
        <v>3</v>
      </c>
      <c r="BF1154" s="3" t="n">
        <v>5</v>
      </c>
      <c r="BG1154" s="3" t="n">
        <v>3</v>
      </c>
      <c r="BH1154" s="3" t="n">
        <v>4</v>
      </c>
      <c r="BI1154" s="3" t="n">
        <v>1</v>
      </c>
      <c r="BJ1154" s="3" t="n">
        <v>1</v>
      </c>
      <c r="BK1154" s="21" t="s">
        <v>2923</v>
      </c>
    </row>
    <row r="1155" customFormat="false" ht="15" hidden="false" customHeight="true" outlineLevel="0" collapsed="false">
      <c r="B1155" s="17" t="s">
        <v>278</v>
      </c>
      <c r="C1155" s="17" t="s">
        <v>2133</v>
      </c>
      <c r="D1155" s="17" t="s">
        <v>2924</v>
      </c>
      <c r="E1155" s="17" t="n">
        <v>209384</v>
      </c>
      <c r="F1155" s="18" t="n">
        <v>44245</v>
      </c>
      <c r="G1155" s="18" t="n">
        <v>44256</v>
      </c>
      <c r="H1155" s="19" t="n">
        <v>11</v>
      </c>
      <c r="I1155" s="19" t="n">
        <v>2</v>
      </c>
      <c r="J1155" s="19" t="n">
        <v>66</v>
      </c>
      <c r="K1155" s="19" t="n">
        <v>1</v>
      </c>
      <c r="L1155" s="19" t="n">
        <v>1</v>
      </c>
      <c r="M1155" s="19" t="n">
        <v>1</v>
      </c>
      <c r="N1155" s="19" t="n">
        <v>2</v>
      </c>
      <c r="O1155" s="19" t="n">
        <v>2</v>
      </c>
      <c r="P1155" s="19" t="n">
        <v>2</v>
      </c>
      <c r="Q1155" s="19" t="n">
        <v>2</v>
      </c>
      <c r="R1155" s="19" t="n">
        <v>2</v>
      </c>
      <c r="S1155" s="19" t="n">
        <v>2</v>
      </c>
      <c r="T1155" s="20" t="n">
        <v>1</v>
      </c>
      <c r="U1155" s="19" t="n">
        <v>1</v>
      </c>
      <c r="V1155" s="19" t="n">
        <v>6.94</v>
      </c>
      <c r="W1155" s="19" t="n">
        <v>2.26</v>
      </c>
      <c r="X1155" s="19" t="n">
        <v>5.4</v>
      </c>
      <c r="Y1155" s="19" t="n">
        <v>355</v>
      </c>
      <c r="Z1155" s="19" t="n">
        <v>82</v>
      </c>
      <c r="AA1155" s="19" t="n">
        <v>0.45</v>
      </c>
      <c r="AB1155" s="19" t="n">
        <v>12.8</v>
      </c>
      <c r="AC1155" s="19" t="n">
        <v>1</v>
      </c>
      <c r="AD1155" s="19" t="n">
        <v>1</v>
      </c>
      <c r="AE1155" s="19" t="n">
        <v>1</v>
      </c>
      <c r="AF1155" s="19" t="n">
        <v>1</v>
      </c>
      <c r="AG1155" s="19" t="n">
        <v>1</v>
      </c>
      <c r="AH1155" s="19" t="n">
        <v>2</v>
      </c>
      <c r="AI1155" s="19" t="n">
        <v>1</v>
      </c>
      <c r="AJ1155" s="19" t="n">
        <v>1</v>
      </c>
      <c r="AK1155" s="19" t="n">
        <v>2</v>
      </c>
      <c r="AL1155" s="19" t="n">
        <v>2</v>
      </c>
      <c r="AM1155" s="19" t="n">
        <v>2</v>
      </c>
      <c r="AN1155" s="19" t="n">
        <v>2</v>
      </c>
      <c r="AO1155" s="19" t="n">
        <v>2</v>
      </c>
      <c r="AP1155" s="19" t="n">
        <v>3</v>
      </c>
      <c r="AQ1155" s="19" t="n">
        <v>4</v>
      </c>
      <c r="AR1155" s="19" t="n">
        <v>4</v>
      </c>
      <c r="AS1155" s="19" t="n">
        <v>6</v>
      </c>
      <c r="AT1155" s="19" t="n">
        <v>4</v>
      </c>
      <c r="AU1155" s="19" t="n">
        <v>4</v>
      </c>
      <c r="AV1155" s="19" t="n">
        <v>6</v>
      </c>
      <c r="AW1155" s="19" t="n">
        <v>6</v>
      </c>
      <c r="AX1155" s="19" t="n">
        <v>3</v>
      </c>
      <c r="AY1155" s="19" t="n">
        <v>3</v>
      </c>
      <c r="AZ1155" s="19" t="n">
        <v>1</v>
      </c>
      <c r="BA1155" s="20" t="n">
        <v>5</v>
      </c>
      <c r="BB1155" s="19" t="n">
        <v>2</v>
      </c>
      <c r="BC1155" s="19" t="n">
        <v>1</v>
      </c>
      <c r="BD1155" s="19" t="n">
        <v>6</v>
      </c>
      <c r="BE1155" s="19" t="n">
        <v>3</v>
      </c>
      <c r="BF1155" s="19" t="n">
        <v>5</v>
      </c>
      <c r="BG1155" s="19" t="n">
        <v>3</v>
      </c>
      <c r="BH1155" s="19" t="n">
        <v>4</v>
      </c>
      <c r="BI1155" s="19" t="n">
        <v>1</v>
      </c>
      <c r="BJ1155" s="19" t="n">
        <v>1</v>
      </c>
      <c r="BK1155" s="21" t="s">
        <v>2925</v>
      </c>
    </row>
    <row r="1156" customFormat="false" ht="15" hidden="false" customHeight="true" outlineLevel="0" collapsed="false">
      <c r="B1156" s="17" t="s">
        <v>2926</v>
      </c>
      <c r="C1156" s="17" t="s">
        <v>2927</v>
      </c>
      <c r="D1156" s="17" t="s">
        <v>78</v>
      </c>
      <c r="E1156" s="2" t="n">
        <v>209713</v>
      </c>
      <c r="F1156" s="15" t="n">
        <v>44251</v>
      </c>
      <c r="G1156" s="15" t="n">
        <v>44257</v>
      </c>
      <c r="H1156" s="3" t="n">
        <v>6</v>
      </c>
      <c r="I1156" s="3" t="n">
        <v>1</v>
      </c>
      <c r="J1156" s="3" t="n">
        <v>72</v>
      </c>
      <c r="K1156" s="3" t="n">
        <v>1</v>
      </c>
      <c r="L1156" s="3" t="n">
        <v>1</v>
      </c>
      <c r="M1156" s="3" t="n">
        <v>1</v>
      </c>
      <c r="N1156" s="3" t="n">
        <v>2</v>
      </c>
      <c r="O1156" s="3" t="n">
        <v>2</v>
      </c>
      <c r="P1156" s="3" t="n">
        <v>2</v>
      </c>
      <c r="Q1156" s="3" t="n">
        <v>2</v>
      </c>
      <c r="R1156" s="3" t="n">
        <v>2</v>
      </c>
      <c r="S1156" s="3" t="n">
        <v>2</v>
      </c>
      <c r="T1156" s="4" t="n">
        <v>1</v>
      </c>
      <c r="U1156" s="3" t="n">
        <v>1</v>
      </c>
      <c r="V1156" s="3" t="n">
        <v>4.24</v>
      </c>
      <c r="W1156" s="3" t="n">
        <v>1.56</v>
      </c>
      <c r="X1156" s="3" t="n">
        <v>4.33</v>
      </c>
      <c r="Y1156" s="3" t="n">
        <v>342</v>
      </c>
      <c r="Z1156" s="3" t="n">
        <v>151</v>
      </c>
      <c r="AA1156" s="3" t="n">
        <v>0.48</v>
      </c>
      <c r="AB1156" s="3" t="n">
        <v>12</v>
      </c>
      <c r="AC1156" s="3" t="n">
        <v>1</v>
      </c>
      <c r="AD1156" s="3" t="n">
        <v>2</v>
      </c>
      <c r="AE1156" s="3" t="n">
        <v>2</v>
      </c>
      <c r="AF1156" s="3" t="n">
        <v>1</v>
      </c>
      <c r="AG1156" s="3" t="n">
        <v>1</v>
      </c>
      <c r="AH1156" s="3" t="n">
        <v>2</v>
      </c>
      <c r="AI1156" s="3" t="n">
        <v>1</v>
      </c>
      <c r="AJ1156" s="3" t="n">
        <v>1</v>
      </c>
      <c r="AK1156" s="3" t="n">
        <v>2</v>
      </c>
      <c r="AL1156" s="3" t="n">
        <v>2</v>
      </c>
      <c r="AM1156" s="3" t="n">
        <v>1</v>
      </c>
      <c r="AN1156" s="3" t="n">
        <v>2</v>
      </c>
      <c r="AO1156" s="3" t="n">
        <v>2</v>
      </c>
      <c r="AP1156" s="3" t="n">
        <v>3</v>
      </c>
      <c r="AQ1156" s="3" t="n">
        <v>4</v>
      </c>
      <c r="AR1156" s="3" t="n">
        <v>4</v>
      </c>
      <c r="AS1156" s="3" t="n">
        <v>6</v>
      </c>
      <c r="AT1156" s="3" t="n">
        <v>4</v>
      </c>
      <c r="AU1156" s="3" t="n">
        <v>4</v>
      </c>
      <c r="AV1156" s="3" t="n">
        <v>6</v>
      </c>
      <c r="AW1156" s="3" t="n">
        <v>6</v>
      </c>
      <c r="AX1156" s="3" t="n">
        <v>3</v>
      </c>
      <c r="AY1156" s="3" t="n">
        <v>3</v>
      </c>
      <c r="AZ1156" s="3" t="n">
        <v>1</v>
      </c>
      <c r="BA1156" s="5" t="n">
        <v>1</v>
      </c>
      <c r="BB1156" s="3" t="n">
        <v>2</v>
      </c>
      <c r="BC1156" s="3" t="n">
        <v>1</v>
      </c>
      <c r="BD1156" s="3" t="n">
        <v>6</v>
      </c>
      <c r="BE1156" s="3" t="n">
        <v>1</v>
      </c>
      <c r="BF1156" s="3" t="n">
        <v>2</v>
      </c>
      <c r="BG1156" s="3" t="n">
        <v>1</v>
      </c>
      <c r="BH1156" s="3" t="n">
        <v>4</v>
      </c>
      <c r="BI1156" s="3" t="n">
        <v>1</v>
      </c>
      <c r="BJ1156" s="3" t="n">
        <v>1</v>
      </c>
      <c r="BK1156" s="21" t="s">
        <v>2928</v>
      </c>
    </row>
    <row r="1157" customFormat="false" ht="15" hidden="false" customHeight="true" outlineLevel="0" collapsed="false">
      <c r="B1157" s="17" t="s">
        <v>2929</v>
      </c>
      <c r="C1157" s="17" t="s">
        <v>2930</v>
      </c>
      <c r="D1157" s="17" t="s">
        <v>94</v>
      </c>
      <c r="E1157" s="2" t="n">
        <v>209649</v>
      </c>
      <c r="F1157" s="15" t="n">
        <v>44253</v>
      </c>
      <c r="G1157" s="15" t="n">
        <v>44259</v>
      </c>
      <c r="H1157" s="3" t="n">
        <v>6</v>
      </c>
      <c r="I1157" s="3" t="n">
        <v>1</v>
      </c>
      <c r="J1157" s="3" t="n">
        <v>62</v>
      </c>
      <c r="K1157" s="3" t="n">
        <v>1</v>
      </c>
      <c r="L1157" s="3" t="n">
        <v>1</v>
      </c>
      <c r="M1157" s="3" t="n">
        <v>1</v>
      </c>
      <c r="N1157" s="3" t="n">
        <v>2</v>
      </c>
      <c r="O1157" s="3" t="n">
        <v>2</v>
      </c>
      <c r="P1157" s="3" t="n">
        <v>2</v>
      </c>
      <c r="Q1157" s="3" t="n">
        <v>2</v>
      </c>
      <c r="R1157" s="3" t="n">
        <v>2</v>
      </c>
      <c r="S1157" s="3" t="n">
        <v>2</v>
      </c>
      <c r="T1157" s="4" t="n">
        <v>2</v>
      </c>
      <c r="U1157" s="3" t="n">
        <v>2</v>
      </c>
      <c r="V1157" s="3" t="n">
        <v>3.94</v>
      </c>
      <c r="W1157" s="3" t="n">
        <v>0.79</v>
      </c>
      <c r="X1157" s="3" t="n">
        <v>6.02</v>
      </c>
      <c r="Y1157" s="3" t="n">
        <v>385</v>
      </c>
      <c r="Z1157" s="3" t="n">
        <v>78</v>
      </c>
      <c r="AA1157" s="3" t="n">
        <v>0.53</v>
      </c>
      <c r="AB1157" s="3" t="n">
        <v>9.9</v>
      </c>
      <c r="AC1157" s="3" t="n">
        <v>1</v>
      </c>
      <c r="AD1157" s="3" t="n">
        <v>2</v>
      </c>
      <c r="AE1157" s="3" t="n">
        <v>2</v>
      </c>
      <c r="AF1157" s="3" t="n">
        <v>1</v>
      </c>
      <c r="AG1157" s="3" t="n">
        <v>2</v>
      </c>
      <c r="AH1157" s="3" t="n">
        <v>2</v>
      </c>
      <c r="AI1157" s="3" t="n">
        <v>1</v>
      </c>
      <c r="AJ1157" s="3" t="n">
        <v>2</v>
      </c>
      <c r="AK1157" s="3" t="n">
        <v>2</v>
      </c>
      <c r="AL1157" s="3" t="n">
        <v>2</v>
      </c>
      <c r="AM1157" s="3" t="n">
        <v>2</v>
      </c>
      <c r="AN1157" s="3" t="n">
        <v>2</v>
      </c>
      <c r="AO1157" s="3" t="n">
        <v>2</v>
      </c>
      <c r="AP1157" s="3" t="n">
        <v>3</v>
      </c>
      <c r="AQ1157" s="3" t="n">
        <v>4</v>
      </c>
      <c r="AR1157" s="3" t="n">
        <v>4</v>
      </c>
      <c r="AS1157" s="3" t="n">
        <v>6</v>
      </c>
      <c r="AT1157" s="3" t="n">
        <v>4</v>
      </c>
      <c r="AU1157" s="3" t="n">
        <v>4</v>
      </c>
      <c r="AV1157" s="3" t="n">
        <v>6</v>
      </c>
      <c r="AW1157" s="3" t="n">
        <v>6</v>
      </c>
      <c r="AX1157" s="3" t="n">
        <v>3</v>
      </c>
      <c r="AY1157" s="3" t="n">
        <v>3</v>
      </c>
      <c r="AZ1157" s="3" t="n">
        <v>1</v>
      </c>
      <c r="BA1157" s="5" t="n">
        <v>1</v>
      </c>
      <c r="BB1157" s="3" t="n">
        <v>1</v>
      </c>
      <c r="BC1157" s="3" t="n">
        <v>2</v>
      </c>
      <c r="BD1157" s="3" t="n">
        <v>4</v>
      </c>
      <c r="BE1157" s="3" t="n">
        <v>1</v>
      </c>
      <c r="BF1157" s="3" t="n">
        <v>2</v>
      </c>
      <c r="BG1157" s="3" t="n">
        <v>1</v>
      </c>
      <c r="BH1157" s="3" t="n">
        <v>4</v>
      </c>
      <c r="BI1157" s="3" t="n">
        <v>1</v>
      </c>
      <c r="BJ1157" s="3" t="n">
        <v>1</v>
      </c>
      <c r="BK1157" s="21" t="s">
        <v>2931</v>
      </c>
    </row>
    <row r="1158" customFormat="false" ht="15" hidden="false" customHeight="true" outlineLevel="0" collapsed="false">
      <c r="B1158" s="17" t="s">
        <v>912</v>
      </c>
      <c r="C1158" s="17" t="s">
        <v>307</v>
      </c>
      <c r="D1158" s="17" t="s">
        <v>94</v>
      </c>
      <c r="E1158" s="2" t="n">
        <v>209697</v>
      </c>
      <c r="F1158" s="15" t="n">
        <v>44255</v>
      </c>
      <c r="G1158" s="15" t="n">
        <v>44257</v>
      </c>
      <c r="H1158" s="3" t="n">
        <v>2</v>
      </c>
      <c r="I1158" s="3" t="n">
        <v>2</v>
      </c>
      <c r="J1158" s="3" t="n">
        <v>28</v>
      </c>
      <c r="K1158" s="3" t="n">
        <v>2</v>
      </c>
      <c r="L1158" s="3" t="n">
        <v>2</v>
      </c>
      <c r="M1158" s="3" t="n">
        <v>2</v>
      </c>
      <c r="N1158" s="3" t="n">
        <v>2</v>
      </c>
      <c r="O1158" s="3" t="n">
        <v>2</v>
      </c>
      <c r="P1158" s="3" t="n">
        <v>2</v>
      </c>
      <c r="Q1158" s="3" t="n">
        <v>1</v>
      </c>
      <c r="R1158" s="3" t="n">
        <v>2</v>
      </c>
      <c r="S1158" s="3" t="n">
        <v>2</v>
      </c>
      <c r="T1158" s="4" t="n">
        <v>4</v>
      </c>
      <c r="U1158" s="3" t="n">
        <v>4</v>
      </c>
      <c r="V1158" s="3" t="n">
        <v>2.76</v>
      </c>
      <c r="W1158" s="3" t="n">
        <v>0.87</v>
      </c>
      <c r="X1158" s="3" t="n">
        <v>12.41</v>
      </c>
      <c r="Z1158" s="3" t="n">
        <v>81</v>
      </c>
      <c r="AA1158" s="3" t="n">
        <v>0.26</v>
      </c>
      <c r="AB1158" s="3" t="n">
        <v>13.2</v>
      </c>
      <c r="AC1158" s="3" t="n">
        <v>3</v>
      </c>
      <c r="AD1158" s="3" t="n">
        <v>1</v>
      </c>
      <c r="AE1158" s="3" t="n">
        <v>2</v>
      </c>
      <c r="AF1158" s="3" t="n">
        <v>1</v>
      </c>
      <c r="AG1158" s="3" t="n">
        <v>2</v>
      </c>
      <c r="AH1158" s="3" t="n">
        <v>2</v>
      </c>
      <c r="AI1158" s="3" t="n">
        <v>2</v>
      </c>
      <c r="AJ1158" s="3" t="n">
        <v>2</v>
      </c>
      <c r="AK1158" s="3" t="n">
        <v>2</v>
      </c>
      <c r="AL1158" s="3" t="n">
        <v>2</v>
      </c>
      <c r="AM1158" s="3" t="n">
        <v>2</v>
      </c>
      <c r="AN1158" s="3" t="n">
        <v>2</v>
      </c>
      <c r="AO1158" s="3" t="n">
        <v>2</v>
      </c>
      <c r="AP1158" s="3" t="n">
        <v>3</v>
      </c>
      <c r="AQ1158" s="3" t="n">
        <v>4</v>
      </c>
      <c r="AR1158" s="3" t="n">
        <v>4</v>
      </c>
      <c r="AS1158" s="3" t="n">
        <v>6</v>
      </c>
      <c r="AT1158" s="3" t="n">
        <v>4</v>
      </c>
      <c r="AU1158" s="3" t="n">
        <v>4</v>
      </c>
      <c r="AV1158" s="3" t="n">
        <v>6</v>
      </c>
      <c r="AW1158" s="3" t="n">
        <v>6</v>
      </c>
      <c r="AX1158" s="3" t="n">
        <v>3</v>
      </c>
      <c r="AY1158" s="3" t="n">
        <v>3</v>
      </c>
      <c r="AZ1158" s="3" t="n">
        <v>1</v>
      </c>
      <c r="BA1158" s="5" t="n">
        <v>5</v>
      </c>
      <c r="BB1158" s="3" t="n">
        <v>2</v>
      </c>
      <c r="BC1158" s="3" t="n">
        <v>1</v>
      </c>
      <c r="BD1158" s="3" t="n">
        <v>6</v>
      </c>
      <c r="BE1158" s="3" t="n">
        <v>3</v>
      </c>
      <c r="BF1158" s="3" t="n">
        <v>5</v>
      </c>
      <c r="BG1158" s="3" t="n">
        <v>3</v>
      </c>
      <c r="BH1158" s="3" t="n">
        <v>4</v>
      </c>
      <c r="BI1158" s="3" t="n">
        <v>1</v>
      </c>
      <c r="BJ1158" s="3" t="n">
        <v>1</v>
      </c>
      <c r="BK1158" s="21" t="s">
        <v>2932</v>
      </c>
    </row>
    <row r="1159" customFormat="false" ht="15" hidden="false" customHeight="true" outlineLevel="0" collapsed="false">
      <c r="B1159" s="17" t="s">
        <v>2933</v>
      </c>
      <c r="C1159" s="17" t="s">
        <v>987</v>
      </c>
      <c r="D1159" s="17" t="s">
        <v>846</v>
      </c>
      <c r="E1159" s="2" t="n">
        <v>209661</v>
      </c>
      <c r="F1159" s="15" t="n">
        <v>44254</v>
      </c>
      <c r="G1159" s="15" t="n">
        <v>44258</v>
      </c>
      <c r="H1159" s="3" t="n">
        <v>4</v>
      </c>
      <c r="I1159" s="3" t="n">
        <v>1</v>
      </c>
      <c r="J1159" s="3" t="n">
        <v>67</v>
      </c>
      <c r="K1159" s="3" t="n">
        <v>2</v>
      </c>
      <c r="L1159" s="3" t="n">
        <v>2</v>
      </c>
      <c r="M1159" s="3" t="n">
        <v>1</v>
      </c>
      <c r="N1159" s="3" t="n">
        <v>2</v>
      </c>
      <c r="O1159" s="3" t="n">
        <v>2</v>
      </c>
      <c r="P1159" s="3" t="n">
        <v>2</v>
      </c>
      <c r="Q1159" s="3" t="n">
        <v>2</v>
      </c>
      <c r="R1159" s="3" t="n">
        <v>2</v>
      </c>
      <c r="S1159" s="3" t="n">
        <v>2</v>
      </c>
      <c r="T1159" s="4" t="n">
        <v>1</v>
      </c>
      <c r="U1159" s="3" t="n">
        <v>1</v>
      </c>
      <c r="V1159" s="3" t="n">
        <v>4.6</v>
      </c>
      <c r="W1159" s="3" t="n">
        <v>1.35</v>
      </c>
      <c r="X1159" s="3" t="n">
        <v>6.55</v>
      </c>
      <c r="Y1159" s="3" t="n">
        <v>408</v>
      </c>
      <c r="Z1159" s="3" t="n">
        <v>93</v>
      </c>
      <c r="AA1159" s="3" t="n">
        <v>0.35</v>
      </c>
      <c r="AB1159" s="3" t="n">
        <v>17.8</v>
      </c>
      <c r="AC1159" s="3" t="n">
        <v>1</v>
      </c>
      <c r="AD1159" s="3" t="n">
        <v>2</v>
      </c>
      <c r="AE1159" s="3" t="n">
        <v>1</v>
      </c>
      <c r="AF1159" s="3" t="n">
        <v>1</v>
      </c>
      <c r="AG1159" s="3" t="n">
        <v>2</v>
      </c>
      <c r="AH1159" s="3" t="n">
        <v>2</v>
      </c>
      <c r="AI1159" s="3" t="n">
        <v>1</v>
      </c>
      <c r="AJ1159" s="3" t="n">
        <v>2</v>
      </c>
      <c r="AK1159" s="3" t="n">
        <v>1</v>
      </c>
      <c r="AL1159" s="3" t="n">
        <v>2</v>
      </c>
      <c r="AM1159" s="3" t="n">
        <v>2</v>
      </c>
      <c r="AN1159" s="3" t="n">
        <v>2</v>
      </c>
      <c r="AO1159" s="3" t="n">
        <v>2</v>
      </c>
      <c r="AP1159" s="3" t="n">
        <v>3</v>
      </c>
      <c r="AQ1159" s="3" t="n">
        <v>4</v>
      </c>
      <c r="AR1159" s="3" t="n">
        <v>4</v>
      </c>
      <c r="AS1159" s="3" t="n">
        <v>6</v>
      </c>
      <c r="AT1159" s="3" t="n">
        <v>4</v>
      </c>
      <c r="AU1159" s="3" t="n">
        <v>4</v>
      </c>
      <c r="AV1159" s="3" t="n">
        <v>6</v>
      </c>
      <c r="AW1159" s="3" t="n">
        <v>6</v>
      </c>
      <c r="AX1159" s="3" t="n">
        <v>3</v>
      </c>
      <c r="AY1159" s="3" t="n">
        <v>3</v>
      </c>
      <c r="AZ1159" s="3" t="n">
        <v>1</v>
      </c>
      <c r="BA1159" s="5" t="n">
        <v>5</v>
      </c>
      <c r="BB1159" s="3" t="n">
        <v>2</v>
      </c>
      <c r="BC1159" s="3" t="n">
        <v>1</v>
      </c>
      <c r="BD1159" s="3" t="n">
        <v>6</v>
      </c>
      <c r="BE1159" s="3" t="n">
        <v>3</v>
      </c>
      <c r="BF1159" s="3" t="n">
        <v>5</v>
      </c>
      <c r="BG1159" s="3" t="n">
        <v>3</v>
      </c>
      <c r="BH1159" s="3" t="n">
        <v>4</v>
      </c>
      <c r="BI1159" s="3" t="n">
        <v>1</v>
      </c>
      <c r="BJ1159" s="3" t="n">
        <v>1</v>
      </c>
      <c r="BK1159" s="21" t="s">
        <v>2934</v>
      </c>
    </row>
    <row r="1160" s="19" customFormat="true" ht="15" hidden="false" customHeight="true" outlineLevel="0" collapsed="false">
      <c r="A1160" s="1"/>
      <c r="B1160" s="19" t="s">
        <v>2935</v>
      </c>
      <c r="C1160" s="19" t="s">
        <v>2936</v>
      </c>
      <c r="D1160" s="19" t="s">
        <v>94</v>
      </c>
      <c r="E1160" s="19" t="n">
        <v>209956</v>
      </c>
      <c r="F1160" s="47" t="n">
        <v>44255</v>
      </c>
      <c r="G1160" s="47" t="n">
        <v>44260</v>
      </c>
      <c r="H1160" s="19" t="n">
        <v>5</v>
      </c>
      <c r="I1160" s="19" t="n">
        <v>2</v>
      </c>
      <c r="J1160" s="19" t="n">
        <v>42</v>
      </c>
      <c r="K1160" s="19" t="n">
        <v>1</v>
      </c>
      <c r="L1160" s="19" t="n">
        <v>2</v>
      </c>
      <c r="M1160" s="19" t="n">
        <v>1</v>
      </c>
      <c r="N1160" s="19" t="n">
        <v>2</v>
      </c>
      <c r="O1160" s="19" t="n">
        <v>2</v>
      </c>
      <c r="P1160" s="19" t="n">
        <v>2</v>
      </c>
      <c r="Q1160" s="19" t="n">
        <v>2</v>
      </c>
      <c r="R1160" s="19" t="n">
        <v>2</v>
      </c>
      <c r="S1160" s="19" t="n">
        <v>2</v>
      </c>
      <c r="T1160" s="20" t="n">
        <v>3</v>
      </c>
      <c r="U1160" s="19" t="n">
        <v>1</v>
      </c>
      <c r="V1160" s="19" t="n">
        <v>5.61</v>
      </c>
      <c r="W1160" s="19" t="n">
        <v>1.97</v>
      </c>
      <c r="X1160" s="19" t="n">
        <v>8.76</v>
      </c>
      <c r="Y1160" s="19" t="n">
        <v>720</v>
      </c>
      <c r="Z1160" s="19" t="n">
        <v>202</v>
      </c>
      <c r="AA1160" s="19" t="n">
        <v>0.43</v>
      </c>
      <c r="AB1160" s="19" t="n">
        <v>12.8</v>
      </c>
      <c r="AC1160" s="19" t="n">
        <v>2</v>
      </c>
      <c r="AD1160" s="19" t="n">
        <v>1</v>
      </c>
      <c r="AE1160" s="19" t="n">
        <v>1</v>
      </c>
      <c r="AF1160" s="19" t="n">
        <v>1</v>
      </c>
      <c r="AG1160" s="19" t="n">
        <v>2</v>
      </c>
      <c r="AH1160" s="19" t="n">
        <v>2</v>
      </c>
      <c r="AI1160" s="19" t="n">
        <v>1</v>
      </c>
      <c r="AJ1160" s="19" t="n">
        <v>1</v>
      </c>
      <c r="AK1160" s="19" t="n">
        <v>2</v>
      </c>
      <c r="AL1160" s="19" t="n">
        <v>2</v>
      </c>
      <c r="AM1160" s="19" t="n">
        <v>1</v>
      </c>
      <c r="AN1160" s="19" t="n">
        <v>2</v>
      </c>
      <c r="AO1160" s="19" t="n">
        <v>2</v>
      </c>
      <c r="AP1160" s="19" t="n">
        <v>3</v>
      </c>
      <c r="AQ1160" s="19" t="n">
        <v>4</v>
      </c>
      <c r="AR1160" s="19" t="n">
        <v>4</v>
      </c>
      <c r="AS1160" s="19" t="n">
        <v>6</v>
      </c>
      <c r="AT1160" s="19" t="n">
        <v>4</v>
      </c>
      <c r="AU1160" s="19" t="n">
        <v>4</v>
      </c>
      <c r="AV1160" s="19" t="n">
        <v>6</v>
      </c>
      <c r="AW1160" s="19" t="n">
        <v>6</v>
      </c>
      <c r="AX1160" s="19" t="n">
        <v>3</v>
      </c>
      <c r="AY1160" s="19" t="n">
        <v>3</v>
      </c>
      <c r="AZ1160" s="19" t="n">
        <v>1</v>
      </c>
      <c r="BA1160" s="48" t="n">
        <v>11</v>
      </c>
      <c r="BB1160" s="19" t="n">
        <v>2</v>
      </c>
      <c r="BC1160" s="19" t="n">
        <v>1</v>
      </c>
      <c r="BD1160" s="19" t="n">
        <v>6</v>
      </c>
      <c r="BE1160" s="19" t="n">
        <v>3</v>
      </c>
      <c r="BF1160" s="19" t="n">
        <v>5</v>
      </c>
      <c r="BG1160" s="19" t="n">
        <v>3</v>
      </c>
      <c r="BH1160" s="19" t="n">
        <v>4</v>
      </c>
      <c r="BI1160" s="19" t="n">
        <v>1</v>
      </c>
      <c r="BJ1160" s="19" t="n">
        <v>1</v>
      </c>
      <c r="BK1160" s="21" t="s">
        <v>2937</v>
      </c>
    </row>
    <row r="1161" customFormat="false" ht="15" hidden="false" customHeight="true" outlineLevel="0" collapsed="false">
      <c r="B1161" s="17" t="s">
        <v>150</v>
      </c>
      <c r="C1161" s="17" t="s">
        <v>1070</v>
      </c>
      <c r="D1161" s="17" t="s">
        <v>128</v>
      </c>
      <c r="E1161" s="2" t="n">
        <v>209648</v>
      </c>
      <c r="F1161" s="15" t="n">
        <v>44253</v>
      </c>
      <c r="G1161" s="15" t="n">
        <v>44261</v>
      </c>
      <c r="H1161" s="3" t="n">
        <v>8</v>
      </c>
      <c r="I1161" s="3" t="n">
        <v>2</v>
      </c>
      <c r="J1161" s="3" t="n">
        <v>85</v>
      </c>
      <c r="K1161" s="3" t="n">
        <v>1</v>
      </c>
      <c r="L1161" s="3" t="n">
        <v>2</v>
      </c>
      <c r="M1161" s="3" t="n">
        <v>1</v>
      </c>
      <c r="N1161" s="3" t="n">
        <v>2</v>
      </c>
      <c r="O1161" s="3" t="n">
        <v>2</v>
      </c>
      <c r="P1161" s="3" t="n">
        <v>2</v>
      </c>
      <c r="Q1161" s="3" t="n">
        <v>2</v>
      </c>
      <c r="R1161" s="3" t="n">
        <v>2</v>
      </c>
      <c r="S1161" s="3" t="n">
        <v>2</v>
      </c>
      <c r="T1161" s="4" t="n">
        <v>4</v>
      </c>
      <c r="U1161" s="3" t="n">
        <v>4</v>
      </c>
      <c r="V1161" s="3" t="n">
        <v>3.38</v>
      </c>
      <c r="W1161" s="3" t="n">
        <v>0.71</v>
      </c>
      <c r="X1161" s="3" t="n">
        <v>7.26</v>
      </c>
      <c r="Y1161" s="3" t="n">
        <v>354</v>
      </c>
      <c r="Z1161" s="3" t="n">
        <v>72</v>
      </c>
      <c r="AA1161" s="3" t="n">
        <v>0.43</v>
      </c>
      <c r="AB1161" s="3" t="n">
        <v>14.8</v>
      </c>
      <c r="AD1161" s="3" t="n">
        <v>2</v>
      </c>
      <c r="AE1161" s="3" t="n">
        <v>1</v>
      </c>
      <c r="AF1161" s="3" t="n">
        <v>1</v>
      </c>
      <c r="AG1161" s="3" t="n">
        <v>2</v>
      </c>
      <c r="AH1161" s="3" t="n">
        <v>2</v>
      </c>
      <c r="AI1161" s="3" t="n">
        <v>1</v>
      </c>
      <c r="AJ1161" s="3" t="n">
        <v>2</v>
      </c>
      <c r="AK1161" s="3" t="n">
        <v>2</v>
      </c>
      <c r="AL1161" s="3" t="n">
        <v>2</v>
      </c>
      <c r="AM1161" s="3" t="n">
        <v>2</v>
      </c>
      <c r="AN1161" s="3" t="n">
        <v>2</v>
      </c>
      <c r="AO1161" s="3" t="n">
        <v>2</v>
      </c>
      <c r="AP1161" s="3" t="n">
        <v>3</v>
      </c>
      <c r="AQ1161" s="3" t="n">
        <v>4</v>
      </c>
      <c r="AR1161" s="3" t="n">
        <v>4</v>
      </c>
      <c r="AS1161" s="3" t="n">
        <v>6</v>
      </c>
      <c r="AT1161" s="3" t="n">
        <v>4</v>
      </c>
      <c r="AU1161" s="3" t="n">
        <v>4</v>
      </c>
      <c r="AV1161" s="3" t="n">
        <v>6</v>
      </c>
      <c r="AW1161" s="3" t="n">
        <v>6</v>
      </c>
      <c r="AX1161" s="3" t="n">
        <v>3</v>
      </c>
      <c r="AY1161" s="3" t="n">
        <v>3</v>
      </c>
      <c r="AZ1161" s="3" t="n">
        <v>1</v>
      </c>
      <c r="BA1161" s="5" t="n">
        <v>10</v>
      </c>
      <c r="BB1161" s="3" t="n">
        <v>2</v>
      </c>
      <c r="BC1161" s="3" t="n">
        <v>1</v>
      </c>
      <c r="BD1161" s="3" t="n">
        <v>6</v>
      </c>
      <c r="BE1161" s="3" t="n">
        <v>3</v>
      </c>
      <c r="BF1161" s="3" t="n">
        <v>5</v>
      </c>
      <c r="BG1161" s="3" t="n">
        <v>3</v>
      </c>
      <c r="BH1161" s="3" t="n">
        <v>4</v>
      </c>
      <c r="BI1161" s="3" t="n">
        <v>1</v>
      </c>
      <c r="BJ1161" s="3" t="n">
        <v>1</v>
      </c>
      <c r="BK1161" s="21" t="s">
        <v>2938</v>
      </c>
    </row>
    <row r="1162" customFormat="false" ht="15" hidden="false" customHeight="true" outlineLevel="0" collapsed="false">
      <c r="B1162" s="17" t="s">
        <v>2939</v>
      </c>
      <c r="C1162" s="17" t="s">
        <v>971</v>
      </c>
      <c r="D1162" s="17" t="s">
        <v>2940</v>
      </c>
      <c r="E1162" s="2" t="n">
        <v>209632</v>
      </c>
      <c r="F1162" s="15" t="n">
        <v>44253</v>
      </c>
      <c r="G1162" s="15" t="n">
        <v>44260</v>
      </c>
      <c r="H1162" s="3" t="n">
        <v>7</v>
      </c>
      <c r="I1162" s="3" t="n">
        <v>2</v>
      </c>
      <c r="J1162" s="3" t="n">
        <v>82</v>
      </c>
      <c r="K1162" s="3" t="n">
        <v>2</v>
      </c>
      <c r="L1162" s="3" t="n">
        <v>2</v>
      </c>
      <c r="M1162" s="3" t="n">
        <v>1</v>
      </c>
      <c r="N1162" s="3" t="n">
        <v>2</v>
      </c>
      <c r="O1162" s="3" t="n">
        <v>2</v>
      </c>
      <c r="P1162" s="3" t="n">
        <v>2</v>
      </c>
      <c r="Q1162" s="3" t="n">
        <v>2</v>
      </c>
      <c r="R1162" s="3" t="n">
        <v>2</v>
      </c>
      <c r="S1162" s="3" t="n">
        <v>2</v>
      </c>
      <c r="T1162" s="4" t="n">
        <v>12</v>
      </c>
      <c r="U1162" s="3" t="n">
        <v>1</v>
      </c>
      <c r="V1162" s="3" t="n">
        <v>5.46</v>
      </c>
      <c r="W1162" s="3" t="n">
        <v>0.82</v>
      </c>
      <c r="X1162" s="3" t="n">
        <v>5.43</v>
      </c>
      <c r="Y1162" s="3" t="n">
        <v>455</v>
      </c>
      <c r="Z1162" s="3" t="n">
        <v>109</v>
      </c>
      <c r="AA1162" s="3" t="n">
        <v>0.51</v>
      </c>
      <c r="AB1162" s="3" t="n">
        <v>7</v>
      </c>
      <c r="AC1162" s="3" t="n">
        <v>1</v>
      </c>
      <c r="AD1162" s="3" t="n">
        <v>1</v>
      </c>
      <c r="AE1162" s="3" t="n">
        <v>1</v>
      </c>
      <c r="AF1162" s="3" t="n">
        <v>1</v>
      </c>
      <c r="AG1162" s="3" t="n">
        <v>2</v>
      </c>
      <c r="AH1162" s="3" t="n">
        <v>2</v>
      </c>
      <c r="AI1162" s="3" t="n">
        <v>1</v>
      </c>
      <c r="AJ1162" s="3" t="n">
        <v>1</v>
      </c>
      <c r="AK1162" s="3" t="n">
        <v>2</v>
      </c>
      <c r="AL1162" s="3" t="n">
        <v>2</v>
      </c>
      <c r="AM1162" s="3" t="n">
        <v>2</v>
      </c>
      <c r="AN1162" s="3" t="n">
        <v>2</v>
      </c>
      <c r="AO1162" s="3" t="n">
        <v>2</v>
      </c>
      <c r="AP1162" s="3" t="n">
        <v>3</v>
      </c>
      <c r="AQ1162" s="3" t="n">
        <v>4</v>
      </c>
      <c r="AR1162" s="3" t="n">
        <v>4</v>
      </c>
      <c r="AS1162" s="3" t="n">
        <v>6</v>
      </c>
      <c r="AT1162" s="3" t="n">
        <v>4</v>
      </c>
      <c r="AU1162" s="3" t="n">
        <v>4</v>
      </c>
      <c r="AV1162" s="3" t="n">
        <v>6</v>
      </c>
      <c r="AW1162" s="3" t="n">
        <v>6</v>
      </c>
      <c r="AX1162" s="3" t="n">
        <v>3</v>
      </c>
      <c r="AY1162" s="3" t="n">
        <v>3</v>
      </c>
      <c r="AZ1162" s="3" t="n">
        <v>1</v>
      </c>
      <c r="BA1162" s="5" t="n">
        <v>3</v>
      </c>
      <c r="BB1162" s="3" t="n">
        <v>2</v>
      </c>
      <c r="BC1162" s="3" t="n">
        <v>1</v>
      </c>
      <c r="BD1162" s="3" t="n">
        <v>6</v>
      </c>
      <c r="BE1162" s="3" t="n">
        <v>3</v>
      </c>
      <c r="BF1162" s="3" t="n">
        <v>5</v>
      </c>
      <c r="BG1162" s="3" t="n">
        <v>3</v>
      </c>
      <c r="BH1162" s="3" t="n">
        <v>4</v>
      </c>
      <c r="BI1162" s="3" t="n">
        <v>1</v>
      </c>
      <c r="BJ1162" s="3" t="n">
        <v>1</v>
      </c>
      <c r="BK1162" s="21" t="s">
        <v>2941</v>
      </c>
    </row>
    <row r="1163" customFormat="false" ht="15" hidden="false" customHeight="true" outlineLevel="0" collapsed="false">
      <c r="B1163" s="2" t="s">
        <v>1086</v>
      </c>
      <c r="C1163" s="2" t="s">
        <v>846</v>
      </c>
      <c r="D1163" s="2" t="s">
        <v>2942</v>
      </c>
      <c r="E1163" s="2" t="n">
        <v>210087</v>
      </c>
      <c r="F1163" s="15" t="n">
        <v>44259</v>
      </c>
      <c r="G1163" s="15" t="n">
        <v>44263</v>
      </c>
      <c r="H1163" s="3" t="n">
        <v>4</v>
      </c>
      <c r="I1163" s="3" t="n">
        <v>1</v>
      </c>
      <c r="J1163" s="3" t="n">
        <v>44</v>
      </c>
      <c r="K1163" s="3" t="n">
        <v>1</v>
      </c>
      <c r="L1163" s="3" t="n">
        <v>1</v>
      </c>
      <c r="M1163" s="3" t="n">
        <v>1</v>
      </c>
      <c r="N1163" s="3" t="n">
        <v>2</v>
      </c>
      <c r="O1163" s="3" t="n">
        <v>2</v>
      </c>
      <c r="P1163" s="3" t="n">
        <v>2</v>
      </c>
      <c r="Q1163" s="3" t="n">
        <v>2</v>
      </c>
      <c r="R1163" s="3" t="n">
        <v>2</v>
      </c>
      <c r="S1163" s="3" t="n">
        <v>2</v>
      </c>
      <c r="T1163" s="4" t="n">
        <v>1</v>
      </c>
      <c r="U1163" s="3" t="n">
        <v>1</v>
      </c>
      <c r="V1163" s="3" t="n">
        <v>5.63</v>
      </c>
      <c r="W1163" s="3" t="n">
        <v>1.39</v>
      </c>
      <c r="X1163" s="3" t="n">
        <v>5.87</v>
      </c>
      <c r="Y1163" s="3" t="n">
        <v>410</v>
      </c>
      <c r="Z1163" s="3" t="n">
        <v>91</v>
      </c>
      <c r="AA1163" s="3" t="n">
        <v>0.45</v>
      </c>
      <c r="AB1163" s="3" t="n">
        <v>5.9</v>
      </c>
      <c r="AC1163" s="3" t="n">
        <v>1</v>
      </c>
      <c r="AD1163" s="3" t="n">
        <v>1</v>
      </c>
      <c r="AE1163" s="3" t="n">
        <v>1</v>
      </c>
      <c r="AF1163" s="3" t="n">
        <v>1</v>
      </c>
      <c r="AG1163" s="3" t="n">
        <v>1</v>
      </c>
      <c r="AH1163" s="3" t="n">
        <v>2</v>
      </c>
      <c r="AI1163" s="3" t="n">
        <v>1</v>
      </c>
      <c r="AJ1163" s="3" t="n">
        <v>1</v>
      </c>
      <c r="AK1163" s="3" t="n">
        <v>2</v>
      </c>
      <c r="AL1163" s="3" t="n">
        <v>2</v>
      </c>
      <c r="AM1163" s="3" t="n">
        <v>2</v>
      </c>
      <c r="AN1163" s="3" t="n">
        <v>2</v>
      </c>
      <c r="AO1163" s="3" t="n">
        <v>2</v>
      </c>
      <c r="AP1163" s="3" t="n">
        <v>3</v>
      </c>
      <c r="AQ1163" s="3" t="n">
        <v>4</v>
      </c>
      <c r="AR1163" s="3" t="n">
        <v>4</v>
      </c>
      <c r="AS1163" s="3" t="n">
        <v>6</v>
      </c>
      <c r="AT1163" s="3" t="n">
        <v>4</v>
      </c>
      <c r="AU1163" s="3" t="n">
        <v>4</v>
      </c>
      <c r="AV1163" s="3" t="n">
        <v>6</v>
      </c>
      <c r="AW1163" s="3" t="n">
        <v>6</v>
      </c>
      <c r="AX1163" s="3" t="n">
        <v>3</v>
      </c>
      <c r="AY1163" s="3" t="n">
        <v>3</v>
      </c>
      <c r="AZ1163" s="3" t="n">
        <v>1</v>
      </c>
      <c r="BA1163" s="5" t="n">
        <v>5</v>
      </c>
      <c r="BB1163" s="3" t="n">
        <v>2</v>
      </c>
      <c r="BC1163" s="3" t="n">
        <v>1</v>
      </c>
      <c r="BD1163" s="3" t="n">
        <v>6</v>
      </c>
      <c r="BE1163" s="3" t="n">
        <v>3</v>
      </c>
      <c r="BF1163" s="3" t="n">
        <v>5</v>
      </c>
      <c r="BG1163" s="3" t="n">
        <v>3</v>
      </c>
      <c r="BH1163" s="3" t="n">
        <v>4</v>
      </c>
      <c r="BI1163" s="3" t="n">
        <v>1</v>
      </c>
      <c r="BJ1163" s="3" t="n">
        <v>1</v>
      </c>
      <c r="BK1163" s="21" t="s">
        <v>2943</v>
      </c>
    </row>
    <row r="1164" customFormat="false" ht="15" hidden="false" customHeight="true" outlineLevel="0" collapsed="false">
      <c r="B1164" s="2" t="s">
        <v>2944</v>
      </c>
      <c r="C1164" s="2" t="s">
        <v>1877</v>
      </c>
      <c r="D1164" s="2" t="s">
        <v>577</v>
      </c>
      <c r="E1164" s="2" t="n">
        <v>209993</v>
      </c>
      <c r="F1164" s="15" t="n">
        <v>44259</v>
      </c>
      <c r="G1164" s="15" t="n">
        <v>44263</v>
      </c>
      <c r="H1164" s="3" t="n">
        <v>4</v>
      </c>
      <c r="I1164" s="3" t="n">
        <v>2</v>
      </c>
      <c r="J1164" s="3" t="n">
        <v>50</v>
      </c>
      <c r="K1164" s="3" t="n">
        <v>1</v>
      </c>
      <c r="L1164" s="3" t="n">
        <v>2</v>
      </c>
      <c r="M1164" s="3" t="n">
        <v>1</v>
      </c>
      <c r="N1164" s="3" t="n">
        <v>2</v>
      </c>
      <c r="O1164" s="3" t="n">
        <v>2</v>
      </c>
      <c r="P1164" s="3" t="n">
        <v>1</v>
      </c>
      <c r="Q1164" s="3" t="n">
        <v>1</v>
      </c>
      <c r="R1164" s="3" t="n">
        <v>2</v>
      </c>
      <c r="S1164" s="3" t="n">
        <v>1</v>
      </c>
      <c r="T1164" s="4" t="n">
        <v>1</v>
      </c>
      <c r="U1164" s="3" t="n">
        <v>1</v>
      </c>
      <c r="V1164" s="3" t="n">
        <v>4.81</v>
      </c>
      <c r="W1164" s="3" t="n">
        <v>0.53</v>
      </c>
      <c r="X1164" s="3" t="n">
        <v>16.35</v>
      </c>
      <c r="Y1164" s="3" t="n">
        <v>476</v>
      </c>
      <c r="Z1164" s="3" t="n">
        <v>122</v>
      </c>
      <c r="AA1164" s="3" t="n">
        <v>0.39</v>
      </c>
      <c r="AB1164" s="3" t="n">
        <v>27</v>
      </c>
      <c r="AC1164" s="3" t="n">
        <v>1</v>
      </c>
      <c r="AD1164" s="3" t="n">
        <v>2</v>
      </c>
      <c r="AE1164" s="3" t="n">
        <v>1</v>
      </c>
      <c r="AF1164" s="3" t="n">
        <v>1</v>
      </c>
      <c r="AG1164" s="3" t="n">
        <v>1</v>
      </c>
      <c r="AH1164" s="3" t="n">
        <v>1</v>
      </c>
      <c r="AI1164" s="3" t="n">
        <v>1</v>
      </c>
      <c r="AJ1164" s="3" t="n">
        <v>1</v>
      </c>
      <c r="AK1164" s="3" t="n">
        <v>1</v>
      </c>
      <c r="AL1164" s="3" t="n">
        <v>2</v>
      </c>
      <c r="AM1164" s="3" t="n">
        <v>2</v>
      </c>
      <c r="AN1164" s="3" t="n">
        <v>2</v>
      </c>
      <c r="AO1164" s="3" t="n">
        <v>2</v>
      </c>
      <c r="AP1164" s="3" t="n">
        <v>3</v>
      </c>
      <c r="AQ1164" s="3" t="n">
        <v>4</v>
      </c>
      <c r="AR1164" s="3" t="n">
        <v>4</v>
      </c>
      <c r="AS1164" s="3" t="n">
        <v>6</v>
      </c>
      <c r="AT1164" s="3" t="n">
        <v>4</v>
      </c>
      <c r="AU1164" s="3" t="n">
        <v>4</v>
      </c>
      <c r="AV1164" s="3" t="n">
        <v>6</v>
      </c>
      <c r="AW1164" s="3" t="n">
        <v>6</v>
      </c>
      <c r="AX1164" s="3" t="n">
        <v>3</v>
      </c>
      <c r="AY1164" s="3" t="n">
        <v>3</v>
      </c>
      <c r="AZ1164" s="3" t="n">
        <v>1</v>
      </c>
      <c r="BA1164" s="5" t="n">
        <v>5</v>
      </c>
      <c r="BB1164" s="3" t="n">
        <v>2</v>
      </c>
      <c r="BC1164" s="3" t="n">
        <v>1</v>
      </c>
      <c r="BD1164" s="3" t="n">
        <v>6</v>
      </c>
      <c r="BE1164" s="3" t="n">
        <v>3</v>
      </c>
      <c r="BF1164" s="3" t="n">
        <v>5</v>
      </c>
      <c r="BG1164" s="3" t="n">
        <v>3</v>
      </c>
      <c r="BH1164" s="3" t="n">
        <v>4</v>
      </c>
      <c r="BI1164" s="3" t="n">
        <v>1</v>
      </c>
      <c r="BJ1164" s="3" t="n">
        <v>1</v>
      </c>
      <c r="BK1164" s="6" t="s">
        <v>2945</v>
      </c>
    </row>
    <row r="1165" customFormat="false" ht="15" hidden="false" customHeight="true" outlineLevel="0" collapsed="false">
      <c r="B1165" s="2" t="s">
        <v>1101</v>
      </c>
      <c r="C1165" s="2" t="s">
        <v>419</v>
      </c>
      <c r="D1165" s="2" t="s">
        <v>2946</v>
      </c>
      <c r="E1165" s="2" t="n">
        <v>210309</v>
      </c>
      <c r="F1165" s="15" t="n">
        <v>44260</v>
      </c>
      <c r="G1165" s="15" t="n">
        <v>44264</v>
      </c>
      <c r="H1165" s="3" t="n">
        <v>4</v>
      </c>
      <c r="I1165" s="3" t="n">
        <v>1</v>
      </c>
      <c r="J1165" s="3" t="n">
        <v>54</v>
      </c>
      <c r="K1165" s="3" t="n">
        <v>1</v>
      </c>
      <c r="L1165" s="3" t="n">
        <v>2</v>
      </c>
      <c r="M1165" s="3" t="n">
        <v>1</v>
      </c>
      <c r="N1165" s="3" t="n">
        <v>2</v>
      </c>
      <c r="O1165" s="3" t="n">
        <v>2</v>
      </c>
      <c r="P1165" s="3" t="n">
        <v>1</v>
      </c>
      <c r="Q1165" s="3" t="n">
        <v>1</v>
      </c>
      <c r="R1165" s="3" t="n">
        <v>2</v>
      </c>
      <c r="S1165" s="3" t="n">
        <v>2</v>
      </c>
      <c r="T1165" s="4" t="n">
        <v>1</v>
      </c>
      <c r="U1165" s="3" t="n">
        <v>1</v>
      </c>
      <c r="V1165" s="3" t="n">
        <v>4.93</v>
      </c>
      <c r="W1165" s="3" t="n">
        <v>3.06</v>
      </c>
      <c r="X1165" s="3" t="n">
        <v>5.28</v>
      </c>
      <c r="Y1165" s="3" t="n">
        <v>329</v>
      </c>
      <c r="Z1165" s="3" t="n">
        <v>97</v>
      </c>
      <c r="AA1165" s="3" t="n">
        <v>0.42</v>
      </c>
      <c r="AB1165" s="3" t="n">
        <v>15.1</v>
      </c>
      <c r="AC1165" s="3" t="n">
        <v>1</v>
      </c>
      <c r="AD1165" s="3" t="n">
        <v>1</v>
      </c>
      <c r="AE1165" s="3" t="n">
        <v>1</v>
      </c>
      <c r="AF1165" s="3" t="n">
        <v>1</v>
      </c>
      <c r="AG1165" s="3" t="n">
        <v>2</v>
      </c>
      <c r="AH1165" s="3" t="n">
        <v>2</v>
      </c>
      <c r="AI1165" s="3" t="n">
        <v>1</v>
      </c>
      <c r="AJ1165" s="3" t="n">
        <v>1</v>
      </c>
      <c r="AK1165" s="3" t="n">
        <v>2</v>
      </c>
      <c r="AL1165" s="3" t="n">
        <v>2</v>
      </c>
      <c r="AM1165" s="3" t="n">
        <v>2</v>
      </c>
      <c r="AN1165" s="3" t="n">
        <v>2</v>
      </c>
      <c r="AO1165" s="3" t="n">
        <v>2</v>
      </c>
      <c r="AP1165" s="3" t="n">
        <v>3</v>
      </c>
      <c r="AQ1165" s="3" t="n">
        <v>4</v>
      </c>
      <c r="AR1165" s="3" t="n">
        <v>4</v>
      </c>
      <c r="AS1165" s="3" t="n">
        <v>6</v>
      </c>
      <c r="AT1165" s="3" t="n">
        <v>4</v>
      </c>
      <c r="AU1165" s="3" t="n">
        <v>4</v>
      </c>
      <c r="AV1165" s="3" t="n">
        <v>6</v>
      </c>
      <c r="AW1165" s="3" t="n">
        <v>6</v>
      </c>
      <c r="AX1165" s="3" t="n">
        <v>3</v>
      </c>
      <c r="AY1165" s="3" t="n">
        <v>3</v>
      </c>
      <c r="AZ1165" s="3" t="n">
        <v>1</v>
      </c>
      <c r="BA1165" s="5" t="n">
        <v>5</v>
      </c>
      <c r="BB1165" s="3" t="n">
        <v>2</v>
      </c>
      <c r="BC1165" s="3" t="n">
        <v>1</v>
      </c>
      <c r="BD1165" s="3" t="n">
        <v>6</v>
      </c>
      <c r="BE1165" s="3" t="n">
        <v>3</v>
      </c>
      <c r="BF1165" s="3" t="n">
        <v>5</v>
      </c>
      <c r="BG1165" s="3" t="n">
        <v>3</v>
      </c>
      <c r="BH1165" s="3" t="n">
        <v>4</v>
      </c>
      <c r="BI1165" s="3" t="n">
        <v>1</v>
      </c>
      <c r="BJ1165" s="3" t="n">
        <v>1</v>
      </c>
      <c r="BK1165" s="6" t="s">
        <v>2947</v>
      </c>
    </row>
    <row r="1166" customFormat="false" ht="15" hidden="false" customHeight="true" outlineLevel="0" collapsed="false">
      <c r="B1166" s="2" t="s">
        <v>2948</v>
      </c>
      <c r="C1166" s="2" t="s">
        <v>2949</v>
      </c>
      <c r="D1166" s="2" t="s">
        <v>153</v>
      </c>
      <c r="E1166" s="2" t="n">
        <v>210002</v>
      </c>
      <c r="F1166" s="15" t="n">
        <v>44259</v>
      </c>
      <c r="G1166" s="15" t="n">
        <v>44264</v>
      </c>
      <c r="H1166" s="3" t="n">
        <v>5</v>
      </c>
      <c r="I1166" s="3" t="n">
        <v>1</v>
      </c>
      <c r="J1166" s="3" t="n">
        <v>60</v>
      </c>
      <c r="K1166" s="3" t="n">
        <v>2</v>
      </c>
      <c r="L1166" s="3" t="n">
        <v>1</v>
      </c>
      <c r="M1166" s="3" t="n">
        <v>1</v>
      </c>
      <c r="N1166" s="3" t="n">
        <v>2</v>
      </c>
      <c r="O1166" s="3" t="n">
        <v>2</v>
      </c>
      <c r="P1166" s="3" t="n">
        <v>2</v>
      </c>
      <c r="Q1166" s="3" t="n">
        <v>1</v>
      </c>
      <c r="R1166" s="3" t="n">
        <v>2</v>
      </c>
      <c r="S1166" s="3" t="n">
        <v>2</v>
      </c>
      <c r="T1166" s="4" t="n">
        <v>1</v>
      </c>
      <c r="U1166" s="3" t="n">
        <v>1</v>
      </c>
      <c r="V1166" s="3" t="n">
        <v>4.37</v>
      </c>
      <c r="W1166" s="3" t="n">
        <v>2.02</v>
      </c>
      <c r="X1166" s="3" t="n">
        <v>11.16</v>
      </c>
      <c r="Y1166" s="3" t="n">
        <v>233</v>
      </c>
      <c r="Z1166" s="3" t="n">
        <v>80</v>
      </c>
      <c r="AA1166" s="3" t="n">
        <v>0.46</v>
      </c>
      <c r="AB1166" s="3" t="n">
        <v>6</v>
      </c>
      <c r="AC1166" s="3" t="n">
        <v>1</v>
      </c>
      <c r="AD1166" s="3" t="n">
        <v>1</v>
      </c>
      <c r="AE1166" s="3" t="n">
        <v>1</v>
      </c>
      <c r="AF1166" s="3" t="n">
        <v>1</v>
      </c>
      <c r="AG1166" s="3" t="n">
        <v>2</v>
      </c>
      <c r="AH1166" s="3" t="n">
        <v>1</v>
      </c>
      <c r="AI1166" s="3" t="n">
        <v>1</v>
      </c>
      <c r="AJ1166" s="3" t="n">
        <v>1</v>
      </c>
      <c r="AK1166" s="3" t="n">
        <v>2</v>
      </c>
      <c r="AL1166" s="3" t="n">
        <v>2</v>
      </c>
      <c r="AM1166" s="3" t="n">
        <v>1</v>
      </c>
      <c r="AN1166" s="3" t="n">
        <v>2</v>
      </c>
      <c r="AO1166" s="3" t="n">
        <v>2</v>
      </c>
      <c r="AP1166" s="3" t="n">
        <v>3</v>
      </c>
      <c r="AQ1166" s="3" t="n">
        <v>4</v>
      </c>
      <c r="AR1166" s="3" t="n">
        <v>4</v>
      </c>
      <c r="AS1166" s="3" t="n">
        <v>6</v>
      </c>
      <c r="AT1166" s="3" t="n">
        <v>4</v>
      </c>
      <c r="AU1166" s="3" t="n">
        <v>4</v>
      </c>
      <c r="AV1166" s="3" t="n">
        <v>6</v>
      </c>
      <c r="AW1166" s="3" t="n">
        <v>6</v>
      </c>
      <c r="AX1166" s="3" t="n">
        <v>3</v>
      </c>
      <c r="AY1166" s="3" t="n">
        <v>3</v>
      </c>
      <c r="AZ1166" s="3" t="n">
        <v>1</v>
      </c>
      <c r="BA1166" s="5" t="n">
        <v>5</v>
      </c>
      <c r="BB1166" s="3" t="n">
        <v>2</v>
      </c>
      <c r="BC1166" s="3" t="n">
        <v>1</v>
      </c>
      <c r="BD1166" s="3" t="n">
        <v>6</v>
      </c>
      <c r="BE1166" s="3" t="n">
        <v>3</v>
      </c>
      <c r="BF1166" s="3" t="n">
        <v>5</v>
      </c>
      <c r="BG1166" s="3" t="n">
        <v>3</v>
      </c>
      <c r="BH1166" s="3" t="n">
        <v>4</v>
      </c>
      <c r="BI1166" s="3" t="n">
        <v>1</v>
      </c>
      <c r="BJ1166" s="3" t="n">
        <v>1</v>
      </c>
      <c r="BK1166" s="6" t="s">
        <v>2950</v>
      </c>
    </row>
    <row r="1167" customFormat="false" ht="15" hidden="false" customHeight="true" outlineLevel="0" collapsed="false">
      <c r="B1167" s="2" t="s">
        <v>2430</v>
      </c>
      <c r="C1167" s="2" t="s">
        <v>595</v>
      </c>
      <c r="D1167" s="2" t="s">
        <v>2951</v>
      </c>
      <c r="E1167" s="2" t="n">
        <v>210019</v>
      </c>
      <c r="F1167" s="15" t="n">
        <v>44260</v>
      </c>
      <c r="G1167" s="15" t="n">
        <v>44265</v>
      </c>
      <c r="H1167" s="3" t="n">
        <v>5</v>
      </c>
      <c r="I1167" s="3" t="n">
        <v>1</v>
      </c>
      <c r="J1167" s="3" t="n">
        <v>69</v>
      </c>
      <c r="K1167" s="3" t="n">
        <v>1</v>
      </c>
      <c r="L1167" s="3" t="n">
        <v>2</v>
      </c>
      <c r="M1167" s="3" t="n">
        <v>1</v>
      </c>
      <c r="N1167" s="3" t="n">
        <v>2</v>
      </c>
      <c r="O1167" s="3" t="n">
        <v>2</v>
      </c>
      <c r="P1167" s="3" t="n">
        <v>2</v>
      </c>
      <c r="Q1167" s="3" t="n">
        <v>2</v>
      </c>
      <c r="R1167" s="3" t="n">
        <v>2</v>
      </c>
      <c r="S1167" s="3" t="n">
        <v>2</v>
      </c>
      <c r="T1167" s="4" t="n">
        <v>3</v>
      </c>
      <c r="U1167" s="3" t="n">
        <v>1</v>
      </c>
      <c r="V1167" s="3" t="n">
        <v>6.23</v>
      </c>
      <c r="W1167" s="3" t="n">
        <v>7.02</v>
      </c>
      <c r="X1167" s="3" t="n">
        <v>121</v>
      </c>
      <c r="Y1167" s="3" t="n">
        <v>999</v>
      </c>
      <c r="Z1167" s="3" t="n">
        <v>121</v>
      </c>
      <c r="AA1167" s="3" t="n">
        <v>0.45</v>
      </c>
      <c r="AB1167" s="3" t="n">
        <v>15.3</v>
      </c>
      <c r="AC1167" s="3" t="n">
        <v>1</v>
      </c>
      <c r="AD1167" s="3" t="n">
        <v>1</v>
      </c>
      <c r="AE1167" s="3" t="n">
        <v>1</v>
      </c>
      <c r="AF1167" s="3" t="n">
        <v>1</v>
      </c>
      <c r="AG1167" s="3" t="n">
        <v>2</v>
      </c>
      <c r="AH1167" s="3" t="n">
        <v>1</v>
      </c>
      <c r="AI1167" s="3" t="n">
        <v>1</v>
      </c>
      <c r="AJ1167" s="3" t="n">
        <v>1</v>
      </c>
      <c r="AK1167" s="3" t="n">
        <v>1</v>
      </c>
      <c r="AL1167" s="3" t="n">
        <v>1</v>
      </c>
      <c r="AM1167" s="3" t="n">
        <v>1</v>
      </c>
      <c r="AN1167" s="3" t="n">
        <v>2</v>
      </c>
      <c r="AO1167" s="3" t="n">
        <v>2</v>
      </c>
      <c r="AP1167" s="3" t="n">
        <v>3</v>
      </c>
      <c r="AQ1167" s="3" t="n">
        <v>4</v>
      </c>
      <c r="AR1167" s="3" t="n">
        <v>4</v>
      </c>
      <c r="AS1167" s="3" t="n">
        <v>6</v>
      </c>
      <c r="AT1167" s="3" t="n">
        <v>4</v>
      </c>
      <c r="AU1167" s="3" t="n">
        <v>4</v>
      </c>
      <c r="AV1167" s="3" t="n">
        <v>6</v>
      </c>
      <c r="AW1167" s="3" t="n">
        <v>6</v>
      </c>
      <c r="AX1167" s="3" t="n">
        <v>3</v>
      </c>
      <c r="AY1167" s="3" t="n">
        <v>3</v>
      </c>
      <c r="AZ1167" s="3" t="n">
        <v>1</v>
      </c>
      <c r="BA1167" s="5" t="n">
        <v>11</v>
      </c>
      <c r="BB1167" s="3" t="n">
        <v>2</v>
      </c>
      <c r="BC1167" s="3" t="n">
        <v>1</v>
      </c>
      <c r="BD1167" s="3" t="n">
        <v>6</v>
      </c>
      <c r="BE1167" s="3" t="n">
        <v>3</v>
      </c>
      <c r="BF1167" s="3" t="n">
        <v>5</v>
      </c>
      <c r="BG1167" s="3" t="n">
        <v>3</v>
      </c>
      <c r="BH1167" s="3" t="n">
        <v>4</v>
      </c>
      <c r="BI1167" s="3" t="n">
        <v>1</v>
      </c>
      <c r="BJ1167" s="3" t="n">
        <v>1</v>
      </c>
      <c r="BK1167" s="6" t="s">
        <v>2952</v>
      </c>
    </row>
    <row r="1168" customFormat="false" ht="15" hidden="false" customHeight="true" outlineLevel="0" collapsed="false">
      <c r="B1168" s="2" t="s">
        <v>2953</v>
      </c>
      <c r="C1168" s="2" t="s">
        <v>2105</v>
      </c>
      <c r="D1168" s="2" t="s">
        <v>222</v>
      </c>
      <c r="E1168" s="2" t="n">
        <v>210071</v>
      </c>
      <c r="F1168" s="15" t="n">
        <v>44259</v>
      </c>
      <c r="G1168" s="15" t="n">
        <v>44266</v>
      </c>
      <c r="H1168" s="3" t="n">
        <v>7</v>
      </c>
      <c r="I1168" s="3" t="n">
        <v>2</v>
      </c>
      <c r="J1168" s="3" t="n">
        <v>70</v>
      </c>
      <c r="K1168" s="3" t="n">
        <v>1</v>
      </c>
      <c r="L1168" s="3" t="n">
        <v>2</v>
      </c>
      <c r="M1168" s="3" t="n">
        <v>2</v>
      </c>
      <c r="N1168" s="3" t="n">
        <v>2</v>
      </c>
      <c r="O1168" s="3" t="n">
        <v>2</v>
      </c>
      <c r="P1168" s="3" t="n">
        <v>2</v>
      </c>
      <c r="Q1168" s="3" t="n">
        <v>2</v>
      </c>
      <c r="R1168" s="3" t="n">
        <v>2</v>
      </c>
      <c r="S1168" s="3" t="n">
        <v>2</v>
      </c>
      <c r="T1168" s="4" t="n">
        <v>1</v>
      </c>
      <c r="U1168" s="3" t="n">
        <v>1</v>
      </c>
      <c r="V1168" s="3" t="n">
        <v>4.38</v>
      </c>
      <c r="W1168" s="3" t="n">
        <v>1.16</v>
      </c>
      <c r="X1168" s="3" t="n">
        <v>6.33</v>
      </c>
      <c r="Y1168" s="3" t="n">
        <v>390</v>
      </c>
      <c r="Z1168" s="3" t="n">
        <v>115</v>
      </c>
      <c r="AA1168" s="3" t="n">
        <v>0.45</v>
      </c>
      <c r="AB1168" s="3" t="n">
        <v>9.3</v>
      </c>
      <c r="AC1168" s="3" t="n">
        <v>1</v>
      </c>
      <c r="AD1168" s="3" t="n">
        <v>1</v>
      </c>
      <c r="AE1168" s="3" t="n">
        <v>1</v>
      </c>
      <c r="AF1168" s="3" t="n">
        <v>1</v>
      </c>
      <c r="AG1168" s="3" t="n">
        <v>2</v>
      </c>
      <c r="AH1168" s="3" t="n">
        <v>1</v>
      </c>
      <c r="AI1168" s="3" t="n">
        <v>1</v>
      </c>
      <c r="AJ1168" s="3" t="n">
        <v>2</v>
      </c>
      <c r="AK1168" s="3" t="n">
        <v>2</v>
      </c>
      <c r="AL1168" s="3" t="n">
        <v>2</v>
      </c>
      <c r="AM1168" s="3" t="n">
        <v>2</v>
      </c>
      <c r="AN1168" s="3" t="n">
        <v>2</v>
      </c>
      <c r="AO1168" s="3" t="n">
        <v>2</v>
      </c>
      <c r="AP1168" s="3" t="n">
        <v>3</v>
      </c>
      <c r="AQ1168" s="3" t="n">
        <v>4</v>
      </c>
      <c r="AR1168" s="3" t="n">
        <v>4</v>
      </c>
      <c r="AS1168" s="3" t="n">
        <v>6</v>
      </c>
      <c r="AT1168" s="3" t="n">
        <v>4</v>
      </c>
      <c r="AU1168" s="3" t="n">
        <v>4</v>
      </c>
      <c r="AV1168" s="3" t="n">
        <v>6</v>
      </c>
      <c r="AW1168" s="3" t="n">
        <v>6</v>
      </c>
      <c r="AX1168" s="3" t="n">
        <v>3</v>
      </c>
      <c r="AY1168" s="3" t="n">
        <v>3</v>
      </c>
      <c r="AZ1168" s="3" t="n">
        <v>1</v>
      </c>
      <c r="BA1168" s="5" t="n">
        <v>5</v>
      </c>
      <c r="BB1168" s="3" t="n">
        <v>2</v>
      </c>
      <c r="BC1168" s="3" t="n">
        <v>1</v>
      </c>
      <c r="BD1168" s="3" t="n">
        <v>6</v>
      </c>
      <c r="BE1168" s="3" t="n">
        <v>3</v>
      </c>
      <c r="BF1168" s="3" t="n">
        <v>5</v>
      </c>
      <c r="BG1168" s="3" t="n">
        <v>3</v>
      </c>
      <c r="BH1168" s="3" t="n">
        <v>4</v>
      </c>
      <c r="BI1168" s="3" t="n">
        <v>1</v>
      </c>
      <c r="BJ1168" s="3" t="n">
        <v>1</v>
      </c>
      <c r="BK1168" s="6" t="s">
        <v>2954</v>
      </c>
    </row>
    <row r="1169" customFormat="false" ht="15" hidden="false" customHeight="true" outlineLevel="0" collapsed="false">
      <c r="B1169" s="2" t="s">
        <v>228</v>
      </c>
      <c r="C1169" s="2" t="s">
        <v>423</v>
      </c>
      <c r="D1169" s="2" t="s">
        <v>2955</v>
      </c>
      <c r="E1169" s="2" t="n">
        <v>210017</v>
      </c>
      <c r="F1169" s="15" t="n">
        <v>44260</v>
      </c>
      <c r="G1169" s="15" t="n">
        <v>44266</v>
      </c>
      <c r="I1169" s="3" t="n">
        <v>2</v>
      </c>
      <c r="J1169" s="3" t="n">
        <v>74</v>
      </c>
      <c r="K1169" s="3" t="n">
        <v>1</v>
      </c>
      <c r="L1169" s="3" t="n">
        <v>2</v>
      </c>
      <c r="M1169" s="3" t="n">
        <v>2</v>
      </c>
      <c r="N1169" s="3" t="n">
        <v>2</v>
      </c>
      <c r="O1169" s="3" t="n">
        <v>2</v>
      </c>
      <c r="P1169" s="3" t="n">
        <v>2</v>
      </c>
      <c r="Q1169" s="3" t="n">
        <v>2</v>
      </c>
      <c r="R1169" s="3" t="n">
        <v>2</v>
      </c>
      <c r="S1169" s="3" t="n">
        <v>2</v>
      </c>
      <c r="T1169" s="4" t="n">
        <v>2</v>
      </c>
      <c r="U1169" s="3" t="n">
        <v>2</v>
      </c>
      <c r="V1169" s="3" t="n">
        <v>4.88</v>
      </c>
      <c r="W1169" s="3" t="n">
        <v>1.19</v>
      </c>
      <c r="X1169" s="3" t="n">
        <v>3.42</v>
      </c>
      <c r="Y1169" s="3" t="n">
        <v>468</v>
      </c>
      <c r="Z1169" s="3" t="n">
        <v>88</v>
      </c>
      <c r="AA1169" s="3" t="n">
        <v>0.42</v>
      </c>
      <c r="AB1169" s="3" t="n">
        <v>7.6</v>
      </c>
      <c r="AC1169" s="3" t="n">
        <v>1</v>
      </c>
      <c r="AD1169" s="3" t="n">
        <v>2</v>
      </c>
      <c r="AE1169" s="3" t="n">
        <v>1</v>
      </c>
      <c r="AF1169" s="3" t="n">
        <v>1</v>
      </c>
      <c r="AG1169" s="3" t="n">
        <v>2</v>
      </c>
      <c r="AH1169" s="3" t="n">
        <v>2</v>
      </c>
      <c r="AI1169" s="3" t="n">
        <v>1</v>
      </c>
      <c r="AJ1169" s="3" t="n">
        <v>1</v>
      </c>
      <c r="AK1169" s="3" t="n">
        <v>2</v>
      </c>
      <c r="AL1169" s="3" t="n">
        <v>2</v>
      </c>
      <c r="AM1169" s="3" t="n">
        <v>2</v>
      </c>
      <c r="AN1169" s="3" t="n">
        <v>2</v>
      </c>
      <c r="AO1169" s="3" t="n">
        <v>2</v>
      </c>
      <c r="AP1169" s="3" t="n">
        <v>3</v>
      </c>
      <c r="AQ1169" s="3" t="n">
        <v>4</v>
      </c>
      <c r="AR1169" s="3" t="n">
        <v>4</v>
      </c>
      <c r="AS1169" s="3" t="n">
        <v>6</v>
      </c>
      <c r="AT1169" s="3" t="n">
        <v>4</v>
      </c>
      <c r="AU1169" s="3" t="n">
        <v>4</v>
      </c>
      <c r="AV1169" s="3" t="n">
        <v>6</v>
      </c>
      <c r="AW1169" s="3" t="n">
        <v>6</v>
      </c>
      <c r="AX1169" s="3" t="n">
        <v>3</v>
      </c>
      <c r="AY1169" s="3" t="n">
        <v>3</v>
      </c>
      <c r="AZ1169" s="3" t="n">
        <v>1</v>
      </c>
      <c r="BA1169" s="5" t="n">
        <v>1</v>
      </c>
      <c r="BB1169" s="3" t="n">
        <v>1</v>
      </c>
      <c r="BC1169" s="3" t="n">
        <v>1</v>
      </c>
      <c r="BD1169" s="3" t="n">
        <v>4</v>
      </c>
      <c r="BE1169" s="3" t="n">
        <v>3</v>
      </c>
      <c r="BF1169" s="3" t="n">
        <v>5</v>
      </c>
      <c r="BG1169" s="3" t="n">
        <v>3</v>
      </c>
      <c r="BH1169" s="3" t="n">
        <v>4</v>
      </c>
      <c r="BI1169" s="3" t="n">
        <v>1</v>
      </c>
      <c r="BJ1169" s="3" t="n">
        <v>1</v>
      </c>
      <c r="BK1169" s="6" t="s">
        <v>2956</v>
      </c>
    </row>
    <row r="1170" customFormat="false" ht="15" hidden="false" customHeight="true" outlineLevel="0" collapsed="false">
      <c r="B1170" s="2" t="s">
        <v>145</v>
      </c>
      <c r="C1170" s="2" t="s">
        <v>398</v>
      </c>
      <c r="D1170" s="2" t="s">
        <v>375</v>
      </c>
      <c r="E1170" s="2" t="n">
        <v>210353</v>
      </c>
      <c r="F1170" s="15" t="n">
        <v>44261</v>
      </c>
      <c r="G1170" s="15" t="n">
        <v>44266</v>
      </c>
      <c r="H1170" s="3" t="n">
        <v>5</v>
      </c>
      <c r="I1170" s="3" t="n">
        <v>2</v>
      </c>
      <c r="J1170" s="3" t="n">
        <v>69</v>
      </c>
      <c r="K1170" s="3" t="n">
        <v>1</v>
      </c>
      <c r="L1170" s="3" t="n">
        <v>2</v>
      </c>
      <c r="M1170" s="3" t="n">
        <v>1</v>
      </c>
      <c r="N1170" s="3" t="n">
        <v>1</v>
      </c>
      <c r="O1170" s="3" t="n">
        <v>2</v>
      </c>
      <c r="P1170" s="3" t="n">
        <v>2</v>
      </c>
      <c r="Q1170" s="3" t="n">
        <v>2</v>
      </c>
      <c r="R1170" s="3" t="n">
        <v>2</v>
      </c>
      <c r="S1170" s="3" t="n">
        <v>2</v>
      </c>
      <c r="T1170" s="4" t="n">
        <v>1</v>
      </c>
      <c r="U1170" s="3" t="n">
        <v>1</v>
      </c>
      <c r="V1170" s="3" t="n">
        <v>5.24</v>
      </c>
      <c r="W1170" s="3" t="n">
        <v>3.5</v>
      </c>
      <c r="X1170" s="3" t="n">
        <v>5.79</v>
      </c>
      <c r="Y1170" s="3" t="n">
        <v>467</v>
      </c>
      <c r="Z1170" s="3" t="n">
        <v>112</v>
      </c>
      <c r="AA1170" s="3" t="n">
        <v>0.47</v>
      </c>
      <c r="AB1170" s="3" t="n">
        <v>10.3</v>
      </c>
      <c r="AC1170" s="3" t="n">
        <v>1</v>
      </c>
      <c r="AD1170" s="3" t="n">
        <v>1</v>
      </c>
      <c r="AE1170" s="3" t="n">
        <v>1</v>
      </c>
      <c r="AF1170" s="3" t="n">
        <v>1</v>
      </c>
      <c r="AG1170" s="3" t="n">
        <v>1</v>
      </c>
      <c r="AH1170" s="3" t="n">
        <v>2</v>
      </c>
      <c r="AI1170" s="3" t="n">
        <v>1</v>
      </c>
      <c r="AJ1170" s="3" t="n">
        <v>2</v>
      </c>
      <c r="AK1170" s="3" t="n">
        <v>2</v>
      </c>
      <c r="AL1170" s="3" t="n">
        <v>2</v>
      </c>
      <c r="AM1170" s="3" t="n">
        <v>2</v>
      </c>
      <c r="AN1170" s="3" t="n">
        <v>2</v>
      </c>
      <c r="AO1170" s="3" t="n">
        <v>2</v>
      </c>
      <c r="AP1170" s="3" t="n">
        <v>3</v>
      </c>
      <c r="AQ1170" s="3" t="n">
        <v>4</v>
      </c>
      <c r="AR1170" s="3" t="n">
        <v>4</v>
      </c>
      <c r="AS1170" s="3" t="n">
        <v>6</v>
      </c>
      <c r="AT1170" s="3" t="n">
        <v>4</v>
      </c>
      <c r="AU1170" s="3" t="n">
        <v>4</v>
      </c>
      <c r="AV1170" s="3" t="n">
        <v>6</v>
      </c>
      <c r="AW1170" s="3" t="n">
        <v>6</v>
      </c>
      <c r="AX1170" s="3" t="n">
        <v>3</v>
      </c>
      <c r="AY1170" s="3" t="n">
        <v>3</v>
      </c>
      <c r="AZ1170" s="3" t="n">
        <v>1</v>
      </c>
      <c r="BA1170" s="5" t="n">
        <v>5</v>
      </c>
      <c r="BB1170" s="3" t="n">
        <v>2</v>
      </c>
      <c r="BC1170" s="3" t="n">
        <v>1</v>
      </c>
      <c r="BD1170" s="3" t="n">
        <v>6</v>
      </c>
      <c r="BE1170" s="3" t="n">
        <v>3</v>
      </c>
      <c r="BF1170" s="3" t="n">
        <v>5</v>
      </c>
      <c r="BG1170" s="3" t="n">
        <v>3</v>
      </c>
      <c r="BH1170" s="3" t="n">
        <v>4</v>
      </c>
      <c r="BI1170" s="3" t="n">
        <v>1</v>
      </c>
      <c r="BJ1170" s="3" t="n">
        <v>1</v>
      </c>
      <c r="BK1170" s="6" t="s">
        <v>2957</v>
      </c>
    </row>
    <row r="1171" customFormat="false" ht="15" hidden="false" customHeight="true" outlineLevel="0" collapsed="false">
      <c r="B1171" s="2" t="s">
        <v>2958</v>
      </c>
      <c r="C1171" s="2" t="s">
        <v>78</v>
      </c>
      <c r="D1171" s="2" t="s">
        <v>66</v>
      </c>
      <c r="E1171" s="2" t="n">
        <v>210020</v>
      </c>
      <c r="F1171" s="15" t="n">
        <v>44260</v>
      </c>
      <c r="G1171" s="15" t="n">
        <v>44267</v>
      </c>
      <c r="H1171" s="3" t="n">
        <v>7</v>
      </c>
      <c r="I1171" s="3" t="n">
        <v>2</v>
      </c>
      <c r="J1171" s="3" t="n">
        <v>46</v>
      </c>
      <c r="K1171" s="3" t="n">
        <v>1</v>
      </c>
      <c r="L1171" s="3" t="n">
        <v>2</v>
      </c>
      <c r="M1171" s="3" t="n">
        <v>1</v>
      </c>
      <c r="N1171" s="3" t="n">
        <v>2</v>
      </c>
      <c r="O1171" s="3" t="n">
        <v>2</v>
      </c>
      <c r="P1171" s="3" t="n">
        <v>2</v>
      </c>
      <c r="Q1171" s="3" t="n">
        <v>1</v>
      </c>
      <c r="R1171" s="3" t="n">
        <v>2</v>
      </c>
      <c r="S1171" s="3" t="n">
        <v>2</v>
      </c>
      <c r="T1171" s="4" t="n">
        <v>2</v>
      </c>
      <c r="U1171" s="3" t="n">
        <v>2</v>
      </c>
      <c r="V1171" s="3" t="n">
        <v>5.55</v>
      </c>
      <c r="W1171" s="3" t="n">
        <v>2.83</v>
      </c>
      <c r="X1171" s="3" t="n">
        <v>7.17</v>
      </c>
      <c r="Y1171" s="3" t="n">
        <v>544</v>
      </c>
      <c r="Z1171" s="3" t="n">
        <v>116</v>
      </c>
      <c r="AA1171" s="3" t="n">
        <v>0.46</v>
      </c>
      <c r="AB1171" s="3" t="n">
        <v>11.1</v>
      </c>
      <c r="AC1171" s="3" t="n">
        <v>1</v>
      </c>
      <c r="AD1171" s="3" t="n">
        <v>2</v>
      </c>
      <c r="AE1171" s="3" t="n">
        <v>1</v>
      </c>
      <c r="AF1171" s="3" t="n">
        <v>1</v>
      </c>
      <c r="AG1171" s="3" t="n">
        <v>1</v>
      </c>
      <c r="AH1171" s="3" t="n">
        <v>2</v>
      </c>
      <c r="AI1171" s="3" t="n">
        <v>1</v>
      </c>
      <c r="AJ1171" s="3" t="n">
        <v>2</v>
      </c>
      <c r="AK1171" s="3" t="n">
        <v>1</v>
      </c>
      <c r="AL1171" s="3" t="n">
        <v>2</v>
      </c>
      <c r="AM1171" s="3" t="n">
        <v>1</v>
      </c>
      <c r="AN1171" s="3" t="n">
        <v>2</v>
      </c>
      <c r="AO1171" s="3" t="n">
        <v>2</v>
      </c>
      <c r="AP1171" s="3" t="n">
        <v>3</v>
      </c>
      <c r="AQ1171" s="3" t="n">
        <v>4</v>
      </c>
      <c r="AR1171" s="3" t="n">
        <v>4</v>
      </c>
      <c r="AS1171" s="3" t="n">
        <v>6</v>
      </c>
      <c r="AT1171" s="3" t="n">
        <v>4</v>
      </c>
      <c r="AU1171" s="3" t="n">
        <v>4</v>
      </c>
      <c r="AV1171" s="3" t="n">
        <v>6</v>
      </c>
      <c r="AW1171" s="3" t="n">
        <v>6</v>
      </c>
      <c r="AX1171" s="3" t="n">
        <v>3</v>
      </c>
      <c r="AY1171" s="3" t="n">
        <v>3</v>
      </c>
      <c r="AZ1171" s="3" t="n">
        <v>1</v>
      </c>
      <c r="BA1171" s="5" t="n">
        <v>1</v>
      </c>
      <c r="BB1171" s="3" t="n">
        <v>1</v>
      </c>
      <c r="BC1171" s="3" t="n">
        <v>1</v>
      </c>
      <c r="BD1171" s="3" t="n">
        <v>4</v>
      </c>
      <c r="BE1171" s="3" t="n">
        <v>3</v>
      </c>
      <c r="BF1171" s="3" t="n">
        <v>5</v>
      </c>
      <c r="BG1171" s="3" t="n">
        <v>3</v>
      </c>
      <c r="BH1171" s="3" t="n">
        <v>4</v>
      </c>
      <c r="BI1171" s="3" t="n">
        <v>1</v>
      </c>
      <c r="BJ1171" s="3" t="n">
        <v>1</v>
      </c>
      <c r="BK1171" s="6" t="s">
        <v>2959</v>
      </c>
    </row>
    <row r="1172" customFormat="false" ht="15" hidden="false" customHeight="true" outlineLevel="0" collapsed="false">
      <c r="B1172" s="2" t="s">
        <v>2960</v>
      </c>
      <c r="C1172" s="2" t="s">
        <v>1237</v>
      </c>
      <c r="D1172" s="2" t="s">
        <v>2955</v>
      </c>
      <c r="E1172" s="2" t="n">
        <v>210342</v>
      </c>
      <c r="F1172" s="15" t="n">
        <v>44261</v>
      </c>
      <c r="G1172" s="15" t="n">
        <v>44268</v>
      </c>
      <c r="H1172" s="3" t="n">
        <v>7</v>
      </c>
      <c r="I1172" s="3" t="n">
        <v>1</v>
      </c>
      <c r="J1172" s="3" t="n">
        <v>69</v>
      </c>
      <c r="K1172" s="3" t="n">
        <v>1</v>
      </c>
      <c r="L1172" s="3" t="n">
        <v>1</v>
      </c>
      <c r="M1172" s="3" t="n">
        <v>1</v>
      </c>
      <c r="N1172" s="3" t="n">
        <v>2</v>
      </c>
      <c r="O1172" s="3" t="n">
        <v>2</v>
      </c>
      <c r="P1172" s="3" t="n">
        <v>2</v>
      </c>
      <c r="Q1172" s="3" t="n">
        <v>2</v>
      </c>
      <c r="R1172" s="3" t="n">
        <v>2</v>
      </c>
      <c r="S1172" s="3" t="n">
        <v>2</v>
      </c>
      <c r="T1172" s="4" t="n">
        <v>2</v>
      </c>
      <c r="U1172" s="3" t="n">
        <v>2</v>
      </c>
      <c r="V1172" s="3" t="n">
        <v>5.86</v>
      </c>
      <c r="W1172" s="3" t="n">
        <v>2.11</v>
      </c>
      <c r="X1172" s="3" t="n">
        <v>4.31</v>
      </c>
      <c r="Y1172" s="3" t="n">
        <v>673</v>
      </c>
      <c r="Z1172" s="3" t="n">
        <v>192</v>
      </c>
      <c r="AA1172" s="3" t="n">
        <v>0.38</v>
      </c>
      <c r="AB1172" s="3" t="n">
        <v>8.8</v>
      </c>
      <c r="AC1172" s="3" t="n">
        <v>1</v>
      </c>
      <c r="AD1172" s="3" t="n">
        <v>2</v>
      </c>
      <c r="AE1172" s="3" t="n">
        <v>1</v>
      </c>
      <c r="AF1172" s="3" t="n">
        <v>1</v>
      </c>
      <c r="AG1172" s="3" t="n">
        <v>2</v>
      </c>
      <c r="AH1172" s="3" t="n">
        <v>2</v>
      </c>
      <c r="AI1172" s="3" t="n">
        <v>1</v>
      </c>
      <c r="AJ1172" s="3" t="n">
        <v>1</v>
      </c>
      <c r="AK1172" s="3" t="n">
        <v>2</v>
      </c>
      <c r="AL1172" s="3" t="n">
        <v>2</v>
      </c>
      <c r="AM1172" s="3" t="n">
        <v>2</v>
      </c>
      <c r="AN1172" s="3" t="n">
        <v>2</v>
      </c>
      <c r="AO1172" s="3" t="n">
        <v>2</v>
      </c>
      <c r="AP1172" s="3" t="n">
        <v>3</v>
      </c>
      <c r="AQ1172" s="3" t="n">
        <v>4</v>
      </c>
      <c r="AR1172" s="3" t="n">
        <v>4</v>
      </c>
      <c r="AS1172" s="3" t="n">
        <v>6</v>
      </c>
      <c r="AT1172" s="3" t="n">
        <v>4</v>
      </c>
      <c r="AU1172" s="3" t="n">
        <v>4</v>
      </c>
      <c r="AV1172" s="3" t="n">
        <v>6</v>
      </c>
      <c r="AW1172" s="3" t="n">
        <v>6</v>
      </c>
      <c r="AX1172" s="3" t="n">
        <v>3</v>
      </c>
      <c r="AY1172" s="3" t="n">
        <v>3</v>
      </c>
      <c r="AZ1172" s="3" t="n">
        <v>1</v>
      </c>
      <c r="BA1172" s="5" t="n">
        <v>1</v>
      </c>
      <c r="BB1172" s="3" t="n">
        <v>1</v>
      </c>
      <c r="BC1172" s="3" t="n">
        <v>1</v>
      </c>
      <c r="BD1172" s="3" t="n">
        <v>4</v>
      </c>
      <c r="BE1172" s="3" t="n">
        <v>1</v>
      </c>
      <c r="BF1172" s="3" t="n">
        <v>2</v>
      </c>
      <c r="BG1172" s="3" t="n">
        <v>1</v>
      </c>
      <c r="BH1172" s="3" t="n">
        <v>4</v>
      </c>
      <c r="BI1172" s="3" t="n">
        <v>1</v>
      </c>
      <c r="BJ1172" s="3" t="n">
        <v>1</v>
      </c>
      <c r="BK1172" s="6" t="s">
        <v>2961</v>
      </c>
    </row>
    <row r="1173" customFormat="false" ht="15" hidden="false" customHeight="true" outlineLevel="0" collapsed="false">
      <c r="B1173" s="2" t="s">
        <v>2962</v>
      </c>
      <c r="C1173" s="2" t="s">
        <v>707</v>
      </c>
      <c r="D1173" s="2" t="s">
        <v>402</v>
      </c>
      <c r="E1173" s="2" t="n">
        <v>210375</v>
      </c>
      <c r="F1173" s="15" t="n">
        <v>44262</v>
      </c>
      <c r="G1173" s="15" t="n">
        <v>44267</v>
      </c>
      <c r="H1173" s="3" t="n">
        <v>5</v>
      </c>
      <c r="I1173" s="3" t="n">
        <v>2</v>
      </c>
      <c r="J1173" s="3" t="n">
        <v>53</v>
      </c>
      <c r="K1173" s="3" t="n">
        <v>2</v>
      </c>
      <c r="L1173" s="3" t="n">
        <v>1</v>
      </c>
      <c r="M1173" s="3" t="n">
        <v>1</v>
      </c>
      <c r="N1173" s="3" t="n">
        <v>1</v>
      </c>
      <c r="O1173" s="3" t="n">
        <v>2</v>
      </c>
      <c r="P1173" s="3" t="n">
        <v>2</v>
      </c>
      <c r="Q1173" s="3" t="n">
        <v>2</v>
      </c>
      <c r="R1173" s="3" t="n">
        <v>2</v>
      </c>
      <c r="S1173" s="3" t="n">
        <v>2</v>
      </c>
      <c r="T1173" s="4" t="n">
        <v>1</v>
      </c>
      <c r="U1173" s="3" t="n">
        <v>1</v>
      </c>
      <c r="V1173" s="3" t="n">
        <v>5.13</v>
      </c>
      <c r="W1173" s="3" t="n">
        <v>1.35</v>
      </c>
      <c r="X1173" s="3" t="n">
        <v>8.28</v>
      </c>
      <c r="Y1173" s="3" t="n">
        <v>343</v>
      </c>
      <c r="Z1173" s="3" t="n">
        <v>94</v>
      </c>
      <c r="AA1173" s="3" t="n">
        <v>0.48</v>
      </c>
      <c r="AB1173" s="3" t="n">
        <v>11.3</v>
      </c>
      <c r="AC1173" s="3" t="n">
        <v>2</v>
      </c>
      <c r="AD1173" s="3" t="n">
        <v>1</v>
      </c>
      <c r="AE1173" s="3" t="n">
        <v>1</v>
      </c>
      <c r="AF1173" s="3" t="n">
        <v>1</v>
      </c>
      <c r="AG1173" s="3" t="n">
        <v>1</v>
      </c>
      <c r="AH1173" s="3" t="n">
        <v>2</v>
      </c>
      <c r="AI1173" s="3" t="n">
        <v>1</v>
      </c>
      <c r="AJ1173" s="3" t="n">
        <v>1</v>
      </c>
      <c r="AK1173" s="3" t="n">
        <v>2</v>
      </c>
      <c r="AL1173" s="3" t="n">
        <v>2</v>
      </c>
      <c r="AM1173" s="3" t="n">
        <v>1</v>
      </c>
      <c r="AN1173" s="3" t="n">
        <v>2</v>
      </c>
      <c r="AO1173" s="3" t="n">
        <v>2</v>
      </c>
      <c r="AP1173" s="3" t="n">
        <v>3</v>
      </c>
      <c r="AQ1173" s="3" t="n">
        <v>4</v>
      </c>
      <c r="AR1173" s="3" t="n">
        <v>4</v>
      </c>
      <c r="AS1173" s="3" t="n">
        <v>6</v>
      </c>
      <c r="AT1173" s="3" t="n">
        <v>4</v>
      </c>
      <c r="AU1173" s="3" t="n">
        <v>4</v>
      </c>
      <c r="AV1173" s="3" t="n">
        <v>6</v>
      </c>
      <c r="AW1173" s="3" t="n">
        <v>6</v>
      </c>
      <c r="AX1173" s="3" t="n">
        <v>3</v>
      </c>
      <c r="AY1173" s="3" t="n">
        <v>3</v>
      </c>
      <c r="AZ1173" s="3" t="n">
        <v>1</v>
      </c>
      <c r="BA1173" s="5" t="n">
        <v>5</v>
      </c>
      <c r="BB1173" s="3" t="n">
        <v>2</v>
      </c>
      <c r="BC1173" s="3" t="n">
        <v>1</v>
      </c>
      <c r="BD1173" s="3" t="n">
        <v>6</v>
      </c>
      <c r="BE1173" s="3" t="n">
        <v>3</v>
      </c>
      <c r="BF1173" s="3" t="n">
        <v>5</v>
      </c>
      <c r="BG1173" s="3" t="n">
        <v>3</v>
      </c>
      <c r="BH1173" s="3" t="n">
        <v>4</v>
      </c>
      <c r="BI1173" s="3" t="n">
        <v>1</v>
      </c>
      <c r="BJ1173" s="3" t="n">
        <v>1</v>
      </c>
      <c r="BK1173" s="6" t="s">
        <v>2963</v>
      </c>
    </row>
    <row r="1174" customFormat="false" ht="15" hidden="false" customHeight="true" outlineLevel="0" collapsed="false">
      <c r="B1174" s="2" t="s">
        <v>2964</v>
      </c>
      <c r="C1174" s="2" t="s">
        <v>127</v>
      </c>
      <c r="D1174" s="2" t="s">
        <v>1322</v>
      </c>
      <c r="E1174" s="2" t="n">
        <v>210374</v>
      </c>
      <c r="F1174" s="15" t="n">
        <v>44262</v>
      </c>
      <c r="G1174" s="15" t="n">
        <v>44269</v>
      </c>
      <c r="H1174" s="3" t="n">
        <v>7</v>
      </c>
      <c r="I1174" s="3" t="n">
        <v>2</v>
      </c>
      <c r="J1174" s="3" t="n">
        <v>79</v>
      </c>
      <c r="K1174" s="3" t="n">
        <v>1</v>
      </c>
      <c r="L1174" s="3" t="n">
        <v>2</v>
      </c>
      <c r="M1174" s="3" t="n">
        <v>1</v>
      </c>
      <c r="N1174" s="3" t="n">
        <v>2</v>
      </c>
      <c r="O1174" s="3" t="n">
        <v>2</v>
      </c>
      <c r="P1174" s="3" t="n">
        <v>2</v>
      </c>
      <c r="Q1174" s="3" t="n">
        <v>2</v>
      </c>
      <c r="R1174" s="3" t="n">
        <v>2</v>
      </c>
      <c r="S1174" s="3" t="n">
        <v>2</v>
      </c>
      <c r="T1174" s="4" t="n">
        <v>2</v>
      </c>
      <c r="U1174" s="3" t="n">
        <v>2</v>
      </c>
      <c r="V1174" s="3" t="n">
        <v>3.2</v>
      </c>
      <c r="W1174" s="3" t="n">
        <v>1.02</v>
      </c>
      <c r="X1174" s="3" t="n">
        <v>6.78</v>
      </c>
      <c r="Y1174" s="3" t="n">
        <v>438</v>
      </c>
      <c r="Z1174" s="3" t="n">
        <v>112</v>
      </c>
      <c r="AA1174" s="3" t="n">
        <v>0.41</v>
      </c>
      <c r="AB1174" s="3" t="n">
        <v>11</v>
      </c>
      <c r="AC1174" s="3" t="n">
        <v>1</v>
      </c>
      <c r="AD1174" s="3" t="n">
        <v>2</v>
      </c>
      <c r="AE1174" s="3" t="n">
        <v>1</v>
      </c>
      <c r="AF1174" s="3" t="n">
        <v>1</v>
      </c>
      <c r="AG1174" s="3" t="n">
        <v>2</v>
      </c>
      <c r="AH1174" s="3" t="n">
        <v>2</v>
      </c>
      <c r="AI1174" s="3" t="n">
        <v>1</v>
      </c>
      <c r="AJ1174" s="3" t="n">
        <v>2</v>
      </c>
      <c r="AK1174" s="3" t="n">
        <v>2</v>
      </c>
      <c r="AL1174" s="3" t="n">
        <v>2</v>
      </c>
      <c r="AM1174" s="3" t="n">
        <v>2</v>
      </c>
      <c r="AN1174" s="3" t="n">
        <v>2</v>
      </c>
      <c r="AO1174" s="3" t="n">
        <v>2</v>
      </c>
      <c r="AP1174" s="3" t="n">
        <v>3</v>
      </c>
      <c r="AQ1174" s="3" t="n">
        <v>4</v>
      </c>
      <c r="AR1174" s="3" t="n">
        <v>4</v>
      </c>
      <c r="AS1174" s="3" t="n">
        <v>6</v>
      </c>
      <c r="AT1174" s="3" t="n">
        <v>4</v>
      </c>
      <c r="AU1174" s="3" t="n">
        <v>4</v>
      </c>
      <c r="AV1174" s="3" t="n">
        <v>6</v>
      </c>
      <c r="AW1174" s="3" t="n">
        <v>6</v>
      </c>
      <c r="AX1174" s="3" t="n">
        <v>3</v>
      </c>
      <c r="AY1174" s="3" t="n">
        <v>3</v>
      </c>
      <c r="AZ1174" s="3" t="n">
        <v>1</v>
      </c>
      <c r="BA1174" s="5" t="n">
        <v>1</v>
      </c>
      <c r="BB1174" s="3" t="n">
        <v>1</v>
      </c>
      <c r="BC1174" s="3" t="n">
        <v>1</v>
      </c>
      <c r="BD1174" s="3" t="n">
        <v>4</v>
      </c>
      <c r="BE1174" s="3" t="n">
        <v>1</v>
      </c>
      <c r="BF1174" s="3" t="n">
        <v>2</v>
      </c>
      <c r="BG1174" s="3" t="n">
        <v>1</v>
      </c>
      <c r="BH1174" s="3" t="n">
        <v>4</v>
      </c>
      <c r="BI1174" s="3" t="n">
        <v>1</v>
      </c>
      <c r="BJ1174" s="3" t="n">
        <v>1</v>
      </c>
      <c r="BK1174" s="6" t="s">
        <v>2965</v>
      </c>
    </row>
    <row r="1175" customFormat="false" ht="15" hidden="false" customHeight="true" outlineLevel="0" collapsed="false">
      <c r="B1175" s="2" t="s">
        <v>2966</v>
      </c>
      <c r="C1175" s="2" t="s">
        <v>118</v>
      </c>
      <c r="D1175" s="2" t="s">
        <v>2967</v>
      </c>
      <c r="E1175" s="2" t="n">
        <v>210480</v>
      </c>
      <c r="F1175" s="15" t="n">
        <v>44263</v>
      </c>
      <c r="G1175" s="15" t="n">
        <v>44270</v>
      </c>
      <c r="H1175" s="3" t="n">
        <v>7</v>
      </c>
      <c r="I1175" s="3" t="n">
        <v>2</v>
      </c>
      <c r="J1175" s="3" t="n">
        <v>75</v>
      </c>
      <c r="K1175" s="3" t="n">
        <v>1</v>
      </c>
      <c r="L1175" s="3" t="n">
        <v>2</v>
      </c>
      <c r="M1175" s="3" t="n">
        <v>1</v>
      </c>
      <c r="N1175" s="3" t="n">
        <v>2</v>
      </c>
      <c r="O1175" s="3" t="n">
        <v>2</v>
      </c>
      <c r="P1175" s="3" t="n">
        <v>2</v>
      </c>
      <c r="Q1175" s="3" t="n">
        <v>2</v>
      </c>
      <c r="R1175" s="3" t="n">
        <v>2</v>
      </c>
      <c r="S1175" s="3" t="n">
        <v>2</v>
      </c>
      <c r="T1175" s="4" t="n">
        <v>2</v>
      </c>
      <c r="U1175" s="3" t="n">
        <v>2</v>
      </c>
      <c r="V1175" s="3" t="n">
        <v>5.03</v>
      </c>
      <c r="W1175" s="3" t="n">
        <v>1.1</v>
      </c>
      <c r="X1175" s="3" t="n">
        <v>6.69</v>
      </c>
      <c r="Y1175" s="3" t="n">
        <v>441</v>
      </c>
      <c r="Z1175" s="3" t="n">
        <v>124</v>
      </c>
      <c r="AA1175" s="3" t="n">
        <v>0.46</v>
      </c>
      <c r="AB1175" s="3" t="n">
        <v>14.5</v>
      </c>
      <c r="AC1175" s="3" t="n">
        <v>2</v>
      </c>
      <c r="AD1175" s="3" t="n">
        <v>2</v>
      </c>
      <c r="AE1175" s="3" t="n">
        <v>1</v>
      </c>
      <c r="AF1175" s="3" t="n">
        <v>2</v>
      </c>
      <c r="AG1175" s="3" t="n">
        <v>2</v>
      </c>
      <c r="AH1175" s="3" t="n">
        <v>2</v>
      </c>
      <c r="AI1175" s="3" t="n">
        <v>1</v>
      </c>
      <c r="AJ1175" s="3" t="n">
        <v>1</v>
      </c>
      <c r="AK1175" s="3" t="n">
        <v>2</v>
      </c>
      <c r="AL1175" s="3" t="n">
        <v>2</v>
      </c>
      <c r="AM1175" s="3" t="n">
        <v>2</v>
      </c>
      <c r="AN1175" s="3" t="n">
        <v>2</v>
      </c>
      <c r="AO1175" s="3" t="n">
        <v>2</v>
      </c>
      <c r="AP1175" s="3" t="n">
        <v>3</v>
      </c>
      <c r="AQ1175" s="3" t="n">
        <v>4</v>
      </c>
      <c r="AR1175" s="3" t="n">
        <v>4</v>
      </c>
      <c r="AS1175" s="3" t="n">
        <v>6</v>
      </c>
      <c r="AT1175" s="3" t="n">
        <v>4</v>
      </c>
      <c r="AU1175" s="3" t="n">
        <v>4</v>
      </c>
      <c r="AV1175" s="3" t="n">
        <v>6</v>
      </c>
      <c r="AW1175" s="3" t="n">
        <v>6</v>
      </c>
      <c r="AX1175" s="3" t="n">
        <v>3</v>
      </c>
      <c r="AY1175" s="3" t="n">
        <v>3</v>
      </c>
      <c r="AZ1175" s="3" t="n">
        <v>1</v>
      </c>
      <c r="BA1175" s="5" t="n">
        <v>1</v>
      </c>
      <c r="BB1175" s="3" t="n">
        <v>1</v>
      </c>
      <c r="BC1175" s="3" t="n">
        <v>1</v>
      </c>
      <c r="BD1175" s="3" t="n">
        <v>2</v>
      </c>
      <c r="BE1175" s="3" t="n">
        <v>1</v>
      </c>
      <c r="BF1175" s="3" t="n">
        <v>2</v>
      </c>
      <c r="BG1175" s="3" t="n">
        <v>1</v>
      </c>
      <c r="BH1175" s="3" t="n">
        <v>4</v>
      </c>
      <c r="BI1175" s="3" t="n">
        <v>1</v>
      </c>
      <c r="BJ1175" s="3" t="n">
        <v>1</v>
      </c>
      <c r="BK1175" s="6" t="s">
        <v>2968</v>
      </c>
    </row>
    <row r="1176" customFormat="false" ht="15" hidden="false" customHeight="true" outlineLevel="0" collapsed="false">
      <c r="A1176" s="1" t="s">
        <v>2969</v>
      </c>
      <c r="B1176" s="2" t="s">
        <v>2970</v>
      </c>
      <c r="C1176" s="2" t="s">
        <v>172</v>
      </c>
      <c r="D1176" s="2" t="s">
        <v>415</v>
      </c>
      <c r="E1176" s="2" t="n">
        <v>210439</v>
      </c>
      <c r="F1176" s="15" t="n">
        <v>44264</v>
      </c>
      <c r="G1176" s="15" t="n">
        <v>44271</v>
      </c>
      <c r="H1176" s="3" t="n">
        <v>7</v>
      </c>
      <c r="I1176" s="3" t="n">
        <v>2</v>
      </c>
      <c r="J1176" s="3" t="n">
        <v>48</v>
      </c>
      <c r="K1176" s="3" t="n">
        <v>1</v>
      </c>
      <c r="L1176" s="3" t="n">
        <v>1</v>
      </c>
      <c r="M1176" s="3" t="n">
        <v>1</v>
      </c>
      <c r="N1176" s="3" t="n">
        <v>1</v>
      </c>
      <c r="O1176" s="3" t="n">
        <v>2</v>
      </c>
      <c r="P1176" s="3" t="n">
        <v>2</v>
      </c>
      <c r="Q1176" s="3" t="n">
        <v>2</v>
      </c>
      <c r="R1176" s="3" t="n">
        <v>2</v>
      </c>
      <c r="S1176" s="3" t="n">
        <v>2</v>
      </c>
      <c r="T1176" s="4" t="n">
        <v>2</v>
      </c>
      <c r="U1176" s="3" t="n">
        <v>2</v>
      </c>
      <c r="V1176" s="3" t="n">
        <v>6.48</v>
      </c>
      <c r="W1176" s="3" t="n">
        <v>1.44</v>
      </c>
      <c r="X1176" s="3" t="n">
        <v>5.51</v>
      </c>
      <c r="Y1176" s="3" t="n">
        <v>359</v>
      </c>
      <c r="Z1176" s="3" t="n">
        <v>97</v>
      </c>
      <c r="AA1176" s="3" t="n">
        <v>0.45</v>
      </c>
      <c r="AB1176" s="3" t="n">
        <v>17.1</v>
      </c>
      <c r="AC1176" s="3" t="n">
        <v>1</v>
      </c>
      <c r="AD1176" s="3" t="n">
        <v>2</v>
      </c>
      <c r="AE1176" s="3" t="n">
        <v>1</v>
      </c>
      <c r="AF1176" s="3" t="n">
        <v>1</v>
      </c>
      <c r="AG1176" s="3" t="n">
        <v>2</v>
      </c>
      <c r="AH1176" s="3" t="n">
        <v>2</v>
      </c>
      <c r="AI1176" s="3" t="n">
        <v>1</v>
      </c>
      <c r="AJ1176" s="3" t="n">
        <v>1</v>
      </c>
      <c r="AK1176" s="3" t="n">
        <v>2</v>
      </c>
      <c r="AL1176" s="3" t="n">
        <v>2</v>
      </c>
      <c r="AM1176" s="3" t="n">
        <v>2</v>
      </c>
      <c r="AN1176" s="3" t="n">
        <v>2</v>
      </c>
      <c r="AO1176" s="3" t="n">
        <v>2</v>
      </c>
      <c r="AP1176" s="3" t="n">
        <v>3</v>
      </c>
      <c r="AQ1176" s="3" t="n">
        <v>4</v>
      </c>
      <c r="AR1176" s="3" t="n">
        <v>4</v>
      </c>
      <c r="AS1176" s="3" t="n">
        <v>6</v>
      </c>
      <c r="AT1176" s="3" t="n">
        <v>4</v>
      </c>
      <c r="AU1176" s="3" t="n">
        <v>4</v>
      </c>
      <c r="AV1176" s="3" t="n">
        <v>6</v>
      </c>
      <c r="AW1176" s="3" t="n">
        <v>6</v>
      </c>
      <c r="AX1176" s="3" t="n">
        <v>3</v>
      </c>
      <c r="AY1176" s="3" t="n">
        <v>3</v>
      </c>
      <c r="AZ1176" s="3" t="n">
        <v>1</v>
      </c>
      <c r="BA1176" s="5" t="n">
        <v>1</v>
      </c>
      <c r="BB1176" s="3" t="n">
        <v>1</v>
      </c>
      <c r="BC1176" s="3" t="n">
        <v>1</v>
      </c>
      <c r="BD1176" s="3" t="n">
        <v>4</v>
      </c>
      <c r="BE1176" s="3" t="n">
        <v>1</v>
      </c>
      <c r="BF1176" s="3" t="n">
        <v>2</v>
      </c>
      <c r="BG1176" s="3" t="n">
        <v>2</v>
      </c>
      <c r="BH1176" s="3" t="n">
        <v>4</v>
      </c>
      <c r="BI1176" s="3" t="n">
        <v>1</v>
      </c>
      <c r="BJ1176" s="3" t="n">
        <v>1</v>
      </c>
      <c r="BK1176" s="6" t="s">
        <v>2971</v>
      </c>
    </row>
    <row r="1177" customFormat="false" ht="15" hidden="false" customHeight="true" outlineLevel="0" collapsed="false">
      <c r="B1177" s="2" t="s">
        <v>2823</v>
      </c>
      <c r="C1177" s="2" t="s">
        <v>2972</v>
      </c>
      <c r="D1177" s="2" t="s">
        <v>2068</v>
      </c>
      <c r="E1177" s="2" t="n">
        <v>210469</v>
      </c>
      <c r="F1177" s="15" t="n">
        <v>44264</v>
      </c>
      <c r="G1177" s="2" t="s">
        <v>2973</v>
      </c>
      <c r="H1177" s="3" t="n">
        <v>7</v>
      </c>
      <c r="I1177" s="3" t="n">
        <v>2</v>
      </c>
      <c r="J1177" s="3" t="n">
        <v>56</v>
      </c>
      <c r="K1177" s="3" t="n">
        <v>1</v>
      </c>
      <c r="L1177" s="3" t="n">
        <v>1</v>
      </c>
      <c r="M1177" s="3" t="n">
        <v>1</v>
      </c>
      <c r="N1177" s="3" t="n">
        <v>2</v>
      </c>
      <c r="O1177" s="3" t="n">
        <v>1</v>
      </c>
      <c r="P1177" s="3" t="n">
        <v>2</v>
      </c>
      <c r="Q1177" s="3" t="n">
        <v>1</v>
      </c>
      <c r="R1177" s="3" t="n">
        <v>2</v>
      </c>
      <c r="S1177" s="3" t="n">
        <v>2</v>
      </c>
      <c r="T1177" s="4" t="n">
        <v>2</v>
      </c>
      <c r="U1177" s="3" t="n">
        <v>2</v>
      </c>
      <c r="V1177" s="3" t="n">
        <v>6.31</v>
      </c>
      <c r="W1177" s="3" t="n">
        <v>1.77</v>
      </c>
      <c r="X1177" s="3" t="n">
        <v>8.16</v>
      </c>
      <c r="Y1177" s="3" t="n">
        <v>440</v>
      </c>
      <c r="Z1177" s="3" t="n">
        <v>90</v>
      </c>
      <c r="AA1177" s="3" t="n">
        <v>0.48</v>
      </c>
      <c r="AB1177" s="3" t="n">
        <v>16.8</v>
      </c>
      <c r="AC1177" s="3" t="n">
        <v>2</v>
      </c>
      <c r="AD1177" s="3" t="n">
        <v>2</v>
      </c>
      <c r="AE1177" s="3" t="n">
        <v>2</v>
      </c>
      <c r="AF1177" s="3" t="n">
        <v>1</v>
      </c>
      <c r="AG1177" s="3" t="n">
        <v>2</v>
      </c>
      <c r="AH1177" s="3" t="n">
        <v>1</v>
      </c>
      <c r="AI1177" s="3" t="n">
        <v>1</v>
      </c>
      <c r="AJ1177" s="3" t="n">
        <v>2</v>
      </c>
      <c r="AK1177" s="3" t="n">
        <v>2</v>
      </c>
      <c r="AL1177" s="3" t="n">
        <v>2</v>
      </c>
      <c r="AM1177" s="3" t="n">
        <v>1</v>
      </c>
      <c r="AN1177" s="3" t="n">
        <v>2</v>
      </c>
      <c r="AO1177" s="3" t="n">
        <v>2</v>
      </c>
      <c r="AP1177" s="3" t="n">
        <v>3</v>
      </c>
      <c r="AQ1177" s="3" t="n">
        <v>4</v>
      </c>
      <c r="AR1177" s="3" t="n">
        <v>4</v>
      </c>
      <c r="AS1177" s="3" t="n">
        <v>6</v>
      </c>
      <c r="AT1177" s="3" t="n">
        <v>4</v>
      </c>
      <c r="AU1177" s="3" t="n">
        <v>4</v>
      </c>
      <c r="AV1177" s="3" t="n">
        <v>6</v>
      </c>
      <c r="AW1177" s="3" t="n">
        <v>6</v>
      </c>
      <c r="AX1177" s="3" t="n">
        <v>3</v>
      </c>
      <c r="AY1177" s="3" t="n">
        <v>3</v>
      </c>
      <c r="AZ1177" s="3" t="n">
        <v>1</v>
      </c>
      <c r="BA1177" s="5" t="n">
        <v>1</v>
      </c>
      <c r="BB1177" s="3" t="n">
        <v>1</v>
      </c>
      <c r="BC1177" s="3" t="n">
        <v>1</v>
      </c>
      <c r="BD1177" s="3" t="n">
        <v>4</v>
      </c>
      <c r="BE1177" s="3" t="n">
        <v>1</v>
      </c>
      <c r="BF1177" s="3" t="n">
        <v>2</v>
      </c>
      <c r="BG1177" s="3" t="n">
        <v>1</v>
      </c>
      <c r="BH1177" s="3" t="n">
        <v>4</v>
      </c>
      <c r="BI1177" s="3" t="n">
        <v>1</v>
      </c>
      <c r="BJ1177" s="3" t="n">
        <v>1</v>
      </c>
      <c r="BK1177" s="6" t="s">
        <v>2974</v>
      </c>
    </row>
    <row r="1178" customFormat="false" ht="15" hidden="false" customHeight="true" outlineLevel="0" collapsed="false">
      <c r="B1178" s="2" t="s">
        <v>2975</v>
      </c>
      <c r="C1178" s="2" t="s">
        <v>78</v>
      </c>
      <c r="D1178" s="2" t="s">
        <v>423</v>
      </c>
      <c r="E1178" s="2" t="n">
        <v>210662</v>
      </c>
      <c r="F1178" s="15" t="n">
        <v>44267</v>
      </c>
      <c r="G1178" s="15" t="n">
        <v>44272</v>
      </c>
      <c r="H1178" s="3" t="n">
        <v>5</v>
      </c>
      <c r="I1178" s="3" t="n">
        <v>2</v>
      </c>
      <c r="J1178" s="3" t="n">
        <v>75</v>
      </c>
      <c r="K1178" s="3" t="n">
        <v>2</v>
      </c>
      <c r="L1178" s="3" t="n">
        <v>2</v>
      </c>
      <c r="M1178" s="3" t="n">
        <v>1</v>
      </c>
      <c r="N1178" s="3" t="n">
        <v>2</v>
      </c>
      <c r="O1178" s="3" t="n">
        <v>2</v>
      </c>
      <c r="P1178" s="3" t="n">
        <v>1</v>
      </c>
      <c r="Q1178" s="3" t="n">
        <v>1</v>
      </c>
      <c r="R1178" s="3" t="n">
        <v>2</v>
      </c>
      <c r="S1178" s="3" t="n">
        <v>2</v>
      </c>
      <c r="T1178" s="4" t="n">
        <v>4</v>
      </c>
      <c r="U1178" s="3" t="n">
        <v>4</v>
      </c>
      <c r="V1178" s="3" t="n">
        <v>4.57</v>
      </c>
      <c r="W1178" s="3" t="n">
        <v>1.33</v>
      </c>
      <c r="X1178" s="3" t="n">
        <v>7.84</v>
      </c>
      <c r="Y1178" s="3" t="n">
        <v>383</v>
      </c>
      <c r="Z1178" s="3" t="n">
        <v>132</v>
      </c>
      <c r="AA1178" s="3" t="n">
        <v>0.3</v>
      </c>
      <c r="AB1178" s="3" t="n">
        <v>6</v>
      </c>
      <c r="AC1178" s="3" t="n">
        <v>1</v>
      </c>
      <c r="AD1178" s="3" t="n">
        <v>1</v>
      </c>
      <c r="AE1178" s="3" t="n">
        <v>1</v>
      </c>
      <c r="AF1178" s="3" t="n">
        <v>1</v>
      </c>
      <c r="AG1178" s="3" t="n">
        <v>2</v>
      </c>
      <c r="AH1178" s="3" t="n">
        <v>2</v>
      </c>
      <c r="AI1178" s="3" t="n">
        <v>1</v>
      </c>
      <c r="AJ1178" s="3" t="n">
        <v>2</v>
      </c>
      <c r="AK1178" s="3" t="n">
        <v>1</v>
      </c>
      <c r="AL1178" s="3" t="n">
        <v>2</v>
      </c>
      <c r="AM1178" s="3" t="n">
        <v>2</v>
      </c>
      <c r="AN1178" s="3" t="n">
        <v>2</v>
      </c>
      <c r="AO1178" s="3" t="n">
        <v>1</v>
      </c>
      <c r="AP1178" s="3" t="n">
        <v>3</v>
      </c>
      <c r="AQ1178" s="3" t="n">
        <v>4</v>
      </c>
      <c r="AR1178" s="3" t="n">
        <v>4</v>
      </c>
      <c r="AS1178" s="3" t="n">
        <v>6</v>
      </c>
      <c r="AT1178" s="3" t="n">
        <v>4</v>
      </c>
      <c r="AU1178" s="3" t="n">
        <v>4</v>
      </c>
      <c r="AV1178" s="3" t="n">
        <v>6</v>
      </c>
      <c r="AW1178" s="3" t="n">
        <v>6</v>
      </c>
      <c r="AX1178" s="3" t="n">
        <v>3</v>
      </c>
      <c r="AY1178" s="3" t="n">
        <v>3</v>
      </c>
      <c r="AZ1178" s="3" t="n">
        <v>1</v>
      </c>
      <c r="BA1178" s="5" t="n">
        <v>10</v>
      </c>
      <c r="BB1178" s="3" t="n">
        <v>2</v>
      </c>
      <c r="BC1178" s="3" t="n">
        <v>1</v>
      </c>
      <c r="BD1178" s="3" t="n">
        <v>6</v>
      </c>
      <c r="BE1178" s="3" t="n">
        <v>3</v>
      </c>
      <c r="BF1178" s="3" t="n">
        <v>5</v>
      </c>
      <c r="BG1178" s="3" t="n">
        <v>3</v>
      </c>
      <c r="BH1178" s="3" t="n">
        <v>4</v>
      </c>
      <c r="BI1178" s="3" t="n">
        <v>1</v>
      </c>
      <c r="BJ1178" s="3" t="n">
        <v>1</v>
      </c>
      <c r="BK1178" s="6" t="s">
        <v>2976</v>
      </c>
    </row>
    <row r="1179" customFormat="false" ht="15" hidden="false" customHeight="true" outlineLevel="0" collapsed="false">
      <c r="B1179" s="2" t="s">
        <v>2427</v>
      </c>
      <c r="C1179" s="2" t="s">
        <v>419</v>
      </c>
      <c r="D1179" s="2" t="s">
        <v>2515</v>
      </c>
      <c r="E1179" s="2" t="n">
        <v>210612</v>
      </c>
      <c r="F1179" s="15" t="n">
        <v>44268</v>
      </c>
      <c r="G1179" s="15" t="n">
        <v>44274</v>
      </c>
      <c r="H1179" s="3" t="n">
        <v>6</v>
      </c>
      <c r="I1179" s="3" t="n">
        <v>2</v>
      </c>
      <c r="J1179" s="3" t="n">
        <v>59</v>
      </c>
      <c r="K1179" s="3" t="n">
        <v>2</v>
      </c>
      <c r="L1179" s="3" t="n">
        <v>1</v>
      </c>
      <c r="M1179" s="3" t="n">
        <v>1</v>
      </c>
      <c r="N1179" s="3" t="n">
        <v>2</v>
      </c>
      <c r="O1179" s="3" t="n">
        <v>2</v>
      </c>
      <c r="P1179" s="3" t="n">
        <v>2</v>
      </c>
      <c r="Q1179" s="3" t="n">
        <v>2</v>
      </c>
      <c r="R1179" s="3" t="n">
        <v>2</v>
      </c>
      <c r="S1179" s="3" t="n">
        <v>2</v>
      </c>
      <c r="T1179" s="4" t="n">
        <v>2</v>
      </c>
      <c r="U1179" s="3" t="n">
        <v>2</v>
      </c>
      <c r="V1179" s="3" t="n">
        <v>4.28</v>
      </c>
      <c r="W1179" s="3" t="n">
        <v>1.82</v>
      </c>
      <c r="X1179" s="3" t="n">
        <v>8.77</v>
      </c>
      <c r="Y1179" s="3" t="n">
        <v>279</v>
      </c>
      <c r="Z1179" s="3" t="n">
        <v>134</v>
      </c>
      <c r="AA1179" s="3" t="n">
        <v>0.47</v>
      </c>
      <c r="AB1179" s="3" t="n">
        <v>11</v>
      </c>
      <c r="AC1179" s="3" t="n">
        <v>1</v>
      </c>
      <c r="AD1179" s="3" t="n">
        <v>2</v>
      </c>
      <c r="AE1179" s="3" t="n">
        <v>2</v>
      </c>
      <c r="AF1179" s="3" t="n">
        <v>1</v>
      </c>
      <c r="AG1179" s="3" t="n">
        <v>2</v>
      </c>
      <c r="AH1179" s="3" t="n">
        <v>2</v>
      </c>
      <c r="AI1179" s="3" t="n">
        <v>1</v>
      </c>
      <c r="AJ1179" s="3" t="n">
        <v>1</v>
      </c>
      <c r="AK1179" s="3" t="n">
        <v>2</v>
      </c>
      <c r="AL1179" s="3" t="n">
        <v>2</v>
      </c>
      <c r="AM1179" s="3" t="n">
        <v>2</v>
      </c>
      <c r="AN1179" s="3" t="n">
        <v>2</v>
      </c>
      <c r="AO1179" s="3" t="n">
        <v>2</v>
      </c>
      <c r="AP1179" s="3" t="n">
        <v>3</v>
      </c>
      <c r="AQ1179" s="3" t="n">
        <v>4</v>
      </c>
      <c r="AR1179" s="3" t="n">
        <v>4</v>
      </c>
      <c r="AS1179" s="3" t="n">
        <v>6</v>
      </c>
      <c r="AT1179" s="3" t="n">
        <v>4</v>
      </c>
      <c r="AU1179" s="3" t="n">
        <v>4</v>
      </c>
      <c r="AV1179" s="3" t="n">
        <v>6</v>
      </c>
      <c r="AW1179" s="3" t="n">
        <v>6</v>
      </c>
      <c r="AX1179" s="3" t="n">
        <v>3</v>
      </c>
      <c r="AY1179" s="3" t="n">
        <v>3</v>
      </c>
      <c r="AZ1179" s="3" t="n">
        <v>1</v>
      </c>
      <c r="BA1179" s="5" t="n">
        <v>1</v>
      </c>
      <c r="BB1179" s="3" t="n">
        <v>1</v>
      </c>
      <c r="BC1179" s="3" t="n">
        <v>1</v>
      </c>
      <c r="BD1179" s="3" t="n">
        <v>4</v>
      </c>
      <c r="BE1179" s="3" t="n">
        <v>1</v>
      </c>
      <c r="BF1179" s="3" t="n">
        <v>2</v>
      </c>
      <c r="BG1179" s="3" t="n">
        <v>1</v>
      </c>
      <c r="BH1179" s="3" t="n">
        <v>4</v>
      </c>
      <c r="BI1179" s="3" t="n">
        <v>1</v>
      </c>
      <c r="BJ1179" s="3" t="n">
        <v>1</v>
      </c>
      <c r="BK1179" s="6" t="s">
        <v>270</v>
      </c>
    </row>
    <row r="1180" customFormat="false" ht="15" hidden="false" customHeight="true" outlineLevel="0" collapsed="false">
      <c r="B1180" s="2" t="s">
        <v>2977</v>
      </c>
      <c r="C1180" s="2" t="s">
        <v>127</v>
      </c>
      <c r="D1180" s="2" t="s">
        <v>127</v>
      </c>
      <c r="E1180" s="2" t="n">
        <v>210037</v>
      </c>
      <c r="F1180" s="15" t="n">
        <v>44258</v>
      </c>
      <c r="G1180" s="15" t="n">
        <v>44274</v>
      </c>
      <c r="H1180" s="3" t="n">
        <v>16</v>
      </c>
      <c r="I1180" s="3" t="n">
        <v>1</v>
      </c>
      <c r="J1180" s="3" t="n">
        <v>78</v>
      </c>
      <c r="K1180" s="3" t="n">
        <v>1</v>
      </c>
      <c r="L1180" s="3" t="n">
        <v>1</v>
      </c>
      <c r="M1180" s="3" t="n">
        <v>1</v>
      </c>
      <c r="N1180" s="3" t="n">
        <v>2</v>
      </c>
      <c r="O1180" s="3" t="n">
        <v>2</v>
      </c>
      <c r="P1180" s="3" t="n">
        <v>2</v>
      </c>
      <c r="Q1180" s="3" t="n">
        <v>2</v>
      </c>
      <c r="R1180" s="3" t="n">
        <v>2</v>
      </c>
      <c r="S1180" s="3" t="n">
        <v>2</v>
      </c>
      <c r="T1180" s="4" t="n">
        <v>6</v>
      </c>
      <c r="U1180" s="3" t="n">
        <v>4</v>
      </c>
      <c r="V1180" s="3" t="n">
        <v>5.72</v>
      </c>
      <c r="W1180" s="3" t="n">
        <v>1.42</v>
      </c>
      <c r="X1180" s="3" t="n">
        <v>6.43</v>
      </c>
      <c r="Y1180" s="3" t="n">
        <v>684</v>
      </c>
      <c r="Z1180" s="3" t="n">
        <v>124</v>
      </c>
      <c r="AA1180" s="3" t="n">
        <v>0.43</v>
      </c>
      <c r="AB1180" s="3" t="n">
        <v>14</v>
      </c>
      <c r="AC1180" s="3" t="n">
        <v>1</v>
      </c>
      <c r="AD1180" s="3" t="n">
        <v>2</v>
      </c>
      <c r="AE1180" s="3" t="n">
        <v>2</v>
      </c>
      <c r="AF1180" s="3" t="n">
        <v>2</v>
      </c>
      <c r="AG1180" s="3" t="n">
        <v>2</v>
      </c>
      <c r="AH1180" s="3" t="n">
        <v>1</v>
      </c>
      <c r="AI1180" s="3" t="n">
        <v>2</v>
      </c>
      <c r="AJ1180" s="3" t="n">
        <v>2</v>
      </c>
      <c r="AK1180" s="3" t="n">
        <v>2</v>
      </c>
      <c r="AL1180" s="3" t="n">
        <v>2</v>
      </c>
      <c r="AM1180" s="3" t="n">
        <v>2</v>
      </c>
      <c r="AN1180" s="3" t="n">
        <v>2</v>
      </c>
      <c r="AO1180" s="3" t="n">
        <v>2</v>
      </c>
      <c r="AP1180" s="3" t="n">
        <v>3</v>
      </c>
      <c r="AQ1180" s="3" t="n">
        <v>4</v>
      </c>
      <c r="AR1180" s="3" t="n">
        <v>4</v>
      </c>
      <c r="AS1180" s="3" t="n">
        <v>6</v>
      </c>
      <c r="AT1180" s="3" t="n">
        <v>4</v>
      </c>
      <c r="AU1180" s="3" t="n">
        <v>4</v>
      </c>
      <c r="AV1180" s="3" t="n">
        <v>6</v>
      </c>
      <c r="AW1180" s="3" t="n">
        <v>6</v>
      </c>
      <c r="AX1180" s="3" t="n">
        <v>3</v>
      </c>
      <c r="AY1180" s="3" t="n">
        <v>3</v>
      </c>
      <c r="AZ1180" s="3" t="n">
        <v>1</v>
      </c>
      <c r="BA1180" s="5" t="n">
        <v>10</v>
      </c>
      <c r="BB1180" s="3" t="n">
        <v>2</v>
      </c>
      <c r="BC1180" s="3" t="n">
        <v>1</v>
      </c>
      <c r="BD1180" s="3" t="n">
        <v>6</v>
      </c>
      <c r="BE1180" s="3" t="n">
        <v>3</v>
      </c>
      <c r="BF1180" s="3" t="n">
        <v>5</v>
      </c>
      <c r="BG1180" s="3" t="n">
        <v>3</v>
      </c>
      <c r="BH1180" s="3" t="n">
        <v>4</v>
      </c>
      <c r="BI1180" s="3" t="n">
        <v>1</v>
      </c>
      <c r="BJ1180" s="3" t="n">
        <v>1</v>
      </c>
      <c r="BK1180" s="6" t="s">
        <v>2978</v>
      </c>
    </row>
    <row r="1181" s="30" customFormat="true" ht="15" hidden="false" customHeight="true" outlineLevel="0" collapsed="false">
      <c r="A1181" s="24"/>
      <c r="B1181" s="26" t="s">
        <v>2979</v>
      </c>
      <c r="C1181" s="26" t="s">
        <v>71</v>
      </c>
      <c r="D1181" s="26" t="s">
        <v>462</v>
      </c>
      <c r="E1181" s="26" t="n">
        <v>211051</v>
      </c>
      <c r="F1181" s="27" t="n">
        <v>44274</v>
      </c>
      <c r="G1181" s="27" t="n">
        <v>44274</v>
      </c>
      <c r="H1181" s="30" t="n">
        <v>0</v>
      </c>
      <c r="I1181" s="30" t="n">
        <v>1</v>
      </c>
      <c r="J1181" s="30" t="n">
        <v>82</v>
      </c>
      <c r="K1181" s="30" t="n">
        <v>1</v>
      </c>
      <c r="L1181" s="30" t="n">
        <v>2</v>
      </c>
      <c r="M1181" s="30" t="n">
        <v>1</v>
      </c>
      <c r="N1181" s="30" t="n">
        <v>2</v>
      </c>
      <c r="O1181" s="30" t="n">
        <v>2</v>
      </c>
      <c r="P1181" s="30" t="n">
        <v>2</v>
      </c>
      <c r="Q1181" s="30" t="n">
        <v>1</v>
      </c>
      <c r="R1181" s="30" t="n">
        <v>2</v>
      </c>
      <c r="S1181" s="30" t="n">
        <v>2</v>
      </c>
      <c r="T1181" s="4" t="n">
        <v>2</v>
      </c>
      <c r="U1181" s="30" t="n">
        <v>2</v>
      </c>
      <c r="AD1181" s="30" t="n">
        <v>2</v>
      </c>
      <c r="AE1181" s="30" t="n">
        <v>2</v>
      </c>
      <c r="AF1181" s="30" t="n">
        <v>1</v>
      </c>
      <c r="AG1181" s="30" t="n">
        <v>2</v>
      </c>
      <c r="AH1181" s="30" t="n">
        <v>2</v>
      </c>
      <c r="AI1181" s="30" t="n">
        <v>1</v>
      </c>
      <c r="AJ1181" s="30" t="n">
        <v>1</v>
      </c>
      <c r="AK1181" s="30" t="n">
        <v>2</v>
      </c>
      <c r="AL1181" s="30" t="n">
        <v>2</v>
      </c>
      <c r="AM1181" s="30" t="n">
        <v>2</v>
      </c>
      <c r="AN1181" s="30" t="n">
        <v>2</v>
      </c>
      <c r="AO1181" s="30" t="n">
        <v>2</v>
      </c>
      <c r="AP1181" s="30" t="n">
        <v>3</v>
      </c>
      <c r="AQ1181" s="30" t="n">
        <v>4</v>
      </c>
      <c r="AR1181" s="30" t="n">
        <v>4</v>
      </c>
      <c r="AS1181" s="30" t="n">
        <v>6</v>
      </c>
      <c r="AT1181" s="30" t="n">
        <v>4</v>
      </c>
      <c r="AU1181" s="30" t="n">
        <v>4</v>
      </c>
      <c r="AV1181" s="30" t="n">
        <v>6</v>
      </c>
      <c r="AW1181" s="30" t="n">
        <v>6</v>
      </c>
      <c r="AX1181" s="30" t="n">
        <v>3</v>
      </c>
      <c r="AY1181" s="30" t="n">
        <v>3</v>
      </c>
      <c r="AZ1181" s="30" t="n">
        <v>10</v>
      </c>
      <c r="BA1181" s="5" t="n">
        <v>1</v>
      </c>
      <c r="BB1181" s="30" t="n">
        <v>1</v>
      </c>
      <c r="BC1181" s="30" t="n">
        <v>2</v>
      </c>
      <c r="BD1181" s="30" t="n">
        <v>2</v>
      </c>
      <c r="BE1181" s="30" t="n">
        <v>1</v>
      </c>
      <c r="BF1181" s="30" t="n">
        <v>2</v>
      </c>
      <c r="BG1181" s="30" t="n">
        <v>1</v>
      </c>
      <c r="BH1181" s="30" t="n">
        <v>4</v>
      </c>
      <c r="BI1181" s="30" t="n">
        <v>1</v>
      </c>
      <c r="BJ1181" s="30" t="n">
        <v>1</v>
      </c>
      <c r="BK1181" s="31" t="s">
        <v>2980</v>
      </c>
    </row>
    <row r="1182" customFormat="false" ht="15" hidden="false" customHeight="true" outlineLevel="0" collapsed="false">
      <c r="B1182" s="2" t="s">
        <v>2981</v>
      </c>
      <c r="C1182" s="2" t="s">
        <v>1176</v>
      </c>
      <c r="D1182" s="2" t="s">
        <v>95</v>
      </c>
      <c r="E1182" s="2" t="n">
        <v>211024</v>
      </c>
      <c r="F1182" s="15" t="n">
        <v>44273</v>
      </c>
      <c r="G1182" s="15" t="n">
        <v>44278</v>
      </c>
      <c r="H1182" s="3" t="n">
        <v>5</v>
      </c>
      <c r="I1182" s="3" t="n">
        <v>2</v>
      </c>
      <c r="J1182" s="3" t="n">
        <v>65</v>
      </c>
      <c r="K1182" s="3" t="n">
        <v>1</v>
      </c>
      <c r="L1182" s="3" t="n">
        <v>2</v>
      </c>
      <c r="M1182" s="3" t="n">
        <v>1</v>
      </c>
      <c r="N1182" s="3" t="n">
        <v>2</v>
      </c>
      <c r="O1182" s="3" t="n">
        <v>2</v>
      </c>
      <c r="P1182" s="3" t="n">
        <v>2</v>
      </c>
      <c r="Q1182" s="3" t="n">
        <v>2</v>
      </c>
      <c r="R1182" s="3" t="n">
        <v>2</v>
      </c>
      <c r="S1182" s="3" t="n">
        <v>2</v>
      </c>
      <c r="T1182" s="4" t="n">
        <v>4</v>
      </c>
      <c r="U1182" s="3" t="n">
        <v>4</v>
      </c>
      <c r="AC1182" s="3" t="n">
        <v>1</v>
      </c>
      <c r="AD1182" s="3" t="n">
        <v>2</v>
      </c>
      <c r="AE1182" s="3" t="n">
        <v>2</v>
      </c>
      <c r="AF1182" s="3" t="n">
        <v>2</v>
      </c>
      <c r="AG1182" s="3" t="n">
        <v>2</v>
      </c>
      <c r="AH1182" s="3" t="n">
        <v>2</v>
      </c>
      <c r="AI1182" s="3" t="n">
        <v>2</v>
      </c>
      <c r="AJ1182" s="3" t="n">
        <v>1</v>
      </c>
      <c r="AK1182" s="3" t="n">
        <v>2</v>
      </c>
      <c r="AL1182" s="3" t="n">
        <v>2</v>
      </c>
      <c r="AM1182" s="3" t="n">
        <v>2</v>
      </c>
      <c r="AN1182" s="3" t="n">
        <v>2</v>
      </c>
      <c r="AO1182" s="3" t="n">
        <v>2</v>
      </c>
      <c r="AP1182" s="3" t="n">
        <v>3</v>
      </c>
      <c r="AQ1182" s="3" t="n">
        <v>4</v>
      </c>
      <c r="AR1182" s="3" t="n">
        <v>4</v>
      </c>
      <c r="AS1182" s="3" t="n">
        <v>6</v>
      </c>
      <c r="AT1182" s="3" t="n">
        <v>4</v>
      </c>
      <c r="AU1182" s="3" t="n">
        <v>4</v>
      </c>
      <c r="AV1182" s="3" t="n">
        <v>6</v>
      </c>
      <c r="AW1182" s="3" t="n">
        <v>6</v>
      </c>
      <c r="AX1182" s="3" t="n">
        <v>3</v>
      </c>
      <c r="AY1182" s="3" t="n">
        <v>3</v>
      </c>
      <c r="AZ1182" s="3" t="n">
        <v>1</v>
      </c>
      <c r="BA1182" s="5" t="n">
        <v>10</v>
      </c>
      <c r="BB1182" s="3" t="n">
        <v>2</v>
      </c>
      <c r="BC1182" s="3" t="n">
        <v>1</v>
      </c>
      <c r="BD1182" s="3" t="n">
        <v>6</v>
      </c>
      <c r="BE1182" s="3" t="n">
        <v>3</v>
      </c>
      <c r="BF1182" s="3" t="n">
        <v>5</v>
      </c>
      <c r="BG1182" s="3" t="n">
        <v>3</v>
      </c>
      <c r="BH1182" s="3" t="n">
        <v>4</v>
      </c>
      <c r="BI1182" s="3" t="n">
        <v>1</v>
      </c>
      <c r="BJ1182" s="3" t="n">
        <v>1</v>
      </c>
      <c r="BK1182" s="6" t="s">
        <v>2982</v>
      </c>
    </row>
    <row r="1183" customFormat="false" ht="15" hidden="false" customHeight="true" outlineLevel="0" collapsed="false">
      <c r="B1183" s="2" t="s">
        <v>2983</v>
      </c>
      <c r="C1183" s="2" t="s">
        <v>1883</v>
      </c>
      <c r="D1183" s="2" t="s">
        <v>197</v>
      </c>
      <c r="E1183" s="2" t="n">
        <v>211063</v>
      </c>
      <c r="F1183" s="15" t="n">
        <v>44274</v>
      </c>
      <c r="G1183" s="15" t="n">
        <v>44277</v>
      </c>
      <c r="H1183" s="3" t="n">
        <v>3</v>
      </c>
      <c r="I1183" s="3" t="n">
        <v>1</v>
      </c>
      <c r="J1183" s="3" t="n">
        <v>53</v>
      </c>
      <c r="K1183" s="3" t="n">
        <v>2</v>
      </c>
      <c r="L1183" s="3" t="n">
        <v>2</v>
      </c>
      <c r="M1183" s="3" t="n">
        <v>1</v>
      </c>
      <c r="N1183" s="3" t="n">
        <v>2</v>
      </c>
      <c r="O1183" s="3" t="n">
        <v>2</v>
      </c>
      <c r="P1183" s="3" t="n">
        <v>2</v>
      </c>
      <c r="Q1183" s="3" t="n">
        <v>2</v>
      </c>
      <c r="R1183" s="3" t="n">
        <v>2</v>
      </c>
      <c r="S1183" s="3" t="n">
        <v>2</v>
      </c>
      <c r="T1183" s="4" t="n">
        <v>1</v>
      </c>
      <c r="U1183" s="3" t="n">
        <v>1</v>
      </c>
      <c r="V1183" s="3" t="n">
        <v>4.97</v>
      </c>
      <c r="W1183" s="3" t="n">
        <v>1.21</v>
      </c>
      <c r="X1183" s="3" t="n">
        <v>4.51</v>
      </c>
      <c r="Y1183" s="3" t="n">
        <v>377</v>
      </c>
      <c r="Z1183" s="3" t="n">
        <v>99</v>
      </c>
      <c r="AA1183" s="3" t="n">
        <v>0.4</v>
      </c>
      <c r="AB1183" s="3" t="n">
        <v>10.3</v>
      </c>
      <c r="AC1183" s="3" t="n">
        <v>1</v>
      </c>
      <c r="AD1183" s="3" t="n">
        <v>1</v>
      </c>
      <c r="AE1183" s="3" t="n">
        <v>2</v>
      </c>
      <c r="AF1183" s="3" t="n">
        <v>1</v>
      </c>
      <c r="AG1183" s="3" t="n">
        <v>2</v>
      </c>
      <c r="AH1183" s="3" t="n">
        <v>1</v>
      </c>
      <c r="AI1183" s="3" t="n">
        <v>1</v>
      </c>
      <c r="AJ1183" s="3" t="n">
        <v>2</v>
      </c>
      <c r="AK1183" s="3" t="n">
        <v>2</v>
      </c>
      <c r="AL1183" s="3" t="n">
        <v>2</v>
      </c>
      <c r="AM1183" s="3" t="n">
        <v>1</v>
      </c>
      <c r="AN1183" s="3" t="n">
        <v>2</v>
      </c>
      <c r="AO1183" s="3" t="n">
        <v>2</v>
      </c>
      <c r="AP1183" s="3" t="n">
        <v>3</v>
      </c>
      <c r="AQ1183" s="3" t="n">
        <v>4</v>
      </c>
      <c r="AR1183" s="3" t="n">
        <v>4</v>
      </c>
      <c r="AS1183" s="3" t="n">
        <v>6</v>
      </c>
      <c r="AT1183" s="3" t="n">
        <v>4</v>
      </c>
      <c r="AU1183" s="3" t="n">
        <v>4</v>
      </c>
      <c r="AV1183" s="3" t="n">
        <v>6</v>
      </c>
      <c r="AW1183" s="3" t="n">
        <v>6</v>
      </c>
      <c r="AX1183" s="3" t="n">
        <v>3</v>
      </c>
      <c r="AY1183" s="3" t="n">
        <v>3</v>
      </c>
      <c r="AZ1183" s="3" t="n">
        <v>1</v>
      </c>
      <c r="BA1183" s="5" t="n">
        <v>5</v>
      </c>
      <c r="BB1183" s="3" t="n">
        <v>2</v>
      </c>
      <c r="BC1183" s="3" t="n">
        <v>1</v>
      </c>
      <c r="BD1183" s="3" t="n">
        <v>6</v>
      </c>
      <c r="BE1183" s="3" t="n">
        <v>3</v>
      </c>
      <c r="BF1183" s="3" t="n">
        <v>5</v>
      </c>
      <c r="BG1183" s="3" t="n">
        <v>3</v>
      </c>
      <c r="BH1183" s="3" t="n">
        <v>4</v>
      </c>
      <c r="BI1183" s="3" t="n">
        <v>1</v>
      </c>
      <c r="BJ1183" s="3" t="n">
        <v>1</v>
      </c>
      <c r="BK1183" s="6" t="s">
        <v>2984</v>
      </c>
    </row>
    <row r="1184" customFormat="false" ht="15" hidden="false" customHeight="true" outlineLevel="0" collapsed="false">
      <c r="B1184" s="2" t="s">
        <v>2985</v>
      </c>
      <c r="C1184" s="2" t="s">
        <v>2986</v>
      </c>
      <c r="D1184" s="2" t="s">
        <v>1896</v>
      </c>
      <c r="E1184" s="2" t="n">
        <v>210710</v>
      </c>
      <c r="F1184" s="15" t="n">
        <v>44272</v>
      </c>
      <c r="G1184" s="15" t="n">
        <v>44277</v>
      </c>
      <c r="H1184" s="3" t="n">
        <v>5</v>
      </c>
      <c r="I1184" s="3" t="n">
        <v>2</v>
      </c>
      <c r="J1184" s="3" t="n">
        <v>62</v>
      </c>
      <c r="K1184" s="3" t="n">
        <v>1</v>
      </c>
      <c r="L1184" s="3" t="n">
        <v>1</v>
      </c>
      <c r="M1184" s="3" t="n">
        <v>1</v>
      </c>
      <c r="N1184" s="3" t="n">
        <v>1</v>
      </c>
      <c r="O1184" s="3" t="n">
        <v>2</v>
      </c>
      <c r="P1184" s="3" t="n">
        <v>2</v>
      </c>
      <c r="Q1184" s="3" t="n">
        <v>2</v>
      </c>
      <c r="R1184" s="3" t="n">
        <v>2</v>
      </c>
      <c r="S1184" s="3" t="n">
        <v>2</v>
      </c>
      <c r="T1184" s="4" t="n">
        <v>1</v>
      </c>
      <c r="U1184" s="3" t="n">
        <v>1</v>
      </c>
      <c r="V1184" s="3" t="n">
        <v>4.58</v>
      </c>
      <c r="W1184" s="3" t="n">
        <v>2.02</v>
      </c>
      <c r="X1184" s="3" t="n">
        <v>5.5</v>
      </c>
      <c r="Y1184" s="3" t="n">
        <v>419</v>
      </c>
      <c r="Z1184" s="3" t="n">
        <v>89</v>
      </c>
      <c r="AA1184" s="3" t="n">
        <v>0.32</v>
      </c>
      <c r="AB1184" s="3" t="n">
        <v>9.1</v>
      </c>
      <c r="AC1184" s="3" t="n">
        <v>2</v>
      </c>
      <c r="AD1184" s="3" t="n">
        <v>2</v>
      </c>
      <c r="AE1184" s="3" t="n">
        <v>2</v>
      </c>
      <c r="AF1184" s="3" t="n">
        <v>1</v>
      </c>
      <c r="AG1184" s="3" t="n">
        <v>1</v>
      </c>
      <c r="AH1184" s="3" t="n">
        <v>2</v>
      </c>
      <c r="AI1184" s="3" t="n">
        <v>1</v>
      </c>
      <c r="AJ1184" s="3" t="n">
        <v>1</v>
      </c>
      <c r="AK1184" s="3" t="n">
        <v>2</v>
      </c>
      <c r="AL1184" s="3" t="n">
        <v>2</v>
      </c>
      <c r="AM1184" s="3" t="n">
        <v>2</v>
      </c>
      <c r="AN1184" s="3" t="n">
        <v>2</v>
      </c>
      <c r="AO1184" s="3" t="n">
        <v>2</v>
      </c>
      <c r="AP1184" s="3" t="n">
        <v>3</v>
      </c>
      <c r="AQ1184" s="3" t="n">
        <v>4</v>
      </c>
      <c r="AR1184" s="3" t="n">
        <v>4</v>
      </c>
      <c r="AS1184" s="3" t="n">
        <v>6</v>
      </c>
      <c r="AT1184" s="3" t="n">
        <v>4</v>
      </c>
      <c r="AU1184" s="3" t="n">
        <v>4</v>
      </c>
      <c r="AV1184" s="3" t="n">
        <v>6</v>
      </c>
      <c r="AW1184" s="3" t="n">
        <v>6</v>
      </c>
      <c r="AX1184" s="3" t="n">
        <v>3</v>
      </c>
      <c r="AY1184" s="3" t="n">
        <v>3</v>
      </c>
      <c r="AZ1184" s="3" t="n">
        <v>1</v>
      </c>
      <c r="BA1184" s="5" t="n">
        <v>1</v>
      </c>
      <c r="BB1184" s="3" t="n">
        <v>1</v>
      </c>
      <c r="BC1184" s="3" t="n">
        <v>1</v>
      </c>
      <c r="BD1184" s="3" t="n">
        <v>4</v>
      </c>
      <c r="BE1184" s="3" t="n">
        <v>1</v>
      </c>
      <c r="BF1184" s="3" t="n">
        <v>2</v>
      </c>
      <c r="BG1184" s="3" t="n">
        <v>1</v>
      </c>
      <c r="BH1184" s="3" t="n">
        <v>4</v>
      </c>
      <c r="BI1184" s="3" t="n">
        <v>1</v>
      </c>
      <c r="BJ1184" s="3" t="n">
        <v>1</v>
      </c>
      <c r="BK1184" s="6" t="s">
        <v>2987</v>
      </c>
    </row>
    <row r="1185" customFormat="false" ht="15" hidden="false" customHeight="true" outlineLevel="0" collapsed="false">
      <c r="B1185" s="2" t="s">
        <v>2988</v>
      </c>
      <c r="C1185" s="2" t="s">
        <v>2989</v>
      </c>
      <c r="D1185" s="2" t="s">
        <v>661</v>
      </c>
      <c r="E1185" s="2" t="n">
        <v>210782</v>
      </c>
      <c r="F1185" s="15" t="n">
        <v>44271</v>
      </c>
      <c r="G1185" s="15" t="n">
        <v>44277</v>
      </c>
      <c r="H1185" s="3" t="n">
        <v>6</v>
      </c>
      <c r="I1185" s="3" t="n">
        <v>1</v>
      </c>
      <c r="J1185" s="3" t="n">
        <v>76</v>
      </c>
      <c r="K1185" s="3" t="n">
        <v>2</v>
      </c>
      <c r="L1185" s="3" t="n">
        <v>1</v>
      </c>
      <c r="M1185" s="3" t="n">
        <v>1</v>
      </c>
      <c r="N1185" s="3" t="n">
        <v>2</v>
      </c>
      <c r="O1185" s="3" t="n">
        <v>2</v>
      </c>
      <c r="P1185" s="3" t="n">
        <v>2</v>
      </c>
      <c r="Q1185" s="3" t="n">
        <v>2</v>
      </c>
      <c r="R1185" s="3" t="n">
        <v>2</v>
      </c>
      <c r="S1185" s="3" t="n">
        <v>2</v>
      </c>
      <c r="T1185" s="4" t="n">
        <v>1</v>
      </c>
      <c r="U1185" s="3" t="n">
        <v>1</v>
      </c>
      <c r="AC1185" s="3" t="n">
        <v>1</v>
      </c>
      <c r="AD1185" s="3" t="n">
        <v>1</v>
      </c>
      <c r="AE1185" s="3" t="n">
        <v>1</v>
      </c>
      <c r="AF1185" s="3" t="n">
        <v>1</v>
      </c>
      <c r="AG1185" s="3" t="n">
        <v>2</v>
      </c>
      <c r="AH1185" s="3" t="n">
        <v>1</v>
      </c>
      <c r="AI1185" s="3" t="n">
        <v>1</v>
      </c>
      <c r="AJ1185" s="3" t="n">
        <v>2</v>
      </c>
      <c r="AK1185" s="3" t="n">
        <v>2</v>
      </c>
      <c r="AL1185" s="3" t="n">
        <v>2</v>
      </c>
      <c r="AM1185" s="3" t="n">
        <v>1</v>
      </c>
      <c r="AN1185" s="3" t="n">
        <v>2</v>
      </c>
      <c r="AO1185" s="3" t="n">
        <v>2</v>
      </c>
      <c r="AP1185" s="3" t="n">
        <v>3</v>
      </c>
      <c r="AQ1185" s="3" t="n">
        <v>4</v>
      </c>
      <c r="AR1185" s="3" t="n">
        <v>4</v>
      </c>
      <c r="AS1185" s="3" t="n">
        <v>6</v>
      </c>
      <c r="AT1185" s="3" t="n">
        <v>4</v>
      </c>
      <c r="AU1185" s="3" t="n">
        <v>4</v>
      </c>
      <c r="AV1185" s="3" t="n">
        <v>6</v>
      </c>
      <c r="AW1185" s="3" t="n">
        <v>6</v>
      </c>
      <c r="AX1185" s="3" t="n">
        <v>3</v>
      </c>
      <c r="AY1185" s="3" t="n">
        <v>3</v>
      </c>
      <c r="AZ1185" s="3" t="n">
        <v>1</v>
      </c>
      <c r="BA1185" s="5" t="n">
        <v>5</v>
      </c>
      <c r="BB1185" s="3" t="n">
        <v>2</v>
      </c>
      <c r="BC1185" s="3" t="n">
        <v>1</v>
      </c>
      <c r="BD1185" s="3" t="n">
        <v>6</v>
      </c>
      <c r="BE1185" s="3" t="n">
        <v>3</v>
      </c>
      <c r="BF1185" s="3" t="n">
        <v>5</v>
      </c>
      <c r="BG1185" s="3" t="n">
        <v>3</v>
      </c>
      <c r="BH1185" s="3" t="n">
        <v>4</v>
      </c>
      <c r="BI1185" s="3" t="n">
        <v>1</v>
      </c>
      <c r="BJ1185" s="3" t="n">
        <v>1</v>
      </c>
      <c r="BK1185" s="6" t="s">
        <v>2990</v>
      </c>
    </row>
    <row r="1186" customFormat="false" ht="15" hidden="false" customHeight="true" outlineLevel="0" collapsed="false">
      <c r="B1186" s="2" t="s">
        <v>2991</v>
      </c>
      <c r="C1186" s="2" t="s">
        <v>2992</v>
      </c>
      <c r="D1186" s="2" t="s">
        <v>2224</v>
      </c>
      <c r="E1186" s="2" t="n">
        <v>211053</v>
      </c>
      <c r="F1186" s="15" t="n">
        <v>44274</v>
      </c>
      <c r="G1186" s="15" t="n">
        <v>44279</v>
      </c>
      <c r="H1186" s="3" t="n">
        <v>5</v>
      </c>
      <c r="I1186" s="3" t="n">
        <v>1</v>
      </c>
      <c r="J1186" s="3" t="n">
        <v>53</v>
      </c>
      <c r="K1186" s="3" t="n">
        <v>2</v>
      </c>
      <c r="L1186" s="3" t="n">
        <v>1</v>
      </c>
      <c r="M1186" s="3" t="n">
        <v>2</v>
      </c>
      <c r="N1186" s="3" t="n">
        <v>2</v>
      </c>
      <c r="O1186" s="3" t="n">
        <v>2</v>
      </c>
      <c r="P1186" s="3" t="n">
        <v>2</v>
      </c>
      <c r="Q1186" s="3" t="n">
        <v>2</v>
      </c>
      <c r="R1186" s="3" t="n">
        <v>2</v>
      </c>
      <c r="S1186" s="3" t="n">
        <v>2</v>
      </c>
      <c r="T1186" s="4" t="n">
        <v>4</v>
      </c>
      <c r="U1186" s="3" t="n">
        <v>4</v>
      </c>
      <c r="V1186" s="3" t="n">
        <v>4.05</v>
      </c>
      <c r="W1186" s="3" t="n">
        <v>0.89</v>
      </c>
      <c r="X1186" s="3" t="n">
        <v>4.06</v>
      </c>
      <c r="Y1186" s="3" t="n">
        <v>255</v>
      </c>
      <c r="Z1186" s="3" t="n">
        <v>75</v>
      </c>
      <c r="AA1186" s="3" t="n">
        <v>0.32</v>
      </c>
      <c r="AB1186" s="3" t="n">
        <v>11.04</v>
      </c>
      <c r="AC1186" s="3" t="n">
        <v>1</v>
      </c>
      <c r="AD1186" s="3" t="n">
        <v>2</v>
      </c>
      <c r="AE1186" s="3" t="n">
        <v>1</v>
      </c>
      <c r="AF1186" s="3" t="n">
        <v>1</v>
      </c>
      <c r="AG1186" s="3" t="n">
        <v>1</v>
      </c>
      <c r="AH1186" s="3" t="n">
        <v>2</v>
      </c>
      <c r="AI1186" s="3" t="n">
        <v>1</v>
      </c>
      <c r="AJ1186" s="3" t="n">
        <v>2</v>
      </c>
      <c r="AK1186" s="3" t="n">
        <v>2</v>
      </c>
      <c r="AL1186" s="3" t="n">
        <v>2</v>
      </c>
      <c r="AM1186" s="3" t="n">
        <v>2</v>
      </c>
      <c r="AN1186" s="3" t="n">
        <v>2</v>
      </c>
      <c r="AO1186" s="3" t="n">
        <v>2</v>
      </c>
      <c r="AP1186" s="3" t="n">
        <v>3</v>
      </c>
      <c r="AQ1186" s="3" t="n">
        <v>4</v>
      </c>
      <c r="AR1186" s="3" t="n">
        <v>4</v>
      </c>
      <c r="AS1186" s="3" t="n">
        <v>6</v>
      </c>
      <c r="AT1186" s="3" t="n">
        <v>4</v>
      </c>
      <c r="AU1186" s="3" t="n">
        <v>4</v>
      </c>
      <c r="AV1186" s="3" t="n">
        <v>6</v>
      </c>
      <c r="AW1186" s="3" t="n">
        <v>6</v>
      </c>
      <c r="AX1186" s="3" t="n">
        <v>3</v>
      </c>
      <c r="AY1186" s="3" t="n">
        <v>3</v>
      </c>
      <c r="AZ1186" s="3" t="n">
        <v>1</v>
      </c>
      <c r="BA1186" s="5" t="n">
        <v>10</v>
      </c>
      <c r="BB1186" s="3" t="n">
        <v>2</v>
      </c>
      <c r="BC1186" s="3" t="n">
        <v>1</v>
      </c>
      <c r="BD1186" s="3" t="n">
        <v>6</v>
      </c>
      <c r="BE1186" s="3" t="n">
        <v>3</v>
      </c>
      <c r="BF1186" s="3" t="n">
        <v>5</v>
      </c>
      <c r="BG1186" s="3" t="n">
        <v>3</v>
      </c>
      <c r="BH1186" s="3" t="n">
        <v>4</v>
      </c>
      <c r="BI1186" s="3" t="n">
        <v>1</v>
      </c>
      <c r="BJ1186" s="3" t="n">
        <v>1</v>
      </c>
      <c r="BK1186" s="6" t="s">
        <v>2993</v>
      </c>
    </row>
    <row r="1187" customFormat="false" ht="15" hidden="false" customHeight="true" outlineLevel="0" collapsed="false">
      <c r="B1187" s="2" t="s">
        <v>2994</v>
      </c>
      <c r="C1187" s="2" t="s">
        <v>1828</v>
      </c>
      <c r="D1187" s="2" t="s">
        <v>2995</v>
      </c>
      <c r="E1187" s="2" t="n">
        <v>210707</v>
      </c>
      <c r="F1187" s="15" t="n">
        <v>44272</v>
      </c>
      <c r="G1187" s="15" t="n">
        <v>44279</v>
      </c>
      <c r="H1187" s="3" t="n">
        <v>7</v>
      </c>
      <c r="I1187" s="3" t="n">
        <v>2</v>
      </c>
      <c r="J1187" s="3" t="n">
        <v>73</v>
      </c>
      <c r="K1187" s="3" t="n">
        <v>1</v>
      </c>
      <c r="L1187" s="3" t="n">
        <v>1</v>
      </c>
      <c r="M1187" s="3" t="n">
        <v>1</v>
      </c>
      <c r="N1187" s="3" t="n">
        <v>2</v>
      </c>
      <c r="O1187" s="3" t="n">
        <v>2</v>
      </c>
      <c r="P1187" s="3" t="n">
        <v>2</v>
      </c>
      <c r="Q1187" s="3" t="n">
        <v>2</v>
      </c>
      <c r="R1187" s="3" t="n">
        <v>2</v>
      </c>
      <c r="S1187" s="3" t="n">
        <v>2</v>
      </c>
      <c r="T1187" s="4" t="n">
        <v>2</v>
      </c>
      <c r="U1187" s="3" t="n">
        <v>2</v>
      </c>
      <c r="V1187" s="3" t="n">
        <v>5.51</v>
      </c>
      <c r="W1187" s="3" t="n">
        <v>0.77</v>
      </c>
      <c r="X1187" s="3" t="n">
        <v>7.68</v>
      </c>
      <c r="Y1187" s="3" t="n">
        <v>218</v>
      </c>
      <c r="Z1187" s="3" t="n">
        <v>78</v>
      </c>
      <c r="AA1187" s="3" t="n">
        <v>0.46</v>
      </c>
      <c r="AB1187" s="3" t="n">
        <v>11.9</v>
      </c>
      <c r="AC1187" s="3" t="n">
        <v>2</v>
      </c>
      <c r="AD1187" s="3" t="n">
        <v>2</v>
      </c>
      <c r="AE1187" s="3" t="n">
        <v>2</v>
      </c>
      <c r="AF1187" s="3" t="n">
        <v>1</v>
      </c>
      <c r="AG1187" s="3" t="n">
        <v>2</v>
      </c>
      <c r="AH1187" s="3" t="n">
        <v>1</v>
      </c>
      <c r="AI1187" s="3" t="n">
        <v>1</v>
      </c>
      <c r="AJ1187" s="3" t="n">
        <v>2</v>
      </c>
      <c r="AK1187" s="3" t="n">
        <v>2</v>
      </c>
      <c r="AL1187" s="3" t="n">
        <v>2</v>
      </c>
      <c r="AM1187" s="3" t="n">
        <v>2</v>
      </c>
      <c r="AN1187" s="3" t="n">
        <v>2</v>
      </c>
      <c r="AO1187" s="3" t="n">
        <v>2</v>
      </c>
      <c r="AP1187" s="3" t="n">
        <v>3</v>
      </c>
      <c r="AQ1187" s="3" t="n">
        <v>4</v>
      </c>
      <c r="AR1187" s="3" t="n">
        <v>4</v>
      </c>
      <c r="AS1187" s="3" t="n">
        <v>6</v>
      </c>
      <c r="AT1187" s="3" t="n">
        <v>4</v>
      </c>
      <c r="AU1187" s="3" t="n">
        <v>4</v>
      </c>
      <c r="AV1187" s="3" t="n">
        <v>6</v>
      </c>
      <c r="AW1187" s="3" t="n">
        <v>6</v>
      </c>
      <c r="AX1187" s="3" t="n">
        <v>3</v>
      </c>
      <c r="AY1187" s="3" t="n">
        <v>3</v>
      </c>
      <c r="AZ1187" s="3" t="n">
        <v>1</v>
      </c>
      <c r="BA1187" s="5" t="n">
        <v>1</v>
      </c>
      <c r="BB1187" s="3" t="n">
        <v>1</v>
      </c>
      <c r="BC1187" s="3" t="n">
        <v>1</v>
      </c>
      <c r="BD1187" s="3" t="n">
        <v>2</v>
      </c>
      <c r="BE1187" s="3" t="n">
        <v>1</v>
      </c>
      <c r="BF1187" s="3" t="n">
        <v>2</v>
      </c>
      <c r="BG1187" s="3" t="n">
        <v>1</v>
      </c>
      <c r="BH1187" s="3" t="n">
        <v>4</v>
      </c>
      <c r="BI1187" s="3" t="n">
        <v>1</v>
      </c>
      <c r="BJ1187" s="3" t="n">
        <v>1</v>
      </c>
      <c r="BK1187" s="6" t="s">
        <v>2996</v>
      </c>
    </row>
    <row r="1188" customFormat="false" ht="15" hidden="false" customHeight="true" outlineLevel="0" collapsed="false">
      <c r="B1188" s="2" t="s">
        <v>2997</v>
      </c>
      <c r="C1188" s="2" t="s">
        <v>540</v>
      </c>
      <c r="D1188" s="2" t="s">
        <v>2614</v>
      </c>
      <c r="E1188" s="2" t="n">
        <v>211033</v>
      </c>
      <c r="F1188" s="15" t="n">
        <v>44273</v>
      </c>
      <c r="G1188" s="15" t="n">
        <v>44280</v>
      </c>
      <c r="H1188" s="3" t="n">
        <v>7</v>
      </c>
      <c r="I1188" s="3" t="n">
        <v>2</v>
      </c>
      <c r="J1188" s="3" t="n">
        <v>74</v>
      </c>
      <c r="K1188" s="3" t="n">
        <v>2</v>
      </c>
      <c r="L1188" s="3" t="n">
        <v>2</v>
      </c>
      <c r="M1188" s="3" t="n">
        <v>1</v>
      </c>
      <c r="N1188" s="3" t="n">
        <v>2</v>
      </c>
      <c r="O1188" s="3" t="n">
        <v>2</v>
      </c>
      <c r="P1188" s="3" t="n">
        <v>2</v>
      </c>
      <c r="Q1188" s="3" t="n">
        <v>2</v>
      </c>
      <c r="R1188" s="3" t="n">
        <v>2</v>
      </c>
      <c r="S1188" s="3" t="n">
        <v>2</v>
      </c>
      <c r="T1188" s="4" t="n">
        <v>1</v>
      </c>
      <c r="U1188" s="3" t="n">
        <v>1</v>
      </c>
      <c r="V1188" s="3" t="n">
        <v>5.65</v>
      </c>
      <c r="W1188" s="3" t="n">
        <v>2.47</v>
      </c>
      <c r="X1188" s="3" t="n">
        <v>5.88</v>
      </c>
      <c r="Y1188" s="3" t="n">
        <v>425</v>
      </c>
      <c r="Z1188" s="3" t="n">
        <v>109</v>
      </c>
      <c r="AA1188" s="3" t="n">
        <v>0.51</v>
      </c>
      <c r="AB1188" s="3" t="n">
        <v>10.9</v>
      </c>
      <c r="AC1188" s="3" t="n">
        <v>1</v>
      </c>
      <c r="AD1188" s="3" t="n">
        <v>2</v>
      </c>
      <c r="AE1188" s="3" t="n">
        <v>1</v>
      </c>
      <c r="AF1188" s="3" t="n">
        <v>1</v>
      </c>
      <c r="AG1188" s="3" t="n">
        <v>1</v>
      </c>
      <c r="AH1188" s="3" t="n">
        <v>1</v>
      </c>
      <c r="AI1188" s="3" t="n">
        <v>1</v>
      </c>
      <c r="AJ1188" s="3" t="n">
        <v>1</v>
      </c>
      <c r="AK1188" s="3" t="n">
        <v>2</v>
      </c>
      <c r="AL1188" s="3" t="n">
        <v>2</v>
      </c>
      <c r="AM1188" s="3" t="n">
        <v>2</v>
      </c>
      <c r="AN1188" s="3" t="n">
        <v>2</v>
      </c>
      <c r="AO1188" s="3" t="n">
        <v>2</v>
      </c>
      <c r="AP1188" s="3" t="n">
        <v>3</v>
      </c>
      <c r="AQ1188" s="3" t="n">
        <v>4</v>
      </c>
      <c r="AR1188" s="3" t="n">
        <v>4</v>
      </c>
      <c r="AS1188" s="3" t="n">
        <v>6</v>
      </c>
      <c r="AT1188" s="3" t="n">
        <v>4</v>
      </c>
      <c r="AU1188" s="3" t="n">
        <v>4</v>
      </c>
      <c r="AV1188" s="3" t="n">
        <v>6</v>
      </c>
      <c r="AW1188" s="3" t="n">
        <v>6</v>
      </c>
      <c r="AX1188" s="3" t="n">
        <v>3</v>
      </c>
      <c r="AY1188" s="3" t="n">
        <v>3</v>
      </c>
      <c r="AZ1188" s="3" t="n">
        <v>1</v>
      </c>
      <c r="BA1188" s="5" t="n">
        <v>5</v>
      </c>
      <c r="BB1188" s="3" t="n">
        <v>2</v>
      </c>
      <c r="BC1188" s="3" t="n">
        <v>1</v>
      </c>
      <c r="BD1188" s="3" t="n">
        <v>6</v>
      </c>
      <c r="BE1188" s="3" t="n">
        <v>3</v>
      </c>
      <c r="BF1188" s="3" t="n">
        <v>5</v>
      </c>
      <c r="BG1188" s="3" t="n">
        <v>3</v>
      </c>
      <c r="BH1188" s="3" t="n">
        <v>4</v>
      </c>
      <c r="BI1188" s="3" t="n">
        <v>1</v>
      </c>
      <c r="BJ1188" s="3" t="n">
        <v>1</v>
      </c>
      <c r="BK1188" s="6" t="s">
        <v>2998</v>
      </c>
    </row>
    <row r="1189" customFormat="false" ht="15" hidden="false" customHeight="true" outlineLevel="0" collapsed="false">
      <c r="B1189" s="2" t="s">
        <v>2999</v>
      </c>
      <c r="C1189" s="2" t="s">
        <v>345</v>
      </c>
      <c r="D1189" s="2" t="s">
        <v>3000</v>
      </c>
      <c r="E1189" s="2" t="n">
        <v>210748</v>
      </c>
      <c r="F1189" s="15" t="n">
        <v>44269</v>
      </c>
      <c r="G1189" s="15" t="n">
        <v>44280</v>
      </c>
      <c r="H1189" s="3" t="n">
        <v>11</v>
      </c>
      <c r="I1189" s="3" t="n">
        <v>2</v>
      </c>
      <c r="J1189" s="3" t="n">
        <v>86</v>
      </c>
      <c r="K1189" s="3" t="n">
        <v>1</v>
      </c>
      <c r="L1189" s="3" t="n">
        <v>2</v>
      </c>
      <c r="M1189" s="3" t="n">
        <v>1</v>
      </c>
      <c r="N1189" s="3" t="n">
        <v>2</v>
      </c>
      <c r="O1189" s="3" t="n">
        <v>2</v>
      </c>
      <c r="P1189" s="3" t="n">
        <v>2</v>
      </c>
      <c r="Q1189" s="3" t="n">
        <v>2</v>
      </c>
      <c r="R1189" s="3" t="n">
        <v>2</v>
      </c>
      <c r="S1189" s="3" t="n">
        <v>2</v>
      </c>
      <c r="T1189" s="4" t="n">
        <v>1</v>
      </c>
      <c r="U1189" s="3" t="n">
        <v>1</v>
      </c>
      <c r="V1189" s="3" t="n">
        <v>3.48</v>
      </c>
      <c r="W1189" s="3" t="n">
        <v>0.48</v>
      </c>
      <c r="X1189" s="3" t="n">
        <v>5.5</v>
      </c>
      <c r="Y1189" s="3" t="n">
        <v>302</v>
      </c>
      <c r="Z1189" s="3" t="n">
        <v>86</v>
      </c>
      <c r="AA1189" s="3" t="n">
        <v>0.45</v>
      </c>
      <c r="AB1189" s="3" t="n">
        <v>9.3</v>
      </c>
      <c r="AC1189" s="3" t="n">
        <v>1</v>
      </c>
      <c r="AD1189" s="3" t="n">
        <v>1</v>
      </c>
      <c r="AE1189" s="3" t="n">
        <v>1</v>
      </c>
      <c r="AF1189" s="3" t="n">
        <v>1</v>
      </c>
      <c r="AG1189" s="3" t="n">
        <v>1</v>
      </c>
      <c r="AH1189" s="3" t="n">
        <v>2</v>
      </c>
      <c r="AI1189" s="3" t="n">
        <v>1</v>
      </c>
      <c r="AJ1189" s="3" t="n">
        <v>1</v>
      </c>
      <c r="AK1189" s="3" t="n">
        <v>2</v>
      </c>
      <c r="AL1189" s="3" t="n">
        <v>2</v>
      </c>
      <c r="AM1189" s="3" t="n">
        <v>2</v>
      </c>
      <c r="AN1189" s="3" t="n">
        <v>2</v>
      </c>
      <c r="AO1189" s="3" t="n">
        <v>2</v>
      </c>
      <c r="AP1189" s="3" t="n">
        <v>1</v>
      </c>
      <c r="AQ1189" s="3" t="n">
        <v>3</v>
      </c>
      <c r="AR1189" s="3" t="n">
        <v>4</v>
      </c>
      <c r="AS1189" s="3" t="n">
        <v>6</v>
      </c>
      <c r="AT1189" s="3" t="n">
        <v>4</v>
      </c>
      <c r="AU1189" s="3" t="n">
        <v>4</v>
      </c>
      <c r="AV1189" s="3" t="n">
        <v>1</v>
      </c>
      <c r="AW1189" s="3" t="n">
        <v>6</v>
      </c>
      <c r="AX1189" s="3" t="n">
        <v>2</v>
      </c>
      <c r="AY1189" s="3" t="n">
        <v>1</v>
      </c>
      <c r="AZ1189" s="3" t="n">
        <v>1</v>
      </c>
      <c r="BA1189" s="5" t="n">
        <v>5</v>
      </c>
      <c r="BB1189" s="3" t="n">
        <v>2</v>
      </c>
      <c r="BC1189" s="3" t="n">
        <v>1</v>
      </c>
      <c r="BD1189" s="3" t="n">
        <v>6</v>
      </c>
      <c r="BE1189" s="3" t="n">
        <v>3</v>
      </c>
      <c r="BF1189" s="3" t="n">
        <v>5</v>
      </c>
      <c r="BG1189" s="3" t="n">
        <v>3</v>
      </c>
      <c r="BH1189" s="3" t="n">
        <v>4</v>
      </c>
      <c r="BI1189" s="3" t="n">
        <v>1</v>
      </c>
      <c r="BJ1189" s="3" t="n">
        <v>1</v>
      </c>
      <c r="BK1189" s="6" t="s">
        <v>3001</v>
      </c>
    </row>
    <row r="1190" customFormat="false" ht="15" hidden="false" customHeight="true" outlineLevel="0" collapsed="false">
      <c r="B1190" s="2" t="s">
        <v>3002</v>
      </c>
      <c r="C1190" s="2" t="s">
        <v>1686</v>
      </c>
      <c r="D1190" s="2" t="s">
        <v>419</v>
      </c>
      <c r="E1190" s="2" t="n">
        <v>210834</v>
      </c>
      <c r="F1190" s="15" t="n">
        <v>44278</v>
      </c>
      <c r="G1190" s="15" t="n">
        <v>44280</v>
      </c>
      <c r="H1190" s="3" t="n">
        <v>2</v>
      </c>
      <c r="I1190" s="3" t="n">
        <v>2</v>
      </c>
      <c r="J1190" s="3" t="n">
        <v>96</v>
      </c>
      <c r="K1190" s="3" t="n">
        <v>1</v>
      </c>
      <c r="L1190" s="3" t="n">
        <v>2</v>
      </c>
      <c r="M1190" s="3" t="n">
        <v>1</v>
      </c>
      <c r="N1190" s="3" t="n">
        <v>2</v>
      </c>
      <c r="O1190" s="3" t="n">
        <v>2</v>
      </c>
      <c r="P1190" s="3" t="n">
        <v>2</v>
      </c>
      <c r="Q1190" s="3" t="n">
        <v>2</v>
      </c>
      <c r="R1190" s="3" t="n">
        <v>2</v>
      </c>
      <c r="S1190" s="3" t="n">
        <v>2</v>
      </c>
      <c r="T1190" s="4" t="n">
        <v>3</v>
      </c>
      <c r="U1190" s="3" t="n">
        <v>2</v>
      </c>
      <c r="V1190" s="3" t="n">
        <v>2.45</v>
      </c>
      <c r="W1190" s="3" t="n">
        <v>0.71</v>
      </c>
      <c r="X1190" s="3" t="n">
        <v>4.7</v>
      </c>
      <c r="Y1190" s="3" t="n">
        <v>476</v>
      </c>
      <c r="Z1190" s="3" t="n">
        <v>186</v>
      </c>
      <c r="AA1190" s="3" t="n">
        <v>0.21</v>
      </c>
      <c r="AB1190" s="3" t="n">
        <v>13</v>
      </c>
      <c r="AC1190" s="3" t="n">
        <v>1</v>
      </c>
      <c r="AD1190" s="3" t="n">
        <v>2</v>
      </c>
      <c r="AE1190" s="3" t="n">
        <v>2</v>
      </c>
      <c r="AF1190" s="3" t="n">
        <v>2</v>
      </c>
      <c r="AG1190" s="3" t="n">
        <v>2</v>
      </c>
      <c r="AH1190" s="3" t="n">
        <v>2</v>
      </c>
      <c r="AI1190" s="3" t="n">
        <v>1</v>
      </c>
      <c r="AJ1190" s="3" t="n">
        <v>2</v>
      </c>
      <c r="AK1190" s="3" t="n">
        <v>2</v>
      </c>
      <c r="AL1190" s="3" t="n">
        <v>2</v>
      </c>
      <c r="AM1190" s="3" t="n">
        <v>1</v>
      </c>
      <c r="AN1190" s="3" t="n">
        <v>2</v>
      </c>
      <c r="AO1190" s="3" t="n">
        <v>2</v>
      </c>
      <c r="AP1190" s="3" t="n">
        <v>3</v>
      </c>
      <c r="AQ1190" s="3" t="n">
        <v>4</v>
      </c>
      <c r="AR1190" s="3" t="n">
        <v>4</v>
      </c>
      <c r="AS1190" s="3" t="n">
        <v>6</v>
      </c>
      <c r="AT1190" s="3" t="n">
        <v>4</v>
      </c>
      <c r="AU1190" s="3" t="n">
        <v>4</v>
      </c>
      <c r="AV1190" s="3" t="n">
        <v>6</v>
      </c>
      <c r="AW1190" s="3" t="n">
        <v>6</v>
      </c>
      <c r="AX1190" s="3" t="n">
        <v>3</v>
      </c>
      <c r="AY1190" s="3" t="n">
        <v>3</v>
      </c>
      <c r="AZ1190" s="3" t="n">
        <v>1</v>
      </c>
      <c r="BA1190" s="5" t="n">
        <v>11</v>
      </c>
      <c r="BB1190" s="3" t="n">
        <v>2</v>
      </c>
      <c r="BC1190" s="3" t="n">
        <v>1</v>
      </c>
      <c r="BD1190" s="3" t="n">
        <v>6</v>
      </c>
      <c r="BE1190" s="3" t="n">
        <v>3</v>
      </c>
      <c r="BF1190" s="3" t="n">
        <v>5</v>
      </c>
      <c r="BG1190" s="3" t="n">
        <v>3</v>
      </c>
      <c r="BH1190" s="3" t="n">
        <v>4</v>
      </c>
      <c r="BI1190" s="3" t="n">
        <v>1</v>
      </c>
      <c r="BJ1190" s="3" t="n">
        <v>1</v>
      </c>
      <c r="BK1190" s="6" t="s">
        <v>3003</v>
      </c>
    </row>
    <row r="1191" customFormat="false" ht="15" hidden="false" customHeight="true" outlineLevel="0" collapsed="false">
      <c r="B1191" s="2" t="s">
        <v>3004</v>
      </c>
      <c r="C1191" s="2" t="s">
        <v>94</v>
      </c>
      <c r="D1191" s="2" t="s">
        <v>386</v>
      </c>
      <c r="E1191" s="2" t="n">
        <v>211074</v>
      </c>
      <c r="F1191" s="15" t="n">
        <v>44275</v>
      </c>
      <c r="G1191" s="15" t="n">
        <v>44281</v>
      </c>
      <c r="H1191" s="3" t="n">
        <v>6</v>
      </c>
      <c r="I1191" s="3" t="n">
        <v>1</v>
      </c>
      <c r="J1191" s="3" t="n">
        <v>71</v>
      </c>
      <c r="K1191" s="3" t="n">
        <v>1</v>
      </c>
      <c r="L1191" s="3" t="n">
        <v>1</v>
      </c>
      <c r="M1191" s="3" t="n">
        <v>1</v>
      </c>
      <c r="N1191" s="3" t="n">
        <v>2</v>
      </c>
      <c r="O1191" s="3" t="n">
        <v>2</v>
      </c>
      <c r="P1191" s="3" t="n">
        <v>1</v>
      </c>
      <c r="Q1191" s="3" t="n">
        <v>1</v>
      </c>
      <c r="R1191" s="3" t="n">
        <v>2</v>
      </c>
      <c r="S1191" s="3" t="n">
        <v>2</v>
      </c>
      <c r="T1191" s="4" t="n">
        <v>2</v>
      </c>
      <c r="U1191" s="3" t="n">
        <v>2</v>
      </c>
      <c r="V1191" s="3" t="n">
        <v>6.51</v>
      </c>
      <c r="W1191" s="3" t="n">
        <v>1.42</v>
      </c>
      <c r="X1191" s="3" t="n">
        <v>14.78</v>
      </c>
      <c r="Z1191" s="3" t="n">
        <v>97</v>
      </c>
      <c r="AA1191" s="3" t="n">
        <v>0.4</v>
      </c>
      <c r="AB1191" s="3" t="n">
        <v>13.6</v>
      </c>
      <c r="AC1191" s="3" t="n">
        <v>1</v>
      </c>
      <c r="AD1191" s="3" t="n">
        <v>2</v>
      </c>
      <c r="AE1191" s="3" t="n">
        <v>2</v>
      </c>
      <c r="AF1191" s="3" t="n">
        <v>1</v>
      </c>
      <c r="AG1191" s="3" t="n">
        <v>2</v>
      </c>
      <c r="AH1191" s="3" t="n">
        <v>2</v>
      </c>
      <c r="AI1191" s="3" t="n">
        <v>1</v>
      </c>
      <c r="AJ1191" s="3" t="n">
        <v>1</v>
      </c>
      <c r="AK1191" s="3" t="n">
        <v>2</v>
      </c>
      <c r="AL1191" s="3" t="n">
        <v>2</v>
      </c>
      <c r="AM1191" s="3" t="n">
        <v>2</v>
      </c>
      <c r="AN1191" s="3" t="n">
        <v>2</v>
      </c>
      <c r="AO1191" s="3" t="n">
        <v>2</v>
      </c>
      <c r="AP1191" s="3" t="n">
        <v>3</v>
      </c>
      <c r="AQ1191" s="3" t="n">
        <v>4</v>
      </c>
      <c r="AR1191" s="3" t="n">
        <v>4</v>
      </c>
      <c r="AS1191" s="3" t="n">
        <v>6</v>
      </c>
      <c r="AT1191" s="3" t="n">
        <v>4</v>
      </c>
      <c r="AU1191" s="3" t="n">
        <v>4</v>
      </c>
      <c r="AV1191" s="3" t="n">
        <v>6</v>
      </c>
      <c r="AW1191" s="3" t="n">
        <v>6</v>
      </c>
      <c r="AX1191" s="3" t="n">
        <v>3</v>
      </c>
      <c r="AY1191" s="3" t="n">
        <v>3</v>
      </c>
      <c r="AZ1191" s="3" t="n">
        <v>1</v>
      </c>
      <c r="BA1191" s="5" t="n">
        <v>1</v>
      </c>
      <c r="BB1191" s="3" t="n">
        <v>1</v>
      </c>
      <c r="BC1191" s="3" t="n">
        <v>1</v>
      </c>
      <c r="BD1191" s="3" t="n">
        <v>4</v>
      </c>
      <c r="BE1191" s="3" t="n">
        <v>1</v>
      </c>
      <c r="BF1191" s="3" t="n">
        <v>2</v>
      </c>
      <c r="BG1191" s="3" t="n">
        <v>1</v>
      </c>
      <c r="BH1191" s="3" t="n">
        <v>4</v>
      </c>
      <c r="BI1191" s="3" t="n">
        <v>1</v>
      </c>
      <c r="BJ1191" s="3" t="n">
        <v>1</v>
      </c>
      <c r="BK1191" s="6" t="s">
        <v>3005</v>
      </c>
    </row>
    <row r="1192" s="30" customFormat="true" ht="15" hidden="false" customHeight="true" outlineLevel="0" collapsed="false">
      <c r="A1192" s="24"/>
      <c r="B1192" s="26" t="s">
        <v>3006</v>
      </c>
      <c r="C1192" s="26" t="s">
        <v>109</v>
      </c>
      <c r="D1192" s="26" t="s">
        <v>2972</v>
      </c>
      <c r="E1192" s="26" t="n">
        <v>211126</v>
      </c>
      <c r="F1192" s="27" t="n">
        <v>44279</v>
      </c>
      <c r="G1192" s="27" t="n">
        <v>44282</v>
      </c>
      <c r="H1192" s="30" t="n">
        <v>3</v>
      </c>
      <c r="I1192" s="30" t="n">
        <v>1</v>
      </c>
      <c r="J1192" s="30" t="n">
        <v>77</v>
      </c>
      <c r="K1192" s="30" t="n">
        <v>2</v>
      </c>
      <c r="L1192" s="30" t="n">
        <v>2</v>
      </c>
      <c r="M1192" s="30" t="n">
        <v>1</v>
      </c>
      <c r="N1192" s="30" t="n">
        <v>2</v>
      </c>
      <c r="O1192" s="30" t="n">
        <v>2</v>
      </c>
      <c r="P1192" s="30" t="n">
        <v>2</v>
      </c>
      <c r="Q1192" s="30" t="n">
        <v>2</v>
      </c>
      <c r="R1192" s="30" t="n">
        <v>2</v>
      </c>
      <c r="S1192" s="30" t="n">
        <v>2</v>
      </c>
      <c r="T1192" s="4" t="n">
        <v>1</v>
      </c>
      <c r="U1192" s="30" t="n">
        <v>1</v>
      </c>
      <c r="V1192" s="30" t="n">
        <v>6.19</v>
      </c>
      <c r="W1192" s="30" t="n">
        <v>1.07</v>
      </c>
      <c r="X1192" s="30" t="n">
        <v>7.1</v>
      </c>
      <c r="Y1192" s="30" t="n">
        <v>406</v>
      </c>
      <c r="Z1192" s="30" t="n">
        <v>113</v>
      </c>
      <c r="AA1192" s="30" t="n">
        <v>0.43</v>
      </c>
      <c r="AB1192" s="30" t="n">
        <v>12.9</v>
      </c>
      <c r="AC1192" s="30" t="n">
        <v>3</v>
      </c>
      <c r="AD1192" s="30" t="n">
        <v>1</v>
      </c>
      <c r="AE1192" s="30" t="n">
        <v>1</v>
      </c>
      <c r="AF1192" s="30" t="n">
        <v>1</v>
      </c>
      <c r="AG1192" s="30" t="n">
        <v>2</v>
      </c>
      <c r="AH1192" s="30" t="n">
        <v>2</v>
      </c>
      <c r="AI1192" s="30" t="n">
        <v>1</v>
      </c>
      <c r="AJ1192" s="30" t="n">
        <v>1</v>
      </c>
      <c r="AK1192" s="30" t="n">
        <v>2</v>
      </c>
      <c r="AL1192" s="30" t="n">
        <v>2</v>
      </c>
      <c r="AM1192" s="30" t="n">
        <v>1</v>
      </c>
      <c r="AN1192" s="30" t="n">
        <v>1</v>
      </c>
      <c r="AO1192" s="30" t="n">
        <v>1</v>
      </c>
      <c r="AP1192" s="30" t="n">
        <v>3</v>
      </c>
      <c r="AQ1192" s="30" t="n">
        <v>4</v>
      </c>
      <c r="AR1192" s="30" t="n">
        <v>4</v>
      </c>
      <c r="AS1192" s="30" t="n">
        <v>6</v>
      </c>
      <c r="AT1192" s="30" t="n">
        <v>4</v>
      </c>
      <c r="AU1192" s="30" t="n">
        <v>4</v>
      </c>
      <c r="AV1192" s="30" t="n">
        <v>6</v>
      </c>
      <c r="AW1192" s="30" t="n">
        <v>6</v>
      </c>
      <c r="AX1192" s="30" t="n">
        <v>3</v>
      </c>
      <c r="AY1192" s="30" t="n">
        <v>3</v>
      </c>
      <c r="AZ1192" s="30" t="n">
        <v>4</v>
      </c>
      <c r="BA1192" s="5" t="n">
        <v>1</v>
      </c>
      <c r="BB1192" s="30" t="n">
        <v>1</v>
      </c>
      <c r="BC1192" s="30" t="n">
        <v>2</v>
      </c>
      <c r="BD1192" s="30" t="n">
        <v>2</v>
      </c>
      <c r="BE1192" s="30" t="n">
        <v>1</v>
      </c>
      <c r="BF1192" s="30" t="n">
        <v>2</v>
      </c>
      <c r="BG1192" s="30" t="n">
        <v>1</v>
      </c>
      <c r="BH1192" s="30" t="n">
        <v>4</v>
      </c>
      <c r="BI1192" s="30" t="n">
        <v>1</v>
      </c>
      <c r="BJ1192" s="30" t="n">
        <v>1</v>
      </c>
      <c r="BK1192" s="31" t="s">
        <v>3007</v>
      </c>
    </row>
    <row r="1193" customFormat="false" ht="15" hidden="false" customHeight="true" outlineLevel="0" collapsed="false">
      <c r="B1193" s="2" t="s">
        <v>177</v>
      </c>
      <c r="C1193" s="2" t="s">
        <v>66</v>
      </c>
      <c r="D1193" s="2" t="s">
        <v>131</v>
      </c>
      <c r="E1193" s="2" t="n">
        <v>210885</v>
      </c>
      <c r="F1193" s="15" t="n">
        <v>44278</v>
      </c>
      <c r="G1193" s="15" t="n">
        <v>44284</v>
      </c>
      <c r="H1193" s="3" t="n">
        <v>6</v>
      </c>
      <c r="I1193" s="3" t="n">
        <v>2</v>
      </c>
      <c r="J1193" s="3" t="n">
        <v>58</v>
      </c>
      <c r="K1193" s="3" t="n">
        <v>1</v>
      </c>
      <c r="L1193" s="3" t="n">
        <v>1</v>
      </c>
      <c r="M1193" s="3" t="n">
        <v>2</v>
      </c>
      <c r="N1193" s="3" t="n">
        <v>2</v>
      </c>
      <c r="O1193" s="3" t="n">
        <v>2</v>
      </c>
      <c r="P1193" s="3" t="n">
        <v>2</v>
      </c>
      <c r="Q1193" s="3" t="n">
        <v>2</v>
      </c>
      <c r="R1193" s="3" t="n">
        <v>2</v>
      </c>
      <c r="S1193" s="3" t="n">
        <v>2</v>
      </c>
      <c r="T1193" s="4" t="n">
        <v>2</v>
      </c>
      <c r="U1193" s="3" t="n">
        <v>2</v>
      </c>
      <c r="V1193" s="3" t="n">
        <v>5.23</v>
      </c>
      <c r="W1193" s="3" t="n">
        <v>1.55</v>
      </c>
      <c r="X1193" s="3" t="n">
        <v>7.39</v>
      </c>
      <c r="Y1193" s="3" t="n">
        <v>345</v>
      </c>
      <c r="Z1193" s="3" t="n">
        <v>79</v>
      </c>
      <c r="AA1193" s="3" t="n">
        <v>0.46</v>
      </c>
      <c r="AB1193" s="3" t="n">
        <v>10.8</v>
      </c>
      <c r="AC1193" s="3" t="n">
        <v>1</v>
      </c>
      <c r="AD1193" s="3" t="n">
        <v>1</v>
      </c>
      <c r="AE1193" s="3" t="n">
        <v>2</v>
      </c>
      <c r="AF1193" s="3" t="n">
        <v>1</v>
      </c>
      <c r="AG1193" s="3" t="n">
        <v>2</v>
      </c>
      <c r="AH1193" s="3" t="n">
        <v>2</v>
      </c>
      <c r="AI1193" s="3" t="n">
        <v>1</v>
      </c>
      <c r="AJ1193" s="3" t="n">
        <v>1</v>
      </c>
      <c r="AK1193" s="3" t="n">
        <v>2</v>
      </c>
      <c r="AL1193" s="3" t="n">
        <v>2</v>
      </c>
      <c r="AM1193" s="3" t="n">
        <v>2</v>
      </c>
      <c r="AN1193" s="3" t="n">
        <v>2</v>
      </c>
      <c r="AO1193" s="3" t="n">
        <v>2</v>
      </c>
      <c r="AP1193" s="3" t="n">
        <v>3</v>
      </c>
      <c r="AQ1193" s="3" t="n">
        <v>4</v>
      </c>
      <c r="AR1193" s="3" t="n">
        <v>4</v>
      </c>
      <c r="AS1193" s="3" t="n">
        <v>6</v>
      </c>
      <c r="AT1193" s="3" t="n">
        <v>4</v>
      </c>
      <c r="AU1193" s="3" t="n">
        <v>4</v>
      </c>
      <c r="AV1193" s="3" t="n">
        <v>6</v>
      </c>
      <c r="AW1193" s="3" t="n">
        <v>6</v>
      </c>
      <c r="AX1193" s="3" t="n">
        <v>3</v>
      </c>
      <c r="AY1193" s="3" t="n">
        <v>3</v>
      </c>
      <c r="AZ1193" s="3" t="n">
        <v>1</v>
      </c>
      <c r="BA1193" s="5" t="n">
        <v>1</v>
      </c>
      <c r="BB1193" s="3" t="n">
        <v>1</v>
      </c>
      <c r="BC1193" s="3" t="n">
        <v>1</v>
      </c>
      <c r="BD1193" s="3" t="n">
        <v>2</v>
      </c>
      <c r="BE1193" s="3" t="n">
        <v>1</v>
      </c>
      <c r="BF1193" s="3" t="n">
        <v>2</v>
      </c>
      <c r="BG1193" s="3" t="n">
        <v>1</v>
      </c>
      <c r="BH1193" s="3" t="n">
        <v>4</v>
      </c>
      <c r="BI1193" s="3" t="n">
        <v>1</v>
      </c>
      <c r="BJ1193" s="3" t="n">
        <v>1</v>
      </c>
      <c r="BK1193" s="6" t="s">
        <v>3008</v>
      </c>
    </row>
    <row r="1194" customFormat="false" ht="15" hidden="false" customHeight="true" outlineLevel="0" collapsed="false">
      <c r="B1194" s="2" t="s">
        <v>3009</v>
      </c>
      <c r="C1194" s="2" t="s">
        <v>577</v>
      </c>
      <c r="D1194" s="2" t="s">
        <v>3010</v>
      </c>
      <c r="E1194" s="2" t="n">
        <v>211138</v>
      </c>
      <c r="F1194" s="15" t="n">
        <v>44279</v>
      </c>
      <c r="G1194" s="15" t="n">
        <v>44285</v>
      </c>
      <c r="H1194" s="3" t="n">
        <v>6</v>
      </c>
      <c r="I1194" s="3" t="n">
        <v>2</v>
      </c>
      <c r="J1194" s="3" t="n">
        <v>60</v>
      </c>
      <c r="K1194" s="3" t="n">
        <v>1</v>
      </c>
      <c r="L1194" s="3" t="n">
        <v>2</v>
      </c>
      <c r="M1194" s="3" t="n">
        <v>2</v>
      </c>
      <c r="N1194" s="3" t="n">
        <v>2</v>
      </c>
      <c r="O1194" s="3" t="n">
        <v>1</v>
      </c>
      <c r="P1194" s="3" t="n">
        <v>2</v>
      </c>
      <c r="Q1194" s="3" t="n">
        <v>2</v>
      </c>
      <c r="R1194" s="3" t="n">
        <v>2</v>
      </c>
      <c r="S1194" s="3" t="n">
        <v>2</v>
      </c>
      <c r="T1194" s="4" t="n">
        <v>12</v>
      </c>
      <c r="U1194" s="3" t="n">
        <v>1</v>
      </c>
      <c r="V1194" s="3" t="n">
        <v>3.51</v>
      </c>
      <c r="W1194" s="3" t="n">
        <v>1.57</v>
      </c>
      <c r="X1194" s="3" t="n">
        <v>4.71</v>
      </c>
      <c r="Y1194" s="3" t="n">
        <v>428</v>
      </c>
      <c r="Z1194" s="3" t="n">
        <v>98</v>
      </c>
      <c r="AA1194" s="3" t="n">
        <v>0.4</v>
      </c>
      <c r="AB1194" s="3" t="n">
        <v>9.8</v>
      </c>
      <c r="AC1194" s="3" t="n">
        <v>1</v>
      </c>
      <c r="AD1194" s="3" t="n">
        <v>1</v>
      </c>
      <c r="AE1194" s="3" t="n">
        <v>2</v>
      </c>
      <c r="AF1194" s="3" t="n">
        <v>2</v>
      </c>
      <c r="AG1194" s="3" t="n">
        <v>1</v>
      </c>
      <c r="AH1194" s="3" t="n">
        <v>2</v>
      </c>
      <c r="AI1194" s="3" t="n">
        <v>1</v>
      </c>
      <c r="AJ1194" s="3" t="n">
        <v>2</v>
      </c>
      <c r="AK1194" s="3" t="n">
        <v>2</v>
      </c>
      <c r="AL1194" s="3" t="n">
        <v>2</v>
      </c>
      <c r="AM1194" s="3" t="n">
        <v>1</v>
      </c>
      <c r="AN1194" s="3" t="n">
        <v>2</v>
      </c>
      <c r="AO1194" s="3" t="n">
        <v>2</v>
      </c>
      <c r="AP1194" s="3" t="n">
        <v>3</v>
      </c>
      <c r="AQ1194" s="3" t="n">
        <v>4</v>
      </c>
      <c r="AR1194" s="3" t="n">
        <v>4</v>
      </c>
      <c r="AS1194" s="3" t="n">
        <v>6</v>
      </c>
      <c r="AT1194" s="3" t="n">
        <v>4</v>
      </c>
      <c r="AU1194" s="3" t="n">
        <v>4</v>
      </c>
      <c r="AV1194" s="3" t="n">
        <v>6</v>
      </c>
      <c r="AW1194" s="3" t="n">
        <v>6</v>
      </c>
      <c r="AX1194" s="3" t="n">
        <v>3</v>
      </c>
      <c r="AY1194" s="3" t="n">
        <v>3</v>
      </c>
      <c r="AZ1194" s="3" t="n">
        <v>1</v>
      </c>
      <c r="BA1194" s="5" t="n">
        <v>3</v>
      </c>
      <c r="BB1194" s="3" t="n">
        <v>2</v>
      </c>
      <c r="BC1194" s="3" t="n">
        <v>1</v>
      </c>
      <c r="BD1194" s="3" t="n">
        <v>6</v>
      </c>
      <c r="BE1194" s="3" t="n">
        <v>3</v>
      </c>
      <c r="BF1194" s="3" t="n">
        <v>5</v>
      </c>
      <c r="BG1194" s="3" t="n">
        <v>3</v>
      </c>
      <c r="BH1194" s="3" t="n">
        <v>4</v>
      </c>
      <c r="BI1194" s="3" t="n">
        <v>1</v>
      </c>
      <c r="BJ1194" s="3" t="n">
        <v>1</v>
      </c>
      <c r="BK1194" s="6" t="s">
        <v>3011</v>
      </c>
    </row>
    <row r="1195" customFormat="false" ht="15" hidden="false" customHeight="true" outlineLevel="0" collapsed="false">
      <c r="B1195" s="2" t="s">
        <v>3012</v>
      </c>
      <c r="C1195" s="2" t="s">
        <v>3013</v>
      </c>
      <c r="D1195" s="2" t="s">
        <v>3014</v>
      </c>
      <c r="E1195" s="2" t="n">
        <v>211149</v>
      </c>
      <c r="F1195" s="15" t="n">
        <v>44280</v>
      </c>
      <c r="G1195" s="15" t="n">
        <v>44285</v>
      </c>
      <c r="H1195" s="3" t="n">
        <v>5</v>
      </c>
      <c r="I1195" s="3" t="n">
        <v>1</v>
      </c>
      <c r="J1195" s="3" t="n">
        <v>68</v>
      </c>
      <c r="K1195" s="3" t="n">
        <v>2</v>
      </c>
      <c r="L1195" s="3" t="n">
        <v>2</v>
      </c>
      <c r="M1195" s="3" t="n">
        <v>1</v>
      </c>
      <c r="N1195" s="3" t="n">
        <v>2</v>
      </c>
      <c r="O1195" s="3" t="n">
        <v>2</v>
      </c>
      <c r="P1195" s="3" t="n">
        <v>2</v>
      </c>
      <c r="Q1195" s="3" t="n">
        <v>2</v>
      </c>
      <c r="R1195" s="3" t="n">
        <v>2</v>
      </c>
      <c r="S1195" s="3" t="n">
        <v>2</v>
      </c>
      <c r="T1195" s="4" t="n">
        <v>2</v>
      </c>
      <c r="U1195" s="3" t="n">
        <v>2</v>
      </c>
      <c r="V1195" s="3" t="n">
        <v>5.34</v>
      </c>
      <c r="W1195" s="3" t="n">
        <v>1.38</v>
      </c>
      <c r="X1195" s="3" t="n">
        <v>4.54</v>
      </c>
      <c r="Y1195" s="3" t="n">
        <v>344</v>
      </c>
      <c r="Z1195" s="3" t="n">
        <v>81</v>
      </c>
      <c r="AA1195" s="3" t="n">
        <v>0.43</v>
      </c>
      <c r="AB1195" s="3" t="n">
        <v>10.9</v>
      </c>
      <c r="AC1195" s="3" t="n">
        <v>3</v>
      </c>
      <c r="AD1195" s="3" t="n">
        <v>2</v>
      </c>
      <c r="AE1195" s="3" t="n">
        <v>1</v>
      </c>
      <c r="AF1195" s="3" t="n">
        <v>1</v>
      </c>
      <c r="AG1195" s="3" t="n">
        <v>2</v>
      </c>
      <c r="AH1195" s="3" t="n">
        <v>1</v>
      </c>
      <c r="AI1195" s="3" t="n">
        <v>1</v>
      </c>
      <c r="AJ1195" s="3" t="n">
        <v>2</v>
      </c>
      <c r="AK1195" s="3" t="n">
        <v>2</v>
      </c>
      <c r="AL1195" s="3" t="n">
        <v>2</v>
      </c>
      <c r="AM1195" s="3" t="n">
        <v>2</v>
      </c>
      <c r="AN1195" s="3" t="n">
        <v>2</v>
      </c>
      <c r="AO1195" s="3" t="n">
        <v>2</v>
      </c>
      <c r="AP1195" s="3" t="n">
        <v>3</v>
      </c>
      <c r="AQ1195" s="3" t="n">
        <v>4</v>
      </c>
      <c r="AR1195" s="3" t="n">
        <v>4</v>
      </c>
      <c r="AS1195" s="3" t="n">
        <v>6</v>
      </c>
      <c r="AT1195" s="3" t="n">
        <v>4</v>
      </c>
      <c r="AU1195" s="3" t="n">
        <v>4</v>
      </c>
      <c r="AV1195" s="3" t="n">
        <v>6</v>
      </c>
      <c r="AW1195" s="3" t="n">
        <v>6</v>
      </c>
      <c r="AX1195" s="3" t="n">
        <v>3</v>
      </c>
      <c r="AY1195" s="3" t="n">
        <v>3</v>
      </c>
      <c r="AZ1195" s="3" t="n">
        <v>1</v>
      </c>
      <c r="BA1195" s="5" t="n">
        <v>1</v>
      </c>
      <c r="BB1195" s="3" t="n">
        <v>1</v>
      </c>
      <c r="BC1195" s="3" t="n">
        <v>1</v>
      </c>
      <c r="BD1195" s="3" t="n">
        <v>4</v>
      </c>
      <c r="BE1195" s="3" t="n">
        <v>3</v>
      </c>
      <c r="BF1195" s="3" t="n">
        <v>5</v>
      </c>
      <c r="BG1195" s="3" t="n">
        <v>3</v>
      </c>
      <c r="BH1195" s="3" t="n">
        <v>4</v>
      </c>
      <c r="BI1195" s="3" t="n">
        <v>1</v>
      </c>
      <c r="BJ1195" s="3" t="n">
        <v>1</v>
      </c>
      <c r="BK1195" s="6" t="s">
        <v>3015</v>
      </c>
    </row>
    <row r="1196" customFormat="false" ht="15" hidden="false" customHeight="true" outlineLevel="0" collapsed="false">
      <c r="B1196" s="2" t="s">
        <v>755</v>
      </c>
      <c r="C1196" s="2" t="s">
        <v>1580</v>
      </c>
      <c r="D1196" s="2" t="s">
        <v>172</v>
      </c>
      <c r="E1196" s="2" t="n">
        <v>211132</v>
      </c>
      <c r="F1196" s="15" t="n">
        <v>44279</v>
      </c>
      <c r="G1196" s="15" t="n">
        <v>44285</v>
      </c>
      <c r="H1196" s="3" t="n">
        <v>6</v>
      </c>
      <c r="I1196" s="3" t="n">
        <v>2</v>
      </c>
      <c r="J1196" s="3" t="n">
        <v>66</v>
      </c>
      <c r="K1196" s="3" t="n">
        <v>2</v>
      </c>
      <c r="L1196" s="3" t="n">
        <v>2</v>
      </c>
      <c r="M1196" s="3" t="n">
        <v>1</v>
      </c>
      <c r="N1196" s="3" t="n">
        <v>2</v>
      </c>
      <c r="O1196" s="3" t="n">
        <v>2</v>
      </c>
      <c r="P1196" s="3" t="n">
        <v>2</v>
      </c>
      <c r="Q1196" s="3" t="n">
        <v>2</v>
      </c>
      <c r="R1196" s="3" t="n">
        <v>2</v>
      </c>
      <c r="S1196" s="3" t="n">
        <v>2</v>
      </c>
      <c r="T1196" s="4" t="n">
        <v>12</v>
      </c>
      <c r="U1196" s="3" t="n">
        <v>1</v>
      </c>
      <c r="W1196" s="3" t="n">
        <v>3.47</v>
      </c>
      <c r="X1196" s="3" t="n">
        <v>35.85</v>
      </c>
      <c r="Y1196" s="3" t="n">
        <v>301</v>
      </c>
      <c r="Z1196" s="3" t="n">
        <v>169</v>
      </c>
      <c r="AA1196" s="3" t="n">
        <v>0.48</v>
      </c>
      <c r="AB1196" s="3" t="n">
        <v>12.6</v>
      </c>
      <c r="AC1196" s="3" t="n">
        <v>3</v>
      </c>
      <c r="AD1196" s="3" t="n">
        <v>2</v>
      </c>
      <c r="AE1196" s="3" t="n">
        <v>2</v>
      </c>
      <c r="AF1196" s="3" t="n">
        <v>2</v>
      </c>
      <c r="AG1196" s="3" t="n">
        <v>2</v>
      </c>
      <c r="AH1196" s="3" t="n">
        <v>1</v>
      </c>
      <c r="AI1196" s="3" t="n">
        <v>1</v>
      </c>
      <c r="AJ1196" s="3" t="n">
        <v>1</v>
      </c>
      <c r="AK1196" s="3" t="n">
        <v>2</v>
      </c>
      <c r="AL1196" s="3" t="n">
        <v>2</v>
      </c>
      <c r="AM1196" s="3" t="n">
        <v>2</v>
      </c>
      <c r="AN1196" s="3" t="n">
        <v>2</v>
      </c>
      <c r="AO1196" s="3" t="n">
        <v>2</v>
      </c>
      <c r="AP1196" s="3" t="n">
        <v>3</v>
      </c>
      <c r="AQ1196" s="3" t="n">
        <v>4</v>
      </c>
      <c r="AR1196" s="3" t="n">
        <v>4</v>
      </c>
      <c r="AS1196" s="3" t="n">
        <v>6</v>
      </c>
      <c r="AT1196" s="3" t="n">
        <v>4</v>
      </c>
      <c r="AU1196" s="3" t="n">
        <v>4</v>
      </c>
      <c r="AV1196" s="3" t="n">
        <v>6</v>
      </c>
      <c r="AW1196" s="3" t="n">
        <v>6</v>
      </c>
      <c r="AX1196" s="3" t="n">
        <v>3</v>
      </c>
      <c r="AY1196" s="3" t="n">
        <v>3</v>
      </c>
      <c r="AZ1196" s="3" t="n">
        <v>1</v>
      </c>
      <c r="BA1196" s="5" t="n">
        <v>3</v>
      </c>
      <c r="BB1196" s="3" t="n">
        <v>2</v>
      </c>
      <c r="BC1196" s="3" t="n">
        <v>1</v>
      </c>
      <c r="BD1196" s="3" t="n">
        <v>6</v>
      </c>
      <c r="BE1196" s="3" t="n">
        <v>3</v>
      </c>
      <c r="BF1196" s="3" t="n">
        <v>5</v>
      </c>
      <c r="BG1196" s="3" t="n">
        <v>3</v>
      </c>
      <c r="BH1196" s="3" t="n">
        <v>4</v>
      </c>
      <c r="BI1196" s="3" t="n">
        <v>1</v>
      </c>
      <c r="BJ1196" s="3" t="n">
        <v>1</v>
      </c>
      <c r="BK1196" s="6" t="s">
        <v>3016</v>
      </c>
    </row>
    <row r="1197" customFormat="false" ht="15" hidden="false" customHeight="true" outlineLevel="0" collapsed="false">
      <c r="B1197" s="2" t="s">
        <v>3017</v>
      </c>
      <c r="C1197" s="2" t="s">
        <v>898</v>
      </c>
      <c r="D1197" s="2" t="s">
        <v>3018</v>
      </c>
      <c r="E1197" s="2" t="n">
        <v>211139</v>
      </c>
      <c r="F1197" s="15" t="n">
        <v>44279</v>
      </c>
      <c r="G1197" s="15" t="n">
        <v>44286</v>
      </c>
      <c r="H1197" s="3" t="n">
        <v>7</v>
      </c>
      <c r="I1197" s="3" t="n">
        <v>2</v>
      </c>
      <c r="J1197" s="3" t="n">
        <v>35</v>
      </c>
      <c r="K1197" s="3" t="n">
        <v>2</v>
      </c>
      <c r="L1197" s="3" t="n">
        <v>1</v>
      </c>
      <c r="M1197" s="3" t="n">
        <v>1</v>
      </c>
      <c r="N1197" s="3" t="n">
        <v>2</v>
      </c>
      <c r="O1197" s="3" t="n">
        <v>2</v>
      </c>
      <c r="P1197" s="3" t="n">
        <v>2</v>
      </c>
      <c r="Q1197" s="3" t="n">
        <v>2</v>
      </c>
      <c r="R1197" s="3" t="n">
        <v>2</v>
      </c>
      <c r="S1197" s="3" t="n">
        <v>2</v>
      </c>
      <c r="T1197" s="4" t="n">
        <v>2</v>
      </c>
      <c r="U1197" s="3" t="n">
        <v>2</v>
      </c>
      <c r="V1197" s="3" t="n">
        <v>4.71</v>
      </c>
      <c r="W1197" s="3" t="n">
        <v>2.02</v>
      </c>
      <c r="X1197" s="3" t="n">
        <v>4.32</v>
      </c>
      <c r="Y1197" s="3" t="n">
        <v>374</v>
      </c>
      <c r="Z1197" s="3" t="n">
        <v>90</v>
      </c>
      <c r="AA1197" s="3" t="n">
        <v>0.51</v>
      </c>
      <c r="AB1197" s="3" t="n">
        <v>9.8</v>
      </c>
      <c r="AC1197" s="3" t="n">
        <v>1</v>
      </c>
      <c r="AD1197" s="3" t="n">
        <v>2</v>
      </c>
      <c r="AE1197" s="3" t="n">
        <v>1</v>
      </c>
      <c r="AF1197" s="3" t="n">
        <v>1</v>
      </c>
      <c r="AG1197" s="3" t="n">
        <v>2</v>
      </c>
      <c r="AH1197" s="3" t="n">
        <v>2</v>
      </c>
      <c r="AI1197" s="3" t="n">
        <v>1</v>
      </c>
      <c r="AJ1197" s="3" t="n">
        <v>1</v>
      </c>
      <c r="AK1197" s="3" t="n">
        <v>2</v>
      </c>
      <c r="AL1197" s="3" t="n">
        <v>2</v>
      </c>
      <c r="AM1197" s="3" t="n">
        <v>2</v>
      </c>
      <c r="AN1197" s="3" t="n">
        <v>2</v>
      </c>
      <c r="AO1197" s="3" t="n">
        <v>2</v>
      </c>
      <c r="AP1197" s="3" t="n">
        <v>3</v>
      </c>
      <c r="AQ1197" s="3" t="n">
        <v>4</v>
      </c>
      <c r="AR1197" s="3" t="n">
        <v>4</v>
      </c>
      <c r="AS1197" s="3" t="n">
        <v>6</v>
      </c>
      <c r="AT1197" s="3" t="n">
        <v>4</v>
      </c>
      <c r="AU1197" s="3" t="n">
        <v>4</v>
      </c>
      <c r="AV1197" s="3" t="n">
        <v>6</v>
      </c>
      <c r="AW1197" s="3" t="n">
        <v>6</v>
      </c>
      <c r="AX1197" s="3" t="n">
        <v>3</v>
      </c>
      <c r="AY1197" s="3" t="n">
        <v>3</v>
      </c>
      <c r="AZ1197" s="3" t="n">
        <v>1</v>
      </c>
      <c r="BA1197" s="5" t="n">
        <v>1</v>
      </c>
      <c r="BB1197" s="3" t="n">
        <v>1</v>
      </c>
      <c r="BC1197" s="3" t="n">
        <v>1</v>
      </c>
      <c r="BD1197" s="3" t="n">
        <v>2</v>
      </c>
      <c r="BE1197" s="3" t="n">
        <v>3</v>
      </c>
      <c r="BF1197" s="3" t="n">
        <v>5</v>
      </c>
      <c r="BG1197" s="3" t="n">
        <v>3</v>
      </c>
      <c r="BH1197" s="3" t="n">
        <v>4</v>
      </c>
      <c r="BI1197" s="3" t="n">
        <v>1</v>
      </c>
      <c r="BJ1197" s="3" t="n">
        <v>1</v>
      </c>
      <c r="BK1197" s="6" t="s">
        <v>3019</v>
      </c>
    </row>
    <row r="1198" customFormat="false" ht="15" hidden="false" customHeight="true" outlineLevel="0" collapsed="false">
      <c r="B1198" s="2" t="s">
        <v>3020</v>
      </c>
      <c r="C1198" s="2" t="s">
        <v>94</v>
      </c>
      <c r="D1198" s="2" t="s">
        <v>3021</v>
      </c>
      <c r="E1198" s="2" t="n">
        <v>211799</v>
      </c>
      <c r="F1198" s="15" t="n">
        <v>44288</v>
      </c>
      <c r="G1198" s="15" t="n">
        <v>44288</v>
      </c>
      <c r="H1198" s="3" t="n">
        <v>0</v>
      </c>
      <c r="I1198" s="3" t="n">
        <v>1</v>
      </c>
      <c r="J1198" s="3" t="n">
        <v>51</v>
      </c>
      <c r="K1198" s="3" t="n">
        <v>1</v>
      </c>
      <c r="L1198" s="3" t="n">
        <v>2</v>
      </c>
      <c r="M1198" s="3" t="n">
        <v>1</v>
      </c>
      <c r="N1198" s="3" t="n">
        <v>1</v>
      </c>
      <c r="O1198" s="3" t="n">
        <v>2</v>
      </c>
      <c r="P1198" s="3" t="n">
        <v>2</v>
      </c>
      <c r="Q1198" s="3" t="n">
        <v>2</v>
      </c>
      <c r="R1198" s="3" t="n">
        <v>2</v>
      </c>
      <c r="S1198" s="3" t="n">
        <v>2</v>
      </c>
      <c r="T1198" s="4" t="n">
        <v>1</v>
      </c>
      <c r="U1198" s="3" t="n">
        <v>1</v>
      </c>
      <c r="AC1198" s="3" t="n">
        <v>3</v>
      </c>
      <c r="AD1198" s="3" t="n">
        <v>1</v>
      </c>
      <c r="AE1198" s="3" t="n">
        <v>1</v>
      </c>
      <c r="AF1198" s="3" t="n">
        <v>1</v>
      </c>
      <c r="AG1198" s="3" t="n">
        <v>1</v>
      </c>
      <c r="AH1198" s="3" t="n">
        <v>2</v>
      </c>
      <c r="AI1198" s="3" t="n">
        <v>1</v>
      </c>
      <c r="AJ1198" s="3" t="n">
        <v>1</v>
      </c>
      <c r="AK1198" s="3" t="n">
        <v>2</v>
      </c>
      <c r="AL1198" s="3" t="n">
        <v>2</v>
      </c>
      <c r="AM1198" s="3" t="n">
        <v>2</v>
      </c>
      <c r="AN1198" s="3" t="n">
        <v>2</v>
      </c>
      <c r="AO1198" s="3" t="n">
        <v>2</v>
      </c>
      <c r="AP1198" s="3" t="n">
        <v>3</v>
      </c>
      <c r="AQ1198" s="3" t="n">
        <v>4</v>
      </c>
      <c r="AR1198" s="3" t="n">
        <v>4</v>
      </c>
      <c r="AS1198" s="3" t="n">
        <v>6</v>
      </c>
      <c r="AT1198" s="3" t="n">
        <v>4</v>
      </c>
      <c r="AU1198" s="3" t="n">
        <v>4</v>
      </c>
      <c r="AV1198" s="3" t="n">
        <v>6</v>
      </c>
      <c r="AW1198" s="3" t="n">
        <v>6</v>
      </c>
      <c r="AX1198" s="3" t="n">
        <v>3</v>
      </c>
      <c r="AY1198" s="3" t="n">
        <v>3</v>
      </c>
      <c r="AZ1198" s="3" t="n">
        <v>1</v>
      </c>
      <c r="BA1198" s="5" t="n">
        <v>5</v>
      </c>
      <c r="BB1198" s="3" t="n">
        <v>2</v>
      </c>
      <c r="BC1198" s="3" t="n">
        <v>1</v>
      </c>
      <c r="BD1198" s="3" t="n">
        <v>6</v>
      </c>
      <c r="BE1198" s="3" t="n">
        <v>3</v>
      </c>
      <c r="BF1198" s="3" t="n">
        <v>5</v>
      </c>
      <c r="BG1198" s="3" t="n">
        <v>3</v>
      </c>
      <c r="BH1198" s="3" t="n">
        <v>4</v>
      </c>
      <c r="BI1198" s="3" t="n">
        <v>1</v>
      </c>
      <c r="BJ1198" s="3" t="n">
        <v>1</v>
      </c>
      <c r="BK1198" s="6" t="s">
        <v>3022</v>
      </c>
    </row>
    <row r="1199" customFormat="false" ht="16.5" hidden="false" customHeight="true" outlineLevel="0" collapsed="false">
      <c r="B1199" s="2" t="s">
        <v>206</v>
      </c>
      <c r="C1199" s="2" t="s">
        <v>3023</v>
      </c>
      <c r="D1199" s="2" t="s">
        <v>3024</v>
      </c>
      <c r="E1199" s="2" t="n">
        <v>211226</v>
      </c>
      <c r="F1199" s="15" t="n">
        <v>44284</v>
      </c>
      <c r="G1199" s="15" t="n">
        <v>44287</v>
      </c>
      <c r="H1199" s="3" t="n">
        <v>3</v>
      </c>
      <c r="I1199" s="3" t="n">
        <v>2</v>
      </c>
      <c r="J1199" s="3" t="n">
        <v>87</v>
      </c>
      <c r="K1199" s="3" t="n">
        <v>1</v>
      </c>
      <c r="L1199" s="3" t="n">
        <v>2</v>
      </c>
      <c r="M1199" s="3" t="n">
        <v>1</v>
      </c>
      <c r="N1199" s="3" t="n">
        <v>2</v>
      </c>
      <c r="O1199" s="3" t="n">
        <v>2</v>
      </c>
      <c r="P1199" s="3" t="n">
        <v>2</v>
      </c>
      <c r="Q1199" s="3" t="n">
        <v>2</v>
      </c>
      <c r="R1199" s="3" t="n">
        <v>2</v>
      </c>
      <c r="S1199" s="3" t="n">
        <v>2</v>
      </c>
      <c r="T1199" s="4" t="n">
        <v>1</v>
      </c>
      <c r="U1199" s="3" t="n">
        <v>1</v>
      </c>
      <c r="V1199" s="3" t="n">
        <v>4.88</v>
      </c>
      <c r="W1199" s="3" t="n">
        <v>0.43</v>
      </c>
      <c r="X1199" s="3" t="n">
        <v>6.31</v>
      </c>
      <c r="Y1199" s="3" t="n">
        <v>437</v>
      </c>
      <c r="Z1199" s="3" t="n">
        <v>144</v>
      </c>
      <c r="AA1199" s="3" t="n">
        <v>0.3</v>
      </c>
      <c r="AB1199" s="3" t="n">
        <v>13.9</v>
      </c>
      <c r="AC1199" s="3" t="n">
        <v>2</v>
      </c>
      <c r="AD1199" s="3" t="n">
        <v>1</v>
      </c>
      <c r="AE1199" s="3" t="n">
        <v>2</v>
      </c>
      <c r="AF1199" s="3" t="n">
        <v>2</v>
      </c>
      <c r="AG1199" s="3" t="n">
        <v>2</v>
      </c>
      <c r="AH1199" s="3" t="n">
        <v>2</v>
      </c>
      <c r="AI1199" s="3" t="n">
        <v>1</v>
      </c>
      <c r="AJ1199" s="3" t="n">
        <v>1</v>
      </c>
      <c r="AK1199" s="3" t="n">
        <v>2</v>
      </c>
      <c r="AL1199" s="3" t="n">
        <v>1</v>
      </c>
      <c r="AM1199" s="3" t="n">
        <v>1</v>
      </c>
      <c r="AN1199" s="3" t="n">
        <v>2</v>
      </c>
      <c r="AO1199" s="3" t="n">
        <v>2</v>
      </c>
      <c r="AP1199" s="3" t="n">
        <v>3</v>
      </c>
      <c r="AQ1199" s="3" t="n">
        <v>4</v>
      </c>
      <c r="AR1199" s="3" t="n">
        <v>4</v>
      </c>
      <c r="AS1199" s="3" t="n">
        <v>6</v>
      </c>
      <c r="AT1199" s="3" t="n">
        <v>4</v>
      </c>
      <c r="AU1199" s="3" t="n">
        <v>4</v>
      </c>
      <c r="AV1199" s="3" t="n">
        <v>6</v>
      </c>
      <c r="AW1199" s="3" t="n">
        <v>6</v>
      </c>
      <c r="AX1199" s="3" t="n">
        <v>3</v>
      </c>
      <c r="AY1199" s="3" t="n">
        <v>3</v>
      </c>
      <c r="AZ1199" s="3" t="n">
        <v>4</v>
      </c>
      <c r="BA1199" s="5" t="n">
        <v>5</v>
      </c>
      <c r="BB1199" s="3" t="n">
        <v>2</v>
      </c>
      <c r="BC1199" s="3" t="n">
        <v>1</v>
      </c>
      <c r="BD1199" s="3" t="n">
        <v>6</v>
      </c>
      <c r="BE1199" s="3" t="n">
        <v>3</v>
      </c>
      <c r="BF1199" s="3" t="n">
        <v>5</v>
      </c>
      <c r="BG1199" s="3" t="n">
        <v>3</v>
      </c>
      <c r="BH1199" s="3" t="n">
        <v>4</v>
      </c>
      <c r="BI1199" s="3" t="n">
        <v>1</v>
      </c>
      <c r="BJ1199" s="3" t="n">
        <v>1</v>
      </c>
      <c r="BK1199" s="6" t="s">
        <v>3025</v>
      </c>
    </row>
    <row r="1200" customFormat="false" ht="16.5" hidden="false" customHeight="true" outlineLevel="0" collapsed="false">
      <c r="B1200" s="2" t="s">
        <v>3026</v>
      </c>
      <c r="C1200" s="2" t="s">
        <v>3027</v>
      </c>
      <c r="D1200" s="2" t="s">
        <v>3028</v>
      </c>
      <c r="E1200" s="2" t="n">
        <v>211159</v>
      </c>
      <c r="F1200" s="15" t="n">
        <v>44286</v>
      </c>
      <c r="G1200" s="15" t="n">
        <v>44289</v>
      </c>
      <c r="H1200" s="3" t="n">
        <v>3</v>
      </c>
      <c r="I1200" s="3" t="n">
        <v>2</v>
      </c>
      <c r="J1200" s="3" t="n">
        <v>37</v>
      </c>
      <c r="K1200" s="3" t="n">
        <v>2</v>
      </c>
      <c r="L1200" s="3" t="n">
        <v>2</v>
      </c>
      <c r="M1200" s="3" t="n">
        <v>1</v>
      </c>
      <c r="N1200" s="3" t="n">
        <v>2</v>
      </c>
      <c r="O1200" s="3" t="n">
        <v>2</v>
      </c>
      <c r="P1200" s="3" t="n">
        <v>2</v>
      </c>
      <c r="Q1200" s="3" t="n">
        <v>2</v>
      </c>
      <c r="R1200" s="3" t="n">
        <v>2</v>
      </c>
      <c r="S1200" s="3" t="n">
        <v>2</v>
      </c>
      <c r="T1200" s="4" t="n">
        <v>3</v>
      </c>
      <c r="U1200" s="3" t="n">
        <v>4</v>
      </c>
      <c r="V1200" s="3" t="n">
        <v>4.93</v>
      </c>
      <c r="W1200" s="3" t="n">
        <v>1.22</v>
      </c>
      <c r="X1200" s="3" t="n">
        <v>18.2</v>
      </c>
      <c r="Y1200" s="3" t="n">
        <v>253</v>
      </c>
      <c r="Z1200" s="3" t="n">
        <v>99</v>
      </c>
      <c r="AA1200" s="3" t="n">
        <v>0.34</v>
      </c>
      <c r="AB1200" s="3" t="n">
        <v>19.8</v>
      </c>
      <c r="AC1200" s="3" t="n">
        <v>1</v>
      </c>
      <c r="AD1200" s="3" t="n">
        <v>2</v>
      </c>
      <c r="AE1200" s="3" t="n">
        <v>1</v>
      </c>
      <c r="AF1200" s="3" t="n">
        <v>1</v>
      </c>
      <c r="AG1200" s="3" t="n">
        <v>1</v>
      </c>
      <c r="AH1200" s="3" t="n">
        <v>2</v>
      </c>
      <c r="AI1200" s="3" t="n">
        <v>1</v>
      </c>
      <c r="AJ1200" s="3" t="n">
        <v>1</v>
      </c>
      <c r="AK1200" s="3" t="n">
        <v>2</v>
      </c>
      <c r="AL1200" s="3" t="n">
        <v>1</v>
      </c>
      <c r="AM1200" s="3" t="n">
        <v>1</v>
      </c>
      <c r="AN1200" s="3" t="n">
        <v>1</v>
      </c>
      <c r="AO1200" s="3" t="n">
        <v>1</v>
      </c>
      <c r="AP1200" s="3" t="n">
        <v>3</v>
      </c>
      <c r="AQ1200" s="3" t="n">
        <v>4</v>
      </c>
      <c r="AR1200" s="3" t="n">
        <v>4</v>
      </c>
      <c r="AS1200" s="3" t="n">
        <v>6</v>
      </c>
      <c r="AT1200" s="3" t="n">
        <v>4</v>
      </c>
      <c r="AU1200" s="3" t="n">
        <v>4</v>
      </c>
      <c r="AV1200" s="3" t="n">
        <v>6</v>
      </c>
      <c r="AW1200" s="3" t="n">
        <v>6</v>
      </c>
      <c r="AX1200" s="3" t="n">
        <v>3</v>
      </c>
      <c r="AY1200" s="3" t="n">
        <v>3</v>
      </c>
      <c r="AZ1200" s="3" t="n">
        <v>1</v>
      </c>
      <c r="BA1200" s="5" t="n">
        <v>11</v>
      </c>
      <c r="BB1200" s="3" t="n">
        <v>2</v>
      </c>
      <c r="BC1200" s="3" t="n">
        <v>1</v>
      </c>
      <c r="BD1200" s="3" t="n">
        <v>6</v>
      </c>
      <c r="BE1200" s="3" t="n">
        <v>3</v>
      </c>
      <c r="BF1200" s="3" t="n">
        <v>5</v>
      </c>
      <c r="BG1200" s="3" t="n">
        <v>3</v>
      </c>
      <c r="BH1200" s="3" t="n">
        <v>4</v>
      </c>
      <c r="BI1200" s="3" t="n">
        <v>1</v>
      </c>
      <c r="BJ1200" s="3" t="n">
        <v>1</v>
      </c>
      <c r="BK1200" s="6" t="s">
        <v>3029</v>
      </c>
    </row>
    <row r="1201" customFormat="false" ht="15" hidden="false" customHeight="true" outlineLevel="0" collapsed="false">
      <c r="B1201" s="2" t="s">
        <v>3030</v>
      </c>
      <c r="C1201" s="2" t="s">
        <v>3031</v>
      </c>
      <c r="D1201" s="2" t="s">
        <v>1734</v>
      </c>
      <c r="E1201" s="2" t="n">
        <v>211290</v>
      </c>
      <c r="F1201" s="15" t="n">
        <v>44282</v>
      </c>
      <c r="G1201" s="15" t="n">
        <v>44288</v>
      </c>
      <c r="H1201" s="3" t="n">
        <v>6</v>
      </c>
      <c r="I1201" s="3" t="n">
        <v>2</v>
      </c>
      <c r="J1201" s="3" t="n">
        <v>67</v>
      </c>
      <c r="K1201" s="3" t="n">
        <v>1</v>
      </c>
      <c r="L1201" s="3" t="n">
        <v>2</v>
      </c>
      <c r="M1201" s="3" t="n">
        <v>1</v>
      </c>
      <c r="N1201" s="3" t="n">
        <v>1</v>
      </c>
      <c r="O1201" s="3" t="n">
        <v>2</v>
      </c>
      <c r="P1201" s="3" t="n">
        <v>2</v>
      </c>
      <c r="Q1201" s="3" t="n">
        <v>2</v>
      </c>
      <c r="R1201" s="3" t="n">
        <v>2</v>
      </c>
      <c r="S1201" s="3" t="n">
        <v>2</v>
      </c>
      <c r="T1201" s="4" t="n">
        <v>2</v>
      </c>
      <c r="U1201" s="3" t="n">
        <v>2</v>
      </c>
      <c r="V1201" s="3" t="n">
        <v>4.51</v>
      </c>
      <c r="W1201" s="3" t="n">
        <v>1.11</v>
      </c>
      <c r="X1201" s="3" t="n">
        <v>5.44</v>
      </c>
      <c r="Y1201" s="3" t="n">
        <v>336</v>
      </c>
      <c r="Z1201" s="3" t="n">
        <v>83</v>
      </c>
      <c r="AA1201" s="3" t="n">
        <v>0.45</v>
      </c>
      <c r="AB1201" s="3" t="n">
        <v>11.7</v>
      </c>
      <c r="AC1201" s="3" t="n">
        <v>1</v>
      </c>
      <c r="AD1201" s="3" t="n">
        <v>1</v>
      </c>
      <c r="AE1201" s="3" t="n">
        <v>1</v>
      </c>
      <c r="AF1201" s="3" t="n">
        <v>1</v>
      </c>
      <c r="AG1201" s="3" t="n">
        <v>2</v>
      </c>
      <c r="AH1201" s="3" t="n">
        <v>2</v>
      </c>
      <c r="AI1201" s="3" t="n">
        <v>1</v>
      </c>
      <c r="AJ1201" s="3" t="n">
        <v>2</v>
      </c>
      <c r="AK1201" s="3" t="n">
        <v>2</v>
      </c>
      <c r="AL1201" s="3" t="n">
        <v>2</v>
      </c>
      <c r="AM1201" s="3" t="n">
        <v>2</v>
      </c>
      <c r="AN1201" s="3" t="n">
        <v>2</v>
      </c>
      <c r="AO1201" s="3" t="n">
        <v>2</v>
      </c>
      <c r="AP1201" s="3" t="n">
        <v>3</v>
      </c>
      <c r="AQ1201" s="3" t="n">
        <v>4</v>
      </c>
      <c r="AR1201" s="3" t="n">
        <v>4</v>
      </c>
      <c r="AS1201" s="3" t="n">
        <v>6</v>
      </c>
      <c r="AT1201" s="3" t="n">
        <v>4</v>
      </c>
      <c r="AU1201" s="3" t="n">
        <v>4</v>
      </c>
      <c r="AV1201" s="3" t="n">
        <v>6</v>
      </c>
      <c r="AW1201" s="3" t="n">
        <v>6</v>
      </c>
      <c r="AX1201" s="3" t="n">
        <v>3</v>
      </c>
      <c r="AY1201" s="3" t="n">
        <v>3</v>
      </c>
      <c r="AZ1201" s="3" t="n">
        <v>1</v>
      </c>
      <c r="BA1201" s="5" t="n">
        <v>1</v>
      </c>
      <c r="BB1201" s="3" t="n">
        <v>1</v>
      </c>
      <c r="BC1201" s="3" t="n">
        <v>1</v>
      </c>
      <c r="BD1201" s="3" t="n">
        <v>4</v>
      </c>
      <c r="BE1201" s="3" t="n">
        <v>1</v>
      </c>
      <c r="BF1201" s="3" t="n">
        <v>2</v>
      </c>
      <c r="BG1201" s="3" t="n">
        <v>1</v>
      </c>
      <c r="BH1201" s="3" t="n">
        <v>4</v>
      </c>
      <c r="BI1201" s="3" t="n">
        <v>1</v>
      </c>
      <c r="BJ1201" s="3" t="n">
        <v>1</v>
      </c>
      <c r="BK1201" s="6" t="s">
        <v>3032</v>
      </c>
    </row>
    <row r="1202" customFormat="false" ht="15" hidden="false" customHeight="true" outlineLevel="0" collapsed="false">
      <c r="B1202" s="2" t="s">
        <v>3033</v>
      </c>
      <c r="C1202" s="2" t="s">
        <v>1643</v>
      </c>
      <c r="D1202" s="2" t="s">
        <v>197</v>
      </c>
      <c r="E1202" s="2" t="n">
        <v>211189</v>
      </c>
      <c r="F1202" s="15" t="n">
        <v>44285</v>
      </c>
      <c r="G1202" s="15" t="n">
        <v>44288</v>
      </c>
      <c r="H1202" s="3" t="n">
        <v>3</v>
      </c>
      <c r="I1202" s="3" t="n">
        <v>2</v>
      </c>
      <c r="J1202" s="3" t="n">
        <v>53</v>
      </c>
      <c r="K1202" s="3" t="n">
        <v>1</v>
      </c>
      <c r="L1202" s="3" t="n">
        <v>2</v>
      </c>
      <c r="M1202" s="3" t="n">
        <v>1</v>
      </c>
      <c r="N1202" s="3" t="n">
        <v>1</v>
      </c>
      <c r="O1202" s="3" t="n">
        <v>2</v>
      </c>
      <c r="P1202" s="3" t="n">
        <v>2</v>
      </c>
      <c r="Q1202" s="3" t="n">
        <v>2</v>
      </c>
      <c r="R1202" s="3" t="n">
        <v>2</v>
      </c>
      <c r="S1202" s="3" t="n">
        <v>2</v>
      </c>
      <c r="T1202" s="4" t="n">
        <v>3</v>
      </c>
      <c r="U1202" s="3" t="n">
        <v>1</v>
      </c>
      <c r="AC1202" s="3" t="n">
        <v>3</v>
      </c>
      <c r="AD1202" s="3" t="n">
        <v>1</v>
      </c>
      <c r="AE1202" s="3" t="n">
        <v>2</v>
      </c>
      <c r="AF1202" s="3" t="n">
        <v>1</v>
      </c>
      <c r="AG1202" s="3" t="n">
        <v>1</v>
      </c>
      <c r="AH1202" s="3" t="n">
        <v>2</v>
      </c>
      <c r="AI1202" s="3" t="n">
        <v>1</v>
      </c>
      <c r="AJ1202" s="3" t="n">
        <v>1</v>
      </c>
      <c r="AK1202" s="3" t="n">
        <v>2</v>
      </c>
      <c r="AL1202" s="3" t="n">
        <v>2</v>
      </c>
      <c r="AM1202" s="3" t="n">
        <v>2</v>
      </c>
      <c r="AN1202" s="3" t="n">
        <v>2</v>
      </c>
      <c r="AO1202" s="3" t="n">
        <v>2</v>
      </c>
      <c r="AP1202" s="3" t="n">
        <v>1</v>
      </c>
      <c r="AQ1202" s="3" t="n">
        <v>3</v>
      </c>
      <c r="AR1202" s="3" t="n">
        <v>4</v>
      </c>
      <c r="AS1202" s="3" t="n">
        <v>6</v>
      </c>
      <c r="AT1202" s="3" t="n">
        <v>4</v>
      </c>
      <c r="AU1202" s="3" t="n">
        <v>4</v>
      </c>
      <c r="AV1202" s="3" t="n">
        <v>1</v>
      </c>
      <c r="AW1202" s="3" t="n">
        <v>6</v>
      </c>
      <c r="AX1202" s="3" t="n">
        <v>2</v>
      </c>
      <c r="AY1202" s="3" t="n">
        <v>2</v>
      </c>
      <c r="AZ1202" s="3" t="n">
        <v>1</v>
      </c>
      <c r="BA1202" s="5" t="n">
        <v>3</v>
      </c>
      <c r="BB1202" s="3" t="n">
        <v>2</v>
      </c>
      <c r="BC1202" s="3" t="n">
        <v>1</v>
      </c>
      <c r="BD1202" s="3" t="n">
        <v>6</v>
      </c>
      <c r="BE1202" s="3" t="n">
        <v>3</v>
      </c>
      <c r="BF1202" s="3" t="n">
        <v>5</v>
      </c>
      <c r="BG1202" s="3" t="n">
        <v>3</v>
      </c>
      <c r="BH1202" s="3" t="n">
        <v>4</v>
      </c>
      <c r="BI1202" s="3" t="n">
        <v>1</v>
      </c>
      <c r="BJ1202" s="3" t="n">
        <v>1</v>
      </c>
      <c r="BK1202" s="6" t="s">
        <v>3034</v>
      </c>
    </row>
    <row r="1203" customFormat="false" ht="15" hidden="false" customHeight="true" outlineLevel="0" collapsed="false">
      <c r="B1203" s="2" t="s">
        <v>3035</v>
      </c>
      <c r="C1203" s="2" t="s">
        <v>3036</v>
      </c>
      <c r="D1203" s="2" t="s">
        <v>153</v>
      </c>
      <c r="E1203" s="2" t="n">
        <v>211423</v>
      </c>
      <c r="F1203" s="15" t="n">
        <v>44286</v>
      </c>
      <c r="G1203" s="15" t="n">
        <v>44291</v>
      </c>
      <c r="H1203" s="3" t="n">
        <v>5</v>
      </c>
      <c r="I1203" s="3" t="n">
        <v>2</v>
      </c>
      <c r="J1203" s="3" t="n">
        <v>47</v>
      </c>
      <c r="K1203" s="3" t="n">
        <v>2</v>
      </c>
      <c r="L1203" s="3" t="n">
        <v>1</v>
      </c>
      <c r="M1203" s="3" t="n">
        <v>1</v>
      </c>
      <c r="N1203" s="3" t="n">
        <v>2</v>
      </c>
      <c r="O1203" s="3" t="n">
        <v>2</v>
      </c>
      <c r="P1203" s="3" t="n">
        <v>2</v>
      </c>
      <c r="Q1203" s="3" t="n">
        <v>2</v>
      </c>
      <c r="R1203" s="3" t="n">
        <v>2</v>
      </c>
      <c r="S1203" s="3" t="n">
        <v>2</v>
      </c>
      <c r="T1203" s="4" t="n">
        <v>1</v>
      </c>
      <c r="U1203" s="3" t="n">
        <v>1</v>
      </c>
      <c r="V1203" s="3" t="n">
        <v>4.77</v>
      </c>
      <c r="W1203" s="3" t="n">
        <v>2.67</v>
      </c>
      <c r="X1203" s="3" t="n">
        <v>8.5</v>
      </c>
      <c r="Y1203" s="3" t="n">
        <v>464</v>
      </c>
      <c r="Z1203" s="3" t="n">
        <v>120</v>
      </c>
      <c r="AA1203" s="3" t="n">
        <v>0.42</v>
      </c>
      <c r="AB1203" s="3" t="n">
        <v>6</v>
      </c>
      <c r="AC1203" s="3" t="n">
        <v>1</v>
      </c>
      <c r="AD1203" s="3" t="n">
        <v>2</v>
      </c>
      <c r="AE1203" s="3" t="n">
        <v>2</v>
      </c>
      <c r="AF1203" s="3" t="n">
        <v>1</v>
      </c>
      <c r="AG1203" s="3" t="n">
        <v>2</v>
      </c>
      <c r="AH1203" s="3" t="n">
        <v>1</v>
      </c>
      <c r="AI1203" s="3" t="n">
        <v>2</v>
      </c>
      <c r="AJ1203" s="3" t="n">
        <v>1</v>
      </c>
      <c r="AK1203" s="3" t="n">
        <v>2</v>
      </c>
      <c r="AL1203" s="3" t="n">
        <v>1</v>
      </c>
      <c r="AM1203" s="3" t="n">
        <v>2</v>
      </c>
      <c r="AN1203" s="3" t="n">
        <v>2</v>
      </c>
      <c r="AO1203" s="3" t="n">
        <v>2</v>
      </c>
      <c r="AP1203" s="3" t="n">
        <v>3</v>
      </c>
      <c r="AQ1203" s="3" t="n">
        <v>4</v>
      </c>
      <c r="AR1203" s="3" t="n">
        <v>4</v>
      </c>
      <c r="AS1203" s="3" t="n">
        <v>6</v>
      </c>
      <c r="AT1203" s="3" t="n">
        <v>4</v>
      </c>
      <c r="AU1203" s="3" t="n">
        <v>4</v>
      </c>
      <c r="AV1203" s="3" t="n">
        <v>6</v>
      </c>
      <c r="AW1203" s="3" t="n">
        <v>6</v>
      </c>
      <c r="AX1203" s="3" t="n">
        <v>3</v>
      </c>
      <c r="AY1203" s="3" t="n">
        <v>3</v>
      </c>
      <c r="AZ1203" s="3" t="n">
        <v>1</v>
      </c>
      <c r="BA1203" s="5" t="n">
        <v>5</v>
      </c>
      <c r="BB1203" s="3" t="n">
        <v>2</v>
      </c>
      <c r="BC1203" s="3" t="n">
        <v>1</v>
      </c>
      <c r="BD1203" s="3" t="n">
        <v>6</v>
      </c>
      <c r="BE1203" s="3" t="n">
        <v>3</v>
      </c>
      <c r="BF1203" s="3" t="n">
        <v>5</v>
      </c>
      <c r="BG1203" s="3" t="n">
        <v>3</v>
      </c>
      <c r="BH1203" s="3" t="n">
        <v>4</v>
      </c>
      <c r="BI1203" s="3" t="n">
        <v>1</v>
      </c>
      <c r="BJ1203" s="3" t="n">
        <v>1</v>
      </c>
      <c r="BK1203" s="6" t="s">
        <v>3037</v>
      </c>
    </row>
    <row r="1204" customFormat="false" ht="15" hidden="false" customHeight="true" outlineLevel="0" collapsed="false">
      <c r="B1204" s="2" t="s">
        <v>3038</v>
      </c>
      <c r="C1204" s="2" t="s">
        <v>3039</v>
      </c>
      <c r="D1204" s="2" t="s">
        <v>70</v>
      </c>
      <c r="E1204" s="2" t="n">
        <v>211233</v>
      </c>
      <c r="F1204" s="15" t="n">
        <v>44284</v>
      </c>
      <c r="G1204" s="15" t="n">
        <v>44291</v>
      </c>
      <c r="H1204" s="3" t="n">
        <v>7</v>
      </c>
      <c r="I1204" s="3" t="n">
        <v>2</v>
      </c>
      <c r="J1204" s="3" t="n">
        <v>56</v>
      </c>
      <c r="K1204" s="3" t="n">
        <v>1</v>
      </c>
      <c r="L1204" s="3" t="n">
        <v>1</v>
      </c>
      <c r="M1204" s="3" t="n">
        <v>1</v>
      </c>
      <c r="N1204" s="3" t="n">
        <v>1</v>
      </c>
      <c r="O1204" s="3" t="n">
        <v>2</v>
      </c>
      <c r="P1204" s="3" t="n">
        <v>2</v>
      </c>
      <c r="Q1204" s="3" t="n">
        <v>2</v>
      </c>
      <c r="R1204" s="3" t="n">
        <v>2</v>
      </c>
      <c r="S1204" s="3" t="n">
        <v>2</v>
      </c>
      <c r="T1204" s="4" t="n">
        <v>2</v>
      </c>
      <c r="U1204" s="3" t="n">
        <v>2</v>
      </c>
      <c r="V1204" s="3" t="n">
        <v>4.47</v>
      </c>
      <c r="W1204" s="3" t="n">
        <v>1.1</v>
      </c>
      <c r="X1204" s="3" t="n">
        <v>4.89</v>
      </c>
      <c r="Y1204" s="3" t="n">
        <v>346</v>
      </c>
      <c r="Z1204" s="3" t="n">
        <v>70</v>
      </c>
      <c r="AA1204" s="3" t="n">
        <v>0.38</v>
      </c>
      <c r="AB1204" s="3" t="n">
        <v>6</v>
      </c>
      <c r="AC1204" s="3" t="n">
        <v>1</v>
      </c>
      <c r="AD1204" s="3" t="n">
        <v>1</v>
      </c>
      <c r="AE1204" s="3" t="n">
        <v>1</v>
      </c>
      <c r="AF1204" s="3" t="n">
        <v>1</v>
      </c>
      <c r="AG1204" s="3" t="n">
        <v>2</v>
      </c>
      <c r="AH1204" s="3" t="n">
        <v>2</v>
      </c>
      <c r="AI1204" s="3" t="n">
        <v>1</v>
      </c>
      <c r="AJ1204" s="3" t="n">
        <v>1</v>
      </c>
      <c r="AK1204" s="3" t="n">
        <v>2</v>
      </c>
      <c r="AL1204" s="3" t="n">
        <v>2</v>
      </c>
      <c r="AM1204" s="3" t="n">
        <v>2</v>
      </c>
      <c r="AN1204" s="3" t="n">
        <v>2</v>
      </c>
      <c r="AO1204" s="3" t="n">
        <v>2</v>
      </c>
      <c r="AP1204" s="3" t="n">
        <v>3</v>
      </c>
      <c r="AQ1204" s="3" t="n">
        <v>4</v>
      </c>
      <c r="AR1204" s="3" t="n">
        <v>4</v>
      </c>
      <c r="AS1204" s="3" t="n">
        <v>6</v>
      </c>
      <c r="AT1204" s="3" t="n">
        <v>4</v>
      </c>
      <c r="AU1204" s="3" t="n">
        <v>4</v>
      </c>
      <c r="AV1204" s="3" t="n">
        <v>6</v>
      </c>
      <c r="AW1204" s="3" t="n">
        <v>6</v>
      </c>
      <c r="AX1204" s="3" t="n">
        <v>3</v>
      </c>
      <c r="AY1204" s="3" t="n">
        <v>3</v>
      </c>
      <c r="AZ1204" s="3" t="n">
        <v>1</v>
      </c>
      <c r="BA1204" s="5" t="n">
        <v>2</v>
      </c>
      <c r="BB1204" s="3" t="n">
        <v>1</v>
      </c>
      <c r="BC1204" s="3" t="n">
        <v>1</v>
      </c>
      <c r="BD1204" s="3" t="n">
        <v>4</v>
      </c>
      <c r="BE1204" s="3" t="n">
        <v>3</v>
      </c>
      <c r="BF1204" s="3" t="n">
        <v>5</v>
      </c>
      <c r="BG1204" s="3" t="n">
        <v>3</v>
      </c>
      <c r="BH1204" s="3" t="n">
        <v>4</v>
      </c>
      <c r="BI1204" s="3" t="n">
        <v>1</v>
      </c>
      <c r="BJ1204" s="3" t="n">
        <v>1</v>
      </c>
      <c r="BK1204" s="6" t="s">
        <v>3040</v>
      </c>
    </row>
    <row r="1205" customFormat="false" ht="15" hidden="false" customHeight="true" outlineLevel="0" collapsed="false">
      <c r="B1205" s="2" t="s">
        <v>1834</v>
      </c>
      <c r="C1205" s="2" t="s">
        <v>2779</v>
      </c>
      <c r="D1205" s="2" t="s">
        <v>94</v>
      </c>
      <c r="E1205" s="2" t="n">
        <v>210431</v>
      </c>
      <c r="F1205" s="15" t="n">
        <v>44266</v>
      </c>
      <c r="G1205" s="15" t="n">
        <v>44291</v>
      </c>
      <c r="H1205" s="3" t="n">
        <v>25</v>
      </c>
      <c r="I1205" s="3" t="n">
        <v>2</v>
      </c>
      <c r="J1205" s="3" t="n">
        <v>74</v>
      </c>
      <c r="K1205" s="3" t="n">
        <v>2</v>
      </c>
      <c r="L1205" s="3" t="n">
        <v>2</v>
      </c>
      <c r="M1205" s="3" t="n">
        <v>2</v>
      </c>
      <c r="N1205" s="3" t="n">
        <v>2</v>
      </c>
      <c r="O1205" s="3" t="n">
        <v>2</v>
      </c>
      <c r="P1205" s="3" t="n">
        <v>2</v>
      </c>
      <c r="Q1205" s="3" t="n">
        <v>2</v>
      </c>
      <c r="R1205" s="3" t="n">
        <v>2</v>
      </c>
      <c r="S1205" s="3" t="n">
        <v>2</v>
      </c>
      <c r="T1205" s="4" t="n">
        <v>4</v>
      </c>
      <c r="U1205" s="3" t="n">
        <v>4</v>
      </c>
      <c r="V1205" s="3" t="n">
        <v>4.6</v>
      </c>
      <c r="W1205" s="3" t="n">
        <v>0.52</v>
      </c>
      <c r="X1205" s="3" t="n">
        <v>4.73</v>
      </c>
      <c r="Y1205" s="3" t="n">
        <v>418</v>
      </c>
      <c r="Z1205" s="3" t="n">
        <v>124</v>
      </c>
      <c r="AA1205" s="3" t="n">
        <v>0.42</v>
      </c>
      <c r="AB1205" s="3" t="n">
        <v>7.4</v>
      </c>
      <c r="AC1205" s="3" t="n">
        <v>1</v>
      </c>
      <c r="AD1205" s="3" t="n">
        <v>2</v>
      </c>
      <c r="AE1205" s="3" t="n">
        <v>2</v>
      </c>
      <c r="AF1205" s="3" t="n">
        <v>2</v>
      </c>
      <c r="AG1205" s="3" t="n">
        <v>2</v>
      </c>
      <c r="AH1205" s="3" t="n">
        <v>2</v>
      </c>
      <c r="AI1205" s="3" t="n">
        <v>1</v>
      </c>
      <c r="AJ1205" s="3" t="n">
        <v>1</v>
      </c>
      <c r="AK1205" s="3" t="n">
        <v>2</v>
      </c>
      <c r="AL1205" s="3" t="n">
        <v>2</v>
      </c>
      <c r="AM1205" s="3" t="n">
        <v>2</v>
      </c>
      <c r="AN1205" s="3" t="n">
        <v>2</v>
      </c>
      <c r="AO1205" s="3" t="n">
        <v>2</v>
      </c>
      <c r="AP1205" s="3" t="n">
        <v>3</v>
      </c>
      <c r="AQ1205" s="3" t="n">
        <v>4</v>
      </c>
      <c r="AR1205" s="3" t="n">
        <v>4</v>
      </c>
      <c r="AS1205" s="3" t="n">
        <v>6</v>
      </c>
      <c r="AT1205" s="3" t="n">
        <v>4</v>
      </c>
      <c r="AU1205" s="3" t="n">
        <v>4</v>
      </c>
      <c r="AV1205" s="3" t="n">
        <v>6</v>
      </c>
      <c r="AW1205" s="3" t="n">
        <v>6</v>
      </c>
      <c r="AX1205" s="3" t="n">
        <v>3</v>
      </c>
      <c r="AY1205" s="3" t="n">
        <v>3</v>
      </c>
      <c r="AZ1205" s="3" t="n">
        <v>1</v>
      </c>
      <c r="BA1205" s="5" t="n">
        <v>10</v>
      </c>
      <c r="BB1205" s="3" t="n">
        <v>2</v>
      </c>
      <c r="BC1205" s="3" t="n">
        <v>1</v>
      </c>
      <c r="BD1205" s="3" t="n">
        <v>6</v>
      </c>
      <c r="BE1205" s="3" t="n">
        <v>3</v>
      </c>
      <c r="BF1205" s="3" t="n">
        <v>5</v>
      </c>
      <c r="BG1205" s="3" t="n">
        <v>3</v>
      </c>
      <c r="BH1205" s="3" t="n">
        <v>4</v>
      </c>
      <c r="BI1205" s="3" t="n">
        <v>1</v>
      </c>
      <c r="BJ1205" s="3" t="n">
        <v>1</v>
      </c>
      <c r="BK1205" s="6" t="s">
        <v>3041</v>
      </c>
    </row>
    <row r="1206" s="30" customFormat="true" ht="15" hidden="false" customHeight="true" outlineLevel="0" collapsed="false">
      <c r="A1206" s="24"/>
      <c r="B1206" s="26" t="s">
        <v>3042</v>
      </c>
      <c r="C1206" s="26" t="s">
        <v>66</v>
      </c>
      <c r="D1206" s="26" t="s">
        <v>118</v>
      </c>
      <c r="E1206" s="26" t="n">
        <v>210804</v>
      </c>
      <c r="F1206" s="27" t="n">
        <v>44276</v>
      </c>
      <c r="G1206" s="27" t="n">
        <v>44293</v>
      </c>
      <c r="H1206" s="30" t="n">
        <v>17</v>
      </c>
      <c r="I1206" s="30" t="n">
        <v>2</v>
      </c>
      <c r="J1206" s="30" t="n">
        <v>59</v>
      </c>
      <c r="K1206" s="30" t="n">
        <v>1</v>
      </c>
      <c r="L1206" s="30" t="n">
        <v>1</v>
      </c>
      <c r="M1206" s="30" t="n">
        <v>1</v>
      </c>
      <c r="N1206" s="30" t="n">
        <v>2</v>
      </c>
      <c r="O1206" s="30" t="n">
        <v>2</v>
      </c>
      <c r="P1206" s="30" t="n">
        <v>2</v>
      </c>
      <c r="Q1206" s="30" t="n">
        <v>1</v>
      </c>
      <c r="R1206" s="30" t="n">
        <v>2</v>
      </c>
      <c r="S1206" s="30" t="n">
        <v>2</v>
      </c>
      <c r="T1206" s="4" t="n">
        <v>2</v>
      </c>
      <c r="U1206" s="30" t="n">
        <v>2</v>
      </c>
      <c r="V1206" s="30" t="n">
        <v>3.12</v>
      </c>
      <c r="W1206" s="30" t="n">
        <v>0.88</v>
      </c>
      <c r="X1206" s="30" t="n">
        <v>18.85</v>
      </c>
      <c r="Y1206" s="30" t="n">
        <v>564</v>
      </c>
      <c r="Z1206" s="30" t="n">
        <v>143</v>
      </c>
      <c r="AA1206" s="30" t="n">
        <v>0.42</v>
      </c>
      <c r="AB1206" s="30" t="n">
        <v>12</v>
      </c>
      <c r="AC1206" s="30" t="n">
        <v>2</v>
      </c>
      <c r="AD1206" s="30" t="n">
        <v>2</v>
      </c>
      <c r="AE1206" s="30" t="n">
        <v>1</v>
      </c>
      <c r="AF1206" s="30" t="n">
        <v>1</v>
      </c>
      <c r="AG1206" s="30" t="n">
        <v>2</v>
      </c>
      <c r="AH1206" s="30" t="n">
        <v>2</v>
      </c>
      <c r="AI1206" s="30" t="n">
        <v>1</v>
      </c>
      <c r="AJ1206" s="30" t="n">
        <v>2</v>
      </c>
      <c r="AK1206" s="30" t="n">
        <v>2</v>
      </c>
      <c r="AL1206" s="30" t="n">
        <v>2</v>
      </c>
      <c r="AM1206" s="30" t="n">
        <v>1</v>
      </c>
      <c r="AN1206" s="30" t="n">
        <v>1</v>
      </c>
      <c r="AO1206" s="30" t="n">
        <v>2</v>
      </c>
      <c r="AP1206" s="30" t="n">
        <v>3</v>
      </c>
      <c r="AQ1206" s="30" t="n">
        <v>4</v>
      </c>
      <c r="AR1206" s="30" t="n">
        <v>4</v>
      </c>
      <c r="AS1206" s="30" t="n">
        <v>6</v>
      </c>
      <c r="AT1206" s="30" t="n">
        <v>4</v>
      </c>
      <c r="AU1206" s="30" t="n">
        <v>4</v>
      </c>
      <c r="AV1206" s="30" t="n">
        <v>6</v>
      </c>
      <c r="AW1206" s="30" t="n">
        <v>6</v>
      </c>
      <c r="AX1206" s="30" t="n">
        <v>3</v>
      </c>
      <c r="AY1206" s="30" t="n">
        <v>3</v>
      </c>
      <c r="AZ1206" s="30" t="n">
        <v>7</v>
      </c>
      <c r="BA1206" s="5" t="n">
        <v>1</v>
      </c>
      <c r="BB1206" s="30" t="n">
        <v>1</v>
      </c>
      <c r="BC1206" s="30" t="n">
        <v>1</v>
      </c>
      <c r="BD1206" s="30" t="n">
        <v>2</v>
      </c>
      <c r="BE1206" s="30" t="n">
        <v>3</v>
      </c>
      <c r="BF1206" s="30" t="n">
        <v>5</v>
      </c>
      <c r="BG1206" s="30" t="n">
        <v>3</v>
      </c>
      <c r="BH1206" s="30" t="n">
        <v>4</v>
      </c>
      <c r="BI1206" s="30" t="n">
        <v>1</v>
      </c>
      <c r="BJ1206" s="30" t="n">
        <v>1</v>
      </c>
      <c r="BK1206" s="31" t="s">
        <v>3043</v>
      </c>
    </row>
    <row r="1207" customFormat="false" ht="15" hidden="false" customHeight="true" outlineLevel="0" collapsed="false">
      <c r="B1207" s="2" t="s">
        <v>497</v>
      </c>
      <c r="C1207" s="2" t="s">
        <v>3044</v>
      </c>
      <c r="D1207" s="2" t="s">
        <v>66</v>
      </c>
      <c r="E1207" s="2" t="n">
        <v>211444</v>
      </c>
      <c r="F1207" s="15" t="n">
        <v>44287</v>
      </c>
      <c r="G1207" s="15" t="n">
        <v>44293</v>
      </c>
      <c r="H1207" s="3" t="n">
        <v>6</v>
      </c>
      <c r="I1207" s="3" t="n">
        <v>2</v>
      </c>
      <c r="J1207" s="3" t="n">
        <v>44</v>
      </c>
      <c r="K1207" s="3" t="n">
        <v>1</v>
      </c>
      <c r="L1207" s="3" t="n">
        <v>1</v>
      </c>
      <c r="M1207" s="3" t="n">
        <v>1</v>
      </c>
      <c r="N1207" s="3" t="n">
        <v>2</v>
      </c>
      <c r="O1207" s="3" t="n">
        <v>2</v>
      </c>
      <c r="P1207" s="3" t="n">
        <v>2</v>
      </c>
      <c r="Q1207" s="3" t="n">
        <v>2</v>
      </c>
      <c r="R1207" s="3" t="n">
        <v>2</v>
      </c>
      <c r="S1207" s="3" t="n">
        <v>2</v>
      </c>
      <c r="T1207" s="4" t="n">
        <v>2</v>
      </c>
      <c r="U1207" s="3" t="n">
        <v>2</v>
      </c>
      <c r="V1207" s="3" t="n">
        <v>5.08</v>
      </c>
      <c r="W1207" s="3" t="n">
        <v>1.4</v>
      </c>
      <c r="X1207" s="3" t="n">
        <v>5.68</v>
      </c>
      <c r="Y1207" s="3" t="n">
        <v>384</v>
      </c>
      <c r="Z1207" s="3" t="n">
        <v>97</v>
      </c>
      <c r="AA1207" s="3" t="n">
        <v>0.48</v>
      </c>
      <c r="AB1207" s="3" t="n">
        <v>9.6</v>
      </c>
      <c r="AC1207" s="3" t="n">
        <v>1</v>
      </c>
      <c r="AD1207" s="3" t="n">
        <v>2</v>
      </c>
      <c r="AE1207" s="3" t="n">
        <v>2</v>
      </c>
      <c r="AF1207" s="3" t="n">
        <v>1</v>
      </c>
      <c r="AG1207" s="3" t="n">
        <v>2</v>
      </c>
      <c r="AH1207" s="3" t="n">
        <v>2</v>
      </c>
      <c r="AI1207" s="3" t="n">
        <v>1</v>
      </c>
      <c r="AJ1207" s="3" t="n">
        <v>1</v>
      </c>
      <c r="AK1207" s="3" t="n">
        <v>2</v>
      </c>
      <c r="AL1207" s="3" t="n">
        <v>2</v>
      </c>
      <c r="AM1207" s="3" t="n">
        <v>2</v>
      </c>
      <c r="AN1207" s="3" t="n">
        <v>2</v>
      </c>
      <c r="AO1207" s="3" t="n">
        <v>2</v>
      </c>
      <c r="AP1207" s="3" t="n">
        <v>3</v>
      </c>
      <c r="AQ1207" s="3" t="n">
        <v>4</v>
      </c>
      <c r="AR1207" s="3" t="n">
        <v>4</v>
      </c>
      <c r="AS1207" s="3" t="n">
        <v>6</v>
      </c>
      <c r="AT1207" s="3" t="n">
        <v>4</v>
      </c>
      <c r="AU1207" s="3" t="n">
        <v>4</v>
      </c>
      <c r="AV1207" s="3" t="n">
        <v>6</v>
      </c>
      <c r="AW1207" s="3" t="n">
        <v>6</v>
      </c>
      <c r="AX1207" s="3" t="n">
        <v>3</v>
      </c>
      <c r="AY1207" s="3" t="n">
        <v>3</v>
      </c>
      <c r="AZ1207" s="3" t="n">
        <v>1</v>
      </c>
      <c r="BA1207" s="5" t="n">
        <v>1</v>
      </c>
      <c r="BB1207" s="3" t="n">
        <v>1</v>
      </c>
      <c r="BC1207" s="3" t="n">
        <v>1</v>
      </c>
      <c r="BD1207" s="3" t="n">
        <v>4</v>
      </c>
      <c r="BE1207" s="3" t="n">
        <v>1</v>
      </c>
      <c r="BF1207" s="3" t="n">
        <v>2</v>
      </c>
      <c r="BG1207" s="3" t="n">
        <v>1</v>
      </c>
      <c r="BH1207" s="3" t="n">
        <v>4</v>
      </c>
      <c r="BI1207" s="3" t="n">
        <v>1</v>
      </c>
      <c r="BJ1207" s="3" t="n">
        <v>1</v>
      </c>
      <c r="BK1207" s="6" t="s">
        <v>3045</v>
      </c>
    </row>
    <row r="1208" customFormat="false" ht="15" hidden="false" customHeight="true" outlineLevel="0" collapsed="false">
      <c r="B1208" s="2" t="s">
        <v>3046</v>
      </c>
      <c r="C1208" s="2" t="s">
        <v>2236</v>
      </c>
      <c r="D1208" s="2" t="s">
        <v>78</v>
      </c>
      <c r="E1208" s="2" t="n">
        <v>211786</v>
      </c>
      <c r="F1208" s="15" t="n">
        <v>44288</v>
      </c>
      <c r="G1208" s="15" t="n">
        <v>44294</v>
      </c>
      <c r="H1208" s="3" t="n">
        <v>6</v>
      </c>
      <c r="I1208" s="3" t="n">
        <v>1</v>
      </c>
      <c r="J1208" s="3" t="n">
        <v>101</v>
      </c>
      <c r="K1208" s="3" t="n">
        <v>1</v>
      </c>
      <c r="L1208" s="3" t="n">
        <v>2</v>
      </c>
      <c r="M1208" s="3" t="n">
        <v>1</v>
      </c>
      <c r="N1208" s="3" t="n">
        <v>2</v>
      </c>
      <c r="O1208" s="3" t="n">
        <v>2</v>
      </c>
      <c r="P1208" s="3" t="n">
        <v>2</v>
      </c>
      <c r="Q1208" s="3" t="n">
        <v>2</v>
      </c>
      <c r="R1208" s="3" t="n">
        <v>2</v>
      </c>
      <c r="S1208" s="3" t="n">
        <v>2</v>
      </c>
      <c r="T1208" s="4" t="n">
        <v>2</v>
      </c>
      <c r="U1208" s="3" t="n">
        <v>2</v>
      </c>
      <c r="V1208" s="3" t="n">
        <v>4.83</v>
      </c>
      <c r="W1208" s="3" t="n">
        <v>1.06</v>
      </c>
      <c r="X1208" s="3" t="n">
        <v>6.17</v>
      </c>
      <c r="Y1208" s="3" t="n">
        <v>339</v>
      </c>
      <c r="Z1208" s="3" t="n">
        <v>94</v>
      </c>
      <c r="AA1208" s="3" t="n">
        <v>0.38</v>
      </c>
      <c r="AB1208" s="3" t="n">
        <v>7.2</v>
      </c>
      <c r="AC1208" s="3" t="n">
        <v>1</v>
      </c>
      <c r="AD1208" s="3" t="n">
        <v>2</v>
      </c>
      <c r="AE1208" s="3" t="n">
        <v>2</v>
      </c>
      <c r="AF1208" s="3" t="n">
        <v>1</v>
      </c>
      <c r="AG1208" s="3" t="n">
        <v>2</v>
      </c>
      <c r="AH1208" s="3" t="n">
        <v>2</v>
      </c>
      <c r="AI1208" s="3" t="n">
        <v>1</v>
      </c>
      <c r="AJ1208" s="3" t="n">
        <v>2</v>
      </c>
      <c r="AK1208" s="3" t="n">
        <v>2</v>
      </c>
      <c r="AL1208" s="3" t="n">
        <v>2</v>
      </c>
      <c r="AM1208" s="3" t="n">
        <v>1</v>
      </c>
      <c r="AN1208" s="3" t="n">
        <v>2</v>
      </c>
      <c r="AO1208" s="3" t="n">
        <v>1</v>
      </c>
      <c r="AP1208" s="3" t="n">
        <v>3</v>
      </c>
      <c r="AQ1208" s="3" t="n">
        <v>4</v>
      </c>
      <c r="AR1208" s="3" t="n">
        <v>4</v>
      </c>
      <c r="AS1208" s="3" t="n">
        <v>6</v>
      </c>
      <c r="AT1208" s="3" t="n">
        <v>4</v>
      </c>
      <c r="AU1208" s="3" t="n">
        <v>4</v>
      </c>
      <c r="AV1208" s="3" t="n">
        <v>6</v>
      </c>
      <c r="AW1208" s="3" t="n">
        <v>6</v>
      </c>
      <c r="AX1208" s="3" t="n">
        <v>3</v>
      </c>
      <c r="AY1208" s="3" t="n">
        <v>3</v>
      </c>
      <c r="AZ1208" s="3" t="n">
        <v>1</v>
      </c>
      <c r="BA1208" s="5" t="n">
        <v>1</v>
      </c>
      <c r="BB1208" s="3" t="n">
        <v>1</v>
      </c>
      <c r="BC1208" s="3" t="n">
        <v>1</v>
      </c>
      <c r="BD1208" s="3" t="n">
        <v>2</v>
      </c>
      <c r="BE1208" s="3" t="n">
        <v>1</v>
      </c>
      <c r="BF1208" s="3" t="n">
        <v>2</v>
      </c>
      <c r="BG1208" s="3" t="n">
        <v>1</v>
      </c>
      <c r="BH1208" s="3" t="n">
        <v>4</v>
      </c>
      <c r="BI1208" s="3" t="n">
        <v>1</v>
      </c>
      <c r="BJ1208" s="3" t="n">
        <v>1</v>
      </c>
      <c r="BK1208" s="6" t="s">
        <v>3047</v>
      </c>
    </row>
    <row r="1209" customFormat="false" ht="15" hidden="false" customHeight="true" outlineLevel="0" collapsed="false">
      <c r="B1209" s="2" t="s">
        <v>3048</v>
      </c>
      <c r="C1209" s="2" t="s">
        <v>3049</v>
      </c>
      <c r="D1209" s="2" t="s">
        <v>3050</v>
      </c>
      <c r="E1209" s="2" t="n">
        <v>211724</v>
      </c>
      <c r="F1209" s="15" t="n">
        <v>44291</v>
      </c>
      <c r="G1209" s="15" t="n">
        <v>44295</v>
      </c>
      <c r="H1209" s="3" t="n">
        <v>4</v>
      </c>
      <c r="I1209" s="3" t="n">
        <v>1</v>
      </c>
      <c r="J1209" s="3" t="n">
        <v>79</v>
      </c>
      <c r="K1209" s="3" t="n">
        <v>1</v>
      </c>
      <c r="L1209" s="3" t="n">
        <v>2</v>
      </c>
      <c r="M1209" s="3" t="n">
        <v>1</v>
      </c>
      <c r="N1209" s="3" t="n">
        <v>2</v>
      </c>
      <c r="O1209" s="3" t="n">
        <v>2</v>
      </c>
      <c r="P1209" s="3" t="n">
        <v>2</v>
      </c>
      <c r="Q1209" s="3" t="n">
        <v>2</v>
      </c>
      <c r="R1209" s="3" t="n">
        <v>2</v>
      </c>
      <c r="S1209" s="3" t="n">
        <v>2</v>
      </c>
      <c r="T1209" s="4" t="n">
        <v>2</v>
      </c>
      <c r="U1209" s="3" t="n">
        <v>2</v>
      </c>
      <c r="V1209" s="3" t="n">
        <v>6.06</v>
      </c>
      <c r="W1209" s="3" t="n">
        <v>1.19</v>
      </c>
      <c r="X1209" s="3" t="n">
        <v>4.93</v>
      </c>
      <c r="Y1209" s="3" t="n">
        <v>197</v>
      </c>
      <c r="Z1209" s="3" t="n">
        <v>50</v>
      </c>
      <c r="AA1209" s="3" t="n">
        <v>0.4</v>
      </c>
      <c r="AB1209" s="3" t="n">
        <v>10</v>
      </c>
      <c r="AC1209" s="3" t="n">
        <v>3</v>
      </c>
      <c r="AD1209" s="3" t="n">
        <v>2</v>
      </c>
      <c r="AE1209" s="3" t="n">
        <v>2</v>
      </c>
      <c r="AF1209" s="3" t="n">
        <v>1</v>
      </c>
      <c r="AG1209" s="3" t="n">
        <v>2</v>
      </c>
      <c r="AH1209" s="3" t="n">
        <v>2</v>
      </c>
      <c r="AI1209" s="3" t="n">
        <v>1</v>
      </c>
      <c r="AJ1209" s="3" t="n">
        <v>1</v>
      </c>
      <c r="AK1209" s="3" t="n">
        <v>2</v>
      </c>
      <c r="AL1209" s="3" t="n">
        <v>2</v>
      </c>
      <c r="AM1209" s="3" t="n">
        <v>2</v>
      </c>
      <c r="AN1209" s="3" t="n">
        <v>1</v>
      </c>
      <c r="AO1209" s="3" t="n">
        <v>2</v>
      </c>
      <c r="AP1209" s="3" t="n">
        <v>3</v>
      </c>
      <c r="AQ1209" s="3" t="n">
        <v>4</v>
      </c>
      <c r="AR1209" s="3" t="n">
        <v>4</v>
      </c>
      <c r="AS1209" s="3" t="n">
        <v>6</v>
      </c>
      <c r="AT1209" s="3" t="n">
        <v>4</v>
      </c>
      <c r="AU1209" s="3" t="n">
        <v>4</v>
      </c>
      <c r="AV1209" s="3" t="n">
        <v>6</v>
      </c>
      <c r="AW1209" s="3" t="n">
        <v>6</v>
      </c>
      <c r="AX1209" s="3" t="n">
        <v>3</v>
      </c>
      <c r="AY1209" s="3" t="n">
        <v>3</v>
      </c>
      <c r="AZ1209" s="3" t="n">
        <v>6</v>
      </c>
      <c r="BA1209" s="5" t="n">
        <v>1</v>
      </c>
      <c r="BB1209" s="3" t="n">
        <v>1</v>
      </c>
      <c r="BC1209" s="3" t="n">
        <v>1</v>
      </c>
      <c r="BD1209" s="3" t="n">
        <v>4</v>
      </c>
      <c r="BE1209" s="3" t="n">
        <v>1</v>
      </c>
      <c r="BF1209" s="3" t="n">
        <v>2</v>
      </c>
      <c r="BG1209" s="3" t="n">
        <v>1</v>
      </c>
      <c r="BH1209" s="3" t="n">
        <v>4</v>
      </c>
      <c r="BI1209" s="3" t="n">
        <v>1</v>
      </c>
      <c r="BJ1209" s="3" t="n">
        <v>1</v>
      </c>
      <c r="BK1209" s="6" t="s">
        <v>3051</v>
      </c>
    </row>
    <row r="1210" customFormat="false" ht="15" hidden="false" customHeight="true" outlineLevel="0" collapsed="false">
      <c r="B1210" s="2" t="s">
        <v>3052</v>
      </c>
      <c r="C1210" s="2" t="s">
        <v>3053</v>
      </c>
      <c r="D1210" s="2" t="s">
        <v>419</v>
      </c>
      <c r="E1210" s="2" t="n">
        <v>211446</v>
      </c>
      <c r="F1210" s="15" t="n">
        <v>44287</v>
      </c>
      <c r="G1210" s="15" t="n">
        <v>44295</v>
      </c>
      <c r="H1210" s="3" t="n">
        <v>8</v>
      </c>
      <c r="I1210" s="3" t="n">
        <v>1</v>
      </c>
      <c r="J1210" s="3" t="n">
        <v>81</v>
      </c>
      <c r="K1210" s="3" t="n">
        <v>2</v>
      </c>
      <c r="L1210" s="3" t="n">
        <v>2</v>
      </c>
      <c r="M1210" s="3" t="n">
        <v>1</v>
      </c>
      <c r="N1210" s="3" t="n">
        <v>2</v>
      </c>
      <c r="O1210" s="3" t="n">
        <v>2</v>
      </c>
      <c r="P1210" s="3" t="n">
        <v>1</v>
      </c>
      <c r="Q1210" s="3" t="n">
        <v>1</v>
      </c>
      <c r="R1210" s="3" t="n">
        <v>2</v>
      </c>
      <c r="S1210" s="3" t="n">
        <v>1</v>
      </c>
      <c r="T1210" s="4" t="n">
        <v>3</v>
      </c>
      <c r="U1210" s="3" t="n">
        <v>1</v>
      </c>
      <c r="V1210" s="3" t="n">
        <v>3.61</v>
      </c>
      <c r="W1210" s="3" t="n">
        <v>0.76</v>
      </c>
      <c r="X1210" s="3" t="n">
        <v>5.56</v>
      </c>
      <c r="Y1210" s="3" t="n">
        <v>460</v>
      </c>
      <c r="Z1210" s="3" t="n">
        <v>120</v>
      </c>
      <c r="AA1210" s="3" t="n">
        <v>0.41</v>
      </c>
      <c r="AB1210" s="3" t="n">
        <v>7.4</v>
      </c>
      <c r="AC1210" s="3" t="n">
        <v>2</v>
      </c>
      <c r="AD1210" s="3" t="n">
        <v>1</v>
      </c>
      <c r="AE1210" s="3" t="n">
        <v>1</v>
      </c>
      <c r="AF1210" s="3" t="n">
        <v>1</v>
      </c>
      <c r="AG1210" s="3" t="n">
        <v>2</v>
      </c>
      <c r="AH1210" s="3" t="n">
        <v>1</v>
      </c>
      <c r="AI1210" s="3" t="n">
        <v>1</v>
      </c>
      <c r="AJ1210" s="3" t="n">
        <v>1</v>
      </c>
      <c r="AK1210" s="3" t="n">
        <v>2</v>
      </c>
      <c r="AL1210" s="3" t="n">
        <v>2</v>
      </c>
      <c r="AM1210" s="3" t="n">
        <v>1</v>
      </c>
      <c r="AN1210" s="3" t="n">
        <v>2</v>
      </c>
      <c r="AO1210" s="3" t="n">
        <v>2</v>
      </c>
      <c r="AP1210" s="3" t="n">
        <v>3</v>
      </c>
      <c r="AQ1210" s="3" t="n">
        <v>4</v>
      </c>
      <c r="AR1210" s="3" t="n">
        <v>4</v>
      </c>
      <c r="AS1210" s="3" t="n">
        <v>6</v>
      </c>
      <c r="AT1210" s="3" t="n">
        <v>4</v>
      </c>
      <c r="AU1210" s="3" t="n">
        <v>4</v>
      </c>
      <c r="AV1210" s="3" t="n">
        <v>6</v>
      </c>
      <c r="AW1210" s="3" t="n">
        <v>6</v>
      </c>
      <c r="AX1210" s="3" t="n">
        <v>3</v>
      </c>
      <c r="AY1210" s="3" t="n">
        <v>3</v>
      </c>
      <c r="AZ1210" s="3" t="n">
        <v>1</v>
      </c>
      <c r="BA1210" s="5" t="n">
        <v>11</v>
      </c>
      <c r="BB1210" s="3" t="n">
        <v>2</v>
      </c>
      <c r="BC1210" s="3" t="n">
        <v>1</v>
      </c>
      <c r="BD1210" s="3" t="n">
        <v>6</v>
      </c>
      <c r="BE1210" s="3" t="n">
        <v>3</v>
      </c>
      <c r="BF1210" s="3" t="n">
        <v>5</v>
      </c>
      <c r="BG1210" s="3" t="n">
        <v>3</v>
      </c>
      <c r="BH1210" s="3" t="n">
        <v>4</v>
      </c>
      <c r="BI1210" s="3" t="n">
        <v>1</v>
      </c>
      <c r="BJ1210" s="3" t="n">
        <v>1</v>
      </c>
      <c r="BK1210" s="6" t="s">
        <v>3054</v>
      </c>
    </row>
    <row r="1211" customFormat="false" ht="15" hidden="false" customHeight="true" outlineLevel="0" collapsed="false">
      <c r="B1211" s="2" t="s">
        <v>1443</v>
      </c>
      <c r="C1211" s="2" t="s">
        <v>3055</v>
      </c>
      <c r="D1211" s="2" t="s">
        <v>3056</v>
      </c>
      <c r="E1211" s="2" t="n">
        <v>211499</v>
      </c>
      <c r="F1211" s="15" t="n">
        <v>44293</v>
      </c>
      <c r="G1211" s="15" t="n">
        <v>44295</v>
      </c>
      <c r="H1211" s="3" t="n">
        <v>2</v>
      </c>
      <c r="I1211" s="3" t="n">
        <v>1</v>
      </c>
      <c r="J1211" s="3" t="n">
        <v>75</v>
      </c>
      <c r="K1211" s="3" t="n">
        <v>1</v>
      </c>
      <c r="L1211" s="3" t="n">
        <v>2</v>
      </c>
      <c r="M1211" s="3" t="n">
        <v>1</v>
      </c>
      <c r="N1211" s="3" t="n">
        <v>2</v>
      </c>
      <c r="O1211" s="3" t="n">
        <v>2</v>
      </c>
      <c r="P1211" s="3" t="n">
        <v>2</v>
      </c>
      <c r="Q1211" s="3" t="n">
        <v>1</v>
      </c>
      <c r="R1211" s="3" t="n">
        <v>2</v>
      </c>
      <c r="S1211" s="3" t="n">
        <v>2</v>
      </c>
      <c r="T1211" s="4" t="n">
        <v>4</v>
      </c>
      <c r="U1211" s="3" t="n">
        <v>4</v>
      </c>
      <c r="AC1211" s="3" t="n">
        <v>1</v>
      </c>
      <c r="AD1211" s="3" t="n">
        <v>2</v>
      </c>
      <c r="AE1211" s="3" t="n">
        <v>2</v>
      </c>
      <c r="AF1211" s="3" t="n">
        <v>2</v>
      </c>
      <c r="AG1211" s="3" t="n">
        <v>2</v>
      </c>
      <c r="AH1211" s="3" t="n">
        <v>2</v>
      </c>
      <c r="AI1211" s="3" t="n">
        <v>2</v>
      </c>
      <c r="AJ1211" s="3" t="n">
        <v>1</v>
      </c>
      <c r="AK1211" s="3" t="n">
        <v>2</v>
      </c>
      <c r="AL1211" s="3" t="n">
        <v>2</v>
      </c>
      <c r="AM1211" s="3" t="n">
        <v>1</v>
      </c>
      <c r="AN1211" s="3" t="n">
        <v>2</v>
      </c>
      <c r="AO1211" s="3" t="n">
        <v>2</v>
      </c>
      <c r="AP1211" s="3" t="n">
        <v>3</v>
      </c>
      <c r="AQ1211" s="3" t="n">
        <v>4</v>
      </c>
      <c r="AR1211" s="3" t="n">
        <v>4</v>
      </c>
      <c r="AS1211" s="3" t="n">
        <v>6</v>
      </c>
      <c r="AT1211" s="3" t="n">
        <v>4</v>
      </c>
      <c r="AU1211" s="3" t="n">
        <v>4</v>
      </c>
      <c r="AV1211" s="3" t="n">
        <v>6</v>
      </c>
      <c r="AW1211" s="3" t="n">
        <v>6</v>
      </c>
      <c r="AX1211" s="3" t="n">
        <v>3</v>
      </c>
      <c r="AY1211" s="3" t="n">
        <v>3</v>
      </c>
      <c r="AZ1211" s="3" t="n">
        <v>1</v>
      </c>
      <c r="BA1211" s="5" t="n">
        <v>10</v>
      </c>
      <c r="BB1211" s="3" t="n">
        <v>2</v>
      </c>
      <c r="BC1211" s="3" t="n">
        <v>1</v>
      </c>
      <c r="BD1211" s="3" t="n">
        <v>6</v>
      </c>
      <c r="BE1211" s="3" t="n">
        <v>3</v>
      </c>
      <c r="BF1211" s="3" t="n">
        <v>5</v>
      </c>
      <c r="BG1211" s="3" t="n">
        <v>3</v>
      </c>
      <c r="BH1211" s="3" t="n">
        <v>4</v>
      </c>
      <c r="BI1211" s="3" t="n">
        <v>1</v>
      </c>
      <c r="BJ1211" s="3" t="n">
        <v>1</v>
      </c>
      <c r="BK1211" s="6" t="s">
        <v>3057</v>
      </c>
    </row>
    <row r="1212" customFormat="false" ht="15" hidden="false" customHeight="true" outlineLevel="0" collapsed="false">
      <c r="B1212" s="2" t="s">
        <v>152</v>
      </c>
      <c r="C1212" s="2" t="s">
        <v>153</v>
      </c>
      <c r="D1212" s="2" t="s">
        <v>154</v>
      </c>
      <c r="E1212" s="2" t="n">
        <v>211754</v>
      </c>
      <c r="F1212" s="15" t="n">
        <v>44290</v>
      </c>
      <c r="G1212" s="15" t="n">
        <v>44295</v>
      </c>
      <c r="H1212" s="3" t="n">
        <v>5</v>
      </c>
      <c r="I1212" s="3" t="n">
        <v>1</v>
      </c>
      <c r="J1212" s="3" t="n">
        <v>82</v>
      </c>
      <c r="K1212" s="3" t="n">
        <v>1</v>
      </c>
      <c r="L1212" s="3" t="n">
        <v>2</v>
      </c>
      <c r="M1212" s="3" t="n">
        <v>1</v>
      </c>
      <c r="N1212" s="3" t="n">
        <v>2</v>
      </c>
      <c r="O1212" s="3" t="n">
        <v>2</v>
      </c>
      <c r="P1212" s="3" t="n">
        <v>2</v>
      </c>
      <c r="Q1212" s="3" t="n">
        <v>2</v>
      </c>
      <c r="R1212" s="3" t="n">
        <v>2</v>
      </c>
      <c r="S1212" s="3" t="n">
        <v>2</v>
      </c>
      <c r="T1212" s="4" t="n">
        <v>1</v>
      </c>
      <c r="U1212" s="3" t="n">
        <v>1</v>
      </c>
      <c r="V1212" s="3" t="n">
        <v>4.42</v>
      </c>
      <c r="W1212" s="3" t="n">
        <v>0.47</v>
      </c>
      <c r="X1212" s="3" t="n">
        <v>5.72</v>
      </c>
      <c r="Y1212" s="3" t="n">
        <v>288</v>
      </c>
      <c r="Z1212" s="3" t="n">
        <v>67</v>
      </c>
      <c r="AA1212" s="3" t="n">
        <v>0.41</v>
      </c>
      <c r="AB1212" s="3" t="n">
        <v>12.7</v>
      </c>
      <c r="AC1212" s="3" t="n">
        <v>1</v>
      </c>
      <c r="AD1212" s="3" t="n">
        <v>1</v>
      </c>
      <c r="AE1212" s="3" t="n">
        <v>1</v>
      </c>
      <c r="AF1212" s="3" t="n">
        <v>1</v>
      </c>
      <c r="AG1212" s="3" t="n">
        <v>2</v>
      </c>
      <c r="AH1212" s="3" t="n">
        <v>2</v>
      </c>
      <c r="AI1212" s="3" t="n">
        <v>1</v>
      </c>
      <c r="AJ1212" s="3" t="n">
        <v>2</v>
      </c>
      <c r="AK1212" s="3" t="n">
        <v>2</v>
      </c>
      <c r="AL1212" s="3" t="n">
        <v>2</v>
      </c>
      <c r="AM1212" s="3" t="n">
        <v>1</v>
      </c>
      <c r="AN1212" s="3" t="n">
        <v>2</v>
      </c>
      <c r="AO1212" s="3" t="n">
        <v>2</v>
      </c>
      <c r="AP1212" s="3" t="n">
        <v>1</v>
      </c>
      <c r="AQ1212" s="3" t="n">
        <v>1</v>
      </c>
      <c r="AR1212" s="3" t="n">
        <v>4</v>
      </c>
      <c r="AS1212" s="3" t="n">
        <v>6</v>
      </c>
      <c r="AT1212" s="3" t="n">
        <v>4</v>
      </c>
      <c r="AU1212" s="3" t="n">
        <v>4</v>
      </c>
      <c r="AV1212" s="3" t="n">
        <v>1</v>
      </c>
      <c r="AW1212" s="3" t="n">
        <v>6</v>
      </c>
      <c r="AX1212" s="3" t="n">
        <v>3</v>
      </c>
      <c r="AY1212" s="3" t="n">
        <v>3</v>
      </c>
      <c r="AZ1212" s="3" t="n">
        <v>1</v>
      </c>
      <c r="BA1212" s="5" t="n">
        <v>5</v>
      </c>
      <c r="BB1212" s="3" t="n">
        <v>2</v>
      </c>
      <c r="BC1212" s="3" t="n">
        <v>1</v>
      </c>
      <c r="BD1212" s="3" t="n">
        <v>6</v>
      </c>
      <c r="BE1212" s="3" t="n">
        <v>3</v>
      </c>
      <c r="BF1212" s="3" t="n">
        <v>5</v>
      </c>
      <c r="BG1212" s="3" t="n">
        <v>3</v>
      </c>
      <c r="BH1212" s="3" t="n">
        <v>4</v>
      </c>
      <c r="BI1212" s="3" t="n">
        <v>1</v>
      </c>
      <c r="BJ1212" s="3" t="n">
        <v>1</v>
      </c>
      <c r="BK1212" s="6" t="s">
        <v>3058</v>
      </c>
    </row>
    <row r="1213" customFormat="false" ht="15" hidden="false" customHeight="true" outlineLevel="0" collapsed="false">
      <c r="B1213" s="2" t="s">
        <v>3059</v>
      </c>
      <c r="C1213" s="2" t="s">
        <v>3060</v>
      </c>
      <c r="D1213" s="2" t="s">
        <v>172</v>
      </c>
      <c r="E1213" s="2" t="n">
        <v>211280</v>
      </c>
      <c r="F1213" s="15" t="n">
        <v>44281</v>
      </c>
      <c r="G1213" s="15" t="n">
        <v>44295</v>
      </c>
      <c r="H1213" s="3" t="n">
        <v>14</v>
      </c>
      <c r="I1213" s="3" t="n">
        <v>1</v>
      </c>
      <c r="J1213" s="3" t="n">
        <v>59</v>
      </c>
      <c r="K1213" s="3" t="n">
        <v>1</v>
      </c>
      <c r="L1213" s="3" t="n">
        <v>1</v>
      </c>
      <c r="M1213" s="3" t="n">
        <v>1</v>
      </c>
      <c r="N1213" s="3" t="n">
        <v>2</v>
      </c>
      <c r="O1213" s="3" t="n">
        <v>2</v>
      </c>
      <c r="P1213" s="3" t="n">
        <v>2</v>
      </c>
      <c r="Q1213" s="3" t="n">
        <v>2</v>
      </c>
      <c r="R1213" s="3" t="n">
        <v>2</v>
      </c>
      <c r="S1213" s="3" t="n">
        <v>2</v>
      </c>
      <c r="T1213" s="4" t="n">
        <v>2</v>
      </c>
      <c r="U1213" s="3" t="n">
        <v>2</v>
      </c>
      <c r="V1213" s="3" t="n">
        <v>4.34</v>
      </c>
      <c r="W1213" s="3" t="n">
        <v>1.19</v>
      </c>
      <c r="X1213" s="3" t="n">
        <v>5.82</v>
      </c>
      <c r="Y1213" s="3" t="n">
        <v>408</v>
      </c>
      <c r="Z1213" s="3" t="n">
        <v>82</v>
      </c>
      <c r="AA1213" s="3" t="n">
        <v>0.25</v>
      </c>
      <c r="AB1213" s="3" t="n">
        <v>9</v>
      </c>
      <c r="AC1213" s="3" t="n">
        <v>1</v>
      </c>
      <c r="AD1213" s="3" t="n">
        <v>2</v>
      </c>
      <c r="AE1213" s="3" t="n">
        <v>1</v>
      </c>
      <c r="AF1213" s="3" t="n">
        <v>1</v>
      </c>
      <c r="AG1213" s="3" t="n">
        <v>2</v>
      </c>
      <c r="AH1213" s="3" t="n">
        <v>2</v>
      </c>
      <c r="AI1213" s="3" t="n">
        <v>1</v>
      </c>
      <c r="AJ1213" s="3" t="n">
        <v>1</v>
      </c>
      <c r="AK1213" s="3" t="n">
        <v>2</v>
      </c>
      <c r="AL1213" s="3" t="n">
        <v>2</v>
      </c>
      <c r="AM1213" s="3" t="n">
        <v>2</v>
      </c>
      <c r="AN1213" s="3" t="n">
        <v>2</v>
      </c>
      <c r="AO1213" s="3" t="n">
        <v>2</v>
      </c>
      <c r="AP1213" s="3" t="n">
        <v>3</v>
      </c>
      <c r="AQ1213" s="3" t="n">
        <v>4</v>
      </c>
      <c r="AR1213" s="3" t="n">
        <v>4</v>
      </c>
      <c r="AS1213" s="3" t="n">
        <v>6</v>
      </c>
      <c r="AT1213" s="3" t="n">
        <v>4</v>
      </c>
      <c r="AU1213" s="3" t="n">
        <v>4</v>
      </c>
      <c r="AV1213" s="3" t="n">
        <v>6</v>
      </c>
      <c r="AW1213" s="3" t="n">
        <v>6</v>
      </c>
      <c r="AX1213" s="3" t="n">
        <v>3</v>
      </c>
      <c r="AY1213" s="3" t="n">
        <v>3</v>
      </c>
      <c r="AZ1213" s="3" t="n">
        <v>4</v>
      </c>
      <c r="BA1213" s="5" t="n">
        <v>1</v>
      </c>
      <c r="BB1213" s="3" t="n">
        <v>1</v>
      </c>
      <c r="BC1213" s="3" t="n">
        <v>1</v>
      </c>
      <c r="BD1213" s="3" t="n">
        <v>4</v>
      </c>
      <c r="BE1213" s="3" t="n">
        <v>3</v>
      </c>
      <c r="BF1213" s="3" t="n">
        <v>5</v>
      </c>
      <c r="BG1213" s="3" t="n">
        <v>3</v>
      </c>
      <c r="BH1213" s="3" t="n">
        <v>4</v>
      </c>
      <c r="BI1213" s="3" t="n">
        <v>1</v>
      </c>
      <c r="BJ1213" s="3" t="n">
        <v>1</v>
      </c>
      <c r="BK1213" s="6" t="s">
        <v>3061</v>
      </c>
    </row>
    <row r="1214" s="30" customFormat="true" ht="15" hidden="false" customHeight="true" outlineLevel="0" collapsed="false">
      <c r="A1214" s="24"/>
      <c r="B1214" s="26" t="s">
        <v>563</v>
      </c>
      <c r="C1214" s="26" t="s">
        <v>432</v>
      </c>
      <c r="D1214" s="26" t="s">
        <v>3062</v>
      </c>
      <c r="E1214" s="26" t="n">
        <v>211781</v>
      </c>
      <c r="F1214" s="27" t="n">
        <v>44289</v>
      </c>
      <c r="G1214" s="27" t="n">
        <v>44298</v>
      </c>
      <c r="H1214" s="30" t="n">
        <v>9</v>
      </c>
      <c r="I1214" s="30" t="n">
        <v>2</v>
      </c>
      <c r="J1214" s="30" t="n">
        <v>81</v>
      </c>
      <c r="K1214" s="30" t="n">
        <v>1</v>
      </c>
      <c r="L1214" s="30" t="n">
        <v>2</v>
      </c>
      <c r="M1214" s="30" t="n">
        <v>1</v>
      </c>
      <c r="N1214" s="30" t="n">
        <v>2</v>
      </c>
      <c r="O1214" s="30" t="n">
        <v>2</v>
      </c>
      <c r="P1214" s="30" t="n">
        <v>2</v>
      </c>
      <c r="Q1214" s="30" t="n">
        <v>2</v>
      </c>
      <c r="R1214" s="30" t="n">
        <v>2</v>
      </c>
      <c r="S1214" s="30" t="n">
        <v>2</v>
      </c>
      <c r="T1214" s="4" t="n">
        <v>2</v>
      </c>
      <c r="U1214" s="30" t="n">
        <v>2</v>
      </c>
      <c r="V1214" s="30" t="n">
        <v>3.02</v>
      </c>
      <c r="W1214" s="30" t="n">
        <v>0.49</v>
      </c>
      <c r="X1214" s="30" t="n">
        <v>13.71</v>
      </c>
      <c r="Y1214" s="30" t="n">
        <v>253</v>
      </c>
      <c r="Z1214" s="30" t="n">
        <v>149</v>
      </c>
      <c r="AA1214" s="30" t="n">
        <v>0.48</v>
      </c>
      <c r="AB1214" s="30" t="n">
        <v>18.9</v>
      </c>
      <c r="AC1214" s="30" t="n">
        <v>2</v>
      </c>
      <c r="AD1214" s="30" t="n">
        <v>2</v>
      </c>
      <c r="AE1214" s="30" t="n">
        <v>2</v>
      </c>
      <c r="AF1214" s="30" t="n">
        <v>1</v>
      </c>
      <c r="AG1214" s="30" t="n">
        <v>2</v>
      </c>
      <c r="AH1214" s="30" t="n">
        <v>2</v>
      </c>
      <c r="AI1214" s="30" t="n">
        <v>1</v>
      </c>
      <c r="AJ1214" s="30" t="n">
        <v>1</v>
      </c>
      <c r="AK1214" s="30" t="n">
        <v>2</v>
      </c>
      <c r="AL1214" s="30" t="n">
        <v>2</v>
      </c>
      <c r="AM1214" s="30" t="n">
        <v>1</v>
      </c>
      <c r="AN1214" s="30" t="n">
        <v>2</v>
      </c>
      <c r="AO1214" s="30" t="n">
        <v>2</v>
      </c>
      <c r="AP1214" s="30" t="n">
        <v>3</v>
      </c>
      <c r="AQ1214" s="30" t="n">
        <v>4</v>
      </c>
      <c r="AR1214" s="30" t="n">
        <v>4</v>
      </c>
      <c r="AS1214" s="30" t="n">
        <v>6</v>
      </c>
      <c r="AT1214" s="30" t="n">
        <v>4</v>
      </c>
      <c r="AU1214" s="30" t="n">
        <v>4</v>
      </c>
      <c r="AV1214" s="30" t="n">
        <v>6</v>
      </c>
      <c r="AW1214" s="30" t="n">
        <v>6</v>
      </c>
      <c r="AX1214" s="30" t="n">
        <v>3</v>
      </c>
      <c r="AY1214" s="30" t="n">
        <v>3</v>
      </c>
      <c r="AZ1214" s="30" t="n">
        <v>1</v>
      </c>
      <c r="BA1214" s="5" t="n">
        <v>1</v>
      </c>
      <c r="BB1214" s="30" t="n">
        <v>1</v>
      </c>
      <c r="BC1214" s="30" t="n">
        <v>1</v>
      </c>
      <c r="BD1214" s="30" t="n">
        <v>2</v>
      </c>
      <c r="BE1214" s="30" t="n">
        <v>1</v>
      </c>
      <c r="BF1214" s="30" t="n">
        <v>2</v>
      </c>
      <c r="BG1214" s="30" t="n">
        <v>1</v>
      </c>
      <c r="BH1214" s="30" t="n">
        <v>4</v>
      </c>
      <c r="BI1214" s="30" t="n">
        <v>1</v>
      </c>
      <c r="BJ1214" s="30" t="n">
        <v>1</v>
      </c>
      <c r="BK1214" s="31" t="s">
        <v>3063</v>
      </c>
    </row>
    <row r="1215" customFormat="false" ht="15" hidden="false" customHeight="true" outlineLevel="0" collapsed="false">
      <c r="B1215" s="2" t="s">
        <v>217</v>
      </c>
      <c r="C1215" s="2" t="s">
        <v>3064</v>
      </c>
      <c r="D1215" s="2" t="s">
        <v>197</v>
      </c>
      <c r="E1215" s="2" t="n">
        <v>211723</v>
      </c>
      <c r="F1215" s="15" t="n">
        <v>44291</v>
      </c>
      <c r="G1215" s="15" t="n">
        <v>44298</v>
      </c>
      <c r="H1215" s="3" t="n">
        <v>7</v>
      </c>
      <c r="I1215" s="3" t="n">
        <v>2</v>
      </c>
      <c r="J1215" s="3" t="n">
        <v>61</v>
      </c>
      <c r="K1215" s="3" t="n">
        <v>1</v>
      </c>
      <c r="L1215" s="3" t="n">
        <v>1</v>
      </c>
      <c r="M1215" s="3" t="n">
        <v>2</v>
      </c>
      <c r="N1215" s="3" t="n">
        <v>2</v>
      </c>
      <c r="O1215" s="3" t="n">
        <v>2</v>
      </c>
      <c r="P1215" s="3" t="n">
        <v>2</v>
      </c>
      <c r="Q1215" s="3" t="n">
        <v>2</v>
      </c>
      <c r="R1215" s="3" t="n">
        <v>2</v>
      </c>
      <c r="S1215" s="3" t="n">
        <v>2</v>
      </c>
      <c r="T1215" s="4" t="n">
        <v>2</v>
      </c>
      <c r="U1215" s="3" t="n">
        <v>2</v>
      </c>
      <c r="V1215" s="3" t="n">
        <v>5.48</v>
      </c>
      <c r="W1215" s="3" t="n">
        <v>2.44</v>
      </c>
      <c r="X1215" s="3" t="n">
        <v>7.81</v>
      </c>
      <c r="Y1215" s="3" t="n">
        <v>314</v>
      </c>
      <c r="Z1215" s="3" t="n">
        <v>89</v>
      </c>
      <c r="AA1215" s="3" t="n">
        <v>0.46</v>
      </c>
      <c r="AB1215" s="3" t="n">
        <v>17</v>
      </c>
      <c r="AC1215" s="3" t="n">
        <v>1</v>
      </c>
      <c r="AD1215" s="3" t="n">
        <v>2</v>
      </c>
      <c r="AE1215" s="3" t="n">
        <v>1</v>
      </c>
      <c r="AF1215" s="3" t="n">
        <v>1</v>
      </c>
      <c r="AG1215" s="3" t="n">
        <v>2</v>
      </c>
      <c r="AH1215" s="3" t="n">
        <v>2</v>
      </c>
      <c r="AI1215" s="3" t="n">
        <v>1</v>
      </c>
      <c r="AJ1215" s="3" t="n">
        <v>2</v>
      </c>
      <c r="AK1215" s="3" t="n">
        <v>2</v>
      </c>
      <c r="AL1215" s="3" t="n">
        <v>2</v>
      </c>
      <c r="AM1215" s="3" t="n">
        <v>2</v>
      </c>
      <c r="AN1215" s="3" t="n">
        <v>2</v>
      </c>
      <c r="AO1215" s="3" t="n">
        <v>2</v>
      </c>
      <c r="AP1215" s="3" t="n">
        <v>3</v>
      </c>
      <c r="AQ1215" s="3" t="n">
        <v>4</v>
      </c>
      <c r="AR1215" s="3" t="n">
        <v>4</v>
      </c>
      <c r="AS1215" s="3" t="n">
        <v>6</v>
      </c>
      <c r="AT1215" s="3" t="n">
        <v>4</v>
      </c>
      <c r="AU1215" s="3" t="n">
        <v>4</v>
      </c>
      <c r="AV1215" s="3" t="n">
        <v>6</v>
      </c>
      <c r="AW1215" s="3" t="n">
        <v>6</v>
      </c>
      <c r="AX1215" s="3" t="n">
        <v>3</v>
      </c>
      <c r="AY1215" s="3" t="n">
        <v>3</v>
      </c>
      <c r="AZ1215" s="3" t="n">
        <v>1</v>
      </c>
      <c r="BA1215" s="5" t="n">
        <v>1</v>
      </c>
      <c r="BB1215" s="3" t="n">
        <v>1</v>
      </c>
      <c r="BC1215" s="3" t="n">
        <v>1</v>
      </c>
      <c r="BD1215" s="3" t="n">
        <v>4</v>
      </c>
      <c r="BE1215" s="3" t="n">
        <v>1</v>
      </c>
      <c r="BF1215" s="3" t="n">
        <v>2</v>
      </c>
      <c r="BG1215" s="3" t="n">
        <v>1</v>
      </c>
      <c r="BH1215" s="3" t="n">
        <v>4</v>
      </c>
      <c r="BI1215" s="3" t="n">
        <v>1</v>
      </c>
      <c r="BJ1215" s="3" t="n">
        <v>1</v>
      </c>
      <c r="BK1215" s="6" t="s">
        <v>1182</v>
      </c>
    </row>
    <row r="1216" customFormat="false" ht="15" hidden="false" customHeight="true" outlineLevel="0" collapsed="false">
      <c r="B1216" s="2" t="s">
        <v>3065</v>
      </c>
      <c r="C1216" s="2" t="s">
        <v>2335</v>
      </c>
      <c r="D1216" s="2" t="s">
        <v>78</v>
      </c>
      <c r="E1216" s="2" t="n">
        <v>211531</v>
      </c>
      <c r="F1216" s="15" t="n">
        <v>44294</v>
      </c>
      <c r="G1216" s="15" t="n">
        <v>44299</v>
      </c>
      <c r="H1216" s="3" t="n">
        <v>5</v>
      </c>
      <c r="I1216" s="3" t="n">
        <v>1</v>
      </c>
      <c r="J1216" s="3" t="n">
        <v>75</v>
      </c>
      <c r="K1216" s="3" t="n">
        <v>1</v>
      </c>
      <c r="L1216" s="3" t="n">
        <v>2</v>
      </c>
      <c r="M1216" s="3" t="n">
        <v>1</v>
      </c>
      <c r="N1216" s="3" t="n">
        <v>1</v>
      </c>
      <c r="O1216" s="3" t="n">
        <v>2</v>
      </c>
      <c r="P1216" s="3" t="n">
        <v>2</v>
      </c>
      <c r="Q1216" s="3" t="n">
        <v>2</v>
      </c>
      <c r="R1216" s="3" t="n">
        <v>2</v>
      </c>
      <c r="S1216" s="3" t="n">
        <v>2</v>
      </c>
      <c r="T1216" s="4" t="n">
        <v>1</v>
      </c>
      <c r="U1216" s="3" t="n">
        <v>4</v>
      </c>
      <c r="V1216" s="3" t="n">
        <v>4.17</v>
      </c>
      <c r="W1216" s="3" t="n">
        <v>0.97</v>
      </c>
      <c r="X1216" s="3" t="n">
        <v>4.26</v>
      </c>
      <c r="Y1216" s="3" t="n">
        <v>340</v>
      </c>
      <c r="Z1216" s="3" t="n">
        <v>151</v>
      </c>
      <c r="AA1216" s="3" t="n">
        <v>0.33</v>
      </c>
      <c r="AB1216" s="3" t="n">
        <v>7</v>
      </c>
      <c r="AC1216" s="3" t="n">
        <v>1</v>
      </c>
      <c r="AD1216" s="3" t="n">
        <v>2</v>
      </c>
      <c r="AE1216" s="3" t="n">
        <v>1</v>
      </c>
      <c r="AF1216" s="3" t="n">
        <v>1</v>
      </c>
      <c r="AG1216" s="3" t="n">
        <v>2</v>
      </c>
      <c r="AH1216" s="3" t="n">
        <v>1</v>
      </c>
      <c r="AI1216" s="3" t="n">
        <v>1</v>
      </c>
      <c r="AJ1216" s="3" t="n">
        <v>2</v>
      </c>
      <c r="AK1216" s="3" t="n">
        <v>2</v>
      </c>
      <c r="AL1216" s="3" t="n">
        <v>1</v>
      </c>
      <c r="AM1216" s="3" t="n">
        <v>1</v>
      </c>
      <c r="AN1216" s="3" t="n">
        <v>2</v>
      </c>
      <c r="AO1216" s="3" t="n">
        <v>2</v>
      </c>
      <c r="AP1216" s="3" t="n">
        <v>3</v>
      </c>
      <c r="AQ1216" s="3" t="n">
        <v>4</v>
      </c>
      <c r="AR1216" s="3" t="n">
        <v>4</v>
      </c>
      <c r="AS1216" s="3" t="n">
        <v>6</v>
      </c>
      <c r="AT1216" s="3" t="n">
        <v>4</v>
      </c>
      <c r="AU1216" s="3" t="n">
        <v>4</v>
      </c>
      <c r="AV1216" s="3" t="n">
        <v>6</v>
      </c>
      <c r="AW1216" s="3" t="n">
        <v>6</v>
      </c>
      <c r="AX1216" s="3" t="n">
        <v>3</v>
      </c>
      <c r="AY1216" s="3" t="n">
        <v>3</v>
      </c>
      <c r="AZ1216" s="3" t="n">
        <v>1</v>
      </c>
      <c r="BA1216" s="5" t="n">
        <v>5</v>
      </c>
      <c r="BB1216" s="3" t="n">
        <v>2</v>
      </c>
      <c r="BC1216" s="3" t="n">
        <v>1</v>
      </c>
      <c r="BD1216" s="3" t="n">
        <v>6</v>
      </c>
      <c r="BE1216" s="3" t="n">
        <v>3</v>
      </c>
      <c r="BF1216" s="3" t="n">
        <v>5</v>
      </c>
      <c r="BG1216" s="3" t="n">
        <v>3</v>
      </c>
      <c r="BH1216" s="3" t="n">
        <v>4</v>
      </c>
      <c r="BI1216" s="3" t="n">
        <v>1</v>
      </c>
      <c r="BJ1216" s="3" t="n">
        <v>1</v>
      </c>
      <c r="BK1216" s="6" t="s">
        <v>3066</v>
      </c>
    </row>
    <row r="1217" customFormat="false" ht="15" hidden="false" customHeight="true" outlineLevel="0" collapsed="false">
      <c r="B1217" s="2" t="s">
        <v>3067</v>
      </c>
      <c r="C1217" s="2" t="s">
        <v>168</v>
      </c>
      <c r="D1217" s="2" t="s">
        <v>1482</v>
      </c>
      <c r="E1217" s="2" t="n">
        <v>211502</v>
      </c>
      <c r="F1217" s="15" t="n">
        <v>44295</v>
      </c>
      <c r="G1217" s="15" t="n">
        <v>44300</v>
      </c>
      <c r="H1217" s="3" t="n">
        <v>5</v>
      </c>
      <c r="I1217" s="3" t="n">
        <v>2</v>
      </c>
      <c r="J1217" s="3" t="n">
        <v>78</v>
      </c>
      <c r="K1217" s="3" t="n">
        <v>1</v>
      </c>
      <c r="L1217" s="3" t="n">
        <v>2</v>
      </c>
      <c r="M1217" s="3" t="n">
        <v>1</v>
      </c>
      <c r="N1217" s="3" t="n">
        <v>2</v>
      </c>
      <c r="O1217" s="3" t="n">
        <v>2</v>
      </c>
      <c r="P1217" s="3" t="n">
        <v>2</v>
      </c>
      <c r="Q1217" s="3" t="n">
        <v>2</v>
      </c>
      <c r="R1217" s="3" t="n">
        <v>2</v>
      </c>
      <c r="S1217" s="3" t="n">
        <v>2</v>
      </c>
      <c r="T1217" s="4" t="n">
        <v>1</v>
      </c>
      <c r="U1217" s="3" t="n">
        <v>1</v>
      </c>
      <c r="V1217" s="3" t="n">
        <v>3.92</v>
      </c>
      <c r="W1217" s="3" t="n">
        <v>0.62</v>
      </c>
      <c r="X1217" s="3" t="n">
        <v>3.64</v>
      </c>
      <c r="Y1217" s="3" t="n">
        <v>336</v>
      </c>
      <c r="Z1217" s="3" t="n">
        <v>76</v>
      </c>
      <c r="AA1217" s="3" t="n">
        <v>0.39</v>
      </c>
      <c r="AB1217" s="3" t="n">
        <v>9</v>
      </c>
      <c r="AC1217" s="3" t="n">
        <v>1</v>
      </c>
      <c r="AD1217" s="3" t="n">
        <v>1</v>
      </c>
      <c r="AE1217" s="3" t="n">
        <v>1</v>
      </c>
      <c r="AF1217" s="3" t="n">
        <v>1</v>
      </c>
      <c r="AG1217" s="3" t="n">
        <v>2</v>
      </c>
      <c r="AH1217" s="3" t="n">
        <v>2</v>
      </c>
      <c r="AI1217" s="3" t="n">
        <v>1</v>
      </c>
      <c r="AJ1217" s="3" t="n">
        <v>1</v>
      </c>
      <c r="AK1217" s="3" t="n">
        <v>2</v>
      </c>
      <c r="AL1217" s="3" t="n">
        <v>2</v>
      </c>
      <c r="AM1217" s="3" t="n">
        <v>1</v>
      </c>
      <c r="AN1217" s="3" t="n">
        <v>2</v>
      </c>
      <c r="AO1217" s="3" t="n">
        <v>2</v>
      </c>
      <c r="AP1217" s="3" t="n">
        <v>3</v>
      </c>
      <c r="AQ1217" s="3" t="n">
        <v>4</v>
      </c>
      <c r="AR1217" s="3" t="n">
        <v>4</v>
      </c>
      <c r="AS1217" s="3" t="n">
        <v>6</v>
      </c>
      <c r="AT1217" s="3" t="n">
        <v>4</v>
      </c>
      <c r="AU1217" s="3" t="n">
        <v>4</v>
      </c>
      <c r="AV1217" s="3" t="n">
        <v>6</v>
      </c>
      <c r="AW1217" s="3" t="n">
        <v>6</v>
      </c>
      <c r="AX1217" s="3" t="n">
        <v>3</v>
      </c>
      <c r="AY1217" s="3" t="n">
        <v>3</v>
      </c>
      <c r="AZ1217" s="3" t="n">
        <v>1</v>
      </c>
      <c r="BA1217" s="5" t="n">
        <v>5</v>
      </c>
      <c r="BB1217" s="3" t="n">
        <v>2</v>
      </c>
      <c r="BC1217" s="3" t="n">
        <v>1</v>
      </c>
      <c r="BD1217" s="3" t="n">
        <v>6</v>
      </c>
      <c r="BE1217" s="3" t="n">
        <v>3</v>
      </c>
      <c r="BF1217" s="3" t="n">
        <v>5</v>
      </c>
      <c r="BG1217" s="3" t="n">
        <v>3</v>
      </c>
      <c r="BH1217" s="3" t="n">
        <v>4</v>
      </c>
      <c r="BI1217" s="3" t="n">
        <v>1</v>
      </c>
      <c r="BJ1217" s="3" t="n">
        <v>1</v>
      </c>
      <c r="BK1217" s="6" t="s">
        <v>3068</v>
      </c>
    </row>
    <row r="1218" customFormat="false" ht="15" hidden="false" customHeight="true" outlineLevel="0" collapsed="false">
      <c r="B1218" s="2" t="s">
        <v>912</v>
      </c>
      <c r="C1218" s="2" t="s">
        <v>595</v>
      </c>
      <c r="D1218" s="2" t="s">
        <v>1776</v>
      </c>
      <c r="E1218" s="2" t="n">
        <v>211717</v>
      </c>
      <c r="F1218" s="15" t="n">
        <v>44291</v>
      </c>
      <c r="G1218" s="15" t="n">
        <v>44298</v>
      </c>
      <c r="H1218" s="3" t="n">
        <v>9</v>
      </c>
      <c r="I1218" s="3" t="n">
        <v>2</v>
      </c>
      <c r="J1218" s="3" t="n">
        <v>48</v>
      </c>
      <c r="K1218" s="3" t="n">
        <v>1</v>
      </c>
      <c r="L1218" s="3" t="n">
        <v>1</v>
      </c>
      <c r="M1218" s="3" t="n">
        <v>2</v>
      </c>
      <c r="N1218" s="3" t="n">
        <v>2</v>
      </c>
      <c r="O1218" s="3" t="n">
        <v>2</v>
      </c>
      <c r="P1218" s="3" t="n">
        <v>2</v>
      </c>
      <c r="Q1218" s="3" t="n">
        <v>2</v>
      </c>
      <c r="R1218" s="3" t="n">
        <v>2</v>
      </c>
      <c r="S1218" s="3" t="n">
        <v>2</v>
      </c>
      <c r="T1218" s="4" t="n">
        <v>2</v>
      </c>
      <c r="U1218" s="3" t="n">
        <v>2</v>
      </c>
      <c r="V1218" s="3" t="n">
        <v>4.79</v>
      </c>
      <c r="W1218" s="3" t="n">
        <v>1.4</v>
      </c>
      <c r="X1218" s="3" t="n">
        <v>4.36</v>
      </c>
      <c r="Y1218" s="3" t="n">
        <v>354</v>
      </c>
      <c r="Z1218" s="3" t="n">
        <v>95</v>
      </c>
      <c r="AA1218" s="3" t="n">
        <v>0.4</v>
      </c>
      <c r="AB1218" s="3" t="n">
        <v>8</v>
      </c>
      <c r="AC1218" s="3" t="n">
        <v>1</v>
      </c>
      <c r="AD1218" s="3" t="n">
        <v>2</v>
      </c>
      <c r="AE1218" s="3" t="n">
        <v>1</v>
      </c>
      <c r="AF1218" s="3" t="n">
        <v>1</v>
      </c>
      <c r="AG1218" s="3" t="n">
        <v>1</v>
      </c>
      <c r="AH1218" s="3" t="n">
        <v>2</v>
      </c>
      <c r="AI1218" s="3" t="n">
        <v>1</v>
      </c>
      <c r="AJ1218" s="3" t="n">
        <v>2</v>
      </c>
      <c r="AK1218" s="3" t="n">
        <v>2</v>
      </c>
      <c r="AL1218" s="3" t="n">
        <v>2</v>
      </c>
      <c r="AM1218" s="3" t="n">
        <v>2</v>
      </c>
      <c r="AN1218" s="3" t="n">
        <v>2</v>
      </c>
      <c r="AO1218" s="3" t="n">
        <v>2</v>
      </c>
      <c r="AP1218" s="3" t="n">
        <v>3</v>
      </c>
      <c r="AQ1218" s="3" t="n">
        <v>4</v>
      </c>
      <c r="AR1218" s="3" t="n">
        <v>4</v>
      </c>
      <c r="AS1218" s="3" t="n">
        <v>6</v>
      </c>
      <c r="AT1218" s="3" t="n">
        <v>4</v>
      </c>
      <c r="AU1218" s="3" t="n">
        <v>4</v>
      </c>
      <c r="AV1218" s="3" t="n">
        <v>6</v>
      </c>
      <c r="AW1218" s="3" t="n">
        <v>6</v>
      </c>
      <c r="AX1218" s="3" t="n">
        <v>3</v>
      </c>
      <c r="AY1218" s="3" t="n">
        <v>3</v>
      </c>
      <c r="AZ1218" s="3" t="n">
        <v>1</v>
      </c>
      <c r="BA1218" s="5" t="n">
        <v>1</v>
      </c>
      <c r="BB1218" s="3" t="n">
        <v>1</v>
      </c>
      <c r="BC1218" s="3" t="n">
        <v>1</v>
      </c>
      <c r="BD1218" s="3" t="n">
        <v>4</v>
      </c>
      <c r="BE1218" s="3" t="n">
        <v>3</v>
      </c>
      <c r="BF1218" s="3" t="n">
        <v>5</v>
      </c>
      <c r="BG1218" s="3" t="n">
        <v>3</v>
      </c>
      <c r="BH1218" s="3" t="n">
        <v>4</v>
      </c>
      <c r="BI1218" s="3" t="n">
        <v>1</v>
      </c>
      <c r="BJ1218" s="3" t="n">
        <v>1</v>
      </c>
      <c r="BK1218" s="6" t="s">
        <v>3069</v>
      </c>
    </row>
    <row r="1219" customFormat="false" ht="15" hidden="false" customHeight="true" outlineLevel="0" collapsed="false">
      <c r="B1219" s="2" t="s">
        <v>3070</v>
      </c>
      <c r="C1219" s="2" t="s">
        <v>415</v>
      </c>
      <c r="D1219" s="2" t="s">
        <v>95</v>
      </c>
      <c r="E1219" s="2" t="n">
        <v>211527</v>
      </c>
      <c r="F1219" s="15" t="n">
        <v>44293</v>
      </c>
      <c r="G1219" s="15" t="n">
        <v>44299</v>
      </c>
      <c r="H1219" s="3" t="n">
        <v>6</v>
      </c>
      <c r="I1219" s="3" t="n">
        <v>2</v>
      </c>
      <c r="J1219" s="3" t="n">
        <v>80</v>
      </c>
      <c r="K1219" s="3" t="n">
        <v>1</v>
      </c>
      <c r="L1219" s="3" t="n">
        <v>1</v>
      </c>
      <c r="M1219" s="3" t="n">
        <v>1</v>
      </c>
      <c r="N1219" s="3" t="n">
        <v>2</v>
      </c>
      <c r="O1219" s="3" t="n">
        <v>2</v>
      </c>
      <c r="P1219" s="3" t="n">
        <v>2</v>
      </c>
      <c r="Q1219" s="3" t="n">
        <v>2</v>
      </c>
      <c r="R1219" s="3" t="n">
        <v>2</v>
      </c>
      <c r="S1219" s="3" t="n">
        <v>2</v>
      </c>
      <c r="T1219" s="4" t="n">
        <v>1</v>
      </c>
      <c r="U1219" s="3" t="n">
        <v>4</v>
      </c>
      <c r="V1219" s="3" t="n">
        <v>3.07</v>
      </c>
      <c r="W1219" s="3" t="n">
        <v>0.63</v>
      </c>
      <c r="X1219" s="3" t="n">
        <v>8.95</v>
      </c>
      <c r="Y1219" s="3" t="n">
        <v>377</v>
      </c>
      <c r="Z1219" s="3" t="n">
        <v>85</v>
      </c>
      <c r="AA1219" s="3" t="n">
        <v>0.27</v>
      </c>
      <c r="AB1219" s="3" t="n">
        <v>9.6</v>
      </c>
      <c r="AC1219" s="3" t="n">
        <v>1</v>
      </c>
      <c r="AD1219" s="3" t="n">
        <v>1</v>
      </c>
      <c r="AE1219" s="3" t="n">
        <v>1</v>
      </c>
      <c r="AF1219" s="3" t="n">
        <v>1</v>
      </c>
      <c r="AG1219" s="3" t="n">
        <v>2</v>
      </c>
      <c r="AH1219" s="3" t="n">
        <v>2</v>
      </c>
      <c r="AI1219" s="3" t="n">
        <v>1</v>
      </c>
      <c r="AJ1219" s="3" t="n">
        <v>1</v>
      </c>
      <c r="AK1219" s="3" t="n">
        <v>2</v>
      </c>
      <c r="AL1219" s="3" t="n">
        <v>2</v>
      </c>
      <c r="AM1219" s="3" t="n">
        <v>2</v>
      </c>
      <c r="AN1219" s="3" t="n">
        <v>2</v>
      </c>
      <c r="AO1219" s="3" t="n">
        <v>2</v>
      </c>
      <c r="AP1219" s="3" t="n">
        <v>3</v>
      </c>
      <c r="AQ1219" s="3" t="n">
        <v>4</v>
      </c>
      <c r="AR1219" s="3" t="n">
        <v>4</v>
      </c>
      <c r="AS1219" s="3" t="n">
        <v>6</v>
      </c>
      <c r="AT1219" s="3" t="n">
        <v>4</v>
      </c>
      <c r="AU1219" s="3" t="n">
        <v>4</v>
      </c>
      <c r="AV1219" s="3" t="n">
        <v>6</v>
      </c>
      <c r="AW1219" s="3" t="n">
        <v>6</v>
      </c>
      <c r="AX1219" s="3" t="n">
        <v>3</v>
      </c>
      <c r="AY1219" s="3" t="n">
        <v>3</v>
      </c>
      <c r="AZ1219" s="3" t="n">
        <v>1</v>
      </c>
      <c r="BA1219" s="5" t="n">
        <v>5</v>
      </c>
      <c r="BB1219" s="3" t="n">
        <v>2</v>
      </c>
      <c r="BC1219" s="3" t="n">
        <v>1</v>
      </c>
      <c r="BD1219" s="3" t="n">
        <v>6</v>
      </c>
      <c r="BE1219" s="3" t="n">
        <v>3</v>
      </c>
      <c r="BF1219" s="3" t="n">
        <v>5</v>
      </c>
      <c r="BG1219" s="3" t="n">
        <v>3</v>
      </c>
      <c r="BH1219" s="3" t="n">
        <v>4</v>
      </c>
      <c r="BI1219" s="3" t="n">
        <v>1</v>
      </c>
      <c r="BJ1219" s="3" t="n">
        <v>1</v>
      </c>
      <c r="BK1219" s="21" t="s">
        <v>3071</v>
      </c>
    </row>
    <row r="1220" customFormat="false" ht="15" hidden="false" customHeight="true" outlineLevel="0" collapsed="false">
      <c r="B1220" s="2" t="s">
        <v>3072</v>
      </c>
      <c r="C1220" s="2" t="s">
        <v>987</v>
      </c>
      <c r="D1220" s="2" t="s">
        <v>127</v>
      </c>
      <c r="E1220" s="2" t="n">
        <v>734382</v>
      </c>
      <c r="F1220" s="15" t="n">
        <v>44295</v>
      </c>
      <c r="G1220" s="15" t="n">
        <v>44301</v>
      </c>
      <c r="H1220" s="3" t="n">
        <v>6</v>
      </c>
      <c r="I1220" s="3" t="n">
        <v>2</v>
      </c>
      <c r="J1220" s="3" t="n">
        <v>77</v>
      </c>
      <c r="K1220" s="3" t="n">
        <v>1</v>
      </c>
      <c r="L1220" s="3" t="n">
        <v>2</v>
      </c>
      <c r="M1220" s="3" t="n">
        <v>1</v>
      </c>
      <c r="N1220" s="3" t="n">
        <v>1</v>
      </c>
      <c r="O1220" s="3" t="n">
        <v>2</v>
      </c>
      <c r="P1220" s="3" t="n">
        <v>2</v>
      </c>
      <c r="Q1220" s="3" t="n">
        <v>2</v>
      </c>
      <c r="R1220" s="3" t="n">
        <v>2</v>
      </c>
      <c r="S1220" s="3" t="n">
        <v>2</v>
      </c>
      <c r="T1220" s="4" t="n">
        <v>1</v>
      </c>
      <c r="U1220" s="3" t="n">
        <v>1</v>
      </c>
      <c r="V1220" s="3" t="n">
        <v>4.83</v>
      </c>
      <c r="W1220" s="3" t="n">
        <v>3.57</v>
      </c>
      <c r="X1220" s="3" t="n">
        <v>6.14</v>
      </c>
      <c r="Y1220" s="3" t="n">
        <v>506</v>
      </c>
      <c r="AA1220" s="3" t="n">
        <v>0.4</v>
      </c>
      <c r="AB1220" s="3" t="n">
        <v>6.2</v>
      </c>
      <c r="AC1220" s="3" t="n">
        <v>1</v>
      </c>
      <c r="AD1220" s="3" t="n">
        <v>1</v>
      </c>
      <c r="AE1220" s="3" t="n">
        <v>1</v>
      </c>
      <c r="AF1220" s="3" t="n">
        <v>1</v>
      </c>
      <c r="AG1220" s="3" t="n">
        <v>1</v>
      </c>
      <c r="AH1220" s="3" t="n">
        <v>2</v>
      </c>
      <c r="AI1220" s="3" t="n">
        <v>1</v>
      </c>
      <c r="AJ1220" s="3" t="n">
        <v>1</v>
      </c>
      <c r="AK1220" s="3" t="n">
        <v>2</v>
      </c>
      <c r="AL1220" s="3" t="n">
        <v>2</v>
      </c>
      <c r="AM1220" s="3" t="n">
        <v>2</v>
      </c>
      <c r="AN1220" s="3" t="n">
        <v>2</v>
      </c>
      <c r="AO1220" s="3" t="n">
        <v>2</v>
      </c>
      <c r="AP1220" s="3" t="n">
        <v>3</v>
      </c>
      <c r="AQ1220" s="3" t="n">
        <v>4</v>
      </c>
      <c r="AR1220" s="3" t="n">
        <v>4</v>
      </c>
      <c r="AS1220" s="3" t="n">
        <v>6</v>
      </c>
      <c r="AT1220" s="3" t="n">
        <v>4</v>
      </c>
      <c r="AU1220" s="3" t="n">
        <v>4</v>
      </c>
      <c r="AV1220" s="3" t="n">
        <v>6</v>
      </c>
      <c r="AW1220" s="3" t="n">
        <v>6</v>
      </c>
      <c r="AX1220" s="3" t="n">
        <v>3</v>
      </c>
      <c r="AY1220" s="3" t="n">
        <v>3</v>
      </c>
      <c r="AZ1220" s="3" t="n">
        <v>1</v>
      </c>
      <c r="BA1220" s="5" t="n">
        <v>5</v>
      </c>
      <c r="BB1220" s="3" t="n">
        <v>2</v>
      </c>
      <c r="BC1220" s="3" t="n">
        <v>1</v>
      </c>
      <c r="BD1220" s="3" t="n">
        <v>6</v>
      </c>
      <c r="BE1220" s="3" t="n">
        <v>3</v>
      </c>
      <c r="BF1220" s="3" t="n">
        <v>5</v>
      </c>
      <c r="BG1220" s="3" t="n">
        <v>3</v>
      </c>
      <c r="BH1220" s="3" t="n">
        <v>4</v>
      </c>
      <c r="BI1220" s="3" t="n">
        <v>1</v>
      </c>
      <c r="BJ1220" s="3" t="n">
        <v>1</v>
      </c>
      <c r="BK1220" s="6" t="s">
        <v>3073</v>
      </c>
    </row>
    <row r="1221" customFormat="false" ht="15" hidden="false" customHeight="true" outlineLevel="0" collapsed="false">
      <c r="B1221" s="2" t="s">
        <v>3074</v>
      </c>
      <c r="C1221" s="2" t="s">
        <v>66</v>
      </c>
      <c r="D1221" s="2" t="s">
        <v>423</v>
      </c>
      <c r="E1221" s="2" t="n">
        <v>211574</v>
      </c>
      <c r="F1221" s="15" t="n">
        <v>44296</v>
      </c>
      <c r="G1221" s="15" t="n">
        <v>44302</v>
      </c>
      <c r="H1221" s="3" t="n">
        <v>6</v>
      </c>
      <c r="I1221" s="3" t="n">
        <v>2</v>
      </c>
      <c r="J1221" s="3" t="n">
        <v>62</v>
      </c>
      <c r="K1221" s="3" t="n">
        <v>1</v>
      </c>
      <c r="L1221" s="3" t="n">
        <v>2</v>
      </c>
      <c r="M1221" s="3" t="n">
        <v>2</v>
      </c>
      <c r="N1221" s="3" t="n">
        <v>2</v>
      </c>
      <c r="O1221" s="3" t="n">
        <v>2</v>
      </c>
      <c r="P1221" s="3" t="n">
        <v>2</v>
      </c>
      <c r="Q1221" s="3" t="n">
        <v>2</v>
      </c>
      <c r="R1221" s="3" t="n">
        <v>2</v>
      </c>
      <c r="S1221" s="3" t="n">
        <v>2</v>
      </c>
      <c r="T1221" s="4" t="n">
        <v>2</v>
      </c>
      <c r="U1221" s="3" t="n">
        <v>2</v>
      </c>
      <c r="V1221" s="3" t="n">
        <v>4.16</v>
      </c>
      <c r="W1221" s="3" t="n">
        <v>1.19</v>
      </c>
      <c r="X1221" s="3" t="n">
        <v>4.42</v>
      </c>
      <c r="Y1221" s="3" t="n">
        <v>423</v>
      </c>
      <c r="Z1221" s="3" t="n">
        <v>88</v>
      </c>
      <c r="AA1221" s="3" t="n">
        <v>0.45</v>
      </c>
      <c r="AB1221" s="3" t="n">
        <v>7.7</v>
      </c>
      <c r="AC1221" s="3" t="n">
        <v>1</v>
      </c>
      <c r="AD1221" s="3" t="n">
        <v>1</v>
      </c>
      <c r="AE1221" s="3" t="n">
        <v>2</v>
      </c>
      <c r="AF1221" s="3" t="n">
        <v>1</v>
      </c>
      <c r="AG1221" s="3" t="n">
        <v>2</v>
      </c>
      <c r="AH1221" s="3" t="n">
        <v>2</v>
      </c>
      <c r="AI1221" s="3" t="n">
        <v>1</v>
      </c>
      <c r="AJ1221" s="3" t="n">
        <v>1</v>
      </c>
      <c r="AK1221" s="3" t="n">
        <v>2</v>
      </c>
      <c r="AL1221" s="3" t="n">
        <v>2</v>
      </c>
      <c r="AM1221" s="3" t="n">
        <v>2</v>
      </c>
      <c r="AN1221" s="3" t="n">
        <v>2</v>
      </c>
      <c r="AO1221" s="3" t="n">
        <v>2</v>
      </c>
      <c r="AP1221" s="3" t="n">
        <v>3</v>
      </c>
      <c r="AQ1221" s="3" t="n">
        <v>4</v>
      </c>
      <c r="AR1221" s="3" t="n">
        <v>4</v>
      </c>
      <c r="AS1221" s="3" t="n">
        <v>6</v>
      </c>
      <c r="AT1221" s="3" t="n">
        <v>4</v>
      </c>
      <c r="AU1221" s="3" t="n">
        <v>4</v>
      </c>
      <c r="AV1221" s="3" t="n">
        <v>6</v>
      </c>
      <c r="AW1221" s="3" t="n">
        <v>6</v>
      </c>
      <c r="AX1221" s="3" t="n">
        <v>3</v>
      </c>
      <c r="AY1221" s="3" t="n">
        <v>3</v>
      </c>
      <c r="AZ1221" s="3" t="n">
        <v>1</v>
      </c>
      <c r="BA1221" s="5" t="n">
        <v>1</v>
      </c>
      <c r="BB1221" s="3" t="n">
        <v>1</v>
      </c>
      <c r="BC1221" s="3" t="n">
        <v>1</v>
      </c>
      <c r="BD1221" s="3" t="n">
        <v>4</v>
      </c>
      <c r="BE1221" s="3" t="n">
        <v>1</v>
      </c>
      <c r="BF1221" s="3" t="n">
        <v>2</v>
      </c>
      <c r="BG1221" s="3" t="n">
        <v>1</v>
      </c>
      <c r="BH1221" s="3" t="n">
        <v>4</v>
      </c>
      <c r="BI1221" s="3" t="n">
        <v>1</v>
      </c>
      <c r="BJ1221" s="3" t="n">
        <v>1</v>
      </c>
      <c r="BK1221" s="6" t="s">
        <v>3075</v>
      </c>
    </row>
    <row r="1222" customFormat="false" ht="15" hidden="false" customHeight="true" outlineLevel="0" collapsed="false">
      <c r="B1222" s="2" t="s">
        <v>3076</v>
      </c>
      <c r="C1222" s="2" t="s">
        <v>1479</v>
      </c>
      <c r="D1222" s="2" t="s">
        <v>3077</v>
      </c>
      <c r="E1222" s="2" t="n">
        <v>211591</v>
      </c>
      <c r="F1222" s="15" t="n">
        <v>44297</v>
      </c>
      <c r="G1222" s="15" t="n">
        <v>44302</v>
      </c>
      <c r="H1222" s="3" t="n">
        <v>5</v>
      </c>
      <c r="I1222" s="3" t="n">
        <v>1</v>
      </c>
      <c r="J1222" s="3" t="n">
        <v>58</v>
      </c>
      <c r="K1222" s="3" t="n">
        <v>1</v>
      </c>
      <c r="L1222" s="3" t="n">
        <v>1</v>
      </c>
      <c r="M1222" s="3" t="n">
        <v>2</v>
      </c>
      <c r="N1222" s="3" t="n">
        <v>2</v>
      </c>
      <c r="O1222" s="3" t="n">
        <v>2</v>
      </c>
      <c r="P1222" s="3" t="n">
        <v>2</v>
      </c>
      <c r="Q1222" s="3" t="n">
        <v>2</v>
      </c>
      <c r="R1222" s="3" t="n">
        <v>2</v>
      </c>
      <c r="S1222" s="3" t="n">
        <v>2</v>
      </c>
      <c r="T1222" s="4" t="n">
        <v>1</v>
      </c>
      <c r="U1222" s="3" t="n">
        <v>1</v>
      </c>
      <c r="V1222" s="3" t="n">
        <v>5.39</v>
      </c>
      <c r="W1222" s="3" t="n">
        <v>1.17</v>
      </c>
      <c r="X1222" s="3" t="n">
        <v>5.18</v>
      </c>
      <c r="Y1222" s="3" t="n">
        <v>289</v>
      </c>
      <c r="Z1222" s="3" t="n">
        <v>76</v>
      </c>
      <c r="AA1222" s="3" t="n">
        <v>0.39</v>
      </c>
      <c r="AB1222" s="3" t="n">
        <v>11.2</v>
      </c>
      <c r="AC1222" s="3" t="n">
        <v>1</v>
      </c>
      <c r="AD1222" s="3" t="n">
        <v>1</v>
      </c>
      <c r="AE1222" s="3" t="n">
        <v>1</v>
      </c>
      <c r="AF1222" s="3" t="n">
        <v>1</v>
      </c>
      <c r="AG1222" s="3" t="n">
        <v>2</v>
      </c>
      <c r="AH1222" s="3" t="n">
        <v>1</v>
      </c>
      <c r="AI1222" s="3" t="n">
        <v>1</v>
      </c>
      <c r="AJ1222" s="3" t="n">
        <v>1</v>
      </c>
      <c r="AK1222" s="3" t="n">
        <v>2</v>
      </c>
      <c r="AL1222" s="3" t="n">
        <v>2</v>
      </c>
      <c r="AM1222" s="3" t="n">
        <v>2</v>
      </c>
      <c r="AN1222" s="3" t="n">
        <v>2</v>
      </c>
      <c r="AO1222" s="3" t="n">
        <v>2</v>
      </c>
      <c r="AP1222" s="3" t="n">
        <v>3</v>
      </c>
      <c r="AQ1222" s="3" t="n">
        <v>4</v>
      </c>
      <c r="AR1222" s="3" t="n">
        <v>4</v>
      </c>
      <c r="AS1222" s="3" t="n">
        <v>6</v>
      </c>
      <c r="AT1222" s="3" t="n">
        <v>4</v>
      </c>
      <c r="AU1222" s="3" t="n">
        <v>4</v>
      </c>
      <c r="AV1222" s="3" t="n">
        <v>6</v>
      </c>
      <c r="AW1222" s="3" t="n">
        <v>6</v>
      </c>
      <c r="AX1222" s="3" t="n">
        <v>3</v>
      </c>
      <c r="AY1222" s="3" t="n">
        <v>3</v>
      </c>
      <c r="AZ1222" s="3" t="n">
        <v>1</v>
      </c>
      <c r="BA1222" s="5" t="n">
        <v>5</v>
      </c>
      <c r="BB1222" s="3" t="n">
        <v>2</v>
      </c>
      <c r="BC1222" s="3" t="n">
        <v>1</v>
      </c>
      <c r="BD1222" s="3" t="n">
        <v>6</v>
      </c>
      <c r="BE1222" s="3" t="n">
        <v>3</v>
      </c>
      <c r="BF1222" s="3" t="n">
        <v>5</v>
      </c>
      <c r="BG1222" s="3" t="n">
        <v>3</v>
      </c>
      <c r="BH1222" s="3" t="n">
        <v>4</v>
      </c>
      <c r="BI1222" s="3" t="n">
        <v>1</v>
      </c>
      <c r="BJ1222" s="3" t="n">
        <v>1</v>
      </c>
      <c r="BK1222" s="6" t="s">
        <v>3078</v>
      </c>
    </row>
    <row r="1223" customFormat="false" ht="15" hidden="false" customHeight="true" outlineLevel="0" collapsed="false">
      <c r="B1223" s="2" t="s">
        <v>345</v>
      </c>
      <c r="C1223" s="2" t="s">
        <v>3079</v>
      </c>
      <c r="D1223" s="2" t="s">
        <v>260</v>
      </c>
      <c r="E1223" s="2" t="n">
        <v>211552</v>
      </c>
      <c r="F1223" s="15" t="n">
        <v>44295</v>
      </c>
      <c r="G1223" s="15" t="n">
        <v>44302</v>
      </c>
      <c r="H1223" s="3" t="n">
        <v>7</v>
      </c>
      <c r="I1223" s="3" t="n">
        <v>2</v>
      </c>
      <c r="J1223" s="3" t="n">
        <v>51</v>
      </c>
      <c r="K1223" s="3" t="n">
        <v>2</v>
      </c>
      <c r="L1223" s="3" t="n">
        <v>1</v>
      </c>
      <c r="M1223" s="3" t="n">
        <v>2</v>
      </c>
      <c r="N1223" s="3" t="n">
        <v>2</v>
      </c>
      <c r="O1223" s="3" t="n">
        <v>2</v>
      </c>
      <c r="P1223" s="3" t="n">
        <v>2</v>
      </c>
      <c r="Q1223" s="3" t="n">
        <v>2</v>
      </c>
      <c r="R1223" s="3" t="n">
        <v>2</v>
      </c>
      <c r="S1223" s="3" t="n">
        <v>2</v>
      </c>
      <c r="T1223" s="4" t="n">
        <v>2</v>
      </c>
      <c r="U1223" s="3" t="n">
        <v>2</v>
      </c>
      <c r="V1223" s="3" t="n">
        <v>4.21</v>
      </c>
      <c r="W1223" s="3" t="n">
        <v>0.87</v>
      </c>
      <c r="X1223" s="3" t="n">
        <v>5.66</v>
      </c>
      <c r="Y1223" s="3" t="n">
        <v>319</v>
      </c>
      <c r="Z1223" s="3" t="n">
        <v>117</v>
      </c>
      <c r="AA1223" s="3" t="n">
        <v>0.45</v>
      </c>
      <c r="AB1223" s="3" t="n">
        <v>8.4</v>
      </c>
      <c r="AC1223" s="3" t="n">
        <v>1</v>
      </c>
      <c r="AD1223" s="3" t="n">
        <v>2</v>
      </c>
      <c r="AE1223" s="3" t="n">
        <v>1</v>
      </c>
      <c r="AF1223" s="3" t="n">
        <v>1</v>
      </c>
      <c r="AG1223" s="3" t="n">
        <v>2</v>
      </c>
      <c r="AH1223" s="3" t="n">
        <v>2</v>
      </c>
      <c r="AI1223" s="3" t="n">
        <v>1</v>
      </c>
      <c r="AJ1223" s="3" t="n">
        <v>2</v>
      </c>
      <c r="AK1223" s="3" t="n">
        <v>2</v>
      </c>
      <c r="AL1223" s="3" t="n">
        <v>2</v>
      </c>
      <c r="AM1223" s="3" t="n">
        <v>2</v>
      </c>
      <c r="AN1223" s="3" t="n">
        <v>2</v>
      </c>
      <c r="AO1223" s="3" t="n">
        <v>2</v>
      </c>
      <c r="AP1223" s="3" t="n">
        <v>3</v>
      </c>
      <c r="AQ1223" s="3" t="n">
        <v>4</v>
      </c>
      <c r="AR1223" s="3" t="n">
        <v>4</v>
      </c>
      <c r="AS1223" s="3" t="n">
        <v>6</v>
      </c>
      <c r="AT1223" s="3" t="n">
        <v>4</v>
      </c>
      <c r="AU1223" s="3" t="n">
        <v>4</v>
      </c>
      <c r="AV1223" s="3" t="n">
        <v>6</v>
      </c>
      <c r="AW1223" s="3" t="n">
        <v>6</v>
      </c>
      <c r="AX1223" s="3" t="n">
        <v>3</v>
      </c>
      <c r="AY1223" s="3" t="n">
        <v>3</v>
      </c>
      <c r="AZ1223" s="3" t="n">
        <v>1</v>
      </c>
      <c r="BA1223" s="5" t="n">
        <v>1</v>
      </c>
      <c r="BB1223" s="3" t="n">
        <v>1</v>
      </c>
      <c r="BC1223" s="3" t="n">
        <v>1</v>
      </c>
      <c r="BD1223" s="3" t="n">
        <v>2</v>
      </c>
      <c r="BE1223" s="3" t="n">
        <v>1</v>
      </c>
      <c r="BF1223" s="3" t="n">
        <v>2</v>
      </c>
      <c r="BG1223" s="3" t="n">
        <v>2</v>
      </c>
      <c r="BH1223" s="3" t="n">
        <v>4</v>
      </c>
      <c r="BI1223" s="3" t="n">
        <v>1</v>
      </c>
      <c r="BJ1223" s="3" t="n">
        <v>1</v>
      </c>
      <c r="BK1223" s="6" t="s">
        <v>3080</v>
      </c>
    </row>
    <row r="1224" customFormat="false" ht="15" hidden="false" customHeight="true" outlineLevel="0" collapsed="false">
      <c r="B1224" s="17" t="s">
        <v>3081</v>
      </c>
      <c r="C1224" s="17" t="s">
        <v>3082</v>
      </c>
      <c r="D1224" s="17" t="s">
        <v>95</v>
      </c>
      <c r="E1224" s="2" t="n">
        <v>211928</v>
      </c>
      <c r="F1224" s="15" t="n">
        <v>44299</v>
      </c>
      <c r="G1224" s="15" t="n">
        <v>44304</v>
      </c>
      <c r="H1224" s="3" t="n">
        <v>5</v>
      </c>
      <c r="I1224" s="3" t="n">
        <v>2</v>
      </c>
      <c r="J1224" s="3" t="n">
        <v>49</v>
      </c>
      <c r="K1224" s="3" t="n">
        <v>2</v>
      </c>
      <c r="L1224" s="3" t="n">
        <v>1</v>
      </c>
      <c r="M1224" s="3" t="n">
        <v>2</v>
      </c>
      <c r="N1224" s="3" t="n">
        <v>2</v>
      </c>
      <c r="O1224" s="3" t="n">
        <v>2</v>
      </c>
      <c r="P1224" s="3" t="n">
        <v>2</v>
      </c>
      <c r="Q1224" s="3" t="n">
        <v>2</v>
      </c>
      <c r="R1224" s="3" t="n">
        <v>2</v>
      </c>
      <c r="S1224" s="3" t="n">
        <v>2</v>
      </c>
      <c r="T1224" s="4" t="n">
        <v>2</v>
      </c>
      <c r="U1224" s="3" t="n">
        <v>2</v>
      </c>
      <c r="V1224" s="3" t="n">
        <v>4.84</v>
      </c>
      <c r="W1224" s="3" t="n">
        <v>1.09</v>
      </c>
      <c r="X1224" s="3" t="n">
        <v>3.76</v>
      </c>
      <c r="Y1224" s="3" t="n">
        <v>361</v>
      </c>
      <c r="Z1224" s="3" t="n">
        <v>116</v>
      </c>
      <c r="AA1224" s="3" t="n">
        <v>0.5</v>
      </c>
      <c r="AB1224" s="3" t="n">
        <v>11.7</v>
      </c>
      <c r="AC1224" s="3" t="n">
        <v>1</v>
      </c>
      <c r="AD1224" s="3" t="n">
        <v>2</v>
      </c>
      <c r="AE1224" s="3" t="n">
        <v>1</v>
      </c>
      <c r="AF1224" s="3" t="n">
        <v>1</v>
      </c>
      <c r="AG1224" s="3" t="n">
        <v>1</v>
      </c>
      <c r="AH1224" s="3" t="n">
        <v>2</v>
      </c>
      <c r="AI1224" s="3" t="n">
        <v>1</v>
      </c>
      <c r="AJ1224" s="3" t="n">
        <v>1</v>
      </c>
      <c r="AK1224" s="3" t="n">
        <v>2</v>
      </c>
      <c r="AL1224" s="3" t="n">
        <v>2</v>
      </c>
      <c r="AM1224" s="3" t="n">
        <v>2</v>
      </c>
      <c r="AN1224" s="3" t="n">
        <v>2</v>
      </c>
      <c r="AO1224" s="3" t="n">
        <v>2</v>
      </c>
      <c r="AP1224" s="3" t="n">
        <v>3</v>
      </c>
      <c r="AQ1224" s="3" t="n">
        <v>4</v>
      </c>
      <c r="AR1224" s="3" t="n">
        <v>4</v>
      </c>
      <c r="AS1224" s="3" t="n">
        <v>6</v>
      </c>
      <c r="AT1224" s="3" t="n">
        <v>4</v>
      </c>
      <c r="AU1224" s="3" t="n">
        <v>4</v>
      </c>
      <c r="AV1224" s="3" t="n">
        <v>6</v>
      </c>
      <c r="AW1224" s="3" t="n">
        <v>6</v>
      </c>
      <c r="AX1224" s="3" t="n">
        <v>3</v>
      </c>
      <c r="AY1224" s="3" t="n">
        <v>3</v>
      </c>
      <c r="AZ1224" s="3" t="n">
        <v>1</v>
      </c>
      <c r="BA1224" s="5" t="n">
        <v>1</v>
      </c>
      <c r="BB1224" s="3" t="n">
        <v>1</v>
      </c>
      <c r="BC1224" s="3" t="n">
        <v>1</v>
      </c>
      <c r="BD1224" s="3" t="n">
        <v>2</v>
      </c>
      <c r="BE1224" s="3" t="n">
        <v>3</v>
      </c>
      <c r="BF1224" s="3" t="n">
        <v>5</v>
      </c>
      <c r="BG1224" s="3" t="n">
        <v>3</v>
      </c>
      <c r="BH1224" s="3" t="n">
        <v>4</v>
      </c>
      <c r="BI1224" s="3" t="n">
        <v>1</v>
      </c>
      <c r="BJ1224" s="3" t="n">
        <v>1</v>
      </c>
      <c r="BK1224" s="21" t="s">
        <v>3083</v>
      </c>
    </row>
    <row r="1225" customFormat="false" ht="15" hidden="false" customHeight="true" outlineLevel="0" collapsed="false">
      <c r="B1225" s="2" t="s">
        <v>2958</v>
      </c>
      <c r="C1225" s="2" t="s">
        <v>161</v>
      </c>
      <c r="D1225" s="2" t="s">
        <v>839</v>
      </c>
      <c r="E1225" s="2" t="n">
        <v>211822</v>
      </c>
      <c r="F1225" s="15" t="n">
        <v>44302</v>
      </c>
      <c r="G1225" s="15" t="n">
        <v>44215</v>
      </c>
      <c r="H1225" s="3" t="n">
        <v>3</v>
      </c>
      <c r="I1225" s="3" t="n">
        <v>2</v>
      </c>
      <c r="J1225" s="3" t="n">
        <v>56</v>
      </c>
      <c r="K1225" s="3" t="n">
        <v>1</v>
      </c>
      <c r="L1225" s="3" t="n">
        <v>1</v>
      </c>
      <c r="M1225" s="3" t="n">
        <v>2</v>
      </c>
      <c r="N1225" s="3" t="n">
        <v>2</v>
      </c>
      <c r="O1225" s="3" t="n">
        <v>2</v>
      </c>
      <c r="P1225" s="3" t="n">
        <v>2</v>
      </c>
      <c r="Q1225" s="3" t="n">
        <v>2</v>
      </c>
      <c r="R1225" s="3" t="n">
        <v>2</v>
      </c>
      <c r="S1225" s="3" t="n">
        <v>2</v>
      </c>
      <c r="T1225" s="4" t="n">
        <v>2</v>
      </c>
      <c r="U1225" s="3" t="n">
        <v>2</v>
      </c>
      <c r="V1225" s="3" t="n">
        <v>6</v>
      </c>
      <c r="W1225" s="3" t="n">
        <v>2.17</v>
      </c>
      <c r="X1225" s="3" t="n">
        <v>6.41</v>
      </c>
      <c r="Y1225" s="3" t="n">
        <v>585</v>
      </c>
      <c r="Z1225" s="3" t="n">
        <v>106</v>
      </c>
      <c r="AA1225" s="3" t="n">
        <v>0.48</v>
      </c>
      <c r="AB1225" s="3" t="n">
        <v>16.4</v>
      </c>
      <c r="AC1225" s="3" t="n">
        <v>3</v>
      </c>
      <c r="AD1225" s="3" t="n">
        <v>2</v>
      </c>
      <c r="AE1225" s="3" t="n">
        <v>1</v>
      </c>
      <c r="AF1225" s="3" t="n">
        <v>1</v>
      </c>
      <c r="AG1225" s="3" t="n">
        <v>2</v>
      </c>
      <c r="AH1225" s="3" t="n">
        <v>2</v>
      </c>
      <c r="AI1225" s="3" t="n">
        <v>1</v>
      </c>
      <c r="AJ1225" s="3" t="n">
        <v>1</v>
      </c>
      <c r="AK1225" s="3" t="n">
        <v>2</v>
      </c>
      <c r="AL1225" s="3" t="n">
        <v>2</v>
      </c>
      <c r="AM1225" s="3" t="n">
        <v>1</v>
      </c>
      <c r="AN1225" s="3" t="n">
        <v>1</v>
      </c>
      <c r="AO1225" s="3" t="n">
        <v>2</v>
      </c>
      <c r="AP1225" s="3" t="n">
        <v>3</v>
      </c>
      <c r="AQ1225" s="3" t="n">
        <v>4</v>
      </c>
      <c r="AR1225" s="3" t="n">
        <v>4</v>
      </c>
      <c r="AS1225" s="3" t="n">
        <v>6</v>
      </c>
      <c r="AT1225" s="3" t="n">
        <v>4</v>
      </c>
      <c r="AU1225" s="3" t="n">
        <v>4</v>
      </c>
      <c r="AV1225" s="3" t="n">
        <v>6</v>
      </c>
      <c r="AW1225" s="3" t="n">
        <v>6</v>
      </c>
      <c r="AX1225" s="3" t="n">
        <v>3</v>
      </c>
      <c r="AY1225" s="3" t="n">
        <v>3</v>
      </c>
      <c r="AZ1225" s="3" t="n">
        <v>6</v>
      </c>
      <c r="BA1225" s="5" t="n">
        <v>1</v>
      </c>
      <c r="BB1225" s="3" t="n">
        <v>1</v>
      </c>
      <c r="BC1225" s="3" t="n">
        <v>1</v>
      </c>
      <c r="BD1225" s="3" t="n">
        <v>2</v>
      </c>
      <c r="BE1225" s="3" t="n">
        <v>1</v>
      </c>
      <c r="BF1225" s="3" t="n">
        <v>2</v>
      </c>
      <c r="BG1225" s="3" t="n">
        <v>1</v>
      </c>
      <c r="BH1225" s="3" t="n">
        <v>4</v>
      </c>
      <c r="BI1225" s="3" t="n">
        <v>1</v>
      </c>
      <c r="BJ1225" s="3" t="n">
        <v>1</v>
      </c>
      <c r="BK1225" s="6" t="s">
        <v>3084</v>
      </c>
    </row>
    <row r="1226" customFormat="false" ht="15" hidden="false" customHeight="true" outlineLevel="0" collapsed="false">
      <c r="B1226" s="17" t="s">
        <v>3085</v>
      </c>
      <c r="C1226" s="17" t="s">
        <v>2694</v>
      </c>
      <c r="D1226" s="17" t="s">
        <v>1591</v>
      </c>
      <c r="E1226" s="2" t="n">
        <v>211905</v>
      </c>
      <c r="F1226" s="15" t="n">
        <v>44298</v>
      </c>
      <c r="G1226" s="15" t="n">
        <v>44215</v>
      </c>
      <c r="H1226" s="3" t="n">
        <v>7</v>
      </c>
      <c r="I1226" s="3" t="n">
        <v>1</v>
      </c>
      <c r="J1226" s="3" t="n">
        <v>42</v>
      </c>
      <c r="K1226" s="3" t="n">
        <v>1</v>
      </c>
      <c r="L1226" s="3" t="n">
        <v>1</v>
      </c>
      <c r="M1226" s="3" t="n">
        <v>1</v>
      </c>
      <c r="N1226" s="3" t="n">
        <v>2</v>
      </c>
      <c r="O1226" s="3" t="n">
        <v>1</v>
      </c>
      <c r="P1226" s="3" t="n">
        <v>1</v>
      </c>
      <c r="Q1226" s="3" t="n">
        <v>1</v>
      </c>
      <c r="R1226" s="3" t="n">
        <v>2</v>
      </c>
      <c r="S1226" s="3" t="n">
        <v>1</v>
      </c>
      <c r="T1226" s="4" t="n">
        <v>2</v>
      </c>
      <c r="U1226" s="3" t="n">
        <v>2</v>
      </c>
      <c r="V1226" s="3" t="n">
        <v>4</v>
      </c>
      <c r="W1226" s="3" t="n">
        <v>1.17</v>
      </c>
      <c r="X1226" s="3" t="n">
        <v>4.9</v>
      </c>
      <c r="Y1226" s="3" t="n">
        <v>252</v>
      </c>
      <c r="Z1226" s="3" t="n">
        <v>71</v>
      </c>
      <c r="AA1226" s="3" t="n">
        <v>0.4</v>
      </c>
      <c r="AB1226" s="3" t="n">
        <v>8</v>
      </c>
      <c r="AC1226" s="3" t="n">
        <v>1</v>
      </c>
      <c r="AD1226" s="3" t="n">
        <v>2</v>
      </c>
      <c r="AE1226" s="3" t="n">
        <v>2</v>
      </c>
      <c r="AF1226" s="3" t="n">
        <v>1</v>
      </c>
      <c r="AG1226" s="3" t="n">
        <v>2</v>
      </c>
      <c r="AH1226" s="3" t="n">
        <v>1</v>
      </c>
      <c r="AI1226" s="3" t="n">
        <v>1</v>
      </c>
      <c r="AJ1226" s="3" t="n">
        <v>2</v>
      </c>
      <c r="AK1226" s="3" t="n">
        <v>2</v>
      </c>
      <c r="AL1226" s="3" t="n">
        <v>2</v>
      </c>
      <c r="AM1226" s="3" t="n">
        <v>1</v>
      </c>
      <c r="AN1226" s="3" t="n">
        <v>2</v>
      </c>
      <c r="AO1226" s="3" t="n">
        <v>2</v>
      </c>
      <c r="AP1226" s="3" t="n">
        <v>3</v>
      </c>
      <c r="AQ1226" s="3" t="n">
        <v>4</v>
      </c>
      <c r="AR1226" s="3" t="n">
        <v>4</v>
      </c>
      <c r="AS1226" s="3" t="n">
        <v>6</v>
      </c>
      <c r="AT1226" s="3" t="n">
        <v>4</v>
      </c>
      <c r="AU1226" s="3" t="n">
        <v>4</v>
      </c>
      <c r="AV1226" s="3" t="n">
        <v>6</v>
      </c>
      <c r="AW1226" s="3" t="n">
        <v>6</v>
      </c>
      <c r="AX1226" s="3" t="n">
        <v>3</v>
      </c>
      <c r="AY1226" s="3" t="n">
        <v>3</v>
      </c>
      <c r="AZ1226" s="3" t="n">
        <v>1</v>
      </c>
      <c r="BA1226" s="5" t="n">
        <v>1</v>
      </c>
      <c r="BB1226" s="3" t="n">
        <v>1</v>
      </c>
      <c r="BC1226" s="3" t="n">
        <v>1</v>
      </c>
      <c r="BD1226" s="3" t="n">
        <v>4</v>
      </c>
      <c r="BE1226" s="3" t="n">
        <v>1</v>
      </c>
      <c r="BF1226" s="3" t="n">
        <v>2</v>
      </c>
      <c r="BG1226" s="3" t="n">
        <v>1</v>
      </c>
      <c r="BH1226" s="3" t="n">
        <v>4</v>
      </c>
      <c r="BI1226" s="3" t="n">
        <v>1</v>
      </c>
      <c r="BJ1226" s="3" t="n">
        <v>1</v>
      </c>
      <c r="BK1226" s="21" t="s">
        <v>3086</v>
      </c>
    </row>
    <row r="1227" customFormat="false" ht="15" hidden="false" customHeight="true" outlineLevel="0" collapsed="false">
      <c r="B1227" s="17" t="s">
        <v>3087</v>
      </c>
      <c r="C1227" s="17" t="s">
        <v>1552</v>
      </c>
      <c r="D1227" s="17" t="s">
        <v>198</v>
      </c>
      <c r="E1227" s="2" t="n">
        <v>211961</v>
      </c>
      <c r="F1227" s="15" t="n">
        <v>44299</v>
      </c>
      <c r="G1227" s="15" t="n">
        <v>44215</v>
      </c>
      <c r="H1227" s="3" t="n">
        <v>6</v>
      </c>
      <c r="I1227" s="3" t="n">
        <v>2</v>
      </c>
      <c r="J1227" s="3" t="n">
        <v>55</v>
      </c>
      <c r="K1227" s="3" t="n">
        <v>1</v>
      </c>
      <c r="L1227" s="3" t="n">
        <v>1</v>
      </c>
      <c r="M1227" s="3" t="n">
        <v>2</v>
      </c>
      <c r="N1227" s="3" t="n">
        <v>2</v>
      </c>
      <c r="O1227" s="3" t="n">
        <v>2</v>
      </c>
      <c r="P1227" s="3" t="n">
        <v>2</v>
      </c>
      <c r="Q1227" s="3" t="n">
        <v>2</v>
      </c>
      <c r="R1227" s="3" t="n">
        <v>2</v>
      </c>
      <c r="S1227" s="3" t="n">
        <v>2</v>
      </c>
      <c r="T1227" s="4" t="n">
        <v>2</v>
      </c>
      <c r="U1227" s="3" t="n">
        <v>2</v>
      </c>
      <c r="V1227" s="3" t="n">
        <v>4.62</v>
      </c>
      <c r="W1227" s="3" t="n">
        <v>1.08</v>
      </c>
      <c r="X1227" s="3" t="n">
        <v>5.45</v>
      </c>
      <c r="Y1227" s="3" t="n">
        <v>421</v>
      </c>
      <c r="Z1227" s="3" t="n">
        <v>89</v>
      </c>
      <c r="AA1227" s="3" t="n">
        <v>0.45</v>
      </c>
      <c r="AB1227" s="3" t="n">
        <v>12.6</v>
      </c>
      <c r="AC1227" s="3" t="n">
        <v>1</v>
      </c>
      <c r="AD1227" s="3" t="n">
        <v>2</v>
      </c>
      <c r="AE1227" s="3" t="n">
        <v>1</v>
      </c>
      <c r="AF1227" s="3" t="n">
        <v>1</v>
      </c>
      <c r="AG1227" s="3" t="n">
        <v>2</v>
      </c>
      <c r="AH1227" s="3" t="n">
        <v>2</v>
      </c>
      <c r="AI1227" s="3" t="n">
        <v>1</v>
      </c>
      <c r="AJ1227" s="3" t="n">
        <v>2</v>
      </c>
      <c r="AK1227" s="3" t="n">
        <v>2</v>
      </c>
      <c r="AL1227" s="3" t="n">
        <v>2</v>
      </c>
      <c r="AM1227" s="3" t="n">
        <v>2</v>
      </c>
      <c r="AN1227" s="3" t="n">
        <v>2</v>
      </c>
      <c r="AO1227" s="3" t="n">
        <v>2</v>
      </c>
      <c r="AP1227" s="3" t="n">
        <v>3</v>
      </c>
      <c r="AQ1227" s="3" t="n">
        <v>4</v>
      </c>
      <c r="AR1227" s="3" t="n">
        <v>4</v>
      </c>
      <c r="AS1227" s="3" t="n">
        <v>6</v>
      </c>
      <c r="AT1227" s="3" t="n">
        <v>4</v>
      </c>
      <c r="AU1227" s="3" t="n">
        <v>4</v>
      </c>
      <c r="AV1227" s="3" t="n">
        <v>6</v>
      </c>
      <c r="AW1227" s="3" t="n">
        <v>6</v>
      </c>
      <c r="AX1227" s="3" t="n">
        <v>3</v>
      </c>
      <c r="AY1227" s="3" t="n">
        <v>3</v>
      </c>
      <c r="AZ1227" s="3" t="n">
        <v>1</v>
      </c>
      <c r="BA1227" s="5" t="n">
        <v>1</v>
      </c>
      <c r="BB1227" s="3" t="n">
        <v>1</v>
      </c>
      <c r="BC1227" s="3" t="n">
        <v>1</v>
      </c>
      <c r="BD1227" s="3" t="n">
        <v>4</v>
      </c>
      <c r="BE1227" s="3" t="n">
        <v>1</v>
      </c>
      <c r="BF1227" s="3" t="n">
        <v>2</v>
      </c>
      <c r="BG1227" s="3" t="n">
        <v>2</v>
      </c>
      <c r="BH1227" s="3" t="n">
        <v>4</v>
      </c>
      <c r="BI1227" s="3" t="n">
        <v>1</v>
      </c>
      <c r="BJ1227" s="3" t="n">
        <v>1</v>
      </c>
      <c r="BK1227" s="21" t="s">
        <v>3088</v>
      </c>
    </row>
    <row r="1228" customFormat="false" ht="15" hidden="false" customHeight="true" outlineLevel="0" collapsed="false">
      <c r="B1228" s="2" t="s">
        <v>3033</v>
      </c>
      <c r="C1228" s="2" t="s">
        <v>1643</v>
      </c>
      <c r="D1228" s="2" t="s">
        <v>197</v>
      </c>
      <c r="E1228" s="2" t="n">
        <v>211189</v>
      </c>
      <c r="F1228" s="15" t="n">
        <v>44305</v>
      </c>
      <c r="G1228" s="15" t="n">
        <v>44307</v>
      </c>
      <c r="H1228" s="3" t="n">
        <v>2</v>
      </c>
      <c r="I1228" s="3" t="n">
        <v>2</v>
      </c>
      <c r="J1228" s="3" t="n">
        <v>53</v>
      </c>
      <c r="K1228" s="3" t="n">
        <v>1</v>
      </c>
      <c r="L1228" s="3" t="n">
        <v>2</v>
      </c>
      <c r="M1228" s="3" t="n">
        <v>1</v>
      </c>
      <c r="N1228" s="3" t="n">
        <v>1</v>
      </c>
      <c r="O1228" s="3" t="n">
        <v>2</v>
      </c>
      <c r="P1228" s="3" t="n">
        <v>2</v>
      </c>
      <c r="Q1228" s="3" t="n">
        <v>2</v>
      </c>
      <c r="R1228" s="3" t="n">
        <v>2</v>
      </c>
      <c r="S1228" s="3" t="n">
        <v>2</v>
      </c>
      <c r="T1228" s="4" t="n">
        <v>3</v>
      </c>
      <c r="U1228" s="3" t="n">
        <v>1</v>
      </c>
      <c r="Z1228" s="3" t="n">
        <v>102.1</v>
      </c>
      <c r="AA1228" s="3" t="n">
        <v>0.46</v>
      </c>
      <c r="AC1228" s="3" t="n">
        <v>3</v>
      </c>
      <c r="AD1228" s="3" t="n">
        <v>1</v>
      </c>
      <c r="AE1228" s="3" t="n">
        <v>2</v>
      </c>
      <c r="AF1228" s="3" t="n">
        <v>1</v>
      </c>
      <c r="AG1228" s="3" t="n">
        <v>1</v>
      </c>
      <c r="AH1228" s="3" t="n">
        <v>2</v>
      </c>
      <c r="AI1228" s="3" t="n">
        <v>1</v>
      </c>
      <c r="AJ1228" s="3" t="n">
        <v>1</v>
      </c>
      <c r="AK1228" s="3" t="n">
        <v>2</v>
      </c>
      <c r="AL1228" s="3" t="n">
        <v>2</v>
      </c>
      <c r="AM1228" s="3" t="n">
        <v>2</v>
      </c>
      <c r="AN1228" s="3" t="n">
        <v>2</v>
      </c>
      <c r="AO1228" s="3" t="n">
        <v>2</v>
      </c>
      <c r="AP1228" s="3" t="n">
        <v>4</v>
      </c>
      <c r="AQ1228" s="3" t="n">
        <v>3</v>
      </c>
      <c r="AR1228" s="3" t="n">
        <v>9</v>
      </c>
      <c r="AS1228" s="3" t="n">
        <v>2</v>
      </c>
      <c r="AT1228" s="3" t="n">
        <v>1</v>
      </c>
      <c r="AU1228" s="3" t="n">
        <v>1</v>
      </c>
      <c r="AV1228" s="3" t="n">
        <v>1</v>
      </c>
      <c r="AW1228" s="3" t="n">
        <v>1</v>
      </c>
      <c r="AX1228" s="3" t="n">
        <v>2</v>
      </c>
      <c r="AY1228" s="3" t="n">
        <v>2</v>
      </c>
      <c r="AZ1228" s="3" t="n">
        <v>1</v>
      </c>
      <c r="BA1228" s="5" t="n">
        <v>3</v>
      </c>
      <c r="BB1228" s="3" t="n">
        <v>2</v>
      </c>
      <c r="BC1228" s="3" t="n">
        <v>1</v>
      </c>
      <c r="BD1228" s="3" t="n">
        <v>6</v>
      </c>
      <c r="BE1228" s="3" t="n">
        <v>3</v>
      </c>
      <c r="BF1228" s="3" t="n">
        <v>5</v>
      </c>
      <c r="BG1228" s="3" t="n">
        <v>3</v>
      </c>
      <c r="BH1228" s="3" t="n">
        <v>4</v>
      </c>
      <c r="BI1228" s="3" t="n">
        <v>1</v>
      </c>
      <c r="BJ1228" s="3" t="n">
        <v>1</v>
      </c>
      <c r="BK1228" s="6" t="s">
        <v>3089</v>
      </c>
    </row>
    <row r="1229" customFormat="false" ht="15" hidden="false" customHeight="true" outlineLevel="0" collapsed="false">
      <c r="B1229" s="17" t="s">
        <v>3090</v>
      </c>
      <c r="C1229" s="17" t="s">
        <v>75</v>
      </c>
      <c r="D1229" s="17" t="s">
        <v>3091</v>
      </c>
      <c r="E1229" s="2" t="n">
        <v>211988</v>
      </c>
      <c r="F1229" s="15" t="n">
        <v>44300</v>
      </c>
      <c r="G1229" s="15" t="n">
        <v>44307</v>
      </c>
      <c r="H1229" s="3" t="n">
        <v>7</v>
      </c>
      <c r="I1229" s="3" t="n">
        <v>1</v>
      </c>
      <c r="J1229" s="3" t="n">
        <v>72</v>
      </c>
      <c r="K1229" s="3" t="n">
        <v>1</v>
      </c>
      <c r="L1229" s="3" t="n">
        <v>2</v>
      </c>
      <c r="M1229" s="3" t="n">
        <v>1</v>
      </c>
      <c r="N1229" s="3" t="n">
        <v>1</v>
      </c>
      <c r="O1229" s="3" t="n">
        <v>2</v>
      </c>
      <c r="P1229" s="3" t="n">
        <v>1</v>
      </c>
      <c r="Q1229" s="3" t="n">
        <v>1</v>
      </c>
      <c r="R1229" s="3" t="n">
        <v>2</v>
      </c>
      <c r="S1229" s="3" t="n">
        <v>1</v>
      </c>
      <c r="T1229" s="4" t="n">
        <v>2</v>
      </c>
      <c r="U1229" s="3" t="n">
        <v>2</v>
      </c>
      <c r="V1229" s="3" t="n">
        <v>4.33</v>
      </c>
      <c r="W1229" s="3" t="n">
        <v>0.55</v>
      </c>
      <c r="X1229" s="3" t="n">
        <v>9.59</v>
      </c>
      <c r="Y1229" s="3" t="n">
        <v>167</v>
      </c>
      <c r="Z1229" s="3" t="n">
        <v>99</v>
      </c>
      <c r="AA1229" s="3" t="n">
        <v>0.42</v>
      </c>
      <c r="AB1229" s="3" t="n">
        <v>10.9</v>
      </c>
      <c r="AC1229" s="3" t="n">
        <v>1</v>
      </c>
      <c r="AD1229" s="3" t="n">
        <v>1</v>
      </c>
      <c r="AE1229" s="3" t="n">
        <v>2</v>
      </c>
      <c r="AF1229" s="3" t="n">
        <v>2</v>
      </c>
      <c r="AG1229" s="3" t="n">
        <v>2</v>
      </c>
      <c r="AH1229" s="3" t="n">
        <v>1</v>
      </c>
      <c r="AI1229" s="3" t="n">
        <v>1</v>
      </c>
      <c r="AJ1229" s="3" t="n">
        <v>1</v>
      </c>
      <c r="AK1229" s="3" t="n">
        <v>2</v>
      </c>
      <c r="AL1229" s="3" t="n">
        <v>2</v>
      </c>
      <c r="AM1229" s="3" t="n">
        <v>1</v>
      </c>
      <c r="AN1229" s="3" t="n">
        <v>2</v>
      </c>
      <c r="AO1229" s="3" t="n">
        <v>2</v>
      </c>
      <c r="AP1229" s="3" t="n">
        <v>3</v>
      </c>
      <c r="AQ1229" s="3" t="n">
        <v>4</v>
      </c>
      <c r="AR1229" s="3" t="n">
        <v>4</v>
      </c>
      <c r="AS1229" s="3" t="n">
        <v>6</v>
      </c>
      <c r="AT1229" s="3" t="n">
        <v>4</v>
      </c>
      <c r="AU1229" s="3" t="n">
        <v>4</v>
      </c>
      <c r="AV1229" s="3" t="n">
        <v>6</v>
      </c>
      <c r="AW1229" s="3" t="n">
        <v>6</v>
      </c>
      <c r="AX1229" s="3" t="n">
        <v>3</v>
      </c>
      <c r="AY1229" s="3" t="n">
        <v>3</v>
      </c>
      <c r="AZ1229" s="3" t="n">
        <v>1</v>
      </c>
      <c r="BA1229" s="5" t="n">
        <v>1</v>
      </c>
      <c r="BB1229" s="3" t="n">
        <v>1</v>
      </c>
      <c r="BC1229" s="3" t="n">
        <v>1</v>
      </c>
      <c r="BD1229" s="3" t="n">
        <v>4</v>
      </c>
      <c r="BE1229" s="3" t="n">
        <v>1</v>
      </c>
      <c r="BF1229" s="3" t="n">
        <v>2</v>
      </c>
      <c r="BG1229" s="3" t="n">
        <v>1</v>
      </c>
      <c r="BH1229" s="3" t="n">
        <v>4</v>
      </c>
      <c r="BI1229" s="3" t="n">
        <v>1</v>
      </c>
      <c r="BJ1229" s="3" t="n">
        <v>1</v>
      </c>
      <c r="BK1229" s="21" t="s">
        <v>3092</v>
      </c>
    </row>
    <row r="1230" customFormat="false" ht="15" hidden="false" customHeight="true" outlineLevel="0" collapsed="false">
      <c r="B1230" s="2" t="s">
        <v>3093</v>
      </c>
      <c r="C1230" s="2" t="s">
        <v>2949</v>
      </c>
      <c r="D1230" s="2" t="s">
        <v>1405</v>
      </c>
      <c r="E1230" s="2" t="n">
        <v>210002</v>
      </c>
      <c r="F1230" s="15" t="n">
        <v>44302</v>
      </c>
      <c r="G1230" s="15" t="n">
        <v>44308</v>
      </c>
      <c r="H1230" s="3" t="n">
        <v>6</v>
      </c>
      <c r="I1230" s="3" t="n">
        <v>1</v>
      </c>
      <c r="J1230" s="3" t="n">
        <v>61</v>
      </c>
      <c r="K1230" s="3" t="n">
        <v>1</v>
      </c>
      <c r="L1230" s="3" t="n">
        <v>1</v>
      </c>
      <c r="M1230" s="3" t="n">
        <v>1</v>
      </c>
      <c r="N1230" s="3" t="n">
        <v>2</v>
      </c>
      <c r="O1230" s="3" t="n">
        <v>2</v>
      </c>
      <c r="P1230" s="3" t="n">
        <v>2</v>
      </c>
      <c r="Q1230" s="3" t="n">
        <v>1</v>
      </c>
      <c r="R1230" s="3" t="n">
        <v>2</v>
      </c>
      <c r="S1230" s="3" t="n">
        <v>2</v>
      </c>
      <c r="T1230" s="4" t="n">
        <v>1</v>
      </c>
      <c r="U1230" s="3" t="n">
        <v>1</v>
      </c>
      <c r="V1230" s="3" t="n">
        <v>5.51</v>
      </c>
      <c r="W1230" s="3" t="n">
        <v>2.03</v>
      </c>
      <c r="X1230" s="3" t="n">
        <v>9.41</v>
      </c>
      <c r="Y1230" s="3" t="n">
        <v>176</v>
      </c>
      <c r="Z1230" s="3" t="n">
        <v>60</v>
      </c>
      <c r="AA1230" s="3" t="n">
        <v>0.41</v>
      </c>
      <c r="AB1230" s="3" t="n">
        <v>4.9</v>
      </c>
      <c r="AC1230" s="3" t="n">
        <v>1</v>
      </c>
      <c r="AD1230" s="3" t="n">
        <v>1</v>
      </c>
      <c r="AE1230" s="3" t="n">
        <v>1</v>
      </c>
      <c r="AF1230" s="3" t="n">
        <v>1</v>
      </c>
      <c r="AG1230" s="3" t="n">
        <v>2</v>
      </c>
      <c r="AH1230" s="3" t="n">
        <v>1</v>
      </c>
      <c r="AI1230" s="3" t="n">
        <v>1</v>
      </c>
      <c r="AJ1230" s="3" t="n">
        <v>2</v>
      </c>
      <c r="AK1230" s="3" t="n">
        <v>2</v>
      </c>
      <c r="AL1230" s="3" t="n">
        <v>2</v>
      </c>
      <c r="AM1230" s="3" t="n">
        <v>1</v>
      </c>
      <c r="AN1230" s="3" t="n">
        <v>2</v>
      </c>
      <c r="AO1230" s="3" t="n">
        <v>2</v>
      </c>
      <c r="AP1230" s="3" t="n">
        <v>3</v>
      </c>
      <c r="AQ1230" s="3" t="n">
        <v>4</v>
      </c>
      <c r="AR1230" s="3" t="n">
        <v>4</v>
      </c>
      <c r="AS1230" s="3" t="n">
        <v>6</v>
      </c>
      <c r="AT1230" s="3" t="n">
        <v>4</v>
      </c>
      <c r="AU1230" s="3" t="n">
        <v>4</v>
      </c>
      <c r="AV1230" s="3" t="n">
        <v>6</v>
      </c>
      <c r="AW1230" s="3" t="n">
        <v>6</v>
      </c>
      <c r="AX1230" s="3" t="n">
        <v>3</v>
      </c>
      <c r="AY1230" s="3" t="n">
        <v>3</v>
      </c>
      <c r="AZ1230" s="3" t="n">
        <v>1</v>
      </c>
      <c r="BA1230" s="5" t="n">
        <v>5</v>
      </c>
      <c r="BB1230" s="3" t="n">
        <v>2</v>
      </c>
      <c r="BC1230" s="3" t="n">
        <v>1</v>
      </c>
      <c r="BD1230" s="3" t="n">
        <v>6</v>
      </c>
      <c r="BE1230" s="3" t="n">
        <v>3</v>
      </c>
      <c r="BF1230" s="3" t="n">
        <v>5</v>
      </c>
      <c r="BG1230" s="3" t="n">
        <v>3</v>
      </c>
      <c r="BH1230" s="3" t="n">
        <v>4</v>
      </c>
      <c r="BI1230" s="3" t="n">
        <v>1</v>
      </c>
      <c r="BJ1230" s="3" t="n">
        <v>1</v>
      </c>
      <c r="BK1230" s="6" t="s">
        <v>3094</v>
      </c>
    </row>
    <row r="1231" customFormat="false" ht="15" hidden="false" customHeight="true" outlineLevel="0" collapsed="false">
      <c r="B1231" s="2" t="s">
        <v>3095</v>
      </c>
      <c r="C1231" s="2" t="s">
        <v>308</v>
      </c>
      <c r="D1231" s="2" t="s">
        <v>127</v>
      </c>
      <c r="E1231" s="2" t="n">
        <v>211825</v>
      </c>
      <c r="F1231" s="15" t="n">
        <v>44302</v>
      </c>
      <c r="G1231" s="15" t="n">
        <v>44309</v>
      </c>
      <c r="H1231" s="3" t="n">
        <v>7</v>
      </c>
      <c r="I1231" s="3" t="n">
        <v>2</v>
      </c>
      <c r="J1231" s="3" t="n">
        <v>63</v>
      </c>
      <c r="K1231" s="3" t="n">
        <v>1</v>
      </c>
      <c r="L1231" s="3" t="n">
        <v>2</v>
      </c>
      <c r="M1231" s="3" t="n">
        <v>1</v>
      </c>
      <c r="N1231" s="3" t="n">
        <v>2</v>
      </c>
      <c r="O1231" s="3" t="n">
        <v>1</v>
      </c>
      <c r="P1231" s="3" t="n">
        <v>1</v>
      </c>
      <c r="Q1231" s="3" t="n">
        <v>1</v>
      </c>
      <c r="R1231" s="3" t="n">
        <v>2</v>
      </c>
      <c r="S1231" s="3" t="n">
        <v>2</v>
      </c>
      <c r="T1231" s="4" t="n">
        <v>2</v>
      </c>
      <c r="U1231" s="3" t="n">
        <v>2</v>
      </c>
      <c r="V1231" s="3" t="n">
        <v>6</v>
      </c>
      <c r="W1231" s="3" t="n">
        <v>3.16</v>
      </c>
      <c r="X1231" s="3" t="n">
        <v>24.02</v>
      </c>
      <c r="Y1231" s="3" t="n">
        <v>516</v>
      </c>
      <c r="Z1231" s="3" t="n">
        <v>172</v>
      </c>
      <c r="AA1231" s="3" t="n">
        <v>0.53</v>
      </c>
      <c r="AB1231" s="3" t="n">
        <v>13.2</v>
      </c>
      <c r="AC1231" s="3" t="n">
        <v>2</v>
      </c>
      <c r="AD1231" s="3" t="n">
        <v>2</v>
      </c>
      <c r="AE1231" s="3" t="n">
        <v>1</v>
      </c>
      <c r="AF1231" s="3" t="n">
        <v>1</v>
      </c>
      <c r="AG1231" s="3" t="n">
        <v>2</v>
      </c>
      <c r="AH1231" s="3" t="n">
        <v>2</v>
      </c>
      <c r="AI1231" s="3" t="n">
        <v>1</v>
      </c>
      <c r="AJ1231" s="3" t="n">
        <v>2</v>
      </c>
      <c r="AK1231" s="3" t="n">
        <v>1</v>
      </c>
      <c r="AL1231" s="3" t="n">
        <v>2</v>
      </c>
      <c r="AM1231" s="3" t="n">
        <v>1</v>
      </c>
      <c r="AN1231" s="3" t="n">
        <v>1</v>
      </c>
      <c r="AO1231" s="3" t="n">
        <v>2</v>
      </c>
      <c r="AP1231" s="3" t="n">
        <v>3</v>
      </c>
      <c r="AQ1231" s="3" t="n">
        <v>4</v>
      </c>
      <c r="AR1231" s="3" t="n">
        <v>4</v>
      </c>
      <c r="AS1231" s="3" t="n">
        <v>6</v>
      </c>
      <c r="AT1231" s="3" t="n">
        <v>4</v>
      </c>
      <c r="AU1231" s="3" t="n">
        <v>4</v>
      </c>
      <c r="AV1231" s="3" t="n">
        <v>6</v>
      </c>
      <c r="AW1231" s="3" t="n">
        <v>6</v>
      </c>
      <c r="AX1231" s="3" t="n">
        <v>3</v>
      </c>
      <c r="AY1231" s="3" t="n">
        <v>3</v>
      </c>
      <c r="AZ1231" s="3" t="n">
        <v>6</v>
      </c>
      <c r="BA1231" s="5" t="n">
        <v>1</v>
      </c>
      <c r="BB1231" s="3" t="n">
        <v>1</v>
      </c>
      <c r="BC1231" s="3" t="n">
        <v>1</v>
      </c>
      <c r="BD1231" s="3" t="n">
        <v>2</v>
      </c>
      <c r="BE1231" s="3" t="n">
        <v>1</v>
      </c>
      <c r="BF1231" s="3" t="n">
        <v>2</v>
      </c>
      <c r="BG1231" s="3" t="n">
        <v>1</v>
      </c>
      <c r="BH1231" s="3" t="n">
        <v>4</v>
      </c>
      <c r="BI1231" s="3" t="n">
        <v>1</v>
      </c>
      <c r="BJ1231" s="3" t="n">
        <v>1</v>
      </c>
      <c r="BK1231" s="6" t="s">
        <v>3096</v>
      </c>
    </row>
    <row r="1232" customFormat="false" ht="15" hidden="false" customHeight="true" outlineLevel="0" collapsed="false">
      <c r="B1232" s="2" t="s">
        <v>323</v>
      </c>
      <c r="C1232" s="2" t="s">
        <v>94</v>
      </c>
      <c r="D1232" s="2" t="s">
        <v>3097</v>
      </c>
      <c r="E1232" s="2" t="n">
        <v>211847</v>
      </c>
      <c r="F1232" s="15" t="n">
        <v>44302</v>
      </c>
      <c r="G1232" s="15" t="n">
        <v>44309</v>
      </c>
      <c r="H1232" s="3" t="n">
        <v>7</v>
      </c>
      <c r="I1232" s="3" t="n">
        <v>2</v>
      </c>
      <c r="J1232" s="3" t="n">
        <v>59</v>
      </c>
      <c r="K1232" s="3" t="n">
        <v>1</v>
      </c>
      <c r="L1232" s="3" t="n">
        <v>1</v>
      </c>
      <c r="M1232" s="3" t="n">
        <v>1</v>
      </c>
      <c r="N1232" s="3" t="n">
        <v>2</v>
      </c>
      <c r="O1232" s="3" t="n">
        <v>2</v>
      </c>
      <c r="P1232" s="3" t="n">
        <v>2</v>
      </c>
      <c r="Q1232" s="3" t="n">
        <v>2</v>
      </c>
      <c r="R1232" s="3" t="n">
        <v>2</v>
      </c>
      <c r="S1232" s="3" t="n">
        <v>2</v>
      </c>
      <c r="T1232" s="4" t="n">
        <v>2</v>
      </c>
      <c r="U1232" s="3" t="n">
        <v>2</v>
      </c>
      <c r="V1232" s="3" t="n">
        <v>3.39</v>
      </c>
      <c r="W1232" s="3" t="n">
        <v>0.92</v>
      </c>
      <c r="X1232" s="3" t="n">
        <v>6.59</v>
      </c>
      <c r="Y1232" s="3" t="n">
        <v>439</v>
      </c>
      <c r="Z1232" s="3" t="n">
        <v>87</v>
      </c>
      <c r="AA1232" s="3" t="n">
        <v>0.45</v>
      </c>
      <c r="AB1232" s="3" t="n">
        <v>11.4</v>
      </c>
      <c r="AC1232" s="3" t="n">
        <v>1</v>
      </c>
      <c r="AD1232" s="3" t="n">
        <v>2</v>
      </c>
      <c r="AE1232" s="3" t="n">
        <v>2</v>
      </c>
      <c r="AF1232" s="3" t="n">
        <v>1</v>
      </c>
      <c r="AG1232" s="3" t="n">
        <v>2</v>
      </c>
      <c r="AH1232" s="3" t="n">
        <v>2</v>
      </c>
      <c r="AI1232" s="3" t="n">
        <v>1</v>
      </c>
      <c r="AJ1232" s="3" t="n">
        <v>1</v>
      </c>
      <c r="AK1232" s="3" t="n">
        <v>2</v>
      </c>
      <c r="AL1232" s="3" t="n">
        <v>2</v>
      </c>
      <c r="AM1232" s="3" t="n">
        <v>2</v>
      </c>
      <c r="AN1232" s="3" t="n">
        <v>2</v>
      </c>
      <c r="AO1232" s="3" t="n">
        <v>2</v>
      </c>
      <c r="AP1232" s="3" t="n">
        <v>3</v>
      </c>
      <c r="AQ1232" s="3" t="n">
        <v>4</v>
      </c>
      <c r="AR1232" s="3" t="n">
        <v>4</v>
      </c>
      <c r="AS1232" s="3" t="n">
        <v>6</v>
      </c>
      <c r="AT1232" s="3" t="n">
        <v>4</v>
      </c>
      <c r="AU1232" s="3" t="n">
        <v>4</v>
      </c>
      <c r="AV1232" s="3" t="n">
        <v>6</v>
      </c>
      <c r="AW1232" s="3" t="n">
        <v>6</v>
      </c>
      <c r="AX1232" s="3" t="n">
        <v>3</v>
      </c>
      <c r="AY1232" s="3" t="n">
        <v>3</v>
      </c>
      <c r="AZ1232" s="3" t="n">
        <v>1</v>
      </c>
      <c r="BA1232" s="5" t="n">
        <v>1</v>
      </c>
      <c r="BB1232" s="3" t="n">
        <v>1</v>
      </c>
      <c r="BC1232" s="3" t="n">
        <v>1</v>
      </c>
      <c r="BD1232" s="3" t="n">
        <v>4</v>
      </c>
      <c r="BE1232" s="3" t="n">
        <v>1</v>
      </c>
      <c r="BF1232" s="3" t="n">
        <v>2</v>
      </c>
      <c r="BG1232" s="3" t="n">
        <v>1</v>
      </c>
      <c r="BH1232" s="3" t="n">
        <v>4</v>
      </c>
      <c r="BI1232" s="3" t="n">
        <v>1</v>
      </c>
      <c r="BJ1232" s="3" t="n">
        <v>1</v>
      </c>
      <c r="BK1232" s="6" t="s">
        <v>3098</v>
      </c>
    </row>
    <row r="1233" customFormat="false" ht="15" hidden="false" customHeight="true" outlineLevel="0" collapsed="false">
      <c r="B1233" s="2" t="s">
        <v>2720</v>
      </c>
      <c r="C1233" s="2" t="s">
        <v>898</v>
      </c>
      <c r="D1233" s="2" t="s">
        <v>2721</v>
      </c>
      <c r="E1233" s="2" t="n">
        <v>211803</v>
      </c>
      <c r="F1233" s="15" t="n">
        <v>44301</v>
      </c>
      <c r="G1233" s="15" t="n">
        <v>44310</v>
      </c>
      <c r="H1233" s="3" t="n">
        <v>9</v>
      </c>
      <c r="I1233" s="3" t="n">
        <v>1</v>
      </c>
      <c r="J1233" s="3" t="n">
        <v>76</v>
      </c>
      <c r="K1233" s="3" t="n">
        <v>1</v>
      </c>
      <c r="L1233" s="3" t="n">
        <v>1</v>
      </c>
      <c r="M1233" s="3" t="n">
        <v>1</v>
      </c>
      <c r="N1233" s="3" t="n">
        <v>1</v>
      </c>
      <c r="O1233" s="3" t="n">
        <v>2</v>
      </c>
      <c r="P1233" s="3" t="n">
        <v>2</v>
      </c>
      <c r="Q1233" s="3" t="n">
        <v>1</v>
      </c>
      <c r="R1233" s="3" t="n">
        <v>2</v>
      </c>
      <c r="S1233" s="3" t="n">
        <v>2</v>
      </c>
      <c r="T1233" s="4" t="n">
        <v>1</v>
      </c>
      <c r="U1233" s="3" t="n">
        <v>1</v>
      </c>
      <c r="V1233" s="3" t="n">
        <v>3.16</v>
      </c>
      <c r="W1233" s="3" t="n">
        <v>1.03</v>
      </c>
      <c r="X1233" s="3" t="n">
        <v>5.8</v>
      </c>
      <c r="Y1233" s="3" t="n">
        <v>359</v>
      </c>
      <c r="Z1233" s="3" t="n">
        <v>83</v>
      </c>
      <c r="AA1233" s="3" t="n">
        <v>0.42</v>
      </c>
      <c r="AB1233" s="3" t="n">
        <v>14</v>
      </c>
      <c r="AC1233" s="3" t="n">
        <v>3</v>
      </c>
      <c r="AD1233" s="3" t="n">
        <v>1</v>
      </c>
      <c r="AE1233" s="3" t="n">
        <v>1</v>
      </c>
      <c r="AF1233" s="3" t="n">
        <v>1</v>
      </c>
      <c r="AG1233" s="3" t="n">
        <v>1</v>
      </c>
      <c r="AH1233" s="3" t="n">
        <v>2</v>
      </c>
      <c r="AI1233" s="3" t="n">
        <v>1</v>
      </c>
      <c r="AJ1233" s="3" t="n">
        <v>1</v>
      </c>
      <c r="AK1233" s="3" t="n">
        <v>2</v>
      </c>
      <c r="AL1233" s="3" t="n">
        <v>2</v>
      </c>
      <c r="AM1233" s="3" t="n">
        <v>2</v>
      </c>
      <c r="AN1233" s="3" t="n">
        <v>2</v>
      </c>
      <c r="AO1233" s="3" t="n">
        <v>2</v>
      </c>
      <c r="AP1233" s="3" t="n">
        <v>1</v>
      </c>
      <c r="AQ1233" s="3" t="n">
        <v>2</v>
      </c>
      <c r="AR1233" s="3" t="n">
        <v>4</v>
      </c>
      <c r="AS1233" s="3" t="n">
        <v>6</v>
      </c>
      <c r="AT1233" s="3" t="n">
        <v>4</v>
      </c>
      <c r="AU1233" s="3" t="n">
        <v>4</v>
      </c>
      <c r="AV1233" s="3" t="n">
        <v>1</v>
      </c>
      <c r="AW1233" s="3" t="n">
        <v>6</v>
      </c>
      <c r="AX1233" s="3" t="n">
        <v>2</v>
      </c>
      <c r="AY1233" s="3" t="n">
        <v>1</v>
      </c>
      <c r="AZ1233" s="3" t="n">
        <v>1</v>
      </c>
      <c r="BA1233" s="5" t="n">
        <v>5</v>
      </c>
      <c r="BB1233" s="3" t="n">
        <v>2</v>
      </c>
      <c r="BC1233" s="3" t="n">
        <v>1</v>
      </c>
      <c r="BD1233" s="3" t="n">
        <v>6</v>
      </c>
      <c r="BE1233" s="3" t="n">
        <v>3</v>
      </c>
      <c r="BF1233" s="3" t="n">
        <v>5</v>
      </c>
      <c r="BG1233" s="3" t="n">
        <v>3</v>
      </c>
      <c r="BH1233" s="3" t="n">
        <v>4</v>
      </c>
      <c r="BI1233" s="3" t="n">
        <v>1</v>
      </c>
      <c r="BJ1233" s="3" t="n">
        <v>1</v>
      </c>
      <c r="BK1233" s="6" t="s">
        <v>3099</v>
      </c>
    </row>
    <row r="1234" customFormat="false" ht="15" hidden="false" customHeight="true" outlineLevel="0" collapsed="false">
      <c r="B1234" s="2" t="s">
        <v>339</v>
      </c>
      <c r="C1234" s="2" t="s">
        <v>3100</v>
      </c>
      <c r="D1234" s="2" t="s">
        <v>1494</v>
      </c>
      <c r="E1234" s="2" t="n">
        <v>212355</v>
      </c>
      <c r="F1234" s="15" t="n">
        <v>44306</v>
      </c>
      <c r="G1234" s="15" t="n">
        <v>44312</v>
      </c>
      <c r="H1234" s="3" t="n">
        <v>6</v>
      </c>
      <c r="I1234" s="3" t="n">
        <v>1</v>
      </c>
      <c r="J1234" s="3" t="n">
        <v>65</v>
      </c>
      <c r="K1234" s="3" t="n">
        <v>2</v>
      </c>
      <c r="L1234" s="3" t="n">
        <v>1</v>
      </c>
      <c r="M1234" s="3" t="n">
        <v>1</v>
      </c>
      <c r="N1234" s="3" t="n">
        <v>2</v>
      </c>
      <c r="O1234" s="3" t="n">
        <v>2</v>
      </c>
      <c r="P1234" s="3" t="n">
        <v>2</v>
      </c>
      <c r="Q1234" s="3" t="n">
        <v>2</v>
      </c>
      <c r="R1234" s="3" t="n">
        <v>2</v>
      </c>
      <c r="S1234" s="3" t="n">
        <v>2</v>
      </c>
      <c r="T1234" s="4" t="n">
        <v>2</v>
      </c>
      <c r="U1234" s="3" t="n">
        <v>2</v>
      </c>
      <c r="V1234" s="3" t="n">
        <v>3.75</v>
      </c>
      <c r="W1234" s="3" t="n">
        <v>0.65</v>
      </c>
      <c r="X1234" s="3" t="n">
        <v>4.24</v>
      </c>
      <c r="Y1234" s="3" t="n">
        <v>305</v>
      </c>
      <c r="Z1234" s="3" t="n">
        <v>65</v>
      </c>
      <c r="AA1234" s="3" t="n">
        <v>0.42</v>
      </c>
      <c r="AB1234" s="3" t="n">
        <v>16.8</v>
      </c>
      <c r="AC1234" s="3" t="n">
        <v>1</v>
      </c>
      <c r="AD1234" s="3" t="n">
        <v>2</v>
      </c>
      <c r="AE1234" s="3" t="n">
        <v>2</v>
      </c>
      <c r="AF1234" s="3" t="n">
        <v>2</v>
      </c>
      <c r="AG1234" s="3" t="n">
        <v>2</v>
      </c>
      <c r="AH1234" s="3" t="n">
        <v>2</v>
      </c>
      <c r="AI1234" s="3" t="n">
        <v>1</v>
      </c>
      <c r="AJ1234" s="3" t="n">
        <v>2</v>
      </c>
      <c r="AK1234" s="3" t="n">
        <v>2</v>
      </c>
      <c r="AL1234" s="3" t="n">
        <v>2</v>
      </c>
      <c r="AM1234" s="3" t="n">
        <v>2</v>
      </c>
      <c r="AN1234" s="3" t="n">
        <v>2</v>
      </c>
      <c r="AO1234" s="3" t="n">
        <v>2</v>
      </c>
      <c r="AP1234" s="3" t="n">
        <v>3</v>
      </c>
      <c r="AQ1234" s="3" t="n">
        <v>4</v>
      </c>
      <c r="AR1234" s="3" t="n">
        <v>4</v>
      </c>
      <c r="AS1234" s="3" t="n">
        <v>6</v>
      </c>
      <c r="AT1234" s="3" t="n">
        <v>4</v>
      </c>
      <c r="AU1234" s="3" t="n">
        <v>4</v>
      </c>
      <c r="AV1234" s="3" t="n">
        <v>6</v>
      </c>
      <c r="AW1234" s="3" t="n">
        <v>6</v>
      </c>
      <c r="AX1234" s="3" t="n">
        <v>3</v>
      </c>
      <c r="AY1234" s="3" t="n">
        <v>3</v>
      </c>
      <c r="AZ1234" s="3" t="n">
        <v>5</v>
      </c>
      <c r="BA1234" s="5" t="n">
        <v>1</v>
      </c>
      <c r="BB1234" s="3" t="n">
        <v>1</v>
      </c>
      <c r="BC1234" s="3" t="n">
        <v>1</v>
      </c>
      <c r="BD1234" s="3" t="n">
        <v>4</v>
      </c>
      <c r="BE1234" s="3" t="n">
        <v>1</v>
      </c>
      <c r="BF1234" s="3" t="n">
        <v>2</v>
      </c>
      <c r="BG1234" s="3" t="n">
        <v>1</v>
      </c>
      <c r="BH1234" s="3" t="n">
        <v>4</v>
      </c>
      <c r="BI1234" s="3" t="n">
        <v>1</v>
      </c>
      <c r="BJ1234" s="3" t="n">
        <v>1</v>
      </c>
      <c r="BK1234" s="6" t="s">
        <v>3101</v>
      </c>
    </row>
    <row r="1235" customFormat="false" ht="15" hidden="false" customHeight="true" outlineLevel="0" collapsed="false">
      <c r="B1235" s="2" t="s">
        <v>3102</v>
      </c>
      <c r="C1235" s="2" t="s">
        <v>1052</v>
      </c>
      <c r="D1235" s="2" t="s">
        <v>842</v>
      </c>
      <c r="E1235" s="2" t="n">
        <v>211889</v>
      </c>
      <c r="F1235" s="15" t="n">
        <v>44304</v>
      </c>
      <c r="G1235" s="15" t="n">
        <v>44312</v>
      </c>
      <c r="H1235" s="3" t="n">
        <v>8</v>
      </c>
      <c r="I1235" s="3" t="n">
        <v>2</v>
      </c>
      <c r="J1235" s="3" t="n">
        <v>68</v>
      </c>
      <c r="K1235" s="3" t="n">
        <v>1</v>
      </c>
      <c r="L1235" s="3" t="n">
        <v>1</v>
      </c>
      <c r="M1235" s="3" t="n">
        <v>2</v>
      </c>
      <c r="N1235" s="3" t="n">
        <v>2</v>
      </c>
      <c r="O1235" s="3" t="n">
        <v>2</v>
      </c>
      <c r="P1235" s="3" t="n">
        <v>2</v>
      </c>
      <c r="Q1235" s="3" t="n">
        <v>2</v>
      </c>
      <c r="R1235" s="3" t="n">
        <v>2</v>
      </c>
      <c r="S1235" s="3" t="n">
        <v>2</v>
      </c>
      <c r="T1235" s="4" t="n">
        <v>1</v>
      </c>
      <c r="U1235" s="3" t="n">
        <v>1</v>
      </c>
      <c r="V1235" s="3" t="n">
        <v>4.96</v>
      </c>
      <c r="W1235" s="3" t="n">
        <v>1.06</v>
      </c>
      <c r="X1235" s="3" t="n">
        <v>4.88</v>
      </c>
      <c r="Y1235" s="3" t="n">
        <v>335</v>
      </c>
      <c r="Z1235" s="3" t="n">
        <v>68</v>
      </c>
      <c r="AA1235" s="3" t="n">
        <v>0.45</v>
      </c>
      <c r="AB1235" s="3" t="n">
        <v>11.4</v>
      </c>
      <c r="AC1235" s="3" t="n">
        <v>1</v>
      </c>
      <c r="AD1235" s="3" t="n">
        <v>2</v>
      </c>
      <c r="AE1235" s="3" t="n">
        <v>2</v>
      </c>
      <c r="AF1235" s="3" t="n">
        <v>1</v>
      </c>
      <c r="AG1235" s="3" t="n">
        <v>2</v>
      </c>
      <c r="AH1235" s="3" t="n">
        <v>2</v>
      </c>
      <c r="AI1235" s="3" t="n">
        <v>1</v>
      </c>
      <c r="AJ1235" s="3" t="n">
        <v>2</v>
      </c>
      <c r="AK1235" s="3" t="n">
        <v>2</v>
      </c>
      <c r="AL1235" s="3" t="n">
        <v>2</v>
      </c>
      <c r="AM1235" s="3" t="n">
        <v>2</v>
      </c>
      <c r="AN1235" s="3" t="n">
        <v>2</v>
      </c>
      <c r="AO1235" s="3" t="n">
        <v>2</v>
      </c>
      <c r="AP1235" s="3" t="n">
        <v>3</v>
      </c>
      <c r="AQ1235" s="3" t="n">
        <v>4</v>
      </c>
      <c r="AR1235" s="3" t="n">
        <v>4</v>
      </c>
      <c r="AS1235" s="3" t="n">
        <v>6</v>
      </c>
      <c r="AT1235" s="3" t="n">
        <v>4</v>
      </c>
      <c r="AU1235" s="3" t="n">
        <v>4</v>
      </c>
      <c r="AV1235" s="3" t="n">
        <v>6</v>
      </c>
      <c r="AW1235" s="3" t="n">
        <v>6</v>
      </c>
      <c r="AX1235" s="3" t="n">
        <v>3</v>
      </c>
      <c r="AY1235" s="3" t="n">
        <v>3</v>
      </c>
      <c r="AZ1235" s="3" t="n">
        <v>6</v>
      </c>
      <c r="BA1235" s="5" t="n">
        <v>1</v>
      </c>
      <c r="BB1235" s="3" t="n">
        <v>1</v>
      </c>
      <c r="BC1235" s="3" t="n">
        <v>1</v>
      </c>
      <c r="BD1235" s="3" t="n">
        <v>4</v>
      </c>
      <c r="BE1235" s="3" t="n">
        <v>1</v>
      </c>
      <c r="BF1235" s="3" t="n">
        <v>2</v>
      </c>
      <c r="BG1235" s="3" t="n">
        <v>1</v>
      </c>
      <c r="BH1235" s="3" t="n">
        <v>4</v>
      </c>
      <c r="BI1235" s="3" t="n">
        <v>1</v>
      </c>
      <c r="BJ1235" s="3" t="n">
        <v>1</v>
      </c>
      <c r="BK1235" s="6" t="s">
        <v>3103</v>
      </c>
    </row>
    <row r="1236" customFormat="false" ht="15" hidden="false" customHeight="true" outlineLevel="0" collapsed="false">
      <c r="B1236" s="2" t="s">
        <v>3104</v>
      </c>
      <c r="C1236" s="2" t="s">
        <v>260</v>
      </c>
      <c r="D1236" s="2" t="s">
        <v>386</v>
      </c>
      <c r="E1236" s="2" t="n">
        <v>212330</v>
      </c>
      <c r="F1236" s="15" t="n">
        <v>44307</v>
      </c>
      <c r="G1236" s="15" t="n">
        <v>44312</v>
      </c>
      <c r="H1236" s="3" t="n">
        <v>5</v>
      </c>
      <c r="I1236" s="3" t="n">
        <v>1</v>
      </c>
      <c r="J1236" s="3" t="n">
        <v>54</v>
      </c>
      <c r="K1236" s="3" t="n">
        <v>1</v>
      </c>
      <c r="L1236" s="3" t="n">
        <v>2</v>
      </c>
      <c r="M1236" s="3" t="n">
        <v>1</v>
      </c>
      <c r="N1236" s="3" t="n">
        <v>2</v>
      </c>
      <c r="O1236" s="3" t="n">
        <v>1</v>
      </c>
      <c r="P1236" s="3" t="n">
        <v>1</v>
      </c>
      <c r="Q1236" s="3" t="n">
        <v>1</v>
      </c>
      <c r="R1236" s="3" t="n">
        <v>1</v>
      </c>
      <c r="S1236" s="3" t="n">
        <v>2</v>
      </c>
      <c r="T1236" s="4" t="n">
        <v>3</v>
      </c>
      <c r="U1236" s="3" t="n">
        <v>1</v>
      </c>
      <c r="V1236" s="3" t="n">
        <v>4.31</v>
      </c>
      <c r="W1236" s="3" t="n">
        <v>1.08</v>
      </c>
      <c r="X1236" s="3" t="n">
        <v>6.2</v>
      </c>
      <c r="Y1236" s="3" t="n">
        <v>497</v>
      </c>
      <c r="Z1236" s="3" t="n">
        <v>877</v>
      </c>
      <c r="AA1236" s="3" t="n">
        <v>0.22</v>
      </c>
      <c r="AB1236" s="3" t="n">
        <v>12.4</v>
      </c>
      <c r="AC1236" s="3" t="n">
        <v>1</v>
      </c>
      <c r="AD1236" s="3" t="n">
        <v>1</v>
      </c>
      <c r="AE1236" s="3" t="n">
        <v>2</v>
      </c>
      <c r="AF1236" s="3" t="n">
        <v>1</v>
      </c>
      <c r="AG1236" s="3" t="n">
        <v>2</v>
      </c>
      <c r="AH1236" s="3" t="n">
        <v>1</v>
      </c>
      <c r="AI1236" s="3" t="n">
        <v>1</v>
      </c>
      <c r="AJ1236" s="3" t="n">
        <v>2</v>
      </c>
      <c r="AK1236" s="3" t="n">
        <v>1</v>
      </c>
      <c r="AL1236" s="3" t="n">
        <v>2</v>
      </c>
      <c r="AM1236" s="3" t="n">
        <v>1</v>
      </c>
      <c r="AN1236" s="3" t="n">
        <v>1</v>
      </c>
      <c r="AO1236" s="3" t="n">
        <v>2</v>
      </c>
      <c r="AP1236" s="3" t="n">
        <v>3</v>
      </c>
      <c r="AQ1236" s="3" t="n">
        <v>4</v>
      </c>
      <c r="AR1236" s="3" t="n">
        <v>4</v>
      </c>
      <c r="AS1236" s="3" t="n">
        <v>6</v>
      </c>
      <c r="AT1236" s="3" t="n">
        <v>4</v>
      </c>
      <c r="AU1236" s="3" t="n">
        <v>4</v>
      </c>
      <c r="AV1236" s="3" t="n">
        <v>6</v>
      </c>
      <c r="AW1236" s="3" t="n">
        <v>6</v>
      </c>
      <c r="AX1236" s="3" t="n">
        <v>3</v>
      </c>
      <c r="AY1236" s="3" t="n">
        <v>3</v>
      </c>
      <c r="AZ1236" s="3" t="n">
        <v>1</v>
      </c>
      <c r="BA1236" s="5" t="n">
        <v>11</v>
      </c>
      <c r="BB1236" s="3" t="n">
        <v>2</v>
      </c>
      <c r="BC1236" s="3" t="n">
        <v>1</v>
      </c>
      <c r="BD1236" s="3" t="n">
        <v>6</v>
      </c>
      <c r="BE1236" s="3" t="n">
        <v>3</v>
      </c>
      <c r="BF1236" s="3" t="n">
        <v>5</v>
      </c>
      <c r="BG1236" s="3" t="n">
        <v>3</v>
      </c>
      <c r="BH1236" s="3" t="n">
        <v>4</v>
      </c>
      <c r="BI1236" s="3" t="n">
        <v>1</v>
      </c>
      <c r="BJ1236" s="3" t="n">
        <v>1</v>
      </c>
      <c r="BK1236" s="6" t="s">
        <v>3105</v>
      </c>
    </row>
    <row r="1237" s="30" customFormat="true" ht="15" hidden="false" customHeight="true" outlineLevel="0" collapsed="false">
      <c r="A1237" s="24"/>
      <c r="B1237" s="26" t="s">
        <v>3106</v>
      </c>
      <c r="C1237" s="26" t="s">
        <v>94</v>
      </c>
      <c r="D1237" s="26" t="s">
        <v>770</v>
      </c>
      <c r="E1237" s="26" t="n">
        <v>212700</v>
      </c>
      <c r="F1237" s="27" t="n">
        <v>44312</v>
      </c>
      <c r="G1237" s="27" t="n">
        <v>44312</v>
      </c>
      <c r="H1237" s="30" t="n">
        <v>0</v>
      </c>
      <c r="I1237" s="30" t="n">
        <v>2</v>
      </c>
      <c r="J1237" s="30" t="n">
        <v>67</v>
      </c>
      <c r="K1237" s="30" t="n">
        <v>1</v>
      </c>
      <c r="L1237" s="30" t="n">
        <v>2</v>
      </c>
      <c r="M1237" s="30" t="n">
        <v>1</v>
      </c>
      <c r="N1237" s="30" t="n">
        <v>1</v>
      </c>
      <c r="O1237" s="30" t="n">
        <v>2</v>
      </c>
      <c r="P1237" s="30" t="n">
        <v>2</v>
      </c>
      <c r="Q1237" s="30" t="n">
        <v>1</v>
      </c>
      <c r="R1237" s="30" t="n">
        <v>2</v>
      </c>
      <c r="S1237" s="30" t="n">
        <v>2</v>
      </c>
      <c r="T1237" s="4" t="n">
        <v>1</v>
      </c>
      <c r="U1237" s="30" t="n">
        <v>1</v>
      </c>
      <c r="AD1237" s="30" t="n">
        <v>1</v>
      </c>
      <c r="AE1237" s="30" t="n">
        <v>1</v>
      </c>
      <c r="AF1237" s="30" t="n">
        <v>1</v>
      </c>
      <c r="AG1237" s="30" t="n">
        <v>1</v>
      </c>
      <c r="AH1237" s="30" t="n">
        <v>1</v>
      </c>
      <c r="AI1237" s="30" t="n">
        <v>1</v>
      </c>
      <c r="AJ1237" s="30" t="n">
        <v>2</v>
      </c>
      <c r="AK1237" s="30" t="n">
        <v>2</v>
      </c>
      <c r="AL1237" s="30" t="n">
        <v>2</v>
      </c>
      <c r="AM1237" s="30" t="n">
        <v>2</v>
      </c>
      <c r="AN1237" s="30" t="n">
        <v>1</v>
      </c>
      <c r="AO1237" s="30" t="n">
        <v>2</v>
      </c>
      <c r="AP1237" s="30" t="n">
        <v>3</v>
      </c>
      <c r="AQ1237" s="30" t="n">
        <v>4</v>
      </c>
      <c r="AR1237" s="30" t="n">
        <v>4</v>
      </c>
      <c r="AS1237" s="30" t="n">
        <v>6</v>
      </c>
      <c r="AT1237" s="30" t="n">
        <v>4</v>
      </c>
      <c r="AU1237" s="30" t="n">
        <v>4</v>
      </c>
      <c r="AV1237" s="30" t="n">
        <v>6</v>
      </c>
      <c r="AW1237" s="30" t="n">
        <v>6</v>
      </c>
      <c r="AX1237" s="30" t="n">
        <v>3</v>
      </c>
      <c r="AY1237" s="30" t="n">
        <v>3</v>
      </c>
      <c r="AZ1237" s="30" t="n">
        <v>10</v>
      </c>
      <c r="BA1237" s="5" t="n">
        <v>5</v>
      </c>
      <c r="BB1237" s="30" t="n">
        <v>2</v>
      </c>
      <c r="BC1237" s="30" t="n">
        <v>2</v>
      </c>
      <c r="BD1237" s="30" t="n">
        <v>6</v>
      </c>
      <c r="BE1237" s="30" t="n">
        <v>3</v>
      </c>
      <c r="BF1237" s="30" t="n">
        <v>5</v>
      </c>
      <c r="BG1237" s="30" t="n">
        <v>3</v>
      </c>
      <c r="BH1237" s="30" t="n">
        <v>4</v>
      </c>
      <c r="BI1237" s="30" t="n">
        <v>1</v>
      </c>
      <c r="BJ1237" s="30" t="n">
        <v>1</v>
      </c>
      <c r="BK1237" s="31" t="s">
        <v>3107</v>
      </c>
    </row>
    <row r="1238" customFormat="false" ht="15" hidden="false" customHeight="true" outlineLevel="0" collapsed="false">
      <c r="B1238" s="2" t="s">
        <v>3108</v>
      </c>
      <c r="C1238" s="2" t="s">
        <v>2992</v>
      </c>
      <c r="D1238" s="2" t="s">
        <v>2224</v>
      </c>
      <c r="E1238" s="2" t="n">
        <v>211053</v>
      </c>
      <c r="F1238" s="15" t="n">
        <v>44305</v>
      </c>
      <c r="G1238" s="15" t="n">
        <v>44314</v>
      </c>
      <c r="H1238" s="3" t="n">
        <v>7</v>
      </c>
      <c r="I1238" s="3" t="n">
        <v>1</v>
      </c>
      <c r="J1238" s="3" t="n">
        <v>53</v>
      </c>
      <c r="K1238" s="3" t="n">
        <v>1</v>
      </c>
      <c r="L1238" s="3" t="n">
        <v>1</v>
      </c>
      <c r="M1238" s="3" t="n">
        <v>1</v>
      </c>
      <c r="N1238" s="3" t="n">
        <v>2</v>
      </c>
      <c r="O1238" s="3" t="n">
        <v>2</v>
      </c>
      <c r="P1238" s="3" t="n">
        <v>2</v>
      </c>
      <c r="Q1238" s="3" t="n">
        <v>2</v>
      </c>
      <c r="R1238" s="3" t="n">
        <v>2</v>
      </c>
      <c r="S1238" s="3" t="n">
        <v>2</v>
      </c>
      <c r="T1238" s="4" t="n">
        <v>1</v>
      </c>
      <c r="U1238" s="3" t="n">
        <v>4</v>
      </c>
      <c r="V1238" s="3" t="n">
        <v>3.1</v>
      </c>
      <c r="W1238" s="3" t="n">
        <v>0.45</v>
      </c>
      <c r="X1238" s="3" t="n">
        <v>5.4</v>
      </c>
      <c r="Y1238" s="3" t="n">
        <v>191</v>
      </c>
      <c r="Z1238" s="3" t="n">
        <v>76</v>
      </c>
      <c r="AA1238" s="3" t="n">
        <v>0.36</v>
      </c>
      <c r="AB1238" s="3" t="n">
        <v>7</v>
      </c>
      <c r="AD1238" s="3" t="n">
        <v>1</v>
      </c>
      <c r="AE1238" s="3" t="n">
        <v>1</v>
      </c>
      <c r="AF1238" s="3" t="n">
        <v>1</v>
      </c>
      <c r="AG1238" s="3" t="n">
        <v>1</v>
      </c>
      <c r="AH1238" s="3" t="n">
        <v>2</v>
      </c>
      <c r="AI1238" s="3" t="n">
        <v>2</v>
      </c>
      <c r="AJ1238" s="3" t="n">
        <v>2</v>
      </c>
      <c r="AK1238" s="3" t="n">
        <v>2</v>
      </c>
      <c r="AL1238" s="3" t="n">
        <v>2</v>
      </c>
      <c r="AM1238" s="3" t="n">
        <v>2</v>
      </c>
      <c r="AN1238" s="3" t="n">
        <v>2</v>
      </c>
      <c r="AO1238" s="3" t="n">
        <v>1</v>
      </c>
      <c r="AP1238" s="3" t="n">
        <v>3</v>
      </c>
      <c r="AQ1238" s="3" t="n">
        <v>4</v>
      </c>
      <c r="AR1238" s="3" t="n">
        <v>4</v>
      </c>
      <c r="AS1238" s="3" t="n">
        <v>6</v>
      </c>
      <c r="AT1238" s="3" t="n">
        <v>4</v>
      </c>
      <c r="AU1238" s="3" t="n">
        <v>4</v>
      </c>
      <c r="AV1238" s="3" t="n">
        <v>6</v>
      </c>
      <c r="AW1238" s="3" t="n">
        <v>6</v>
      </c>
      <c r="AX1238" s="3" t="n">
        <v>3</v>
      </c>
      <c r="AY1238" s="3" t="n">
        <v>3</v>
      </c>
      <c r="AZ1238" s="3" t="n">
        <v>1</v>
      </c>
      <c r="BA1238" s="5" t="n">
        <v>5</v>
      </c>
      <c r="BB1238" s="3" t="n">
        <v>2</v>
      </c>
      <c r="BC1238" s="3" t="n">
        <v>1</v>
      </c>
      <c r="BD1238" s="3" t="n">
        <v>6</v>
      </c>
      <c r="BE1238" s="3" t="n">
        <v>3</v>
      </c>
      <c r="BF1238" s="3" t="n">
        <v>5</v>
      </c>
      <c r="BG1238" s="3" t="n">
        <v>3</v>
      </c>
      <c r="BH1238" s="3" t="n">
        <v>4</v>
      </c>
      <c r="BI1238" s="3" t="n">
        <v>1</v>
      </c>
      <c r="BJ1238" s="3" t="n">
        <v>1</v>
      </c>
      <c r="BK1238" s="6" t="s">
        <v>3109</v>
      </c>
    </row>
    <row r="1239" customFormat="false" ht="15" hidden="false" customHeight="true" outlineLevel="0" collapsed="false">
      <c r="B1239" s="2" t="s">
        <v>274</v>
      </c>
      <c r="C1239" s="2" t="s">
        <v>78</v>
      </c>
      <c r="D1239" s="2" t="s">
        <v>95</v>
      </c>
      <c r="E1239" s="2" t="n">
        <v>212695</v>
      </c>
      <c r="F1239" s="15" t="n">
        <v>44311</v>
      </c>
      <c r="G1239" s="15" t="n">
        <v>44314</v>
      </c>
      <c r="H1239" s="3" t="n">
        <v>3</v>
      </c>
      <c r="I1239" s="3" t="n">
        <v>1</v>
      </c>
      <c r="J1239" s="3" t="n">
        <v>32</v>
      </c>
      <c r="K1239" s="3" t="n">
        <v>2</v>
      </c>
      <c r="L1239" s="3" t="n">
        <v>1</v>
      </c>
      <c r="M1239" s="3" t="n">
        <v>2</v>
      </c>
      <c r="N1239" s="3" t="n">
        <v>2</v>
      </c>
      <c r="O1239" s="3" t="n">
        <v>2</v>
      </c>
      <c r="P1239" s="3" t="n">
        <v>2</v>
      </c>
      <c r="Q1239" s="3" t="n">
        <v>2</v>
      </c>
      <c r="R1239" s="3" t="n">
        <v>2</v>
      </c>
      <c r="S1239" s="3" t="n">
        <v>2</v>
      </c>
      <c r="T1239" s="4" t="n">
        <v>2</v>
      </c>
      <c r="U1239" s="3" t="n">
        <v>2</v>
      </c>
      <c r="AC1239" s="3" t="n">
        <v>1</v>
      </c>
      <c r="AD1239" s="3" t="n">
        <v>2</v>
      </c>
      <c r="AE1239" s="3" t="n">
        <v>2</v>
      </c>
      <c r="AF1239" s="3" t="n">
        <v>1</v>
      </c>
      <c r="AG1239" s="3" t="n">
        <v>2</v>
      </c>
      <c r="AH1239" s="3" t="n">
        <v>2</v>
      </c>
      <c r="AI1239" s="3" t="n">
        <v>1</v>
      </c>
      <c r="AJ1239" s="3" t="n">
        <v>1</v>
      </c>
      <c r="AK1239" s="3" t="n">
        <v>2</v>
      </c>
      <c r="AL1239" s="3" t="n">
        <v>2</v>
      </c>
      <c r="AM1239" s="3" t="n">
        <v>2</v>
      </c>
      <c r="AN1239" s="3" t="n">
        <v>2</v>
      </c>
      <c r="AO1239" s="3" t="n">
        <v>2</v>
      </c>
      <c r="AP1239" s="3" t="n">
        <v>3</v>
      </c>
      <c r="AQ1239" s="3" t="n">
        <v>4</v>
      </c>
      <c r="AR1239" s="3" t="n">
        <v>4</v>
      </c>
      <c r="AS1239" s="3" t="n">
        <v>6</v>
      </c>
      <c r="AT1239" s="3" t="n">
        <v>4</v>
      </c>
      <c r="AU1239" s="3" t="n">
        <v>4</v>
      </c>
      <c r="AV1239" s="3" t="n">
        <v>6</v>
      </c>
      <c r="AW1239" s="3" t="n">
        <v>6</v>
      </c>
      <c r="AX1239" s="3" t="n">
        <v>3</v>
      </c>
      <c r="AY1239" s="3" t="n">
        <v>3</v>
      </c>
      <c r="AZ1239" s="3" t="n">
        <v>1</v>
      </c>
      <c r="BA1239" s="5" t="n">
        <v>12</v>
      </c>
      <c r="BB1239" s="3" t="n">
        <v>2</v>
      </c>
      <c r="BC1239" s="3" t="n">
        <v>1</v>
      </c>
      <c r="BD1239" s="3" t="n">
        <v>6</v>
      </c>
      <c r="BE1239" s="3" t="n">
        <v>3</v>
      </c>
      <c r="BF1239" s="3" t="n">
        <v>5</v>
      </c>
      <c r="BG1239" s="3" t="n">
        <v>3</v>
      </c>
      <c r="BH1239" s="3" t="n">
        <v>4</v>
      </c>
      <c r="BI1239" s="3" t="n">
        <v>1</v>
      </c>
      <c r="BJ1239" s="3" t="n">
        <v>1</v>
      </c>
      <c r="BK1239" s="6" t="s">
        <v>3110</v>
      </c>
    </row>
    <row r="1240" customFormat="false" ht="15" hidden="false" customHeight="true" outlineLevel="0" collapsed="false">
      <c r="B1240" s="2" t="s">
        <v>3111</v>
      </c>
      <c r="C1240" s="2" t="s">
        <v>3112</v>
      </c>
      <c r="D1240" s="2" t="s">
        <v>118</v>
      </c>
      <c r="E1240" s="2" t="n">
        <v>212648</v>
      </c>
      <c r="F1240" s="15" t="n">
        <v>44310</v>
      </c>
      <c r="G1240" s="15" t="n">
        <v>44316</v>
      </c>
      <c r="H1240" s="3" t="n">
        <v>6</v>
      </c>
      <c r="I1240" s="3" t="n">
        <v>2</v>
      </c>
      <c r="J1240" s="3" t="n">
        <v>45</v>
      </c>
      <c r="K1240" s="3" t="n">
        <v>1</v>
      </c>
      <c r="L1240" s="3" t="n">
        <v>1</v>
      </c>
      <c r="M1240" s="3" t="n">
        <v>2</v>
      </c>
      <c r="N1240" s="3" t="n">
        <v>2</v>
      </c>
      <c r="O1240" s="3" t="n">
        <v>2</v>
      </c>
      <c r="P1240" s="3" t="n">
        <v>2</v>
      </c>
      <c r="Q1240" s="3" t="n">
        <v>2</v>
      </c>
      <c r="R1240" s="3" t="n">
        <v>2</v>
      </c>
      <c r="S1240" s="3" t="n">
        <v>2</v>
      </c>
      <c r="T1240" s="4" t="n">
        <v>2</v>
      </c>
      <c r="U1240" s="3" t="n">
        <v>2</v>
      </c>
      <c r="V1240" s="3" t="n">
        <v>4.84</v>
      </c>
      <c r="W1240" s="3" t="n">
        <v>1.33</v>
      </c>
      <c r="X1240" s="3" t="n">
        <v>7.25</v>
      </c>
      <c r="Y1240" s="3" t="n">
        <v>325</v>
      </c>
      <c r="Z1240" s="3" t="n">
        <v>108</v>
      </c>
      <c r="AA1240" s="3" t="n">
        <v>0.41</v>
      </c>
      <c r="AB1240" s="3" t="n">
        <v>18.4</v>
      </c>
      <c r="AC1240" s="3" t="n">
        <v>1</v>
      </c>
      <c r="AD1240" s="3" t="n">
        <v>2</v>
      </c>
      <c r="AE1240" s="3" t="n">
        <v>2</v>
      </c>
      <c r="AF1240" s="3" t="n">
        <v>1</v>
      </c>
      <c r="AG1240" s="3" t="n">
        <v>2</v>
      </c>
      <c r="AH1240" s="3" t="n">
        <v>2</v>
      </c>
      <c r="AI1240" s="3" t="n">
        <v>1</v>
      </c>
      <c r="AJ1240" s="3" t="n">
        <v>2</v>
      </c>
      <c r="AK1240" s="3" t="n">
        <v>2</v>
      </c>
      <c r="AL1240" s="3" t="n">
        <v>2</v>
      </c>
      <c r="AM1240" s="3" t="n">
        <v>2</v>
      </c>
      <c r="AN1240" s="3" t="n">
        <v>2</v>
      </c>
      <c r="AO1240" s="3" t="n">
        <v>2</v>
      </c>
      <c r="AP1240" s="3" t="n">
        <v>3</v>
      </c>
      <c r="AQ1240" s="3" t="n">
        <v>4</v>
      </c>
      <c r="AR1240" s="3" t="n">
        <v>4</v>
      </c>
      <c r="AS1240" s="3" t="n">
        <v>6</v>
      </c>
      <c r="AT1240" s="3" t="n">
        <v>4</v>
      </c>
      <c r="AU1240" s="3" t="n">
        <v>4</v>
      </c>
      <c r="AV1240" s="3" t="n">
        <v>6</v>
      </c>
      <c r="AW1240" s="3" t="n">
        <v>6</v>
      </c>
      <c r="AX1240" s="3" t="n">
        <v>3</v>
      </c>
      <c r="AY1240" s="3" t="n">
        <v>3</v>
      </c>
      <c r="AZ1240" s="3" t="n">
        <v>1</v>
      </c>
      <c r="BA1240" s="5" t="n">
        <v>1</v>
      </c>
      <c r="BB1240" s="3" t="n">
        <v>1</v>
      </c>
      <c r="BC1240" s="3" t="n">
        <v>1</v>
      </c>
      <c r="BD1240" s="3" t="n">
        <v>4</v>
      </c>
      <c r="BE1240" s="3" t="n">
        <v>1</v>
      </c>
      <c r="BF1240" s="3" t="n">
        <v>2</v>
      </c>
      <c r="BG1240" s="3" t="n">
        <v>1</v>
      </c>
      <c r="BH1240" s="3" t="n">
        <v>4</v>
      </c>
      <c r="BI1240" s="3" t="n">
        <v>1</v>
      </c>
      <c r="BJ1240" s="3" t="n">
        <v>1</v>
      </c>
      <c r="BK1240" s="6" t="s">
        <v>3113</v>
      </c>
    </row>
    <row r="1241" customFormat="false" ht="15" hidden="false" customHeight="true" outlineLevel="0" collapsed="false">
      <c r="B1241" s="2" t="s">
        <v>3114</v>
      </c>
      <c r="C1241" s="2" t="s">
        <v>248</v>
      </c>
      <c r="D1241" s="2" t="s">
        <v>826</v>
      </c>
      <c r="E1241" s="2" t="n">
        <v>212675</v>
      </c>
      <c r="F1241" s="15" t="n">
        <v>44310</v>
      </c>
      <c r="G1241" s="15" t="n">
        <v>44317</v>
      </c>
      <c r="H1241" s="3" t="n">
        <v>7</v>
      </c>
      <c r="I1241" s="3" t="n">
        <v>1</v>
      </c>
      <c r="J1241" s="3" t="n">
        <v>69</v>
      </c>
      <c r="K1241" s="3" t="n">
        <v>1</v>
      </c>
      <c r="L1241" s="3" t="n">
        <v>1</v>
      </c>
      <c r="M1241" s="3" t="n">
        <v>1</v>
      </c>
      <c r="N1241" s="3" t="n">
        <v>2</v>
      </c>
      <c r="O1241" s="3" t="n">
        <v>2</v>
      </c>
      <c r="P1241" s="3" t="n">
        <v>2</v>
      </c>
      <c r="Q1241" s="3" t="n">
        <v>2</v>
      </c>
      <c r="R1241" s="3" t="n">
        <v>2</v>
      </c>
      <c r="S1241" s="3" t="n">
        <v>2</v>
      </c>
      <c r="T1241" s="4" t="n">
        <v>2</v>
      </c>
      <c r="U1241" s="3" t="n">
        <v>2</v>
      </c>
      <c r="V1241" s="3" t="n">
        <v>5.88</v>
      </c>
      <c r="W1241" s="3" t="n">
        <v>1.44</v>
      </c>
      <c r="X1241" s="3" t="n">
        <v>6.68</v>
      </c>
      <c r="Y1241" s="3" t="n">
        <v>246</v>
      </c>
      <c r="Z1241" s="3" t="n">
        <v>55</v>
      </c>
      <c r="AA1241" s="3" t="n">
        <v>0.42</v>
      </c>
      <c r="AB1241" s="3" t="n">
        <v>18.2</v>
      </c>
      <c r="AC1241" s="3" t="n">
        <v>1</v>
      </c>
      <c r="AD1241" s="3" t="n">
        <v>2</v>
      </c>
      <c r="AE1241" s="3" t="n">
        <v>2</v>
      </c>
      <c r="AF1241" s="3" t="n">
        <v>1</v>
      </c>
      <c r="AG1241" s="3" t="n">
        <v>1</v>
      </c>
      <c r="AH1241" s="3" t="n">
        <v>1</v>
      </c>
      <c r="AI1241" s="3" t="n">
        <v>1</v>
      </c>
      <c r="AJ1241" s="3" t="n">
        <v>1</v>
      </c>
      <c r="AK1241" s="3" t="n">
        <v>2</v>
      </c>
      <c r="AL1241" s="3" t="n">
        <v>2</v>
      </c>
      <c r="AM1241" s="3" t="n">
        <v>2</v>
      </c>
      <c r="AN1241" s="3" t="n">
        <v>2</v>
      </c>
      <c r="AO1241" s="3" t="n">
        <v>2</v>
      </c>
      <c r="AP1241" s="3" t="n">
        <v>3</v>
      </c>
      <c r="AQ1241" s="3" t="n">
        <v>4</v>
      </c>
      <c r="AR1241" s="3" t="n">
        <v>4</v>
      </c>
      <c r="AS1241" s="3" t="n">
        <v>6</v>
      </c>
      <c r="AT1241" s="3" t="n">
        <v>4</v>
      </c>
      <c r="AU1241" s="3" t="n">
        <v>4</v>
      </c>
      <c r="AV1241" s="3" t="n">
        <v>6</v>
      </c>
      <c r="AW1241" s="3" t="n">
        <v>6</v>
      </c>
      <c r="AX1241" s="3" t="n">
        <v>3</v>
      </c>
      <c r="AY1241" s="3" t="n">
        <v>3</v>
      </c>
      <c r="AZ1241" s="3" t="n">
        <v>1</v>
      </c>
      <c r="BA1241" s="5" t="n">
        <v>1</v>
      </c>
      <c r="BB1241" s="3" t="n">
        <v>1</v>
      </c>
      <c r="BC1241" s="3" t="n">
        <v>1</v>
      </c>
      <c r="BD1241" s="3" t="n">
        <v>2</v>
      </c>
      <c r="BE1241" s="3" t="n">
        <v>1</v>
      </c>
      <c r="BF1241" s="3" t="n">
        <v>2</v>
      </c>
      <c r="BG1241" s="3" t="n">
        <v>1</v>
      </c>
      <c r="BH1241" s="3" t="n">
        <v>4</v>
      </c>
      <c r="BI1241" s="3" t="n">
        <v>1</v>
      </c>
      <c r="BJ1241" s="3" t="n">
        <v>1</v>
      </c>
      <c r="BK1241" s="6" t="s">
        <v>3115</v>
      </c>
    </row>
    <row r="1242" customFormat="false" ht="15" hidden="false" customHeight="true" outlineLevel="0" collapsed="false">
      <c r="B1242" s="17" t="s">
        <v>1477</v>
      </c>
      <c r="C1242" s="17" t="s">
        <v>1518</v>
      </c>
      <c r="D1242" s="17" t="s">
        <v>210</v>
      </c>
      <c r="E1242" s="2" t="n">
        <v>211923</v>
      </c>
      <c r="F1242" s="15" t="n">
        <v>44298</v>
      </c>
      <c r="G1242" s="15" t="n">
        <v>44319</v>
      </c>
      <c r="H1242" s="3" t="n">
        <v>21</v>
      </c>
      <c r="I1242" s="3" t="n">
        <v>2</v>
      </c>
      <c r="J1242" s="3" t="n">
        <v>72</v>
      </c>
      <c r="K1242" s="3" t="n">
        <v>1</v>
      </c>
      <c r="L1242" s="3" t="n">
        <v>2</v>
      </c>
      <c r="M1242" s="3" t="n">
        <v>1</v>
      </c>
      <c r="N1242" s="3" t="n">
        <v>2</v>
      </c>
      <c r="O1242" s="3" t="n">
        <v>2</v>
      </c>
      <c r="P1242" s="3" t="n">
        <v>2</v>
      </c>
      <c r="Q1242" s="3" t="n">
        <v>2</v>
      </c>
      <c r="R1242" s="3" t="n">
        <v>2</v>
      </c>
      <c r="S1242" s="3" t="n">
        <v>2</v>
      </c>
      <c r="T1242" s="4" t="n">
        <v>4</v>
      </c>
      <c r="U1242" s="3" t="n">
        <v>4</v>
      </c>
      <c r="V1242" s="3" t="n">
        <v>5.22</v>
      </c>
      <c r="W1242" s="3" t="n">
        <v>0.49</v>
      </c>
      <c r="X1242" s="3" t="n">
        <v>4.23</v>
      </c>
      <c r="Y1242" s="3" t="n">
        <v>295</v>
      </c>
      <c r="Z1242" s="3" t="n">
        <v>82</v>
      </c>
      <c r="AA1242" s="3" t="n">
        <v>0.42</v>
      </c>
      <c r="AB1242" s="3" t="n">
        <v>5</v>
      </c>
      <c r="AC1242" s="3" t="n">
        <v>1</v>
      </c>
      <c r="AD1242" s="3" t="n">
        <v>1</v>
      </c>
      <c r="AE1242" s="3" t="n">
        <v>2</v>
      </c>
      <c r="AF1242" s="3" t="n">
        <v>2</v>
      </c>
      <c r="AG1242" s="3" t="n">
        <v>2</v>
      </c>
      <c r="AH1242" s="3" t="n">
        <v>2</v>
      </c>
      <c r="AI1242" s="3" t="n">
        <v>1</v>
      </c>
      <c r="AJ1242" s="3" t="n">
        <v>1</v>
      </c>
      <c r="AK1242" s="3" t="n">
        <v>2</v>
      </c>
      <c r="AL1242" s="3" t="n">
        <v>2</v>
      </c>
      <c r="AM1242" s="3" t="n">
        <v>1</v>
      </c>
      <c r="AN1242" s="3" t="n">
        <v>2</v>
      </c>
      <c r="AO1242" s="3" t="n">
        <v>2</v>
      </c>
      <c r="AP1242" s="3" t="n">
        <v>3</v>
      </c>
      <c r="AQ1242" s="3" t="n">
        <v>4</v>
      </c>
      <c r="AR1242" s="3" t="n">
        <v>4</v>
      </c>
      <c r="AS1242" s="3" t="n">
        <v>6</v>
      </c>
      <c r="AT1242" s="3" t="n">
        <v>4</v>
      </c>
      <c r="AU1242" s="3" t="n">
        <v>4</v>
      </c>
      <c r="AV1242" s="3" t="n">
        <v>6</v>
      </c>
      <c r="AW1242" s="3" t="n">
        <v>6</v>
      </c>
      <c r="AX1242" s="3" t="n">
        <v>3</v>
      </c>
      <c r="AY1242" s="3" t="n">
        <v>3</v>
      </c>
      <c r="AZ1242" s="3" t="n">
        <v>1</v>
      </c>
      <c r="BA1242" s="5" t="n">
        <v>10</v>
      </c>
      <c r="BB1242" s="3" t="n">
        <v>2</v>
      </c>
      <c r="BC1242" s="3" t="n">
        <v>1</v>
      </c>
      <c r="BD1242" s="3" t="n">
        <v>6</v>
      </c>
      <c r="BE1242" s="3" t="n">
        <v>3</v>
      </c>
      <c r="BF1242" s="3" t="n">
        <v>5</v>
      </c>
      <c r="BG1242" s="3" t="n">
        <v>3</v>
      </c>
      <c r="BH1242" s="3" t="n">
        <v>4</v>
      </c>
      <c r="BI1242" s="3" t="n">
        <v>1</v>
      </c>
      <c r="BJ1242" s="3" t="n">
        <v>1</v>
      </c>
      <c r="BK1242" s="21" t="s">
        <v>3116</v>
      </c>
    </row>
    <row r="1243" customFormat="false" ht="15" hidden="false" customHeight="true" outlineLevel="0" collapsed="false">
      <c r="B1243" s="2" t="s">
        <v>3117</v>
      </c>
      <c r="C1243" s="2" t="s">
        <v>3100</v>
      </c>
      <c r="D1243" s="2" t="s">
        <v>3118</v>
      </c>
      <c r="E1243" s="2" t="n">
        <v>212789</v>
      </c>
      <c r="F1243" s="15" t="n">
        <v>44314</v>
      </c>
      <c r="G1243" s="15" t="n">
        <v>44319</v>
      </c>
      <c r="H1243" s="3" t="n">
        <v>5</v>
      </c>
      <c r="I1243" s="3" t="n">
        <v>2</v>
      </c>
      <c r="J1243" s="3" t="n">
        <v>69</v>
      </c>
      <c r="K1243" s="3" t="n">
        <v>1</v>
      </c>
      <c r="L1243" s="3" t="n">
        <v>1</v>
      </c>
      <c r="M1243" s="3" t="n">
        <v>1</v>
      </c>
      <c r="N1243" s="3" t="n">
        <v>2</v>
      </c>
      <c r="O1243" s="3" t="n">
        <v>2</v>
      </c>
      <c r="P1243" s="3" t="n">
        <v>2</v>
      </c>
      <c r="Q1243" s="3" t="n">
        <v>2</v>
      </c>
      <c r="R1243" s="3" t="n">
        <v>2</v>
      </c>
      <c r="S1243" s="3" t="n">
        <v>2</v>
      </c>
      <c r="T1243" s="4" t="n">
        <v>2</v>
      </c>
      <c r="U1243" s="3" t="n">
        <v>2</v>
      </c>
      <c r="V1243" s="3" t="n">
        <v>4.03</v>
      </c>
      <c r="W1243" s="3" t="n">
        <v>1.55</v>
      </c>
      <c r="X1243" s="3" t="n">
        <v>4.98</v>
      </c>
      <c r="Y1243" s="3" t="n">
        <v>339</v>
      </c>
      <c r="Z1243" s="3" t="n">
        <v>119</v>
      </c>
      <c r="AA1243" s="3" t="n">
        <v>0.44</v>
      </c>
      <c r="AB1243" s="3" t="n">
        <v>11.3</v>
      </c>
      <c r="AC1243" s="3" t="n">
        <v>1</v>
      </c>
      <c r="AD1243" s="3" t="n">
        <v>2</v>
      </c>
      <c r="AE1243" s="3" t="n">
        <v>1</v>
      </c>
      <c r="AF1243" s="3" t="n">
        <v>1</v>
      </c>
      <c r="AG1243" s="3" t="n">
        <v>2</v>
      </c>
      <c r="AH1243" s="3" t="n">
        <v>1</v>
      </c>
      <c r="AI1243" s="3" t="n">
        <v>1</v>
      </c>
      <c r="AJ1243" s="3" t="n">
        <v>1</v>
      </c>
      <c r="AK1243" s="3" t="n">
        <v>2</v>
      </c>
      <c r="AL1243" s="3" t="n">
        <v>2</v>
      </c>
      <c r="AM1243" s="3" t="n">
        <v>1</v>
      </c>
      <c r="AN1243" s="3" t="n">
        <v>2</v>
      </c>
      <c r="AO1243" s="3" t="n">
        <v>2</v>
      </c>
      <c r="AP1243" s="3" t="n">
        <v>3</v>
      </c>
      <c r="AQ1243" s="3" t="n">
        <v>4</v>
      </c>
      <c r="AR1243" s="3" t="n">
        <v>4</v>
      </c>
      <c r="AS1243" s="3" t="n">
        <v>6</v>
      </c>
      <c r="AT1243" s="3" t="n">
        <v>4</v>
      </c>
      <c r="AU1243" s="3" t="n">
        <v>4</v>
      </c>
      <c r="AV1243" s="3" t="n">
        <v>6</v>
      </c>
      <c r="AW1243" s="3" t="n">
        <v>6</v>
      </c>
      <c r="AX1243" s="3" t="n">
        <v>3</v>
      </c>
      <c r="AY1243" s="3" t="n">
        <v>3</v>
      </c>
      <c r="AZ1243" s="3" t="n">
        <v>1</v>
      </c>
      <c r="BA1243" s="5" t="n">
        <v>1</v>
      </c>
      <c r="BB1243" s="3" t="n">
        <v>1</v>
      </c>
      <c r="BC1243" s="3" t="n">
        <v>1</v>
      </c>
      <c r="BD1243" s="3" t="n">
        <v>4</v>
      </c>
      <c r="BE1243" s="3" t="n">
        <v>1</v>
      </c>
      <c r="BF1243" s="3" t="n">
        <v>2</v>
      </c>
      <c r="BG1243" s="3" t="n">
        <v>1</v>
      </c>
      <c r="BH1243" s="3" t="n">
        <v>4</v>
      </c>
      <c r="BI1243" s="3" t="n">
        <v>1</v>
      </c>
      <c r="BJ1243" s="3" t="n">
        <v>1</v>
      </c>
      <c r="BK1243" s="6" t="s">
        <v>3119</v>
      </c>
    </row>
    <row r="1244" customFormat="false" ht="15" hidden="false" customHeight="true" outlineLevel="0" collapsed="false">
      <c r="B1244" s="2" t="s">
        <v>3120</v>
      </c>
      <c r="C1244" s="2" t="s">
        <v>3121</v>
      </c>
      <c r="D1244" s="2" t="s">
        <v>3122</v>
      </c>
      <c r="E1244" s="2" t="n">
        <v>213039</v>
      </c>
      <c r="F1244" s="15" t="n">
        <v>44316</v>
      </c>
      <c r="G1244" s="15" t="n">
        <v>44321</v>
      </c>
      <c r="H1244" s="3" t="n">
        <v>7</v>
      </c>
      <c r="I1244" s="3" t="n">
        <v>2</v>
      </c>
      <c r="J1244" s="3" t="n">
        <v>40</v>
      </c>
      <c r="K1244" s="3" t="n">
        <v>2</v>
      </c>
      <c r="L1244" s="3" t="n">
        <v>1</v>
      </c>
      <c r="M1244" s="3" t="n">
        <v>1</v>
      </c>
      <c r="N1244" s="3" t="n">
        <v>2</v>
      </c>
      <c r="O1244" s="3" t="n">
        <v>2</v>
      </c>
      <c r="P1244" s="3" t="n">
        <v>2</v>
      </c>
      <c r="Q1244" s="3" t="n">
        <v>2</v>
      </c>
      <c r="R1244" s="3" t="n">
        <v>2</v>
      </c>
      <c r="S1244" s="3" t="n">
        <v>2</v>
      </c>
      <c r="T1244" s="4" t="n">
        <v>2</v>
      </c>
      <c r="U1244" s="3" t="n">
        <v>2</v>
      </c>
      <c r="V1244" s="3" t="n">
        <v>3.86</v>
      </c>
      <c r="W1244" s="3" t="n">
        <v>1.45</v>
      </c>
      <c r="X1244" s="3" t="n">
        <v>4.64</v>
      </c>
      <c r="Y1244" s="3" t="n">
        <v>452</v>
      </c>
      <c r="Z1244" s="3" t="n">
        <v>132</v>
      </c>
      <c r="AA1244" s="3" t="n">
        <v>0.47</v>
      </c>
      <c r="AB1244" s="3" t="n">
        <v>13.2</v>
      </c>
      <c r="AC1244" s="3" t="n">
        <v>1</v>
      </c>
      <c r="AD1244" s="3" t="n">
        <v>2</v>
      </c>
      <c r="AE1244" s="3" t="n">
        <v>1</v>
      </c>
      <c r="AF1244" s="3" t="n">
        <v>1</v>
      </c>
      <c r="AG1244" s="3" t="n">
        <v>1</v>
      </c>
      <c r="AH1244" s="3" t="n">
        <v>1</v>
      </c>
      <c r="AI1244" s="3" t="n">
        <v>1</v>
      </c>
      <c r="AJ1244" s="3" t="n">
        <v>1</v>
      </c>
      <c r="AK1244" s="3" t="n">
        <v>2</v>
      </c>
      <c r="AL1244" s="3" t="n">
        <v>2</v>
      </c>
      <c r="AM1244" s="3" t="n">
        <v>1</v>
      </c>
      <c r="AN1244" s="3" t="n">
        <v>2</v>
      </c>
      <c r="AO1244" s="3" t="n">
        <v>2</v>
      </c>
      <c r="AP1244" s="3" t="n">
        <v>3</v>
      </c>
      <c r="AQ1244" s="3" t="n">
        <v>4</v>
      </c>
      <c r="AR1244" s="3" t="n">
        <v>4</v>
      </c>
      <c r="AS1244" s="3" t="n">
        <v>6</v>
      </c>
      <c r="AT1244" s="3" t="n">
        <v>4</v>
      </c>
      <c r="AU1244" s="3" t="n">
        <v>4</v>
      </c>
      <c r="AV1244" s="3" t="n">
        <v>6</v>
      </c>
      <c r="AW1244" s="3" t="n">
        <v>6</v>
      </c>
      <c r="AX1244" s="3" t="n">
        <v>3</v>
      </c>
      <c r="AY1244" s="3" t="n">
        <v>3</v>
      </c>
      <c r="AZ1244" s="3" t="n">
        <v>1</v>
      </c>
      <c r="BA1244" s="5" t="n">
        <v>5</v>
      </c>
      <c r="BB1244" s="3" t="n">
        <v>2</v>
      </c>
      <c r="BC1244" s="3" t="n">
        <v>1</v>
      </c>
      <c r="BD1244" s="3" t="n">
        <v>6</v>
      </c>
      <c r="BE1244" s="3" t="n">
        <v>3</v>
      </c>
      <c r="BF1244" s="3" t="n">
        <v>5</v>
      </c>
      <c r="BG1244" s="3" t="n">
        <v>3</v>
      </c>
      <c r="BH1244" s="3" t="n">
        <v>4</v>
      </c>
      <c r="BI1244" s="3" t="n">
        <v>1</v>
      </c>
      <c r="BJ1244" s="3" t="n">
        <v>1</v>
      </c>
      <c r="BK1244" s="6" t="s">
        <v>3123</v>
      </c>
    </row>
    <row r="1245" customFormat="false" ht="15" hidden="false" customHeight="true" outlineLevel="0" collapsed="false">
      <c r="B1245" s="2" t="s">
        <v>323</v>
      </c>
      <c r="C1245" s="2" t="s">
        <v>94</v>
      </c>
      <c r="D1245" s="2" t="s">
        <v>3097</v>
      </c>
      <c r="E1245" s="2" t="n">
        <v>211847</v>
      </c>
      <c r="F1245" s="15" t="n">
        <v>44314</v>
      </c>
      <c r="G1245" s="15" t="n">
        <v>44321</v>
      </c>
      <c r="H1245" s="3" t="n">
        <v>7</v>
      </c>
      <c r="I1245" s="3" t="n">
        <v>2</v>
      </c>
      <c r="J1245" s="3" t="n">
        <v>59</v>
      </c>
      <c r="K1245" s="3" t="n">
        <v>1</v>
      </c>
      <c r="L1245" s="3" t="n">
        <v>1</v>
      </c>
      <c r="M1245" s="3" t="n">
        <v>1</v>
      </c>
      <c r="N1245" s="3" t="n">
        <v>1</v>
      </c>
      <c r="O1245" s="3" t="n">
        <v>2</v>
      </c>
      <c r="P1245" s="3" t="n">
        <v>2</v>
      </c>
      <c r="Q1245" s="3" t="n">
        <v>2</v>
      </c>
      <c r="R1245" s="3" t="n">
        <v>2</v>
      </c>
      <c r="S1245" s="3" t="n">
        <v>2</v>
      </c>
      <c r="T1245" s="4" t="n">
        <v>4</v>
      </c>
      <c r="U1245" s="3" t="n">
        <v>4</v>
      </c>
      <c r="V1245" s="3" t="n">
        <v>2.6</v>
      </c>
      <c r="W1245" s="3" t="n">
        <v>0.83</v>
      </c>
      <c r="X1245" s="3" t="n">
        <v>5.26</v>
      </c>
      <c r="Y1245" s="3" t="n">
        <v>387</v>
      </c>
      <c r="Z1245" s="3" t="n">
        <v>95</v>
      </c>
      <c r="AA1245" s="3" t="n">
        <v>0.51</v>
      </c>
      <c r="AB1245" s="3" t="n">
        <v>13</v>
      </c>
      <c r="AC1245" s="3" t="n">
        <v>2</v>
      </c>
      <c r="AD1245" s="3" t="n">
        <v>2</v>
      </c>
      <c r="AE1245" s="3" t="n">
        <v>2</v>
      </c>
      <c r="AF1245" s="3" t="n">
        <v>1</v>
      </c>
      <c r="AG1245" s="3" t="n">
        <v>2</v>
      </c>
      <c r="AH1245" s="3" t="n">
        <v>2</v>
      </c>
      <c r="AI1245" s="3" t="n">
        <v>1</v>
      </c>
      <c r="AJ1245" s="3" t="n">
        <v>1</v>
      </c>
      <c r="AK1245" s="3" t="n">
        <v>2</v>
      </c>
      <c r="AL1245" s="3" t="n">
        <v>2</v>
      </c>
      <c r="AM1245" s="3" t="n">
        <v>2</v>
      </c>
      <c r="AN1245" s="3" t="n">
        <v>2</v>
      </c>
      <c r="AO1245" s="3" t="n">
        <v>1</v>
      </c>
      <c r="AP1245" s="3" t="n">
        <v>3</v>
      </c>
      <c r="AQ1245" s="3" t="n">
        <v>4</v>
      </c>
      <c r="AR1245" s="3" t="n">
        <v>4</v>
      </c>
      <c r="AS1245" s="3" t="n">
        <v>6</v>
      </c>
      <c r="AT1245" s="3" t="n">
        <v>4</v>
      </c>
      <c r="AU1245" s="3" t="n">
        <v>4</v>
      </c>
      <c r="AV1245" s="3" t="n">
        <v>6</v>
      </c>
      <c r="AW1245" s="3" t="n">
        <v>6</v>
      </c>
      <c r="AX1245" s="3" t="n">
        <v>3</v>
      </c>
      <c r="AY1245" s="3" t="n">
        <v>3</v>
      </c>
      <c r="AZ1245" s="3" t="n">
        <v>1</v>
      </c>
      <c r="BA1245" s="5" t="n">
        <v>10</v>
      </c>
      <c r="BB1245" s="3" t="n">
        <v>2</v>
      </c>
      <c r="BC1245" s="3" t="n">
        <v>1</v>
      </c>
      <c r="BD1245" s="3" t="n">
        <v>6</v>
      </c>
      <c r="BE1245" s="3" t="n">
        <v>3</v>
      </c>
      <c r="BF1245" s="3" t="n">
        <v>5</v>
      </c>
      <c r="BG1245" s="3" t="n">
        <v>3</v>
      </c>
      <c r="BH1245" s="3" t="n">
        <v>4</v>
      </c>
      <c r="BI1245" s="3" t="n">
        <v>1</v>
      </c>
      <c r="BJ1245" s="3" t="n">
        <v>1</v>
      </c>
      <c r="BK1245" s="6" t="s">
        <v>3124</v>
      </c>
    </row>
    <row r="1246" customFormat="false" ht="15" hidden="false" customHeight="true" outlineLevel="0" collapsed="false">
      <c r="B1246" s="2" t="s">
        <v>1620</v>
      </c>
      <c r="C1246" s="2" t="s">
        <v>3125</v>
      </c>
      <c r="D1246" s="2" t="s">
        <v>3126</v>
      </c>
      <c r="E1246" s="2" t="n">
        <v>213027</v>
      </c>
      <c r="F1246" s="15" t="n">
        <v>44316</v>
      </c>
      <c r="G1246" s="15" t="n">
        <v>44322</v>
      </c>
      <c r="H1246" s="3" t="n">
        <v>6</v>
      </c>
      <c r="I1246" s="3" t="n">
        <v>2</v>
      </c>
      <c r="J1246" s="3" t="n">
        <v>51</v>
      </c>
      <c r="K1246" s="3" t="n">
        <v>1</v>
      </c>
      <c r="L1246" s="3" t="n">
        <v>1</v>
      </c>
      <c r="M1246" s="3" t="n">
        <v>2</v>
      </c>
      <c r="N1246" s="3" t="n">
        <v>2</v>
      </c>
      <c r="O1246" s="3" t="n">
        <v>1</v>
      </c>
      <c r="P1246" s="3" t="n">
        <v>2</v>
      </c>
      <c r="Q1246" s="3" t="n">
        <v>1</v>
      </c>
      <c r="R1246" s="3" t="n">
        <v>2</v>
      </c>
      <c r="S1246" s="3" t="n">
        <v>2</v>
      </c>
      <c r="T1246" s="4" t="n">
        <v>2</v>
      </c>
      <c r="U1246" s="3" t="n">
        <v>2</v>
      </c>
      <c r="V1246" s="3" t="n">
        <v>4.4</v>
      </c>
      <c r="W1246" s="3" t="n">
        <v>1.87</v>
      </c>
      <c r="X1246" s="3" t="n">
        <v>5.94</v>
      </c>
      <c r="Y1246" s="3" t="n">
        <v>401</v>
      </c>
      <c r="Z1246" s="3" t="n">
        <v>104</v>
      </c>
      <c r="AA1246" s="3" t="n">
        <v>0.42</v>
      </c>
      <c r="AB1246" s="3" t="n">
        <v>12</v>
      </c>
      <c r="AC1246" s="3" t="n">
        <v>1</v>
      </c>
      <c r="AD1246" s="3" t="n">
        <v>2</v>
      </c>
      <c r="AE1246" s="3" t="n">
        <v>2</v>
      </c>
      <c r="AF1246" s="3" t="n">
        <v>1</v>
      </c>
      <c r="AG1246" s="3" t="n">
        <v>2</v>
      </c>
      <c r="AH1246" s="3" t="n">
        <v>2</v>
      </c>
      <c r="AI1246" s="3" t="n">
        <v>1</v>
      </c>
      <c r="AJ1246" s="3" t="n">
        <v>2</v>
      </c>
      <c r="AK1246" s="3" t="n">
        <v>2</v>
      </c>
      <c r="AL1246" s="3" t="n">
        <v>2</v>
      </c>
      <c r="AM1246" s="3" t="n">
        <v>2</v>
      </c>
      <c r="AN1246" s="3" t="n">
        <v>2</v>
      </c>
      <c r="AO1246" s="3" t="n">
        <v>2</v>
      </c>
      <c r="AP1246" s="3" t="n">
        <v>3</v>
      </c>
      <c r="AQ1246" s="3" t="n">
        <v>4</v>
      </c>
      <c r="AR1246" s="3" t="n">
        <v>4</v>
      </c>
      <c r="AS1246" s="3" t="n">
        <v>6</v>
      </c>
      <c r="AT1246" s="3" t="n">
        <v>4</v>
      </c>
      <c r="AU1246" s="3" t="n">
        <v>4</v>
      </c>
      <c r="AV1246" s="3" t="n">
        <v>6</v>
      </c>
      <c r="AW1246" s="3" t="n">
        <v>6</v>
      </c>
      <c r="AX1246" s="3" t="n">
        <v>3</v>
      </c>
      <c r="AY1246" s="3" t="n">
        <v>3</v>
      </c>
      <c r="AZ1246" s="3" t="n">
        <v>16</v>
      </c>
      <c r="BA1246" s="5" t="n">
        <v>1</v>
      </c>
      <c r="BB1246" s="3" t="n">
        <v>1</v>
      </c>
      <c r="BC1246" s="3" t="n">
        <v>1</v>
      </c>
      <c r="BD1246" s="3" t="n">
        <v>4</v>
      </c>
      <c r="BE1246" s="3" t="n">
        <v>1</v>
      </c>
      <c r="BF1246" s="3" t="n">
        <v>2</v>
      </c>
      <c r="BG1246" s="3" t="n">
        <v>1</v>
      </c>
      <c r="BH1246" s="3" t="n">
        <v>4</v>
      </c>
      <c r="BI1246" s="3" t="n">
        <v>1</v>
      </c>
      <c r="BJ1246" s="3" t="n">
        <v>1</v>
      </c>
      <c r="BK1246" s="6" t="s">
        <v>3127</v>
      </c>
    </row>
    <row r="1247" customFormat="false" ht="15" hidden="false" customHeight="true" outlineLevel="0" collapsed="false">
      <c r="B1247" s="2" t="s">
        <v>3128</v>
      </c>
      <c r="C1247" s="2" t="s">
        <v>197</v>
      </c>
      <c r="D1247" s="2" t="s">
        <v>178</v>
      </c>
      <c r="E1247" s="2" t="n">
        <v>212522</v>
      </c>
      <c r="F1247" s="15" t="n">
        <v>44318</v>
      </c>
      <c r="G1247" s="15" t="n">
        <v>44324</v>
      </c>
      <c r="H1247" s="3" t="n">
        <v>6</v>
      </c>
      <c r="I1247" s="3" t="n">
        <v>2</v>
      </c>
      <c r="J1247" s="3" t="n">
        <v>59</v>
      </c>
      <c r="K1247" s="3" t="n">
        <v>1</v>
      </c>
      <c r="L1247" s="3" t="n">
        <v>1</v>
      </c>
      <c r="M1247" s="3" t="n">
        <v>1</v>
      </c>
      <c r="N1247" s="3" t="n">
        <v>2</v>
      </c>
      <c r="O1247" s="3" t="n">
        <v>2</v>
      </c>
      <c r="P1247" s="3" t="n">
        <v>2</v>
      </c>
      <c r="Q1247" s="3" t="n">
        <v>2</v>
      </c>
      <c r="R1247" s="3" t="n">
        <v>2</v>
      </c>
      <c r="S1247" s="3" t="n">
        <v>2</v>
      </c>
      <c r="T1247" s="4" t="n">
        <v>2</v>
      </c>
      <c r="U1247" s="3" t="n">
        <v>2</v>
      </c>
      <c r="V1247" s="3" t="n">
        <v>3.59</v>
      </c>
      <c r="W1247" s="3" t="n">
        <v>0.67</v>
      </c>
      <c r="X1247" s="3" t="n">
        <v>4.59</v>
      </c>
      <c r="Y1247" s="3" t="n">
        <v>333</v>
      </c>
      <c r="Z1247" s="3" t="n">
        <v>68</v>
      </c>
      <c r="AA1247" s="3" t="n">
        <v>0.52</v>
      </c>
      <c r="AB1247" s="3" t="n">
        <v>11.4</v>
      </c>
      <c r="AC1247" s="3" t="n">
        <v>1</v>
      </c>
      <c r="AD1247" s="3" t="n">
        <v>2</v>
      </c>
      <c r="AE1247" s="3" t="n">
        <v>1</v>
      </c>
      <c r="AF1247" s="3" t="n">
        <v>1</v>
      </c>
      <c r="AG1247" s="3" t="n">
        <v>2</v>
      </c>
      <c r="AH1247" s="3" t="n">
        <v>2</v>
      </c>
      <c r="AI1247" s="3" t="n">
        <v>1</v>
      </c>
      <c r="AJ1247" s="3" t="n">
        <v>1</v>
      </c>
      <c r="AK1247" s="3" t="n">
        <v>2</v>
      </c>
      <c r="AL1247" s="3" t="n">
        <v>2</v>
      </c>
      <c r="AM1247" s="3" t="n">
        <v>2</v>
      </c>
      <c r="AN1247" s="3" t="n">
        <v>2</v>
      </c>
      <c r="AO1247" s="3" t="n">
        <v>2</v>
      </c>
      <c r="AP1247" s="3" t="n">
        <v>3</v>
      </c>
      <c r="AQ1247" s="3" t="n">
        <v>4</v>
      </c>
      <c r="AR1247" s="3" t="n">
        <v>4</v>
      </c>
      <c r="AS1247" s="3" t="n">
        <v>6</v>
      </c>
      <c r="AT1247" s="3" t="n">
        <v>4</v>
      </c>
      <c r="AU1247" s="3" t="n">
        <v>4</v>
      </c>
      <c r="AV1247" s="3" t="n">
        <v>6</v>
      </c>
      <c r="AW1247" s="3" t="n">
        <v>6</v>
      </c>
      <c r="AX1247" s="3" t="n">
        <v>3</v>
      </c>
      <c r="AY1247" s="3" t="n">
        <v>3</v>
      </c>
      <c r="AZ1247" s="3" t="n">
        <v>1</v>
      </c>
      <c r="BA1247" s="5" t="n">
        <v>1</v>
      </c>
      <c r="BB1247" s="3" t="n">
        <v>1</v>
      </c>
      <c r="BC1247" s="3" t="n">
        <v>1</v>
      </c>
      <c r="BD1247" s="3" t="n">
        <v>2</v>
      </c>
      <c r="BE1247" s="3" t="n">
        <v>3</v>
      </c>
      <c r="BF1247" s="3" t="n">
        <v>5</v>
      </c>
      <c r="BG1247" s="3" t="n">
        <v>3</v>
      </c>
      <c r="BH1247" s="3" t="n">
        <v>4</v>
      </c>
      <c r="BI1247" s="3" t="n">
        <v>1</v>
      </c>
      <c r="BJ1247" s="3" t="n">
        <v>1</v>
      </c>
      <c r="BK1247" s="6" t="s">
        <v>3129</v>
      </c>
    </row>
    <row r="1248" customFormat="false" ht="15" hidden="false" customHeight="true" outlineLevel="0" collapsed="false">
      <c r="B1248" s="2" t="s">
        <v>1338</v>
      </c>
      <c r="C1248" s="2" t="s">
        <v>979</v>
      </c>
      <c r="D1248" s="2" t="s">
        <v>402</v>
      </c>
      <c r="E1248" s="2" t="n">
        <v>212598</v>
      </c>
      <c r="F1248" s="15" t="n">
        <v>44320</v>
      </c>
      <c r="G1248" s="15" t="n">
        <v>44327</v>
      </c>
      <c r="H1248" s="3" t="n">
        <v>7</v>
      </c>
      <c r="I1248" s="3" t="n">
        <v>1</v>
      </c>
      <c r="J1248" s="3" t="n">
        <v>61</v>
      </c>
      <c r="K1248" s="3" t="n">
        <v>1</v>
      </c>
      <c r="L1248" s="3" t="n">
        <v>1</v>
      </c>
      <c r="M1248" s="3" t="n">
        <v>1</v>
      </c>
      <c r="N1248" s="3" t="n">
        <v>2</v>
      </c>
      <c r="O1248" s="3" t="n">
        <v>1</v>
      </c>
      <c r="P1248" s="3" t="n">
        <v>1</v>
      </c>
      <c r="Q1248" s="3" t="n">
        <v>1</v>
      </c>
      <c r="R1248" s="3" t="n">
        <v>2</v>
      </c>
      <c r="S1248" s="3" t="n">
        <v>2</v>
      </c>
      <c r="T1248" s="4" t="n">
        <v>2</v>
      </c>
      <c r="U1248" s="3" t="n">
        <v>2</v>
      </c>
      <c r="V1248" s="3" t="n">
        <v>4.52</v>
      </c>
      <c r="W1248" s="3" t="n">
        <v>1.59</v>
      </c>
      <c r="X1248" s="3" t="n">
        <v>18.19</v>
      </c>
      <c r="Y1248" s="3" t="n">
        <v>336</v>
      </c>
      <c r="Z1248" s="3" t="n">
        <v>105</v>
      </c>
      <c r="AA1248" s="3" t="n">
        <v>0.45</v>
      </c>
      <c r="AB1248" s="3" t="n">
        <v>15.6</v>
      </c>
      <c r="AD1248" s="3" t="n">
        <v>2</v>
      </c>
      <c r="AE1248" s="3" t="n">
        <v>1</v>
      </c>
      <c r="AF1248" s="3" t="n">
        <v>1</v>
      </c>
      <c r="AG1248" s="3" t="n">
        <v>1</v>
      </c>
      <c r="AH1248" s="3" t="n">
        <v>2</v>
      </c>
      <c r="AI1248" s="3" t="n">
        <v>1</v>
      </c>
      <c r="AJ1248" s="3" t="n">
        <v>1</v>
      </c>
      <c r="AK1248" s="3" t="n">
        <v>1</v>
      </c>
      <c r="AL1248" s="3" t="n">
        <v>2</v>
      </c>
      <c r="AM1248" s="3" t="n">
        <v>1</v>
      </c>
      <c r="AN1248" s="3" t="n">
        <v>1</v>
      </c>
      <c r="AO1248" s="3" t="n">
        <v>1</v>
      </c>
      <c r="AP1248" s="3" t="n">
        <v>3</v>
      </c>
      <c r="AQ1248" s="3" t="n">
        <v>4</v>
      </c>
      <c r="AR1248" s="3" t="n">
        <v>4</v>
      </c>
      <c r="AS1248" s="3" t="n">
        <v>6</v>
      </c>
      <c r="AT1248" s="3" t="n">
        <v>4</v>
      </c>
      <c r="AU1248" s="3" t="n">
        <v>4</v>
      </c>
      <c r="AV1248" s="3" t="n">
        <v>6</v>
      </c>
      <c r="AW1248" s="3" t="n">
        <v>6</v>
      </c>
      <c r="AX1248" s="3" t="n">
        <v>3</v>
      </c>
      <c r="AY1248" s="3" t="n">
        <v>3</v>
      </c>
      <c r="AZ1248" s="3" t="n">
        <v>3</v>
      </c>
      <c r="BA1248" s="5" t="n">
        <v>2</v>
      </c>
      <c r="BB1248" s="3" t="n">
        <v>1</v>
      </c>
      <c r="BC1248" s="3" t="n">
        <v>1</v>
      </c>
      <c r="BD1248" s="3" t="n">
        <v>4</v>
      </c>
      <c r="BE1248" s="3" t="n">
        <v>1</v>
      </c>
      <c r="BF1248" s="3" t="n">
        <v>2</v>
      </c>
      <c r="BG1248" s="3" t="n">
        <v>1</v>
      </c>
      <c r="BH1248" s="3" t="n">
        <v>4</v>
      </c>
      <c r="BI1248" s="3" t="n">
        <v>1</v>
      </c>
      <c r="BJ1248" s="3" t="n">
        <v>1</v>
      </c>
      <c r="BK1248" s="6" t="s">
        <v>3130</v>
      </c>
    </row>
    <row r="1249" customFormat="false" ht="15" hidden="false" customHeight="true" outlineLevel="0" collapsed="false">
      <c r="B1249" s="2" t="s">
        <v>3131</v>
      </c>
      <c r="C1249" s="2" t="s">
        <v>3132</v>
      </c>
      <c r="D1249" s="2" t="s">
        <v>3133</v>
      </c>
      <c r="E1249" s="2" t="n">
        <v>212521</v>
      </c>
      <c r="F1249" s="15" t="n">
        <v>44318</v>
      </c>
      <c r="G1249" s="15" t="n">
        <v>44325</v>
      </c>
      <c r="H1249" s="3" t="n">
        <v>7</v>
      </c>
      <c r="I1249" s="3" t="n">
        <v>1</v>
      </c>
      <c r="J1249" s="3" t="n">
        <v>65</v>
      </c>
      <c r="K1249" s="3" t="n">
        <v>1</v>
      </c>
      <c r="L1249" s="3" t="n">
        <v>2</v>
      </c>
      <c r="M1249" s="3" t="n">
        <v>1</v>
      </c>
      <c r="N1249" s="3" t="n">
        <v>2</v>
      </c>
      <c r="O1249" s="3" t="n">
        <v>2</v>
      </c>
      <c r="P1249" s="3" t="n">
        <v>2</v>
      </c>
      <c r="Q1249" s="3" t="n">
        <v>2</v>
      </c>
      <c r="R1249" s="3" t="n">
        <v>2</v>
      </c>
      <c r="S1249" s="3" t="n">
        <v>2</v>
      </c>
      <c r="T1249" s="4" t="n">
        <v>2</v>
      </c>
      <c r="U1249" s="3" t="n">
        <v>2</v>
      </c>
      <c r="V1249" s="3" t="n">
        <v>4.72</v>
      </c>
      <c r="W1249" s="3" t="n">
        <v>146</v>
      </c>
      <c r="X1249" s="3" t="n">
        <v>5.88</v>
      </c>
      <c r="Y1249" s="3" t="n">
        <v>238</v>
      </c>
      <c r="Z1249" s="3" t="n">
        <v>109</v>
      </c>
      <c r="AA1249" s="3" t="n">
        <v>0.41</v>
      </c>
      <c r="AB1249" s="3" t="n">
        <v>12.1</v>
      </c>
      <c r="AC1249" s="3" t="n">
        <v>1</v>
      </c>
      <c r="AD1249" s="3" t="n">
        <v>2</v>
      </c>
      <c r="AE1249" s="3" t="n">
        <v>1</v>
      </c>
      <c r="AF1249" s="3" t="n">
        <v>1</v>
      </c>
      <c r="AG1249" s="3" t="n">
        <v>1</v>
      </c>
      <c r="AH1249" s="3" t="n">
        <v>2</v>
      </c>
      <c r="AI1249" s="3" t="n">
        <v>1</v>
      </c>
      <c r="AJ1249" s="3" t="n">
        <v>1</v>
      </c>
      <c r="AK1249" s="3" t="n">
        <v>2</v>
      </c>
      <c r="AL1249" s="3" t="n">
        <v>2</v>
      </c>
      <c r="AM1249" s="3" t="n">
        <v>2</v>
      </c>
      <c r="AN1249" s="3" t="n">
        <v>2</v>
      </c>
      <c r="AO1249" s="3" t="n">
        <v>2</v>
      </c>
      <c r="AP1249" s="3" t="n">
        <v>3</v>
      </c>
      <c r="AQ1249" s="3" t="n">
        <v>4</v>
      </c>
      <c r="AR1249" s="3" t="n">
        <v>4</v>
      </c>
      <c r="AS1249" s="3" t="n">
        <v>6</v>
      </c>
      <c r="AT1249" s="3" t="n">
        <v>4</v>
      </c>
      <c r="AU1249" s="3" t="n">
        <v>4</v>
      </c>
      <c r="AV1249" s="3" t="n">
        <v>6</v>
      </c>
      <c r="AW1249" s="3" t="n">
        <v>6</v>
      </c>
      <c r="AX1249" s="3" t="n">
        <v>3</v>
      </c>
      <c r="AY1249" s="3" t="n">
        <v>3</v>
      </c>
      <c r="AZ1249" s="3" t="n">
        <v>1</v>
      </c>
      <c r="BA1249" s="5" t="n">
        <v>1</v>
      </c>
      <c r="BB1249" s="3" t="n">
        <v>1</v>
      </c>
      <c r="BC1249" s="3" t="n">
        <v>1</v>
      </c>
      <c r="BD1249" s="3" t="n">
        <v>4</v>
      </c>
      <c r="BE1249" s="3" t="n">
        <v>1</v>
      </c>
      <c r="BF1249" s="3" t="n">
        <v>2</v>
      </c>
      <c r="BG1249" s="3" t="n">
        <v>1</v>
      </c>
      <c r="BH1249" s="3" t="n">
        <v>4</v>
      </c>
      <c r="BI1249" s="3" t="n">
        <v>1</v>
      </c>
      <c r="BJ1249" s="3" t="n">
        <v>1</v>
      </c>
      <c r="BK1249" s="6" t="s">
        <v>3134</v>
      </c>
    </row>
    <row r="1250" customFormat="false" ht="15" hidden="false" customHeight="true" outlineLevel="0" collapsed="false">
      <c r="B1250" s="17" t="s">
        <v>1477</v>
      </c>
      <c r="C1250" s="17" t="s">
        <v>1518</v>
      </c>
      <c r="D1250" s="17" t="s">
        <v>210</v>
      </c>
      <c r="E1250" s="2" t="n">
        <v>211923</v>
      </c>
      <c r="F1250" s="15" t="n">
        <v>44324</v>
      </c>
      <c r="G1250" s="15" t="n">
        <v>44328</v>
      </c>
      <c r="H1250" s="3" t="n">
        <v>4</v>
      </c>
      <c r="I1250" s="3" t="n">
        <v>2</v>
      </c>
      <c r="J1250" s="3" t="n">
        <v>72</v>
      </c>
      <c r="K1250" s="3" t="n">
        <v>1</v>
      </c>
      <c r="L1250" s="3" t="n">
        <v>2</v>
      </c>
      <c r="M1250" s="3" t="n">
        <v>1</v>
      </c>
      <c r="N1250" s="3" t="n">
        <v>2</v>
      </c>
      <c r="O1250" s="3" t="n">
        <v>2</v>
      </c>
      <c r="P1250" s="3" t="n">
        <v>2</v>
      </c>
      <c r="Q1250" s="3" t="n">
        <v>2</v>
      </c>
      <c r="R1250" s="3" t="n">
        <v>2</v>
      </c>
      <c r="S1250" s="3" t="n">
        <v>2</v>
      </c>
      <c r="T1250" s="4" t="n">
        <v>4</v>
      </c>
      <c r="U1250" s="3" t="n">
        <v>4</v>
      </c>
      <c r="AD1250" s="3" t="n">
        <v>1</v>
      </c>
      <c r="AE1250" s="3" t="n">
        <v>2</v>
      </c>
      <c r="AF1250" s="3" t="n">
        <v>2</v>
      </c>
      <c r="AG1250" s="3" t="n">
        <v>2</v>
      </c>
      <c r="AH1250" s="3" t="n">
        <v>2</v>
      </c>
      <c r="AI1250" s="3" t="n">
        <v>1</v>
      </c>
      <c r="AJ1250" s="3" t="n">
        <v>1</v>
      </c>
      <c r="AK1250" s="3" t="n">
        <v>2</v>
      </c>
      <c r="AL1250" s="3" t="n">
        <v>2</v>
      </c>
      <c r="AM1250" s="3" t="n">
        <v>1</v>
      </c>
      <c r="AN1250" s="3" t="n">
        <v>2</v>
      </c>
      <c r="AO1250" s="3" t="n">
        <v>2</v>
      </c>
      <c r="AP1250" s="3" t="n">
        <v>3</v>
      </c>
      <c r="AQ1250" s="3" t="n">
        <v>4</v>
      </c>
      <c r="AR1250" s="3" t="n">
        <v>4</v>
      </c>
      <c r="AS1250" s="3" t="n">
        <v>6</v>
      </c>
      <c r="AT1250" s="3" t="n">
        <v>4</v>
      </c>
      <c r="AU1250" s="3" t="n">
        <v>4</v>
      </c>
      <c r="AV1250" s="3" t="n">
        <v>6</v>
      </c>
      <c r="AW1250" s="3" t="n">
        <v>6</v>
      </c>
      <c r="AX1250" s="3" t="n">
        <v>3</v>
      </c>
      <c r="AY1250" s="3" t="n">
        <v>3</v>
      </c>
      <c r="AZ1250" s="3" t="n">
        <v>1</v>
      </c>
      <c r="BA1250" s="5" t="n">
        <v>10</v>
      </c>
      <c r="BB1250" s="3" t="n">
        <v>2</v>
      </c>
      <c r="BC1250" s="3" t="n">
        <v>1</v>
      </c>
      <c r="BD1250" s="3" t="n">
        <v>6</v>
      </c>
      <c r="BE1250" s="3" t="n">
        <v>3</v>
      </c>
      <c r="BF1250" s="3" t="n">
        <v>5</v>
      </c>
      <c r="BG1250" s="3" t="n">
        <v>3</v>
      </c>
      <c r="BH1250" s="3" t="n">
        <v>4</v>
      </c>
      <c r="BI1250" s="3" t="n">
        <v>1</v>
      </c>
      <c r="BJ1250" s="3" t="n">
        <v>1</v>
      </c>
      <c r="BK1250" s="21" t="s">
        <v>3135</v>
      </c>
    </row>
    <row r="1251" customFormat="false" ht="15" hidden="false" customHeight="true" outlineLevel="0" collapsed="false">
      <c r="B1251" s="2" t="s">
        <v>3136</v>
      </c>
      <c r="C1251" s="2" t="s">
        <v>3137</v>
      </c>
      <c r="D1251" s="2" t="s">
        <v>3138</v>
      </c>
      <c r="E1251" s="2" t="n">
        <v>212987</v>
      </c>
      <c r="F1251" s="15" t="n">
        <v>44323</v>
      </c>
      <c r="G1251" s="15" t="n">
        <v>44330</v>
      </c>
      <c r="H1251" s="3" t="n">
        <v>7</v>
      </c>
      <c r="I1251" s="3" t="n">
        <v>1</v>
      </c>
      <c r="J1251" s="3" t="n">
        <v>83</v>
      </c>
      <c r="K1251" s="3" t="n">
        <v>1</v>
      </c>
      <c r="L1251" s="3" t="n">
        <v>2</v>
      </c>
      <c r="M1251" s="3" t="n">
        <v>1</v>
      </c>
      <c r="N1251" s="3" t="n">
        <v>2</v>
      </c>
      <c r="O1251" s="3" t="n">
        <v>2</v>
      </c>
      <c r="P1251" s="3" t="n">
        <v>2</v>
      </c>
      <c r="Q1251" s="3" t="n">
        <v>2</v>
      </c>
      <c r="R1251" s="3" t="n">
        <v>2</v>
      </c>
      <c r="S1251" s="3" t="n">
        <v>2</v>
      </c>
      <c r="T1251" s="4" t="n">
        <v>1</v>
      </c>
      <c r="U1251" s="3" t="n">
        <v>1</v>
      </c>
      <c r="V1251" s="3" t="n">
        <v>4.53</v>
      </c>
      <c r="W1251" s="3" t="n">
        <v>1.03</v>
      </c>
      <c r="X1251" s="3" t="n">
        <v>4.63</v>
      </c>
      <c r="Y1251" s="3" t="n">
        <v>475</v>
      </c>
      <c r="Z1251" s="3" t="n">
        <v>72</v>
      </c>
      <c r="AA1251" s="3" t="n">
        <v>0.33</v>
      </c>
      <c r="AB1251" s="3" t="n">
        <v>8</v>
      </c>
      <c r="AD1251" s="3" t="n">
        <v>1</v>
      </c>
      <c r="AE1251" s="3" t="n">
        <v>1</v>
      </c>
      <c r="AF1251" s="3" t="n">
        <v>1</v>
      </c>
      <c r="AG1251" s="3" t="n">
        <v>2</v>
      </c>
      <c r="AH1251" s="3" t="n">
        <v>1</v>
      </c>
      <c r="AI1251" s="3" t="n">
        <v>1</v>
      </c>
      <c r="AJ1251" s="3" t="n">
        <v>2</v>
      </c>
      <c r="AK1251" s="3" t="n">
        <v>2</v>
      </c>
      <c r="AL1251" s="3" t="n">
        <v>2</v>
      </c>
      <c r="AM1251" s="3" t="n">
        <v>2</v>
      </c>
      <c r="AN1251" s="3" t="n">
        <v>2</v>
      </c>
      <c r="AO1251" s="3" t="n">
        <v>2</v>
      </c>
      <c r="AP1251" s="3" t="n">
        <v>3</v>
      </c>
      <c r="AQ1251" s="3" t="n">
        <v>4</v>
      </c>
      <c r="AR1251" s="3" t="n">
        <v>4</v>
      </c>
      <c r="AS1251" s="3" t="n">
        <v>6</v>
      </c>
      <c r="AT1251" s="3" t="n">
        <v>4</v>
      </c>
      <c r="AU1251" s="3" t="n">
        <v>4</v>
      </c>
      <c r="AV1251" s="3" t="n">
        <v>6</v>
      </c>
      <c r="AW1251" s="3" t="n">
        <v>6</v>
      </c>
      <c r="AX1251" s="3" t="n">
        <v>3</v>
      </c>
      <c r="AY1251" s="3" t="n">
        <v>3</v>
      </c>
      <c r="AZ1251" s="3" t="n">
        <v>1</v>
      </c>
      <c r="BA1251" s="5" t="n">
        <v>5</v>
      </c>
      <c r="BB1251" s="3" t="n">
        <v>2</v>
      </c>
      <c r="BC1251" s="3" t="n">
        <v>1</v>
      </c>
      <c r="BD1251" s="3" t="n">
        <v>6</v>
      </c>
      <c r="BE1251" s="3" t="n">
        <v>3</v>
      </c>
      <c r="BF1251" s="3" t="n">
        <v>5</v>
      </c>
      <c r="BG1251" s="3" t="n">
        <v>3</v>
      </c>
      <c r="BH1251" s="3" t="n">
        <v>4</v>
      </c>
      <c r="BI1251" s="3" t="n">
        <v>1</v>
      </c>
      <c r="BJ1251" s="3" t="n">
        <v>1</v>
      </c>
      <c r="BK1251" s="6" t="s">
        <v>3139</v>
      </c>
    </row>
    <row r="1252" customFormat="false" ht="15" hidden="false" customHeight="true" outlineLevel="0" collapsed="false">
      <c r="B1252" s="2" t="s">
        <v>140</v>
      </c>
      <c r="C1252" s="2" t="s">
        <v>94</v>
      </c>
      <c r="D1252" s="2" t="s">
        <v>161</v>
      </c>
      <c r="E1252" s="2" t="n">
        <v>212597</v>
      </c>
      <c r="F1252" s="15" t="n">
        <v>44320</v>
      </c>
      <c r="G1252" s="15" t="n">
        <v>44327</v>
      </c>
      <c r="H1252" s="3" t="n">
        <v>7</v>
      </c>
      <c r="I1252" s="3" t="n">
        <v>2</v>
      </c>
      <c r="J1252" s="3" t="n">
        <v>61</v>
      </c>
      <c r="K1252" s="3" t="n">
        <v>2</v>
      </c>
      <c r="L1252" s="3" t="n">
        <v>2</v>
      </c>
      <c r="M1252" s="3" t="n">
        <v>1</v>
      </c>
      <c r="N1252" s="3" t="n">
        <v>1</v>
      </c>
      <c r="O1252" s="3" t="n">
        <v>2</v>
      </c>
      <c r="P1252" s="3" t="n">
        <v>2</v>
      </c>
      <c r="Q1252" s="3" t="n">
        <v>2</v>
      </c>
      <c r="R1252" s="3" t="n">
        <v>2</v>
      </c>
      <c r="S1252" s="3" t="n">
        <v>1</v>
      </c>
      <c r="T1252" s="4" t="n">
        <v>2</v>
      </c>
      <c r="U1252" s="3" t="n">
        <v>2</v>
      </c>
      <c r="V1252" s="3" t="n">
        <v>5.33</v>
      </c>
      <c r="W1252" s="3" t="n">
        <v>3.03</v>
      </c>
      <c r="X1252" s="3" t="n">
        <v>4.94</v>
      </c>
      <c r="Y1252" s="3" t="n">
        <v>525</v>
      </c>
      <c r="Z1252" s="3" t="n">
        <v>191</v>
      </c>
      <c r="AA1252" s="3" t="n">
        <v>0.58</v>
      </c>
      <c r="AB1252" s="3" t="n">
        <v>12.3</v>
      </c>
      <c r="AD1252" s="3" t="n">
        <v>2</v>
      </c>
      <c r="AE1252" s="3" t="n">
        <v>1</v>
      </c>
      <c r="AF1252" s="3" t="n">
        <v>1</v>
      </c>
      <c r="AG1252" s="3" t="n">
        <v>2</v>
      </c>
      <c r="AH1252" s="3" t="n">
        <v>1</v>
      </c>
      <c r="AI1252" s="3" t="n">
        <v>1</v>
      </c>
      <c r="AJ1252" s="3" t="n">
        <v>1</v>
      </c>
      <c r="AK1252" s="3" t="n">
        <v>2</v>
      </c>
      <c r="AL1252" s="3" t="n">
        <v>2</v>
      </c>
      <c r="AM1252" s="3" t="n">
        <v>1</v>
      </c>
      <c r="AN1252" s="3" t="n">
        <v>2</v>
      </c>
      <c r="AO1252" s="3" t="n">
        <v>2</v>
      </c>
      <c r="AP1252" s="3" t="n">
        <v>3</v>
      </c>
      <c r="AQ1252" s="3" t="n">
        <v>4</v>
      </c>
      <c r="AR1252" s="3" t="n">
        <v>4</v>
      </c>
      <c r="AS1252" s="3" t="n">
        <v>6</v>
      </c>
      <c r="AT1252" s="3" t="n">
        <v>4</v>
      </c>
      <c r="AU1252" s="3" t="n">
        <v>4</v>
      </c>
      <c r="AV1252" s="3" t="n">
        <v>6</v>
      </c>
      <c r="AW1252" s="3" t="n">
        <v>6</v>
      </c>
      <c r="AX1252" s="3" t="n">
        <v>3</v>
      </c>
      <c r="AY1252" s="3" t="n">
        <v>3</v>
      </c>
      <c r="AZ1252" s="3" t="n">
        <v>1</v>
      </c>
      <c r="BA1252" s="5" t="n">
        <v>1</v>
      </c>
      <c r="BB1252" s="3" t="n">
        <v>1</v>
      </c>
      <c r="BC1252" s="3" t="n">
        <v>1</v>
      </c>
      <c r="BD1252" s="3" t="n">
        <v>4</v>
      </c>
      <c r="BE1252" s="3" t="n">
        <v>3</v>
      </c>
      <c r="BF1252" s="3" t="n">
        <v>5</v>
      </c>
      <c r="BG1252" s="3" t="n">
        <v>3</v>
      </c>
      <c r="BH1252" s="3" t="n">
        <v>4</v>
      </c>
      <c r="BI1252" s="3" t="n">
        <v>1</v>
      </c>
      <c r="BJ1252" s="3" t="n">
        <v>1</v>
      </c>
      <c r="BK1252" s="6" t="s">
        <v>3140</v>
      </c>
    </row>
    <row r="1253" customFormat="false" ht="15" hidden="false" customHeight="true" outlineLevel="0" collapsed="false">
      <c r="B1253" s="2" t="s">
        <v>1816</v>
      </c>
      <c r="C1253" s="2" t="s">
        <v>178</v>
      </c>
      <c r="D1253" s="2" t="s">
        <v>692</v>
      </c>
      <c r="E1253" s="2" t="n">
        <v>186098</v>
      </c>
      <c r="F1253" s="15" t="n">
        <v>44320</v>
      </c>
      <c r="G1253" s="15" t="n">
        <v>44328</v>
      </c>
      <c r="H1253" s="3" t="n">
        <v>8</v>
      </c>
      <c r="I1253" s="3" t="n">
        <v>2</v>
      </c>
      <c r="J1253" s="3" t="n">
        <v>56</v>
      </c>
      <c r="K1253" s="3" t="n">
        <v>1</v>
      </c>
      <c r="L1253" s="3" t="n">
        <v>2</v>
      </c>
      <c r="M1253" s="3" t="n">
        <v>1</v>
      </c>
      <c r="N1253" s="3" t="n">
        <v>2</v>
      </c>
      <c r="O1253" s="3" t="n">
        <v>2</v>
      </c>
      <c r="P1253" s="3" t="n">
        <v>1</v>
      </c>
      <c r="Q1253" s="3" t="n">
        <v>1</v>
      </c>
      <c r="R1253" s="3" t="n">
        <v>2</v>
      </c>
      <c r="S1253" s="3" t="n">
        <v>2</v>
      </c>
      <c r="T1253" s="4" t="n">
        <v>2</v>
      </c>
      <c r="U1253" s="3" t="n">
        <v>2</v>
      </c>
      <c r="V1253" s="3" t="n">
        <v>3.92</v>
      </c>
      <c r="W1253" s="3" t="n">
        <v>1.03</v>
      </c>
      <c r="X1253" s="3" t="n">
        <v>14.68</v>
      </c>
      <c r="Y1253" s="3" t="n">
        <v>387</v>
      </c>
      <c r="Z1253" s="3" t="n">
        <v>143</v>
      </c>
      <c r="AA1253" s="3" t="n">
        <v>0.36</v>
      </c>
      <c r="AB1253" s="3" t="n">
        <v>14.4</v>
      </c>
      <c r="AD1253" s="3" t="n">
        <v>2</v>
      </c>
      <c r="AE1253" s="3" t="n">
        <v>1</v>
      </c>
      <c r="AF1253" s="3" t="n">
        <v>1</v>
      </c>
      <c r="AG1253" s="3" t="n">
        <v>1</v>
      </c>
      <c r="AH1253" s="3" t="n">
        <v>1</v>
      </c>
      <c r="AI1253" s="3" t="n">
        <v>1</v>
      </c>
      <c r="AJ1253" s="3" t="n">
        <v>1</v>
      </c>
      <c r="AK1253" s="3" t="n">
        <v>1</v>
      </c>
      <c r="AL1253" s="3" t="n">
        <v>2</v>
      </c>
      <c r="AM1253" s="3" t="n">
        <v>2</v>
      </c>
      <c r="AN1253" s="3" t="n">
        <v>2</v>
      </c>
      <c r="AO1253" s="3" t="n">
        <v>2</v>
      </c>
      <c r="AP1253" s="3" t="n">
        <v>3</v>
      </c>
      <c r="AQ1253" s="3" t="n">
        <v>4</v>
      </c>
      <c r="AR1253" s="3" t="n">
        <v>4</v>
      </c>
      <c r="AS1253" s="3" t="n">
        <v>6</v>
      </c>
      <c r="AT1253" s="3" t="n">
        <v>4</v>
      </c>
      <c r="AU1253" s="3" t="n">
        <v>4</v>
      </c>
      <c r="AV1253" s="3" t="n">
        <v>6</v>
      </c>
      <c r="AW1253" s="3" t="n">
        <v>6</v>
      </c>
      <c r="AX1253" s="3" t="n">
        <v>3</v>
      </c>
      <c r="AY1253" s="3" t="n">
        <v>3</v>
      </c>
      <c r="AZ1253" s="3" t="n">
        <v>1</v>
      </c>
      <c r="BA1253" s="5" t="n">
        <v>2</v>
      </c>
      <c r="BB1253" s="3" t="n">
        <v>1</v>
      </c>
      <c r="BC1253" s="3" t="n">
        <v>1</v>
      </c>
      <c r="BD1253" s="3" t="n">
        <v>6</v>
      </c>
      <c r="BE1253" s="3" t="n">
        <v>3</v>
      </c>
      <c r="BF1253" s="3" t="n">
        <v>5</v>
      </c>
      <c r="BG1253" s="3" t="n">
        <v>3</v>
      </c>
      <c r="BH1253" s="3" t="n">
        <v>4</v>
      </c>
      <c r="BI1253" s="3" t="n">
        <v>1</v>
      </c>
      <c r="BJ1253" s="3" t="n">
        <v>1</v>
      </c>
      <c r="BK1253" s="6" t="s">
        <v>3141</v>
      </c>
    </row>
    <row r="1254" s="30" customFormat="true" ht="15" hidden="false" customHeight="true" outlineLevel="0" collapsed="false">
      <c r="A1254" s="24"/>
      <c r="B1254" s="26" t="s">
        <v>3136</v>
      </c>
      <c r="C1254" s="26" t="s">
        <v>3137</v>
      </c>
      <c r="D1254" s="26" t="s">
        <v>3138</v>
      </c>
      <c r="E1254" s="26" t="n">
        <v>212987</v>
      </c>
      <c r="F1254" s="27" t="n">
        <v>44331</v>
      </c>
      <c r="G1254" s="27" t="n">
        <v>44333</v>
      </c>
      <c r="H1254" s="30" t="n">
        <v>2</v>
      </c>
      <c r="I1254" s="30" t="n">
        <v>1</v>
      </c>
      <c r="J1254" s="30" t="n">
        <v>83</v>
      </c>
      <c r="K1254" s="30" t="n">
        <v>1</v>
      </c>
      <c r="L1254" s="30" t="n">
        <v>2</v>
      </c>
      <c r="M1254" s="30" t="n">
        <v>1</v>
      </c>
      <c r="N1254" s="30" t="n">
        <v>2</v>
      </c>
      <c r="O1254" s="30" t="n">
        <v>2</v>
      </c>
      <c r="P1254" s="30" t="n">
        <v>2</v>
      </c>
      <c r="Q1254" s="30" t="n">
        <v>2</v>
      </c>
      <c r="R1254" s="30" t="n">
        <v>2</v>
      </c>
      <c r="S1254" s="30" t="n">
        <v>2</v>
      </c>
      <c r="T1254" s="4" t="n">
        <v>4</v>
      </c>
      <c r="U1254" s="30" t="n">
        <v>4</v>
      </c>
      <c r="V1254" s="30" t="n">
        <v>4.53</v>
      </c>
      <c r="W1254" s="30" t="n">
        <v>1.03</v>
      </c>
      <c r="X1254" s="30" t="n">
        <v>4.63</v>
      </c>
      <c r="Y1254" s="30" t="n">
        <v>475</v>
      </c>
      <c r="Z1254" s="30" t="n">
        <v>72</v>
      </c>
      <c r="AA1254" s="30" t="n">
        <v>0.33</v>
      </c>
      <c r="AB1254" s="30" t="n">
        <v>8</v>
      </c>
      <c r="AD1254" s="30" t="n">
        <v>1</v>
      </c>
      <c r="AE1254" s="30" t="n">
        <v>1</v>
      </c>
      <c r="AF1254" s="30" t="n">
        <v>1</v>
      </c>
      <c r="AG1254" s="30" t="n">
        <v>2</v>
      </c>
      <c r="AH1254" s="30" t="n">
        <v>1</v>
      </c>
      <c r="AI1254" s="30" t="n">
        <v>1</v>
      </c>
      <c r="AJ1254" s="30" t="n">
        <v>2</v>
      </c>
      <c r="AK1254" s="30" t="n">
        <v>2</v>
      </c>
      <c r="AL1254" s="30" t="n">
        <v>2</v>
      </c>
      <c r="AM1254" s="30" t="n">
        <v>2</v>
      </c>
      <c r="AN1254" s="30" t="n">
        <v>2</v>
      </c>
      <c r="AO1254" s="30" t="n">
        <v>2</v>
      </c>
      <c r="AP1254" s="30" t="n">
        <v>3</v>
      </c>
      <c r="AQ1254" s="30" t="n">
        <v>4</v>
      </c>
      <c r="AR1254" s="30" t="n">
        <v>4</v>
      </c>
      <c r="AS1254" s="30" t="n">
        <v>6</v>
      </c>
      <c r="AT1254" s="30" t="n">
        <v>4</v>
      </c>
      <c r="AU1254" s="30" t="n">
        <v>4</v>
      </c>
      <c r="AV1254" s="30" t="n">
        <v>6</v>
      </c>
      <c r="AW1254" s="30" t="n">
        <v>6</v>
      </c>
      <c r="AX1254" s="30" t="n">
        <v>3</v>
      </c>
      <c r="AY1254" s="30" t="n">
        <v>3</v>
      </c>
      <c r="AZ1254" s="30" t="n">
        <v>10</v>
      </c>
      <c r="BA1254" s="5" t="n">
        <v>10</v>
      </c>
      <c r="BB1254" s="30" t="n">
        <v>2</v>
      </c>
      <c r="BC1254" s="30" t="n">
        <v>2</v>
      </c>
      <c r="BD1254" s="30" t="n">
        <v>6</v>
      </c>
      <c r="BE1254" s="30" t="n">
        <v>3</v>
      </c>
      <c r="BF1254" s="30" t="n">
        <v>5</v>
      </c>
      <c r="BG1254" s="30" t="n">
        <v>3</v>
      </c>
      <c r="BH1254" s="30" t="n">
        <v>4</v>
      </c>
      <c r="BI1254" s="30" t="n">
        <v>1</v>
      </c>
      <c r="BJ1254" s="30" t="n">
        <v>1</v>
      </c>
      <c r="BK1254" s="31" t="s">
        <v>3142</v>
      </c>
    </row>
    <row r="1255" customFormat="false" ht="15" hidden="false" customHeight="true" outlineLevel="0" collapsed="false">
      <c r="B1255" s="2" t="s">
        <v>2958</v>
      </c>
      <c r="C1255" s="2" t="s">
        <v>78</v>
      </c>
      <c r="D1255" s="2" t="s">
        <v>66</v>
      </c>
      <c r="E1255" s="2" t="n">
        <v>212597</v>
      </c>
      <c r="F1255" s="15" t="n">
        <v>44319</v>
      </c>
      <c r="G1255" s="15" t="n">
        <v>44331</v>
      </c>
      <c r="H1255" s="3" t="n">
        <v>12</v>
      </c>
      <c r="I1255" s="3" t="n">
        <v>2</v>
      </c>
      <c r="J1255" s="3" t="n">
        <v>46</v>
      </c>
      <c r="K1255" s="3" t="n">
        <v>1</v>
      </c>
      <c r="L1255" s="3" t="n">
        <v>2</v>
      </c>
      <c r="M1255" s="3" t="n">
        <v>1</v>
      </c>
      <c r="N1255" s="3" t="n">
        <v>1</v>
      </c>
      <c r="O1255" s="3" t="n">
        <v>2</v>
      </c>
      <c r="P1255" s="3" t="n">
        <v>2</v>
      </c>
      <c r="Q1255" s="3" t="n">
        <v>1</v>
      </c>
      <c r="R1255" s="3" t="n">
        <v>2</v>
      </c>
      <c r="S1255" s="3" t="n">
        <v>2</v>
      </c>
      <c r="T1255" s="4" t="n">
        <v>1</v>
      </c>
      <c r="U1255" s="3" t="n">
        <v>1</v>
      </c>
      <c r="V1255" s="3" t="n">
        <v>4.97</v>
      </c>
      <c r="W1255" s="3" t="n">
        <v>5.63</v>
      </c>
      <c r="X1255" s="3" t="n">
        <v>7.33</v>
      </c>
      <c r="Y1255" s="3" t="n">
        <v>606</v>
      </c>
      <c r="Z1255" s="3" t="n">
        <v>114</v>
      </c>
      <c r="AA1255" s="3" t="n">
        <v>0.45</v>
      </c>
      <c r="AB1255" s="3" t="n">
        <v>12.2</v>
      </c>
      <c r="AD1255" s="3" t="n">
        <v>1</v>
      </c>
      <c r="AE1255" s="3" t="n">
        <v>1</v>
      </c>
      <c r="AF1255" s="3" t="n">
        <v>1</v>
      </c>
      <c r="AG1255" s="3" t="n">
        <v>1</v>
      </c>
      <c r="AH1255" s="3" t="n">
        <v>2</v>
      </c>
      <c r="AI1255" s="3" t="n">
        <v>1</v>
      </c>
      <c r="AJ1255" s="3" t="n">
        <v>2</v>
      </c>
      <c r="AK1255" s="3" t="n">
        <v>1</v>
      </c>
      <c r="AL1255" s="3" t="n">
        <v>2</v>
      </c>
      <c r="AM1255" s="3" t="n">
        <v>1</v>
      </c>
      <c r="AN1255" s="3" t="n">
        <v>2</v>
      </c>
      <c r="AO1255" s="3" t="n">
        <v>2</v>
      </c>
      <c r="AP1255" s="3" t="n">
        <v>3</v>
      </c>
      <c r="AQ1255" s="3" t="n">
        <v>4</v>
      </c>
      <c r="AR1255" s="3" t="n">
        <v>4</v>
      </c>
      <c r="AS1255" s="3" t="n">
        <v>6</v>
      </c>
      <c r="AT1255" s="3" t="n">
        <v>4</v>
      </c>
      <c r="AU1255" s="3" t="n">
        <v>4</v>
      </c>
      <c r="AV1255" s="3" t="n">
        <v>6</v>
      </c>
      <c r="AW1255" s="3" t="n">
        <v>6</v>
      </c>
      <c r="AX1255" s="3" t="n">
        <v>3</v>
      </c>
      <c r="AY1255" s="3" t="n">
        <v>3</v>
      </c>
      <c r="AZ1255" s="3" t="n">
        <v>1</v>
      </c>
      <c r="BA1255" s="5" t="n">
        <v>5</v>
      </c>
      <c r="BB1255" s="3" t="n">
        <v>2</v>
      </c>
      <c r="BC1255" s="3" t="n">
        <v>1</v>
      </c>
      <c r="BD1255" s="3" t="n">
        <v>6</v>
      </c>
      <c r="BE1255" s="3" t="n">
        <v>3</v>
      </c>
      <c r="BF1255" s="3" t="n">
        <v>5</v>
      </c>
      <c r="BG1255" s="3" t="n">
        <v>3</v>
      </c>
      <c r="BH1255" s="3" t="n">
        <v>4</v>
      </c>
      <c r="BI1255" s="3" t="n">
        <v>1</v>
      </c>
      <c r="BJ1255" s="3" t="n">
        <v>1</v>
      </c>
      <c r="BK1255" s="6" t="s">
        <v>3143</v>
      </c>
    </row>
    <row r="1256" customFormat="false" ht="15" hidden="false" customHeight="true" outlineLevel="0" collapsed="false">
      <c r="B1256" s="2" t="s">
        <v>3144</v>
      </c>
      <c r="C1256" s="2" t="s">
        <v>1401</v>
      </c>
      <c r="D1256" s="2" t="s">
        <v>172</v>
      </c>
      <c r="E1256" s="2" t="n">
        <v>213407</v>
      </c>
      <c r="F1256" s="15" t="n">
        <v>44327</v>
      </c>
      <c r="G1256" s="15" t="n">
        <v>44333</v>
      </c>
      <c r="H1256" s="3" t="n">
        <v>6</v>
      </c>
      <c r="I1256" s="3" t="n">
        <v>2</v>
      </c>
      <c r="J1256" s="3" t="n">
        <v>65</v>
      </c>
      <c r="K1256" s="3" t="n">
        <v>1</v>
      </c>
      <c r="L1256" s="3" t="n">
        <v>1</v>
      </c>
      <c r="M1256" s="3" t="n">
        <v>1</v>
      </c>
      <c r="N1256" s="3" t="n">
        <v>2</v>
      </c>
      <c r="O1256" s="3" t="n">
        <v>2</v>
      </c>
      <c r="P1256" s="3" t="n">
        <v>2</v>
      </c>
      <c r="Q1256" s="3" t="n">
        <v>2</v>
      </c>
      <c r="R1256" s="3" t="n">
        <v>2</v>
      </c>
      <c r="S1256" s="3" t="n">
        <v>2</v>
      </c>
      <c r="T1256" s="4" t="n">
        <v>1</v>
      </c>
      <c r="U1256" s="3" t="n">
        <v>1</v>
      </c>
      <c r="V1256" s="3" t="n">
        <v>4.73</v>
      </c>
      <c r="W1256" s="3" t="s">
        <v>3145</v>
      </c>
      <c r="X1256" s="3" t="n">
        <v>5.49</v>
      </c>
      <c r="Y1256" s="3" t="n">
        <v>391</v>
      </c>
      <c r="Z1256" s="3" t="n">
        <v>78</v>
      </c>
      <c r="AA1256" s="3" t="n">
        <v>0.43</v>
      </c>
      <c r="AB1256" s="3" t="n">
        <v>9.4</v>
      </c>
      <c r="AC1256" s="3" t="n">
        <v>1</v>
      </c>
      <c r="AD1256" s="3" t="n">
        <v>1</v>
      </c>
      <c r="AE1256" s="3" t="n">
        <v>1</v>
      </c>
      <c r="AF1256" s="3" t="n">
        <v>1</v>
      </c>
      <c r="AG1256" s="3" t="n">
        <v>1</v>
      </c>
      <c r="AH1256" s="3" t="n">
        <v>2</v>
      </c>
      <c r="AI1256" s="3" t="n">
        <v>1</v>
      </c>
      <c r="AJ1256" s="3" t="n">
        <v>1</v>
      </c>
      <c r="AK1256" s="3" t="n">
        <v>2</v>
      </c>
      <c r="AL1256" s="3" t="n">
        <v>2</v>
      </c>
      <c r="AM1256" s="3" t="n">
        <v>2</v>
      </c>
      <c r="AN1256" s="3" t="n">
        <v>2</v>
      </c>
      <c r="AO1256" s="3" t="n">
        <v>2</v>
      </c>
      <c r="AP1256" s="3" t="n">
        <v>3</v>
      </c>
      <c r="AQ1256" s="3" t="n">
        <v>4</v>
      </c>
      <c r="AR1256" s="3" t="n">
        <v>4</v>
      </c>
      <c r="AS1256" s="3" t="n">
        <v>6</v>
      </c>
      <c r="AT1256" s="3" t="n">
        <v>4</v>
      </c>
      <c r="AU1256" s="3" t="n">
        <v>4</v>
      </c>
      <c r="AV1256" s="3" t="n">
        <v>6</v>
      </c>
      <c r="AW1256" s="3" t="n">
        <v>6</v>
      </c>
      <c r="AX1256" s="3" t="n">
        <v>3</v>
      </c>
      <c r="AY1256" s="3" t="n">
        <v>3</v>
      </c>
      <c r="AZ1256" s="3" t="n">
        <v>1</v>
      </c>
      <c r="BA1256" s="5" t="n">
        <v>5</v>
      </c>
      <c r="BB1256" s="3" t="n">
        <v>2</v>
      </c>
      <c r="BC1256" s="3" t="n">
        <v>1</v>
      </c>
      <c r="BD1256" s="3" t="n">
        <v>1</v>
      </c>
      <c r="BE1256" s="3" t="n">
        <v>1</v>
      </c>
      <c r="BF1256" s="3" t="n">
        <v>2</v>
      </c>
      <c r="BG1256" s="3" t="n">
        <v>1</v>
      </c>
      <c r="BH1256" s="3" t="n">
        <v>4</v>
      </c>
      <c r="BI1256" s="3" t="n">
        <v>1</v>
      </c>
      <c r="BJ1256" s="3" t="n">
        <v>1</v>
      </c>
      <c r="BK1256" s="6" t="s">
        <v>3146</v>
      </c>
    </row>
    <row r="1257" customFormat="false" ht="15" hidden="false" customHeight="true" outlineLevel="0" collapsed="false">
      <c r="B1257" s="2" t="s">
        <v>3147</v>
      </c>
      <c r="C1257" s="2" t="s">
        <v>115</v>
      </c>
      <c r="D1257" s="2" t="s">
        <v>846</v>
      </c>
      <c r="E1257" s="2" t="n">
        <v>213223</v>
      </c>
      <c r="F1257" s="15" t="n">
        <v>44325</v>
      </c>
      <c r="G1257" s="15" t="n">
        <v>44332</v>
      </c>
      <c r="H1257" s="3" t="n">
        <v>7</v>
      </c>
      <c r="I1257" s="3" t="n">
        <v>2</v>
      </c>
      <c r="J1257" s="3" t="n">
        <v>58</v>
      </c>
      <c r="K1257" s="3" t="n">
        <v>1</v>
      </c>
      <c r="L1257" s="3" t="n">
        <v>1</v>
      </c>
      <c r="M1257" s="3" t="n">
        <v>2</v>
      </c>
      <c r="N1257" s="3" t="n">
        <v>2</v>
      </c>
      <c r="O1257" s="3" t="n">
        <v>2</v>
      </c>
      <c r="P1257" s="3" t="n">
        <v>2</v>
      </c>
      <c r="Q1257" s="3" t="n">
        <v>2</v>
      </c>
      <c r="R1257" s="3" t="n">
        <v>2</v>
      </c>
      <c r="S1257" s="3" t="n">
        <v>2</v>
      </c>
      <c r="T1257" s="4" t="n">
        <v>2</v>
      </c>
      <c r="U1257" s="3" t="n">
        <v>2</v>
      </c>
      <c r="V1257" s="3" t="n">
        <v>4.02</v>
      </c>
      <c r="W1257" s="3" t="n">
        <v>1.03</v>
      </c>
      <c r="X1257" s="3" t="n">
        <v>3.82</v>
      </c>
      <c r="Y1257" s="3" t="n">
        <v>353</v>
      </c>
      <c r="Z1257" s="3" t="n">
        <v>117</v>
      </c>
      <c r="AA1257" s="3" t="n">
        <v>0.5</v>
      </c>
      <c r="AB1257" s="3" t="n">
        <v>13.7</v>
      </c>
      <c r="AC1257" s="3" t="n">
        <v>1</v>
      </c>
      <c r="AD1257" s="3" t="n">
        <v>2</v>
      </c>
      <c r="AE1257" s="3" t="n">
        <v>2</v>
      </c>
      <c r="AF1257" s="3" t="n">
        <v>1</v>
      </c>
      <c r="AG1257" s="3" t="n">
        <v>1</v>
      </c>
      <c r="AH1257" s="3" t="n">
        <v>1</v>
      </c>
      <c r="AI1257" s="3" t="n">
        <v>1</v>
      </c>
      <c r="AJ1257" s="3" t="n">
        <v>1</v>
      </c>
      <c r="AK1257" s="3" t="n">
        <v>2</v>
      </c>
      <c r="AL1257" s="3" t="n">
        <v>2</v>
      </c>
      <c r="AM1257" s="3" t="n">
        <v>2</v>
      </c>
      <c r="AN1257" s="3" t="n">
        <v>2</v>
      </c>
      <c r="AO1257" s="3" t="n">
        <v>2</v>
      </c>
      <c r="AP1257" s="3" t="n">
        <v>3</v>
      </c>
      <c r="AQ1257" s="3" t="n">
        <v>4</v>
      </c>
      <c r="AR1257" s="3" t="n">
        <v>4</v>
      </c>
      <c r="AS1257" s="3" t="n">
        <v>6</v>
      </c>
      <c r="AT1257" s="3" t="n">
        <v>4</v>
      </c>
      <c r="AU1257" s="3" t="n">
        <v>4</v>
      </c>
      <c r="AV1257" s="3" t="n">
        <v>6</v>
      </c>
      <c r="AW1257" s="3" t="n">
        <v>6</v>
      </c>
      <c r="AX1257" s="3" t="n">
        <v>3</v>
      </c>
      <c r="AY1257" s="3" t="n">
        <v>3</v>
      </c>
      <c r="AZ1257" s="3" t="n">
        <v>1</v>
      </c>
      <c r="BA1257" s="5" t="n">
        <v>1</v>
      </c>
      <c r="BB1257" s="3" t="n">
        <v>1</v>
      </c>
      <c r="BC1257" s="3" t="n">
        <v>1</v>
      </c>
      <c r="BD1257" s="3" t="n">
        <v>4</v>
      </c>
      <c r="BE1257" s="3" t="n">
        <v>1</v>
      </c>
      <c r="BF1257" s="3" t="n">
        <v>2</v>
      </c>
      <c r="BG1257" s="3" t="n">
        <v>1</v>
      </c>
      <c r="BH1257" s="3" t="n">
        <v>4</v>
      </c>
      <c r="BI1257" s="3" t="n">
        <v>1</v>
      </c>
      <c r="BJ1257" s="3" t="n">
        <v>1</v>
      </c>
      <c r="BK1257" s="6" t="s">
        <v>3148</v>
      </c>
    </row>
    <row r="1258" s="30" customFormat="true" ht="15" hidden="false" customHeight="true" outlineLevel="0" collapsed="false">
      <c r="A1258" s="24"/>
      <c r="B1258" s="26" t="s">
        <v>3149</v>
      </c>
      <c r="C1258" s="26" t="s">
        <v>808</v>
      </c>
      <c r="D1258" s="26" t="s">
        <v>462</v>
      </c>
      <c r="E1258" s="26" t="n">
        <v>213230</v>
      </c>
      <c r="F1258" s="27" t="n">
        <v>44325</v>
      </c>
      <c r="G1258" s="27" t="n">
        <v>44338</v>
      </c>
      <c r="H1258" s="30" t="n">
        <v>13</v>
      </c>
      <c r="I1258" s="30" t="n">
        <v>2</v>
      </c>
      <c r="J1258" s="30" t="n">
        <v>55</v>
      </c>
      <c r="K1258" s="30" t="n">
        <v>1</v>
      </c>
      <c r="L1258" s="30" t="n">
        <v>1</v>
      </c>
      <c r="M1258" s="30" t="n">
        <v>1</v>
      </c>
      <c r="N1258" s="30" t="n">
        <v>2</v>
      </c>
      <c r="O1258" s="30" t="n">
        <v>2</v>
      </c>
      <c r="P1258" s="30" t="n">
        <v>1</v>
      </c>
      <c r="Q1258" s="30" t="n">
        <v>1</v>
      </c>
      <c r="R1258" s="30" t="n">
        <v>1</v>
      </c>
      <c r="S1258" s="30" t="n">
        <v>1</v>
      </c>
      <c r="T1258" s="4" t="n">
        <v>3</v>
      </c>
      <c r="U1258" s="30" t="n">
        <v>4</v>
      </c>
      <c r="V1258" s="30" t="n">
        <v>6.26</v>
      </c>
      <c r="W1258" s="30" t="n">
        <v>3.02</v>
      </c>
      <c r="X1258" s="30" t="n">
        <v>7.5</v>
      </c>
      <c r="Y1258" s="30" t="n">
        <v>1200</v>
      </c>
      <c r="Z1258" s="30" t="n">
        <v>179</v>
      </c>
      <c r="AA1258" s="30" t="n">
        <v>45</v>
      </c>
      <c r="AB1258" s="30" t="n">
        <v>15</v>
      </c>
      <c r="AC1258" s="30" t="n">
        <v>2</v>
      </c>
      <c r="AD1258" s="30" t="n">
        <v>1</v>
      </c>
      <c r="AE1258" s="30" t="n">
        <v>1</v>
      </c>
      <c r="AF1258" s="30" t="n">
        <v>1</v>
      </c>
      <c r="AG1258" s="30" t="n">
        <v>2</v>
      </c>
      <c r="AH1258" s="30" t="n">
        <v>2</v>
      </c>
      <c r="AI1258" s="30" t="n">
        <v>1</v>
      </c>
      <c r="AJ1258" s="30" t="n">
        <v>2</v>
      </c>
      <c r="AK1258" s="30" t="n">
        <v>1</v>
      </c>
      <c r="AL1258" s="30" t="n">
        <v>2</v>
      </c>
      <c r="AM1258" s="30" t="n">
        <v>1</v>
      </c>
      <c r="AN1258" s="30" t="n">
        <v>1</v>
      </c>
      <c r="AO1258" s="30" t="n">
        <v>2</v>
      </c>
      <c r="AP1258" s="30" t="n">
        <v>3</v>
      </c>
      <c r="AQ1258" s="30" t="n">
        <v>4</v>
      </c>
      <c r="AR1258" s="30" t="n">
        <v>4</v>
      </c>
      <c r="AS1258" s="30" t="n">
        <v>6</v>
      </c>
      <c r="AT1258" s="30" t="n">
        <v>4</v>
      </c>
      <c r="AU1258" s="30" t="n">
        <v>4</v>
      </c>
      <c r="AV1258" s="30" t="n">
        <v>6</v>
      </c>
      <c r="AW1258" s="30" t="n">
        <v>6</v>
      </c>
      <c r="AX1258" s="30" t="n">
        <v>3</v>
      </c>
      <c r="AY1258" s="30" t="n">
        <v>3</v>
      </c>
      <c r="AZ1258" s="30" t="n">
        <v>1</v>
      </c>
      <c r="BA1258" s="5" t="n">
        <v>3</v>
      </c>
      <c r="BB1258" s="30" t="n">
        <v>2</v>
      </c>
      <c r="BC1258" s="30" t="n">
        <v>2</v>
      </c>
      <c r="BD1258" s="30" t="n">
        <v>1</v>
      </c>
      <c r="BE1258" s="30" t="n">
        <v>2</v>
      </c>
      <c r="BF1258" s="30" t="n">
        <v>5</v>
      </c>
      <c r="BG1258" s="30" t="n">
        <v>3</v>
      </c>
      <c r="BH1258" s="30" t="n">
        <v>4</v>
      </c>
      <c r="BI1258" s="30" t="n">
        <v>3</v>
      </c>
      <c r="BJ1258" s="30" t="n">
        <v>4</v>
      </c>
      <c r="BK1258" s="31" t="s">
        <v>3150</v>
      </c>
    </row>
    <row r="1259" customFormat="false" ht="15" hidden="false" customHeight="true" outlineLevel="0" collapsed="false">
      <c r="B1259" s="2" t="s">
        <v>1438</v>
      </c>
      <c r="C1259" s="2" t="s">
        <v>3151</v>
      </c>
      <c r="D1259" s="2" t="s">
        <v>3152</v>
      </c>
      <c r="E1259" s="2" t="n">
        <v>213440</v>
      </c>
      <c r="F1259" s="15" t="s">
        <v>3153</v>
      </c>
      <c r="G1259" s="15" t="n">
        <v>44335</v>
      </c>
      <c r="H1259" s="3" t="n">
        <v>9</v>
      </c>
      <c r="I1259" s="3" t="n">
        <v>2</v>
      </c>
      <c r="J1259" s="3" t="n">
        <v>54</v>
      </c>
      <c r="K1259" s="3" t="n">
        <v>1</v>
      </c>
      <c r="L1259" s="3" t="n">
        <v>1</v>
      </c>
      <c r="M1259" s="3" t="n">
        <v>1</v>
      </c>
      <c r="N1259" s="3" t="n">
        <v>2</v>
      </c>
      <c r="O1259" s="3" t="n">
        <v>1</v>
      </c>
      <c r="P1259" s="3" t="n">
        <v>1</v>
      </c>
      <c r="Q1259" s="3" t="n">
        <v>2</v>
      </c>
      <c r="R1259" s="3" t="n">
        <v>2</v>
      </c>
      <c r="S1259" s="3" t="n">
        <v>2</v>
      </c>
      <c r="T1259" s="4" t="n">
        <v>1</v>
      </c>
      <c r="U1259" s="3" t="n">
        <v>1</v>
      </c>
      <c r="V1259" s="3" t="n">
        <v>138</v>
      </c>
      <c r="W1259" s="3" t="n">
        <v>1.63</v>
      </c>
      <c r="X1259" s="3" t="n">
        <v>18.32</v>
      </c>
      <c r="Y1259" s="3" t="n">
        <v>368</v>
      </c>
      <c r="Z1259" s="3" t="n">
        <v>112</v>
      </c>
      <c r="AA1259" s="3" t="n">
        <v>48</v>
      </c>
      <c r="AB1259" s="3" t="n">
        <v>11.9</v>
      </c>
      <c r="AC1259" s="3" t="n">
        <v>2</v>
      </c>
      <c r="AD1259" s="3" t="n">
        <v>1</v>
      </c>
      <c r="AE1259" s="3" t="n">
        <v>2</v>
      </c>
      <c r="AF1259" s="3" t="n">
        <v>1</v>
      </c>
      <c r="AG1259" s="3" t="n">
        <v>1</v>
      </c>
      <c r="AH1259" s="3" t="n">
        <v>1</v>
      </c>
      <c r="AI1259" s="3" t="n">
        <v>1</v>
      </c>
      <c r="AJ1259" s="3" t="n">
        <v>1</v>
      </c>
      <c r="AK1259" s="3" t="n">
        <v>1</v>
      </c>
      <c r="AL1259" s="3" t="n">
        <v>2</v>
      </c>
      <c r="AM1259" s="3" t="n">
        <v>2</v>
      </c>
      <c r="AN1259" s="3" t="n">
        <v>2</v>
      </c>
      <c r="AO1259" s="3" t="n">
        <v>2</v>
      </c>
      <c r="AP1259" s="3" t="n">
        <v>3</v>
      </c>
      <c r="AQ1259" s="3" t="n">
        <v>4</v>
      </c>
      <c r="AR1259" s="3" t="n">
        <v>4</v>
      </c>
      <c r="AS1259" s="3" t="n">
        <v>6</v>
      </c>
      <c r="AT1259" s="3" t="n">
        <v>4</v>
      </c>
      <c r="AU1259" s="3" t="n">
        <v>4</v>
      </c>
      <c r="AV1259" s="3" t="n">
        <v>6</v>
      </c>
      <c r="AW1259" s="3" t="n">
        <v>6</v>
      </c>
      <c r="AX1259" s="3" t="n">
        <v>3</v>
      </c>
      <c r="AY1259" s="3" t="n">
        <v>3</v>
      </c>
      <c r="AZ1259" s="3" t="n">
        <v>1</v>
      </c>
      <c r="BA1259" s="5" t="n">
        <v>1</v>
      </c>
      <c r="BB1259" s="3" t="n">
        <v>1</v>
      </c>
      <c r="BC1259" s="3" t="n">
        <v>1</v>
      </c>
      <c r="BD1259" s="3" t="n">
        <v>2</v>
      </c>
      <c r="BE1259" s="3" t="n">
        <v>3</v>
      </c>
      <c r="BF1259" s="3" t="n">
        <v>5</v>
      </c>
      <c r="BG1259" s="3" t="n">
        <v>3</v>
      </c>
      <c r="BH1259" s="3" t="n">
        <v>4</v>
      </c>
      <c r="BI1259" s="3" t="n">
        <v>1</v>
      </c>
      <c r="BJ1259" s="3" t="n">
        <v>1</v>
      </c>
      <c r="BK1259" s="6" t="s">
        <v>3154</v>
      </c>
    </row>
    <row r="1260" customFormat="false" ht="15" hidden="false" customHeight="true" outlineLevel="0" collapsed="false">
      <c r="B1260" s="2" t="s">
        <v>1832</v>
      </c>
      <c r="C1260" s="2" t="s">
        <v>3155</v>
      </c>
      <c r="D1260" s="2" t="s">
        <v>210</v>
      </c>
      <c r="E1260" s="2" t="n">
        <v>213530</v>
      </c>
      <c r="F1260" s="15" t="n">
        <v>44330</v>
      </c>
      <c r="G1260" s="15" t="n">
        <v>44334</v>
      </c>
      <c r="H1260" s="3" t="n">
        <v>4</v>
      </c>
      <c r="I1260" s="3" t="n">
        <v>2</v>
      </c>
      <c r="J1260" s="3" t="n">
        <v>75</v>
      </c>
      <c r="K1260" s="3" t="n">
        <v>1</v>
      </c>
      <c r="L1260" s="3" t="n">
        <v>1</v>
      </c>
      <c r="M1260" s="3" t="n">
        <v>1</v>
      </c>
      <c r="N1260" s="3" t="n">
        <v>2</v>
      </c>
      <c r="O1260" s="3" t="n">
        <v>2</v>
      </c>
      <c r="P1260" s="3" t="n">
        <v>2</v>
      </c>
      <c r="Q1260" s="3" t="n">
        <v>2</v>
      </c>
      <c r="R1260" s="3" t="n">
        <v>2</v>
      </c>
      <c r="S1260" s="3" t="n">
        <v>2</v>
      </c>
      <c r="T1260" s="4" t="n">
        <v>1</v>
      </c>
      <c r="U1260" s="3" t="n">
        <v>1</v>
      </c>
      <c r="AC1260" s="3" t="n">
        <v>1</v>
      </c>
      <c r="AD1260" s="3" t="n">
        <v>1</v>
      </c>
      <c r="AE1260" s="3" t="n">
        <v>1</v>
      </c>
      <c r="AF1260" s="3" t="n">
        <v>1</v>
      </c>
      <c r="AG1260" s="3" t="n">
        <v>2</v>
      </c>
      <c r="AH1260" s="3" t="n">
        <v>1</v>
      </c>
      <c r="AI1260" s="3" t="n">
        <v>1</v>
      </c>
      <c r="AJ1260" s="3" t="n">
        <v>1</v>
      </c>
      <c r="AK1260" s="3" t="n">
        <v>2</v>
      </c>
      <c r="AL1260" s="3" t="n">
        <v>2</v>
      </c>
      <c r="AM1260" s="3" t="n">
        <v>2</v>
      </c>
      <c r="AN1260" s="3" t="n">
        <v>2</v>
      </c>
      <c r="AO1260" s="3" t="n">
        <v>2</v>
      </c>
      <c r="AP1260" s="3" t="n">
        <v>3</v>
      </c>
      <c r="AQ1260" s="3" t="n">
        <v>4</v>
      </c>
      <c r="AR1260" s="3" t="n">
        <v>4</v>
      </c>
      <c r="AS1260" s="3" t="n">
        <v>6</v>
      </c>
      <c r="AT1260" s="3" t="n">
        <v>4</v>
      </c>
      <c r="AU1260" s="3" t="n">
        <v>4</v>
      </c>
      <c r="AV1260" s="3" t="n">
        <v>6</v>
      </c>
      <c r="AW1260" s="3" t="n">
        <v>6</v>
      </c>
      <c r="AX1260" s="3" t="n">
        <v>3</v>
      </c>
      <c r="AY1260" s="3" t="n">
        <v>3</v>
      </c>
      <c r="AZ1260" s="3" t="n">
        <v>1</v>
      </c>
      <c r="BA1260" s="5" t="n">
        <v>5</v>
      </c>
      <c r="BB1260" s="3" t="n">
        <v>2</v>
      </c>
      <c r="BC1260" s="3" t="n">
        <v>1</v>
      </c>
      <c r="BD1260" s="3" t="n">
        <v>6</v>
      </c>
      <c r="BE1260" s="3" t="n">
        <v>3</v>
      </c>
      <c r="BF1260" s="3" t="n">
        <v>5</v>
      </c>
      <c r="BG1260" s="3" t="n">
        <v>3</v>
      </c>
      <c r="BH1260" s="3" t="n">
        <v>4</v>
      </c>
      <c r="BI1260" s="3" t="n">
        <v>1</v>
      </c>
      <c r="BJ1260" s="3" t="n">
        <v>1</v>
      </c>
    </row>
    <row r="1261" customFormat="false" ht="15" hidden="false" customHeight="true" outlineLevel="0" collapsed="false">
      <c r="B1261" s="2" t="s">
        <v>2654</v>
      </c>
      <c r="C1261" s="2" t="s">
        <v>3156</v>
      </c>
      <c r="D1261" s="2" t="s">
        <v>763</v>
      </c>
      <c r="E1261" s="2" t="n">
        <v>213517</v>
      </c>
      <c r="F1261" s="15" t="n">
        <v>44330</v>
      </c>
      <c r="G1261" s="15" t="n">
        <v>44336</v>
      </c>
      <c r="H1261" s="3" t="n">
        <v>6</v>
      </c>
      <c r="I1261" s="3" t="n">
        <v>2</v>
      </c>
      <c r="J1261" s="3" t="n">
        <v>52</v>
      </c>
      <c r="K1261" s="3" t="n">
        <v>1</v>
      </c>
      <c r="L1261" s="3" t="n">
        <v>1</v>
      </c>
      <c r="M1261" s="3" t="n">
        <v>1</v>
      </c>
      <c r="N1261" s="3" t="n">
        <v>2</v>
      </c>
      <c r="O1261" s="3" t="n">
        <v>2</v>
      </c>
      <c r="P1261" s="3" t="n">
        <v>2</v>
      </c>
      <c r="Q1261" s="3" t="n">
        <v>2</v>
      </c>
      <c r="R1261" s="3" t="n">
        <v>2</v>
      </c>
      <c r="S1261" s="3" t="n">
        <v>2</v>
      </c>
      <c r="T1261" s="4" t="n">
        <v>1</v>
      </c>
      <c r="U1261" s="3" t="n">
        <v>1</v>
      </c>
      <c r="AC1261" s="3" t="n">
        <v>1</v>
      </c>
      <c r="AD1261" s="3" t="n">
        <v>1</v>
      </c>
      <c r="AE1261" s="3" t="n">
        <v>1</v>
      </c>
      <c r="AF1261" s="3" t="n">
        <v>1</v>
      </c>
      <c r="AG1261" s="3" t="n">
        <v>2</v>
      </c>
      <c r="AH1261" s="3" t="n">
        <v>2</v>
      </c>
      <c r="AI1261" s="3" t="n">
        <v>1</v>
      </c>
      <c r="AJ1261" s="3" t="n">
        <v>1</v>
      </c>
      <c r="AK1261" s="3" t="n">
        <v>2</v>
      </c>
      <c r="AL1261" s="3" t="n">
        <v>2</v>
      </c>
      <c r="AM1261" s="3" t="n">
        <v>2</v>
      </c>
      <c r="AN1261" s="3" t="n">
        <v>2</v>
      </c>
      <c r="AO1261" s="3" t="n">
        <v>2</v>
      </c>
      <c r="AP1261" s="3" t="n">
        <v>3</v>
      </c>
      <c r="AQ1261" s="3" t="n">
        <v>4</v>
      </c>
      <c r="AR1261" s="3" t="n">
        <v>4</v>
      </c>
      <c r="AS1261" s="3" t="n">
        <v>6</v>
      </c>
      <c r="AT1261" s="3" t="n">
        <v>4</v>
      </c>
      <c r="AU1261" s="3" t="n">
        <v>4</v>
      </c>
      <c r="AV1261" s="3" t="n">
        <v>6</v>
      </c>
      <c r="AW1261" s="3" t="n">
        <v>6</v>
      </c>
      <c r="AX1261" s="3" t="n">
        <v>3</v>
      </c>
      <c r="AY1261" s="3" t="n">
        <v>3</v>
      </c>
      <c r="AZ1261" s="3" t="n">
        <v>1</v>
      </c>
      <c r="BA1261" s="5" t="n">
        <v>5</v>
      </c>
      <c r="BB1261" s="3" t="n">
        <v>2</v>
      </c>
      <c r="BC1261" s="3" t="n">
        <v>1</v>
      </c>
      <c r="BD1261" s="3" t="n">
        <v>6</v>
      </c>
      <c r="BE1261" s="3" t="n">
        <v>3</v>
      </c>
      <c r="BF1261" s="3" t="n">
        <v>5</v>
      </c>
      <c r="BG1261" s="3" t="n">
        <v>3</v>
      </c>
      <c r="BH1261" s="3" t="n">
        <v>4</v>
      </c>
      <c r="BI1261" s="3" t="n">
        <v>1</v>
      </c>
      <c r="BJ1261" s="3" t="n">
        <v>1</v>
      </c>
    </row>
    <row r="1262" s="30" customFormat="true" ht="15" hidden="false" customHeight="true" outlineLevel="0" collapsed="false">
      <c r="A1262" s="24"/>
      <c r="B1262" s="26" t="s">
        <v>1668</v>
      </c>
      <c r="C1262" s="26" t="s">
        <v>988</v>
      </c>
      <c r="D1262" s="26" t="s">
        <v>410</v>
      </c>
      <c r="E1262" s="26" t="n">
        <v>213558</v>
      </c>
      <c r="F1262" s="27" t="n">
        <v>44332</v>
      </c>
      <c r="G1262" s="27" t="n">
        <v>44336</v>
      </c>
      <c r="H1262" s="30" t="n">
        <v>4</v>
      </c>
      <c r="I1262" s="30" t="n">
        <v>1</v>
      </c>
      <c r="J1262" s="30" t="n">
        <v>73</v>
      </c>
      <c r="K1262" s="30" t="n">
        <v>1</v>
      </c>
      <c r="L1262" s="30" t="n">
        <v>1</v>
      </c>
      <c r="M1262" s="30" t="n">
        <v>1</v>
      </c>
      <c r="N1262" s="30" t="n">
        <v>2</v>
      </c>
      <c r="O1262" s="30" t="n">
        <v>2</v>
      </c>
      <c r="P1262" s="30" t="n">
        <v>1</v>
      </c>
      <c r="Q1262" s="30" t="n">
        <v>2</v>
      </c>
      <c r="R1262" s="30" t="n">
        <v>1</v>
      </c>
      <c r="S1262" s="30" t="n">
        <v>2</v>
      </c>
      <c r="T1262" s="4" t="n">
        <v>1</v>
      </c>
      <c r="U1262" s="30" t="n">
        <v>1</v>
      </c>
      <c r="AC1262" s="30" t="n">
        <v>3</v>
      </c>
      <c r="AD1262" s="30" t="n">
        <v>1</v>
      </c>
      <c r="AE1262" s="30" t="n">
        <v>1</v>
      </c>
      <c r="AF1262" s="30" t="n">
        <v>1</v>
      </c>
      <c r="AG1262" s="30" t="n">
        <v>2</v>
      </c>
      <c r="AH1262" s="30" t="n">
        <v>2</v>
      </c>
      <c r="AI1262" s="30" t="n">
        <v>1</v>
      </c>
      <c r="AJ1262" s="30" t="n">
        <v>1</v>
      </c>
      <c r="AK1262" s="30" t="n">
        <v>2</v>
      </c>
      <c r="AL1262" s="30" t="n">
        <v>2</v>
      </c>
      <c r="AM1262" s="30" t="n">
        <v>1</v>
      </c>
      <c r="AN1262" s="30" t="n">
        <v>1</v>
      </c>
      <c r="AO1262" s="30" t="n">
        <v>2</v>
      </c>
      <c r="AP1262" s="30" t="n">
        <v>3</v>
      </c>
      <c r="AQ1262" s="30" t="n">
        <v>4</v>
      </c>
      <c r="AR1262" s="30" t="n">
        <v>4</v>
      </c>
      <c r="AS1262" s="30" t="n">
        <v>6</v>
      </c>
      <c r="AT1262" s="30" t="n">
        <v>4</v>
      </c>
      <c r="AU1262" s="30" t="n">
        <v>4</v>
      </c>
      <c r="AV1262" s="30" t="n">
        <v>6</v>
      </c>
      <c r="AW1262" s="30" t="n">
        <v>6</v>
      </c>
      <c r="AX1262" s="30" t="n">
        <v>3</v>
      </c>
      <c r="AY1262" s="30" t="n">
        <v>3</v>
      </c>
      <c r="AZ1262" s="30" t="n">
        <v>10</v>
      </c>
      <c r="BA1262" s="5" t="n">
        <v>5</v>
      </c>
      <c r="BB1262" s="30" t="n">
        <v>2</v>
      </c>
      <c r="BC1262" s="30" t="n">
        <v>2</v>
      </c>
      <c r="BD1262" s="30" t="n">
        <v>6</v>
      </c>
      <c r="BE1262" s="30" t="n">
        <v>3</v>
      </c>
      <c r="BF1262" s="30" t="n">
        <v>5</v>
      </c>
      <c r="BG1262" s="30" t="n">
        <v>3</v>
      </c>
      <c r="BH1262" s="30" t="n">
        <v>4</v>
      </c>
      <c r="BI1262" s="30" t="n">
        <v>1</v>
      </c>
      <c r="BJ1262" s="30" t="n">
        <v>1</v>
      </c>
      <c r="BK1262" s="31" t="s">
        <v>3157</v>
      </c>
    </row>
    <row r="1263" customFormat="false" ht="15" hidden="false" customHeight="true" outlineLevel="0" collapsed="false">
      <c r="B1263" s="2" t="s">
        <v>1091</v>
      </c>
      <c r="C1263" s="2" t="s">
        <v>3158</v>
      </c>
      <c r="D1263" s="2" t="s">
        <v>115</v>
      </c>
      <c r="E1263" s="2" t="n">
        <v>213701</v>
      </c>
      <c r="F1263" s="15" t="n">
        <v>44333</v>
      </c>
      <c r="G1263" s="15" t="n">
        <v>44337</v>
      </c>
      <c r="H1263" s="3" t="n">
        <v>4</v>
      </c>
      <c r="I1263" s="3" t="n">
        <v>1</v>
      </c>
      <c r="J1263" s="3" t="n">
        <v>78</v>
      </c>
      <c r="K1263" s="3" t="n">
        <v>2</v>
      </c>
      <c r="L1263" s="3" t="n">
        <v>2</v>
      </c>
      <c r="M1263" s="3" t="n">
        <v>1</v>
      </c>
      <c r="N1263" s="3" t="n">
        <v>2</v>
      </c>
      <c r="O1263" s="3" t="n">
        <v>1</v>
      </c>
      <c r="P1263" s="3" t="n">
        <v>2</v>
      </c>
      <c r="Q1263" s="3" t="n">
        <v>1</v>
      </c>
      <c r="R1263" s="3" t="n">
        <v>2</v>
      </c>
      <c r="S1263" s="3" t="n">
        <v>1</v>
      </c>
      <c r="T1263" s="4" t="n">
        <v>12</v>
      </c>
      <c r="U1263" s="3" t="n">
        <v>1</v>
      </c>
      <c r="AC1263" s="3" t="n">
        <v>3</v>
      </c>
      <c r="AD1263" s="3" t="n">
        <v>2</v>
      </c>
      <c r="AE1263" s="3" t="n">
        <v>2</v>
      </c>
      <c r="AF1263" s="3" t="n">
        <v>1</v>
      </c>
      <c r="AG1263" s="3" t="n">
        <v>2</v>
      </c>
      <c r="AH1263" s="3" t="n">
        <v>2</v>
      </c>
      <c r="AI1263" s="3" t="n">
        <v>2</v>
      </c>
      <c r="AJ1263" s="3" t="n">
        <v>1</v>
      </c>
      <c r="AK1263" s="3" t="n">
        <v>2</v>
      </c>
      <c r="AL1263" s="3" t="n">
        <v>2</v>
      </c>
      <c r="AM1263" s="3" t="n">
        <v>2</v>
      </c>
      <c r="AN1263" s="3" t="n">
        <v>2</v>
      </c>
      <c r="AO1263" s="3" t="n">
        <v>2</v>
      </c>
      <c r="AP1263" s="3" t="n">
        <v>3</v>
      </c>
      <c r="AQ1263" s="3" t="n">
        <v>4</v>
      </c>
      <c r="AR1263" s="3" t="n">
        <v>4</v>
      </c>
      <c r="AS1263" s="3" t="n">
        <v>6</v>
      </c>
      <c r="AT1263" s="3" t="n">
        <v>4</v>
      </c>
      <c r="AU1263" s="3" t="n">
        <v>4</v>
      </c>
      <c r="AV1263" s="3" t="n">
        <v>6</v>
      </c>
      <c r="AW1263" s="3" t="n">
        <v>6</v>
      </c>
      <c r="AX1263" s="3" t="n">
        <v>3</v>
      </c>
      <c r="AY1263" s="3" t="n">
        <v>3</v>
      </c>
      <c r="AZ1263" s="3" t="n">
        <v>1</v>
      </c>
      <c r="BA1263" s="5" t="n">
        <v>3</v>
      </c>
      <c r="BB1263" s="3" t="n">
        <v>2</v>
      </c>
      <c r="BC1263" s="3" t="n">
        <v>1</v>
      </c>
      <c r="BD1263" s="3" t="n">
        <v>6</v>
      </c>
      <c r="BE1263" s="3" t="n">
        <v>3</v>
      </c>
      <c r="BF1263" s="3" t="n">
        <v>5</v>
      </c>
      <c r="BG1263" s="3" t="n">
        <v>3</v>
      </c>
      <c r="BH1263" s="3" t="n">
        <v>4</v>
      </c>
      <c r="BI1263" s="3" t="n">
        <v>1</v>
      </c>
      <c r="BJ1263" s="3" t="n">
        <v>1</v>
      </c>
      <c r="BK1263" s="6" t="s">
        <v>3159</v>
      </c>
    </row>
    <row r="1264" customFormat="false" ht="15" hidden="false" customHeight="true" outlineLevel="0" collapsed="false">
      <c r="B1264" s="2" t="s">
        <v>2320</v>
      </c>
      <c r="C1264" s="2" t="s">
        <v>127</v>
      </c>
      <c r="D1264" s="2" t="s">
        <v>210</v>
      </c>
      <c r="E1264" s="2" t="n">
        <v>213401</v>
      </c>
      <c r="F1264" s="15" t="n">
        <v>44327</v>
      </c>
      <c r="G1264" s="15" t="n">
        <v>44337</v>
      </c>
      <c r="H1264" s="3" t="n">
        <v>10</v>
      </c>
      <c r="I1264" s="3" t="n">
        <v>2</v>
      </c>
      <c r="J1264" s="3" t="n">
        <v>70</v>
      </c>
      <c r="K1264" s="3" t="n">
        <v>1</v>
      </c>
      <c r="L1264" s="3" t="n">
        <v>1</v>
      </c>
      <c r="M1264" s="3" t="n">
        <v>1</v>
      </c>
      <c r="N1264" s="3" t="n">
        <v>2</v>
      </c>
      <c r="O1264" s="3" t="n">
        <v>2</v>
      </c>
      <c r="P1264" s="3" t="n">
        <v>2</v>
      </c>
      <c r="Q1264" s="3" t="n">
        <v>2</v>
      </c>
      <c r="R1264" s="3" t="n">
        <v>2</v>
      </c>
      <c r="S1264" s="3" t="n">
        <v>2</v>
      </c>
      <c r="T1264" s="4" t="n">
        <v>2</v>
      </c>
      <c r="U1264" s="3" t="n">
        <v>2</v>
      </c>
      <c r="V1264" s="3" t="n">
        <v>4.8</v>
      </c>
      <c r="X1264" s="3" t="n">
        <v>6.4</v>
      </c>
      <c r="Z1264" s="3" t="n">
        <v>102</v>
      </c>
      <c r="AA1264" s="3" t="n">
        <v>0.52</v>
      </c>
      <c r="AB1264" s="3" t="n">
        <v>12.6</v>
      </c>
      <c r="AC1264" s="3" t="n">
        <v>1</v>
      </c>
      <c r="AD1264" s="3" t="n">
        <v>2</v>
      </c>
      <c r="AE1264" s="3" t="n">
        <v>2</v>
      </c>
      <c r="AF1264" s="3" t="n">
        <v>1</v>
      </c>
      <c r="AG1264" s="3" t="n">
        <v>1</v>
      </c>
      <c r="AH1264" s="3" t="n">
        <v>2</v>
      </c>
      <c r="AI1264" s="3" t="n">
        <v>1</v>
      </c>
      <c r="AJ1264" s="3" t="n">
        <v>1</v>
      </c>
      <c r="AK1264" s="3" t="n">
        <v>2</v>
      </c>
      <c r="AL1264" s="3" t="n">
        <v>2</v>
      </c>
      <c r="AM1264" s="3" t="n">
        <v>1</v>
      </c>
      <c r="AN1264" s="3" t="n">
        <v>2</v>
      </c>
      <c r="AO1264" s="3" t="n">
        <v>2</v>
      </c>
      <c r="AP1264" s="3" t="n">
        <v>3</v>
      </c>
      <c r="AQ1264" s="3" t="n">
        <v>4</v>
      </c>
      <c r="AR1264" s="3" t="n">
        <v>4</v>
      </c>
      <c r="AS1264" s="3" t="n">
        <v>6</v>
      </c>
      <c r="AT1264" s="3" t="n">
        <v>4</v>
      </c>
      <c r="AU1264" s="3" t="n">
        <v>4</v>
      </c>
      <c r="AV1264" s="3" t="n">
        <v>6</v>
      </c>
      <c r="AW1264" s="3" t="n">
        <v>6</v>
      </c>
      <c r="AX1264" s="3" t="n">
        <v>3</v>
      </c>
      <c r="AY1264" s="3" t="n">
        <v>3</v>
      </c>
      <c r="AZ1264" s="3" t="n">
        <v>1</v>
      </c>
      <c r="BA1264" s="5" t="n">
        <v>1</v>
      </c>
      <c r="BB1264" s="3" t="n">
        <v>1</v>
      </c>
      <c r="BC1264" s="3" t="n">
        <v>1</v>
      </c>
      <c r="BD1264" s="3" t="n">
        <v>2</v>
      </c>
      <c r="BE1264" s="3" t="n">
        <v>1</v>
      </c>
      <c r="BF1264" s="3" t="n">
        <v>2</v>
      </c>
      <c r="BG1264" s="3" t="n">
        <v>1</v>
      </c>
      <c r="BH1264" s="3" t="n">
        <v>4</v>
      </c>
      <c r="BI1264" s="3" t="n">
        <v>1</v>
      </c>
      <c r="BJ1264" s="3" t="n">
        <v>1</v>
      </c>
      <c r="BK1264" s="6" t="s">
        <v>3160</v>
      </c>
    </row>
    <row r="1265" customFormat="false" ht="15.75" hidden="false" customHeight="true" outlineLevel="0" collapsed="false">
      <c r="B1265" s="14" t="s">
        <v>1138</v>
      </c>
      <c r="C1265" s="14" t="s">
        <v>95</v>
      </c>
      <c r="D1265" s="14" t="s">
        <v>3161</v>
      </c>
      <c r="E1265" s="14" t="n">
        <v>213787</v>
      </c>
      <c r="F1265" s="22" t="n">
        <v>44335</v>
      </c>
      <c r="G1265" s="22" t="n">
        <v>44342</v>
      </c>
      <c r="H1265" s="3" t="n">
        <v>7</v>
      </c>
      <c r="I1265" s="3" t="n">
        <v>2</v>
      </c>
      <c r="J1265" s="3" t="n">
        <v>56</v>
      </c>
      <c r="K1265" s="3" t="n">
        <v>1</v>
      </c>
      <c r="L1265" s="3" t="n">
        <v>2</v>
      </c>
      <c r="M1265" s="3" t="n">
        <v>1</v>
      </c>
      <c r="N1265" s="3" t="n">
        <v>2</v>
      </c>
      <c r="O1265" s="3" t="n">
        <v>1</v>
      </c>
      <c r="P1265" s="3" t="n">
        <v>2</v>
      </c>
      <c r="Q1265" s="3" t="n">
        <v>1</v>
      </c>
      <c r="R1265" s="3" t="n">
        <v>2</v>
      </c>
      <c r="S1265" s="3" t="n">
        <v>1</v>
      </c>
      <c r="T1265" s="4" t="n">
        <v>1</v>
      </c>
      <c r="U1265" s="3" t="n">
        <v>1</v>
      </c>
      <c r="V1265" s="3" t="n">
        <v>3.94</v>
      </c>
      <c r="W1265" s="3" t="n">
        <v>1.13</v>
      </c>
      <c r="X1265" s="3" t="s">
        <v>3162</v>
      </c>
      <c r="Y1265" s="3" t="n">
        <v>557</v>
      </c>
      <c r="Z1265" s="3" t="n">
        <v>143</v>
      </c>
      <c r="AA1265" s="3" t="s">
        <v>1506</v>
      </c>
      <c r="AB1265" s="3" t="n">
        <v>6</v>
      </c>
      <c r="AC1265" s="3" t="n">
        <v>1</v>
      </c>
      <c r="AD1265" s="3" t="n">
        <v>1</v>
      </c>
      <c r="AE1265" s="3" t="n">
        <v>1</v>
      </c>
      <c r="AF1265" s="3" t="n">
        <v>1</v>
      </c>
      <c r="AG1265" s="3" t="n">
        <v>2</v>
      </c>
      <c r="AH1265" s="3" t="n">
        <v>1</v>
      </c>
      <c r="AI1265" s="3" t="n">
        <v>1</v>
      </c>
      <c r="AJ1265" s="3" t="n">
        <v>1</v>
      </c>
      <c r="AK1265" s="3" t="n">
        <v>2</v>
      </c>
      <c r="AL1265" s="3" t="n">
        <v>2</v>
      </c>
      <c r="AM1265" s="3" t="n">
        <v>2</v>
      </c>
      <c r="AN1265" s="3" t="n">
        <v>2</v>
      </c>
      <c r="AO1265" s="3" t="n">
        <v>2</v>
      </c>
      <c r="AP1265" s="3" t="n">
        <v>3</v>
      </c>
      <c r="AQ1265" s="3" t="n">
        <v>4</v>
      </c>
      <c r="AR1265" s="3" t="n">
        <v>4</v>
      </c>
      <c r="AS1265" s="3" t="n">
        <v>6</v>
      </c>
      <c r="AT1265" s="3" t="n">
        <v>4</v>
      </c>
      <c r="AU1265" s="3" t="n">
        <v>4</v>
      </c>
      <c r="AV1265" s="3" t="n">
        <v>6</v>
      </c>
      <c r="AW1265" s="3" t="n">
        <v>6</v>
      </c>
      <c r="AX1265" s="3" t="n">
        <v>3</v>
      </c>
      <c r="AY1265" s="3" t="n">
        <v>3</v>
      </c>
      <c r="AZ1265" s="3" t="n">
        <v>1</v>
      </c>
      <c r="BA1265" s="5" t="n">
        <v>5</v>
      </c>
      <c r="BB1265" s="3" t="n">
        <v>2</v>
      </c>
      <c r="BC1265" s="3" t="n">
        <v>1</v>
      </c>
      <c r="BD1265" s="3" t="n">
        <v>6</v>
      </c>
      <c r="BE1265" s="3" t="n">
        <v>3</v>
      </c>
      <c r="BF1265" s="3" t="n">
        <v>5</v>
      </c>
      <c r="BG1265" s="3" t="n">
        <v>3</v>
      </c>
      <c r="BH1265" s="3" t="n">
        <v>4</v>
      </c>
      <c r="BI1265" s="3" t="n">
        <v>1</v>
      </c>
      <c r="BJ1265" s="3" t="n">
        <v>1</v>
      </c>
      <c r="BK1265" s="16" t="s">
        <v>3163</v>
      </c>
    </row>
    <row r="1266" customFormat="false" ht="15.75" hidden="false" customHeight="true" outlineLevel="0" collapsed="false">
      <c r="B1266" s="14" t="s">
        <v>2958</v>
      </c>
      <c r="C1266" s="14" t="s">
        <v>78</v>
      </c>
      <c r="D1266" s="14" t="s">
        <v>66</v>
      </c>
      <c r="E1266" s="14" t="n">
        <v>212561</v>
      </c>
      <c r="F1266" s="22" t="n">
        <v>44335</v>
      </c>
      <c r="G1266" s="22" t="n">
        <v>44344</v>
      </c>
      <c r="H1266" s="3" t="n">
        <v>19</v>
      </c>
      <c r="I1266" s="3" t="n">
        <v>2</v>
      </c>
      <c r="J1266" s="3" t="n">
        <v>46</v>
      </c>
      <c r="K1266" s="3" t="n">
        <v>1</v>
      </c>
      <c r="L1266" s="3" t="n">
        <v>2</v>
      </c>
      <c r="M1266" s="3" t="n">
        <v>1</v>
      </c>
      <c r="N1266" s="3" t="n">
        <v>1</v>
      </c>
      <c r="O1266" s="3" t="n">
        <v>2</v>
      </c>
      <c r="P1266" s="3" t="n">
        <v>2</v>
      </c>
      <c r="Q1266" s="3" t="n">
        <v>1</v>
      </c>
      <c r="R1266" s="3" t="n">
        <v>2</v>
      </c>
      <c r="S1266" s="3" t="n">
        <v>1</v>
      </c>
      <c r="T1266" s="4" t="n">
        <v>1</v>
      </c>
      <c r="U1266" s="3" t="n">
        <v>1</v>
      </c>
      <c r="V1266" s="3" t="n">
        <v>3.26</v>
      </c>
      <c r="W1266" s="3" t="s">
        <v>3164</v>
      </c>
      <c r="X1266" s="3" t="s">
        <v>3165</v>
      </c>
      <c r="Y1266" s="3" t="n">
        <v>619</v>
      </c>
      <c r="Z1266" s="3" t="n">
        <v>119</v>
      </c>
      <c r="AA1266" s="3" t="s">
        <v>1402</v>
      </c>
      <c r="AB1266" s="3" t="s">
        <v>3166</v>
      </c>
      <c r="AC1266" s="3" t="n">
        <v>1</v>
      </c>
      <c r="AD1266" s="3" t="n">
        <v>1</v>
      </c>
      <c r="AE1266" s="3" t="n">
        <v>1</v>
      </c>
      <c r="AF1266" s="3" t="n">
        <v>1</v>
      </c>
      <c r="AG1266" s="3" t="n">
        <v>2</v>
      </c>
      <c r="AH1266" s="3" t="n">
        <v>1</v>
      </c>
      <c r="AI1266" s="3" t="n">
        <v>1</v>
      </c>
      <c r="AJ1266" s="3" t="n">
        <v>1</v>
      </c>
      <c r="AK1266" s="3" t="n">
        <v>1</v>
      </c>
      <c r="AL1266" s="3" t="n">
        <v>2</v>
      </c>
      <c r="AM1266" s="3" t="n">
        <v>2</v>
      </c>
      <c r="AN1266" s="3" t="n">
        <v>2</v>
      </c>
      <c r="AO1266" s="3" t="n">
        <v>2</v>
      </c>
      <c r="AP1266" s="3" t="n">
        <v>1</v>
      </c>
      <c r="AQ1266" s="3" t="n">
        <v>3</v>
      </c>
      <c r="AR1266" s="3" t="n">
        <v>5</v>
      </c>
      <c r="AS1266" s="3" t="n">
        <v>4</v>
      </c>
      <c r="AT1266" s="3" t="n">
        <v>1</v>
      </c>
      <c r="AU1266" s="3" t="n">
        <v>1</v>
      </c>
      <c r="AV1266" s="3" t="n">
        <v>1</v>
      </c>
      <c r="AW1266" s="3" t="n">
        <v>1</v>
      </c>
      <c r="AX1266" s="3" t="n">
        <v>2</v>
      </c>
      <c r="AY1266" s="3" t="n">
        <v>2</v>
      </c>
      <c r="AZ1266" s="3" t="n">
        <v>12</v>
      </c>
      <c r="BA1266" s="5" t="n">
        <v>5</v>
      </c>
      <c r="BB1266" s="3" t="n">
        <v>2</v>
      </c>
      <c r="BC1266" s="3" t="n">
        <v>1</v>
      </c>
      <c r="BD1266" s="3" t="n">
        <v>6</v>
      </c>
      <c r="BE1266" s="3" t="n">
        <v>3</v>
      </c>
      <c r="BF1266" s="3" t="n">
        <v>5</v>
      </c>
      <c r="BG1266" s="3" t="n">
        <v>3</v>
      </c>
      <c r="BH1266" s="3" t="n">
        <v>4</v>
      </c>
      <c r="BI1266" s="3" t="n">
        <v>1</v>
      </c>
      <c r="BJ1266" s="3" t="n">
        <v>1</v>
      </c>
      <c r="BK1266" s="16" t="s">
        <v>3167</v>
      </c>
    </row>
    <row r="1267" s="30" customFormat="true" ht="15" hidden="false" customHeight="true" outlineLevel="0" collapsed="false">
      <c r="A1267" s="24"/>
      <c r="B1267" s="26" t="s">
        <v>3168</v>
      </c>
      <c r="C1267" s="26" t="s">
        <v>3169</v>
      </c>
      <c r="D1267" s="26" t="s">
        <v>78</v>
      </c>
      <c r="E1267" s="26" t="n">
        <v>213289</v>
      </c>
      <c r="F1267" s="28" t="n">
        <v>44329</v>
      </c>
      <c r="G1267" s="28" t="n">
        <v>44345</v>
      </c>
      <c r="H1267" s="30" t="n">
        <v>16</v>
      </c>
      <c r="I1267" s="30" t="n">
        <v>2</v>
      </c>
      <c r="J1267" s="30" t="n">
        <v>70</v>
      </c>
      <c r="K1267" s="30" t="n">
        <v>1</v>
      </c>
      <c r="L1267" s="30" t="n">
        <v>1</v>
      </c>
      <c r="M1267" s="30" t="n">
        <v>1</v>
      </c>
      <c r="N1267" s="30" t="n">
        <v>2</v>
      </c>
      <c r="O1267" s="30" t="n">
        <v>1</v>
      </c>
      <c r="P1267" s="30" t="n">
        <v>2</v>
      </c>
      <c r="Q1267" s="30" t="n">
        <v>1</v>
      </c>
      <c r="R1267" s="30" t="n">
        <v>2</v>
      </c>
      <c r="S1267" s="30" t="n">
        <v>1</v>
      </c>
      <c r="T1267" s="4" t="n">
        <v>2</v>
      </c>
      <c r="U1267" s="30" t="n">
        <v>2</v>
      </c>
      <c r="V1267" s="30" t="s">
        <v>3170</v>
      </c>
      <c r="W1267" s="30" t="s">
        <v>2890</v>
      </c>
      <c r="X1267" s="30" t="s">
        <v>3171</v>
      </c>
      <c r="Y1267" s="30" t="n">
        <v>368</v>
      </c>
      <c r="Z1267" s="30" t="n">
        <v>163</v>
      </c>
      <c r="AA1267" s="30" t="s">
        <v>1267</v>
      </c>
      <c r="AB1267" s="30" t="n">
        <v>15</v>
      </c>
      <c r="AC1267" s="30" t="n">
        <v>2</v>
      </c>
      <c r="AD1267" s="30" t="n">
        <v>2</v>
      </c>
      <c r="AE1267" s="30" t="n">
        <v>1</v>
      </c>
      <c r="AF1267" s="30" t="n">
        <v>1</v>
      </c>
      <c r="AG1267" s="30" t="n">
        <v>2</v>
      </c>
      <c r="AH1267" s="30" t="n">
        <v>2</v>
      </c>
      <c r="AI1267" s="30" t="n">
        <v>1</v>
      </c>
      <c r="AJ1267" s="30" t="n">
        <v>2</v>
      </c>
      <c r="AK1267" s="30" t="n">
        <v>1</v>
      </c>
      <c r="AL1267" s="30" t="n">
        <v>2</v>
      </c>
      <c r="AM1267" s="30" t="n">
        <v>1</v>
      </c>
      <c r="AN1267" s="30" t="n">
        <v>1</v>
      </c>
      <c r="AO1267" s="30" t="n">
        <v>2</v>
      </c>
      <c r="AP1267" s="30" t="n">
        <v>3</v>
      </c>
      <c r="AQ1267" s="30" t="n">
        <v>4</v>
      </c>
      <c r="AR1267" s="30" t="n">
        <v>4</v>
      </c>
      <c r="AS1267" s="30" t="n">
        <v>6</v>
      </c>
      <c r="AT1267" s="30" t="n">
        <v>4</v>
      </c>
      <c r="AU1267" s="30" t="n">
        <v>4</v>
      </c>
      <c r="AV1267" s="30" t="n">
        <v>6</v>
      </c>
      <c r="AW1267" s="30" t="n">
        <v>6</v>
      </c>
      <c r="AX1267" s="30" t="n">
        <v>3</v>
      </c>
      <c r="AY1267" s="30" t="n">
        <v>3</v>
      </c>
      <c r="AZ1267" s="30" t="n">
        <v>6</v>
      </c>
      <c r="BA1267" s="5" t="n">
        <v>1</v>
      </c>
      <c r="BB1267" s="30" t="n">
        <v>2</v>
      </c>
      <c r="BC1267" s="30" t="n">
        <v>1</v>
      </c>
      <c r="BD1267" s="30" t="n">
        <v>2</v>
      </c>
      <c r="BE1267" s="30" t="n">
        <v>3</v>
      </c>
      <c r="BF1267" s="30" t="n">
        <v>5</v>
      </c>
      <c r="BG1267" s="30" t="n">
        <v>3</v>
      </c>
      <c r="BH1267" s="30" t="n">
        <v>4</v>
      </c>
      <c r="BI1267" s="30" t="n">
        <v>1</v>
      </c>
      <c r="BJ1267" s="30" t="n">
        <v>1</v>
      </c>
      <c r="BK1267" s="31" t="s">
        <v>3172</v>
      </c>
    </row>
    <row r="1268" customFormat="false" ht="15.75" hidden="false" customHeight="true" outlineLevel="0" collapsed="false">
      <c r="B1268" s="14" t="s">
        <v>258</v>
      </c>
      <c r="C1268" s="14" t="s">
        <v>70</v>
      </c>
      <c r="D1268" s="14" t="s">
        <v>3173</v>
      </c>
      <c r="E1268" s="14" t="n">
        <v>213866</v>
      </c>
      <c r="F1268" s="22" t="n">
        <v>44337</v>
      </c>
      <c r="G1268" s="22" t="n">
        <v>44346</v>
      </c>
      <c r="H1268" s="3" t="n">
        <v>9</v>
      </c>
      <c r="I1268" s="3" t="n">
        <v>2</v>
      </c>
      <c r="J1268" s="3" t="n">
        <v>56</v>
      </c>
      <c r="K1268" s="3" t="n">
        <v>1</v>
      </c>
      <c r="L1268" s="3" t="n">
        <v>1</v>
      </c>
      <c r="M1268" s="3" t="n">
        <v>1</v>
      </c>
      <c r="N1268" s="3" t="n">
        <v>2</v>
      </c>
      <c r="O1268" s="3" t="n">
        <v>2</v>
      </c>
      <c r="P1268" s="3" t="n">
        <v>2</v>
      </c>
      <c r="Q1268" s="3" t="n">
        <v>2</v>
      </c>
      <c r="R1268" s="3" t="n">
        <v>2</v>
      </c>
      <c r="S1268" s="3" t="n">
        <v>1</v>
      </c>
      <c r="T1268" s="4" t="n">
        <v>1</v>
      </c>
      <c r="U1268" s="3" t="n">
        <v>1</v>
      </c>
      <c r="V1268" s="3" t="n">
        <v>5.28</v>
      </c>
      <c r="W1268" s="3" t="n">
        <v>1.77</v>
      </c>
      <c r="X1268" s="3" t="n">
        <v>4.72</v>
      </c>
      <c r="Y1268" s="3" t="n">
        <v>357</v>
      </c>
      <c r="Z1268" s="3" t="n">
        <v>92</v>
      </c>
      <c r="AA1268" s="3" t="n">
        <v>0.46</v>
      </c>
      <c r="AB1268" s="3" t="n">
        <v>12</v>
      </c>
      <c r="AC1268" s="3" t="n">
        <v>1</v>
      </c>
      <c r="AD1268" s="3" t="n">
        <v>2</v>
      </c>
      <c r="AE1268" s="3" t="n">
        <v>1</v>
      </c>
      <c r="AF1268" s="3" t="n">
        <v>1</v>
      </c>
      <c r="AG1268" s="3" t="n">
        <v>1</v>
      </c>
      <c r="AH1268" s="3" t="n">
        <v>1</v>
      </c>
      <c r="AI1268" s="3" t="n">
        <v>1</v>
      </c>
      <c r="AJ1268" s="3" t="n">
        <v>1</v>
      </c>
      <c r="AK1268" s="3" t="n">
        <v>2</v>
      </c>
      <c r="AL1268" s="3" t="n">
        <v>2</v>
      </c>
      <c r="AM1268" s="3" t="n">
        <v>2</v>
      </c>
      <c r="AN1268" s="3" t="n">
        <v>2</v>
      </c>
      <c r="AO1268" s="3" t="n">
        <v>2</v>
      </c>
      <c r="AP1268" s="3" t="n">
        <v>3</v>
      </c>
      <c r="AQ1268" s="3" t="n">
        <v>4</v>
      </c>
      <c r="AR1268" s="3" t="n">
        <v>4</v>
      </c>
      <c r="AS1268" s="3" t="n">
        <v>6</v>
      </c>
      <c r="AT1268" s="3" t="n">
        <v>4</v>
      </c>
      <c r="AU1268" s="3" t="n">
        <v>4</v>
      </c>
      <c r="AV1268" s="3" t="n">
        <v>6</v>
      </c>
      <c r="AW1268" s="3" t="n">
        <v>6</v>
      </c>
      <c r="AX1268" s="3" t="n">
        <v>3</v>
      </c>
      <c r="AY1268" s="3" t="n">
        <v>3</v>
      </c>
      <c r="AZ1268" s="3" t="n">
        <v>1</v>
      </c>
      <c r="BA1268" s="5" t="n">
        <v>1</v>
      </c>
      <c r="BB1268" s="3" t="n">
        <v>1</v>
      </c>
      <c r="BC1268" s="3" t="n">
        <v>1</v>
      </c>
      <c r="BD1268" s="3" t="n">
        <v>2</v>
      </c>
      <c r="BE1268" s="3" t="n">
        <v>3</v>
      </c>
      <c r="BF1268" s="3" t="n">
        <v>5</v>
      </c>
      <c r="BG1268" s="3" t="n">
        <v>3</v>
      </c>
      <c r="BH1268" s="3" t="n">
        <v>4</v>
      </c>
      <c r="BI1268" s="3" t="n">
        <v>1</v>
      </c>
      <c r="BJ1268" s="3" t="n">
        <v>1</v>
      </c>
      <c r="BK1268" s="16" t="s">
        <v>3174</v>
      </c>
    </row>
    <row r="1269" customFormat="false" ht="15" hidden="false" customHeight="true" outlineLevel="0" collapsed="false">
      <c r="B1269" s="2" t="s">
        <v>413</v>
      </c>
      <c r="C1269" s="2" t="s">
        <v>294</v>
      </c>
      <c r="D1269" s="2" t="s">
        <v>3175</v>
      </c>
      <c r="E1269" s="2" t="n">
        <v>213987</v>
      </c>
      <c r="F1269" s="15" t="n">
        <v>44341</v>
      </c>
      <c r="G1269" s="15" t="n">
        <v>44348</v>
      </c>
      <c r="H1269" s="3" t="n">
        <v>7</v>
      </c>
      <c r="I1269" s="3" t="n">
        <v>2</v>
      </c>
      <c r="J1269" s="3" t="n">
        <v>73</v>
      </c>
      <c r="K1269" s="3" t="n">
        <v>2</v>
      </c>
      <c r="L1269" s="3" t="n">
        <v>2</v>
      </c>
      <c r="M1269" s="3" t="n">
        <v>2</v>
      </c>
      <c r="N1269" s="3" t="n">
        <v>2</v>
      </c>
      <c r="O1269" s="3" t="n">
        <v>2</v>
      </c>
      <c r="P1269" s="3" t="n">
        <v>2</v>
      </c>
      <c r="Q1269" s="3" t="n">
        <v>2</v>
      </c>
      <c r="R1269" s="3" t="n">
        <v>2</v>
      </c>
      <c r="S1269" s="3" t="n">
        <v>2</v>
      </c>
      <c r="T1269" s="4" t="n">
        <v>2</v>
      </c>
      <c r="U1269" s="3" t="n">
        <v>2</v>
      </c>
      <c r="V1269" s="3" t="n">
        <v>6.08</v>
      </c>
      <c r="W1269" s="3" t="n">
        <v>1.31</v>
      </c>
      <c r="X1269" s="3" t="n">
        <v>6.85</v>
      </c>
      <c r="Y1269" s="3" t="n">
        <v>560</v>
      </c>
      <c r="Z1269" s="3" t="n">
        <v>125</v>
      </c>
      <c r="AA1269" s="3" t="n">
        <v>0.56</v>
      </c>
      <c r="AB1269" s="3" t="n">
        <v>13</v>
      </c>
      <c r="AC1269" s="3" t="n">
        <v>1</v>
      </c>
      <c r="AD1269" s="3" t="n">
        <v>2</v>
      </c>
      <c r="AE1269" s="3" t="n">
        <v>1</v>
      </c>
      <c r="AF1269" s="3" t="n">
        <v>1</v>
      </c>
      <c r="AG1269" s="3" t="n">
        <v>2</v>
      </c>
      <c r="AH1269" s="3" t="n">
        <v>2</v>
      </c>
      <c r="AI1269" s="3" t="n">
        <v>1</v>
      </c>
      <c r="AJ1269" s="3" t="n">
        <v>1</v>
      </c>
      <c r="AK1269" s="3" t="n">
        <v>2</v>
      </c>
      <c r="AL1269" s="3" t="n">
        <v>2</v>
      </c>
      <c r="AM1269" s="3" t="n">
        <v>1</v>
      </c>
      <c r="AN1269" s="3" t="n">
        <v>2</v>
      </c>
      <c r="AO1269" s="3" t="n">
        <v>2</v>
      </c>
      <c r="AP1269" s="3" t="n">
        <v>3</v>
      </c>
      <c r="AQ1269" s="3" t="n">
        <v>4</v>
      </c>
      <c r="AR1269" s="3" t="n">
        <v>4</v>
      </c>
      <c r="AS1269" s="3" t="n">
        <v>6</v>
      </c>
      <c r="AT1269" s="3" t="n">
        <v>4</v>
      </c>
      <c r="AU1269" s="3" t="n">
        <v>4</v>
      </c>
      <c r="AV1269" s="3" t="n">
        <v>6</v>
      </c>
      <c r="AW1269" s="3" t="n">
        <v>6</v>
      </c>
      <c r="AX1269" s="3" t="n">
        <v>3</v>
      </c>
      <c r="AY1269" s="3" t="n">
        <v>3</v>
      </c>
      <c r="AZ1269" s="3" t="n">
        <v>1</v>
      </c>
      <c r="BA1269" s="5" t="n">
        <v>1</v>
      </c>
      <c r="BB1269" s="3" t="n">
        <v>1</v>
      </c>
      <c r="BC1269" s="3" t="n">
        <v>1</v>
      </c>
      <c r="BD1269" s="3" t="n">
        <v>4</v>
      </c>
      <c r="BE1269" s="3" t="n">
        <v>1</v>
      </c>
      <c r="BF1269" s="3" t="n">
        <v>2</v>
      </c>
      <c r="BG1269" s="3" t="n">
        <v>1</v>
      </c>
      <c r="BH1269" s="3" t="n">
        <v>4</v>
      </c>
      <c r="BI1269" s="3" t="n">
        <v>1</v>
      </c>
      <c r="BJ1269" s="3" t="n">
        <v>1</v>
      </c>
      <c r="BK1269" s="6" t="s">
        <v>3176</v>
      </c>
    </row>
    <row r="1270" customFormat="false" ht="15" hidden="false" customHeight="true" outlineLevel="0" collapsed="false">
      <c r="B1270" s="2" t="s">
        <v>140</v>
      </c>
      <c r="C1270" s="2" t="s">
        <v>3177</v>
      </c>
      <c r="D1270" s="2" t="s">
        <v>414</v>
      </c>
      <c r="E1270" s="2" t="n">
        <v>214034</v>
      </c>
      <c r="F1270" s="15" t="n">
        <v>44343</v>
      </c>
      <c r="G1270" s="15" t="n">
        <v>44349</v>
      </c>
      <c r="H1270" s="3" t="n">
        <v>6</v>
      </c>
      <c r="I1270" s="3" t="n">
        <v>2</v>
      </c>
      <c r="J1270" s="3" t="n">
        <v>78</v>
      </c>
      <c r="K1270" s="3" t="n">
        <v>1</v>
      </c>
      <c r="L1270" s="3" t="n">
        <v>1</v>
      </c>
      <c r="M1270" s="3" t="n">
        <v>2</v>
      </c>
      <c r="N1270" s="3" t="n">
        <v>2</v>
      </c>
      <c r="O1270" s="3" t="n">
        <v>2</v>
      </c>
      <c r="P1270" s="3" t="n">
        <v>2</v>
      </c>
      <c r="Q1270" s="3" t="n">
        <v>2</v>
      </c>
      <c r="R1270" s="3" t="n">
        <v>2</v>
      </c>
      <c r="S1270" s="3" t="n">
        <v>2</v>
      </c>
      <c r="T1270" s="4" t="n">
        <v>2</v>
      </c>
      <c r="U1270" s="3" t="n">
        <v>2</v>
      </c>
      <c r="V1270" s="3" t="n">
        <v>4.66</v>
      </c>
      <c r="W1270" s="3" t="n">
        <v>0.9</v>
      </c>
      <c r="X1270" s="3" t="n">
        <v>4.11</v>
      </c>
      <c r="Y1270" s="3" t="n">
        <v>292</v>
      </c>
      <c r="Z1270" s="3" t="n">
        <v>64</v>
      </c>
      <c r="AA1270" s="3" t="n">
        <v>11.6</v>
      </c>
      <c r="AB1270" s="3" t="n">
        <v>0.43</v>
      </c>
      <c r="AC1270" s="3" t="n">
        <v>1</v>
      </c>
      <c r="AD1270" s="3" t="n">
        <v>2</v>
      </c>
      <c r="AE1270" s="3" t="n">
        <v>2</v>
      </c>
      <c r="AF1270" s="3" t="n">
        <v>1</v>
      </c>
      <c r="AG1270" s="3" t="n">
        <v>2</v>
      </c>
      <c r="AH1270" s="3" t="n">
        <v>2</v>
      </c>
      <c r="AI1270" s="3" t="n">
        <v>1</v>
      </c>
      <c r="AJ1270" s="3" t="n">
        <v>2</v>
      </c>
      <c r="AK1270" s="3" t="n">
        <v>2</v>
      </c>
      <c r="AL1270" s="3" t="n">
        <v>2</v>
      </c>
      <c r="AM1270" s="3" t="n">
        <v>2</v>
      </c>
      <c r="AN1270" s="3" t="n">
        <v>2</v>
      </c>
      <c r="AO1270" s="3" t="n">
        <v>2</v>
      </c>
      <c r="AP1270" s="3" t="n">
        <v>3</v>
      </c>
      <c r="AQ1270" s="3" t="n">
        <v>4</v>
      </c>
      <c r="AR1270" s="3" t="n">
        <v>4</v>
      </c>
      <c r="AS1270" s="3" t="n">
        <v>6</v>
      </c>
      <c r="AT1270" s="3" t="n">
        <v>4</v>
      </c>
      <c r="AU1270" s="3" t="n">
        <v>4</v>
      </c>
      <c r="AV1270" s="3" t="n">
        <v>6</v>
      </c>
      <c r="AW1270" s="3" t="n">
        <v>6</v>
      </c>
      <c r="AX1270" s="3" t="n">
        <v>3</v>
      </c>
      <c r="AY1270" s="3" t="n">
        <v>3</v>
      </c>
      <c r="AZ1270" s="3" t="n">
        <v>1</v>
      </c>
      <c r="BA1270" s="5" t="n">
        <v>1</v>
      </c>
      <c r="BB1270" s="3" t="n">
        <v>1</v>
      </c>
      <c r="BC1270" s="3" t="n">
        <v>1</v>
      </c>
      <c r="BD1270" s="3" t="n">
        <v>4</v>
      </c>
      <c r="BE1270" s="3" t="n">
        <v>1</v>
      </c>
      <c r="BF1270" s="3" t="n">
        <v>2</v>
      </c>
      <c r="BG1270" s="3" t="n">
        <v>1</v>
      </c>
      <c r="BH1270" s="3" t="n">
        <v>4</v>
      </c>
      <c r="BI1270" s="3" t="n">
        <v>1</v>
      </c>
      <c r="BJ1270" s="3" t="n">
        <v>1</v>
      </c>
      <c r="BK1270" s="6" t="s">
        <v>3178</v>
      </c>
    </row>
    <row r="1271" customFormat="false" ht="15" hidden="false" customHeight="true" outlineLevel="0" collapsed="false">
      <c r="B1271" s="14" t="s">
        <v>1116</v>
      </c>
      <c r="C1271" s="14" t="s">
        <v>127</v>
      </c>
      <c r="D1271" s="14" t="s">
        <v>95</v>
      </c>
      <c r="E1271" s="14" t="n">
        <v>213851</v>
      </c>
      <c r="F1271" s="22" t="n">
        <v>44338</v>
      </c>
      <c r="G1271" s="22" t="n">
        <v>44349</v>
      </c>
      <c r="H1271" s="3" t="n">
        <v>11</v>
      </c>
      <c r="I1271" s="3" t="n">
        <v>2</v>
      </c>
      <c r="J1271" s="3" t="n">
        <v>53</v>
      </c>
      <c r="K1271" s="3" t="n">
        <v>2</v>
      </c>
      <c r="L1271" s="3" t="n">
        <v>1</v>
      </c>
      <c r="M1271" s="3" t="n">
        <v>1</v>
      </c>
      <c r="N1271" s="3" t="n">
        <v>2</v>
      </c>
      <c r="O1271" s="3" t="n">
        <v>2</v>
      </c>
      <c r="P1271" s="3" t="n">
        <v>2</v>
      </c>
      <c r="Q1271" s="3" t="n">
        <v>1</v>
      </c>
      <c r="R1271" s="3" t="n">
        <v>2</v>
      </c>
      <c r="S1271" s="3" t="n">
        <v>2</v>
      </c>
      <c r="T1271" s="4" t="n">
        <v>3</v>
      </c>
      <c r="U1271" s="3" t="n">
        <v>1</v>
      </c>
      <c r="V1271" s="3" t="s">
        <v>3179</v>
      </c>
      <c r="W1271" s="3" t="n">
        <v>0.9</v>
      </c>
      <c r="X1271" s="3" t="n">
        <v>12.9</v>
      </c>
      <c r="Y1271" s="3" t="n">
        <v>230</v>
      </c>
      <c r="Z1271" s="3" t="n">
        <v>91</v>
      </c>
      <c r="AA1271" s="3" t="n">
        <v>0.42</v>
      </c>
      <c r="AB1271" s="3" t="n">
        <v>11.8</v>
      </c>
      <c r="AC1271" s="3" t="n">
        <v>1</v>
      </c>
      <c r="AD1271" s="3" t="n">
        <v>2</v>
      </c>
      <c r="AE1271" s="3" t="n">
        <v>2</v>
      </c>
      <c r="AF1271" s="3" t="n">
        <v>1</v>
      </c>
      <c r="AG1271" s="3" t="n">
        <v>2</v>
      </c>
      <c r="AH1271" s="3" t="n">
        <v>2</v>
      </c>
      <c r="AI1271" s="3" t="n">
        <v>1</v>
      </c>
      <c r="AJ1271" s="3" t="n">
        <v>2</v>
      </c>
      <c r="AK1271" s="3" t="n">
        <v>1</v>
      </c>
      <c r="AL1271" s="3" t="n">
        <v>2</v>
      </c>
      <c r="AM1271" s="3" t="n">
        <v>1</v>
      </c>
      <c r="AN1271" s="3" t="n">
        <v>2</v>
      </c>
      <c r="AO1271" s="3" t="n">
        <v>2</v>
      </c>
      <c r="AP1271" s="3" t="n">
        <v>3</v>
      </c>
      <c r="AQ1271" s="3" t="n">
        <v>4</v>
      </c>
      <c r="AR1271" s="3" t="n">
        <v>4</v>
      </c>
      <c r="AS1271" s="3" t="n">
        <v>6</v>
      </c>
      <c r="AT1271" s="3" t="n">
        <v>4</v>
      </c>
      <c r="AU1271" s="3" t="n">
        <v>4</v>
      </c>
      <c r="AV1271" s="3" t="n">
        <v>6</v>
      </c>
      <c r="AW1271" s="3" t="n">
        <v>6</v>
      </c>
      <c r="AX1271" s="3" t="n">
        <v>3</v>
      </c>
      <c r="AY1271" s="3" t="n">
        <v>3</v>
      </c>
      <c r="AZ1271" s="3" t="n">
        <v>1</v>
      </c>
      <c r="BA1271" s="5" t="n">
        <v>3</v>
      </c>
      <c r="BB1271" s="3" t="n">
        <v>2</v>
      </c>
      <c r="BC1271" s="3" t="n">
        <v>1</v>
      </c>
      <c r="BD1271" s="3" t="n">
        <v>6</v>
      </c>
      <c r="BE1271" s="3" t="n">
        <v>3</v>
      </c>
      <c r="BF1271" s="3" t="n">
        <v>5</v>
      </c>
      <c r="BG1271" s="3" t="n">
        <v>3</v>
      </c>
      <c r="BH1271" s="3" t="n">
        <v>4</v>
      </c>
      <c r="BI1271" s="3" t="n">
        <v>1</v>
      </c>
      <c r="BJ1271" s="3" t="n">
        <v>1</v>
      </c>
      <c r="BK1271" s="16" t="s">
        <v>3180</v>
      </c>
    </row>
    <row r="1272" customFormat="false" ht="15" hidden="false" customHeight="true" outlineLevel="0" collapsed="false">
      <c r="B1272" s="14" t="s">
        <v>3181</v>
      </c>
      <c r="C1272" s="14" t="s">
        <v>1482</v>
      </c>
      <c r="D1272" s="14" t="s">
        <v>109</v>
      </c>
      <c r="E1272" s="14" t="n">
        <v>214329</v>
      </c>
      <c r="F1272" s="22" t="n">
        <v>44346</v>
      </c>
      <c r="G1272" s="22" t="n">
        <v>44351</v>
      </c>
      <c r="H1272" s="3" t="n">
        <v>5</v>
      </c>
      <c r="I1272" s="3" t="n">
        <v>1</v>
      </c>
      <c r="J1272" s="3" t="n">
        <v>85</v>
      </c>
      <c r="K1272" s="3" t="n">
        <v>1</v>
      </c>
      <c r="L1272" s="3" t="n">
        <v>1</v>
      </c>
      <c r="M1272" s="3" t="n">
        <v>2</v>
      </c>
      <c r="N1272" s="3" t="n">
        <v>2</v>
      </c>
      <c r="O1272" s="3" t="n">
        <v>1</v>
      </c>
      <c r="P1272" s="3" t="n">
        <v>2</v>
      </c>
      <c r="Q1272" s="3" t="n">
        <v>1</v>
      </c>
      <c r="R1272" s="3" t="n">
        <v>2</v>
      </c>
      <c r="S1272" s="3" t="n">
        <v>2</v>
      </c>
      <c r="T1272" s="4" t="n">
        <v>6</v>
      </c>
      <c r="U1272" s="3" t="n">
        <v>4</v>
      </c>
      <c r="V1272" s="3" t="n">
        <v>5.63</v>
      </c>
      <c r="W1272" s="3" t="n">
        <v>2.58</v>
      </c>
      <c r="X1272" s="3" t="n">
        <v>1.02</v>
      </c>
      <c r="Y1272" s="3" t="n">
        <v>404</v>
      </c>
      <c r="Z1272" s="3" t="n">
        <v>109</v>
      </c>
      <c r="AA1272" s="3" t="n">
        <v>0.42</v>
      </c>
      <c r="AB1272" s="3" t="n">
        <v>11.8</v>
      </c>
      <c r="AC1272" s="3" t="n">
        <v>3</v>
      </c>
      <c r="AD1272" s="3" t="n">
        <v>2</v>
      </c>
      <c r="AE1272" s="3" t="n">
        <v>2</v>
      </c>
      <c r="AF1272" s="3" t="n">
        <v>2</v>
      </c>
      <c r="AG1272" s="3" t="n">
        <v>2</v>
      </c>
      <c r="AH1272" s="3" t="n">
        <v>2</v>
      </c>
      <c r="AI1272" s="3" t="n">
        <v>2</v>
      </c>
      <c r="AJ1272" s="3" t="n">
        <v>2</v>
      </c>
      <c r="AK1272" s="3" t="n">
        <v>2</v>
      </c>
      <c r="AL1272" s="3" t="n">
        <v>2</v>
      </c>
      <c r="AM1272" s="3" t="n">
        <v>2</v>
      </c>
      <c r="AN1272" s="3" t="n">
        <v>2</v>
      </c>
      <c r="AO1272" s="3" t="n">
        <v>2</v>
      </c>
      <c r="AP1272" s="3" t="n">
        <v>3</v>
      </c>
      <c r="AQ1272" s="3" t="n">
        <v>4</v>
      </c>
      <c r="AR1272" s="3" t="n">
        <v>4</v>
      </c>
      <c r="AS1272" s="3" t="n">
        <v>6</v>
      </c>
      <c r="AT1272" s="3" t="n">
        <v>4</v>
      </c>
      <c r="AU1272" s="3" t="n">
        <v>4</v>
      </c>
      <c r="AV1272" s="3" t="n">
        <v>6</v>
      </c>
      <c r="AW1272" s="3" t="n">
        <v>6</v>
      </c>
      <c r="AX1272" s="3" t="n">
        <v>3</v>
      </c>
      <c r="AY1272" s="3" t="n">
        <v>3</v>
      </c>
      <c r="AZ1272" s="3" t="n">
        <v>1</v>
      </c>
      <c r="BA1272" s="5" t="n">
        <v>10</v>
      </c>
      <c r="BB1272" s="3" t="n">
        <v>2</v>
      </c>
      <c r="BC1272" s="3" t="n">
        <v>1</v>
      </c>
      <c r="BD1272" s="3" t="n">
        <v>6</v>
      </c>
      <c r="BE1272" s="3" t="n">
        <v>3</v>
      </c>
      <c r="BF1272" s="3" t="n">
        <v>5</v>
      </c>
      <c r="BG1272" s="3" t="n">
        <v>3</v>
      </c>
      <c r="BH1272" s="3" t="n">
        <v>4</v>
      </c>
      <c r="BI1272" s="3" t="n">
        <v>1</v>
      </c>
      <c r="BJ1272" s="3" t="n">
        <v>1</v>
      </c>
      <c r="BK1272" s="16" t="s">
        <v>3182</v>
      </c>
    </row>
    <row r="1273" customFormat="false" ht="15" hidden="false" customHeight="true" outlineLevel="0" collapsed="false">
      <c r="B1273" s="14" t="s">
        <v>2929</v>
      </c>
      <c r="C1273" s="14" t="s">
        <v>522</v>
      </c>
      <c r="D1273" s="14" t="s">
        <v>194</v>
      </c>
      <c r="E1273" s="14" t="n">
        <v>214069</v>
      </c>
      <c r="F1273" s="22" t="n">
        <v>44344</v>
      </c>
      <c r="G1273" s="22" t="n">
        <v>44350</v>
      </c>
      <c r="H1273" s="3" t="n">
        <v>6</v>
      </c>
      <c r="I1273" s="3" t="n">
        <v>2</v>
      </c>
      <c r="J1273" s="3" t="n">
        <v>64</v>
      </c>
      <c r="K1273" s="3" t="n">
        <v>1</v>
      </c>
      <c r="L1273" s="3" t="n">
        <v>1</v>
      </c>
      <c r="M1273" s="3" t="n">
        <v>2</v>
      </c>
      <c r="N1273" s="3" t="n">
        <v>2</v>
      </c>
      <c r="O1273" s="3" t="n">
        <v>2</v>
      </c>
      <c r="P1273" s="3" t="n">
        <v>2</v>
      </c>
      <c r="Q1273" s="3" t="n">
        <v>2</v>
      </c>
      <c r="R1273" s="3" t="n">
        <v>2</v>
      </c>
      <c r="S1273" s="3" t="n">
        <v>2</v>
      </c>
      <c r="T1273" s="4" t="n">
        <v>2</v>
      </c>
      <c r="U1273" s="3" t="n">
        <v>2</v>
      </c>
      <c r="V1273" s="3" t="n">
        <v>4.6</v>
      </c>
      <c r="W1273" s="3" t="n">
        <v>3.53</v>
      </c>
      <c r="X1273" s="3" t="n">
        <v>10.85</v>
      </c>
      <c r="Y1273" s="3" t="n">
        <v>384</v>
      </c>
      <c r="Z1273" s="3" t="n">
        <v>133</v>
      </c>
      <c r="AA1273" s="3" t="n">
        <v>0.41</v>
      </c>
      <c r="AB1273" s="3" t="n">
        <v>14.6</v>
      </c>
      <c r="AC1273" s="3" t="n">
        <v>1</v>
      </c>
      <c r="AD1273" s="3" t="n">
        <v>2</v>
      </c>
      <c r="AE1273" s="3" t="n">
        <v>2</v>
      </c>
      <c r="AF1273" s="3" t="n">
        <v>1</v>
      </c>
      <c r="AG1273" s="3" t="n">
        <v>2</v>
      </c>
      <c r="AH1273" s="3" t="n">
        <v>2</v>
      </c>
      <c r="AI1273" s="3" t="n">
        <v>1</v>
      </c>
      <c r="AJ1273" s="3" t="n">
        <v>2</v>
      </c>
      <c r="AK1273" s="3" t="n">
        <v>2</v>
      </c>
      <c r="AL1273" s="3" t="n">
        <v>2</v>
      </c>
      <c r="AM1273" s="3" t="n">
        <v>2</v>
      </c>
      <c r="AN1273" s="3" t="n">
        <v>2</v>
      </c>
      <c r="AO1273" s="3" t="n">
        <v>2</v>
      </c>
      <c r="AP1273" s="3" t="n">
        <v>3</v>
      </c>
      <c r="AQ1273" s="3" t="n">
        <v>4</v>
      </c>
      <c r="AR1273" s="3" t="n">
        <v>4</v>
      </c>
      <c r="AS1273" s="3" t="n">
        <v>6</v>
      </c>
      <c r="AT1273" s="3" t="n">
        <v>4</v>
      </c>
      <c r="AU1273" s="3" t="n">
        <v>4</v>
      </c>
      <c r="AV1273" s="3" t="n">
        <v>6</v>
      </c>
      <c r="AW1273" s="3" t="n">
        <v>6</v>
      </c>
      <c r="AX1273" s="3" t="n">
        <v>3</v>
      </c>
      <c r="AY1273" s="3" t="n">
        <v>3</v>
      </c>
      <c r="AZ1273" s="3" t="n">
        <v>1</v>
      </c>
      <c r="BA1273" s="5" t="n">
        <v>1</v>
      </c>
      <c r="BB1273" s="3" t="n">
        <v>1</v>
      </c>
      <c r="BC1273" s="3" t="n">
        <v>1</v>
      </c>
      <c r="BD1273" s="3" t="n">
        <v>4</v>
      </c>
      <c r="BE1273" s="3" t="n">
        <v>1</v>
      </c>
      <c r="BF1273" s="3" t="n">
        <v>2</v>
      </c>
      <c r="BG1273" s="3" t="n">
        <v>1</v>
      </c>
      <c r="BH1273" s="3" t="n">
        <v>4</v>
      </c>
      <c r="BI1273" s="3" t="n">
        <v>1</v>
      </c>
      <c r="BJ1273" s="3" t="n">
        <v>1</v>
      </c>
      <c r="BK1273" s="16" t="s">
        <v>3178</v>
      </c>
    </row>
    <row r="1274" s="30" customFormat="true" ht="15" hidden="false" customHeight="true" outlineLevel="0" collapsed="false">
      <c r="A1274" s="24" t="s">
        <v>125</v>
      </c>
      <c r="B1274" s="26" t="s">
        <v>3183</v>
      </c>
      <c r="C1274" s="26" t="s">
        <v>3184</v>
      </c>
      <c r="D1274" s="26" t="s">
        <v>3185</v>
      </c>
      <c r="E1274" s="26" t="n">
        <v>214273</v>
      </c>
      <c r="F1274" s="27" t="n">
        <v>44350</v>
      </c>
      <c r="G1274" s="27" t="n">
        <v>44353</v>
      </c>
      <c r="H1274" s="30" t="n">
        <v>3</v>
      </c>
      <c r="I1274" s="30" t="n">
        <v>2</v>
      </c>
      <c r="J1274" s="30" t="n">
        <v>91</v>
      </c>
      <c r="K1274" s="30" t="n">
        <v>1</v>
      </c>
      <c r="L1274" s="30" t="n">
        <v>1</v>
      </c>
      <c r="M1274" s="30" t="n">
        <v>2</v>
      </c>
      <c r="N1274" s="30" t="n">
        <v>2</v>
      </c>
      <c r="O1274" s="30" t="n">
        <v>2</v>
      </c>
      <c r="P1274" s="30" t="n">
        <v>2</v>
      </c>
      <c r="Q1274" s="30" t="n">
        <v>2</v>
      </c>
      <c r="R1274" s="30" t="n">
        <v>2</v>
      </c>
      <c r="S1274" s="30" t="n">
        <v>2</v>
      </c>
      <c r="T1274" s="4" t="n">
        <v>4</v>
      </c>
      <c r="U1274" s="30" t="n">
        <v>4</v>
      </c>
      <c r="V1274" s="30" t="n">
        <v>2.54</v>
      </c>
      <c r="W1274" s="30" t="n">
        <v>1.02</v>
      </c>
      <c r="X1274" s="30" t="n">
        <v>1.16</v>
      </c>
      <c r="Y1274" s="30" t="n">
        <v>443</v>
      </c>
      <c r="Z1274" s="30" t="n">
        <v>79</v>
      </c>
      <c r="AA1274" s="30" t="n">
        <v>0.34</v>
      </c>
      <c r="AB1274" s="30" t="n">
        <v>11.8</v>
      </c>
      <c r="AC1274" s="30" t="n">
        <v>3</v>
      </c>
      <c r="AD1274" s="30" t="n">
        <v>2</v>
      </c>
      <c r="AE1274" s="30" t="n">
        <v>2</v>
      </c>
      <c r="AF1274" s="30" t="n">
        <v>2</v>
      </c>
      <c r="AG1274" s="30" t="n">
        <v>2</v>
      </c>
      <c r="AH1274" s="30" t="n">
        <v>2</v>
      </c>
      <c r="AI1274" s="30" t="n">
        <v>2</v>
      </c>
      <c r="AJ1274" s="30" t="n">
        <v>2</v>
      </c>
      <c r="AK1274" s="30" t="n">
        <v>2</v>
      </c>
      <c r="AL1274" s="30" t="n">
        <v>2</v>
      </c>
      <c r="AM1274" s="30" t="n">
        <v>2</v>
      </c>
      <c r="AN1274" s="30" t="n">
        <v>2</v>
      </c>
      <c r="AO1274" s="30" t="n">
        <v>2</v>
      </c>
      <c r="AP1274" s="30" t="n">
        <v>3</v>
      </c>
      <c r="AQ1274" s="30" t="n">
        <v>4</v>
      </c>
      <c r="AR1274" s="30" t="n">
        <v>4</v>
      </c>
      <c r="AS1274" s="30" t="n">
        <v>6</v>
      </c>
      <c r="AT1274" s="30" t="n">
        <v>4</v>
      </c>
      <c r="AU1274" s="30" t="n">
        <v>4</v>
      </c>
      <c r="AV1274" s="30" t="n">
        <v>6</v>
      </c>
      <c r="AW1274" s="30" t="n">
        <v>6</v>
      </c>
      <c r="AX1274" s="30" t="n">
        <v>3</v>
      </c>
      <c r="AY1274" s="30" t="n">
        <v>3</v>
      </c>
      <c r="AZ1274" s="30" t="n">
        <v>1</v>
      </c>
      <c r="BA1274" s="5" t="n">
        <v>10</v>
      </c>
      <c r="BB1274" s="30" t="n">
        <v>2</v>
      </c>
      <c r="BC1274" s="30" t="n">
        <v>2</v>
      </c>
      <c r="BD1274" s="30" t="n">
        <v>6</v>
      </c>
      <c r="BE1274" s="30" t="n">
        <v>3</v>
      </c>
      <c r="BF1274" s="30" t="n">
        <v>5</v>
      </c>
      <c r="BG1274" s="30" t="n">
        <v>3</v>
      </c>
      <c r="BH1274" s="30" t="n">
        <v>4</v>
      </c>
      <c r="BI1274" s="30" t="n">
        <v>1</v>
      </c>
      <c r="BJ1274" s="30" t="n">
        <v>1</v>
      </c>
      <c r="BK1274" s="31" t="s">
        <v>3186</v>
      </c>
    </row>
    <row r="1275" customFormat="false" ht="15" hidden="false" customHeight="true" outlineLevel="0" collapsed="false">
      <c r="B1275" s="14" t="s">
        <v>3187</v>
      </c>
      <c r="C1275" s="14" t="s">
        <v>61</v>
      </c>
      <c r="D1275" s="14" t="s">
        <v>611</v>
      </c>
      <c r="E1275" s="14" t="n">
        <v>214392</v>
      </c>
      <c r="F1275" s="22" t="n">
        <v>44348</v>
      </c>
      <c r="G1275" s="22" t="n">
        <v>44354</v>
      </c>
      <c r="H1275" s="3" t="n">
        <v>6</v>
      </c>
      <c r="I1275" s="3" t="n">
        <v>1</v>
      </c>
      <c r="J1275" s="3" t="n">
        <v>75</v>
      </c>
      <c r="K1275" s="3" t="n">
        <v>1</v>
      </c>
      <c r="L1275" s="3" t="n">
        <v>2</v>
      </c>
      <c r="M1275" s="3" t="n">
        <v>1</v>
      </c>
      <c r="N1275" s="3" t="n">
        <v>1</v>
      </c>
      <c r="O1275" s="3" t="n">
        <v>2</v>
      </c>
      <c r="P1275" s="3" t="n">
        <v>2</v>
      </c>
      <c r="Q1275" s="3" t="n">
        <v>1</v>
      </c>
      <c r="R1275" s="3" t="n">
        <v>2</v>
      </c>
      <c r="S1275" s="3" t="n">
        <v>2</v>
      </c>
      <c r="T1275" s="4" t="n">
        <v>1</v>
      </c>
      <c r="U1275" s="3" t="n">
        <v>1</v>
      </c>
      <c r="V1275" s="3" t="n">
        <v>7.93</v>
      </c>
      <c r="W1275" s="3" t="n">
        <v>1.86</v>
      </c>
      <c r="X1275" s="3" t="n">
        <v>6.81</v>
      </c>
      <c r="Y1275" s="3" t="n">
        <v>374</v>
      </c>
      <c r="Z1275" s="3" t="n">
        <v>87</v>
      </c>
      <c r="AA1275" s="3" t="n">
        <v>0.39</v>
      </c>
      <c r="AB1275" s="3" t="n">
        <v>8</v>
      </c>
      <c r="AC1275" s="3" t="n">
        <v>3</v>
      </c>
      <c r="AD1275" s="3" t="n">
        <v>1</v>
      </c>
      <c r="AE1275" s="3" t="n">
        <v>1</v>
      </c>
      <c r="AF1275" s="3" t="n">
        <v>1</v>
      </c>
      <c r="AG1275" s="3" t="n">
        <v>2</v>
      </c>
      <c r="AH1275" s="3" t="n">
        <v>1</v>
      </c>
      <c r="AI1275" s="3" t="n">
        <v>1</v>
      </c>
      <c r="AJ1275" s="3" t="n">
        <v>1</v>
      </c>
      <c r="AK1275" s="3" t="n">
        <v>2</v>
      </c>
      <c r="AL1275" s="3" t="n">
        <v>2</v>
      </c>
      <c r="AM1275" s="3" t="n">
        <v>2</v>
      </c>
      <c r="AN1275" s="3" t="n">
        <v>2</v>
      </c>
      <c r="AO1275" s="3" t="n">
        <v>2</v>
      </c>
      <c r="AP1275" s="3" t="n">
        <v>3</v>
      </c>
      <c r="AQ1275" s="3" t="n">
        <v>4</v>
      </c>
      <c r="AR1275" s="3" t="n">
        <v>4</v>
      </c>
      <c r="AS1275" s="3" t="n">
        <v>6</v>
      </c>
      <c r="AT1275" s="3" t="n">
        <v>4</v>
      </c>
      <c r="AU1275" s="3" t="n">
        <v>4</v>
      </c>
      <c r="AV1275" s="3" t="n">
        <v>6</v>
      </c>
      <c r="AW1275" s="3" t="n">
        <v>6</v>
      </c>
      <c r="AX1275" s="3" t="n">
        <v>3</v>
      </c>
      <c r="AY1275" s="3" t="n">
        <v>3</v>
      </c>
      <c r="AZ1275" s="3" t="n">
        <v>1</v>
      </c>
      <c r="BA1275" s="5" t="n">
        <v>2</v>
      </c>
      <c r="BB1275" s="3" t="n">
        <v>1</v>
      </c>
      <c r="BC1275" s="3" t="n">
        <v>1</v>
      </c>
      <c r="BD1275" s="3" t="n">
        <v>6</v>
      </c>
      <c r="BE1275" s="3" t="n">
        <v>3</v>
      </c>
      <c r="BF1275" s="3" t="n">
        <v>5</v>
      </c>
      <c r="BG1275" s="3" t="n">
        <v>3</v>
      </c>
      <c r="BH1275" s="3" t="n">
        <v>4</v>
      </c>
      <c r="BI1275" s="3" t="n">
        <v>1</v>
      </c>
      <c r="BJ1275" s="3" t="n">
        <v>1</v>
      </c>
      <c r="BK1275" s="16" t="s">
        <v>3188</v>
      </c>
    </row>
    <row r="1276" customFormat="false" ht="15" hidden="false" customHeight="true" outlineLevel="0" collapsed="false">
      <c r="B1276" s="2" t="s">
        <v>3189</v>
      </c>
      <c r="C1276" s="2" t="s">
        <v>438</v>
      </c>
      <c r="D1276" s="2" t="s">
        <v>95</v>
      </c>
      <c r="E1276" s="2" t="n">
        <v>214279</v>
      </c>
      <c r="F1276" s="15" t="n">
        <v>44350</v>
      </c>
      <c r="G1276" s="15" t="n">
        <v>44356</v>
      </c>
      <c r="H1276" s="3" t="n">
        <v>6</v>
      </c>
      <c r="I1276" s="3" t="n">
        <v>1</v>
      </c>
      <c r="J1276" s="3" t="n">
        <v>90</v>
      </c>
      <c r="K1276" s="3" t="n">
        <v>1</v>
      </c>
      <c r="L1276" s="3" t="n">
        <v>2</v>
      </c>
      <c r="M1276" s="3" t="n">
        <v>1</v>
      </c>
      <c r="N1276" s="3" t="n">
        <v>2</v>
      </c>
      <c r="O1276" s="3" t="n">
        <v>2</v>
      </c>
      <c r="P1276" s="3" t="n">
        <v>2</v>
      </c>
      <c r="Q1276" s="3" t="n">
        <v>1</v>
      </c>
      <c r="R1276" s="3" t="n">
        <v>2</v>
      </c>
      <c r="S1276" s="3" t="n">
        <v>1</v>
      </c>
      <c r="T1276" s="4" t="n">
        <v>1</v>
      </c>
      <c r="U1276" s="3" t="n">
        <v>4</v>
      </c>
      <c r="V1276" s="3" t="n">
        <v>5.34</v>
      </c>
      <c r="W1276" s="3" t="n">
        <v>1.66</v>
      </c>
      <c r="X1276" s="3" t="n">
        <v>5.58</v>
      </c>
      <c r="Y1276" s="3" t="n">
        <v>518</v>
      </c>
      <c r="Z1276" s="3" t="n">
        <v>186</v>
      </c>
      <c r="AA1276" s="3" t="n">
        <v>0.37</v>
      </c>
      <c r="AB1276" s="3" t="n">
        <v>12.3</v>
      </c>
      <c r="AC1276" s="3" t="n">
        <v>1</v>
      </c>
      <c r="AD1276" s="3" t="n">
        <v>2</v>
      </c>
      <c r="AE1276" s="3" t="n">
        <v>1</v>
      </c>
      <c r="AF1276" s="3" t="n">
        <v>1</v>
      </c>
      <c r="AG1276" s="3" t="n">
        <v>2</v>
      </c>
      <c r="AH1276" s="3" t="n">
        <v>2</v>
      </c>
      <c r="AI1276" s="3" t="n">
        <v>1</v>
      </c>
      <c r="AJ1276" s="3" t="n">
        <v>2</v>
      </c>
      <c r="AK1276" s="3" t="n">
        <v>2</v>
      </c>
      <c r="AL1276" s="3" t="n">
        <v>2</v>
      </c>
      <c r="AM1276" s="3" t="n">
        <v>2</v>
      </c>
      <c r="AN1276" s="3" t="n">
        <v>2</v>
      </c>
      <c r="AO1276" s="3" t="n">
        <v>2</v>
      </c>
      <c r="AP1276" s="3" t="n">
        <v>3</v>
      </c>
      <c r="AQ1276" s="3" t="n">
        <v>4</v>
      </c>
      <c r="AR1276" s="3" t="n">
        <v>4</v>
      </c>
      <c r="AS1276" s="3" t="n">
        <v>6</v>
      </c>
      <c r="AT1276" s="3" t="n">
        <v>4</v>
      </c>
      <c r="AU1276" s="3" t="n">
        <v>4</v>
      </c>
      <c r="AV1276" s="3" t="n">
        <v>6</v>
      </c>
      <c r="AW1276" s="3" t="n">
        <v>6</v>
      </c>
      <c r="AX1276" s="3" t="n">
        <v>3</v>
      </c>
      <c r="AY1276" s="3" t="n">
        <v>3</v>
      </c>
      <c r="AZ1276" s="3" t="n">
        <v>1</v>
      </c>
      <c r="BA1276" s="5" t="n">
        <v>5</v>
      </c>
      <c r="BB1276" s="3" t="n">
        <v>2</v>
      </c>
      <c r="BC1276" s="3" t="n">
        <v>1</v>
      </c>
      <c r="BD1276" s="3" t="n">
        <v>6</v>
      </c>
      <c r="BE1276" s="3" t="n">
        <v>3</v>
      </c>
      <c r="BF1276" s="3" t="n">
        <v>5</v>
      </c>
      <c r="BG1276" s="3" t="n">
        <v>3</v>
      </c>
      <c r="BH1276" s="3" t="n">
        <v>4</v>
      </c>
      <c r="BI1276" s="3" t="n">
        <v>1</v>
      </c>
      <c r="BJ1276" s="3" t="n">
        <v>1</v>
      </c>
      <c r="BK1276" s="6" t="s">
        <v>3190</v>
      </c>
    </row>
    <row r="1277" customFormat="false" ht="15" hidden="false" customHeight="true" outlineLevel="0" collapsed="false">
      <c r="B1277" s="2" t="s">
        <v>3191</v>
      </c>
      <c r="C1277" s="2" t="s">
        <v>109</v>
      </c>
      <c r="D1277" s="2" t="s">
        <v>66</v>
      </c>
      <c r="E1277" s="2" t="n">
        <v>214006</v>
      </c>
      <c r="F1277" s="15" t="n">
        <v>44347</v>
      </c>
      <c r="G1277" s="15" t="n">
        <v>44356</v>
      </c>
      <c r="H1277" s="3" t="n">
        <v>10</v>
      </c>
      <c r="I1277" s="3" t="n">
        <v>2</v>
      </c>
      <c r="J1277" s="3" t="n">
        <v>78</v>
      </c>
      <c r="K1277" s="3" t="n">
        <v>1</v>
      </c>
      <c r="L1277" s="3" t="n">
        <v>2</v>
      </c>
      <c r="M1277" s="3" t="n">
        <v>1</v>
      </c>
      <c r="N1277" s="3" t="n">
        <v>2</v>
      </c>
      <c r="O1277" s="3" t="n">
        <v>2</v>
      </c>
      <c r="P1277" s="3" t="n">
        <v>2</v>
      </c>
      <c r="Q1277" s="3" t="n">
        <v>2</v>
      </c>
      <c r="R1277" s="3" t="n">
        <v>2</v>
      </c>
      <c r="S1277" s="3" t="n">
        <v>2</v>
      </c>
      <c r="T1277" s="4" t="n">
        <v>4</v>
      </c>
      <c r="U1277" s="3" t="n">
        <v>4</v>
      </c>
      <c r="V1277" s="3" t="n">
        <v>4.5</v>
      </c>
      <c r="W1277" s="3" t="n">
        <v>1.08</v>
      </c>
      <c r="X1277" s="3" t="n">
        <v>5.86</v>
      </c>
      <c r="Y1277" s="3" t="n">
        <v>378</v>
      </c>
      <c r="Z1277" s="3" t="n">
        <v>108</v>
      </c>
      <c r="AA1277" s="3" t="n">
        <v>0.31</v>
      </c>
      <c r="AB1277" s="3" t="n">
        <v>16.3</v>
      </c>
      <c r="AC1277" s="3" t="n">
        <v>2</v>
      </c>
      <c r="AD1277" s="3" t="n">
        <v>2</v>
      </c>
      <c r="AE1277" s="3" t="n">
        <v>2</v>
      </c>
      <c r="AF1277" s="3" t="n">
        <v>1</v>
      </c>
      <c r="AG1277" s="3" t="n">
        <v>2</v>
      </c>
      <c r="AH1277" s="3" t="n">
        <v>1</v>
      </c>
      <c r="AI1277" s="3" t="n">
        <v>2</v>
      </c>
      <c r="AJ1277" s="3" t="n">
        <v>2</v>
      </c>
      <c r="AK1277" s="3" t="n">
        <v>1</v>
      </c>
      <c r="AL1277" s="3" t="n">
        <v>2</v>
      </c>
      <c r="AM1277" s="3" t="n">
        <v>2</v>
      </c>
      <c r="AN1277" s="3" t="n">
        <v>2</v>
      </c>
      <c r="AO1277" s="3" t="n">
        <v>2</v>
      </c>
      <c r="AP1277" s="3" t="n">
        <v>3</v>
      </c>
      <c r="AQ1277" s="3" t="n">
        <v>4</v>
      </c>
      <c r="AR1277" s="3" t="n">
        <v>4</v>
      </c>
      <c r="AS1277" s="3" t="n">
        <v>6</v>
      </c>
      <c r="AT1277" s="3" t="n">
        <v>4</v>
      </c>
      <c r="AU1277" s="3" t="n">
        <v>4</v>
      </c>
      <c r="AV1277" s="3" t="n">
        <v>6</v>
      </c>
      <c r="AW1277" s="3" t="n">
        <v>6</v>
      </c>
      <c r="AX1277" s="3" t="n">
        <v>3</v>
      </c>
      <c r="AY1277" s="3" t="n">
        <v>3</v>
      </c>
      <c r="AZ1277" s="3" t="n">
        <v>1</v>
      </c>
      <c r="BA1277" s="5" t="n">
        <v>10</v>
      </c>
      <c r="BB1277" s="3" t="n">
        <v>2</v>
      </c>
      <c r="BC1277" s="3" t="n">
        <v>1</v>
      </c>
      <c r="BD1277" s="3" t="n">
        <v>6</v>
      </c>
      <c r="BE1277" s="3" t="n">
        <v>3</v>
      </c>
      <c r="BF1277" s="3" t="n">
        <v>5</v>
      </c>
      <c r="BG1277" s="3" t="n">
        <v>3</v>
      </c>
      <c r="BH1277" s="3" t="n">
        <v>4</v>
      </c>
      <c r="BI1277" s="3" t="n">
        <v>1</v>
      </c>
      <c r="BJ1277" s="3" t="n">
        <v>1</v>
      </c>
      <c r="BK1277" s="6" t="s">
        <v>3192</v>
      </c>
    </row>
    <row r="1278" s="30" customFormat="true" ht="15" hidden="false" customHeight="true" outlineLevel="0" collapsed="false">
      <c r="A1278" s="24"/>
      <c r="B1278" s="26" t="s">
        <v>3193</v>
      </c>
      <c r="C1278" s="26" t="s">
        <v>118</v>
      </c>
      <c r="D1278" s="26" t="s">
        <v>222</v>
      </c>
      <c r="E1278" s="26" t="n">
        <v>214486</v>
      </c>
      <c r="F1278" s="27" t="n">
        <v>44354</v>
      </c>
      <c r="G1278" s="27" t="n">
        <v>44354</v>
      </c>
      <c r="H1278" s="30" t="n">
        <v>0</v>
      </c>
      <c r="I1278" s="30" t="n">
        <v>2</v>
      </c>
      <c r="J1278" s="30" t="n">
        <v>58</v>
      </c>
      <c r="K1278" s="30" t="n">
        <v>1</v>
      </c>
      <c r="L1278" s="30" t="n">
        <v>1</v>
      </c>
      <c r="M1278" s="30" t="n">
        <v>1</v>
      </c>
      <c r="N1278" s="30" t="n">
        <v>2</v>
      </c>
      <c r="O1278" s="30" t="n">
        <v>1</v>
      </c>
      <c r="P1278" s="30" t="n">
        <v>2</v>
      </c>
      <c r="Q1278" s="30" t="n">
        <v>2</v>
      </c>
      <c r="R1278" s="30" t="n">
        <v>2</v>
      </c>
      <c r="S1278" s="30" t="n">
        <v>2</v>
      </c>
      <c r="T1278" s="4" t="n">
        <v>1</v>
      </c>
      <c r="U1278" s="30" t="n">
        <v>1</v>
      </c>
      <c r="AC1278" s="30" t="n">
        <v>3</v>
      </c>
      <c r="AD1278" s="30" t="n">
        <v>1</v>
      </c>
      <c r="AE1278" s="30" t="n">
        <v>1</v>
      </c>
      <c r="AF1278" s="30" t="n">
        <v>2</v>
      </c>
      <c r="AG1278" s="30" t="n">
        <v>2</v>
      </c>
      <c r="AH1278" s="30" t="n">
        <v>2</v>
      </c>
      <c r="AI1278" s="30" t="n">
        <v>2</v>
      </c>
      <c r="AJ1278" s="30" t="n">
        <v>2</v>
      </c>
      <c r="AK1278" s="30" t="n">
        <v>2</v>
      </c>
      <c r="AL1278" s="30" t="n">
        <v>2</v>
      </c>
      <c r="AM1278" s="30" t="n">
        <v>1</v>
      </c>
      <c r="AN1278" s="30" t="n">
        <v>1</v>
      </c>
      <c r="AO1278" s="30" t="n">
        <v>2</v>
      </c>
      <c r="AP1278" s="30" t="n">
        <v>3</v>
      </c>
      <c r="AQ1278" s="30" t="n">
        <v>4</v>
      </c>
      <c r="AR1278" s="30" t="n">
        <v>4</v>
      </c>
      <c r="AS1278" s="30" t="n">
        <v>6</v>
      </c>
      <c r="AT1278" s="30" t="n">
        <v>4</v>
      </c>
      <c r="AU1278" s="30" t="n">
        <v>4</v>
      </c>
      <c r="AV1278" s="30" t="n">
        <v>6</v>
      </c>
      <c r="AW1278" s="30" t="n">
        <v>6</v>
      </c>
      <c r="AX1278" s="30" t="n">
        <v>3</v>
      </c>
      <c r="AY1278" s="30" t="n">
        <v>3</v>
      </c>
      <c r="AZ1278" s="30" t="n">
        <v>6</v>
      </c>
      <c r="BA1278" s="5" t="n">
        <v>5</v>
      </c>
      <c r="BB1278" s="30" t="n">
        <v>2</v>
      </c>
      <c r="BC1278" s="30" t="n">
        <v>2</v>
      </c>
      <c r="BD1278" s="30" t="n">
        <v>6</v>
      </c>
      <c r="BE1278" s="30" t="n">
        <v>3</v>
      </c>
      <c r="BF1278" s="30" t="n">
        <v>5</v>
      </c>
      <c r="BG1278" s="30" t="n">
        <v>3</v>
      </c>
      <c r="BH1278" s="30" t="n">
        <v>4</v>
      </c>
      <c r="BI1278" s="30" t="n">
        <v>1</v>
      </c>
      <c r="BJ1278" s="30" t="n">
        <v>1</v>
      </c>
      <c r="BK1278" s="31" t="s">
        <v>3194</v>
      </c>
    </row>
    <row r="1279" customFormat="false" ht="15" hidden="false" customHeight="true" outlineLevel="0" collapsed="false">
      <c r="B1279" s="2" t="s">
        <v>2052</v>
      </c>
      <c r="C1279" s="2" t="s">
        <v>122</v>
      </c>
      <c r="D1279" s="2" t="s">
        <v>1709</v>
      </c>
      <c r="E1279" s="2" t="n">
        <v>214470</v>
      </c>
      <c r="F1279" s="15" t="n">
        <v>44353</v>
      </c>
      <c r="G1279" s="15" t="n">
        <v>44357</v>
      </c>
      <c r="H1279" s="3" t="n">
        <v>4</v>
      </c>
      <c r="I1279" s="3" t="n">
        <v>2</v>
      </c>
      <c r="J1279" s="3" t="n">
        <v>73</v>
      </c>
      <c r="K1279" s="3" t="n">
        <v>1</v>
      </c>
      <c r="L1279" s="3" t="n">
        <v>1</v>
      </c>
      <c r="M1279" s="3" t="n">
        <v>1</v>
      </c>
      <c r="N1279" s="3" t="n">
        <v>2</v>
      </c>
      <c r="O1279" s="3" t="n">
        <v>2</v>
      </c>
      <c r="P1279" s="3" t="n">
        <v>2</v>
      </c>
      <c r="Q1279" s="3" t="n">
        <v>2</v>
      </c>
      <c r="R1279" s="3" t="n">
        <v>2</v>
      </c>
      <c r="S1279" s="3" t="n">
        <v>1</v>
      </c>
      <c r="T1279" s="4" t="n">
        <v>1</v>
      </c>
      <c r="U1279" s="3" t="n">
        <v>1</v>
      </c>
      <c r="V1279" s="3" t="n">
        <v>5.33</v>
      </c>
      <c r="W1279" s="3" t="n">
        <v>0.89</v>
      </c>
      <c r="X1279" s="3" t="n">
        <v>4.61</v>
      </c>
      <c r="Y1279" s="3" t="n">
        <v>530</v>
      </c>
      <c r="Z1279" s="3" t="n">
        <v>167</v>
      </c>
      <c r="AA1279" s="3" t="n">
        <v>0.4</v>
      </c>
      <c r="AB1279" s="3" t="n">
        <v>12.1</v>
      </c>
      <c r="AC1279" s="3" t="n">
        <v>1</v>
      </c>
      <c r="AD1279" s="3" t="n">
        <v>1</v>
      </c>
      <c r="AE1279" s="3" t="n">
        <v>1</v>
      </c>
      <c r="AF1279" s="3" t="n">
        <v>1</v>
      </c>
      <c r="AG1279" s="3" t="n">
        <v>2</v>
      </c>
      <c r="AH1279" s="3" t="n">
        <v>2</v>
      </c>
      <c r="AI1279" s="3" t="n">
        <v>1</v>
      </c>
      <c r="AJ1279" s="3" t="n">
        <v>1</v>
      </c>
      <c r="AK1279" s="3" t="n">
        <v>2</v>
      </c>
      <c r="AL1279" s="3" t="n">
        <v>2</v>
      </c>
      <c r="AM1279" s="3" t="n">
        <v>2</v>
      </c>
      <c r="AN1279" s="3" t="n">
        <v>2</v>
      </c>
      <c r="AO1279" s="3" t="n">
        <v>2</v>
      </c>
      <c r="AP1279" s="3" t="n">
        <v>3</v>
      </c>
      <c r="AQ1279" s="3" t="n">
        <v>4</v>
      </c>
      <c r="AR1279" s="3" t="n">
        <v>4</v>
      </c>
      <c r="AS1279" s="3" t="n">
        <v>6</v>
      </c>
      <c r="AT1279" s="3" t="n">
        <v>4</v>
      </c>
      <c r="AU1279" s="3" t="n">
        <v>4</v>
      </c>
      <c r="AV1279" s="3" t="n">
        <v>6</v>
      </c>
      <c r="AW1279" s="3" t="n">
        <v>6</v>
      </c>
      <c r="AX1279" s="3" t="n">
        <v>3</v>
      </c>
      <c r="AY1279" s="3" t="n">
        <v>3</v>
      </c>
      <c r="AZ1279" s="3" t="n">
        <v>1</v>
      </c>
      <c r="BA1279" s="5" t="n">
        <v>5</v>
      </c>
      <c r="BB1279" s="3" t="n">
        <v>2</v>
      </c>
      <c r="BC1279" s="3" t="n">
        <v>1</v>
      </c>
      <c r="BD1279" s="3" t="n">
        <v>6</v>
      </c>
      <c r="BE1279" s="3" t="n">
        <v>3</v>
      </c>
      <c r="BF1279" s="3" t="n">
        <v>5</v>
      </c>
      <c r="BG1279" s="3" t="n">
        <v>3</v>
      </c>
      <c r="BH1279" s="3" t="n">
        <v>4</v>
      </c>
      <c r="BI1279" s="3" t="n">
        <v>1</v>
      </c>
      <c r="BJ1279" s="3" t="n">
        <v>1</v>
      </c>
      <c r="BK1279" s="6" t="s">
        <v>3195</v>
      </c>
    </row>
    <row r="1280" customFormat="false" ht="15" hidden="false" customHeight="true" outlineLevel="0" collapsed="false">
      <c r="B1280" s="2" t="s">
        <v>3196</v>
      </c>
      <c r="C1280" s="2" t="s">
        <v>3197</v>
      </c>
      <c r="D1280" s="2" t="s">
        <v>304</v>
      </c>
      <c r="E1280" s="2" t="n">
        <v>214342</v>
      </c>
      <c r="F1280" s="15" t="n">
        <v>44347</v>
      </c>
      <c r="G1280" s="15" t="n">
        <v>44357</v>
      </c>
      <c r="H1280" s="3" t="n">
        <v>10</v>
      </c>
      <c r="I1280" s="3" t="n">
        <v>2</v>
      </c>
      <c r="J1280" s="3" t="n">
        <v>59</v>
      </c>
      <c r="K1280" s="3" t="n">
        <v>1</v>
      </c>
      <c r="L1280" s="3" t="n">
        <v>1</v>
      </c>
      <c r="M1280" s="3" t="n">
        <v>1</v>
      </c>
      <c r="N1280" s="3" t="n">
        <v>2</v>
      </c>
      <c r="O1280" s="3" t="n">
        <v>2</v>
      </c>
      <c r="P1280" s="3" t="n">
        <v>2</v>
      </c>
      <c r="Q1280" s="3" t="n">
        <v>2</v>
      </c>
      <c r="R1280" s="3" t="n">
        <v>2</v>
      </c>
      <c r="S1280" s="3" t="n">
        <v>2</v>
      </c>
      <c r="T1280" s="4" t="n">
        <v>2</v>
      </c>
      <c r="U1280" s="3" t="n">
        <v>2</v>
      </c>
      <c r="V1280" s="3" t="n">
        <v>4.83</v>
      </c>
      <c r="W1280" s="3" t="n">
        <v>1.84</v>
      </c>
      <c r="X1280" s="3" t="n">
        <v>7.47</v>
      </c>
      <c r="Y1280" s="3" t="n">
        <v>185</v>
      </c>
      <c r="Z1280" s="3" t="n">
        <v>76</v>
      </c>
      <c r="AA1280" s="3" t="n">
        <v>0.45</v>
      </c>
      <c r="AB1280" s="3" t="n">
        <v>12.8</v>
      </c>
      <c r="AC1280" s="3" t="n">
        <v>2</v>
      </c>
      <c r="AD1280" s="3" t="n">
        <v>2</v>
      </c>
      <c r="AE1280" s="3" t="n">
        <v>1</v>
      </c>
      <c r="AF1280" s="3" t="n">
        <v>1</v>
      </c>
      <c r="AG1280" s="3" t="n">
        <v>2</v>
      </c>
      <c r="AH1280" s="3" t="n">
        <v>1</v>
      </c>
      <c r="AI1280" s="3" t="n">
        <v>1</v>
      </c>
      <c r="AJ1280" s="3" t="n">
        <v>1</v>
      </c>
      <c r="AK1280" s="3" t="n">
        <v>2</v>
      </c>
      <c r="AL1280" s="3" t="n">
        <v>2</v>
      </c>
      <c r="AM1280" s="3" t="n">
        <v>2</v>
      </c>
      <c r="AN1280" s="3" t="n">
        <v>2</v>
      </c>
      <c r="AO1280" s="3" t="n">
        <v>1</v>
      </c>
      <c r="AP1280" s="3" t="n">
        <v>3</v>
      </c>
      <c r="AQ1280" s="3" t="n">
        <v>4</v>
      </c>
      <c r="AR1280" s="3" t="n">
        <v>4</v>
      </c>
      <c r="AS1280" s="3" t="n">
        <v>6</v>
      </c>
      <c r="AT1280" s="3" t="n">
        <v>4</v>
      </c>
      <c r="AU1280" s="3" t="n">
        <v>4</v>
      </c>
      <c r="AV1280" s="3" t="n">
        <v>6</v>
      </c>
      <c r="AW1280" s="3" t="n">
        <v>6</v>
      </c>
      <c r="AX1280" s="3" t="n">
        <v>3</v>
      </c>
      <c r="AY1280" s="3" t="n">
        <v>3</v>
      </c>
      <c r="AZ1280" s="3" t="n">
        <v>10</v>
      </c>
      <c r="BA1280" s="5" t="n">
        <v>1</v>
      </c>
      <c r="BB1280" s="3" t="n">
        <v>1</v>
      </c>
      <c r="BC1280" s="3" t="n">
        <v>1</v>
      </c>
      <c r="BD1280" s="3" t="n">
        <v>2</v>
      </c>
      <c r="BE1280" s="3" t="n">
        <v>1</v>
      </c>
      <c r="BF1280" s="3" t="n">
        <v>2</v>
      </c>
      <c r="BG1280" s="3" t="n">
        <v>1</v>
      </c>
      <c r="BH1280" s="3" t="n">
        <v>4</v>
      </c>
      <c r="BI1280" s="3" t="n">
        <v>1</v>
      </c>
      <c r="BJ1280" s="3" t="n">
        <v>1</v>
      </c>
      <c r="BK1280" s="6" t="s">
        <v>3198</v>
      </c>
    </row>
    <row r="1281" customFormat="false" ht="15" hidden="false" customHeight="true" outlineLevel="0" collapsed="false">
      <c r="B1281" s="14" t="s">
        <v>912</v>
      </c>
      <c r="C1281" s="3" t="s">
        <v>433</v>
      </c>
      <c r="D1281" s="3" t="s">
        <v>1417</v>
      </c>
      <c r="E1281" s="14" t="n">
        <v>214444</v>
      </c>
      <c r="F1281" s="41" t="n">
        <v>44291</v>
      </c>
      <c r="G1281" s="41" t="n">
        <v>44358</v>
      </c>
      <c r="H1281" s="3" t="n">
        <v>6</v>
      </c>
      <c r="I1281" s="3" t="n">
        <v>2</v>
      </c>
      <c r="J1281" s="3" t="n">
        <v>70</v>
      </c>
      <c r="K1281" s="3" t="n">
        <v>1</v>
      </c>
      <c r="L1281" s="3" t="n">
        <v>1</v>
      </c>
      <c r="M1281" s="3" t="n">
        <v>2</v>
      </c>
      <c r="N1281" s="3" t="n">
        <v>2</v>
      </c>
      <c r="O1281" s="3" t="n">
        <v>2</v>
      </c>
      <c r="P1281" s="3" t="n">
        <v>2</v>
      </c>
      <c r="Q1281" s="3" t="n">
        <v>2</v>
      </c>
      <c r="R1281" s="3" t="n">
        <v>2</v>
      </c>
      <c r="S1281" s="3" t="n">
        <v>2</v>
      </c>
      <c r="T1281" s="4" t="n">
        <v>1</v>
      </c>
      <c r="U1281" s="3" t="n">
        <v>1</v>
      </c>
      <c r="V1281" s="3" t="n">
        <v>3.82</v>
      </c>
      <c r="W1281" s="3" t="n">
        <v>0.81</v>
      </c>
      <c r="X1281" s="3" t="n">
        <v>4.69</v>
      </c>
      <c r="Y1281" s="3" t="n">
        <v>343</v>
      </c>
      <c r="Z1281" s="3" t="n">
        <v>73</v>
      </c>
      <c r="AA1281" s="3" t="n">
        <v>0.39</v>
      </c>
      <c r="AB1281" s="3" t="n">
        <v>5.2</v>
      </c>
      <c r="AD1281" s="3" t="n">
        <v>1</v>
      </c>
      <c r="AE1281" s="3" t="n">
        <v>1</v>
      </c>
      <c r="AF1281" s="3" t="n">
        <v>1</v>
      </c>
      <c r="AG1281" s="3" t="n">
        <v>2</v>
      </c>
      <c r="AH1281" s="3" t="n">
        <v>2</v>
      </c>
      <c r="AI1281" s="3" t="n">
        <v>1</v>
      </c>
      <c r="AJ1281" s="3" t="n">
        <v>1</v>
      </c>
      <c r="AK1281" s="3" t="n">
        <v>2</v>
      </c>
      <c r="AL1281" s="3" t="n">
        <v>2</v>
      </c>
      <c r="AM1281" s="3" t="n">
        <v>2</v>
      </c>
      <c r="AN1281" s="3" t="n">
        <v>2</v>
      </c>
      <c r="AO1281" s="3" t="n">
        <v>2</v>
      </c>
      <c r="AP1281" s="3" t="n">
        <v>3</v>
      </c>
      <c r="AQ1281" s="3" t="n">
        <v>4</v>
      </c>
      <c r="AR1281" s="3" t="n">
        <v>4</v>
      </c>
      <c r="AS1281" s="3" t="n">
        <v>6</v>
      </c>
      <c r="AT1281" s="3" t="n">
        <v>4</v>
      </c>
      <c r="AU1281" s="3" t="n">
        <v>4</v>
      </c>
      <c r="AV1281" s="3" t="n">
        <v>6</v>
      </c>
      <c r="AW1281" s="3" t="n">
        <v>6</v>
      </c>
      <c r="AX1281" s="3" t="n">
        <v>3</v>
      </c>
      <c r="AY1281" s="3" t="n">
        <v>3</v>
      </c>
      <c r="AZ1281" s="3" t="n">
        <v>1</v>
      </c>
      <c r="BA1281" s="4" t="n">
        <v>5</v>
      </c>
      <c r="BB1281" s="3" t="n">
        <v>2</v>
      </c>
      <c r="BC1281" s="3" t="n">
        <v>1</v>
      </c>
      <c r="BD1281" s="3" t="n">
        <v>6</v>
      </c>
      <c r="BE1281" s="3" t="n">
        <v>3</v>
      </c>
      <c r="BF1281" s="3" t="n">
        <v>5</v>
      </c>
      <c r="BG1281" s="3" t="n">
        <v>3</v>
      </c>
      <c r="BH1281" s="3" t="n">
        <v>4</v>
      </c>
      <c r="BI1281" s="3" t="n">
        <v>1</v>
      </c>
      <c r="BJ1281" s="3" t="n">
        <v>1</v>
      </c>
      <c r="BK1281" s="16" t="s">
        <v>3199</v>
      </c>
    </row>
    <row r="1282" customFormat="false" ht="15" hidden="false" customHeight="true" outlineLevel="0" collapsed="false">
      <c r="B1282" s="14" t="s">
        <v>3200</v>
      </c>
      <c r="C1282" s="14" t="s">
        <v>3201</v>
      </c>
      <c r="D1282" s="14" t="s">
        <v>1642</v>
      </c>
      <c r="E1282" s="14" t="n">
        <v>214496</v>
      </c>
      <c r="F1282" s="22" t="n">
        <v>44354</v>
      </c>
      <c r="G1282" s="22" t="n">
        <v>44358</v>
      </c>
      <c r="H1282" s="3" t="n">
        <v>5</v>
      </c>
      <c r="I1282" s="3" t="n">
        <v>1</v>
      </c>
      <c r="J1282" s="3" t="n">
        <v>81</v>
      </c>
      <c r="K1282" s="3" t="n">
        <v>1</v>
      </c>
      <c r="L1282" s="3" t="n">
        <v>2</v>
      </c>
      <c r="M1282" s="3" t="n">
        <v>1</v>
      </c>
      <c r="N1282" s="3" t="n">
        <v>1</v>
      </c>
      <c r="O1282" s="3" t="n">
        <v>2</v>
      </c>
      <c r="P1282" s="3" t="n">
        <v>2</v>
      </c>
      <c r="Q1282" s="3" t="n">
        <v>1</v>
      </c>
      <c r="R1282" s="3" t="n">
        <v>2</v>
      </c>
      <c r="S1282" s="3" t="n">
        <v>1</v>
      </c>
      <c r="T1282" s="4" t="n">
        <v>4</v>
      </c>
      <c r="U1282" s="3" t="n">
        <v>4</v>
      </c>
      <c r="V1282" s="3" t="n">
        <v>4.15</v>
      </c>
      <c r="W1282" s="3" t="n">
        <v>1.88</v>
      </c>
      <c r="X1282" s="3" t="n">
        <v>6.31</v>
      </c>
      <c r="Y1282" s="3" t="n">
        <v>422</v>
      </c>
      <c r="Z1282" s="3" t="n">
        <v>81</v>
      </c>
      <c r="AA1282" s="3" t="n">
        <v>0.28</v>
      </c>
      <c r="AB1282" s="3" t="n">
        <v>4.6</v>
      </c>
      <c r="AD1282" s="3" t="n">
        <v>1</v>
      </c>
      <c r="AE1282" s="3" t="n">
        <v>1</v>
      </c>
      <c r="AF1282" s="3" t="n">
        <v>2</v>
      </c>
      <c r="AG1282" s="3" t="n">
        <v>2</v>
      </c>
      <c r="AH1282" s="3" t="n">
        <v>2</v>
      </c>
      <c r="AI1282" s="3" t="n">
        <v>1</v>
      </c>
      <c r="AJ1282" s="3" t="n">
        <v>1</v>
      </c>
      <c r="AK1282" s="3" t="n">
        <v>2</v>
      </c>
      <c r="AL1282" s="3" t="n">
        <v>2</v>
      </c>
      <c r="AM1282" s="3" t="n">
        <v>2</v>
      </c>
      <c r="AN1282" s="3" t="n">
        <v>2</v>
      </c>
      <c r="AO1282" s="3" t="n">
        <v>2</v>
      </c>
      <c r="AP1282" s="3" t="n">
        <v>3</v>
      </c>
      <c r="AQ1282" s="3" t="n">
        <v>4</v>
      </c>
      <c r="AR1282" s="3" t="n">
        <v>4</v>
      </c>
      <c r="AS1282" s="3" t="n">
        <v>6</v>
      </c>
      <c r="AT1282" s="3" t="n">
        <v>4</v>
      </c>
      <c r="AU1282" s="3" t="n">
        <v>4</v>
      </c>
      <c r="AV1282" s="3" t="n">
        <v>6</v>
      </c>
      <c r="AW1282" s="3" t="n">
        <v>6</v>
      </c>
      <c r="AX1282" s="3" t="n">
        <v>3</v>
      </c>
      <c r="AY1282" s="3" t="n">
        <v>3</v>
      </c>
      <c r="AZ1282" s="3" t="n">
        <v>1</v>
      </c>
      <c r="BA1282" s="5" t="n">
        <v>10</v>
      </c>
      <c r="BB1282" s="3" t="n">
        <v>2</v>
      </c>
      <c r="BC1282" s="3" t="n">
        <v>1</v>
      </c>
      <c r="BD1282" s="3" t="n">
        <v>6</v>
      </c>
      <c r="BE1282" s="3" t="n">
        <v>3</v>
      </c>
      <c r="BF1282" s="3" t="n">
        <v>5</v>
      </c>
      <c r="BG1282" s="3" t="n">
        <v>3</v>
      </c>
      <c r="BH1282" s="3" t="n">
        <v>4</v>
      </c>
      <c r="BI1282" s="3" t="n">
        <v>1</v>
      </c>
      <c r="BJ1282" s="3" t="n">
        <v>1</v>
      </c>
      <c r="BK1282" s="16" t="s">
        <v>3202</v>
      </c>
    </row>
    <row r="1283" customFormat="false" ht="15" hidden="false" customHeight="true" outlineLevel="0" collapsed="false">
      <c r="B1283" s="2" t="s">
        <v>501</v>
      </c>
      <c r="C1283" s="2" t="s">
        <v>94</v>
      </c>
      <c r="D1283" s="2" t="s">
        <v>1642</v>
      </c>
      <c r="E1283" s="2" t="n">
        <v>214420</v>
      </c>
      <c r="F1283" s="15" t="n">
        <v>44351</v>
      </c>
      <c r="G1283" s="15" t="n">
        <v>44361</v>
      </c>
      <c r="H1283" s="3" t="n">
        <v>10</v>
      </c>
      <c r="I1283" s="3" t="n">
        <v>1</v>
      </c>
      <c r="J1283" s="3" t="n">
        <v>51</v>
      </c>
      <c r="K1283" s="3" t="n">
        <v>1</v>
      </c>
      <c r="L1283" s="3" t="n">
        <v>2</v>
      </c>
      <c r="M1283" s="3" t="n">
        <v>1</v>
      </c>
      <c r="N1283" s="3" t="n">
        <v>2</v>
      </c>
      <c r="O1283" s="3" t="n">
        <v>2</v>
      </c>
      <c r="P1283" s="3" t="n">
        <v>2</v>
      </c>
      <c r="Q1283" s="3" t="n">
        <v>2</v>
      </c>
      <c r="R1283" s="3" t="n">
        <v>2</v>
      </c>
      <c r="S1283" s="3" t="n">
        <v>2</v>
      </c>
      <c r="T1283" s="4" t="n">
        <v>1</v>
      </c>
      <c r="U1283" s="3" t="n">
        <v>1</v>
      </c>
      <c r="V1283" s="3" t="n">
        <v>5.63</v>
      </c>
      <c r="W1283" s="3" t="n">
        <v>0.67</v>
      </c>
      <c r="X1283" s="3" t="n">
        <v>4.88</v>
      </c>
      <c r="Y1283" s="3" t="n">
        <v>217</v>
      </c>
      <c r="Z1283" s="3" t="n">
        <v>62</v>
      </c>
      <c r="AA1283" s="3" t="n">
        <v>0.4</v>
      </c>
      <c r="AB1283" s="3" t="n">
        <v>8.9</v>
      </c>
      <c r="AC1283" s="3" t="n">
        <v>1</v>
      </c>
      <c r="AD1283" s="3" t="n">
        <v>1</v>
      </c>
      <c r="AE1283" s="3" t="n">
        <v>1</v>
      </c>
      <c r="AF1283" s="3" t="n">
        <v>1</v>
      </c>
      <c r="AG1283" s="3" t="n">
        <v>1</v>
      </c>
      <c r="AH1283" s="3" t="n">
        <v>2</v>
      </c>
      <c r="AI1283" s="3" t="n">
        <v>1</v>
      </c>
      <c r="AJ1283" s="3" t="n">
        <v>1</v>
      </c>
      <c r="AK1283" s="3" t="n">
        <v>2</v>
      </c>
      <c r="AL1283" s="3" t="n">
        <v>2</v>
      </c>
      <c r="AM1283" s="3" t="n">
        <v>2</v>
      </c>
      <c r="AN1283" s="3" t="n">
        <v>2</v>
      </c>
      <c r="AO1283" s="3" t="n">
        <v>2</v>
      </c>
      <c r="AP1283" s="3" t="n">
        <v>3</v>
      </c>
      <c r="AQ1283" s="3" t="n">
        <v>4</v>
      </c>
      <c r="AR1283" s="3" t="n">
        <v>4</v>
      </c>
      <c r="AS1283" s="3" t="n">
        <v>6</v>
      </c>
      <c r="AT1283" s="3" t="n">
        <v>4</v>
      </c>
      <c r="AU1283" s="3" t="n">
        <v>4</v>
      </c>
      <c r="AV1283" s="3" t="n">
        <v>6</v>
      </c>
      <c r="AW1283" s="3" t="n">
        <v>6</v>
      </c>
      <c r="AX1283" s="3" t="n">
        <v>3</v>
      </c>
      <c r="AY1283" s="3" t="n">
        <v>3</v>
      </c>
      <c r="AZ1283" s="3" t="n">
        <v>1</v>
      </c>
      <c r="BA1283" s="5" t="n">
        <v>5</v>
      </c>
      <c r="BB1283" s="3" t="n">
        <v>2</v>
      </c>
      <c r="BC1283" s="3" t="n">
        <v>1</v>
      </c>
      <c r="BD1283" s="3" t="n">
        <v>6</v>
      </c>
      <c r="BE1283" s="3" t="n">
        <v>3</v>
      </c>
      <c r="BF1283" s="3" t="n">
        <v>5</v>
      </c>
      <c r="BG1283" s="3" t="n">
        <v>3</v>
      </c>
      <c r="BH1283" s="3" t="n">
        <v>4</v>
      </c>
      <c r="BI1283" s="3" t="n">
        <v>1</v>
      </c>
      <c r="BJ1283" s="3" t="n">
        <v>1</v>
      </c>
      <c r="BK1283" s="6" t="s">
        <v>3203</v>
      </c>
    </row>
    <row r="1284" customFormat="false" ht="15" hidden="false" customHeight="true" outlineLevel="0" collapsed="false">
      <c r="A1284" s="1" t="s">
        <v>125</v>
      </c>
      <c r="B1284" s="2" t="s">
        <v>3204</v>
      </c>
      <c r="C1284" s="2" t="s">
        <v>153</v>
      </c>
      <c r="D1284" s="2" t="s">
        <v>3205</v>
      </c>
      <c r="E1284" s="2" t="n">
        <v>214404</v>
      </c>
      <c r="F1284" s="15" t="n">
        <v>44351</v>
      </c>
      <c r="G1284" s="15" t="n">
        <v>44361</v>
      </c>
      <c r="H1284" s="3" t="n">
        <v>10</v>
      </c>
      <c r="I1284" s="3" t="n">
        <v>2</v>
      </c>
      <c r="J1284" s="3" t="n">
        <v>59</v>
      </c>
      <c r="K1284" s="3" t="n">
        <v>1</v>
      </c>
      <c r="L1284" s="3" t="n">
        <v>1</v>
      </c>
      <c r="M1284" s="3" t="n">
        <v>1</v>
      </c>
      <c r="N1284" s="3" t="n">
        <v>2</v>
      </c>
      <c r="O1284" s="3" t="n">
        <v>1</v>
      </c>
      <c r="P1284" s="3" t="n">
        <v>1</v>
      </c>
      <c r="Q1284" s="3" t="n">
        <v>1</v>
      </c>
      <c r="R1284" s="3" t="n">
        <v>2</v>
      </c>
      <c r="S1284" s="3" t="n">
        <v>2</v>
      </c>
      <c r="T1284" s="4" t="n">
        <v>2</v>
      </c>
      <c r="U1284" s="3" t="n">
        <v>2</v>
      </c>
      <c r="V1284" s="3" t="n">
        <v>6.88</v>
      </c>
      <c r="W1284" s="3" t="n">
        <v>2.79</v>
      </c>
      <c r="X1284" s="3" t="n">
        <v>16.86</v>
      </c>
      <c r="Y1284" s="3" t="n">
        <v>364</v>
      </c>
      <c r="Z1284" s="3" t="n">
        <v>76</v>
      </c>
      <c r="AA1284" s="3" t="n">
        <v>0.5</v>
      </c>
      <c r="AB1284" s="3" t="n">
        <v>12.4</v>
      </c>
      <c r="AC1284" s="3" t="n">
        <v>1</v>
      </c>
      <c r="AD1284" s="3" t="n">
        <v>2</v>
      </c>
      <c r="AE1284" s="3" t="n">
        <v>2</v>
      </c>
      <c r="AF1284" s="3" t="n">
        <v>1</v>
      </c>
      <c r="AG1284" s="3" t="n">
        <v>2</v>
      </c>
      <c r="AH1284" s="3" t="n">
        <v>2</v>
      </c>
      <c r="AI1284" s="3" t="n">
        <v>1</v>
      </c>
      <c r="AJ1284" s="3" t="n">
        <v>1</v>
      </c>
      <c r="AK1284" s="3" t="n">
        <v>1</v>
      </c>
      <c r="AL1284" s="3" t="n">
        <v>2</v>
      </c>
      <c r="AM1284" s="3" t="n">
        <v>1</v>
      </c>
      <c r="AN1284" s="3" t="n">
        <v>2</v>
      </c>
      <c r="AO1284" s="3" t="n">
        <v>2</v>
      </c>
      <c r="AP1284" s="3" t="n">
        <v>3</v>
      </c>
      <c r="AQ1284" s="3" t="n">
        <v>4</v>
      </c>
      <c r="AR1284" s="3" t="n">
        <v>4</v>
      </c>
      <c r="AS1284" s="3" t="n">
        <v>6</v>
      </c>
      <c r="AT1284" s="3" t="n">
        <v>4</v>
      </c>
      <c r="AU1284" s="3" t="n">
        <v>4</v>
      </c>
      <c r="AV1284" s="3" t="n">
        <v>6</v>
      </c>
      <c r="AW1284" s="3" t="n">
        <v>6</v>
      </c>
      <c r="AX1284" s="3" t="n">
        <v>3</v>
      </c>
      <c r="AY1284" s="3" t="n">
        <v>3</v>
      </c>
      <c r="AZ1284" s="3" t="n">
        <v>1</v>
      </c>
      <c r="BA1284" s="5" t="n">
        <v>1</v>
      </c>
      <c r="BB1284" s="3" t="n">
        <v>1</v>
      </c>
      <c r="BC1284" s="3" t="n">
        <v>1</v>
      </c>
      <c r="BD1284" s="3" t="n">
        <v>4</v>
      </c>
      <c r="BE1284" s="3" t="n">
        <v>1</v>
      </c>
      <c r="BF1284" s="3" t="n">
        <v>2</v>
      </c>
      <c r="BG1284" s="3" t="n">
        <v>1</v>
      </c>
      <c r="BH1284" s="3" t="n">
        <v>4</v>
      </c>
      <c r="BI1284" s="3" t="n">
        <v>1</v>
      </c>
      <c r="BJ1284" s="3" t="n">
        <v>1</v>
      </c>
      <c r="BK1284" s="6" t="s">
        <v>3206</v>
      </c>
    </row>
    <row r="1285" customFormat="false" ht="15" hidden="false" customHeight="true" outlineLevel="0" collapsed="false">
      <c r="B1285" s="2" t="s">
        <v>2935</v>
      </c>
      <c r="C1285" s="2" t="s">
        <v>2936</v>
      </c>
      <c r="D1285" s="2" t="s">
        <v>94</v>
      </c>
      <c r="E1285" s="2" t="n">
        <v>214065</v>
      </c>
      <c r="F1285" s="15" t="n">
        <v>44356</v>
      </c>
      <c r="G1285" s="15" t="n">
        <v>44362</v>
      </c>
      <c r="H1285" s="3" t="n">
        <v>7</v>
      </c>
      <c r="I1285" s="3" t="n">
        <v>2</v>
      </c>
      <c r="J1285" s="3" t="n">
        <v>42</v>
      </c>
      <c r="K1285" s="3" t="n">
        <v>1</v>
      </c>
      <c r="L1285" s="3" t="n">
        <v>2</v>
      </c>
      <c r="M1285" s="3" t="n">
        <v>1</v>
      </c>
      <c r="N1285" s="3" t="n">
        <v>1</v>
      </c>
      <c r="O1285" s="3" t="n">
        <v>1</v>
      </c>
      <c r="P1285" s="3" t="n">
        <v>2</v>
      </c>
      <c r="Q1285" s="3" t="n">
        <v>2</v>
      </c>
      <c r="R1285" s="3" t="n">
        <v>1</v>
      </c>
      <c r="S1285" s="3" t="n">
        <v>1</v>
      </c>
      <c r="T1285" s="4" t="n">
        <v>1</v>
      </c>
      <c r="U1285" s="3" t="n">
        <v>1</v>
      </c>
      <c r="V1285" s="3" t="n">
        <v>4.94</v>
      </c>
      <c r="W1285" s="3" t="n">
        <v>2.43</v>
      </c>
      <c r="X1285" s="3" t="n">
        <v>7.75</v>
      </c>
      <c r="Y1285" s="3" t="n">
        <v>575</v>
      </c>
      <c r="Z1285" s="3" t="n">
        <v>194</v>
      </c>
      <c r="AA1285" s="3" t="n">
        <v>0.4</v>
      </c>
      <c r="AB1285" s="3" t="n">
        <v>7.5</v>
      </c>
      <c r="AC1285" s="3" t="n">
        <v>3</v>
      </c>
      <c r="AD1285" s="3" t="n">
        <v>1</v>
      </c>
      <c r="AE1285" s="3" t="n">
        <v>1</v>
      </c>
      <c r="AF1285" s="3" t="n">
        <v>1</v>
      </c>
      <c r="AG1285" s="3" t="n">
        <v>1</v>
      </c>
      <c r="AH1285" s="3" t="n">
        <v>1</v>
      </c>
      <c r="AI1285" s="3" t="n">
        <v>1</v>
      </c>
      <c r="AJ1285" s="3" t="n">
        <v>1</v>
      </c>
      <c r="AK1285" s="3" t="n">
        <v>2</v>
      </c>
      <c r="AL1285" s="3" t="n">
        <v>2</v>
      </c>
      <c r="AM1285" s="3" t="n">
        <v>2</v>
      </c>
      <c r="AN1285" s="3" t="n">
        <v>2</v>
      </c>
      <c r="AO1285" s="3" t="n">
        <v>2</v>
      </c>
      <c r="AP1285" s="3" t="n">
        <v>3</v>
      </c>
      <c r="AQ1285" s="3" t="n">
        <v>4</v>
      </c>
      <c r="AR1285" s="3" t="n">
        <v>4</v>
      </c>
      <c r="AS1285" s="3" t="n">
        <v>6</v>
      </c>
      <c r="AT1285" s="3" t="n">
        <v>4</v>
      </c>
      <c r="AU1285" s="3" t="n">
        <v>4</v>
      </c>
      <c r="AV1285" s="3" t="n">
        <v>6</v>
      </c>
      <c r="AW1285" s="3" t="n">
        <v>6</v>
      </c>
      <c r="AX1285" s="3" t="n">
        <v>3</v>
      </c>
      <c r="AY1285" s="3" t="n">
        <v>3</v>
      </c>
      <c r="AZ1285" s="3" t="n">
        <v>1</v>
      </c>
      <c r="BA1285" s="5" t="n">
        <v>5</v>
      </c>
      <c r="BB1285" s="3" t="n">
        <v>2</v>
      </c>
      <c r="BC1285" s="3" t="n">
        <v>1</v>
      </c>
      <c r="BD1285" s="3" t="n">
        <v>6</v>
      </c>
      <c r="BE1285" s="3" t="n">
        <v>3</v>
      </c>
      <c r="BF1285" s="3" t="n">
        <v>5</v>
      </c>
      <c r="BG1285" s="3" t="n">
        <v>3</v>
      </c>
      <c r="BH1285" s="3" t="n">
        <v>4</v>
      </c>
      <c r="BI1285" s="3" t="n">
        <v>1</v>
      </c>
      <c r="BJ1285" s="3" t="n">
        <v>1</v>
      </c>
      <c r="BK1285" s="6" t="s">
        <v>3207</v>
      </c>
    </row>
    <row r="1286" customFormat="false" ht="15" hidden="false" customHeight="true" outlineLevel="0" collapsed="false">
      <c r="B1286" s="14" t="s">
        <v>3208</v>
      </c>
      <c r="C1286" s="14" t="s">
        <v>1463</v>
      </c>
      <c r="D1286" s="14" t="s">
        <v>418</v>
      </c>
      <c r="E1286" s="14" t="n">
        <v>214512</v>
      </c>
      <c r="F1286" s="22" t="n">
        <v>44354</v>
      </c>
      <c r="G1286" s="22" t="n">
        <v>44363</v>
      </c>
      <c r="H1286" s="3" t="n">
        <v>9</v>
      </c>
      <c r="I1286" s="3" t="n">
        <v>1</v>
      </c>
      <c r="J1286" s="3" t="n">
        <v>84</v>
      </c>
      <c r="K1286" s="3" t="n">
        <v>1</v>
      </c>
      <c r="L1286" s="3" t="n">
        <v>1</v>
      </c>
      <c r="M1286" s="3" t="n">
        <v>1</v>
      </c>
      <c r="N1286" s="3" t="n">
        <v>1</v>
      </c>
      <c r="O1286" s="3" t="n">
        <v>2</v>
      </c>
      <c r="P1286" s="3" t="n">
        <v>2</v>
      </c>
      <c r="Q1286" s="3" t="n">
        <v>1</v>
      </c>
      <c r="R1286" s="3" t="n">
        <v>2</v>
      </c>
      <c r="S1286" s="3" t="n">
        <v>1</v>
      </c>
      <c r="T1286" s="4" t="n">
        <v>4</v>
      </c>
      <c r="U1286" s="3" t="n">
        <v>4</v>
      </c>
      <c r="V1286" s="3" t="n">
        <v>4.94</v>
      </c>
      <c r="W1286" s="3" t="n">
        <v>0.63</v>
      </c>
      <c r="X1286" s="3" t="n">
        <v>8.29</v>
      </c>
      <c r="Y1286" s="3" t="n">
        <v>325</v>
      </c>
      <c r="Z1286" s="3" t="n">
        <v>131</v>
      </c>
      <c r="AA1286" s="3" t="n">
        <v>0.41</v>
      </c>
      <c r="AB1286" s="3" t="n">
        <v>6.6</v>
      </c>
      <c r="AC1286" s="3" t="n">
        <v>2</v>
      </c>
      <c r="AD1286" s="3" t="n">
        <v>1</v>
      </c>
      <c r="AE1286" s="3" t="n">
        <v>2</v>
      </c>
      <c r="AF1286" s="3" t="n">
        <v>1</v>
      </c>
      <c r="AG1286" s="3" t="n">
        <v>2</v>
      </c>
      <c r="AH1286" s="3" t="n">
        <v>1</v>
      </c>
      <c r="AI1286" s="3" t="n">
        <v>2</v>
      </c>
      <c r="AJ1286" s="3" t="n">
        <v>1</v>
      </c>
      <c r="AK1286" s="3" t="n">
        <v>2</v>
      </c>
      <c r="AL1286" s="3" t="n">
        <v>2</v>
      </c>
      <c r="AM1286" s="3" t="n">
        <v>1</v>
      </c>
      <c r="AN1286" s="3" t="n">
        <v>2</v>
      </c>
      <c r="AO1286" s="3" t="n">
        <v>1</v>
      </c>
      <c r="AP1286" s="3" t="n">
        <v>3</v>
      </c>
      <c r="AQ1286" s="3" t="n">
        <v>4</v>
      </c>
      <c r="AR1286" s="3" t="n">
        <v>4</v>
      </c>
      <c r="AS1286" s="3" t="n">
        <v>6</v>
      </c>
      <c r="AT1286" s="3" t="n">
        <v>4</v>
      </c>
      <c r="AU1286" s="3" t="n">
        <v>4</v>
      </c>
      <c r="AV1286" s="3" t="n">
        <v>6</v>
      </c>
      <c r="AW1286" s="3" t="n">
        <v>6</v>
      </c>
      <c r="AX1286" s="3" t="n">
        <v>3</v>
      </c>
      <c r="AY1286" s="3" t="n">
        <v>3</v>
      </c>
      <c r="AZ1286" s="3" t="n">
        <v>5</v>
      </c>
      <c r="BA1286" s="5" t="n">
        <v>10</v>
      </c>
      <c r="BB1286" s="3" t="n">
        <v>2</v>
      </c>
      <c r="BC1286" s="3" t="n">
        <v>1</v>
      </c>
      <c r="BD1286" s="3" t="n">
        <v>6</v>
      </c>
      <c r="BE1286" s="3" t="n">
        <v>3</v>
      </c>
      <c r="BF1286" s="3" t="n">
        <v>5</v>
      </c>
      <c r="BG1286" s="3" t="n">
        <v>3</v>
      </c>
      <c r="BH1286" s="3" t="n">
        <v>4</v>
      </c>
      <c r="BI1286" s="3" t="n">
        <v>1</v>
      </c>
      <c r="BJ1286" s="3" t="n">
        <v>1</v>
      </c>
      <c r="BK1286" s="16" t="s">
        <v>3209</v>
      </c>
    </row>
    <row r="1287" customFormat="false" ht="15" hidden="false" customHeight="true" outlineLevel="0" collapsed="false">
      <c r="B1287" s="2" t="s">
        <v>857</v>
      </c>
      <c r="C1287" s="2" t="s">
        <v>304</v>
      </c>
      <c r="D1287" s="2" t="s">
        <v>808</v>
      </c>
      <c r="E1287" s="2" t="n">
        <v>214711</v>
      </c>
      <c r="F1287" s="15" t="n">
        <v>44357</v>
      </c>
      <c r="G1287" s="15" t="n">
        <v>44363</v>
      </c>
      <c r="H1287" s="3" t="n">
        <v>6</v>
      </c>
      <c r="I1287" s="3" t="n">
        <v>1</v>
      </c>
      <c r="J1287" s="3" t="n">
        <v>69</v>
      </c>
      <c r="K1287" s="3" t="n">
        <v>1</v>
      </c>
      <c r="L1287" s="3" t="n">
        <v>2</v>
      </c>
      <c r="M1287" s="3" t="n">
        <v>1</v>
      </c>
      <c r="N1287" s="3" t="n">
        <v>1</v>
      </c>
      <c r="O1287" s="3" t="n">
        <v>2</v>
      </c>
      <c r="P1287" s="3" t="n">
        <v>2</v>
      </c>
      <c r="Q1287" s="3" t="n">
        <v>1</v>
      </c>
      <c r="R1287" s="3" t="n">
        <v>2</v>
      </c>
      <c r="S1287" s="3" t="n">
        <v>1</v>
      </c>
      <c r="T1287" s="4" t="n">
        <v>1</v>
      </c>
      <c r="U1287" s="3" t="n">
        <v>1</v>
      </c>
      <c r="V1287" s="3" t="n">
        <v>5.21</v>
      </c>
      <c r="W1287" s="3" t="n">
        <v>2.43</v>
      </c>
      <c r="X1287" s="3" t="n">
        <v>5.85</v>
      </c>
      <c r="Y1287" s="3" t="n">
        <v>391</v>
      </c>
      <c r="Z1287" s="3" t="n">
        <v>88</v>
      </c>
      <c r="AA1287" s="3" t="n">
        <v>0.37</v>
      </c>
      <c r="AB1287" s="3" t="n">
        <v>9.9</v>
      </c>
      <c r="AC1287" s="3" t="n">
        <v>1</v>
      </c>
      <c r="AD1287" s="3" t="n">
        <v>1</v>
      </c>
      <c r="AE1287" s="3" t="n">
        <v>1</v>
      </c>
      <c r="AF1287" s="3" t="n">
        <v>1</v>
      </c>
      <c r="AG1287" s="3" t="n">
        <v>1</v>
      </c>
      <c r="AH1287" s="3" t="n">
        <v>1</v>
      </c>
      <c r="AI1287" s="3" t="n">
        <v>1</v>
      </c>
      <c r="AJ1287" s="3" t="n">
        <v>1</v>
      </c>
      <c r="AK1287" s="3" t="n">
        <v>1</v>
      </c>
      <c r="AL1287" s="3" t="n">
        <v>2</v>
      </c>
      <c r="AM1287" s="3" t="n">
        <v>2</v>
      </c>
      <c r="AN1287" s="3" t="n">
        <v>2</v>
      </c>
      <c r="AO1287" s="3" t="n">
        <v>2</v>
      </c>
      <c r="AP1287" s="3" t="n">
        <v>3</v>
      </c>
      <c r="AQ1287" s="3" t="n">
        <v>4</v>
      </c>
      <c r="AR1287" s="3" t="n">
        <v>4</v>
      </c>
      <c r="AS1287" s="3" t="n">
        <v>6</v>
      </c>
      <c r="AT1287" s="3" t="n">
        <v>4</v>
      </c>
      <c r="AU1287" s="3" t="n">
        <v>4</v>
      </c>
      <c r="AV1287" s="3" t="n">
        <v>6</v>
      </c>
      <c r="AW1287" s="3" t="n">
        <v>6</v>
      </c>
      <c r="AX1287" s="3" t="n">
        <v>3</v>
      </c>
      <c r="AY1287" s="3" t="n">
        <v>3</v>
      </c>
      <c r="AZ1287" s="3" t="n">
        <v>1</v>
      </c>
      <c r="BA1287" s="5" t="n">
        <v>5</v>
      </c>
      <c r="BB1287" s="3" t="n">
        <v>2</v>
      </c>
      <c r="BC1287" s="3" t="n">
        <v>1</v>
      </c>
      <c r="BD1287" s="3" t="n">
        <v>6</v>
      </c>
      <c r="BE1287" s="3" t="n">
        <v>3</v>
      </c>
      <c r="BF1287" s="3" t="n">
        <v>5</v>
      </c>
      <c r="BG1287" s="3" t="n">
        <v>3</v>
      </c>
      <c r="BH1287" s="3" t="n">
        <v>4</v>
      </c>
      <c r="BI1287" s="3" t="n">
        <v>1</v>
      </c>
      <c r="BJ1287" s="3" t="n">
        <v>1</v>
      </c>
      <c r="BK1287" s="6" t="s">
        <v>3210</v>
      </c>
    </row>
    <row r="1288" customFormat="false" ht="15" hidden="false" customHeight="true" outlineLevel="0" collapsed="false">
      <c r="B1288" s="2" t="s">
        <v>3211</v>
      </c>
      <c r="C1288" s="2" t="s">
        <v>2133</v>
      </c>
      <c r="D1288" s="2" t="s">
        <v>462</v>
      </c>
      <c r="E1288" s="2" t="n">
        <v>214746</v>
      </c>
      <c r="F1288" s="15" t="n">
        <v>44359</v>
      </c>
      <c r="G1288" s="15" t="n">
        <v>44366</v>
      </c>
      <c r="H1288" s="3" t="n">
        <v>7</v>
      </c>
      <c r="I1288" s="3" t="n">
        <v>2</v>
      </c>
      <c r="J1288" s="3" t="n">
        <v>61</v>
      </c>
      <c r="K1288" s="3" t="n">
        <v>1</v>
      </c>
      <c r="L1288" s="3" t="n">
        <v>1</v>
      </c>
      <c r="M1288" s="3" t="n">
        <v>2</v>
      </c>
      <c r="N1288" s="3" t="n">
        <v>2</v>
      </c>
      <c r="O1288" s="3" t="n">
        <v>2</v>
      </c>
      <c r="P1288" s="3" t="n">
        <v>1</v>
      </c>
      <c r="Q1288" s="3" t="n">
        <v>1</v>
      </c>
      <c r="R1288" s="3" t="n">
        <v>2</v>
      </c>
      <c r="S1288" s="3" t="n">
        <v>2</v>
      </c>
      <c r="T1288" s="4" t="n">
        <v>2</v>
      </c>
      <c r="U1288" s="3" t="n">
        <v>2</v>
      </c>
      <c r="V1288" s="3" t="n">
        <v>3.83</v>
      </c>
      <c r="W1288" s="3" t="n">
        <v>1.07</v>
      </c>
      <c r="X1288" s="3" t="n">
        <v>4.78</v>
      </c>
      <c r="Y1288" s="3" t="n">
        <v>318</v>
      </c>
      <c r="Z1288" s="3" t="n">
        <v>86</v>
      </c>
      <c r="AA1288" s="3" t="n">
        <v>0.4</v>
      </c>
      <c r="AB1288" s="3" t="n">
        <v>14.8</v>
      </c>
      <c r="AC1288" s="3" t="n">
        <v>1</v>
      </c>
      <c r="AD1288" s="3" t="n">
        <v>2</v>
      </c>
      <c r="AE1288" s="3" t="n">
        <v>1</v>
      </c>
      <c r="AF1288" s="3" t="n">
        <v>1</v>
      </c>
      <c r="AG1288" s="3" t="n">
        <v>2</v>
      </c>
      <c r="AH1288" s="3" t="n">
        <v>2</v>
      </c>
      <c r="AI1288" s="3" t="n">
        <v>1</v>
      </c>
      <c r="AJ1288" s="3" t="n">
        <v>2</v>
      </c>
      <c r="AK1288" s="3" t="n">
        <v>2</v>
      </c>
      <c r="AL1288" s="3" t="n">
        <v>2</v>
      </c>
      <c r="AM1288" s="3" t="n">
        <v>2</v>
      </c>
      <c r="AN1288" s="3" t="n">
        <v>2</v>
      </c>
      <c r="AO1288" s="3" t="n">
        <v>2</v>
      </c>
      <c r="AP1288" s="3" t="n">
        <v>3</v>
      </c>
      <c r="AQ1288" s="3" t="n">
        <v>4</v>
      </c>
      <c r="AR1288" s="3" t="n">
        <v>4</v>
      </c>
      <c r="AS1288" s="3" t="n">
        <v>6</v>
      </c>
      <c r="AT1288" s="3" t="n">
        <v>4</v>
      </c>
      <c r="AU1288" s="3" t="n">
        <v>4</v>
      </c>
      <c r="AV1288" s="3" t="n">
        <v>6</v>
      </c>
      <c r="AW1288" s="3" t="n">
        <v>6</v>
      </c>
      <c r="AX1288" s="3" t="n">
        <v>3</v>
      </c>
      <c r="AY1288" s="3" t="n">
        <v>3</v>
      </c>
      <c r="AZ1288" s="3" t="n">
        <v>1</v>
      </c>
      <c r="BA1288" s="5" t="n">
        <v>1</v>
      </c>
      <c r="BB1288" s="3" t="n">
        <v>1</v>
      </c>
      <c r="BC1288" s="3" t="n">
        <v>1</v>
      </c>
      <c r="BD1288" s="3" t="n">
        <v>4</v>
      </c>
      <c r="BE1288" s="3" t="n">
        <v>1</v>
      </c>
      <c r="BF1288" s="3" t="n">
        <v>2</v>
      </c>
      <c r="BG1288" s="3" t="n">
        <v>1</v>
      </c>
      <c r="BH1288" s="3" t="n">
        <v>4</v>
      </c>
      <c r="BI1288" s="3" t="n">
        <v>1</v>
      </c>
      <c r="BJ1288" s="3" t="n">
        <v>1</v>
      </c>
      <c r="BK1288" s="6" t="s">
        <v>3212</v>
      </c>
    </row>
    <row r="1289" customFormat="false" ht="15" hidden="false" customHeight="true" outlineLevel="0" collapsed="false">
      <c r="B1289" s="2" t="s">
        <v>415</v>
      </c>
      <c r="C1289" s="2" t="s">
        <v>3213</v>
      </c>
      <c r="D1289" s="2" t="s">
        <v>898</v>
      </c>
      <c r="E1289" s="2" t="n">
        <v>214777</v>
      </c>
      <c r="F1289" s="15" t="n">
        <v>44360</v>
      </c>
      <c r="G1289" s="15" t="n">
        <v>44367</v>
      </c>
      <c r="H1289" s="3" t="n">
        <v>7</v>
      </c>
      <c r="I1289" s="3" t="n">
        <v>2</v>
      </c>
      <c r="J1289" s="3" t="n">
        <v>52</v>
      </c>
      <c r="K1289" s="3" t="n">
        <v>2</v>
      </c>
      <c r="L1289" s="3" t="n">
        <v>1</v>
      </c>
      <c r="M1289" s="3" t="n">
        <v>1</v>
      </c>
      <c r="N1289" s="3" t="n">
        <v>2</v>
      </c>
      <c r="O1289" s="3" t="n">
        <v>2</v>
      </c>
      <c r="P1289" s="3" t="n">
        <v>2</v>
      </c>
      <c r="Q1289" s="3" t="n">
        <v>2</v>
      </c>
      <c r="R1289" s="3" t="n">
        <v>2</v>
      </c>
      <c r="S1289" s="3" t="n">
        <v>2</v>
      </c>
      <c r="T1289" s="4" t="n">
        <v>2</v>
      </c>
      <c r="U1289" s="3" t="n">
        <v>2</v>
      </c>
      <c r="V1289" s="3" t="n">
        <v>4.59</v>
      </c>
      <c r="W1289" s="3" t="n">
        <v>0.99</v>
      </c>
      <c r="X1289" s="3" t="n">
        <v>6.74</v>
      </c>
      <c r="Y1289" s="3" t="n">
        <v>320</v>
      </c>
      <c r="Z1289" s="3" t="n">
        <v>81</v>
      </c>
      <c r="AA1289" s="3" t="n">
        <v>0.46</v>
      </c>
      <c r="AB1289" s="3" t="n">
        <v>12.1</v>
      </c>
      <c r="AC1289" s="3" t="n">
        <v>1</v>
      </c>
      <c r="AD1289" s="3" t="n">
        <v>1</v>
      </c>
      <c r="AE1289" s="3" t="n">
        <v>1</v>
      </c>
      <c r="AF1289" s="3" t="n">
        <v>1</v>
      </c>
      <c r="AG1289" s="3" t="n">
        <v>2</v>
      </c>
      <c r="AH1289" s="3" t="n">
        <v>1</v>
      </c>
      <c r="AI1289" s="3" t="n">
        <v>1</v>
      </c>
      <c r="AJ1289" s="3" t="n">
        <v>1</v>
      </c>
      <c r="AK1289" s="3" t="n">
        <v>2</v>
      </c>
      <c r="AL1289" s="3" t="n">
        <v>2</v>
      </c>
      <c r="AM1289" s="3" t="n">
        <v>2</v>
      </c>
      <c r="AN1289" s="3" t="n">
        <v>2</v>
      </c>
      <c r="AO1289" s="3" t="n">
        <v>2</v>
      </c>
      <c r="AP1289" s="3" t="n">
        <v>3</v>
      </c>
      <c r="AQ1289" s="3" t="n">
        <v>4</v>
      </c>
      <c r="AR1289" s="3" t="n">
        <v>4</v>
      </c>
      <c r="AS1289" s="3" t="n">
        <v>6</v>
      </c>
      <c r="AT1289" s="3" t="n">
        <v>4</v>
      </c>
      <c r="AU1289" s="3" t="n">
        <v>4</v>
      </c>
      <c r="AV1289" s="3" t="n">
        <v>6</v>
      </c>
      <c r="AW1289" s="3" t="n">
        <v>6</v>
      </c>
      <c r="AX1289" s="3" t="n">
        <v>3</v>
      </c>
      <c r="AY1289" s="3" t="n">
        <v>3</v>
      </c>
      <c r="AZ1289" s="3" t="n">
        <v>1</v>
      </c>
      <c r="BA1289" s="5" t="n">
        <v>1</v>
      </c>
      <c r="BB1289" s="3" t="n">
        <v>1</v>
      </c>
      <c r="BC1289" s="3" t="n">
        <v>1</v>
      </c>
      <c r="BD1289" s="3" t="n">
        <v>2</v>
      </c>
      <c r="BE1289" s="3" t="n">
        <v>3</v>
      </c>
      <c r="BF1289" s="3" t="n">
        <v>5</v>
      </c>
      <c r="BG1289" s="3" t="n">
        <v>3</v>
      </c>
      <c r="BH1289" s="3" t="n">
        <v>4</v>
      </c>
      <c r="BI1289" s="3" t="n">
        <v>1</v>
      </c>
      <c r="BJ1289" s="3" t="n">
        <v>1</v>
      </c>
      <c r="BK1289" s="6" t="s">
        <v>3214</v>
      </c>
    </row>
    <row r="1290" customFormat="false" ht="15" hidden="false" customHeight="true" outlineLevel="0" collapsed="false">
      <c r="B1290" s="2" t="s">
        <v>3215</v>
      </c>
      <c r="C1290" s="2" t="s">
        <v>3216</v>
      </c>
      <c r="D1290" s="2" t="s">
        <v>454</v>
      </c>
      <c r="E1290" s="2" t="n">
        <v>215109</v>
      </c>
      <c r="F1290" s="15" t="n">
        <v>44363</v>
      </c>
      <c r="G1290" s="15" t="n">
        <v>44369</v>
      </c>
      <c r="H1290" s="3" t="n">
        <v>6</v>
      </c>
      <c r="I1290" s="3" t="n">
        <v>1</v>
      </c>
      <c r="J1290" s="3" t="n">
        <v>58</v>
      </c>
      <c r="K1290" s="3" t="n">
        <v>2</v>
      </c>
      <c r="L1290" s="3" t="n">
        <v>1</v>
      </c>
      <c r="M1290" s="3" t="n">
        <v>1</v>
      </c>
      <c r="N1290" s="3" t="n">
        <v>2</v>
      </c>
      <c r="O1290" s="3" t="n">
        <v>2</v>
      </c>
      <c r="P1290" s="3" t="n">
        <v>2</v>
      </c>
      <c r="Q1290" s="3" t="n">
        <v>2</v>
      </c>
      <c r="R1290" s="3" t="n">
        <v>2</v>
      </c>
      <c r="S1290" s="3" t="n">
        <v>2</v>
      </c>
      <c r="T1290" s="4" t="n">
        <v>2</v>
      </c>
      <c r="U1290" s="3" t="n">
        <v>2</v>
      </c>
      <c r="V1290" s="3" t="s">
        <v>125</v>
      </c>
      <c r="W1290" s="3" t="s">
        <v>125</v>
      </c>
      <c r="X1290" s="3" t="s">
        <v>125</v>
      </c>
      <c r="Y1290" s="3" t="s">
        <v>125</v>
      </c>
      <c r="Z1290" s="3" t="s">
        <v>125</v>
      </c>
      <c r="AA1290" s="3" t="s">
        <v>125</v>
      </c>
      <c r="AB1290" s="3" t="s">
        <v>125</v>
      </c>
      <c r="AC1290" s="3" t="n">
        <v>1</v>
      </c>
      <c r="AD1290" s="3" t="n">
        <v>2</v>
      </c>
      <c r="AE1290" s="3" t="n">
        <v>1</v>
      </c>
      <c r="AF1290" s="3" t="n">
        <v>1</v>
      </c>
      <c r="AG1290" s="3" t="n">
        <v>2</v>
      </c>
      <c r="AH1290" s="3" t="n">
        <v>2</v>
      </c>
      <c r="AI1290" s="3" t="n">
        <v>1</v>
      </c>
      <c r="AJ1290" s="3" t="n">
        <v>1</v>
      </c>
      <c r="AK1290" s="3" t="n">
        <v>2</v>
      </c>
      <c r="AL1290" s="3" t="n">
        <v>2</v>
      </c>
      <c r="AM1290" s="3" t="n">
        <v>2</v>
      </c>
      <c r="AN1290" s="3" t="n">
        <v>2</v>
      </c>
      <c r="AO1290" s="3" t="n">
        <v>2</v>
      </c>
      <c r="AP1290" s="3" t="n">
        <v>3</v>
      </c>
      <c r="AQ1290" s="3" t="n">
        <v>4</v>
      </c>
      <c r="AR1290" s="3" t="n">
        <v>4</v>
      </c>
      <c r="AS1290" s="3" t="n">
        <v>6</v>
      </c>
      <c r="AT1290" s="3" t="n">
        <v>4</v>
      </c>
      <c r="AU1290" s="3" t="n">
        <v>4</v>
      </c>
      <c r="AV1290" s="3" t="n">
        <v>6</v>
      </c>
      <c r="AW1290" s="3" t="n">
        <v>6</v>
      </c>
      <c r="AX1290" s="3" t="n">
        <v>3</v>
      </c>
      <c r="AY1290" s="3" t="n">
        <v>3</v>
      </c>
      <c r="AZ1290" s="3" t="n">
        <v>1</v>
      </c>
      <c r="BA1290" s="5" t="n">
        <v>1</v>
      </c>
      <c r="BB1290" s="3" t="n">
        <v>1</v>
      </c>
      <c r="BC1290" s="3" t="n">
        <v>1</v>
      </c>
      <c r="BD1290" s="3" t="n">
        <v>3</v>
      </c>
      <c r="BE1290" s="3" t="n">
        <v>3</v>
      </c>
      <c r="BF1290" s="3" t="n">
        <v>5</v>
      </c>
      <c r="BG1290" s="3" t="n">
        <v>3</v>
      </c>
      <c r="BH1290" s="3" t="n">
        <v>4</v>
      </c>
      <c r="BI1290" s="3" t="n">
        <v>1</v>
      </c>
      <c r="BJ1290" s="3" t="n">
        <v>1</v>
      </c>
      <c r="BK1290" s="6" t="s">
        <v>3217</v>
      </c>
    </row>
    <row r="1291" customFormat="false" ht="15" hidden="false" customHeight="true" outlineLevel="0" collapsed="false">
      <c r="B1291" s="2" t="s">
        <v>3218</v>
      </c>
      <c r="C1291" s="2" t="s">
        <v>3219</v>
      </c>
      <c r="D1291" s="2" t="s">
        <v>458</v>
      </c>
      <c r="E1291" s="2" t="n">
        <v>214766</v>
      </c>
      <c r="F1291" s="15" t="n">
        <v>44360</v>
      </c>
      <c r="G1291" s="15" t="n">
        <v>44368</v>
      </c>
      <c r="H1291" s="3" t="n">
        <v>8</v>
      </c>
      <c r="I1291" s="3" t="n">
        <v>1</v>
      </c>
      <c r="J1291" s="3" t="n">
        <v>74</v>
      </c>
      <c r="K1291" s="3" t="n">
        <v>1</v>
      </c>
      <c r="L1291" s="3" t="n">
        <v>1</v>
      </c>
      <c r="M1291" s="3" t="n">
        <v>1</v>
      </c>
      <c r="N1291" s="3" t="n">
        <v>1</v>
      </c>
      <c r="O1291" s="3" t="n">
        <v>2</v>
      </c>
      <c r="P1291" s="3" t="n">
        <v>1</v>
      </c>
      <c r="Q1291" s="3" t="n">
        <v>1</v>
      </c>
      <c r="R1291" s="3" t="n">
        <v>2</v>
      </c>
      <c r="S1291" s="3" t="n">
        <v>2</v>
      </c>
      <c r="T1291" s="4" t="n">
        <v>1</v>
      </c>
      <c r="U1291" s="3" t="n">
        <v>4</v>
      </c>
      <c r="V1291" s="3" t="n">
        <v>3.89</v>
      </c>
      <c r="W1291" s="3" t="n">
        <v>1.6</v>
      </c>
      <c r="X1291" s="3" t="n">
        <v>15.42</v>
      </c>
      <c r="Y1291" s="3" t="n">
        <v>260</v>
      </c>
      <c r="Z1291" s="3" t="n">
        <v>91</v>
      </c>
      <c r="AA1291" s="3" t="n">
        <v>0.44</v>
      </c>
      <c r="AB1291" s="3" t="n">
        <v>11.4</v>
      </c>
      <c r="AC1291" s="3" t="n">
        <v>2</v>
      </c>
      <c r="AD1291" s="3" t="n">
        <v>1</v>
      </c>
      <c r="AE1291" s="3" t="n">
        <v>1</v>
      </c>
      <c r="AF1291" s="3" t="n">
        <v>1</v>
      </c>
      <c r="AG1291" s="3" t="n">
        <v>2</v>
      </c>
      <c r="AH1291" s="3" t="n">
        <v>1</v>
      </c>
      <c r="AI1291" s="3" t="n">
        <v>1</v>
      </c>
      <c r="AJ1291" s="3" t="n">
        <v>2</v>
      </c>
      <c r="AK1291" s="3" t="n">
        <v>1</v>
      </c>
      <c r="AL1291" s="3" t="n">
        <v>2</v>
      </c>
      <c r="AM1291" s="3" t="n">
        <v>2</v>
      </c>
      <c r="AN1291" s="3" t="n">
        <v>2</v>
      </c>
      <c r="AO1291" s="3" t="n">
        <v>2</v>
      </c>
      <c r="AP1291" s="3" t="n">
        <v>3</v>
      </c>
      <c r="AQ1291" s="3" t="n">
        <v>4</v>
      </c>
      <c r="AR1291" s="3" t="n">
        <v>4</v>
      </c>
      <c r="AS1291" s="3" t="n">
        <v>6</v>
      </c>
      <c r="AT1291" s="3" t="n">
        <v>4</v>
      </c>
      <c r="AU1291" s="3" t="n">
        <v>4</v>
      </c>
      <c r="AV1291" s="3" t="n">
        <v>6</v>
      </c>
      <c r="AW1291" s="3" t="n">
        <v>6</v>
      </c>
      <c r="AX1291" s="3" t="n">
        <v>3</v>
      </c>
      <c r="AY1291" s="3" t="n">
        <v>3</v>
      </c>
      <c r="AZ1291" s="3" t="n">
        <v>1</v>
      </c>
      <c r="BA1291" s="5" t="n">
        <v>5</v>
      </c>
      <c r="BB1291" s="3" t="n">
        <v>2</v>
      </c>
      <c r="BC1291" s="3" t="n">
        <v>1</v>
      </c>
      <c r="BD1291" s="3" t="n">
        <v>6</v>
      </c>
      <c r="BE1291" s="3" t="n">
        <v>3</v>
      </c>
      <c r="BF1291" s="3" t="n">
        <v>5</v>
      </c>
      <c r="BG1291" s="3" t="n">
        <v>3</v>
      </c>
      <c r="BH1291" s="3" t="n">
        <v>4</v>
      </c>
      <c r="BI1291" s="3" t="n">
        <v>1</v>
      </c>
      <c r="BJ1291" s="3" t="n">
        <v>1</v>
      </c>
      <c r="BK1291" s="6" t="s">
        <v>3220</v>
      </c>
    </row>
    <row r="1292" customFormat="false" ht="15" hidden="false" customHeight="true" outlineLevel="0" collapsed="false">
      <c r="B1292" s="2" t="s">
        <v>3189</v>
      </c>
      <c r="C1292" s="2" t="s">
        <v>438</v>
      </c>
      <c r="D1292" s="2" t="s">
        <v>95</v>
      </c>
      <c r="E1292" s="2" t="n">
        <v>214279</v>
      </c>
      <c r="F1292" s="15" t="n">
        <v>44362</v>
      </c>
      <c r="G1292" s="15" t="n">
        <v>44369</v>
      </c>
      <c r="H1292" s="3" t="n">
        <v>7</v>
      </c>
      <c r="I1292" s="3" t="n">
        <v>1</v>
      </c>
      <c r="J1292" s="3" t="n">
        <v>90</v>
      </c>
      <c r="K1292" s="3" t="n">
        <v>1</v>
      </c>
      <c r="L1292" s="3" t="n">
        <v>2</v>
      </c>
      <c r="M1292" s="3" t="n">
        <v>1</v>
      </c>
      <c r="N1292" s="3" t="n">
        <v>2</v>
      </c>
      <c r="O1292" s="3" t="n">
        <v>2</v>
      </c>
      <c r="P1292" s="3" t="n">
        <v>2</v>
      </c>
      <c r="Q1292" s="3" t="n">
        <v>1</v>
      </c>
      <c r="R1292" s="3" t="n">
        <v>2</v>
      </c>
      <c r="S1292" s="3" t="n">
        <v>1</v>
      </c>
      <c r="T1292" s="4" t="n">
        <v>2</v>
      </c>
      <c r="U1292" s="3" t="n">
        <v>2</v>
      </c>
      <c r="V1292" s="3" t="n">
        <v>2.7</v>
      </c>
      <c r="W1292" s="3" t="n">
        <v>1.11</v>
      </c>
      <c r="X1292" s="3" t="n">
        <v>12.48</v>
      </c>
      <c r="Y1292" s="3" t="n">
        <v>521</v>
      </c>
      <c r="Z1292" s="3" t="n">
        <v>197</v>
      </c>
      <c r="AA1292" s="3" t="n">
        <v>0.31</v>
      </c>
      <c r="AB1292" s="3" t="n">
        <v>16.2</v>
      </c>
      <c r="AC1292" s="3" t="n">
        <v>1</v>
      </c>
      <c r="AD1292" s="3" t="n">
        <v>2</v>
      </c>
      <c r="AE1292" s="3" t="n">
        <v>2</v>
      </c>
      <c r="AF1292" s="3" t="n">
        <v>1</v>
      </c>
      <c r="AG1292" s="3" t="n">
        <v>2</v>
      </c>
      <c r="AH1292" s="3" t="n">
        <v>1</v>
      </c>
      <c r="AI1292" s="3" t="n">
        <v>1</v>
      </c>
      <c r="AJ1292" s="3" t="n">
        <v>2</v>
      </c>
      <c r="AK1292" s="3" t="n">
        <v>1</v>
      </c>
      <c r="AL1292" s="3" t="n">
        <v>2</v>
      </c>
      <c r="AM1292" s="3" t="n">
        <v>2</v>
      </c>
      <c r="AN1292" s="3" t="n">
        <v>2</v>
      </c>
      <c r="AO1292" s="3" t="n">
        <v>2</v>
      </c>
      <c r="AP1292" s="3" t="n">
        <v>3</v>
      </c>
      <c r="AQ1292" s="3" t="n">
        <v>4</v>
      </c>
      <c r="AR1292" s="3" t="n">
        <v>4</v>
      </c>
      <c r="AS1292" s="3" t="n">
        <v>6</v>
      </c>
      <c r="AT1292" s="3" t="n">
        <v>4</v>
      </c>
      <c r="AU1292" s="3" t="n">
        <v>4</v>
      </c>
      <c r="AV1292" s="3" t="n">
        <v>6</v>
      </c>
      <c r="AW1292" s="3" t="n">
        <v>6</v>
      </c>
      <c r="AX1292" s="3" t="n">
        <v>3</v>
      </c>
      <c r="AY1292" s="3" t="n">
        <v>3</v>
      </c>
      <c r="AZ1292" s="3" t="n">
        <v>1</v>
      </c>
      <c r="BA1292" s="5" t="n">
        <v>1</v>
      </c>
      <c r="BB1292" s="3" t="n">
        <v>1</v>
      </c>
      <c r="BC1292" s="3" t="n">
        <v>1</v>
      </c>
      <c r="BD1292" s="3" t="n">
        <v>2</v>
      </c>
      <c r="BE1292" s="3" t="n">
        <v>1</v>
      </c>
      <c r="BF1292" s="3" t="n">
        <v>2</v>
      </c>
      <c r="BG1292" s="3" t="n">
        <v>1</v>
      </c>
      <c r="BH1292" s="3" t="n">
        <v>4</v>
      </c>
      <c r="BI1292" s="3" t="n">
        <v>1</v>
      </c>
      <c r="BJ1292" s="3" t="n">
        <v>1</v>
      </c>
      <c r="BK1292" s="6" t="s">
        <v>3221</v>
      </c>
    </row>
    <row r="1293" customFormat="false" ht="15" hidden="false" customHeight="true" outlineLevel="0" collapsed="false">
      <c r="B1293" s="2" t="s">
        <v>3222</v>
      </c>
      <c r="C1293" s="2" t="s">
        <v>783</v>
      </c>
      <c r="D1293" s="2" t="s">
        <v>3223</v>
      </c>
      <c r="E1293" s="2" t="n">
        <v>215265</v>
      </c>
      <c r="F1293" s="15" t="n">
        <v>44365</v>
      </c>
      <c r="G1293" s="15" t="n">
        <v>44369</v>
      </c>
      <c r="H1293" s="3" t="n">
        <v>4</v>
      </c>
      <c r="I1293" s="3" t="n">
        <v>1</v>
      </c>
      <c r="J1293" s="3" t="n">
        <v>62</v>
      </c>
      <c r="K1293" s="3" t="n">
        <v>1</v>
      </c>
      <c r="L1293" s="3" t="n">
        <v>2</v>
      </c>
      <c r="M1293" s="3" t="n">
        <v>1</v>
      </c>
      <c r="N1293" s="3" t="n">
        <v>2</v>
      </c>
      <c r="O1293" s="3" t="n">
        <v>2</v>
      </c>
      <c r="P1293" s="3" t="n">
        <v>2</v>
      </c>
      <c r="Q1293" s="3" t="n">
        <v>2</v>
      </c>
      <c r="R1293" s="3" t="n">
        <v>2</v>
      </c>
      <c r="S1293" s="3" t="n">
        <v>2</v>
      </c>
      <c r="T1293" s="4" t="n">
        <v>1</v>
      </c>
      <c r="U1293" s="3" t="n">
        <v>1</v>
      </c>
      <c r="AC1293" s="3" t="n">
        <v>1</v>
      </c>
      <c r="AD1293" s="3" t="n">
        <v>1</v>
      </c>
      <c r="AE1293" s="3" t="n">
        <v>2</v>
      </c>
      <c r="AF1293" s="3" t="n">
        <v>1</v>
      </c>
      <c r="AG1293" s="3" t="n">
        <v>2</v>
      </c>
      <c r="AH1293" s="3" t="n">
        <v>1</v>
      </c>
      <c r="AI1293" s="3" t="n">
        <v>1</v>
      </c>
      <c r="AJ1293" s="3" t="n">
        <v>2</v>
      </c>
      <c r="AK1293" s="3" t="n">
        <v>2</v>
      </c>
      <c r="AL1293" s="3" t="n">
        <v>2</v>
      </c>
      <c r="AM1293" s="3" t="n">
        <v>2</v>
      </c>
      <c r="AN1293" s="3" t="n">
        <v>2</v>
      </c>
      <c r="AO1293" s="3" t="n">
        <v>2</v>
      </c>
      <c r="AP1293" s="3" t="n">
        <v>3</v>
      </c>
      <c r="AQ1293" s="3" t="n">
        <v>4</v>
      </c>
      <c r="AR1293" s="3" t="n">
        <v>4</v>
      </c>
      <c r="AS1293" s="3" t="n">
        <v>6</v>
      </c>
      <c r="AT1293" s="3" t="n">
        <v>4</v>
      </c>
      <c r="AU1293" s="3" t="n">
        <v>4</v>
      </c>
      <c r="AV1293" s="3" t="n">
        <v>6</v>
      </c>
      <c r="AW1293" s="3" t="n">
        <v>6</v>
      </c>
      <c r="AX1293" s="3" t="n">
        <v>3</v>
      </c>
      <c r="AY1293" s="3" t="n">
        <v>3</v>
      </c>
      <c r="AZ1293" s="3" t="n">
        <v>1</v>
      </c>
      <c r="BA1293" s="5" t="n">
        <v>5</v>
      </c>
      <c r="BB1293" s="3" t="n">
        <v>2</v>
      </c>
      <c r="BC1293" s="3" t="n">
        <v>1</v>
      </c>
      <c r="BD1293" s="3" t="n">
        <v>6</v>
      </c>
      <c r="BE1293" s="3" t="n">
        <v>3</v>
      </c>
      <c r="BF1293" s="3" t="n">
        <v>5</v>
      </c>
      <c r="BG1293" s="3" t="n">
        <v>3</v>
      </c>
      <c r="BH1293" s="3" t="n">
        <v>4</v>
      </c>
      <c r="BI1293" s="3" t="n">
        <v>1</v>
      </c>
      <c r="BJ1293" s="3" t="n">
        <v>1</v>
      </c>
      <c r="BK1293" s="6" t="s">
        <v>3224</v>
      </c>
    </row>
    <row r="1294" customFormat="false" ht="15" hidden="false" customHeight="true" outlineLevel="0" collapsed="false">
      <c r="B1294" s="2" t="s">
        <v>3225</v>
      </c>
      <c r="C1294" s="2" t="s">
        <v>3226</v>
      </c>
      <c r="D1294" s="2" t="s">
        <v>1384</v>
      </c>
      <c r="E1294" s="2" t="n">
        <v>214763</v>
      </c>
      <c r="F1294" s="15" t="n">
        <v>44359</v>
      </c>
      <c r="G1294" s="15" t="n">
        <v>44368</v>
      </c>
      <c r="H1294" s="3" t="n">
        <v>9</v>
      </c>
      <c r="I1294" s="3" t="n">
        <v>2</v>
      </c>
      <c r="J1294" s="3" t="n">
        <v>87</v>
      </c>
      <c r="K1294" s="3" t="n">
        <v>1</v>
      </c>
      <c r="L1294" s="3" t="n">
        <v>1</v>
      </c>
      <c r="M1294" s="3" t="n">
        <v>2</v>
      </c>
      <c r="N1294" s="3" t="n">
        <v>2</v>
      </c>
      <c r="O1294" s="3" t="n">
        <v>2</v>
      </c>
      <c r="P1294" s="3" t="n">
        <v>2</v>
      </c>
      <c r="Q1294" s="3" t="n">
        <v>2</v>
      </c>
      <c r="R1294" s="3" t="n">
        <v>2</v>
      </c>
      <c r="S1294" s="3" t="n">
        <v>1</v>
      </c>
      <c r="T1294" s="4" t="n">
        <v>2</v>
      </c>
      <c r="U1294" s="3" t="n">
        <v>2</v>
      </c>
      <c r="V1294" s="3" t="n">
        <v>3.3</v>
      </c>
      <c r="W1294" s="3" t="n">
        <v>1.13</v>
      </c>
      <c r="X1294" s="3" t="n">
        <v>6.92</v>
      </c>
      <c r="Y1294" s="3" t="n">
        <v>243</v>
      </c>
      <c r="Z1294" s="3" t="n">
        <v>84</v>
      </c>
      <c r="AA1294" s="3" t="n">
        <v>0.5</v>
      </c>
      <c r="AB1294" s="3" t="n">
        <v>11.4</v>
      </c>
      <c r="AC1294" s="3" t="n">
        <v>2</v>
      </c>
      <c r="AD1294" s="3" t="n">
        <v>2</v>
      </c>
      <c r="AE1294" s="3" t="n">
        <v>1</v>
      </c>
      <c r="AF1294" s="3" t="n">
        <v>1</v>
      </c>
      <c r="AG1294" s="3" t="n">
        <v>2</v>
      </c>
      <c r="AH1294" s="3" t="n">
        <v>2</v>
      </c>
      <c r="AI1294" s="3" t="n">
        <v>2</v>
      </c>
      <c r="AJ1294" s="3" t="n">
        <v>1</v>
      </c>
      <c r="AK1294" s="3" t="n">
        <v>2</v>
      </c>
      <c r="AL1294" s="3" t="n">
        <v>2</v>
      </c>
      <c r="AM1294" s="3" t="n">
        <v>2</v>
      </c>
      <c r="AN1294" s="3" t="n">
        <v>2</v>
      </c>
      <c r="AO1294" s="3" t="n">
        <v>2</v>
      </c>
      <c r="AP1294" s="3" t="n">
        <v>3</v>
      </c>
      <c r="AQ1294" s="3" t="n">
        <v>4</v>
      </c>
      <c r="AR1294" s="3" t="n">
        <v>4</v>
      </c>
      <c r="AS1294" s="3" t="n">
        <v>6</v>
      </c>
      <c r="AT1294" s="3" t="n">
        <v>4</v>
      </c>
      <c r="AU1294" s="3" t="n">
        <v>4</v>
      </c>
      <c r="AV1294" s="3" t="n">
        <v>6</v>
      </c>
      <c r="AW1294" s="3" t="n">
        <v>6</v>
      </c>
      <c r="AX1294" s="3" t="n">
        <v>3</v>
      </c>
      <c r="AY1294" s="3" t="n">
        <v>3</v>
      </c>
      <c r="AZ1294" s="3" t="n">
        <v>1</v>
      </c>
      <c r="BA1294" s="5" t="n">
        <v>1</v>
      </c>
      <c r="BB1294" s="3" t="n">
        <v>1</v>
      </c>
      <c r="BC1294" s="3" t="n">
        <v>1</v>
      </c>
      <c r="BD1294" s="3" t="n">
        <v>2</v>
      </c>
      <c r="BE1294" s="3" t="n">
        <v>3</v>
      </c>
      <c r="BF1294" s="3" t="n">
        <v>5</v>
      </c>
      <c r="BG1294" s="3" t="n">
        <v>3</v>
      </c>
      <c r="BH1294" s="3" t="n">
        <v>4</v>
      </c>
      <c r="BI1294" s="3" t="n">
        <v>1</v>
      </c>
      <c r="BJ1294" s="3" t="n">
        <v>1</v>
      </c>
      <c r="BK1294" s="6" t="s">
        <v>3227</v>
      </c>
    </row>
    <row r="1295" customFormat="false" ht="15" hidden="false" customHeight="true" outlineLevel="0" collapsed="false">
      <c r="B1295" s="2" t="s">
        <v>1360</v>
      </c>
      <c r="C1295" s="2" t="s">
        <v>839</v>
      </c>
      <c r="D1295" s="2" t="s">
        <v>3228</v>
      </c>
      <c r="E1295" s="2" t="n">
        <v>215289</v>
      </c>
      <c r="F1295" s="15" t="n">
        <v>44365</v>
      </c>
      <c r="G1295" s="15" t="n">
        <v>44370</v>
      </c>
      <c r="H1295" s="3" t="n">
        <v>5</v>
      </c>
      <c r="I1295" s="3" t="n">
        <v>1</v>
      </c>
      <c r="J1295" s="3" t="n">
        <v>85</v>
      </c>
      <c r="K1295" s="3" t="n">
        <v>2</v>
      </c>
      <c r="L1295" s="3" t="n">
        <v>2</v>
      </c>
      <c r="M1295" s="3" t="n">
        <v>1</v>
      </c>
      <c r="N1295" s="3" t="n">
        <v>2</v>
      </c>
      <c r="O1295" s="3" t="n">
        <v>2</v>
      </c>
      <c r="P1295" s="3" t="n">
        <v>2</v>
      </c>
      <c r="Q1295" s="3" t="n">
        <v>2</v>
      </c>
      <c r="R1295" s="3" t="n">
        <v>2</v>
      </c>
      <c r="S1295" s="3" t="n">
        <v>2</v>
      </c>
      <c r="T1295" s="4" t="n">
        <v>1</v>
      </c>
      <c r="U1295" s="3" t="n">
        <v>1</v>
      </c>
      <c r="V1295" s="3" t="n">
        <v>4.27</v>
      </c>
      <c r="W1295" s="3" t="n">
        <v>1.28</v>
      </c>
      <c r="X1295" s="3" t="n">
        <v>4.61</v>
      </c>
      <c r="Y1295" s="3" t="n">
        <v>583</v>
      </c>
      <c r="Z1295" s="3" t="n">
        <v>178</v>
      </c>
      <c r="AA1295" s="3" t="n">
        <v>0.41</v>
      </c>
      <c r="AB1295" s="3" t="n">
        <v>11.2</v>
      </c>
      <c r="AC1295" s="3" t="n">
        <v>2</v>
      </c>
      <c r="AD1295" s="3" t="n">
        <v>1</v>
      </c>
      <c r="AE1295" s="3" t="n">
        <v>2</v>
      </c>
      <c r="AF1295" s="3" t="n">
        <v>1</v>
      </c>
      <c r="AG1295" s="3" t="n">
        <v>2</v>
      </c>
      <c r="AH1295" s="3" t="n">
        <v>2</v>
      </c>
      <c r="AI1295" s="3" t="n">
        <v>1</v>
      </c>
      <c r="AJ1295" s="3" t="n">
        <v>1</v>
      </c>
      <c r="AK1295" s="3" t="n">
        <v>2</v>
      </c>
      <c r="AL1295" s="3" t="n">
        <v>2</v>
      </c>
      <c r="AM1295" s="3" t="n">
        <v>1</v>
      </c>
      <c r="AN1295" s="3" t="n">
        <v>2</v>
      </c>
      <c r="AO1295" s="3" t="n">
        <v>2</v>
      </c>
      <c r="AP1295" s="3" t="n">
        <v>3</v>
      </c>
      <c r="AQ1295" s="3" t="n">
        <v>4</v>
      </c>
      <c r="AR1295" s="3" t="n">
        <v>4</v>
      </c>
      <c r="AS1295" s="3" t="n">
        <v>6</v>
      </c>
      <c r="AT1295" s="3" t="n">
        <v>4</v>
      </c>
      <c r="AU1295" s="3" t="n">
        <v>4</v>
      </c>
      <c r="AV1295" s="3" t="n">
        <v>6</v>
      </c>
      <c r="AW1295" s="3" t="n">
        <v>6</v>
      </c>
      <c r="AX1295" s="3" t="n">
        <v>3</v>
      </c>
      <c r="AY1295" s="3" t="n">
        <v>3</v>
      </c>
      <c r="AZ1295" s="3" t="n">
        <v>1</v>
      </c>
      <c r="BA1295" s="5" t="n">
        <v>5</v>
      </c>
      <c r="BB1295" s="3" t="n">
        <v>2</v>
      </c>
      <c r="BC1295" s="3" t="n">
        <v>1</v>
      </c>
      <c r="BD1295" s="3" t="n">
        <v>6</v>
      </c>
      <c r="BE1295" s="3" t="n">
        <v>3</v>
      </c>
      <c r="BF1295" s="3" t="n">
        <v>5</v>
      </c>
      <c r="BG1295" s="3" t="n">
        <v>3</v>
      </c>
      <c r="BH1295" s="3" t="n">
        <v>4</v>
      </c>
      <c r="BI1295" s="3" t="n">
        <v>1</v>
      </c>
      <c r="BJ1295" s="3" t="n">
        <v>1</v>
      </c>
      <c r="BK1295" s="6" t="s">
        <v>3229</v>
      </c>
    </row>
    <row r="1296" customFormat="false" ht="15" hidden="false" customHeight="true" outlineLevel="0" collapsed="false">
      <c r="B1296" s="2" t="s">
        <v>3230</v>
      </c>
      <c r="C1296" s="2" t="s">
        <v>578</v>
      </c>
      <c r="D1296" s="2" t="s">
        <v>462</v>
      </c>
      <c r="E1296" s="2" t="n">
        <v>215402</v>
      </c>
      <c r="F1296" s="15" t="n">
        <v>44366</v>
      </c>
      <c r="G1296" s="15" t="n">
        <v>44370</v>
      </c>
      <c r="H1296" s="3" t="n">
        <v>4</v>
      </c>
      <c r="I1296" s="3" t="n">
        <v>1</v>
      </c>
      <c r="J1296" s="3" t="n">
        <v>92</v>
      </c>
      <c r="K1296" s="3" t="n">
        <v>1</v>
      </c>
      <c r="L1296" s="3" t="n">
        <v>2</v>
      </c>
      <c r="M1296" s="3" t="n">
        <v>1</v>
      </c>
      <c r="N1296" s="3" t="n">
        <v>2</v>
      </c>
      <c r="O1296" s="3" t="n">
        <v>2</v>
      </c>
      <c r="P1296" s="3" t="n">
        <v>2</v>
      </c>
      <c r="Q1296" s="3" t="n">
        <v>2</v>
      </c>
      <c r="R1296" s="3" t="n">
        <v>2</v>
      </c>
      <c r="S1296" s="3" t="n">
        <v>2</v>
      </c>
      <c r="T1296" s="4" t="n">
        <v>4</v>
      </c>
      <c r="U1296" s="3" t="n">
        <v>4</v>
      </c>
      <c r="AA1296" s="3" t="n">
        <v>0.45</v>
      </c>
      <c r="AB1296" s="3" t="n">
        <v>23.1</v>
      </c>
      <c r="AC1296" s="3" t="n">
        <v>1</v>
      </c>
      <c r="AD1296" s="3" t="n">
        <v>2</v>
      </c>
      <c r="AE1296" s="3" t="n">
        <v>2</v>
      </c>
      <c r="AF1296" s="3" t="n">
        <v>2</v>
      </c>
      <c r="AG1296" s="3" t="n">
        <v>2</v>
      </c>
      <c r="AH1296" s="3" t="n">
        <v>2</v>
      </c>
      <c r="AI1296" s="3" t="n">
        <v>2</v>
      </c>
      <c r="AJ1296" s="3" t="n">
        <v>2</v>
      </c>
      <c r="AK1296" s="3" t="n">
        <v>2</v>
      </c>
      <c r="AL1296" s="3" t="n">
        <v>2</v>
      </c>
      <c r="AM1296" s="3" t="n">
        <v>2</v>
      </c>
      <c r="AN1296" s="3" t="n">
        <v>2</v>
      </c>
      <c r="AO1296" s="3" t="n">
        <v>2</v>
      </c>
      <c r="AP1296" s="3" t="n">
        <v>3</v>
      </c>
      <c r="AQ1296" s="3" t="n">
        <v>4</v>
      </c>
      <c r="AR1296" s="3" t="n">
        <v>4</v>
      </c>
      <c r="AS1296" s="3" t="n">
        <v>6</v>
      </c>
      <c r="AT1296" s="3" t="n">
        <v>4</v>
      </c>
      <c r="AU1296" s="3" t="n">
        <v>4</v>
      </c>
      <c r="AV1296" s="3" t="n">
        <v>6</v>
      </c>
      <c r="AW1296" s="3" t="n">
        <v>6</v>
      </c>
      <c r="AX1296" s="3" t="n">
        <v>3</v>
      </c>
      <c r="AY1296" s="3" t="n">
        <v>3</v>
      </c>
      <c r="AZ1296" s="3" t="n">
        <v>1</v>
      </c>
      <c r="BA1296" s="5" t="n">
        <v>10</v>
      </c>
      <c r="BB1296" s="3" t="n">
        <v>2</v>
      </c>
      <c r="BC1296" s="3" t="n">
        <v>1</v>
      </c>
      <c r="BD1296" s="3" t="n">
        <v>6</v>
      </c>
      <c r="BE1296" s="3" t="n">
        <v>3</v>
      </c>
      <c r="BF1296" s="3" t="n">
        <v>5</v>
      </c>
      <c r="BG1296" s="3" t="n">
        <v>3</v>
      </c>
      <c r="BH1296" s="3" t="n">
        <v>4</v>
      </c>
      <c r="BI1296" s="3" t="n">
        <v>1</v>
      </c>
      <c r="BJ1296" s="3" t="n">
        <v>1</v>
      </c>
      <c r="BK1296" s="6" t="s">
        <v>3231</v>
      </c>
    </row>
    <row r="1297" customFormat="false" ht="15" hidden="false" customHeight="true" outlineLevel="0" collapsed="false">
      <c r="B1297" s="2" t="s">
        <v>3232</v>
      </c>
      <c r="C1297" s="2" t="s">
        <v>2068</v>
      </c>
      <c r="D1297" s="2" t="s">
        <v>763</v>
      </c>
      <c r="E1297" s="2" t="n">
        <v>215347</v>
      </c>
      <c r="F1297" s="15" t="n">
        <v>44370</v>
      </c>
      <c r="G1297" s="15" t="n">
        <v>44373</v>
      </c>
      <c r="H1297" s="3" t="n">
        <v>3</v>
      </c>
      <c r="I1297" s="3" t="n">
        <v>2</v>
      </c>
      <c r="J1297" s="3" t="n">
        <v>54</v>
      </c>
      <c r="K1297" s="3" t="n">
        <v>1</v>
      </c>
      <c r="L1297" s="3" t="n">
        <v>1</v>
      </c>
      <c r="M1297" s="3" t="n">
        <v>1</v>
      </c>
      <c r="N1297" s="3" t="n">
        <v>2</v>
      </c>
      <c r="O1297" s="3" t="n">
        <v>2</v>
      </c>
      <c r="P1297" s="3" t="n">
        <v>2</v>
      </c>
      <c r="Q1297" s="3" t="n">
        <v>2</v>
      </c>
      <c r="R1297" s="3" t="n">
        <v>2</v>
      </c>
      <c r="S1297" s="3" t="n">
        <v>2</v>
      </c>
      <c r="T1297" s="4" t="n">
        <v>6</v>
      </c>
      <c r="U1297" s="3" t="n">
        <v>1</v>
      </c>
      <c r="AC1297" s="3" t="n">
        <v>1</v>
      </c>
      <c r="AD1297" s="3" t="n">
        <v>2</v>
      </c>
      <c r="AE1297" s="3" t="n">
        <v>2</v>
      </c>
      <c r="AF1297" s="3" t="n">
        <v>1</v>
      </c>
      <c r="AG1297" s="3" t="n">
        <v>2</v>
      </c>
      <c r="AH1297" s="3" t="n">
        <v>2</v>
      </c>
      <c r="AI1297" s="3" t="n">
        <v>1</v>
      </c>
      <c r="AJ1297" s="3" t="n">
        <v>2</v>
      </c>
      <c r="AK1297" s="3" t="n">
        <v>2</v>
      </c>
      <c r="AL1297" s="3" t="n">
        <v>2</v>
      </c>
      <c r="AM1297" s="3" t="n">
        <v>2</v>
      </c>
      <c r="AN1297" s="3" t="n">
        <v>2</v>
      </c>
      <c r="AO1297" s="3" t="n">
        <v>2</v>
      </c>
      <c r="AP1297" s="3" t="n">
        <v>3</v>
      </c>
      <c r="AQ1297" s="3" t="n">
        <v>4</v>
      </c>
      <c r="AR1297" s="3" t="n">
        <v>4</v>
      </c>
      <c r="AS1297" s="3" t="n">
        <v>6</v>
      </c>
      <c r="AT1297" s="3" t="n">
        <v>4</v>
      </c>
      <c r="AU1297" s="3" t="n">
        <v>4</v>
      </c>
      <c r="AV1297" s="3" t="n">
        <v>6</v>
      </c>
      <c r="AW1297" s="3" t="n">
        <v>6</v>
      </c>
      <c r="AX1297" s="3" t="n">
        <v>3</v>
      </c>
      <c r="AY1297" s="3" t="n">
        <v>3</v>
      </c>
      <c r="AZ1297" s="3" t="n">
        <v>1</v>
      </c>
      <c r="BA1297" s="5" t="n">
        <v>3</v>
      </c>
      <c r="BB1297" s="3" t="n">
        <v>2</v>
      </c>
      <c r="BC1297" s="3" t="n">
        <v>1</v>
      </c>
      <c r="BD1297" s="3" t="n">
        <v>6</v>
      </c>
      <c r="BE1297" s="3" t="n">
        <v>3</v>
      </c>
      <c r="BF1297" s="3" t="n">
        <v>5</v>
      </c>
      <c r="BG1297" s="3" t="n">
        <v>3</v>
      </c>
      <c r="BH1297" s="3" t="n">
        <v>4</v>
      </c>
      <c r="BI1297" s="3" t="n">
        <v>1</v>
      </c>
      <c r="BJ1297" s="3" t="n">
        <v>1</v>
      </c>
      <c r="BK1297" s="6" t="s">
        <v>3233</v>
      </c>
    </row>
    <row r="1298" customFormat="false" ht="15" hidden="false" customHeight="true" outlineLevel="0" collapsed="false">
      <c r="B1298" s="2" t="s">
        <v>3234</v>
      </c>
      <c r="C1298" s="2" t="s">
        <v>979</v>
      </c>
      <c r="D1298" s="2" t="s">
        <v>197</v>
      </c>
      <c r="E1298" s="2" t="n">
        <v>215298</v>
      </c>
      <c r="F1298" s="15" t="n">
        <v>44365</v>
      </c>
      <c r="G1298" s="15" t="n">
        <v>44372</v>
      </c>
      <c r="H1298" s="3" t="n">
        <v>7</v>
      </c>
      <c r="I1298" s="3" t="n">
        <v>2</v>
      </c>
      <c r="J1298" s="3" t="n">
        <v>54</v>
      </c>
      <c r="K1298" s="3" t="n">
        <v>2</v>
      </c>
      <c r="L1298" s="3" t="n">
        <v>1</v>
      </c>
      <c r="M1298" s="3" t="n">
        <v>1</v>
      </c>
      <c r="N1298" s="3" t="n">
        <v>2</v>
      </c>
      <c r="O1298" s="3" t="n">
        <v>2</v>
      </c>
      <c r="P1298" s="3" t="n">
        <v>2</v>
      </c>
      <c r="Q1298" s="3" t="n">
        <v>2</v>
      </c>
      <c r="R1298" s="3" t="n">
        <v>2</v>
      </c>
      <c r="S1298" s="3" t="n">
        <v>2</v>
      </c>
      <c r="T1298" s="4" t="n">
        <v>1</v>
      </c>
      <c r="U1298" s="3" t="n">
        <v>1</v>
      </c>
      <c r="V1298" s="3" t="n">
        <v>4.94</v>
      </c>
      <c r="W1298" s="3" t="n">
        <v>2.57</v>
      </c>
      <c r="X1298" s="3" t="n">
        <v>4.42</v>
      </c>
      <c r="Y1298" s="3" t="n">
        <v>483</v>
      </c>
      <c r="Z1298" s="3" t="n">
        <v>107</v>
      </c>
      <c r="AB1298" s="3" t="n">
        <v>26.4</v>
      </c>
      <c r="AC1298" s="3" t="n">
        <v>1</v>
      </c>
      <c r="AD1298" s="3" t="n">
        <v>2</v>
      </c>
      <c r="AE1298" s="3" t="n">
        <v>2</v>
      </c>
      <c r="AF1298" s="3" t="n">
        <v>1</v>
      </c>
      <c r="AG1298" s="3" t="n">
        <v>2</v>
      </c>
      <c r="AH1298" s="3" t="n">
        <v>1</v>
      </c>
      <c r="AI1298" s="3" t="n">
        <v>1</v>
      </c>
      <c r="AJ1298" s="3" t="n">
        <v>2</v>
      </c>
      <c r="AK1298" s="3" t="n">
        <v>2</v>
      </c>
      <c r="AL1298" s="3" t="n">
        <v>2</v>
      </c>
      <c r="AM1298" s="3" t="n">
        <v>2</v>
      </c>
      <c r="AN1298" s="3" t="n">
        <v>2</v>
      </c>
      <c r="AO1298" s="3" t="n">
        <v>2</v>
      </c>
      <c r="AP1298" s="3" t="n">
        <v>3</v>
      </c>
      <c r="AQ1298" s="3" t="n">
        <v>4</v>
      </c>
      <c r="AR1298" s="3" t="n">
        <v>4</v>
      </c>
      <c r="AS1298" s="3" t="n">
        <v>6</v>
      </c>
      <c r="AT1298" s="3" t="n">
        <v>4</v>
      </c>
      <c r="AU1298" s="3" t="n">
        <v>4</v>
      </c>
      <c r="AV1298" s="3" t="n">
        <v>6</v>
      </c>
      <c r="AW1298" s="3" t="n">
        <v>6</v>
      </c>
      <c r="AX1298" s="3" t="n">
        <v>3</v>
      </c>
      <c r="AY1298" s="3" t="n">
        <v>3</v>
      </c>
      <c r="AZ1298" s="3" t="n">
        <v>1</v>
      </c>
      <c r="BA1298" s="5" t="n">
        <v>1</v>
      </c>
      <c r="BB1298" s="3" t="n">
        <v>1</v>
      </c>
      <c r="BC1298" s="3" t="n">
        <v>1</v>
      </c>
      <c r="BD1298" s="3" t="n">
        <v>2</v>
      </c>
      <c r="BE1298" s="3" t="n">
        <v>1</v>
      </c>
      <c r="BF1298" s="3" t="n">
        <v>2</v>
      </c>
      <c r="BG1298" s="3" t="n">
        <v>1</v>
      </c>
      <c r="BH1298" s="3" t="n">
        <v>4</v>
      </c>
      <c r="BI1298" s="3" t="n">
        <v>1</v>
      </c>
      <c r="BJ1298" s="3" t="n">
        <v>1</v>
      </c>
      <c r="BK1298" s="6" t="s">
        <v>3235</v>
      </c>
    </row>
    <row r="1299" customFormat="false" ht="15" hidden="false" customHeight="true" outlineLevel="0" collapsed="false">
      <c r="B1299" s="2" t="s">
        <v>2015</v>
      </c>
      <c r="C1299" s="2" t="s">
        <v>3236</v>
      </c>
      <c r="D1299" s="2" t="s">
        <v>577</v>
      </c>
      <c r="E1299" s="2" t="n">
        <v>215431</v>
      </c>
      <c r="F1299" s="15" t="n">
        <v>44367</v>
      </c>
      <c r="G1299" s="15" t="n">
        <v>44373</v>
      </c>
      <c r="H1299" s="3" t="n">
        <v>6</v>
      </c>
      <c r="I1299" s="3" t="n">
        <v>1</v>
      </c>
      <c r="J1299" s="3" t="n">
        <v>79</v>
      </c>
      <c r="K1299" s="3" t="n">
        <v>1</v>
      </c>
      <c r="L1299" s="3" t="n">
        <v>1</v>
      </c>
      <c r="M1299" s="3" t="n">
        <v>1</v>
      </c>
      <c r="N1299" s="3" t="n">
        <v>2</v>
      </c>
      <c r="O1299" s="3" t="n">
        <v>2</v>
      </c>
      <c r="P1299" s="3" t="n">
        <v>2</v>
      </c>
      <c r="Q1299" s="3" t="n">
        <v>1</v>
      </c>
      <c r="R1299" s="3" t="n">
        <v>1</v>
      </c>
      <c r="S1299" s="3" t="n">
        <v>2</v>
      </c>
      <c r="T1299" s="4" t="n">
        <v>4</v>
      </c>
      <c r="U1299" s="3" t="n">
        <v>4</v>
      </c>
      <c r="AD1299" s="3" t="n">
        <v>1</v>
      </c>
      <c r="AE1299" s="3" t="n">
        <v>1</v>
      </c>
      <c r="AF1299" s="3" t="n">
        <v>1</v>
      </c>
      <c r="AG1299" s="3" t="n">
        <v>2</v>
      </c>
      <c r="AH1299" s="3" t="n">
        <v>2</v>
      </c>
      <c r="AI1299" s="3" t="n">
        <v>1</v>
      </c>
      <c r="AJ1299" s="3" t="n">
        <v>1</v>
      </c>
      <c r="AK1299" s="3" t="n">
        <v>2</v>
      </c>
      <c r="AL1299" s="3" t="n">
        <v>2</v>
      </c>
      <c r="AM1299" s="3" t="n">
        <v>1</v>
      </c>
      <c r="AN1299" s="3" t="n">
        <v>2</v>
      </c>
      <c r="AO1299" s="3" t="n">
        <v>2</v>
      </c>
      <c r="AP1299" s="3" t="n">
        <v>3</v>
      </c>
      <c r="AQ1299" s="3" t="n">
        <v>4</v>
      </c>
      <c r="AR1299" s="3" t="n">
        <v>4</v>
      </c>
      <c r="AS1299" s="3" t="n">
        <v>6</v>
      </c>
      <c r="AT1299" s="3" t="n">
        <v>4</v>
      </c>
      <c r="AU1299" s="3" t="n">
        <v>4</v>
      </c>
      <c r="AV1299" s="3" t="n">
        <v>6</v>
      </c>
      <c r="AW1299" s="3" t="n">
        <v>6</v>
      </c>
      <c r="AX1299" s="3" t="n">
        <v>3</v>
      </c>
      <c r="AY1299" s="3" t="n">
        <v>3</v>
      </c>
      <c r="AZ1299" s="3" t="n">
        <v>1</v>
      </c>
      <c r="BA1299" s="5" t="n">
        <v>10</v>
      </c>
      <c r="BB1299" s="3" t="n">
        <v>2</v>
      </c>
      <c r="BC1299" s="3" t="n">
        <v>1</v>
      </c>
      <c r="BD1299" s="3" t="n">
        <v>6</v>
      </c>
      <c r="BE1299" s="3" t="n">
        <v>3</v>
      </c>
      <c r="BF1299" s="3" t="n">
        <v>5</v>
      </c>
      <c r="BG1299" s="3" t="n">
        <v>3</v>
      </c>
      <c r="BH1299" s="3" t="n">
        <v>4</v>
      </c>
      <c r="BI1299" s="3" t="n">
        <v>1</v>
      </c>
      <c r="BJ1299" s="3" t="n">
        <v>1</v>
      </c>
      <c r="BK1299" s="6" t="s">
        <v>3237</v>
      </c>
    </row>
    <row r="1300" customFormat="false" ht="15" hidden="false" customHeight="true" outlineLevel="0" collapsed="false">
      <c r="B1300" s="2" t="s">
        <v>3238</v>
      </c>
      <c r="C1300" s="2" t="s">
        <v>3239</v>
      </c>
      <c r="D1300" s="2" t="s">
        <v>3240</v>
      </c>
      <c r="E1300" s="2" t="n">
        <v>215490</v>
      </c>
      <c r="F1300" s="15" t="n">
        <v>44368</v>
      </c>
      <c r="G1300" s="15" t="n">
        <v>44375</v>
      </c>
      <c r="H1300" s="3" t="n">
        <v>7</v>
      </c>
      <c r="I1300" s="3" t="n">
        <v>2</v>
      </c>
      <c r="J1300" s="3" t="n">
        <v>34</v>
      </c>
      <c r="K1300" s="3" t="n">
        <v>2</v>
      </c>
      <c r="L1300" s="3" t="n">
        <v>1</v>
      </c>
      <c r="M1300" s="3" t="n">
        <v>2</v>
      </c>
      <c r="N1300" s="3" t="n">
        <v>2</v>
      </c>
      <c r="O1300" s="3" t="n">
        <v>2</v>
      </c>
      <c r="P1300" s="3" t="n">
        <v>2</v>
      </c>
      <c r="Q1300" s="3" t="n">
        <v>2</v>
      </c>
      <c r="R1300" s="3" t="n">
        <v>2</v>
      </c>
      <c r="S1300" s="3" t="n">
        <v>2</v>
      </c>
      <c r="T1300" s="4" t="n">
        <v>2</v>
      </c>
      <c r="U1300" s="3" t="n">
        <v>2</v>
      </c>
      <c r="V1300" s="3" t="n">
        <v>6.83</v>
      </c>
      <c r="W1300" s="3" t="n">
        <v>2.38</v>
      </c>
      <c r="X1300" s="3" t="n">
        <v>7.11</v>
      </c>
      <c r="Y1300" s="3" t="n">
        <v>564</v>
      </c>
      <c r="Z1300" s="3" t="n">
        <v>116</v>
      </c>
      <c r="AA1300" s="3" t="n">
        <v>0.44</v>
      </c>
      <c r="AB1300" s="3" t="n">
        <v>18.9</v>
      </c>
      <c r="AC1300" s="3" t="n">
        <v>1</v>
      </c>
      <c r="AD1300" s="3" t="n">
        <v>2</v>
      </c>
      <c r="AE1300" s="3" t="n">
        <v>2</v>
      </c>
      <c r="AF1300" s="3" t="n">
        <v>1</v>
      </c>
      <c r="AG1300" s="3" t="n">
        <v>2</v>
      </c>
      <c r="AH1300" s="3" t="n">
        <v>2</v>
      </c>
      <c r="AI1300" s="3" t="n">
        <v>1</v>
      </c>
      <c r="AJ1300" s="3" t="n">
        <v>2</v>
      </c>
      <c r="AK1300" s="3" t="n">
        <v>2</v>
      </c>
      <c r="AL1300" s="3" t="n">
        <v>2</v>
      </c>
      <c r="AM1300" s="3" t="n">
        <v>2</v>
      </c>
      <c r="AN1300" s="3" t="n">
        <v>2</v>
      </c>
      <c r="AO1300" s="3" t="n">
        <v>2</v>
      </c>
      <c r="AP1300" s="3" t="n">
        <v>3</v>
      </c>
      <c r="AQ1300" s="3" t="n">
        <v>4</v>
      </c>
      <c r="AR1300" s="3" t="n">
        <v>4</v>
      </c>
      <c r="AS1300" s="3" t="n">
        <v>6</v>
      </c>
      <c r="AT1300" s="3" t="n">
        <v>4</v>
      </c>
      <c r="AU1300" s="3" t="n">
        <v>4</v>
      </c>
      <c r="AV1300" s="3" t="n">
        <v>6</v>
      </c>
      <c r="AW1300" s="3" t="n">
        <v>6</v>
      </c>
      <c r="AX1300" s="3" t="n">
        <v>3</v>
      </c>
      <c r="AY1300" s="3" t="n">
        <v>3</v>
      </c>
      <c r="AZ1300" s="3" t="n">
        <v>1</v>
      </c>
      <c r="BA1300" s="5" t="n">
        <v>1</v>
      </c>
      <c r="BB1300" s="3" t="n">
        <v>1</v>
      </c>
      <c r="BC1300" s="3" t="n">
        <v>1</v>
      </c>
      <c r="BD1300" s="3" t="n">
        <v>3</v>
      </c>
      <c r="BE1300" s="3" t="n">
        <v>1</v>
      </c>
      <c r="BF1300" s="3" t="n">
        <v>2</v>
      </c>
      <c r="BG1300" s="3" t="n">
        <v>1</v>
      </c>
      <c r="BH1300" s="3" t="n">
        <v>4</v>
      </c>
      <c r="BI1300" s="3" t="n">
        <v>1</v>
      </c>
      <c r="BJ1300" s="3" t="n">
        <v>1</v>
      </c>
      <c r="BK1300" s="6" t="s">
        <v>3241</v>
      </c>
    </row>
    <row r="1301" customFormat="false" ht="15" hidden="false" customHeight="true" outlineLevel="0" collapsed="false">
      <c r="B1301" s="2" t="s">
        <v>3242</v>
      </c>
      <c r="C1301" s="2" t="s">
        <v>1207</v>
      </c>
      <c r="D1301" s="2" t="s">
        <v>3243</v>
      </c>
      <c r="E1301" s="2" t="n">
        <v>215456</v>
      </c>
      <c r="F1301" s="15" t="n">
        <v>44368</v>
      </c>
      <c r="G1301" s="15" t="n">
        <v>44375</v>
      </c>
      <c r="H1301" s="3" t="n">
        <v>7</v>
      </c>
      <c r="I1301" s="3" t="n">
        <v>1</v>
      </c>
      <c r="J1301" s="3" t="n">
        <v>72</v>
      </c>
      <c r="K1301" s="3" t="n">
        <v>1</v>
      </c>
      <c r="L1301" s="3" t="n">
        <v>1</v>
      </c>
      <c r="M1301" s="3" t="n">
        <v>1</v>
      </c>
      <c r="N1301" s="3" t="n">
        <v>1</v>
      </c>
      <c r="O1301" s="3" t="n">
        <v>2</v>
      </c>
      <c r="P1301" s="3" t="n">
        <v>2</v>
      </c>
      <c r="Q1301" s="3" t="n">
        <v>2</v>
      </c>
      <c r="R1301" s="3" t="n">
        <v>2</v>
      </c>
      <c r="S1301" s="3" t="n">
        <v>2</v>
      </c>
      <c r="T1301" s="4" t="n">
        <v>2</v>
      </c>
      <c r="U1301" s="3" t="n">
        <v>2</v>
      </c>
      <c r="V1301" s="3" t="n">
        <v>5.97</v>
      </c>
      <c r="W1301" s="3" t="n">
        <v>2.35</v>
      </c>
      <c r="X1301" s="3" t="n">
        <v>6.06</v>
      </c>
      <c r="Y1301" s="3" t="n">
        <v>261</v>
      </c>
      <c r="Z1301" s="3" t="n">
        <v>70</v>
      </c>
      <c r="AA1301" s="3" t="n">
        <v>0.39</v>
      </c>
      <c r="AB1301" s="3" t="n">
        <v>6.3</v>
      </c>
      <c r="AC1301" s="3" t="n">
        <v>1</v>
      </c>
      <c r="AD1301" s="3" t="n">
        <v>1</v>
      </c>
      <c r="AE1301" s="3" t="n">
        <v>2</v>
      </c>
      <c r="AF1301" s="3" t="n">
        <v>1</v>
      </c>
      <c r="AG1301" s="3" t="n">
        <v>2</v>
      </c>
      <c r="AH1301" s="3" t="n">
        <v>1</v>
      </c>
      <c r="AI1301" s="3" t="n">
        <v>1</v>
      </c>
      <c r="AJ1301" s="3" t="n">
        <v>1</v>
      </c>
      <c r="AK1301" s="3" t="n">
        <v>2</v>
      </c>
      <c r="AL1301" s="3" t="n">
        <v>2</v>
      </c>
      <c r="AM1301" s="3" t="n">
        <v>2</v>
      </c>
      <c r="AN1301" s="3" t="n">
        <v>2</v>
      </c>
      <c r="AO1301" s="3" t="n">
        <v>2</v>
      </c>
      <c r="AP1301" s="3" t="n">
        <v>3</v>
      </c>
      <c r="AQ1301" s="3" t="n">
        <v>4</v>
      </c>
      <c r="AR1301" s="3" t="n">
        <v>4</v>
      </c>
      <c r="AS1301" s="3" t="n">
        <v>6</v>
      </c>
      <c r="AT1301" s="3" t="n">
        <v>4</v>
      </c>
      <c r="AU1301" s="3" t="n">
        <v>4</v>
      </c>
      <c r="AV1301" s="3" t="n">
        <v>6</v>
      </c>
      <c r="AW1301" s="3" t="n">
        <v>6</v>
      </c>
      <c r="AX1301" s="3" t="n">
        <v>3</v>
      </c>
      <c r="AY1301" s="3" t="n">
        <v>3</v>
      </c>
      <c r="AZ1301" s="3" t="n">
        <v>1</v>
      </c>
      <c r="BA1301" s="5" t="n">
        <v>1</v>
      </c>
      <c r="BB1301" s="3" t="n">
        <v>1</v>
      </c>
      <c r="BC1301" s="3" t="n">
        <v>1</v>
      </c>
      <c r="BD1301" s="3" t="n">
        <v>2</v>
      </c>
      <c r="BE1301" s="3" t="n">
        <v>1</v>
      </c>
      <c r="BF1301" s="3" t="n">
        <v>2</v>
      </c>
      <c r="BG1301" s="3" t="n">
        <v>1</v>
      </c>
      <c r="BH1301" s="3" t="n">
        <v>4</v>
      </c>
      <c r="BI1301" s="3" t="n">
        <v>1</v>
      </c>
      <c r="BJ1301" s="3" t="n">
        <v>1</v>
      </c>
      <c r="BK1301" s="6" t="s">
        <v>3244</v>
      </c>
    </row>
    <row r="1302" customFormat="false" ht="15" hidden="false" customHeight="true" outlineLevel="0" collapsed="false">
      <c r="B1302" s="2" t="s">
        <v>2284</v>
      </c>
      <c r="C1302" s="2" t="s">
        <v>2285</v>
      </c>
      <c r="D1302" s="2" t="s">
        <v>2563</v>
      </c>
      <c r="E1302" s="2" t="n">
        <v>215348</v>
      </c>
      <c r="F1302" s="15" t="n">
        <v>44370</v>
      </c>
      <c r="G1302" s="15" t="n">
        <v>44377</v>
      </c>
      <c r="H1302" s="3" t="n">
        <v>7</v>
      </c>
      <c r="I1302" s="3" t="n">
        <v>1</v>
      </c>
      <c r="J1302" s="3" t="n">
        <v>57</v>
      </c>
      <c r="K1302" s="3" t="n">
        <v>2</v>
      </c>
      <c r="L1302" s="3" t="n">
        <v>1</v>
      </c>
      <c r="M1302" s="3" t="n">
        <v>1</v>
      </c>
      <c r="N1302" s="3" t="n">
        <v>2</v>
      </c>
      <c r="O1302" s="3" t="n">
        <v>2</v>
      </c>
      <c r="P1302" s="3" t="n">
        <v>2</v>
      </c>
      <c r="Q1302" s="3" t="n">
        <v>1</v>
      </c>
      <c r="R1302" s="3" t="n">
        <v>2</v>
      </c>
      <c r="S1302" s="3" t="n">
        <v>1</v>
      </c>
      <c r="T1302" s="4" t="n">
        <v>1</v>
      </c>
      <c r="U1302" s="3" t="n">
        <v>1</v>
      </c>
      <c r="V1302" s="3" t="n">
        <v>4.63</v>
      </c>
      <c r="W1302" s="3" t="n">
        <v>1.35</v>
      </c>
      <c r="X1302" s="3" t="n">
        <v>5.3</v>
      </c>
      <c r="Y1302" s="3" t="n">
        <v>403</v>
      </c>
      <c r="Z1302" s="3" t="n">
        <v>89</v>
      </c>
      <c r="AA1302" s="3" t="n">
        <v>0.5</v>
      </c>
      <c r="AB1302" s="3" t="n">
        <v>11.8</v>
      </c>
      <c r="AC1302" s="3" t="n">
        <v>1</v>
      </c>
      <c r="AD1302" s="3" t="n">
        <v>1</v>
      </c>
      <c r="AE1302" s="3" t="n">
        <v>2</v>
      </c>
      <c r="AF1302" s="3" t="n">
        <v>1</v>
      </c>
      <c r="AG1302" s="3" t="n">
        <v>2</v>
      </c>
      <c r="AH1302" s="3" t="n">
        <v>1</v>
      </c>
      <c r="AI1302" s="3" t="n">
        <v>1</v>
      </c>
      <c r="AJ1302" s="3" t="n">
        <v>1</v>
      </c>
      <c r="AK1302" s="3" t="n">
        <v>2</v>
      </c>
      <c r="AL1302" s="3" t="n">
        <v>2</v>
      </c>
      <c r="AM1302" s="3" t="n">
        <v>2</v>
      </c>
      <c r="AN1302" s="3" t="n">
        <v>2</v>
      </c>
      <c r="AO1302" s="3" t="n">
        <v>2</v>
      </c>
      <c r="AP1302" s="3" t="n">
        <v>3</v>
      </c>
      <c r="AQ1302" s="3" t="n">
        <v>4</v>
      </c>
      <c r="AR1302" s="3" t="n">
        <v>4</v>
      </c>
      <c r="AS1302" s="3" t="n">
        <v>6</v>
      </c>
      <c r="AT1302" s="3" t="n">
        <v>4</v>
      </c>
      <c r="AU1302" s="3" t="n">
        <v>4</v>
      </c>
      <c r="AV1302" s="3" t="n">
        <v>6</v>
      </c>
      <c r="AW1302" s="3" t="n">
        <v>6</v>
      </c>
      <c r="AX1302" s="3" t="n">
        <v>3</v>
      </c>
      <c r="AY1302" s="3" t="n">
        <v>3</v>
      </c>
      <c r="AZ1302" s="3" t="n">
        <v>1</v>
      </c>
      <c r="BA1302" s="5" t="n">
        <v>1</v>
      </c>
      <c r="BB1302" s="3" t="n">
        <v>1</v>
      </c>
      <c r="BC1302" s="3" t="n">
        <v>1</v>
      </c>
      <c r="BD1302" s="3" t="n">
        <v>4</v>
      </c>
      <c r="BE1302" s="3" t="n">
        <v>3</v>
      </c>
      <c r="BF1302" s="3" t="n">
        <v>5</v>
      </c>
      <c r="BG1302" s="3" t="n">
        <v>3</v>
      </c>
      <c r="BH1302" s="3" t="n">
        <v>4</v>
      </c>
      <c r="BI1302" s="3" t="n">
        <v>1</v>
      </c>
      <c r="BJ1302" s="3" t="n">
        <v>1</v>
      </c>
      <c r="BK1302" s="6" t="s">
        <v>3245</v>
      </c>
    </row>
    <row r="1303" customFormat="false" ht="15" hidden="false" customHeight="true" outlineLevel="0" collapsed="false">
      <c r="B1303" s="2" t="s">
        <v>3246</v>
      </c>
      <c r="C1303" s="2" t="s">
        <v>127</v>
      </c>
      <c r="D1303" s="2" t="s">
        <v>433</v>
      </c>
      <c r="E1303" s="2" t="n">
        <v>215560</v>
      </c>
      <c r="F1303" s="15" t="n">
        <v>44372</v>
      </c>
      <c r="G1303" s="15" t="n">
        <v>44378</v>
      </c>
      <c r="H1303" s="3" t="n">
        <v>6</v>
      </c>
      <c r="I1303" s="3" t="n">
        <v>2</v>
      </c>
      <c r="J1303" s="3" t="n">
        <v>70</v>
      </c>
      <c r="K1303" s="3" t="n">
        <v>1</v>
      </c>
      <c r="L1303" s="3" t="n">
        <v>1</v>
      </c>
      <c r="M1303" s="3" t="n">
        <v>1</v>
      </c>
      <c r="N1303" s="3" t="n">
        <v>2</v>
      </c>
      <c r="O1303" s="3" t="n">
        <v>2</v>
      </c>
      <c r="P1303" s="3" t="n">
        <v>2</v>
      </c>
      <c r="Q1303" s="3" t="n">
        <v>2</v>
      </c>
      <c r="R1303" s="3" t="n">
        <v>2</v>
      </c>
      <c r="S1303" s="3" t="n">
        <v>2</v>
      </c>
      <c r="T1303" s="4" t="n">
        <v>6</v>
      </c>
      <c r="U1303" s="3" t="n">
        <v>4</v>
      </c>
      <c r="V1303" s="3" t="n">
        <v>4.85</v>
      </c>
      <c r="W1303" s="3" t="n">
        <v>1.31</v>
      </c>
      <c r="X1303" s="3" t="n">
        <v>3.2</v>
      </c>
      <c r="Y1303" s="3" t="n">
        <v>417</v>
      </c>
      <c r="Z1303" s="3" t="n">
        <v>92</v>
      </c>
      <c r="AA1303" s="3" t="n">
        <v>0.47</v>
      </c>
      <c r="AB1303" s="3" t="n">
        <v>7</v>
      </c>
      <c r="AC1303" s="3" t="n">
        <v>3</v>
      </c>
      <c r="AD1303" s="3" t="n">
        <v>2</v>
      </c>
      <c r="AE1303" s="3" t="n">
        <v>2</v>
      </c>
      <c r="AF1303" s="3" t="n">
        <v>2</v>
      </c>
      <c r="AG1303" s="3" t="n">
        <v>2</v>
      </c>
      <c r="AH1303" s="3" t="n">
        <v>2</v>
      </c>
      <c r="AI1303" s="3" t="n">
        <v>2</v>
      </c>
      <c r="AJ1303" s="3" t="n">
        <v>1</v>
      </c>
      <c r="AK1303" s="3" t="n">
        <v>2</v>
      </c>
      <c r="AL1303" s="3" t="n">
        <v>2</v>
      </c>
      <c r="AM1303" s="3" t="n">
        <v>2</v>
      </c>
      <c r="AN1303" s="3" t="n">
        <v>2</v>
      </c>
      <c r="AO1303" s="3" t="n">
        <v>2</v>
      </c>
      <c r="AP1303" s="3" t="n">
        <v>3</v>
      </c>
      <c r="AQ1303" s="3" t="n">
        <v>4</v>
      </c>
      <c r="AR1303" s="3" t="n">
        <v>4</v>
      </c>
      <c r="AS1303" s="3" t="n">
        <v>6</v>
      </c>
      <c r="AT1303" s="3" t="n">
        <v>4</v>
      </c>
      <c r="AU1303" s="3" t="n">
        <v>4</v>
      </c>
      <c r="AV1303" s="3" t="n">
        <v>6</v>
      </c>
      <c r="AW1303" s="3" t="n">
        <v>6</v>
      </c>
      <c r="AX1303" s="3" t="n">
        <v>3</v>
      </c>
      <c r="AY1303" s="3" t="n">
        <v>3</v>
      </c>
      <c r="AZ1303" s="3" t="n">
        <v>1</v>
      </c>
      <c r="BA1303" s="5" t="n">
        <v>10</v>
      </c>
      <c r="BB1303" s="3" t="n">
        <v>2</v>
      </c>
      <c r="BC1303" s="3" t="n">
        <v>1</v>
      </c>
      <c r="BD1303" s="3" t="n">
        <v>6</v>
      </c>
      <c r="BE1303" s="3" t="n">
        <v>3</v>
      </c>
      <c r="BF1303" s="3" t="n">
        <v>5</v>
      </c>
      <c r="BG1303" s="3" t="n">
        <v>3</v>
      </c>
      <c r="BH1303" s="3" t="n">
        <v>4</v>
      </c>
      <c r="BI1303" s="3" t="n">
        <v>1</v>
      </c>
      <c r="BJ1303" s="3" t="n">
        <v>1</v>
      </c>
      <c r="BK1303" s="6" t="s">
        <v>3247</v>
      </c>
    </row>
    <row r="1304" customFormat="false" ht="15" hidden="false" customHeight="true" outlineLevel="0" collapsed="false">
      <c r="B1304" s="2" t="s">
        <v>3248</v>
      </c>
      <c r="C1304" s="2" t="s">
        <v>3249</v>
      </c>
      <c r="D1304" s="2" t="s">
        <v>78</v>
      </c>
      <c r="E1304" s="2" t="n">
        <v>215547</v>
      </c>
      <c r="F1304" s="15" t="n">
        <v>44372</v>
      </c>
      <c r="G1304" s="15" t="n">
        <v>44378</v>
      </c>
      <c r="H1304" s="3" t="n">
        <v>6</v>
      </c>
      <c r="I1304" s="3" t="n">
        <v>1</v>
      </c>
      <c r="J1304" s="3" t="n">
        <v>25</v>
      </c>
      <c r="K1304" s="3" t="n">
        <v>1</v>
      </c>
      <c r="L1304" s="3" t="n">
        <v>1</v>
      </c>
      <c r="M1304" s="3" t="n">
        <v>1</v>
      </c>
      <c r="N1304" s="3" t="n">
        <v>2</v>
      </c>
      <c r="O1304" s="3" t="n">
        <v>2</v>
      </c>
      <c r="P1304" s="3" t="n">
        <v>1</v>
      </c>
      <c r="Q1304" s="3" t="n">
        <v>1</v>
      </c>
      <c r="R1304" s="3" t="n">
        <v>2</v>
      </c>
      <c r="S1304" s="3" t="n">
        <v>2</v>
      </c>
      <c r="T1304" s="4" t="n">
        <v>2</v>
      </c>
      <c r="U1304" s="3" t="n">
        <v>2</v>
      </c>
      <c r="V1304" s="3" t="n">
        <v>4.63</v>
      </c>
      <c r="W1304" s="3" t="n">
        <v>2.02</v>
      </c>
      <c r="X1304" s="3" t="n">
        <v>7.65</v>
      </c>
      <c r="Y1304" s="3" t="n">
        <v>426</v>
      </c>
      <c r="Z1304" s="3" t="n">
        <v>89</v>
      </c>
      <c r="AA1304" s="3" t="n">
        <v>0.5</v>
      </c>
      <c r="AB1304" s="3" t="n">
        <v>15.2</v>
      </c>
      <c r="AC1304" s="3" t="n">
        <v>1</v>
      </c>
      <c r="AD1304" s="3" t="n">
        <v>2</v>
      </c>
      <c r="AE1304" s="3" t="n">
        <v>2</v>
      </c>
      <c r="AF1304" s="3" t="n">
        <v>1</v>
      </c>
      <c r="AG1304" s="3" t="n">
        <v>2</v>
      </c>
      <c r="AH1304" s="3" t="n">
        <v>2</v>
      </c>
      <c r="AI1304" s="3" t="n">
        <v>1</v>
      </c>
      <c r="AJ1304" s="3" t="n">
        <v>1</v>
      </c>
      <c r="AK1304" s="3" t="n">
        <v>2</v>
      </c>
      <c r="AL1304" s="3" t="n">
        <v>2</v>
      </c>
      <c r="AM1304" s="3" t="n">
        <v>1</v>
      </c>
      <c r="AN1304" s="3" t="n">
        <v>2</v>
      </c>
      <c r="AO1304" s="3" t="n">
        <v>2</v>
      </c>
      <c r="AP1304" s="3" t="n">
        <v>3</v>
      </c>
      <c r="AQ1304" s="3" t="n">
        <v>4</v>
      </c>
      <c r="AR1304" s="3" t="n">
        <v>4</v>
      </c>
      <c r="AS1304" s="3" t="n">
        <v>6</v>
      </c>
      <c r="AT1304" s="3" t="n">
        <v>4</v>
      </c>
      <c r="AU1304" s="3" t="n">
        <v>4</v>
      </c>
      <c r="AV1304" s="3" t="n">
        <v>6</v>
      </c>
      <c r="AW1304" s="3" t="n">
        <v>6</v>
      </c>
      <c r="AX1304" s="3" t="n">
        <v>3</v>
      </c>
      <c r="AY1304" s="3" t="n">
        <v>3</v>
      </c>
      <c r="AZ1304" s="3" t="n">
        <v>1</v>
      </c>
      <c r="BA1304" s="5" t="n">
        <v>1</v>
      </c>
      <c r="BB1304" s="3" t="n">
        <v>1</v>
      </c>
      <c r="BC1304" s="3" t="n">
        <v>1</v>
      </c>
      <c r="BD1304" s="3" t="n">
        <v>4</v>
      </c>
      <c r="BE1304" s="3" t="n">
        <v>1</v>
      </c>
      <c r="BF1304" s="3" t="n">
        <v>2</v>
      </c>
      <c r="BG1304" s="3" t="n">
        <v>1</v>
      </c>
      <c r="BH1304" s="3" t="n">
        <v>4</v>
      </c>
      <c r="BI1304" s="3" t="n">
        <v>1</v>
      </c>
      <c r="BJ1304" s="3" t="n">
        <v>1</v>
      </c>
      <c r="BK1304" s="6" t="s">
        <v>3250</v>
      </c>
    </row>
    <row r="1305" customFormat="false" ht="15" hidden="false" customHeight="true" outlineLevel="0" collapsed="false">
      <c r="B1305" s="2" t="s">
        <v>3251</v>
      </c>
      <c r="C1305" s="2" t="s">
        <v>153</v>
      </c>
      <c r="D1305" s="2" t="s">
        <v>153</v>
      </c>
      <c r="E1305" s="2" t="n">
        <v>215675</v>
      </c>
      <c r="F1305" s="15" t="n">
        <v>44376</v>
      </c>
      <c r="G1305" s="15" t="n">
        <v>44382</v>
      </c>
      <c r="H1305" s="3" t="n">
        <v>6</v>
      </c>
      <c r="I1305" s="3" t="n">
        <v>1</v>
      </c>
      <c r="J1305" s="3" t="n">
        <v>65</v>
      </c>
      <c r="K1305" s="3" t="n">
        <v>1</v>
      </c>
      <c r="L1305" s="3" t="n">
        <v>1</v>
      </c>
      <c r="M1305" s="3" t="n">
        <v>2</v>
      </c>
      <c r="N1305" s="3" t="n">
        <v>2</v>
      </c>
      <c r="O1305" s="3" t="n">
        <v>2</v>
      </c>
      <c r="P1305" s="3" t="n">
        <v>2</v>
      </c>
      <c r="Q1305" s="3" t="n">
        <v>2</v>
      </c>
      <c r="R1305" s="3" t="n">
        <v>2</v>
      </c>
      <c r="S1305" s="3" t="n">
        <v>2</v>
      </c>
      <c r="T1305" s="4" t="n">
        <v>1</v>
      </c>
      <c r="U1305" s="3" t="n">
        <v>1</v>
      </c>
      <c r="V1305" s="3" t="n">
        <v>4.3</v>
      </c>
      <c r="W1305" s="3" t="n">
        <v>2.64</v>
      </c>
      <c r="X1305" s="3" t="n">
        <v>16.77</v>
      </c>
      <c r="Y1305" s="3" t="n">
        <v>344</v>
      </c>
      <c r="Z1305" s="3" t="n">
        <v>89</v>
      </c>
      <c r="AA1305" s="3" t="n">
        <v>0.47</v>
      </c>
      <c r="AB1305" s="3" t="n">
        <v>6.8</v>
      </c>
      <c r="AC1305" s="3" t="n">
        <v>1</v>
      </c>
      <c r="AD1305" s="3" t="n">
        <v>1</v>
      </c>
      <c r="AE1305" s="3" t="n">
        <v>1</v>
      </c>
      <c r="AF1305" s="3" t="n">
        <v>1</v>
      </c>
      <c r="AG1305" s="3" t="n">
        <v>2</v>
      </c>
      <c r="AH1305" s="3" t="n">
        <v>2</v>
      </c>
      <c r="AI1305" s="3" t="n">
        <v>1</v>
      </c>
      <c r="AJ1305" s="3" t="n">
        <v>1</v>
      </c>
      <c r="AK1305" s="3" t="n">
        <v>2</v>
      </c>
      <c r="AL1305" s="3" t="n">
        <v>2</v>
      </c>
      <c r="AM1305" s="3" t="n">
        <v>2</v>
      </c>
      <c r="AN1305" s="3" t="n">
        <v>2</v>
      </c>
      <c r="AO1305" s="3" t="n">
        <v>2</v>
      </c>
      <c r="AP1305" s="3" t="n">
        <v>3</v>
      </c>
      <c r="AQ1305" s="3" t="n">
        <v>4</v>
      </c>
      <c r="AR1305" s="3" t="n">
        <v>4</v>
      </c>
      <c r="AS1305" s="3" t="n">
        <v>6</v>
      </c>
      <c r="AT1305" s="3" t="n">
        <v>4</v>
      </c>
      <c r="AU1305" s="3" t="n">
        <v>4</v>
      </c>
      <c r="AV1305" s="3" t="n">
        <v>6</v>
      </c>
      <c r="AW1305" s="3" t="n">
        <v>6</v>
      </c>
      <c r="AX1305" s="3" t="n">
        <v>3</v>
      </c>
      <c r="AY1305" s="3" t="n">
        <v>3</v>
      </c>
      <c r="AZ1305" s="3" t="n">
        <v>1</v>
      </c>
      <c r="BA1305" s="5" t="n">
        <v>5</v>
      </c>
      <c r="BB1305" s="3" t="n">
        <v>2</v>
      </c>
      <c r="BC1305" s="3" t="n">
        <v>1</v>
      </c>
      <c r="BD1305" s="3" t="n">
        <v>6</v>
      </c>
      <c r="BE1305" s="3" t="n">
        <v>3</v>
      </c>
      <c r="BF1305" s="3" t="n">
        <v>5</v>
      </c>
      <c r="BG1305" s="3" t="n">
        <v>3</v>
      </c>
      <c r="BH1305" s="3" t="n">
        <v>4</v>
      </c>
      <c r="BI1305" s="3" t="n">
        <v>1</v>
      </c>
      <c r="BJ1305" s="3" t="n">
        <v>1</v>
      </c>
      <c r="BK1305" s="6" t="s">
        <v>3252</v>
      </c>
    </row>
    <row r="1306" customFormat="false" ht="15" hidden="false" customHeight="true" outlineLevel="0" collapsed="false">
      <c r="B1306" s="2" t="s">
        <v>1890</v>
      </c>
      <c r="C1306" s="2" t="s">
        <v>127</v>
      </c>
      <c r="D1306" s="2" t="s">
        <v>2584</v>
      </c>
      <c r="E1306" s="2" t="n">
        <v>215518</v>
      </c>
      <c r="F1306" s="15" t="n">
        <v>44373</v>
      </c>
      <c r="G1306" s="15" t="n">
        <v>44379</v>
      </c>
      <c r="H1306" s="3" t="n">
        <v>6</v>
      </c>
      <c r="I1306" s="3" t="n">
        <v>2</v>
      </c>
      <c r="J1306" s="3" t="n">
        <v>65</v>
      </c>
      <c r="K1306" s="3" t="n">
        <v>2</v>
      </c>
      <c r="L1306" s="3" t="n">
        <v>1</v>
      </c>
      <c r="M1306" s="3" t="n">
        <v>2</v>
      </c>
      <c r="N1306" s="3" t="n">
        <v>2</v>
      </c>
      <c r="O1306" s="3" t="n">
        <v>2</v>
      </c>
      <c r="P1306" s="3" t="n">
        <v>2</v>
      </c>
      <c r="Q1306" s="3" t="n">
        <v>2</v>
      </c>
      <c r="R1306" s="3" t="n">
        <v>2</v>
      </c>
      <c r="S1306" s="3" t="n">
        <v>2</v>
      </c>
      <c r="T1306" s="4" t="n">
        <v>2</v>
      </c>
      <c r="U1306" s="3" t="n">
        <v>2</v>
      </c>
      <c r="V1306" s="3" t="n">
        <v>4.5</v>
      </c>
      <c r="W1306" s="3" t="n">
        <v>1.34</v>
      </c>
      <c r="X1306" s="3" t="n">
        <v>4.08</v>
      </c>
      <c r="Y1306" s="3" t="n">
        <v>338</v>
      </c>
      <c r="Z1306" s="3" t="n">
        <v>82</v>
      </c>
      <c r="AA1306" s="3" t="n">
        <v>0.44</v>
      </c>
      <c r="AB1306" s="3" t="n">
        <v>12.1</v>
      </c>
      <c r="AC1306" s="3" t="n">
        <v>1</v>
      </c>
      <c r="AD1306" s="3" t="n">
        <v>2</v>
      </c>
      <c r="AE1306" s="3" t="n">
        <v>1</v>
      </c>
      <c r="AF1306" s="3" t="n">
        <v>1</v>
      </c>
      <c r="AG1306" s="3" t="n">
        <v>2</v>
      </c>
      <c r="AH1306" s="3" t="n">
        <v>2</v>
      </c>
      <c r="AI1306" s="3" t="n">
        <v>1</v>
      </c>
      <c r="AJ1306" s="3" t="n">
        <v>2</v>
      </c>
      <c r="AK1306" s="3" t="n">
        <v>2</v>
      </c>
      <c r="AL1306" s="3" t="n">
        <v>2</v>
      </c>
      <c r="AM1306" s="3" t="n">
        <v>2</v>
      </c>
      <c r="AN1306" s="3" t="n">
        <v>2</v>
      </c>
      <c r="AO1306" s="3" t="n">
        <v>2</v>
      </c>
      <c r="AP1306" s="3" t="n">
        <v>3</v>
      </c>
      <c r="AQ1306" s="3" t="n">
        <v>4</v>
      </c>
      <c r="AR1306" s="3" t="n">
        <v>4</v>
      </c>
      <c r="AS1306" s="3" t="n">
        <v>6</v>
      </c>
      <c r="AT1306" s="3" t="n">
        <v>4</v>
      </c>
      <c r="AU1306" s="3" t="n">
        <v>4</v>
      </c>
      <c r="AV1306" s="3" t="n">
        <v>6</v>
      </c>
      <c r="AW1306" s="3" t="n">
        <v>6</v>
      </c>
      <c r="AX1306" s="3" t="n">
        <v>3</v>
      </c>
      <c r="AY1306" s="3" t="n">
        <v>3</v>
      </c>
      <c r="AZ1306" s="3" t="n">
        <v>6</v>
      </c>
      <c r="BA1306" s="5" t="n">
        <v>1</v>
      </c>
      <c r="BB1306" s="3" t="n">
        <v>1</v>
      </c>
      <c r="BC1306" s="3" t="n">
        <v>1</v>
      </c>
      <c r="BD1306" s="3" t="n">
        <v>4</v>
      </c>
      <c r="BE1306" s="3" t="n">
        <v>1</v>
      </c>
      <c r="BF1306" s="3" t="n">
        <v>2</v>
      </c>
      <c r="BG1306" s="3" t="n">
        <v>1</v>
      </c>
      <c r="BH1306" s="3" t="n">
        <v>4</v>
      </c>
      <c r="BI1306" s="3" t="n">
        <v>1</v>
      </c>
      <c r="BJ1306" s="3" t="n">
        <v>1</v>
      </c>
      <c r="BK1306" s="6" t="s">
        <v>3253</v>
      </c>
    </row>
    <row r="1307" customFormat="false" ht="15" hidden="false" customHeight="true" outlineLevel="0" collapsed="false">
      <c r="B1307" s="2" t="s">
        <v>1901</v>
      </c>
      <c r="C1307" s="2" t="s">
        <v>78</v>
      </c>
      <c r="D1307" s="2" t="s">
        <v>153</v>
      </c>
      <c r="E1307" s="2" t="n">
        <v>215621</v>
      </c>
      <c r="F1307" s="15" t="n">
        <v>44376</v>
      </c>
      <c r="G1307" s="15" t="n">
        <v>44383</v>
      </c>
      <c r="H1307" s="3" t="n">
        <v>7</v>
      </c>
      <c r="I1307" s="3" t="n">
        <v>1</v>
      </c>
      <c r="J1307" s="3" t="n">
        <v>58</v>
      </c>
      <c r="K1307" s="3" t="n">
        <v>1</v>
      </c>
      <c r="L1307" s="3" t="n">
        <v>1</v>
      </c>
      <c r="M1307" s="3" t="n">
        <v>1</v>
      </c>
      <c r="N1307" s="3" t="n">
        <v>2</v>
      </c>
      <c r="O1307" s="3" t="n">
        <v>1</v>
      </c>
      <c r="P1307" s="3" t="n">
        <v>1</v>
      </c>
      <c r="Q1307" s="3" t="n">
        <v>1</v>
      </c>
      <c r="R1307" s="3" t="n">
        <v>1</v>
      </c>
      <c r="S1307" s="3" t="n">
        <v>2</v>
      </c>
      <c r="T1307" s="4" t="n">
        <v>2</v>
      </c>
      <c r="U1307" s="3" t="n">
        <v>2</v>
      </c>
      <c r="V1307" s="3" t="n">
        <v>5.36</v>
      </c>
      <c r="W1307" s="3" t="n">
        <v>1.61</v>
      </c>
      <c r="X1307" s="3" t="n">
        <v>14.71</v>
      </c>
      <c r="Y1307" s="3" t="n">
        <v>521</v>
      </c>
      <c r="Z1307" s="3" t="n">
        <v>141</v>
      </c>
      <c r="AA1307" s="3" t="n">
        <v>0.45</v>
      </c>
      <c r="AB1307" s="3" t="n">
        <v>15</v>
      </c>
      <c r="AC1307" s="3" t="n">
        <v>2</v>
      </c>
      <c r="AD1307" s="3" t="n">
        <v>2</v>
      </c>
      <c r="AE1307" s="3" t="n">
        <v>2</v>
      </c>
      <c r="AF1307" s="3" t="n">
        <v>1</v>
      </c>
      <c r="AG1307" s="3" t="n">
        <v>2</v>
      </c>
      <c r="AH1307" s="3" t="n">
        <v>2</v>
      </c>
      <c r="AI1307" s="3" t="n">
        <v>1</v>
      </c>
      <c r="AJ1307" s="3" t="n">
        <v>2</v>
      </c>
      <c r="AK1307" s="3" t="n">
        <v>1</v>
      </c>
      <c r="AL1307" s="3" t="n">
        <v>2</v>
      </c>
      <c r="AM1307" s="3" t="n">
        <v>1</v>
      </c>
      <c r="AN1307" s="3" t="n">
        <v>2</v>
      </c>
      <c r="AO1307" s="3" t="n">
        <v>2</v>
      </c>
      <c r="AP1307" s="3" t="n">
        <v>3</v>
      </c>
      <c r="AQ1307" s="3" t="n">
        <v>4</v>
      </c>
      <c r="AR1307" s="3" t="n">
        <v>4</v>
      </c>
      <c r="AS1307" s="3" t="n">
        <v>6</v>
      </c>
      <c r="AT1307" s="3" t="n">
        <v>4</v>
      </c>
      <c r="AU1307" s="3" t="n">
        <v>4</v>
      </c>
      <c r="AV1307" s="3" t="n">
        <v>6</v>
      </c>
      <c r="AW1307" s="3" t="n">
        <v>6</v>
      </c>
      <c r="AX1307" s="3" t="n">
        <v>3</v>
      </c>
      <c r="AY1307" s="3" t="n">
        <v>3</v>
      </c>
      <c r="AZ1307" s="3" t="n">
        <v>4</v>
      </c>
      <c r="BA1307" s="5" t="n">
        <v>1</v>
      </c>
      <c r="BB1307" s="3" t="n">
        <v>1</v>
      </c>
      <c r="BC1307" s="3" t="n">
        <v>1</v>
      </c>
      <c r="BD1307" s="3" t="n">
        <v>2</v>
      </c>
      <c r="BE1307" s="3" t="n">
        <v>1</v>
      </c>
      <c r="BF1307" s="3" t="n">
        <v>2</v>
      </c>
      <c r="BG1307" s="3" t="n">
        <v>1</v>
      </c>
      <c r="BH1307" s="3" t="n">
        <v>4</v>
      </c>
      <c r="BI1307" s="3" t="n">
        <v>1</v>
      </c>
      <c r="BJ1307" s="3" t="n">
        <v>1</v>
      </c>
      <c r="BK1307" s="6" t="s">
        <v>3254</v>
      </c>
    </row>
    <row r="1308" customFormat="false" ht="15" hidden="false" customHeight="true" outlineLevel="0" collapsed="false">
      <c r="B1308" s="2" t="s">
        <v>286</v>
      </c>
      <c r="C1308" s="2" t="s">
        <v>3255</v>
      </c>
      <c r="D1308" s="2" t="s">
        <v>78</v>
      </c>
      <c r="E1308" s="2" t="n">
        <v>215823</v>
      </c>
      <c r="F1308" s="15" t="n">
        <v>44378</v>
      </c>
      <c r="G1308" s="15" t="n">
        <v>44383</v>
      </c>
      <c r="H1308" s="3" t="n">
        <v>5</v>
      </c>
      <c r="I1308" s="3" t="n">
        <v>2</v>
      </c>
      <c r="J1308" s="3" t="n">
        <v>68</v>
      </c>
      <c r="K1308" s="3" t="n">
        <v>1</v>
      </c>
      <c r="L1308" s="3" t="n">
        <v>2</v>
      </c>
      <c r="M1308" s="3" t="n">
        <v>1</v>
      </c>
      <c r="N1308" s="3" t="n">
        <v>1</v>
      </c>
      <c r="O1308" s="3" t="n">
        <v>2</v>
      </c>
      <c r="P1308" s="3" t="n">
        <v>2</v>
      </c>
      <c r="Q1308" s="3" t="n">
        <v>2</v>
      </c>
      <c r="R1308" s="3" t="n">
        <v>2</v>
      </c>
      <c r="S1308" s="3" t="n">
        <v>2</v>
      </c>
      <c r="T1308" s="4" t="n">
        <v>1</v>
      </c>
      <c r="U1308" s="3" t="n">
        <v>1</v>
      </c>
      <c r="V1308" s="3" t="n">
        <v>3.28</v>
      </c>
      <c r="W1308" s="3" t="n">
        <v>1.08</v>
      </c>
      <c r="Y1308" s="3" t="n">
        <v>343</v>
      </c>
      <c r="Z1308" s="3" t="n">
        <v>86</v>
      </c>
      <c r="AA1308" s="3" t="n">
        <v>0.4</v>
      </c>
      <c r="AB1308" s="3" t="n">
        <v>10.8</v>
      </c>
      <c r="AC1308" s="3" t="n">
        <v>1</v>
      </c>
      <c r="AD1308" s="3" t="n">
        <v>1</v>
      </c>
      <c r="AE1308" s="3" t="n">
        <v>1</v>
      </c>
      <c r="AF1308" s="3" t="n">
        <v>1</v>
      </c>
      <c r="AG1308" s="3" t="n">
        <v>2</v>
      </c>
      <c r="AH1308" s="3" t="n">
        <v>2</v>
      </c>
      <c r="AI1308" s="3" t="n">
        <v>1</v>
      </c>
      <c r="AJ1308" s="3" t="n">
        <v>1</v>
      </c>
      <c r="AK1308" s="3" t="n">
        <v>2</v>
      </c>
      <c r="AL1308" s="3" t="n">
        <v>2</v>
      </c>
      <c r="AM1308" s="3" t="n">
        <v>1</v>
      </c>
      <c r="AN1308" s="3" t="n">
        <v>2</v>
      </c>
      <c r="AO1308" s="3" t="n">
        <v>2</v>
      </c>
      <c r="AP1308" s="3" t="n">
        <v>3</v>
      </c>
      <c r="AQ1308" s="3" t="n">
        <v>4</v>
      </c>
      <c r="AR1308" s="3" t="n">
        <v>4</v>
      </c>
      <c r="AS1308" s="3" t="n">
        <v>6</v>
      </c>
      <c r="AT1308" s="3" t="n">
        <v>4</v>
      </c>
      <c r="AU1308" s="3" t="n">
        <v>4</v>
      </c>
      <c r="AV1308" s="3" t="n">
        <v>6</v>
      </c>
      <c r="AW1308" s="3" t="n">
        <v>6</v>
      </c>
      <c r="AX1308" s="3" t="n">
        <v>3</v>
      </c>
      <c r="AY1308" s="3" t="n">
        <v>3</v>
      </c>
      <c r="AZ1308" s="3" t="n">
        <v>1</v>
      </c>
      <c r="BA1308" s="5" t="n">
        <v>5</v>
      </c>
      <c r="BB1308" s="3" t="n">
        <v>2</v>
      </c>
      <c r="BC1308" s="3" t="n">
        <v>1</v>
      </c>
      <c r="BD1308" s="3" t="n">
        <v>6</v>
      </c>
      <c r="BE1308" s="3" t="n">
        <v>3</v>
      </c>
      <c r="BF1308" s="3" t="n">
        <v>5</v>
      </c>
      <c r="BG1308" s="3" t="n">
        <v>3</v>
      </c>
      <c r="BH1308" s="3" t="n">
        <v>4</v>
      </c>
      <c r="BI1308" s="3" t="n">
        <v>1</v>
      </c>
      <c r="BJ1308" s="3" t="n">
        <v>1</v>
      </c>
      <c r="BK1308" s="6" t="s">
        <v>3256</v>
      </c>
    </row>
    <row r="1309" customFormat="false" ht="15.75" hidden="false" customHeight="true" outlineLevel="0" collapsed="false">
      <c r="B1309" s="14" t="s">
        <v>1138</v>
      </c>
      <c r="C1309" s="14" t="s">
        <v>95</v>
      </c>
      <c r="D1309" s="14" t="s">
        <v>3161</v>
      </c>
      <c r="E1309" s="14" t="n">
        <v>213787</v>
      </c>
      <c r="F1309" s="22" t="n">
        <v>44378</v>
      </c>
      <c r="G1309" s="22" t="n">
        <v>44384</v>
      </c>
      <c r="H1309" s="3" t="n">
        <v>6</v>
      </c>
      <c r="I1309" s="3" t="n">
        <v>2</v>
      </c>
      <c r="J1309" s="3" t="n">
        <v>56</v>
      </c>
      <c r="K1309" s="3" t="n">
        <v>1</v>
      </c>
      <c r="L1309" s="3" t="n">
        <v>2</v>
      </c>
      <c r="M1309" s="3" t="n">
        <v>1</v>
      </c>
      <c r="N1309" s="3" t="n">
        <v>2</v>
      </c>
      <c r="O1309" s="3" t="n">
        <v>1</v>
      </c>
      <c r="P1309" s="3" t="n">
        <v>2</v>
      </c>
      <c r="Q1309" s="3" t="n">
        <v>1</v>
      </c>
      <c r="R1309" s="3" t="n">
        <v>2</v>
      </c>
      <c r="S1309" s="3" t="n">
        <v>1</v>
      </c>
      <c r="T1309" s="4" t="n">
        <v>1</v>
      </c>
      <c r="U1309" s="3" t="n">
        <v>1</v>
      </c>
      <c r="V1309" s="3" t="n">
        <v>4</v>
      </c>
      <c r="W1309" s="3" t="n">
        <v>0.91</v>
      </c>
      <c r="X1309" s="3" t="n">
        <v>6.58</v>
      </c>
      <c r="Y1309" s="3" t="n">
        <v>545</v>
      </c>
      <c r="Z1309" s="3" t="n">
        <v>118</v>
      </c>
      <c r="AA1309" s="3" t="n">
        <v>0.35</v>
      </c>
      <c r="AB1309" s="3" t="n">
        <v>7.8</v>
      </c>
      <c r="AC1309" s="3" t="n">
        <v>1</v>
      </c>
      <c r="AD1309" s="3" t="n">
        <v>1</v>
      </c>
      <c r="AE1309" s="3" t="n">
        <v>1</v>
      </c>
      <c r="AF1309" s="3" t="n">
        <v>1</v>
      </c>
      <c r="AG1309" s="3" t="n">
        <v>2</v>
      </c>
      <c r="AH1309" s="3" t="n">
        <v>1</v>
      </c>
      <c r="AI1309" s="3" t="n">
        <v>1</v>
      </c>
      <c r="AJ1309" s="3" t="n">
        <v>1</v>
      </c>
      <c r="AK1309" s="3" t="n">
        <v>2</v>
      </c>
      <c r="AL1309" s="3" t="n">
        <v>2</v>
      </c>
      <c r="AM1309" s="3" t="n">
        <v>2</v>
      </c>
      <c r="AN1309" s="3" t="n">
        <v>2</v>
      </c>
      <c r="AO1309" s="3" t="n">
        <v>2</v>
      </c>
      <c r="AP1309" s="3" t="n">
        <v>3</v>
      </c>
      <c r="AQ1309" s="3" t="n">
        <v>4</v>
      </c>
      <c r="AR1309" s="3" t="n">
        <v>4</v>
      </c>
      <c r="AS1309" s="3" t="n">
        <v>6</v>
      </c>
      <c r="AT1309" s="3" t="n">
        <v>4</v>
      </c>
      <c r="AU1309" s="3" t="n">
        <v>4</v>
      </c>
      <c r="AV1309" s="3" t="n">
        <v>6</v>
      </c>
      <c r="AW1309" s="3" t="n">
        <v>6</v>
      </c>
      <c r="AX1309" s="3" t="n">
        <v>3</v>
      </c>
      <c r="AY1309" s="3" t="n">
        <v>3</v>
      </c>
      <c r="AZ1309" s="3" t="n">
        <v>1</v>
      </c>
      <c r="BA1309" s="5" t="n">
        <v>5</v>
      </c>
      <c r="BB1309" s="3" t="n">
        <v>2</v>
      </c>
      <c r="BC1309" s="3" t="n">
        <v>1</v>
      </c>
      <c r="BD1309" s="3" t="n">
        <v>6</v>
      </c>
      <c r="BE1309" s="3" t="n">
        <v>3</v>
      </c>
      <c r="BF1309" s="3" t="n">
        <v>5</v>
      </c>
      <c r="BG1309" s="3" t="n">
        <v>3</v>
      </c>
      <c r="BH1309" s="3" t="n">
        <v>4</v>
      </c>
      <c r="BI1309" s="3" t="n">
        <v>1</v>
      </c>
      <c r="BJ1309" s="3" t="n">
        <v>1</v>
      </c>
      <c r="BK1309" s="16" t="s">
        <v>3257</v>
      </c>
    </row>
    <row r="1310" customFormat="false" ht="15" hidden="false" customHeight="true" outlineLevel="0" collapsed="false">
      <c r="B1310" s="2" t="s">
        <v>180</v>
      </c>
      <c r="C1310" s="2" t="s">
        <v>3258</v>
      </c>
      <c r="D1310" s="2" t="s">
        <v>1211</v>
      </c>
      <c r="E1310" s="2" t="n">
        <v>215612</v>
      </c>
      <c r="F1310" s="15" t="n">
        <v>44375</v>
      </c>
      <c r="G1310" s="15" t="n">
        <v>44385</v>
      </c>
      <c r="H1310" s="3" t="n">
        <v>10</v>
      </c>
      <c r="I1310" s="3" t="n">
        <v>2</v>
      </c>
      <c r="J1310" s="3" t="n">
        <v>53</v>
      </c>
      <c r="K1310" s="3" t="n">
        <v>1</v>
      </c>
      <c r="L1310" s="3" t="n">
        <v>2</v>
      </c>
      <c r="M1310" s="3" t="n">
        <v>1</v>
      </c>
      <c r="N1310" s="3" t="n">
        <v>2</v>
      </c>
      <c r="O1310" s="3" t="n">
        <v>2</v>
      </c>
      <c r="P1310" s="3" t="n">
        <v>2</v>
      </c>
      <c r="Q1310" s="3" t="n">
        <v>2</v>
      </c>
      <c r="R1310" s="3" t="n">
        <v>2</v>
      </c>
      <c r="S1310" s="3" t="n">
        <v>2</v>
      </c>
      <c r="T1310" s="4" t="n">
        <v>1</v>
      </c>
      <c r="U1310" s="3" t="n">
        <v>4</v>
      </c>
      <c r="V1310" s="3" t="n">
        <v>4.32</v>
      </c>
      <c r="W1310" s="3" t="n">
        <v>3.52</v>
      </c>
      <c r="X1310" s="3" t="n">
        <v>4.38</v>
      </c>
      <c r="Y1310" s="3" t="n">
        <v>475</v>
      </c>
      <c r="Z1310" s="3" t="n">
        <v>112</v>
      </c>
      <c r="AA1310" s="3" t="n">
        <v>0.55</v>
      </c>
      <c r="AB1310" s="3" t="n">
        <v>19.2</v>
      </c>
      <c r="AC1310" s="3" t="n">
        <v>1</v>
      </c>
      <c r="AD1310" s="3" t="n">
        <v>2</v>
      </c>
      <c r="AE1310" s="3" t="n">
        <v>1</v>
      </c>
      <c r="AF1310" s="3" t="n">
        <v>1</v>
      </c>
      <c r="AG1310" s="3" t="n">
        <v>2</v>
      </c>
      <c r="AH1310" s="3" t="n">
        <v>2</v>
      </c>
      <c r="AI1310" s="3" t="n">
        <v>1</v>
      </c>
      <c r="AJ1310" s="3" t="n">
        <v>1</v>
      </c>
      <c r="AK1310" s="3" t="n">
        <v>2</v>
      </c>
      <c r="AL1310" s="3" t="n">
        <v>2</v>
      </c>
      <c r="AM1310" s="3" t="n">
        <v>1</v>
      </c>
      <c r="AN1310" s="3" t="n">
        <v>2</v>
      </c>
      <c r="AO1310" s="3" t="n">
        <v>1</v>
      </c>
      <c r="AP1310" s="3" t="n">
        <v>5</v>
      </c>
      <c r="AQ1310" s="3" t="n">
        <v>1</v>
      </c>
      <c r="AR1310" s="3" t="n">
        <v>4</v>
      </c>
      <c r="AS1310" s="3" t="n">
        <v>6</v>
      </c>
      <c r="AT1310" s="3" t="n">
        <v>4</v>
      </c>
      <c r="AU1310" s="3" t="n">
        <v>4</v>
      </c>
      <c r="AV1310" s="3" t="n">
        <v>1</v>
      </c>
      <c r="AW1310" s="3" t="n">
        <v>6</v>
      </c>
      <c r="AX1310" s="3" t="n">
        <v>3</v>
      </c>
      <c r="AY1310" s="3" t="n">
        <v>3</v>
      </c>
      <c r="AZ1310" s="3" t="n">
        <v>1</v>
      </c>
      <c r="BA1310" s="5" t="n">
        <v>10</v>
      </c>
      <c r="BB1310" s="3" t="n">
        <v>2</v>
      </c>
      <c r="BC1310" s="3" t="n">
        <v>1</v>
      </c>
      <c r="BD1310" s="3" t="n">
        <v>6</v>
      </c>
      <c r="BE1310" s="3" t="n">
        <v>3</v>
      </c>
      <c r="BF1310" s="3" t="n">
        <v>5</v>
      </c>
      <c r="BG1310" s="3" t="n">
        <v>3</v>
      </c>
      <c r="BH1310" s="3" t="n">
        <v>4</v>
      </c>
      <c r="BI1310" s="3" t="n">
        <v>1</v>
      </c>
      <c r="BJ1310" s="3" t="n">
        <v>1</v>
      </c>
      <c r="BK1310" s="6" t="s">
        <v>3259</v>
      </c>
    </row>
    <row r="1311" customFormat="false" ht="15" hidden="false" customHeight="true" outlineLevel="0" collapsed="false">
      <c r="B1311" s="2" t="s">
        <v>2079</v>
      </c>
      <c r="C1311" s="2" t="s">
        <v>3260</v>
      </c>
      <c r="D1311" s="2" t="s">
        <v>210</v>
      </c>
      <c r="E1311" s="2" t="n">
        <v>215698</v>
      </c>
      <c r="F1311" s="15" t="n">
        <v>44379</v>
      </c>
      <c r="G1311" s="15" t="n">
        <v>44390</v>
      </c>
      <c r="H1311" s="3" t="n">
        <v>11</v>
      </c>
      <c r="I1311" s="3" t="n">
        <v>2</v>
      </c>
      <c r="J1311" s="3" t="n">
        <v>71</v>
      </c>
      <c r="K1311" s="3" t="n">
        <v>1</v>
      </c>
      <c r="L1311" s="3" t="n">
        <v>2</v>
      </c>
      <c r="M1311" s="3" t="n">
        <v>1</v>
      </c>
      <c r="N1311" s="3" t="n">
        <v>1</v>
      </c>
      <c r="O1311" s="3" t="n">
        <v>2</v>
      </c>
      <c r="P1311" s="3" t="n">
        <v>2</v>
      </c>
      <c r="Q1311" s="3" t="n">
        <v>2</v>
      </c>
      <c r="R1311" s="3" t="n">
        <v>2</v>
      </c>
      <c r="S1311" s="3" t="n">
        <v>2</v>
      </c>
      <c r="T1311" s="4" t="n">
        <v>1</v>
      </c>
      <c r="U1311" s="3" t="n">
        <v>1</v>
      </c>
      <c r="V1311" s="3" t="n">
        <v>5.37</v>
      </c>
      <c r="W1311" s="3" t="n">
        <v>1.17</v>
      </c>
      <c r="X1311" s="3" t="n">
        <v>4.36</v>
      </c>
      <c r="Y1311" s="3" t="n">
        <v>437</v>
      </c>
      <c r="Z1311" s="3" t="n">
        <v>94</v>
      </c>
      <c r="AA1311" s="3" t="n">
        <v>0.42</v>
      </c>
      <c r="AB1311" s="3" t="n">
        <v>7.4</v>
      </c>
      <c r="AD1311" s="3" t="n">
        <v>1</v>
      </c>
      <c r="AE1311" s="3" t="n">
        <v>2</v>
      </c>
      <c r="AF1311" s="3" t="n">
        <v>1</v>
      </c>
      <c r="AG1311" s="3" t="n">
        <v>1</v>
      </c>
      <c r="AH1311" s="3" t="n">
        <v>2</v>
      </c>
      <c r="AI1311" s="3" t="n">
        <v>1</v>
      </c>
      <c r="AJ1311" s="3" t="n">
        <v>2</v>
      </c>
      <c r="AK1311" s="3" t="n">
        <v>2</v>
      </c>
      <c r="AL1311" s="3" t="n">
        <v>2</v>
      </c>
      <c r="AM1311" s="3" t="n">
        <v>2</v>
      </c>
      <c r="AN1311" s="3" t="n">
        <v>2</v>
      </c>
      <c r="AO1311" s="3" t="n">
        <v>2</v>
      </c>
      <c r="AP1311" s="3" t="n">
        <v>2</v>
      </c>
      <c r="AQ1311" s="3" t="n">
        <v>3</v>
      </c>
      <c r="AR1311" s="3" t="n">
        <v>8</v>
      </c>
      <c r="AS1311" s="3" t="n">
        <v>2</v>
      </c>
      <c r="AT1311" s="3" t="n">
        <v>1</v>
      </c>
      <c r="AU1311" s="3" t="n">
        <v>1</v>
      </c>
      <c r="AV1311" s="3" t="n">
        <v>1</v>
      </c>
      <c r="AW1311" s="3" t="n">
        <v>1</v>
      </c>
      <c r="AX1311" s="3" t="n">
        <v>2</v>
      </c>
      <c r="AY1311" s="3" t="n">
        <v>2</v>
      </c>
      <c r="AZ1311" s="3" t="n">
        <v>1</v>
      </c>
      <c r="BA1311" s="5" t="n">
        <v>5</v>
      </c>
      <c r="BB1311" s="3" t="n">
        <v>2</v>
      </c>
      <c r="BC1311" s="3" t="n">
        <v>1</v>
      </c>
      <c r="BD1311" s="3" t="n">
        <v>6</v>
      </c>
      <c r="BE1311" s="3" t="n">
        <v>3</v>
      </c>
      <c r="BF1311" s="3" t="n">
        <v>5</v>
      </c>
      <c r="BG1311" s="3" t="n">
        <v>3</v>
      </c>
      <c r="BH1311" s="3" t="n">
        <v>4</v>
      </c>
      <c r="BI1311" s="3" t="n">
        <v>1</v>
      </c>
      <c r="BJ1311" s="3" t="n">
        <v>1</v>
      </c>
      <c r="BK1311" s="6" t="s">
        <v>3261</v>
      </c>
    </row>
    <row r="1312" customFormat="false" ht="15" hidden="false" customHeight="true" outlineLevel="0" collapsed="false">
      <c r="B1312" s="2" t="s">
        <v>327</v>
      </c>
      <c r="C1312" s="2" t="s">
        <v>3262</v>
      </c>
      <c r="D1312" s="2" t="s">
        <v>154</v>
      </c>
      <c r="E1312" s="2" t="n">
        <v>215923</v>
      </c>
      <c r="F1312" s="15" t="n">
        <v>44381</v>
      </c>
      <c r="G1312" s="15" t="n">
        <v>44389</v>
      </c>
      <c r="H1312" s="3" t="n">
        <v>8</v>
      </c>
      <c r="I1312" s="3" t="n">
        <v>2</v>
      </c>
      <c r="J1312" s="3" t="n">
        <v>54</v>
      </c>
      <c r="K1312" s="3" t="n">
        <v>2</v>
      </c>
      <c r="L1312" s="3" t="n">
        <v>1</v>
      </c>
      <c r="M1312" s="3" t="n">
        <v>1</v>
      </c>
      <c r="N1312" s="3" t="n">
        <v>1</v>
      </c>
      <c r="O1312" s="3" t="n">
        <v>2</v>
      </c>
      <c r="P1312" s="3" t="n">
        <v>2</v>
      </c>
      <c r="Q1312" s="3" t="n">
        <v>2</v>
      </c>
      <c r="R1312" s="3" t="n">
        <v>2</v>
      </c>
      <c r="S1312" s="3" t="n">
        <v>2</v>
      </c>
      <c r="T1312" s="4" t="n">
        <v>1</v>
      </c>
      <c r="U1312" s="3" t="n">
        <v>4</v>
      </c>
      <c r="V1312" s="3" t="n">
        <v>5.29</v>
      </c>
      <c r="W1312" s="3" t="n">
        <v>1.02</v>
      </c>
      <c r="X1312" s="3" t="n">
        <v>5.52</v>
      </c>
      <c r="Y1312" s="3" t="n">
        <v>310</v>
      </c>
      <c r="Z1312" s="3" t="n">
        <v>98</v>
      </c>
      <c r="AA1312" s="3" t="n">
        <v>0.55</v>
      </c>
      <c r="AB1312" s="3" t="n">
        <v>23</v>
      </c>
      <c r="AC1312" s="3" t="n">
        <v>1</v>
      </c>
      <c r="AD1312" s="3" t="n">
        <v>1</v>
      </c>
      <c r="AE1312" s="3" t="n">
        <v>2</v>
      </c>
      <c r="AF1312" s="3" t="n">
        <v>1</v>
      </c>
      <c r="AG1312" s="3" t="n">
        <v>2</v>
      </c>
      <c r="AH1312" s="3" t="n">
        <v>1</v>
      </c>
      <c r="AI1312" s="3" t="n">
        <v>1</v>
      </c>
      <c r="AJ1312" s="3" t="n">
        <v>1</v>
      </c>
      <c r="AK1312" s="3" t="n">
        <v>2</v>
      </c>
      <c r="AL1312" s="3" t="n">
        <v>2</v>
      </c>
      <c r="AM1312" s="3" t="n">
        <v>2</v>
      </c>
      <c r="AN1312" s="3" t="n">
        <v>2</v>
      </c>
      <c r="AO1312" s="3" t="n">
        <v>2</v>
      </c>
      <c r="AP1312" s="3" t="n">
        <v>3</v>
      </c>
      <c r="AQ1312" s="3" t="n">
        <v>4</v>
      </c>
      <c r="AR1312" s="3" t="n">
        <v>4</v>
      </c>
      <c r="AS1312" s="3" t="n">
        <v>6</v>
      </c>
      <c r="AT1312" s="3" t="n">
        <v>4</v>
      </c>
      <c r="AU1312" s="3" t="n">
        <v>4</v>
      </c>
      <c r="AV1312" s="3" t="n">
        <v>6</v>
      </c>
      <c r="AW1312" s="3" t="n">
        <v>6</v>
      </c>
      <c r="AX1312" s="3" t="n">
        <v>3</v>
      </c>
      <c r="AY1312" s="3" t="n">
        <v>3</v>
      </c>
      <c r="AZ1312" s="3" t="n">
        <v>1</v>
      </c>
      <c r="BA1312" s="5" t="n">
        <v>5</v>
      </c>
      <c r="BB1312" s="3" t="n">
        <v>2</v>
      </c>
      <c r="BC1312" s="3" t="n">
        <v>1</v>
      </c>
      <c r="BD1312" s="3" t="n">
        <v>6</v>
      </c>
      <c r="BE1312" s="3" t="n">
        <v>3</v>
      </c>
      <c r="BF1312" s="3" t="n">
        <v>5</v>
      </c>
      <c r="BG1312" s="3" t="n">
        <v>3</v>
      </c>
      <c r="BH1312" s="3" t="n">
        <v>4</v>
      </c>
      <c r="BI1312" s="3" t="n">
        <v>1</v>
      </c>
      <c r="BJ1312" s="3" t="n">
        <v>1</v>
      </c>
      <c r="BK1312" s="6" t="s">
        <v>3263</v>
      </c>
    </row>
    <row r="1313" customFormat="false" ht="15" hidden="false" customHeight="true" outlineLevel="0" collapsed="false">
      <c r="B1313" s="2" t="s">
        <v>3264</v>
      </c>
      <c r="C1313" s="2" t="s">
        <v>94</v>
      </c>
      <c r="D1313" s="2" t="s">
        <v>462</v>
      </c>
      <c r="E1313" s="2" t="n">
        <v>216510</v>
      </c>
      <c r="F1313" s="15" t="n">
        <v>44389</v>
      </c>
      <c r="G1313" s="15" t="n">
        <v>44391</v>
      </c>
      <c r="H1313" s="3" t="n">
        <v>2</v>
      </c>
      <c r="I1313" s="3" t="n">
        <v>2</v>
      </c>
      <c r="J1313" s="3" t="n">
        <v>66</v>
      </c>
      <c r="K1313" s="3" t="n">
        <v>1</v>
      </c>
      <c r="L1313" s="3" t="n">
        <v>2</v>
      </c>
      <c r="M1313" s="3" t="n">
        <v>1</v>
      </c>
      <c r="N1313" s="3" t="n">
        <v>1</v>
      </c>
      <c r="O1313" s="3" t="n">
        <v>2</v>
      </c>
      <c r="P1313" s="3" t="n">
        <v>2</v>
      </c>
      <c r="Q1313" s="3" t="n">
        <v>2</v>
      </c>
      <c r="R1313" s="3" t="n">
        <v>2</v>
      </c>
      <c r="S1313" s="3" t="n">
        <v>2</v>
      </c>
      <c r="T1313" s="4" t="n">
        <v>1</v>
      </c>
      <c r="U1313" s="3" t="n">
        <v>1</v>
      </c>
      <c r="AC1313" s="3" t="n">
        <v>3</v>
      </c>
      <c r="AD1313" s="3" t="n">
        <v>2</v>
      </c>
      <c r="AE1313" s="3" t="n">
        <v>2</v>
      </c>
      <c r="AF1313" s="3" t="n">
        <v>1</v>
      </c>
      <c r="AG1313" s="3" t="n">
        <v>1</v>
      </c>
      <c r="AH1313" s="3" t="n">
        <v>2</v>
      </c>
      <c r="AI1313" s="3" t="n">
        <v>1</v>
      </c>
      <c r="AJ1313" s="3" t="n">
        <v>2</v>
      </c>
      <c r="AK1313" s="3" t="n">
        <v>2</v>
      </c>
      <c r="AL1313" s="3" t="n">
        <v>2</v>
      </c>
      <c r="AM1313" s="3" t="n">
        <v>2</v>
      </c>
      <c r="AN1313" s="3" t="n">
        <v>2</v>
      </c>
      <c r="AO1313" s="3" t="n">
        <v>2</v>
      </c>
      <c r="AP1313" s="3" t="n">
        <v>1</v>
      </c>
      <c r="AQ1313" s="3" t="n">
        <v>2</v>
      </c>
      <c r="AR1313" s="3" t="n">
        <v>5</v>
      </c>
      <c r="AS1313" s="3" t="n">
        <v>2</v>
      </c>
      <c r="AT1313" s="3" t="n">
        <v>2</v>
      </c>
      <c r="AU1313" s="3" t="n">
        <v>1</v>
      </c>
      <c r="AV1313" s="3" t="n">
        <v>1</v>
      </c>
      <c r="AW1313" s="3" t="n">
        <v>1</v>
      </c>
      <c r="AX1313" s="3" t="n">
        <v>2</v>
      </c>
      <c r="AY1313" s="3" t="n">
        <v>2</v>
      </c>
      <c r="AZ1313" s="3" t="n">
        <v>1</v>
      </c>
      <c r="BA1313" s="5" t="n">
        <v>5</v>
      </c>
      <c r="BB1313" s="3" t="n">
        <v>2</v>
      </c>
      <c r="BC1313" s="3" t="n">
        <v>1</v>
      </c>
      <c r="BD1313" s="3" t="n">
        <v>6</v>
      </c>
      <c r="BE1313" s="3" t="n">
        <v>3</v>
      </c>
      <c r="BF1313" s="3" t="n">
        <v>5</v>
      </c>
      <c r="BG1313" s="3" t="n">
        <v>3</v>
      </c>
      <c r="BH1313" s="3" t="n">
        <v>4</v>
      </c>
      <c r="BI1313" s="3" t="n">
        <v>1</v>
      </c>
      <c r="BJ1313" s="3" t="n">
        <v>1</v>
      </c>
      <c r="BK1313" s="6" t="s">
        <v>3265</v>
      </c>
    </row>
    <row r="1314" customFormat="false" ht="15" hidden="false" customHeight="true" outlineLevel="0" collapsed="false">
      <c r="B1314" s="2" t="s">
        <v>3266</v>
      </c>
      <c r="C1314" s="2" t="s">
        <v>325</v>
      </c>
      <c r="D1314" s="2" t="s">
        <v>2068</v>
      </c>
      <c r="E1314" s="2" t="n">
        <v>216048</v>
      </c>
      <c r="F1314" s="15" t="n">
        <v>44384</v>
      </c>
      <c r="G1314" s="15" t="n">
        <v>44391</v>
      </c>
      <c r="H1314" s="3" t="n">
        <v>7</v>
      </c>
      <c r="I1314" s="3" t="n">
        <v>2</v>
      </c>
      <c r="J1314" s="3" t="n">
        <v>37</v>
      </c>
      <c r="K1314" s="3" t="n">
        <v>2</v>
      </c>
      <c r="L1314" s="3" t="n">
        <v>1</v>
      </c>
      <c r="M1314" s="3" t="n">
        <v>2</v>
      </c>
      <c r="N1314" s="3" t="n">
        <v>2</v>
      </c>
      <c r="O1314" s="3" t="n">
        <v>2</v>
      </c>
      <c r="P1314" s="3" t="n">
        <v>2</v>
      </c>
      <c r="Q1314" s="3" t="n">
        <v>2</v>
      </c>
      <c r="R1314" s="3" t="n">
        <v>2</v>
      </c>
      <c r="S1314" s="3" t="n">
        <v>2</v>
      </c>
      <c r="T1314" s="4" t="n">
        <v>2</v>
      </c>
      <c r="U1314" s="3" t="n">
        <v>2</v>
      </c>
      <c r="V1314" s="3" t="n">
        <v>5.04</v>
      </c>
      <c r="W1314" s="3" t="n">
        <v>1.13</v>
      </c>
      <c r="X1314" s="3" t="n">
        <v>6.44</v>
      </c>
      <c r="Z1314" s="3" t="n">
        <v>90</v>
      </c>
      <c r="AA1314" s="3" t="n">
        <v>0.46</v>
      </c>
      <c r="AB1314" s="3" t="n">
        <v>6.6</v>
      </c>
      <c r="AC1314" s="3" t="n">
        <v>1</v>
      </c>
      <c r="AD1314" s="3" t="n">
        <v>2</v>
      </c>
      <c r="AE1314" s="3" t="n">
        <v>2</v>
      </c>
      <c r="AF1314" s="3" t="n">
        <v>1</v>
      </c>
      <c r="AG1314" s="3" t="n">
        <v>2</v>
      </c>
      <c r="AH1314" s="3" t="n">
        <v>2</v>
      </c>
      <c r="AI1314" s="3" t="n">
        <v>1</v>
      </c>
      <c r="AJ1314" s="3" t="n">
        <v>2</v>
      </c>
      <c r="AK1314" s="3" t="n">
        <v>2</v>
      </c>
      <c r="AL1314" s="3" t="n">
        <v>2</v>
      </c>
      <c r="AM1314" s="3" t="n">
        <v>1</v>
      </c>
      <c r="AN1314" s="3" t="n">
        <v>2</v>
      </c>
      <c r="AO1314" s="3" t="n">
        <v>2</v>
      </c>
      <c r="AP1314" s="3" t="n">
        <v>3</v>
      </c>
      <c r="AQ1314" s="3" t="n">
        <v>4</v>
      </c>
      <c r="AR1314" s="3" t="n">
        <v>4</v>
      </c>
      <c r="AS1314" s="3" t="n">
        <v>6</v>
      </c>
      <c r="AT1314" s="3" t="n">
        <v>4</v>
      </c>
      <c r="AU1314" s="3" t="n">
        <v>4</v>
      </c>
      <c r="AV1314" s="3" t="n">
        <v>6</v>
      </c>
      <c r="AW1314" s="3" t="n">
        <v>6</v>
      </c>
      <c r="AX1314" s="3" t="n">
        <v>3</v>
      </c>
      <c r="AY1314" s="3" t="n">
        <v>3</v>
      </c>
      <c r="AZ1314" s="3" t="n">
        <v>1</v>
      </c>
      <c r="BA1314" s="5" t="n">
        <v>1</v>
      </c>
      <c r="BB1314" s="3" t="n">
        <v>1</v>
      </c>
      <c r="BC1314" s="3" t="n">
        <v>1</v>
      </c>
      <c r="BD1314" s="3" t="n">
        <v>2</v>
      </c>
      <c r="BE1314" s="3" t="n">
        <v>1</v>
      </c>
      <c r="BF1314" s="3" t="n">
        <v>2</v>
      </c>
      <c r="BG1314" s="3" t="n">
        <v>1</v>
      </c>
      <c r="BH1314" s="3" t="n">
        <v>4</v>
      </c>
      <c r="BI1314" s="3" t="n">
        <v>1</v>
      </c>
      <c r="BJ1314" s="3" t="n">
        <v>1</v>
      </c>
      <c r="BK1314" s="6" t="s">
        <v>3267</v>
      </c>
    </row>
    <row r="1315" customFormat="false" ht="15" hidden="false" customHeight="true" outlineLevel="0" collapsed="false">
      <c r="B1315" s="2" t="s">
        <v>3268</v>
      </c>
      <c r="C1315" s="2" t="s">
        <v>462</v>
      </c>
      <c r="D1315" s="2" t="s">
        <v>386</v>
      </c>
      <c r="E1315" s="2" t="n">
        <v>216099</v>
      </c>
      <c r="F1315" s="15" t="n">
        <v>44385</v>
      </c>
      <c r="G1315" s="15" t="n">
        <v>44387</v>
      </c>
      <c r="H1315" s="3" t="n">
        <v>2</v>
      </c>
      <c r="I1315" s="3" t="n">
        <v>1</v>
      </c>
      <c r="J1315" s="3" t="n">
        <v>81</v>
      </c>
      <c r="K1315" s="3" t="n">
        <v>1</v>
      </c>
      <c r="L1315" s="3" t="n">
        <v>2</v>
      </c>
      <c r="M1315" s="3" t="n">
        <v>1</v>
      </c>
      <c r="N1315" s="3" t="n">
        <v>2</v>
      </c>
      <c r="O1315" s="3" t="n">
        <v>2</v>
      </c>
      <c r="P1315" s="3" t="n">
        <v>2</v>
      </c>
      <c r="Q1315" s="3" t="n">
        <v>2</v>
      </c>
      <c r="R1315" s="3" t="n">
        <v>2</v>
      </c>
      <c r="S1315" s="3" t="n">
        <v>2</v>
      </c>
      <c r="T1315" s="4" t="n">
        <v>1</v>
      </c>
      <c r="U1315" s="3" t="n">
        <v>1</v>
      </c>
      <c r="AC1315" s="3" t="n">
        <v>3</v>
      </c>
      <c r="AD1315" s="3" t="n">
        <v>1</v>
      </c>
      <c r="AE1315" s="3" t="n">
        <v>1</v>
      </c>
      <c r="AF1315" s="3" t="n">
        <v>1</v>
      </c>
      <c r="AG1315" s="3" t="n">
        <v>2</v>
      </c>
      <c r="AH1315" s="3" t="n">
        <v>2</v>
      </c>
      <c r="AI1315" s="3" t="n">
        <v>1</v>
      </c>
      <c r="AJ1315" s="3" t="n">
        <v>1</v>
      </c>
      <c r="AK1315" s="3" t="n">
        <v>2</v>
      </c>
      <c r="AL1315" s="3" t="n">
        <v>2</v>
      </c>
      <c r="AM1315" s="3" t="n">
        <v>2</v>
      </c>
      <c r="AN1315" s="3" t="n">
        <v>2</v>
      </c>
      <c r="AO1315" s="3" t="n">
        <v>2</v>
      </c>
      <c r="AP1315" s="3" t="n">
        <v>3</v>
      </c>
      <c r="AQ1315" s="3" t="n">
        <v>4</v>
      </c>
      <c r="AR1315" s="3" t="n">
        <v>4</v>
      </c>
      <c r="AS1315" s="3" t="n">
        <v>6</v>
      </c>
      <c r="AT1315" s="3" t="n">
        <v>4</v>
      </c>
      <c r="AU1315" s="3" t="n">
        <v>4</v>
      </c>
      <c r="AV1315" s="3" t="n">
        <v>6</v>
      </c>
      <c r="AW1315" s="3" t="n">
        <v>6</v>
      </c>
      <c r="AX1315" s="3" t="n">
        <v>3</v>
      </c>
      <c r="AY1315" s="3" t="n">
        <v>3</v>
      </c>
      <c r="AZ1315" s="3" t="n">
        <v>1</v>
      </c>
      <c r="BA1315" s="5" t="n">
        <v>5</v>
      </c>
      <c r="BB1315" s="3" t="n">
        <v>2</v>
      </c>
      <c r="BC1315" s="3" t="n">
        <v>1</v>
      </c>
      <c r="BD1315" s="3" t="n">
        <v>6</v>
      </c>
      <c r="BE1315" s="3" t="n">
        <v>3</v>
      </c>
      <c r="BF1315" s="3" t="n">
        <v>5</v>
      </c>
      <c r="BG1315" s="3" t="n">
        <v>3</v>
      </c>
      <c r="BH1315" s="3" t="n">
        <v>4</v>
      </c>
      <c r="BI1315" s="3" t="n">
        <v>1</v>
      </c>
      <c r="BJ1315" s="3" t="n">
        <v>1</v>
      </c>
      <c r="BK1315" s="6" t="s">
        <v>3269</v>
      </c>
    </row>
    <row r="1316" customFormat="false" ht="15.75" hidden="false" customHeight="true" outlineLevel="0" collapsed="false">
      <c r="B1316" s="14" t="s">
        <v>1138</v>
      </c>
      <c r="C1316" s="14" t="s">
        <v>95</v>
      </c>
      <c r="D1316" s="14" t="s">
        <v>3161</v>
      </c>
      <c r="E1316" s="14" t="n">
        <v>213787</v>
      </c>
      <c r="F1316" s="22" t="n">
        <v>44384</v>
      </c>
      <c r="G1316" s="22" t="n">
        <v>44391</v>
      </c>
      <c r="H1316" s="3" t="n">
        <v>7</v>
      </c>
      <c r="I1316" s="3" t="n">
        <v>2</v>
      </c>
      <c r="J1316" s="3" t="n">
        <v>56</v>
      </c>
      <c r="K1316" s="3" t="n">
        <v>1</v>
      </c>
      <c r="L1316" s="3" t="n">
        <v>2</v>
      </c>
      <c r="M1316" s="3" t="n">
        <v>1</v>
      </c>
      <c r="N1316" s="3" t="n">
        <v>2</v>
      </c>
      <c r="O1316" s="3" t="n">
        <v>1</v>
      </c>
      <c r="P1316" s="3" t="n">
        <v>2</v>
      </c>
      <c r="Q1316" s="3" t="n">
        <v>1</v>
      </c>
      <c r="R1316" s="3" t="n">
        <v>2</v>
      </c>
      <c r="S1316" s="3" t="n">
        <v>1</v>
      </c>
      <c r="T1316" s="4" t="n">
        <v>1</v>
      </c>
      <c r="U1316" s="3" t="n">
        <v>1</v>
      </c>
      <c r="V1316" s="3" t="n">
        <v>4</v>
      </c>
      <c r="W1316" s="3" t="n">
        <v>0.91</v>
      </c>
      <c r="X1316" s="3" t="n">
        <v>6.58</v>
      </c>
      <c r="Y1316" s="3" t="n">
        <v>545</v>
      </c>
      <c r="Z1316" s="3" t="n">
        <v>118</v>
      </c>
      <c r="AA1316" s="3" t="n">
        <v>0.35</v>
      </c>
      <c r="AB1316" s="3" t="n">
        <v>7.8</v>
      </c>
      <c r="AC1316" s="3" t="n">
        <v>1</v>
      </c>
      <c r="AD1316" s="3" t="n">
        <v>1</v>
      </c>
      <c r="AE1316" s="3" t="n">
        <v>1</v>
      </c>
      <c r="AF1316" s="3" t="n">
        <v>1</v>
      </c>
      <c r="AG1316" s="3" t="n">
        <v>2</v>
      </c>
      <c r="AH1316" s="3" t="n">
        <v>1</v>
      </c>
      <c r="AI1316" s="3" t="n">
        <v>1</v>
      </c>
      <c r="AJ1316" s="3" t="n">
        <v>1</v>
      </c>
      <c r="AK1316" s="3" t="n">
        <v>2</v>
      </c>
      <c r="AL1316" s="3" t="n">
        <v>2</v>
      </c>
      <c r="AM1316" s="3" t="n">
        <v>2</v>
      </c>
      <c r="AN1316" s="3" t="n">
        <v>2</v>
      </c>
      <c r="AO1316" s="3" t="n">
        <v>2</v>
      </c>
      <c r="AP1316" s="3" t="n">
        <v>1</v>
      </c>
      <c r="AQ1316" s="3" t="n">
        <v>1</v>
      </c>
      <c r="AR1316" s="3" t="n">
        <v>4</v>
      </c>
      <c r="AS1316" s="3" t="n">
        <v>6</v>
      </c>
      <c r="AT1316" s="3" t="n">
        <v>4</v>
      </c>
      <c r="AU1316" s="3" t="n">
        <v>1</v>
      </c>
      <c r="AV1316" s="3" t="n">
        <v>6</v>
      </c>
      <c r="AW1316" s="3" t="n">
        <v>6</v>
      </c>
      <c r="AX1316" s="3" t="n">
        <v>2</v>
      </c>
      <c r="AY1316" s="3" t="n">
        <v>1</v>
      </c>
      <c r="AZ1316" s="3" t="n">
        <v>1</v>
      </c>
      <c r="BA1316" s="5" t="n">
        <v>5</v>
      </c>
      <c r="BB1316" s="3" t="n">
        <v>2</v>
      </c>
      <c r="BC1316" s="3" t="n">
        <v>1</v>
      </c>
      <c r="BD1316" s="3" t="n">
        <v>6</v>
      </c>
      <c r="BE1316" s="3" t="n">
        <v>3</v>
      </c>
      <c r="BF1316" s="3" t="n">
        <v>5</v>
      </c>
      <c r="BG1316" s="3" t="n">
        <v>3</v>
      </c>
      <c r="BH1316" s="3" t="n">
        <v>4</v>
      </c>
      <c r="BI1316" s="3" t="n">
        <v>1</v>
      </c>
      <c r="BJ1316" s="3" t="n">
        <v>1</v>
      </c>
      <c r="BK1316" s="16" t="s">
        <v>3270</v>
      </c>
    </row>
    <row r="1317" customFormat="false" ht="15" hidden="false" customHeight="true" outlineLevel="0" collapsed="false">
      <c r="B1317" s="2" t="s">
        <v>1138</v>
      </c>
      <c r="C1317" s="2" t="s">
        <v>2224</v>
      </c>
      <c r="D1317" s="2" t="s">
        <v>3271</v>
      </c>
      <c r="E1317" s="2" t="n">
        <v>216219</v>
      </c>
      <c r="F1317" s="15" t="n">
        <v>44386</v>
      </c>
      <c r="G1317" s="15" t="n">
        <v>44395</v>
      </c>
      <c r="H1317" s="3" t="n">
        <v>9</v>
      </c>
      <c r="I1317" s="3" t="n">
        <v>2</v>
      </c>
      <c r="J1317" s="3" t="n">
        <v>51</v>
      </c>
      <c r="K1317" s="3" t="n">
        <v>1</v>
      </c>
      <c r="L1317" s="3" t="n">
        <v>1</v>
      </c>
      <c r="M1317" s="3" t="n">
        <v>2</v>
      </c>
      <c r="N1317" s="3" t="n">
        <v>2</v>
      </c>
      <c r="O1317" s="3" t="n">
        <v>2</v>
      </c>
      <c r="P1317" s="3" t="n">
        <v>2</v>
      </c>
      <c r="Q1317" s="3" t="n">
        <v>1</v>
      </c>
      <c r="R1317" s="3" t="n">
        <v>2</v>
      </c>
      <c r="S1317" s="3" t="n">
        <v>2</v>
      </c>
      <c r="T1317" s="4" t="n">
        <v>2</v>
      </c>
      <c r="U1317" s="3" t="n">
        <v>2</v>
      </c>
      <c r="V1317" s="3" t="n">
        <v>4.65</v>
      </c>
      <c r="W1317" s="3" t="n">
        <v>2.18</v>
      </c>
      <c r="X1317" s="3" t="n">
        <v>7.86</v>
      </c>
      <c r="Y1317" s="3" t="n">
        <v>236</v>
      </c>
      <c r="Z1317" s="3" t="n">
        <v>96</v>
      </c>
      <c r="AA1317" s="3" t="n">
        <v>0.46</v>
      </c>
      <c r="AB1317" s="3" t="n">
        <v>13.8</v>
      </c>
      <c r="AC1317" s="3" t="n">
        <v>1</v>
      </c>
      <c r="AD1317" s="3" t="n">
        <v>2</v>
      </c>
      <c r="AE1317" s="3" t="n">
        <v>2</v>
      </c>
      <c r="AF1317" s="3" t="n">
        <v>1</v>
      </c>
      <c r="AG1317" s="3" t="n">
        <v>2</v>
      </c>
      <c r="AH1317" s="3" t="n">
        <v>2</v>
      </c>
      <c r="AI1317" s="3" t="n">
        <v>1</v>
      </c>
      <c r="AJ1317" s="3" t="n">
        <v>2</v>
      </c>
      <c r="AK1317" s="3" t="n">
        <v>2</v>
      </c>
      <c r="AL1317" s="3" t="n">
        <v>2</v>
      </c>
      <c r="AM1317" s="3" t="n">
        <v>1</v>
      </c>
      <c r="AN1317" s="3" t="n">
        <v>2</v>
      </c>
      <c r="AO1317" s="3" t="n">
        <v>2</v>
      </c>
      <c r="AP1317" s="3" t="n">
        <v>3</v>
      </c>
      <c r="AQ1317" s="3" t="n">
        <v>4</v>
      </c>
      <c r="AR1317" s="3" t="n">
        <v>4</v>
      </c>
      <c r="AS1317" s="3" t="n">
        <v>6</v>
      </c>
      <c r="AT1317" s="3" t="n">
        <v>4</v>
      </c>
      <c r="AU1317" s="3" t="n">
        <v>4</v>
      </c>
      <c r="AV1317" s="3" t="n">
        <v>6</v>
      </c>
      <c r="AW1317" s="3" t="n">
        <v>6</v>
      </c>
      <c r="AX1317" s="3" t="n">
        <v>3</v>
      </c>
      <c r="AY1317" s="3" t="n">
        <v>3</v>
      </c>
      <c r="AZ1317" s="3" t="n">
        <v>10</v>
      </c>
      <c r="BA1317" s="5" t="n">
        <v>1</v>
      </c>
      <c r="BB1317" s="3" t="n">
        <v>1</v>
      </c>
      <c r="BC1317" s="3" t="n">
        <v>1</v>
      </c>
      <c r="BD1317" s="3" t="n">
        <v>2</v>
      </c>
      <c r="BE1317" s="3" t="n">
        <v>1</v>
      </c>
      <c r="BF1317" s="3" t="n">
        <v>2</v>
      </c>
      <c r="BG1317" s="3" t="n">
        <v>1</v>
      </c>
      <c r="BH1317" s="3" t="n">
        <v>4</v>
      </c>
      <c r="BI1317" s="3" t="n">
        <v>1</v>
      </c>
      <c r="BJ1317" s="3" t="n">
        <v>1</v>
      </c>
      <c r="BK1317" s="6" t="s">
        <v>3272</v>
      </c>
    </row>
    <row r="1318" customFormat="false" ht="15" hidden="false" customHeight="true" outlineLevel="0" collapsed="false">
      <c r="B1318" s="2" t="s">
        <v>3273</v>
      </c>
      <c r="C1318" s="2" t="s">
        <v>95</v>
      </c>
      <c r="D1318" s="2" t="s">
        <v>540</v>
      </c>
      <c r="E1318" s="2" t="n">
        <v>216258</v>
      </c>
      <c r="F1318" s="15" t="n">
        <v>44387</v>
      </c>
      <c r="G1318" s="15" t="n">
        <v>44394</v>
      </c>
      <c r="H1318" s="3" t="n">
        <v>7</v>
      </c>
      <c r="I1318" s="3" t="n">
        <v>1</v>
      </c>
      <c r="J1318" s="3" t="n">
        <v>70</v>
      </c>
      <c r="K1318" s="3" t="n">
        <v>1</v>
      </c>
      <c r="L1318" s="3" t="n">
        <v>1</v>
      </c>
      <c r="M1318" s="3" t="n">
        <v>1</v>
      </c>
      <c r="N1318" s="3" t="n">
        <v>2</v>
      </c>
      <c r="O1318" s="3" t="n">
        <v>1</v>
      </c>
      <c r="P1318" s="3" t="n">
        <v>1</v>
      </c>
      <c r="Q1318" s="3" t="n">
        <v>1</v>
      </c>
      <c r="R1318" s="3" t="n">
        <v>2</v>
      </c>
      <c r="S1318" s="3" t="n">
        <v>2</v>
      </c>
      <c r="T1318" s="4" t="n">
        <v>1</v>
      </c>
      <c r="U1318" s="3" t="n">
        <v>4</v>
      </c>
      <c r="AC1318" s="3" t="n">
        <v>2</v>
      </c>
      <c r="AD1318" s="3" t="n">
        <v>1</v>
      </c>
      <c r="AE1318" s="3" t="n">
        <v>1</v>
      </c>
      <c r="AF1318" s="3" t="n">
        <v>1</v>
      </c>
      <c r="AG1318" s="3" t="n">
        <v>2</v>
      </c>
      <c r="AH1318" s="3" t="n">
        <v>1</v>
      </c>
      <c r="AI1318" s="3" t="n">
        <v>1</v>
      </c>
      <c r="AJ1318" s="3" t="n">
        <v>2</v>
      </c>
      <c r="AK1318" s="3" t="n">
        <v>2</v>
      </c>
      <c r="AL1318" s="3" t="n">
        <v>1</v>
      </c>
      <c r="AM1318" s="3" t="n">
        <v>1</v>
      </c>
      <c r="AN1318" s="3" t="n">
        <v>2</v>
      </c>
      <c r="AO1318" s="3" t="n">
        <v>1</v>
      </c>
      <c r="AP1318" s="3" t="n">
        <v>3</v>
      </c>
      <c r="AQ1318" s="3" t="n">
        <v>4</v>
      </c>
      <c r="AR1318" s="3" t="n">
        <v>4</v>
      </c>
      <c r="AS1318" s="3" t="n">
        <v>6</v>
      </c>
      <c r="AT1318" s="3" t="n">
        <v>4</v>
      </c>
      <c r="AU1318" s="3" t="n">
        <v>4</v>
      </c>
      <c r="AV1318" s="3" t="n">
        <v>6</v>
      </c>
      <c r="AW1318" s="3" t="n">
        <v>6</v>
      </c>
      <c r="AX1318" s="3" t="n">
        <v>3</v>
      </c>
      <c r="AY1318" s="3" t="n">
        <v>3</v>
      </c>
      <c r="AZ1318" s="3" t="n">
        <v>1</v>
      </c>
      <c r="BA1318" s="5" t="n">
        <v>5</v>
      </c>
      <c r="BB1318" s="3" t="n">
        <v>2</v>
      </c>
      <c r="BC1318" s="3" t="n">
        <v>1</v>
      </c>
      <c r="BD1318" s="3" t="n">
        <v>6</v>
      </c>
      <c r="BE1318" s="3" t="n">
        <v>3</v>
      </c>
      <c r="BF1318" s="3" t="n">
        <v>5</v>
      </c>
      <c r="BG1318" s="3" t="n">
        <v>3</v>
      </c>
      <c r="BH1318" s="3" t="n">
        <v>4</v>
      </c>
      <c r="BI1318" s="3" t="n">
        <v>1</v>
      </c>
      <c r="BJ1318" s="3" t="n">
        <v>1</v>
      </c>
      <c r="BK1318" s="6" t="s">
        <v>3274</v>
      </c>
    </row>
    <row r="1319" customFormat="false" ht="15" hidden="false" customHeight="true" outlineLevel="0" collapsed="false">
      <c r="B1319" s="2" t="s">
        <v>3275</v>
      </c>
      <c r="C1319" s="2" t="s">
        <v>127</v>
      </c>
      <c r="D1319" s="2" t="s">
        <v>109</v>
      </c>
      <c r="E1319" s="2" t="n">
        <v>216297</v>
      </c>
      <c r="F1319" s="15" t="n">
        <v>44388</v>
      </c>
      <c r="G1319" s="15" t="n">
        <v>44395</v>
      </c>
      <c r="H1319" s="3" t="n">
        <v>7</v>
      </c>
      <c r="I1319" s="3" t="n">
        <v>2</v>
      </c>
      <c r="J1319" s="3" t="n">
        <v>58</v>
      </c>
      <c r="K1319" s="3" t="n">
        <v>1</v>
      </c>
      <c r="L1319" s="3" t="n">
        <v>2</v>
      </c>
      <c r="M1319" s="3" t="n">
        <v>1</v>
      </c>
      <c r="N1319" s="3" t="n">
        <v>2</v>
      </c>
      <c r="O1319" s="3" t="n">
        <v>1</v>
      </c>
      <c r="P1319" s="3" t="n">
        <v>2</v>
      </c>
      <c r="Q1319" s="3" t="n">
        <v>1</v>
      </c>
      <c r="R1319" s="3" t="n">
        <v>2</v>
      </c>
      <c r="S1319" s="3" t="n">
        <v>2</v>
      </c>
      <c r="T1319" s="4" t="n">
        <v>2</v>
      </c>
      <c r="U1319" s="3" t="n">
        <v>2</v>
      </c>
      <c r="V1319" s="3" t="n">
        <v>6.41</v>
      </c>
      <c r="W1319" s="3" t="n">
        <v>2.42</v>
      </c>
      <c r="X1319" s="3" t="n">
        <v>9.39</v>
      </c>
      <c r="Z1319" s="3" t="n">
        <v>92</v>
      </c>
      <c r="AA1319" s="3" t="n">
        <v>0.45</v>
      </c>
      <c r="AB1319" s="3" t="n">
        <v>6</v>
      </c>
      <c r="AC1319" s="3" t="n">
        <v>1</v>
      </c>
      <c r="AD1319" s="3" t="n">
        <v>1</v>
      </c>
      <c r="AE1319" s="3" t="n">
        <v>2</v>
      </c>
      <c r="AF1319" s="3" t="n">
        <v>1</v>
      </c>
      <c r="AG1319" s="3" t="n">
        <v>2</v>
      </c>
      <c r="AH1319" s="3" t="n">
        <v>2</v>
      </c>
      <c r="AI1319" s="3" t="n">
        <v>1</v>
      </c>
      <c r="AJ1319" s="3" t="n">
        <v>1</v>
      </c>
      <c r="AK1319" s="3" t="n">
        <v>2</v>
      </c>
      <c r="AL1319" s="3" t="n">
        <v>2</v>
      </c>
      <c r="AM1319" s="3" t="n">
        <v>2</v>
      </c>
      <c r="AN1319" s="3" t="n">
        <v>2</v>
      </c>
      <c r="AO1319" s="3" t="n">
        <v>2</v>
      </c>
      <c r="AP1319" s="3" t="n">
        <v>3</v>
      </c>
      <c r="AQ1319" s="3" t="n">
        <v>4</v>
      </c>
      <c r="AR1319" s="3" t="n">
        <v>4</v>
      </c>
      <c r="AS1319" s="3" t="n">
        <v>6</v>
      </c>
      <c r="AT1319" s="3" t="n">
        <v>4</v>
      </c>
      <c r="AU1319" s="3" t="n">
        <v>4</v>
      </c>
      <c r="AV1319" s="3" t="n">
        <v>6</v>
      </c>
      <c r="AW1319" s="3" t="n">
        <v>6</v>
      </c>
      <c r="AX1319" s="3" t="n">
        <v>3</v>
      </c>
      <c r="AY1319" s="3" t="n">
        <v>3</v>
      </c>
      <c r="AZ1319" s="3" t="n">
        <v>1</v>
      </c>
      <c r="BA1319" s="5" t="n">
        <v>1</v>
      </c>
      <c r="BB1319" s="3" t="n">
        <v>1</v>
      </c>
      <c r="BC1319" s="3" t="n">
        <v>1</v>
      </c>
      <c r="BD1319" s="3" t="n">
        <v>2</v>
      </c>
      <c r="BE1319" s="3" t="n">
        <v>3</v>
      </c>
      <c r="BF1319" s="3" t="n">
        <v>5</v>
      </c>
      <c r="BG1319" s="3" t="n">
        <v>3</v>
      </c>
      <c r="BH1319" s="3" t="n">
        <v>4</v>
      </c>
      <c r="BI1319" s="3" t="n">
        <v>1</v>
      </c>
      <c r="BJ1319" s="3" t="n">
        <v>1</v>
      </c>
      <c r="BK1319" s="6" t="s">
        <v>3276</v>
      </c>
    </row>
    <row r="1320" s="30" customFormat="true" ht="15" hidden="false" customHeight="true" outlineLevel="0" collapsed="false">
      <c r="A1320" s="24"/>
      <c r="B1320" s="26" t="s">
        <v>3277</v>
      </c>
      <c r="C1320" s="26" t="s">
        <v>127</v>
      </c>
      <c r="D1320" s="26" t="s">
        <v>2306</v>
      </c>
      <c r="E1320" s="26" t="n">
        <v>216695</v>
      </c>
      <c r="F1320" s="27" t="n">
        <v>44394</v>
      </c>
      <c r="G1320" s="27" t="n">
        <v>44394</v>
      </c>
      <c r="H1320" s="30" t="n">
        <v>0</v>
      </c>
      <c r="I1320" s="30" t="n">
        <v>1</v>
      </c>
      <c r="J1320" s="30" t="n">
        <v>78</v>
      </c>
      <c r="K1320" s="30" t="n">
        <v>1</v>
      </c>
      <c r="L1320" s="30" t="n">
        <v>2</v>
      </c>
      <c r="T1320" s="4" t="n">
        <v>2</v>
      </c>
      <c r="U1320" s="30" t="n">
        <v>2</v>
      </c>
      <c r="AC1320" s="30" t="n">
        <v>1</v>
      </c>
      <c r="AP1320" s="30" t="n">
        <v>3</v>
      </c>
      <c r="AQ1320" s="30" t="n">
        <v>4</v>
      </c>
      <c r="AR1320" s="30" t="n">
        <v>4</v>
      </c>
      <c r="AS1320" s="30" t="n">
        <v>6</v>
      </c>
      <c r="AT1320" s="30" t="n">
        <v>4</v>
      </c>
      <c r="AU1320" s="30" t="n">
        <v>4</v>
      </c>
      <c r="AV1320" s="30" t="n">
        <v>6</v>
      </c>
      <c r="AW1320" s="30" t="n">
        <v>6</v>
      </c>
      <c r="AX1320" s="30" t="n">
        <v>3</v>
      </c>
      <c r="AY1320" s="30" t="n">
        <v>3</v>
      </c>
      <c r="AZ1320" s="30" t="n">
        <v>1</v>
      </c>
      <c r="BA1320" s="5" t="n">
        <v>1</v>
      </c>
      <c r="BB1320" s="30" t="n">
        <v>1</v>
      </c>
      <c r="BC1320" s="30" t="n">
        <v>1</v>
      </c>
      <c r="BD1320" s="30" t="n">
        <v>4</v>
      </c>
      <c r="BE1320" s="30" t="n">
        <v>3</v>
      </c>
      <c r="BF1320" s="30" t="n">
        <v>5</v>
      </c>
      <c r="BG1320" s="30" t="n">
        <v>3</v>
      </c>
      <c r="BH1320" s="30" t="n">
        <v>4</v>
      </c>
      <c r="BI1320" s="30" t="n">
        <v>1</v>
      </c>
      <c r="BJ1320" s="30" t="n">
        <v>1</v>
      </c>
      <c r="BK1320" s="31" t="s">
        <v>3278</v>
      </c>
    </row>
    <row r="1321" customFormat="false" ht="15" hidden="false" customHeight="true" outlineLevel="0" collapsed="false">
      <c r="B1321" s="2" t="s">
        <v>3279</v>
      </c>
      <c r="C1321" s="2" t="s">
        <v>172</v>
      </c>
      <c r="D1321" s="2" t="s">
        <v>415</v>
      </c>
      <c r="E1321" s="2" t="n">
        <v>216779</v>
      </c>
      <c r="F1321" s="15" t="n">
        <v>44394</v>
      </c>
      <c r="G1321" s="15" t="n">
        <v>44399</v>
      </c>
      <c r="H1321" s="3" t="n">
        <v>5</v>
      </c>
      <c r="I1321" s="3" t="n">
        <v>2</v>
      </c>
      <c r="J1321" s="3" t="n">
        <v>48</v>
      </c>
      <c r="K1321" s="3" t="n">
        <v>1</v>
      </c>
      <c r="L1321" s="3" t="n">
        <v>1</v>
      </c>
      <c r="M1321" s="3" t="n">
        <v>1</v>
      </c>
      <c r="N1321" s="3" t="n">
        <v>1</v>
      </c>
      <c r="O1321" s="3" t="n">
        <v>2</v>
      </c>
      <c r="P1321" s="3" t="n">
        <v>2</v>
      </c>
      <c r="Q1321" s="3" t="n">
        <v>2</v>
      </c>
      <c r="R1321" s="3" t="n">
        <v>2</v>
      </c>
      <c r="S1321" s="3" t="n">
        <v>2</v>
      </c>
      <c r="T1321" s="4" t="n">
        <v>1</v>
      </c>
      <c r="U1321" s="3" t="n">
        <v>1</v>
      </c>
      <c r="V1321" s="3" t="n">
        <v>5.7</v>
      </c>
      <c r="W1321" s="3" t="n">
        <v>1.7</v>
      </c>
      <c r="X1321" s="3" t="n">
        <v>5.69</v>
      </c>
      <c r="Y1321" s="3" t="n">
        <v>369</v>
      </c>
      <c r="Z1321" s="3" t="n">
        <v>95</v>
      </c>
      <c r="AA1321" s="3" t="n">
        <v>0.4</v>
      </c>
      <c r="AB1321" s="3" t="n">
        <v>12</v>
      </c>
      <c r="AC1321" s="3" t="n">
        <v>1</v>
      </c>
      <c r="AD1321" s="3" t="n">
        <v>1</v>
      </c>
      <c r="AE1321" s="3" t="n">
        <v>2</v>
      </c>
      <c r="AF1321" s="3" t="n">
        <v>1</v>
      </c>
      <c r="AG1321" s="3" t="n">
        <v>2</v>
      </c>
      <c r="AH1321" s="3" t="n">
        <v>2</v>
      </c>
      <c r="AI1321" s="3" t="n">
        <v>1</v>
      </c>
      <c r="AJ1321" s="3" t="n">
        <v>1</v>
      </c>
      <c r="AK1321" s="3" t="n">
        <v>2</v>
      </c>
      <c r="AL1321" s="3" t="n">
        <v>2</v>
      </c>
      <c r="AM1321" s="3" t="n">
        <v>2</v>
      </c>
      <c r="AN1321" s="3" t="n">
        <v>2</v>
      </c>
      <c r="AO1321" s="3" t="n">
        <v>2</v>
      </c>
      <c r="AP1321" s="3" t="n">
        <v>3</v>
      </c>
      <c r="AQ1321" s="3" t="n">
        <v>4</v>
      </c>
      <c r="AR1321" s="3" t="n">
        <v>4</v>
      </c>
      <c r="AS1321" s="3" t="n">
        <v>6</v>
      </c>
      <c r="AT1321" s="3" t="n">
        <v>4</v>
      </c>
      <c r="AU1321" s="3" t="n">
        <v>4</v>
      </c>
      <c r="AV1321" s="3" t="n">
        <v>6</v>
      </c>
      <c r="AW1321" s="3" t="n">
        <v>6</v>
      </c>
      <c r="AX1321" s="3" t="n">
        <v>3</v>
      </c>
      <c r="AY1321" s="3" t="n">
        <v>3</v>
      </c>
      <c r="AZ1321" s="3" t="n">
        <v>1</v>
      </c>
      <c r="BA1321" s="5" t="n">
        <v>5</v>
      </c>
      <c r="BB1321" s="3" t="n">
        <v>2</v>
      </c>
      <c r="BC1321" s="3" t="n">
        <v>1</v>
      </c>
      <c r="BD1321" s="3" t="n">
        <v>6</v>
      </c>
      <c r="BE1321" s="3" t="n">
        <v>3</v>
      </c>
      <c r="BF1321" s="3" t="n">
        <v>5</v>
      </c>
      <c r="BG1321" s="3" t="n">
        <v>3</v>
      </c>
      <c r="BH1321" s="3" t="n">
        <v>4</v>
      </c>
      <c r="BI1321" s="3" t="n">
        <v>1</v>
      </c>
      <c r="BJ1321" s="3" t="n">
        <v>1</v>
      </c>
      <c r="BK1321" s="6" t="s">
        <v>3280</v>
      </c>
    </row>
    <row r="1322" customFormat="false" ht="15" hidden="false" customHeight="true" outlineLevel="0" collapsed="false">
      <c r="B1322" s="2" t="s">
        <v>239</v>
      </c>
      <c r="C1322" s="2" t="s">
        <v>197</v>
      </c>
      <c r="D1322" s="2" t="s">
        <v>94</v>
      </c>
      <c r="E1322" s="2" t="n">
        <v>216797</v>
      </c>
      <c r="F1322" s="15" t="n">
        <v>44394</v>
      </c>
      <c r="G1322" s="15" t="n">
        <v>44401</v>
      </c>
      <c r="H1322" s="3" t="n">
        <v>7</v>
      </c>
      <c r="I1322" s="3" t="n">
        <v>2</v>
      </c>
      <c r="J1322" s="3" t="n">
        <v>64</v>
      </c>
      <c r="K1322" s="3" t="n">
        <v>1</v>
      </c>
      <c r="L1322" s="3" t="n">
        <v>1</v>
      </c>
      <c r="M1322" s="3" t="n">
        <v>2</v>
      </c>
      <c r="N1322" s="3" t="n">
        <v>2</v>
      </c>
      <c r="O1322" s="3" t="n">
        <v>2</v>
      </c>
      <c r="P1322" s="3" t="n">
        <v>2</v>
      </c>
      <c r="Q1322" s="3" t="n">
        <v>2</v>
      </c>
      <c r="R1322" s="3" t="n">
        <v>2</v>
      </c>
      <c r="S1322" s="3" t="n">
        <v>2</v>
      </c>
      <c r="T1322" s="4" t="n">
        <v>2</v>
      </c>
      <c r="U1322" s="3" t="n">
        <v>2</v>
      </c>
      <c r="V1322" s="3" t="n">
        <v>5.75</v>
      </c>
      <c r="W1322" s="3" t="n">
        <v>1.57</v>
      </c>
      <c r="X1322" s="3" t="n">
        <v>5.58</v>
      </c>
      <c r="Y1322" s="3" t="n">
        <v>351</v>
      </c>
      <c r="Z1322" s="3" t="n">
        <v>89</v>
      </c>
      <c r="AA1322" s="3" t="n">
        <v>0.41</v>
      </c>
      <c r="AB1322" s="3" t="n">
        <v>9</v>
      </c>
      <c r="AC1322" s="3" t="n">
        <v>1</v>
      </c>
      <c r="AD1322" s="3" t="n">
        <v>2</v>
      </c>
      <c r="AE1322" s="3" t="n">
        <v>2</v>
      </c>
      <c r="AF1322" s="3" t="n">
        <v>1</v>
      </c>
      <c r="AG1322" s="3" t="n">
        <v>2</v>
      </c>
      <c r="AH1322" s="3" t="n">
        <v>2</v>
      </c>
      <c r="AI1322" s="3" t="n">
        <v>1</v>
      </c>
      <c r="AJ1322" s="3" t="n">
        <v>2</v>
      </c>
      <c r="AK1322" s="3" t="n">
        <v>2</v>
      </c>
      <c r="AL1322" s="3" t="n">
        <v>2</v>
      </c>
      <c r="AM1322" s="3" t="n">
        <v>2</v>
      </c>
      <c r="AN1322" s="3" t="n">
        <v>2</v>
      </c>
      <c r="AO1322" s="3" t="n">
        <v>1</v>
      </c>
      <c r="AP1322" s="3" t="n">
        <v>3</v>
      </c>
      <c r="AQ1322" s="3" t="n">
        <v>4</v>
      </c>
      <c r="AR1322" s="3" t="n">
        <v>4</v>
      </c>
      <c r="AS1322" s="3" t="n">
        <v>6</v>
      </c>
      <c r="AT1322" s="3" t="n">
        <v>4</v>
      </c>
      <c r="AU1322" s="3" t="n">
        <v>4</v>
      </c>
      <c r="AV1322" s="3" t="n">
        <v>6</v>
      </c>
      <c r="AW1322" s="3" t="n">
        <v>6</v>
      </c>
      <c r="AX1322" s="3" t="n">
        <v>3</v>
      </c>
      <c r="AY1322" s="3" t="n">
        <v>3</v>
      </c>
      <c r="AZ1322" s="3" t="n">
        <v>5</v>
      </c>
      <c r="BA1322" s="5" t="n">
        <v>1</v>
      </c>
      <c r="BB1322" s="3" t="n">
        <v>1</v>
      </c>
      <c r="BC1322" s="3" t="n">
        <v>1</v>
      </c>
      <c r="BD1322" s="3" t="n">
        <v>4</v>
      </c>
      <c r="BE1322" s="3" t="n">
        <v>1</v>
      </c>
      <c r="BF1322" s="3" t="n">
        <v>2</v>
      </c>
      <c r="BG1322" s="3" t="n">
        <v>1</v>
      </c>
      <c r="BH1322" s="3" t="n">
        <v>4</v>
      </c>
      <c r="BI1322" s="3" t="n">
        <v>1</v>
      </c>
      <c r="BJ1322" s="3" t="n">
        <v>1</v>
      </c>
      <c r="BK1322" s="6" t="s">
        <v>3281</v>
      </c>
    </row>
    <row r="1323" customFormat="false" ht="15" hidden="false" customHeight="true" outlineLevel="0" collapsed="false">
      <c r="B1323" s="2" t="s">
        <v>3282</v>
      </c>
      <c r="C1323" s="2" t="s">
        <v>122</v>
      </c>
      <c r="D1323" s="2" t="s">
        <v>127</v>
      </c>
      <c r="E1323" s="2" t="n">
        <v>217232</v>
      </c>
      <c r="F1323" s="15" t="n">
        <v>44399</v>
      </c>
      <c r="G1323" s="15" t="n">
        <v>44406</v>
      </c>
      <c r="H1323" s="3" t="n">
        <v>7</v>
      </c>
      <c r="I1323" s="3" t="n">
        <v>2</v>
      </c>
      <c r="J1323" s="3" t="n">
        <v>79</v>
      </c>
      <c r="K1323" s="3" t="n">
        <v>1</v>
      </c>
      <c r="L1323" s="3" t="n">
        <v>2</v>
      </c>
      <c r="M1323" s="3" t="n">
        <v>1</v>
      </c>
      <c r="N1323" s="3" t="n">
        <v>2</v>
      </c>
      <c r="O1323" s="3" t="n">
        <v>2</v>
      </c>
      <c r="P1323" s="3" t="n">
        <v>2</v>
      </c>
      <c r="Q1323" s="3" t="n">
        <v>1</v>
      </c>
      <c r="R1323" s="3" t="n">
        <v>2</v>
      </c>
      <c r="S1323" s="3" t="n">
        <v>2</v>
      </c>
      <c r="T1323" s="4" t="n">
        <v>2</v>
      </c>
      <c r="U1323" s="3" t="n">
        <v>2</v>
      </c>
      <c r="V1323" s="3" t="n">
        <v>5.52</v>
      </c>
      <c r="W1323" s="3" t="n">
        <v>2.47</v>
      </c>
      <c r="X1323" s="3" t="n">
        <v>10.47</v>
      </c>
      <c r="Y1323" s="3" t="n">
        <v>268</v>
      </c>
      <c r="Z1323" s="3" t="n">
        <v>93</v>
      </c>
      <c r="AA1323" s="3" t="n">
        <v>0.45</v>
      </c>
      <c r="AB1323" s="3" t="n">
        <v>9.5</v>
      </c>
      <c r="AC1323" s="3" t="n">
        <v>1</v>
      </c>
      <c r="AD1323" s="3" t="n">
        <v>2</v>
      </c>
      <c r="AE1323" s="3" t="n">
        <v>2</v>
      </c>
      <c r="AF1323" s="3" t="n">
        <v>1</v>
      </c>
      <c r="AG1323" s="3" t="n">
        <v>2</v>
      </c>
      <c r="AH1323" s="3" t="n">
        <v>2</v>
      </c>
      <c r="AI1323" s="3" t="n">
        <v>1</v>
      </c>
      <c r="AJ1323" s="3" t="n">
        <v>1</v>
      </c>
      <c r="AK1323" s="3" t="n">
        <v>1</v>
      </c>
      <c r="AL1323" s="3" t="n">
        <v>2</v>
      </c>
      <c r="AM1323" s="3" t="n">
        <v>1</v>
      </c>
      <c r="AN1323" s="3" t="n">
        <v>2</v>
      </c>
      <c r="AO1323" s="3" t="n">
        <v>2</v>
      </c>
      <c r="AP1323" s="3" t="n">
        <v>3</v>
      </c>
      <c r="AQ1323" s="3" t="n">
        <v>4</v>
      </c>
      <c r="AR1323" s="3" t="n">
        <v>4</v>
      </c>
      <c r="AS1323" s="3" t="n">
        <v>6</v>
      </c>
      <c r="AT1323" s="3" t="n">
        <v>4</v>
      </c>
      <c r="AU1323" s="3" t="n">
        <v>4</v>
      </c>
      <c r="AV1323" s="3" t="n">
        <v>6</v>
      </c>
      <c r="AW1323" s="3" t="n">
        <v>6</v>
      </c>
      <c r="AX1323" s="3" t="n">
        <v>3</v>
      </c>
      <c r="AY1323" s="3" t="n">
        <v>3</v>
      </c>
      <c r="AZ1323" s="3" t="n">
        <v>1</v>
      </c>
      <c r="BA1323" s="5" t="n">
        <v>1</v>
      </c>
      <c r="BB1323" s="3" t="n">
        <v>1</v>
      </c>
      <c r="BC1323" s="3" t="n">
        <v>1</v>
      </c>
      <c r="BD1323" s="3" t="n">
        <v>4</v>
      </c>
      <c r="BE1323" s="3" t="n">
        <v>1</v>
      </c>
      <c r="BF1323" s="3" t="n">
        <v>2</v>
      </c>
      <c r="BG1323" s="3" t="n">
        <v>1</v>
      </c>
      <c r="BH1323" s="3" t="n">
        <v>4</v>
      </c>
      <c r="BI1323" s="3" t="n">
        <v>1</v>
      </c>
      <c r="BJ1323" s="3" t="n">
        <v>1</v>
      </c>
      <c r="BK1323" s="6" t="s">
        <v>3283</v>
      </c>
    </row>
    <row r="1324" customFormat="false" ht="15" hidden="false" customHeight="true" outlineLevel="0" collapsed="false">
      <c r="B1324" s="2" t="s">
        <v>3284</v>
      </c>
      <c r="C1324" s="2" t="s">
        <v>3285</v>
      </c>
      <c r="D1324" s="2" t="s">
        <v>3286</v>
      </c>
      <c r="E1324" s="2" t="n">
        <v>211738</v>
      </c>
      <c r="F1324" s="15" t="n">
        <v>44398</v>
      </c>
      <c r="G1324" s="15" t="n">
        <v>44405</v>
      </c>
      <c r="H1324" s="3" t="n">
        <v>7</v>
      </c>
      <c r="I1324" s="3" t="n">
        <v>1</v>
      </c>
      <c r="J1324" s="3" t="n">
        <v>59</v>
      </c>
      <c r="K1324" s="3" t="n">
        <v>2</v>
      </c>
      <c r="L1324" s="3" t="n">
        <v>1</v>
      </c>
      <c r="M1324" s="3" t="n">
        <v>1</v>
      </c>
      <c r="N1324" s="3" t="n">
        <v>2</v>
      </c>
      <c r="O1324" s="3" t="n">
        <v>2</v>
      </c>
      <c r="P1324" s="3" t="n">
        <v>2</v>
      </c>
      <c r="Q1324" s="3" t="n">
        <v>2</v>
      </c>
      <c r="R1324" s="3" t="n">
        <v>2</v>
      </c>
      <c r="S1324" s="3" t="n">
        <v>2</v>
      </c>
      <c r="T1324" s="4" t="n">
        <v>2</v>
      </c>
      <c r="U1324" s="3" t="n">
        <v>2</v>
      </c>
      <c r="V1324" s="3" t="n">
        <v>3.74</v>
      </c>
      <c r="W1324" s="3" t="n">
        <v>3.2</v>
      </c>
      <c r="X1324" s="3" t="n">
        <v>3.73</v>
      </c>
      <c r="Y1324" s="3" t="n">
        <v>396</v>
      </c>
      <c r="Z1324" s="3" t="n">
        <v>138</v>
      </c>
      <c r="AA1324" s="3" t="n">
        <v>0.38</v>
      </c>
      <c r="AB1324" s="3" t="n">
        <v>7.6</v>
      </c>
      <c r="AC1324" s="3" t="n">
        <v>1</v>
      </c>
      <c r="AD1324" s="3" t="n">
        <v>2</v>
      </c>
      <c r="AE1324" s="3" t="n">
        <v>2</v>
      </c>
      <c r="AF1324" s="3" t="n">
        <v>1</v>
      </c>
      <c r="AG1324" s="3" t="n">
        <v>2</v>
      </c>
      <c r="AH1324" s="3" t="n">
        <v>2</v>
      </c>
      <c r="AI1324" s="3" t="n">
        <v>1</v>
      </c>
      <c r="AJ1324" s="3" t="n">
        <v>1</v>
      </c>
      <c r="AK1324" s="3" t="n">
        <v>2</v>
      </c>
      <c r="AL1324" s="3" t="n">
        <v>2</v>
      </c>
      <c r="AM1324" s="3" t="n">
        <v>1</v>
      </c>
      <c r="AN1324" s="3" t="n">
        <v>2</v>
      </c>
      <c r="AO1324" s="3" t="n">
        <v>2</v>
      </c>
      <c r="AP1324" s="3" t="n">
        <v>3</v>
      </c>
      <c r="AQ1324" s="3" t="n">
        <v>4</v>
      </c>
      <c r="AR1324" s="3" t="n">
        <v>4</v>
      </c>
      <c r="AS1324" s="3" t="n">
        <v>6</v>
      </c>
      <c r="AT1324" s="3" t="n">
        <v>4</v>
      </c>
      <c r="AU1324" s="3" t="n">
        <v>4</v>
      </c>
      <c r="AV1324" s="3" t="n">
        <v>6</v>
      </c>
      <c r="AW1324" s="3" t="n">
        <v>6</v>
      </c>
      <c r="AX1324" s="3" t="n">
        <v>3</v>
      </c>
      <c r="AY1324" s="3" t="n">
        <v>3</v>
      </c>
      <c r="AZ1324" s="3" t="n">
        <v>1</v>
      </c>
      <c r="BA1324" s="5" t="n">
        <v>1</v>
      </c>
      <c r="BB1324" s="3" t="n">
        <v>1</v>
      </c>
      <c r="BC1324" s="3" t="n">
        <v>1</v>
      </c>
      <c r="BD1324" s="3" t="n">
        <v>4</v>
      </c>
      <c r="BE1324" s="3" t="n">
        <v>1</v>
      </c>
      <c r="BF1324" s="3" t="n">
        <v>2</v>
      </c>
      <c r="BG1324" s="3" t="n">
        <v>1</v>
      </c>
      <c r="BH1324" s="3" t="n">
        <v>4</v>
      </c>
      <c r="BI1324" s="3" t="n">
        <v>1</v>
      </c>
      <c r="BJ1324" s="3" t="n">
        <v>1</v>
      </c>
      <c r="BK1324" s="6" t="s">
        <v>3287</v>
      </c>
    </row>
    <row r="1325" customFormat="false" ht="15" hidden="false" customHeight="true" outlineLevel="0" collapsed="false">
      <c r="B1325" s="2" t="s">
        <v>1586</v>
      </c>
      <c r="C1325" s="2" t="s">
        <v>66</v>
      </c>
      <c r="D1325" s="2" t="s">
        <v>2335</v>
      </c>
      <c r="E1325" s="2" t="n">
        <v>217178</v>
      </c>
      <c r="F1325" s="15" t="n">
        <v>44399</v>
      </c>
      <c r="G1325" s="15" t="n">
        <v>44406</v>
      </c>
      <c r="H1325" s="3" t="n">
        <v>7</v>
      </c>
      <c r="I1325" s="3" t="n">
        <v>2</v>
      </c>
      <c r="J1325" s="3" t="n">
        <v>79</v>
      </c>
      <c r="K1325" s="3" t="n">
        <v>2</v>
      </c>
      <c r="L1325" s="3" t="n">
        <v>2</v>
      </c>
      <c r="M1325" s="3" t="n">
        <v>1</v>
      </c>
      <c r="N1325" s="3" t="n">
        <v>2</v>
      </c>
      <c r="O1325" s="3" t="n">
        <v>2</v>
      </c>
      <c r="P1325" s="3" t="n">
        <v>2</v>
      </c>
      <c r="Q1325" s="3" t="n">
        <v>2</v>
      </c>
      <c r="R1325" s="3" t="n">
        <v>2</v>
      </c>
      <c r="S1325" s="3" t="n">
        <v>2</v>
      </c>
      <c r="T1325" s="4" t="n">
        <v>2</v>
      </c>
      <c r="U1325" s="3" t="n">
        <v>2</v>
      </c>
      <c r="V1325" s="3" t="n">
        <v>4.57</v>
      </c>
      <c r="W1325" s="3" t="n">
        <v>1.48</v>
      </c>
      <c r="X1325" s="3" t="n">
        <v>5.89</v>
      </c>
      <c r="Y1325" s="3" t="n">
        <v>463</v>
      </c>
      <c r="Z1325" s="3" t="n">
        <v>103</v>
      </c>
      <c r="AA1325" s="3" t="n">
        <v>0.4</v>
      </c>
      <c r="AB1325" s="3" t="n">
        <v>5</v>
      </c>
      <c r="AC1325" s="3" t="n">
        <v>1</v>
      </c>
      <c r="AD1325" s="3" t="n">
        <v>2</v>
      </c>
      <c r="AE1325" s="3" t="n">
        <v>2</v>
      </c>
      <c r="AF1325" s="3" t="n">
        <v>1</v>
      </c>
      <c r="AG1325" s="3" t="n">
        <v>2</v>
      </c>
      <c r="AH1325" s="3" t="n">
        <v>2</v>
      </c>
      <c r="AI1325" s="3" t="n">
        <v>1</v>
      </c>
      <c r="AJ1325" s="3" t="n">
        <v>1</v>
      </c>
      <c r="AK1325" s="3" t="n">
        <v>2</v>
      </c>
      <c r="AL1325" s="3" t="n">
        <v>2</v>
      </c>
      <c r="AM1325" s="3" t="n">
        <v>2</v>
      </c>
      <c r="AN1325" s="3" t="n">
        <v>2</v>
      </c>
      <c r="AO1325" s="3" t="n">
        <v>2</v>
      </c>
      <c r="AP1325" s="3" t="n">
        <v>3</v>
      </c>
      <c r="AQ1325" s="3" t="n">
        <v>4</v>
      </c>
      <c r="AR1325" s="3" t="n">
        <v>4</v>
      </c>
      <c r="AS1325" s="3" t="n">
        <v>6</v>
      </c>
      <c r="AT1325" s="3" t="n">
        <v>4</v>
      </c>
      <c r="AU1325" s="3" t="n">
        <v>4</v>
      </c>
      <c r="AV1325" s="3" t="n">
        <v>6</v>
      </c>
      <c r="AW1325" s="3" t="n">
        <v>6</v>
      </c>
      <c r="AX1325" s="3" t="n">
        <v>3</v>
      </c>
      <c r="AY1325" s="3" t="n">
        <v>3</v>
      </c>
      <c r="AZ1325" s="3" t="n">
        <v>1</v>
      </c>
      <c r="BA1325" s="5" t="n">
        <v>1</v>
      </c>
      <c r="BB1325" s="3" t="n">
        <v>1</v>
      </c>
      <c r="BC1325" s="3" t="n">
        <v>1</v>
      </c>
      <c r="BD1325" s="3" t="n">
        <v>4</v>
      </c>
      <c r="BE1325" s="3" t="n">
        <v>1</v>
      </c>
      <c r="BF1325" s="3" t="n">
        <v>2</v>
      </c>
      <c r="BG1325" s="3" t="n">
        <v>1</v>
      </c>
      <c r="BH1325" s="3" t="n">
        <v>4</v>
      </c>
      <c r="BI1325" s="3" t="n">
        <v>1</v>
      </c>
      <c r="BJ1325" s="3" t="n">
        <v>1</v>
      </c>
      <c r="BK1325" s="6" t="s">
        <v>3288</v>
      </c>
    </row>
    <row r="1326" customFormat="false" ht="15" hidden="false" customHeight="true" outlineLevel="0" collapsed="false">
      <c r="B1326" s="2" t="s">
        <v>2530</v>
      </c>
      <c r="C1326" s="2" t="s">
        <v>3289</v>
      </c>
      <c r="D1326" s="2" t="s">
        <v>78</v>
      </c>
      <c r="E1326" s="2" t="n">
        <v>217157</v>
      </c>
      <c r="F1326" s="15" t="n">
        <v>44398</v>
      </c>
      <c r="G1326" s="15" t="n">
        <v>44407</v>
      </c>
      <c r="H1326" s="3" t="n">
        <v>9</v>
      </c>
      <c r="I1326" s="3" t="n">
        <v>1</v>
      </c>
      <c r="J1326" s="3" t="n">
        <v>68</v>
      </c>
      <c r="K1326" s="3" t="n">
        <v>1</v>
      </c>
      <c r="L1326" s="3" t="n">
        <v>2</v>
      </c>
      <c r="M1326" s="3" t="n">
        <v>1</v>
      </c>
      <c r="N1326" s="3" t="n">
        <v>2</v>
      </c>
      <c r="O1326" s="3" t="n">
        <v>2</v>
      </c>
      <c r="P1326" s="3" t="n">
        <v>2</v>
      </c>
      <c r="Q1326" s="3" t="n">
        <v>2</v>
      </c>
      <c r="R1326" s="3" t="n">
        <v>2</v>
      </c>
      <c r="S1326" s="3" t="n">
        <v>2</v>
      </c>
      <c r="T1326" s="4" t="n">
        <v>1</v>
      </c>
      <c r="U1326" s="3" t="n">
        <v>1</v>
      </c>
      <c r="V1326" s="3" t="n">
        <v>4.67</v>
      </c>
      <c r="W1326" s="3" t="n">
        <v>4.98</v>
      </c>
      <c r="X1326" s="3" t="n">
        <v>5.78</v>
      </c>
      <c r="Y1326" s="3" t="n">
        <v>416</v>
      </c>
      <c r="Z1326" s="3" t="n">
        <v>77</v>
      </c>
      <c r="AA1326" s="3" t="n">
        <v>0.43</v>
      </c>
      <c r="AB1326" s="3" t="n">
        <v>7.5</v>
      </c>
      <c r="AC1326" s="3" t="n">
        <v>1</v>
      </c>
      <c r="AD1326" s="3" t="n">
        <v>1</v>
      </c>
      <c r="AE1326" s="3" t="n">
        <v>2</v>
      </c>
      <c r="AF1326" s="3" t="n">
        <v>1</v>
      </c>
      <c r="AG1326" s="3" t="n">
        <v>2</v>
      </c>
      <c r="AH1326" s="3" t="n">
        <v>1</v>
      </c>
      <c r="AI1326" s="3" t="n">
        <v>1</v>
      </c>
      <c r="AJ1326" s="3" t="n">
        <v>1</v>
      </c>
      <c r="AK1326" s="3" t="n">
        <v>2</v>
      </c>
      <c r="AL1326" s="3" t="n">
        <v>2</v>
      </c>
      <c r="AM1326" s="3" t="n">
        <v>1</v>
      </c>
      <c r="AN1326" s="3" t="n">
        <v>2</v>
      </c>
      <c r="AO1326" s="3" t="n">
        <v>2</v>
      </c>
      <c r="AP1326" s="3" t="n">
        <v>3</v>
      </c>
      <c r="AQ1326" s="3" t="n">
        <v>4</v>
      </c>
      <c r="AR1326" s="3" t="n">
        <v>4</v>
      </c>
      <c r="AS1326" s="3" t="n">
        <v>6</v>
      </c>
      <c r="AT1326" s="3" t="n">
        <v>4</v>
      </c>
      <c r="AU1326" s="3" t="n">
        <v>4</v>
      </c>
      <c r="AV1326" s="3" t="n">
        <v>6</v>
      </c>
      <c r="AW1326" s="3" t="n">
        <v>6</v>
      </c>
      <c r="AX1326" s="3" t="n">
        <v>3</v>
      </c>
      <c r="AY1326" s="3" t="n">
        <v>3</v>
      </c>
      <c r="AZ1326" s="3" t="n">
        <v>1</v>
      </c>
      <c r="BA1326" s="5" t="n">
        <v>5</v>
      </c>
      <c r="BB1326" s="3" t="n">
        <v>2</v>
      </c>
      <c r="BC1326" s="3" t="n">
        <v>1</v>
      </c>
      <c r="BD1326" s="3" t="n">
        <v>6</v>
      </c>
      <c r="BE1326" s="3" t="n">
        <v>3</v>
      </c>
      <c r="BF1326" s="3" t="n">
        <v>5</v>
      </c>
      <c r="BG1326" s="3" t="n">
        <v>3</v>
      </c>
      <c r="BH1326" s="3" t="n">
        <v>4</v>
      </c>
      <c r="BI1326" s="3" t="n">
        <v>1</v>
      </c>
      <c r="BJ1326" s="3" t="n">
        <v>1</v>
      </c>
      <c r="BK1326" s="6" t="s">
        <v>3290</v>
      </c>
    </row>
    <row r="1327" customFormat="false" ht="15" hidden="false" customHeight="true" outlineLevel="0" collapsed="false">
      <c r="B1327" s="2" t="s">
        <v>3291</v>
      </c>
      <c r="C1327" s="2" t="s">
        <v>462</v>
      </c>
      <c r="D1327" s="2" t="s">
        <v>3292</v>
      </c>
      <c r="E1327" s="2" t="n">
        <v>217488</v>
      </c>
      <c r="F1327" s="15" t="n">
        <v>44401</v>
      </c>
      <c r="G1327" s="15" t="n">
        <v>44408</v>
      </c>
      <c r="H1327" s="3" t="n">
        <v>7</v>
      </c>
      <c r="I1327" s="3" t="n">
        <v>2</v>
      </c>
      <c r="J1327" s="3" t="n">
        <v>54</v>
      </c>
      <c r="K1327" s="3" t="n">
        <v>2</v>
      </c>
      <c r="L1327" s="3" t="n">
        <v>1</v>
      </c>
      <c r="M1327" s="3" t="n">
        <v>1</v>
      </c>
      <c r="N1327" s="3" t="n">
        <v>2</v>
      </c>
      <c r="O1327" s="3" t="n">
        <v>2</v>
      </c>
      <c r="P1327" s="3" t="n">
        <v>2</v>
      </c>
      <c r="Q1327" s="3" t="n">
        <v>1</v>
      </c>
      <c r="R1327" s="3" t="n">
        <v>2</v>
      </c>
      <c r="S1327" s="3" t="n">
        <v>2</v>
      </c>
      <c r="T1327" s="4" t="n">
        <v>2</v>
      </c>
      <c r="U1327" s="3" t="n">
        <v>2</v>
      </c>
      <c r="V1327" s="3" t="s">
        <v>3293</v>
      </c>
      <c r="W1327" s="3" t="s">
        <v>1504</v>
      </c>
      <c r="X1327" s="3" t="s">
        <v>3294</v>
      </c>
      <c r="Y1327" s="3" t="n">
        <v>478</v>
      </c>
      <c r="Z1327" s="3" t="n">
        <v>164</v>
      </c>
      <c r="AA1327" s="3" t="s">
        <v>2872</v>
      </c>
      <c r="AB1327" s="3" t="s">
        <v>3295</v>
      </c>
      <c r="AC1327" s="3" t="n">
        <v>1</v>
      </c>
      <c r="AD1327" s="3" t="n">
        <v>2</v>
      </c>
      <c r="AE1327" s="3" t="n">
        <v>1</v>
      </c>
      <c r="AF1327" s="3" t="n">
        <v>1</v>
      </c>
      <c r="AG1327" s="3" t="n">
        <v>2</v>
      </c>
      <c r="AH1327" s="3" t="n">
        <v>1</v>
      </c>
      <c r="AI1327" s="3" t="n">
        <v>1</v>
      </c>
      <c r="AJ1327" s="3" t="n">
        <v>2</v>
      </c>
      <c r="AK1327" s="3" t="n">
        <v>1</v>
      </c>
      <c r="AL1327" s="3" t="n">
        <v>2</v>
      </c>
      <c r="AM1327" s="3" t="n">
        <v>2</v>
      </c>
      <c r="AN1327" s="3" t="n">
        <v>2</v>
      </c>
      <c r="AO1327" s="3" t="n">
        <v>2</v>
      </c>
      <c r="AP1327" s="3" t="n">
        <v>3</v>
      </c>
      <c r="AQ1327" s="3" t="n">
        <v>4</v>
      </c>
      <c r="AR1327" s="3" t="n">
        <v>4</v>
      </c>
      <c r="AS1327" s="3" t="n">
        <v>6</v>
      </c>
      <c r="AT1327" s="3" t="n">
        <v>4</v>
      </c>
      <c r="AU1327" s="3" t="n">
        <v>4</v>
      </c>
      <c r="AV1327" s="3" t="n">
        <v>6</v>
      </c>
      <c r="AW1327" s="3" t="n">
        <v>6</v>
      </c>
      <c r="AX1327" s="3" t="n">
        <v>3</v>
      </c>
      <c r="AY1327" s="3" t="n">
        <v>3</v>
      </c>
      <c r="AZ1327" s="3" t="n">
        <v>5</v>
      </c>
      <c r="BA1327" s="5" t="n">
        <v>1</v>
      </c>
      <c r="BB1327" s="3" t="n">
        <v>1</v>
      </c>
      <c r="BC1327" s="3" t="n">
        <v>1</v>
      </c>
      <c r="BD1327" s="3" t="n">
        <v>4</v>
      </c>
      <c r="BE1327" s="3" t="n">
        <v>3</v>
      </c>
      <c r="BF1327" s="3" t="n">
        <v>5</v>
      </c>
      <c r="BG1327" s="3" t="n">
        <v>3</v>
      </c>
      <c r="BH1327" s="3" t="n">
        <v>4</v>
      </c>
      <c r="BI1327" s="3" t="n">
        <v>1</v>
      </c>
      <c r="BJ1327" s="3" t="n">
        <v>1</v>
      </c>
      <c r="BK1327" s="6" t="s">
        <v>3296</v>
      </c>
    </row>
    <row r="1328" customFormat="false" ht="15" hidden="false" customHeight="true" outlineLevel="0" collapsed="false">
      <c r="B1328" s="2" t="s">
        <v>3297</v>
      </c>
      <c r="C1328" s="2" t="s">
        <v>3298</v>
      </c>
      <c r="D1328" s="2" t="s">
        <v>913</v>
      </c>
      <c r="E1328" s="2" t="n">
        <v>217302</v>
      </c>
      <c r="F1328" s="15" t="n">
        <v>44405</v>
      </c>
      <c r="G1328" s="15" t="n">
        <v>44411</v>
      </c>
      <c r="H1328" s="3" t="n">
        <v>6</v>
      </c>
      <c r="I1328" s="3" t="n">
        <v>2</v>
      </c>
      <c r="J1328" s="3" t="n">
        <v>72</v>
      </c>
      <c r="K1328" s="3" t="n">
        <v>2</v>
      </c>
      <c r="L1328" s="3" t="n">
        <v>2</v>
      </c>
      <c r="M1328" s="3" t="n">
        <v>1</v>
      </c>
      <c r="N1328" s="3" t="n">
        <v>2</v>
      </c>
      <c r="O1328" s="3" t="n">
        <v>2</v>
      </c>
      <c r="P1328" s="3" t="n">
        <v>2</v>
      </c>
      <c r="Q1328" s="3" t="n">
        <v>2</v>
      </c>
      <c r="R1328" s="3" t="n">
        <v>2</v>
      </c>
      <c r="S1328" s="3" t="n">
        <v>2</v>
      </c>
      <c r="T1328" s="4" t="n">
        <v>2</v>
      </c>
      <c r="U1328" s="3" t="n">
        <v>2</v>
      </c>
      <c r="V1328" s="3" t="n">
        <v>4.81</v>
      </c>
      <c r="W1328" s="3" t="n">
        <v>0.88</v>
      </c>
      <c r="X1328" s="3" t="n">
        <v>5.48</v>
      </c>
      <c r="Y1328" s="3" t="n">
        <v>399</v>
      </c>
      <c r="Z1328" s="3" t="n">
        <v>104</v>
      </c>
      <c r="AA1328" s="3" t="n">
        <v>0.47</v>
      </c>
      <c r="AB1328" s="3" t="n">
        <v>7.3</v>
      </c>
      <c r="AC1328" s="3" t="n">
        <v>2</v>
      </c>
      <c r="AD1328" s="3" t="n">
        <v>2</v>
      </c>
      <c r="AE1328" s="3" t="n">
        <v>2</v>
      </c>
      <c r="AF1328" s="3" t="n">
        <v>1</v>
      </c>
      <c r="AG1328" s="3" t="n">
        <v>2</v>
      </c>
      <c r="AH1328" s="3" t="n">
        <v>2</v>
      </c>
      <c r="AI1328" s="3" t="n">
        <v>1</v>
      </c>
      <c r="AJ1328" s="3" t="n">
        <v>1</v>
      </c>
      <c r="AK1328" s="3" t="n">
        <v>2</v>
      </c>
      <c r="AL1328" s="3" t="n">
        <v>2</v>
      </c>
      <c r="AM1328" s="3" t="n">
        <v>1</v>
      </c>
      <c r="AN1328" s="3" t="n">
        <v>2</v>
      </c>
      <c r="AO1328" s="3" t="n">
        <v>2</v>
      </c>
      <c r="AP1328" s="3" t="n">
        <v>3</v>
      </c>
      <c r="AQ1328" s="3" t="n">
        <v>4</v>
      </c>
      <c r="AR1328" s="3" t="n">
        <v>4</v>
      </c>
      <c r="AS1328" s="3" t="n">
        <v>6</v>
      </c>
      <c r="AT1328" s="3" t="n">
        <v>4</v>
      </c>
      <c r="AU1328" s="3" t="n">
        <v>4</v>
      </c>
      <c r="AV1328" s="3" t="n">
        <v>6</v>
      </c>
      <c r="AW1328" s="3" t="n">
        <v>6</v>
      </c>
      <c r="AX1328" s="3" t="n">
        <v>3</v>
      </c>
      <c r="AY1328" s="3" t="n">
        <v>3</v>
      </c>
      <c r="AZ1328" s="3" t="n">
        <v>1</v>
      </c>
      <c r="BA1328" s="5" t="n">
        <v>1</v>
      </c>
      <c r="BB1328" s="3" t="n">
        <v>1</v>
      </c>
      <c r="BC1328" s="3" t="n">
        <v>1</v>
      </c>
      <c r="BD1328" s="3" t="n">
        <v>4</v>
      </c>
      <c r="BE1328" s="3" t="n">
        <v>1</v>
      </c>
      <c r="BF1328" s="3" t="n">
        <v>2</v>
      </c>
      <c r="BG1328" s="3" t="n">
        <v>1</v>
      </c>
      <c r="BH1328" s="3" t="n">
        <v>4</v>
      </c>
      <c r="BI1328" s="3" t="n">
        <v>1</v>
      </c>
      <c r="BJ1328" s="3" t="n">
        <v>1</v>
      </c>
      <c r="BK1328" s="6" t="s">
        <v>3299</v>
      </c>
    </row>
    <row r="1329" customFormat="false" ht="15" hidden="false" customHeight="true" outlineLevel="0" collapsed="false">
      <c r="B1329" s="2" t="s">
        <v>966</v>
      </c>
      <c r="C1329" s="2" t="s">
        <v>2247</v>
      </c>
      <c r="D1329" s="2" t="s">
        <v>1157</v>
      </c>
      <c r="E1329" s="2" t="n">
        <v>217475</v>
      </c>
      <c r="F1329" s="15" t="n">
        <v>44402</v>
      </c>
      <c r="G1329" s="15" t="n">
        <v>44411</v>
      </c>
      <c r="H1329" s="3" t="n">
        <v>8</v>
      </c>
      <c r="I1329" s="3" t="n">
        <v>2</v>
      </c>
      <c r="J1329" s="3" t="n">
        <v>49</v>
      </c>
      <c r="K1329" s="3" t="n">
        <v>1</v>
      </c>
      <c r="L1329" s="3" t="n">
        <v>2</v>
      </c>
      <c r="M1329" s="3" t="n">
        <v>1</v>
      </c>
      <c r="N1329" s="3" t="n">
        <v>2</v>
      </c>
      <c r="O1329" s="3" t="n">
        <v>2</v>
      </c>
      <c r="P1329" s="3" t="n">
        <v>2</v>
      </c>
      <c r="Q1329" s="3" t="n">
        <v>1</v>
      </c>
      <c r="R1329" s="3" t="n">
        <v>2</v>
      </c>
      <c r="S1329" s="3" t="n">
        <v>1</v>
      </c>
      <c r="T1329" s="4" t="n">
        <v>2</v>
      </c>
      <c r="U1329" s="3" t="n">
        <v>2</v>
      </c>
      <c r="V1329" s="3" t="s">
        <v>3300</v>
      </c>
      <c r="W1329" s="3" t="s">
        <v>3301</v>
      </c>
      <c r="X1329" s="3" t="s">
        <v>1297</v>
      </c>
      <c r="Y1329" s="3" t="n">
        <v>552</v>
      </c>
      <c r="Z1329" s="3" t="n">
        <v>151</v>
      </c>
      <c r="AA1329" s="3" t="s">
        <v>3302</v>
      </c>
      <c r="AB1329" s="3" t="s">
        <v>3303</v>
      </c>
      <c r="AC1329" s="3" t="n">
        <v>2</v>
      </c>
      <c r="AD1329" s="3" t="n">
        <v>1</v>
      </c>
      <c r="AE1329" s="3" t="n">
        <v>1</v>
      </c>
      <c r="AF1329" s="3" t="n">
        <v>1</v>
      </c>
      <c r="AG1329" s="3" t="n">
        <v>2</v>
      </c>
      <c r="AH1329" s="3" t="n">
        <v>2</v>
      </c>
      <c r="AI1329" s="3" t="n">
        <v>1</v>
      </c>
      <c r="AJ1329" s="3" t="n">
        <v>2</v>
      </c>
      <c r="AK1329" s="3" t="n">
        <v>1</v>
      </c>
      <c r="AL1329" s="3" t="n">
        <v>2</v>
      </c>
      <c r="AM1329" s="3" t="n">
        <v>2</v>
      </c>
      <c r="AN1329" s="3" t="n">
        <v>2</v>
      </c>
      <c r="AO1329" s="3" t="n">
        <v>2</v>
      </c>
      <c r="AP1329" s="3" t="n">
        <v>3</v>
      </c>
      <c r="AQ1329" s="3" t="n">
        <v>4</v>
      </c>
      <c r="AR1329" s="3" t="n">
        <v>4</v>
      </c>
      <c r="AS1329" s="3" t="n">
        <v>6</v>
      </c>
      <c r="AT1329" s="3" t="n">
        <v>4</v>
      </c>
      <c r="AU1329" s="3" t="n">
        <v>4</v>
      </c>
      <c r="AV1329" s="3" t="n">
        <v>6</v>
      </c>
      <c r="AW1329" s="3" t="n">
        <v>6</v>
      </c>
      <c r="AX1329" s="3" t="n">
        <v>3</v>
      </c>
      <c r="AY1329" s="3" t="n">
        <v>3</v>
      </c>
      <c r="AZ1329" s="3" t="n">
        <v>4</v>
      </c>
      <c r="BA1329" s="5" t="n">
        <v>1</v>
      </c>
      <c r="BB1329" s="3" t="n">
        <v>1</v>
      </c>
      <c r="BC1329" s="3" t="n">
        <v>1</v>
      </c>
      <c r="BD1329" s="3" t="n">
        <v>2</v>
      </c>
      <c r="BE1329" s="3" t="n">
        <v>1</v>
      </c>
      <c r="BF1329" s="3" t="n">
        <v>2</v>
      </c>
      <c r="BG1329" s="3" t="n">
        <v>1</v>
      </c>
      <c r="BH1329" s="3" t="n">
        <v>4</v>
      </c>
      <c r="BI1329" s="3" t="n">
        <v>1</v>
      </c>
      <c r="BJ1329" s="3" t="n">
        <v>1</v>
      </c>
      <c r="BK1329" s="6" t="s">
        <v>3304</v>
      </c>
    </row>
    <row r="1330" customFormat="false" ht="15" hidden="false" customHeight="true" outlineLevel="0" collapsed="false">
      <c r="B1330" s="2" t="s">
        <v>3305</v>
      </c>
      <c r="C1330" s="2" t="s">
        <v>423</v>
      </c>
      <c r="D1330" s="2" t="s">
        <v>161</v>
      </c>
      <c r="E1330" s="2" t="n">
        <v>217546</v>
      </c>
      <c r="F1330" s="15" t="n">
        <v>44409</v>
      </c>
      <c r="G1330" s="15" t="n">
        <v>44412</v>
      </c>
      <c r="H1330" s="3" t="n">
        <v>3</v>
      </c>
      <c r="I1330" s="3" t="n">
        <v>2</v>
      </c>
      <c r="J1330" s="3" t="n">
        <v>88</v>
      </c>
      <c r="K1330" s="3" t="n">
        <v>2</v>
      </c>
      <c r="L1330" s="3" t="n">
        <v>2</v>
      </c>
      <c r="M1330" s="3" t="n">
        <v>1</v>
      </c>
      <c r="N1330" s="3" t="n">
        <v>2</v>
      </c>
      <c r="O1330" s="3" t="n">
        <v>2</v>
      </c>
      <c r="P1330" s="3" t="n">
        <v>2</v>
      </c>
      <c r="Q1330" s="3" t="n">
        <v>2</v>
      </c>
      <c r="R1330" s="3" t="n">
        <v>2</v>
      </c>
      <c r="S1330" s="3" t="n">
        <v>2</v>
      </c>
      <c r="T1330" s="4" t="n">
        <v>4</v>
      </c>
      <c r="U1330" s="3" t="n">
        <v>4</v>
      </c>
      <c r="V1330" s="3" t="n">
        <v>4.38</v>
      </c>
      <c r="W1330" s="3" t="n">
        <v>0.76</v>
      </c>
      <c r="X1330" s="3" t="n">
        <v>4.32</v>
      </c>
      <c r="Y1330" s="3" t="n">
        <v>343</v>
      </c>
      <c r="Z1330" s="3" t="n">
        <v>111</v>
      </c>
      <c r="AA1330" s="3" t="n">
        <v>0.37</v>
      </c>
      <c r="AB1330" s="3" t="n">
        <v>13.9</v>
      </c>
      <c r="AC1330" s="3" t="n">
        <v>1</v>
      </c>
      <c r="AD1330" s="3" t="n">
        <v>2</v>
      </c>
      <c r="AE1330" s="3" t="n">
        <v>1</v>
      </c>
      <c r="AF1330" s="3" t="n">
        <v>2</v>
      </c>
      <c r="AG1330" s="3" t="n">
        <v>2</v>
      </c>
      <c r="AH1330" s="3" t="n">
        <v>1</v>
      </c>
      <c r="AI1330" s="3" t="n">
        <v>2</v>
      </c>
      <c r="AJ1330" s="3" t="n">
        <v>2</v>
      </c>
      <c r="AK1330" s="3" t="n">
        <v>2</v>
      </c>
      <c r="AL1330" s="3" t="n">
        <v>2</v>
      </c>
      <c r="AM1330" s="3" t="n">
        <v>2</v>
      </c>
      <c r="AN1330" s="3" t="n">
        <v>2</v>
      </c>
      <c r="AO1330" s="3" t="n">
        <v>2</v>
      </c>
      <c r="AP1330" s="3" t="n">
        <v>3</v>
      </c>
      <c r="AQ1330" s="3" t="n">
        <v>4</v>
      </c>
      <c r="AR1330" s="3" t="n">
        <v>4</v>
      </c>
      <c r="AS1330" s="3" t="n">
        <v>6</v>
      </c>
      <c r="AT1330" s="3" t="n">
        <v>4</v>
      </c>
      <c r="AU1330" s="3" t="n">
        <v>4</v>
      </c>
      <c r="AV1330" s="3" t="n">
        <v>6</v>
      </c>
      <c r="AW1330" s="3" t="n">
        <v>6</v>
      </c>
      <c r="AX1330" s="3" t="n">
        <v>3</v>
      </c>
      <c r="AY1330" s="3" t="n">
        <v>3</v>
      </c>
      <c r="AZ1330" s="3" t="n">
        <v>1</v>
      </c>
      <c r="BA1330" s="5" t="n">
        <v>10</v>
      </c>
      <c r="BB1330" s="3" t="n">
        <v>2</v>
      </c>
      <c r="BC1330" s="3" t="n">
        <v>1</v>
      </c>
      <c r="BD1330" s="3" t="n">
        <v>6</v>
      </c>
      <c r="BE1330" s="3" t="n">
        <v>3</v>
      </c>
      <c r="BF1330" s="3" t="n">
        <v>5</v>
      </c>
      <c r="BG1330" s="3" t="n">
        <v>3</v>
      </c>
      <c r="BH1330" s="3" t="n">
        <v>4</v>
      </c>
      <c r="BI1330" s="3" t="n">
        <v>1</v>
      </c>
      <c r="BJ1330" s="3" t="n">
        <v>1</v>
      </c>
      <c r="BK1330" s="6" t="s">
        <v>3306</v>
      </c>
    </row>
    <row r="1331" customFormat="false" ht="15" hidden="false" customHeight="true" outlineLevel="0" collapsed="false">
      <c r="B1331" s="2" t="s">
        <v>228</v>
      </c>
      <c r="C1331" s="2" t="s">
        <v>462</v>
      </c>
      <c r="D1331" s="2" t="s">
        <v>1113</v>
      </c>
      <c r="E1331" s="2" t="n">
        <v>217523</v>
      </c>
      <c r="F1331" s="15" t="n">
        <v>44408</v>
      </c>
      <c r="G1331" s="15" t="n">
        <v>44414</v>
      </c>
      <c r="H1331" s="3" t="n">
        <v>6</v>
      </c>
      <c r="I1331" s="3" t="n">
        <v>2</v>
      </c>
      <c r="J1331" s="3" t="n">
        <v>59</v>
      </c>
      <c r="K1331" s="3" t="n">
        <v>2</v>
      </c>
      <c r="L1331" s="3" t="n">
        <v>2</v>
      </c>
      <c r="M1331" s="3" t="n">
        <v>1</v>
      </c>
      <c r="N1331" s="3" t="n">
        <v>2</v>
      </c>
      <c r="O1331" s="3" t="n">
        <v>2</v>
      </c>
      <c r="P1331" s="3" t="n">
        <v>2</v>
      </c>
      <c r="Q1331" s="3" t="n">
        <v>2</v>
      </c>
      <c r="R1331" s="3" t="n">
        <v>2</v>
      </c>
      <c r="S1331" s="3" t="n">
        <v>2</v>
      </c>
      <c r="T1331" s="4" t="n">
        <v>1</v>
      </c>
      <c r="U1331" s="3" t="n">
        <v>1</v>
      </c>
      <c r="V1331" s="3" t="n">
        <v>3.35</v>
      </c>
      <c r="W1331" s="3" t="n">
        <v>1.08</v>
      </c>
      <c r="X1331" s="3" t="n">
        <v>5.37</v>
      </c>
      <c r="Y1331" s="3" t="n">
        <v>342</v>
      </c>
      <c r="Z1331" s="3" t="n">
        <v>129</v>
      </c>
      <c r="AA1331" s="3" t="n">
        <v>0.51</v>
      </c>
      <c r="AB1331" s="3" t="n">
        <v>11.1</v>
      </c>
      <c r="AC1331" s="3" t="n">
        <v>1</v>
      </c>
      <c r="AD1331" s="3" t="n">
        <v>1</v>
      </c>
      <c r="AE1331" s="3" t="n">
        <v>1</v>
      </c>
      <c r="AF1331" s="3" t="n">
        <v>1</v>
      </c>
      <c r="AG1331" s="3" t="n">
        <v>1</v>
      </c>
      <c r="AH1331" s="3" t="n">
        <v>2</v>
      </c>
      <c r="AI1331" s="3" t="n">
        <v>1</v>
      </c>
      <c r="AJ1331" s="3" t="n">
        <v>1</v>
      </c>
      <c r="AK1331" s="3" t="n">
        <v>2</v>
      </c>
      <c r="AL1331" s="3" t="n">
        <v>2</v>
      </c>
      <c r="AM1331" s="3" t="n">
        <v>2</v>
      </c>
      <c r="AN1331" s="3" t="n">
        <v>2</v>
      </c>
      <c r="AO1331" s="3" t="n">
        <v>2</v>
      </c>
      <c r="AP1331" s="3" t="n">
        <v>3</v>
      </c>
      <c r="AQ1331" s="3" t="n">
        <v>4</v>
      </c>
      <c r="AR1331" s="3" t="n">
        <v>4</v>
      </c>
      <c r="AS1331" s="3" t="n">
        <v>6</v>
      </c>
      <c r="AT1331" s="3" t="n">
        <v>4</v>
      </c>
      <c r="AU1331" s="3" t="n">
        <v>4</v>
      </c>
      <c r="AV1331" s="3" t="n">
        <v>6</v>
      </c>
      <c r="AW1331" s="3" t="n">
        <v>6</v>
      </c>
      <c r="AX1331" s="3" t="n">
        <v>3</v>
      </c>
      <c r="AY1331" s="3" t="n">
        <v>3</v>
      </c>
      <c r="AZ1331" s="3" t="n">
        <v>1</v>
      </c>
      <c r="BA1331" s="5" t="n">
        <v>5</v>
      </c>
      <c r="BB1331" s="3" t="n">
        <v>2</v>
      </c>
      <c r="BC1331" s="3" t="n">
        <v>1</v>
      </c>
      <c r="BD1331" s="3" t="n">
        <v>6</v>
      </c>
      <c r="BE1331" s="3" t="n">
        <v>3</v>
      </c>
      <c r="BF1331" s="3" t="n">
        <v>5</v>
      </c>
      <c r="BG1331" s="3" t="n">
        <v>3</v>
      </c>
      <c r="BH1331" s="3" t="n">
        <v>4</v>
      </c>
      <c r="BI1331" s="3" t="n">
        <v>1</v>
      </c>
      <c r="BJ1331" s="3" t="n">
        <v>1</v>
      </c>
      <c r="BK1331" s="6" t="s">
        <v>3307</v>
      </c>
    </row>
    <row r="1332" customFormat="false" ht="15" hidden="false" customHeight="true" outlineLevel="0" collapsed="false">
      <c r="B1332" s="2" t="s">
        <v>1359</v>
      </c>
      <c r="C1332" s="2" t="s">
        <v>1482</v>
      </c>
      <c r="D1332" s="2" t="s">
        <v>1877</v>
      </c>
      <c r="E1332" s="2" t="n">
        <v>217520</v>
      </c>
      <c r="F1332" s="15" t="n">
        <v>44408</v>
      </c>
      <c r="G1332" s="15" t="n">
        <v>44415</v>
      </c>
      <c r="H1332" s="3" t="n">
        <v>7</v>
      </c>
      <c r="I1332" s="3" t="n">
        <v>2</v>
      </c>
      <c r="J1332" s="3" t="n">
        <v>65</v>
      </c>
      <c r="K1332" s="3" t="n">
        <v>2</v>
      </c>
      <c r="L1332" s="3" t="n">
        <v>1</v>
      </c>
      <c r="M1332" s="3" t="n">
        <v>1</v>
      </c>
      <c r="N1332" s="3" t="n">
        <v>2</v>
      </c>
      <c r="O1332" s="3" t="n">
        <v>2</v>
      </c>
      <c r="P1332" s="3" t="n">
        <v>2</v>
      </c>
      <c r="Q1332" s="3" t="n">
        <v>2</v>
      </c>
      <c r="R1332" s="3" t="n">
        <v>2</v>
      </c>
      <c r="S1332" s="3" t="n">
        <v>2</v>
      </c>
      <c r="T1332" s="4" t="n">
        <v>2</v>
      </c>
      <c r="U1332" s="3" t="n">
        <v>2</v>
      </c>
      <c r="V1332" s="3" t="n">
        <v>5.92</v>
      </c>
      <c r="W1332" s="3" t="n">
        <v>1.64</v>
      </c>
      <c r="X1332" s="3" t="n">
        <v>4.93</v>
      </c>
      <c r="Y1332" s="3" t="n">
        <v>337</v>
      </c>
      <c r="Z1332" s="3" t="n">
        <v>93</v>
      </c>
      <c r="AA1332" s="3" t="n">
        <v>0.43</v>
      </c>
      <c r="AB1332" s="3" t="n">
        <v>12.3</v>
      </c>
      <c r="AC1332" s="3" t="n">
        <v>1</v>
      </c>
      <c r="AD1332" s="3" t="n">
        <v>2</v>
      </c>
      <c r="AE1332" s="3" t="n">
        <v>2</v>
      </c>
      <c r="AF1332" s="3" t="n">
        <v>1</v>
      </c>
      <c r="AG1332" s="3" t="n">
        <v>2</v>
      </c>
      <c r="AH1332" s="3" t="n">
        <v>2</v>
      </c>
      <c r="AI1332" s="3" t="n">
        <v>1</v>
      </c>
      <c r="AJ1332" s="3" t="n">
        <v>1</v>
      </c>
      <c r="AK1332" s="3" t="n">
        <v>2</v>
      </c>
      <c r="AL1332" s="3" t="n">
        <v>2</v>
      </c>
      <c r="AM1332" s="3" t="n">
        <v>2</v>
      </c>
      <c r="AN1332" s="3" t="n">
        <v>2</v>
      </c>
      <c r="AO1332" s="3" t="n">
        <v>2</v>
      </c>
      <c r="AP1332" s="3" t="n">
        <v>3</v>
      </c>
      <c r="AQ1332" s="3" t="n">
        <v>4</v>
      </c>
      <c r="AR1332" s="3" t="n">
        <v>4</v>
      </c>
      <c r="AS1332" s="3" t="n">
        <v>6</v>
      </c>
      <c r="AT1332" s="3" t="n">
        <v>4</v>
      </c>
      <c r="AU1332" s="3" t="n">
        <v>4</v>
      </c>
      <c r="AV1332" s="3" t="n">
        <v>6</v>
      </c>
      <c r="AW1332" s="3" t="n">
        <v>6</v>
      </c>
      <c r="AX1332" s="3" t="n">
        <v>3</v>
      </c>
      <c r="AY1332" s="3" t="n">
        <v>3</v>
      </c>
      <c r="AZ1332" s="3" t="n">
        <v>1</v>
      </c>
      <c r="BA1332" s="5" t="n">
        <v>1</v>
      </c>
      <c r="BB1332" s="3" t="n">
        <v>1</v>
      </c>
      <c r="BC1332" s="3" t="n">
        <v>1</v>
      </c>
      <c r="BD1332" s="3" t="n">
        <v>4</v>
      </c>
      <c r="BE1332" s="3" t="n">
        <v>1</v>
      </c>
      <c r="BF1332" s="3" t="n">
        <v>2</v>
      </c>
      <c r="BG1332" s="3" t="n">
        <v>1</v>
      </c>
      <c r="BH1332" s="3" t="n">
        <v>4</v>
      </c>
      <c r="BI1332" s="3" t="n">
        <v>1</v>
      </c>
      <c r="BJ1332" s="3" t="n">
        <v>1</v>
      </c>
      <c r="BK1332" s="6" t="s">
        <v>3308</v>
      </c>
    </row>
    <row r="1333" customFormat="false" ht="15" hidden="false" customHeight="true" outlineLevel="0" collapsed="false">
      <c r="B1333" s="2" t="s">
        <v>3309</v>
      </c>
      <c r="C1333" s="2" t="s">
        <v>3310</v>
      </c>
      <c r="D1333" s="2" t="s">
        <v>222</v>
      </c>
      <c r="E1333" s="2" t="n">
        <v>217737</v>
      </c>
      <c r="F1333" s="15" t="n">
        <v>44412</v>
      </c>
      <c r="G1333" s="15" t="n">
        <v>44417</v>
      </c>
      <c r="H1333" s="3" t="n">
        <v>5</v>
      </c>
      <c r="I1333" s="3" t="n">
        <v>1</v>
      </c>
      <c r="J1333" s="3" t="n">
        <v>58</v>
      </c>
      <c r="K1333" s="3" t="n">
        <v>1</v>
      </c>
      <c r="L1333" s="3" t="n">
        <v>1</v>
      </c>
      <c r="M1333" s="3" t="n">
        <v>2</v>
      </c>
      <c r="N1333" s="3" t="n">
        <v>2</v>
      </c>
      <c r="O1333" s="3" t="n">
        <v>2</v>
      </c>
      <c r="P1333" s="3" t="n">
        <v>2</v>
      </c>
      <c r="Q1333" s="3" t="n">
        <v>2</v>
      </c>
      <c r="R1333" s="3" t="n">
        <v>2</v>
      </c>
      <c r="S1333" s="3" t="n">
        <v>2</v>
      </c>
      <c r="T1333" s="4" t="n">
        <v>1</v>
      </c>
      <c r="U1333" s="3" t="n">
        <v>1</v>
      </c>
      <c r="V1333" s="3" t="n">
        <v>5.27</v>
      </c>
      <c r="W1333" s="3" t="n">
        <v>2.21</v>
      </c>
      <c r="X1333" s="3" t="n">
        <v>4.73</v>
      </c>
      <c r="Y1333" s="3" t="n">
        <v>283</v>
      </c>
      <c r="Z1333" s="3" t="n">
        <v>89</v>
      </c>
      <c r="AA1333" s="3" t="n">
        <v>0.41</v>
      </c>
      <c r="AB1333" s="3" t="n">
        <v>8.5</v>
      </c>
      <c r="AC1333" s="3" t="n">
        <v>1</v>
      </c>
      <c r="AD1333" s="3" t="n">
        <v>1</v>
      </c>
      <c r="AE1333" s="3" t="n">
        <v>1</v>
      </c>
      <c r="AF1333" s="3" t="n">
        <v>1</v>
      </c>
      <c r="AG1333" s="3" t="n">
        <v>1</v>
      </c>
      <c r="AH1333" s="3" t="n">
        <v>2</v>
      </c>
      <c r="AI1333" s="3" t="n">
        <v>1</v>
      </c>
      <c r="AJ1333" s="3" t="n">
        <v>2</v>
      </c>
      <c r="AK1333" s="3" t="n">
        <v>2</v>
      </c>
      <c r="AL1333" s="3" t="n">
        <v>2</v>
      </c>
      <c r="AM1333" s="3" t="n">
        <v>2</v>
      </c>
      <c r="AN1333" s="3" t="n">
        <v>2</v>
      </c>
      <c r="AO1333" s="3" t="n">
        <v>2</v>
      </c>
      <c r="AP1333" s="3" t="n">
        <v>3</v>
      </c>
      <c r="AQ1333" s="3" t="n">
        <v>4</v>
      </c>
      <c r="AR1333" s="3" t="n">
        <v>4</v>
      </c>
      <c r="AS1333" s="3" t="n">
        <v>6</v>
      </c>
      <c r="AT1333" s="3" t="n">
        <v>4</v>
      </c>
      <c r="AU1333" s="3" t="n">
        <v>4</v>
      </c>
      <c r="AV1333" s="3" t="n">
        <v>6</v>
      </c>
      <c r="AW1333" s="3" t="n">
        <v>6</v>
      </c>
      <c r="AX1333" s="3" t="n">
        <v>3</v>
      </c>
      <c r="AY1333" s="3" t="n">
        <v>3</v>
      </c>
      <c r="AZ1333" s="3" t="n">
        <v>1</v>
      </c>
      <c r="BA1333" s="5" t="n">
        <v>5</v>
      </c>
      <c r="BB1333" s="3" t="n">
        <v>2</v>
      </c>
      <c r="BC1333" s="3" t="n">
        <v>1</v>
      </c>
      <c r="BD1333" s="3" t="n">
        <v>6</v>
      </c>
      <c r="BE1333" s="3" t="n">
        <v>3</v>
      </c>
      <c r="BF1333" s="3" t="n">
        <v>5</v>
      </c>
      <c r="BG1333" s="3" t="n">
        <v>3</v>
      </c>
      <c r="BH1333" s="3" t="n">
        <v>4</v>
      </c>
      <c r="BI1333" s="3" t="n">
        <v>1</v>
      </c>
      <c r="BJ1333" s="3" t="n">
        <v>1</v>
      </c>
      <c r="BK1333" s="6" t="s">
        <v>3311</v>
      </c>
    </row>
    <row r="1334" customFormat="false" ht="15" hidden="false" customHeight="true" outlineLevel="0" collapsed="false">
      <c r="B1334" s="2" t="s">
        <v>3312</v>
      </c>
      <c r="C1334" s="2" t="s">
        <v>194</v>
      </c>
      <c r="D1334" s="2" t="s">
        <v>66</v>
      </c>
      <c r="E1334" s="2" t="n">
        <v>217731</v>
      </c>
      <c r="F1334" s="15" t="n">
        <v>44413</v>
      </c>
      <c r="G1334" s="15" t="n">
        <v>44419</v>
      </c>
      <c r="H1334" s="3" t="n">
        <v>6</v>
      </c>
      <c r="I1334" s="3" t="n">
        <v>2</v>
      </c>
      <c r="J1334" s="3" t="n">
        <v>33</v>
      </c>
      <c r="K1334" s="3" t="n">
        <v>2</v>
      </c>
      <c r="L1334" s="3" t="n">
        <v>1</v>
      </c>
      <c r="M1334" s="3" t="n">
        <v>1</v>
      </c>
      <c r="N1334" s="3" t="n">
        <v>2</v>
      </c>
      <c r="O1334" s="3" t="n">
        <v>2</v>
      </c>
      <c r="P1334" s="3" t="n">
        <v>2</v>
      </c>
      <c r="Q1334" s="3" t="n">
        <v>2</v>
      </c>
      <c r="R1334" s="3" t="n">
        <v>2</v>
      </c>
      <c r="S1334" s="3" t="n">
        <v>2</v>
      </c>
      <c r="T1334" s="4" t="n">
        <v>2</v>
      </c>
      <c r="U1334" s="3" t="n">
        <v>2</v>
      </c>
      <c r="V1334" s="3" t="n">
        <v>2.44</v>
      </c>
      <c r="W1334" s="3" t="n">
        <v>1.37</v>
      </c>
      <c r="X1334" s="3" t="n">
        <v>4.82</v>
      </c>
      <c r="Y1334" s="3" t="n">
        <v>343</v>
      </c>
      <c r="Z1334" s="3" t="n">
        <v>137</v>
      </c>
      <c r="AA1334" s="3" t="n">
        <v>0.48</v>
      </c>
      <c r="AB1334" s="3" t="n">
        <v>14.6</v>
      </c>
      <c r="AC1334" s="3" t="n">
        <v>1</v>
      </c>
      <c r="AD1334" s="3" t="n">
        <v>1</v>
      </c>
      <c r="AE1334" s="3" t="n">
        <v>1</v>
      </c>
      <c r="AF1334" s="3" t="n">
        <v>1</v>
      </c>
      <c r="AG1334" s="3" t="n">
        <v>1</v>
      </c>
      <c r="AH1334" s="3" t="n">
        <v>2</v>
      </c>
      <c r="AI1334" s="3" t="n">
        <v>1</v>
      </c>
      <c r="AJ1334" s="3" t="n">
        <v>1</v>
      </c>
      <c r="AK1334" s="3" t="n">
        <v>2</v>
      </c>
      <c r="AL1334" s="3" t="n">
        <v>2</v>
      </c>
      <c r="AM1334" s="3" t="n">
        <v>1</v>
      </c>
      <c r="AN1334" s="3" t="n">
        <v>1</v>
      </c>
      <c r="AO1334" s="3" t="n">
        <v>2</v>
      </c>
      <c r="AP1334" s="3" t="n">
        <v>3</v>
      </c>
      <c r="AQ1334" s="3" t="n">
        <v>4</v>
      </c>
      <c r="AR1334" s="3" t="n">
        <v>4</v>
      </c>
      <c r="AS1334" s="3" t="n">
        <v>6</v>
      </c>
      <c r="AT1334" s="3" t="n">
        <v>4</v>
      </c>
      <c r="AU1334" s="3" t="n">
        <v>4</v>
      </c>
      <c r="AV1334" s="3" t="n">
        <v>6</v>
      </c>
      <c r="AW1334" s="3" t="n">
        <v>6</v>
      </c>
      <c r="AX1334" s="3" t="n">
        <v>3</v>
      </c>
      <c r="AY1334" s="3" t="n">
        <v>3</v>
      </c>
      <c r="AZ1334" s="3" t="n">
        <v>6</v>
      </c>
      <c r="BA1334" s="5" t="n">
        <v>1</v>
      </c>
      <c r="BB1334" s="3" t="n">
        <v>1</v>
      </c>
      <c r="BC1334" s="3" t="n">
        <v>1</v>
      </c>
      <c r="BD1334" s="3" t="n">
        <v>2</v>
      </c>
      <c r="BE1334" s="3" t="n">
        <v>1</v>
      </c>
      <c r="BF1334" s="3" t="n">
        <v>2</v>
      </c>
      <c r="BG1334" s="3" t="n">
        <v>1</v>
      </c>
      <c r="BH1334" s="3" t="n">
        <v>4</v>
      </c>
      <c r="BI1334" s="3" t="n">
        <v>1</v>
      </c>
      <c r="BJ1334" s="3" t="n">
        <v>1</v>
      </c>
      <c r="BK1334" s="6" t="s">
        <v>3313</v>
      </c>
    </row>
    <row r="1335" customFormat="false" ht="15" hidden="false" customHeight="true" outlineLevel="0" collapsed="false">
      <c r="B1335" s="2" t="s">
        <v>3314</v>
      </c>
      <c r="C1335" s="2" t="s">
        <v>197</v>
      </c>
      <c r="D1335" s="2" t="s">
        <v>138</v>
      </c>
      <c r="E1335" s="2" t="n">
        <v>217658</v>
      </c>
      <c r="F1335" s="15" t="n">
        <v>44414</v>
      </c>
      <c r="G1335" s="15" t="n">
        <v>44419</v>
      </c>
      <c r="H1335" s="3" t="n">
        <v>5</v>
      </c>
      <c r="I1335" s="3" t="n">
        <v>1</v>
      </c>
      <c r="J1335" s="3" t="n">
        <v>49</v>
      </c>
      <c r="K1335" s="3" t="n">
        <v>2</v>
      </c>
      <c r="L1335" s="3" t="n">
        <v>1</v>
      </c>
      <c r="M1335" s="3" t="n">
        <v>2</v>
      </c>
      <c r="N1335" s="3" t="n">
        <v>2</v>
      </c>
      <c r="O1335" s="3" t="n">
        <v>2</v>
      </c>
      <c r="P1335" s="3" t="n">
        <v>2</v>
      </c>
      <c r="Q1335" s="3" t="n">
        <v>2</v>
      </c>
      <c r="R1335" s="3" t="n">
        <v>2</v>
      </c>
      <c r="S1335" s="3" t="n">
        <v>2</v>
      </c>
      <c r="T1335" s="4" t="n">
        <v>1</v>
      </c>
      <c r="U1335" s="3" t="n">
        <v>1</v>
      </c>
      <c r="V1335" s="3" t="n">
        <v>6.33</v>
      </c>
      <c r="W1335" s="3" t="n">
        <v>2.72</v>
      </c>
      <c r="X1335" s="3" t="n">
        <v>4.04</v>
      </c>
      <c r="Y1335" s="3" t="n">
        <v>291</v>
      </c>
      <c r="Z1335" s="3" t="n">
        <v>82</v>
      </c>
      <c r="AA1335" s="3" t="n">
        <v>0.41</v>
      </c>
      <c r="AB1335" s="3" t="n">
        <v>8.6</v>
      </c>
      <c r="AC1335" s="3" t="n">
        <v>1</v>
      </c>
      <c r="AD1335" s="3" t="n">
        <v>1</v>
      </c>
      <c r="AE1335" s="3" t="n">
        <v>1</v>
      </c>
      <c r="AF1335" s="3" t="n">
        <v>1</v>
      </c>
      <c r="AG1335" s="3" t="n">
        <v>1</v>
      </c>
      <c r="AH1335" s="3" t="n">
        <v>2</v>
      </c>
      <c r="AI1335" s="3" t="n">
        <v>1</v>
      </c>
      <c r="AJ1335" s="3" t="n">
        <v>1</v>
      </c>
      <c r="AK1335" s="3" t="n">
        <v>2</v>
      </c>
      <c r="AL1335" s="3" t="n">
        <v>2</v>
      </c>
      <c r="AM1335" s="3" t="n">
        <v>2</v>
      </c>
      <c r="AN1335" s="3" t="n">
        <v>2</v>
      </c>
      <c r="AO1335" s="3" t="n">
        <v>2</v>
      </c>
      <c r="AP1335" s="3" t="n">
        <v>3</v>
      </c>
      <c r="AQ1335" s="3" t="n">
        <v>4</v>
      </c>
      <c r="AR1335" s="3" t="n">
        <v>4</v>
      </c>
      <c r="AS1335" s="3" t="n">
        <v>6</v>
      </c>
      <c r="AT1335" s="3" t="n">
        <v>4</v>
      </c>
      <c r="AU1335" s="3" t="n">
        <v>4</v>
      </c>
      <c r="AV1335" s="3" t="n">
        <v>6</v>
      </c>
      <c r="AW1335" s="3" t="n">
        <v>6</v>
      </c>
      <c r="AX1335" s="3" t="n">
        <v>3</v>
      </c>
      <c r="AY1335" s="3" t="n">
        <v>3</v>
      </c>
      <c r="AZ1335" s="3" t="n">
        <v>1</v>
      </c>
      <c r="BA1335" s="5" t="n">
        <v>5</v>
      </c>
      <c r="BB1335" s="3" t="n">
        <v>2</v>
      </c>
      <c r="BC1335" s="3" t="n">
        <v>1</v>
      </c>
      <c r="BD1335" s="3" t="n">
        <v>6</v>
      </c>
      <c r="BE1335" s="3" t="n">
        <v>3</v>
      </c>
      <c r="BF1335" s="3" t="n">
        <v>5</v>
      </c>
      <c r="BG1335" s="3" t="n">
        <v>3</v>
      </c>
      <c r="BH1335" s="3" t="n">
        <v>4</v>
      </c>
      <c r="BI1335" s="3" t="n">
        <v>1</v>
      </c>
      <c r="BJ1335" s="3" t="n">
        <v>1</v>
      </c>
      <c r="BK1335" s="6" t="s">
        <v>3315</v>
      </c>
    </row>
    <row r="1336" customFormat="false" ht="15" hidden="false" customHeight="true" outlineLevel="0" collapsed="false">
      <c r="B1336" s="2" t="s">
        <v>3316</v>
      </c>
      <c r="C1336" s="2" t="s">
        <v>94</v>
      </c>
      <c r="D1336" s="2" t="s">
        <v>118</v>
      </c>
      <c r="E1336" s="2" t="n">
        <v>217812</v>
      </c>
      <c r="F1336" s="15" t="n">
        <v>44420</v>
      </c>
      <c r="G1336" s="15" t="n">
        <v>44421</v>
      </c>
      <c r="H1336" s="3" t="n">
        <v>1</v>
      </c>
      <c r="I1336" s="3" t="n">
        <v>2</v>
      </c>
      <c r="J1336" s="3" t="n">
        <v>58</v>
      </c>
      <c r="K1336" s="3" t="n">
        <v>1</v>
      </c>
      <c r="L1336" s="3" t="n">
        <v>1</v>
      </c>
      <c r="M1336" s="3" t="n">
        <v>1</v>
      </c>
      <c r="N1336" s="3" t="n">
        <v>2</v>
      </c>
      <c r="O1336" s="3" t="n">
        <v>2</v>
      </c>
      <c r="P1336" s="3" t="n">
        <v>2</v>
      </c>
      <c r="Q1336" s="3" t="n">
        <v>2</v>
      </c>
      <c r="R1336" s="3" t="n">
        <v>2</v>
      </c>
      <c r="S1336" s="3" t="n">
        <v>2</v>
      </c>
      <c r="T1336" s="4" t="n">
        <v>1</v>
      </c>
      <c r="U1336" s="3" t="n">
        <v>1</v>
      </c>
      <c r="AA1336" s="3" t="n">
        <v>0.42</v>
      </c>
      <c r="AB1336" s="3" t="n">
        <v>7.4</v>
      </c>
      <c r="AC1336" s="3" t="n">
        <v>3</v>
      </c>
      <c r="AD1336" s="3" t="n">
        <v>1</v>
      </c>
      <c r="AE1336" s="3" t="n">
        <v>1</v>
      </c>
      <c r="AF1336" s="3" t="n">
        <v>1</v>
      </c>
      <c r="AG1336" s="3" t="n">
        <v>2</v>
      </c>
      <c r="AH1336" s="3" t="n">
        <v>2</v>
      </c>
      <c r="AI1336" s="3" t="n">
        <v>1</v>
      </c>
      <c r="AJ1336" s="3" t="n">
        <v>1</v>
      </c>
      <c r="AK1336" s="3" t="n">
        <v>2</v>
      </c>
      <c r="AL1336" s="3" t="n">
        <v>2</v>
      </c>
      <c r="AM1336" s="3" t="n">
        <v>2</v>
      </c>
      <c r="AN1336" s="3" t="n">
        <v>2</v>
      </c>
      <c r="AO1336" s="3" t="n">
        <v>2</v>
      </c>
      <c r="AP1336" s="3" t="n">
        <v>3</v>
      </c>
      <c r="AQ1336" s="3" t="n">
        <v>4</v>
      </c>
      <c r="AR1336" s="3" t="n">
        <v>4</v>
      </c>
      <c r="AS1336" s="3" t="n">
        <v>6</v>
      </c>
      <c r="AT1336" s="3" t="n">
        <v>4</v>
      </c>
      <c r="AU1336" s="3" t="n">
        <v>4</v>
      </c>
      <c r="AV1336" s="3" t="n">
        <v>6</v>
      </c>
      <c r="AW1336" s="3" t="n">
        <v>6</v>
      </c>
      <c r="AX1336" s="3" t="n">
        <v>3</v>
      </c>
      <c r="AY1336" s="3" t="n">
        <v>3</v>
      </c>
      <c r="AZ1336" s="3" t="n">
        <v>1</v>
      </c>
      <c r="BA1336" s="5" t="n">
        <v>5</v>
      </c>
      <c r="BB1336" s="3" t="n">
        <v>2</v>
      </c>
      <c r="BC1336" s="3" t="n">
        <v>1</v>
      </c>
      <c r="BD1336" s="3" t="n">
        <v>6</v>
      </c>
      <c r="BE1336" s="3" t="n">
        <v>3</v>
      </c>
      <c r="BF1336" s="3" t="n">
        <v>5</v>
      </c>
      <c r="BG1336" s="3" t="n">
        <v>3</v>
      </c>
      <c r="BH1336" s="3" t="n">
        <v>4</v>
      </c>
      <c r="BI1336" s="3" t="n">
        <v>1</v>
      </c>
      <c r="BJ1336" s="3" t="n">
        <v>1</v>
      </c>
      <c r="BK1336" s="6" t="s">
        <v>3317</v>
      </c>
    </row>
    <row r="1337" customFormat="false" ht="15" hidden="false" customHeight="true" outlineLevel="0" collapsed="false">
      <c r="B1337" s="2" t="s">
        <v>1443</v>
      </c>
      <c r="C1337" s="2" t="s">
        <v>478</v>
      </c>
      <c r="D1337" s="2" t="s">
        <v>118</v>
      </c>
      <c r="E1337" s="2" t="n">
        <v>217620</v>
      </c>
      <c r="F1337" s="15" t="n">
        <v>44418</v>
      </c>
      <c r="G1337" s="15" t="n">
        <v>44425</v>
      </c>
      <c r="H1337" s="3" t="n">
        <v>7</v>
      </c>
      <c r="I1337" s="3" t="n">
        <v>1</v>
      </c>
      <c r="J1337" s="3" t="n">
        <v>72</v>
      </c>
      <c r="K1337" s="3" t="n">
        <v>2</v>
      </c>
      <c r="L1337" s="3" t="n">
        <v>1</v>
      </c>
      <c r="M1337" s="3" t="n">
        <v>2</v>
      </c>
      <c r="N1337" s="3" t="n">
        <v>2</v>
      </c>
      <c r="O1337" s="3" t="n">
        <v>2</v>
      </c>
      <c r="P1337" s="3" t="n">
        <v>2</v>
      </c>
      <c r="Q1337" s="3" t="n">
        <v>2</v>
      </c>
      <c r="R1337" s="3" t="n">
        <v>2</v>
      </c>
      <c r="S1337" s="3" t="n">
        <v>2</v>
      </c>
      <c r="T1337" s="4" t="n">
        <v>2</v>
      </c>
      <c r="U1337" s="3" t="n">
        <v>2</v>
      </c>
      <c r="V1337" s="3" t="n">
        <v>3.3</v>
      </c>
      <c r="W1337" s="3" t="n">
        <v>0.3</v>
      </c>
      <c r="X1337" s="3" t="n">
        <v>7.2</v>
      </c>
      <c r="Y1337" s="3" t="n">
        <v>721</v>
      </c>
      <c r="Z1337" s="3" t="n">
        <v>133</v>
      </c>
      <c r="AA1337" s="3" t="n">
        <v>0.41</v>
      </c>
      <c r="AB1337" s="3" t="n">
        <v>27.3</v>
      </c>
      <c r="AC1337" s="3" t="n">
        <v>2</v>
      </c>
      <c r="AD1337" s="3" t="n">
        <v>2</v>
      </c>
      <c r="AE1337" s="3" t="n">
        <v>1</v>
      </c>
      <c r="AF1337" s="3" t="n">
        <v>1</v>
      </c>
      <c r="AG1337" s="3" t="n">
        <v>2</v>
      </c>
      <c r="AH1337" s="3" t="n">
        <v>2</v>
      </c>
      <c r="AI1337" s="3" t="n">
        <v>1</v>
      </c>
      <c r="AJ1337" s="3" t="n">
        <v>2</v>
      </c>
      <c r="AK1337" s="3" t="n">
        <v>2</v>
      </c>
      <c r="AL1337" s="3" t="n">
        <v>1</v>
      </c>
      <c r="AM1337" s="3" t="n">
        <v>1</v>
      </c>
      <c r="AN1337" s="3" t="n">
        <v>2</v>
      </c>
      <c r="AO1337" s="3" t="n">
        <v>2</v>
      </c>
      <c r="AP1337" s="3" t="n">
        <v>3</v>
      </c>
      <c r="AQ1337" s="3" t="n">
        <v>4</v>
      </c>
      <c r="AR1337" s="3" t="n">
        <v>4</v>
      </c>
      <c r="AS1337" s="3" t="n">
        <v>6</v>
      </c>
      <c r="AT1337" s="3" t="n">
        <v>4</v>
      </c>
      <c r="AU1337" s="3" t="n">
        <v>4</v>
      </c>
      <c r="AV1337" s="3" t="n">
        <v>6</v>
      </c>
      <c r="AW1337" s="3" t="n">
        <v>6</v>
      </c>
      <c r="AX1337" s="3" t="n">
        <v>3</v>
      </c>
      <c r="AY1337" s="3" t="n">
        <v>3</v>
      </c>
      <c r="AZ1337" s="3" t="n">
        <v>4</v>
      </c>
      <c r="BA1337" s="5" t="n">
        <v>1</v>
      </c>
      <c r="BB1337" s="3" t="n">
        <v>1</v>
      </c>
      <c r="BC1337" s="3" t="n">
        <v>1</v>
      </c>
      <c r="BD1337" s="3" t="n">
        <v>2</v>
      </c>
      <c r="BE1337" s="3" t="n">
        <v>1</v>
      </c>
      <c r="BF1337" s="3" t="n">
        <v>2</v>
      </c>
      <c r="BG1337" s="3" t="n">
        <v>1</v>
      </c>
      <c r="BH1337" s="3" t="n">
        <v>4</v>
      </c>
      <c r="BI1337" s="3" t="n">
        <v>1</v>
      </c>
      <c r="BJ1337" s="3" t="n">
        <v>1</v>
      </c>
      <c r="BK1337" s="6" t="s">
        <v>3318</v>
      </c>
    </row>
    <row r="1338" customFormat="false" ht="15" hidden="false" customHeight="true" outlineLevel="0" collapsed="false">
      <c r="B1338" s="2" t="s">
        <v>2710</v>
      </c>
      <c r="C1338" s="2" t="s">
        <v>1734</v>
      </c>
      <c r="D1338" s="2" t="s">
        <v>350</v>
      </c>
      <c r="E1338" s="2" t="n">
        <v>218004</v>
      </c>
      <c r="F1338" s="15" t="n">
        <v>44421</v>
      </c>
      <c r="G1338" s="15" t="n">
        <v>44426</v>
      </c>
      <c r="H1338" s="3" t="n">
        <v>5</v>
      </c>
      <c r="I1338" s="3" t="n">
        <v>1</v>
      </c>
      <c r="J1338" s="3" t="n">
        <v>74</v>
      </c>
      <c r="K1338" s="3" t="n">
        <v>1</v>
      </c>
      <c r="L1338" s="3" t="n">
        <v>2</v>
      </c>
      <c r="M1338" s="3" t="n">
        <v>1</v>
      </c>
      <c r="N1338" s="3" t="n">
        <v>2</v>
      </c>
      <c r="O1338" s="3" t="n">
        <v>2</v>
      </c>
      <c r="P1338" s="3" t="n">
        <v>2</v>
      </c>
      <c r="Q1338" s="3" t="n">
        <v>2</v>
      </c>
      <c r="R1338" s="3" t="n">
        <v>2</v>
      </c>
      <c r="S1338" s="3" t="n">
        <v>2</v>
      </c>
      <c r="T1338" s="4" t="n">
        <v>1</v>
      </c>
      <c r="U1338" s="3" t="n">
        <v>1</v>
      </c>
      <c r="V1338" s="3" t="n">
        <v>5.5</v>
      </c>
      <c r="W1338" s="3" t="n">
        <v>1.71</v>
      </c>
      <c r="X1338" s="3" t="n">
        <v>4.69</v>
      </c>
      <c r="Y1338" s="3" t="n">
        <v>565</v>
      </c>
      <c r="Z1338" s="3" t="n">
        <v>91</v>
      </c>
      <c r="AA1338" s="3" t="n">
        <v>0.4</v>
      </c>
      <c r="AB1338" s="3" t="n">
        <v>16.3</v>
      </c>
      <c r="AC1338" s="3" t="n">
        <v>1</v>
      </c>
      <c r="AD1338" s="3" t="n">
        <v>1</v>
      </c>
      <c r="AE1338" s="3" t="n">
        <v>1</v>
      </c>
      <c r="AF1338" s="3" t="n">
        <v>1</v>
      </c>
      <c r="AG1338" s="3" t="n">
        <v>2</v>
      </c>
      <c r="AH1338" s="3" t="n">
        <v>2</v>
      </c>
      <c r="AI1338" s="3" t="n">
        <v>1</v>
      </c>
      <c r="AJ1338" s="3" t="n">
        <v>1</v>
      </c>
      <c r="AK1338" s="3" t="n">
        <v>2</v>
      </c>
      <c r="AL1338" s="3" t="n">
        <v>2</v>
      </c>
      <c r="AM1338" s="3" t="n">
        <v>1</v>
      </c>
      <c r="AN1338" s="3" t="n">
        <v>2</v>
      </c>
      <c r="AO1338" s="3" t="n">
        <v>2</v>
      </c>
      <c r="AP1338" s="3" t="n">
        <v>3</v>
      </c>
      <c r="AQ1338" s="3" t="n">
        <v>4</v>
      </c>
      <c r="AR1338" s="3" t="n">
        <v>4</v>
      </c>
      <c r="AS1338" s="3" t="n">
        <v>6</v>
      </c>
      <c r="AT1338" s="3" t="n">
        <v>4</v>
      </c>
      <c r="AU1338" s="3" t="n">
        <v>4</v>
      </c>
      <c r="AV1338" s="3" t="n">
        <v>6</v>
      </c>
      <c r="AW1338" s="3" t="n">
        <v>6</v>
      </c>
      <c r="AX1338" s="3" t="n">
        <v>3</v>
      </c>
      <c r="AY1338" s="3" t="n">
        <v>3</v>
      </c>
      <c r="AZ1338" s="3" t="n">
        <v>1</v>
      </c>
      <c r="BA1338" s="5" t="n">
        <v>5</v>
      </c>
      <c r="BB1338" s="3" t="n">
        <v>2</v>
      </c>
      <c r="BC1338" s="3" t="n">
        <v>1</v>
      </c>
      <c r="BD1338" s="3" t="n">
        <v>6</v>
      </c>
      <c r="BE1338" s="3" t="n">
        <v>3</v>
      </c>
      <c r="BF1338" s="3" t="n">
        <v>5</v>
      </c>
      <c r="BG1338" s="3" t="n">
        <v>3</v>
      </c>
      <c r="BH1338" s="3" t="n">
        <v>4</v>
      </c>
      <c r="BI1338" s="3" t="n">
        <v>1</v>
      </c>
      <c r="BJ1338" s="3" t="n">
        <v>1</v>
      </c>
      <c r="BK1338" s="6" t="s">
        <v>3319</v>
      </c>
    </row>
    <row r="1339" customFormat="false" ht="15" hidden="false" customHeight="true" outlineLevel="0" collapsed="false">
      <c r="B1339" s="2" t="s">
        <v>573</v>
      </c>
      <c r="C1339" s="2" t="s">
        <v>160</v>
      </c>
      <c r="D1339" s="2" t="s">
        <v>2491</v>
      </c>
      <c r="E1339" s="2" t="n">
        <v>218010</v>
      </c>
      <c r="F1339" s="15" t="n">
        <v>44421</v>
      </c>
      <c r="G1339" s="15" t="n">
        <v>44427</v>
      </c>
      <c r="H1339" s="3" t="n">
        <v>6</v>
      </c>
      <c r="I1339" s="3" t="n">
        <v>2</v>
      </c>
      <c r="J1339" s="3" t="n">
        <v>59</v>
      </c>
      <c r="K1339" s="3" t="n">
        <v>1</v>
      </c>
      <c r="L1339" s="3" t="n">
        <v>2</v>
      </c>
      <c r="M1339" s="3" t="n">
        <v>1</v>
      </c>
      <c r="N1339" s="3" t="n">
        <v>2</v>
      </c>
      <c r="O1339" s="3" t="n">
        <v>2</v>
      </c>
      <c r="P1339" s="3" t="n">
        <v>2</v>
      </c>
      <c r="Q1339" s="3" t="n">
        <v>2</v>
      </c>
      <c r="R1339" s="3" t="n">
        <v>2</v>
      </c>
      <c r="S1339" s="3" t="n">
        <v>2</v>
      </c>
      <c r="T1339" s="4" t="n">
        <v>12</v>
      </c>
      <c r="U1339" s="3" t="n">
        <v>1</v>
      </c>
      <c r="V1339" s="3" t="n">
        <v>6</v>
      </c>
      <c r="W1339" s="3" t="n">
        <v>1.63</v>
      </c>
      <c r="X1339" s="3" t="n">
        <v>4.54</v>
      </c>
      <c r="Y1339" s="3" t="n">
        <v>366</v>
      </c>
      <c r="Z1339" s="3" t="n">
        <v>122</v>
      </c>
      <c r="AA1339" s="3" t="n">
        <v>0.42</v>
      </c>
      <c r="AB1339" s="3" t="n">
        <v>9.8</v>
      </c>
      <c r="AC1339" s="3" t="n">
        <v>3</v>
      </c>
      <c r="AD1339" s="3" t="n">
        <v>2</v>
      </c>
      <c r="AE1339" s="3" t="n">
        <v>1</v>
      </c>
      <c r="AF1339" s="3" t="n">
        <v>1</v>
      </c>
      <c r="AG1339" s="3" t="n">
        <v>2</v>
      </c>
      <c r="AH1339" s="3" t="n">
        <v>2</v>
      </c>
      <c r="AI1339" s="3" t="n">
        <v>2</v>
      </c>
      <c r="AJ1339" s="3" t="n">
        <v>2</v>
      </c>
      <c r="AK1339" s="3" t="n">
        <v>2</v>
      </c>
      <c r="AL1339" s="3" t="n">
        <v>2</v>
      </c>
      <c r="AM1339" s="3" t="n">
        <v>2</v>
      </c>
      <c r="AN1339" s="3" t="n">
        <v>2</v>
      </c>
      <c r="AO1339" s="3" t="n">
        <v>2</v>
      </c>
      <c r="AP1339" s="3" t="n">
        <v>3</v>
      </c>
      <c r="AQ1339" s="3" t="n">
        <v>4</v>
      </c>
      <c r="AR1339" s="3" t="n">
        <v>4</v>
      </c>
      <c r="AS1339" s="3" t="n">
        <v>6</v>
      </c>
      <c r="AT1339" s="3" t="n">
        <v>4</v>
      </c>
      <c r="AU1339" s="3" t="n">
        <v>4</v>
      </c>
      <c r="AV1339" s="3" t="n">
        <v>6</v>
      </c>
      <c r="AW1339" s="3" t="n">
        <v>6</v>
      </c>
      <c r="AX1339" s="3" t="n">
        <v>3</v>
      </c>
      <c r="AY1339" s="3" t="n">
        <v>3</v>
      </c>
      <c r="AZ1339" s="3" t="n">
        <v>1</v>
      </c>
      <c r="BA1339" s="5" t="n">
        <v>3</v>
      </c>
      <c r="BB1339" s="3" t="n">
        <v>2</v>
      </c>
      <c r="BC1339" s="3" t="n">
        <v>1</v>
      </c>
      <c r="BD1339" s="3" t="n">
        <v>6</v>
      </c>
      <c r="BE1339" s="3" t="n">
        <v>3</v>
      </c>
      <c r="BF1339" s="3" t="n">
        <v>5</v>
      </c>
      <c r="BG1339" s="3" t="n">
        <v>3</v>
      </c>
      <c r="BH1339" s="3" t="n">
        <v>4</v>
      </c>
      <c r="BI1339" s="3" t="n">
        <v>1</v>
      </c>
      <c r="BJ1339" s="3" t="n">
        <v>1</v>
      </c>
      <c r="BK1339" s="6" t="s">
        <v>3320</v>
      </c>
    </row>
    <row r="1340" s="30" customFormat="true" ht="15" hidden="false" customHeight="true" outlineLevel="0" collapsed="false">
      <c r="A1340" s="24"/>
      <c r="B1340" s="26" t="s">
        <v>1809</v>
      </c>
      <c r="C1340" s="26" t="s">
        <v>3321</v>
      </c>
      <c r="D1340" s="26" t="s">
        <v>94</v>
      </c>
      <c r="E1340" s="26" t="n">
        <v>217812</v>
      </c>
      <c r="F1340" s="27" t="n">
        <v>44422</v>
      </c>
      <c r="G1340" s="27" t="n">
        <v>44422</v>
      </c>
      <c r="H1340" s="30" t="n">
        <v>0</v>
      </c>
      <c r="I1340" s="30" t="n">
        <v>2</v>
      </c>
      <c r="J1340" s="30" t="n">
        <v>87</v>
      </c>
      <c r="K1340" s="30" t="n">
        <v>1</v>
      </c>
      <c r="L1340" s="30" t="n">
        <v>1</v>
      </c>
      <c r="M1340" s="30" t="n">
        <v>1</v>
      </c>
      <c r="N1340" s="30" t="n">
        <v>2</v>
      </c>
      <c r="O1340" s="30" t="n">
        <v>2</v>
      </c>
      <c r="P1340" s="30" t="n">
        <v>2</v>
      </c>
      <c r="Q1340" s="30" t="n">
        <v>2</v>
      </c>
      <c r="R1340" s="30" t="n">
        <v>2</v>
      </c>
      <c r="S1340" s="30" t="n">
        <v>2</v>
      </c>
      <c r="T1340" s="4" t="n">
        <v>4</v>
      </c>
      <c r="U1340" s="30" t="n">
        <v>4</v>
      </c>
      <c r="AD1340" s="30" t="n">
        <v>2</v>
      </c>
      <c r="AE1340" s="30" t="n">
        <v>2</v>
      </c>
      <c r="AF1340" s="30" t="n">
        <v>2</v>
      </c>
      <c r="AG1340" s="30" t="n">
        <v>2</v>
      </c>
      <c r="AH1340" s="30" t="n">
        <v>2</v>
      </c>
      <c r="AI1340" s="30" t="n">
        <v>2</v>
      </c>
      <c r="AJ1340" s="30" t="n">
        <v>1</v>
      </c>
      <c r="AK1340" s="30" t="n">
        <v>2</v>
      </c>
      <c r="AL1340" s="30" t="n">
        <v>2</v>
      </c>
      <c r="AM1340" s="30" t="n">
        <v>2</v>
      </c>
      <c r="AN1340" s="30" t="n">
        <v>2</v>
      </c>
      <c r="AO1340" s="30" t="n">
        <v>2</v>
      </c>
      <c r="AP1340" s="30" t="n">
        <v>3</v>
      </c>
      <c r="AQ1340" s="30" t="n">
        <v>4</v>
      </c>
      <c r="AR1340" s="30" t="n">
        <v>4</v>
      </c>
      <c r="AS1340" s="30" t="n">
        <v>6</v>
      </c>
      <c r="AT1340" s="30" t="n">
        <v>4</v>
      </c>
      <c r="AU1340" s="30" t="n">
        <v>4</v>
      </c>
      <c r="AV1340" s="30" t="n">
        <v>6</v>
      </c>
      <c r="AW1340" s="30" t="n">
        <v>6</v>
      </c>
      <c r="AX1340" s="30" t="n">
        <v>3</v>
      </c>
      <c r="AY1340" s="30" t="n">
        <v>3</v>
      </c>
      <c r="AZ1340" s="30" t="n">
        <v>1</v>
      </c>
      <c r="BA1340" s="5" t="n">
        <v>10</v>
      </c>
      <c r="BB1340" s="30" t="n">
        <v>2</v>
      </c>
      <c r="BC1340" s="30" t="n">
        <v>2</v>
      </c>
      <c r="BD1340" s="30" t="n">
        <v>6</v>
      </c>
      <c r="BE1340" s="30" t="n">
        <v>3</v>
      </c>
      <c r="BF1340" s="30" t="n">
        <v>5</v>
      </c>
      <c r="BG1340" s="30" t="n">
        <v>3</v>
      </c>
      <c r="BH1340" s="30" t="n">
        <v>4</v>
      </c>
      <c r="BI1340" s="30" t="n">
        <v>1</v>
      </c>
      <c r="BJ1340" s="30" t="n">
        <v>1</v>
      </c>
      <c r="BK1340" s="31" t="s">
        <v>3322</v>
      </c>
    </row>
    <row r="1341" customFormat="false" ht="15" hidden="false" customHeight="true" outlineLevel="0" collapsed="false">
      <c r="B1341" s="2" t="s">
        <v>3323</v>
      </c>
      <c r="C1341" s="2" t="s">
        <v>386</v>
      </c>
      <c r="D1341" s="2" t="s">
        <v>153</v>
      </c>
      <c r="E1341" s="2" t="n">
        <v>218373</v>
      </c>
      <c r="F1341" s="15" t="n">
        <v>44425</v>
      </c>
      <c r="G1341" s="15" t="n">
        <v>44428</v>
      </c>
      <c r="H1341" s="3" t="n">
        <v>3</v>
      </c>
      <c r="I1341" s="3" t="n">
        <v>2</v>
      </c>
      <c r="J1341" s="3" t="n">
        <v>25</v>
      </c>
      <c r="K1341" s="3" t="n">
        <v>2</v>
      </c>
      <c r="L1341" s="3" t="n">
        <v>2</v>
      </c>
      <c r="M1341" s="3" t="n">
        <v>1</v>
      </c>
      <c r="N1341" s="3" t="n">
        <v>2</v>
      </c>
      <c r="O1341" s="3" t="n">
        <v>2</v>
      </c>
      <c r="P1341" s="3" t="n">
        <v>2</v>
      </c>
      <c r="Q1341" s="3" t="n">
        <v>2</v>
      </c>
      <c r="R1341" s="3" t="n">
        <v>2</v>
      </c>
      <c r="S1341" s="3" t="n">
        <v>2</v>
      </c>
      <c r="T1341" s="4" t="n">
        <v>2</v>
      </c>
      <c r="U1341" s="3" t="n">
        <v>2</v>
      </c>
      <c r="V1341" s="3" t="n">
        <v>2.3</v>
      </c>
      <c r="W1341" s="3" t="n">
        <v>0.89</v>
      </c>
      <c r="X1341" s="3" t="n">
        <v>5.02</v>
      </c>
      <c r="Y1341" s="3" t="n">
        <v>490</v>
      </c>
      <c r="Z1341" s="3" t="n">
        <v>112</v>
      </c>
      <c r="AA1341" s="3" t="n">
        <v>0.5</v>
      </c>
      <c r="AB1341" s="3" t="n">
        <v>9.6</v>
      </c>
      <c r="AC1341" s="3" t="n">
        <v>1</v>
      </c>
      <c r="AD1341" s="3" t="n">
        <v>2</v>
      </c>
      <c r="AE1341" s="3" t="n">
        <v>2</v>
      </c>
      <c r="AF1341" s="3" t="n">
        <v>1</v>
      </c>
      <c r="AG1341" s="3" t="n">
        <v>2</v>
      </c>
      <c r="AH1341" s="3" t="n">
        <v>2</v>
      </c>
      <c r="AI1341" s="3" t="n">
        <v>1</v>
      </c>
      <c r="AJ1341" s="3" t="n">
        <v>2</v>
      </c>
      <c r="AK1341" s="3" t="n">
        <v>2</v>
      </c>
      <c r="AL1341" s="3" t="n">
        <v>2</v>
      </c>
      <c r="AM1341" s="3" t="n">
        <v>2</v>
      </c>
      <c r="AN1341" s="3" t="n">
        <v>2</v>
      </c>
      <c r="AO1341" s="3" t="n">
        <v>2</v>
      </c>
      <c r="AP1341" s="3" t="n">
        <v>3</v>
      </c>
      <c r="AQ1341" s="3" t="n">
        <v>4</v>
      </c>
      <c r="AR1341" s="3" t="n">
        <v>4</v>
      </c>
      <c r="AS1341" s="3" t="n">
        <v>6</v>
      </c>
      <c r="AT1341" s="3" t="n">
        <v>4</v>
      </c>
      <c r="AU1341" s="3" t="n">
        <v>4</v>
      </c>
      <c r="AV1341" s="3" t="n">
        <v>6</v>
      </c>
      <c r="AW1341" s="3" t="n">
        <v>6</v>
      </c>
      <c r="AX1341" s="3" t="n">
        <v>3</v>
      </c>
      <c r="AY1341" s="3" t="n">
        <v>3</v>
      </c>
      <c r="AZ1341" s="3" t="n">
        <v>1</v>
      </c>
      <c r="BA1341" s="5" t="n">
        <v>12</v>
      </c>
      <c r="BB1341" s="3" t="n">
        <v>2</v>
      </c>
      <c r="BC1341" s="3" t="n">
        <v>1</v>
      </c>
      <c r="BD1341" s="3" t="n">
        <v>6</v>
      </c>
      <c r="BE1341" s="3" t="n">
        <v>1</v>
      </c>
      <c r="BF1341" s="3" t="n">
        <v>2</v>
      </c>
      <c r="BG1341" s="3" t="n">
        <v>1</v>
      </c>
      <c r="BH1341" s="3" t="n">
        <v>4</v>
      </c>
      <c r="BI1341" s="3" t="n">
        <v>1</v>
      </c>
      <c r="BJ1341" s="3" t="n">
        <v>1</v>
      </c>
      <c r="BK1341" s="6" t="s">
        <v>3324</v>
      </c>
    </row>
    <row r="1342" customFormat="false" ht="15" hidden="false" customHeight="true" outlineLevel="0" collapsed="false">
      <c r="B1342" s="2" t="s">
        <v>3024</v>
      </c>
      <c r="C1342" s="2" t="s">
        <v>1002</v>
      </c>
      <c r="D1342" s="2" t="s">
        <v>3325</v>
      </c>
      <c r="E1342" s="2" t="n">
        <v>218055</v>
      </c>
      <c r="F1342" s="15" t="n">
        <v>44422</v>
      </c>
      <c r="G1342" s="15" t="n">
        <v>44428</v>
      </c>
      <c r="H1342" s="3" t="n">
        <v>6</v>
      </c>
      <c r="I1342" s="3" t="n">
        <v>1</v>
      </c>
      <c r="J1342" s="3" t="n">
        <v>70</v>
      </c>
      <c r="K1342" s="3" t="n">
        <v>1</v>
      </c>
      <c r="L1342" s="3" t="n">
        <v>2</v>
      </c>
      <c r="M1342" s="3" t="n">
        <v>1</v>
      </c>
      <c r="N1342" s="3" t="n">
        <v>2</v>
      </c>
      <c r="O1342" s="3" t="n">
        <v>2</v>
      </c>
      <c r="P1342" s="3" t="n">
        <v>2</v>
      </c>
      <c r="Q1342" s="3" t="n">
        <v>2</v>
      </c>
      <c r="R1342" s="3" t="n">
        <v>2</v>
      </c>
      <c r="S1342" s="3" t="n">
        <v>2</v>
      </c>
      <c r="T1342" s="4" t="n">
        <v>4</v>
      </c>
      <c r="U1342" s="3" t="n">
        <v>4</v>
      </c>
      <c r="V1342" s="3" t="n">
        <v>4.83</v>
      </c>
      <c r="W1342" s="3" t="n">
        <v>1.35</v>
      </c>
      <c r="X1342" s="3" t="n">
        <v>8.89</v>
      </c>
      <c r="Y1342" s="3" t="n">
        <v>360</v>
      </c>
      <c r="Z1342" s="3" t="n">
        <v>76</v>
      </c>
      <c r="AA1342" s="3" t="n">
        <v>0.47</v>
      </c>
      <c r="AB1342" s="3" t="n">
        <v>8.4</v>
      </c>
      <c r="AC1342" s="3" t="n">
        <v>3</v>
      </c>
      <c r="AD1342" s="3" t="n">
        <v>2</v>
      </c>
      <c r="AE1342" s="3" t="n">
        <v>2</v>
      </c>
      <c r="AF1342" s="3" t="n">
        <v>2</v>
      </c>
      <c r="AG1342" s="3" t="n">
        <v>2</v>
      </c>
      <c r="AH1342" s="3" t="n">
        <v>2</v>
      </c>
      <c r="AI1342" s="3" t="n">
        <v>1</v>
      </c>
      <c r="AJ1342" s="3" t="n">
        <v>1</v>
      </c>
      <c r="AK1342" s="3" t="n">
        <v>2</v>
      </c>
      <c r="AL1342" s="3" t="n">
        <v>2</v>
      </c>
      <c r="AM1342" s="3" t="n">
        <v>1</v>
      </c>
      <c r="AN1342" s="3" t="n">
        <v>2</v>
      </c>
      <c r="AO1342" s="3" t="n">
        <v>2</v>
      </c>
      <c r="AP1342" s="3" t="n">
        <v>3</v>
      </c>
      <c r="AQ1342" s="3" t="n">
        <v>4</v>
      </c>
      <c r="AR1342" s="3" t="n">
        <v>4</v>
      </c>
      <c r="AS1342" s="3" t="n">
        <v>6</v>
      </c>
      <c r="AT1342" s="3" t="n">
        <v>4</v>
      </c>
      <c r="AU1342" s="3" t="n">
        <v>4</v>
      </c>
      <c r="AV1342" s="3" t="n">
        <v>6</v>
      </c>
      <c r="AW1342" s="3" t="n">
        <v>6</v>
      </c>
      <c r="AX1342" s="3" t="n">
        <v>3</v>
      </c>
      <c r="AY1342" s="3" t="n">
        <v>3</v>
      </c>
      <c r="AZ1342" s="3" t="n">
        <v>10</v>
      </c>
      <c r="BA1342" s="5" t="n">
        <v>10</v>
      </c>
      <c r="BB1342" s="3" t="n">
        <v>2</v>
      </c>
      <c r="BC1342" s="3" t="n">
        <v>1</v>
      </c>
      <c r="BD1342" s="3" t="n">
        <v>6</v>
      </c>
      <c r="BE1342" s="3" t="n">
        <v>3</v>
      </c>
      <c r="BF1342" s="3" t="n">
        <v>5</v>
      </c>
      <c r="BG1342" s="3" t="n">
        <v>3</v>
      </c>
      <c r="BH1342" s="3" t="n">
        <v>4</v>
      </c>
      <c r="BI1342" s="3" t="n">
        <v>1</v>
      </c>
      <c r="BJ1342" s="3" t="n">
        <v>1</v>
      </c>
      <c r="BK1342" s="6" t="s">
        <v>3326</v>
      </c>
    </row>
    <row r="1343" customFormat="false" ht="15" hidden="false" customHeight="true" outlineLevel="0" collapsed="false">
      <c r="B1343" s="2" t="s">
        <v>3327</v>
      </c>
      <c r="C1343" s="2" t="s">
        <v>3328</v>
      </c>
      <c r="D1343" s="2" t="s">
        <v>95</v>
      </c>
      <c r="E1343" s="2" t="n">
        <v>218054</v>
      </c>
      <c r="F1343" s="15" t="n">
        <v>44422</v>
      </c>
      <c r="G1343" s="15" t="n">
        <v>44433</v>
      </c>
      <c r="H1343" s="3" t="n">
        <v>7</v>
      </c>
      <c r="I1343" s="3" t="n">
        <v>2</v>
      </c>
      <c r="J1343" s="3" t="n">
        <v>56</v>
      </c>
      <c r="K1343" s="3" t="n">
        <v>1</v>
      </c>
      <c r="L1343" s="3" t="n">
        <v>2</v>
      </c>
      <c r="M1343" s="3" t="n">
        <v>1</v>
      </c>
      <c r="N1343" s="3" t="n">
        <v>2</v>
      </c>
      <c r="O1343" s="3" t="n">
        <v>1</v>
      </c>
      <c r="P1343" s="3" t="n">
        <v>2</v>
      </c>
      <c r="Q1343" s="3" t="n">
        <v>2</v>
      </c>
      <c r="R1343" s="3" t="n">
        <v>2</v>
      </c>
      <c r="S1343" s="3" t="n">
        <v>2</v>
      </c>
      <c r="T1343" s="4" t="n">
        <v>2</v>
      </c>
      <c r="U1343" s="3" t="n">
        <v>2</v>
      </c>
      <c r="V1343" s="3" t="n">
        <v>5.78</v>
      </c>
      <c r="W1343" s="3" t="n">
        <v>2.87</v>
      </c>
      <c r="X1343" s="3" t="n">
        <v>5.37</v>
      </c>
      <c r="Y1343" s="3" t="n">
        <v>339</v>
      </c>
      <c r="Z1343" s="3" t="n">
        <v>107</v>
      </c>
      <c r="AA1343" s="3" t="n">
        <v>0.48</v>
      </c>
      <c r="AB1343" s="3" t="n">
        <v>14.1</v>
      </c>
      <c r="AD1343" s="3" t="n">
        <v>2</v>
      </c>
      <c r="AE1343" s="3" t="n">
        <v>1</v>
      </c>
      <c r="AF1343" s="3" t="n">
        <v>1</v>
      </c>
      <c r="AG1343" s="3" t="n">
        <v>1</v>
      </c>
      <c r="AH1343" s="3" t="n">
        <v>1</v>
      </c>
      <c r="AI1343" s="3" t="n">
        <v>1</v>
      </c>
      <c r="AJ1343" s="3" t="n">
        <v>2</v>
      </c>
      <c r="AK1343" s="3" t="n">
        <v>2</v>
      </c>
      <c r="AL1343" s="3" t="n">
        <v>2</v>
      </c>
      <c r="AM1343" s="3" t="n">
        <v>2</v>
      </c>
      <c r="AN1343" s="3" t="n">
        <v>2</v>
      </c>
      <c r="AO1343" s="3" t="n">
        <v>2</v>
      </c>
      <c r="AP1343" s="3" t="n">
        <v>3</v>
      </c>
      <c r="AQ1343" s="3" t="n">
        <v>4</v>
      </c>
      <c r="AR1343" s="3" t="n">
        <v>4</v>
      </c>
      <c r="AS1343" s="3" t="n">
        <v>6</v>
      </c>
      <c r="AT1343" s="3" t="n">
        <v>4</v>
      </c>
      <c r="AU1343" s="3" t="n">
        <v>4</v>
      </c>
      <c r="AV1343" s="3" t="n">
        <v>6</v>
      </c>
      <c r="AW1343" s="3" t="n">
        <v>6</v>
      </c>
      <c r="AX1343" s="3" t="n">
        <v>3</v>
      </c>
      <c r="AY1343" s="3" t="n">
        <v>3</v>
      </c>
      <c r="AZ1343" s="3" t="n">
        <v>1</v>
      </c>
      <c r="BA1343" s="5" t="n">
        <v>1</v>
      </c>
      <c r="BB1343" s="3" t="n">
        <v>1</v>
      </c>
      <c r="BC1343" s="3" t="n">
        <v>1</v>
      </c>
      <c r="BD1343" s="3" t="n">
        <v>2</v>
      </c>
      <c r="BE1343" s="3" t="n">
        <v>1</v>
      </c>
      <c r="BF1343" s="3" t="n">
        <v>2</v>
      </c>
      <c r="BG1343" s="3" t="n">
        <v>2</v>
      </c>
      <c r="BH1343" s="3" t="n">
        <v>4</v>
      </c>
      <c r="BI1343" s="3" t="n">
        <v>1</v>
      </c>
      <c r="BJ1343" s="3" t="n">
        <v>1</v>
      </c>
      <c r="BK1343" s="6" t="s">
        <v>3329</v>
      </c>
    </row>
    <row r="1344" customFormat="false" ht="15" hidden="false" customHeight="true" outlineLevel="0" collapsed="false">
      <c r="B1344" s="2" t="s">
        <v>2958</v>
      </c>
      <c r="C1344" s="2" t="s">
        <v>3330</v>
      </c>
      <c r="D1344" s="2" t="s">
        <v>2449</v>
      </c>
      <c r="E1344" s="2" t="n">
        <v>218312</v>
      </c>
      <c r="F1344" s="15" t="n">
        <v>44425</v>
      </c>
      <c r="G1344" s="15" t="n">
        <v>44433</v>
      </c>
      <c r="H1344" s="3" t="n">
        <v>5</v>
      </c>
      <c r="I1344" s="3" t="n">
        <v>2</v>
      </c>
      <c r="J1344" s="3" t="n">
        <v>58</v>
      </c>
      <c r="K1344" s="3" t="n">
        <v>1</v>
      </c>
      <c r="L1344" s="3" t="n">
        <v>1</v>
      </c>
      <c r="M1344" s="3" t="n">
        <v>1</v>
      </c>
      <c r="N1344" s="3" t="n">
        <v>2</v>
      </c>
      <c r="O1344" s="3" t="n">
        <v>1</v>
      </c>
      <c r="P1344" s="3" t="n">
        <v>2</v>
      </c>
      <c r="Q1344" s="3" t="n">
        <v>1</v>
      </c>
      <c r="R1344" s="3" t="n">
        <v>2</v>
      </c>
      <c r="S1344" s="3" t="n">
        <v>2</v>
      </c>
      <c r="T1344" s="4" t="n">
        <v>2</v>
      </c>
      <c r="U1344" s="3" t="n">
        <v>2</v>
      </c>
      <c r="V1344" s="3" t="n">
        <v>4.85</v>
      </c>
      <c r="W1344" s="3" t="n">
        <v>2.09</v>
      </c>
      <c r="X1344" s="3" t="n">
        <v>20.53</v>
      </c>
      <c r="Y1344" s="3" t="n">
        <v>277</v>
      </c>
      <c r="Z1344" s="3" t="n">
        <v>125</v>
      </c>
      <c r="AA1344" s="3" t="n">
        <v>0.46</v>
      </c>
      <c r="AB1344" s="3" t="n">
        <v>14.2</v>
      </c>
      <c r="AD1344" s="3" t="n">
        <v>2</v>
      </c>
      <c r="AE1344" s="3" t="n">
        <v>2</v>
      </c>
      <c r="AF1344" s="3" t="n">
        <v>1</v>
      </c>
      <c r="AG1344" s="3" t="n">
        <v>2</v>
      </c>
      <c r="AH1344" s="3" t="n">
        <v>1</v>
      </c>
      <c r="AI1344" s="3" t="n">
        <v>1</v>
      </c>
      <c r="AJ1344" s="3" t="n">
        <v>1</v>
      </c>
      <c r="AK1344" s="3" t="n">
        <v>2</v>
      </c>
      <c r="AL1344" s="3" t="n">
        <v>2</v>
      </c>
      <c r="AM1344" s="3" t="n">
        <v>1</v>
      </c>
      <c r="AN1344" s="3" t="n">
        <v>2</v>
      </c>
      <c r="AO1344" s="3" t="n">
        <v>2</v>
      </c>
      <c r="AP1344" s="3" t="n">
        <v>3</v>
      </c>
      <c r="AQ1344" s="3" t="n">
        <v>4</v>
      </c>
      <c r="AR1344" s="3" t="n">
        <v>4</v>
      </c>
      <c r="AS1344" s="3" t="n">
        <v>6</v>
      </c>
      <c r="AT1344" s="3" t="n">
        <v>4</v>
      </c>
      <c r="AU1344" s="3" t="n">
        <v>4</v>
      </c>
      <c r="AV1344" s="3" t="n">
        <v>6</v>
      </c>
      <c r="AW1344" s="3" t="n">
        <v>6</v>
      </c>
      <c r="AX1344" s="3" t="n">
        <v>3</v>
      </c>
      <c r="AY1344" s="3" t="n">
        <v>3</v>
      </c>
      <c r="AZ1344" s="3" t="n">
        <v>1</v>
      </c>
      <c r="BA1344" s="5" t="n">
        <v>1</v>
      </c>
      <c r="BB1344" s="3" t="n">
        <v>1</v>
      </c>
      <c r="BC1344" s="3" t="n">
        <v>1</v>
      </c>
      <c r="BD1344" s="3" t="n">
        <v>2</v>
      </c>
      <c r="BE1344" s="3" t="n">
        <v>1</v>
      </c>
      <c r="BF1344" s="3" t="n">
        <v>2</v>
      </c>
      <c r="BG1344" s="3" t="n">
        <v>1</v>
      </c>
      <c r="BH1344" s="3" t="n">
        <v>4</v>
      </c>
      <c r="BI1344" s="3" t="n">
        <v>1</v>
      </c>
      <c r="BJ1344" s="3" t="n">
        <v>1</v>
      </c>
      <c r="BK1344" s="6" t="s">
        <v>3331</v>
      </c>
    </row>
    <row r="1345" customFormat="false" ht="15" hidden="false" customHeight="true" outlineLevel="0" collapsed="false">
      <c r="B1345" s="2" t="s">
        <v>2790</v>
      </c>
      <c r="C1345" s="2" t="s">
        <v>3332</v>
      </c>
      <c r="E1345" s="2" t="n">
        <v>218421</v>
      </c>
      <c r="F1345" s="15" t="n">
        <v>44431</v>
      </c>
      <c r="G1345" s="15" t="n">
        <v>44433</v>
      </c>
      <c r="H1345" s="3" t="n">
        <v>3</v>
      </c>
      <c r="I1345" s="3" t="n">
        <v>1</v>
      </c>
      <c r="J1345" s="3" t="n">
        <v>60</v>
      </c>
      <c r="K1345" s="3" t="n">
        <v>1</v>
      </c>
      <c r="L1345" s="3" t="n">
        <v>1</v>
      </c>
      <c r="M1345" s="3" t="n">
        <v>1</v>
      </c>
      <c r="N1345" s="3" t="n">
        <v>2</v>
      </c>
      <c r="O1345" s="3" t="n">
        <v>1</v>
      </c>
      <c r="P1345" s="3" t="n">
        <v>1</v>
      </c>
      <c r="Q1345" s="3" t="n">
        <v>1</v>
      </c>
      <c r="R1345" s="3" t="n">
        <v>2</v>
      </c>
      <c r="S1345" s="3" t="n">
        <v>1</v>
      </c>
      <c r="T1345" s="4" t="n">
        <v>2</v>
      </c>
      <c r="U1345" s="3" t="n">
        <v>2</v>
      </c>
      <c r="V1345" s="3" t="n">
        <v>5.1</v>
      </c>
      <c r="W1345" s="3" t="n">
        <v>1.4</v>
      </c>
      <c r="X1345" s="3" t="n">
        <v>5.69</v>
      </c>
      <c r="Y1345" s="3" t="n">
        <v>388</v>
      </c>
      <c r="Z1345" s="3" t="n">
        <v>63</v>
      </c>
      <c r="AA1345" s="3" t="n">
        <v>0.45</v>
      </c>
      <c r="AB1345" s="3" t="n">
        <v>14</v>
      </c>
      <c r="AD1345" s="3" t="n">
        <v>2</v>
      </c>
      <c r="AE1345" s="3" t="n">
        <v>1</v>
      </c>
      <c r="AF1345" s="3" t="n">
        <v>1</v>
      </c>
      <c r="AG1345" s="3" t="n">
        <v>2</v>
      </c>
      <c r="AH1345" s="3" t="n">
        <v>2</v>
      </c>
      <c r="AI1345" s="3" t="n">
        <v>1</v>
      </c>
      <c r="AJ1345" s="3" t="n">
        <v>1</v>
      </c>
      <c r="AK1345" s="3" t="n">
        <v>1</v>
      </c>
      <c r="AL1345" s="3" t="n">
        <v>2</v>
      </c>
      <c r="AM1345" s="3" t="n">
        <v>2</v>
      </c>
      <c r="AN1345" s="3" t="n">
        <v>2</v>
      </c>
      <c r="AO1345" s="3" t="n">
        <v>2</v>
      </c>
      <c r="AP1345" s="3" t="n">
        <v>3</v>
      </c>
      <c r="AQ1345" s="3" t="n">
        <v>4</v>
      </c>
      <c r="AR1345" s="3" t="n">
        <v>4</v>
      </c>
      <c r="AS1345" s="3" t="n">
        <v>6</v>
      </c>
      <c r="AT1345" s="3" t="n">
        <v>4</v>
      </c>
      <c r="AU1345" s="3" t="n">
        <v>4</v>
      </c>
      <c r="AV1345" s="3" t="n">
        <v>6</v>
      </c>
      <c r="AW1345" s="3" t="n">
        <v>6</v>
      </c>
      <c r="AX1345" s="3" t="n">
        <v>3</v>
      </c>
      <c r="AY1345" s="3" t="n">
        <v>3</v>
      </c>
      <c r="AZ1345" s="3" t="n">
        <v>1</v>
      </c>
      <c r="BA1345" s="5" t="n">
        <v>1</v>
      </c>
      <c r="BB1345" s="3" t="n">
        <v>1</v>
      </c>
      <c r="BC1345" s="3" t="n">
        <v>2</v>
      </c>
      <c r="BD1345" s="3" t="n">
        <v>4</v>
      </c>
      <c r="BE1345" s="3" t="n">
        <v>1</v>
      </c>
      <c r="BF1345" s="3" t="n">
        <v>2</v>
      </c>
      <c r="BG1345" s="3" t="n">
        <v>1</v>
      </c>
      <c r="BH1345" s="3" t="n">
        <v>4</v>
      </c>
      <c r="BI1345" s="3" t="n">
        <v>3</v>
      </c>
      <c r="BK1345" s="6" t="s">
        <v>3333</v>
      </c>
    </row>
    <row r="1346" customFormat="false" ht="15" hidden="false" customHeight="true" outlineLevel="0" collapsed="false">
      <c r="A1346" s="7"/>
      <c r="B1346" s="49"/>
      <c r="C1346" s="49"/>
      <c r="D1346" s="49"/>
      <c r="E1346" s="49"/>
      <c r="F1346" s="49"/>
      <c r="G1346" s="49"/>
      <c r="H1346" s="7"/>
      <c r="I1346" s="7"/>
      <c r="J1346" s="7"/>
      <c r="K1346" s="7"/>
      <c r="L1346" s="7"/>
      <c r="M1346" s="7"/>
      <c r="N1346" s="7"/>
      <c r="O1346" s="7"/>
      <c r="P1346" s="7"/>
      <c r="Q1346" s="7"/>
      <c r="R1346" s="7"/>
      <c r="S1346" s="7"/>
      <c r="T1346" s="50"/>
      <c r="U1346" s="7"/>
      <c r="V1346" s="7"/>
      <c r="W1346" s="7"/>
      <c r="X1346" s="7"/>
      <c r="Y1346" s="7"/>
      <c r="Z1346" s="7"/>
      <c r="AA1346" s="7"/>
      <c r="AB1346" s="7"/>
      <c r="AC1346" s="7"/>
      <c r="AD1346" s="7"/>
      <c r="AE1346" s="7"/>
      <c r="AF1346" s="7"/>
      <c r="AG1346" s="7"/>
      <c r="AH1346" s="7"/>
      <c r="AI1346" s="7"/>
      <c r="AJ1346" s="7"/>
      <c r="AK1346" s="7"/>
      <c r="AL1346" s="7"/>
      <c r="AM1346" s="7"/>
      <c r="AN1346" s="7"/>
      <c r="AO1346" s="7"/>
      <c r="AP1346" s="7"/>
      <c r="AQ1346" s="7"/>
      <c r="AR1346" s="7"/>
      <c r="AS1346" s="7"/>
      <c r="AT1346" s="7"/>
      <c r="AU1346" s="7"/>
      <c r="AV1346" s="7"/>
      <c r="AW1346" s="7"/>
      <c r="AX1346" s="7"/>
      <c r="AY1346" s="7"/>
      <c r="AZ1346" s="7"/>
      <c r="BA1346" s="51"/>
      <c r="BB1346" s="7"/>
      <c r="BC1346" s="7"/>
      <c r="BD1346" s="7"/>
      <c r="BE1346" s="7"/>
      <c r="BF1346" s="7"/>
      <c r="BG1346" s="7"/>
      <c r="BH1346" s="7"/>
      <c r="BI1346" s="7"/>
      <c r="BJ1346" s="7"/>
      <c r="BK1346" s="52"/>
    </row>
    <row r="1350" customFormat="false" ht="15" hidden="false" customHeight="true" outlineLevel="0" collapsed="false">
      <c r="F1350" s="15"/>
    </row>
    <row r="1351" customFormat="false" ht="15" hidden="false" customHeight="true" outlineLevel="0" collapsed="false">
      <c r="F1351" s="15"/>
    </row>
    <row r="1352" customFormat="false" ht="15" hidden="false" customHeight="true" outlineLevel="0" collapsed="false">
      <c r="F1352" s="15"/>
    </row>
    <row r="1353" customFormat="false" ht="15" hidden="false" customHeight="true" outlineLevel="0" collapsed="false">
      <c r="F1353" s="15"/>
    </row>
    <row r="1355" customFormat="false" ht="15" hidden="false" customHeight="true" outlineLevel="0" collapsed="false">
      <c r="F1355" s="15"/>
    </row>
    <row r="1357" customFormat="false" ht="15" hidden="false" customHeight="true" outlineLevel="0" collapsed="false">
      <c r="B1357" s="14"/>
      <c r="C1357" s="14"/>
      <c r="D1357" s="14"/>
      <c r="E1357" s="14"/>
      <c r="F1357" s="22"/>
      <c r="G1357" s="22"/>
      <c r="BK1357" s="16"/>
    </row>
    <row r="1358" customFormat="false" ht="15" hidden="false" customHeight="true" outlineLevel="0" collapsed="false">
      <c r="B1358" s="14"/>
      <c r="C1358" s="14"/>
      <c r="D1358" s="14"/>
      <c r="E1358" s="14"/>
      <c r="F1358" s="22"/>
      <c r="G1358" s="22"/>
      <c r="BK1358" s="16"/>
    </row>
    <row r="1359" customFormat="false" ht="15" hidden="false" customHeight="true" outlineLevel="0" collapsed="false">
      <c r="A1359" s="1" t="n">
        <v>1</v>
      </c>
    </row>
    <row r="1360" customFormat="false" ht="15" hidden="false" customHeight="true" outlineLevel="0" collapsed="false">
      <c r="A1360" s="1" t="n">
        <v>2</v>
      </c>
    </row>
    <row r="1361" customFormat="false" ht="15" hidden="false" customHeight="true" outlineLevel="0" collapsed="false">
      <c r="A1361" s="1" t="n">
        <v>3</v>
      </c>
      <c r="B1361" s="2" t="s">
        <v>3334</v>
      </c>
      <c r="C1361" s="2" t="s">
        <v>3335</v>
      </c>
      <c r="D1361" s="2" t="s">
        <v>3336</v>
      </c>
      <c r="E1361" s="2" t="n">
        <v>218436</v>
      </c>
      <c r="F1361" s="15" t="n">
        <v>44431</v>
      </c>
      <c r="I1361" s="3" t="n">
        <v>2</v>
      </c>
      <c r="J1361" s="3" t="n">
        <v>47</v>
      </c>
      <c r="K1361" s="3" t="n">
        <v>1</v>
      </c>
      <c r="L1361" s="3" t="n">
        <v>2</v>
      </c>
      <c r="M1361" s="3" t="n">
        <v>1</v>
      </c>
      <c r="N1361" s="3" t="n">
        <v>2</v>
      </c>
      <c r="O1361" s="3" t="n">
        <v>1</v>
      </c>
      <c r="P1361" s="3" t="n">
        <v>1</v>
      </c>
      <c r="Q1361" s="3" t="n">
        <v>2</v>
      </c>
      <c r="R1361" s="3" t="n">
        <v>2</v>
      </c>
      <c r="S1361" s="3" t="n">
        <v>2</v>
      </c>
      <c r="T1361" s="4" t="n">
        <v>2</v>
      </c>
      <c r="U1361" s="3" t="n">
        <v>2</v>
      </c>
      <c r="V1361" s="3" t="n">
        <v>2.71</v>
      </c>
      <c r="W1361" s="3" t="n">
        <v>1.28</v>
      </c>
      <c r="X1361" s="3" t="n">
        <v>6.73</v>
      </c>
      <c r="Y1361" s="3" t="n">
        <v>322</v>
      </c>
      <c r="Z1361" s="3" t="n">
        <v>90</v>
      </c>
      <c r="AA1361" s="3" t="n">
        <v>0.42</v>
      </c>
      <c r="AB1361" s="3" t="n">
        <v>11.8</v>
      </c>
      <c r="AD1361" s="3" t="n">
        <v>2</v>
      </c>
      <c r="AE1361" s="3" t="n">
        <v>1</v>
      </c>
      <c r="AF1361" s="3" t="n">
        <v>1</v>
      </c>
      <c r="AG1361" s="3" t="n">
        <v>1</v>
      </c>
      <c r="AH1361" s="3" t="n">
        <v>2</v>
      </c>
      <c r="AI1361" s="3" t="n">
        <v>1</v>
      </c>
      <c r="AJ1361" s="3" t="n">
        <v>2</v>
      </c>
      <c r="AK1361" s="3" t="n">
        <v>2</v>
      </c>
      <c r="AL1361" s="3" t="n">
        <v>2</v>
      </c>
      <c r="AM1361" s="3" t="n">
        <v>2</v>
      </c>
      <c r="AN1361" s="3" t="n">
        <v>2</v>
      </c>
      <c r="AO1361" s="3" t="n">
        <v>2</v>
      </c>
      <c r="AP1361" s="3" t="n">
        <v>3</v>
      </c>
      <c r="AQ1361" s="3" t="n">
        <v>4</v>
      </c>
      <c r="AR1361" s="3" t="n">
        <v>4</v>
      </c>
      <c r="AS1361" s="3" t="n">
        <v>6</v>
      </c>
      <c r="AT1361" s="3" t="n">
        <v>6</v>
      </c>
      <c r="AU1361" s="3" t="n">
        <v>4</v>
      </c>
      <c r="AV1361" s="3" t="n">
        <v>6</v>
      </c>
      <c r="AW1361" s="3" t="n">
        <v>6</v>
      </c>
      <c r="AX1361" s="3" t="n">
        <v>3</v>
      </c>
      <c r="AY1361" s="3" t="n">
        <v>3</v>
      </c>
      <c r="AZ1361" s="3" t="n">
        <v>1</v>
      </c>
      <c r="BA1361" s="5" t="n">
        <v>1</v>
      </c>
      <c r="BB1361" s="3" t="n">
        <v>1</v>
      </c>
      <c r="BC1361" s="3" t="n">
        <v>1</v>
      </c>
      <c r="BD1361" s="3" t="n">
        <v>4</v>
      </c>
      <c r="BE1361" s="3" t="n">
        <v>3</v>
      </c>
      <c r="BF1361" s="3" t="n">
        <v>5</v>
      </c>
      <c r="BK1361" s="6" t="s">
        <v>3337</v>
      </c>
    </row>
    <row r="1362" customFormat="false" ht="15" hidden="false" customHeight="true" outlineLevel="0" collapsed="false">
      <c r="A1362" s="1" t="n">
        <v>4</v>
      </c>
      <c r="B1362" s="2" t="s">
        <v>258</v>
      </c>
      <c r="C1362" s="2" t="s">
        <v>446</v>
      </c>
      <c r="D1362" s="2" t="s">
        <v>835</v>
      </c>
      <c r="E1362" s="2" t="n">
        <v>218226</v>
      </c>
      <c r="F1362" s="15" t="n">
        <v>44428</v>
      </c>
      <c r="I1362" s="3" t="n">
        <v>2</v>
      </c>
      <c r="J1362" s="3" t="n">
        <v>51</v>
      </c>
      <c r="K1362" s="3" t="n">
        <v>1</v>
      </c>
      <c r="L1362" s="3" t="n">
        <v>1</v>
      </c>
      <c r="M1362" s="3" t="n">
        <v>2</v>
      </c>
      <c r="N1362" s="3" t="n">
        <v>2</v>
      </c>
      <c r="O1362" s="3" t="n">
        <v>2</v>
      </c>
      <c r="P1362" s="3" t="n">
        <v>2</v>
      </c>
      <c r="Q1362" s="3" t="n">
        <v>2</v>
      </c>
      <c r="R1362" s="3" t="n">
        <v>2</v>
      </c>
      <c r="S1362" s="3" t="n">
        <v>2</v>
      </c>
      <c r="T1362" s="4" t="n">
        <v>2</v>
      </c>
      <c r="U1362" s="3" t="n">
        <v>2</v>
      </c>
      <c r="V1362" s="3" t="n">
        <v>4.13</v>
      </c>
      <c r="W1362" s="3" t="n">
        <v>1.43</v>
      </c>
      <c r="X1362" s="3" t="n">
        <v>4.64</v>
      </c>
      <c r="Y1362" s="3" t="n">
        <v>176</v>
      </c>
      <c r="Z1362" s="3" t="n">
        <v>73</v>
      </c>
      <c r="AA1362" s="3" t="n">
        <v>0.42</v>
      </c>
      <c r="AB1362" s="3" t="n">
        <v>15.2</v>
      </c>
      <c r="AD1362" s="3" t="n">
        <v>2</v>
      </c>
      <c r="AE1362" s="3" t="n">
        <v>1</v>
      </c>
      <c r="AF1362" s="3" t="n">
        <v>1</v>
      </c>
      <c r="AG1362" s="3" t="n">
        <v>2</v>
      </c>
      <c r="AH1362" s="3" t="n">
        <v>2</v>
      </c>
      <c r="AI1362" s="3" t="n">
        <v>1</v>
      </c>
      <c r="AJ1362" s="3" t="n">
        <v>2</v>
      </c>
      <c r="AK1362" s="3" t="n">
        <v>2</v>
      </c>
      <c r="AL1362" s="3" t="n">
        <v>2</v>
      </c>
      <c r="AM1362" s="3" t="n">
        <v>2</v>
      </c>
      <c r="AN1362" s="3" t="n">
        <v>2</v>
      </c>
      <c r="AO1362" s="3" t="n">
        <v>2</v>
      </c>
      <c r="AP1362" s="3" t="n">
        <v>3</v>
      </c>
      <c r="AQ1362" s="3" t="n">
        <v>4</v>
      </c>
      <c r="AR1362" s="3" t="n">
        <v>4</v>
      </c>
      <c r="AS1362" s="3" t="n">
        <v>6</v>
      </c>
      <c r="AT1362" s="3" t="n">
        <v>4</v>
      </c>
      <c r="AU1362" s="3" t="n">
        <v>4</v>
      </c>
      <c r="AV1362" s="3" t="n">
        <v>6</v>
      </c>
      <c r="AW1362" s="3" t="n">
        <v>6</v>
      </c>
      <c r="AX1362" s="3" t="n">
        <v>3</v>
      </c>
      <c r="AY1362" s="3" t="n">
        <v>3</v>
      </c>
      <c r="AZ1362" s="3" t="n">
        <v>1</v>
      </c>
      <c r="BA1362" s="5" t="n">
        <v>1</v>
      </c>
      <c r="BB1362" s="3" t="n">
        <v>1</v>
      </c>
      <c r="BC1362" s="3" t="n">
        <v>1</v>
      </c>
      <c r="BD1362" s="3" t="n">
        <v>4</v>
      </c>
      <c r="BE1362" s="3" t="n">
        <v>3</v>
      </c>
      <c r="BF1362" s="3" t="n">
        <v>5</v>
      </c>
      <c r="BG1362" s="3" t="n">
        <v>3</v>
      </c>
      <c r="BH1362" s="3" t="n">
        <v>4</v>
      </c>
      <c r="BI1362" s="3" t="n">
        <v>1</v>
      </c>
      <c r="BJ1362" s="3" t="n">
        <v>1</v>
      </c>
      <c r="BK1362" s="6" t="s">
        <v>3338</v>
      </c>
    </row>
    <row r="1363" customFormat="false" ht="15" hidden="false" customHeight="true" outlineLevel="0" collapsed="false">
      <c r="F1363" s="15"/>
    </row>
    <row r="1364" customFormat="false" ht="15" hidden="false" customHeight="true" outlineLevel="0" collapsed="false">
      <c r="F1364" s="15"/>
    </row>
    <row r="1365" customFormat="false" ht="15" hidden="false" customHeight="true" outlineLevel="0" collapsed="false">
      <c r="A1365" s="1" t="n">
        <v>7</v>
      </c>
      <c r="B1365" s="2" t="s">
        <v>3339</v>
      </c>
      <c r="C1365" s="2" t="s">
        <v>154</v>
      </c>
      <c r="D1365" s="2" t="s">
        <v>154</v>
      </c>
      <c r="E1365" s="2" t="n">
        <v>218672</v>
      </c>
      <c r="F1365" s="15" t="n">
        <v>44433</v>
      </c>
      <c r="I1365" s="3" t="n">
        <v>1</v>
      </c>
      <c r="J1365" s="3" t="n">
        <v>70</v>
      </c>
      <c r="K1365" s="3" t="n">
        <v>1</v>
      </c>
      <c r="L1365" s="3" t="n">
        <v>2</v>
      </c>
      <c r="M1365" s="3" t="n">
        <v>1</v>
      </c>
      <c r="N1365" s="3" t="n">
        <v>2</v>
      </c>
      <c r="O1365" s="3" t="n">
        <v>2</v>
      </c>
      <c r="P1365" s="3" t="n">
        <v>2</v>
      </c>
      <c r="Q1365" s="3" t="n">
        <v>2</v>
      </c>
      <c r="R1365" s="3" t="n">
        <v>2</v>
      </c>
      <c r="S1365" s="3" t="n">
        <v>2</v>
      </c>
      <c r="T1365" s="4" t="n">
        <v>1</v>
      </c>
      <c r="U1365" s="3" t="n">
        <v>1</v>
      </c>
    </row>
    <row r="1366" customFormat="false" ht="15" hidden="false" customHeight="true" outlineLevel="0" collapsed="false">
      <c r="A1366" s="1" t="n">
        <v>8</v>
      </c>
      <c r="B1366" s="2" t="s">
        <v>3340</v>
      </c>
      <c r="C1366" s="2" t="s">
        <v>3341</v>
      </c>
      <c r="D1366" s="2" t="s">
        <v>581</v>
      </c>
      <c r="E1366" s="2" t="n">
        <v>218512</v>
      </c>
      <c r="F1366" s="15" t="n">
        <v>44432</v>
      </c>
      <c r="I1366" s="3" t="n">
        <v>2</v>
      </c>
      <c r="J1366" s="3" t="n">
        <v>67</v>
      </c>
      <c r="K1366" s="3" t="n">
        <v>1</v>
      </c>
      <c r="L1366" s="3" t="n">
        <v>2</v>
      </c>
      <c r="M1366" s="3" t="n">
        <v>1</v>
      </c>
      <c r="N1366" s="3" t="n">
        <v>2</v>
      </c>
      <c r="O1366" s="3" t="n">
        <v>2</v>
      </c>
      <c r="P1366" s="3" t="n">
        <v>2</v>
      </c>
      <c r="Q1366" s="3" t="n">
        <v>2</v>
      </c>
      <c r="R1366" s="3" t="n">
        <v>2</v>
      </c>
      <c r="S1366" s="3" t="n">
        <v>2</v>
      </c>
      <c r="T1366" s="4" t="n">
        <v>2</v>
      </c>
      <c r="U1366" s="3" t="n">
        <v>2</v>
      </c>
      <c r="V1366" s="3" t="n">
        <v>4.88</v>
      </c>
      <c r="W1366" s="3" t="n">
        <v>1.33</v>
      </c>
      <c r="X1366" s="3" t="n">
        <v>8.99</v>
      </c>
      <c r="Y1366" s="3" t="n">
        <v>4.18</v>
      </c>
      <c r="Z1366" s="3" t="n">
        <v>107</v>
      </c>
      <c r="AA1366" s="3" t="n">
        <v>0.5</v>
      </c>
      <c r="AB1366" s="3" t="n">
        <v>20</v>
      </c>
      <c r="AD1366" s="3" t="n">
        <v>1</v>
      </c>
      <c r="AE1366" s="3" t="n">
        <v>1</v>
      </c>
      <c r="AF1366" s="3" t="n">
        <v>1</v>
      </c>
      <c r="AG1366" s="3" t="n">
        <v>2</v>
      </c>
      <c r="AH1366" s="3" t="n">
        <v>2</v>
      </c>
      <c r="AI1366" s="3" t="n">
        <v>1</v>
      </c>
      <c r="AJ1366" s="3" t="n">
        <v>1</v>
      </c>
      <c r="AK1366" s="3" t="n">
        <v>2</v>
      </c>
      <c r="AL1366" s="3" t="n">
        <v>2</v>
      </c>
      <c r="AM1366" s="3" t="n">
        <v>1</v>
      </c>
      <c r="AN1366" s="3" t="n">
        <v>2</v>
      </c>
      <c r="AO1366" s="3" t="n">
        <v>2</v>
      </c>
      <c r="AP1366" s="3" t="n">
        <v>3</v>
      </c>
      <c r="AQ1366" s="3" t="n">
        <v>4</v>
      </c>
      <c r="AR1366" s="3" t="n">
        <v>4</v>
      </c>
      <c r="AS1366" s="3" t="n">
        <v>6</v>
      </c>
      <c r="AT1366" s="3" t="n">
        <v>4</v>
      </c>
      <c r="AU1366" s="3" t="n">
        <v>4</v>
      </c>
      <c r="AV1366" s="3" t="n">
        <v>6</v>
      </c>
      <c r="AW1366" s="3" t="n">
        <v>6</v>
      </c>
      <c r="AX1366" s="3" t="n">
        <v>3</v>
      </c>
      <c r="AY1366" s="3" t="n">
        <v>3</v>
      </c>
      <c r="AZ1366" s="3" t="n">
        <v>1</v>
      </c>
      <c r="BA1366" s="5" t="n">
        <v>1</v>
      </c>
      <c r="BB1366" s="3" t="n">
        <v>1</v>
      </c>
      <c r="BC1366" s="3" t="n">
        <v>1</v>
      </c>
      <c r="BD1366" s="3" t="n">
        <v>4</v>
      </c>
      <c r="BE1366" s="3" t="n">
        <v>3</v>
      </c>
      <c r="BF1366" s="3" t="n">
        <v>5</v>
      </c>
      <c r="BG1366" s="3" t="n">
        <v>3</v>
      </c>
      <c r="BH1366" s="3" t="n">
        <v>4</v>
      </c>
      <c r="BI1366" s="3" t="n">
        <v>1</v>
      </c>
      <c r="BJ1366" s="3" t="n">
        <v>1</v>
      </c>
      <c r="BK1366" s="6" t="s">
        <v>3342</v>
      </c>
    </row>
    <row r="1367" customFormat="false" ht="15" hidden="false" customHeight="true" outlineLevel="0" collapsed="false">
      <c r="A1367" s="1" t="n">
        <v>9</v>
      </c>
      <c r="F1367" s="15"/>
    </row>
    <row r="1368" customFormat="false" ht="15" hidden="false" customHeight="true" outlineLevel="0" collapsed="false">
      <c r="A1368" s="1" t="n">
        <v>10</v>
      </c>
    </row>
    <row r="1369" customFormat="false" ht="15" hidden="false" customHeight="true" outlineLevel="0" collapsed="false">
      <c r="A1369" s="1" t="n">
        <v>11</v>
      </c>
      <c r="B1369" s="14"/>
      <c r="C1369" s="14"/>
      <c r="D1369" s="14"/>
      <c r="E1369" s="14"/>
      <c r="F1369" s="22"/>
      <c r="G1369" s="22"/>
      <c r="BK1369" s="16"/>
    </row>
    <row r="1370" customFormat="false" ht="15" hidden="false" customHeight="true" outlineLevel="0" collapsed="false">
      <c r="A1370" s="1" t="n">
        <v>12</v>
      </c>
      <c r="B1370" s="14"/>
      <c r="C1370" s="14"/>
      <c r="D1370" s="14"/>
      <c r="E1370" s="14"/>
      <c r="F1370" s="22"/>
      <c r="G1370" s="22"/>
      <c r="BK1370" s="16"/>
    </row>
    <row r="1371" customFormat="false" ht="15" hidden="false" customHeight="true" outlineLevel="0" collapsed="false">
      <c r="A1371" s="1" t="n">
        <v>13</v>
      </c>
      <c r="B1371" s="14"/>
      <c r="C1371" s="14"/>
      <c r="D1371" s="14"/>
      <c r="E1371" s="14"/>
      <c r="F1371" s="22"/>
      <c r="G1371" s="22"/>
      <c r="BK1371" s="16"/>
    </row>
    <row r="1372" customFormat="false" ht="15" hidden="false" customHeight="false" outlineLevel="0" collapsed="false">
      <c r="B1372" s="14"/>
      <c r="C1372" s="14"/>
      <c r="D1372" s="14"/>
      <c r="E1372" s="14"/>
      <c r="F1372" s="22"/>
      <c r="G1372" s="22"/>
      <c r="BK1372" s="16"/>
    </row>
    <row r="1373" customFormat="false" ht="15" hidden="false" customHeight="false" outlineLevel="0" collapsed="false">
      <c r="B1373" s="14"/>
      <c r="C1373" s="14"/>
      <c r="D1373" s="14"/>
      <c r="E1373" s="14"/>
      <c r="F1373" s="22"/>
      <c r="G1373" s="22"/>
      <c r="BK1373" s="16"/>
    </row>
    <row r="1374" customFormat="false" ht="15" hidden="false" customHeight="false" outlineLevel="0" collapsed="false">
      <c r="B1374" s="14"/>
      <c r="C1374" s="14"/>
      <c r="D1374" s="14"/>
      <c r="E1374" s="14"/>
      <c r="F1374" s="22"/>
      <c r="G1374" s="22"/>
      <c r="BK1374" s="16"/>
    </row>
    <row r="1375" customFormat="false" ht="15" hidden="false" customHeight="false" outlineLevel="0" collapsed="false">
      <c r="B1375" s="14"/>
      <c r="C1375" s="14"/>
      <c r="D1375" s="14"/>
      <c r="E1375" s="14"/>
      <c r="F1375" s="22"/>
      <c r="G1375" s="22"/>
      <c r="BK1375" s="16"/>
    </row>
    <row r="1376" customFormat="false" ht="15" hidden="false" customHeight="false" outlineLevel="0" collapsed="false">
      <c r="B1376" s="14"/>
      <c r="C1376" s="14"/>
      <c r="D1376" s="14"/>
      <c r="E1376" s="14"/>
      <c r="F1376" s="22"/>
      <c r="G1376" s="22"/>
      <c r="BK1376" s="16"/>
    </row>
    <row r="1377" customFormat="false" ht="15" hidden="false" customHeight="false" outlineLevel="0" collapsed="false">
      <c r="B1377" s="14"/>
      <c r="C1377" s="14"/>
      <c r="D1377" s="14"/>
      <c r="E1377" s="14"/>
      <c r="F1377" s="22"/>
      <c r="G1377" s="22"/>
      <c r="BK1377" s="16"/>
    </row>
    <row r="1378" customFormat="false" ht="15" hidden="false" customHeight="false" outlineLevel="0" collapsed="false">
      <c r="B1378" s="14"/>
      <c r="C1378" s="14"/>
      <c r="D1378" s="14"/>
      <c r="E1378" s="14"/>
      <c r="F1378" s="22"/>
      <c r="G1378" s="22"/>
      <c r="BK1378" s="16"/>
    </row>
    <row r="1379" customFormat="false" ht="15" hidden="false" customHeight="false" outlineLevel="0" collapsed="false">
      <c r="B1379" s="14"/>
      <c r="C1379" s="14"/>
      <c r="D1379" s="14"/>
      <c r="E1379" s="14"/>
      <c r="F1379" s="22"/>
      <c r="G1379" s="22"/>
      <c r="BK1379" s="16"/>
    </row>
    <row r="1380" customFormat="false" ht="15" hidden="false" customHeight="false" outlineLevel="0" collapsed="false">
      <c r="B1380" s="14"/>
      <c r="C1380" s="14"/>
      <c r="D1380" s="14"/>
      <c r="E1380" s="14"/>
      <c r="F1380" s="22"/>
      <c r="G1380" s="22"/>
      <c r="BK1380" s="16"/>
    </row>
    <row r="1381" customFormat="false" ht="15" hidden="false" customHeight="false" outlineLevel="0" collapsed="false">
      <c r="B1381" s="14"/>
      <c r="C1381" s="14"/>
      <c r="D1381" s="14"/>
      <c r="E1381" s="14"/>
      <c r="F1381" s="22"/>
      <c r="G1381" s="22"/>
      <c r="BK1381" s="16"/>
    </row>
    <row r="1382" customFormat="false" ht="15" hidden="false" customHeight="false" outlineLevel="0" collapsed="false">
      <c r="B1382" s="14"/>
      <c r="C1382" s="14"/>
      <c r="D1382" s="14"/>
      <c r="E1382" s="14"/>
      <c r="F1382" s="22"/>
      <c r="G1382" s="22"/>
      <c r="BK1382" s="16"/>
    </row>
    <row r="1383" customFormat="false" ht="15" hidden="false" customHeight="false" outlineLevel="0" collapsed="false">
      <c r="B1383" s="14"/>
      <c r="C1383" s="14"/>
      <c r="D1383" s="14"/>
      <c r="E1383" s="14"/>
      <c r="F1383" s="22"/>
      <c r="G1383" s="22"/>
      <c r="BK1383" s="16"/>
    </row>
    <row r="1384" customFormat="false" ht="15" hidden="false" customHeight="false" outlineLevel="0" collapsed="false">
      <c r="B1384" s="14"/>
      <c r="C1384" s="14"/>
      <c r="D1384" s="14"/>
      <c r="E1384" s="14"/>
      <c r="F1384" s="22"/>
      <c r="G1384" s="22"/>
      <c r="BK1384" s="16"/>
    </row>
    <row r="1385" customFormat="false" ht="15" hidden="false" customHeight="false" outlineLevel="0" collapsed="false">
      <c r="B1385" s="14"/>
      <c r="C1385" s="14"/>
      <c r="D1385" s="14"/>
      <c r="E1385" s="14"/>
      <c r="F1385" s="15"/>
      <c r="G1385" s="22"/>
      <c r="BK1385" s="16"/>
    </row>
    <row r="1386" customFormat="false" ht="15" hidden="false" customHeight="false" outlineLevel="0" collapsed="false">
      <c r="B1386" s="14"/>
      <c r="C1386" s="14"/>
      <c r="D1386" s="14"/>
      <c r="E1386" s="14"/>
      <c r="F1386" s="22"/>
      <c r="G1386" s="22"/>
      <c r="BK1386" s="16"/>
    </row>
    <row r="1387" customFormat="false" ht="15" hidden="false" customHeight="false" outlineLevel="0" collapsed="false">
      <c r="B1387" s="14"/>
      <c r="C1387" s="14"/>
      <c r="D1387" s="14"/>
      <c r="E1387" s="14"/>
      <c r="F1387" s="22"/>
      <c r="G1387" s="22"/>
      <c r="BK1387" s="16"/>
    </row>
    <row r="1388" customFormat="false" ht="15" hidden="false" customHeight="false" outlineLevel="0" collapsed="false">
      <c r="B1388" s="14"/>
      <c r="C1388" s="14"/>
      <c r="D1388" s="14"/>
      <c r="E1388" s="14"/>
      <c r="F1388" s="22"/>
      <c r="G1388" s="22"/>
      <c r="BK1388" s="16"/>
    </row>
    <row r="1389" customFormat="false" ht="15" hidden="false" customHeight="false" outlineLevel="0" collapsed="false">
      <c r="B1389" s="14"/>
      <c r="C1389" s="14"/>
      <c r="D1389" s="14"/>
      <c r="E1389" s="14"/>
      <c r="F1389" s="22"/>
      <c r="G1389" s="22"/>
      <c r="BK1389" s="16"/>
    </row>
    <row r="1390" customFormat="false" ht="15" hidden="false" customHeight="false" outlineLevel="0" collapsed="false">
      <c r="B1390" s="14"/>
      <c r="C1390" s="14"/>
      <c r="D1390" s="14"/>
      <c r="E1390" s="14"/>
      <c r="F1390" s="22"/>
      <c r="G1390" s="22"/>
      <c r="BK1390" s="16"/>
    </row>
    <row r="1391" customFormat="false" ht="15" hidden="false" customHeight="false" outlineLevel="0" collapsed="false">
      <c r="B1391" s="14"/>
      <c r="C1391" s="14"/>
      <c r="D1391" s="14"/>
      <c r="E1391" s="14"/>
      <c r="F1391" s="22"/>
      <c r="G1391" s="22"/>
      <c r="BK1391" s="16"/>
    </row>
    <row r="1392" customFormat="false" ht="15" hidden="false" customHeight="false" outlineLevel="0" collapsed="false">
      <c r="B1392" s="14"/>
      <c r="C1392" s="14"/>
      <c r="D1392" s="14"/>
      <c r="E1392" s="14"/>
      <c r="F1392" s="15"/>
      <c r="G1392" s="22"/>
      <c r="BK1392" s="16"/>
    </row>
    <row r="1393" customFormat="false" ht="15" hidden="false" customHeight="false" outlineLevel="0" collapsed="false">
      <c r="B1393" s="14"/>
      <c r="C1393" s="14"/>
      <c r="D1393" s="14"/>
      <c r="E1393" s="14"/>
      <c r="F1393" s="22"/>
      <c r="G1393" s="22"/>
      <c r="BK1393" s="16"/>
    </row>
    <row r="1394" customFormat="false" ht="15" hidden="false" customHeight="false" outlineLevel="0" collapsed="false">
      <c r="B1394" s="14"/>
      <c r="C1394" s="14"/>
      <c r="D1394" s="14"/>
      <c r="E1394" s="14"/>
      <c r="F1394" s="22"/>
      <c r="G1394" s="22"/>
      <c r="BK1394" s="16"/>
    </row>
    <row r="1395" customFormat="false" ht="15" hidden="false" customHeight="false" outlineLevel="0" collapsed="false">
      <c r="B1395" s="14"/>
      <c r="C1395" s="14"/>
      <c r="D1395" s="14"/>
      <c r="E1395" s="14"/>
      <c r="F1395" s="22"/>
      <c r="G1395" s="22"/>
      <c r="BK1395" s="16"/>
    </row>
    <row r="1396" customFormat="false" ht="15" hidden="false" customHeight="false" outlineLevel="0" collapsed="false">
      <c r="B1396" s="14"/>
      <c r="C1396" s="14"/>
      <c r="D1396" s="14"/>
      <c r="E1396" s="14"/>
      <c r="F1396" s="22"/>
      <c r="G1396" s="22"/>
      <c r="BK1396" s="16"/>
    </row>
    <row r="1397" customFormat="false" ht="15" hidden="false" customHeight="false" outlineLevel="0" collapsed="false">
      <c r="B1397" s="14"/>
      <c r="C1397" s="14"/>
      <c r="D1397" s="14"/>
      <c r="E1397" s="14"/>
      <c r="F1397" s="22"/>
      <c r="G1397" s="22"/>
      <c r="BK1397" s="16"/>
    </row>
    <row r="1398" customFormat="false" ht="15" hidden="false" customHeight="false" outlineLevel="0" collapsed="false">
      <c r="B1398" s="14"/>
      <c r="C1398" s="14"/>
      <c r="D1398" s="14"/>
      <c r="E1398" s="14"/>
      <c r="F1398" s="22"/>
      <c r="G1398" s="22"/>
      <c r="BK1398" s="16"/>
    </row>
    <row r="1399" customFormat="false" ht="15" hidden="false" customHeight="false" outlineLevel="0" collapsed="false">
      <c r="B1399" s="14"/>
      <c r="C1399" s="14"/>
      <c r="D1399" s="14"/>
      <c r="E1399" s="14"/>
      <c r="F1399" s="22"/>
      <c r="G1399" s="22"/>
      <c r="BK1399" s="16"/>
    </row>
    <row r="1400" customFormat="false" ht="15" hidden="false" customHeight="false" outlineLevel="0" collapsed="false">
      <c r="B1400" s="14"/>
      <c r="C1400" s="14"/>
      <c r="D1400" s="14"/>
      <c r="E1400" s="14"/>
      <c r="F1400" s="22"/>
      <c r="G1400" s="22"/>
      <c r="BK1400" s="16"/>
    </row>
    <row r="1401" customFormat="false" ht="15" hidden="false" customHeight="false" outlineLevel="0" collapsed="false">
      <c r="B1401" s="14"/>
      <c r="C1401" s="14"/>
      <c r="D1401" s="14"/>
      <c r="E1401" s="14"/>
      <c r="F1401" s="22"/>
      <c r="G1401" s="22"/>
      <c r="BK1401" s="16"/>
    </row>
    <row r="1402" customFormat="false" ht="15" hidden="false" customHeight="false" outlineLevel="0" collapsed="false">
      <c r="B1402" s="14"/>
      <c r="C1402" s="14"/>
      <c r="D1402" s="14"/>
      <c r="E1402" s="14"/>
      <c r="F1402" s="22"/>
      <c r="G1402" s="22"/>
      <c r="BK1402" s="16"/>
    </row>
    <row r="1403" customFormat="false" ht="15" hidden="false" customHeight="false" outlineLevel="0" collapsed="false">
      <c r="B1403" s="14"/>
      <c r="C1403" s="14"/>
      <c r="D1403" s="14"/>
      <c r="E1403" s="14"/>
      <c r="F1403" s="22"/>
      <c r="G1403" s="22"/>
      <c r="BK1403" s="16"/>
    </row>
    <row r="1404" customFormat="false" ht="15" hidden="false" customHeight="false" outlineLevel="0" collapsed="false">
      <c r="B1404" s="14"/>
      <c r="C1404" s="14"/>
      <c r="D1404" s="14"/>
      <c r="E1404" s="14"/>
      <c r="F1404" s="22"/>
      <c r="G1404" s="22"/>
      <c r="BK1404" s="16"/>
    </row>
    <row r="1405" customFormat="false" ht="15" hidden="false" customHeight="false" outlineLevel="0" collapsed="false">
      <c r="B1405" s="14"/>
      <c r="C1405" s="14"/>
      <c r="D1405" s="14"/>
      <c r="E1405" s="14"/>
      <c r="F1405" s="22"/>
      <c r="G1405" s="22"/>
      <c r="BK1405" s="16"/>
    </row>
    <row r="1406" customFormat="false" ht="15" hidden="false" customHeight="false" outlineLevel="0" collapsed="false">
      <c r="B1406" s="14"/>
      <c r="C1406" s="14"/>
      <c r="D1406" s="14"/>
      <c r="E1406" s="14"/>
      <c r="F1406" s="15"/>
      <c r="G1406" s="22"/>
      <c r="BK1406" s="16"/>
    </row>
    <row r="1407" customFormat="false" ht="15" hidden="false" customHeight="false" outlineLevel="0" collapsed="false">
      <c r="B1407" s="14"/>
      <c r="C1407" s="14"/>
      <c r="D1407" s="14"/>
      <c r="E1407" s="14"/>
      <c r="F1407" s="22"/>
      <c r="G1407" s="22"/>
      <c r="BK1407" s="16"/>
    </row>
    <row r="1408" customFormat="false" ht="15" hidden="false" customHeight="false" outlineLevel="0" collapsed="false">
      <c r="B1408" s="14"/>
      <c r="C1408" s="14"/>
      <c r="D1408" s="14"/>
      <c r="E1408" s="14"/>
      <c r="F1408" s="15"/>
      <c r="G1408" s="22"/>
      <c r="BK1408" s="16"/>
    </row>
    <row r="1409" customFormat="false" ht="15" hidden="false" customHeight="false" outlineLevel="0" collapsed="false">
      <c r="B1409" s="14"/>
      <c r="C1409" s="14"/>
      <c r="D1409" s="14"/>
      <c r="E1409" s="14"/>
      <c r="F1409" s="15"/>
      <c r="G1409" s="22"/>
      <c r="BK1409" s="16"/>
    </row>
    <row r="1410" customFormat="false" ht="15" hidden="false" customHeight="false" outlineLevel="0" collapsed="false">
      <c r="B1410" s="14"/>
      <c r="C1410" s="14"/>
      <c r="D1410" s="14"/>
      <c r="E1410" s="14"/>
      <c r="F1410" s="22"/>
      <c r="G1410" s="22"/>
      <c r="BK1410" s="16"/>
    </row>
    <row r="1411" customFormat="false" ht="15" hidden="false" customHeight="false" outlineLevel="0" collapsed="false">
      <c r="B1411" s="14"/>
      <c r="C1411" s="14"/>
      <c r="D1411" s="14"/>
      <c r="E1411" s="14"/>
      <c r="F1411" s="22"/>
      <c r="G1411" s="22"/>
      <c r="BK1411" s="16"/>
    </row>
    <row r="1412" customFormat="false" ht="15" hidden="false" customHeight="false" outlineLevel="0" collapsed="false">
      <c r="B1412" s="14"/>
      <c r="C1412" s="14"/>
      <c r="D1412" s="14"/>
      <c r="E1412" s="14"/>
      <c r="F1412" s="22"/>
      <c r="G1412" s="22"/>
      <c r="BK1412" s="16"/>
    </row>
    <row r="1413" customFormat="false" ht="15" hidden="false" customHeight="false" outlineLevel="0" collapsed="false">
      <c r="B1413" s="14"/>
      <c r="C1413" s="14"/>
      <c r="D1413" s="14"/>
      <c r="E1413" s="14"/>
      <c r="F1413" s="22"/>
      <c r="G1413" s="22"/>
      <c r="BK1413" s="16"/>
    </row>
    <row r="1414" customFormat="false" ht="15" hidden="false" customHeight="false" outlineLevel="0" collapsed="false">
      <c r="B1414" s="14"/>
      <c r="C1414" s="14"/>
      <c r="D1414" s="14"/>
      <c r="E1414" s="14"/>
      <c r="F1414" s="15"/>
      <c r="G1414" s="22"/>
      <c r="BK1414" s="16"/>
    </row>
    <row r="1415" customFormat="false" ht="15" hidden="false" customHeight="false" outlineLevel="0" collapsed="false">
      <c r="B1415" s="14"/>
      <c r="C1415" s="14"/>
      <c r="D1415" s="14"/>
      <c r="E1415" s="14"/>
      <c r="F1415" s="15"/>
      <c r="G1415" s="22"/>
      <c r="BK1415" s="16"/>
    </row>
    <row r="1416" customFormat="false" ht="15" hidden="false" customHeight="false" outlineLevel="0" collapsed="false">
      <c r="B1416" s="14"/>
      <c r="C1416" s="14"/>
      <c r="D1416" s="14"/>
      <c r="E1416" s="14"/>
      <c r="F1416" s="15"/>
      <c r="G1416" s="22"/>
      <c r="BK1416" s="16"/>
    </row>
    <row r="1417" customFormat="false" ht="15" hidden="false" customHeight="false" outlineLevel="0" collapsed="false">
      <c r="B1417" s="14"/>
      <c r="C1417" s="14"/>
      <c r="D1417" s="14"/>
      <c r="E1417" s="14"/>
      <c r="F1417" s="15"/>
      <c r="G1417" s="22"/>
      <c r="BK1417" s="16"/>
    </row>
    <row r="1418" customFormat="false" ht="15" hidden="false" customHeight="false" outlineLevel="0" collapsed="false">
      <c r="B1418" s="14"/>
      <c r="C1418" s="14"/>
      <c r="D1418" s="14"/>
      <c r="E1418" s="14"/>
      <c r="F1418" s="15"/>
      <c r="G1418" s="22"/>
      <c r="BK1418" s="16"/>
    </row>
    <row r="1419" customFormat="false" ht="15" hidden="false" customHeight="false" outlineLevel="0" collapsed="false">
      <c r="B1419" s="14"/>
      <c r="C1419" s="14"/>
      <c r="D1419" s="14"/>
      <c r="E1419" s="14"/>
      <c r="F1419" s="15"/>
      <c r="G1419" s="22"/>
      <c r="BK1419" s="16"/>
    </row>
    <row r="1420" customFormat="false" ht="15" hidden="false" customHeight="false" outlineLevel="0" collapsed="false">
      <c r="B1420" s="14"/>
      <c r="C1420" s="14"/>
      <c r="D1420" s="14"/>
      <c r="E1420" s="14"/>
      <c r="F1420" s="22"/>
      <c r="G1420" s="22"/>
      <c r="BK1420" s="16"/>
    </row>
    <row r="1421" customFormat="false" ht="15" hidden="false" customHeight="false" outlineLevel="0" collapsed="false">
      <c r="B1421" s="14"/>
      <c r="C1421" s="14"/>
      <c r="D1421" s="14"/>
      <c r="E1421" s="14"/>
      <c r="F1421" s="15"/>
      <c r="G1421" s="22"/>
      <c r="BK1421" s="16"/>
    </row>
    <row r="1422" customFormat="false" ht="15" hidden="false" customHeight="false" outlineLevel="0" collapsed="false">
      <c r="B1422" s="14"/>
      <c r="C1422" s="14"/>
      <c r="D1422" s="14"/>
      <c r="E1422" s="14"/>
      <c r="F1422" s="15"/>
      <c r="G1422" s="22"/>
      <c r="BK1422" s="16"/>
    </row>
    <row r="1423" customFormat="false" ht="15" hidden="false" customHeight="false" outlineLevel="0" collapsed="false">
      <c r="B1423" s="14"/>
      <c r="C1423" s="14"/>
      <c r="D1423" s="14"/>
      <c r="E1423" s="14"/>
      <c r="F1423" s="22"/>
      <c r="G1423" s="22"/>
      <c r="BK1423" s="16"/>
    </row>
    <row r="1424" customFormat="false" ht="15" hidden="false" customHeight="false" outlineLevel="0" collapsed="false">
      <c r="B1424" s="14"/>
      <c r="C1424" s="14"/>
      <c r="D1424" s="14"/>
      <c r="E1424" s="14"/>
      <c r="F1424" s="22"/>
      <c r="G1424" s="22"/>
      <c r="BK1424" s="16"/>
    </row>
    <row r="1425" customFormat="false" ht="15" hidden="false" customHeight="false" outlineLevel="0" collapsed="false">
      <c r="B1425" s="14"/>
      <c r="C1425" s="14"/>
      <c r="D1425" s="14"/>
      <c r="E1425" s="14"/>
      <c r="F1425" s="15"/>
      <c r="G1425" s="22"/>
      <c r="BK1425" s="16"/>
    </row>
    <row r="1426" customFormat="false" ht="15" hidden="false" customHeight="false" outlineLevel="0" collapsed="false">
      <c r="B1426" s="14"/>
      <c r="C1426" s="14"/>
      <c r="D1426" s="14"/>
      <c r="E1426" s="14"/>
      <c r="F1426" s="22"/>
      <c r="G1426" s="22"/>
      <c r="BK1426" s="16"/>
    </row>
    <row r="1427" customFormat="false" ht="15" hidden="false" customHeight="false" outlineLevel="0" collapsed="false">
      <c r="B1427" s="14"/>
      <c r="C1427" s="14"/>
      <c r="D1427" s="14"/>
      <c r="E1427" s="14"/>
      <c r="F1427" s="15"/>
      <c r="G1427" s="22"/>
      <c r="BK1427" s="16"/>
    </row>
    <row r="1428" customFormat="false" ht="15" hidden="false" customHeight="false" outlineLevel="0" collapsed="false">
      <c r="B1428" s="14"/>
      <c r="C1428" s="14"/>
      <c r="D1428" s="14"/>
      <c r="E1428" s="14"/>
      <c r="F1428" s="22"/>
      <c r="G1428" s="22"/>
      <c r="BK1428" s="16"/>
    </row>
    <row r="1429" customFormat="false" ht="15" hidden="false" customHeight="false" outlineLevel="0" collapsed="false">
      <c r="B1429" s="14"/>
      <c r="C1429" s="14"/>
      <c r="D1429" s="14"/>
      <c r="E1429" s="14"/>
      <c r="F1429" s="15"/>
      <c r="G1429" s="22"/>
      <c r="BK1429" s="16"/>
    </row>
    <row r="1430" customFormat="false" ht="15" hidden="false" customHeight="false" outlineLevel="0" collapsed="false">
      <c r="B1430" s="14"/>
      <c r="C1430" s="14"/>
      <c r="D1430" s="14"/>
      <c r="E1430" s="14"/>
      <c r="F1430" s="15"/>
      <c r="G1430" s="22"/>
      <c r="BK1430" s="16"/>
    </row>
    <row r="1431" s="11" customFormat="true" ht="15" hidden="false" customHeight="false" outlineLevel="0" collapsed="false">
      <c r="A1431" s="7"/>
      <c r="B1431" s="53"/>
      <c r="C1431" s="53"/>
      <c r="D1431" s="53"/>
      <c r="E1431" s="53"/>
      <c r="F1431" s="53"/>
      <c r="G1431" s="53"/>
      <c r="T1431" s="54"/>
      <c r="BA1431" s="54"/>
      <c r="BK1431" s="13"/>
    </row>
    <row r="1432" customFormat="false" ht="15" hidden="false" customHeight="false" outlineLevel="0" collapsed="false">
      <c r="B1432" s="14"/>
      <c r="C1432" s="14"/>
      <c r="D1432" s="14"/>
      <c r="E1432" s="14"/>
      <c r="F1432" s="15"/>
      <c r="G1432" s="22"/>
      <c r="BK1432" s="16"/>
    </row>
    <row r="1433" customFormat="false" ht="15" hidden="false" customHeight="false" outlineLevel="0" collapsed="false">
      <c r="B1433" s="14"/>
      <c r="C1433" s="14"/>
      <c r="D1433" s="14"/>
      <c r="E1433" s="14"/>
      <c r="F1433" s="15"/>
      <c r="G1433" s="22"/>
      <c r="BK1433" s="16"/>
    </row>
    <row r="1434" customFormat="false" ht="15" hidden="false" customHeight="false" outlineLevel="0" collapsed="false">
      <c r="B1434" s="14"/>
      <c r="C1434" s="14"/>
      <c r="D1434" s="14"/>
      <c r="E1434" s="14"/>
      <c r="F1434" s="22"/>
      <c r="G1434" s="22"/>
      <c r="BK1434" s="16"/>
    </row>
    <row r="1435" customFormat="false" ht="15" hidden="false" customHeight="false" outlineLevel="0" collapsed="false">
      <c r="B1435" s="14"/>
      <c r="C1435" s="14"/>
      <c r="D1435" s="14"/>
      <c r="E1435" s="14"/>
      <c r="F1435" s="15"/>
      <c r="G1435" s="22"/>
      <c r="BK1435" s="16"/>
    </row>
    <row r="1436" customFormat="false" ht="15" hidden="false" customHeight="false" outlineLevel="0" collapsed="false">
      <c r="B1436" s="14"/>
      <c r="C1436" s="14"/>
      <c r="D1436" s="14"/>
      <c r="E1436" s="14"/>
      <c r="F1436" s="15"/>
      <c r="G1436" s="22"/>
      <c r="BK1436" s="16"/>
    </row>
    <row r="1437" customFormat="false" ht="15" hidden="false" customHeight="false" outlineLevel="0" collapsed="false">
      <c r="B1437" s="14"/>
      <c r="C1437" s="14"/>
      <c r="D1437" s="14"/>
      <c r="E1437" s="14"/>
      <c r="F1437" s="22"/>
      <c r="G1437" s="22"/>
      <c r="BK1437" s="16"/>
    </row>
    <row r="1438" customFormat="false" ht="15" hidden="false" customHeight="false" outlineLevel="0" collapsed="false">
      <c r="B1438" s="14"/>
      <c r="C1438" s="14"/>
      <c r="D1438" s="14"/>
      <c r="E1438" s="14"/>
      <c r="F1438" s="15"/>
      <c r="G1438" s="22"/>
      <c r="BK1438" s="16"/>
    </row>
    <row r="1439" customFormat="false" ht="15" hidden="false" customHeight="false" outlineLevel="0" collapsed="false">
      <c r="B1439" s="14"/>
      <c r="C1439" s="14"/>
      <c r="D1439" s="14"/>
      <c r="E1439" s="14"/>
      <c r="F1439" s="22"/>
      <c r="G1439" s="22"/>
      <c r="BK1439" s="16"/>
    </row>
    <row r="1440" customFormat="false" ht="15" hidden="false" customHeight="false" outlineLevel="0" collapsed="false">
      <c r="B1440" s="14"/>
      <c r="C1440" s="14"/>
      <c r="D1440" s="14"/>
      <c r="E1440" s="14"/>
      <c r="F1440" s="15"/>
      <c r="G1440" s="22"/>
      <c r="BK1440" s="16"/>
    </row>
    <row r="1441" customFormat="false" ht="15" hidden="false" customHeight="false" outlineLevel="0" collapsed="false">
      <c r="B1441" s="14"/>
      <c r="C1441" s="14"/>
      <c r="D1441" s="14"/>
      <c r="E1441" s="14"/>
      <c r="F1441" s="15"/>
      <c r="G1441" s="22"/>
      <c r="BK1441" s="16"/>
    </row>
    <row r="1442" customFormat="false" ht="15" hidden="false" customHeight="false" outlineLevel="0" collapsed="false">
      <c r="B1442" s="14"/>
      <c r="C1442" s="14"/>
      <c r="D1442" s="14"/>
      <c r="E1442" s="14"/>
      <c r="F1442" s="22"/>
      <c r="G1442" s="22"/>
      <c r="BK1442" s="16"/>
    </row>
    <row r="1443" customFormat="false" ht="15" hidden="false" customHeight="false" outlineLevel="0" collapsed="false">
      <c r="B1443" s="14"/>
      <c r="C1443" s="14"/>
      <c r="D1443" s="14"/>
      <c r="E1443" s="14"/>
      <c r="F1443" s="15"/>
      <c r="G1443" s="22"/>
      <c r="BK1443" s="16"/>
    </row>
    <row r="1444" customFormat="false" ht="15" hidden="false" customHeight="false" outlineLevel="0" collapsed="false">
      <c r="B1444" s="14"/>
      <c r="C1444" s="14"/>
      <c r="D1444" s="14"/>
      <c r="E1444" s="14"/>
      <c r="F1444" s="15"/>
      <c r="G1444" s="22"/>
      <c r="BK1444" s="16"/>
    </row>
    <row r="1445" customFormat="false" ht="15" hidden="false" customHeight="false" outlineLevel="0" collapsed="false">
      <c r="B1445" s="14"/>
      <c r="C1445" s="14"/>
      <c r="D1445" s="14"/>
      <c r="E1445" s="14"/>
      <c r="F1445" s="15"/>
      <c r="G1445" s="22"/>
      <c r="BK1445" s="16"/>
    </row>
    <row r="1446" customFormat="false" ht="15" hidden="false" customHeight="false" outlineLevel="0" collapsed="false">
      <c r="B1446" s="14"/>
      <c r="C1446" s="14"/>
      <c r="D1446" s="14"/>
      <c r="E1446" s="14"/>
      <c r="F1446" s="15"/>
      <c r="G1446" s="22"/>
      <c r="BK1446" s="16"/>
    </row>
    <row r="1447" customFormat="false" ht="15" hidden="false" customHeight="false" outlineLevel="0" collapsed="false">
      <c r="B1447" s="14"/>
      <c r="C1447" s="14"/>
      <c r="D1447" s="14"/>
      <c r="E1447" s="14"/>
      <c r="F1447" s="15"/>
      <c r="G1447" s="22"/>
      <c r="BK1447" s="16"/>
    </row>
    <row r="1448" customFormat="false" ht="15" hidden="false" customHeight="false" outlineLevel="0" collapsed="false">
      <c r="B1448" s="14"/>
      <c r="C1448" s="14"/>
      <c r="D1448" s="14"/>
      <c r="E1448" s="14"/>
      <c r="F1448" s="22"/>
      <c r="G1448" s="22"/>
      <c r="BK1448" s="16"/>
    </row>
    <row r="1449" customFormat="false" ht="15" hidden="false" customHeight="false" outlineLevel="0" collapsed="false">
      <c r="B1449" s="14"/>
      <c r="C1449" s="14"/>
      <c r="D1449" s="14"/>
      <c r="E1449" s="14"/>
      <c r="F1449" s="15"/>
      <c r="G1449" s="22"/>
      <c r="BK1449" s="16"/>
    </row>
    <row r="1450" customFormat="false" ht="15" hidden="false" customHeight="false" outlineLevel="0" collapsed="false">
      <c r="B1450" s="14"/>
      <c r="C1450" s="14"/>
      <c r="D1450" s="14"/>
      <c r="E1450" s="14"/>
      <c r="F1450" s="15"/>
      <c r="G1450" s="22"/>
      <c r="BK1450" s="16"/>
    </row>
    <row r="1451" customFormat="false" ht="15" hidden="false" customHeight="false" outlineLevel="0" collapsed="false">
      <c r="B1451" s="14"/>
      <c r="C1451" s="14"/>
      <c r="D1451" s="14"/>
      <c r="E1451" s="14"/>
      <c r="F1451" s="15"/>
      <c r="G1451" s="22"/>
      <c r="BK1451" s="16"/>
    </row>
    <row r="1452" customFormat="false" ht="15" hidden="false" customHeight="false" outlineLevel="0" collapsed="false">
      <c r="B1452" s="14"/>
      <c r="C1452" s="14"/>
      <c r="D1452" s="14"/>
      <c r="E1452" s="14"/>
      <c r="F1452" s="15"/>
      <c r="G1452" s="22"/>
      <c r="BK1452" s="16"/>
    </row>
    <row r="1453" customFormat="false" ht="15" hidden="false" customHeight="false" outlineLevel="0" collapsed="false">
      <c r="B1453" s="14"/>
      <c r="C1453" s="14"/>
      <c r="D1453" s="14"/>
      <c r="E1453" s="14"/>
      <c r="F1453" s="15"/>
      <c r="G1453" s="22"/>
      <c r="BK1453" s="16"/>
    </row>
    <row r="1454" customFormat="false" ht="15" hidden="false" customHeight="false" outlineLevel="0" collapsed="false">
      <c r="B1454" s="14"/>
      <c r="C1454" s="14"/>
      <c r="D1454" s="14"/>
      <c r="E1454" s="14"/>
      <c r="F1454" s="15"/>
      <c r="G1454" s="22"/>
      <c r="BK1454" s="16"/>
    </row>
    <row r="1455" customFormat="false" ht="15" hidden="false" customHeight="false" outlineLevel="0" collapsed="false">
      <c r="B1455" s="14"/>
      <c r="C1455" s="14"/>
      <c r="D1455" s="14"/>
      <c r="E1455" s="14"/>
      <c r="F1455" s="15"/>
      <c r="G1455" s="22"/>
      <c r="BK1455" s="16"/>
    </row>
    <row r="1456" customFormat="false" ht="15" hidden="false" customHeight="false" outlineLevel="0" collapsed="false">
      <c r="B1456" s="14"/>
      <c r="C1456" s="14"/>
      <c r="D1456" s="14"/>
      <c r="E1456" s="14"/>
      <c r="F1456" s="15"/>
      <c r="G1456" s="22"/>
      <c r="BK1456" s="16"/>
    </row>
    <row r="1457" customFormat="false" ht="15" hidden="false" customHeight="false" outlineLevel="0" collapsed="false">
      <c r="B1457" s="14"/>
      <c r="C1457" s="14"/>
      <c r="D1457" s="14"/>
      <c r="E1457" s="14"/>
      <c r="F1457" s="15"/>
      <c r="G1457" s="22"/>
      <c r="BK1457" s="16"/>
    </row>
    <row r="1458" customFormat="false" ht="15" hidden="false" customHeight="false" outlineLevel="0" collapsed="false">
      <c r="B1458" s="14"/>
      <c r="C1458" s="14"/>
      <c r="D1458" s="14"/>
      <c r="E1458" s="14"/>
      <c r="F1458" s="15"/>
      <c r="G1458" s="22"/>
      <c r="BK1458" s="16"/>
    </row>
    <row r="1459" customFormat="false" ht="15" hidden="false" customHeight="false" outlineLevel="0" collapsed="false">
      <c r="B1459" s="14"/>
      <c r="C1459" s="14"/>
      <c r="D1459" s="14"/>
      <c r="E1459" s="14"/>
      <c r="F1459" s="15"/>
      <c r="G1459" s="22"/>
      <c r="BK1459" s="16"/>
    </row>
    <row r="1460" customFormat="false" ht="15" hidden="false" customHeight="false" outlineLevel="0" collapsed="false">
      <c r="B1460" s="14"/>
      <c r="C1460" s="14"/>
      <c r="D1460" s="14"/>
      <c r="E1460" s="14"/>
      <c r="F1460" s="15"/>
      <c r="G1460" s="22"/>
      <c r="BK1460" s="16"/>
    </row>
    <row r="1461" customFormat="false" ht="15" hidden="false" customHeight="false" outlineLevel="0" collapsed="false">
      <c r="B1461" s="14"/>
      <c r="C1461" s="14"/>
      <c r="D1461" s="14"/>
      <c r="E1461" s="14"/>
      <c r="F1461" s="22"/>
      <c r="G1461" s="22"/>
      <c r="BK1461" s="16"/>
    </row>
    <row r="1462" customFormat="false" ht="15" hidden="false" customHeight="false" outlineLevel="0" collapsed="false">
      <c r="B1462" s="14"/>
      <c r="C1462" s="14"/>
      <c r="D1462" s="14"/>
      <c r="E1462" s="14"/>
      <c r="F1462" s="22"/>
      <c r="G1462" s="22"/>
      <c r="BK1462" s="16"/>
    </row>
    <row r="1463" customFormat="false" ht="15" hidden="false" customHeight="false" outlineLevel="0" collapsed="false">
      <c r="B1463" s="14"/>
      <c r="C1463" s="14"/>
      <c r="D1463" s="14"/>
      <c r="E1463" s="14"/>
      <c r="F1463" s="15"/>
      <c r="G1463" s="22"/>
      <c r="BK1463" s="16"/>
    </row>
    <row r="1464" customFormat="false" ht="15" hidden="false" customHeight="false" outlineLevel="0" collapsed="false">
      <c r="B1464" s="14"/>
      <c r="C1464" s="14"/>
      <c r="D1464" s="14"/>
      <c r="E1464" s="14"/>
      <c r="F1464" s="15"/>
      <c r="G1464" s="22"/>
      <c r="BK1464" s="16"/>
    </row>
    <row r="1465" customFormat="false" ht="15" hidden="false" customHeight="false" outlineLevel="0" collapsed="false">
      <c r="B1465" s="14"/>
      <c r="C1465" s="14"/>
      <c r="D1465" s="14"/>
      <c r="E1465" s="14"/>
      <c r="F1465" s="22"/>
      <c r="G1465" s="22"/>
      <c r="BK1465" s="16"/>
    </row>
    <row r="1466" customFormat="false" ht="15" hidden="false" customHeight="false" outlineLevel="0" collapsed="false">
      <c r="B1466" s="14"/>
      <c r="C1466" s="14"/>
      <c r="D1466" s="14"/>
      <c r="E1466" s="14"/>
      <c r="F1466" s="22"/>
      <c r="G1466" s="22"/>
      <c r="BK1466" s="16"/>
    </row>
    <row r="1467" customFormat="false" ht="15" hidden="false" customHeight="false" outlineLevel="0" collapsed="false">
      <c r="B1467" s="14"/>
      <c r="C1467" s="14"/>
      <c r="D1467" s="14"/>
      <c r="E1467" s="14"/>
      <c r="F1467" s="15"/>
      <c r="G1467" s="22"/>
      <c r="BK1467" s="16"/>
    </row>
    <row r="1468" customFormat="false" ht="15" hidden="false" customHeight="false" outlineLevel="0" collapsed="false">
      <c r="B1468" s="14"/>
      <c r="C1468" s="14"/>
      <c r="D1468" s="14"/>
      <c r="E1468" s="14"/>
      <c r="F1468" s="15"/>
      <c r="G1468" s="22"/>
      <c r="BK1468" s="16"/>
    </row>
    <row r="1469" customFormat="false" ht="15" hidden="false" customHeight="false" outlineLevel="0" collapsed="false">
      <c r="B1469" s="14"/>
      <c r="C1469" s="14"/>
      <c r="D1469" s="14"/>
      <c r="E1469" s="14"/>
      <c r="F1469" s="15"/>
      <c r="G1469" s="22"/>
      <c r="BK1469" s="16"/>
    </row>
    <row r="1470" customFormat="false" ht="15" hidden="false" customHeight="false" outlineLevel="0" collapsed="false">
      <c r="B1470" s="14"/>
      <c r="C1470" s="14"/>
      <c r="D1470" s="14"/>
      <c r="E1470" s="14"/>
      <c r="F1470" s="22"/>
      <c r="G1470" s="22"/>
      <c r="BK1470" s="16"/>
    </row>
    <row r="1471" customFormat="false" ht="15" hidden="false" customHeight="false" outlineLevel="0" collapsed="false">
      <c r="B1471" s="14"/>
      <c r="C1471" s="14"/>
      <c r="D1471" s="14"/>
      <c r="E1471" s="14"/>
      <c r="F1471" s="15"/>
      <c r="G1471" s="22"/>
      <c r="BK1471" s="16"/>
    </row>
    <row r="1472" customFormat="false" ht="15" hidden="false" customHeight="false" outlineLevel="0" collapsed="false">
      <c r="B1472" s="14"/>
      <c r="C1472" s="14"/>
      <c r="D1472" s="14"/>
      <c r="E1472" s="14"/>
      <c r="F1472" s="15"/>
      <c r="G1472" s="15"/>
      <c r="BK1472" s="16"/>
    </row>
    <row r="1473" customFormat="false" ht="15" hidden="false" customHeight="false" outlineLevel="0" collapsed="false">
      <c r="B1473" s="14"/>
      <c r="C1473" s="14"/>
      <c r="D1473" s="14"/>
      <c r="E1473" s="14"/>
      <c r="F1473" s="15"/>
      <c r="G1473" s="22"/>
      <c r="BK1473" s="16"/>
    </row>
    <row r="1474" customFormat="false" ht="15" hidden="false" customHeight="false" outlineLevel="0" collapsed="false">
      <c r="B1474" s="14"/>
      <c r="C1474" s="14"/>
      <c r="D1474" s="14"/>
      <c r="E1474" s="14"/>
      <c r="F1474" s="22"/>
      <c r="G1474" s="22"/>
      <c r="BK1474" s="16"/>
    </row>
    <row r="1475" customFormat="false" ht="15" hidden="false" customHeight="false" outlineLevel="0" collapsed="false">
      <c r="B1475" s="14"/>
      <c r="C1475" s="14"/>
      <c r="D1475" s="14"/>
      <c r="E1475" s="14"/>
      <c r="F1475" s="22"/>
      <c r="G1475" s="22"/>
      <c r="BK1475" s="16"/>
    </row>
    <row r="1476" customFormat="false" ht="15" hidden="false" customHeight="false" outlineLevel="0" collapsed="false">
      <c r="B1476" s="14"/>
      <c r="C1476" s="14"/>
      <c r="D1476" s="14"/>
      <c r="E1476" s="14"/>
      <c r="F1476" s="15"/>
      <c r="G1476" s="22"/>
      <c r="BK1476" s="16"/>
    </row>
    <row r="1477" customFormat="false" ht="15" hidden="false" customHeight="false" outlineLevel="0" collapsed="false">
      <c r="B1477" s="14"/>
      <c r="C1477" s="14"/>
      <c r="D1477" s="14"/>
      <c r="E1477" s="14"/>
      <c r="F1477" s="22"/>
      <c r="G1477" s="22"/>
      <c r="BK1477" s="16"/>
    </row>
    <row r="1478" customFormat="false" ht="15" hidden="false" customHeight="false" outlineLevel="0" collapsed="false">
      <c r="B1478" s="14"/>
      <c r="C1478" s="14"/>
      <c r="D1478" s="14"/>
      <c r="E1478" s="14"/>
      <c r="F1478" s="22"/>
      <c r="G1478" s="22"/>
      <c r="BK1478" s="16"/>
    </row>
    <row r="1479" customFormat="false" ht="15" hidden="false" customHeight="false" outlineLevel="0" collapsed="false">
      <c r="B1479" s="14"/>
      <c r="C1479" s="14"/>
      <c r="D1479" s="14"/>
      <c r="E1479" s="14"/>
      <c r="F1479" s="22"/>
      <c r="G1479" s="22"/>
      <c r="BK1479" s="16"/>
    </row>
    <row r="1480" customFormat="false" ht="15" hidden="false" customHeight="false" outlineLevel="0" collapsed="false">
      <c r="B1480" s="14"/>
      <c r="C1480" s="14"/>
      <c r="D1480" s="14"/>
      <c r="E1480" s="14"/>
      <c r="F1480" s="22"/>
      <c r="G1480" s="22"/>
      <c r="BK1480" s="16"/>
    </row>
    <row r="1481" customFormat="false" ht="15" hidden="false" customHeight="false" outlineLevel="0" collapsed="false">
      <c r="B1481" s="14"/>
      <c r="C1481" s="14"/>
      <c r="D1481" s="14"/>
      <c r="E1481" s="14"/>
      <c r="F1481" s="15"/>
      <c r="G1481" s="22"/>
      <c r="BK1481" s="16"/>
    </row>
    <row r="1482" customFormat="false" ht="15" hidden="false" customHeight="false" outlineLevel="0" collapsed="false">
      <c r="B1482" s="14"/>
      <c r="C1482" s="14"/>
      <c r="D1482" s="14"/>
      <c r="E1482" s="14"/>
      <c r="F1482" s="22"/>
      <c r="G1482" s="22"/>
      <c r="BK1482" s="16"/>
    </row>
    <row r="1483" customFormat="false" ht="15" hidden="false" customHeight="false" outlineLevel="0" collapsed="false">
      <c r="B1483" s="14"/>
      <c r="C1483" s="14"/>
      <c r="D1483" s="14"/>
      <c r="E1483" s="14"/>
      <c r="F1483" s="15"/>
      <c r="G1483" s="22"/>
      <c r="BK1483" s="16"/>
    </row>
    <row r="1484" customFormat="false" ht="15" hidden="false" customHeight="false" outlineLevel="0" collapsed="false">
      <c r="B1484" s="14"/>
      <c r="C1484" s="14"/>
      <c r="D1484" s="14"/>
      <c r="E1484" s="14"/>
      <c r="F1484" s="15"/>
      <c r="G1484" s="22"/>
      <c r="BK1484" s="16"/>
    </row>
    <row r="1485" customFormat="false" ht="15" hidden="false" customHeight="false" outlineLevel="0" collapsed="false">
      <c r="B1485" s="14"/>
      <c r="C1485" s="14"/>
      <c r="D1485" s="14"/>
      <c r="E1485" s="14"/>
      <c r="F1485" s="15"/>
      <c r="G1485" s="22"/>
      <c r="BK1485" s="16"/>
    </row>
    <row r="1486" customFormat="false" ht="15" hidden="false" customHeight="false" outlineLevel="0" collapsed="false">
      <c r="B1486" s="14"/>
      <c r="C1486" s="14"/>
      <c r="D1486" s="14"/>
      <c r="E1486" s="14"/>
      <c r="F1486" s="15"/>
      <c r="G1486" s="22"/>
      <c r="BK1486" s="16"/>
    </row>
    <row r="1487" customFormat="false" ht="15" hidden="false" customHeight="false" outlineLevel="0" collapsed="false">
      <c r="B1487" s="14"/>
      <c r="C1487" s="14"/>
      <c r="D1487" s="14"/>
      <c r="E1487" s="14"/>
      <c r="F1487" s="22"/>
      <c r="G1487" s="22"/>
      <c r="BK1487" s="16"/>
    </row>
    <row r="1488" customFormat="false" ht="15" hidden="false" customHeight="false" outlineLevel="0" collapsed="false">
      <c r="B1488" s="14"/>
      <c r="C1488" s="14"/>
      <c r="D1488" s="14"/>
      <c r="E1488" s="14"/>
      <c r="F1488" s="15"/>
      <c r="G1488" s="22"/>
      <c r="BK1488" s="16"/>
    </row>
    <row r="1489" customFormat="false" ht="15" hidden="false" customHeight="false" outlineLevel="0" collapsed="false">
      <c r="B1489" s="14"/>
      <c r="C1489" s="14"/>
      <c r="D1489" s="14"/>
      <c r="E1489" s="14"/>
      <c r="F1489" s="15"/>
      <c r="G1489" s="22"/>
      <c r="BK1489" s="16"/>
    </row>
    <row r="1490" customFormat="false" ht="15" hidden="false" customHeight="false" outlineLevel="0" collapsed="false">
      <c r="B1490" s="14"/>
      <c r="C1490" s="14"/>
      <c r="D1490" s="14"/>
      <c r="E1490" s="14"/>
      <c r="F1490" s="22"/>
      <c r="G1490" s="22"/>
      <c r="BK1490" s="16"/>
    </row>
    <row r="1491" customFormat="false" ht="15" hidden="false" customHeight="false" outlineLevel="0" collapsed="false">
      <c r="B1491" s="14"/>
      <c r="C1491" s="14"/>
      <c r="D1491" s="14"/>
      <c r="E1491" s="14"/>
      <c r="F1491" s="15"/>
      <c r="G1491" s="22"/>
      <c r="BK1491" s="16"/>
    </row>
    <row r="1492" customFormat="false" ht="15" hidden="false" customHeight="false" outlineLevel="0" collapsed="false">
      <c r="B1492" s="14"/>
      <c r="C1492" s="14"/>
      <c r="D1492" s="14"/>
      <c r="E1492" s="14"/>
      <c r="F1492" s="15"/>
      <c r="G1492" s="22"/>
      <c r="BK1492" s="16"/>
    </row>
    <row r="1493" customFormat="false" ht="15" hidden="false" customHeight="false" outlineLevel="0" collapsed="false">
      <c r="B1493" s="14"/>
      <c r="C1493" s="14"/>
      <c r="D1493" s="14"/>
      <c r="E1493" s="14"/>
      <c r="F1493" s="15"/>
      <c r="G1493" s="22"/>
      <c r="BK1493" s="16"/>
    </row>
    <row r="1494" customFormat="false" ht="15" hidden="false" customHeight="false" outlineLevel="0" collapsed="false">
      <c r="B1494" s="14"/>
      <c r="C1494" s="14"/>
      <c r="D1494" s="14"/>
      <c r="E1494" s="14"/>
      <c r="F1494" s="15"/>
      <c r="G1494" s="22"/>
      <c r="BK1494" s="16"/>
    </row>
    <row r="1495" customFormat="false" ht="15" hidden="false" customHeight="false" outlineLevel="0" collapsed="false">
      <c r="B1495" s="14"/>
      <c r="C1495" s="14"/>
      <c r="D1495" s="14"/>
      <c r="E1495" s="14"/>
      <c r="F1495" s="15"/>
      <c r="G1495" s="22"/>
      <c r="BK1495" s="16"/>
    </row>
    <row r="1496" customFormat="false" ht="15" hidden="false" customHeight="false" outlineLevel="0" collapsed="false">
      <c r="B1496" s="14"/>
      <c r="C1496" s="14"/>
      <c r="D1496" s="14"/>
      <c r="E1496" s="14"/>
      <c r="F1496" s="15"/>
      <c r="G1496" s="22"/>
      <c r="BK1496" s="16"/>
    </row>
    <row r="1497" customFormat="false" ht="15" hidden="false" customHeight="false" outlineLevel="0" collapsed="false">
      <c r="B1497" s="14"/>
      <c r="C1497" s="14"/>
      <c r="D1497" s="14"/>
      <c r="E1497" s="14"/>
      <c r="F1497" s="22"/>
      <c r="G1497" s="22"/>
      <c r="BK1497" s="16"/>
    </row>
    <row r="1498" customFormat="false" ht="15" hidden="false" customHeight="false" outlineLevel="0" collapsed="false">
      <c r="B1498" s="14"/>
      <c r="C1498" s="14"/>
      <c r="D1498" s="14"/>
      <c r="E1498" s="14"/>
      <c r="F1498" s="22"/>
      <c r="G1498" s="22"/>
      <c r="BK1498" s="16"/>
    </row>
    <row r="1499" customFormat="false" ht="15" hidden="false" customHeight="false" outlineLevel="0" collapsed="false">
      <c r="B1499" s="14"/>
      <c r="C1499" s="14"/>
      <c r="D1499" s="14"/>
      <c r="E1499" s="14"/>
      <c r="F1499" s="22"/>
      <c r="G1499" s="22"/>
      <c r="BK1499" s="16"/>
    </row>
    <row r="1500" customFormat="false" ht="15" hidden="false" customHeight="false" outlineLevel="0" collapsed="false">
      <c r="B1500" s="14"/>
      <c r="C1500" s="14"/>
      <c r="D1500" s="14"/>
      <c r="E1500" s="14"/>
      <c r="F1500" s="15"/>
      <c r="G1500" s="22"/>
      <c r="BK1500" s="16"/>
    </row>
    <row r="1501" customFormat="false" ht="15" hidden="false" customHeight="false" outlineLevel="0" collapsed="false">
      <c r="B1501" s="14"/>
      <c r="C1501" s="14"/>
      <c r="D1501" s="14"/>
      <c r="E1501" s="14"/>
      <c r="F1501" s="15"/>
      <c r="G1501" s="22"/>
      <c r="BK1501" s="16"/>
    </row>
    <row r="1502" customFormat="false" ht="15" hidden="false" customHeight="false" outlineLevel="0" collapsed="false">
      <c r="B1502" s="14"/>
      <c r="C1502" s="14"/>
      <c r="D1502" s="14"/>
      <c r="E1502" s="14"/>
      <c r="F1502" s="15"/>
      <c r="G1502" s="22"/>
      <c r="BK1502" s="16"/>
    </row>
    <row r="1503" s="11" customFormat="true" ht="15" hidden="false" customHeight="false" outlineLevel="0" collapsed="false">
      <c r="A1503" s="7"/>
      <c r="B1503" s="53"/>
      <c r="C1503" s="53"/>
      <c r="D1503" s="53"/>
      <c r="E1503" s="53"/>
      <c r="F1503" s="53"/>
      <c r="G1503" s="53"/>
      <c r="T1503" s="54"/>
      <c r="BA1503" s="54"/>
      <c r="BK1503" s="13"/>
    </row>
    <row r="1504" customFormat="false" ht="15" hidden="false" customHeight="false" outlineLevel="0" collapsed="false">
      <c r="B1504" s="14"/>
      <c r="C1504" s="14"/>
      <c r="D1504" s="14"/>
      <c r="E1504" s="14"/>
      <c r="F1504" s="15"/>
      <c r="G1504" s="22"/>
      <c r="BK1504" s="16"/>
    </row>
    <row r="1505" customFormat="false" ht="15" hidden="false" customHeight="false" outlineLevel="0" collapsed="false">
      <c r="B1505" s="14"/>
      <c r="C1505" s="14"/>
      <c r="D1505" s="14"/>
      <c r="E1505" s="14"/>
      <c r="F1505" s="22"/>
      <c r="G1505" s="22"/>
      <c r="BK1505" s="16"/>
    </row>
    <row r="1506" customFormat="false" ht="15" hidden="false" customHeight="false" outlineLevel="0" collapsed="false">
      <c r="B1506" s="14"/>
      <c r="C1506" s="14"/>
      <c r="D1506" s="14"/>
      <c r="E1506" s="14"/>
      <c r="F1506" s="22"/>
      <c r="G1506" s="22"/>
      <c r="BK1506" s="16"/>
    </row>
    <row r="1507" customFormat="false" ht="15" hidden="false" customHeight="false" outlineLevel="0" collapsed="false">
      <c r="B1507" s="14"/>
      <c r="C1507" s="14"/>
      <c r="D1507" s="14"/>
      <c r="E1507" s="14"/>
      <c r="F1507" s="15"/>
      <c r="G1507" s="22"/>
      <c r="BK1507" s="16"/>
    </row>
    <row r="1508" customFormat="false" ht="15" hidden="false" customHeight="false" outlineLevel="0" collapsed="false">
      <c r="B1508" s="14"/>
      <c r="C1508" s="14"/>
      <c r="D1508" s="14"/>
      <c r="E1508" s="14"/>
      <c r="F1508" s="15"/>
      <c r="G1508" s="22"/>
      <c r="BK1508" s="16"/>
    </row>
    <row r="1509" customFormat="false" ht="15" hidden="false" customHeight="false" outlineLevel="0" collapsed="false">
      <c r="B1509" s="14"/>
      <c r="C1509" s="14"/>
      <c r="D1509" s="14"/>
      <c r="E1509" s="14"/>
      <c r="F1509" s="22"/>
      <c r="G1509" s="22"/>
      <c r="BK1509" s="16"/>
    </row>
    <row r="1510" customFormat="false" ht="15" hidden="false" customHeight="false" outlineLevel="0" collapsed="false">
      <c r="B1510" s="14"/>
      <c r="C1510" s="14"/>
      <c r="D1510" s="14"/>
      <c r="E1510" s="14"/>
      <c r="F1510" s="22"/>
      <c r="G1510" s="22"/>
      <c r="BK1510" s="16"/>
    </row>
    <row r="1511" customFormat="false" ht="15" hidden="false" customHeight="false" outlineLevel="0" collapsed="false">
      <c r="B1511" s="14"/>
      <c r="C1511" s="14"/>
      <c r="D1511" s="14"/>
      <c r="E1511" s="14"/>
      <c r="F1511" s="22"/>
      <c r="G1511" s="22"/>
      <c r="BK1511" s="16"/>
    </row>
    <row r="1512" customFormat="false" ht="15" hidden="false" customHeight="false" outlineLevel="0" collapsed="false">
      <c r="B1512" s="14"/>
      <c r="C1512" s="14"/>
      <c r="D1512" s="14"/>
      <c r="E1512" s="14"/>
      <c r="F1512" s="22"/>
      <c r="G1512" s="22"/>
      <c r="BK1512" s="16"/>
    </row>
    <row r="1513" customFormat="false" ht="15" hidden="false" customHeight="false" outlineLevel="0" collapsed="false">
      <c r="B1513" s="14"/>
      <c r="C1513" s="14"/>
      <c r="D1513" s="14"/>
      <c r="E1513" s="14"/>
      <c r="F1513" s="22"/>
      <c r="G1513" s="22"/>
      <c r="BK1513" s="16"/>
    </row>
    <row r="1514" customFormat="false" ht="15" hidden="false" customHeight="false" outlineLevel="0" collapsed="false">
      <c r="B1514" s="14"/>
      <c r="C1514" s="14"/>
      <c r="D1514" s="14"/>
      <c r="E1514" s="14"/>
      <c r="F1514" s="22"/>
      <c r="G1514" s="22"/>
      <c r="BK1514" s="16"/>
    </row>
    <row r="1515" customFormat="false" ht="15" hidden="false" customHeight="false" outlineLevel="0" collapsed="false">
      <c r="B1515" s="14"/>
      <c r="C1515" s="14"/>
      <c r="D1515" s="14"/>
      <c r="E1515" s="14"/>
      <c r="F1515" s="15"/>
      <c r="G1515" s="22"/>
      <c r="BK1515" s="16"/>
    </row>
    <row r="1516" customFormat="false" ht="15" hidden="false" customHeight="false" outlineLevel="0" collapsed="false">
      <c r="B1516" s="14"/>
      <c r="C1516" s="14"/>
      <c r="D1516" s="14"/>
      <c r="E1516" s="14"/>
      <c r="F1516" s="22"/>
      <c r="G1516" s="22"/>
      <c r="BK1516" s="16"/>
    </row>
    <row r="1517" customFormat="false" ht="15" hidden="false" customHeight="false" outlineLevel="0" collapsed="false">
      <c r="B1517" s="14"/>
      <c r="C1517" s="14"/>
      <c r="D1517" s="14"/>
      <c r="E1517" s="14"/>
      <c r="F1517" s="22"/>
      <c r="G1517" s="22"/>
      <c r="BK1517" s="16"/>
    </row>
    <row r="1518" customFormat="false" ht="15" hidden="false" customHeight="false" outlineLevel="0" collapsed="false">
      <c r="B1518" s="14"/>
      <c r="C1518" s="14"/>
      <c r="D1518" s="14"/>
      <c r="E1518" s="14"/>
      <c r="F1518" s="22"/>
      <c r="G1518" s="22"/>
      <c r="BK1518" s="16"/>
    </row>
    <row r="1519" customFormat="false" ht="15" hidden="false" customHeight="false" outlineLevel="0" collapsed="false">
      <c r="B1519" s="14"/>
      <c r="C1519" s="14"/>
      <c r="D1519" s="14"/>
      <c r="E1519" s="14"/>
      <c r="F1519" s="22"/>
      <c r="G1519" s="22"/>
      <c r="BK1519" s="16"/>
    </row>
    <row r="1520" customFormat="false" ht="15" hidden="false" customHeight="false" outlineLevel="0" collapsed="false">
      <c r="B1520" s="14"/>
      <c r="C1520" s="14"/>
      <c r="D1520" s="14"/>
      <c r="E1520" s="14"/>
      <c r="F1520" s="22"/>
      <c r="G1520" s="22"/>
      <c r="BK1520" s="16"/>
    </row>
    <row r="1521" customFormat="false" ht="15" hidden="false" customHeight="false" outlineLevel="0" collapsed="false">
      <c r="B1521" s="14"/>
      <c r="C1521" s="14"/>
      <c r="D1521" s="14"/>
      <c r="E1521" s="14"/>
      <c r="F1521" s="22"/>
      <c r="G1521" s="22"/>
      <c r="BK1521" s="16"/>
    </row>
    <row r="1522" customFormat="false" ht="15" hidden="false" customHeight="false" outlineLevel="0" collapsed="false">
      <c r="B1522" s="14"/>
      <c r="C1522" s="14"/>
      <c r="D1522" s="14"/>
      <c r="E1522" s="14"/>
      <c r="F1522" s="22"/>
      <c r="G1522" s="22"/>
      <c r="BK1522" s="16"/>
    </row>
    <row r="1523" customFormat="false" ht="15" hidden="false" customHeight="false" outlineLevel="0" collapsed="false">
      <c r="B1523" s="14"/>
      <c r="C1523" s="14"/>
      <c r="D1523" s="14"/>
      <c r="E1523" s="14"/>
      <c r="F1523" s="22"/>
      <c r="G1523" s="22"/>
      <c r="BK1523" s="16"/>
    </row>
    <row r="1524" customFormat="false" ht="15" hidden="false" customHeight="false" outlineLevel="0" collapsed="false">
      <c r="B1524" s="14"/>
      <c r="C1524" s="14"/>
      <c r="D1524" s="14"/>
      <c r="E1524" s="14"/>
      <c r="F1524" s="22"/>
      <c r="G1524" s="22"/>
      <c r="BK1524" s="16"/>
    </row>
    <row r="1525" customFormat="false" ht="15" hidden="false" customHeight="false" outlineLevel="0" collapsed="false">
      <c r="B1525" s="14"/>
      <c r="C1525" s="14"/>
      <c r="D1525" s="14"/>
      <c r="E1525" s="14"/>
      <c r="F1525" s="22"/>
      <c r="G1525" s="22"/>
      <c r="BK1525" s="16"/>
    </row>
    <row r="1526" customFormat="false" ht="15" hidden="false" customHeight="false" outlineLevel="0" collapsed="false">
      <c r="B1526" s="14"/>
      <c r="C1526" s="14"/>
      <c r="D1526" s="14"/>
      <c r="E1526" s="14"/>
      <c r="F1526" s="22"/>
      <c r="G1526" s="22"/>
      <c r="BK1526" s="16"/>
    </row>
    <row r="1527" s="23" customFormat="true" ht="15" hidden="false" customHeight="false" outlineLevel="0" collapsed="false">
      <c r="A1527" s="1"/>
      <c r="B1527" s="14"/>
      <c r="C1527" s="14"/>
      <c r="D1527" s="14"/>
      <c r="E1527" s="14"/>
      <c r="F1527" s="22"/>
      <c r="G1527" s="22"/>
      <c r="T1527" s="5"/>
      <c r="BA1527" s="5"/>
      <c r="BK1527" s="16"/>
    </row>
    <row r="1528" customFormat="false" ht="15" hidden="false" customHeight="false" outlineLevel="0" collapsed="false">
      <c r="B1528" s="14"/>
      <c r="C1528" s="14"/>
      <c r="D1528" s="14"/>
      <c r="E1528" s="14"/>
      <c r="F1528" s="22"/>
      <c r="G1528" s="22"/>
      <c r="BK1528" s="16"/>
    </row>
    <row r="1529" customFormat="false" ht="15" hidden="false" customHeight="false" outlineLevel="0" collapsed="false">
      <c r="B1529" s="14"/>
      <c r="C1529" s="14"/>
      <c r="D1529" s="14"/>
      <c r="E1529" s="14"/>
      <c r="F1529" s="22"/>
      <c r="G1529" s="22"/>
      <c r="BK1529" s="16"/>
    </row>
    <row r="1530" customFormat="false" ht="15" hidden="false" customHeight="false" outlineLevel="0" collapsed="false">
      <c r="B1530" s="14"/>
      <c r="C1530" s="14"/>
      <c r="D1530" s="14"/>
      <c r="E1530" s="14"/>
      <c r="F1530" s="22"/>
      <c r="G1530" s="22"/>
      <c r="BK1530" s="16"/>
    </row>
    <row r="1531" customFormat="false" ht="15" hidden="false" customHeight="false" outlineLevel="0" collapsed="false">
      <c r="B1531" s="14"/>
      <c r="C1531" s="14"/>
      <c r="D1531" s="14"/>
      <c r="E1531" s="14"/>
      <c r="F1531" s="22"/>
      <c r="G1531" s="22"/>
      <c r="BK1531" s="16"/>
    </row>
    <row r="1532" s="23" customFormat="true" ht="15" hidden="false" customHeight="false" outlineLevel="0" collapsed="false">
      <c r="A1532" s="1"/>
      <c r="B1532" s="14"/>
      <c r="C1532" s="14"/>
      <c r="D1532" s="14"/>
      <c r="E1532" s="14"/>
      <c r="F1532" s="22"/>
      <c r="G1532" s="22"/>
      <c r="T1532" s="5"/>
      <c r="AP1532" s="3"/>
      <c r="AQ1532" s="3"/>
      <c r="AR1532" s="3"/>
      <c r="AS1532" s="3"/>
      <c r="AT1532" s="3"/>
      <c r="AU1532" s="3"/>
      <c r="AV1532" s="3"/>
      <c r="AW1532" s="3"/>
      <c r="AX1532" s="3"/>
      <c r="AY1532" s="3"/>
      <c r="AZ1532" s="3"/>
      <c r="BA1532" s="5"/>
      <c r="BK1532" s="16"/>
    </row>
    <row r="1533" customFormat="false" ht="15" hidden="false" customHeight="false" outlineLevel="0" collapsed="false">
      <c r="B1533" s="14"/>
      <c r="C1533" s="14"/>
      <c r="D1533" s="14"/>
      <c r="E1533" s="14"/>
      <c r="F1533" s="22"/>
      <c r="G1533" s="22"/>
      <c r="BK1533" s="16"/>
    </row>
    <row r="1534" customFormat="false" ht="15" hidden="false" customHeight="false" outlineLevel="0" collapsed="false">
      <c r="B1534" s="14"/>
      <c r="C1534" s="14"/>
      <c r="D1534" s="14"/>
      <c r="E1534" s="14"/>
      <c r="F1534" s="22"/>
      <c r="G1534" s="22"/>
      <c r="BK1534" s="16"/>
    </row>
    <row r="1535" customFormat="false" ht="15" hidden="false" customHeight="false" outlineLevel="0" collapsed="false">
      <c r="B1535" s="14"/>
      <c r="C1535" s="14"/>
      <c r="D1535" s="14"/>
      <c r="E1535" s="14"/>
      <c r="F1535" s="22"/>
      <c r="G1535" s="22"/>
      <c r="BK1535" s="16"/>
    </row>
    <row r="1536" customFormat="false" ht="15" hidden="false" customHeight="false" outlineLevel="0" collapsed="false">
      <c r="B1536" s="14"/>
      <c r="C1536" s="14"/>
      <c r="D1536" s="14"/>
      <c r="E1536" s="14"/>
      <c r="F1536" s="22"/>
      <c r="G1536" s="22"/>
      <c r="BK1536" s="16"/>
    </row>
    <row r="1537" s="23" customFormat="true" ht="15" hidden="false" customHeight="false" outlineLevel="0" collapsed="false">
      <c r="A1537" s="1"/>
      <c r="B1537" s="14"/>
      <c r="C1537" s="14"/>
      <c r="D1537" s="14"/>
      <c r="E1537" s="14"/>
      <c r="F1537" s="22"/>
      <c r="G1537" s="22"/>
      <c r="T1537" s="5"/>
      <c r="AP1537" s="3"/>
      <c r="AQ1537" s="3"/>
      <c r="AR1537" s="3"/>
      <c r="AS1537" s="3"/>
      <c r="AT1537" s="3"/>
      <c r="AU1537" s="3"/>
      <c r="AV1537" s="3"/>
      <c r="AW1537" s="3"/>
      <c r="AX1537" s="3"/>
      <c r="AY1537" s="3"/>
      <c r="BA1537" s="5"/>
      <c r="BK1537" s="16"/>
    </row>
    <row r="1538" customFormat="false" ht="15" hidden="false" customHeight="false" outlineLevel="0" collapsed="false">
      <c r="B1538" s="14"/>
      <c r="C1538" s="14"/>
      <c r="D1538" s="14"/>
      <c r="E1538" s="14"/>
      <c r="F1538" s="22"/>
      <c r="G1538" s="22"/>
      <c r="BK1538" s="16"/>
    </row>
    <row r="1539" customFormat="false" ht="15" hidden="false" customHeight="false" outlineLevel="0" collapsed="false">
      <c r="B1539" s="14"/>
      <c r="C1539" s="14"/>
      <c r="D1539" s="14"/>
      <c r="E1539" s="14"/>
      <c r="F1539" s="22"/>
      <c r="G1539" s="22"/>
      <c r="BK1539" s="16"/>
    </row>
    <row r="1540" customFormat="false" ht="15" hidden="false" customHeight="false" outlineLevel="0" collapsed="false">
      <c r="B1540" s="14"/>
      <c r="C1540" s="14"/>
      <c r="D1540" s="14"/>
      <c r="E1540" s="14"/>
      <c r="F1540" s="22"/>
      <c r="G1540" s="22"/>
      <c r="BK1540" s="16"/>
    </row>
    <row r="1541" customFormat="false" ht="15" hidden="false" customHeight="false" outlineLevel="0" collapsed="false">
      <c r="B1541" s="14"/>
      <c r="C1541" s="14"/>
      <c r="D1541" s="14"/>
      <c r="E1541" s="14"/>
      <c r="F1541" s="22"/>
      <c r="G1541" s="22"/>
      <c r="BK1541" s="16"/>
    </row>
    <row r="1542" customFormat="false" ht="15" hidden="false" customHeight="false" outlineLevel="0" collapsed="false">
      <c r="B1542" s="14"/>
      <c r="C1542" s="14"/>
      <c r="D1542" s="14"/>
      <c r="E1542" s="14"/>
      <c r="F1542" s="22"/>
      <c r="G1542" s="22"/>
      <c r="BK1542" s="16"/>
    </row>
    <row r="1543" customFormat="false" ht="15" hidden="false" customHeight="false" outlineLevel="0" collapsed="false">
      <c r="B1543" s="14"/>
      <c r="C1543" s="14"/>
      <c r="D1543" s="14"/>
      <c r="E1543" s="14"/>
      <c r="F1543" s="22"/>
      <c r="G1543" s="22"/>
      <c r="BK1543" s="16"/>
    </row>
    <row r="1544" customFormat="false" ht="15" hidden="false" customHeight="false" outlineLevel="0" collapsed="false">
      <c r="B1544" s="14"/>
      <c r="C1544" s="14"/>
      <c r="D1544" s="14"/>
      <c r="E1544" s="14"/>
      <c r="F1544" s="22"/>
      <c r="G1544" s="22"/>
      <c r="BK1544" s="16"/>
    </row>
    <row r="1545" customFormat="false" ht="15" hidden="false" customHeight="false" outlineLevel="0" collapsed="false">
      <c r="B1545" s="14"/>
      <c r="C1545" s="14"/>
      <c r="D1545" s="14"/>
      <c r="E1545" s="14"/>
      <c r="F1545" s="22"/>
      <c r="G1545" s="22"/>
      <c r="BK1545" s="16"/>
    </row>
    <row r="1546" s="23" customFormat="true" ht="15" hidden="false" customHeight="false" outlineLevel="0" collapsed="false">
      <c r="A1546" s="1"/>
      <c r="B1546" s="14"/>
      <c r="C1546" s="14"/>
      <c r="D1546" s="14"/>
      <c r="E1546" s="14"/>
      <c r="F1546" s="22"/>
      <c r="G1546" s="22"/>
      <c r="T1546" s="5"/>
      <c r="AP1546" s="3"/>
      <c r="AQ1546" s="3"/>
      <c r="AR1546" s="3"/>
      <c r="AS1546" s="3"/>
      <c r="AT1546" s="3"/>
      <c r="AU1546" s="3"/>
      <c r="AV1546" s="3"/>
      <c r="AW1546" s="3"/>
      <c r="AX1546" s="3"/>
      <c r="AY1546" s="3"/>
      <c r="AZ1546" s="3"/>
      <c r="BA1546" s="5"/>
      <c r="BK1546" s="16"/>
    </row>
    <row r="1547" customFormat="false" ht="15" hidden="false" customHeight="false" outlineLevel="0" collapsed="false">
      <c r="B1547" s="14"/>
      <c r="C1547" s="14"/>
      <c r="D1547" s="14"/>
      <c r="E1547" s="14"/>
      <c r="F1547" s="22"/>
      <c r="G1547" s="22"/>
      <c r="BK1547" s="16"/>
    </row>
    <row r="1548" customFormat="false" ht="15" hidden="false" customHeight="false" outlineLevel="0" collapsed="false">
      <c r="B1548" s="14"/>
      <c r="C1548" s="14"/>
      <c r="D1548" s="14"/>
      <c r="E1548" s="14"/>
      <c r="F1548" s="22"/>
      <c r="G1548" s="22"/>
      <c r="BK1548" s="16"/>
    </row>
    <row r="1549" customFormat="false" ht="15" hidden="false" customHeight="false" outlineLevel="0" collapsed="false">
      <c r="B1549" s="14"/>
      <c r="C1549" s="14"/>
      <c r="D1549" s="14"/>
      <c r="E1549" s="14"/>
      <c r="F1549" s="22"/>
      <c r="G1549" s="22"/>
      <c r="BK1549" s="16"/>
    </row>
    <row r="1550" s="23" customFormat="true" ht="15" hidden="false" customHeight="false" outlineLevel="0" collapsed="false">
      <c r="A1550" s="1"/>
      <c r="B1550" s="14"/>
      <c r="C1550" s="14"/>
      <c r="D1550" s="14"/>
      <c r="E1550" s="14"/>
      <c r="F1550" s="22"/>
      <c r="G1550" s="22"/>
      <c r="T1550" s="5"/>
      <c r="AP1550" s="3"/>
      <c r="AQ1550" s="3"/>
      <c r="AR1550" s="3"/>
      <c r="AS1550" s="3"/>
      <c r="AT1550" s="3"/>
      <c r="AU1550" s="3"/>
      <c r="AV1550" s="3"/>
      <c r="AW1550" s="3"/>
      <c r="AX1550" s="3"/>
      <c r="AY1550" s="3"/>
      <c r="AZ1550" s="3"/>
      <c r="BA1550" s="5"/>
      <c r="BK1550" s="16"/>
    </row>
    <row r="1551" s="23" customFormat="true" ht="15" hidden="false" customHeight="false" outlineLevel="0" collapsed="false">
      <c r="A1551" s="1"/>
      <c r="B1551" s="14"/>
      <c r="C1551" s="14"/>
      <c r="D1551" s="14"/>
      <c r="E1551" s="14"/>
      <c r="F1551" s="22"/>
      <c r="G1551" s="22"/>
      <c r="T1551" s="5"/>
      <c r="BA1551" s="5"/>
      <c r="BK1551" s="16"/>
    </row>
    <row r="1552" customFormat="false" ht="15" hidden="false" customHeight="false" outlineLevel="0" collapsed="false">
      <c r="B1552" s="14"/>
      <c r="C1552" s="14"/>
      <c r="D1552" s="14"/>
      <c r="E1552" s="14"/>
      <c r="F1552" s="22"/>
      <c r="G1552" s="22"/>
      <c r="BK1552" s="16"/>
    </row>
    <row r="1553" customFormat="false" ht="15" hidden="false" customHeight="false" outlineLevel="0" collapsed="false">
      <c r="B1553" s="14"/>
      <c r="C1553" s="14"/>
      <c r="D1553" s="14"/>
      <c r="E1553" s="14"/>
      <c r="F1553" s="22"/>
      <c r="G1553" s="22"/>
      <c r="BK1553" s="16"/>
    </row>
    <row r="1554" customFormat="false" ht="15" hidden="false" customHeight="false" outlineLevel="0" collapsed="false">
      <c r="B1554" s="14"/>
      <c r="C1554" s="14"/>
      <c r="D1554" s="14"/>
      <c r="E1554" s="14"/>
      <c r="F1554" s="22"/>
      <c r="G1554" s="22"/>
      <c r="BK1554" s="16"/>
    </row>
    <row r="1555" customFormat="false" ht="15" hidden="false" customHeight="false" outlineLevel="0" collapsed="false">
      <c r="B1555" s="14"/>
      <c r="C1555" s="14"/>
      <c r="D1555" s="14"/>
      <c r="E1555" s="14"/>
      <c r="F1555" s="22"/>
      <c r="G1555" s="22"/>
      <c r="BK1555" s="16"/>
    </row>
    <row r="1556" customFormat="false" ht="15" hidden="false" customHeight="false" outlineLevel="0" collapsed="false">
      <c r="B1556" s="14"/>
      <c r="C1556" s="14"/>
      <c r="D1556" s="14"/>
      <c r="E1556" s="14"/>
      <c r="F1556" s="22"/>
      <c r="G1556" s="22"/>
      <c r="BK1556" s="16"/>
    </row>
    <row r="1557" customFormat="false" ht="15" hidden="false" customHeight="false" outlineLevel="0" collapsed="false">
      <c r="B1557" s="14"/>
      <c r="C1557" s="14"/>
      <c r="D1557" s="14"/>
      <c r="E1557" s="14"/>
      <c r="F1557" s="22"/>
      <c r="G1557" s="22"/>
      <c r="BK1557" s="16"/>
    </row>
    <row r="1558" customFormat="false" ht="15" hidden="false" customHeight="false" outlineLevel="0" collapsed="false">
      <c r="B1558" s="14"/>
      <c r="C1558" s="14"/>
      <c r="D1558" s="14"/>
      <c r="E1558" s="14"/>
      <c r="F1558" s="22"/>
      <c r="G1558" s="22"/>
      <c r="BK1558" s="16"/>
    </row>
    <row r="1559" s="23" customFormat="true" ht="15" hidden="false" customHeight="false" outlineLevel="0" collapsed="false">
      <c r="A1559" s="1"/>
      <c r="B1559" s="14"/>
      <c r="C1559" s="14"/>
      <c r="D1559" s="14"/>
      <c r="E1559" s="14"/>
      <c r="F1559" s="22"/>
      <c r="G1559" s="22"/>
      <c r="T1559" s="5"/>
      <c r="AP1559" s="3"/>
      <c r="AQ1559" s="3"/>
      <c r="AR1559" s="3"/>
      <c r="AS1559" s="3"/>
      <c r="AT1559" s="3"/>
      <c r="AU1559" s="3"/>
      <c r="AV1559" s="3"/>
      <c r="AW1559" s="3"/>
      <c r="AX1559" s="3"/>
      <c r="AY1559" s="3"/>
      <c r="AZ1559" s="3"/>
      <c r="BA1559" s="5"/>
      <c r="BK1559" s="16"/>
    </row>
    <row r="1560" customFormat="false" ht="15" hidden="false" customHeight="false" outlineLevel="0" collapsed="false">
      <c r="B1560" s="14"/>
      <c r="C1560" s="14"/>
      <c r="D1560" s="14"/>
      <c r="E1560" s="14"/>
      <c r="F1560" s="22"/>
      <c r="G1560" s="22"/>
      <c r="BK1560" s="16"/>
    </row>
    <row r="1561" customFormat="false" ht="15" hidden="false" customHeight="false" outlineLevel="0" collapsed="false">
      <c r="B1561" s="14"/>
      <c r="C1561" s="14"/>
      <c r="D1561" s="14"/>
      <c r="E1561" s="14"/>
      <c r="F1561" s="22"/>
      <c r="G1561" s="22"/>
      <c r="BK1561" s="16"/>
    </row>
    <row r="1562" customFormat="false" ht="15" hidden="false" customHeight="false" outlineLevel="0" collapsed="false">
      <c r="B1562" s="14"/>
      <c r="C1562" s="14"/>
      <c r="D1562" s="14"/>
      <c r="E1562" s="14"/>
      <c r="F1562" s="22"/>
      <c r="G1562" s="22"/>
      <c r="BK1562" s="16"/>
    </row>
    <row r="1563" customFormat="false" ht="15" hidden="false" customHeight="false" outlineLevel="0" collapsed="false">
      <c r="B1563" s="14"/>
      <c r="C1563" s="14"/>
      <c r="D1563" s="14"/>
      <c r="E1563" s="14"/>
      <c r="F1563" s="22"/>
      <c r="G1563" s="22"/>
      <c r="BK1563" s="16"/>
    </row>
    <row r="1564" customFormat="false" ht="15" hidden="false" customHeight="false" outlineLevel="0" collapsed="false">
      <c r="B1564" s="14"/>
      <c r="C1564" s="14"/>
      <c r="D1564" s="14"/>
      <c r="E1564" s="14"/>
      <c r="F1564" s="22"/>
      <c r="G1564" s="22"/>
      <c r="BK1564" s="16"/>
    </row>
    <row r="1565" customFormat="false" ht="15" hidden="false" customHeight="false" outlineLevel="0" collapsed="false">
      <c r="B1565" s="14"/>
      <c r="C1565" s="14"/>
      <c r="D1565" s="14"/>
      <c r="E1565" s="14"/>
      <c r="F1565" s="22"/>
      <c r="G1565" s="22"/>
      <c r="BK1565" s="16"/>
    </row>
    <row r="1566" customFormat="false" ht="15" hidden="false" customHeight="false" outlineLevel="0" collapsed="false">
      <c r="B1566" s="14"/>
      <c r="C1566" s="14"/>
      <c r="D1566" s="14"/>
      <c r="E1566" s="14"/>
      <c r="F1566" s="22"/>
      <c r="G1566" s="22"/>
      <c r="BK1566" s="16"/>
    </row>
    <row r="1567" customFormat="false" ht="15" hidden="false" customHeight="false" outlineLevel="0" collapsed="false">
      <c r="B1567" s="14"/>
      <c r="C1567" s="14"/>
      <c r="D1567" s="14"/>
      <c r="E1567" s="14"/>
      <c r="F1567" s="22"/>
      <c r="G1567" s="22"/>
      <c r="BK1567" s="16"/>
    </row>
    <row r="1568" customFormat="false" ht="15" hidden="false" customHeight="false" outlineLevel="0" collapsed="false">
      <c r="B1568" s="14"/>
      <c r="C1568" s="14"/>
      <c r="D1568" s="14"/>
      <c r="E1568" s="14"/>
      <c r="F1568" s="22"/>
      <c r="G1568" s="22"/>
      <c r="BK1568" s="16"/>
    </row>
    <row r="1569" s="11" customFormat="true" ht="15" hidden="false" customHeight="false" outlineLevel="0" collapsed="false">
      <c r="A1569" s="7"/>
      <c r="B1569" s="53"/>
      <c r="C1569" s="53"/>
      <c r="D1569" s="53"/>
      <c r="E1569" s="53"/>
      <c r="F1569" s="53"/>
      <c r="G1569" s="53"/>
      <c r="T1569" s="54"/>
      <c r="BA1569" s="54"/>
      <c r="BK1569" s="13"/>
    </row>
    <row r="1570" customFormat="false" ht="15" hidden="false" customHeight="false" outlineLevel="0" collapsed="false">
      <c r="B1570" s="14"/>
      <c r="C1570" s="14"/>
      <c r="D1570" s="14"/>
      <c r="E1570" s="14"/>
      <c r="F1570" s="22"/>
      <c r="G1570" s="22"/>
      <c r="BK1570" s="16"/>
    </row>
    <row r="1571" customFormat="false" ht="15" hidden="false" customHeight="false" outlineLevel="0" collapsed="false">
      <c r="B1571" s="14"/>
      <c r="C1571" s="14"/>
      <c r="D1571" s="14"/>
      <c r="E1571" s="14"/>
      <c r="F1571" s="22"/>
      <c r="G1571" s="22"/>
      <c r="BK1571" s="16"/>
    </row>
    <row r="1572" customFormat="false" ht="15" hidden="false" customHeight="false" outlineLevel="0" collapsed="false">
      <c r="B1572" s="14"/>
      <c r="C1572" s="14"/>
      <c r="D1572" s="14"/>
      <c r="E1572" s="14"/>
      <c r="F1572" s="22"/>
      <c r="G1572" s="22"/>
      <c r="BK1572" s="16"/>
    </row>
    <row r="1573" customFormat="false" ht="15" hidden="false" customHeight="false" outlineLevel="0" collapsed="false">
      <c r="B1573" s="14"/>
      <c r="C1573" s="14"/>
      <c r="D1573" s="14"/>
      <c r="E1573" s="14"/>
      <c r="F1573" s="22"/>
      <c r="G1573" s="22"/>
      <c r="BK1573" s="16"/>
    </row>
    <row r="1574" customFormat="false" ht="15" hidden="false" customHeight="false" outlineLevel="0" collapsed="false">
      <c r="B1574" s="14"/>
      <c r="C1574" s="14"/>
      <c r="D1574" s="14"/>
      <c r="E1574" s="14"/>
      <c r="F1574" s="22"/>
      <c r="G1574" s="22"/>
      <c r="BK1574" s="16"/>
    </row>
    <row r="1575" customFormat="false" ht="15" hidden="false" customHeight="false" outlineLevel="0" collapsed="false">
      <c r="B1575" s="14"/>
      <c r="C1575" s="14"/>
      <c r="D1575" s="14"/>
      <c r="E1575" s="14"/>
      <c r="F1575" s="22"/>
      <c r="G1575" s="22"/>
      <c r="BK1575" s="16"/>
    </row>
    <row r="1576" customFormat="false" ht="15" hidden="false" customHeight="false" outlineLevel="0" collapsed="false">
      <c r="B1576" s="14"/>
      <c r="C1576" s="14"/>
      <c r="D1576" s="14"/>
      <c r="E1576" s="14"/>
      <c r="F1576" s="22"/>
      <c r="G1576" s="22"/>
      <c r="BK1576" s="16"/>
    </row>
    <row r="1577" customFormat="false" ht="15" hidden="false" customHeight="false" outlineLevel="0" collapsed="false">
      <c r="B1577" s="14"/>
      <c r="C1577" s="14"/>
      <c r="D1577" s="14"/>
      <c r="E1577" s="14"/>
      <c r="F1577" s="22"/>
      <c r="G1577" s="22"/>
      <c r="BK1577" s="16"/>
    </row>
    <row r="1578" customFormat="false" ht="15" hidden="false" customHeight="false" outlineLevel="0" collapsed="false">
      <c r="B1578" s="14"/>
      <c r="C1578" s="14"/>
      <c r="D1578" s="14"/>
      <c r="E1578" s="14"/>
      <c r="F1578" s="22"/>
      <c r="G1578" s="22"/>
      <c r="BK1578" s="16"/>
    </row>
    <row r="1579" customFormat="false" ht="15" hidden="false" customHeight="false" outlineLevel="0" collapsed="false">
      <c r="B1579" s="14"/>
      <c r="C1579" s="14"/>
      <c r="D1579" s="14"/>
      <c r="E1579" s="14"/>
      <c r="F1579" s="22"/>
      <c r="G1579" s="22"/>
      <c r="BK1579" s="16"/>
    </row>
    <row r="1580" customFormat="false" ht="15" hidden="false" customHeight="false" outlineLevel="0" collapsed="false">
      <c r="B1580" s="14"/>
      <c r="C1580" s="14"/>
      <c r="D1580" s="14"/>
      <c r="E1580" s="14"/>
      <c r="F1580" s="22"/>
      <c r="G1580" s="22"/>
      <c r="BK1580" s="16"/>
    </row>
    <row r="1581" customFormat="false" ht="15" hidden="false" customHeight="false" outlineLevel="0" collapsed="false">
      <c r="B1581" s="14"/>
      <c r="C1581" s="14"/>
      <c r="D1581" s="14"/>
      <c r="E1581" s="14"/>
      <c r="F1581" s="22"/>
      <c r="G1581" s="22"/>
      <c r="BK1581" s="16"/>
    </row>
    <row r="1582" customFormat="false" ht="15" hidden="false" customHeight="false" outlineLevel="0" collapsed="false">
      <c r="B1582" s="14"/>
      <c r="C1582" s="14"/>
      <c r="D1582" s="14"/>
      <c r="E1582" s="14"/>
      <c r="F1582" s="15"/>
      <c r="G1582" s="22"/>
      <c r="BK1582" s="16"/>
    </row>
    <row r="1583" customFormat="false" ht="15" hidden="false" customHeight="false" outlineLevel="0" collapsed="false">
      <c r="B1583" s="14"/>
      <c r="C1583" s="14"/>
      <c r="D1583" s="14"/>
      <c r="E1583" s="14"/>
      <c r="F1583" s="22"/>
      <c r="G1583" s="22"/>
      <c r="BK1583" s="16"/>
    </row>
    <row r="1584" s="23" customFormat="true" ht="15" hidden="false" customHeight="false" outlineLevel="0" collapsed="false">
      <c r="A1584" s="1"/>
      <c r="B1584" s="14"/>
      <c r="C1584" s="14"/>
      <c r="D1584" s="14"/>
      <c r="E1584" s="14"/>
      <c r="F1584" s="22"/>
      <c r="G1584" s="22"/>
      <c r="T1584" s="5"/>
      <c r="AP1584" s="3"/>
      <c r="AQ1584" s="3"/>
      <c r="AR1584" s="3"/>
      <c r="AS1584" s="3"/>
      <c r="AT1584" s="3"/>
      <c r="AU1584" s="3"/>
      <c r="AV1584" s="3"/>
      <c r="AW1584" s="3"/>
      <c r="AX1584" s="3"/>
      <c r="AY1584" s="3"/>
      <c r="AZ1584" s="3"/>
      <c r="BA1584" s="5"/>
      <c r="BK1584" s="16"/>
    </row>
    <row r="1585" customFormat="false" ht="15" hidden="false" customHeight="false" outlineLevel="0" collapsed="false">
      <c r="B1585" s="14"/>
      <c r="C1585" s="14"/>
      <c r="D1585" s="14"/>
      <c r="E1585" s="14"/>
      <c r="F1585" s="22"/>
      <c r="G1585" s="22"/>
      <c r="BK1585" s="16"/>
    </row>
    <row r="1586" customFormat="false" ht="15" hidden="false" customHeight="false" outlineLevel="0" collapsed="false">
      <c r="B1586" s="14"/>
      <c r="C1586" s="14"/>
      <c r="D1586" s="14"/>
      <c r="E1586" s="14"/>
      <c r="F1586" s="22"/>
      <c r="G1586" s="22"/>
      <c r="BK1586" s="16"/>
    </row>
    <row r="1587" customFormat="false" ht="15" hidden="false" customHeight="false" outlineLevel="0" collapsed="false">
      <c r="B1587" s="14"/>
      <c r="C1587" s="14"/>
      <c r="D1587" s="14"/>
      <c r="E1587" s="14"/>
      <c r="F1587" s="15"/>
      <c r="G1587" s="22"/>
      <c r="BK1587" s="16"/>
    </row>
    <row r="1588" customFormat="false" ht="15" hidden="false" customHeight="false" outlineLevel="0" collapsed="false">
      <c r="B1588" s="14"/>
      <c r="C1588" s="14"/>
      <c r="D1588" s="14"/>
      <c r="E1588" s="14"/>
      <c r="F1588" s="15"/>
      <c r="G1588" s="22"/>
      <c r="BK1588" s="16"/>
    </row>
    <row r="1589" customFormat="false" ht="15" hidden="false" customHeight="false" outlineLevel="0" collapsed="false">
      <c r="B1589" s="14"/>
      <c r="C1589" s="14"/>
      <c r="D1589" s="14"/>
      <c r="E1589" s="14"/>
      <c r="F1589" s="15"/>
      <c r="G1589" s="22"/>
      <c r="BK1589" s="16"/>
    </row>
    <row r="1590" customFormat="false" ht="15" hidden="false" customHeight="false" outlineLevel="0" collapsed="false">
      <c r="B1590" s="14"/>
      <c r="C1590" s="14"/>
      <c r="D1590" s="14"/>
      <c r="E1590" s="14"/>
      <c r="F1590" s="22"/>
      <c r="G1590" s="22"/>
      <c r="BK1590" s="16"/>
    </row>
    <row r="1591" customFormat="false" ht="15" hidden="false" customHeight="false" outlineLevel="0" collapsed="false">
      <c r="B1591" s="14"/>
      <c r="C1591" s="14"/>
      <c r="D1591" s="14"/>
      <c r="E1591" s="14"/>
      <c r="F1591" s="22"/>
      <c r="G1591" s="22"/>
      <c r="BK1591" s="16"/>
    </row>
    <row r="1592" customFormat="false" ht="15" hidden="false" customHeight="false" outlineLevel="0" collapsed="false">
      <c r="B1592" s="14"/>
      <c r="C1592" s="14"/>
      <c r="D1592" s="14"/>
      <c r="E1592" s="14"/>
      <c r="F1592" s="22"/>
      <c r="G1592" s="22"/>
      <c r="BK1592" s="16"/>
    </row>
    <row r="1593" customFormat="false" ht="15" hidden="false" customHeight="false" outlineLevel="0" collapsed="false">
      <c r="B1593" s="14"/>
      <c r="C1593" s="14"/>
      <c r="D1593" s="14"/>
      <c r="E1593" s="14"/>
      <c r="F1593" s="22"/>
      <c r="G1593" s="22"/>
      <c r="BK1593" s="16"/>
    </row>
    <row r="1594" customFormat="false" ht="15" hidden="false" customHeight="false" outlineLevel="0" collapsed="false">
      <c r="B1594" s="14"/>
      <c r="C1594" s="14"/>
      <c r="D1594" s="14"/>
      <c r="E1594" s="14"/>
      <c r="F1594" s="22"/>
      <c r="G1594" s="22"/>
      <c r="BK1594" s="16"/>
    </row>
    <row r="1595" customFormat="false" ht="15" hidden="false" customHeight="false" outlineLevel="0" collapsed="false">
      <c r="B1595" s="14"/>
      <c r="C1595" s="14"/>
      <c r="D1595" s="14"/>
      <c r="E1595" s="14"/>
      <c r="F1595" s="22"/>
      <c r="G1595" s="22"/>
      <c r="BK1595" s="16"/>
    </row>
    <row r="1596" customFormat="false" ht="15" hidden="false" customHeight="false" outlineLevel="0" collapsed="false">
      <c r="B1596" s="14"/>
      <c r="C1596" s="14"/>
      <c r="D1596" s="14"/>
      <c r="E1596" s="14"/>
      <c r="F1596" s="22"/>
      <c r="G1596" s="22"/>
      <c r="BK1596" s="16"/>
    </row>
    <row r="1597" customFormat="false" ht="15" hidden="false" customHeight="false" outlineLevel="0" collapsed="false">
      <c r="B1597" s="14"/>
      <c r="C1597" s="14"/>
      <c r="D1597" s="14"/>
      <c r="E1597" s="14"/>
      <c r="F1597" s="22"/>
      <c r="G1597" s="22"/>
      <c r="BK1597" s="16"/>
    </row>
    <row r="1598" s="23" customFormat="true" ht="15" hidden="false" customHeight="false" outlineLevel="0" collapsed="false">
      <c r="A1598" s="1"/>
      <c r="B1598" s="14"/>
      <c r="C1598" s="14"/>
      <c r="D1598" s="14"/>
      <c r="E1598" s="14"/>
      <c r="F1598" s="22"/>
      <c r="G1598" s="22"/>
      <c r="T1598" s="5"/>
      <c r="AP1598" s="3"/>
      <c r="AQ1598" s="3"/>
      <c r="AR1598" s="3"/>
      <c r="AS1598" s="3"/>
      <c r="AT1598" s="3"/>
      <c r="AU1598" s="3"/>
      <c r="AV1598" s="3"/>
      <c r="AW1598" s="3"/>
      <c r="AX1598" s="3"/>
      <c r="AY1598" s="3"/>
      <c r="AZ1598" s="3"/>
      <c r="BA1598" s="5"/>
      <c r="BK1598" s="16"/>
    </row>
    <row r="1599" customFormat="false" ht="15" hidden="false" customHeight="false" outlineLevel="0" collapsed="false">
      <c r="B1599" s="14"/>
      <c r="C1599" s="14"/>
      <c r="D1599" s="14"/>
      <c r="E1599" s="14"/>
      <c r="F1599" s="22"/>
      <c r="G1599" s="22"/>
      <c r="BK1599" s="16"/>
    </row>
    <row r="1600" customFormat="false" ht="15" hidden="false" customHeight="false" outlineLevel="0" collapsed="false">
      <c r="B1600" s="14"/>
      <c r="C1600" s="14"/>
      <c r="D1600" s="14"/>
      <c r="E1600" s="14"/>
      <c r="F1600" s="22"/>
      <c r="G1600" s="22"/>
      <c r="BK1600" s="16"/>
    </row>
    <row r="1601" customFormat="false" ht="15" hidden="false" customHeight="false" outlineLevel="0" collapsed="false">
      <c r="B1601" s="14"/>
      <c r="C1601" s="14"/>
      <c r="D1601" s="14"/>
      <c r="E1601" s="14"/>
      <c r="F1601" s="22"/>
      <c r="G1601" s="22"/>
      <c r="BK1601" s="16"/>
    </row>
    <row r="1602" customFormat="false" ht="15" hidden="false" customHeight="false" outlineLevel="0" collapsed="false">
      <c r="B1602" s="14"/>
      <c r="C1602" s="14"/>
      <c r="D1602" s="14"/>
      <c r="E1602" s="14"/>
      <c r="F1602" s="22"/>
      <c r="G1602" s="22"/>
      <c r="BK1602" s="16"/>
    </row>
    <row r="1603" customFormat="false" ht="15" hidden="false" customHeight="false" outlineLevel="0" collapsed="false">
      <c r="B1603" s="14"/>
      <c r="C1603" s="14"/>
      <c r="D1603" s="14"/>
      <c r="E1603" s="14"/>
      <c r="F1603" s="22"/>
      <c r="G1603" s="22"/>
      <c r="BK1603" s="16"/>
    </row>
    <row r="1604" customFormat="false" ht="15" hidden="false" customHeight="false" outlineLevel="0" collapsed="false">
      <c r="B1604" s="14"/>
      <c r="C1604" s="14"/>
      <c r="D1604" s="14"/>
      <c r="E1604" s="14"/>
      <c r="F1604" s="22"/>
      <c r="G1604" s="22"/>
      <c r="BK1604" s="16"/>
    </row>
    <row r="1605" customFormat="false" ht="15" hidden="false" customHeight="false" outlineLevel="0" collapsed="false">
      <c r="B1605" s="14"/>
      <c r="C1605" s="14"/>
      <c r="D1605" s="14"/>
      <c r="E1605" s="14"/>
      <c r="F1605" s="22"/>
      <c r="G1605" s="22"/>
      <c r="BK1605" s="16"/>
    </row>
    <row r="1606" customFormat="false" ht="15" hidden="false" customHeight="false" outlineLevel="0" collapsed="false">
      <c r="B1606" s="14"/>
      <c r="C1606" s="14"/>
      <c r="D1606" s="14"/>
      <c r="E1606" s="14"/>
      <c r="F1606" s="22"/>
      <c r="G1606" s="22"/>
      <c r="BK1606" s="16"/>
    </row>
    <row r="1607" customFormat="false" ht="15" hidden="false" customHeight="false" outlineLevel="0" collapsed="false">
      <c r="B1607" s="14"/>
      <c r="C1607" s="14"/>
      <c r="D1607" s="14"/>
      <c r="E1607" s="14"/>
      <c r="F1607" s="22"/>
      <c r="G1607" s="22"/>
      <c r="BK1607" s="16"/>
    </row>
    <row r="1608" customFormat="false" ht="15" hidden="false" customHeight="false" outlineLevel="0" collapsed="false">
      <c r="B1608" s="14"/>
      <c r="C1608" s="14"/>
      <c r="D1608" s="14"/>
      <c r="E1608" s="14"/>
      <c r="F1608" s="22"/>
      <c r="G1608" s="22"/>
      <c r="BK1608" s="16"/>
    </row>
    <row r="1609" customFormat="false" ht="15" hidden="false" customHeight="false" outlineLevel="0" collapsed="false">
      <c r="B1609" s="14"/>
      <c r="C1609" s="14"/>
      <c r="D1609" s="14"/>
      <c r="E1609" s="14"/>
      <c r="F1609" s="22"/>
      <c r="G1609" s="22"/>
      <c r="BK1609" s="16"/>
    </row>
    <row r="1610" customFormat="false" ht="15" hidden="false" customHeight="false" outlineLevel="0" collapsed="false">
      <c r="B1610" s="14"/>
      <c r="C1610" s="14"/>
      <c r="D1610" s="14"/>
      <c r="E1610" s="14"/>
      <c r="F1610" s="22"/>
      <c r="G1610" s="22"/>
      <c r="BK1610" s="16"/>
    </row>
    <row r="1611" customFormat="false" ht="15" hidden="false" customHeight="false" outlineLevel="0" collapsed="false">
      <c r="B1611" s="14"/>
      <c r="C1611" s="14"/>
      <c r="D1611" s="14"/>
      <c r="E1611" s="14"/>
      <c r="F1611" s="22"/>
      <c r="G1611" s="22"/>
      <c r="BK1611" s="16"/>
    </row>
    <row r="1612" customFormat="false" ht="15" hidden="false" customHeight="false" outlineLevel="0" collapsed="false">
      <c r="B1612" s="14"/>
      <c r="C1612" s="14"/>
      <c r="D1612" s="14"/>
      <c r="E1612" s="14"/>
      <c r="F1612" s="22"/>
      <c r="G1612" s="22"/>
      <c r="BK1612" s="16"/>
    </row>
    <row r="1613" customFormat="false" ht="15" hidden="false" customHeight="false" outlineLevel="0" collapsed="false">
      <c r="B1613" s="14"/>
      <c r="C1613" s="14"/>
      <c r="D1613" s="14"/>
      <c r="E1613" s="14"/>
      <c r="F1613" s="22"/>
      <c r="G1613" s="22"/>
      <c r="BK1613" s="16"/>
    </row>
    <row r="1614" customFormat="false" ht="15" hidden="false" customHeight="false" outlineLevel="0" collapsed="false">
      <c r="B1614" s="14"/>
      <c r="C1614" s="14"/>
      <c r="D1614" s="14"/>
      <c r="E1614" s="14"/>
      <c r="F1614" s="22"/>
      <c r="G1614" s="22"/>
      <c r="BK1614" s="16"/>
    </row>
    <row r="1615" customFormat="false" ht="15" hidden="false" customHeight="false" outlineLevel="0" collapsed="false">
      <c r="B1615" s="14"/>
      <c r="C1615" s="14"/>
      <c r="D1615" s="14"/>
      <c r="E1615" s="14"/>
      <c r="F1615" s="22"/>
      <c r="G1615" s="22"/>
      <c r="BK1615" s="16"/>
    </row>
    <row r="1616" customFormat="false" ht="15" hidden="false" customHeight="false" outlineLevel="0" collapsed="false">
      <c r="B1616" s="14"/>
      <c r="C1616" s="14"/>
      <c r="D1616" s="14"/>
      <c r="E1616" s="14"/>
      <c r="F1616" s="22"/>
      <c r="G1616" s="22"/>
      <c r="BK1616" s="16"/>
    </row>
    <row r="1617" s="23" customFormat="true" ht="15" hidden="false" customHeight="false" outlineLevel="0" collapsed="false">
      <c r="A1617" s="1"/>
      <c r="B1617" s="14"/>
      <c r="C1617" s="14"/>
      <c r="D1617" s="14"/>
      <c r="E1617" s="14"/>
      <c r="F1617" s="22"/>
      <c r="G1617" s="22"/>
      <c r="T1617" s="5"/>
      <c r="BA1617" s="5"/>
      <c r="BK1617" s="16"/>
    </row>
    <row r="1618" customFormat="false" ht="15" hidden="false" customHeight="false" outlineLevel="0" collapsed="false">
      <c r="B1618" s="14"/>
      <c r="C1618" s="14"/>
      <c r="D1618" s="14"/>
      <c r="E1618" s="14"/>
      <c r="F1618" s="22"/>
      <c r="G1618" s="22"/>
      <c r="BK1618" s="16"/>
    </row>
    <row r="1619" customFormat="false" ht="15" hidden="false" customHeight="false" outlineLevel="0" collapsed="false">
      <c r="B1619" s="14"/>
      <c r="C1619" s="14"/>
      <c r="D1619" s="14"/>
      <c r="E1619" s="14"/>
      <c r="F1619" s="22"/>
      <c r="G1619" s="22"/>
      <c r="BK1619" s="16"/>
    </row>
    <row r="1620" s="23" customFormat="true" ht="15" hidden="false" customHeight="false" outlineLevel="0" collapsed="false">
      <c r="A1620" s="1"/>
      <c r="B1620" s="14"/>
      <c r="C1620" s="14"/>
      <c r="D1620" s="14"/>
      <c r="E1620" s="14"/>
      <c r="F1620" s="22"/>
      <c r="G1620" s="22"/>
      <c r="T1620" s="5"/>
      <c r="AP1620" s="3"/>
      <c r="AQ1620" s="3"/>
      <c r="AR1620" s="3"/>
      <c r="AS1620" s="3"/>
      <c r="AT1620" s="3"/>
      <c r="AU1620" s="3"/>
      <c r="AV1620" s="3"/>
      <c r="AW1620" s="3"/>
      <c r="AX1620" s="3"/>
      <c r="AY1620" s="3"/>
      <c r="AZ1620" s="3"/>
      <c r="BA1620" s="5"/>
      <c r="BB1620" s="3"/>
      <c r="BC1620" s="3"/>
      <c r="BD1620" s="3"/>
      <c r="BE1620" s="3"/>
      <c r="BF1620" s="3"/>
      <c r="BG1620" s="3"/>
      <c r="BH1620" s="3"/>
      <c r="BI1620" s="3"/>
      <c r="BJ1620" s="3"/>
      <c r="BK1620" s="16"/>
    </row>
    <row r="1621" customFormat="false" ht="15" hidden="false" customHeight="false" outlineLevel="0" collapsed="false">
      <c r="B1621" s="14"/>
      <c r="C1621" s="14"/>
      <c r="D1621" s="14"/>
      <c r="E1621" s="14"/>
      <c r="F1621" s="22"/>
      <c r="G1621" s="22"/>
      <c r="BK1621" s="16"/>
    </row>
    <row r="1622" customFormat="false" ht="15" hidden="false" customHeight="false" outlineLevel="0" collapsed="false">
      <c r="B1622" s="14"/>
      <c r="C1622" s="14"/>
      <c r="D1622" s="14"/>
      <c r="E1622" s="14"/>
      <c r="F1622" s="22"/>
      <c r="G1622" s="22"/>
      <c r="BK1622" s="16"/>
    </row>
    <row r="1623" customFormat="false" ht="15" hidden="false" customHeight="false" outlineLevel="0" collapsed="false">
      <c r="B1623" s="14"/>
      <c r="C1623" s="14"/>
      <c r="D1623" s="14"/>
      <c r="E1623" s="14"/>
      <c r="F1623" s="22"/>
      <c r="G1623" s="22"/>
      <c r="BK1623" s="16"/>
    </row>
    <row r="1624" customFormat="false" ht="15" hidden="false" customHeight="false" outlineLevel="0" collapsed="false">
      <c r="B1624" s="14"/>
      <c r="C1624" s="14"/>
      <c r="D1624" s="14"/>
      <c r="E1624" s="14"/>
      <c r="F1624" s="15"/>
      <c r="G1624" s="22"/>
      <c r="BK1624" s="16"/>
    </row>
    <row r="1625" customFormat="false" ht="15" hidden="false" customHeight="false" outlineLevel="0" collapsed="false">
      <c r="B1625" s="14"/>
      <c r="C1625" s="14"/>
      <c r="D1625" s="14"/>
      <c r="E1625" s="14"/>
      <c r="F1625" s="22"/>
      <c r="G1625" s="22"/>
      <c r="BK1625" s="16"/>
    </row>
    <row r="1626" customFormat="false" ht="15" hidden="false" customHeight="false" outlineLevel="0" collapsed="false">
      <c r="B1626" s="14"/>
      <c r="C1626" s="14"/>
      <c r="D1626" s="14"/>
      <c r="E1626" s="14"/>
      <c r="F1626" s="22"/>
      <c r="G1626" s="22"/>
      <c r="BK1626" s="16"/>
    </row>
    <row r="1627" s="23" customFormat="true" ht="15" hidden="false" customHeight="false" outlineLevel="0" collapsed="false">
      <c r="A1627" s="1"/>
      <c r="B1627" s="14"/>
      <c r="C1627" s="14"/>
      <c r="D1627" s="14"/>
      <c r="E1627" s="14"/>
      <c r="F1627" s="22"/>
      <c r="G1627" s="22"/>
      <c r="T1627" s="5"/>
      <c r="BA1627" s="5"/>
      <c r="BK1627" s="16"/>
    </row>
    <row r="1628" customFormat="false" ht="15" hidden="false" customHeight="false" outlineLevel="0" collapsed="false">
      <c r="B1628" s="14"/>
      <c r="C1628" s="14"/>
      <c r="D1628" s="14"/>
      <c r="E1628" s="14"/>
      <c r="F1628" s="22"/>
      <c r="G1628" s="22"/>
      <c r="BK1628" s="16"/>
    </row>
    <row r="1629" s="11" customFormat="true" ht="15" hidden="false" customHeight="false" outlineLevel="0" collapsed="false">
      <c r="A1629" s="7"/>
      <c r="B1629" s="53"/>
      <c r="C1629" s="53"/>
      <c r="D1629" s="53"/>
      <c r="E1629" s="53"/>
      <c r="F1629" s="53"/>
      <c r="G1629" s="53"/>
      <c r="T1629" s="54"/>
      <c r="BA1629" s="54"/>
      <c r="BK1629" s="13"/>
    </row>
    <row r="1630" customFormat="false" ht="15" hidden="false" customHeight="false" outlineLevel="0" collapsed="false">
      <c r="B1630" s="14"/>
      <c r="C1630" s="14"/>
      <c r="D1630" s="14"/>
      <c r="E1630" s="14"/>
      <c r="F1630" s="22"/>
      <c r="G1630" s="22"/>
      <c r="BK1630" s="16"/>
    </row>
    <row r="1631" customFormat="false" ht="15" hidden="false" customHeight="false" outlineLevel="0" collapsed="false">
      <c r="B1631" s="14"/>
      <c r="C1631" s="14"/>
      <c r="D1631" s="14"/>
      <c r="E1631" s="14"/>
      <c r="F1631" s="22"/>
      <c r="G1631" s="22"/>
      <c r="BK1631" s="16"/>
    </row>
    <row r="1632" customFormat="false" ht="15" hidden="false" customHeight="false" outlineLevel="0" collapsed="false">
      <c r="B1632" s="14"/>
      <c r="C1632" s="14"/>
      <c r="D1632" s="14"/>
      <c r="E1632" s="14"/>
      <c r="F1632" s="22"/>
      <c r="G1632" s="22"/>
      <c r="BK1632" s="16"/>
    </row>
    <row r="1633" s="23" customFormat="true" ht="15" hidden="false" customHeight="false" outlineLevel="0" collapsed="false">
      <c r="A1633" s="1"/>
      <c r="B1633" s="14"/>
      <c r="C1633" s="14"/>
      <c r="D1633" s="14"/>
      <c r="E1633" s="14"/>
      <c r="F1633" s="22"/>
      <c r="G1633" s="22"/>
      <c r="T1633" s="5"/>
      <c r="AP1633" s="3"/>
      <c r="AQ1633" s="3"/>
      <c r="AR1633" s="3"/>
      <c r="AS1633" s="3"/>
      <c r="AT1633" s="3"/>
      <c r="AU1633" s="3"/>
      <c r="AV1633" s="3"/>
      <c r="AW1633" s="3"/>
      <c r="AX1633" s="3"/>
      <c r="AY1633" s="3"/>
      <c r="AZ1633" s="3"/>
      <c r="BA1633" s="5"/>
      <c r="BK1633" s="16"/>
    </row>
    <row r="1634" customFormat="false" ht="15" hidden="false" customHeight="false" outlineLevel="0" collapsed="false">
      <c r="B1634" s="14"/>
      <c r="C1634" s="14"/>
      <c r="D1634" s="14"/>
      <c r="E1634" s="14"/>
      <c r="F1634" s="22"/>
      <c r="G1634" s="22"/>
      <c r="BK1634" s="16"/>
    </row>
    <row r="1635" customFormat="false" ht="15" hidden="false" customHeight="false" outlineLevel="0" collapsed="false">
      <c r="B1635" s="14"/>
      <c r="C1635" s="14"/>
      <c r="D1635" s="14"/>
      <c r="E1635" s="14"/>
      <c r="F1635" s="22"/>
      <c r="G1635" s="22"/>
      <c r="BK1635" s="16"/>
    </row>
    <row r="1636" customFormat="false" ht="15" hidden="false" customHeight="false" outlineLevel="0" collapsed="false">
      <c r="B1636" s="14"/>
      <c r="C1636" s="14"/>
      <c r="D1636" s="14"/>
      <c r="E1636" s="14"/>
      <c r="F1636" s="22"/>
      <c r="G1636" s="22"/>
      <c r="BK1636" s="16"/>
    </row>
    <row r="1637" customFormat="false" ht="15" hidden="false" customHeight="false" outlineLevel="0" collapsed="false">
      <c r="B1637" s="14"/>
      <c r="C1637" s="14"/>
      <c r="D1637" s="14"/>
      <c r="E1637" s="14"/>
      <c r="F1637" s="22"/>
      <c r="G1637" s="22"/>
      <c r="BK1637" s="16"/>
    </row>
    <row r="1638" customFormat="false" ht="15" hidden="false" customHeight="false" outlineLevel="0" collapsed="false">
      <c r="B1638" s="14"/>
      <c r="C1638" s="14"/>
      <c r="D1638" s="14"/>
      <c r="E1638" s="14"/>
      <c r="F1638" s="22"/>
      <c r="G1638" s="22"/>
      <c r="BK1638" s="16"/>
    </row>
    <row r="1639" customFormat="false" ht="15" hidden="false" customHeight="false" outlineLevel="0" collapsed="false">
      <c r="B1639" s="14"/>
      <c r="C1639" s="14"/>
      <c r="D1639" s="14"/>
      <c r="E1639" s="14"/>
      <c r="F1639" s="22"/>
      <c r="G1639" s="22"/>
      <c r="BK1639" s="16"/>
    </row>
    <row r="1640" customFormat="false" ht="15" hidden="false" customHeight="false" outlineLevel="0" collapsed="false">
      <c r="B1640" s="14"/>
      <c r="C1640" s="14"/>
      <c r="D1640" s="14"/>
      <c r="E1640" s="14"/>
      <c r="F1640" s="22"/>
      <c r="G1640" s="22"/>
      <c r="BK1640" s="16"/>
    </row>
    <row r="1641" customFormat="false" ht="15" hidden="false" customHeight="false" outlineLevel="0" collapsed="false">
      <c r="B1641" s="14"/>
      <c r="C1641" s="14"/>
      <c r="D1641" s="14"/>
      <c r="E1641" s="14"/>
      <c r="F1641" s="22"/>
      <c r="G1641" s="22"/>
      <c r="BK1641" s="16"/>
    </row>
    <row r="1642" customFormat="false" ht="15" hidden="false" customHeight="false" outlineLevel="0" collapsed="false">
      <c r="B1642" s="14"/>
      <c r="C1642" s="14"/>
      <c r="D1642" s="14"/>
      <c r="E1642" s="14"/>
      <c r="F1642" s="22"/>
      <c r="G1642" s="22"/>
      <c r="BK1642" s="16"/>
    </row>
    <row r="1643" customFormat="false" ht="15" hidden="false" customHeight="false" outlineLevel="0" collapsed="false">
      <c r="B1643" s="14"/>
      <c r="C1643" s="14"/>
      <c r="D1643" s="14"/>
      <c r="E1643" s="14"/>
      <c r="F1643" s="22"/>
      <c r="G1643" s="22"/>
      <c r="AZ1643" s="23"/>
      <c r="BK1643" s="16"/>
    </row>
    <row r="1644" customFormat="false" ht="15" hidden="false" customHeight="false" outlineLevel="0" collapsed="false">
      <c r="B1644" s="14"/>
      <c r="C1644" s="14"/>
      <c r="D1644" s="14"/>
      <c r="E1644" s="14"/>
      <c r="F1644" s="22"/>
      <c r="G1644" s="22"/>
      <c r="BK1644" s="16"/>
    </row>
    <row r="1645" customFormat="false" ht="15" hidden="false" customHeight="false" outlineLevel="0" collapsed="false">
      <c r="B1645" s="14"/>
      <c r="C1645" s="14"/>
      <c r="D1645" s="14"/>
      <c r="E1645" s="14"/>
      <c r="F1645" s="22"/>
      <c r="G1645" s="22"/>
      <c r="BK1645" s="16"/>
    </row>
    <row r="1646" customFormat="false" ht="15" hidden="false" customHeight="false" outlineLevel="0" collapsed="false">
      <c r="B1646" s="14"/>
      <c r="C1646" s="14"/>
      <c r="D1646" s="14"/>
      <c r="E1646" s="14"/>
      <c r="F1646" s="22"/>
      <c r="G1646" s="22"/>
      <c r="BK1646" s="16"/>
    </row>
    <row r="1647" customFormat="false" ht="15" hidden="false" customHeight="false" outlineLevel="0" collapsed="false">
      <c r="B1647" s="14"/>
      <c r="C1647" s="14"/>
      <c r="D1647" s="14"/>
      <c r="E1647" s="14"/>
      <c r="F1647" s="22"/>
      <c r="G1647" s="22"/>
      <c r="BK1647" s="16"/>
    </row>
    <row r="1648" s="23" customFormat="true" ht="15" hidden="false" customHeight="false" outlineLevel="0" collapsed="false">
      <c r="A1648" s="1"/>
      <c r="B1648" s="14"/>
      <c r="C1648" s="14"/>
      <c r="D1648" s="14"/>
      <c r="E1648" s="14"/>
      <c r="F1648" s="22"/>
      <c r="G1648" s="22"/>
      <c r="T1648" s="5"/>
      <c r="AP1648" s="3"/>
      <c r="AQ1648" s="3"/>
      <c r="AR1648" s="3"/>
      <c r="AS1648" s="3"/>
      <c r="AT1648" s="3"/>
      <c r="AU1648" s="3"/>
      <c r="AV1648" s="3"/>
      <c r="AW1648" s="3"/>
      <c r="AX1648" s="3"/>
      <c r="AY1648" s="3"/>
      <c r="AZ1648" s="3"/>
      <c r="BA1648" s="5"/>
      <c r="BK1648" s="16"/>
    </row>
    <row r="1649" customFormat="false" ht="15" hidden="false" customHeight="false" outlineLevel="0" collapsed="false">
      <c r="B1649" s="14"/>
      <c r="C1649" s="14"/>
      <c r="D1649" s="14"/>
      <c r="E1649" s="14"/>
      <c r="F1649" s="22"/>
      <c r="G1649" s="22"/>
      <c r="BK1649" s="16"/>
    </row>
    <row r="1650" customFormat="false" ht="15" hidden="false" customHeight="false" outlineLevel="0" collapsed="false">
      <c r="B1650" s="14"/>
      <c r="C1650" s="14"/>
      <c r="D1650" s="14"/>
      <c r="E1650" s="14"/>
      <c r="F1650" s="22"/>
      <c r="G1650" s="22"/>
      <c r="BK1650" s="16"/>
    </row>
    <row r="1651" customFormat="false" ht="15" hidden="false" customHeight="false" outlineLevel="0" collapsed="false">
      <c r="B1651" s="14"/>
      <c r="C1651" s="14"/>
      <c r="D1651" s="14"/>
      <c r="E1651" s="14"/>
      <c r="F1651" s="22"/>
      <c r="G1651" s="15"/>
      <c r="BK1651" s="16"/>
    </row>
    <row r="1652" s="23" customFormat="true" ht="15" hidden="false" customHeight="false" outlineLevel="0" collapsed="false">
      <c r="A1652" s="1"/>
      <c r="B1652" s="14"/>
      <c r="C1652" s="14"/>
      <c r="D1652" s="14"/>
      <c r="E1652" s="14"/>
      <c r="F1652" s="22"/>
      <c r="G1652" s="22"/>
      <c r="T1652" s="5"/>
      <c r="AP1652" s="3"/>
      <c r="AQ1652" s="3"/>
      <c r="AR1652" s="3"/>
      <c r="AS1652" s="3"/>
      <c r="AT1652" s="3"/>
      <c r="AU1652" s="3"/>
      <c r="AV1652" s="3"/>
      <c r="AW1652" s="3"/>
      <c r="AX1652" s="3"/>
      <c r="AY1652" s="3"/>
      <c r="AZ1652" s="3"/>
      <c r="BA1652" s="5"/>
      <c r="BK1652" s="16"/>
    </row>
    <row r="1653" customFormat="false" ht="15" hidden="false" customHeight="false" outlineLevel="0" collapsed="false">
      <c r="B1653" s="14"/>
      <c r="C1653" s="14"/>
      <c r="D1653" s="14"/>
      <c r="E1653" s="14"/>
      <c r="F1653" s="22"/>
      <c r="G1653" s="22"/>
      <c r="BK1653" s="16"/>
    </row>
    <row r="1654" customFormat="false" ht="10.5" hidden="false" customHeight="true" outlineLevel="0" collapsed="false">
      <c r="B1654" s="14"/>
      <c r="C1654" s="14"/>
      <c r="D1654" s="14"/>
      <c r="E1654" s="14"/>
      <c r="F1654" s="15"/>
      <c r="G1654" s="22"/>
      <c r="BK1654" s="16"/>
    </row>
    <row r="1655" customFormat="false" ht="15" hidden="false" customHeight="false" outlineLevel="0" collapsed="false">
      <c r="B1655" s="14"/>
      <c r="C1655" s="14"/>
      <c r="D1655" s="14"/>
      <c r="E1655" s="14"/>
      <c r="F1655" s="15"/>
      <c r="G1655" s="15"/>
      <c r="BK1655" s="16"/>
    </row>
    <row r="1656" customFormat="false" ht="15" hidden="false" customHeight="false" outlineLevel="0" collapsed="false">
      <c r="B1656" s="14"/>
      <c r="C1656" s="14"/>
      <c r="D1656" s="14"/>
      <c r="E1656" s="14"/>
      <c r="F1656" s="15"/>
      <c r="G1656" s="15"/>
      <c r="BK1656" s="16"/>
    </row>
    <row r="1657" customFormat="false" ht="15" hidden="false" customHeight="false" outlineLevel="0" collapsed="false">
      <c r="B1657" s="14"/>
      <c r="C1657" s="14"/>
      <c r="D1657" s="14"/>
      <c r="E1657" s="14"/>
      <c r="F1657" s="22"/>
      <c r="G1657" s="15"/>
      <c r="BK1657" s="16"/>
    </row>
    <row r="1658" customFormat="false" ht="15" hidden="false" customHeight="false" outlineLevel="0" collapsed="false">
      <c r="B1658" s="14"/>
      <c r="C1658" s="14"/>
      <c r="D1658" s="14"/>
      <c r="E1658" s="14"/>
      <c r="F1658" s="15"/>
      <c r="G1658" s="15"/>
      <c r="BK1658" s="16"/>
    </row>
    <row r="1659" s="23" customFormat="true" ht="15" hidden="false" customHeight="false" outlineLevel="0" collapsed="false">
      <c r="A1659" s="1"/>
      <c r="B1659" s="14"/>
      <c r="C1659" s="14"/>
      <c r="D1659" s="14"/>
      <c r="E1659" s="14"/>
      <c r="F1659" s="22"/>
      <c r="G1659" s="22"/>
      <c r="T1659" s="5"/>
      <c r="AP1659" s="3"/>
      <c r="AQ1659" s="3"/>
      <c r="AR1659" s="3"/>
      <c r="AS1659" s="3"/>
      <c r="AT1659" s="3"/>
      <c r="AU1659" s="3"/>
      <c r="AV1659" s="3"/>
      <c r="AW1659" s="3"/>
      <c r="AX1659" s="3"/>
      <c r="AY1659" s="3"/>
      <c r="AZ1659" s="3"/>
      <c r="BA1659" s="5"/>
      <c r="BK1659" s="16"/>
    </row>
    <row r="1660" s="23" customFormat="true" ht="15" hidden="false" customHeight="false" outlineLevel="0" collapsed="false">
      <c r="A1660" s="1"/>
      <c r="B1660" s="14"/>
      <c r="C1660" s="14"/>
      <c r="D1660" s="14"/>
      <c r="E1660" s="14"/>
      <c r="F1660" s="22"/>
      <c r="G1660" s="22"/>
      <c r="T1660" s="5"/>
      <c r="AP1660" s="3"/>
      <c r="AQ1660" s="3"/>
      <c r="AR1660" s="3"/>
      <c r="AS1660" s="3"/>
      <c r="AT1660" s="3"/>
      <c r="AU1660" s="3"/>
      <c r="AV1660" s="3"/>
      <c r="AW1660" s="3"/>
      <c r="AX1660" s="3"/>
      <c r="AY1660" s="3"/>
      <c r="AZ1660" s="3"/>
      <c r="BA1660" s="5"/>
      <c r="BK1660" s="16"/>
    </row>
    <row r="1661" customFormat="false" ht="15" hidden="false" customHeight="false" outlineLevel="0" collapsed="false">
      <c r="B1661" s="14"/>
      <c r="C1661" s="14"/>
      <c r="D1661" s="14"/>
      <c r="E1661" s="14"/>
      <c r="F1661" s="15"/>
      <c r="G1661" s="15"/>
      <c r="BK1661" s="16"/>
    </row>
    <row r="1662" s="23" customFormat="true" ht="15" hidden="false" customHeight="false" outlineLevel="0" collapsed="false">
      <c r="A1662" s="1"/>
      <c r="B1662" s="14"/>
      <c r="C1662" s="14"/>
      <c r="D1662" s="14"/>
      <c r="E1662" s="14"/>
      <c r="F1662" s="22"/>
      <c r="G1662" s="22"/>
      <c r="T1662" s="5"/>
      <c r="AP1662" s="3"/>
      <c r="AQ1662" s="3"/>
      <c r="AR1662" s="3"/>
      <c r="AS1662" s="3"/>
      <c r="AT1662" s="3"/>
      <c r="AU1662" s="3"/>
      <c r="AV1662" s="3"/>
      <c r="AW1662" s="3"/>
      <c r="AX1662" s="3"/>
      <c r="AY1662" s="3"/>
      <c r="AZ1662" s="3"/>
      <c r="BA1662" s="5"/>
      <c r="BK1662" s="16"/>
    </row>
    <row r="1663" customFormat="false" ht="15" hidden="false" customHeight="false" outlineLevel="0" collapsed="false">
      <c r="B1663" s="14"/>
      <c r="C1663" s="14"/>
      <c r="D1663" s="14"/>
      <c r="E1663" s="14"/>
      <c r="F1663" s="15"/>
      <c r="G1663" s="15"/>
      <c r="BK1663" s="16"/>
    </row>
    <row r="1664" customFormat="false" ht="15" hidden="false" customHeight="false" outlineLevel="0" collapsed="false">
      <c r="B1664" s="14"/>
      <c r="C1664" s="14"/>
      <c r="D1664" s="14"/>
      <c r="E1664" s="14"/>
      <c r="F1664" s="22"/>
      <c r="G1664" s="22"/>
      <c r="BK1664" s="16"/>
    </row>
    <row r="1665" s="23" customFormat="true" ht="15" hidden="false" customHeight="false" outlineLevel="0" collapsed="false">
      <c r="A1665" s="1"/>
      <c r="B1665" s="14"/>
      <c r="C1665" s="14"/>
      <c r="D1665" s="14"/>
      <c r="E1665" s="14"/>
      <c r="F1665" s="22"/>
      <c r="G1665" s="22"/>
      <c r="T1665" s="5"/>
      <c r="AP1665" s="3"/>
      <c r="AQ1665" s="3"/>
      <c r="AR1665" s="3"/>
      <c r="AS1665" s="3"/>
      <c r="AT1665" s="3"/>
      <c r="AU1665" s="3"/>
      <c r="AV1665" s="3"/>
      <c r="AW1665" s="3"/>
      <c r="AX1665" s="3"/>
      <c r="AY1665" s="3"/>
      <c r="AZ1665" s="3"/>
      <c r="BA1665" s="5"/>
      <c r="BK1665" s="16"/>
    </row>
    <row r="1666" customFormat="false" ht="15" hidden="false" customHeight="false" outlineLevel="0" collapsed="false">
      <c r="B1666" s="14"/>
      <c r="C1666" s="14"/>
      <c r="D1666" s="14"/>
      <c r="E1666" s="14"/>
      <c r="F1666" s="22"/>
      <c r="G1666" s="22"/>
      <c r="BK1666" s="16"/>
    </row>
    <row r="1667" customFormat="false" ht="15" hidden="false" customHeight="false" outlineLevel="0" collapsed="false">
      <c r="B1667" s="14"/>
      <c r="C1667" s="14"/>
      <c r="D1667" s="14"/>
      <c r="E1667" s="14"/>
      <c r="F1667" s="15"/>
      <c r="G1667" s="22"/>
      <c r="BK1667" s="16"/>
    </row>
    <row r="1668" customFormat="false" ht="15" hidden="false" customHeight="false" outlineLevel="0" collapsed="false">
      <c r="B1668" s="14"/>
      <c r="C1668" s="14"/>
      <c r="D1668" s="14"/>
      <c r="E1668" s="14"/>
      <c r="F1668" s="15"/>
      <c r="G1668" s="22"/>
      <c r="BK1668" s="16"/>
    </row>
    <row r="1669" s="23" customFormat="true" ht="15" hidden="false" customHeight="false" outlineLevel="0" collapsed="false">
      <c r="A1669" s="1"/>
      <c r="B1669" s="14"/>
      <c r="C1669" s="14"/>
      <c r="D1669" s="14"/>
      <c r="E1669" s="14"/>
      <c r="F1669" s="22"/>
      <c r="G1669" s="22"/>
      <c r="T1669" s="5"/>
      <c r="BA1669" s="5"/>
      <c r="BK1669" s="16"/>
    </row>
    <row r="1670" s="23" customFormat="true" ht="15" hidden="false" customHeight="false" outlineLevel="0" collapsed="false">
      <c r="A1670" s="1"/>
      <c r="B1670" s="14"/>
      <c r="C1670" s="14"/>
      <c r="D1670" s="14"/>
      <c r="E1670" s="14"/>
      <c r="F1670" s="15"/>
      <c r="G1670" s="22"/>
      <c r="T1670" s="5"/>
      <c r="BA1670" s="5"/>
      <c r="BK1670" s="16"/>
    </row>
    <row r="1671" customFormat="false" ht="15" hidden="false" customHeight="false" outlineLevel="0" collapsed="false">
      <c r="B1671" s="14"/>
      <c r="C1671" s="14"/>
      <c r="D1671" s="14"/>
      <c r="E1671" s="14"/>
      <c r="F1671" s="15"/>
      <c r="G1671" s="22"/>
      <c r="BK1671" s="16"/>
    </row>
    <row r="1672" s="23" customFormat="true" ht="15" hidden="false" customHeight="false" outlineLevel="0" collapsed="false">
      <c r="A1672" s="1"/>
      <c r="B1672" s="14"/>
      <c r="C1672" s="14"/>
      <c r="D1672" s="14"/>
      <c r="E1672" s="14"/>
      <c r="F1672" s="22"/>
      <c r="G1672" s="22"/>
      <c r="T1672" s="5"/>
      <c r="BA1672" s="5"/>
      <c r="BK1672" s="16"/>
    </row>
    <row r="1673" customFormat="false" ht="15" hidden="false" customHeight="false" outlineLevel="0" collapsed="false">
      <c r="B1673" s="14"/>
      <c r="C1673" s="14"/>
      <c r="D1673" s="14"/>
      <c r="E1673" s="14"/>
      <c r="F1673" s="15"/>
      <c r="G1673" s="15"/>
      <c r="BK1673" s="16"/>
    </row>
    <row r="1674" customFormat="false" ht="15" hidden="false" customHeight="false" outlineLevel="0" collapsed="false">
      <c r="B1674" s="14"/>
      <c r="C1674" s="14"/>
      <c r="D1674" s="14"/>
      <c r="E1674" s="14"/>
      <c r="F1674" s="22"/>
      <c r="G1674" s="22"/>
      <c r="AC1674" s="23"/>
      <c r="AD1674" s="23"/>
      <c r="AE1674" s="23"/>
      <c r="AF1674" s="23"/>
      <c r="AG1674" s="23"/>
      <c r="AH1674" s="23"/>
      <c r="AI1674" s="23"/>
      <c r="AJ1674" s="23"/>
      <c r="AK1674" s="23"/>
      <c r="AL1674" s="23"/>
      <c r="AM1674" s="23"/>
      <c r="AN1674" s="23"/>
      <c r="AO1674" s="23"/>
      <c r="BB1674" s="23"/>
      <c r="BC1674" s="23"/>
      <c r="BD1674" s="23"/>
      <c r="BE1674" s="23"/>
      <c r="BF1674" s="23"/>
      <c r="BG1674" s="23"/>
      <c r="BH1674" s="23"/>
      <c r="BI1674" s="23"/>
      <c r="BJ1674" s="23"/>
      <c r="BK1674" s="16"/>
    </row>
    <row r="1675" customFormat="false" ht="15" hidden="false" customHeight="false" outlineLevel="0" collapsed="false">
      <c r="B1675" s="14"/>
      <c r="C1675" s="14"/>
      <c r="D1675" s="14"/>
      <c r="E1675" s="14"/>
      <c r="F1675" s="15"/>
      <c r="G1675" s="15"/>
      <c r="BK1675" s="16"/>
    </row>
    <row r="1676" customFormat="false" ht="15" hidden="false" customHeight="false" outlineLevel="0" collapsed="false">
      <c r="B1676" s="14"/>
      <c r="C1676" s="14"/>
      <c r="D1676" s="14"/>
      <c r="E1676" s="14"/>
      <c r="F1676" s="22"/>
      <c r="G1676" s="15"/>
      <c r="BK1676" s="16"/>
    </row>
    <row r="1677" s="23" customFormat="true" ht="15" hidden="false" customHeight="false" outlineLevel="0" collapsed="false">
      <c r="A1677" s="1"/>
      <c r="B1677" s="14"/>
      <c r="C1677" s="14"/>
      <c r="D1677" s="14"/>
      <c r="E1677" s="14"/>
      <c r="F1677" s="22"/>
      <c r="G1677" s="22"/>
      <c r="T1677" s="5"/>
      <c r="AP1677" s="3"/>
      <c r="AQ1677" s="3"/>
      <c r="AR1677" s="3"/>
      <c r="AS1677" s="3"/>
      <c r="AT1677" s="3"/>
      <c r="AU1677" s="3"/>
      <c r="AV1677" s="3"/>
      <c r="AW1677" s="3"/>
      <c r="AX1677" s="3"/>
      <c r="AY1677" s="3"/>
      <c r="AZ1677" s="3"/>
      <c r="BA1677" s="5"/>
      <c r="BK1677" s="16"/>
    </row>
    <row r="1678" s="23" customFormat="true" ht="15" hidden="false" customHeight="false" outlineLevel="0" collapsed="false">
      <c r="A1678" s="1"/>
      <c r="B1678" s="14"/>
      <c r="C1678" s="14"/>
      <c r="D1678" s="14"/>
      <c r="E1678" s="14"/>
      <c r="F1678" s="22"/>
      <c r="G1678" s="22"/>
      <c r="T1678" s="5"/>
      <c r="BA1678" s="5"/>
      <c r="BK1678" s="16"/>
    </row>
    <row r="1679" s="23" customFormat="true" ht="15" hidden="false" customHeight="false" outlineLevel="0" collapsed="false">
      <c r="A1679" s="1"/>
      <c r="B1679" s="14"/>
      <c r="C1679" s="14"/>
      <c r="D1679" s="14"/>
      <c r="E1679" s="14"/>
      <c r="F1679" s="22"/>
      <c r="G1679" s="22"/>
      <c r="T1679" s="5"/>
      <c r="AP1679" s="3"/>
      <c r="AQ1679" s="3"/>
      <c r="AR1679" s="3"/>
      <c r="AS1679" s="3"/>
      <c r="AT1679" s="3"/>
      <c r="AU1679" s="3"/>
      <c r="AV1679" s="3"/>
      <c r="AW1679" s="3"/>
      <c r="AX1679" s="3"/>
      <c r="AY1679" s="3"/>
      <c r="AZ1679" s="3"/>
      <c r="BA1679" s="5"/>
      <c r="BB1679" s="3"/>
      <c r="BC1679" s="3"/>
      <c r="BD1679" s="3"/>
      <c r="BE1679" s="3"/>
      <c r="BF1679" s="3"/>
      <c r="BG1679" s="3"/>
      <c r="BH1679" s="3"/>
      <c r="BI1679" s="3"/>
      <c r="BJ1679" s="3"/>
      <c r="BK1679" s="16"/>
    </row>
    <row r="1680" customFormat="false" ht="15" hidden="false" customHeight="false" outlineLevel="0" collapsed="false">
      <c r="B1680" s="14"/>
      <c r="C1680" s="14"/>
      <c r="D1680" s="14"/>
      <c r="E1680" s="14"/>
      <c r="F1680" s="15"/>
      <c r="G1680" s="15"/>
      <c r="BK1680" s="16"/>
    </row>
    <row r="1681" customFormat="false" ht="15" hidden="false" customHeight="false" outlineLevel="0" collapsed="false">
      <c r="B1681" s="14"/>
      <c r="C1681" s="14"/>
      <c r="D1681" s="14"/>
      <c r="E1681" s="14"/>
      <c r="F1681" s="15"/>
      <c r="G1681" s="15"/>
      <c r="BK1681" s="16"/>
    </row>
    <row r="1682" customFormat="false" ht="15" hidden="false" customHeight="false" outlineLevel="0" collapsed="false">
      <c r="B1682" s="14"/>
      <c r="C1682" s="14"/>
      <c r="D1682" s="14"/>
      <c r="E1682" s="14"/>
      <c r="F1682" s="22"/>
      <c r="G1682" s="22"/>
      <c r="BK1682" s="16"/>
    </row>
    <row r="1683" s="23" customFormat="true" ht="15" hidden="false" customHeight="false" outlineLevel="0" collapsed="false">
      <c r="A1683" s="1"/>
      <c r="B1683" s="14"/>
      <c r="C1683" s="14"/>
      <c r="D1683" s="14"/>
      <c r="E1683" s="14"/>
      <c r="F1683" s="22"/>
      <c r="G1683" s="22"/>
      <c r="T1683" s="5"/>
      <c r="AR1683" s="3"/>
      <c r="AS1683" s="3"/>
      <c r="AT1683" s="3"/>
      <c r="AU1683" s="3"/>
      <c r="AV1683" s="3"/>
      <c r="AW1683" s="3"/>
      <c r="AX1683" s="3"/>
      <c r="AY1683" s="3"/>
      <c r="AZ1683" s="3"/>
      <c r="BA1683" s="5"/>
      <c r="BB1683" s="3"/>
      <c r="BC1683" s="3"/>
      <c r="BD1683" s="3"/>
      <c r="BE1683" s="3"/>
      <c r="BF1683" s="3"/>
      <c r="BG1683" s="3"/>
      <c r="BH1683" s="3"/>
      <c r="BI1683" s="3"/>
      <c r="BJ1683" s="3"/>
      <c r="BK1683" s="16"/>
    </row>
    <row r="1684" customFormat="false" ht="15" hidden="false" customHeight="false" outlineLevel="0" collapsed="false">
      <c r="B1684" s="14"/>
      <c r="C1684" s="14"/>
      <c r="D1684" s="14"/>
      <c r="E1684" s="14"/>
      <c r="F1684" s="22"/>
      <c r="G1684" s="22"/>
      <c r="BK1684" s="16"/>
    </row>
    <row r="1685" customFormat="false" ht="15" hidden="false" customHeight="false" outlineLevel="0" collapsed="false">
      <c r="B1685" s="14"/>
      <c r="C1685" s="14"/>
      <c r="D1685" s="14"/>
      <c r="E1685" s="14"/>
      <c r="F1685" s="15"/>
      <c r="G1685" s="22"/>
      <c r="BK1685" s="16"/>
    </row>
    <row r="1686" customFormat="false" ht="15" hidden="false" customHeight="false" outlineLevel="0" collapsed="false">
      <c r="B1686" s="14"/>
      <c r="C1686" s="14"/>
      <c r="D1686" s="14"/>
      <c r="E1686" s="14"/>
      <c r="F1686" s="15"/>
      <c r="G1686" s="15"/>
      <c r="BB1686" s="23"/>
      <c r="BC1686" s="23"/>
      <c r="BD1686" s="23"/>
      <c r="BE1686" s="23"/>
      <c r="BF1686" s="23"/>
      <c r="BG1686" s="23"/>
      <c r="BH1686" s="23"/>
      <c r="BI1686" s="23"/>
      <c r="BJ1686" s="23"/>
      <c r="BK1686" s="16"/>
    </row>
    <row r="1687" customFormat="false" ht="15" hidden="false" customHeight="false" outlineLevel="0" collapsed="false">
      <c r="B1687" s="14"/>
      <c r="C1687" s="14"/>
      <c r="D1687" s="14"/>
      <c r="E1687" s="14"/>
      <c r="F1687" s="15"/>
      <c r="G1687" s="15"/>
      <c r="BB1687" s="23"/>
      <c r="BC1687" s="23"/>
      <c r="BD1687" s="23"/>
      <c r="BE1687" s="23"/>
      <c r="BF1687" s="23"/>
      <c r="BG1687" s="23"/>
      <c r="BH1687" s="23"/>
      <c r="BI1687" s="23"/>
      <c r="BJ1687" s="23"/>
      <c r="BK1687" s="16"/>
    </row>
    <row r="1688" s="23" customFormat="true" ht="15" hidden="false" customHeight="false" outlineLevel="0" collapsed="false">
      <c r="A1688" s="1"/>
      <c r="B1688" s="14"/>
      <c r="C1688" s="14"/>
      <c r="D1688" s="14"/>
      <c r="E1688" s="14"/>
      <c r="F1688" s="22"/>
      <c r="G1688" s="22"/>
      <c r="T1688" s="5"/>
      <c r="BA1688" s="5"/>
      <c r="BK1688" s="16"/>
    </row>
    <row r="1689" customFormat="false" ht="15" hidden="false" customHeight="false" outlineLevel="0" collapsed="false">
      <c r="B1689" s="14"/>
      <c r="C1689" s="14"/>
      <c r="D1689" s="14"/>
      <c r="E1689" s="14"/>
      <c r="F1689" s="15"/>
      <c r="G1689" s="15"/>
      <c r="BK1689" s="16"/>
    </row>
    <row r="1690" customFormat="false" ht="15" hidden="false" customHeight="false" outlineLevel="0" collapsed="false">
      <c r="B1690" s="14"/>
      <c r="C1690" s="14"/>
      <c r="D1690" s="14"/>
      <c r="E1690" s="14"/>
      <c r="F1690" s="22"/>
      <c r="G1690" s="22"/>
      <c r="BK1690" s="16"/>
    </row>
    <row r="1691" customFormat="false" ht="15" hidden="false" customHeight="false" outlineLevel="0" collapsed="false">
      <c r="B1691" s="14"/>
      <c r="C1691" s="14"/>
      <c r="D1691" s="14"/>
      <c r="E1691" s="14"/>
      <c r="F1691" s="15"/>
      <c r="G1691" s="15"/>
      <c r="BK1691" s="16"/>
    </row>
    <row r="1692" s="23" customFormat="true" ht="15" hidden="false" customHeight="false" outlineLevel="0" collapsed="false">
      <c r="A1692" s="1"/>
      <c r="B1692" s="14"/>
      <c r="C1692" s="14"/>
      <c r="D1692" s="14"/>
      <c r="E1692" s="14"/>
      <c r="F1692" s="22"/>
      <c r="G1692" s="22"/>
      <c r="T1692" s="5"/>
      <c r="BA1692" s="5"/>
      <c r="BK1692" s="16"/>
    </row>
    <row r="1693" customFormat="false" ht="15" hidden="false" customHeight="false" outlineLevel="0" collapsed="false">
      <c r="B1693" s="14"/>
      <c r="C1693" s="14"/>
      <c r="D1693" s="14"/>
      <c r="E1693" s="14"/>
      <c r="F1693" s="15"/>
      <c r="G1693" s="15"/>
      <c r="BK1693" s="16"/>
    </row>
    <row r="1694" s="23" customFormat="true" ht="15" hidden="false" customHeight="false" outlineLevel="0" collapsed="false">
      <c r="A1694" s="1"/>
      <c r="B1694" s="14"/>
      <c r="C1694" s="14"/>
      <c r="D1694" s="14"/>
      <c r="E1694" s="14"/>
      <c r="F1694" s="22"/>
      <c r="G1694" s="22"/>
      <c r="T1694" s="5"/>
      <c r="BA1694" s="5"/>
      <c r="BK1694" s="16"/>
    </row>
    <row r="1695" customFormat="false" ht="15" hidden="false" customHeight="false" outlineLevel="0" collapsed="false">
      <c r="B1695" s="14"/>
      <c r="C1695" s="14"/>
      <c r="D1695" s="14"/>
      <c r="E1695" s="14"/>
      <c r="F1695" s="15"/>
      <c r="G1695" s="22"/>
      <c r="BK1695" s="16"/>
    </row>
    <row r="1696" customFormat="false" ht="15" hidden="false" customHeight="false" outlineLevel="0" collapsed="false">
      <c r="B1696" s="14"/>
      <c r="C1696" s="14"/>
      <c r="D1696" s="14"/>
      <c r="E1696" s="14"/>
      <c r="F1696" s="22"/>
      <c r="G1696" s="22"/>
      <c r="BK1696" s="16"/>
    </row>
    <row r="1697" customFormat="false" ht="15" hidden="false" customHeight="false" outlineLevel="0" collapsed="false">
      <c r="B1697" s="14"/>
      <c r="C1697" s="14"/>
      <c r="D1697" s="14"/>
      <c r="E1697" s="14"/>
      <c r="F1697" s="15"/>
      <c r="G1697" s="15"/>
      <c r="BK1697" s="16"/>
    </row>
    <row r="1698" customFormat="false" ht="15" hidden="false" customHeight="false" outlineLevel="0" collapsed="false">
      <c r="B1698" s="14"/>
      <c r="C1698" s="14"/>
      <c r="D1698" s="14"/>
      <c r="E1698" s="14"/>
      <c r="F1698" s="22"/>
      <c r="G1698" s="15"/>
      <c r="BB1698" s="23"/>
      <c r="BK1698" s="16"/>
    </row>
    <row r="1699" customFormat="false" ht="15" hidden="false" customHeight="false" outlineLevel="0" collapsed="false">
      <c r="B1699" s="14"/>
      <c r="C1699" s="14"/>
      <c r="D1699" s="14"/>
      <c r="E1699" s="14"/>
      <c r="F1699" s="22"/>
      <c r="G1699" s="15"/>
      <c r="BK1699" s="16"/>
    </row>
    <row r="1700" s="11" customFormat="true" ht="15" hidden="false" customHeight="false" outlineLevel="0" collapsed="false">
      <c r="A1700" s="7"/>
      <c r="B1700" s="53"/>
      <c r="C1700" s="53"/>
      <c r="D1700" s="53"/>
      <c r="E1700" s="53"/>
      <c r="F1700" s="53"/>
      <c r="G1700" s="53"/>
      <c r="T1700" s="54"/>
      <c r="BA1700" s="54"/>
      <c r="BK1700" s="13"/>
    </row>
    <row r="1701" customFormat="false" ht="15" hidden="false" customHeight="false" outlineLevel="0" collapsed="false">
      <c r="B1701" s="14"/>
      <c r="C1701" s="14"/>
      <c r="D1701" s="14"/>
      <c r="E1701" s="14"/>
      <c r="F1701" s="22"/>
      <c r="G1701" s="22"/>
      <c r="BK1701" s="16"/>
    </row>
    <row r="1702" s="23" customFormat="true" ht="15" hidden="false" customHeight="false" outlineLevel="0" collapsed="false">
      <c r="A1702" s="1"/>
      <c r="B1702" s="14"/>
      <c r="C1702" s="14"/>
      <c r="D1702" s="14"/>
      <c r="E1702" s="14"/>
      <c r="F1702" s="22"/>
      <c r="G1702" s="22"/>
      <c r="T1702" s="5"/>
      <c r="AP1702" s="3"/>
      <c r="AQ1702" s="3"/>
      <c r="AR1702" s="3"/>
      <c r="AS1702" s="3"/>
      <c r="AT1702" s="3"/>
      <c r="AU1702" s="3"/>
      <c r="AV1702" s="3"/>
      <c r="AW1702" s="3"/>
      <c r="AX1702" s="3"/>
      <c r="AY1702" s="3"/>
      <c r="AZ1702" s="3"/>
      <c r="BA1702" s="5"/>
      <c r="BK1702" s="16"/>
    </row>
    <row r="1703" s="23" customFormat="true" ht="15" hidden="false" customHeight="false" outlineLevel="0" collapsed="false">
      <c r="A1703" s="1"/>
      <c r="B1703" s="14"/>
      <c r="C1703" s="14"/>
      <c r="D1703" s="14"/>
      <c r="E1703" s="14"/>
      <c r="F1703" s="22"/>
      <c r="G1703" s="22"/>
      <c r="T1703" s="5"/>
      <c r="AP1703" s="3"/>
      <c r="AQ1703" s="3"/>
      <c r="AR1703" s="3"/>
      <c r="AS1703" s="3"/>
      <c r="AT1703" s="3"/>
      <c r="AU1703" s="3"/>
      <c r="AV1703" s="3"/>
      <c r="AW1703" s="3"/>
      <c r="AX1703" s="3"/>
      <c r="AY1703" s="3"/>
      <c r="AZ1703" s="3"/>
      <c r="BA1703" s="5"/>
      <c r="BK1703" s="16"/>
    </row>
    <row r="1704" customFormat="false" ht="15" hidden="false" customHeight="false" outlineLevel="0" collapsed="false">
      <c r="B1704" s="14"/>
      <c r="C1704" s="14"/>
      <c r="D1704" s="14"/>
      <c r="E1704" s="14"/>
      <c r="F1704" s="22"/>
      <c r="G1704" s="22"/>
      <c r="BK1704" s="16"/>
    </row>
    <row r="1705" customFormat="false" ht="15" hidden="false" customHeight="false" outlineLevel="0" collapsed="false">
      <c r="B1705" s="14"/>
      <c r="C1705" s="14"/>
      <c r="D1705" s="14"/>
      <c r="E1705" s="14"/>
      <c r="F1705" s="15"/>
      <c r="G1705" s="15"/>
      <c r="BK1705" s="16"/>
    </row>
    <row r="1706" s="23" customFormat="true" ht="15" hidden="false" customHeight="false" outlineLevel="0" collapsed="false">
      <c r="A1706" s="1"/>
      <c r="B1706" s="14"/>
      <c r="C1706" s="14"/>
      <c r="D1706" s="14"/>
      <c r="E1706" s="14"/>
      <c r="F1706" s="22"/>
      <c r="G1706" s="22"/>
      <c r="T1706" s="5"/>
      <c r="AP1706" s="3"/>
      <c r="AQ1706" s="3"/>
      <c r="AR1706" s="3"/>
      <c r="AS1706" s="3"/>
      <c r="AT1706" s="3"/>
      <c r="AU1706" s="3"/>
      <c r="AV1706" s="3"/>
      <c r="AW1706" s="3"/>
      <c r="AX1706" s="3"/>
      <c r="AY1706" s="3"/>
      <c r="AZ1706" s="3"/>
      <c r="BA1706" s="5"/>
      <c r="BK1706" s="16"/>
    </row>
    <row r="1707" s="23" customFormat="true" ht="15" hidden="false" customHeight="false" outlineLevel="0" collapsed="false">
      <c r="A1707" s="1"/>
      <c r="B1707" s="14"/>
      <c r="C1707" s="14"/>
      <c r="D1707" s="14"/>
      <c r="E1707" s="14"/>
      <c r="F1707" s="22"/>
      <c r="G1707" s="22"/>
      <c r="T1707" s="5"/>
      <c r="BA1707" s="5"/>
      <c r="BK1707" s="16"/>
    </row>
    <row r="1708" customFormat="false" ht="15" hidden="false" customHeight="false" outlineLevel="0" collapsed="false">
      <c r="B1708" s="14"/>
      <c r="C1708" s="14"/>
      <c r="D1708" s="14"/>
      <c r="E1708" s="14"/>
      <c r="F1708" s="22"/>
      <c r="G1708" s="22"/>
      <c r="BK1708" s="16"/>
    </row>
    <row r="1709" customFormat="false" ht="15" hidden="false" customHeight="false" outlineLevel="0" collapsed="false">
      <c r="B1709" s="14"/>
      <c r="C1709" s="14"/>
      <c r="D1709" s="14"/>
      <c r="E1709" s="14"/>
      <c r="F1709" s="22"/>
      <c r="G1709" s="22"/>
      <c r="BK1709" s="16"/>
    </row>
    <row r="1710" customFormat="false" ht="15" hidden="false" customHeight="false" outlineLevel="0" collapsed="false">
      <c r="B1710" s="14"/>
      <c r="C1710" s="14"/>
      <c r="D1710" s="14"/>
      <c r="E1710" s="14"/>
      <c r="F1710" s="22"/>
      <c r="G1710" s="22"/>
      <c r="BK1710" s="16"/>
    </row>
    <row r="1711" customFormat="false" ht="15" hidden="false" customHeight="false" outlineLevel="0" collapsed="false">
      <c r="B1711" s="14"/>
      <c r="C1711" s="14"/>
      <c r="D1711" s="14"/>
      <c r="E1711" s="14"/>
      <c r="F1711" s="22"/>
      <c r="G1711" s="15"/>
      <c r="BK1711" s="16"/>
    </row>
    <row r="1712" customFormat="false" ht="15" hidden="false" customHeight="false" outlineLevel="0" collapsed="false">
      <c r="B1712" s="14"/>
      <c r="C1712" s="14"/>
      <c r="D1712" s="14"/>
      <c r="E1712" s="14"/>
      <c r="F1712" s="22"/>
      <c r="G1712" s="15"/>
      <c r="BK1712" s="16"/>
    </row>
    <row r="1713" customFormat="false" ht="15" hidden="false" customHeight="false" outlineLevel="0" collapsed="false">
      <c r="B1713" s="14"/>
      <c r="C1713" s="14"/>
      <c r="D1713" s="14"/>
      <c r="E1713" s="14"/>
      <c r="F1713" s="15"/>
      <c r="G1713" s="22"/>
      <c r="BK1713" s="16"/>
    </row>
    <row r="1714" customFormat="false" ht="15" hidden="false" customHeight="false" outlineLevel="0" collapsed="false">
      <c r="B1714" s="14"/>
      <c r="C1714" s="14"/>
      <c r="D1714" s="14"/>
      <c r="E1714" s="14"/>
      <c r="F1714" s="22"/>
      <c r="G1714" s="15"/>
      <c r="BK1714" s="16"/>
    </row>
    <row r="1715" customFormat="false" ht="15" hidden="false" customHeight="false" outlineLevel="0" collapsed="false">
      <c r="B1715" s="14"/>
      <c r="C1715" s="14"/>
      <c r="D1715" s="14"/>
      <c r="E1715" s="14"/>
      <c r="F1715" s="22"/>
      <c r="G1715" s="22"/>
      <c r="BK1715" s="16"/>
    </row>
    <row r="1716" customFormat="false" ht="15" hidden="false" customHeight="false" outlineLevel="0" collapsed="false">
      <c r="B1716" s="14"/>
      <c r="C1716" s="14"/>
      <c r="D1716" s="14"/>
      <c r="E1716" s="14"/>
      <c r="F1716" s="15"/>
      <c r="G1716" s="22"/>
      <c r="BK1716" s="16"/>
    </row>
    <row r="1717" customFormat="false" ht="15" hidden="false" customHeight="false" outlineLevel="0" collapsed="false">
      <c r="B1717" s="14"/>
      <c r="C1717" s="14"/>
      <c r="D1717" s="14"/>
      <c r="E1717" s="14"/>
      <c r="F1717" s="22"/>
      <c r="G1717" s="22"/>
      <c r="AR1717" s="23"/>
      <c r="AS1717" s="23"/>
      <c r="AT1717" s="23"/>
      <c r="AU1717" s="23"/>
      <c r="AV1717" s="23"/>
      <c r="AW1717" s="23"/>
      <c r="AX1717" s="23"/>
      <c r="AY1717" s="23"/>
      <c r="AZ1717" s="23"/>
      <c r="BB1717" s="23"/>
      <c r="BC1717" s="23"/>
      <c r="BD1717" s="23"/>
      <c r="BE1717" s="23"/>
      <c r="BF1717" s="23"/>
      <c r="BG1717" s="23"/>
      <c r="BH1717" s="23"/>
      <c r="BI1717" s="23"/>
      <c r="BJ1717" s="23"/>
      <c r="BK1717" s="16"/>
    </row>
    <row r="1718" customFormat="false" ht="15" hidden="false" customHeight="false" outlineLevel="0" collapsed="false">
      <c r="B1718" s="14"/>
      <c r="C1718" s="14"/>
      <c r="D1718" s="14"/>
      <c r="E1718" s="14"/>
      <c r="F1718" s="22"/>
      <c r="G1718" s="22"/>
      <c r="BK1718" s="16"/>
    </row>
    <row r="1719" customFormat="false" ht="15" hidden="false" customHeight="false" outlineLevel="0" collapsed="false">
      <c r="B1719" s="14"/>
      <c r="C1719" s="14"/>
      <c r="D1719" s="14"/>
      <c r="E1719" s="14"/>
      <c r="F1719" s="15"/>
      <c r="G1719" s="22"/>
      <c r="BK1719" s="16"/>
    </row>
    <row r="1720" customFormat="false" ht="15" hidden="false" customHeight="false" outlineLevel="0" collapsed="false">
      <c r="B1720" s="14"/>
      <c r="C1720" s="14"/>
      <c r="D1720" s="14"/>
      <c r="E1720" s="14"/>
      <c r="F1720" s="22"/>
      <c r="G1720" s="22"/>
      <c r="BK1720" s="16"/>
    </row>
    <row r="1721" customFormat="false" ht="15" hidden="false" customHeight="false" outlineLevel="0" collapsed="false">
      <c r="B1721" s="14"/>
      <c r="C1721" s="14"/>
      <c r="D1721" s="14"/>
      <c r="E1721" s="14"/>
      <c r="F1721" s="22"/>
      <c r="G1721" s="22"/>
      <c r="BK1721" s="16"/>
    </row>
    <row r="1722" customFormat="false" ht="15" hidden="false" customHeight="false" outlineLevel="0" collapsed="false">
      <c r="B1722" s="14"/>
      <c r="C1722" s="14"/>
      <c r="D1722" s="14"/>
      <c r="E1722" s="14"/>
      <c r="F1722" s="22"/>
      <c r="G1722" s="15"/>
      <c r="BK1722" s="16"/>
    </row>
    <row r="1723" customFormat="false" ht="15" hidden="false" customHeight="false" outlineLevel="0" collapsed="false">
      <c r="B1723" s="14"/>
      <c r="C1723" s="14"/>
      <c r="D1723" s="14"/>
      <c r="E1723" s="14"/>
      <c r="F1723" s="22"/>
      <c r="G1723" s="22"/>
      <c r="BK1723" s="16"/>
    </row>
    <row r="1724" customFormat="false" ht="15" hidden="false" customHeight="false" outlineLevel="0" collapsed="false">
      <c r="B1724" s="14"/>
      <c r="C1724" s="14"/>
      <c r="D1724" s="14"/>
      <c r="E1724" s="14"/>
      <c r="F1724" s="22"/>
      <c r="G1724" s="22"/>
      <c r="BK1724" s="16"/>
    </row>
    <row r="1725" customFormat="false" ht="15" hidden="false" customHeight="false" outlineLevel="0" collapsed="false">
      <c r="B1725" s="14"/>
      <c r="C1725" s="14"/>
      <c r="D1725" s="14"/>
      <c r="E1725" s="14"/>
      <c r="F1725" s="22"/>
      <c r="G1725" s="15"/>
      <c r="BK1725" s="16"/>
    </row>
    <row r="1726" customFormat="false" ht="15" hidden="false" customHeight="false" outlineLevel="0" collapsed="false">
      <c r="B1726" s="14"/>
      <c r="C1726" s="14"/>
      <c r="D1726" s="14"/>
      <c r="E1726" s="14"/>
      <c r="F1726" s="22"/>
      <c r="G1726" s="15"/>
      <c r="BK1726" s="16"/>
    </row>
    <row r="1727" customFormat="false" ht="15" hidden="false" customHeight="false" outlineLevel="0" collapsed="false">
      <c r="B1727" s="14"/>
      <c r="C1727" s="14"/>
      <c r="D1727" s="14"/>
      <c r="E1727" s="14"/>
      <c r="F1727" s="15"/>
      <c r="G1727" s="22"/>
      <c r="BK1727" s="16"/>
    </row>
    <row r="1728" customFormat="false" ht="15" hidden="false" customHeight="false" outlineLevel="0" collapsed="false">
      <c r="B1728" s="14"/>
      <c r="C1728" s="14"/>
      <c r="D1728" s="14"/>
      <c r="E1728" s="14"/>
      <c r="F1728" s="22"/>
      <c r="G1728" s="22"/>
      <c r="BK1728" s="16"/>
    </row>
    <row r="1729" customFormat="false" ht="12" hidden="false" customHeight="true" outlineLevel="0" collapsed="false">
      <c r="B1729" s="14"/>
      <c r="C1729" s="14"/>
      <c r="D1729" s="14"/>
      <c r="E1729" s="14"/>
      <c r="F1729" s="22"/>
      <c r="G1729" s="22"/>
      <c r="BB1729" s="23"/>
      <c r="BC1729" s="23"/>
      <c r="BD1729" s="23"/>
      <c r="BE1729" s="23"/>
      <c r="BF1729" s="23"/>
      <c r="BG1729" s="23"/>
      <c r="BH1729" s="23"/>
      <c r="BI1729" s="23"/>
      <c r="BJ1729" s="23"/>
      <c r="BK1729" s="16"/>
    </row>
    <row r="1730" customFormat="false" ht="15" hidden="false" customHeight="false" outlineLevel="0" collapsed="false">
      <c r="B1730" s="14"/>
      <c r="C1730" s="14"/>
      <c r="D1730" s="14"/>
      <c r="E1730" s="14"/>
      <c r="F1730" s="22"/>
      <c r="G1730" s="22"/>
      <c r="BK1730" s="16"/>
    </row>
    <row r="1731" customFormat="false" ht="15" hidden="false" customHeight="false" outlineLevel="0" collapsed="false">
      <c r="B1731" s="14"/>
      <c r="C1731" s="14"/>
      <c r="D1731" s="14"/>
      <c r="E1731" s="14"/>
      <c r="F1731" s="22"/>
      <c r="G1731" s="15"/>
      <c r="BK1731" s="16"/>
    </row>
    <row r="1732" customFormat="false" ht="15" hidden="false" customHeight="false" outlineLevel="0" collapsed="false">
      <c r="B1732" s="14"/>
      <c r="C1732" s="14"/>
      <c r="D1732" s="14"/>
      <c r="E1732" s="14"/>
      <c r="F1732" s="22"/>
      <c r="G1732" s="14"/>
      <c r="BK1732" s="16"/>
    </row>
    <row r="1733" customFormat="false" ht="15" hidden="false" customHeight="false" outlineLevel="0" collapsed="false">
      <c r="B1733" s="14"/>
      <c r="C1733" s="14"/>
      <c r="D1733" s="14"/>
      <c r="E1733" s="14"/>
      <c r="F1733" s="22"/>
      <c r="G1733" s="22"/>
      <c r="BK1733" s="16"/>
    </row>
    <row r="1734" customFormat="false" ht="12" hidden="false" customHeight="true" outlineLevel="0" collapsed="false">
      <c r="B1734" s="14"/>
      <c r="C1734" s="14"/>
      <c r="D1734" s="14"/>
      <c r="E1734" s="14"/>
      <c r="F1734" s="22"/>
      <c r="G1734" s="22"/>
      <c r="BB1734" s="23"/>
      <c r="BC1734" s="23"/>
      <c r="BD1734" s="23"/>
      <c r="BE1734" s="23"/>
      <c r="BF1734" s="23"/>
      <c r="BG1734" s="23"/>
      <c r="BH1734" s="23"/>
      <c r="BI1734" s="23"/>
      <c r="BJ1734" s="23"/>
      <c r="BK1734" s="16"/>
    </row>
    <row r="1735" customFormat="false" ht="15" hidden="false" customHeight="false" outlineLevel="0" collapsed="false">
      <c r="B1735" s="14"/>
      <c r="C1735" s="14"/>
      <c r="D1735" s="14"/>
      <c r="E1735" s="14"/>
      <c r="F1735" s="15"/>
      <c r="G1735" s="22"/>
      <c r="BK1735" s="16"/>
    </row>
    <row r="1736" customFormat="false" ht="15" hidden="false" customHeight="false" outlineLevel="0" collapsed="false">
      <c r="B1736" s="14"/>
      <c r="C1736" s="14"/>
      <c r="D1736" s="14"/>
      <c r="E1736" s="14"/>
      <c r="F1736" s="15"/>
      <c r="G1736" s="15"/>
      <c r="BK1736" s="16"/>
    </row>
    <row r="1737" customFormat="false" ht="15" hidden="false" customHeight="false" outlineLevel="0" collapsed="false">
      <c r="B1737" s="14"/>
      <c r="C1737" s="14"/>
      <c r="D1737" s="14"/>
      <c r="E1737" s="14"/>
      <c r="F1737" s="15"/>
      <c r="G1737" s="22"/>
      <c r="BK1737" s="16"/>
    </row>
    <row r="1738" customFormat="false" ht="15" hidden="false" customHeight="false" outlineLevel="0" collapsed="false">
      <c r="B1738" s="14"/>
      <c r="C1738" s="14"/>
      <c r="D1738" s="14"/>
      <c r="E1738" s="14"/>
      <c r="F1738" s="15"/>
      <c r="G1738" s="15"/>
      <c r="BK1738" s="16"/>
    </row>
    <row r="1739" customFormat="false" ht="15" hidden="false" customHeight="false" outlineLevel="0" collapsed="false">
      <c r="B1739" s="14"/>
      <c r="C1739" s="14"/>
      <c r="D1739" s="14"/>
      <c r="E1739" s="14"/>
      <c r="F1739" s="15"/>
      <c r="G1739" s="15"/>
      <c r="BK1739" s="16"/>
    </row>
    <row r="1740" customFormat="false" ht="15" hidden="false" customHeight="false" outlineLevel="0" collapsed="false">
      <c r="B1740" s="14"/>
      <c r="C1740" s="14"/>
      <c r="D1740" s="14"/>
      <c r="E1740" s="14"/>
      <c r="F1740" s="22"/>
      <c r="G1740" s="15"/>
      <c r="BK1740" s="16"/>
    </row>
    <row r="1741" customFormat="false" ht="15" hidden="false" customHeight="false" outlineLevel="0" collapsed="false">
      <c r="B1741" s="14"/>
      <c r="C1741" s="14"/>
      <c r="D1741" s="14"/>
      <c r="E1741" s="14"/>
      <c r="F1741" s="22"/>
      <c r="G1741" s="15"/>
      <c r="BK1741" s="16"/>
    </row>
    <row r="1742" customFormat="false" ht="15" hidden="false" customHeight="false" outlineLevel="0" collapsed="false">
      <c r="B1742" s="14"/>
      <c r="C1742" s="14"/>
      <c r="D1742" s="14"/>
      <c r="E1742" s="14"/>
      <c r="F1742" s="22"/>
      <c r="G1742" s="15"/>
      <c r="BK1742" s="16"/>
    </row>
    <row r="1743" customFormat="false" ht="15" hidden="false" customHeight="false" outlineLevel="0" collapsed="false">
      <c r="B1743" s="14"/>
      <c r="C1743" s="14"/>
      <c r="D1743" s="14"/>
      <c r="E1743" s="14"/>
      <c r="F1743" s="15"/>
      <c r="G1743" s="22"/>
      <c r="BK1743" s="16"/>
    </row>
    <row r="1744" customFormat="false" ht="15" hidden="false" customHeight="false" outlineLevel="0" collapsed="false">
      <c r="B1744" s="14"/>
      <c r="C1744" s="14"/>
      <c r="D1744" s="14"/>
      <c r="E1744" s="14"/>
      <c r="F1744" s="22"/>
      <c r="G1744" s="22"/>
      <c r="BK1744" s="16"/>
    </row>
    <row r="1745" customFormat="false" ht="15" hidden="false" customHeight="false" outlineLevel="0" collapsed="false">
      <c r="B1745" s="14"/>
      <c r="C1745" s="14"/>
      <c r="D1745" s="14"/>
      <c r="E1745" s="14"/>
      <c r="F1745" s="22"/>
      <c r="G1745" s="22"/>
      <c r="BK1745" s="16"/>
    </row>
    <row r="1746" customFormat="false" ht="15" hidden="false" customHeight="false" outlineLevel="0" collapsed="false">
      <c r="B1746" s="14"/>
      <c r="C1746" s="14"/>
      <c r="D1746" s="14"/>
      <c r="E1746" s="14"/>
      <c r="F1746" s="22"/>
      <c r="G1746" s="15"/>
      <c r="BB1746" s="23"/>
      <c r="BK1746" s="16"/>
    </row>
    <row r="1747" customFormat="false" ht="15" hidden="false" customHeight="false" outlineLevel="0" collapsed="false">
      <c r="B1747" s="14"/>
      <c r="C1747" s="14"/>
      <c r="D1747" s="14"/>
      <c r="E1747" s="14"/>
      <c r="F1747" s="15"/>
      <c r="G1747" s="15"/>
      <c r="BK1747" s="16"/>
    </row>
    <row r="1748" customFormat="false" ht="15" hidden="false" customHeight="false" outlineLevel="0" collapsed="false">
      <c r="B1748" s="14"/>
      <c r="C1748" s="14"/>
      <c r="D1748" s="14"/>
      <c r="E1748" s="14"/>
      <c r="F1748" s="22"/>
      <c r="G1748" s="15"/>
      <c r="BK1748" s="16"/>
    </row>
    <row r="1749" customFormat="false" ht="15" hidden="false" customHeight="false" outlineLevel="0" collapsed="false">
      <c r="B1749" s="14"/>
      <c r="C1749" s="14"/>
      <c r="D1749" s="14"/>
      <c r="E1749" s="14"/>
      <c r="F1749" s="22"/>
      <c r="G1749" s="15"/>
      <c r="BK1749" s="16"/>
    </row>
    <row r="1750" customFormat="false" ht="15" hidden="false" customHeight="false" outlineLevel="0" collapsed="false">
      <c r="B1750" s="14"/>
      <c r="C1750" s="14"/>
      <c r="D1750" s="14"/>
      <c r="E1750" s="14"/>
      <c r="F1750" s="15"/>
      <c r="G1750" s="15"/>
      <c r="BK1750" s="16"/>
    </row>
    <row r="1751" s="11" customFormat="true" ht="15" hidden="false" customHeight="false" outlineLevel="0" collapsed="false">
      <c r="A1751" s="7"/>
      <c r="B1751" s="53"/>
      <c r="C1751" s="53"/>
      <c r="D1751" s="53"/>
      <c r="E1751" s="53"/>
      <c r="F1751" s="53"/>
      <c r="G1751" s="53"/>
      <c r="T1751" s="54"/>
      <c r="BA1751" s="54"/>
      <c r="BK1751" s="13"/>
    </row>
    <row r="1752" customFormat="false" ht="15" hidden="false" customHeight="false" outlineLevel="0" collapsed="false">
      <c r="B1752" s="14"/>
      <c r="C1752" s="14"/>
      <c r="D1752" s="14"/>
      <c r="E1752" s="14"/>
      <c r="F1752" s="22"/>
      <c r="G1752" s="15"/>
      <c r="BK1752" s="16"/>
    </row>
    <row r="1753" customFormat="false" ht="15" hidden="false" customHeight="false" outlineLevel="0" collapsed="false">
      <c r="B1753" s="14"/>
      <c r="C1753" s="14"/>
      <c r="D1753" s="14"/>
      <c r="E1753" s="14"/>
      <c r="F1753" s="15"/>
      <c r="G1753" s="15"/>
      <c r="BK1753" s="16"/>
    </row>
    <row r="1754" customFormat="false" ht="15" hidden="false" customHeight="false" outlineLevel="0" collapsed="false">
      <c r="B1754" s="14"/>
      <c r="C1754" s="14"/>
      <c r="D1754" s="14"/>
      <c r="E1754" s="14"/>
      <c r="F1754" s="22"/>
      <c r="G1754" s="22"/>
      <c r="BK1754" s="16"/>
    </row>
    <row r="1755" customFormat="false" ht="15" hidden="false" customHeight="false" outlineLevel="0" collapsed="false">
      <c r="B1755" s="14"/>
      <c r="C1755" s="14"/>
      <c r="D1755" s="14"/>
      <c r="E1755" s="14"/>
      <c r="F1755" s="22"/>
      <c r="G1755" s="15"/>
      <c r="BK1755" s="16"/>
    </row>
    <row r="1756" customFormat="false" ht="15" hidden="false" customHeight="false" outlineLevel="0" collapsed="false">
      <c r="B1756" s="14"/>
      <c r="C1756" s="14"/>
      <c r="D1756" s="14"/>
      <c r="E1756" s="14"/>
      <c r="F1756" s="22"/>
      <c r="G1756" s="15"/>
      <c r="BB1756" s="23"/>
      <c r="BK1756" s="16"/>
    </row>
    <row r="1757" customFormat="false" ht="15" hidden="false" customHeight="false" outlineLevel="0" collapsed="false">
      <c r="B1757" s="14"/>
      <c r="C1757" s="14"/>
      <c r="D1757" s="14"/>
      <c r="E1757" s="14"/>
      <c r="F1757" s="22"/>
      <c r="G1757" s="22"/>
      <c r="BK1757" s="16"/>
    </row>
    <row r="1758" customFormat="false" ht="15" hidden="false" customHeight="false" outlineLevel="0" collapsed="false">
      <c r="B1758" s="14"/>
      <c r="C1758" s="14"/>
      <c r="D1758" s="14"/>
      <c r="E1758" s="14"/>
      <c r="F1758" s="22"/>
      <c r="G1758" s="22"/>
      <c r="BK1758" s="16"/>
    </row>
    <row r="1759" customFormat="false" ht="15" hidden="false" customHeight="false" outlineLevel="0" collapsed="false">
      <c r="B1759" s="14"/>
      <c r="C1759" s="14"/>
      <c r="D1759" s="14"/>
      <c r="E1759" s="14"/>
      <c r="F1759" s="15"/>
      <c r="G1759" s="15"/>
      <c r="BK1759" s="16"/>
    </row>
    <row r="1760" customFormat="false" ht="15" hidden="false" customHeight="false" outlineLevel="0" collapsed="false">
      <c r="B1760" s="14"/>
      <c r="C1760" s="14"/>
      <c r="D1760" s="14"/>
      <c r="E1760" s="14"/>
      <c r="F1760" s="22"/>
      <c r="G1760" s="15"/>
      <c r="BK1760" s="16"/>
    </row>
    <row r="1761" customFormat="false" ht="15" hidden="false" customHeight="false" outlineLevel="0" collapsed="false">
      <c r="B1761" s="14"/>
      <c r="C1761" s="14"/>
      <c r="D1761" s="14"/>
      <c r="E1761" s="14"/>
      <c r="F1761" s="22"/>
      <c r="G1761" s="22"/>
      <c r="BK1761" s="16"/>
    </row>
    <row r="1762" customFormat="false" ht="15" hidden="false" customHeight="false" outlineLevel="0" collapsed="false">
      <c r="B1762" s="14"/>
      <c r="C1762" s="14"/>
      <c r="D1762" s="14"/>
      <c r="E1762" s="14"/>
      <c r="F1762" s="22"/>
      <c r="G1762" s="15"/>
      <c r="BK1762" s="16"/>
    </row>
    <row r="1763" customFormat="false" ht="15" hidden="false" customHeight="false" outlineLevel="0" collapsed="false">
      <c r="B1763" s="14"/>
      <c r="C1763" s="14"/>
      <c r="D1763" s="14"/>
      <c r="E1763" s="14"/>
      <c r="F1763" s="22"/>
      <c r="G1763" s="15"/>
      <c r="BK1763" s="16"/>
    </row>
    <row r="1764" customFormat="false" ht="15" hidden="false" customHeight="false" outlineLevel="0" collapsed="false">
      <c r="B1764" s="14"/>
      <c r="C1764" s="14"/>
      <c r="D1764" s="14"/>
      <c r="E1764" s="14"/>
      <c r="F1764" s="22"/>
      <c r="G1764" s="15"/>
      <c r="BK1764" s="16"/>
    </row>
    <row r="1765" customFormat="false" ht="15" hidden="false" customHeight="false" outlineLevel="0" collapsed="false">
      <c r="B1765" s="14"/>
      <c r="C1765" s="14"/>
      <c r="D1765" s="14"/>
      <c r="E1765" s="14"/>
      <c r="F1765" s="22"/>
      <c r="G1765" s="15"/>
      <c r="BB1765" s="23"/>
      <c r="BK1765" s="16"/>
    </row>
    <row r="1766" customFormat="false" ht="15" hidden="false" customHeight="false" outlineLevel="0" collapsed="false">
      <c r="B1766" s="14"/>
      <c r="C1766" s="14"/>
      <c r="D1766" s="14"/>
      <c r="E1766" s="14"/>
      <c r="F1766" s="22"/>
      <c r="G1766" s="15"/>
      <c r="BK1766" s="16"/>
    </row>
    <row r="1767" customFormat="false" ht="15" hidden="false" customHeight="false" outlineLevel="0" collapsed="false">
      <c r="B1767" s="14"/>
      <c r="C1767" s="14"/>
      <c r="D1767" s="14"/>
      <c r="E1767" s="14"/>
      <c r="F1767" s="22"/>
      <c r="G1767" s="15"/>
      <c r="BK1767" s="16"/>
    </row>
    <row r="1768" customFormat="false" ht="15" hidden="false" customHeight="false" outlineLevel="0" collapsed="false">
      <c r="B1768" s="14"/>
      <c r="C1768" s="14"/>
      <c r="D1768" s="14"/>
      <c r="E1768" s="14"/>
      <c r="F1768" s="22"/>
      <c r="G1768" s="15"/>
      <c r="BK1768" s="16"/>
    </row>
    <row r="1769" customFormat="false" ht="15" hidden="false" customHeight="false" outlineLevel="0" collapsed="false">
      <c r="B1769" s="14"/>
      <c r="C1769" s="14"/>
      <c r="D1769" s="14"/>
      <c r="E1769" s="14"/>
      <c r="F1769" s="22"/>
      <c r="G1769" s="22"/>
      <c r="BK1769" s="16"/>
    </row>
    <row r="1770" customFormat="false" ht="15" hidden="false" customHeight="false" outlineLevel="0" collapsed="false">
      <c r="B1770" s="14"/>
      <c r="C1770" s="14"/>
      <c r="D1770" s="14"/>
      <c r="E1770" s="14"/>
      <c r="F1770" s="22"/>
      <c r="G1770" s="22"/>
      <c r="BK1770" s="16"/>
    </row>
    <row r="1771" customFormat="false" ht="15" hidden="false" customHeight="false" outlineLevel="0" collapsed="false">
      <c r="B1771" s="14"/>
      <c r="C1771" s="14"/>
      <c r="D1771" s="14"/>
      <c r="E1771" s="14"/>
      <c r="F1771" s="22"/>
      <c r="G1771" s="15"/>
      <c r="BK1771" s="16"/>
    </row>
    <row r="1772" customFormat="false" ht="15" hidden="false" customHeight="false" outlineLevel="0" collapsed="false">
      <c r="B1772" s="14"/>
      <c r="C1772" s="14"/>
      <c r="D1772" s="14"/>
      <c r="E1772" s="14"/>
      <c r="F1772" s="22"/>
      <c r="G1772" s="15"/>
      <c r="BK1772" s="16"/>
    </row>
    <row r="1773" customFormat="false" ht="15" hidden="false" customHeight="false" outlineLevel="0" collapsed="false">
      <c r="B1773" s="14"/>
      <c r="C1773" s="14"/>
      <c r="D1773" s="14"/>
      <c r="E1773" s="14"/>
      <c r="F1773" s="22"/>
      <c r="G1773" s="22"/>
      <c r="BK1773" s="16"/>
    </row>
    <row r="1774" customFormat="false" ht="15" hidden="false" customHeight="false" outlineLevel="0" collapsed="false">
      <c r="B1774" s="14"/>
      <c r="C1774" s="14"/>
      <c r="D1774" s="14"/>
      <c r="E1774" s="14"/>
      <c r="F1774" s="22"/>
      <c r="G1774" s="15"/>
      <c r="BK1774" s="16"/>
    </row>
    <row r="1775" customFormat="false" ht="15" hidden="false" customHeight="false" outlineLevel="0" collapsed="false">
      <c r="B1775" s="14"/>
      <c r="C1775" s="14"/>
      <c r="D1775" s="14"/>
      <c r="E1775" s="14"/>
      <c r="F1775" s="22"/>
      <c r="G1775" s="15"/>
      <c r="BK1775" s="16"/>
    </row>
    <row r="1776" customFormat="false" ht="15" hidden="false" customHeight="false" outlineLevel="0" collapsed="false">
      <c r="B1776" s="14"/>
      <c r="C1776" s="14"/>
      <c r="D1776" s="14"/>
      <c r="E1776" s="14"/>
      <c r="F1776" s="22"/>
      <c r="G1776" s="22"/>
      <c r="BK1776" s="16"/>
    </row>
    <row r="1777" customFormat="false" ht="15" hidden="false" customHeight="false" outlineLevel="0" collapsed="false">
      <c r="B1777" s="14"/>
      <c r="C1777" s="14"/>
      <c r="D1777" s="14"/>
      <c r="E1777" s="14"/>
      <c r="F1777" s="22"/>
      <c r="G1777" s="15"/>
      <c r="BB1777" s="23"/>
      <c r="BK1777" s="16"/>
    </row>
    <row r="1778" s="23" customFormat="true" ht="15" hidden="false" customHeight="false" outlineLevel="0" collapsed="false">
      <c r="A1778" s="1"/>
      <c r="B1778" s="14"/>
      <c r="C1778" s="14"/>
      <c r="D1778" s="14"/>
      <c r="E1778" s="14"/>
      <c r="F1778" s="22"/>
      <c r="G1778" s="22"/>
      <c r="T1778" s="5"/>
      <c r="V1778" s="3"/>
      <c r="W1778" s="3"/>
      <c r="X1778" s="3"/>
      <c r="Y1778" s="3"/>
      <c r="Z1778" s="3"/>
      <c r="AA1778" s="3"/>
      <c r="AB1778" s="3"/>
      <c r="BA1778" s="5"/>
      <c r="BK1778" s="16"/>
    </row>
    <row r="1779" customFormat="false" ht="15" hidden="false" customHeight="false" outlineLevel="0" collapsed="false">
      <c r="B1779" s="14"/>
      <c r="C1779" s="14"/>
      <c r="D1779" s="14"/>
      <c r="E1779" s="14"/>
      <c r="F1779" s="15"/>
      <c r="G1779" s="15"/>
      <c r="BK1779" s="16"/>
    </row>
    <row r="1780" s="23" customFormat="true" ht="15" hidden="false" customHeight="false" outlineLevel="0" collapsed="false">
      <c r="A1780" s="1"/>
      <c r="B1780" s="14"/>
      <c r="C1780" s="14"/>
      <c r="D1780" s="14"/>
      <c r="E1780" s="14"/>
      <c r="F1780" s="22"/>
      <c r="G1780" s="22"/>
      <c r="T1780" s="5"/>
      <c r="V1780" s="3"/>
      <c r="W1780" s="3"/>
      <c r="X1780" s="3"/>
      <c r="Y1780" s="3"/>
      <c r="Z1780" s="3"/>
      <c r="AA1780" s="3"/>
      <c r="AB1780" s="3"/>
      <c r="BA1780" s="5"/>
      <c r="BK1780" s="16"/>
    </row>
    <row r="1781" customFormat="false" ht="15" hidden="false" customHeight="false" outlineLevel="0" collapsed="false">
      <c r="B1781" s="14"/>
      <c r="C1781" s="14"/>
      <c r="D1781" s="14"/>
      <c r="E1781" s="14"/>
      <c r="F1781" s="22"/>
      <c r="G1781" s="15"/>
      <c r="BB1781" s="23"/>
      <c r="BK1781" s="16"/>
    </row>
    <row r="1782" s="23" customFormat="true" ht="15" hidden="false" customHeight="false" outlineLevel="0" collapsed="false">
      <c r="A1782" s="1"/>
      <c r="B1782" s="14"/>
      <c r="C1782" s="14"/>
      <c r="D1782" s="14"/>
      <c r="E1782" s="14"/>
      <c r="F1782" s="22"/>
      <c r="G1782" s="22"/>
      <c r="T1782" s="5"/>
      <c r="AP1782" s="3"/>
      <c r="AQ1782" s="3"/>
      <c r="AR1782" s="3"/>
      <c r="AS1782" s="3"/>
      <c r="AT1782" s="3"/>
      <c r="AU1782" s="3"/>
      <c r="AV1782" s="3"/>
      <c r="AW1782" s="3"/>
      <c r="AX1782" s="3"/>
      <c r="AY1782" s="3"/>
      <c r="AZ1782" s="3"/>
      <c r="BA1782" s="5"/>
      <c r="BK1782" s="16"/>
    </row>
    <row r="1783" customFormat="false" ht="15" hidden="false" customHeight="false" outlineLevel="0" collapsed="false">
      <c r="B1783" s="14"/>
      <c r="C1783" s="14"/>
      <c r="D1783" s="14"/>
      <c r="E1783" s="14"/>
      <c r="F1783" s="22"/>
      <c r="G1783" s="15"/>
      <c r="BB1783" s="23"/>
      <c r="BK1783" s="16"/>
    </row>
    <row r="1784" customFormat="false" ht="15" hidden="false" customHeight="false" outlineLevel="0" collapsed="false">
      <c r="B1784" s="14"/>
      <c r="C1784" s="14"/>
      <c r="D1784" s="14"/>
      <c r="E1784" s="14"/>
      <c r="F1784" s="22"/>
      <c r="G1784" s="15"/>
      <c r="BK1784" s="16"/>
    </row>
    <row r="1785" s="23" customFormat="true" ht="15" hidden="false" customHeight="false" outlineLevel="0" collapsed="false">
      <c r="A1785" s="1"/>
      <c r="B1785" s="14"/>
      <c r="C1785" s="14"/>
      <c r="D1785" s="14"/>
      <c r="E1785" s="14"/>
      <c r="F1785" s="22"/>
      <c r="G1785" s="22"/>
      <c r="T1785" s="5"/>
      <c r="AP1785" s="3"/>
      <c r="AQ1785" s="3"/>
      <c r="AR1785" s="3"/>
      <c r="AS1785" s="3"/>
      <c r="AT1785" s="3"/>
      <c r="AU1785" s="3"/>
      <c r="AV1785" s="3"/>
      <c r="AW1785" s="3"/>
      <c r="AX1785" s="3"/>
      <c r="AY1785" s="3"/>
      <c r="AZ1785" s="3"/>
      <c r="BA1785" s="5"/>
      <c r="BK1785" s="16"/>
    </row>
    <row r="1786" customFormat="false" ht="15" hidden="false" customHeight="false" outlineLevel="0" collapsed="false">
      <c r="B1786" s="14"/>
      <c r="C1786" s="14"/>
      <c r="D1786" s="14"/>
      <c r="E1786" s="14"/>
      <c r="F1786" s="22"/>
      <c r="G1786" s="22"/>
      <c r="BK1786" s="16"/>
    </row>
    <row r="1787" customFormat="false" ht="15" hidden="false" customHeight="false" outlineLevel="0" collapsed="false">
      <c r="B1787" s="14"/>
      <c r="C1787" s="14"/>
      <c r="D1787" s="14"/>
      <c r="E1787" s="14"/>
      <c r="F1787" s="22"/>
      <c r="G1787" s="22"/>
      <c r="BK1787" s="16"/>
    </row>
    <row r="1788" s="23" customFormat="true" ht="15" hidden="false" customHeight="false" outlineLevel="0" collapsed="false">
      <c r="A1788" s="1"/>
      <c r="B1788" s="14"/>
      <c r="C1788" s="14"/>
      <c r="D1788" s="14"/>
      <c r="E1788" s="14"/>
      <c r="F1788" s="22"/>
      <c r="G1788" s="22"/>
      <c r="T1788" s="5"/>
      <c r="BA1788" s="5"/>
      <c r="BK1788" s="16"/>
    </row>
    <row r="1789" customFormat="false" ht="15" hidden="false" customHeight="false" outlineLevel="0" collapsed="false">
      <c r="B1789" s="14"/>
      <c r="C1789" s="14"/>
      <c r="D1789" s="14"/>
      <c r="E1789" s="14"/>
      <c r="F1789" s="22"/>
      <c r="G1789" s="22"/>
      <c r="BK1789" s="16"/>
    </row>
    <row r="1790" customFormat="false" ht="15" hidden="false" customHeight="false" outlineLevel="0" collapsed="false">
      <c r="B1790" s="14"/>
      <c r="C1790" s="14"/>
      <c r="D1790" s="14"/>
      <c r="E1790" s="14"/>
      <c r="F1790" s="22"/>
      <c r="G1790" s="22"/>
      <c r="BB1790" s="23"/>
      <c r="BK1790" s="16"/>
    </row>
    <row r="1791" customFormat="false" ht="15" hidden="false" customHeight="false" outlineLevel="0" collapsed="false">
      <c r="B1791" s="14"/>
      <c r="C1791" s="14"/>
      <c r="D1791" s="14"/>
      <c r="E1791" s="14"/>
      <c r="F1791" s="22"/>
      <c r="G1791" s="22"/>
      <c r="BK1791" s="16"/>
    </row>
    <row r="1792" s="23" customFormat="true" ht="15" hidden="false" customHeight="false" outlineLevel="0" collapsed="false">
      <c r="A1792" s="1"/>
      <c r="B1792" s="14"/>
      <c r="C1792" s="14"/>
      <c r="D1792" s="14"/>
      <c r="E1792" s="14"/>
      <c r="F1792" s="22"/>
      <c r="G1792" s="22"/>
      <c r="T1792" s="5"/>
      <c r="V1792" s="3"/>
      <c r="W1792" s="3"/>
      <c r="X1792" s="3"/>
      <c r="Y1792" s="3"/>
      <c r="Z1792" s="3"/>
      <c r="AA1792" s="3"/>
      <c r="AB1792" s="3"/>
      <c r="BA1792" s="5"/>
      <c r="BK1792" s="16"/>
    </row>
    <row r="1793" customFormat="false" ht="15" hidden="false" customHeight="false" outlineLevel="0" collapsed="false">
      <c r="B1793" s="14"/>
      <c r="C1793" s="14"/>
      <c r="D1793" s="14"/>
      <c r="E1793" s="14"/>
      <c r="F1793" s="22"/>
      <c r="G1793" s="22"/>
      <c r="BK1793" s="16"/>
    </row>
    <row r="1794" customFormat="false" ht="15" hidden="false" customHeight="false" outlineLevel="0" collapsed="false">
      <c r="B1794" s="14"/>
      <c r="C1794" s="14"/>
      <c r="D1794" s="14"/>
      <c r="E1794" s="14"/>
      <c r="F1794" s="22"/>
      <c r="G1794" s="22"/>
      <c r="AP1794" s="23"/>
      <c r="AQ1794" s="23"/>
      <c r="AR1794" s="23"/>
      <c r="AS1794" s="23"/>
      <c r="AT1794" s="23"/>
      <c r="AU1794" s="23"/>
      <c r="AV1794" s="23"/>
      <c r="AW1794" s="23"/>
      <c r="AX1794" s="23"/>
      <c r="AY1794" s="23"/>
      <c r="AZ1794" s="23"/>
      <c r="BB1794" s="23"/>
      <c r="BC1794" s="23"/>
      <c r="BD1794" s="23"/>
      <c r="BE1794" s="23"/>
      <c r="BF1794" s="23"/>
      <c r="BG1794" s="23"/>
      <c r="BH1794" s="23"/>
      <c r="BJ1794" s="23"/>
      <c r="BK1794" s="16"/>
    </row>
    <row r="1795" customFormat="false" ht="15" hidden="false" customHeight="false" outlineLevel="0" collapsed="false">
      <c r="B1795" s="14"/>
      <c r="C1795" s="14"/>
      <c r="D1795" s="14"/>
      <c r="E1795" s="14"/>
      <c r="F1795" s="22"/>
      <c r="G1795" s="22"/>
      <c r="AP1795" s="23"/>
      <c r="AQ1795" s="23"/>
      <c r="AR1795" s="23"/>
      <c r="AS1795" s="23"/>
      <c r="AT1795" s="23"/>
      <c r="AU1795" s="23"/>
      <c r="AV1795" s="23"/>
      <c r="AW1795" s="23"/>
      <c r="AX1795" s="23"/>
      <c r="AY1795" s="23"/>
      <c r="AZ1795" s="23"/>
      <c r="BB1795" s="23"/>
      <c r="BK1795" s="16"/>
    </row>
    <row r="1796" s="23" customFormat="true" ht="15" hidden="false" customHeight="false" outlineLevel="0" collapsed="false">
      <c r="A1796" s="1"/>
      <c r="B1796" s="14"/>
      <c r="C1796" s="14"/>
      <c r="D1796" s="14"/>
      <c r="E1796" s="14"/>
      <c r="F1796" s="22"/>
      <c r="G1796" s="22"/>
      <c r="T1796" s="5"/>
      <c r="BA1796" s="5"/>
      <c r="BK1796" s="16"/>
    </row>
    <row r="1797" s="23" customFormat="true" ht="15" hidden="false" customHeight="false" outlineLevel="0" collapsed="false">
      <c r="A1797" s="1"/>
      <c r="B1797" s="14"/>
      <c r="C1797" s="14"/>
      <c r="D1797" s="14"/>
      <c r="E1797" s="14"/>
      <c r="F1797" s="22"/>
      <c r="G1797" s="22"/>
      <c r="T1797" s="5"/>
      <c r="BA1797" s="5"/>
      <c r="BK1797" s="16"/>
    </row>
    <row r="1798" customFormat="false" ht="15" hidden="false" customHeight="false" outlineLevel="0" collapsed="false">
      <c r="B1798" s="14"/>
      <c r="C1798" s="14"/>
      <c r="D1798" s="14"/>
      <c r="E1798" s="14"/>
      <c r="F1798" s="22"/>
      <c r="G1798" s="22"/>
      <c r="AP1798" s="23"/>
      <c r="AQ1798" s="23"/>
      <c r="AR1798" s="23"/>
      <c r="AS1798" s="23"/>
      <c r="AT1798" s="23"/>
      <c r="AU1798" s="23"/>
      <c r="AV1798" s="23"/>
      <c r="AW1798" s="23"/>
      <c r="AX1798" s="23"/>
      <c r="AY1798" s="23"/>
      <c r="AZ1798" s="23"/>
      <c r="BB1798" s="23"/>
      <c r="BC1798" s="23"/>
      <c r="BD1798" s="23"/>
      <c r="BE1798" s="23"/>
      <c r="BF1798" s="23"/>
      <c r="BG1798" s="23"/>
      <c r="BH1798" s="23"/>
      <c r="BJ1798" s="23"/>
      <c r="BK1798" s="16"/>
    </row>
    <row r="1799" customFormat="false" ht="15" hidden="false" customHeight="false" outlineLevel="0" collapsed="false">
      <c r="B1799" s="14"/>
      <c r="C1799" s="14"/>
      <c r="D1799" s="14"/>
      <c r="E1799" s="14"/>
      <c r="F1799" s="22"/>
      <c r="G1799" s="15"/>
      <c r="BK1799" s="16"/>
    </row>
    <row r="1800" customFormat="false" ht="15" hidden="false" customHeight="false" outlineLevel="0" collapsed="false">
      <c r="B1800" s="14"/>
      <c r="C1800" s="14"/>
      <c r="D1800" s="14"/>
      <c r="E1800" s="14"/>
      <c r="F1800" s="22"/>
      <c r="G1800" s="22"/>
      <c r="BK1800" s="16"/>
    </row>
    <row r="1801" s="23" customFormat="true" ht="15" hidden="false" customHeight="false" outlineLevel="0" collapsed="false">
      <c r="A1801" s="1"/>
      <c r="B1801" s="14"/>
      <c r="C1801" s="14"/>
      <c r="D1801" s="14"/>
      <c r="E1801" s="14"/>
      <c r="F1801" s="22"/>
      <c r="G1801" s="22"/>
      <c r="T1801" s="5"/>
      <c r="V1801" s="3"/>
      <c r="W1801" s="3"/>
      <c r="X1801" s="3"/>
      <c r="Y1801" s="3"/>
      <c r="Z1801" s="3"/>
      <c r="AA1801" s="3"/>
      <c r="AB1801" s="3"/>
      <c r="AP1801" s="3"/>
      <c r="AQ1801" s="3"/>
      <c r="AR1801" s="3"/>
      <c r="AS1801" s="3"/>
      <c r="AT1801" s="3"/>
      <c r="AU1801" s="3"/>
      <c r="AV1801" s="3"/>
      <c r="AW1801" s="3"/>
      <c r="AX1801" s="3"/>
      <c r="AY1801" s="3"/>
      <c r="AZ1801" s="3"/>
      <c r="BA1801" s="5"/>
      <c r="BK1801" s="16"/>
    </row>
    <row r="1802" customFormat="false" ht="15" hidden="false" customHeight="false" outlineLevel="0" collapsed="false">
      <c r="B1802" s="14"/>
      <c r="C1802" s="14"/>
      <c r="D1802" s="14"/>
      <c r="E1802" s="14"/>
      <c r="F1802" s="22"/>
      <c r="G1802" s="22"/>
      <c r="BK1802" s="16"/>
    </row>
    <row r="1803" customFormat="false" ht="15" hidden="false" customHeight="false" outlineLevel="0" collapsed="false">
      <c r="B1803" s="14"/>
      <c r="C1803" s="14"/>
      <c r="D1803" s="14"/>
      <c r="E1803" s="14"/>
      <c r="F1803" s="22"/>
      <c r="G1803" s="15"/>
      <c r="BB1803" s="23"/>
      <c r="BK1803" s="16"/>
    </row>
    <row r="1804" customFormat="false" ht="15" hidden="false" customHeight="false" outlineLevel="0" collapsed="false">
      <c r="B1804" s="14"/>
      <c r="C1804" s="14"/>
      <c r="D1804" s="14"/>
      <c r="E1804" s="14"/>
      <c r="F1804" s="15"/>
      <c r="G1804" s="15"/>
      <c r="BB1804" s="23"/>
      <c r="BK1804" s="16"/>
    </row>
    <row r="1805" customFormat="false" ht="15" hidden="false" customHeight="false" outlineLevel="0" collapsed="false">
      <c r="B1805" s="14"/>
      <c r="C1805" s="14"/>
      <c r="D1805" s="14"/>
      <c r="E1805" s="14"/>
      <c r="F1805" s="15"/>
      <c r="G1805" s="15"/>
      <c r="BB1805" s="23"/>
      <c r="BK1805" s="16"/>
    </row>
    <row r="1806" customFormat="false" ht="15" hidden="false" customHeight="false" outlineLevel="0" collapsed="false">
      <c r="B1806" s="14"/>
      <c r="C1806" s="14"/>
      <c r="D1806" s="14"/>
      <c r="E1806" s="14"/>
      <c r="F1806" s="22"/>
      <c r="G1806" s="22"/>
      <c r="BK1806" s="16"/>
    </row>
    <row r="1807" customFormat="false" ht="15" hidden="false" customHeight="false" outlineLevel="0" collapsed="false">
      <c r="B1807" s="14"/>
      <c r="C1807" s="14"/>
      <c r="D1807" s="14"/>
      <c r="E1807" s="14"/>
      <c r="F1807" s="22"/>
      <c r="G1807" s="22"/>
      <c r="BK1807" s="16"/>
    </row>
    <row r="1808" s="23" customFormat="true" ht="15" hidden="false" customHeight="false" outlineLevel="0" collapsed="false">
      <c r="A1808" s="1"/>
      <c r="B1808" s="14"/>
      <c r="C1808" s="14"/>
      <c r="D1808" s="14"/>
      <c r="E1808" s="14"/>
      <c r="F1808" s="22"/>
      <c r="G1808" s="22"/>
      <c r="T1808" s="5"/>
      <c r="BA1808" s="5"/>
      <c r="BK1808" s="16"/>
    </row>
    <row r="1809" customFormat="false" ht="15" hidden="false" customHeight="false" outlineLevel="0" collapsed="false">
      <c r="B1809" s="14"/>
      <c r="C1809" s="14"/>
      <c r="D1809" s="14"/>
      <c r="E1809" s="14"/>
      <c r="F1809" s="22"/>
      <c r="G1809" s="22"/>
      <c r="BK1809" s="16"/>
    </row>
    <row r="1810" customFormat="false" ht="15" hidden="false" customHeight="false" outlineLevel="0" collapsed="false">
      <c r="B1810" s="14"/>
      <c r="C1810" s="14"/>
      <c r="D1810" s="14"/>
      <c r="E1810" s="14"/>
      <c r="F1810" s="22"/>
      <c r="G1810" s="22"/>
      <c r="BK1810" s="16"/>
    </row>
    <row r="1811" customFormat="false" ht="15" hidden="false" customHeight="false" outlineLevel="0" collapsed="false">
      <c r="B1811" s="14"/>
      <c r="C1811" s="14"/>
      <c r="D1811" s="14"/>
      <c r="E1811" s="14"/>
      <c r="F1811" s="22"/>
      <c r="G1811" s="22"/>
      <c r="BK1811" s="16"/>
    </row>
    <row r="1812" s="11" customFormat="true" ht="15" hidden="false" customHeight="false" outlineLevel="0" collapsed="false">
      <c r="A1812" s="7"/>
      <c r="B1812" s="53"/>
      <c r="C1812" s="53"/>
      <c r="D1812" s="53"/>
      <c r="E1812" s="53"/>
      <c r="F1812" s="53"/>
      <c r="G1812" s="53"/>
      <c r="T1812" s="54"/>
      <c r="BA1812" s="54"/>
      <c r="BK1812" s="13"/>
    </row>
    <row r="1813" customFormat="false" ht="15" hidden="false" customHeight="false" outlineLevel="0" collapsed="false">
      <c r="B1813" s="14"/>
      <c r="C1813" s="14"/>
      <c r="D1813" s="14"/>
      <c r="E1813" s="14"/>
      <c r="F1813" s="22"/>
      <c r="G1813" s="22"/>
      <c r="BK1813" s="16"/>
    </row>
    <row r="1814" customFormat="false" ht="15" hidden="false" customHeight="false" outlineLevel="0" collapsed="false">
      <c r="B1814" s="14"/>
      <c r="C1814" s="14"/>
      <c r="D1814" s="14"/>
      <c r="E1814" s="14"/>
      <c r="F1814" s="22"/>
      <c r="G1814" s="22"/>
      <c r="BK1814" s="16"/>
    </row>
    <row r="1815" customFormat="false" ht="15" hidden="false" customHeight="false" outlineLevel="0" collapsed="false">
      <c r="B1815" s="14"/>
      <c r="C1815" s="14"/>
      <c r="D1815" s="14"/>
      <c r="E1815" s="14"/>
      <c r="F1815" s="22"/>
      <c r="G1815" s="22"/>
      <c r="BK1815" s="16"/>
    </row>
    <row r="1816" customFormat="false" ht="15" hidden="false" customHeight="false" outlineLevel="0" collapsed="false">
      <c r="B1816" s="14"/>
      <c r="C1816" s="14"/>
      <c r="D1816" s="14"/>
      <c r="E1816" s="14"/>
      <c r="F1816" s="22"/>
      <c r="G1816" s="15"/>
      <c r="BK1816" s="16"/>
    </row>
    <row r="1817" s="23" customFormat="true" ht="15" hidden="false" customHeight="false" outlineLevel="0" collapsed="false">
      <c r="A1817" s="1"/>
      <c r="B1817" s="14"/>
      <c r="C1817" s="14"/>
      <c r="D1817" s="14"/>
      <c r="E1817" s="14"/>
      <c r="F1817" s="22"/>
      <c r="G1817" s="22"/>
      <c r="T1817" s="5"/>
      <c r="V1817" s="3"/>
      <c r="W1817" s="3"/>
      <c r="X1817" s="3"/>
      <c r="Y1817" s="3"/>
      <c r="Z1817" s="3"/>
      <c r="AA1817" s="3"/>
      <c r="AB1817" s="3"/>
      <c r="AP1817" s="3"/>
      <c r="BA1817" s="5"/>
      <c r="BK1817" s="16"/>
    </row>
    <row r="1818" customFormat="false" ht="15" hidden="false" customHeight="false" outlineLevel="0" collapsed="false">
      <c r="B1818" s="14"/>
      <c r="C1818" s="14"/>
      <c r="D1818" s="14"/>
      <c r="E1818" s="14"/>
      <c r="F1818" s="22"/>
      <c r="G1818" s="15"/>
      <c r="BK1818" s="16"/>
    </row>
    <row r="1819" customFormat="false" ht="15" hidden="false" customHeight="false" outlineLevel="0" collapsed="false">
      <c r="B1819" s="14"/>
      <c r="C1819" s="14"/>
      <c r="D1819" s="14"/>
      <c r="E1819" s="14"/>
      <c r="F1819" s="22"/>
      <c r="G1819" s="22"/>
      <c r="BK1819" s="16"/>
    </row>
    <row r="1820" customFormat="false" ht="15" hidden="false" customHeight="false" outlineLevel="0" collapsed="false">
      <c r="B1820" s="14"/>
      <c r="C1820" s="14"/>
      <c r="D1820" s="14"/>
      <c r="E1820" s="14"/>
      <c r="F1820" s="22"/>
      <c r="G1820" s="15"/>
      <c r="BB1820" s="23"/>
      <c r="BK1820" s="16"/>
    </row>
    <row r="1821" customFormat="false" ht="15" hidden="false" customHeight="false" outlineLevel="0" collapsed="false">
      <c r="B1821" s="14"/>
      <c r="C1821" s="14"/>
      <c r="D1821" s="14"/>
      <c r="E1821" s="14"/>
      <c r="F1821" s="22"/>
      <c r="G1821" s="15"/>
      <c r="BB1821" s="23"/>
      <c r="BK1821" s="16"/>
    </row>
    <row r="1822" customFormat="false" ht="15" hidden="false" customHeight="false" outlineLevel="0" collapsed="false">
      <c r="B1822" s="14"/>
      <c r="C1822" s="14"/>
      <c r="D1822" s="14"/>
      <c r="E1822" s="14"/>
      <c r="F1822" s="22"/>
      <c r="G1822" s="22"/>
      <c r="BK1822" s="16"/>
    </row>
    <row r="1823" customFormat="false" ht="15" hidden="false" customHeight="false" outlineLevel="0" collapsed="false">
      <c r="B1823" s="14"/>
      <c r="C1823" s="14"/>
      <c r="D1823" s="14"/>
      <c r="E1823" s="14"/>
      <c r="F1823" s="22"/>
      <c r="G1823" s="15"/>
      <c r="BB1823" s="23"/>
      <c r="BK1823" s="16"/>
    </row>
    <row r="1824" s="23" customFormat="true" ht="15" hidden="false" customHeight="false" outlineLevel="0" collapsed="false">
      <c r="A1824" s="1"/>
      <c r="B1824" s="14"/>
      <c r="C1824" s="14"/>
      <c r="D1824" s="14"/>
      <c r="E1824" s="14"/>
      <c r="F1824" s="22"/>
      <c r="G1824" s="22"/>
      <c r="T1824" s="5"/>
      <c r="BA1824" s="5"/>
      <c r="BK1824" s="16"/>
    </row>
    <row r="1825" s="23" customFormat="true" ht="15" hidden="false" customHeight="false" outlineLevel="0" collapsed="false">
      <c r="A1825" s="1"/>
      <c r="B1825" s="14"/>
      <c r="C1825" s="14"/>
      <c r="D1825" s="14"/>
      <c r="E1825" s="14"/>
      <c r="F1825" s="22"/>
      <c r="G1825" s="22"/>
      <c r="T1825" s="5"/>
      <c r="V1825" s="3"/>
      <c r="W1825" s="3"/>
      <c r="X1825" s="3"/>
      <c r="Y1825" s="3"/>
      <c r="Z1825" s="3"/>
      <c r="AA1825" s="3"/>
      <c r="AB1825" s="3"/>
      <c r="AP1825" s="3"/>
      <c r="BA1825" s="5"/>
      <c r="BK1825" s="16"/>
    </row>
    <row r="1826" customFormat="false" ht="15" hidden="false" customHeight="false" outlineLevel="0" collapsed="false">
      <c r="B1826" s="14"/>
      <c r="C1826" s="14"/>
      <c r="D1826" s="14"/>
      <c r="E1826" s="14"/>
      <c r="F1826" s="22"/>
      <c r="G1826" s="22"/>
      <c r="BB1826" s="23"/>
      <c r="BC1826" s="23"/>
      <c r="BD1826" s="23"/>
      <c r="BE1826" s="23"/>
      <c r="BF1826" s="23"/>
      <c r="BG1826" s="23"/>
      <c r="BH1826" s="23"/>
      <c r="BJ1826" s="23"/>
      <c r="BK1826" s="16"/>
    </row>
    <row r="1827" s="23" customFormat="true" ht="15" hidden="false" customHeight="false" outlineLevel="0" collapsed="false">
      <c r="A1827" s="1"/>
      <c r="B1827" s="14"/>
      <c r="C1827" s="14"/>
      <c r="D1827" s="14"/>
      <c r="E1827" s="14"/>
      <c r="F1827" s="22"/>
      <c r="G1827" s="22"/>
      <c r="T1827" s="5"/>
      <c r="BA1827" s="5"/>
      <c r="BK1827" s="16"/>
    </row>
    <row r="1828" customFormat="false" ht="15" hidden="false" customHeight="false" outlineLevel="0" collapsed="false">
      <c r="B1828" s="14"/>
      <c r="C1828" s="14"/>
      <c r="D1828" s="14"/>
      <c r="E1828" s="14"/>
      <c r="F1828" s="22"/>
      <c r="G1828" s="15"/>
      <c r="BB1828" s="23"/>
      <c r="BK1828" s="16"/>
    </row>
    <row r="1829" customFormat="false" ht="15" hidden="false" customHeight="false" outlineLevel="0" collapsed="false">
      <c r="B1829" s="14"/>
      <c r="C1829" s="14"/>
      <c r="D1829" s="14"/>
      <c r="E1829" s="14"/>
      <c r="F1829" s="22"/>
      <c r="G1829" s="15"/>
      <c r="BB1829" s="23"/>
      <c r="BK1829" s="16"/>
    </row>
    <row r="1830" s="23" customFormat="true" ht="15" hidden="false" customHeight="false" outlineLevel="0" collapsed="false">
      <c r="A1830" s="1"/>
      <c r="B1830" s="14"/>
      <c r="C1830" s="14"/>
      <c r="D1830" s="14"/>
      <c r="E1830" s="14"/>
      <c r="F1830" s="22"/>
      <c r="G1830" s="22"/>
      <c r="T1830" s="5"/>
      <c r="AP1830" s="3"/>
      <c r="AQ1830" s="3"/>
      <c r="AR1830" s="3"/>
      <c r="AS1830" s="3"/>
      <c r="AT1830" s="3"/>
      <c r="AU1830" s="3"/>
      <c r="AV1830" s="3"/>
      <c r="AW1830" s="3"/>
      <c r="AX1830" s="3"/>
      <c r="AY1830" s="3"/>
      <c r="AZ1830" s="3"/>
      <c r="BA1830" s="5"/>
      <c r="BK1830" s="16"/>
    </row>
    <row r="1831" customFormat="false" ht="15" hidden="false" customHeight="false" outlineLevel="0" collapsed="false">
      <c r="B1831" s="14"/>
      <c r="C1831" s="14"/>
      <c r="D1831" s="14"/>
      <c r="E1831" s="14"/>
      <c r="F1831" s="22"/>
      <c r="G1831" s="22"/>
      <c r="BK1831" s="16"/>
    </row>
    <row r="1832" customFormat="false" ht="15" hidden="false" customHeight="false" outlineLevel="0" collapsed="false">
      <c r="B1832" s="14"/>
      <c r="C1832" s="14"/>
      <c r="D1832" s="14"/>
      <c r="E1832" s="14"/>
      <c r="F1832" s="22"/>
      <c r="G1832" s="15"/>
      <c r="BK1832" s="16"/>
    </row>
    <row r="1833" customFormat="false" ht="15" hidden="false" customHeight="false" outlineLevel="0" collapsed="false">
      <c r="B1833" s="14"/>
      <c r="C1833" s="14"/>
      <c r="D1833" s="14"/>
      <c r="E1833" s="14"/>
      <c r="F1833" s="15"/>
      <c r="G1833" s="15"/>
      <c r="BK1833" s="16"/>
    </row>
    <row r="1834" s="23" customFormat="true" ht="15" hidden="false" customHeight="false" outlineLevel="0" collapsed="false">
      <c r="A1834" s="1"/>
      <c r="B1834" s="14"/>
      <c r="C1834" s="14"/>
      <c r="D1834" s="14"/>
      <c r="E1834" s="14"/>
      <c r="F1834" s="22"/>
      <c r="G1834" s="22"/>
      <c r="T1834" s="5"/>
      <c r="BA1834" s="5"/>
      <c r="BK1834" s="16"/>
    </row>
    <row r="1835" s="23" customFormat="true" ht="15" hidden="false" customHeight="false" outlineLevel="0" collapsed="false">
      <c r="A1835" s="1"/>
      <c r="B1835" s="14"/>
      <c r="C1835" s="14"/>
      <c r="D1835" s="14"/>
      <c r="E1835" s="14"/>
      <c r="F1835" s="22"/>
      <c r="G1835" s="22"/>
      <c r="T1835" s="5"/>
      <c r="BA1835" s="5"/>
      <c r="BK1835" s="16"/>
    </row>
    <row r="1836" s="23" customFormat="true" ht="15" hidden="false" customHeight="false" outlineLevel="0" collapsed="false">
      <c r="A1836" s="1"/>
      <c r="B1836" s="14"/>
      <c r="C1836" s="14"/>
      <c r="D1836" s="14"/>
      <c r="E1836" s="14"/>
      <c r="F1836" s="22"/>
      <c r="G1836" s="22"/>
      <c r="T1836" s="5"/>
      <c r="BA1836" s="5"/>
      <c r="BK1836" s="16"/>
    </row>
    <row r="1837" customFormat="false" ht="15" hidden="false" customHeight="false" outlineLevel="0" collapsed="false">
      <c r="B1837" s="14"/>
      <c r="C1837" s="14"/>
      <c r="D1837" s="14"/>
      <c r="E1837" s="14"/>
      <c r="F1837" s="22"/>
      <c r="G1837" s="15"/>
      <c r="BK1837" s="16"/>
    </row>
    <row r="1838" s="23" customFormat="true" ht="15" hidden="false" customHeight="false" outlineLevel="0" collapsed="false">
      <c r="A1838" s="1"/>
      <c r="B1838" s="14"/>
      <c r="C1838" s="14"/>
      <c r="D1838" s="14"/>
      <c r="E1838" s="14"/>
      <c r="F1838" s="22"/>
      <c r="G1838" s="15"/>
      <c r="T1838" s="5"/>
      <c r="BA1838" s="5"/>
      <c r="BK1838" s="16"/>
    </row>
    <row r="1839" customFormat="false" ht="15" hidden="false" customHeight="false" outlineLevel="0" collapsed="false">
      <c r="B1839" s="14"/>
      <c r="C1839" s="14"/>
      <c r="D1839" s="14"/>
      <c r="E1839" s="14"/>
      <c r="F1839" s="22"/>
      <c r="G1839" s="15"/>
      <c r="BK1839" s="16"/>
    </row>
    <row r="1840" s="23" customFormat="true" ht="15" hidden="false" customHeight="false" outlineLevel="0" collapsed="false">
      <c r="A1840" s="1"/>
      <c r="B1840" s="14"/>
      <c r="C1840" s="14"/>
      <c r="D1840" s="14"/>
      <c r="E1840" s="14"/>
      <c r="F1840" s="22"/>
      <c r="G1840" s="15"/>
      <c r="T1840" s="5"/>
      <c r="AP1840" s="3"/>
      <c r="AQ1840" s="3"/>
      <c r="AR1840" s="3"/>
      <c r="AS1840" s="3"/>
      <c r="AT1840" s="3"/>
      <c r="AU1840" s="3"/>
      <c r="AV1840" s="3"/>
      <c r="AW1840" s="3"/>
      <c r="AX1840" s="3"/>
      <c r="AY1840" s="3"/>
      <c r="AZ1840" s="3"/>
      <c r="BA1840" s="5"/>
      <c r="BK1840" s="16"/>
    </row>
    <row r="1841" s="23" customFormat="true" ht="15" hidden="false" customHeight="false" outlineLevel="0" collapsed="false">
      <c r="A1841" s="1"/>
      <c r="B1841" s="14"/>
      <c r="C1841" s="14"/>
      <c r="D1841" s="14"/>
      <c r="E1841" s="14"/>
      <c r="F1841" s="22"/>
      <c r="G1841" s="15"/>
      <c r="T1841" s="5"/>
      <c r="AP1841" s="3"/>
      <c r="AQ1841" s="3"/>
      <c r="AR1841" s="3"/>
      <c r="AS1841" s="3"/>
      <c r="AT1841" s="3"/>
      <c r="AU1841" s="3"/>
      <c r="AV1841" s="3"/>
      <c r="AW1841" s="3"/>
      <c r="AX1841" s="3"/>
      <c r="AY1841" s="3"/>
      <c r="AZ1841" s="3"/>
      <c r="BA1841" s="5"/>
      <c r="BK1841" s="16"/>
    </row>
    <row r="1842" s="23" customFormat="true" ht="15" hidden="false" customHeight="false" outlineLevel="0" collapsed="false">
      <c r="A1842" s="1"/>
      <c r="B1842" s="14"/>
      <c r="C1842" s="14"/>
      <c r="D1842" s="14"/>
      <c r="E1842" s="14"/>
      <c r="F1842" s="22"/>
      <c r="G1842" s="15"/>
      <c r="T1842" s="5"/>
      <c r="BA1842" s="5"/>
      <c r="BK1842" s="16"/>
    </row>
    <row r="1843" customFormat="false" ht="15" hidden="false" customHeight="false" outlineLevel="0" collapsed="false">
      <c r="B1843" s="14"/>
      <c r="C1843" s="14"/>
      <c r="D1843" s="14"/>
      <c r="E1843" s="14"/>
      <c r="F1843" s="15"/>
      <c r="G1843" s="15"/>
      <c r="BK1843" s="16"/>
    </row>
    <row r="1844" s="23" customFormat="true" ht="12.75" hidden="false" customHeight="false" outlineLevel="0" collapsed="false">
      <c r="A1844" s="1"/>
      <c r="B1844" s="14"/>
      <c r="C1844" s="14"/>
      <c r="D1844" s="14"/>
      <c r="E1844" s="14"/>
      <c r="F1844" s="22"/>
      <c r="G1844" s="15"/>
      <c r="T1844" s="5"/>
      <c r="AP1844" s="3"/>
      <c r="AQ1844" s="3"/>
      <c r="AR1844" s="3"/>
      <c r="AS1844" s="3"/>
      <c r="AT1844" s="3"/>
      <c r="AU1844" s="3"/>
      <c r="AV1844" s="3"/>
      <c r="AW1844" s="3"/>
      <c r="AX1844" s="3"/>
      <c r="AY1844" s="3"/>
      <c r="AZ1844" s="3"/>
      <c r="BA1844" s="5"/>
      <c r="BK1844" s="16"/>
    </row>
    <row r="1845" customFormat="false" ht="12.75" hidden="false" customHeight="false" outlineLevel="0" collapsed="false">
      <c r="B1845" s="14"/>
      <c r="C1845" s="14"/>
      <c r="D1845" s="14"/>
      <c r="E1845" s="14"/>
      <c r="F1845" s="22"/>
      <c r="G1845" s="15"/>
      <c r="BK1845" s="16"/>
    </row>
    <row r="1846" s="23" customFormat="true" ht="12.75" hidden="false" customHeight="false" outlineLevel="0" collapsed="false">
      <c r="A1846" s="1"/>
      <c r="B1846" s="14"/>
      <c r="C1846" s="14"/>
      <c r="D1846" s="14"/>
      <c r="E1846" s="14"/>
      <c r="F1846" s="15"/>
      <c r="G1846" s="15"/>
      <c r="T1846" s="5"/>
      <c r="AI1846" s="3"/>
      <c r="AJ1846" s="3"/>
      <c r="AK1846" s="3"/>
      <c r="AL1846" s="3"/>
      <c r="AM1846" s="3"/>
      <c r="AN1846" s="3"/>
      <c r="AO1846" s="3"/>
      <c r="BA1846" s="5"/>
      <c r="BK1846" s="16"/>
    </row>
    <row r="1847" customFormat="false" ht="12.75" hidden="false" customHeight="false" outlineLevel="0" collapsed="false">
      <c r="B1847" s="14"/>
      <c r="C1847" s="14"/>
      <c r="D1847" s="14"/>
      <c r="E1847" s="14"/>
      <c r="F1847" s="15"/>
      <c r="G1847" s="15"/>
      <c r="H1847" s="23"/>
      <c r="I1847" s="23"/>
      <c r="J1847" s="23"/>
      <c r="K1847" s="23"/>
      <c r="L1847" s="23"/>
      <c r="M1847" s="23"/>
      <c r="N1847" s="23"/>
      <c r="O1847" s="23"/>
      <c r="P1847" s="23"/>
      <c r="Q1847" s="23"/>
      <c r="R1847" s="23"/>
      <c r="S1847" s="23"/>
      <c r="T1847" s="5"/>
      <c r="U1847" s="23"/>
      <c r="AA1847" s="23"/>
      <c r="AB1847" s="23"/>
      <c r="AC1847" s="23"/>
      <c r="AD1847" s="23"/>
      <c r="AE1847" s="23"/>
      <c r="AF1847" s="23"/>
      <c r="AG1847" s="23"/>
      <c r="AH1847" s="23"/>
      <c r="AI1847" s="23"/>
      <c r="AJ1847" s="23"/>
      <c r="AK1847" s="23"/>
      <c r="AL1847" s="23"/>
      <c r="AM1847" s="23"/>
      <c r="AN1847" s="23"/>
      <c r="AP1847" s="23"/>
      <c r="BK1847" s="16"/>
    </row>
    <row r="1848" customFormat="false" ht="12.75" hidden="false" customHeight="false" outlineLevel="0" collapsed="false">
      <c r="B1848" s="14"/>
      <c r="C1848" s="14"/>
      <c r="D1848" s="14"/>
      <c r="E1848" s="14"/>
      <c r="F1848" s="15"/>
      <c r="G1848" s="15"/>
      <c r="H1848" s="23"/>
      <c r="I1848" s="23"/>
      <c r="J1848" s="23"/>
      <c r="K1848" s="23"/>
      <c r="L1848" s="23"/>
      <c r="M1848" s="23"/>
      <c r="N1848" s="23"/>
      <c r="O1848" s="23"/>
      <c r="P1848" s="23"/>
      <c r="Q1848" s="23"/>
      <c r="R1848" s="23"/>
      <c r="S1848" s="23"/>
      <c r="T1848" s="5"/>
      <c r="U1848" s="23"/>
      <c r="V1848" s="23"/>
      <c r="W1848" s="23"/>
      <c r="X1848" s="23"/>
      <c r="Y1848" s="23"/>
      <c r="Z1848" s="23"/>
      <c r="AA1848" s="23"/>
      <c r="AB1848" s="23"/>
      <c r="AC1848" s="23"/>
      <c r="AD1848" s="23"/>
      <c r="AE1848" s="23"/>
      <c r="AF1848" s="23"/>
      <c r="AG1848" s="23"/>
      <c r="AH1848" s="23"/>
      <c r="AI1848" s="23"/>
      <c r="AK1848" s="23"/>
      <c r="BK1848" s="16"/>
    </row>
    <row r="1849" customFormat="false" ht="12.75" hidden="false" customHeight="false" outlineLevel="0" collapsed="false">
      <c r="B1849" s="14"/>
      <c r="C1849" s="14"/>
      <c r="D1849" s="14"/>
      <c r="E1849" s="14"/>
      <c r="F1849" s="15"/>
      <c r="G1849" s="15"/>
      <c r="BK1849" s="16"/>
    </row>
    <row r="1850" customFormat="false" ht="12.75" hidden="false" customHeight="false" outlineLevel="0" collapsed="false">
      <c r="B1850" s="14"/>
      <c r="C1850" s="14"/>
      <c r="D1850" s="14"/>
      <c r="E1850" s="14"/>
      <c r="F1850" s="15"/>
      <c r="G1850" s="15"/>
      <c r="H1850" s="23"/>
      <c r="I1850" s="23"/>
      <c r="J1850" s="23"/>
      <c r="K1850" s="23"/>
      <c r="L1850" s="23"/>
      <c r="M1850" s="23"/>
      <c r="N1850" s="23"/>
      <c r="O1850" s="23"/>
      <c r="P1850" s="23"/>
      <c r="Q1850" s="23"/>
      <c r="R1850" s="23"/>
      <c r="S1850" s="23"/>
      <c r="T1850" s="5"/>
      <c r="U1850" s="23"/>
      <c r="V1850" s="23"/>
      <c r="W1850" s="23"/>
      <c r="X1850" s="23"/>
      <c r="Y1850" s="23"/>
      <c r="Z1850" s="23"/>
      <c r="AA1850" s="23"/>
      <c r="AB1850" s="23"/>
      <c r="AC1850" s="23"/>
      <c r="AD1850" s="23"/>
      <c r="AE1850" s="23"/>
      <c r="AF1850" s="23"/>
      <c r="AG1850" s="23"/>
      <c r="AH1850" s="23"/>
      <c r="AI1850" s="23"/>
      <c r="AJ1850" s="23"/>
      <c r="AK1850" s="23"/>
      <c r="AL1850" s="23"/>
      <c r="AM1850" s="23"/>
      <c r="AN1850" s="23"/>
      <c r="AP1850" s="23"/>
      <c r="AQ1850" s="23"/>
      <c r="AR1850" s="23"/>
      <c r="AS1850" s="23"/>
      <c r="AT1850" s="23"/>
      <c r="AU1850" s="23"/>
      <c r="AV1850" s="23"/>
      <c r="AW1850" s="23"/>
      <c r="AX1850" s="23"/>
      <c r="AY1850" s="23"/>
      <c r="AZ1850" s="23"/>
      <c r="BK1850" s="16"/>
    </row>
    <row r="1851" customFormat="false" ht="12.75" hidden="false" customHeight="false" outlineLevel="0" collapsed="false">
      <c r="B1851" s="14"/>
      <c r="C1851" s="14"/>
      <c r="D1851" s="14"/>
      <c r="E1851" s="14"/>
      <c r="F1851" s="15"/>
      <c r="G1851" s="15"/>
      <c r="BK1851" s="16"/>
    </row>
    <row r="1852" customFormat="false" ht="12.75" hidden="false" customHeight="false" outlineLevel="0" collapsed="false">
      <c r="B1852" s="14"/>
      <c r="C1852" s="14"/>
      <c r="D1852" s="14"/>
      <c r="E1852" s="14"/>
      <c r="F1852" s="15"/>
      <c r="G1852" s="15"/>
      <c r="H1852" s="23"/>
      <c r="I1852" s="23"/>
      <c r="J1852" s="23"/>
      <c r="K1852" s="23"/>
      <c r="L1852" s="23"/>
      <c r="M1852" s="23"/>
      <c r="N1852" s="23"/>
      <c r="O1852" s="23"/>
      <c r="P1852" s="23"/>
      <c r="Q1852" s="23"/>
      <c r="R1852" s="23"/>
      <c r="S1852" s="23"/>
      <c r="T1852" s="5"/>
      <c r="U1852" s="23"/>
      <c r="V1852" s="23"/>
      <c r="W1852" s="23"/>
      <c r="X1852" s="23"/>
      <c r="Y1852" s="23"/>
      <c r="Z1852" s="23"/>
      <c r="AA1852" s="23"/>
      <c r="AB1852" s="23"/>
      <c r="AC1852" s="23"/>
      <c r="AD1852" s="23"/>
      <c r="AE1852" s="23"/>
      <c r="AF1852" s="23"/>
      <c r="AG1852" s="23"/>
      <c r="AH1852" s="23"/>
      <c r="AI1852" s="23"/>
      <c r="AJ1852" s="23"/>
      <c r="AK1852" s="23"/>
      <c r="AL1852" s="23"/>
      <c r="AM1852" s="23"/>
      <c r="AN1852" s="23"/>
      <c r="AP1852" s="23"/>
      <c r="AQ1852" s="23"/>
      <c r="AR1852" s="23"/>
      <c r="AS1852" s="23"/>
      <c r="AT1852" s="23"/>
      <c r="AU1852" s="23"/>
      <c r="AV1852" s="23"/>
      <c r="AW1852" s="23"/>
      <c r="AX1852" s="23"/>
      <c r="AY1852" s="23"/>
      <c r="AZ1852" s="23"/>
      <c r="BK1852" s="16"/>
    </row>
    <row r="1853" s="23" customFormat="true" ht="12.75" hidden="false" customHeight="false" outlineLevel="0" collapsed="false">
      <c r="A1853" s="1"/>
      <c r="B1853" s="14"/>
      <c r="C1853" s="14"/>
      <c r="D1853" s="14"/>
      <c r="E1853" s="14"/>
      <c r="F1853" s="15"/>
      <c r="G1853" s="15"/>
      <c r="T1853" s="5"/>
      <c r="AP1853" s="3"/>
      <c r="AQ1853" s="3"/>
      <c r="AR1853" s="3"/>
      <c r="AS1853" s="3"/>
      <c r="AT1853" s="3"/>
      <c r="AU1853" s="3"/>
      <c r="AV1853" s="3"/>
      <c r="AW1853" s="3"/>
      <c r="AX1853" s="3"/>
      <c r="AY1853" s="3"/>
      <c r="AZ1853" s="3"/>
      <c r="BA1853" s="5"/>
      <c r="BK1853" s="16"/>
    </row>
    <row r="1854" customFormat="false" ht="12.75" hidden="false" customHeight="false" outlineLevel="0" collapsed="false">
      <c r="B1854" s="14"/>
      <c r="C1854" s="14"/>
      <c r="D1854" s="14"/>
      <c r="E1854" s="14"/>
      <c r="F1854" s="22"/>
      <c r="G1854" s="15"/>
      <c r="H1854" s="23"/>
      <c r="I1854" s="23"/>
      <c r="J1854" s="23"/>
      <c r="K1854" s="23"/>
      <c r="L1854" s="23"/>
      <c r="M1854" s="23"/>
      <c r="N1854" s="23"/>
      <c r="O1854" s="23"/>
      <c r="P1854" s="23"/>
      <c r="Q1854" s="23"/>
      <c r="R1854" s="23"/>
      <c r="S1854" s="23"/>
      <c r="T1854" s="5"/>
      <c r="U1854" s="23"/>
      <c r="V1854" s="23"/>
      <c r="W1854" s="23"/>
      <c r="X1854" s="23"/>
      <c r="Y1854" s="23"/>
      <c r="Z1854" s="23"/>
      <c r="AA1854" s="23"/>
      <c r="AB1854" s="23"/>
      <c r="AC1854" s="23"/>
      <c r="AD1854" s="23"/>
      <c r="AE1854" s="23"/>
      <c r="AG1854" s="23"/>
      <c r="AH1854" s="23"/>
      <c r="AI1854" s="23"/>
      <c r="BK1854" s="16"/>
    </row>
    <row r="1855" customFormat="false" ht="12.75" hidden="false" customHeight="false" outlineLevel="0" collapsed="false">
      <c r="B1855" s="14"/>
      <c r="C1855" s="14"/>
      <c r="D1855" s="14"/>
      <c r="E1855" s="14"/>
      <c r="F1855" s="15"/>
      <c r="G1855" s="15"/>
      <c r="I1855" s="23"/>
      <c r="J1855" s="23"/>
      <c r="K1855" s="23"/>
      <c r="L1855" s="23"/>
      <c r="M1855" s="23"/>
      <c r="N1855" s="23"/>
      <c r="O1855" s="23"/>
      <c r="P1855" s="23"/>
      <c r="Q1855" s="23"/>
      <c r="R1855" s="23"/>
      <c r="S1855" s="23"/>
      <c r="T1855" s="5"/>
      <c r="U1855" s="23"/>
      <c r="AA1855" s="23"/>
      <c r="AB1855" s="23"/>
      <c r="BK1855" s="16"/>
    </row>
    <row r="1856" s="23" customFormat="true" ht="12.75" hidden="false" customHeight="false" outlineLevel="0" collapsed="false">
      <c r="A1856" s="1"/>
      <c r="B1856" s="14"/>
      <c r="C1856" s="14"/>
      <c r="D1856" s="14"/>
      <c r="E1856" s="14"/>
      <c r="F1856" s="15"/>
      <c r="G1856" s="15"/>
      <c r="T1856" s="5"/>
      <c r="BA1856" s="5"/>
      <c r="BK1856" s="16"/>
    </row>
    <row r="1857" customFormat="false" ht="12.75" hidden="false" customHeight="false" outlineLevel="0" collapsed="false">
      <c r="B1857" s="14"/>
      <c r="C1857" s="14"/>
      <c r="D1857" s="14"/>
      <c r="E1857" s="14"/>
      <c r="F1857" s="22"/>
      <c r="G1857" s="15"/>
      <c r="BK1857" s="16"/>
    </row>
    <row r="1858" customFormat="false" ht="12.75" hidden="false" customHeight="false" outlineLevel="0" collapsed="false">
      <c r="B1858" s="14"/>
      <c r="C1858" s="14"/>
      <c r="D1858" s="14"/>
      <c r="E1858" s="14"/>
      <c r="F1858" s="15"/>
      <c r="G1858" s="15"/>
      <c r="I1858" s="23"/>
      <c r="J1858" s="23"/>
      <c r="K1858" s="23"/>
      <c r="L1858" s="23"/>
      <c r="M1858" s="23"/>
      <c r="N1858" s="23"/>
      <c r="O1858" s="23"/>
      <c r="P1858" s="23"/>
      <c r="Q1858" s="23"/>
      <c r="R1858" s="23"/>
      <c r="S1858" s="23"/>
      <c r="T1858" s="5"/>
      <c r="U1858" s="23"/>
      <c r="AA1858" s="23"/>
      <c r="AB1858" s="23"/>
      <c r="BK1858" s="16"/>
    </row>
    <row r="1859" customFormat="false" ht="12.75" hidden="false" customHeight="false" outlineLevel="0" collapsed="false">
      <c r="B1859" s="14"/>
      <c r="C1859" s="14"/>
      <c r="D1859" s="14"/>
      <c r="E1859" s="14"/>
      <c r="F1859" s="15"/>
      <c r="G1859" s="15"/>
      <c r="I1859" s="23"/>
      <c r="J1859" s="23"/>
      <c r="K1859" s="23"/>
      <c r="L1859" s="23"/>
      <c r="M1859" s="23"/>
      <c r="N1859" s="23"/>
      <c r="O1859" s="23"/>
      <c r="P1859" s="23"/>
      <c r="Q1859" s="23"/>
      <c r="R1859" s="23"/>
      <c r="S1859" s="23"/>
      <c r="T1859" s="5"/>
      <c r="U1859" s="23"/>
      <c r="AA1859" s="23"/>
      <c r="AB1859" s="23"/>
      <c r="BK1859" s="16"/>
    </row>
    <row r="1860" s="23" customFormat="true" ht="12.75" hidden="false" customHeight="false" outlineLevel="0" collapsed="false">
      <c r="A1860" s="1"/>
      <c r="B1860" s="14"/>
      <c r="C1860" s="14"/>
      <c r="D1860" s="14"/>
      <c r="E1860" s="14"/>
      <c r="F1860" s="22"/>
      <c r="G1860" s="15"/>
      <c r="T1860" s="5"/>
      <c r="AP1860" s="3"/>
      <c r="AQ1860" s="3"/>
      <c r="AR1860" s="3"/>
      <c r="AS1860" s="3"/>
      <c r="AT1860" s="3"/>
      <c r="AU1860" s="3"/>
      <c r="AV1860" s="3"/>
      <c r="AW1860" s="3"/>
      <c r="AX1860" s="3"/>
      <c r="AY1860" s="3"/>
      <c r="AZ1860" s="3"/>
      <c r="BA1860" s="5"/>
      <c r="BK1860" s="16"/>
    </row>
    <row r="1861" customFormat="false" ht="12.75" hidden="false" customHeight="false" outlineLevel="0" collapsed="false">
      <c r="B1861" s="14"/>
      <c r="C1861" s="14"/>
      <c r="D1861" s="14"/>
      <c r="E1861" s="14"/>
      <c r="F1861" s="15"/>
      <c r="G1861" s="15"/>
      <c r="I1861" s="23"/>
      <c r="J1861" s="23"/>
      <c r="K1861" s="23"/>
      <c r="L1861" s="23"/>
      <c r="M1861" s="23"/>
      <c r="N1861" s="23"/>
      <c r="O1861" s="23"/>
      <c r="P1861" s="23"/>
      <c r="Q1861" s="23"/>
      <c r="R1861" s="23"/>
      <c r="S1861" s="23"/>
      <c r="T1861" s="5"/>
      <c r="U1861" s="23"/>
      <c r="V1861" s="23"/>
      <c r="W1861" s="23"/>
      <c r="X1861" s="23"/>
      <c r="Y1861" s="23"/>
      <c r="Z1861" s="23"/>
      <c r="AA1861" s="23"/>
      <c r="AB1861" s="23"/>
      <c r="AC1861" s="23"/>
      <c r="BK1861" s="16"/>
    </row>
    <row r="1862" customFormat="false" ht="12.75" hidden="false" customHeight="false" outlineLevel="0" collapsed="false">
      <c r="B1862" s="14"/>
      <c r="C1862" s="14"/>
      <c r="D1862" s="14"/>
      <c r="E1862" s="14"/>
      <c r="F1862" s="15"/>
      <c r="G1862" s="15"/>
      <c r="I1862" s="23"/>
      <c r="J1862" s="23"/>
      <c r="K1862" s="23"/>
      <c r="L1862" s="23"/>
      <c r="M1862" s="23"/>
      <c r="N1862" s="23"/>
      <c r="O1862" s="23"/>
      <c r="P1862" s="23"/>
      <c r="Q1862" s="23"/>
      <c r="R1862" s="23"/>
      <c r="S1862" s="23"/>
      <c r="T1862" s="5"/>
      <c r="U1862" s="23"/>
      <c r="AA1862" s="23"/>
      <c r="AB1862" s="23"/>
      <c r="BK1862" s="16"/>
    </row>
    <row r="1863" customFormat="false" ht="12.75" hidden="false" customHeight="false" outlineLevel="0" collapsed="false">
      <c r="B1863" s="14"/>
      <c r="C1863" s="14"/>
      <c r="D1863" s="14"/>
      <c r="E1863" s="14"/>
      <c r="F1863" s="15"/>
      <c r="G1863" s="15"/>
      <c r="BK1863" s="16"/>
    </row>
    <row r="1864" customFormat="false" ht="12.75" hidden="false" customHeight="false" outlineLevel="0" collapsed="false">
      <c r="B1864" s="14"/>
      <c r="C1864" s="14"/>
      <c r="D1864" s="14"/>
      <c r="E1864" s="14"/>
      <c r="F1864" s="22"/>
      <c r="G1864" s="22"/>
      <c r="BK1864" s="16"/>
    </row>
    <row r="1865" s="23" customFormat="true" ht="12.75" hidden="false" customHeight="false" outlineLevel="0" collapsed="false">
      <c r="A1865" s="1"/>
      <c r="B1865" s="14"/>
      <c r="C1865" s="14"/>
      <c r="D1865" s="14"/>
      <c r="E1865" s="14"/>
      <c r="F1865" s="15"/>
      <c r="G1865" s="15"/>
      <c r="T1865" s="5"/>
      <c r="AP1865" s="3"/>
      <c r="AQ1865" s="3"/>
      <c r="AR1865" s="3"/>
      <c r="AS1865" s="3"/>
      <c r="AT1865" s="3"/>
      <c r="AU1865" s="3"/>
      <c r="AV1865" s="3"/>
      <c r="AW1865" s="3"/>
      <c r="AX1865" s="3"/>
      <c r="AY1865" s="3"/>
      <c r="AZ1865" s="3"/>
      <c r="BA1865" s="5"/>
      <c r="BK1865" s="16"/>
    </row>
    <row r="1866" s="23" customFormat="true" ht="12.75" hidden="false" customHeight="false" outlineLevel="0" collapsed="false">
      <c r="A1866" s="1"/>
      <c r="B1866" s="14"/>
      <c r="C1866" s="14"/>
      <c r="D1866" s="14"/>
      <c r="E1866" s="14"/>
      <c r="F1866" s="15"/>
      <c r="G1866" s="15"/>
      <c r="T1866" s="5"/>
      <c r="BA1866" s="5"/>
      <c r="BK1866" s="16"/>
    </row>
    <row r="1867" customFormat="false" ht="12" hidden="false" customHeight="true" outlineLevel="0" collapsed="false">
      <c r="B1867" s="14"/>
      <c r="C1867" s="14"/>
      <c r="D1867" s="14"/>
      <c r="E1867" s="14"/>
      <c r="F1867" s="22"/>
      <c r="G1867" s="15"/>
      <c r="BB1867" s="23"/>
      <c r="BC1867" s="23"/>
      <c r="BD1867" s="23"/>
      <c r="BE1867" s="23"/>
      <c r="BF1867" s="23"/>
      <c r="BG1867" s="23"/>
      <c r="BH1867" s="23"/>
      <c r="BI1867" s="23"/>
      <c r="BJ1867" s="23"/>
      <c r="BK1867" s="16"/>
    </row>
    <row r="1868" customFormat="false" ht="12.75" hidden="false" customHeight="false" outlineLevel="0" collapsed="false">
      <c r="B1868" s="14"/>
      <c r="C1868" s="14"/>
      <c r="D1868" s="14"/>
      <c r="E1868" s="14"/>
      <c r="F1868" s="15"/>
      <c r="G1868" s="15"/>
      <c r="BK1868" s="16"/>
    </row>
    <row r="1869" customFormat="false" ht="12" hidden="false" customHeight="true" outlineLevel="0" collapsed="false">
      <c r="B1869" s="14"/>
      <c r="C1869" s="14"/>
      <c r="D1869" s="14"/>
      <c r="E1869" s="14"/>
      <c r="F1869" s="15"/>
      <c r="G1869" s="22"/>
      <c r="BB1869" s="23"/>
      <c r="BC1869" s="23"/>
      <c r="BD1869" s="23"/>
      <c r="BE1869" s="23"/>
      <c r="BF1869" s="23"/>
      <c r="BG1869" s="23"/>
      <c r="BH1869" s="23"/>
      <c r="BI1869" s="23"/>
      <c r="BJ1869" s="23"/>
      <c r="BK1869" s="16"/>
    </row>
    <row r="1870" s="11" customFormat="true" ht="12.75" hidden="false" customHeight="false" outlineLevel="0" collapsed="false">
      <c r="A1870" s="7"/>
      <c r="B1870" s="53"/>
      <c r="C1870" s="53"/>
      <c r="D1870" s="53"/>
      <c r="E1870" s="53"/>
      <c r="F1870" s="53"/>
      <c r="G1870" s="53"/>
      <c r="T1870" s="54"/>
      <c r="BA1870" s="54"/>
      <c r="BK1870" s="13"/>
    </row>
    <row r="1871" customFormat="false" ht="12.75" hidden="false" customHeight="false" outlineLevel="0" collapsed="false">
      <c r="B1871" s="14"/>
      <c r="C1871" s="14"/>
      <c r="D1871" s="14"/>
      <c r="E1871" s="14"/>
      <c r="F1871" s="22"/>
      <c r="G1871" s="15"/>
      <c r="I1871" s="23"/>
      <c r="J1871" s="23"/>
      <c r="K1871" s="23"/>
      <c r="L1871" s="23"/>
      <c r="M1871" s="23"/>
      <c r="N1871" s="23"/>
      <c r="O1871" s="23"/>
      <c r="P1871" s="23"/>
      <c r="Q1871" s="23"/>
      <c r="R1871" s="23"/>
      <c r="S1871" s="23"/>
      <c r="T1871" s="5"/>
      <c r="U1871" s="23"/>
      <c r="V1871" s="23"/>
      <c r="W1871" s="23"/>
      <c r="X1871" s="23"/>
      <c r="Y1871" s="23"/>
      <c r="Z1871" s="23"/>
      <c r="AA1871" s="23"/>
      <c r="AB1871" s="23"/>
      <c r="AC1871" s="23"/>
      <c r="BK1871" s="16"/>
    </row>
    <row r="1872" s="23" customFormat="true" ht="12.75" hidden="false" customHeight="false" outlineLevel="0" collapsed="false">
      <c r="A1872" s="1"/>
      <c r="B1872" s="14"/>
      <c r="C1872" s="14"/>
      <c r="D1872" s="14"/>
      <c r="E1872" s="14"/>
      <c r="F1872" s="15"/>
      <c r="G1872" s="22"/>
      <c r="T1872" s="5"/>
      <c r="AP1872" s="3"/>
      <c r="AQ1872" s="3"/>
      <c r="AR1872" s="3"/>
      <c r="AS1872" s="3"/>
      <c r="AT1872" s="3"/>
      <c r="AU1872" s="3"/>
      <c r="AV1872" s="3"/>
      <c r="AW1872" s="3"/>
      <c r="AX1872" s="3"/>
      <c r="AY1872" s="3"/>
      <c r="AZ1872" s="3"/>
      <c r="BA1872" s="5"/>
      <c r="BK1872" s="16"/>
    </row>
    <row r="1873" customFormat="false" ht="12.75" hidden="false" customHeight="false" outlineLevel="0" collapsed="false">
      <c r="B1873" s="14"/>
      <c r="C1873" s="14"/>
      <c r="D1873" s="14"/>
      <c r="E1873" s="14"/>
      <c r="F1873" s="15"/>
      <c r="G1873" s="15"/>
      <c r="I1873" s="23"/>
      <c r="J1873" s="23"/>
      <c r="K1873" s="23"/>
      <c r="L1873" s="23"/>
      <c r="M1873" s="23"/>
      <c r="N1873" s="23"/>
      <c r="O1873" s="23"/>
      <c r="P1873" s="23"/>
      <c r="Q1873" s="23"/>
      <c r="R1873" s="23"/>
      <c r="S1873" s="23"/>
      <c r="T1873" s="5"/>
      <c r="U1873" s="23"/>
      <c r="AA1873" s="23"/>
      <c r="AB1873" s="23"/>
      <c r="BK1873" s="16"/>
    </row>
    <row r="1874" customFormat="false" ht="12.75" hidden="false" customHeight="false" outlineLevel="0" collapsed="false">
      <c r="B1874" s="14"/>
      <c r="C1874" s="14"/>
      <c r="D1874" s="14"/>
      <c r="E1874" s="14"/>
      <c r="F1874" s="15"/>
      <c r="G1874" s="15"/>
      <c r="I1874" s="23"/>
      <c r="J1874" s="23"/>
      <c r="K1874" s="23"/>
      <c r="L1874" s="23"/>
      <c r="M1874" s="23"/>
      <c r="N1874" s="23"/>
      <c r="O1874" s="23"/>
      <c r="P1874" s="23"/>
      <c r="Q1874" s="23"/>
      <c r="R1874" s="23"/>
      <c r="S1874" s="23"/>
      <c r="T1874" s="5"/>
      <c r="U1874" s="23"/>
      <c r="AA1874" s="23"/>
      <c r="AB1874" s="23"/>
      <c r="BK1874" s="16"/>
    </row>
    <row r="1875" customFormat="false" ht="12.75" hidden="false" customHeight="false" outlineLevel="0" collapsed="false">
      <c r="B1875" s="14"/>
      <c r="C1875" s="14"/>
      <c r="D1875" s="14"/>
      <c r="E1875" s="14"/>
      <c r="F1875" s="15"/>
      <c r="G1875" s="15"/>
      <c r="I1875" s="23"/>
      <c r="J1875" s="23"/>
      <c r="K1875" s="23"/>
      <c r="L1875" s="23"/>
      <c r="M1875" s="23"/>
      <c r="N1875" s="23"/>
      <c r="O1875" s="23"/>
      <c r="P1875" s="23"/>
      <c r="Q1875" s="23"/>
      <c r="R1875" s="23"/>
      <c r="S1875" s="23"/>
      <c r="T1875" s="5"/>
      <c r="U1875" s="23"/>
      <c r="V1875" s="23"/>
      <c r="W1875" s="23"/>
      <c r="X1875" s="23"/>
      <c r="AA1875" s="23"/>
      <c r="AB1875" s="23"/>
      <c r="AC1875" s="23"/>
      <c r="AD1875" s="23"/>
      <c r="AE1875" s="23"/>
      <c r="AF1875" s="23"/>
      <c r="AG1875" s="23"/>
      <c r="AH1875" s="23"/>
      <c r="AI1875" s="23"/>
      <c r="AJ1875" s="23"/>
      <c r="AK1875" s="23"/>
      <c r="AL1875" s="23"/>
      <c r="AM1875" s="23"/>
      <c r="AN1875" s="23"/>
      <c r="AP1875" s="23"/>
      <c r="AQ1875" s="23"/>
      <c r="AR1875" s="23"/>
      <c r="AS1875" s="23"/>
      <c r="AT1875" s="23"/>
      <c r="AU1875" s="23"/>
      <c r="AV1875" s="23"/>
      <c r="AW1875" s="23"/>
      <c r="AX1875" s="23"/>
      <c r="AY1875" s="23"/>
      <c r="AZ1875" s="23"/>
      <c r="BK1875" s="16"/>
    </row>
    <row r="1876" customFormat="false" ht="12.75" hidden="false" customHeight="false" outlineLevel="0" collapsed="false">
      <c r="B1876" s="14"/>
      <c r="C1876" s="14"/>
      <c r="D1876" s="14"/>
      <c r="E1876" s="14"/>
      <c r="F1876" s="15"/>
      <c r="G1876" s="15"/>
      <c r="I1876" s="23"/>
      <c r="J1876" s="23"/>
      <c r="K1876" s="23"/>
      <c r="L1876" s="23"/>
      <c r="M1876" s="23"/>
      <c r="N1876" s="23"/>
      <c r="O1876" s="23"/>
      <c r="P1876" s="23"/>
      <c r="Q1876" s="23"/>
      <c r="R1876" s="23"/>
      <c r="S1876" s="23"/>
      <c r="T1876" s="5"/>
      <c r="U1876" s="23"/>
      <c r="AA1876" s="23"/>
      <c r="AB1876" s="23"/>
      <c r="BK1876" s="16"/>
    </row>
    <row r="1877" customFormat="false" ht="12" hidden="false" customHeight="true" outlineLevel="0" collapsed="false">
      <c r="B1877" s="14"/>
      <c r="C1877" s="14"/>
      <c r="D1877" s="14"/>
      <c r="E1877" s="14"/>
      <c r="F1877" s="15"/>
      <c r="G1877" s="22"/>
      <c r="BB1877" s="23"/>
      <c r="BC1877" s="23"/>
      <c r="BD1877" s="23"/>
      <c r="BE1877" s="23"/>
      <c r="BF1877" s="23"/>
      <c r="BG1877" s="23"/>
      <c r="BH1877" s="23"/>
      <c r="BI1877" s="23"/>
      <c r="BJ1877" s="23"/>
      <c r="BK1877" s="16"/>
    </row>
    <row r="1878" customFormat="false" ht="12.75" hidden="false" customHeight="false" outlineLevel="0" collapsed="false">
      <c r="B1878" s="14"/>
      <c r="C1878" s="14"/>
      <c r="D1878" s="14"/>
      <c r="E1878" s="14"/>
      <c r="F1878" s="22"/>
      <c r="G1878" s="22"/>
      <c r="BK1878" s="16"/>
    </row>
    <row r="1879" s="23" customFormat="true" ht="12.75" hidden="false" customHeight="false" outlineLevel="0" collapsed="false">
      <c r="A1879" s="1"/>
      <c r="B1879" s="14"/>
      <c r="C1879" s="14"/>
      <c r="D1879" s="14"/>
      <c r="E1879" s="14"/>
      <c r="F1879" s="15"/>
      <c r="G1879" s="22"/>
      <c r="T1879" s="5"/>
      <c r="AP1879" s="3"/>
      <c r="AQ1879" s="3"/>
      <c r="AR1879" s="3"/>
      <c r="AS1879" s="3"/>
      <c r="AT1879" s="3"/>
      <c r="AU1879" s="3"/>
      <c r="AV1879" s="3"/>
      <c r="AW1879" s="3"/>
      <c r="AX1879" s="3"/>
      <c r="AY1879" s="3"/>
      <c r="AZ1879" s="3"/>
      <c r="BA1879" s="5"/>
      <c r="BK1879" s="16"/>
    </row>
    <row r="1880" customFormat="false" ht="12.75" hidden="false" customHeight="false" outlineLevel="0" collapsed="false">
      <c r="B1880" s="14"/>
      <c r="C1880" s="14"/>
      <c r="D1880" s="14"/>
      <c r="E1880" s="14"/>
      <c r="F1880" s="15"/>
      <c r="G1880" s="22"/>
      <c r="I1880" s="23"/>
      <c r="J1880" s="23"/>
      <c r="K1880" s="23"/>
      <c r="L1880" s="23"/>
      <c r="M1880" s="23"/>
      <c r="N1880" s="23"/>
      <c r="O1880" s="23"/>
      <c r="P1880" s="23"/>
      <c r="Q1880" s="23"/>
      <c r="R1880" s="23"/>
      <c r="S1880" s="23"/>
      <c r="T1880" s="5"/>
      <c r="U1880" s="23"/>
      <c r="AA1880" s="23"/>
      <c r="AB1880" s="23"/>
      <c r="BK1880" s="16"/>
    </row>
    <row r="1881" customFormat="false" ht="12.75" hidden="false" customHeight="false" outlineLevel="0" collapsed="false">
      <c r="B1881" s="14"/>
      <c r="C1881" s="14"/>
      <c r="D1881" s="14"/>
      <c r="E1881" s="14"/>
      <c r="F1881" s="15"/>
      <c r="G1881" s="15"/>
      <c r="I1881" s="23"/>
      <c r="J1881" s="23"/>
      <c r="K1881" s="23"/>
      <c r="L1881" s="23"/>
      <c r="M1881" s="23"/>
      <c r="N1881" s="23"/>
      <c r="O1881" s="23"/>
      <c r="P1881" s="23"/>
      <c r="Q1881" s="23"/>
      <c r="R1881" s="23"/>
      <c r="S1881" s="23"/>
      <c r="T1881" s="5"/>
      <c r="U1881" s="23"/>
      <c r="AA1881" s="23"/>
      <c r="AB1881" s="23"/>
      <c r="BK1881" s="16"/>
    </row>
    <row r="1882" customFormat="false" ht="12.75" hidden="false" customHeight="false" outlineLevel="0" collapsed="false">
      <c r="B1882" s="14"/>
      <c r="C1882" s="14"/>
      <c r="D1882" s="14"/>
      <c r="E1882" s="14"/>
      <c r="F1882" s="15"/>
      <c r="G1882" s="15"/>
      <c r="I1882" s="23"/>
      <c r="J1882" s="23"/>
      <c r="K1882" s="23"/>
      <c r="L1882" s="23"/>
      <c r="M1882" s="23"/>
      <c r="N1882" s="23"/>
      <c r="O1882" s="23"/>
      <c r="P1882" s="23"/>
      <c r="Q1882" s="23"/>
      <c r="R1882" s="23"/>
      <c r="S1882" s="23"/>
      <c r="T1882" s="5"/>
      <c r="U1882" s="23"/>
      <c r="AA1882" s="23"/>
      <c r="AB1882" s="23"/>
      <c r="BK1882" s="16"/>
    </row>
    <row r="1883" customFormat="false" ht="12.75" hidden="false" customHeight="false" outlineLevel="0" collapsed="false">
      <c r="B1883" s="14"/>
      <c r="C1883" s="14"/>
      <c r="D1883" s="14"/>
      <c r="E1883" s="14"/>
      <c r="F1883" s="22"/>
      <c r="G1883" s="22"/>
      <c r="BK1883" s="16"/>
    </row>
    <row r="1884" customFormat="false" ht="12.75" hidden="false" customHeight="false" outlineLevel="0" collapsed="false">
      <c r="B1884" s="14"/>
      <c r="C1884" s="14"/>
      <c r="D1884" s="14"/>
      <c r="E1884" s="14"/>
      <c r="F1884" s="22"/>
      <c r="G1884" s="22"/>
      <c r="BK1884" s="16"/>
    </row>
    <row r="1885" customFormat="false" ht="12.75" hidden="false" customHeight="false" outlineLevel="0" collapsed="false">
      <c r="B1885" s="14"/>
      <c r="C1885" s="14"/>
      <c r="D1885" s="14"/>
      <c r="E1885" s="14"/>
      <c r="F1885" s="15"/>
      <c r="G1885" s="15"/>
      <c r="I1885" s="23"/>
      <c r="J1885" s="23"/>
      <c r="K1885" s="23"/>
      <c r="L1885" s="23"/>
      <c r="M1885" s="23"/>
      <c r="N1885" s="23"/>
      <c r="O1885" s="23"/>
      <c r="P1885" s="23"/>
      <c r="Q1885" s="23"/>
      <c r="R1885" s="23"/>
      <c r="S1885" s="23"/>
      <c r="T1885" s="5"/>
      <c r="U1885" s="23"/>
      <c r="AA1885" s="23"/>
      <c r="AB1885" s="23"/>
      <c r="BK1885" s="16"/>
    </row>
    <row r="1886" s="23" customFormat="true" ht="12.75" hidden="false" customHeight="false" outlineLevel="0" collapsed="false">
      <c r="A1886" s="1"/>
      <c r="B1886" s="14"/>
      <c r="C1886" s="14"/>
      <c r="D1886" s="14"/>
      <c r="E1886" s="14"/>
      <c r="F1886" s="22"/>
      <c r="G1886" s="15"/>
      <c r="T1886" s="5"/>
      <c r="V1886" s="3"/>
      <c r="W1886" s="3"/>
      <c r="X1886" s="3"/>
      <c r="Y1886" s="3"/>
      <c r="Z1886" s="3"/>
      <c r="AA1886" s="3"/>
      <c r="AB1886" s="3"/>
      <c r="AP1886" s="3"/>
      <c r="AQ1886" s="3"/>
      <c r="AR1886" s="3"/>
      <c r="AS1886" s="3"/>
      <c r="AT1886" s="3"/>
      <c r="AU1886" s="3"/>
      <c r="AV1886" s="3"/>
      <c r="AW1886" s="3"/>
      <c r="AX1886" s="3"/>
      <c r="AY1886" s="3"/>
      <c r="AZ1886" s="3"/>
      <c r="BA1886" s="5"/>
      <c r="BK1886" s="16"/>
    </row>
    <row r="1887" customFormat="false" ht="12.75" hidden="false" customHeight="false" outlineLevel="0" collapsed="false">
      <c r="B1887" s="14"/>
      <c r="C1887" s="14"/>
      <c r="D1887" s="14"/>
      <c r="E1887" s="14"/>
      <c r="F1887" s="15"/>
      <c r="G1887" s="15"/>
      <c r="I1887" s="23"/>
      <c r="J1887" s="23"/>
      <c r="K1887" s="23"/>
      <c r="L1887" s="23"/>
      <c r="M1887" s="23"/>
      <c r="N1887" s="23"/>
      <c r="O1887" s="23"/>
      <c r="P1887" s="23"/>
      <c r="Q1887" s="23"/>
      <c r="R1887" s="23"/>
      <c r="S1887" s="23"/>
      <c r="T1887" s="5"/>
      <c r="U1887" s="23"/>
      <c r="AA1887" s="23"/>
      <c r="AB1887" s="23"/>
      <c r="BK1887" s="16"/>
    </row>
    <row r="1888" customFormat="false" ht="12" hidden="false" customHeight="true" outlineLevel="0" collapsed="false">
      <c r="B1888" s="14"/>
      <c r="C1888" s="14"/>
      <c r="D1888" s="14"/>
      <c r="E1888" s="14"/>
      <c r="F1888" s="15"/>
      <c r="G1888" s="22"/>
      <c r="BB1888" s="23"/>
      <c r="BC1888" s="23"/>
      <c r="BD1888" s="23"/>
      <c r="BE1888" s="23"/>
      <c r="BF1888" s="23"/>
      <c r="BG1888" s="23"/>
      <c r="BH1888" s="23"/>
      <c r="BI1888" s="23"/>
      <c r="BJ1888" s="23"/>
      <c r="BK1888" s="16"/>
    </row>
    <row r="1889" customFormat="false" ht="12.75" hidden="false" customHeight="false" outlineLevel="0" collapsed="false">
      <c r="B1889" s="14"/>
      <c r="C1889" s="14"/>
      <c r="D1889" s="14"/>
      <c r="E1889" s="14"/>
      <c r="F1889" s="22"/>
      <c r="G1889" s="22"/>
      <c r="BK1889" s="16"/>
    </row>
    <row r="1890" customFormat="false" ht="12" hidden="false" customHeight="true" outlineLevel="0" collapsed="false">
      <c r="B1890" s="14"/>
      <c r="C1890" s="14"/>
      <c r="D1890" s="14"/>
      <c r="E1890" s="14"/>
      <c r="F1890" s="15"/>
      <c r="G1890" s="22"/>
      <c r="BB1890" s="23"/>
      <c r="BC1890" s="23"/>
      <c r="BD1890" s="23"/>
      <c r="BE1890" s="23"/>
      <c r="BF1890" s="23"/>
      <c r="BG1890" s="23"/>
      <c r="BH1890" s="23"/>
      <c r="BI1890" s="23"/>
      <c r="BJ1890" s="23"/>
      <c r="BK1890" s="16"/>
    </row>
    <row r="1891" customFormat="false" ht="12" hidden="false" customHeight="true" outlineLevel="0" collapsed="false">
      <c r="B1891" s="14"/>
      <c r="C1891" s="14"/>
      <c r="D1891" s="14"/>
      <c r="E1891" s="14"/>
      <c r="F1891" s="15"/>
      <c r="G1891" s="22"/>
      <c r="BB1891" s="23"/>
      <c r="BC1891" s="23"/>
      <c r="BD1891" s="23"/>
      <c r="BE1891" s="23"/>
      <c r="BF1891" s="23"/>
      <c r="BG1891" s="23"/>
      <c r="BH1891" s="23"/>
      <c r="BI1891" s="23"/>
      <c r="BJ1891" s="23"/>
      <c r="BK1891" s="16"/>
    </row>
    <row r="1892" customFormat="false" ht="12.75" hidden="false" customHeight="false" outlineLevel="0" collapsed="false">
      <c r="B1892" s="14"/>
      <c r="C1892" s="14"/>
      <c r="D1892" s="14"/>
      <c r="E1892" s="14"/>
      <c r="F1892" s="15"/>
      <c r="G1892" s="15"/>
      <c r="I1892" s="23"/>
      <c r="J1892" s="23"/>
      <c r="K1892" s="23"/>
      <c r="L1892" s="23"/>
      <c r="M1892" s="23"/>
      <c r="N1892" s="23"/>
      <c r="O1892" s="23"/>
      <c r="P1892" s="23"/>
      <c r="Q1892" s="23"/>
      <c r="R1892" s="23"/>
      <c r="S1892" s="23"/>
      <c r="T1892" s="5"/>
      <c r="U1892" s="23"/>
      <c r="AA1892" s="23"/>
      <c r="AB1892" s="23"/>
      <c r="BK1892" s="16"/>
    </row>
    <row r="1893" customFormat="false" ht="12.75" hidden="false" customHeight="false" outlineLevel="0" collapsed="false">
      <c r="B1893" s="14"/>
      <c r="C1893" s="14"/>
      <c r="D1893" s="14"/>
      <c r="E1893" s="14"/>
      <c r="F1893" s="22"/>
      <c r="G1893" s="22"/>
      <c r="BK1893" s="16"/>
    </row>
    <row r="1894" customFormat="false" ht="12.75" hidden="false" customHeight="false" outlineLevel="0" collapsed="false">
      <c r="B1894" s="14"/>
      <c r="C1894" s="14"/>
      <c r="D1894" s="14"/>
      <c r="E1894" s="14"/>
      <c r="F1894" s="22"/>
      <c r="G1894" s="22"/>
      <c r="BK1894" s="16"/>
    </row>
    <row r="1895" customFormat="false" ht="12.75" hidden="false" customHeight="false" outlineLevel="0" collapsed="false">
      <c r="B1895" s="14"/>
      <c r="C1895" s="14"/>
      <c r="D1895" s="14"/>
      <c r="E1895" s="14"/>
      <c r="F1895" s="15"/>
      <c r="G1895" s="15"/>
      <c r="I1895" s="23"/>
      <c r="J1895" s="23"/>
      <c r="K1895" s="23"/>
      <c r="L1895" s="23"/>
      <c r="M1895" s="23"/>
      <c r="N1895" s="23"/>
      <c r="O1895" s="23"/>
      <c r="P1895" s="23"/>
      <c r="Q1895" s="23"/>
      <c r="R1895" s="23"/>
      <c r="S1895" s="23"/>
      <c r="T1895" s="5"/>
      <c r="U1895" s="23"/>
      <c r="AA1895" s="23"/>
      <c r="AB1895" s="23"/>
      <c r="BK1895" s="16"/>
    </row>
    <row r="1896" customFormat="false" ht="12.75" hidden="false" customHeight="false" outlineLevel="0" collapsed="false">
      <c r="B1896" s="14"/>
      <c r="C1896" s="14"/>
      <c r="D1896" s="14"/>
      <c r="E1896" s="14"/>
      <c r="F1896" s="22"/>
      <c r="G1896" s="22"/>
      <c r="BK1896" s="16"/>
    </row>
    <row r="1897" customFormat="false" ht="12" hidden="false" customHeight="true" outlineLevel="0" collapsed="false">
      <c r="B1897" s="14"/>
      <c r="C1897" s="14"/>
      <c r="D1897" s="14"/>
      <c r="E1897" s="14"/>
      <c r="F1897" s="15"/>
      <c r="G1897" s="22"/>
      <c r="BB1897" s="23"/>
      <c r="BC1897" s="23"/>
      <c r="BD1897" s="23"/>
      <c r="BE1897" s="23"/>
      <c r="BF1897" s="23"/>
      <c r="BG1897" s="23"/>
      <c r="BH1897" s="23"/>
      <c r="BI1897" s="23"/>
      <c r="BJ1897" s="23"/>
      <c r="BK1897" s="16"/>
    </row>
    <row r="1898" customFormat="false" ht="12.75" hidden="false" customHeight="false" outlineLevel="0" collapsed="false">
      <c r="B1898" s="14"/>
      <c r="C1898" s="14"/>
      <c r="D1898" s="14"/>
      <c r="E1898" s="14"/>
      <c r="F1898" s="22"/>
      <c r="G1898" s="22"/>
      <c r="BK1898" s="16"/>
    </row>
    <row r="1899" customFormat="false" ht="12" hidden="false" customHeight="true" outlineLevel="0" collapsed="false">
      <c r="B1899" s="14"/>
      <c r="C1899" s="14"/>
      <c r="D1899" s="14"/>
      <c r="E1899" s="14"/>
      <c r="F1899" s="15"/>
      <c r="G1899" s="22"/>
      <c r="BB1899" s="23"/>
      <c r="BC1899" s="23"/>
      <c r="BD1899" s="23"/>
      <c r="BE1899" s="23"/>
      <c r="BF1899" s="23"/>
      <c r="BG1899" s="23"/>
      <c r="BH1899" s="23"/>
      <c r="BI1899" s="23"/>
      <c r="BJ1899" s="23"/>
      <c r="BK1899" s="16"/>
    </row>
    <row r="1900" s="23" customFormat="true" ht="12.75" hidden="false" customHeight="false" outlineLevel="0" collapsed="false">
      <c r="A1900" s="1"/>
      <c r="B1900" s="14"/>
      <c r="C1900" s="14"/>
      <c r="D1900" s="14"/>
      <c r="E1900" s="14"/>
      <c r="F1900" s="22"/>
      <c r="G1900" s="22"/>
      <c r="T1900" s="5"/>
      <c r="AP1900" s="3"/>
      <c r="AQ1900" s="3"/>
      <c r="AR1900" s="3"/>
      <c r="AS1900" s="3"/>
      <c r="AT1900" s="3"/>
      <c r="AU1900" s="3"/>
      <c r="AV1900" s="3"/>
      <c r="AW1900" s="3"/>
      <c r="AX1900" s="3"/>
      <c r="AY1900" s="3"/>
      <c r="AZ1900" s="3"/>
      <c r="BA1900" s="5"/>
      <c r="BB1900" s="3"/>
      <c r="BK1900" s="16"/>
    </row>
    <row r="1901" customFormat="false" ht="12.75" hidden="false" customHeight="false" outlineLevel="0" collapsed="false">
      <c r="B1901" s="14"/>
      <c r="C1901" s="14"/>
      <c r="D1901" s="14"/>
      <c r="E1901" s="14"/>
      <c r="F1901" s="22"/>
      <c r="G1901" s="22"/>
      <c r="BK1901" s="16"/>
    </row>
    <row r="1902" customFormat="false" ht="12.75" hidden="false" customHeight="false" outlineLevel="0" collapsed="false">
      <c r="B1902" s="14"/>
      <c r="C1902" s="14"/>
      <c r="D1902" s="14"/>
      <c r="E1902" s="14"/>
      <c r="F1902" s="15"/>
      <c r="G1902" s="15"/>
      <c r="I1902" s="23"/>
      <c r="J1902" s="23"/>
      <c r="K1902" s="23"/>
      <c r="L1902" s="23"/>
      <c r="M1902" s="23"/>
      <c r="N1902" s="23"/>
      <c r="O1902" s="23"/>
      <c r="P1902" s="23"/>
      <c r="Q1902" s="23"/>
      <c r="R1902" s="23"/>
      <c r="S1902" s="23"/>
      <c r="T1902" s="5"/>
      <c r="U1902" s="23"/>
      <c r="AA1902" s="23"/>
      <c r="AB1902" s="23"/>
      <c r="BK1902" s="16"/>
    </row>
    <row r="1903" customFormat="false" ht="12" hidden="false" customHeight="true" outlineLevel="0" collapsed="false">
      <c r="B1903" s="14"/>
      <c r="C1903" s="14"/>
      <c r="D1903" s="14"/>
      <c r="E1903" s="14"/>
      <c r="F1903" s="15"/>
      <c r="G1903" s="22"/>
      <c r="BB1903" s="23"/>
      <c r="BC1903" s="23"/>
      <c r="BD1903" s="23"/>
      <c r="BE1903" s="23"/>
      <c r="BF1903" s="23"/>
      <c r="BG1903" s="23"/>
      <c r="BH1903" s="23"/>
      <c r="BI1903" s="23"/>
      <c r="BJ1903" s="23"/>
      <c r="BK1903" s="16"/>
    </row>
    <row r="1904" customFormat="false" ht="12.75" hidden="false" customHeight="false" outlineLevel="0" collapsed="false">
      <c r="B1904" s="14"/>
      <c r="C1904" s="14"/>
      <c r="D1904" s="14"/>
      <c r="E1904" s="14"/>
      <c r="F1904" s="15"/>
      <c r="G1904" s="15"/>
      <c r="I1904" s="23"/>
      <c r="J1904" s="23"/>
      <c r="K1904" s="23"/>
      <c r="L1904" s="23"/>
      <c r="M1904" s="23"/>
      <c r="N1904" s="23"/>
      <c r="O1904" s="23"/>
      <c r="P1904" s="23"/>
      <c r="Q1904" s="23"/>
      <c r="R1904" s="23"/>
      <c r="S1904" s="23"/>
      <c r="T1904" s="5"/>
      <c r="U1904" s="23"/>
      <c r="AA1904" s="23"/>
      <c r="AB1904" s="23"/>
      <c r="BK1904" s="16"/>
    </row>
    <row r="1905" s="23" customFormat="true" ht="12.75" hidden="false" customHeight="false" outlineLevel="0" collapsed="false">
      <c r="A1905" s="1"/>
      <c r="B1905" s="14"/>
      <c r="C1905" s="14"/>
      <c r="D1905" s="14"/>
      <c r="E1905" s="14"/>
      <c r="F1905" s="22"/>
      <c r="G1905" s="22"/>
      <c r="T1905" s="5"/>
      <c r="AP1905" s="3"/>
      <c r="AQ1905" s="3"/>
      <c r="AR1905" s="3"/>
      <c r="AS1905" s="3"/>
      <c r="AT1905" s="3"/>
      <c r="AU1905" s="3"/>
      <c r="AV1905" s="3"/>
      <c r="AW1905" s="3"/>
      <c r="AX1905" s="3"/>
      <c r="AY1905" s="3"/>
      <c r="BA1905" s="5"/>
      <c r="BK1905" s="16"/>
    </row>
    <row r="1906" customFormat="false" ht="12.75" hidden="false" customHeight="false" outlineLevel="0" collapsed="false">
      <c r="B1906" s="14"/>
      <c r="C1906" s="14"/>
      <c r="D1906" s="14"/>
      <c r="E1906" s="14"/>
      <c r="F1906" s="15"/>
      <c r="G1906" s="15"/>
      <c r="I1906" s="23"/>
      <c r="J1906" s="23"/>
      <c r="K1906" s="23"/>
      <c r="L1906" s="23"/>
      <c r="M1906" s="23"/>
      <c r="N1906" s="23"/>
      <c r="O1906" s="23"/>
      <c r="P1906" s="23"/>
      <c r="Q1906" s="23"/>
      <c r="R1906" s="23"/>
      <c r="S1906" s="23"/>
      <c r="T1906" s="5"/>
      <c r="U1906" s="23"/>
      <c r="AA1906" s="23"/>
      <c r="AB1906" s="23"/>
      <c r="BK1906" s="16"/>
    </row>
    <row r="1907" customFormat="false" ht="12.75" hidden="false" customHeight="false" outlineLevel="0" collapsed="false">
      <c r="B1907" s="14"/>
      <c r="C1907" s="14"/>
      <c r="D1907" s="14"/>
      <c r="E1907" s="14"/>
      <c r="F1907" s="15"/>
      <c r="G1907" s="15"/>
      <c r="I1907" s="23"/>
      <c r="J1907" s="23"/>
      <c r="K1907" s="23"/>
      <c r="L1907" s="23"/>
      <c r="M1907" s="23"/>
      <c r="N1907" s="23"/>
      <c r="O1907" s="23"/>
      <c r="P1907" s="23"/>
      <c r="Q1907" s="23"/>
      <c r="R1907" s="23"/>
      <c r="S1907" s="23"/>
      <c r="T1907" s="5"/>
      <c r="U1907" s="23"/>
      <c r="AA1907" s="23"/>
      <c r="AB1907" s="23"/>
      <c r="BK1907" s="16"/>
    </row>
    <row r="1908" s="23" customFormat="true" ht="12.75" hidden="false" customHeight="false" outlineLevel="0" collapsed="false">
      <c r="A1908" s="1"/>
      <c r="B1908" s="14"/>
      <c r="C1908" s="14"/>
      <c r="D1908" s="14"/>
      <c r="E1908" s="14"/>
      <c r="F1908" s="22"/>
      <c r="G1908" s="22"/>
      <c r="T1908" s="5"/>
      <c r="AP1908" s="3"/>
      <c r="AQ1908" s="3"/>
      <c r="AR1908" s="3"/>
      <c r="AS1908" s="3"/>
      <c r="AT1908" s="3"/>
      <c r="AU1908" s="3"/>
      <c r="AV1908" s="3"/>
      <c r="AW1908" s="3"/>
      <c r="AX1908" s="3"/>
      <c r="AY1908" s="3"/>
      <c r="BA1908" s="5"/>
      <c r="BK1908" s="16"/>
    </row>
    <row r="1909" s="23" customFormat="true" ht="12.75" hidden="false" customHeight="false" outlineLevel="0" collapsed="false">
      <c r="A1909" s="1"/>
      <c r="B1909" s="14"/>
      <c r="C1909" s="14"/>
      <c r="D1909" s="14"/>
      <c r="E1909" s="14"/>
      <c r="F1909" s="22"/>
      <c r="G1909" s="22"/>
      <c r="T1909" s="5"/>
      <c r="AP1909" s="3"/>
      <c r="AQ1909" s="3"/>
      <c r="AR1909" s="3"/>
      <c r="AS1909" s="3"/>
      <c r="AT1909" s="3"/>
      <c r="AU1909" s="3"/>
      <c r="AV1909" s="3"/>
      <c r="AW1909" s="3"/>
      <c r="AX1909" s="3"/>
      <c r="AY1909" s="3"/>
      <c r="BA1909" s="5"/>
      <c r="BK1909" s="16"/>
    </row>
    <row r="1910" customFormat="false" ht="12.75" hidden="false" customHeight="false" outlineLevel="0" collapsed="false">
      <c r="B1910" s="14"/>
      <c r="C1910" s="14"/>
      <c r="D1910" s="14"/>
      <c r="E1910" s="14"/>
      <c r="F1910" s="22"/>
      <c r="G1910" s="22"/>
      <c r="BK1910" s="16"/>
    </row>
    <row r="1911" customFormat="false" ht="12" hidden="false" customHeight="true" outlineLevel="0" collapsed="false">
      <c r="B1911" s="14"/>
      <c r="C1911" s="14"/>
      <c r="D1911" s="14"/>
      <c r="E1911" s="14"/>
      <c r="F1911" s="15"/>
      <c r="G1911" s="22"/>
      <c r="BB1911" s="23"/>
      <c r="BC1911" s="23"/>
      <c r="BD1911" s="23"/>
      <c r="BE1911" s="23"/>
      <c r="BF1911" s="23"/>
      <c r="BG1911" s="23"/>
      <c r="BH1911" s="23"/>
      <c r="BI1911" s="23"/>
      <c r="BJ1911" s="23"/>
      <c r="BK1911" s="16"/>
    </row>
    <row r="1912" customFormat="false" ht="12.75" hidden="false" customHeight="false" outlineLevel="0" collapsed="false">
      <c r="B1912" s="14"/>
      <c r="C1912" s="14"/>
      <c r="D1912" s="14"/>
      <c r="E1912" s="14"/>
      <c r="F1912" s="22"/>
      <c r="G1912" s="15"/>
      <c r="BK1912" s="16"/>
    </row>
    <row r="1913" s="23" customFormat="true" ht="12.75" hidden="false" customHeight="false" outlineLevel="0" collapsed="false">
      <c r="A1913" s="1"/>
      <c r="B1913" s="14"/>
      <c r="C1913" s="14"/>
      <c r="D1913" s="14"/>
      <c r="E1913" s="14"/>
      <c r="F1913" s="22"/>
      <c r="G1913" s="15"/>
      <c r="T1913" s="5"/>
      <c r="AP1913" s="3"/>
      <c r="AQ1913" s="3"/>
      <c r="AR1913" s="3"/>
      <c r="AS1913" s="3"/>
      <c r="AT1913" s="3"/>
      <c r="AU1913" s="3"/>
      <c r="AV1913" s="3"/>
      <c r="AW1913" s="3"/>
      <c r="AX1913" s="3"/>
      <c r="AY1913" s="3"/>
      <c r="AZ1913" s="3"/>
      <c r="BA1913" s="5"/>
      <c r="BK1913" s="16"/>
    </row>
    <row r="1914" customFormat="false" ht="12" hidden="false" customHeight="true" outlineLevel="0" collapsed="false">
      <c r="B1914" s="14"/>
      <c r="C1914" s="14"/>
      <c r="D1914" s="14"/>
      <c r="E1914" s="14"/>
      <c r="F1914" s="15"/>
      <c r="G1914" s="22"/>
      <c r="BB1914" s="23"/>
      <c r="BC1914" s="23"/>
      <c r="BD1914" s="23"/>
      <c r="BE1914" s="23"/>
      <c r="BF1914" s="23"/>
      <c r="BG1914" s="23"/>
      <c r="BH1914" s="23"/>
      <c r="BI1914" s="23"/>
      <c r="BJ1914" s="23"/>
      <c r="BK1914" s="16"/>
    </row>
    <row r="1915" customFormat="false" ht="12" hidden="false" customHeight="true" outlineLevel="0" collapsed="false">
      <c r="B1915" s="14"/>
      <c r="C1915" s="14"/>
      <c r="D1915" s="14"/>
      <c r="E1915" s="14"/>
      <c r="F1915" s="15"/>
      <c r="G1915" s="22"/>
      <c r="BB1915" s="23"/>
      <c r="BC1915" s="23"/>
      <c r="BD1915" s="23"/>
      <c r="BE1915" s="23"/>
      <c r="BF1915" s="23"/>
      <c r="BG1915" s="23"/>
      <c r="BH1915" s="23"/>
      <c r="BI1915" s="23"/>
      <c r="BJ1915" s="23"/>
      <c r="BK1915" s="16"/>
    </row>
    <row r="1916" s="23" customFormat="true" ht="12.75" hidden="false" customHeight="false" outlineLevel="0" collapsed="false">
      <c r="A1916" s="1"/>
      <c r="B1916" s="14"/>
      <c r="C1916" s="14"/>
      <c r="D1916" s="14"/>
      <c r="E1916" s="14"/>
      <c r="F1916" s="22"/>
      <c r="G1916" s="22"/>
      <c r="T1916" s="5"/>
      <c r="AP1916" s="3"/>
      <c r="AQ1916" s="3"/>
      <c r="AR1916" s="3"/>
      <c r="AS1916" s="3"/>
      <c r="AT1916" s="3"/>
      <c r="AU1916" s="3"/>
      <c r="AV1916" s="3"/>
      <c r="AW1916" s="3"/>
      <c r="AX1916" s="3"/>
      <c r="AY1916" s="3"/>
      <c r="BA1916" s="5"/>
      <c r="BK1916" s="16"/>
    </row>
    <row r="1917" customFormat="false" ht="12" hidden="false" customHeight="true" outlineLevel="0" collapsed="false">
      <c r="B1917" s="14"/>
      <c r="C1917" s="14"/>
      <c r="D1917" s="14"/>
      <c r="E1917" s="14"/>
      <c r="F1917" s="15"/>
      <c r="G1917" s="22"/>
      <c r="BB1917" s="23"/>
      <c r="BC1917" s="23"/>
      <c r="BD1917" s="23"/>
      <c r="BE1917" s="23"/>
      <c r="BF1917" s="23"/>
      <c r="BG1917" s="23"/>
      <c r="BH1917" s="23"/>
      <c r="BI1917" s="23"/>
      <c r="BJ1917" s="23"/>
      <c r="BK1917" s="16"/>
    </row>
    <row r="1918" customFormat="false" ht="12.75" hidden="false" customHeight="false" outlineLevel="0" collapsed="false">
      <c r="B1918" s="14"/>
      <c r="C1918" s="14"/>
      <c r="D1918" s="14"/>
      <c r="E1918" s="14"/>
      <c r="F1918" s="15"/>
      <c r="G1918" s="15"/>
      <c r="I1918" s="23"/>
      <c r="J1918" s="23"/>
      <c r="K1918" s="23"/>
      <c r="L1918" s="23"/>
      <c r="M1918" s="23"/>
      <c r="N1918" s="23"/>
      <c r="O1918" s="23"/>
      <c r="P1918" s="23"/>
      <c r="Q1918" s="23"/>
      <c r="R1918" s="23"/>
      <c r="S1918" s="23"/>
      <c r="T1918" s="5"/>
      <c r="U1918" s="23"/>
      <c r="AA1918" s="23"/>
      <c r="AB1918" s="23"/>
      <c r="BK1918" s="16"/>
    </row>
    <row r="1919" s="11" customFormat="true" ht="12.75" hidden="false" customHeight="false" outlineLevel="0" collapsed="false">
      <c r="A1919" s="7"/>
      <c r="B1919" s="53"/>
      <c r="C1919" s="53"/>
      <c r="D1919" s="53"/>
      <c r="E1919" s="53"/>
      <c r="F1919" s="53"/>
      <c r="G1919" s="53"/>
      <c r="T1919" s="54"/>
      <c r="BA1919" s="54"/>
      <c r="BK1919" s="13"/>
    </row>
    <row r="1920" s="23" customFormat="true" ht="12.75" hidden="false" customHeight="false" outlineLevel="0" collapsed="false">
      <c r="A1920" s="1"/>
      <c r="B1920" s="14"/>
      <c r="C1920" s="14"/>
      <c r="D1920" s="14"/>
      <c r="E1920" s="14"/>
      <c r="F1920" s="22"/>
      <c r="G1920" s="22"/>
      <c r="T1920" s="5"/>
      <c r="AP1920" s="3"/>
      <c r="AQ1920" s="3"/>
      <c r="AR1920" s="3"/>
      <c r="AS1920" s="3"/>
      <c r="AT1920" s="3"/>
      <c r="AU1920" s="3"/>
      <c r="AV1920" s="3"/>
      <c r="AW1920" s="3"/>
      <c r="AX1920" s="3"/>
      <c r="AY1920" s="3"/>
      <c r="AZ1920" s="3"/>
      <c r="BA1920" s="5"/>
      <c r="BK1920" s="16"/>
    </row>
    <row r="1921" customFormat="false" ht="12.75" hidden="false" customHeight="false" outlineLevel="0" collapsed="false">
      <c r="B1921" s="14"/>
      <c r="C1921" s="14"/>
      <c r="D1921" s="14"/>
      <c r="E1921" s="14"/>
      <c r="F1921" s="22"/>
      <c r="G1921" s="15"/>
      <c r="BK1921" s="16"/>
    </row>
    <row r="1922" s="23" customFormat="true" ht="12.75" hidden="false" customHeight="false" outlineLevel="0" collapsed="false">
      <c r="A1922" s="1"/>
      <c r="B1922" s="14"/>
      <c r="C1922" s="14"/>
      <c r="D1922" s="14"/>
      <c r="E1922" s="14"/>
      <c r="F1922" s="22"/>
      <c r="G1922" s="22"/>
      <c r="T1922" s="5"/>
      <c r="AP1922" s="3"/>
      <c r="AQ1922" s="3"/>
      <c r="AR1922" s="3"/>
      <c r="AS1922" s="3"/>
      <c r="AT1922" s="3"/>
      <c r="AU1922" s="3"/>
      <c r="AV1922" s="3"/>
      <c r="AW1922" s="3"/>
      <c r="AX1922" s="3"/>
      <c r="AY1922" s="3"/>
      <c r="AZ1922" s="3"/>
      <c r="BA1922" s="5"/>
      <c r="BK1922" s="16"/>
    </row>
    <row r="1923" customFormat="false" ht="12" hidden="false" customHeight="true" outlineLevel="0" collapsed="false">
      <c r="B1923" s="14"/>
      <c r="C1923" s="14"/>
      <c r="D1923" s="14"/>
      <c r="E1923" s="14"/>
      <c r="F1923" s="15"/>
      <c r="G1923" s="22"/>
      <c r="BB1923" s="23"/>
      <c r="BC1923" s="23"/>
      <c r="BD1923" s="23"/>
      <c r="BE1923" s="23"/>
      <c r="BF1923" s="23"/>
      <c r="BG1923" s="23"/>
      <c r="BH1923" s="23"/>
      <c r="BI1923" s="23"/>
      <c r="BJ1923" s="23"/>
      <c r="BK1923" s="16"/>
    </row>
    <row r="1924" customFormat="false" ht="12.75" hidden="false" customHeight="false" outlineLevel="0" collapsed="false">
      <c r="B1924" s="14"/>
      <c r="C1924" s="14"/>
      <c r="D1924" s="14"/>
      <c r="E1924" s="14"/>
      <c r="F1924" s="22"/>
      <c r="G1924" s="22"/>
      <c r="BK1924" s="16"/>
    </row>
    <row r="1925" s="23" customFormat="true" ht="12.75" hidden="false" customHeight="false" outlineLevel="0" collapsed="false">
      <c r="A1925" s="1"/>
      <c r="B1925" s="14"/>
      <c r="C1925" s="14"/>
      <c r="D1925" s="14"/>
      <c r="E1925" s="14"/>
      <c r="F1925" s="22"/>
      <c r="G1925" s="22"/>
      <c r="T1925" s="5"/>
      <c r="AP1925" s="3"/>
      <c r="AQ1925" s="3"/>
      <c r="AR1925" s="3"/>
      <c r="AS1925" s="3"/>
      <c r="AT1925" s="3"/>
      <c r="AU1925" s="3"/>
      <c r="AV1925" s="3"/>
      <c r="AW1925" s="3"/>
      <c r="AX1925" s="3"/>
      <c r="AY1925" s="3"/>
      <c r="BA1925" s="5"/>
      <c r="BK1925" s="16"/>
    </row>
    <row r="1926" customFormat="false" ht="12" hidden="false" customHeight="true" outlineLevel="0" collapsed="false">
      <c r="B1926" s="14"/>
      <c r="C1926" s="14"/>
      <c r="D1926" s="14"/>
      <c r="E1926" s="14"/>
      <c r="F1926" s="15"/>
      <c r="G1926" s="22"/>
      <c r="BB1926" s="23"/>
      <c r="BC1926" s="23"/>
      <c r="BD1926" s="23"/>
      <c r="BE1926" s="23"/>
      <c r="BF1926" s="23"/>
      <c r="BG1926" s="23"/>
      <c r="BH1926" s="23"/>
      <c r="BI1926" s="23"/>
      <c r="BJ1926" s="23"/>
      <c r="BK1926" s="16"/>
    </row>
    <row r="1927" customFormat="false" ht="12.75" hidden="false" customHeight="false" outlineLevel="0" collapsed="false">
      <c r="B1927" s="14"/>
      <c r="C1927" s="14"/>
      <c r="D1927" s="14"/>
      <c r="E1927" s="14"/>
      <c r="F1927" s="22"/>
      <c r="G1927" s="15"/>
      <c r="BK1927" s="16"/>
    </row>
    <row r="1928" customFormat="false" ht="12.75" hidden="false" customHeight="false" outlineLevel="0" collapsed="false">
      <c r="B1928" s="14"/>
      <c r="C1928" s="14"/>
      <c r="D1928" s="14"/>
      <c r="E1928" s="14"/>
      <c r="F1928" s="22"/>
      <c r="G1928" s="15"/>
      <c r="BK1928" s="16"/>
    </row>
    <row r="1929" customFormat="false" ht="12" hidden="false" customHeight="true" outlineLevel="0" collapsed="false">
      <c r="B1929" s="14"/>
      <c r="C1929" s="14"/>
      <c r="D1929" s="14"/>
      <c r="E1929" s="14"/>
      <c r="F1929" s="15"/>
      <c r="G1929" s="22"/>
      <c r="BB1929" s="23"/>
      <c r="BC1929" s="23"/>
      <c r="BD1929" s="23"/>
      <c r="BE1929" s="23"/>
      <c r="BF1929" s="23"/>
      <c r="BG1929" s="23"/>
      <c r="BH1929" s="23"/>
      <c r="BI1929" s="23"/>
      <c r="BJ1929" s="23"/>
      <c r="BK1929" s="16"/>
    </row>
    <row r="1930" customFormat="false" ht="12.75" hidden="false" customHeight="false" outlineLevel="0" collapsed="false">
      <c r="B1930" s="14"/>
      <c r="C1930" s="14"/>
      <c r="D1930" s="14"/>
      <c r="E1930" s="14"/>
      <c r="F1930" s="22"/>
      <c r="G1930" s="15"/>
      <c r="BK1930" s="16"/>
    </row>
    <row r="1931" customFormat="false" ht="12.75" hidden="false" customHeight="false" outlineLevel="0" collapsed="false">
      <c r="B1931" s="14"/>
      <c r="C1931" s="14"/>
      <c r="D1931" s="14"/>
      <c r="E1931" s="14"/>
      <c r="F1931" s="22"/>
      <c r="G1931" s="22"/>
      <c r="BK1931" s="16"/>
    </row>
    <row r="1932" s="23" customFormat="true" ht="12.75" hidden="false" customHeight="false" outlineLevel="0" collapsed="false">
      <c r="A1932" s="1"/>
      <c r="B1932" s="14"/>
      <c r="C1932" s="14"/>
      <c r="D1932" s="14"/>
      <c r="E1932" s="14"/>
      <c r="F1932" s="22"/>
      <c r="G1932" s="22"/>
      <c r="T1932" s="5"/>
      <c r="AP1932" s="3"/>
      <c r="AQ1932" s="3"/>
      <c r="AR1932" s="3"/>
      <c r="AS1932" s="3"/>
      <c r="AT1932" s="3"/>
      <c r="AU1932" s="3"/>
      <c r="AV1932" s="3"/>
      <c r="AW1932" s="3"/>
      <c r="AX1932" s="3"/>
      <c r="AY1932" s="3"/>
      <c r="AZ1932" s="3"/>
      <c r="BA1932" s="5"/>
      <c r="BK1932" s="16"/>
    </row>
    <row r="1933" customFormat="false" ht="12.75" hidden="false" customHeight="false" outlineLevel="0" collapsed="false">
      <c r="B1933" s="14"/>
      <c r="C1933" s="14"/>
      <c r="D1933" s="14"/>
      <c r="E1933" s="14"/>
      <c r="F1933" s="22"/>
      <c r="G1933" s="22"/>
      <c r="BK1933" s="16"/>
    </row>
    <row r="1934" customFormat="false" ht="12" hidden="false" customHeight="true" outlineLevel="0" collapsed="false">
      <c r="B1934" s="14"/>
      <c r="C1934" s="14"/>
      <c r="D1934" s="14"/>
      <c r="E1934" s="14"/>
      <c r="F1934" s="15"/>
      <c r="G1934" s="22"/>
      <c r="BB1934" s="23"/>
      <c r="BC1934" s="23"/>
      <c r="BD1934" s="23"/>
      <c r="BE1934" s="23"/>
      <c r="BF1934" s="23"/>
      <c r="BG1934" s="23"/>
      <c r="BH1934" s="23"/>
      <c r="BI1934" s="23"/>
      <c r="BJ1934" s="23"/>
      <c r="BK1934" s="16"/>
    </row>
    <row r="1935" s="23" customFormat="true" ht="12.75" hidden="false" customHeight="false" outlineLevel="0" collapsed="false">
      <c r="A1935" s="1"/>
      <c r="B1935" s="14"/>
      <c r="C1935" s="14"/>
      <c r="D1935" s="14"/>
      <c r="E1935" s="14"/>
      <c r="F1935" s="22"/>
      <c r="G1935" s="22"/>
      <c r="T1935" s="5"/>
      <c r="AP1935" s="3"/>
      <c r="AQ1935" s="3"/>
      <c r="AR1935" s="3"/>
      <c r="AS1935" s="3"/>
      <c r="AT1935" s="3"/>
      <c r="AU1935" s="3"/>
      <c r="AV1935" s="3"/>
      <c r="AW1935" s="3"/>
      <c r="AX1935" s="3"/>
      <c r="AY1935" s="3"/>
      <c r="BA1935" s="5"/>
      <c r="BK1935" s="16"/>
    </row>
    <row r="1936" customFormat="false" ht="12.75" hidden="false" customHeight="false" outlineLevel="0" collapsed="false">
      <c r="B1936" s="14"/>
      <c r="C1936" s="14"/>
      <c r="D1936" s="14"/>
      <c r="E1936" s="14"/>
      <c r="F1936" s="22"/>
      <c r="G1936" s="15"/>
      <c r="BK1936" s="16"/>
    </row>
    <row r="1937" customFormat="false" ht="12" hidden="false" customHeight="true" outlineLevel="0" collapsed="false">
      <c r="B1937" s="14"/>
      <c r="C1937" s="14"/>
      <c r="D1937" s="14"/>
      <c r="E1937" s="14"/>
      <c r="F1937" s="15"/>
      <c r="G1937" s="22"/>
      <c r="BB1937" s="23"/>
      <c r="BC1937" s="23"/>
      <c r="BD1937" s="23"/>
      <c r="BE1937" s="23"/>
      <c r="BF1937" s="23"/>
      <c r="BG1937" s="23"/>
      <c r="BH1937" s="23"/>
      <c r="BI1937" s="23"/>
      <c r="BJ1937" s="23"/>
      <c r="BK1937" s="16"/>
    </row>
    <row r="1938" customFormat="false" ht="12" hidden="false" customHeight="true" outlineLevel="0" collapsed="false">
      <c r="B1938" s="14"/>
      <c r="C1938" s="14"/>
      <c r="D1938" s="14"/>
      <c r="E1938" s="14"/>
      <c r="F1938" s="15"/>
      <c r="G1938" s="22"/>
      <c r="BB1938" s="23"/>
      <c r="BC1938" s="23"/>
      <c r="BD1938" s="23"/>
      <c r="BE1938" s="23"/>
      <c r="BF1938" s="23"/>
      <c r="BG1938" s="23"/>
      <c r="BH1938" s="23"/>
      <c r="BI1938" s="23"/>
      <c r="BJ1938" s="23"/>
      <c r="BK1938" s="16"/>
    </row>
    <row r="1939" customFormat="false" ht="12.75" hidden="false" customHeight="false" outlineLevel="0" collapsed="false">
      <c r="B1939" s="14"/>
      <c r="C1939" s="14"/>
      <c r="D1939" s="14"/>
      <c r="E1939" s="14"/>
      <c r="F1939" s="22"/>
      <c r="G1939" s="15"/>
      <c r="BK1939" s="16"/>
    </row>
    <row r="1940" s="23" customFormat="true" ht="12.75" hidden="false" customHeight="false" outlineLevel="0" collapsed="false">
      <c r="A1940" s="1"/>
      <c r="B1940" s="14"/>
      <c r="C1940" s="14"/>
      <c r="D1940" s="14"/>
      <c r="E1940" s="14"/>
      <c r="F1940" s="22"/>
      <c r="G1940" s="22"/>
      <c r="T1940" s="5"/>
      <c r="BA1940" s="5"/>
      <c r="BK1940" s="16"/>
    </row>
    <row r="1941" customFormat="false" ht="12.75" hidden="false" customHeight="false" outlineLevel="0" collapsed="false">
      <c r="B1941" s="14"/>
      <c r="C1941" s="14"/>
      <c r="D1941" s="14"/>
      <c r="E1941" s="14"/>
      <c r="F1941" s="22"/>
      <c r="G1941" s="15"/>
      <c r="BK1941" s="16"/>
    </row>
    <row r="1942" customFormat="false" ht="12.75" hidden="false" customHeight="false" outlineLevel="0" collapsed="false">
      <c r="B1942" s="14"/>
      <c r="C1942" s="14"/>
      <c r="D1942" s="14"/>
      <c r="E1942" s="14"/>
      <c r="F1942" s="15"/>
      <c r="G1942" s="22"/>
      <c r="BK1942" s="16"/>
    </row>
    <row r="1943" customFormat="false" ht="12.75" hidden="false" customHeight="false" outlineLevel="0" collapsed="false">
      <c r="B1943" s="14"/>
      <c r="C1943" s="14"/>
      <c r="D1943" s="14"/>
      <c r="E1943" s="14"/>
      <c r="F1943" s="15"/>
      <c r="G1943" s="22"/>
      <c r="BK1943" s="16"/>
    </row>
    <row r="1944" customFormat="false" ht="12.75" hidden="false" customHeight="false" outlineLevel="0" collapsed="false">
      <c r="B1944" s="14"/>
      <c r="C1944" s="14"/>
      <c r="D1944" s="14"/>
      <c r="E1944" s="14"/>
      <c r="F1944" s="22"/>
      <c r="G1944" s="22"/>
      <c r="BK1944" s="16"/>
    </row>
    <row r="1945" customFormat="false" ht="12.75" hidden="false" customHeight="false" outlineLevel="0" collapsed="false">
      <c r="B1945" s="14"/>
      <c r="C1945" s="14"/>
      <c r="D1945" s="14"/>
      <c r="E1945" s="14"/>
      <c r="F1945" s="22"/>
      <c r="G1945" s="15"/>
      <c r="BK1945" s="16"/>
    </row>
    <row r="1946" customFormat="false" ht="12.75" hidden="false" customHeight="false" outlineLevel="0" collapsed="false">
      <c r="B1946" s="14"/>
      <c r="C1946" s="14"/>
      <c r="D1946" s="14"/>
      <c r="E1946" s="14"/>
      <c r="F1946" s="22"/>
      <c r="G1946" s="15"/>
      <c r="BK1946" s="16"/>
    </row>
    <row r="1947" customFormat="false" ht="12" hidden="false" customHeight="true" outlineLevel="0" collapsed="false">
      <c r="B1947" s="14"/>
      <c r="C1947" s="14"/>
      <c r="D1947" s="14"/>
      <c r="E1947" s="14"/>
      <c r="F1947" s="15"/>
      <c r="G1947" s="22"/>
      <c r="BB1947" s="23"/>
      <c r="BC1947" s="23"/>
      <c r="BD1947" s="23"/>
      <c r="BE1947" s="23"/>
      <c r="BF1947" s="23"/>
      <c r="BG1947" s="23"/>
      <c r="BH1947" s="23"/>
      <c r="BI1947" s="23"/>
      <c r="BJ1947" s="23"/>
      <c r="BK1947" s="16"/>
    </row>
    <row r="1948" customFormat="false" ht="12.75" hidden="false" customHeight="false" outlineLevel="0" collapsed="false">
      <c r="B1948" s="14"/>
      <c r="C1948" s="14"/>
      <c r="D1948" s="14"/>
      <c r="E1948" s="14"/>
      <c r="F1948" s="15"/>
      <c r="G1948" s="22"/>
      <c r="BK1948" s="16"/>
    </row>
    <row r="1949" customFormat="false" ht="12.75" hidden="false" customHeight="false" outlineLevel="0" collapsed="false">
      <c r="B1949" s="14"/>
      <c r="C1949" s="14"/>
      <c r="D1949" s="14"/>
      <c r="E1949" s="14"/>
      <c r="F1949" s="22"/>
      <c r="G1949" s="22"/>
      <c r="BK1949" s="16"/>
    </row>
    <row r="1950" s="23" customFormat="true" ht="12.75" hidden="false" customHeight="false" outlineLevel="0" collapsed="false">
      <c r="A1950" s="1"/>
      <c r="B1950" s="14"/>
      <c r="C1950" s="14"/>
      <c r="D1950" s="14"/>
      <c r="E1950" s="14"/>
      <c r="F1950" s="22"/>
      <c r="G1950" s="22"/>
      <c r="T1950" s="5"/>
      <c r="AP1950" s="3"/>
      <c r="AQ1950" s="3"/>
      <c r="AR1950" s="3"/>
      <c r="AS1950" s="3"/>
      <c r="AT1950" s="3"/>
      <c r="AU1950" s="3"/>
      <c r="AV1950" s="3"/>
      <c r="AW1950" s="3"/>
      <c r="AX1950" s="3"/>
      <c r="AY1950" s="3"/>
      <c r="AZ1950" s="3"/>
      <c r="BA1950" s="5"/>
      <c r="BK1950" s="16"/>
    </row>
    <row r="1951" customFormat="false" ht="12" hidden="false" customHeight="true" outlineLevel="0" collapsed="false">
      <c r="B1951" s="14"/>
      <c r="C1951" s="14"/>
      <c r="D1951" s="14"/>
      <c r="E1951" s="14"/>
      <c r="F1951" s="15"/>
      <c r="G1951" s="22"/>
      <c r="BB1951" s="23"/>
      <c r="BC1951" s="23"/>
      <c r="BD1951" s="23"/>
      <c r="BE1951" s="23"/>
      <c r="BF1951" s="23"/>
      <c r="BG1951" s="23"/>
      <c r="BH1951" s="23"/>
      <c r="BI1951" s="23"/>
      <c r="BJ1951" s="23"/>
      <c r="BK1951" s="16"/>
    </row>
    <row r="1952" customFormat="false" ht="12.75" hidden="false" customHeight="false" outlineLevel="0" collapsed="false">
      <c r="B1952" s="14"/>
      <c r="C1952" s="14"/>
      <c r="D1952" s="14"/>
      <c r="E1952" s="14"/>
      <c r="F1952" s="15"/>
      <c r="G1952" s="15"/>
      <c r="BB1952" s="23"/>
      <c r="BK1952" s="16"/>
    </row>
    <row r="1953" s="23" customFormat="true" ht="12.75" hidden="false" customHeight="false" outlineLevel="0" collapsed="false">
      <c r="A1953" s="1"/>
      <c r="B1953" s="14"/>
      <c r="C1953" s="14"/>
      <c r="D1953" s="14"/>
      <c r="E1953" s="14"/>
      <c r="F1953" s="22"/>
      <c r="G1953" s="22"/>
      <c r="T1953" s="5"/>
      <c r="V1953" s="3"/>
      <c r="W1953" s="3"/>
      <c r="X1953" s="3"/>
      <c r="Y1953" s="3"/>
      <c r="Z1953" s="3"/>
      <c r="AP1953" s="3"/>
      <c r="AQ1953" s="3"/>
      <c r="AR1953" s="3"/>
      <c r="AS1953" s="3"/>
      <c r="AT1953" s="3"/>
      <c r="AU1953" s="3"/>
      <c r="AV1953" s="3"/>
      <c r="AW1953" s="3"/>
      <c r="AX1953" s="3"/>
      <c r="AY1953" s="3"/>
      <c r="AZ1953" s="3"/>
      <c r="BA1953" s="5"/>
      <c r="BK1953" s="16"/>
    </row>
    <row r="1954" customFormat="false" ht="12.75" hidden="false" customHeight="false" outlineLevel="0" collapsed="false">
      <c r="B1954" s="14"/>
      <c r="C1954" s="14"/>
      <c r="D1954" s="14"/>
      <c r="E1954" s="14"/>
      <c r="F1954" s="15"/>
      <c r="G1954" s="22"/>
      <c r="BK1954" s="16"/>
    </row>
    <row r="1955" customFormat="false" ht="12.75" hidden="false" customHeight="false" outlineLevel="0" collapsed="false">
      <c r="B1955" s="14"/>
      <c r="C1955" s="14"/>
      <c r="D1955" s="14"/>
      <c r="E1955" s="14"/>
      <c r="F1955" s="22"/>
      <c r="G1955" s="22"/>
      <c r="BK1955" s="16"/>
    </row>
    <row r="1956" customFormat="false" ht="12.75" hidden="false" customHeight="false" outlineLevel="0" collapsed="false">
      <c r="B1956" s="14"/>
      <c r="C1956" s="14"/>
      <c r="D1956" s="14"/>
      <c r="E1956" s="14"/>
      <c r="F1956" s="22"/>
      <c r="G1956" s="15"/>
      <c r="BK1956" s="16"/>
    </row>
    <row r="1957" customFormat="false" ht="12.75" hidden="false" customHeight="false" outlineLevel="0" collapsed="false">
      <c r="B1957" s="14"/>
      <c r="C1957" s="14"/>
      <c r="D1957" s="14"/>
      <c r="E1957" s="14"/>
      <c r="F1957" s="15"/>
      <c r="G1957" s="22"/>
      <c r="BK1957" s="16"/>
    </row>
    <row r="1958" s="23" customFormat="true" ht="12.75" hidden="false" customHeight="false" outlineLevel="0" collapsed="false">
      <c r="A1958" s="1"/>
      <c r="B1958" s="14"/>
      <c r="C1958" s="14"/>
      <c r="D1958" s="14"/>
      <c r="E1958" s="14"/>
      <c r="F1958" s="22"/>
      <c r="G1958" s="22"/>
      <c r="T1958" s="5"/>
      <c r="AP1958" s="3"/>
      <c r="AQ1958" s="3"/>
      <c r="AR1958" s="3"/>
      <c r="AS1958" s="3"/>
      <c r="AT1958" s="3"/>
      <c r="AU1958" s="3"/>
      <c r="AV1958" s="3"/>
      <c r="AW1958" s="3"/>
      <c r="AX1958" s="3"/>
      <c r="AY1958" s="3"/>
      <c r="AZ1958" s="3"/>
      <c r="BA1958" s="5"/>
      <c r="BK1958" s="16"/>
    </row>
    <row r="1959" customFormat="false" ht="12.75" hidden="false" customHeight="false" outlineLevel="0" collapsed="false">
      <c r="B1959" s="14"/>
      <c r="C1959" s="14"/>
      <c r="D1959" s="14"/>
      <c r="E1959" s="14"/>
      <c r="F1959" s="15"/>
      <c r="G1959" s="22"/>
      <c r="BK1959" s="16"/>
    </row>
    <row r="1960" customFormat="false" ht="12.75" hidden="false" customHeight="false" outlineLevel="0" collapsed="false">
      <c r="B1960" s="14"/>
      <c r="C1960" s="14"/>
      <c r="D1960" s="14"/>
      <c r="E1960" s="14"/>
      <c r="F1960" s="15"/>
      <c r="G1960" s="22"/>
      <c r="BK1960" s="16"/>
    </row>
    <row r="1961" customFormat="false" ht="12.75" hidden="false" customHeight="false" outlineLevel="0" collapsed="false">
      <c r="B1961" s="14"/>
      <c r="C1961" s="14"/>
      <c r="D1961" s="14"/>
      <c r="E1961" s="14"/>
      <c r="F1961" s="15"/>
      <c r="G1961" s="15"/>
      <c r="I1961" s="23"/>
      <c r="J1961" s="23"/>
      <c r="K1961" s="23"/>
      <c r="L1961" s="23"/>
      <c r="M1961" s="23"/>
      <c r="N1961" s="23"/>
      <c r="O1961" s="23"/>
      <c r="P1961" s="23"/>
      <c r="Q1961" s="23"/>
      <c r="R1961" s="23"/>
      <c r="S1961" s="23"/>
      <c r="T1961" s="5"/>
      <c r="U1961" s="23"/>
      <c r="AA1961" s="23"/>
      <c r="AB1961" s="23"/>
      <c r="BK1961" s="16"/>
    </row>
    <row r="1962" s="23" customFormat="true" ht="12.75" hidden="false" customHeight="false" outlineLevel="0" collapsed="false">
      <c r="A1962" s="1"/>
      <c r="B1962" s="14"/>
      <c r="C1962" s="14"/>
      <c r="D1962" s="14"/>
      <c r="E1962" s="14"/>
      <c r="F1962" s="22"/>
      <c r="G1962" s="22"/>
      <c r="T1962" s="5"/>
      <c r="AP1962" s="3"/>
      <c r="AQ1962" s="3"/>
      <c r="AR1962" s="3"/>
      <c r="AS1962" s="3"/>
      <c r="AT1962" s="3"/>
      <c r="AU1962" s="3"/>
      <c r="AV1962" s="3"/>
      <c r="AW1962" s="3"/>
      <c r="AX1962" s="3"/>
      <c r="AY1962" s="3"/>
      <c r="AZ1962" s="3"/>
      <c r="BA1962" s="5"/>
      <c r="BK1962" s="16"/>
    </row>
    <row r="1963" s="23" customFormat="true" ht="12.75" hidden="false" customHeight="false" outlineLevel="0" collapsed="false">
      <c r="A1963" s="1"/>
      <c r="B1963" s="14"/>
      <c r="C1963" s="14"/>
      <c r="D1963" s="14"/>
      <c r="E1963" s="14"/>
      <c r="F1963" s="22"/>
      <c r="G1963" s="22"/>
      <c r="T1963" s="5"/>
      <c r="AP1963" s="3"/>
      <c r="AQ1963" s="3"/>
      <c r="AR1963" s="3"/>
      <c r="AS1963" s="3"/>
      <c r="AT1963" s="3"/>
      <c r="AU1963" s="3"/>
      <c r="AV1963" s="3"/>
      <c r="AW1963" s="3"/>
      <c r="AX1963" s="3"/>
      <c r="AY1963" s="3"/>
      <c r="AZ1963" s="3"/>
      <c r="BA1963" s="5"/>
      <c r="BK1963" s="16"/>
    </row>
    <row r="1964" customFormat="false" ht="12.75" hidden="false" customHeight="false" outlineLevel="0" collapsed="false">
      <c r="B1964" s="14"/>
      <c r="C1964" s="14"/>
      <c r="D1964" s="14"/>
      <c r="E1964" s="14"/>
      <c r="F1964" s="22"/>
      <c r="G1964" s="22"/>
      <c r="BB1964" s="23"/>
      <c r="BK1964" s="16"/>
    </row>
    <row r="1965" customFormat="false" ht="12.75" hidden="false" customHeight="false" outlineLevel="0" collapsed="false">
      <c r="B1965" s="14"/>
      <c r="C1965" s="14"/>
      <c r="D1965" s="14"/>
      <c r="E1965" s="14"/>
      <c r="F1965" s="22"/>
      <c r="G1965" s="15"/>
      <c r="BK1965" s="16"/>
    </row>
    <row r="1966" customFormat="false" ht="12.75" hidden="false" customHeight="false" outlineLevel="0" collapsed="false">
      <c r="B1966" s="14"/>
      <c r="C1966" s="14"/>
      <c r="D1966" s="14"/>
      <c r="E1966" s="14"/>
      <c r="F1966" s="15"/>
      <c r="G1966" s="22"/>
      <c r="BK1966" s="16"/>
    </row>
    <row r="1967" customFormat="false" ht="12.75" hidden="false" customHeight="false" outlineLevel="0" collapsed="false">
      <c r="B1967" s="14"/>
      <c r="C1967" s="14"/>
      <c r="D1967" s="14"/>
      <c r="E1967" s="14"/>
      <c r="F1967" s="22"/>
      <c r="G1967" s="22"/>
      <c r="BK1967" s="16"/>
    </row>
    <row r="1968" customFormat="false" ht="12" hidden="false" customHeight="true" outlineLevel="0" collapsed="false">
      <c r="B1968" s="14"/>
      <c r="C1968" s="14"/>
      <c r="D1968" s="14"/>
      <c r="E1968" s="14"/>
      <c r="F1968" s="15"/>
      <c r="G1968" s="22"/>
      <c r="BB1968" s="23"/>
      <c r="BC1968" s="23"/>
      <c r="BD1968" s="23"/>
      <c r="BE1968" s="23"/>
      <c r="BF1968" s="23"/>
      <c r="BG1968" s="23"/>
      <c r="BH1968" s="23"/>
      <c r="BI1968" s="23"/>
      <c r="BJ1968" s="23"/>
      <c r="BK1968" s="16"/>
    </row>
    <row r="1969" customFormat="false" ht="12.75" hidden="false" customHeight="false" outlineLevel="0" collapsed="false">
      <c r="B1969" s="14"/>
      <c r="C1969" s="14"/>
      <c r="D1969" s="14"/>
      <c r="E1969" s="14"/>
      <c r="F1969" s="22"/>
      <c r="G1969" s="22"/>
      <c r="BK1969" s="16"/>
    </row>
    <row r="1970" customFormat="false" ht="12.75" hidden="false" customHeight="false" outlineLevel="0" collapsed="false">
      <c r="B1970" s="14"/>
      <c r="C1970" s="14"/>
      <c r="D1970" s="14"/>
      <c r="E1970" s="14"/>
      <c r="F1970" s="15"/>
      <c r="G1970" s="15"/>
      <c r="BK1970" s="16"/>
    </row>
    <row r="1971" customFormat="false" ht="12.75" hidden="false" customHeight="false" outlineLevel="0" collapsed="false">
      <c r="B1971" s="14"/>
      <c r="C1971" s="14"/>
      <c r="D1971" s="14"/>
      <c r="E1971" s="14"/>
      <c r="F1971" s="15"/>
      <c r="G1971" s="15"/>
      <c r="BK1971" s="16"/>
    </row>
    <row r="1972" customFormat="false" ht="12.75" hidden="false" customHeight="false" outlineLevel="0" collapsed="false">
      <c r="B1972" s="14"/>
      <c r="C1972" s="14"/>
      <c r="D1972" s="14"/>
      <c r="E1972" s="14"/>
      <c r="F1972" s="15"/>
      <c r="G1972" s="22"/>
      <c r="BK1972" s="16"/>
    </row>
    <row r="1973" customFormat="false" ht="12.75" hidden="false" customHeight="false" outlineLevel="0" collapsed="false">
      <c r="B1973" s="14"/>
      <c r="C1973" s="14"/>
      <c r="D1973" s="14"/>
      <c r="E1973" s="14"/>
      <c r="F1973" s="22"/>
      <c r="G1973" s="15"/>
      <c r="BK1973" s="16"/>
    </row>
    <row r="1974" customFormat="false" ht="12.75" hidden="false" customHeight="false" outlineLevel="0" collapsed="false">
      <c r="B1974" s="14"/>
      <c r="C1974" s="14"/>
      <c r="D1974" s="14"/>
      <c r="E1974" s="14"/>
      <c r="F1974" s="15"/>
      <c r="G1974" s="15"/>
      <c r="BK1974" s="16"/>
    </row>
    <row r="1975" customFormat="false" ht="12.75" hidden="false" customHeight="false" outlineLevel="0" collapsed="false">
      <c r="B1975" s="14"/>
      <c r="C1975" s="14"/>
      <c r="D1975" s="14"/>
      <c r="E1975" s="14"/>
      <c r="F1975" s="15"/>
      <c r="G1975" s="15"/>
      <c r="I1975" s="23"/>
      <c r="J1975" s="23"/>
      <c r="K1975" s="23"/>
      <c r="L1975" s="23"/>
      <c r="M1975" s="23"/>
      <c r="N1975" s="23"/>
      <c r="O1975" s="23"/>
      <c r="P1975" s="23"/>
      <c r="Q1975" s="23"/>
      <c r="R1975" s="23"/>
      <c r="S1975" s="23"/>
      <c r="T1975" s="5"/>
      <c r="U1975" s="23"/>
      <c r="AA1975" s="23"/>
      <c r="AB1975" s="23"/>
      <c r="BK1975" s="16"/>
    </row>
    <row r="1976" customFormat="false" ht="12" hidden="false" customHeight="true" outlineLevel="0" collapsed="false">
      <c r="B1976" s="14"/>
      <c r="C1976" s="14"/>
      <c r="D1976" s="14"/>
      <c r="E1976" s="14"/>
      <c r="F1976" s="15"/>
      <c r="G1976" s="22"/>
      <c r="BB1976" s="23"/>
      <c r="BC1976" s="23"/>
      <c r="BD1976" s="23"/>
      <c r="BE1976" s="23"/>
      <c r="BF1976" s="23"/>
      <c r="BG1976" s="23"/>
      <c r="BH1976" s="23"/>
      <c r="BI1976" s="23"/>
      <c r="BJ1976" s="23"/>
      <c r="BK1976" s="16"/>
    </row>
    <row r="1977" customFormat="false" ht="12.75" hidden="false" customHeight="false" outlineLevel="0" collapsed="false">
      <c r="B1977" s="14"/>
      <c r="C1977" s="14"/>
      <c r="D1977" s="14"/>
      <c r="E1977" s="14"/>
      <c r="F1977" s="15"/>
      <c r="G1977" s="22"/>
      <c r="BK1977" s="16"/>
    </row>
    <row r="1978" customFormat="false" ht="12" hidden="false" customHeight="true" outlineLevel="0" collapsed="false">
      <c r="B1978" s="14"/>
      <c r="C1978" s="14"/>
      <c r="D1978" s="14"/>
      <c r="E1978" s="14"/>
      <c r="F1978" s="15"/>
      <c r="G1978" s="22"/>
      <c r="BB1978" s="23"/>
      <c r="BC1978" s="23"/>
      <c r="BD1978" s="23"/>
      <c r="BE1978" s="23"/>
      <c r="BF1978" s="23"/>
      <c r="BG1978" s="23"/>
      <c r="BH1978" s="23"/>
      <c r="BI1978" s="23"/>
      <c r="BJ1978" s="23"/>
      <c r="BK1978" s="16"/>
    </row>
    <row r="1979" customFormat="false" ht="12.75" hidden="false" customHeight="false" outlineLevel="0" collapsed="false">
      <c r="B1979" s="14"/>
      <c r="C1979" s="14"/>
      <c r="D1979" s="14"/>
      <c r="E1979" s="14"/>
      <c r="F1979" s="22"/>
      <c r="G1979" s="22"/>
      <c r="BK1979" s="16"/>
    </row>
    <row r="1980" customFormat="false" ht="12.75" hidden="false" customHeight="false" outlineLevel="0" collapsed="false">
      <c r="B1980" s="14"/>
      <c r="C1980" s="14"/>
      <c r="D1980" s="14"/>
      <c r="E1980" s="14"/>
      <c r="F1980" s="22"/>
      <c r="G1980" s="15"/>
      <c r="BK1980" s="16"/>
    </row>
    <row r="1981" customFormat="false" ht="12.75" hidden="false" customHeight="false" outlineLevel="0" collapsed="false">
      <c r="B1981" s="14"/>
      <c r="C1981" s="14"/>
      <c r="D1981" s="14"/>
      <c r="E1981" s="14"/>
      <c r="F1981" s="22"/>
      <c r="G1981" s="22"/>
      <c r="BK1981" s="16"/>
    </row>
    <row r="1982" customFormat="false" ht="12.75" hidden="false" customHeight="false" outlineLevel="0" collapsed="false">
      <c r="B1982" s="14"/>
      <c r="C1982" s="14"/>
      <c r="D1982" s="14"/>
      <c r="E1982" s="14"/>
      <c r="F1982" s="22"/>
      <c r="G1982" s="15"/>
      <c r="BK1982" s="16"/>
    </row>
    <row r="1983" customFormat="false" ht="12.75" hidden="false" customHeight="false" outlineLevel="0" collapsed="false">
      <c r="B1983" s="14"/>
      <c r="C1983" s="14"/>
      <c r="D1983" s="14"/>
      <c r="E1983" s="14"/>
      <c r="F1983" s="15"/>
      <c r="G1983" s="15"/>
      <c r="BK1983" s="16"/>
    </row>
    <row r="1984" customFormat="false" ht="12" hidden="false" customHeight="true" outlineLevel="0" collapsed="false">
      <c r="B1984" s="14"/>
      <c r="C1984" s="14"/>
      <c r="D1984" s="14"/>
      <c r="E1984" s="14"/>
      <c r="F1984" s="15"/>
      <c r="G1984" s="22"/>
      <c r="BB1984" s="23"/>
      <c r="BC1984" s="23"/>
      <c r="BD1984" s="23"/>
      <c r="BE1984" s="23"/>
      <c r="BF1984" s="23"/>
      <c r="BG1984" s="23"/>
      <c r="BH1984" s="23"/>
      <c r="BI1984" s="23"/>
      <c r="BJ1984" s="23"/>
      <c r="BK1984" s="16"/>
    </row>
    <row r="1985" customFormat="false" ht="12.75" hidden="false" customHeight="false" outlineLevel="0" collapsed="false">
      <c r="B1985" s="14"/>
      <c r="C1985" s="14"/>
      <c r="D1985" s="14"/>
      <c r="E1985" s="14"/>
      <c r="F1985" s="15"/>
      <c r="G1985" s="15"/>
      <c r="BK1985" s="16"/>
    </row>
    <row r="1986" customFormat="false" ht="12.75" hidden="false" customHeight="false" outlineLevel="0" collapsed="false">
      <c r="B1986" s="14"/>
      <c r="C1986" s="14"/>
      <c r="D1986" s="14"/>
      <c r="E1986" s="14"/>
      <c r="F1986" s="22"/>
      <c r="G1986" s="15"/>
      <c r="BK1986" s="16"/>
    </row>
    <row r="1987" s="11" customFormat="true" ht="12.75" hidden="false" customHeight="false" outlineLevel="0" collapsed="false">
      <c r="A1987" s="7"/>
      <c r="B1987" s="53"/>
      <c r="C1987" s="53"/>
      <c r="D1987" s="53"/>
      <c r="E1987" s="53"/>
      <c r="F1987" s="53"/>
      <c r="G1987" s="53"/>
      <c r="T1987" s="54"/>
      <c r="BA1987" s="54"/>
      <c r="BK1987" s="13"/>
    </row>
    <row r="1988" customFormat="false" ht="12.75" hidden="false" customHeight="false" outlineLevel="0" collapsed="false">
      <c r="B1988" s="14"/>
      <c r="C1988" s="14"/>
      <c r="D1988" s="14"/>
      <c r="E1988" s="14"/>
      <c r="F1988" s="15"/>
      <c r="G1988" s="15"/>
      <c r="I1988" s="23"/>
      <c r="J1988" s="23"/>
      <c r="K1988" s="23"/>
      <c r="L1988" s="23"/>
      <c r="M1988" s="23"/>
      <c r="N1988" s="23"/>
      <c r="O1988" s="23"/>
      <c r="P1988" s="23"/>
      <c r="Q1988" s="23"/>
      <c r="R1988" s="23"/>
      <c r="S1988" s="23"/>
      <c r="T1988" s="5"/>
      <c r="U1988" s="23"/>
      <c r="AA1988" s="23"/>
      <c r="AB1988" s="23"/>
      <c r="BK1988" s="16"/>
    </row>
    <row r="1989" customFormat="false" ht="12.75" hidden="false" customHeight="false" outlineLevel="0" collapsed="false">
      <c r="B1989" s="14"/>
      <c r="C1989" s="14"/>
      <c r="D1989" s="14"/>
      <c r="E1989" s="14"/>
      <c r="F1989" s="22"/>
      <c r="G1989" s="15"/>
      <c r="BK1989" s="16"/>
    </row>
    <row r="1990" customFormat="false" ht="12.75" hidden="false" customHeight="false" outlineLevel="0" collapsed="false">
      <c r="B1990" s="14"/>
      <c r="C1990" s="14"/>
      <c r="D1990" s="14"/>
      <c r="E1990" s="14"/>
      <c r="F1990" s="15"/>
      <c r="G1990" s="15"/>
      <c r="BK1990" s="16"/>
    </row>
    <row r="1991" s="23" customFormat="true" ht="12.75" hidden="false" customHeight="false" outlineLevel="0" collapsed="false">
      <c r="A1991" s="1"/>
      <c r="C1991" s="14"/>
      <c r="D1991" s="14"/>
      <c r="E1991" s="14"/>
      <c r="F1991" s="22"/>
      <c r="G1991" s="22"/>
      <c r="T1991" s="5"/>
      <c r="BA1991" s="5"/>
      <c r="BK1991" s="16"/>
    </row>
    <row r="1992" s="23" customFormat="true" ht="12.75" hidden="false" customHeight="false" outlineLevel="0" collapsed="false">
      <c r="A1992" s="1"/>
      <c r="B1992" s="14"/>
      <c r="C1992" s="14"/>
      <c r="D1992" s="14"/>
      <c r="E1992" s="14"/>
      <c r="F1992" s="22"/>
      <c r="G1992" s="22"/>
      <c r="T1992" s="5"/>
      <c r="BA1992" s="5"/>
      <c r="BK1992" s="16"/>
    </row>
    <row r="1993" s="23" customFormat="true" ht="12.75" hidden="false" customHeight="false" outlineLevel="0" collapsed="false">
      <c r="A1993" s="1"/>
      <c r="B1993" s="14"/>
      <c r="C1993" s="14"/>
      <c r="D1993" s="14"/>
      <c r="E1993" s="14"/>
      <c r="F1993" s="22"/>
      <c r="G1993" s="22"/>
      <c r="T1993" s="5"/>
      <c r="BA1993" s="5"/>
      <c r="BK1993" s="16"/>
    </row>
    <row r="1994" customFormat="false" ht="12.75" hidden="false" customHeight="false" outlineLevel="0" collapsed="false">
      <c r="B1994" s="14"/>
      <c r="C1994" s="14"/>
      <c r="D1994" s="14"/>
      <c r="E1994" s="14"/>
      <c r="F1994" s="15"/>
      <c r="G1994" s="15"/>
      <c r="BK1994" s="16"/>
    </row>
    <row r="1995" s="23" customFormat="true" ht="12.75" hidden="false" customHeight="false" outlineLevel="0" collapsed="false">
      <c r="A1995" s="1"/>
      <c r="B1995" s="14"/>
      <c r="C1995" s="14"/>
      <c r="D1995" s="14"/>
      <c r="E1995" s="14"/>
      <c r="F1995" s="15"/>
      <c r="G1995" s="15"/>
      <c r="T1995" s="5"/>
      <c r="AP1995" s="3"/>
      <c r="AQ1995" s="3"/>
      <c r="AR1995" s="3"/>
      <c r="AS1995" s="3"/>
      <c r="AT1995" s="3"/>
      <c r="AU1995" s="3"/>
      <c r="AV1995" s="3"/>
      <c r="AW1995" s="3"/>
      <c r="AX1995" s="3"/>
      <c r="AY1995" s="3"/>
      <c r="AZ1995" s="3"/>
      <c r="BA1995" s="5"/>
      <c r="BK1995" s="16"/>
    </row>
    <row r="1996" s="23" customFormat="true" ht="12.75" hidden="false" customHeight="false" outlineLevel="0" collapsed="false">
      <c r="A1996" s="1"/>
      <c r="B1996" s="14"/>
      <c r="C1996" s="14"/>
      <c r="D1996" s="14"/>
      <c r="E1996" s="14"/>
      <c r="F1996" s="22"/>
      <c r="G1996" s="22"/>
      <c r="T1996" s="5"/>
      <c r="BA1996" s="5"/>
      <c r="BK1996" s="16"/>
    </row>
    <row r="1997" s="23" customFormat="true" ht="12.75" hidden="false" customHeight="false" outlineLevel="0" collapsed="false">
      <c r="A1997" s="1"/>
      <c r="B1997" s="14"/>
      <c r="C1997" s="14"/>
      <c r="D1997" s="14"/>
      <c r="E1997" s="14"/>
      <c r="F1997" s="22"/>
      <c r="G1997" s="22"/>
      <c r="T1997" s="5"/>
      <c r="BA1997" s="5"/>
      <c r="BK1997" s="16"/>
    </row>
    <row r="1998" s="23" customFormat="true" ht="12.75" hidden="false" customHeight="false" outlineLevel="0" collapsed="false">
      <c r="A1998" s="1"/>
      <c r="B1998" s="14"/>
      <c r="C1998" s="14"/>
      <c r="D1998" s="14"/>
      <c r="E1998" s="14"/>
      <c r="F1998" s="22"/>
      <c r="G1998" s="22"/>
      <c r="T1998" s="5"/>
      <c r="BA1998" s="5"/>
      <c r="BK1998" s="16"/>
    </row>
    <row r="1999" s="23" customFormat="true" ht="12.75" hidden="false" customHeight="false" outlineLevel="0" collapsed="false">
      <c r="A1999" s="1"/>
      <c r="B1999" s="14"/>
      <c r="C1999" s="14"/>
      <c r="D1999" s="14"/>
      <c r="E1999" s="14"/>
      <c r="F1999" s="22"/>
      <c r="G1999" s="22"/>
      <c r="T1999" s="5"/>
      <c r="BA1999" s="5"/>
      <c r="BK1999" s="16"/>
    </row>
    <row r="2000" s="58" customFormat="true" ht="12.75" hidden="false" customHeight="false" outlineLevel="0" collapsed="false">
      <c r="A2000" s="55"/>
      <c r="B2000" s="56"/>
      <c r="C2000" s="56"/>
      <c r="D2000" s="56"/>
      <c r="E2000" s="56"/>
      <c r="F2000" s="57"/>
      <c r="G2000" s="57"/>
      <c r="T2000" s="59"/>
      <c r="BA2000" s="59"/>
      <c r="BK2000" s="60"/>
    </row>
    <row r="2001" s="23" customFormat="true" ht="12.75" hidden="false" customHeight="false" outlineLevel="0" collapsed="false">
      <c r="A2001" s="1"/>
      <c r="B2001" s="14"/>
      <c r="C2001" s="14"/>
      <c r="D2001" s="14"/>
      <c r="E2001" s="14"/>
      <c r="F2001" s="22"/>
      <c r="G2001" s="22"/>
      <c r="T2001" s="5"/>
      <c r="BA2001" s="5"/>
      <c r="BK2001" s="16"/>
    </row>
    <row r="2002" s="23" customFormat="true" ht="12.75" hidden="false" customHeight="false" outlineLevel="0" collapsed="false">
      <c r="A2002" s="1"/>
      <c r="C2002" s="14"/>
      <c r="D2002" s="14"/>
      <c r="E2002" s="14"/>
      <c r="F2002" s="22"/>
      <c r="G2002" s="22"/>
      <c r="T2002" s="5"/>
      <c r="BA2002" s="5"/>
      <c r="BK2002" s="16"/>
    </row>
    <row r="2003" s="58" customFormat="true" ht="12.75" hidden="false" customHeight="false" outlineLevel="0" collapsed="false">
      <c r="A2003" s="55"/>
      <c r="B2003" s="56"/>
      <c r="C2003" s="56"/>
      <c r="D2003" s="56"/>
      <c r="E2003" s="56"/>
      <c r="F2003" s="57"/>
      <c r="G2003" s="57"/>
      <c r="T2003" s="59"/>
      <c r="BA2003" s="59"/>
      <c r="BK2003" s="60"/>
    </row>
    <row r="2004" s="23" customFormat="true" ht="12.75" hidden="false" customHeight="false" outlineLevel="0" collapsed="false">
      <c r="A2004" s="1"/>
      <c r="B2004" s="14"/>
      <c r="C2004" s="14"/>
      <c r="D2004" s="14"/>
      <c r="E2004" s="14"/>
      <c r="F2004" s="22"/>
      <c r="G2004" s="22"/>
      <c r="T2004" s="5"/>
      <c r="BA2004" s="5"/>
      <c r="BK2004" s="16"/>
    </row>
    <row r="2005" s="23" customFormat="true" ht="12.75" hidden="false" customHeight="false" outlineLevel="0" collapsed="false">
      <c r="A2005" s="1"/>
      <c r="B2005" s="14"/>
      <c r="C2005" s="14"/>
      <c r="D2005" s="14"/>
      <c r="E2005" s="14"/>
      <c r="F2005" s="22"/>
      <c r="G2005" s="22"/>
      <c r="T2005" s="5"/>
      <c r="BA2005" s="5"/>
      <c r="BK2005" s="16"/>
    </row>
    <row r="2006" s="23" customFormat="true" ht="12.75" hidden="false" customHeight="false" outlineLevel="0" collapsed="false">
      <c r="A2006" s="1"/>
      <c r="B2006" s="14"/>
      <c r="C2006" s="14"/>
      <c r="D2006" s="14"/>
      <c r="E2006" s="14"/>
      <c r="F2006" s="22"/>
      <c r="G2006" s="22"/>
      <c r="T2006" s="5"/>
      <c r="BA2006" s="5"/>
      <c r="BK2006" s="16"/>
    </row>
    <row r="2007" s="23" customFormat="true" ht="12" hidden="false" customHeight="true" outlineLevel="0" collapsed="false">
      <c r="A2007" s="1"/>
      <c r="B2007" s="14"/>
      <c r="C2007" s="14"/>
      <c r="D2007" s="14"/>
      <c r="E2007" s="14"/>
      <c r="F2007" s="22"/>
      <c r="G2007" s="22"/>
      <c r="T2007" s="5"/>
      <c r="BA2007" s="5"/>
      <c r="BK2007" s="16"/>
    </row>
    <row r="2008" s="58" customFormat="true" ht="12" hidden="false" customHeight="true" outlineLevel="0" collapsed="false">
      <c r="A2008" s="55"/>
      <c r="B2008" s="56"/>
      <c r="C2008" s="56"/>
      <c r="D2008" s="56"/>
      <c r="E2008" s="56"/>
      <c r="F2008" s="57"/>
      <c r="G2008" s="57"/>
      <c r="T2008" s="59"/>
      <c r="BA2008" s="59"/>
      <c r="BK2008" s="60"/>
    </row>
    <row r="2009" s="23" customFormat="true" ht="12.75" hidden="false" customHeight="false" outlineLevel="0" collapsed="false">
      <c r="A2009" s="1"/>
      <c r="C2009" s="14"/>
      <c r="D2009" s="14"/>
      <c r="E2009" s="14"/>
      <c r="F2009" s="22"/>
      <c r="G2009" s="22"/>
      <c r="T2009" s="5"/>
      <c r="BA2009" s="5"/>
      <c r="BK2009" s="16"/>
    </row>
    <row r="2010" s="23" customFormat="true" ht="12.75" hidden="false" customHeight="false" outlineLevel="0" collapsed="false">
      <c r="A2010" s="1"/>
      <c r="B2010" s="14"/>
      <c r="C2010" s="14"/>
      <c r="D2010" s="14"/>
      <c r="E2010" s="14"/>
      <c r="F2010" s="22"/>
      <c r="G2010" s="22"/>
      <c r="T2010" s="5"/>
      <c r="BA2010" s="5"/>
      <c r="BK2010" s="16"/>
    </row>
    <row r="2011" s="23" customFormat="true" ht="12.75" hidden="false" customHeight="false" outlineLevel="0" collapsed="false">
      <c r="A2011" s="1"/>
      <c r="B2011" s="14"/>
      <c r="C2011" s="14"/>
      <c r="D2011" s="14"/>
      <c r="E2011" s="14"/>
      <c r="F2011" s="22"/>
      <c r="G2011" s="22"/>
      <c r="T2011" s="5"/>
      <c r="BA2011" s="5"/>
      <c r="BK2011" s="16"/>
    </row>
    <row r="2012" customFormat="false" ht="12.75" hidden="false" customHeight="false" outlineLevel="0" collapsed="false">
      <c r="B2012" s="14"/>
      <c r="C2012" s="14"/>
      <c r="D2012" s="14"/>
      <c r="E2012" s="14"/>
      <c r="F2012" s="15"/>
      <c r="G2012" s="22"/>
      <c r="BK2012" s="16"/>
    </row>
    <row r="2013" s="23" customFormat="true" ht="12.75" hidden="false" customHeight="false" outlineLevel="0" collapsed="false">
      <c r="A2013" s="1"/>
      <c r="B2013" s="14"/>
      <c r="C2013" s="14"/>
      <c r="D2013" s="14"/>
      <c r="E2013" s="14"/>
      <c r="F2013" s="22"/>
      <c r="G2013" s="22"/>
      <c r="T2013" s="5"/>
      <c r="BA2013" s="5"/>
      <c r="BK2013" s="16"/>
    </row>
    <row r="2014" customFormat="false" ht="12.75" hidden="false" customHeight="false" outlineLevel="0" collapsed="false">
      <c r="B2014" s="14"/>
      <c r="C2014" s="14"/>
      <c r="D2014" s="14"/>
      <c r="E2014" s="14"/>
      <c r="F2014" s="22"/>
      <c r="G2014" s="15"/>
      <c r="BK2014" s="16"/>
    </row>
    <row r="2015" s="23" customFormat="true" ht="12.75" hidden="false" customHeight="false" outlineLevel="0" collapsed="false">
      <c r="A2015" s="1"/>
      <c r="B2015" s="14"/>
      <c r="C2015" s="14"/>
      <c r="D2015" s="14"/>
      <c r="E2015" s="14"/>
      <c r="F2015" s="22"/>
      <c r="G2015" s="22"/>
      <c r="T2015" s="5"/>
      <c r="BA2015" s="5"/>
      <c r="BK2015" s="16"/>
    </row>
    <row r="2016" s="23" customFormat="true" ht="12.75" hidden="false" customHeight="false" outlineLevel="0" collapsed="false">
      <c r="A2016" s="1"/>
      <c r="B2016" s="14"/>
      <c r="C2016" s="14"/>
      <c r="D2016" s="14"/>
      <c r="E2016" s="14"/>
      <c r="F2016" s="22"/>
      <c r="G2016" s="22"/>
      <c r="T2016" s="5"/>
      <c r="BA2016" s="5"/>
      <c r="BK2016" s="16"/>
    </row>
    <row r="2017" s="23" customFormat="true" ht="12.75" hidden="false" customHeight="false" outlineLevel="0" collapsed="false">
      <c r="A2017" s="1"/>
      <c r="B2017" s="14"/>
      <c r="C2017" s="14"/>
      <c r="D2017" s="14"/>
      <c r="E2017" s="14"/>
      <c r="F2017" s="22"/>
      <c r="G2017" s="22"/>
      <c r="T2017" s="5"/>
      <c r="BA2017" s="5"/>
      <c r="BK2017" s="16"/>
    </row>
    <row r="2018" s="23" customFormat="true" ht="12.75" hidden="false" customHeight="false" outlineLevel="0" collapsed="false">
      <c r="A2018" s="1"/>
      <c r="B2018" s="14"/>
      <c r="C2018" s="14"/>
      <c r="D2018" s="14"/>
      <c r="E2018" s="14"/>
      <c r="F2018" s="22"/>
      <c r="G2018" s="22"/>
      <c r="T2018" s="5"/>
      <c r="BA2018" s="5"/>
      <c r="BK2018" s="16"/>
    </row>
    <row r="2019" s="23" customFormat="true" ht="12.75" hidden="false" customHeight="false" outlineLevel="0" collapsed="false">
      <c r="A2019" s="1"/>
      <c r="B2019" s="14"/>
      <c r="C2019" s="14"/>
      <c r="D2019" s="14"/>
      <c r="E2019" s="14"/>
      <c r="F2019" s="22"/>
      <c r="G2019" s="22"/>
      <c r="T2019" s="5"/>
      <c r="BA2019" s="5"/>
      <c r="BK2019" s="16"/>
    </row>
    <row r="2020" customFormat="false" ht="12.75" hidden="false" customHeight="false" outlineLevel="0" collapsed="false">
      <c r="B2020" s="14"/>
      <c r="C2020" s="14"/>
      <c r="D2020" s="14"/>
      <c r="E2020" s="14"/>
      <c r="F2020" s="15"/>
      <c r="G2020" s="22"/>
      <c r="AP2020" s="23"/>
      <c r="AQ2020" s="23"/>
      <c r="AR2020" s="23"/>
      <c r="AS2020" s="23"/>
      <c r="AT2020" s="23"/>
      <c r="AU2020" s="23"/>
      <c r="AV2020" s="23"/>
      <c r="AW2020" s="23"/>
      <c r="AX2020" s="23"/>
      <c r="AY2020" s="23"/>
      <c r="AZ2020" s="23"/>
      <c r="BK2020" s="16"/>
    </row>
    <row r="2021" customFormat="false" ht="12.75" hidden="false" customHeight="false" outlineLevel="0" collapsed="false">
      <c r="B2021" s="14"/>
      <c r="C2021" s="14"/>
      <c r="D2021" s="14"/>
      <c r="E2021" s="14"/>
      <c r="F2021" s="15"/>
      <c r="G2021" s="22"/>
      <c r="AP2021" s="23"/>
      <c r="AQ2021" s="23"/>
      <c r="AR2021" s="23"/>
      <c r="AS2021" s="23"/>
      <c r="AT2021" s="23"/>
      <c r="AU2021" s="23"/>
      <c r="AV2021" s="23"/>
      <c r="AW2021" s="23"/>
      <c r="AX2021" s="23"/>
      <c r="AY2021" s="23"/>
      <c r="AZ2021" s="23"/>
      <c r="BK2021" s="16"/>
    </row>
    <row r="2022" customFormat="false" ht="12.75" hidden="false" customHeight="false" outlineLevel="0" collapsed="false">
      <c r="B2022" s="14"/>
      <c r="C2022" s="14"/>
      <c r="D2022" s="14"/>
      <c r="E2022" s="14"/>
      <c r="F2022" s="15"/>
      <c r="G2022" s="22"/>
      <c r="AP2022" s="23"/>
      <c r="AQ2022" s="23"/>
      <c r="AR2022" s="23"/>
      <c r="AS2022" s="23"/>
      <c r="AT2022" s="23"/>
      <c r="AU2022" s="23"/>
      <c r="AV2022" s="23"/>
      <c r="AW2022" s="23"/>
      <c r="AX2022" s="23"/>
      <c r="AY2022" s="23"/>
      <c r="AZ2022" s="23"/>
      <c r="BK2022" s="16"/>
    </row>
    <row r="2023" customFormat="false" ht="12.75" hidden="false" customHeight="false" outlineLevel="0" collapsed="false">
      <c r="B2023" s="14"/>
      <c r="C2023" s="14"/>
      <c r="D2023" s="14"/>
      <c r="E2023" s="14"/>
      <c r="F2023" s="15"/>
      <c r="G2023" s="15"/>
      <c r="BK2023" s="16"/>
    </row>
    <row r="2024" customFormat="false" ht="12.75" hidden="false" customHeight="false" outlineLevel="0" collapsed="false">
      <c r="B2024" s="14"/>
      <c r="C2024" s="14"/>
      <c r="D2024" s="14"/>
      <c r="E2024" s="14"/>
      <c r="F2024" s="22"/>
      <c r="G2024" s="22"/>
      <c r="BK2024" s="16"/>
    </row>
    <row r="2025" customFormat="false" ht="12.75" hidden="false" customHeight="false" outlineLevel="0" collapsed="false">
      <c r="B2025" s="14"/>
      <c r="C2025" s="14"/>
      <c r="D2025" s="14"/>
      <c r="E2025" s="14"/>
      <c r="F2025" s="15"/>
      <c r="G2025" s="22"/>
      <c r="AP2025" s="23"/>
      <c r="AQ2025" s="23"/>
      <c r="AR2025" s="23"/>
      <c r="AS2025" s="23"/>
      <c r="AT2025" s="23"/>
      <c r="AU2025" s="23"/>
      <c r="AV2025" s="23"/>
      <c r="AW2025" s="23"/>
      <c r="AX2025" s="23"/>
      <c r="AY2025" s="23"/>
      <c r="AZ2025" s="23"/>
      <c r="BK2025" s="16"/>
    </row>
    <row r="2026" customFormat="false" ht="12.75" hidden="false" customHeight="false" outlineLevel="0" collapsed="false">
      <c r="B2026" s="14"/>
      <c r="C2026" s="14"/>
      <c r="D2026" s="14"/>
      <c r="E2026" s="14"/>
      <c r="F2026" s="22"/>
      <c r="G2026" s="15"/>
      <c r="AP2026" s="23"/>
      <c r="AQ2026" s="23"/>
      <c r="AR2026" s="23"/>
      <c r="AS2026" s="23"/>
      <c r="AT2026" s="23"/>
      <c r="AU2026" s="23"/>
      <c r="AV2026" s="23"/>
      <c r="AW2026" s="23"/>
      <c r="AX2026" s="23"/>
      <c r="AY2026" s="23"/>
      <c r="AZ2026" s="23"/>
      <c r="BK2026" s="16"/>
    </row>
    <row r="2027" customFormat="false" ht="12.75" hidden="false" customHeight="false" outlineLevel="0" collapsed="false">
      <c r="B2027" s="14"/>
      <c r="C2027" s="14"/>
      <c r="D2027" s="14"/>
      <c r="E2027" s="14"/>
      <c r="F2027" s="15"/>
      <c r="G2027" s="15"/>
      <c r="I2027" s="23"/>
      <c r="J2027" s="23"/>
      <c r="K2027" s="23"/>
      <c r="L2027" s="23"/>
      <c r="M2027" s="23"/>
      <c r="N2027" s="23"/>
      <c r="O2027" s="23"/>
      <c r="P2027" s="23"/>
      <c r="Q2027" s="23"/>
      <c r="R2027" s="23"/>
      <c r="S2027" s="23"/>
      <c r="T2027" s="5"/>
      <c r="U2027" s="23"/>
      <c r="AA2027" s="23"/>
      <c r="AB2027" s="23"/>
      <c r="BK2027" s="16"/>
    </row>
    <row r="2028" customFormat="false" ht="12.75" hidden="false" customHeight="false" outlineLevel="0" collapsed="false">
      <c r="B2028" s="14"/>
      <c r="C2028" s="14"/>
      <c r="D2028" s="14"/>
      <c r="E2028" s="14"/>
      <c r="F2028" s="15"/>
      <c r="G2028" s="22"/>
      <c r="BK2028" s="16"/>
    </row>
    <row r="2029" customFormat="false" ht="12.75" hidden="false" customHeight="false" outlineLevel="0" collapsed="false">
      <c r="B2029" s="14"/>
      <c r="C2029" s="14"/>
      <c r="D2029" s="14"/>
      <c r="E2029" s="14"/>
      <c r="F2029" s="15"/>
      <c r="G2029" s="15"/>
      <c r="I2029" s="23"/>
      <c r="J2029" s="23"/>
      <c r="K2029" s="23"/>
      <c r="L2029" s="23"/>
      <c r="M2029" s="23"/>
      <c r="N2029" s="23"/>
      <c r="O2029" s="23"/>
      <c r="P2029" s="23"/>
      <c r="Q2029" s="23"/>
      <c r="R2029" s="23"/>
      <c r="S2029" s="23"/>
      <c r="T2029" s="5"/>
      <c r="U2029" s="23"/>
      <c r="AA2029" s="23"/>
      <c r="AB2029" s="23"/>
      <c r="BK2029" s="16"/>
    </row>
    <row r="2030" customFormat="false" ht="12.75" hidden="false" customHeight="false" outlineLevel="0" collapsed="false">
      <c r="B2030" s="14"/>
      <c r="C2030" s="14"/>
      <c r="D2030" s="14"/>
      <c r="E2030" s="14"/>
      <c r="F2030" s="22"/>
      <c r="G2030" s="15"/>
      <c r="AP2030" s="23"/>
      <c r="AQ2030" s="23"/>
      <c r="AR2030" s="23"/>
      <c r="AS2030" s="23"/>
      <c r="AT2030" s="23"/>
      <c r="AU2030" s="23"/>
      <c r="AV2030" s="23"/>
      <c r="AW2030" s="23"/>
      <c r="AX2030" s="23"/>
      <c r="AY2030" s="23"/>
      <c r="AZ2030" s="23"/>
      <c r="BK2030" s="16"/>
    </row>
    <row r="2031" customFormat="false" ht="12.75" hidden="false" customHeight="false" outlineLevel="0" collapsed="false">
      <c r="B2031" s="14"/>
      <c r="C2031" s="14"/>
      <c r="D2031" s="14"/>
      <c r="E2031" s="14"/>
      <c r="F2031" s="15"/>
      <c r="G2031" s="22"/>
      <c r="AP2031" s="23"/>
      <c r="AQ2031" s="23"/>
      <c r="AR2031" s="23"/>
      <c r="AS2031" s="23"/>
      <c r="AT2031" s="23"/>
      <c r="AU2031" s="23"/>
      <c r="AV2031" s="23"/>
      <c r="AW2031" s="23"/>
      <c r="AX2031" s="23"/>
      <c r="AY2031" s="23"/>
      <c r="AZ2031" s="23"/>
      <c r="BK2031" s="16"/>
    </row>
    <row r="2032" s="11" customFormat="true" ht="12.75" hidden="false" customHeight="false" outlineLevel="0" collapsed="false">
      <c r="A2032" s="7"/>
      <c r="B2032" s="53"/>
      <c r="C2032" s="53"/>
      <c r="D2032" s="53"/>
      <c r="E2032" s="53"/>
      <c r="F2032" s="53"/>
      <c r="G2032" s="53"/>
      <c r="T2032" s="54"/>
      <c r="BA2032" s="54"/>
      <c r="BK2032" s="13"/>
    </row>
    <row r="2033" customFormat="false" ht="12.75" hidden="false" customHeight="false" outlineLevel="0" collapsed="false">
      <c r="B2033" s="14"/>
      <c r="C2033" s="14"/>
      <c r="D2033" s="14"/>
      <c r="E2033" s="14"/>
      <c r="F2033" s="15"/>
      <c r="G2033" s="22"/>
      <c r="AP2033" s="23"/>
      <c r="AQ2033" s="23"/>
      <c r="AR2033" s="23"/>
      <c r="AS2033" s="23"/>
      <c r="AT2033" s="23"/>
      <c r="AU2033" s="23"/>
      <c r="AV2033" s="23"/>
      <c r="AW2033" s="23"/>
      <c r="AX2033" s="23"/>
      <c r="AY2033" s="23"/>
      <c r="AZ2033" s="23"/>
      <c r="BK2033" s="16"/>
    </row>
    <row r="2034" customFormat="false" ht="12.75" hidden="false" customHeight="false" outlineLevel="0" collapsed="false">
      <c r="B2034" s="14"/>
      <c r="C2034" s="14"/>
      <c r="D2034" s="14"/>
      <c r="E2034" s="14"/>
      <c r="F2034" s="22"/>
      <c r="G2034" s="22"/>
      <c r="BK2034" s="16"/>
    </row>
    <row r="2035" customFormat="false" ht="12.75" hidden="false" customHeight="false" outlineLevel="0" collapsed="false">
      <c r="B2035" s="14"/>
      <c r="C2035" s="14"/>
      <c r="D2035" s="14"/>
      <c r="E2035" s="14"/>
      <c r="F2035" s="15"/>
      <c r="G2035" s="15"/>
      <c r="I2035" s="23"/>
      <c r="J2035" s="23"/>
      <c r="K2035" s="23"/>
      <c r="L2035" s="23"/>
      <c r="M2035" s="23"/>
      <c r="N2035" s="23"/>
      <c r="O2035" s="23"/>
      <c r="P2035" s="23"/>
      <c r="Q2035" s="23"/>
      <c r="R2035" s="23"/>
      <c r="S2035" s="23"/>
      <c r="T2035" s="5"/>
      <c r="U2035" s="23"/>
      <c r="AA2035" s="23"/>
      <c r="AB2035" s="23"/>
      <c r="AP2035" s="23"/>
      <c r="AQ2035" s="23"/>
      <c r="AR2035" s="23"/>
      <c r="AS2035" s="23"/>
      <c r="AT2035" s="23"/>
      <c r="AU2035" s="23"/>
      <c r="AV2035" s="23"/>
      <c r="AW2035" s="23"/>
      <c r="AX2035" s="23"/>
      <c r="AY2035" s="23"/>
      <c r="AZ2035" s="23"/>
      <c r="BK2035" s="16"/>
    </row>
    <row r="2036" customFormat="false" ht="12.75" hidden="false" customHeight="false" outlineLevel="0" collapsed="false">
      <c r="B2036" s="14"/>
      <c r="C2036" s="14"/>
      <c r="D2036" s="14"/>
      <c r="E2036" s="14"/>
      <c r="F2036" s="15"/>
      <c r="G2036" s="15"/>
      <c r="I2036" s="23"/>
      <c r="J2036" s="23"/>
      <c r="K2036" s="23"/>
      <c r="L2036" s="23"/>
      <c r="M2036" s="23"/>
      <c r="N2036" s="23"/>
      <c r="O2036" s="23"/>
      <c r="P2036" s="23"/>
      <c r="Q2036" s="23"/>
      <c r="R2036" s="23"/>
      <c r="S2036" s="23"/>
      <c r="T2036" s="5"/>
      <c r="U2036" s="23"/>
      <c r="AA2036" s="23"/>
      <c r="AB2036" s="23"/>
      <c r="AP2036" s="23"/>
      <c r="AQ2036" s="23"/>
      <c r="AR2036" s="23"/>
      <c r="AS2036" s="23"/>
      <c r="AT2036" s="23"/>
      <c r="AU2036" s="23"/>
      <c r="AV2036" s="23"/>
      <c r="AW2036" s="23"/>
      <c r="AX2036" s="23"/>
      <c r="AY2036" s="23"/>
      <c r="AZ2036" s="23"/>
      <c r="BK2036" s="16"/>
    </row>
    <row r="2037" customFormat="false" ht="12.75" hidden="false" customHeight="false" outlineLevel="0" collapsed="false">
      <c r="B2037" s="14"/>
      <c r="C2037" s="14"/>
      <c r="D2037" s="14"/>
      <c r="E2037" s="14"/>
      <c r="F2037" s="15"/>
      <c r="G2037" s="22"/>
      <c r="AP2037" s="23"/>
      <c r="AQ2037" s="23"/>
      <c r="AR2037" s="23"/>
      <c r="AS2037" s="23"/>
      <c r="AT2037" s="23"/>
      <c r="AU2037" s="23"/>
      <c r="AV2037" s="23"/>
      <c r="AW2037" s="23"/>
      <c r="AX2037" s="23"/>
      <c r="AY2037" s="23"/>
      <c r="AZ2037" s="23"/>
      <c r="BK2037" s="16"/>
    </row>
    <row r="2038" s="23" customFormat="true" ht="12.75" hidden="false" customHeight="false" outlineLevel="0" collapsed="false">
      <c r="A2038" s="1"/>
      <c r="B2038" s="14"/>
      <c r="C2038" s="14"/>
      <c r="D2038" s="14"/>
      <c r="E2038" s="14"/>
      <c r="F2038" s="22"/>
      <c r="G2038" s="22"/>
      <c r="T2038" s="5"/>
      <c r="BA2038" s="5"/>
      <c r="BK2038" s="16"/>
    </row>
    <row r="2039" customFormat="false" ht="12.75" hidden="false" customHeight="false" outlineLevel="0" collapsed="false">
      <c r="B2039" s="14"/>
      <c r="C2039" s="14"/>
      <c r="D2039" s="14"/>
      <c r="E2039" s="14"/>
      <c r="F2039" s="15"/>
      <c r="G2039" s="22"/>
      <c r="BK2039" s="16"/>
    </row>
    <row r="2040" customFormat="false" ht="12.75" hidden="false" customHeight="false" outlineLevel="0" collapsed="false">
      <c r="B2040" s="14"/>
      <c r="C2040" s="14"/>
      <c r="D2040" s="14"/>
      <c r="E2040" s="14"/>
      <c r="F2040" s="15"/>
      <c r="G2040" s="22"/>
      <c r="AP2040" s="23"/>
      <c r="AQ2040" s="23"/>
      <c r="AR2040" s="23"/>
      <c r="AS2040" s="23"/>
      <c r="AT2040" s="23"/>
      <c r="AU2040" s="23"/>
      <c r="AV2040" s="23"/>
      <c r="AW2040" s="23"/>
      <c r="AX2040" s="23"/>
      <c r="AY2040" s="23"/>
      <c r="AZ2040" s="23"/>
      <c r="BK2040" s="16"/>
    </row>
    <row r="2041" customFormat="false" ht="12.75" hidden="false" customHeight="false" outlineLevel="0" collapsed="false">
      <c r="B2041" s="14"/>
      <c r="C2041" s="14"/>
      <c r="D2041" s="14"/>
      <c r="E2041" s="14"/>
      <c r="F2041" s="15"/>
      <c r="G2041" s="22"/>
      <c r="BK2041" s="16"/>
    </row>
    <row r="2042" customFormat="false" ht="12.75" hidden="false" customHeight="false" outlineLevel="0" collapsed="false">
      <c r="B2042" s="14"/>
      <c r="C2042" s="14"/>
      <c r="D2042" s="14"/>
      <c r="E2042" s="14"/>
      <c r="F2042" s="15"/>
      <c r="G2042" s="22"/>
      <c r="BK2042" s="16"/>
    </row>
    <row r="2043" customFormat="false" ht="12.75" hidden="false" customHeight="false" outlineLevel="0" collapsed="false">
      <c r="B2043" s="14"/>
      <c r="C2043" s="14"/>
      <c r="D2043" s="14"/>
      <c r="E2043" s="14"/>
      <c r="F2043" s="15"/>
      <c r="G2043" s="22"/>
      <c r="AP2043" s="23"/>
      <c r="AQ2043" s="23"/>
      <c r="AR2043" s="23"/>
      <c r="AS2043" s="23"/>
      <c r="AT2043" s="23"/>
      <c r="AU2043" s="23"/>
      <c r="AV2043" s="23"/>
      <c r="AW2043" s="23"/>
      <c r="AX2043" s="23"/>
      <c r="AY2043" s="23"/>
      <c r="AZ2043" s="23"/>
      <c r="BK2043" s="16"/>
    </row>
    <row r="2044" customFormat="false" ht="12.75" hidden="false" customHeight="false" outlineLevel="0" collapsed="false">
      <c r="B2044" s="14"/>
      <c r="C2044" s="14"/>
      <c r="D2044" s="14"/>
      <c r="E2044" s="14"/>
      <c r="F2044" s="22"/>
      <c r="G2044" s="22"/>
      <c r="BK2044" s="16"/>
    </row>
    <row r="2045" customFormat="false" ht="12.75" hidden="false" customHeight="false" outlineLevel="0" collapsed="false">
      <c r="B2045" s="14"/>
      <c r="C2045" s="14"/>
      <c r="D2045" s="14"/>
      <c r="E2045" s="14"/>
      <c r="F2045" s="15"/>
      <c r="G2045" s="22"/>
      <c r="AP2045" s="23"/>
      <c r="AQ2045" s="23"/>
      <c r="AR2045" s="23"/>
      <c r="AS2045" s="23"/>
      <c r="AT2045" s="23"/>
      <c r="AU2045" s="23"/>
      <c r="AV2045" s="23"/>
      <c r="AW2045" s="23"/>
      <c r="AX2045" s="23"/>
      <c r="AY2045" s="23"/>
      <c r="AZ2045" s="23"/>
      <c r="BK2045" s="16"/>
    </row>
    <row r="2046" s="23" customFormat="true" ht="12.75" hidden="false" customHeight="false" outlineLevel="0" collapsed="false">
      <c r="A2046" s="1"/>
      <c r="B2046" s="14"/>
      <c r="C2046" s="14"/>
      <c r="D2046" s="14"/>
      <c r="E2046" s="14"/>
      <c r="F2046" s="22"/>
      <c r="G2046" s="22"/>
      <c r="T2046" s="5"/>
      <c r="BA2046" s="5"/>
      <c r="BK2046" s="16"/>
    </row>
    <row r="2047" customFormat="false" ht="12.75" hidden="false" customHeight="false" outlineLevel="0" collapsed="false">
      <c r="B2047" s="14"/>
      <c r="C2047" s="14"/>
      <c r="D2047" s="14"/>
      <c r="E2047" s="14"/>
      <c r="F2047" s="15"/>
      <c r="G2047" s="22"/>
      <c r="I2047" s="23"/>
      <c r="J2047" s="23"/>
      <c r="K2047" s="23"/>
      <c r="L2047" s="23"/>
      <c r="M2047" s="23"/>
      <c r="N2047" s="23"/>
      <c r="O2047" s="23"/>
      <c r="P2047" s="23"/>
      <c r="Q2047" s="23"/>
      <c r="R2047" s="23"/>
      <c r="S2047" s="23"/>
      <c r="T2047" s="5"/>
      <c r="U2047" s="23"/>
      <c r="AA2047" s="23"/>
      <c r="AB2047" s="23"/>
      <c r="AP2047" s="23"/>
      <c r="AQ2047" s="23"/>
      <c r="AR2047" s="23"/>
      <c r="AS2047" s="23"/>
      <c r="AT2047" s="23"/>
      <c r="AU2047" s="23"/>
      <c r="AV2047" s="23"/>
      <c r="AW2047" s="23"/>
      <c r="AX2047" s="23"/>
      <c r="AY2047" s="23"/>
      <c r="BK2047" s="16"/>
    </row>
    <row r="2048" customFormat="false" ht="12.75" hidden="false" customHeight="false" outlineLevel="0" collapsed="false">
      <c r="B2048" s="14"/>
      <c r="C2048" s="14"/>
      <c r="D2048" s="14"/>
      <c r="E2048" s="14"/>
      <c r="F2048" s="22"/>
      <c r="G2048" s="22"/>
      <c r="BK2048" s="16"/>
    </row>
    <row r="2049" customFormat="false" ht="12.75" hidden="false" customHeight="false" outlineLevel="0" collapsed="false">
      <c r="B2049" s="14"/>
      <c r="C2049" s="14"/>
      <c r="D2049" s="14"/>
      <c r="E2049" s="14"/>
      <c r="F2049" s="22"/>
      <c r="G2049" s="22"/>
      <c r="BK2049" s="16"/>
    </row>
    <row r="2050" customFormat="false" ht="12.75" hidden="false" customHeight="false" outlineLevel="0" collapsed="false">
      <c r="B2050" s="14"/>
      <c r="C2050" s="14"/>
      <c r="D2050" s="14"/>
      <c r="E2050" s="14"/>
      <c r="F2050" s="15"/>
      <c r="G2050" s="22"/>
      <c r="BK2050" s="16"/>
    </row>
    <row r="2051" customFormat="false" ht="12.75" hidden="false" customHeight="false" outlineLevel="0" collapsed="false">
      <c r="B2051" s="14"/>
      <c r="C2051" s="14"/>
      <c r="D2051" s="14"/>
      <c r="E2051" s="14"/>
      <c r="F2051" s="22"/>
      <c r="G2051" s="22"/>
      <c r="BK2051" s="16"/>
    </row>
    <row r="2052" customFormat="false" ht="12.75" hidden="false" customHeight="false" outlineLevel="0" collapsed="false">
      <c r="B2052" s="14"/>
      <c r="C2052" s="14"/>
      <c r="D2052" s="14"/>
      <c r="E2052" s="14"/>
      <c r="F2052" s="15"/>
      <c r="G2052" s="22"/>
      <c r="BK2052" s="16"/>
    </row>
    <row r="2053" customFormat="false" ht="12.75" hidden="false" customHeight="false" outlineLevel="0" collapsed="false">
      <c r="B2053" s="14"/>
      <c r="C2053" s="14"/>
      <c r="D2053" s="14"/>
      <c r="E2053" s="14"/>
      <c r="F2053" s="15"/>
      <c r="G2053" s="22"/>
      <c r="BK2053" s="16"/>
    </row>
    <row r="2054" customFormat="false" ht="12.75" hidden="false" customHeight="false" outlineLevel="0" collapsed="false">
      <c r="B2054" s="14"/>
      <c r="C2054" s="14"/>
      <c r="D2054" s="14"/>
      <c r="E2054" s="14"/>
      <c r="F2054" s="22"/>
      <c r="G2054" s="22"/>
      <c r="BK2054" s="16"/>
    </row>
    <row r="2055" customFormat="false" ht="12.75" hidden="false" customHeight="false" outlineLevel="0" collapsed="false">
      <c r="B2055" s="14"/>
      <c r="C2055" s="14"/>
      <c r="D2055" s="14"/>
      <c r="E2055" s="14"/>
      <c r="F2055" s="22"/>
      <c r="G2055" s="22"/>
      <c r="AA2055" s="23"/>
      <c r="AB2055" s="23"/>
      <c r="BK2055" s="16"/>
    </row>
    <row r="2056" customFormat="false" ht="12.75" hidden="false" customHeight="false" outlineLevel="0" collapsed="false">
      <c r="B2056" s="14"/>
      <c r="C2056" s="14"/>
      <c r="D2056" s="14"/>
      <c r="E2056" s="14"/>
      <c r="F2056" s="15"/>
      <c r="G2056" s="22"/>
      <c r="BK2056" s="16"/>
    </row>
    <row r="2057" s="23" customFormat="true" ht="12.75" hidden="false" customHeight="false" outlineLevel="0" collapsed="false">
      <c r="A2057" s="1"/>
      <c r="B2057" s="14"/>
      <c r="C2057" s="14"/>
      <c r="D2057" s="14"/>
      <c r="E2057" s="14"/>
      <c r="F2057" s="22"/>
      <c r="G2057" s="22"/>
      <c r="T2057" s="5"/>
      <c r="BA2057" s="5"/>
      <c r="BK2057" s="16"/>
    </row>
    <row r="2058" customFormat="false" ht="12.75" hidden="false" customHeight="false" outlineLevel="0" collapsed="false">
      <c r="B2058" s="14"/>
      <c r="C2058" s="14"/>
      <c r="D2058" s="14"/>
      <c r="E2058" s="14"/>
      <c r="F2058" s="15"/>
      <c r="G2058" s="15"/>
      <c r="I2058" s="23"/>
      <c r="J2058" s="23"/>
      <c r="K2058" s="23"/>
      <c r="L2058" s="23"/>
      <c r="M2058" s="23"/>
      <c r="N2058" s="23"/>
      <c r="O2058" s="23"/>
      <c r="P2058" s="23"/>
      <c r="Q2058" s="23"/>
      <c r="R2058" s="23"/>
      <c r="S2058" s="23"/>
      <c r="T2058" s="5"/>
      <c r="U2058" s="23"/>
      <c r="AA2058" s="23"/>
      <c r="AB2058" s="23"/>
      <c r="BK2058" s="16"/>
    </row>
    <row r="2059" customFormat="false" ht="12.75" hidden="false" customHeight="false" outlineLevel="0" collapsed="false">
      <c r="B2059" s="14"/>
      <c r="C2059" s="14"/>
      <c r="D2059" s="14"/>
      <c r="E2059" s="14"/>
      <c r="F2059" s="22"/>
      <c r="G2059" s="15"/>
      <c r="I2059" s="23"/>
      <c r="J2059" s="23"/>
      <c r="K2059" s="23"/>
      <c r="L2059" s="23"/>
      <c r="M2059" s="23"/>
      <c r="N2059" s="23"/>
      <c r="O2059" s="23"/>
      <c r="P2059" s="23"/>
      <c r="Q2059" s="23"/>
      <c r="R2059" s="23"/>
      <c r="S2059" s="23"/>
      <c r="T2059" s="5"/>
      <c r="U2059" s="23"/>
      <c r="AA2059" s="23"/>
      <c r="AB2059" s="23"/>
      <c r="BK2059" s="16"/>
    </row>
    <row r="2060" customFormat="false" ht="12.75" hidden="false" customHeight="false" outlineLevel="0" collapsed="false">
      <c r="B2060" s="14"/>
      <c r="C2060" s="14"/>
      <c r="D2060" s="14"/>
      <c r="E2060" s="14"/>
      <c r="F2060" s="22"/>
      <c r="G2060" s="22"/>
      <c r="BK2060" s="16"/>
    </row>
    <row r="2061" customFormat="false" ht="12.75" hidden="false" customHeight="false" outlineLevel="0" collapsed="false">
      <c r="B2061" s="14"/>
      <c r="C2061" s="14"/>
      <c r="D2061" s="14"/>
      <c r="E2061" s="14"/>
      <c r="F2061" s="15"/>
      <c r="G2061" s="22"/>
      <c r="BK2061" s="16"/>
    </row>
    <row r="2062" customFormat="false" ht="12.75" hidden="false" customHeight="false" outlineLevel="0" collapsed="false">
      <c r="B2062" s="14"/>
      <c r="C2062" s="14"/>
      <c r="D2062" s="14"/>
      <c r="E2062" s="14"/>
      <c r="F2062" s="15"/>
      <c r="G2062" s="22"/>
      <c r="BK2062" s="16"/>
    </row>
    <row r="2063" customFormat="false" ht="12.75" hidden="false" customHeight="false" outlineLevel="0" collapsed="false">
      <c r="B2063" s="14"/>
      <c r="C2063" s="14"/>
      <c r="D2063" s="14"/>
      <c r="E2063" s="14"/>
      <c r="F2063" s="15"/>
      <c r="G2063" s="22"/>
      <c r="BK2063" s="16"/>
    </row>
    <row r="2064" s="23" customFormat="true" ht="12.75" hidden="false" customHeight="false" outlineLevel="0" collapsed="false">
      <c r="A2064" s="1"/>
      <c r="B2064" s="14"/>
      <c r="C2064" s="14"/>
      <c r="D2064" s="14"/>
      <c r="E2064" s="14"/>
      <c r="F2064" s="22"/>
      <c r="G2064" s="22"/>
      <c r="T2064" s="5"/>
      <c r="AP2064" s="3"/>
      <c r="AQ2064" s="3"/>
      <c r="AR2064" s="3"/>
      <c r="AS2064" s="3"/>
      <c r="AT2064" s="3"/>
      <c r="AU2064" s="3"/>
      <c r="AV2064" s="3"/>
      <c r="AW2064" s="3"/>
      <c r="AX2064" s="3"/>
      <c r="AY2064" s="3"/>
      <c r="AZ2064" s="3"/>
      <c r="BA2064" s="5"/>
      <c r="BB2064" s="3"/>
      <c r="BK2064" s="16"/>
    </row>
    <row r="2065" customFormat="false" ht="12.75" hidden="false" customHeight="false" outlineLevel="0" collapsed="false">
      <c r="B2065" s="14"/>
      <c r="C2065" s="14"/>
      <c r="D2065" s="14"/>
      <c r="E2065" s="14"/>
      <c r="F2065" s="15"/>
      <c r="G2065" s="22"/>
      <c r="BK2065" s="16"/>
    </row>
    <row r="2066" customFormat="false" ht="12.75" hidden="false" customHeight="false" outlineLevel="0" collapsed="false">
      <c r="B2066" s="14"/>
      <c r="C2066" s="14"/>
      <c r="D2066" s="14"/>
      <c r="E2066" s="14"/>
      <c r="F2066" s="15"/>
      <c r="G2066" s="22"/>
      <c r="BK2066" s="16"/>
    </row>
    <row r="2067" customFormat="false" ht="12.75" hidden="false" customHeight="false" outlineLevel="0" collapsed="false">
      <c r="B2067" s="14"/>
      <c r="C2067" s="14"/>
      <c r="D2067" s="14"/>
      <c r="E2067" s="14"/>
      <c r="F2067" s="22"/>
      <c r="G2067" s="22"/>
      <c r="BK2067" s="16"/>
    </row>
    <row r="2068" customFormat="false" ht="12.75" hidden="false" customHeight="false" outlineLevel="0" collapsed="false">
      <c r="B2068" s="14"/>
      <c r="C2068" s="14"/>
      <c r="D2068" s="14"/>
      <c r="E2068" s="14"/>
      <c r="F2068" s="15"/>
      <c r="G2068" s="15"/>
      <c r="I2068" s="23"/>
      <c r="J2068" s="23"/>
      <c r="K2068" s="23"/>
      <c r="L2068" s="23"/>
      <c r="M2068" s="23"/>
      <c r="N2068" s="23"/>
      <c r="O2068" s="23"/>
      <c r="P2068" s="23"/>
      <c r="Q2068" s="23"/>
      <c r="R2068" s="23"/>
      <c r="S2068" s="23"/>
      <c r="T2068" s="5"/>
      <c r="U2068" s="23"/>
      <c r="AA2068" s="23"/>
      <c r="AB2068" s="23"/>
      <c r="BK2068" s="16"/>
    </row>
    <row r="2069" customFormat="false" ht="12.75" hidden="false" customHeight="false" outlineLevel="0" collapsed="false">
      <c r="B2069" s="14"/>
      <c r="C2069" s="14"/>
      <c r="D2069" s="14"/>
      <c r="E2069" s="14"/>
      <c r="F2069" s="15"/>
      <c r="G2069" s="15"/>
      <c r="BK2069" s="16"/>
    </row>
    <row r="2070" customFormat="false" ht="12.75" hidden="false" customHeight="false" outlineLevel="0" collapsed="false">
      <c r="B2070" s="14"/>
      <c r="C2070" s="14"/>
      <c r="D2070" s="14"/>
      <c r="E2070" s="14"/>
      <c r="F2070" s="15"/>
      <c r="G2070" s="22"/>
      <c r="BK2070" s="16"/>
    </row>
    <row r="2071" customFormat="false" ht="12.75" hidden="false" customHeight="false" outlineLevel="0" collapsed="false">
      <c r="B2071" s="14"/>
      <c r="C2071" s="14"/>
      <c r="D2071" s="14"/>
      <c r="E2071" s="14"/>
      <c r="F2071" s="15"/>
      <c r="G2071" s="22"/>
      <c r="BK2071" s="16"/>
    </row>
    <row r="2072" s="23" customFormat="true" ht="12.75" hidden="false" customHeight="false" outlineLevel="0" collapsed="false">
      <c r="A2072" s="1"/>
      <c r="B2072" s="14"/>
      <c r="C2072" s="14"/>
      <c r="D2072" s="14"/>
      <c r="E2072" s="14"/>
      <c r="F2072" s="22"/>
      <c r="G2072" s="22"/>
      <c r="T2072" s="5"/>
      <c r="AP2072" s="3"/>
      <c r="AQ2072" s="3"/>
      <c r="AR2072" s="3"/>
      <c r="AS2072" s="3"/>
      <c r="AT2072" s="3"/>
      <c r="AU2072" s="3"/>
      <c r="AV2072" s="3"/>
      <c r="AW2072" s="3"/>
      <c r="AX2072" s="3"/>
      <c r="AY2072" s="3"/>
      <c r="AZ2072" s="3"/>
      <c r="BA2072" s="5"/>
      <c r="BB2072" s="3"/>
      <c r="BK2072" s="16"/>
    </row>
    <row r="2073" s="23" customFormat="true" ht="12.75" hidden="false" customHeight="false" outlineLevel="0" collapsed="false">
      <c r="A2073" s="1"/>
      <c r="B2073" s="14"/>
      <c r="C2073" s="14"/>
      <c r="D2073" s="14"/>
      <c r="E2073" s="14"/>
      <c r="F2073" s="22"/>
      <c r="G2073" s="22"/>
      <c r="T2073" s="5"/>
      <c r="AP2073" s="3"/>
      <c r="AQ2073" s="3"/>
      <c r="AR2073" s="3"/>
      <c r="AS2073" s="3"/>
      <c r="AT2073" s="3"/>
      <c r="AU2073" s="3"/>
      <c r="AV2073" s="3"/>
      <c r="AW2073" s="3"/>
      <c r="AX2073" s="3"/>
      <c r="AY2073" s="3"/>
      <c r="AZ2073" s="3"/>
      <c r="BA2073" s="5"/>
      <c r="BK2073" s="16"/>
    </row>
    <row r="2074" customFormat="false" ht="12.75" hidden="false" customHeight="false" outlineLevel="0" collapsed="false">
      <c r="B2074" s="14"/>
      <c r="C2074" s="14"/>
      <c r="D2074" s="14"/>
      <c r="E2074" s="14"/>
      <c r="F2074" s="15"/>
      <c r="G2074" s="22"/>
      <c r="BK2074" s="16"/>
    </row>
    <row r="2075" s="23" customFormat="true" ht="12.75" hidden="false" customHeight="false" outlineLevel="0" collapsed="false">
      <c r="A2075" s="1"/>
      <c r="B2075" s="14"/>
      <c r="C2075" s="14"/>
      <c r="D2075" s="14"/>
      <c r="E2075" s="14"/>
      <c r="F2075" s="22"/>
      <c r="G2075" s="22"/>
      <c r="T2075" s="5"/>
      <c r="AP2075" s="3"/>
      <c r="AQ2075" s="3"/>
      <c r="AR2075" s="3"/>
      <c r="AS2075" s="3"/>
      <c r="AT2075" s="3"/>
      <c r="AU2075" s="3"/>
      <c r="AV2075" s="3"/>
      <c r="AW2075" s="3"/>
      <c r="AX2075" s="3"/>
      <c r="AY2075" s="3"/>
      <c r="AZ2075" s="3"/>
      <c r="BA2075" s="5"/>
      <c r="BB2075" s="3"/>
      <c r="BK2075" s="16"/>
    </row>
    <row r="2076" customFormat="false" ht="12.75" hidden="false" customHeight="false" outlineLevel="0" collapsed="false">
      <c r="B2076" s="14"/>
      <c r="C2076" s="14"/>
      <c r="D2076" s="14"/>
      <c r="E2076" s="14"/>
      <c r="F2076" s="22"/>
      <c r="G2076" s="22"/>
      <c r="I2076" s="23"/>
      <c r="J2076" s="23"/>
      <c r="K2076" s="23"/>
      <c r="L2076" s="23"/>
      <c r="M2076" s="23"/>
      <c r="N2076" s="23"/>
      <c r="O2076" s="23"/>
      <c r="P2076" s="23"/>
      <c r="Q2076" s="23"/>
      <c r="R2076" s="23"/>
      <c r="S2076" s="23"/>
      <c r="T2076" s="5"/>
      <c r="U2076" s="23"/>
      <c r="AA2076" s="23"/>
      <c r="AB2076" s="23"/>
      <c r="AP2076" s="23"/>
      <c r="AQ2076" s="23"/>
      <c r="AR2076" s="23"/>
      <c r="AS2076" s="23"/>
      <c r="AT2076" s="23"/>
      <c r="AU2076" s="23"/>
      <c r="AV2076" s="23"/>
      <c r="AW2076" s="23"/>
      <c r="AX2076" s="23"/>
      <c r="AY2076" s="23"/>
      <c r="AZ2076" s="23"/>
      <c r="BK2076" s="16"/>
    </row>
    <row r="2077" customFormat="false" ht="12.75" hidden="false" customHeight="false" outlineLevel="0" collapsed="false">
      <c r="B2077" s="14"/>
      <c r="C2077" s="14"/>
      <c r="D2077" s="14"/>
      <c r="E2077" s="14"/>
      <c r="F2077" s="15"/>
      <c r="G2077" s="22"/>
      <c r="BK2077" s="16"/>
    </row>
    <row r="2078" s="23" customFormat="true" ht="12.75" hidden="false" customHeight="false" outlineLevel="0" collapsed="false">
      <c r="A2078" s="1"/>
      <c r="B2078" s="14"/>
      <c r="C2078" s="14"/>
      <c r="D2078" s="14"/>
      <c r="E2078" s="14"/>
      <c r="F2078" s="22"/>
      <c r="G2078" s="22"/>
      <c r="T2078" s="5"/>
      <c r="BA2078" s="5"/>
      <c r="BK2078" s="16"/>
    </row>
    <row r="2079" customFormat="false" ht="12.75" hidden="false" customHeight="false" outlineLevel="0" collapsed="false">
      <c r="B2079" s="14"/>
      <c r="C2079" s="14"/>
      <c r="D2079" s="14"/>
      <c r="E2079" s="14"/>
      <c r="F2079" s="22"/>
      <c r="G2079" s="22"/>
      <c r="AP2079" s="23"/>
      <c r="AQ2079" s="23"/>
      <c r="AR2079" s="23"/>
      <c r="AS2079" s="23"/>
      <c r="AT2079" s="23"/>
      <c r="AU2079" s="23"/>
      <c r="AV2079" s="23"/>
      <c r="AW2079" s="23"/>
      <c r="AX2079" s="23"/>
      <c r="AY2079" s="23"/>
      <c r="AZ2079" s="23"/>
      <c r="BK2079" s="16"/>
    </row>
    <row r="2080" s="23" customFormat="true" ht="12.75" hidden="false" customHeight="false" outlineLevel="0" collapsed="false">
      <c r="A2080" s="1"/>
      <c r="B2080" s="14"/>
      <c r="C2080" s="14"/>
      <c r="D2080" s="14"/>
      <c r="E2080" s="14"/>
      <c r="F2080" s="22"/>
      <c r="G2080" s="22"/>
      <c r="T2080" s="5"/>
      <c r="BA2080" s="5"/>
      <c r="BB2080" s="3"/>
      <c r="BK2080" s="16"/>
    </row>
    <row r="2081" s="23" customFormat="true" ht="12.75" hidden="false" customHeight="false" outlineLevel="0" collapsed="false">
      <c r="A2081" s="1"/>
      <c r="B2081" s="14"/>
      <c r="C2081" s="14"/>
      <c r="D2081" s="14"/>
      <c r="E2081" s="14"/>
      <c r="F2081" s="22"/>
      <c r="G2081" s="22"/>
      <c r="T2081" s="5"/>
      <c r="AP2081" s="3"/>
      <c r="AQ2081" s="3"/>
      <c r="AR2081" s="3"/>
      <c r="AS2081" s="3"/>
      <c r="AT2081" s="3"/>
      <c r="AU2081" s="3"/>
      <c r="AV2081" s="3"/>
      <c r="AW2081" s="3"/>
      <c r="AX2081" s="3"/>
      <c r="AY2081" s="3"/>
      <c r="AZ2081" s="3"/>
      <c r="BA2081" s="5"/>
      <c r="BK2081" s="16"/>
    </row>
    <row r="2082" customFormat="false" ht="12.75" hidden="false" customHeight="false" outlineLevel="0" collapsed="false">
      <c r="B2082" s="14"/>
      <c r="C2082" s="14"/>
      <c r="D2082" s="14"/>
      <c r="E2082" s="14"/>
      <c r="F2082" s="22"/>
      <c r="G2082" s="22"/>
      <c r="BK2082" s="16"/>
    </row>
    <row r="2083" customFormat="false" ht="12.75" hidden="false" customHeight="false" outlineLevel="0" collapsed="false">
      <c r="B2083" s="14"/>
      <c r="C2083" s="14"/>
      <c r="D2083" s="14"/>
      <c r="E2083" s="14"/>
      <c r="F2083" s="22"/>
      <c r="G2083" s="22"/>
      <c r="BK2083" s="16"/>
    </row>
    <row r="2084" s="23" customFormat="true" ht="12.75" hidden="false" customHeight="false" outlineLevel="0" collapsed="false">
      <c r="A2084" s="1"/>
      <c r="B2084" s="14"/>
      <c r="C2084" s="14"/>
      <c r="D2084" s="14"/>
      <c r="E2084" s="14"/>
      <c r="F2084" s="22"/>
      <c r="G2084" s="22"/>
      <c r="T2084" s="5"/>
      <c r="AP2084" s="3"/>
      <c r="AQ2084" s="3"/>
      <c r="AR2084" s="3"/>
      <c r="AS2084" s="3"/>
      <c r="AT2084" s="3"/>
      <c r="AU2084" s="3"/>
      <c r="AV2084" s="3"/>
      <c r="AW2084" s="3"/>
      <c r="AX2084" s="3"/>
      <c r="AY2084" s="3"/>
      <c r="AZ2084" s="3"/>
      <c r="BA2084" s="5"/>
      <c r="BK2084" s="16"/>
    </row>
    <row r="2085" customFormat="false" ht="12.75" hidden="false" customHeight="false" outlineLevel="0" collapsed="false">
      <c r="B2085" s="14"/>
      <c r="C2085" s="14"/>
      <c r="D2085" s="14"/>
      <c r="E2085" s="14"/>
      <c r="F2085" s="22"/>
      <c r="G2085" s="22"/>
      <c r="AP2085" s="23"/>
      <c r="AQ2085" s="23"/>
      <c r="AR2085" s="23"/>
      <c r="AS2085" s="23"/>
      <c r="AT2085" s="23"/>
      <c r="AU2085" s="23"/>
      <c r="AV2085" s="23"/>
      <c r="AW2085" s="23"/>
      <c r="AX2085" s="23"/>
      <c r="AY2085" s="23"/>
      <c r="AZ2085" s="23"/>
      <c r="BK2085" s="16"/>
    </row>
    <row r="2086" s="23" customFormat="true" ht="12.75" hidden="false" customHeight="false" outlineLevel="0" collapsed="false">
      <c r="A2086" s="1"/>
      <c r="B2086" s="14"/>
      <c r="C2086" s="14"/>
      <c r="D2086" s="14"/>
      <c r="E2086" s="14"/>
      <c r="F2086" s="22"/>
      <c r="G2086" s="22"/>
      <c r="T2086" s="5"/>
      <c r="AP2086" s="3"/>
      <c r="AQ2086" s="3"/>
      <c r="AR2086" s="3"/>
      <c r="AS2086" s="3"/>
      <c r="AT2086" s="3"/>
      <c r="AU2086" s="3"/>
      <c r="AV2086" s="3"/>
      <c r="AW2086" s="3"/>
      <c r="AX2086" s="3"/>
      <c r="AY2086" s="3"/>
      <c r="AZ2086" s="3"/>
      <c r="BA2086" s="5"/>
      <c r="BK2086" s="16"/>
    </row>
    <row r="2087" customFormat="false" ht="12.75" hidden="false" customHeight="false" outlineLevel="0" collapsed="false">
      <c r="B2087" s="14"/>
      <c r="C2087" s="14"/>
      <c r="D2087" s="14"/>
      <c r="E2087" s="14"/>
      <c r="F2087" s="22"/>
      <c r="G2087" s="22"/>
      <c r="AP2087" s="23"/>
      <c r="AQ2087" s="23"/>
      <c r="AR2087" s="23"/>
      <c r="AS2087" s="23"/>
      <c r="AT2087" s="23"/>
      <c r="AU2087" s="23"/>
      <c r="AV2087" s="23"/>
      <c r="AW2087" s="23"/>
      <c r="AX2087" s="23"/>
      <c r="AY2087" s="23"/>
      <c r="AZ2087" s="23"/>
      <c r="BK2087" s="16"/>
    </row>
    <row r="2088" s="23" customFormat="true" ht="12.75" hidden="false" customHeight="false" outlineLevel="0" collapsed="false">
      <c r="A2088" s="1"/>
      <c r="B2088" s="14"/>
      <c r="C2088" s="14"/>
      <c r="D2088" s="14"/>
      <c r="E2088" s="14"/>
      <c r="F2088" s="22"/>
      <c r="G2088" s="22"/>
      <c r="T2088" s="5"/>
      <c r="BA2088" s="5"/>
      <c r="BK2088" s="16"/>
    </row>
    <row r="2089" s="23" customFormat="true" ht="12.75" hidden="false" customHeight="false" outlineLevel="0" collapsed="false">
      <c r="A2089" s="1"/>
      <c r="B2089" s="14"/>
      <c r="C2089" s="14"/>
      <c r="D2089" s="14"/>
      <c r="E2089" s="14"/>
      <c r="F2089" s="22"/>
      <c r="G2089" s="22"/>
      <c r="T2089" s="5"/>
      <c r="BA2089" s="5"/>
      <c r="BB2089" s="3"/>
      <c r="BK2089" s="16"/>
    </row>
    <row r="2090" s="11" customFormat="true" ht="12.75" hidden="false" customHeight="false" outlineLevel="0" collapsed="false">
      <c r="A2090" s="7"/>
      <c r="B2090" s="53"/>
      <c r="C2090" s="53"/>
      <c r="D2090" s="53"/>
      <c r="E2090" s="53"/>
      <c r="F2090" s="53"/>
      <c r="G2090" s="53"/>
      <c r="T2090" s="54"/>
      <c r="BA2090" s="54"/>
      <c r="BK2090" s="13"/>
    </row>
    <row r="2091" customFormat="false" ht="12.75" hidden="false" customHeight="false" outlineLevel="0" collapsed="false">
      <c r="B2091" s="14"/>
      <c r="C2091" s="14"/>
      <c r="D2091" s="14"/>
      <c r="E2091" s="14"/>
      <c r="F2091" s="15"/>
      <c r="G2091" s="22"/>
      <c r="BK2091" s="16"/>
    </row>
    <row r="2092" customFormat="false" ht="12.75" hidden="false" customHeight="false" outlineLevel="0" collapsed="false">
      <c r="B2092" s="14"/>
      <c r="C2092" s="14"/>
      <c r="D2092" s="14"/>
      <c r="E2092" s="14"/>
      <c r="F2092" s="22"/>
      <c r="G2092" s="22"/>
      <c r="AP2092" s="23"/>
      <c r="AQ2092" s="23"/>
      <c r="AR2092" s="23"/>
      <c r="AS2092" s="23"/>
      <c r="AT2092" s="23"/>
      <c r="AU2092" s="23"/>
      <c r="AV2092" s="23"/>
      <c r="AW2092" s="23"/>
      <c r="AX2092" s="23"/>
      <c r="AY2092" s="23"/>
      <c r="AZ2092" s="23"/>
      <c r="BK2092" s="16"/>
    </row>
    <row r="2093" customFormat="false" ht="12.75" hidden="false" customHeight="false" outlineLevel="0" collapsed="false">
      <c r="B2093" s="14"/>
      <c r="C2093" s="14"/>
      <c r="D2093" s="14"/>
      <c r="E2093" s="14"/>
      <c r="F2093" s="22"/>
      <c r="G2093" s="22"/>
      <c r="AP2093" s="23"/>
      <c r="AQ2093" s="23"/>
      <c r="AR2093" s="23"/>
      <c r="AS2093" s="23"/>
      <c r="AT2093" s="23"/>
      <c r="AU2093" s="23"/>
      <c r="AV2093" s="23"/>
      <c r="AW2093" s="23"/>
      <c r="AX2093" s="23"/>
      <c r="AY2093" s="23"/>
      <c r="AZ2093" s="23"/>
      <c r="BK2093" s="16"/>
    </row>
    <row r="2094" s="23" customFormat="true" ht="12.75" hidden="false" customHeight="false" outlineLevel="0" collapsed="false">
      <c r="A2094" s="1"/>
      <c r="B2094" s="14"/>
      <c r="C2094" s="14"/>
      <c r="D2094" s="14"/>
      <c r="E2094" s="14"/>
      <c r="F2094" s="22"/>
      <c r="G2094" s="22"/>
      <c r="T2094" s="5"/>
      <c r="BA2094" s="5"/>
      <c r="BK2094" s="16"/>
    </row>
    <row r="2095" s="23" customFormat="true" ht="12.75" hidden="false" customHeight="false" outlineLevel="0" collapsed="false">
      <c r="A2095" s="1"/>
      <c r="B2095" s="14"/>
      <c r="C2095" s="14"/>
      <c r="D2095" s="14"/>
      <c r="E2095" s="14"/>
      <c r="F2095" s="22"/>
      <c r="G2095" s="22"/>
      <c r="T2095" s="5"/>
      <c r="BA2095" s="5"/>
      <c r="BK2095" s="16"/>
    </row>
    <row r="2096" customFormat="false" ht="12.75" hidden="false" customHeight="false" outlineLevel="0" collapsed="false">
      <c r="B2096" s="14"/>
      <c r="C2096" s="14"/>
      <c r="D2096" s="14"/>
      <c r="E2096" s="14"/>
      <c r="F2096" s="22"/>
      <c r="G2096" s="22"/>
      <c r="AP2096" s="23"/>
      <c r="AQ2096" s="23"/>
      <c r="AR2096" s="23"/>
      <c r="AS2096" s="23"/>
      <c r="AT2096" s="23"/>
      <c r="AU2096" s="23"/>
      <c r="AV2096" s="23"/>
      <c r="AW2096" s="23"/>
      <c r="AX2096" s="23"/>
      <c r="AY2096" s="23"/>
      <c r="AZ2096" s="23"/>
      <c r="BK2096" s="16"/>
    </row>
    <row r="2097" s="23" customFormat="true" ht="12.75" hidden="false" customHeight="false" outlineLevel="0" collapsed="false">
      <c r="A2097" s="1"/>
      <c r="B2097" s="14"/>
      <c r="C2097" s="14"/>
      <c r="D2097" s="14"/>
      <c r="E2097" s="14"/>
      <c r="F2097" s="22"/>
      <c r="G2097" s="22"/>
      <c r="T2097" s="5"/>
      <c r="BA2097" s="5"/>
      <c r="BK2097" s="16"/>
    </row>
    <row r="2098" customFormat="false" ht="12.75" hidden="false" customHeight="false" outlineLevel="0" collapsed="false">
      <c r="B2098" s="14"/>
      <c r="C2098" s="14"/>
      <c r="D2098" s="14"/>
      <c r="E2098" s="14"/>
      <c r="F2098" s="15"/>
      <c r="G2098" s="22"/>
      <c r="AP2098" s="23"/>
      <c r="AQ2098" s="23"/>
      <c r="AR2098" s="23"/>
      <c r="AS2098" s="23"/>
      <c r="AT2098" s="23"/>
      <c r="AU2098" s="23"/>
      <c r="AV2098" s="23"/>
      <c r="AW2098" s="23"/>
      <c r="AX2098" s="23"/>
      <c r="AY2098" s="23"/>
      <c r="AZ2098" s="23"/>
      <c r="BK2098" s="16"/>
    </row>
    <row r="2099" customFormat="false" ht="12.75" hidden="false" customHeight="false" outlineLevel="0" collapsed="false">
      <c r="B2099" s="14"/>
      <c r="C2099" s="14"/>
      <c r="D2099" s="14"/>
      <c r="E2099" s="14"/>
      <c r="F2099" s="15"/>
      <c r="G2099" s="22"/>
      <c r="BK2099" s="16"/>
    </row>
    <row r="2100" s="23" customFormat="true" ht="12.75" hidden="false" customHeight="false" outlineLevel="0" collapsed="false">
      <c r="A2100" s="1"/>
      <c r="B2100" s="14"/>
      <c r="C2100" s="14"/>
      <c r="D2100" s="14"/>
      <c r="E2100" s="14"/>
      <c r="F2100" s="22"/>
      <c r="G2100" s="22"/>
      <c r="T2100" s="5"/>
      <c r="AP2100" s="3"/>
      <c r="AQ2100" s="3"/>
      <c r="AR2100" s="3"/>
      <c r="AS2100" s="3"/>
      <c r="AT2100" s="3"/>
      <c r="AU2100" s="3"/>
      <c r="AV2100" s="3"/>
      <c r="AW2100" s="3"/>
      <c r="AX2100" s="3"/>
      <c r="AY2100" s="3"/>
      <c r="AZ2100" s="3"/>
      <c r="BA2100" s="5"/>
      <c r="BK2100" s="16"/>
    </row>
    <row r="2101" s="23" customFormat="true" ht="12.75" hidden="false" customHeight="false" outlineLevel="0" collapsed="false">
      <c r="A2101" s="1"/>
      <c r="B2101" s="14"/>
      <c r="C2101" s="14"/>
      <c r="D2101" s="14"/>
      <c r="E2101" s="14"/>
      <c r="F2101" s="22"/>
      <c r="G2101" s="22"/>
      <c r="T2101" s="5"/>
      <c r="BA2101" s="5"/>
      <c r="BB2101" s="3"/>
      <c r="BK2101" s="16"/>
    </row>
    <row r="2102" customFormat="false" ht="12.75" hidden="false" customHeight="false" outlineLevel="0" collapsed="false">
      <c r="B2102" s="14"/>
      <c r="C2102" s="14"/>
      <c r="D2102" s="14"/>
      <c r="E2102" s="14"/>
      <c r="F2102" s="15"/>
      <c r="G2102" s="22"/>
      <c r="AP2102" s="23"/>
      <c r="AQ2102" s="23"/>
      <c r="AR2102" s="23"/>
      <c r="AS2102" s="23"/>
      <c r="AT2102" s="23"/>
      <c r="AU2102" s="23"/>
      <c r="AV2102" s="23"/>
      <c r="AW2102" s="23"/>
      <c r="AX2102" s="23"/>
      <c r="AY2102" s="23"/>
      <c r="AZ2102" s="23"/>
      <c r="BK2102" s="16"/>
    </row>
    <row r="2103" customFormat="false" ht="12.75" hidden="false" customHeight="false" outlineLevel="0" collapsed="false">
      <c r="B2103" s="14"/>
      <c r="C2103" s="14"/>
      <c r="D2103" s="14"/>
      <c r="E2103" s="14"/>
      <c r="F2103" s="15"/>
      <c r="G2103" s="22"/>
      <c r="BK2103" s="16"/>
    </row>
    <row r="2104" customFormat="false" ht="12.75" hidden="false" customHeight="false" outlineLevel="0" collapsed="false">
      <c r="B2104" s="14"/>
      <c r="C2104" s="14"/>
      <c r="D2104" s="14"/>
      <c r="E2104" s="14"/>
      <c r="F2104" s="15"/>
      <c r="G2104" s="22"/>
      <c r="BK2104" s="16"/>
    </row>
    <row r="2105" customFormat="false" ht="12.75" hidden="false" customHeight="false" outlineLevel="0" collapsed="false">
      <c r="B2105" s="14"/>
      <c r="C2105" s="14"/>
      <c r="D2105" s="14"/>
      <c r="E2105" s="14"/>
      <c r="F2105" s="22"/>
      <c r="G2105" s="22"/>
      <c r="BK2105" s="16"/>
    </row>
    <row r="2106" customFormat="false" ht="12.75" hidden="false" customHeight="false" outlineLevel="0" collapsed="false">
      <c r="B2106" s="14"/>
      <c r="C2106" s="14"/>
      <c r="D2106" s="14"/>
      <c r="E2106" s="14"/>
      <c r="F2106" s="22"/>
      <c r="G2106" s="22"/>
      <c r="AP2106" s="23"/>
      <c r="AQ2106" s="23"/>
      <c r="AR2106" s="23"/>
      <c r="AS2106" s="23"/>
      <c r="AT2106" s="23"/>
      <c r="AU2106" s="23"/>
      <c r="AV2106" s="23"/>
      <c r="AW2106" s="23"/>
      <c r="AX2106" s="23"/>
      <c r="AY2106" s="23"/>
      <c r="AZ2106" s="23"/>
      <c r="BK2106" s="16"/>
    </row>
    <row r="2107" customFormat="false" ht="12.75" hidden="false" customHeight="false" outlineLevel="0" collapsed="false">
      <c r="B2107" s="14"/>
      <c r="C2107" s="14"/>
      <c r="D2107" s="14"/>
      <c r="E2107" s="14"/>
      <c r="F2107" s="22"/>
      <c r="G2107" s="22"/>
      <c r="BK2107" s="16"/>
    </row>
    <row r="2108" s="23" customFormat="true" ht="12.75" hidden="false" customHeight="false" outlineLevel="0" collapsed="false">
      <c r="A2108" s="1"/>
      <c r="B2108" s="14"/>
      <c r="C2108" s="14"/>
      <c r="D2108" s="14"/>
      <c r="E2108" s="14"/>
      <c r="F2108" s="22"/>
      <c r="G2108" s="22"/>
      <c r="T2108" s="5"/>
      <c r="AP2108" s="3"/>
      <c r="AQ2108" s="3"/>
      <c r="AR2108" s="3"/>
      <c r="AS2108" s="3"/>
      <c r="AT2108" s="3"/>
      <c r="AU2108" s="3"/>
      <c r="AV2108" s="3"/>
      <c r="AW2108" s="3"/>
      <c r="AX2108" s="3"/>
      <c r="AY2108" s="3"/>
      <c r="AZ2108" s="3"/>
      <c r="BA2108" s="5"/>
      <c r="BK2108" s="16"/>
    </row>
    <row r="2109" s="23" customFormat="true" ht="12.75" hidden="false" customHeight="false" outlineLevel="0" collapsed="false">
      <c r="A2109" s="1"/>
      <c r="B2109" s="14"/>
      <c r="C2109" s="14"/>
      <c r="D2109" s="14"/>
      <c r="E2109" s="14"/>
      <c r="F2109" s="22"/>
      <c r="G2109" s="22"/>
      <c r="T2109" s="5"/>
      <c r="AP2109" s="3"/>
      <c r="AQ2109" s="3"/>
      <c r="AR2109" s="3"/>
      <c r="AS2109" s="3"/>
      <c r="AT2109" s="3"/>
      <c r="AU2109" s="3"/>
      <c r="AV2109" s="3"/>
      <c r="AW2109" s="3"/>
      <c r="AX2109" s="3"/>
      <c r="AY2109" s="3"/>
      <c r="AZ2109" s="3"/>
      <c r="BA2109" s="5"/>
      <c r="BK2109" s="16"/>
    </row>
    <row r="2110" customFormat="false" ht="12.75" hidden="false" customHeight="false" outlineLevel="0" collapsed="false">
      <c r="B2110" s="14"/>
      <c r="C2110" s="14"/>
      <c r="D2110" s="14"/>
      <c r="E2110" s="14"/>
      <c r="F2110" s="15"/>
      <c r="G2110" s="22"/>
      <c r="AP2110" s="23"/>
      <c r="AQ2110" s="23"/>
      <c r="AR2110" s="23"/>
      <c r="AS2110" s="23"/>
      <c r="AT2110" s="23"/>
      <c r="AU2110" s="23"/>
      <c r="AV2110" s="23"/>
      <c r="AW2110" s="23"/>
      <c r="AX2110" s="23"/>
      <c r="AY2110" s="23"/>
      <c r="AZ2110" s="23"/>
      <c r="BK2110" s="16"/>
    </row>
    <row r="2111" customFormat="false" ht="12.75" hidden="false" customHeight="false" outlineLevel="0" collapsed="false">
      <c r="B2111" s="14"/>
      <c r="C2111" s="14"/>
      <c r="D2111" s="14"/>
      <c r="E2111" s="14"/>
      <c r="F2111" s="15"/>
      <c r="G2111" s="22"/>
      <c r="BK2111" s="16"/>
    </row>
    <row r="2112" customFormat="false" ht="12.75" hidden="false" customHeight="false" outlineLevel="0" collapsed="false">
      <c r="B2112" s="14"/>
      <c r="C2112" s="14"/>
      <c r="D2112" s="14"/>
      <c r="E2112" s="14"/>
      <c r="F2112" s="15"/>
      <c r="G2112" s="22"/>
      <c r="BK2112" s="16"/>
    </row>
    <row r="2113" customFormat="false" ht="12.75" hidden="false" customHeight="false" outlineLevel="0" collapsed="false">
      <c r="B2113" s="14"/>
      <c r="C2113" s="14"/>
      <c r="D2113" s="14"/>
      <c r="E2113" s="14"/>
      <c r="F2113" s="22"/>
      <c r="G2113" s="22"/>
      <c r="BK2113" s="16"/>
    </row>
    <row r="2114" customFormat="false" ht="12.75" hidden="false" customHeight="false" outlineLevel="0" collapsed="false">
      <c r="B2114" s="14"/>
      <c r="C2114" s="14"/>
      <c r="D2114" s="14"/>
      <c r="E2114" s="14"/>
      <c r="F2114" s="22"/>
      <c r="G2114" s="22"/>
      <c r="BK2114" s="16"/>
    </row>
    <row r="2115" customFormat="false" ht="12.75" hidden="false" customHeight="false" outlineLevel="0" collapsed="false">
      <c r="B2115" s="14"/>
      <c r="C2115" s="14"/>
      <c r="D2115" s="14"/>
      <c r="E2115" s="14"/>
      <c r="F2115" s="22"/>
      <c r="G2115" s="22"/>
      <c r="AA2115" s="23"/>
      <c r="AB2115" s="23"/>
      <c r="BK2115" s="16"/>
    </row>
    <row r="2116" customFormat="false" ht="12.75" hidden="false" customHeight="false" outlineLevel="0" collapsed="false">
      <c r="B2116" s="14"/>
      <c r="C2116" s="14"/>
      <c r="D2116" s="14"/>
      <c r="E2116" s="14"/>
      <c r="F2116" s="15"/>
      <c r="G2116" s="22"/>
      <c r="AP2116" s="23"/>
      <c r="AQ2116" s="23"/>
      <c r="AR2116" s="23"/>
      <c r="AS2116" s="23"/>
      <c r="AT2116" s="23"/>
      <c r="AU2116" s="23"/>
      <c r="AV2116" s="23"/>
      <c r="AW2116" s="23"/>
      <c r="AX2116" s="23"/>
      <c r="AY2116" s="23"/>
      <c r="AZ2116" s="23"/>
      <c r="BK2116" s="16"/>
    </row>
    <row r="2117" customFormat="false" ht="12.75" hidden="false" customHeight="false" outlineLevel="0" collapsed="false">
      <c r="B2117" s="14"/>
      <c r="C2117" s="14"/>
      <c r="D2117" s="14"/>
      <c r="E2117" s="14"/>
      <c r="F2117" s="22"/>
      <c r="G2117" s="22"/>
      <c r="BK2117" s="16"/>
    </row>
    <row r="2118" s="23" customFormat="true" ht="12.75" hidden="false" customHeight="false" outlineLevel="0" collapsed="false">
      <c r="A2118" s="1"/>
      <c r="B2118" s="14"/>
      <c r="C2118" s="14"/>
      <c r="D2118" s="14"/>
      <c r="E2118" s="14"/>
      <c r="F2118" s="22"/>
      <c r="G2118" s="22"/>
      <c r="T2118" s="5"/>
      <c r="BA2118" s="5"/>
      <c r="BK2118" s="16"/>
    </row>
    <row r="2119" customFormat="false" ht="12.75" hidden="false" customHeight="false" outlineLevel="0" collapsed="false">
      <c r="B2119" s="14"/>
      <c r="C2119" s="14"/>
      <c r="D2119" s="14"/>
      <c r="E2119" s="14"/>
      <c r="F2119" s="15"/>
      <c r="G2119" s="22"/>
      <c r="BK2119" s="16"/>
    </row>
    <row r="2120" customFormat="false" ht="12.75" hidden="false" customHeight="false" outlineLevel="0" collapsed="false">
      <c r="B2120" s="14"/>
      <c r="C2120" s="14"/>
      <c r="D2120" s="14"/>
      <c r="E2120" s="14"/>
      <c r="F2120" s="22"/>
      <c r="G2120" s="22"/>
      <c r="BK2120" s="16"/>
    </row>
    <row r="2121" customFormat="false" ht="12.75" hidden="false" customHeight="false" outlineLevel="0" collapsed="false">
      <c r="B2121" s="14"/>
      <c r="C2121" s="14"/>
      <c r="D2121" s="14"/>
      <c r="E2121" s="14"/>
      <c r="F2121" s="15"/>
      <c r="G2121" s="22"/>
      <c r="BK2121" s="16"/>
    </row>
    <row r="2122" customFormat="false" ht="12.75" hidden="false" customHeight="false" outlineLevel="0" collapsed="false">
      <c r="B2122" s="14"/>
      <c r="C2122" s="14"/>
      <c r="D2122" s="14"/>
      <c r="E2122" s="14"/>
      <c r="F2122" s="22"/>
      <c r="G2122" s="22"/>
      <c r="BK2122" s="16"/>
    </row>
    <row r="2123" customFormat="false" ht="12.75" hidden="false" customHeight="false" outlineLevel="0" collapsed="false">
      <c r="B2123" s="14"/>
      <c r="C2123" s="14"/>
      <c r="D2123" s="14"/>
      <c r="E2123" s="14"/>
      <c r="F2123" s="22"/>
      <c r="G2123" s="22"/>
      <c r="BK2123" s="16"/>
    </row>
    <row r="2124" customFormat="false" ht="12.75" hidden="false" customHeight="false" outlineLevel="0" collapsed="false">
      <c r="B2124" s="14"/>
      <c r="C2124" s="14"/>
      <c r="D2124" s="14"/>
      <c r="E2124" s="14"/>
      <c r="F2124" s="15"/>
      <c r="G2124" s="22"/>
      <c r="BK2124" s="16"/>
    </row>
    <row r="2125" customFormat="false" ht="12.75" hidden="false" customHeight="false" outlineLevel="0" collapsed="false">
      <c r="B2125" s="14"/>
      <c r="C2125" s="14"/>
      <c r="D2125" s="14"/>
      <c r="E2125" s="14"/>
      <c r="F2125" s="22"/>
      <c r="G2125" s="22"/>
      <c r="BK2125" s="16"/>
    </row>
    <row r="2126" customFormat="false" ht="12.75" hidden="false" customHeight="false" outlineLevel="0" collapsed="false">
      <c r="B2126" s="14"/>
      <c r="C2126" s="14"/>
      <c r="D2126" s="14"/>
      <c r="E2126" s="14"/>
      <c r="F2126" s="22"/>
      <c r="G2126" s="22"/>
      <c r="BK2126" s="16"/>
    </row>
    <row r="2127" customFormat="false" ht="12.75" hidden="false" customHeight="false" outlineLevel="0" collapsed="false">
      <c r="B2127" s="14"/>
      <c r="C2127" s="14"/>
      <c r="D2127" s="14"/>
      <c r="E2127" s="14"/>
      <c r="F2127" s="22"/>
      <c r="G2127" s="22"/>
      <c r="BK2127" s="16"/>
    </row>
    <row r="2128" customFormat="false" ht="12.75" hidden="false" customHeight="false" outlineLevel="0" collapsed="false">
      <c r="B2128" s="14"/>
      <c r="C2128" s="14"/>
      <c r="D2128" s="14"/>
      <c r="E2128" s="14"/>
      <c r="F2128" s="22"/>
      <c r="G2128" s="22"/>
      <c r="BK2128" s="16"/>
    </row>
    <row r="2129" s="23" customFormat="true" ht="12.75" hidden="false" customHeight="false" outlineLevel="0" collapsed="false">
      <c r="A2129" s="1"/>
      <c r="B2129" s="14"/>
      <c r="C2129" s="14"/>
      <c r="D2129" s="14"/>
      <c r="E2129" s="14"/>
      <c r="F2129" s="22"/>
      <c r="G2129" s="22"/>
      <c r="T2129" s="5"/>
      <c r="BA2129" s="5"/>
      <c r="BK2129" s="16"/>
    </row>
    <row r="2130" customFormat="false" ht="12.75" hidden="false" customHeight="false" outlineLevel="0" collapsed="false">
      <c r="B2130" s="14"/>
      <c r="C2130" s="14"/>
      <c r="D2130" s="14"/>
      <c r="E2130" s="14"/>
      <c r="F2130" s="22"/>
      <c r="G2130" s="22"/>
      <c r="BK2130" s="16"/>
    </row>
    <row r="2131" customFormat="false" ht="12.75" hidden="false" customHeight="false" outlineLevel="0" collapsed="false">
      <c r="B2131" s="14"/>
      <c r="C2131" s="14"/>
      <c r="D2131" s="14"/>
      <c r="E2131" s="14"/>
      <c r="F2131" s="22"/>
      <c r="G2131" s="22"/>
      <c r="BK2131" s="16"/>
    </row>
    <row r="2132" s="23" customFormat="true" ht="12.75" hidden="false" customHeight="false" outlineLevel="0" collapsed="false">
      <c r="A2132" s="1"/>
      <c r="B2132" s="14"/>
      <c r="C2132" s="14"/>
      <c r="D2132" s="14"/>
      <c r="E2132" s="14"/>
      <c r="F2132" s="22"/>
      <c r="G2132" s="22"/>
      <c r="T2132" s="5"/>
      <c r="BA2132" s="5"/>
      <c r="BK2132" s="16"/>
    </row>
    <row r="2133" customFormat="false" ht="12.75" hidden="false" customHeight="false" outlineLevel="0" collapsed="false">
      <c r="B2133" s="14"/>
      <c r="C2133" s="14"/>
      <c r="D2133" s="14"/>
      <c r="E2133" s="14"/>
      <c r="F2133" s="22"/>
      <c r="G2133" s="15"/>
      <c r="BB2133" s="23"/>
      <c r="BK2133" s="16"/>
    </row>
    <row r="2134" customFormat="false" ht="12.75" hidden="false" customHeight="false" outlineLevel="0" collapsed="false">
      <c r="B2134" s="14"/>
      <c r="C2134" s="14"/>
      <c r="D2134" s="14"/>
      <c r="E2134" s="14"/>
      <c r="F2134" s="22"/>
      <c r="G2134" s="22"/>
      <c r="BK2134" s="16"/>
    </row>
    <row r="2135" customFormat="false" ht="12.75" hidden="false" customHeight="false" outlineLevel="0" collapsed="false">
      <c r="B2135" s="14"/>
      <c r="C2135" s="14"/>
      <c r="D2135" s="14"/>
      <c r="E2135" s="14"/>
      <c r="F2135" s="22"/>
      <c r="G2135" s="15"/>
      <c r="BB2135" s="23"/>
      <c r="BK2135" s="16"/>
    </row>
    <row r="2136" customFormat="false" ht="12.75" hidden="false" customHeight="false" outlineLevel="0" collapsed="false">
      <c r="B2136" s="14"/>
      <c r="C2136" s="14"/>
      <c r="D2136" s="14"/>
      <c r="E2136" s="14"/>
      <c r="F2136" s="22"/>
      <c r="G2136" s="22"/>
      <c r="BK2136" s="16"/>
    </row>
    <row r="2137" s="23" customFormat="true" ht="12.75" hidden="false" customHeight="false" outlineLevel="0" collapsed="false">
      <c r="A2137" s="1"/>
      <c r="B2137" s="14"/>
      <c r="C2137" s="14"/>
      <c r="D2137" s="14"/>
      <c r="E2137" s="14"/>
      <c r="F2137" s="22"/>
      <c r="G2137" s="22"/>
      <c r="T2137" s="5"/>
      <c r="AP2137" s="3"/>
      <c r="AQ2137" s="3"/>
      <c r="AR2137" s="3"/>
      <c r="AS2137" s="3"/>
      <c r="AT2137" s="3"/>
      <c r="AU2137" s="3"/>
      <c r="AV2137" s="3"/>
      <c r="AW2137" s="3"/>
      <c r="AX2137" s="3"/>
      <c r="AY2137" s="3"/>
      <c r="AZ2137" s="3"/>
      <c r="BA2137" s="5"/>
      <c r="BK2137" s="16"/>
    </row>
    <row r="2138" s="23" customFormat="true" ht="12.75" hidden="false" customHeight="false" outlineLevel="0" collapsed="false">
      <c r="A2138" s="1"/>
      <c r="B2138" s="14"/>
      <c r="C2138" s="14"/>
      <c r="D2138" s="14"/>
      <c r="E2138" s="14"/>
      <c r="F2138" s="22"/>
      <c r="G2138" s="22"/>
      <c r="T2138" s="5"/>
      <c r="AP2138" s="3"/>
      <c r="AQ2138" s="3"/>
      <c r="AR2138" s="3"/>
      <c r="AS2138" s="3"/>
      <c r="AT2138" s="3"/>
      <c r="AU2138" s="3"/>
      <c r="AV2138" s="3"/>
      <c r="AW2138" s="3"/>
      <c r="AX2138" s="3"/>
      <c r="AY2138" s="3"/>
      <c r="AZ2138" s="3"/>
      <c r="BA2138" s="5"/>
      <c r="BK2138" s="16"/>
    </row>
    <row r="2139" customFormat="false" ht="12.75" hidden="false" customHeight="false" outlineLevel="0" collapsed="false">
      <c r="B2139" s="14"/>
      <c r="C2139" s="14"/>
      <c r="D2139" s="14"/>
      <c r="E2139" s="14"/>
      <c r="F2139" s="22"/>
      <c r="G2139" s="22"/>
      <c r="BK2139" s="16"/>
    </row>
    <row r="2140" s="23" customFormat="true" ht="12.75" hidden="false" customHeight="false" outlineLevel="0" collapsed="false">
      <c r="A2140" s="1"/>
      <c r="B2140" s="14"/>
      <c r="C2140" s="14"/>
      <c r="D2140" s="14"/>
      <c r="E2140" s="14"/>
      <c r="F2140" s="22"/>
      <c r="G2140" s="22"/>
      <c r="T2140" s="5"/>
      <c r="AP2140" s="3"/>
      <c r="AQ2140" s="3"/>
      <c r="AR2140" s="3"/>
      <c r="AS2140" s="3"/>
      <c r="AT2140" s="3"/>
      <c r="AU2140" s="3"/>
      <c r="AV2140" s="3"/>
      <c r="AW2140" s="3"/>
      <c r="AX2140" s="3"/>
      <c r="AY2140" s="3"/>
      <c r="AZ2140" s="3"/>
      <c r="BA2140" s="5"/>
      <c r="BK2140" s="16"/>
    </row>
    <row r="2141" customFormat="false" ht="12.75" hidden="false" customHeight="false" outlineLevel="0" collapsed="false">
      <c r="B2141" s="14"/>
      <c r="C2141" s="14"/>
      <c r="D2141" s="14"/>
      <c r="E2141" s="14"/>
      <c r="F2141" s="22"/>
      <c r="G2141" s="15"/>
      <c r="BB2141" s="23"/>
      <c r="BK2141" s="16"/>
    </row>
    <row r="2142" s="23" customFormat="true" ht="12.75" hidden="false" customHeight="false" outlineLevel="0" collapsed="false">
      <c r="A2142" s="1"/>
      <c r="B2142" s="14"/>
      <c r="C2142" s="14"/>
      <c r="D2142" s="14"/>
      <c r="E2142" s="14"/>
      <c r="F2142" s="22"/>
      <c r="G2142" s="22"/>
      <c r="T2142" s="5"/>
      <c r="BA2142" s="5"/>
      <c r="BK2142" s="16"/>
    </row>
    <row r="2143" s="11" customFormat="true" ht="12.75" hidden="false" customHeight="false" outlineLevel="0" collapsed="false">
      <c r="A2143" s="7"/>
      <c r="B2143" s="53"/>
      <c r="C2143" s="53"/>
      <c r="D2143" s="53"/>
      <c r="E2143" s="53"/>
      <c r="F2143" s="53"/>
      <c r="G2143" s="53"/>
      <c r="T2143" s="54"/>
      <c r="BA2143" s="54"/>
      <c r="BK2143" s="13"/>
    </row>
    <row r="2144" customFormat="false" ht="12.75" hidden="false" customHeight="false" outlineLevel="0" collapsed="false">
      <c r="B2144" s="14"/>
      <c r="C2144" s="14"/>
      <c r="D2144" s="14"/>
      <c r="E2144" s="14"/>
      <c r="F2144" s="22"/>
      <c r="G2144" s="15"/>
      <c r="BB2144" s="23"/>
      <c r="BK2144" s="16"/>
    </row>
    <row r="2145" customFormat="false" ht="12.75" hidden="false" customHeight="false" outlineLevel="0" collapsed="false">
      <c r="B2145" s="14"/>
      <c r="C2145" s="14"/>
      <c r="D2145" s="14"/>
      <c r="E2145" s="14"/>
      <c r="F2145" s="22"/>
      <c r="G2145" s="22"/>
      <c r="BK2145" s="16"/>
    </row>
    <row r="2146" customFormat="false" ht="12.75" hidden="false" customHeight="false" outlineLevel="0" collapsed="false">
      <c r="B2146" s="14"/>
      <c r="C2146" s="14"/>
      <c r="D2146" s="14"/>
      <c r="E2146" s="14"/>
      <c r="F2146" s="22"/>
      <c r="G2146" s="15"/>
      <c r="BB2146" s="23"/>
      <c r="BK2146" s="16"/>
    </row>
    <row r="2147" s="23" customFormat="true" ht="12.75" hidden="false" customHeight="false" outlineLevel="0" collapsed="false">
      <c r="A2147" s="1"/>
      <c r="B2147" s="14"/>
      <c r="C2147" s="14"/>
      <c r="D2147" s="14"/>
      <c r="E2147" s="14"/>
      <c r="F2147" s="22"/>
      <c r="G2147" s="22"/>
      <c r="T2147" s="5"/>
      <c r="AP2147" s="3"/>
      <c r="AQ2147" s="3"/>
      <c r="AR2147" s="3"/>
      <c r="AS2147" s="3"/>
      <c r="AT2147" s="3"/>
      <c r="AU2147" s="3"/>
      <c r="AV2147" s="3"/>
      <c r="AW2147" s="3"/>
      <c r="AX2147" s="3"/>
      <c r="AY2147" s="3"/>
      <c r="AZ2147" s="3"/>
      <c r="BA2147" s="5"/>
      <c r="BK2147" s="16"/>
    </row>
    <row r="2148" customFormat="false" ht="12.75" hidden="false" customHeight="false" outlineLevel="0" collapsed="false">
      <c r="B2148" s="14"/>
      <c r="C2148" s="14"/>
      <c r="D2148" s="14"/>
      <c r="E2148" s="14"/>
      <c r="F2148" s="22"/>
      <c r="G2148" s="15"/>
      <c r="BB2148" s="23"/>
      <c r="BK2148" s="16"/>
    </row>
    <row r="2149" customFormat="false" ht="12.75" hidden="false" customHeight="false" outlineLevel="0" collapsed="false">
      <c r="B2149" s="14"/>
      <c r="C2149" s="14"/>
      <c r="D2149" s="14"/>
      <c r="E2149" s="14"/>
      <c r="F2149" s="22"/>
      <c r="G2149" s="15"/>
      <c r="BB2149" s="23"/>
      <c r="BK2149" s="16"/>
    </row>
    <row r="2150" s="23" customFormat="true" ht="12.75" hidden="false" customHeight="false" outlineLevel="0" collapsed="false">
      <c r="A2150" s="1"/>
      <c r="B2150" s="14"/>
      <c r="C2150" s="14"/>
      <c r="D2150" s="14"/>
      <c r="E2150" s="14"/>
      <c r="F2150" s="22"/>
      <c r="G2150" s="22"/>
      <c r="T2150" s="5"/>
      <c r="V2150" s="3"/>
      <c r="W2150" s="3"/>
      <c r="X2150" s="3"/>
      <c r="Y2150" s="3"/>
      <c r="Z2150" s="3"/>
      <c r="AA2150" s="3"/>
      <c r="AB2150" s="3"/>
      <c r="AP2150" s="3"/>
      <c r="AQ2150" s="3"/>
      <c r="AR2150" s="3"/>
      <c r="AS2150" s="3"/>
      <c r="AT2150" s="3"/>
      <c r="AU2150" s="3"/>
      <c r="AV2150" s="3"/>
      <c r="AW2150" s="3"/>
      <c r="AX2150" s="3"/>
      <c r="AY2150" s="3"/>
      <c r="AZ2150" s="3"/>
      <c r="BA2150" s="5"/>
      <c r="BK2150" s="16"/>
    </row>
    <row r="2151" s="23" customFormat="true" ht="12.75" hidden="false" customHeight="false" outlineLevel="0" collapsed="false">
      <c r="A2151" s="1"/>
      <c r="B2151" s="14"/>
      <c r="C2151" s="14"/>
      <c r="D2151" s="14"/>
      <c r="E2151" s="14"/>
      <c r="F2151" s="22"/>
      <c r="G2151" s="22"/>
      <c r="T2151" s="5"/>
      <c r="AP2151" s="3"/>
      <c r="AQ2151" s="3"/>
      <c r="AR2151" s="3"/>
      <c r="AS2151" s="3"/>
      <c r="AT2151" s="3"/>
      <c r="AU2151" s="3"/>
      <c r="AV2151" s="3"/>
      <c r="AW2151" s="3"/>
      <c r="AX2151" s="3"/>
      <c r="AY2151" s="3"/>
      <c r="AZ2151" s="3"/>
      <c r="BA2151" s="5"/>
      <c r="BK2151" s="16"/>
    </row>
    <row r="2152" s="23" customFormat="true" ht="12.75" hidden="false" customHeight="false" outlineLevel="0" collapsed="false">
      <c r="A2152" s="1"/>
      <c r="B2152" s="14"/>
      <c r="C2152" s="14"/>
      <c r="D2152" s="14"/>
      <c r="E2152" s="14"/>
      <c r="F2152" s="22"/>
      <c r="G2152" s="22"/>
      <c r="T2152" s="5"/>
      <c r="AP2152" s="3"/>
      <c r="AQ2152" s="3"/>
      <c r="AR2152" s="3"/>
      <c r="AS2152" s="3"/>
      <c r="AT2152" s="3"/>
      <c r="AU2152" s="3"/>
      <c r="AV2152" s="3"/>
      <c r="AW2152" s="3"/>
      <c r="AX2152" s="3"/>
      <c r="AY2152" s="3"/>
      <c r="AZ2152" s="3"/>
      <c r="BA2152" s="5"/>
      <c r="BB2152" s="3"/>
      <c r="BK2152" s="16"/>
    </row>
    <row r="2153" customFormat="false" ht="12.75" hidden="false" customHeight="false" outlineLevel="0" collapsed="false">
      <c r="B2153" s="14"/>
      <c r="C2153" s="14"/>
      <c r="D2153" s="14"/>
      <c r="E2153" s="14"/>
      <c r="F2153" s="22"/>
      <c r="G2153" s="22"/>
      <c r="BK2153" s="16"/>
    </row>
    <row r="2154" customFormat="false" ht="12.75" hidden="false" customHeight="false" outlineLevel="0" collapsed="false">
      <c r="B2154" s="14"/>
      <c r="C2154" s="14"/>
      <c r="D2154" s="14"/>
      <c r="E2154" s="14"/>
      <c r="F2154" s="22"/>
      <c r="G2154" s="15"/>
      <c r="BB2154" s="23"/>
      <c r="BK2154" s="16"/>
    </row>
    <row r="2155" s="23" customFormat="true" ht="12.75" hidden="false" customHeight="false" outlineLevel="0" collapsed="false">
      <c r="A2155" s="1"/>
      <c r="B2155" s="14"/>
      <c r="C2155" s="14"/>
      <c r="D2155" s="14"/>
      <c r="E2155" s="14"/>
      <c r="F2155" s="22"/>
      <c r="G2155" s="22"/>
      <c r="T2155" s="5"/>
      <c r="AP2155" s="3"/>
      <c r="AQ2155" s="3"/>
      <c r="AR2155" s="3"/>
      <c r="AS2155" s="3"/>
      <c r="AT2155" s="3"/>
      <c r="AU2155" s="3"/>
      <c r="AV2155" s="3"/>
      <c r="AW2155" s="3"/>
      <c r="AX2155" s="3"/>
      <c r="AY2155" s="3"/>
      <c r="AZ2155" s="3"/>
      <c r="BA2155" s="5"/>
      <c r="BB2155" s="3"/>
      <c r="BK2155" s="16"/>
    </row>
    <row r="2156" s="23" customFormat="true" ht="12.75" hidden="false" customHeight="false" outlineLevel="0" collapsed="false">
      <c r="A2156" s="1"/>
      <c r="B2156" s="14"/>
      <c r="C2156" s="14"/>
      <c r="D2156" s="14"/>
      <c r="E2156" s="14"/>
      <c r="F2156" s="22"/>
      <c r="G2156" s="22"/>
      <c r="T2156" s="5"/>
      <c r="AP2156" s="3"/>
      <c r="AQ2156" s="3"/>
      <c r="AR2156" s="3"/>
      <c r="AS2156" s="3"/>
      <c r="AT2156" s="3"/>
      <c r="AU2156" s="3"/>
      <c r="AV2156" s="3"/>
      <c r="AW2156" s="3"/>
      <c r="AX2156" s="3"/>
      <c r="AY2156" s="3"/>
      <c r="AZ2156" s="3"/>
      <c r="BA2156" s="5"/>
      <c r="BK2156" s="16"/>
    </row>
    <row r="2157" s="23" customFormat="true" ht="12.75" hidden="false" customHeight="false" outlineLevel="0" collapsed="false">
      <c r="A2157" s="1"/>
      <c r="B2157" s="14"/>
      <c r="C2157" s="14"/>
      <c r="D2157" s="14"/>
      <c r="E2157" s="14"/>
      <c r="F2157" s="22"/>
      <c r="G2157" s="22"/>
      <c r="T2157" s="5"/>
      <c r="BA2157" s="5"/>
      <c r="BK2157" s="16"/>
    </row>
    <row r="2158" customFormat="false" ht="12.75" hidden="false" customHeight="false" outlineLevel="0" collapsed="false">
      <c r="B2158" s="14"/>
      <c r="C2158" s="14"/>
      <c r="D2158" s="14"/>
      <c r="E2158" s="14"/>
      <c r="F2158" s="22"/>
      <c r="G2158" s="22"/>
      <c r="BK2158" s="16"/>
    </row>
    <row r="2159" customFormat="false" ht="12.75" hidden="false" customHeight="false" outlineLevel="0" collapsed="false">
      <c r="B2159" s="14"/>
      <c r="C2159" s="14"/>
      <c r="D2159" s="14"/>
      <c r="E2159" s="14"/>
      <c r="F2159" s="22"/>
      <c r="G2159" s="22"/>
      <c r="BK2159" s="16"/>
    </row>
    <row r="2160" customFormat="false" ht="12.75" hidden="false" customHeight="false" outlineLevel="0" collapsed="false">
      <c r="B2160" s="14"/>
      <c r="C2160" s="14"/>
      <c r="D2160" s="14"/>
      <c r="E2160" s="14"/>
      <c r="F2160" s="22"/>
      <c r="G2160" s="15"/>
      <c r="BB2160" s="23"/>
      <c r="BK2160" s="16"/>
    </row>
    <row r="2161" customFormat="false" ht="12.75" hidden="false" customHeight="false" outlineLevel="0" collapsed="false">
      <c r="B2161" s="14"/>
      <c r="C2161" s="14"/>
      <c r="D2161" s="14"/>
      <c r="E2161" s="14"/>
      <c r="F2161" s="22"/>
      <c r="G2161" s="22"/>
      <c r="BK2161" s="16"/>
    </row>
    <row r="2162" s="23" customFormat="true" ht="12.75" hidden="false" customHeight="false" outlineLevel="0" collapsed="false">
      <c r="A2162" s="1"/>
      <c r="B2162" s="14"/>
      <c r="C2162" s="14"/>
      <c r="D2162" s="14"/>
      <c r="E2162" s="14"/>
      <c r="F2162" s="22"/>
      <c r="G2162" s="22"/>
      <c r="T2162" s="5"/>
      <c r="BA2162" s="5"/>
      <c r="BK2162" s="16"/>
    </row>
    <row r="2163" s="23" customFormat="true" ht="12.75" hidden="false" customHeight="false" outlineLevel="0" collapsed="false">
      <c r="A2163" s="1"/>
      <c r="B2163" s="14"/>
      <c r="C2163" s="14"/>
      <c r="D2163" s="14"/>
      <c r="E2163" s="14"/>
      <c r="F2163" s="22"/>
      <c r="G2163" s="22"/>
      <c r="T2163" s="5"/>
      <c r="AP2163" s="3"/>
      <c r="AQ2163" s="3"/>
      <c r="AR2163" s="3"/>
      <c r="AS2163" s="3"/>
      <c r="AT2163" s="3"/>
      <c r="AU2163" s="3"/>
      <c r="AV2163" s="3"/>
      <c r="AW2163" s="3"/>
      <c r="AX2163" s="3"/>
      <c r="AY2163" s="3"/>
      <c r="AZ2163" s="3"/>
      <c r="BA2163" s="5"/>
      <c r="BK2163" s="16"/>
    </row>
    <row r="2164" s="23" customFormat="true" ht="12.75" hidden="false" customHeight="false" outlineLevel="0" collapsed="false">
      <c r="A2164" s="1"/>
      <c r="B2164" s="14"/>
      <c r="C2164" s="14"/>
      <c r="D2164" s="14"/>
      <c r="E2164" s="14"/>
      <c r="F2164" s="22"/>
      <c r="G2164" s="22"/>
      <c r="T2164" s="5"/>
      <c r="AP2164" s="3"/>
      <c r="AQ2164" s="3"/>
      <c r="AR2164" s="3"/>
      <c r="AS2164" s="3"/>
      <c r="AT2164" s="3"/>
      <c r="AU2164" s="3"/>
      <c r="AV2164" s="3"/>
      <c r="AW2164" s="3"/>
      <c r="AX2164" s="3"/>
      <c r="AY2164" s="3"/>
      <c r="AZ2164" s="3"/>
      <c r="BA2164" s="5"/>
      <c r="BK2164" s="16"/>
    </row>
    <row r="2165" customFormat="false" ht="12.75" hidden="false" customHeight="false" outlineLevel="0" collapsed="false">
      <c r="B2165" s="14"/>
      <c r="C2165" s="14"/>
      <c r="D2165" s="14"/>
      <c r="E2165" s="14"/>
      <c r="F2165" s="22"/>
      <c r="G2165" s="15"/>
      <c r="BK2165" s="16"/>
    </row>
    <row r="2166" customFormat="false" ht="12.75" hidden="false" customHeight="false" outlineLevel="0" collapsed="false">
      <c r="B2166" s="14"/>
      <c r="C2166" s="14"/>
      <c r="D2166" s="14"/>
      <c r="E2166" s="14"/>
      <c r="F2166" s="22"/>
      <c r="G2166" s="15"/>
      <c r="BB2166" s="23"/>
      <c r="BK2166" s="16"/>
    </row>
    <row r="2167" customFormat="false" ht="12.75" hidden="false" customHeight="false" outlineLevel="0" collapsed="false">
      <c r="B2167" s="14"/>
      <c r="C2167" s="14"/>
      <c r="D2167" s="14"/>
      <c r="E2167" s="14"/>
      <c r="F2167" s="22"/>
      <c r="G2167" s="22"/>
      <c r="BK2167" s="16"/>
    </row>
    <row r="2168" customFormat="false" ht="12.75" hidden="false" customHeight="false" outlineLevel="0" collapsed="false">
      <c r="B2168" s="14"/>
      <c r="C2168" s="14"/>
      <c r="D2168" s="14"/>
      <c r="E2168" s="14"/>
      <c r="F2168" s="22"/>
      <c r="G2168" s="15"/>
      <c r="BB2168" s="23"/>
      <c r="BK2168" s="16"/>
    </row>
    <row r="2169" customFormat="false" ht="12.75" hidden="false" customHeight="false" outlineLevel="0" collapsed="false">
      <c r="B2169" s="14"/>
      <c r="C2169" s="14"/>
      <c r="D2169" s="14"/>
      <c r="E2169" s="14"/>
      <c r="F2169" s="22"/>
      <c r="G2169" s="22"/>
      <c r="BK2169" s="16"/>
    </row>
    <row r="2170" customFormat="false" ht="12.75" hidden="false" customHeight="false" outlineLevel="0" collapsed="false">
      <c r="B2170" s="14"/>
      <c r="C2170" s="14"/>
      <c r="D2170" s="14"/>
      <c r="E2170" s="14"/>
      <c r="F2170" s="22"/>
      <c r="G2170" s="22"/>
      <c r="BK2170" s="16"/>
    </row>
    <row r="2171" s="23" customFormat="true" ht="12.75" hidden="false" customHeight="false" outlineLevel="0" collapsed="false">
      <c r="A2171" s="1"/>
      <c r="B2171" s="14"/>
      <c r="C2171" s="14"/>
      <c r="D2171" s="14"/>
      <c r="E2171" s="14"/>
      <c r="F2171" s="22"/>
      <c r="G2171" s="22"/>
      <c r="T2171" s="5"/>
      <c r="AP2171" s="3"/>
      <c r="AQ2171" s="3"/>
      <c r="AR2171" s="3"/>
      <c r="AS2171" s="3"/>
      <c r="AT2171" s="3"/>
      <c r="AU2171" s="3"/>
      <c r="AV2171" s="3"/>
      <c r="AW2171" s="3"/>
      <c r="AX2171" s="3"/>
      <c r="AY2171" s="3"/>
      <c r="AZ2171" s="3"/>
      <c r="BA2171" s="5"/>
      <c r="BB2171" s="3"/>
      <c r="BK2171" s="16"/>
    </row>
    <row r="2172" s="23" customFormat="true" ht="12.75" hidden="false" customHeight="false" outlineLevel="0" collapsed="false">
      <c r="A2172" s="1"/>
      <c r="B2172" s="14"/>
      <c r="C2172" s="14"/>
      <c r="D2172" s="14"/>
      <c r="E2172" s="14"/>
      <c r="F2172" s="22"/>
      <c r="G2172" s="22"/>
      <c r="T2172" s="5"/>
      <c r="AP2172" s="3"/>
      <c r="AQ2172" s="3"/>
      <c r="AR2172" s="3"/>
      <c r="AS2172" s="3"/>
      <c r="AT2172" s="3"/>
      <c r="AU2172" s="3"/>
      <c r="AV2172" s="3"/>
      <c r="AW2172" s="3"/>
      <c r="AX2172" s="3"/>
      <c r="AY2172" s="3"/>
      <c r="AZ2172" s="3"/>
      <c r="BA2172" s="5"/>
      <c r="BK2172" s="16"/>
    </row>
    <row r="2173" s="23" customFormat="true" ht="12.75" hidden="false" customHeight="false" outlineLevel="0" collapsed="false">
      <c r="A2173" s="1"/>
      <c r="B2173" s="14"/>
      <c r="C2173" s="14"/>
      <c r="D2173" s="14"/>
      <c r="E2173" s="14"/>
      <c r="F2173" s="22"/>
      <c r="G2173" s="22"/>
      <c r="T2173" s="5"/>
      <c r="AP2173" s="3"/>
      <c r="AQ2173" s="3"/>
      <c r="AR2173" s="3"/>
      <c r="AS2173" s="3"/>
      <c r="AT2173" s="3"/>
      <c r="AU2173" s="3"/>
      <c r="AV2173" s="3"/>
      <c r="AW2173" s="3"/>
      <c r="AX2173" s="3"/>
      <c r="AY2173" s="3"/>
      <c r="AZ2173" s="3"/>
      <c r="BA2173" s="5"/>
      <c r="BK2173" s="16"/>
    </row>
    <row r="2174" customFormat="false" ht="12.75" hidden="false" customHeight="false" outlineLevel="0" collapsed="false">
      <c r="B2174" s="14"/>
      <c r="C2174" s="14"/>
      <c r="D2174" s="14"/>
      <c r="E2174" s="14"/>
      <c r="F2174" s="22"/>
      <c r="G2174" s="22"/>
      <c r="BK2174" s="16"/>
    </row>
    <row r="2175" customFormat="false" ht="12.75" hidden="false" customHeight="false" outlineLevel="0" collapsed="false">
      <c r="B2175" s="14"/>
      <c r="C2175" s="14"/>
      <c r="D2175" s="14"/>
      <c r="E2175" s="14"/>
      <c r="F2175" s="22"/>
      <c r="G2175" s="15"/>
      <c r="BB2175" s="23"/>
      <c r="BK2175" s="16"/>
    </row>
    <row r="2176" s="23" customFormat="true" ht="12.75" hidden="false" customHeight="false" outlineLevel="0" collapsed="false">
      <c r="A2176" s="1"/>
      <c r="B2176" s="14"/>
      <c r="C2176" s="14"/>
      <c r="D2176" s="14"/>
      <c r="E2176" s="14"/>
      <c r="F2176" s="22"/>
      <c r="G2176" s="22"/>
      <c r="T2176" s="5"/>
      <c r="AP2176" s="3"/>
      <c r="AQ2176" s="3"/>
      <c r="AR2176" s="3"/>
      <c r="AS2176" s="3"/>
      <c r="AT2176" s="3"/>
      <c r="AU2176" s="3"/>
      <c r="AV2176" s="3"/>
      <c r="AW2176" s="3"/>
      <c r="AX2176" s="3"/>
      <c r="AY2176" s="3"/>
      <c r="AZ2176" s="3"/>
      <c r="BA2176" s="5"/>
      <c r="BB2176" s="3"/>
      <c r="BK2176" s="16"/>
    </row>
    <row r="2177" s="23" customFormat="true" ht="12.75" hidden="false" customHeight="false" outlineLevel="0" collapsed="false">
      <c r="A2177" s="1"/>
      <c r="B2177" s="14"/>
      <c r="C2177" s="14"/>
      <c r="D2177" s="14"/>
      <c r="E2177" s="14"/>
      <c r="F2177" s="22"/>
      <c r="G2177" s="22"/>
      <c r="T2177" s="5"/>
      <c r="AP2177" s="3"/>
      <c r="AQ2177" s="3"/>
      <c r="AR2177" s="3"/>
      <c r="AS2177" s="3"/>
      <c r="AT2177" s="3"/>
      <c r="AU2177" s="3"/>
      <c r="AV2177" s="3"/>
      <c r="AW2177" s="3"/>
      <c r="AX2177" s="3"/>
      <c r="AY2177" s="3"/>
      <c r="AZ2177" s="3"/>
      <c r="BA2177" s="5"/>
      <c r="BK2177" s="16"/>
    </row>
    <row r="2178" customFormat="false" ht="12.75" hidden="false" customHeight="false" outlineLevel="0" collapsed="false">
      <c r="B2178" s="14"/>
      <c r="C2178" s="14"/>
      <c r="D2178" s="14"/>
      <c r="E2178" s="14"/>
      <c r="F2178" s="22"/>
      <c r="G2178" s="22"/>
      <c r="BK2178" s="16"/>
    </row>
    <row r="2179" s="23" customFormat="true" ht="12.75" hidden="false" customHeight="false" outlineLevel="0" collapsed="false">
      <c r="A2179" s="1"/>
      <c r="B2179" s="14"/>
      <c r="C2179" s="14"/>
      <c r="D2179" s="14"/>
      <c r="E2179" s="14"/>
      <c r="F2179" s="22"/>
      <c r="G2179" s="22"/>
      <c r="T2179" s="5"/>
      <c r="AP2179" s="3"/>
      <c r="AQ2179" s="3"/>
      <c r="AR2179" s="3"/>
      <c r="AS2179" s="3"/>
      <c r="AT2179" s="3"/>
      <c r="AU2179" s="3"/>
      <c r="AV2179" s="3"/>
      <c r="AW2179" s="3"/>
      <c r="AX2179" s="3"/>
      <c r="AY2179" s="3"/>
      <c r="AZ2179" s="3"/>
      <c r="BA2179" s="5"/>
      <c r="BB2179" s="3"/>
      <c r="BK2179" s="16"/>
    </row>
    <row r="2180" customFormat="false" ht="12.75" hidden="false" customHeight="false" outlineLevel="0" collapsed="false">
      <c r="B2180" s="14"/>
      <c r="C2180" s="14"/>
      <c r="D2180" s="14"/>
      <c r="E2180" s="14"/>
      <c r="F2180" s="22"/>
      <c r="G2180" s="22"/>
      <c r="BK2180" s="16"/>
    </row>
    <row r="2181" s="23" customFormat="true" ht="12.75" hidden="false" customHeight="false" outlineLevel="0" collapsed="false">
      <c r="A2181" s="1"/>
      <c r="B2181" s="14"/>
      <c r="C2181" s="14"/>
      <c r="D2181" s="14"/>
      <c r="E2181" s="14"/>
      <c r="F2181" s="22"/>
      <c r="G2181" s="22"/>
      <c r="T2181" s="5"/>
      <c r="AP2181" s="3"/>
      <c r="AQ2181" s="3"/>
      <c r="AR2181" s="3"/>
      <c r="AS2181" s="3"/>
      <c r="AT2181" s="3"/>
      <c r="AU2181" s="3"/>
      <c r="AV2181" s="3"/>
      <c r="AW2181" s="3"/>
      <c r="AX2181" s="3"/>
      <c r="AY2181" s="3"/>
      <c r="AZ2181" s="3"/>
      <c r="BA2181" s="5"/>
      <c r="BB2181" s="3"/>
      <c r="BK2181" s="16"/>
    </row>
    <row r="2182" s="23" customFormat="true" ht="12.75" hidden="false" customHeight="false" outlineLevel="0" collapsed="false">
      <c r="A2182" s="1"/>
      <c r="B2182" s="14"/>
      <c r="C2182" s="14"/>
      <c r="D2182" s="14"/>
      <c r="E2182" s="14"/>
      <c r="F2182" s="22"/>
      <c r="G2182" s="22"/>
      <c r="T2182" s="5"/>
      <c r="AP2182" s="3"/>
      <c r="AQ2182" s="3"/>
      <c r="AR2182" s="3"/>
      <c r="AS2182" s="3"/>
      <c r="AT2182" s="3"/>
      <c r="AU2182" s="3"/>
      <c r="AV2182" s="3"/>
      <c r="AW2182" s="3"/>
      <c r="AX2182" s="3"/>
      <c r="AY2182" s="3"/>
      <c r="AZ2182" s="3"/>
      <c r="BA2182" s="5"/>
      <c r="BK2182" s="16"/>
    </row>
    <row r="2183" customFormat="false" ht="12.75" hidden="false" customHeight="false" outlineLevel="0" collapsed="false">
      <c r="B2183" s="14"/>
      <c r="C2183" s="14"/>
      <c r="D2183" s="14"/>
      <c r="E2183" s="14"/>
      <c r="F2183" s="22"/>
      <c r="G2183" s="15"/>
      <c r="BB2183" s="23"/>
      <c r="BK2183" s="16"/>
    </row>
    <row r="2184" customFormat="false" ht="12.75" hidden="false" customHeight="false" outlineLevel="0" collapsed="false">
      <c r="B2184" s="14"/>
      <c r="C2184" s="14"/>
      <c r="D2184" s="14"/>
      <c r="E2184" s="14"/>
      <c r="F2184" s="22"/>
      <c r="G2184" s="15"/>
      <c r="BK2184" s="16"/>
    </row>
    <row r="2185" s="23" customFormat="true" ht="12.75" hidden="false" customHeight="false" outlineLevel="0" collapsed="false">
      <c r="A2185" s="1"/>
      <c r="B2185" s="14"/>
      <c r="C2185" s="14"/>
      <c r="D2185" s="14"/>
      <c r="E2185" s="14"/>
      <c r="F2185" s="22"/>
      <c r="G2185" s="22"/>
      <c r="T2185" s="5"/>
      <c r="AP2185" s="3"/>
      <c r="AQ2185" s="3"/>
      <c r="AR2185" s="3"/>
      <c r="AS2185" s="3"/>
      <c r="AT2185" s="3"/>
      <c r="AU2185" s="3"/>
      <c r="AV2185" s="3"/>
      <c r="AW2185" s="3"/>
      <c r="AX2185" s="3"/>
      <c r="AY2185" s="3"/>
      <c r="AZ2185" s="3"/>
      <c r="BA2185" s="5"/>
      <c r="BB2185" s="3"/>
      <c r="BK2185" s="16"/>
    </row>
    <row r="2186" customFormat="false" ht="12.75" hidden="false" customHeight="false" outlineLevel="0" collapsed="false">
      <c r="B2186" s="14"/>
      <c r="C2186" s="14"/>
      <c r="D2186" s="14"/>
      <c r="E2186" s="14"/>
      <c r="F2186" s="22"/>
      <c r="G2186" s="22"/>
      <c r="BK2186" s="16"/>
    </row>
    <row r="2187" customFormat="false" ht="12.75" hidden="false" customHeight="false" outlineLevel="0" collapsed="false">
      <c r="B2187" s="14"/>
      <c r="C2187" s="14"/>
      <c r="D2187" s="14"/>
      <c r="E2187" s="14"/>
      <c r="F2187" s="22"/>
      <c r="G2187" s="15"/>
      <c r="BB2187" s="23"/>
      <c r="BK2187" s="16"/>
    </row>
    <row r="2188" customFormat="false" ht="12.75" hidden="false" customHeight="false" outlineLevel="0" collapsed="false">
      <c r="B2188" s="14"/>
      <c r="C2188" s="14"/>
      <c r="D2188" s="14"/>
      <c r="E2188" s="14"/>
      <c r="F2188" s="22"/>
      <c r="G2188" s="15"/>
      <c r="AP2188" s="23"/>
      <c r="AQ2188" s="23"/>
      <c r="AR2188" s="23"/>
      <c r="AS2188" s="23"/>
      <c r="AT2188" s="23"/>
      <c r="AU2188" s="23"/>
      <c r="AV2188" s="23"/>
      <c r="AW2188" s="23"/>
      <c r="AX2188" s="23"/>
      <c r="AY2188" s="23"/>
      <c r="AZ2188" s="23"/>
      <c r="BB2188" s="23"/>
      <c r="BK2188" s="16"/>
    </row>
    <row r="2189" customFormat="false" ht="12.75" hidden="false" customHeight="false" outlineLevel="0" collapsed="false">
      <c r="B2189" s="14"/>
      <c r="C2189" s="14"/>
      <c r="D2189" s="14"/>
      <c r="E2189" s="14"/>
      <c r="F2189" s="22"/>
      <c r="G2189" s="22"/>
      <c r="BK2189" s="16"/>
    </row>
    <row r="2190" customFormat="false" ht="12.75" hidden="false" customHeight="false" outlineLevel="0" collapsed="false">
      <c r="B2190" s="14"/>
      <c r="C2190" s="14"/>
      <c r="D2190" s="14"/>
      <c r="E2190" s="14"/>
      <c r="F2190" s="15"/>
      <c r="G2190" s="15"/>
      <c r="BK2190" s="16"/>
    </row>
    <row r="2191" s="23" customFormat="true" ht="12.75" hidden="false" customHeight="false" outlineLevel="0" collapsed="false">
      <c r="A2191" s="1"/>
      <c r="B2191" s="14"/>
      <c r="C2191" s="14"/>
      <c r="D2191" s="14"/>
      <c r="E2191" s="14"/>
      <c r="F2191" s="22"/>
      <c r="G2191" s="22"/>
      <c r="T2191" s="5"/>
      <c r="BA2191" s="5"/>
      <c r="BK2191" s="16"/>
    </row>
    <row r="2192" s="23" customFormat="true" ht="12.75" hidden="false" customHeight="false" outlineLevel="0" collapsed="false">
      <c r="A2192" s="1"/>
      <c r="B2192" s="14"/>
      <c r="C2192" s="14"/>
      <c r="D2192" s="14"/>
      <c r="E2192" s="14"/>
      <c r="F2192" s="22"/>
      <c r="G2192" s="22"/>
      <c r="T2192" s="5"/>
      <c r="AP2192" s="3"/>
      <c r="AQ2192" s="3"/>
      <c r="AR2192" s="3"/>
      <c r="AS2192" s="3"/>
      <c r="AT2192" s="3"/>
      <c r="AU2192" s="3"/>
      <c r="AV2192" s="3"/>
      <c r="AW2192" s="3"/>
      <c r="AX2192" s="3"/>
      <c r="AY2192" s="3"/>
      <c r="AZ2192" s="3"/>
      <c r="BA2192" s="5"/>
      <c r="BK2192" s="16"/>
    </row>
    <row r="2193" customFormat="false" ht="12.75" hidden="false" customHeight="false" outlineLevel="0" collapsed="false">
      <c r="B2193" s="14"/>
      <c r="C2193" s="14"/>
      <c r="D2193" s="14"/>
      <c r="E2193" s="14"/>
      <c r="F2193" s="22"/>
      <c r="G2193" s="22"/>
      <c r="BK2193" s="16"/>
    </row>
    <row r="2194" s="23" customFormat="true" ht="12.75" hidden="false" customHeight="false" outlineLevel="0" collapsed="false">
      <c r="A2194" s="1"/>
      <c r="B2194" s="14"/>
      <c r="C2194" s="14"/>
      <c r="D2194" s="14"/>
      <c r="E2194" s="14"/>
      <c r="F2194" s="22"/>
      <c r="G2194" s="22"/>
      <c r="T2194" s="5"/>
      <c r="AP2194" s="3"/>
      <c r="AQ2194" s="3"/>
      <c r="AR2194" s="3"/>
      <c r="AS2194" s="3"/>
      <c r="AT2194" s="3"/>
      <c r="AU2194" s="3"/>
      <c r="AV2194" s="3"/>
      <c r="AW2194" s="3"/>
      <c r="AX2194" s="3"/>
      <c r="AY2194" s="3"/>
      <c r="AZ2194" s="3"/>
      <c r="BA2194" s="5"/>
      <c r="BK2194" s="16"/>
    </row>
    <row r="2195" s="23" customFormat="true" ht="12.75" hidden="false" customHeight="false" outlineLevel="0" collapsed="false">
      <c r="A2195" s="1"/>
      <c r="B2195" s="14"/>
      <c r="C2195" s="14"/>
      <c r="D2195" s="14"/>
      <c r="E2195" s="14"/>
      <c r="F2195" s="22"/>
      <c r="G2195" s="22"/>
      <c r="T2195" s="5"/>
      <c r="BA2195" s="5"/>
      <c r="BK2195" s="16"/>
    </row>
    <row r="2196" customFormat="false" ht="12.75" hidden="false" customHeight="false" outlineLevel="0" collapsed="false">
      <c r="B2196" s="14"/>
      <c r="C2196" s="14"/>
      <c r="D2196" s="14"/>
      <c r="E2196" s="14"/>
      <c r="F2196" s="22"/>
      <c r="G2196" s="15"/>
      <c r="BB2196" s="23"/>
      <c r="BK2196" s="16"/>
    </row>
    <row r="2197" s="23" customFormat="true" ht="12.75" hidden="false" customHeight="false" outlineLevel="0" collapsed="false">
      <c r="A2197" s="1"/>
      <c r="B2197" s="14"/>
      <c r="C2197" s="14"/>
      <c r="D2197" s="14"/>
      <c r="E2197" s="14"/>
      <c r="F2197" s="22"/>
      <c r="G2197" s="22"/>
      <c r="T2197" s="5"/>
      <c r="AP2197" s="3"/>
      <c r="AQ2197" s="3"/>
      <c r="AR2197" s="3"/>
      <c r="AS2197" s="3"/>
      <c r="AT2197" s="3"/>
      <c r="AU2197" s="3"/>
      <c r="AV2197" s="3"/>
      <c r="AW2197" s="3"/>
      <c r="AX2197" s="3"/>
      <c r="AY2197" s="3"/>
      <c r="AZ2197" s="3"/>
      <c r="BA2197" s="5"/>
      <c r="BB2197" s="3"/>
      <c r="BK2197" s="16"/>
    </row>
    <row r="2198" s="11" customFormat="true" ht="12.75" hidden="false" customHeight="false" outlineLevel="0" collapsed="false">
      <c r="A2198" s="7"/>
      <c r="B2198" s="53"/>
      <c r="C2198" s="53"/>
      <c r="D2198" s="53"/>
      <c r="E2198" s="53"/>
      <c r="F2198" s="53"/>
      <c r="G2198" s="53"/>
      <c r="T2198" s="54"/>
      <c r="BA2198" s="54"/>
      <c r="BK2198" s="13"/>
    </row>
    <row r="2199" s="23" customFormat="true" ht="12.75" hidden="false" customHeight="false" outlineLevel="0" collapsed="false">
      <c r="A2199" s="1"/>
      <c r="B2199" s="14"/>
      <c r="C2199" s="14"/>
      <c r="D2199" s="14"/>
      <c r="E2199" s="14"/>
      <c r="F2199" s="22"/>
      <c r="G2199" s="22"/>
      <c r="T2199" s="5"/>
      <c r="AP2199" s="3"/>
      <c r="AQ2199" s="3"/>
      <c r="AR2199" s="3"/>
      <c r="AS2199" s="3"/>
      <c r="AT2199" s="3"/>
      <c r="AU2199" s="3"/>
      <c r="AV2199" s="3"/>
      <c r="AW2199" s="3"/>
      <c r="AX2199" s="3"/>
      <c r="AY2199" s="3"/>
      <c r="AZ2199" s="3"/>
      <c r="BA2199" s="5"/>
      <c r="BB2199" s="3"/>
      <c r="BK2199" s="16"/>
    </row>
    <row r="2200" customFormat="false" ht="12.75" hidden="false" customHeight="false" outlineLevel="0" collapsed="false">
      <c r="B2200" s="14"/>
      <c r="C2200" s="14"/>
      <c r="D2200" s="14"/>
      <c r="E2200" s="14"/>
      <c r="F2200" s="15"/>
      <c r="G2200" s="22"/>
      <c r="BK2200" s="16"/>
    </row>
    <row r="2201" s="23" customFormat="true" ht="12.75" hidden="false" customHeight="false" outlineLevel="0" collapsed="false">
      <c r="A2201" s="1"/>
      <c r="B2201" s="14"/>
      <c r="C2201" s="14"/>
      <c r="D2201" s="14"/>
      <c r="E2201" s="14"/>
      <c r="F2201" s="22"/>
      <c r="G2201" s="22"/>
      <c r="T2201" s="5"/>
      <c r="BA2201" s="5"/>
      <c r="BK2201" s="16"/>
    </row>
    <row r="2202" s="23" customFormat="true" ht="12.75" hidden="false" customHeight="false" outlineLevel="0" collapsed="false">
      <c r="A2202" s="1"/>
      <c r="B2202" s="14"/>
      <c r="C2202" s="14"/>
      <c r="D2202" s="14"/>
      <c r="E2202" s="14"/>
      <c r="F2202" s="22"/>
      <c r="G2202" s="22"/>
      <c r="T2202" s="5"/>
      <c r="AP2202" s="3"/>
      <c r="AQ2202" s="3"/>
      <c r="AR2202" s="3"/>
      <c r="AS2202" s="3"/>
      <c r="AT2202" s="3"/>
      <c r="AU2202" s="3"/>
      <c r="AV2202" s="3"/>
      <c r="AW2202" s="3"/>
      <c r="AX2202" s="3"/>
      <c r="AY2202" s="3"/>
      <c r="AZ2202" s="3"/>
      <c r="BA2202" s="5"/>
      <c r="BB2202" s="3"/>
      <c r="BK2202" s="16"/>
    </row>
    <row r="2203" s="23" customFormat="true" ht="12.75" hidden="false" customHeight="false" outlineLevel="0" collapsed="false">
      <c r="A2203" s="1"/>
      <c r="B2203" s="14"/>
      <c r="C2203" s="14"/>
      <c r="D2203" s="14"/>
      <c r="E2203" s="14"/>
      <c r="F2203" s="22"/>
      <c r="G2203" s="22"/>
      <c r="T2203" s="5"/>
      <c r="BA2203" s="5"/>
      <c r="BK2203" s="16"/>
    </row>
    <row r="2204" customFormat="false" ht="12.75" hidden="false" customHeight="false" outlineLevel="0" collapsed="false">
      <c r="B2204" s="14"/>
      <c r="C2204" s="14"/>
      <c r="D2204" s="14"/>
      <c r="E2204" s="14"/>
      <c r="F2204" s="22"/>
      <c r="G2204" s="22"/>
      <c r="BK2204" s="16"/>
    </row>
    <row r="2205" customFormat="false" ht="12.75" hidden="false" customHeight="false" outlineLevel="0" collapsed="false">
      <c r="B2205" s="14"/>
      <c r="C2205" s="14"/>
      <c r="D2205" s="14"/>
      <c r="E2205" s="14"/>
      <c r="F2205" s="15"/>
      <c r="G2205" s="22"/>
      <c r="AP2205" s="23"/>
      <c r="AQ2205" s="23"/>
      <c r="AR2205" s="23"/>
      <c r="AS2205" s="23"/>
      <c r="AT2205" s="23"/>
      <c r="AU2205" s="23"/>
      <c r="AV2205" s="23"/>
      <c r="AW2205" s="23"/>
      <c r="AX2205" s="23"/>
      <c r="AY2205" s="23"/>
      <c r="AZ2205" s="23"/>
      <c r="BK2205" s="16"/>
    </row>
    <row r="2206" customFormat="false" ht="12.75" hidden="false" customHeight="false" outlineLevel="0" collapsed="false">
      <c r="B2206" s="14"/>
      <c r="C2206" s="14"/>
      <c r="D2206" s="14"/>
      <c r="E2206" s="14"/>
      <c r="F2206" s="15"/>
      <c r="G2206" s="22"/>
      <c r="BK2206" s="16"/>
    </row>
    <row r="2207" customFormat="false" ht="12.75" hidden="false" customHeight="false" outlineLevel="0" collapsed="false">
      <c r="B2207" s="14"/>
      <c r="C2207" s="14"/>
      <c r="D2207" s="14"/>
      <c r="E2207" s="14"/>
      <c r="F2207" s="22"/>
      <c r="G2207" s="15"/>
      <c r="BB2207" s="23"/>
      <c r="BK2207" s="16"/>
    </row>
    <row r="2208" customFormat="false" ht="12.75" hidden="false" customHeight="false" outlineLevel="0" collapsed="false">
      <c r="B2208" s="14"/>
      <c r="C2208" s="14"/>
      <c r="D2208" s="14"/>
      <c r="E2208" s="14"/>
      <c r="F2208" s="22"/>
      <c r="G2208" s="22"/>
      <c r="BK2208" s="16"/>
    </row>
    <row r="2209" s="23" customFormat="true" ht="12.75" hidden="false" customHeight="false" outlineLevel="0" collapsed="false">
      <c r="A2209" s="1"/>
      <c r="B2209" s="14"/>
      <c r="C2209" s="14"/>
      <c r="D2209" s="14"/>
      <c r="E2209" s="14"/>
      <c r="F2209" s="22"/>
      <c r="G2209" s="22"/>
      <c r="T2209" s="5"/>
      <c r="BA2209" s="5"/>
      <c r="BK2209" s="16"/>
    </row>
    <row r="2210" customFormat="false" ht="12.75" hidden="false" customHeight="false" outlineLevel="0" collapsed="false">
      <c r="B2210" s="14"/>
      <c r="C2210" s="14"/>
      <c r="D2210" s="14"/>
      <c r="E2210" s="14"/>
      <c r="F2210" s="15"/>
      <c r="G2210" s="22"/>
      <c r="AP2210" s="23"/>
      <c r="AQ2210" s="23"/>
      <c r="AR2210" s="23"/>
      <c r="AS2210" s="23"/>
      <c r="AT2210" s="23"/>
      <c r="AU2210" s="23"/>
      <c r="AV2210" s="23"/>
      <c r="AW2210" s="23"/>
      <c r="AX2210" s="23"/>
      <c r="AY2210" s="23"/>
      <c r="AZ2210" s="23"/>
      <c r="BK2210" s="16"/>
    </row>
    <row r="2211" s="23" customFormat="true" ht="12.75" hidden="false" customHeight="false" outlineLevel="0" collapsed="false">
      <c r="A2211" s="1"/>
      <c r="B2211" s="14"/>
      <c r="C2211" s="14"/>
      <c r="D2211" s="14"/>
      <c r="E2211" s="14"/>
      <c r="F2211" s="22"/>
      <c r="G2211" s="22"/>
      <c r="T2211" s="5"/>
      <c r="BA2211" s="5"/>
      <c r="BK2211" s="16"/>
    </row>
    <row r="2212" s="23" customFormat="true" ht="12.75" hidden="false" customHeight="false" outlineLevel="0" collapsed="false">
      <c r="A2212" s="1"/>
      <c r="B2212" s="14"/>
      <c r="C2212" s="14"/>
      <c r="D2212" s="14"/>
      <c r="E2212" s="14"/>
      <c r="F2212" s="22"/>
      <c r="G2212" s="22"/>
      <c r="T2212" s="5"/>
      <c r="AP2212" s="3"/>
      <c r="AQ2212" s="3"/>
      <c r="AR2212" s="3"/>
      <c r="AS2212" s="3"/>
      <c r="AT2212" s="3"/>
      <c r="AU2212" s="3"/>
      <c r="AV2212" s="3"/>
      <c r="AW2212" s="3"/>
      <c r="AX2212" s="3"/>
      <c r="AY2212" s="3"/>
      <c r="AZ2212" s="3"/>
      <c r="BA2212" s="5"/>
      <c r="BB2212" s="3"/>
      <c r="BK2212" s="16"/>
    </row>
    <row r="2213" customFormat="false" ht="12.75" hidden="false" customHeight="false" outlineLevel="0" collapsed="false">
      <c r="B2213" s="14"/>
      <c r="C2213" s="14"/>
      <c r="D2213" s="14"/>
      <c r="E2213" s="14"/>
      <c r="F2213" s="15"/>
      <c r="G2213" s="22"/>
      <c r="BK2213" s="16"/>
    </row>
    <row r="2214" customFormat="false" ht="12.75" hidden="false" customHeight="false" outlineLevel="0" collapsed="false">
      <c r="B2214" s="14"/>
      <c r="C2214" s="14"/>
      <c r="D2214" s="14"/>
      <c r="E2214" s="14"/>
      <c r="F2214" s="15"/>
      <c r="G2214" s="22"/>
      <c r="AP2214" s="23"/>
      <c r="AQ2214" s="23"/>
      <c r="AR2214" s="23"/>
      <c r="AS2214" s="23"/>
      <c r="AT2214" s="23"/>
      <c r="AU2214" s="23"/>
      <c r="AV2214" s="23"/>
      <c r="AW2214" s="23"/>
      <c r="AX2214" s="23"/>
      <c r="AY2214" s="23"/>
      <c r="AZ2214" s="23"/>
      <c r="BK2214" s="16"/>
    </row>
    <row r="2215" s="23" customFormat="true" ht="12.75" hidden="false" customHeight="false" outlineLevel="0" collapsed="false">
      <c r="A2215" s="1"/>
      <c r="B2215" s="14"/>
      <c r="C2215" s="14"/>
      <c r="D2215" s="14"/>
      <c r="E2215" s="14"/>
      <c r="F2215" s="22"/>
      <c r="G2215" s="22"/>
      <c r="T2215" s="5"/>
      <c r="AP2215" s="3"/>
      <c r="AQ2215" s="3"/>
      <c r="AR2215" s="3"/>
      <c r="AS2215" s="3"/>
      <c r="AT2215" s="3"/>
      <c r="AU2215" s="3"/>
      <c r="AV2215" s="3"/>
      <c r="AW2215" s="3"/>
      <c r="AX2215" s="3"/>
      <c r="AY2215" s="3"/>
      <c r="AZ2215" s="3"/>
      <c r="BA2215" s="5"/>
      <c r="BB2215" s="3"/>
      <c r="BK2215" s="16"/>
    </row>
    <row r="2216" customFormat="false" ht="12.75" hidden="false" customHeight="false" outlineLevel="0" collapsed="false">
      <c r="B2216" s="14"/>
      <c r="C2216" s="14"/>
      <c r="D2216" s="14"/>
      <c r="E2216" s="14"/>
      <c r="F2216" s="22"/>
      <c r="G2216" s="22"/>
      <c r="BK2216" s="16"/>
    </row>
    <row r="2217" customFormat="false" ht="12.75" hidden="false" customHeight="false" outlineLevel="0" collapsed="false">
      <c r="B2217" s="14"/>
      <c r="C2217" s="14"/>
      <c r="D2217" s="14"/>
      <c r="E2217" s="14"/>
      <c r="F2217" s="22"/>
      <c r="G2217" s="15"/>
      <c r="BB2217" s="23"/>
      <c r="BK2217" s="16"/>
    </row>
    <row r="2218" customFormat="false" ht="12.75" hidden="false" customHeight="false" outlineLevel="0" collapsed="false">
      <c r="B2218" s="14"/>
      <c r="C2218" s="14"/>
      <c r="D2218" s="14"/>
      <c r="E2218" s="14"/>
      <c r="F2218" s="15"/>
      <c r="G2218" s="22"/>
      <c r="BK2218" s="16"/>
    </row>
    <row r="2219" customFormat="false" ht="12.75" hidden="false" customHeight="false" outlineLevel="0" collapsed="false">
      <c r="B2219" s="14"/>
      <c r="C2219" s="14"/>
      <c r="D2219" s="14"/>
      <c r="E2219" s="14"/>
      <c r="F2219" s="22"/>
      <c r="G2219" s="22"/>
      <c r="BK2219" s="16"/>
    </row>
    <row r="2220" customFormat="false" ht="12.75" hidden="false" customHeight="false" outlineLevel="0" collapsed="false">
      <c r="B2220" s="14"/>
      <c r="C2220" s="14"/>
      <c r="D2220" s="14"/>
      <c r="E2220" s="14"/>
      <c r="F2220" s="22"/>
      <c r="G2220" s="15"/>
      <c r="BB2220" s="23"/>
      <c r="BK2220" s="16"/>
    </row>
    <row r="2221" s="23" customFormat="true" ht="12.75" hidden="false" customHeight="false" outlineLevel="0" collapsed="false">
      <c r="A2221" s="1"/>
      <c r="B2221" s="14"/>
      <c r="C2221" s="14"/>
      <c r="D2221" s="14"/>
      <c r="E2221" s="14"/>
      <c r="F2221" s="22"/>
      <c r="G2221" s="22"/>
      <c r="T2221" s="5"/>
      <c r="AQ2221" s="3"/>
      <c r="AR2221" s="3"/>
      <c r="AS2221" s="3"/>
      <c r="AT2221" s="3"/>
      <c r="AU2221" s="3"/>
      <c r="AV2221" s="3"/>
      <c r="AW2221" s="3"/>
      <c r="AX2221" s="3"/>
      <c r="AY2221" s="3"/>
      <c r="AZ2221" s="3"/>
      <c r="BA2221" s="5"/>
      <c r="BK2221" s="16"/>
    </row>
    <row r="2222" customFormat="false" ht="12.75" hidden="false" customHeight="false" outlineLevel="0" collapsed="false">
      <c r="B2222" s="14"/>
      <c r="C2222" s="14"/>
      <c r="D2222" s="14"/>
      <c r="E2222" s="14"/>
      <c r="F2222" s="22"/>
      <c r="G2222" s="22"/>
      <c r="BK2222" s="16"/>
    </row>
    <row r="2223" customFormat="false" ht="12.75" hidden="false" customHeight="false" outlineLevel="0" collapsed="false">
      <c r="B2223" s="14"/>
      <c r="C2223" s="14"/>
      <c r="D2223" s="14"/>
      <c r="E2223" s="14"/>
      <c r="F2223" s="22"/>
      <c r="G2223" s="15"/>
      <c r="BB2223" s="23"/>
      <c r="BK2223" s="16"/>
    </row>
    <row r="2224" customFormat="false" ht="12.75" hidden="false" customHeight="false" outlineLevel="0" collapsed="false">
      <c r="B2224" s="14"/>
      <c r="C2224" s="14"/>
      <c r="D2224" s="14"/>
      <c r="E2224" s="14"/>
      <c r="F2224" s="22"/>
      <c r="G2224" s="22"/>
      <c r="BK2224" s="16"/>
    </row>
    <row r="2225" customFormat="false" ht="12.75" hidden="false" customHeight="false" outlineLevel="0" collapsed="false">
      <c r="B2225" s="14"/>
      <c r="C2225" s="14"/>
      <c r="D2225" s="14"/>
      <c r="E2225" s="14"/>
      <c r="F2225" s="15"/>
      <c r="G2225" s="22"/>
      <c r="BK2225" s="16"/>
    </row>
    <row r="2226" s="23" customFormat="true" ht="12.75" hidden="false" customHeight="false" outlineLevel="0" collapsed="false">
      <c r="A2226" s="1"/>
      <c r="B2226" s="14"/>
      <c r="C2226" s="14"/>
      <c r="D2226" s="14"/>
      <c r="E2226" s="14"/>
      <c r="F2226" s="22"/>
      <c r="G2226" s="22"/>
      <c r="T2226" s="5"/>
      <c r="AP2226" s="3"/>
      <c r="AQ2226" s="3"/>
      <c r="AR2226" s="3"/>
      <c r="AS2226" s="3"/>
      <c r="AT2226" s="3"/>
      <c r="AU2226" s="3"/>
      <c r="AV2226" s="3"/>
      <c r="AW2226" s="3"/>
      <c r="AX2226" s="3"/>
      <c r="AY2226" s="3"/>
      <c r="AZ2226" s="3"/>
      <c r="BA2226" s="5"/>
      <c r="BK2226" s="16"/>
    </row>
    <row r="2227" customFormat="false" ht="12.75" hidden="false" customHeight="false" outlineLevel="0" collapsed="false">
      <c r="B2227" s="14"/>
      <c r="C2227" s="14"/>
      <c r="D2227" s="14"/>
      <c r="E2227" s="14"/>
      <c r="F2227" s="15"/>
      <c r="G2227" s="22"/>
      <c r="AP2227" s="23"/>
      <c r="AQ2227" s="23"/>
      <c r="AR2227" s="23"/>
      <c r="AS2227" s="23"/>
      <c r="AT2227" s="23"/>
      <c r="AU2227" s="23"/>
      <c r="AV2227" s="23"/>
      <c r="AW2227" s="23"/>
      <c r="AX2227" s="23"/>
      <c r="AY2227" s="23"/>
      <c r="AZ2227" s="23"/>
      <c r="BK2227" s="16"/>
    </row>
    <row r="2228" customFormat="false" ht="12.75" hidden="false" customHeight="false" outlineLevel="0" collapsed="false">
      <c r="B2228" s="14"/>
      <c r="C2228" s="14"/>
      <c r="D2228" s="14"/>
      <c r="E2228" s="14"/>
      <c r="F2228" s="15"/>
      <c r="G2228" s="22"/>
      <c r="BK2228" s="16"/>
    </row>
    <row r="2229" s="23" customFormat="true" ht="12.75" hidden="false" customHeight="false" outlineLevel="0" collapsed="false">
      <c r="A2229" s="1"/>
      <c r="B2229" s="14"/>
      <c r="C2229" s="14"/>
      <c r="D2229" s="14"/>
      <c r="E2229" s="14"/>
      <c r="F2229" s="22"/>
      <c r="G2229" s="22"/>
      <c r="T2229" s="5"/>
      <c r="AP2229" s="3"/>
      <c r="AQ2229" s="3"/>
      <c r="AR2229" s="3"/>
      <c r="AS2229" s="3"/>
      <c r="AT2229" s="3"/>
      <c r="AU2229" s="3"/>
      <c r="AV2229" s="3"/>
      <c r="AW2229" s="3"/>
      <c r="AX2229" s="3"/>
      <c r="AY2229" s="3"/>
      <c r="AZ2229" s="3"/>
      <c r="BA2229" s="5"/>
      <c r="BB2229" s="3"/>
      <c r="BK2229" s="16"/>
    </row>
    <row r="2230" customFormat="false" ht="12.75" hidden="false" customHeight="false" outlineLevel="0" collapsed="false">
      <c r="B2230" s="14"/>
      <c r="C2230" s="14"/>
      <c r="D2230" s="14"/>
      <c r="E2230" s="14"/>
      <c r="F2230" s="22"/>
      <c r="G2230" s="22"/>
      <c r="BK2230" s="16"/>
    </row>
    <row r="2231" customFormat="false" ht="12.75" hidden="false" customHeight="false" outlineLevel="0" collapsed="false">
      <c r="B2231" s="14"/>
      <c r="C2231" s="14"/>
      <c r="D2231" s="14"/>
      <c r="E2231" s="14"/>
      <c r="F2231" s="22"/>
      <c r="G2231" s="15"/>
      <c r="BB2231" s="23"/>
      <c r="BK2231" s="16"/>
    </row>
    <row r="2232" customFormat="false" ht="12.75" hidden="false" customHeight="false" outlineLevel="0" collapsed="false">
      <c r="B2232" s="14"/>
      <c r="C2232" s="14"/>
      <c r="D2232" s="14"/>
      <c r="E2232" s="14"/>
      <c r="F2232" s="22"/>
      <c r="G2232" s="15"/>
      <c r="BB2232" s="23"/>
      <c r="BK2232" s="16"/>
    </row>
    <row r="2233" s="23" customFormat="true" ht="12.75" hidden="false" customHeight="false" outlineLevel="0" collapsed="false">
      <c r="A2233" s="1"/>
      <c r="B2233" s="14"/>
      <c r="C2233" s="14"/>
      <c r="D2233" s="14"/>
      <c r="E2233" s="14"/>
      <c r="F2233" s="22"/>
      <c r="G2233" s="22"/>
      <c r="T2233" s="5"/>
      <c r="AP2233" s="3"/>
      <c r="AQ2233" s="3"/>
      <c r="AR2233" s="3"/>
      <c r="AS2233" s="3"/>
      <c r="AT2233" s="3"/>
      <c r="AU2233" s="3"/>
      <c r="AV2233" s="3"/>
      <c r="AW2233" s="3"/>
      <c r="AX2233" s="3"/>
      <c r="AY2233" s="3"/>
      <c r="AZ2233" s="3"/>
      <c r="BA2233" s="5"/>
      <c r="BK2233" s="16"/>
    </row>
    <row r="2234" customFormat="false" ht="12.75" hidden="false" customHeight="false" outlineLevel="0" collapsed="false">
      <c r="B2234" s="14"/>
      <c r="C2234" s="14"/>
      <c r="D2234" s="14"/>
      <c r="E2234" s="14"/>
      <c r="F2234" s="22"/>
      <c r="G2234" s="22"/>
      <c r="BK2234" s="16"/>
    </row>
    <row r="2235" customFormat="false" ht="12.75" hidden="false" customHeight="false" outlineLevel="0" collapsed="false">
      <c r="B2235" s="14"/>
      <c r="C2235" s="14"/>
      <c r="D2235" s="14"/>
      <c r="E2235" s="14"/>
      <c r="F2235" s="22"/>
      <c r="G2235" s="22"/>
      <c r="BK2235" s="16"/>
    </row>
    <row r="2236" s="23" customFormat="true" ht="12.75" hidden="false" customHeight="false" outlineLevel="0" collapsed="false">
      <c r="A2236" s="1"/>
      <c r="B2236" s="14"/>
      <c r="C2236" s="14"/>
      <c r="D2236" s="14"/>
      <c r="E2236" s="14"/>
      <c r="F2236" s="22"/>
      <c r="G2236" s="22"/>
      <c r="T2236" s="5"/>
      <c r="AP2236" s="3"/>
      <c r="AQ2236" s="3"/>
      <c r="AR2236" s="3"/>
      <c r="AS2236" s="3"/>
      <c r="AT2236" s="3"/>
      <c r="AU2236" s="3"/>
      <c r="AV2236" s="3"/>
      <c r="AW2236" s="3"/>
      <c r="AX2236" s="3"/>
      <c r="AY2236" s="3"/>
      <c r="AZ2236" s="3"/>
      <c r="BA2236" s="5"/>
      <c r="BK2236" s="16"/>
    </row>
    <row r="2237" customFormat="false" ht="12.75" hidden="false" customHeight="false" outlineLevel="0" collapsed="false">
      <c r="B2237" s="14"/>
      <c r="C2237" s="14"/>
      <c r="D2237" s="14"/>
      <c r="E2237" s="14"/>
      <c r="F2237" s="22"/>
      <c r="G2237" s="15"/>
      <c r="BB2237" s="23"/>
      <c r="BK2237" s="16"/>
    </row>
    <row r="2238" customFormat="false" ht="12.75" hidden="false" customHeight="false" outlineLevel="0" collapsed="false">
      <c r="B2238" s="14"/>
      <c r="C2238" s="14"/>
      <c r="D2238" s="14"/>
      <c r="E2238" s="14"/>
      <c r="F2238" s="22"/>
      <c r="G2238" s="15"/>
      <c r="BB2238" s="23"/>
      <c r="BK2238" s="16"/>
    </row>
    <row r="2239" customFormat="false" ht="12.75" hidden="false" customHeight="false" outlineLevel="0" collapsed="false">
      <c r="B2239" s="14"/>
      <c r="C2239" s="14"/>
      <c r="D2239" s="14"/>
      <c r="E2239" s="14"/>
      <c r="F2239" s="15"/>
      <c r="G2239" s="22"/>
      <c r="BK2239" s="16"/>
    </row>
    <row r="2240" customFormat="false" ht="12.75" hidden="false" customHeight="false" outlineLevel="0" collapsed="false">
      <c r="B2240" s="14"/>
      <c r="C2240" s="14"/>
      <c r="D2240" s="14"/>
      <c r="E2240" s="14"/>
      <c r="F2240" s="15"/>
      <c r="G2240" s="22"/>
      <c r="BK2240" s="16"/>
    </row>
    <row r="2241" customFormat="false" ht="12.75" hidden="false" customHeight="false" outlineLevel="0" collapsed="false">
      <c r="B2241" s="14"/>
      <c r="C2241" s="14"/>
      <c r="D2241" s="14"/>
      <c r="E2241" s="14"/>
      <c r="F2241" s="22"/>
      <c r="G2241" s="15"/>
      <c r="BB2241" s="23"/>
      <c r="BK2241" s="16"/>
    </row>
    <row r="2242" s="23" customFormat="true" ht="12.75" hidden="false" customHeight="false" outlineLevel="0" collapsed="false">
      <c r="A2242" s="1"/>
      <c r="B2242" s="14"/>
      <c r="C2242" s="14"/>
      <c r="D2242" s="14"/>
      <c r="E2242" s="14"/>
      <c r="F2242" s="22"/>
      <c r="G2242" s="22"/>
      <c r="T2242" s="5"/>
      <c r="BA2242" s="5"/>
      <c r="BK2242" s="16"/>
    </row>
    <row r="2243" s="23" customFormat="true" ht="12.75" hidden="false" customHeight="false" outlineLevel="0" collapsed="false">
      <c r="A2243" s="1"/>
      <c r="B2243" s="14"/>
      <c r="C2243" s="14"/>
      <c r="D2243" s="14"/>
      <c r="E2243" s="14"/>
      <c r="F2243" s="22"/>
      <c r="G2243" s="22"/>
      <c r="T2243" s="5"/>
      <c r="AP2243" s="3"/>
      <c r="AQ2243" s="3"/>
      <c r="AR2243" s="3"/>
      <c r="AS2243" s="3"/>
      <c r="AT2243" s="3"/>
      <c r="AU2243" s="3"/>
      <c r="AV2243" s="3"/>
      <c r="AW2243" s="3"/>
      <c r="AX2243" s="3"/>
      <c r="AY2243" s="3"/>
      <c r="AZ2243" s="3"/>
      <c r="BA2243" s="5"/>
      <c r="BK2243" s="16"/>
    </row>
    <row r="2244" customFormat="false" ht="12.75" hidden="false" customHeight="false" outlineLevel="0" collapsed="false">
      <c r="B2244" s="14"/>
      <c r="C2244" s="14"/>
      <c r="D2244" s="14"/>
      <c r="E2244" s="14"/>
      <c r="F2244" s="22"/>
      <c r="G2244" s="15"/>
      <c r="BB2244" s="23"/>
      <c r="BK2244" s="16"/>
    </row>
    <row r="2245" customFormat="false" ht="12.75" hidden="false" customHeight="false" outlineLevel="0" collapsed="false">
      <c r="B2245" s="14"/>
      <c r="C2245" s="14"/>
      <c r="D2245" s="14"/>
      <c r="E2245" s="14"/>
      <c r="F2245" s="22"/>
      <c r="G2245" s="22"/>
      <c r="P2245" s="14"/>
      <c r="BK2245" s="16"/>
    </row>
    <row r="2246" customFormat="false" ht="12.75" hidden="false" customHeight="false" outlineLevel="0" collapsed="false">
      <c r="B2246" s="14"/>
      <c r="C2246" s="14"/>
      <c r="D2246" s="14"/>
      <c r="E2246" s="14"/>
      <c r="F2246" s="15"/>
      <c r="G2246" s="22"/>
      <c r="AP2246" s="23"/>
      <c r="AQ2246" s="23"/>
      <c r="AR2246" s="23"/>
      <c r="AS2246" s="23"/>
      <c r="AT2246" s="23"/>
      <c r="AU2246" s="23"/>
      <c r="AV2246" s="23"/>
      <c r="AW2246" s="23"/>
      <c r="AX2246" s="23"/>
      <c r="AY2246" s="23"/>
      <c r="AZ2246" s="23"/>
      <c r="BK2246" s="16"/>
    </row>
    <row r="2247" customFormat="false" ht="12.75" hidden="false" customHeight="false" outlineLevel="0" collapsed="false">
      <c r="B2247" s="14"/>
      <c r="C2247" s="14"/>
      <c r="D2247" s="14"/>
      <c r="E2247" s="14"/>
      <c r="F2247" s="15"/>
      <c r="G2247" s="22"/>
      <c r="BK2247" s="16"/>
    </row>
    <row r="2248" customFormat="false" ht="12.75" hidden="false" customHeight="false" outlineLevel="0" collapsed="false">
      <c r="B2248" s="14"/>
      <c r="C2248" s="14"/>
      <c r="D2248" s="14"/>
      <c r="E2248" s="14"/>
      <c r="F2248" s="15"/>
      <c r="G2248" s="22"/>
      <c r="BK2248" s="16"/>
    </row>
    <row r="2249" customFormat="false" ht="12.75" hidden="false" customHeight="false" outlineLevel="0" collapsed="false">
      <c r="B2249" s="14"/>
      <c r="C2249" s="14"/>
      <c r="D2249" s="14"/>
      <c r="E2249" s="14"/>
      <c r="F2249" s="22"/>
      <c r="G2249" s="22"/>
      <c r="BB2249" s="23"/>
      <c r="BK2249" s="16"/>
    </row>
    <row r="2250" customFormat="false" ht="12.75" hidden="false" customHeight="false" outlineLevel="0" collapsed="false">
      <c r="B2250" s="14"/>
      <c r="C2250" s="14"/>
      <c r="D2250" s="14"/>
      <c r="E2250" s="14"/>
      <c r="F2250" s="22"/>
      <c r="G2250" s="22"/>
      <c r="BB2250" s="23"/>
      <c r="BK2250" s="16"/>
    </row>
    <row r="2251" s="23" customFormat="true" ht="12.75" hidden="false" customHeight="false" outlineLevel="0" collapsed="false">
      <c r="A2251" s="1"/>
      <c r="B2251" s="14"/>
      <c r="C2251" s="14"/>
      <c r="D2251" s="14"/>
      <c r="E2251" s="14"/>
      <c r="F2251" s="22"/>
      <c r="G2251" s="22"/>
      <c r="T2251" s="5"/>
      <c r="AP2251" s="3"/>
      <c r="AQ2251" s="3"/>
      <c r="AR2251" s="3"/>
      <c r="AS2251" s="3"/>
      <c r="AT2251" s="3"/>
      <c r="AU2251" s="3"/>
      <c r="AV2251" s="3"/>
      <c r="AW2251" s="3"/>
      <c r="AX2251" s="3"/>
      <c r="AY2251" s="3"/>
      <c r="AZ2251" s="3"/>
      <c r="BA2251" s="5"/>
      <c r="BB2251" s="3"/>
      <c r="BK2251" s="16"/>
    </row>
    <row r="2252" s="23" customFormat="true" ht="12.75" hidden="false" customHeight="false" outlineLevel="0" collapsed="false">
      <c r="A2252" s="1"/>
      <c r="B2252" s="14"/>
      <c r="C2252" s="14"/>
      <c r="D2252" s="14"/>
      <c r="E2252" s="14"/>
      <c r="F2252" s="22"/>
      <c r="G2252" s="22"/>
      <c r="T2252" s="5"/>
      <c r="AP2252" s="3"/>
      <c r="AQ2252" s="3"/>
      <c r="AR2252" s="3"/>
      <c r="AS2252" s="3"/>
      <c r="AT2252" s="3"/>
      <c r="AU2252" s="3"/>
      <c r="AV2252" s="3"/>
      <c r="AW2252" s="3"/>
      <c r="AX2252" s="3"/>
      <c r="AY2252" s="3"/>
      <c r="AZ2252" s="3"/>
      <c r="BA2252" s="5"/>
      <c r="BK2252" s="16"/>
    </row>
    <row r="2253" customFormat="false" ht="12.75" hidden="false" customHeight="false" outlineLevel="0" collapsed="false">
      <c r="B2253" s="14"/>
      <c r="C2253" s="14"/>
      <c r="D2253" s="14"/>
      <c r="E2253" s="14"/>
      <c r="F2253" s="15"/>
      <c r="G2253" s="22"/>
      <c r="BK2253" s="16"/>
    </row>
    <row r="2254" s="23" customFormat="true" ht="12.75" hidden="false" customHeight="false" outlineLevel="0" collapsed="false">
      <c r="A2254" s="1"/>
      <c r="B2254" s="14"/>
      <c r="C2254" s="14"/>
      <c r="D2254" s="14"/>
      <c r="E2254" s="14"/>
      <c r="F2254" s="22"/>
      <c r="G2254" s="22"/>
      <c r="T2254" s="5"/>
      <c r="AP2254" s="3"/>
      <c r="AQ2254" s="3"/>
      <c r="AR2254" s="3"/>
      <c r="AS2254" s="3"/>
      <c r="AT2254" s="3"/>
      <c r="AU2254" s="3"/>
      <c r="AV2254" s="3"/>
      <c r="AW2254" s="3"/>
      <c r="AX2254" s="3"/>
      <c r="AY2254" s="3"/>
      <c r="AZ2254" s="3"/>
      <c r="BA2254" s="5"/>
      <c r="BK2254" s="16"/>
    </row>
    <row r="2255" customFormat="false" ht="12.75" hidden="false" customHeight="false" outlineLevel="0" collapsed="false">
      <c r="B2255" s="14"/>
      <c r="C2255" s="14"/>
      <c r="D2255" s="14"/>
      <c r="E2255" s="14"/>
      <c r="F2255" s="22"/>
      <c r="G2255" s="22"/>
      <c r="P2255" s="14"/>
      <c r="BK2255" s="16"/>
    </row>
    <row r="2256" customFormat="false" ht="12.75" hidden="false" customHeight="false" outlineLevel="0" collapsed="false">
      <c r="B2256" s="14"/>
      <c r="C2256" s="14"/>
      <c r="D2256" s="14"/>
      <c r="E2256" s="14"/>
      <c r="F2256" s="22"/>
      <c r="G2256" s="22"/>
      <c r="BB2256" s="23"/>
      <c r="BK2256" s="16"/>
    </row>
    <row r="2257" customFormat="false" ht="12.75" hidden="false" customHeight="false" outlineLevel="0" collapsed="false">
      <c r="B2257" s="14"/>
      <c r="C2257" s="14"/>
      <c r="D2257" s="14"/>
      <c r="E2257" s="14"/>
      <c r="F2257" s="22"/>
      <c r="G2257" s="22"/>
      <c r="BB2257" s="23"/>
      <c r="BK2257" s="16"/>
    </row>
    <row r="2258" customFormat="false" ht="12.75" hidden="false" customHeight="false" outlineLevel="0" collapsed="false">
      <c r="B2258" s="14"/>
      <c r="C2258" s="14"/>
      <c r="D2258" s="14"/>
      <c r="E2258" s="14"/>
      <c r="F2258" s="22"/>
      <c r="G2258" s="22"/>
      <c r="BB2258" s="23"/>
      <c r="BK2258" s="16"/>
    </row>
    <row r="2259" customFormat="false" ht="12.75" hidden="false" customHeight="false" outlineLevel="0" collapsed="false">
      <c r="B2259" s="14"/>
      <c r="C2259" s="14"/>
      <c r="D2259" s="14"/>
      <c r="E2259" s="14"/>
      <c r="F2259" s="22"/>
      <c r="G2259" s="22"/>
      <c r="BK2259" s="16"/>
    </row>
    <row r="2260" customFormat="false" ht="12.75" hidden="false" customHeight="false" outlineLevel="0" collapsed="false">
      <c r="B2260" s="14"/>
      <c r="C2260" s="14"/>
      <c r="D2260" s="14"/>
      <c r="E2260" s="14"/>
      <c r="F2260" s="22"/>
      <c r="G2260" s="22"/>
      <c r="AP2260" s="23"/>
      <c r="AQ2260" s="23"/>
      <c r="AR2260" s="23"/>
      <c r="AS2260" s="23"/>
      <c r="AT2260" s="23"/>
      <c r="AU2260" s="23"/>
      <c r="AV2260" s="23"/>
      <c r="AW2260" s="23"/>
      <c r="AX2260" s="23"/>
      <c r="AY2260" s="23"/>
      <c r="AZ2260" s="23"/>
      <c r="BK2260" s="16"/>
    </row>
    <row r="2261" customFormat="false" ht="12.75" hidden="false" customHeight="false" outlineLevel="0" collapsed="false">
      <c r="B2261" s="14"/>
      <c r="C2261" s="14"/>
      <c r="D2261" s="14"/>
      <c r="E2261" s="14"/>
      <c r="F2261" s="22"/>
      <c r="G2261" s="22"/>
      <c r="AP2261" s="23"/>
      <c r="AQ2261" s="23"/>
      <c r="AR2261" s="23"/>
      <c r="AS2261" s="23"/>
      <c r="AT2261" s="23"/>
      <c r="AU2261" s="23"/>
      <c r="AV2261" s="23"/>
      <c r="AW2261" s="23"/>
      <c r="AX2261" s="23"/>
      <c r="AY2261" s="23"/>
      <c r="AZ2261" s="23"/>
      <c r="BK2261" s="16"/>
    </row>
    <row r="2262" s="11" customFormat="true" ht="12.75" hidden="false" customHeight="false" outlineLevel="0" collapsed="false">
      <c r="A2262" s="7"/>
      <c r="B2262" s="53"/>
      <c r="C2262" s="53"/>
      <c r="D2262" s="53"/>
      <c r="E2262" s="53"/>
      <c r="F2262" s="53"/>
      <c r="G2262" s="53"/>
      <c r="T2262" s="54"/>
      <c r="BA2262" s="54"/>
      <c r="BK2262" s="13"/>
    </row>
    <row r="2263" customFormat="false" ht="12.75" hidden="false" customHeight="false" outlineLevel="0" collapsed="false">
      <c r="B2263" s="14"/>
      <c r="C2263" s="14"/>
      <c r="D2263" s="14"/>
      <c r="E2263" s="14"/>
      <c r="F2263" s="22"/>
      <c r="G2263" s="22"/>
      <c r="P2263" s="14"/>
      <c r="BK2263" s="16"/>
    </row>
    <row r="2264" customFormat="false" ht="12.75" hidden="false" customHeight="false" outlineLevel="0" collapsed="false">
      <c r="B2264" s="14"/>
      <c r="C2264" s="14"/>
      <c r="D2264" s="14"/>
      <c r="E2264" s="14"/>
      <c r="F2264" s="22"/>
      <c r="G2264" s="22"/>
      <c r="P2264" s="14"/>
      <c r="BK2264" s="16"/>
    </row>
    <row r="2265" customFormat="false" ht="12.75" hidden="false" customHeight="false" outlineLevel="0" collapsed="false">
      <c r="B2265" s="14"/>
      <c r="C2265" s="14"/>
      <c r="D2265" s="14"/>
      <c r="E2265" s="14"/>
      <c r="F2265" s="22"/>
      <c r="G2265" s="22"/>
      <c r="P2265" s="14"/>
      <c r="BK2265" s="16"/>
    </row>
    <row r="2266" customFormat="false" ht="12.75" hidden="false" customHeight="false" outlineLevel="0" collapsed="false">
      <c r="B2266" s="14"/>
      <c r="C2266" s="14"/>
      <c r="D2266" s="14"/>
      <c r="E2266" s="14"/>
      <c r="F2266" s="22"/>
      <c r="G2266" s="22"/>
      <c r="BB2266" s="23"/>
      <c r="BK2266" s="16"/>
    </row>
    <row r="2267" customFormat="false" ht="12.75" hidden="false" customHeight="false" outlineLevel="0" collapsed="false">
      <c r="B2267" s="14"/>
      <c r="C2267" s="14"/>
      <c r="D2267" s="14"/>
      <c r="E2267" s="14"/>
      <c r="F2267" s="22"/>
      <c r="G2267" s="22"/>
      <c r="AP2267" s="23"/>
      <c r="AQ2267" s="23"/>
      <c r="AR2267" s="23"/>
      <c r="AS2267" s="23"/>
      <c r="AT2267" s="23"/>
      <c r="AU2267" s="23"/>
      <c r="AV2267" s="23"/>
      <c r="AW2267" s="23"/>
      <c r="AX2267" s="23"/>
      <c r="AY2267" s="23"/>
      <c r="AZ2267" s="23"/>
      <c r="BK2267" s="16"/>
    </row>
    <row r="2268" customFormat="false" ht="12.75" hidden="false" customHeight="false" outlineLevel="0" collapsed="false">
      <c r="B2268" s="14"/>
      <c r="C2268" s="14"/>
      <c r="D2268" s="14"/>
      <c r="E2268" s="14"/>
      <c r="F2268" s="22"/>
      <c r="G2268" s="22"/>
      <c r="BK2268" s="16"/>
    </row>
    <row r="2269" customFormat="false" ht="12.75" hidden="false" customHeight="false" outlineLevel="0" collapsed="false">
      <c r="B2269" s="14"/>
      <c r="C2269" s="14"/>
      <c r="D2269" s="14"/>
      <c r="E2269" s="14"/>
      <c r="F2269" s="22"/>
      <c r="G2269" s="22"/>
      <c r="BK2269" s="16"/>
    </row>
    <row r="2270" customFormat="false" ht="12.75" hidden="false" customHeight="false" outlineLevel="0" collapsed="false">
      <c r="B2270" s="14"/>
      <c r="C2270" s="14"/>
      <c r="D2270" s="14"/>
      <c r="E2270" s="14"/>
      <c r="F2270" s="22"/>
      <c r="G2270" s="22"/>
      <c r="BK2270" s="16"/>
    </row>
    <row r="2271" s="23" customFormat="true" ht="12.75" hidden="false" customHeight="false" outlineLevel="0" collapsed="false">
      <c r="A2271" s="1"/>
      <c r="B2271" s="14"/>
      <c r="C2271" s="14"/>
      <c r="D2271" s="14"/>
      <c r="E2271" s="14"/>
      <c r="F2271" s="22"/>
      <c r="G2271" s="22"/>
      <c r="T2271" s="5"/>
      <c r="AP2271" s="3"/>
      <c r="AQ2271" s="3"/>
      <c r="AR2271" s="3"/>
      <c r="AS2271" s="3"/>
      <c r="AT2271" s="3"/>
      <c r="AU2271" s="3"/>
      <c r="AV2271" s="3"/>
      <c r="AW2271" s="3"/>
      <c r="AX2271" s="3"/>
      <c r="AY2271" s="3"/>
      <c r="AZ2271" s="3"/>
      <c r="BA2271" s="5"/>
      <c r="BK2271" s="16"/>
    </row>
    <row r="2272" customFormat="false" ht="12.75" hidden="false" customHeight="false" outlineLevel="0" collapsed="false">
      <c r="B2272" s="14"/>
      <c r="C2272" s="14"/>
      <c r="D2272" s="14"/>
      <c r="E2272" s="14"/>
      <c r="F2272" s="22"/>
      <c r="G2272" s="22"/>
      <c r="P2272" s="14"/>
      <c r="BK2272" s="16"/>
    </row>
    <row r="2273" customFormat="false" ht="12.75" hidden="false" customHeight="false" outlineLevel="0" collapsed="false">
      <c r="B2273" s="14"/>
      <c r="C2273" s="14"/>
      <c r="D2273" s="14"/>
      <c r="E2273" s="14"/>
      <c r="F2273" s="22"/>
      <c r="G2273" s="22"/>
      <c r="AP2273" s="23"/>
      <c r="AQ2273" s="23"/>
      <c r="AR2273" s="23"/>
      <c r="AS2273" s="23"/>
      <c r="AT2273" s="23"/>
      <c r="AU2273" s="23"/>
      <c r="AV2273" s="23"/>
      <c r="AW2273" s="23"/>
      <c r="AX2273" s="23"/>
      <c r="AY2273" s="23"/>
      <c r="AZ2273" s="23"/>
      <c r="BK2273" s="16"/>
    </row>
    <row r="2274" customFormat="false" ht="12.75" hidden="false" customHeight="false" outlineLevel="0" collapsed="false">
      <c r="B2274" s="14"/>
      <c r="C2274" s="14"/>
      <c r="D2274" s="14"/>
      <c r="E2274" s="14"/>
      <c r="F2274" s="22"/>
      <c r="G2274" s="22"/>
      <c r="P2274" s="14"/>
      <c r="BK2274" s="16"/>
    </row>
    <row r="2275" s="23" customFormat="true" ht="12.75" hidden="false" customHeight="false" outlineLevel="0" collapsed="false">
      <c r="A2275" s="1"/>
      <c r="B2275" s="14"/>
      <c r="C2275" s="14"/>
      <c r="D2275" s="14"/>
      <c r="E2275" s="14"/>
      <c r="F2275" s="22"/>
      <c r="G2275" s="22"/>
      <c r="T2275" s="5"/>
      <c r="AP2275" s="3"/>
      <c r="AQ2275" s="3"/>
      <c r="AR2275" s="3"/>
      <c r="AS2275" s="3"/>
      <c r="AT2275" s="3"/>
      <c r="AU2275" s="3"/>
      <c r="AV2275" s="3"/>
      <c r="AW2275" s="3"/>
      <c r="AX2275" s="3"/>
      <c r="AY2275" s="3"/>
      <c r="AZ2275" s="3"/>
      <c r="BA2275" s="5"/>
      <c r="BK2275" s="16"/>
    </row>
    <row r="2276" customFormat="false" ht="12.75" hidden="false" customHeight="false" outlineLevel="0" collapsed="false">
      <c r="B2276" s="14"/>
      <c r="C2276" s="14"/>
      <c r="D2276" s="14"/>
      <c r="E2276" s="14"/>
      <c r="F2276" s="22"/>
      <c r="G2276" s="22"/>
      <c r="BK2276" s="16"/>
    </row>
    <row r="2277" customFormat="false" ht="12.75" hidden="false" customHeight="false" outlineLevel="0" collapsed="false">
      <c r="B2277" s="14"/>
      <c r="C2277" s="14"/>
      <c r="D2277" s="14"/>
      <c r="E2277" s="14"/>
      <c r="F2277" s="22"/>
      <c r="G2277" s="22"/>
      <c r="BK2277" s="16"/>
    </row>
    <row r="2278" customFormat="false" ht="12.75" hidden="false" customHeight="false" outlineLevel="0" collapsed="false">
      <c r="B2278" s="14"/>
      <c r="C2278" s="14"/>
      <c r="D2278" s="14"/>
      <c r="E2278" s="14"/>
      <c r="F2278" s="22"/>
      <c r="G2278" s="22"/>
      <c r="P2278" s="14"/>
      <c r="AP2278" s="23"/>
      <c r="AQ2278" s="23"/>
      <c r="AR2278" s="23"/>
      <c r="AS2278" s="23"/>
      <c r="AT2278" s="23"/>
      <c r="AU2278" s="23"/>
      <c r="AV2278" s="23"/>
      <c r="AW2278" s="23"/>
      <c r="AX2278" s="23"/>
      <c r="AY2278" s="23"/>
      <c r="AZ2278" s="23"/>
      <c r="BK2278" s="16"/>
    </row>
    <row r="2279" s="23" customFormat="true" ht="12.75" hidden="false" customHeight="false" outlineLevel="0" collapsed="false">
      <c r="A2279" s="1"/>
      <c r="B2279" s="14"/>
      <c r="C2279" s="14"/>
      <c r="D2279" s="14"/>
      <c r="E2279" s="14"/>
      <c r="F2279" s="22"/>
      <c r="G2279" s="22"/>
      <c r="T2279" s="5"/>
      <c r="BA2279" s="5"/>
      <c r="BK2279" s="16"/>
    </row>
    <row r="2280" customFormat="false" ht="12.75" hidden="false" customHeight="false" outlineLevel="0" collapsed="false">
      <c r="B2280" s="14"/>
      <c r="C2280" s="14"/>
      <c r="D2280" s="14"/>
      <c r="E2280" s="14"/>
      <c r="F2280" s="22"/>
      <c r="G2280" s="22"/>
      <c r="P2280" s="14"/>
      <c r="AP2280" s="23"/>
      <c r="AQ2280" s="23"/>
      <c r="AR2280" s="23"/>
      <c r="AS2280" s="23"/>
      <c r="AT2280" s="23"/>
      <c r="AU2280" s="23"/>
      <c r="AV2280" s="23"/>
      <c r="AW2280" s="23"/>
      <c r="AX2280" s="23"/>
      <c r="AY2280" s="23"/>
      <c r="AZ2280" s="23"/>
      <c r="BK2280" s="16"/>
    </row>
    <row r="2281" customFormat="false" ht="12.75" hidden="false" customHeight="false" outlineLevel="0" collapsed="false">
      <c r="B2281" s="14"/>
      <c r="C2281" s="14"/>
      <c r="D2281" s="14"/>
      <c r="E2281" s="14"/>
      <c r="F2281" s="22"/>
      <c r="G2281" s="15"/>
      <c r="AP2281" s="23"/>
      <c r="AQ2281" s="23"/>
      <c r="AR2281" s="23"/>
      <c r="AS2281" s="23"/>
      <c r="AT2281" s="23"/>
      <c r="AU2281" s="23"/>
      <c r="AV2281" s="23"/>
      <c r="AW2281" s="23"/>
      <c r="AX2281" s="23"/>
      <c r="AY2281" s="23"/>
      <c r="AZ2281" s="23"/>
      <c r="BB2281" s="23"/>
      <c r="BK2281" s="16"/>
    </row>
    <row r="2282" s="23" customFormat="true" ht="12.75" hidden="false" customHeight="false" outlineLevel="0" collapsed="false">
      <c r="A2282" s="1"/>
      <c r="B2282" s="14"/>
      <c r="C2282" s="14"/>
      <c r="D2282" s="14"/>
      <c r="E2282" s="14"/>
      <c r="F2282" s="22"/>
      <c r="G2282" s="22"/>
      <c r="T2282" s="5"/>
      <c r="AP2282" s="3"/>
      <c r="AQ2282" s="3"/>
      <c r="AR2282" s="3"/>
      <c r="AS2282" s="3"/>
      <c r="AT2282" s="3"/>
      <c r="AU2282" s="3"/>
      <c r="AV2282" s="3"/>
      <c r="AW2282" s="3"/>
      <c r="AX2282" s="3"/>
      <c r="AY2282" s="3"/>
      <c r="AZ2282" s="3"/>
      <c r="BA2282" s="5"/>
      <c r="BK2282" s="16"/>
    </row>
    <row r="2283" customFormat="false" ht="12.75" hidden="false" customHeight="false" outlineLevel="0" collapsed="false">
      <c r="B2283" s="14"/>
      <c r="C2283" s="14"/>
      <c r="D2283" s="14"/>
      <c r="E2283" s="14"/>
      <c r="F2283" s="22"/>
      <c r="G2283" s="22"/>
      <c r="P2283" s="14"/>
      <c r="AP2283" s="23"/>
      <c r="AQ2283" s="23"/>
      <c r="AR2283" s="23"/>
      <c r="AS2283" s="23"/>
      <c r="AT2283" s="23"/>
      <c r="AU2283" s="23"/>
      <c r="AV2283" s="23"/>
      <c r="AW2283" s="23"/>
      <c r="AX2283" s="23"/>
      <c r="AY2283" s="23"/>
      <c r="AZ2283" s="23"/>
      <c r="BK2283" s="16"/>
    </row>
    <row r="2284" s="23" customFormat="true" ht="12.75" hidden="false" customHeight="false" outlineLevel="0" collapsed="false">
      <c r="A2284" s="1"/>
      <c r="B2284" s="14"/>
      <c r="C2284" s="14"/>
      <c r="D2284" s="14"/>
      <c r="E2284" s="14"/>
      <c r="F2284" s="22"/>
      <c r="G2284" s="22"/>
      <c r="T2284" s="5"/>
      <c r="AP2284" s="3"/>
      <c r="AQ2284" s="3"/>
      <c r="AR2284" s="3"/>
      <c r="AS2284" s="3"/>
      <c r="AT2284" s="3"/>
      <c r="AU2284" s="3"/>
      <c r="AV2284" s="3"/>
      <c r="AW2284" s="3"/>
      <c r="AX2284" s="3"/>
      <c r="AY2284" s="3"/>
      <c r="AZ2284" s="3"/>
      <c r="BA2284" s="5"/>
      <c r="BK2284" s="16"/>
    </row>
    <row r="2285" customFormat="false" ht="12.75" hidden="false" customHeight="false" outlineLevel="0" collapsed="false">
      <c r="B2285" s="14"/>
      <c r="C2285" s="14"/>
      <c r="D2285" s="14"/>
      <c r="E2285" s="14"/>
      <c r="F2285" s="22"/>
      <c r="G2285" s="22"/>
      <c r="AP2285" s="23"/>
      <c r="AQ2285" s="23"/>
      <c r="AR2285" s="23"/>
      <c r="AS2285" s="23"/>
      <c r="AT2285" s="23"/>
      <c r="AU2285" s="23"/>
      <c r="AV2285" s="23"/>
      <c r="AW2285" s="23"/>
      <c r="AX2285" s="23"/>
      <c r="AY2285" s="23"/>
      <c r="AZ2285" s="23"/>
      <c r="BK2285" s="16"/>
    </row>
    <row r="2286" s="23" customFormat="true" ht="12.75" hidden="false" customHeight="false" outlineLevel="0" collapsed="false">
      <c r="A2286" s="1"/>
      <c r="B2286" s="14"/>
      <c r="C2286" s="14"/>
      <c r="D2286" s="14"/>
      <c r="E2286" s="14"/>
      <c r="F2286" s="22"/>
      <c r="G2286" s="22"/>
      <c r="T2286" s="5"/>
      <c r="AP2286" s="3"/>
      <c r="AQ2286" s="3"/>
      <c r="AR2286" s="3"/>
      <c r="AS2286" s="3"/>
      <c r="AT2286" s="3"/>
      <c r="AU2286" s="3"/>
      <c r="AV2286" s="3"/>
      <c r="AW2286" s="3"/>
      <c r="AX2286" s="3"/>
      <c r="AY2286" s="3"/>
      <c r="AZ2286" s="3"/>
      <c r="BA2286" s="5"/>
      <c r="BB2286" s="3"/>
      <c r="BK2286" s="16"/>
    </row>
    <row r="2287" s="23" customFormat="true" ht="12.75" hidden="false" customHeight="false" outlineLevel="0" collapsed="false">
      <c r="A2287" s="1"/>
      <c r="B2287" s="14"/>
      <c r="C2287" s="14"/>
      <c r="D2287" s="14"/>
      <c r="E2287" s="14"/>
      <c r="F2287" s="22"/>
      <c r="G2287" s="22"/>
      <c r="T2287" s="5"/>
      <c r="BA2287" s="5"/>
      <c r="BK2287" s="16"/>
    </row>
    <row r="2288" customFormat="false" ht="12.75" hidden="false" customHeight="false" outlineLevel="0" collapsed="false">
      <c r="B2288" s="14"/>
      <c r="C2288" s="14"/>
      <c r="D2288" s="14"/>
      <c r="E2288" s="14"/>
      <c r="F2288" s="22"/>
      <c r="G2288" s="15"/>
      <c r="AP2288" s="23"/>
      <c r="AQ2288" s="23"/>
      <c r="AR2288" s="23"/>
      <c r="AS2288" s="23"/>
      <c r="AT2288" s="23"/>
      <c r="AU2288" s="23"/>
      <c r="AV2288" s="23"/>
      <c r="AW2288" s="23"/>
      <c r="AX2288" s="23"/>
      <c r="AY2288" s="23"/>
      <c r="AZ2288" s="23"/>
      <c r="BB2288" s="23"/>
      <c r="BK2288" s="16"/>
    </row>
    <row r="2289" s="23" customFormat="true" ht="12.75" hidden="false" customHeight="false" outlineLevel="0" collapsed="false">
      <c r="A2289" s="1"/>
      <c r="B2289" s="14"/>
      <c r="C2289" s="14"/>
      <c r="D2289" s="14"/>
      <c r="E2289" s="14"/>
      <c r="F2289" s="22"/>
      <c r="G2289" s="22"/>
      <c r="T2289" s="5"/>
      <c r="AP2289" s="3"/>
      <c r="AQ2289" s="3"/>
      <c r="AR2289" s="3"/>
      <c r="AS2289" s="3"/>
      <c r="AT2289" s="3"/>
      <c r="AU2289" s="3"/>
      <c r="AV2289" s="3"/>
      <c r="AW2289" s="3"/>
      <c r="AX2289" s="3"/>
      <c r="AY2289" s="3"/>
      <c r="AZ2289" s="3"/>
      <c r="BA2289" s="5"/>
      <c r="BK2289" s="16"/>
    </row>
    <row r="2290" s="23" customFormat="true" ht="12.75" hidden="false" customHeight="false" outlineLevel="0" collapsed="false">
      <c r="A2290" s="1"/>
      <c r="B2290" s="14"/>
      <c r="C2290" s="14"/>
      <c r="D2290" s="14"/>
      <c r="E2290" s="14"/>
      <c r="F2290" s="22"/>
      <c r="G2290" s="22"/>
      <c r="T2290" s="5"/>
      <c r="BA2290" s="5"/>
      <c r="BK2290" s="16"/>
    </row>
    <row r="2291" s="23" customFormat="true" ht="12.75" hidden="false" customHeight="false" outlineLevel="0" collapsed="false">
      <c r="A2291" s="1"/>
      <c r="B2291" s="14"/>
      <c r="C2291" s="14"/>
      <c r="D2291" s="14"/>
      <c r="E2291" s="14"/>
      <c r="F2291" s="22"/>
      <c r="G2291" s="61"/>
      <c r="T2291" s="5"/>
      <c r="BA2291" s="5"/>
      <c r="BK2291" s="16"/>
    </row>
    <row r="2292" s="23" customFormat="true" ht="12.75" hidden="false" customHeight="false" outlineLevel="0" collapsed="false">
      <c r="A2292" s="1"/>
      <c r="B2292" s="14"/>
      <c r="C2292" s="14"/>
      <c r="D2292" s="14"/>
      <c r="E2292" s="14"/>
      <c r="F2292" s="22"/>
      <c r="G2292" s="61"/>
      <c r="T2292" s="5"/>
      <c r="BA2292" s="5"/>
      <c r="BK2292" s="16"/>
    </row>
    <row r="2293" s="23" customFormat="true" ht="12.75" hidden="false" customHeight="false" outlineLevel="0" collapsed="false">
      <c r="A2293" s="1"/>
      <c r="B2293" s="14"/>
      <c r="C2293" s="14"/>
      <c r="D2293" s="14"/>
      <c r="E2293" s="14"/>
      <c r="F2293" s="22"/>
      <c r="G2293" s="22"/>
      <c r="T2293" s="5"/>
      <c r="AP2293" s="3"/>
      <c r="AQ2293" s="3"/>
      <c r="AR2293" s="3"/>
      <c r="AS2293" s="3"/>
      <c r="AT2293" s="3"/>
      <c r="AU2293" s="3"/>
      <c r="AV2293" s="3"/>
      <c r="AW2293" s="3"/>
      <c r="AX2293" s="3"/>
      <c r="AY2293" s="3"/>
      <c r="AZ2293" s="3"/>
      <c r="BA2293" s="5"/>
      <c r="BK2293" s="16"/>
    </row>
    <row r="2294" s="23" customFormat="true" ht="12.75" hidden="false" customHeight="false" outlineLevel="0" collapsed="false">
      <c r="A2294" s="1"/>
      <c r="B2294" s="14"/>
      <c r="C2294" s="14"/>
      <c r="D2294" s="14"/>
      <c r="E2294" s="14"/>
      <c r="F2294" s="22"/>
      <c r="G2294" s="61"/>
      <c r="T2294" s="5"/>
      <c r="BA2294" s="5"/>
      <c r="BK2294" s="16"/>
    </row>
    <row r="2295" s="23" customFormat="true" ht="12.75" hidden="false" customHeight="false" outlineLevel="0" collapsed="false">
      <c r="A2295" s="1"/>
      <c r="B2295" s="14"/>
      <c r="C2295" s="14"/>
      <c r="D2295" s="14"/>
      <c r="E2295" s="14"/>
      <c r="F2295" s="22"/>
      <c r="G2295" s="22"/>
      <c r="T2295" s="5"/>
      <c r="BA2295" s="5"/>
      <c r="BK2295" s="16"/>
    </row>
    <row r="2296" s="23" customFormat="true" ht="12.75" hidden="false" customHeight="false" outlineLevel="0" collapsed="false">
      <c r="A2296" s="1"/>
      <c r="B2296" s="14"/>
      <c r="C2296" s="14"/>
      <c r="D2296" s="14"/>
      <c r="E2296" s="14"/>
      <c r="F2296" s="22"/>
      <c r="G2296" s="61"/>
      <c r="T2296" s="5"/>
      <c r="BA2296" s="5"/>
      <c r="BK2296" s="16"/>
    </row>
    <row r="2297" s="23" customFormat="true" ht="12.75" hidden="false" customHeight="false" outlineLevel="0" collapsed="false">
      <c r="A2297" s="1"/>
      <c r="B2297" s="14"/>
      <c r="C2297" s="14"/>
      <c r="D2297" s="14"/>
      <c r="E2297" s="14"/>
      <c r="F2297" s="22"/>
      <c r="G2297" s="22"/>
      <c r="T2297" s="5"/>
      <c r="BA2297" s="5"/>
      <c r="BK2297" s="16"/>
    </row>
    <row r="2298" s="23" customFormat="true" ht="12.75" hidden="false" customHeight="false" outlineLevel="0" collapsed="false">
      <c r="A2298" s="1"/>
      <c r="B2298" s="14"/>
      <c r="C2298" s="14"/>
      <c r="D2298" s="14"/>
      <c r="E2298" s="14"/>
      <c r="F2298" s="22"/>
      <c r="G2298" s="61"/>
      <c r="T2298" s="5"/>
      <c r="BA2298" s="5"/>
      <c r="BK2298" s="16"/>
    </row>
    <row r="2299" s="23" customFormat="true" ht="12.75" hidden="false" customHeight="false" outlineLevel="0" collapsed="false">
      <c r="A2299" s="1"/>
      <c r="B2299" s="14"/>
      <c r="C2299" s="14"/>
      <c r="D2299" s="14"/>
      <c r="E2299" s="14"/>
      <c r="F2299" s="22"/>
      <c r="G2299" s="22"/>
      <c r="T2299" s="5"/>
      <c r="BA2299" s="5"/>
      <c r="BB2299" s="3"/>
      <c r="BK2299" s="16"/>
    </row>
    <row r="2300" s="23" customFormat="true" ht="12.75" hidden="false" customHeight="false" outlineLevel="0" collapsed="false">
      <c r="A2300" s="1"/>
      <c r="B2300" s="14"/>
      <c r="C2300" s="14"/>
      <c r="D2300" s="14"/>
      <c r="E2300" s="14"/>
      <c r="F2300" s="22"/>
      <c r="G2300" s="22"/>
      <c r="T2300" s="5"/>
      <c r="BA2300" s="5"/>
      <c r="BB2300" s="3"/>
      <c r="BK2300" s="16"/>
    </row>
    <row r="2301" s="23" customFormat="true" ht="12.75" hidden="false" customHeight="false" outlineLevel="0" collapsed="false">
      <c r="A2301" s="1"/>
      <c r="B2301" s="14"/>
      <c r="C2301" s="14"/>
      <c r="D2301" s="14"/>
      <c r="E2301" s="14"/>
      <c r="F2301" s="22"/>
      <c r="G2301" s="22"/>
      <c r="T2301" s="5"/>
      <c r="BA2301" s="5"/>
      <c r="BK2301" s="16"/>
    </row>
    <row r="2302" s="23" customFormat="true" ht="12.75" hidden="false" customHeight="false" outlineLevel="0" collapsed="false">
      <c r="A2302" s="1"/>
      <c r="B2302" s="14"/>
      <c r="C2302" s="14"/>
      <c r="D2302" s="14"/>
      <c r="E2302" s="14"/>
      <c r="F2302" s="22"/>
      <c r="G2302" s="22"/>
      <c r="T2302" s="5"/>
      <c r="AP2302" s="3"/>
      <c r="AQ2302" s="3"/>
      <c r="AR2302" s="3"/>
      <c r="AS2302" s="3"/>
      <c r="AT2302" s="3"/>
      <c r="AU2302" s="3"/>
      <c r="AV2302" s="3"/>
      <c r="AW2302" s="3"/>
      <c r="AX2302" s="3"/>
      <c r="AY2302" s="3"/>
      <c r="AZ2302" s="3"/>
      <c r="BA2302" s="5"/>
      <c r="BK2302" s="16"/>
    </row>
    <row r="2303" s="23" customFormat="true" ht="12.75" hidden="false" customHeight="false" outlineLevel="0" collapsed="false">
      <c r="A2303" s="1"/>
      <c r="B2303" s="14"/>
      <c r="C2303" s="14"/>
      <c r="D2303" s="14"/>
      <c r="E2303" s="14"/>
      <c r="F2303" s="22"/>
      <c r="G2303" s="22"/>
      <c r="T2303" s="5"/>
      <c r="BA2303" s="5"/>
      <c r="BB2303" s="3"/>
      <c r="BK2303" s="16"/>
    </row>
    <row r="2304" s="23" customFormat="true" ht="12.75" hidden="false" customHeight="false" outlineLevel="0" collapsed="false">
      <c r="A2304" s="1"/>
      <c r="B2304" s="14"/>
      <c r="C2304" s="14"/>
      <c r="D2304" s="14"/>
      <c r="E2304" s="14"/>
      <c r="F2304" s="22"/>
      <c r="G2304" s="22"/>
      <c r="T2304" s="5"/>
      <c r="AZ2304" s="3"/>
      <c r="BA2304" s="5"/>
      <c r="BK2304" s="16"/>
    </row>
    <row r="2305" s="23" customFormat="true" ht="12.75" hidden="false" customHeight="false" outlineLevel="0" collapsed="false">
      <c r="A2305" s="1"/>
      <c r="B2305" s="14"/>
      <c r="C2305" s="14"/>
      <c r="D2305" s="14"/>
      <c r="E2305" s="14"/>
      <c r="F2305" s="22"/>
      <c r="G2305" s="22"/>
      <c r="T2305" s="5"/>
      <c r="BA2305" s="5"/>
      <c r="BK2305" s="16"/>
    </row>
    <row r="2306" customFormat="false" ht="12.75" hidden="false" customHeight="false" outlineLevel="0" collapsed="false">
      <c r="B2306" s="14"/>
      <c r="C2306" s="14"/>
      <c r="D2306" s="14"/>
      <c r="E2306" s="14"/>
      <c r="F2306" s="22"/>
      <c r="G2306" s="15"/>
      <c r="AP2306" s="23"/>
      <c r="AQ2306" s="23"/>
      <c r="AR2306" s="23"/>
      <c r="AS2306" s="23"/>
      <c r="AT2306" s="23"/>
      <c r="AU2306" s="23"/>
      <c r="AV2306" s="23"/>
      <c r="AW2306" s="23"/>
      <c r="AX2306" s="23"/>
      <c r="AY2306" s="23"/>
      <c r="AZ2306" s="23"/>
      <c r="BB2306" s="23"/>
      <c r="BK2306" s="16"/>
    </row>
    <row r="2307" s="23" customFormat="true" ht="12.75" hidden="false" customHeight="false" outlineLevel="0" collapsed="false">
      <c r="A2307" s="1"/>
      <c r="B2307" s="14"/>
      <c r="C2307" s="14"/>
      <c r="D2307" s="14"/>
      <c r="E2307" s="14"/>
      <c r="F2307" s="22"/>
      <c r="G2307" s="22"/>
      <c r="T2307" s="5"/>
      <c r="BA2307" s="5"/>
      <c r="BK2307" s="16"/>
    </row>
    <row r="2308" s="23" customFormat="true" ht="12.75" hidden="false" customHeight="false" outlineLevel="0" collapsed="false">
      <c r="A2308" s="1"/>
      <c r="B2308" s="14"/>
      <c r="C2308" s="14"/>
      <c r="D2308" s="14"/>
      <c r="E2308" s="14"/>
      <c r="F2308" s="22"/>
      <c r="G2308" s="22"/>
      <c r="T2308" s="5"/>
      <c r="AZ2308" s="3"/>
      <c r="BA2308" s="5"/>
      <c r="BK2308" s="16"/>
    </row>
    <row r="2309" s="23" customFormat="true" ht="12.75" hidden="false" customHeight="false" outlineLevel="0" collapsed="false">
      <c r="A2309" s="1"/>
      <c r="B2309" s="14"/>
      <c r="C2309" s="14"/>
      <c r="D2309" s="14"/>
      <c r="E2309" s="14"/>
      <c r="F2309" s="22"/>
      <c r="G2309" s="22"/>
      <c r="T2309" s="5"/>
      <c r="AP2309" s="3"/>
      <c r="AQ2309" s="3"/>
      <c r="AR2309" s="3"/>
      <c r="AS2309" s="3"/>
      <c r="AT2309" s="3"/>
      <c r="AU2309" s="3"/>
      <c r="AV2309" s="3"/>
      <c r="AW2309" s="3"/>
      <c r="AX2309" s="3"/>
      <c r="AY2309" s="3"/>
      <c r="AZ2309" s="3"/>
      <c r="BA2309" s="5"/>
      <c r="BK2309" s="16"/>
    </row>
    <row r="2310" s="23" customFormat="true" ht="12.75" hidden="false" customHeight="false" outlineLevel="0" collapsed="false">
      <c r="A2310" s="1"/>
      <c r="B2310" s="14"/>
      <c r="C2310" s="14"/>
      <c r="D2310" s="14"/>
      <c r="E2310" s="14"/>
      <c r="F2310" s="22"/>
      <c r="G2310" s="61"/>
      <c r="T2310" s="5"/>
      <c r="BA2310" s="5"/>
      <c r="BK2310" s="16"/>
    </row>
    <row r="2311" customFormat="false" ht="12.75" hidden="false" customHeight="false" outlineLevel="0" collapsed="false">
      <c r="B2311" s="14"/>
      <c r="C2311" s="14"/>
      <c r="D2311" s="14"/>
      <c r="E2311" s="14"/>
      <c r="F2311" s="15"/>
      <c r="G2311" s="22"/>
      <c r="BK2311" s="16"/>
    </row>
    <row r="2312" s="23" customFormat="true" ht="12.75" hidden="false" customHeight="false" outlineLevel="0" collapsed="false">
      <c r="A2312" s="1"/>
      <c r="B2312" s="14"/>
      <c r="C2312" s="14"/>
      <c r="D2312" s="14"/>
      <c r="E2312" s="14"/>
      <c r="F2312" s="22"/>
      <c r="G2312" s="22"/>
      <c r="T2312" s="5"/>
      <c r="AP2312" s="3"/>
      <c r="AQ2312" s="3"/>
      <c r="AR2312" s="3"/>
      <c r="AS2312" s="3"/>
      <c r="AT2312" s="3"/>
      <c r="AU2312" s="3"/>
      <c r="AV2312" s="3"/>
      <c r="AW2312" s="3"/>
      <c r="AX2312" s="3"/>
      <c r="AY2312" s="3"/>
      <c r="AZ2312" s="3"/>
      <c r="BA2312" s="5"/>
      <c r="BB2312" s="3"/>
      <c r="BK2312" s="16"/>
    </row>
    <row r="2313" s="23" customFormat="true" ht="12.75" hidden="false" customHeight="false" outlineLevel="0" collapsed="false">
      <c r="A2313" s="1"/>
      <c r="B2313" s="14"/>
      <c r="C2313" s="14"/>
      <c r="D2313" s="14"/>
      <c r="E2313" s="14"/>
      <c r="F2313" s="22"/>
      <c r="G2313" s="61"/>
      <c r="T2313" s="5"/>
      <c r="BA2313" s="5"/>
      <c r="BK2313" s="16"/>
    </row>
    <row r="2314" s="23" customFormat="true" ht="12.75" hidden="false" customHeight="false" outlineLevel="0" collapsed="false">
      <c r="A2314" s="1"/>
      <c r="B2314" s="14"/>
      <c r="C2314" s="14"/>
      <c r="D2314" s="14"/>
      <c r="E2314" s="14"/>
      <c r="F2314" s="22"/>
      <c r="G2314" s="61"/>
      <c r="T2314" s="5"/>
      <c r="BA2314" s="5"/>
      <c r="BK2314" s="16"/>
    </row>
    <row r="2315" s="23" customFormat="true" ht="12.75" hidden="false" customHeight="false" outlineLevel="0" collapsed="false">
      <c r="A2315" s="1"/>
      <c r="B2315" s="14"/>
      <c r="C2315" s="14"/>
      <c r="D2315" s="14"/>
      <c r="E2315" s="14"/>
      <c r="F2315" s="22"/>
      <c r="G2315" s="61"/>
      <c r="T2315" s="5"/>
      <c r="BA2315" s="5"/>
      <c r="BK2315" s="16"/>
    </row>
    <row r="2316" customFormat="false" ht="12" hidden="false" customHeight="true" outlineLevel="0" collapsed="false">
      <c r="B2316" s="14"/>
      <c r="C2316" s="14"/>
      <c r="D2316" s="14"/>
      <c r="E2316" s="14"/>
      <c r="F2316" s="15"/>
      <c r="G2316" s="22"/>
      <c r="AP2316" s="23"/>
      <c r="AQ2316" s="23"/>
      <c r="AR2316" s="23"/>
      <c r="AS2316" s="23"/>
      <c r="AT2316" s="23"/>
      <c r="AU2316" s="23"/>
      <c r="AV2316" s="23"/>
      <c r="AW2316" s="23"/>
      <c r="AX2316" s="23"/>
      <c r="AY2316" s="23"/>
      <c r="AZ2316" s="23"/>
      <c r="BB2316" s="23"/>
      <c r="BC2316" s="23"/>
      <c r="BD2316" s="23"/>
      <c r="BE2316" s="23"/>
      <c r="BF2316" s="23"/>
      <c r="BG2316" s="23"/>
      <c r="BH2316" s="23"/>
      <c r="BI2316" s="23"/>
      <c r="BJ2316" s="23"/>
      <c r="BK2316" s="16"/>
    </row>
    <row r="2317" s="23" customFormat="true" ht="12.75" hidden="false" customHeight="false" outlineLevel="0" collapsed="false">
      <c r="A2317" s="1"/>
      <c r="B2317" s="14"/>
      <c r="C2317" s="14"/>
      <c r="D2317" s="14"/>
      <c r="E2317" s="14"/>
      <c r="F2317" s="22"/>
      <c r="G2317" s="61"/>
      <c r="T2317" s="5"/>
      <c r="BA2317" s="5"/>
      <c r="BK2317" s="16"/>
    </row>
    <row r="2318" customFormat="false" ht="12" hidden="false" customHeight="true" outlineLevel="0" collapsed="false">
      <c r="B2318" s="14"/>
      <c r="C2318" s="14"/>
      <c r="D2318" s="14"/>
      <c r="E2318" s="14"/>
      <c r="F2318" s="15"/>
      <c r="G2318" s="22"/>
      <c r="BB2318" s="23"/>
      <c r="BC2318" s="23"/>
      <c r="BD2318" s="23"/>
      <c r="BE2318" s="23"/>
      <c r="BF2318" s="23"/>
      <c r="BG2318" s="23"/>
      <c r="BH2318" s="23"/>
      <c r="BI2318" s="23"/>
      <c r="BJ2318" s="23"/>
      <c r="BK2318" s="16"/>
    </row>
    <row r="2319" customFormat="false" ht="12.75" hidden="false" customHeight="false" outlineLevel="0" collapsed="false">
      <c r="B2319" s="14"/>
      <c r="C2319" s="14"/>
      <c r="D2319" s="14"/>
      <c r="E2319" s="14"/>
      <c r="F2319" s="22"/>
      <c r="G2319" s="22"/>
      <c r="BK2319" s="16"/>
    </row>
    <row r="2320" s="23" customFormat="true" ht="12.75" hidden="false" customHeight="false" outlineLevel="0" collapsed="false">
      <c r="A2320" s="1"/>
      <c r="B2320" s="14"/>
      <c r="C2320" s="14"/>
      <c r="D2320" s="14"/>
      <c r="E2320" s="14"/>
      <c r="F2320" s="22"/>
      <c r="G2320" s="22"/>
      <c r="T2320" s="5"/>
      <c r="AP2320" s="3"/>
      <c r="AQ2320" s="3"/>
      <c r="AR2320" s="3"/>
      <c r="AS2320" s="3"/>
      <c r="AT2320" s="3"/>
      <c r="AU2320" s="3"/>
      <c r="AV2320" s="3"/>
      <c r="AW2320" s="3"/>
      <c r="AX2320" s="3"/>
      <c r="AY2320" s="3"/>
      <c r="AZ2320" s="3"/>
      <c r="BA2320" s="5"/>
      <c r="BB2320" s="3"/>
      <c r="BK2320" s="16"/>
    </row>
    <row r="2321" customFormat="false" ht="12" hidden="false" customHeight="true" outlineLevel="0" collapsed="false">
      <c r="B2321" s="14"/>
      <c r="C2321" s="14"/>
      <c r="D2321" s="14"/>
      <c r="E2321" s="14"/>
      <c r="F2321" s="15"/>
      <c r="G2321" s="22"/>
      <c r="BB2321" s="23"/>
      <c r="BC2321" s="23"/>
      <c r="BD2321" s="23"/>
      <c r="BE2321" s="23"/>
      <c r="BF2321" s="23"/>
      <c r="BG2321" s="23"/>
      <c r="BH2321" s="23"/>
      <c r="BI2321" s="23"/>
      <c r="BJ2321" s="23"/>
      <c r="BK2321" s="16"/>
    </row>
    <row r="2322" s="23" customFormat="true" ht="12.75" hidden="false" customHeight="false" outlineLevel="0" collapsed="false">
      <c r="A2322" s="1"/>
      <c r="B2322" s="14"/>
      <c r="C2322" s="14"/>
      <c r="D2322" s="14"/>
      <c r="E2322" s="14"/>
      <c r="F2322" s="22"/>
      <c r="G2322" s="22"/>
      <c r="T2322" s="5"/>
      <c r="BA2322" s="5"/>
      <c r="BB2322" s="3"/>
      <c r="BK2322" s="16"/>
    </row>
    <row r="2323" s="23" customFormat="true" ht="12.75" hidden="false" customHeight="false" outlineLevel="0" collapsed="false">
      <c r="A2323" s="1"/>
      <c r="B2323" s="14"/>
      <c r="C2323" s="14"/>
      <c r="D2323" s="14"/>
      <c r="E2323" s="14"/>
      <c r="F2323" s="22"/>
      <c r="G2323" s="22"/>
      <c r="T2323" s="5"/>
      <c r="BA2323" s="5"/>
      <c r="BK2323" s="16"/>
    </row>
    <row r="2324" customFormat="false" ht="12" hidden="false" customHeight="true" outlineLevel="0" collapsed="false">
      <c r="B2324" s="14"/>
      <c r="C2324" s="14"/>
      <c r="D2324" s="14"/>
      <c r="E2324" s="14"/>
      <c r="F2324" s="15"/>
      <c r="G2324" s="22"/>
      <c r="AP2324" s="23"/>
      <c r="AQ2324" s="23"/>
      <c r="AR2324" s="23"/>
      <c r="AS2324" s="23"/>
      <c r="AT2324" s="23"/>
      <c r="AU2324" s="23"/>
      <c r="AV2324" s="23"/>
      <c r="AW2324" s="23"/>
      <c r="AX2324" s="23"/>
      <c r="AY2324" s="23"/>
      <c r="AZ2324" s="23"/>
      <c r="BB2324" s="23"/>
      <c r="BC2324" s="23"/>
      <c r="BD2324" s="23"/>
      <c r="BE2324" s="23"/>
      <c r="BF2324" s="23"/>
      <c r="BG2324" s="23"/>
      <c r="BH2324" s="23"/>
      <c r="BI2324" s="23"/>
      <c r="BJ2324" s="23"/>
      <c r="BK2324" s="16"/>
    </row>
    <row r="2325" customFormat="false" ht="12" hidden="false" customHeight="true" outlineLevel="0" collapsed="false">
      <c r="B2325" s="14"/>
      <c r="C2325" s="14"/>
      <c r="D2325" s="14"/>
      <c r="E2325" s="14"/>
      <c r="F2325" s="15"/>
      <c r="G2325" s="22"/>
      <c r="BB2325" s="23"/>
      <c r="BC2325" s="23"/>
      <c r="BD2325" s="23"/>
      <c r="BE2325" s="23"/>
      <c r="BF2325" s="23"/>
      <c r="BG2325" s="23"/>
      <c r="BH2325" s="23"/>
      <c r="BI2325" s="23"/>
      <c r="BJ2325" s="23"/>
      <c r="BK2325" s="16"/>
    </row>
    <row r="2326" s="23" customFormat="true" ht="12.75" hidden="false" customHeight="false" outlineLevel="0" collapsed="false">
      <c r="A2326" s="1"/>
      <c r="B2326" s="14"/>
      <c r="C2326" s="14"/>
      <c r="D2326" s="14"/>
      <c r="E2326" s="14"/>
      <c r="F2326" s="22"/>
      <c r="G2326" s="22"/>
      <c r="T2326" s="5"/>
      <c r="AP2326" s="3"/>
      <c r="AQ2326" s="3"/>
      <c r="AR2326" s="3"/>
      <c r="AS2326" s="3"/>
      <c r="AT2326" s="3"/>
      <c r="AU2326" s="3"/>
      <c r="AV2326" s="3"/>
      <c r="AW2326" s="3"/>
      <c r="AX2326" s="3"/>
      <c r="AY2326" s="3"/>
      <c r="AZ2326" s="3"/>
      <c r="BA2326" s="5"/>
      <c r="BK2326" s="16"/>
    </row>
    <row r="2327" s="23" customFormat="true" ht="12.75" hidden="false" customHeight="false" outlineLevel="0" collapsed="false">
      <c r="A2327" s="1"/>
      <c r="B2327" s="14"/>
      <c r="C2327" s="14"/>
      <c r="D2327" s="14"/>
      <c r="E2327" s="14"/>
      <c r="F2327" s="22"/>
      <c r="G2327" s="22"/>
      <c r="T2327" s="5"/>
      <c r="AP2327" s="3"/>
      <c r="AQ2327" s="3"/>
      <c r="AR2327" s="3"/>
      <c r="AS2327" s="3"/>
      <c r="AT2327" s="3"/>
      <c r="AU2327" s="3"/>
      <c r="AV2327" s="3"/>
      <c r="AW2327" s="3"/>
      <c r="AX2327" s="3"/>
      <c r="AY2327" s="3"/>
      <c r="AZ2327" s="3"/>
      <c r="BA2327" s="5"/>
      <c r="BB2327" s="3"/>
      <c r="BK2327" s="16"/>
    </row>
    <row r="2328" s="23" customFormat="true" ht="12.75" hidden="false" customHeight="false" outlineLevel="0" collapsed="false">
      <c r="A2328" s="1"/>
      <c r="B2328" s="14"/>
      <c r="C2328" s="14"/>
      <c r="D2328" s="14"/>
      <c r="E2328" s="14"/>
      <c r="F2328" s="22"/>
      <c r="G2328" s="22"/>
      <c r="T2328" s="5"/>
      <c r="AP2328" s="3"/>
      <c r="AQ2328" s="3"/>
      <c r="AR2328" s="3"/>
      <c r="AS2328" s="3"/>
      <c r="AT2328" s="3"/>
      <c r="AU2328" s="3"/>
      <c r="AV2328" s="3"/>
      <c r="AW2328" s="3"/>
      <c r="AX2328" s="3"/>
      <c r="AY2328" s="3"/>
      <c r="AZ2328" s="3"/>
      <c r="BA2328" s="5"/>
      <c r="BB2328" s="3"/>
      <c r="BK2328" s="16"/>
    </row>
    <row r="2329" s="11" customFormat="true" ht="12.75" hidden="false" customHeight="false" outlineLevel="0" collapsed="false">
      <c r="A2329" s="7"/>
      <c r="B2329" s="53"/>
      <c r="C2329" s="53"/>
      <c r="D2329" s="53"/>
      <c r="E2329" s="53"/>
      <c r="F2329" s="53"/>
      <c r="G2329" s="53"/>
      <c r="T2329" s="54"/>
      <c r="BA2329" s="54"/>
      <c r="BK2329" s="13"/>
    </row>
    <row r="2330" customFormat="false" ht="12.75" hidden="false" customHeight="false" outlineLevel="0" collapsed="false">
      <c r="B2330" s="14"/>
      <c r="C2330" s="14"/>
      <c r="D2330" s="14"/>
      <c r="E2330" s="14"/>
      <c r="F2330" s="22"/>
      <c r="G2330" s="22"/>
      <c r="BK2330" s="16"/>
    </row>
    <row r="2331" customFormat="false" ht="12" hidden="false" customHeight="true" outlineLevel="0" collapsed="false">
      <c r="B2331" s="14"/>
      <c r="C2331" s="14"/>
      <c r="D2331" s="14"/>
      <c r="E2331" s="14"/>
      <c r="F2331" s="22"/>
      <c r="G2331" s="22"/>
      <c r="AP2331" s="23"/>
      <c r="AQ2331" s="23"/>
      <c r="AR2331" s="23"/>
      <c r="AS2331" s="23"/>
      <c r="AT2331" s="23"/>
      <c r="AU2331" s="23"/>
      <c r="AV2331" s="23"/>
      <c r="AW2331" s="23"/>
      <c r="AX2331" s="23"/>
      <c r="AY2331" s="23"/>
      <c r="AZ2331" s="23"/>
      <c r="BB2331" s="23"/>
      <c r="BC2331" s="23"/>
      <c r="BD2331" s="23"/>
      <c r="BE2331" s="23"/>
      <c r="BF2331" s="23"/>
      <c r="BG2331" s="23"/>
      <c r="BH2331" s="23"/>
      <c r="BI2331" s="23"/>
      <c r="BJ2331" s="23"/>
      <c r="BK2331" s="16"/>
    </row>
    <row r="2332" s="23" customFormat="true" ht="12.75" hidden="false" customHeight="false" outlineLevel="0" collapsed="false">
      <c r="A2332" s="1"/>
      <c r="B2332" s="14"/>
      <c r="C2332" s="14"/>
      <c r="D2332" s="14"/>
      <c r="E2332" s="14"/>
      <c r="F2332" s="22"/>
      <c r="G2332" s="22"/>
      <c r="T2332" s="5"/>
      <c r="BA2332" s="5"/>
      <c r="BK2332" s="16"/>
    </row>
    <row r="2333" customFormat="false" ht="12.75" hidden="false" customHeight="false" outlineLevel="0" collapsed="false">
      <c r="B2333" s="14"/>
      <c r="C2333" s="14"/>
      <c r="D2333" s="14"/>
      <c r="E2333" s="14"/>
      <c r="F2333" s="22"/>
      <c r="G2333" s="22"/>
      <c r="BK2333" s="16"/>
    </row>
    <row r="2334" customFormat="false" ht="12" hidden="false" customHeight="true" outlineLevel="0" collapsed="false">
      <c r="B2334" s="14"/>
      <c r="C2334" s="14"/>
      <c r="D2334" s="14"/>
      <c r="E2334" s="14"/>
      <c r="F2334" s="22"/>
      <c r="G2334" s="22"/>
      <c r="BB2334" s="23"/>
      <c r="BC2334" s="23"/>
      <c r="BD2334" s="23"/>
      <c r="BE2334" s="23"/>
      <c r="BF2334" s="23"/>
      <c r="BG2334" s="23"/>
      <c r="BH2334" s="23"/>
      <c r="BI2334" s="23"/>
      <c r="BJ2334" s="23"/>
      <c r="BK2334" s="16"/>
    </row>
    <row r="2335" s="23" customFormat="true" ht="12.75" hidden="false" customHeight="false" outlineLevel="0" collapsed="false">
      <c r="A2335" s="1"/>
      <c r="B2335" s="14"/>
      <c r="C2335" s="14"/>
      <c r="D2335" s="14"/>
      <c r="E2335" s="14"/>
      <c r="F2335" s="22"/>
      <c r="G2335" s="22"/>
      <c r="T2335" s="5"/>
      <c r="AP2335" s="3"/>
      <c r="AQ2335" s="3"/>
      <c r="AR2335" s="3"/>
      <c r="AS2335" s="3"/>
      <c r="AT2335" s="3"/>
      <c r="AU2335" s="3"/>
      <c r="AV2335" s="3"/>
      <c r="AW2335" s="3"/>
      <c r="AX2335" s="3"/>
      <c r="AY2335" s="3"/>
      <c r="AZ2335" s="3"/>
      <c r="BA2335" s="5"/>
      <c r="BB2335" s="3"/>
      <c r="BK2335" s="16"/>
    </row>
    <row r="2336" s="23" customFormat="true" ht="12.75" hidden="false" customHeight="false" outlineLevel="0" collapsed="false">
      <c r="A2336" s="1"/>
      <c r="B2336" s="14"/>
      <c r="C2336" s="14"/>
      <c r="D2336" s="14"/>
      <c r="E2336" s="14"/>
      <c r="F2336" s="22"/>
      <c r="G2336" s="22"/>
      <c r="T2336" s="5"/>
      <c r="AP2336" s="3"/>
      <c r="AQ2336" s="3"/>
      <c r="AR2336" s="3"/>
      <c r="AS2336" s="3"/>
      <c r="AT2336" s="3"/>
      <c r="AU2336" s="3"/>
      <c r="AV2336" s="3"/>
      <c r="AW2336" s="3"/>
      <c r="AX2336" s="3"/>
      <c r="AY2336" s="3"/>
      <c r="AZ2336" s="3"/>
      <c r="BA2336" s="5"/>
      <c r="BB2336" s="3"/>
      <c r="BK2336" s="16"/>
    </row>
    <row r="2337" customFormat="false" ht="12.75" hidden="false" customHeight="false" outlineLevel="0" collapsed="false">
      <c r="B2337" s="14"/>
      <c r="C2337" s="14"/>
      <c r="D2337" s="14"/>
      <c r="E2337" s="14"/>
      <c r="F2337" s="22"/>
      <c r="G2337" s="22"/>
      <c r="BK2337" s="16"/>
    </row>
    <row r="2338" customFormat="false" ht="12.75" hidden="false" customHeight="false" outlineLevel="0" collapsed="false">
      <c r="B2338" s="14"/>
      <c r="C2338" s="14"/>
      <c r="D2338" s="14"/>
      <c r="E2338" s="14"/>
      <c r="F2338" s="22"/>
      <c r="G2338" s="22"/>
      <c r="BK2338" s="16"/>
    </row>
    <row r="2339" s="23" customFormat="true" ht="12.75" hidden="false" customHeight="false" outlineLevel="0" collapsed="false">
      <c r="A2339" s="1"/>
      <c r="B2339" s="14"/>
      <c r="C2339" s="14"/>
      <c r="D2339" s="14"/>
      <c r="E2339" s="14"/>
      <c r="F2339" s="22"/>
      <c r="G2339" s="22"/>
      <c r="T2339" s="5"/>
      <c r="AP2339" s="3"/>
      <c r="AQ2339" s="3"/>
      <c r="AR2339" s="3"/>
      <c r="AS2339" s="3"/>
      <c r="AT2339" s="3"/>
      <c r="AU2339" s="3"/>
      <c r="AV2339" s="3"/>
      <c r="AW2339" s="3"/>
      <c r="AX2339" s="3"/>
      <c r="AY2339" s="3"/>
      <c r="AZ2339" s="3"/>
      <c r="BA2339" s="5"/>
      <c r="BK2339" s="16"/>
    </row>
    <row r="2340" s="23" customFormat="true" ht="12.75" hidden="false" customHeight="false" outlineLevel="0" collapsed="false">
      <c r="A2340" s="1"/>
      <c r="B2340" s="14"/>
      <c r="C2340" s="14"/>
      <c r="D2340" s="14"/>
      <c r="E2340" s="14"/>
      <c r="F2340" s="22"/>
      <c r="G2340" s="22"/>
      <c r="T2340" s="5"/>
      <c r="AP2340" s="3"/>
      <c r="AQ2340" s="3"/>
      <c r="AR2340" s="3"/>
      <c r="AS2340" s="3"/>
      <c r="AT2340" s="3"/>
      <c r="AU2340" s="3"/>
      <c r="AV2340" s="3"/>
      <c r="AW2340" s="3"/>
      <c r="AX2340" s="3"/>
      <c r="AY2340" s="3"/>
      <c r="AZ2340" s="3"/>
      <c r="BA2340" s="5"/>
      <c r="BK2340" s="16"/>
    </row>
    <row r="2341" customFormat="false" ht="12" hidden="false" customHeight="true" outlineLevel="0" collapsed="false">
      <c r="B2341" s="14"/>
      <c r="C2341" s="14"/>
      <c r="D2341" s="14"/>
      <c r="E2341" s="14"/>
      <c r="F2341" s="22"/>
      <c r="G2341" s="22"/>
      <c r="BB2341" s="23"/>
      <c r="BC2341" s="23"/>
      <c r="BD2341" s="23"/>
      <c r="BE2341" s="23"/>
      <c r="BF2341" s="23"/>
      <c r="BG2341" s="23"/>
      <c r="BH2341" s="23"/>
      <c r="BI2341" s="23"/>
      <c r="BJ2341" s="23"/>
      <c r="BK2341" s="16"/>
    </row>
    <row r="2342" s="23" customFormat="true" ht="12.75" hidden="false" customHeight="false" outlineLevel="0" collapsed="false">
      <c r="A2342" s="1"/>
      <c r="B2342" s="14"/>
      <c r="C2342" s="14"/>
      <c r="D2342" s="14"/>
      <c r="E2342" s="14"/>
      <c r="F2342" s="22"/>
      <c r="G2342" s="22"/>
      <c r="T2342" s="5"/>
      <c r="AP2342" s="3"/>
      <c r="AQ2342" s="3"/>
      <c r="AR2342" s="3"/>
      <c r="AS2342" s="3"/>
      <c r="AT2342" s="3"/>
      <c r="AU2342" s="3"/>
      <c r="AV2342" s="3"/>
      <c r="AW2342" s="3"/>
      <c r="AX2342" s="3"/>
      <c r="AY2342" s="3"/>
      <c r="AZ2342" s="3"/>
      <c r="BA2342" s="5"/>
      <c r="BB2342" s="3"/>
      <c r="BK2342" s="16"/>
    </row>
    <row r="2343" s="23" customFormat="true" ht="12.75" hidden="false" customHeight="false" outlineLevel="0" collapsed="false">
      <c r="A2343" s="1"/>
      <c r="B2343" s="14"/>
      <c r="C2343" s="14"/>
      <c r="D2343" s="14"/>
      <c r="E2343" s="14"/>
      <c r="F2343" s="22"/>
      <c r="G2343" s="22"/>
      <c r="T2343" s="5"/>
      <c r="AP2343" s="3"/>
      <c r="AQ2343" s="3"/>
      <c r="AR2343" s="3"/>
      <c r="AS2343" s="3"/>
      <c r="AT2343" s="3"/>
      <c r="AU2343" s="3"/>
      <c r="AV2343" s="3"/>
      <c r="AW2343" s="3"/>
      <c r="AX2343" s="3"/>
      <c r="AY2343" s="3"/>
      <c r="AZ2343" s="3"/>
      <c r="BA2343" s="5"/>
      <c r="BB2343" s="3"/>
      <c r="BK2343" s="16"/>
    </row>
    <row r="2344" customFormat="false" ht="12" hidden="false" customHeight="true" outlineLevel="0" collapsed="false">
      <c r="B2344" s="14"/>
      <c r="C2344" s="14"/>
      <c r="D2344" s="14"/>
      <c r="E2344" s="14"/>
      <c r="F2344" s="22"/>
      <c r="G2344" s="22"/>
      <c r="BB2344" s="23"/>
      <c r="BC2344" s="23"/>
      <c r="BD2344" s="23"/>
      <c r="BE2344" s="23"/>
      <c r="BF2344" s="23"/>
      <c r="BG2344" s="23"/>
      <c r="BH2344" s="23"/>
      <c r="BI2344" s="23"/>
      <c r="BJ2344" s="23"/>
      <c r="BK2344" s="16"/>
    </row>
    <row r="2345" customFormat="false" ht="12.75" hidden="false" customHeight="false" outlineLevel="0" collapsed="false">
      <c r="B2345" s="14"/>
      <c r="C2345" s="14"/>
      <c r="D2345" s="14"/>
      <c r="E2345" s="14"/>
      <c r="F2345" s="22"/>
      <c r="G2345" s="22"/>
      <c r="BK2345" s="16"/>
    </row>
    <row r="2346" s="23" customFormat="true" ht="12.75" hidden="false" customHeight="false" outlineLevel="0" collapsed="false">
      <c r="A2346" s="1"/>
      <c r="B2346" s="14"/>
      <c r="C2346" s="14"/>
      <c r="D2346" s="14"/>
      <c r="E2346" s="14"/>
      <c r="F2346" s="22"/>
      <c r="G2346" s="22"/>
      <c r="T2346" s="5"/>
      <c r="AP2346" s="3"/>
      <c r="AQ2346" s="3"/>
      <c r="AR2346" s="3"/>
      <c r="AS2346" s="3"/>
      <c r="AT2346" s="3"/>
      <c r="AU2346" s="3"/>
      <c r="AV2346" s="3"/>
      <c r="AW2346" s="3"/>
      <c r="AX2346" s="3"/>
      <c r="AY2346" s="3"/>
      <c r="AZ2346" s="3"/>
      <c r="BA2346" s="5"/>
      <c r="BB2346" s="3"/>
      <c r="BK2346" s="16"/>
    </row>
    <row r="2347" customFormat="false" ht="12" hidden="false" customHeight="true" outlineLevel="0" collapsed="false">
      <c r="B2347" s="14"/>
      <c r="C2347" s="14"/>
      <c r="D2347" s="14"/>
      <c r="E2347" s="14"/>
      <c r="F2347" s="22"/>
      <c r="G2347" s="22"/>
      <c r="BB2347" s="23"/>
      <c r="BC2347" s="23"/>
      <c r="BD2347" s="23"/>
      <c r="BE2347" s="23"/>
      <c r="BF2347" s="23"/>
      <c r="BG2347" s="23"/>
      <c r="BH2347" s="23"/>
      <c r="BI2347" s="23"/>
      <c r="BJ2347" s="23"/>
      <c r="BK2347" s="16"/>
    </row>
    <row r="2348" customFormat="false" ht="12.75" hidden="false" customHeight="false" outlineLevel="0" collapsed="false">
      <c r="B2348" s="14"/>
      <c r="C2348" s="14"/>
      <c r="D2348" s="14"/>
      <c r="E2348" s="14"/>
      <c r="F2348" s="22"/>
      <c r="G2348" s="15"/>
      <c r="AP2348" s="23"/>
      <c r="AQ2348" s="23"/>
      <c r="AR2348" s="23"/>
      <c r="AS2348" s="23"/>
      <c r="AT2348" s="23"/>
      <c r="AU2348" s="23"/>
      <c r="AV2348" s="23"/>
      <c r="AW2348" s="23"/>
      <c r="AX2348" s="23"/>
      <c r="AY2348" s="23"/>
      <c r="AZ2348" s="23"/>
      <c r="BB2348" s="23"/>
      <c r="BK2348" s="16"/>
    </row>
    <row r="2349" customFormat="false" ht="12.75" hidden="false" customHeight="false" outlineLevel="0" collapsed="false">
      <c r="B2349" s="14"/>
      <c r="C2349" s="14"/>
      <c r="D2349" s="14"/>
      <c r="E2349" s="14"/>
      <c r="F2349" s="22"/>
      <c r="G2349" s="22"/>
      <c r="BK2349" s="16"/>
    </row>
    <row r="2350" customFormat="false" ht="12.75" hidden="false" customHeight="false" outlineLevel="0" collapsed="false">
      <c r="B2350" s="14"/>
      <c r="C2350" s="14"/>
      <c r="D2350" s="14"/>
      <c r="E2350" s="14"/>
      <c r="F2350" s="22"/>
      <c r="G2350" s="22"/>
      <c r="BK2350" s="16"/>
    </row>
    <row r="2351" customFormat="false" ht="12" hidden="false" customHeight="true" outlineLevel="0" collapsed="false">
      <c r="B2351" s="14"/>
      <c r="C2351" s="14"/>
      <c r="D2351" s="14"/>
      <c r="E2351" s="14"/>
      <c r="F2351" s="22"/>
      <c r="G2351" s="22"/>
      <c r="BB2351" s="23"/>
      <c r="BC2351" s="23"/>
      <c r="BD2351" s="23"/>
      <c r="BE2351" s="23"/>
      <c r="BF2351" s="23"/>
      <c r="BG2351" s="23"/>
      <c r="BH2351" s="23"/>
      <c r="BI2351" s="23"/>
      <c r="BJ2351" s="23"/>
      <c r="BK2351" s="16"/>
    </row>
    <row r="2352" s="23" customFormat="true" ht="12.75" hidden="false" customHeight="false" outlineLevel="0" collapsed="false">
      <c r="A2352" s="1"/>
      <c r="B2352" s="14"/>
      <c r="C2352" s="14"/>
      <c r="D2352" s="14"/>
      <c r="E2352" s="14"/>
      <c r="F2352" s="22"/>
      <c r="G2352" s="22"/>
      <c r="T2352" s="5"/>
      <c r="AP2352" s="3"/>
      <c r="AQ2352" s="3"/>
      <c r="AR2352" s="3"/>
      <c r="AS2352" s="3"/>
      <c r="AT2352" s="3"/>
      <c r="AU2352" s="3"/>
      <c r="AV2352" s="3"/>
      <c r="AW2352" s="3"/>
      <c r="AX2352" s="3"/>
      <c r="AY2352" s="3"/>
      <c r="AZ2352" s="3"/>
      <c r="BA2352" s="5"/>
      <c r="BK2352" s="16"/>
    </row>
    <row r="2353" s="23" customFormat="true" ht="12.75" hidden="false" customHeight="false" outlineLevel="0" collapsed="false">
      <c r="A2353" s="1"/>
      <c r="B2353" s="14"/>
      <c r="C2353" s="14"/>
      <c r="D2353" s="14"/>
      <c r="E2353" s="14"/>
      <c r="F2353" s="22"/>
      <c r="G2353" s="22"/>
      <c r="T2353" s="5"/>
      <c r="AP2353" s="3"/>
      <c r="AQ2353" s="3"/>
      <c r="AR2353" s="3"/>
      <c r="AS2353" s="3"/>
      <c r="AT2353" s="3"/>
      <c r="AU2353" s="3"/>
      <c r="AV2353" s="3"/>
      <c r="AW2353" s="3"/>
      <c r="AX2353" s="3"/>
      <c r="AY2353" s="3"/>
      <c r="AZ2353" s="3"/>
      <c r="BA2353" s="5"/>
      <c r="BK2353" s="16"/>
    </row>
    <row r="2354" s="23" customFormat="true" ht="12.75" hidden="false" customHeight="false" outlineLevel="0" collapsed="false">
      <c r="A2354" s="1"/>
      <c r="B2354" s="14"/>
      <c r="C2354" s="14"/>
      <c r="D2354" s="14"/>
      <c r="E2354" s="14"/>
      <c r="F2354" s="22"/>
      <c r="G2354" s="22"/>
      <c r="T2354" s="5"/>
      <c r="AP2354" s="3"/>
      <c r="AQ2354" s="3"/>
      <c r="AR2354" s="3"/>
      <c r="AS2354" s="3"/>
      <c r="AT2354" s="3"/>
      <c r="AU2354" s="3"/>
      <c r="AV2354" s="3"/>
      <c r="AW2354" s="3"/>
      <c r="AX2354" s="3"/>
      <c r="AY2354" s="3"/>
      <c r="AZ2354" s="3"/>
      <c r="BA2354" s="5"/>
      <c r="BB2354" s="3"/>
      <c r="BK2354" s="16"/>
    </row>
    <row r="2355" s="23" customFormat="true" ht="12.75" hidden="false" customHeight="false" outlineLevel="0" collapsed="false">
      <c r="A2355" s="1"/>
      <c r="B2355" s="14"/>
      <c r="C2355" s="14"/>
      <c r="D2355" s="14"/>
      <c r="E2355" s="14"/>
      <c r="F2355" s="22"/>
      <c r="G2355" s="22"/>
      <c r="T2355" s="5"/>
      <c r="AP2355" s="3"/>
      <c r="AQ2355" s="3"/>
      <c r="AR2355" s="3"/>
      <c r="AS2355" s="3"/>
      <c r="AT2355" s="3"/>
      <c r="AU2355" s="3"/>
      <c r="AV2355" s="3"/>
      <c r="AW2355" s="3"/>
      <c r="AX2355" s="3"/>
      <c r="AY2355" s="3"/>
      <c r="AZ2355" s="3"/>
      <c r="BA2355" s="5"/>
      <c r="BB2355" s="3"/>
      <c r="BK2355" s="16"/>
    </row>
    <row r="2356" customFormat="false" ht="12.75" hidden="false" customHeight="false" outlineLevel="0" collapsed="false">
      <c r="B2356" s="14"/>
      <c r="C2356" s="14"/>
      <c r="D2356" s="14"/>
      <c r="E2356" s="14"/>
      <c r="F2356" s="22"/>
      <c r="G2356" s="22"/>
      <c r="BK2356" s="16"/>
    </row>
    <row r="2357" customFormat="false" ht="12.75" hidden="false" customHeight="false" outlineLevel="0" collapsed="false">
      <c r="B2357" s="14"/>
      <c r="C2357" s="14"/>
      <c r="D2357" s="14"/>
      <c r="E2357" s="14"/>
      <c r="F2357" s="22"/>
      <c r="G2357" s="22"/>
      <c r="BK2357" s="16"/>
    </row>
    <row r="2358" s="23" customFormat="true" ht="12.75" hidden="false" customHeight="false" outlineLevel="0" collapsed="false">
      <c r="A2358" s="1"/>
      <c r="B2358" s="14"/>
      <c r="C2358" s="14"/>
      <c r="D2358" s="14"/>
      <c r="E2358" s="14"/>
      <c r="F2358" s="22"/>
      <c r="G2358" s="22"/>
      <c r="T2358" s="5"/>
      <c r="AP2358" s="3"/>
      <c r="AQ2358" s="3"/>
      <c r="AR2358" s="3"/>
      <c r="AS2358" s="3"/>
      <c r="AT2358" s="3"/>
      <c r="AU2358" s="3"/>
      <c r="AV2358" s="3"/>
      <c r="AW2358" s="3"/>
      <c r="AX2358" s="3"/>
      <c r="AY2358" s="3"/>
      <c r="AZ2358" s="3"/>
      <c r="BA2358" s="5"/>
      <c r="BB2358" s="3"/>
      <c r="BK2358" s="16"/>
    </row>
    <row r="2359" customFormat="false" ht="12.75" hidden="false" customHeight="false" outlineLevel="0" collapsed="false">
      <c r="B2359" s="14"/>
      <c r="C2359" s="14"/>
      <c r="D2359" s="14"/>
      <c r="E2359" s="14"/>
      <c r="F2359" s="22"/>
      <c r="G2359" s="22"/>
      <c r="BK2359" s="16"/>
    </row>
    <row r="2360" customFormat="false" ht="12" hidden="false" customHeight="true" outlineLevel="0" collapsed="false">
      <c r="B2360" s="14"/>
      <c r="C2360" s="14"/>
      <c r="D2360" s="14"/>
      <c r="E2360" s="14"/>
      <c r="F2360" s="22"/>
      <c r="G2360" s="22"/>
      <c r="BB2360" s="23"/>
      <c r="BC2360" s="23"/>
      <c r="BD2360" s="23"/>
      <c r="BE2360" s="23"/>
      <c r="BF2360" s="23"/>
      <c r="BG2360" s="23"/>
      <c r="BH2360" s="23"/>
      <c r="BI2360" s="23"/>
      <c r="BJ2360" s="23"/>
      <c r="BK2360" s="16"/>
    </row>
    <row r="2361" customFormat="false" ht="12" hidden="false" customHeight="true" outlineLevel="0" collapsed="false">
      <c r="B2361" s="14"/>
      <c r="C2361" s="14"/>
      <c r="D2361" s="14"/>
      <c r="E2361" s="14"/>
      <c r="F2361" s="22"/>
      <c r="G2361" s="22"/>
      <c r="BB2361" s="23"/>
      <c r="BC2361" s="23"/>
      <c r="BD2361" s="23"/>
      <c r="BE2361" s="23"/>
      <c r="BF2361" s="23"/>
      <c r="BG2361" s="23"/>
      <c r="BH2361" s="23"/>
      <c r="BI2361" s="23"/>
      <c r="BJ2361" s="23"/>
      <c r="BK2361" s="16"/>
    </row>
    <row r="2362" s="23" customFormat="true" ht="12.75" hidden="false" customHeight="false" outlineLevel="0" collapsed="false">
      <c r="A2362" s="1"/>
      <c r="B2362" s="14"/>
      <c r="C2362" s="14"/>
      <c r="D2362" s="14"/>
      <c r="E2362" s="14"/>
      <c r="F2362" s="22"/>
      <c r="G2362" s="22"/>
      <c r="T2362" s="5"/>
      <c r="AP2362" s="3"/>
      <c r="AQ2362" s="3"/>
      <c r="AR2362" s="3"/>
      <c r="AS2362" s="3"/>
      <c r="AT2362" s="3"/>
      <c r="AU2362" s="3"/>
      <c r="AV2362" s="3"/>
      <c r="AW2362" s="3"/>
      <c r="AX2362" s="3"/>
      <c r="AY2362" s="3"/>
      <c r="AZ2362" s="3"/>
      <c r="BA2362" s="5"/>
      <c r="BB2362" s="3"/>
      <c r="BK2362" s="16"/>
    </row>
    <row r="2363" s="23" customFormat="true" ht="12.75" hidden="false" customHeight="false" outlineLevel="0" collapsed="false">
      <c r="A2363" s="1"/>
      <c r="B2363" s="14"/>
      <c r="C2363" s="14"/>
      <c r="D2363" s="14"/>
      <c r="E2363" s="14"/>
      <c r="F2363" s="22"/>
      <c r="G2363" s="22"/>
      <c r="T2363" s="5"/>
      <c r="AP2363" s="3"/>
      <c r="AQ2363" s="3"/>
      <c r="AR2363" s="3"/>
      <c r="AS2363" s="3"/>
      <c r="AT2363" s="3"/>
      <c r="AU2363" s="3"/>
      <c r="AV2363" s="3"/>
      <c r="AW2363" s="3"/>
      <c r="AX2363" s="3"/>
      <c r="AY2363" s="3"/>
      <c r="AZ2363" s="3"/>
      <c r="BA2363" s="5"/>
      <c r="BK2363" s="16"/>
    </row>
    <row r="2364" s="23" customFormat="true" ht="12.75" hidden="false" customHeight="false" outlineLevel="0" collapsed="false">
      <c r="A2364" s="1"/>
      <c r="B2364" s="14"/>
      <c r="C2364" s="14"/>
      <c r="D2364" s="14"/>
      <c r="E2364" s="14"/>
      <c r="F2364" s="22"/>
      <c r="G2364" s="22"/>
      <c r="T2364" s="5"/>
      <c r="AP2364" s="3"/>
      <c r="AQ2364" s="3"/>
      <c r="AR2364" s="3"/>
      <c r="AS2364" s="3"/>
      <c r="AT2364" s="3"/>
      <c r="AU2364" s="3"/>
      <c r="AV2364" s="3"/>
      <c r="AW2364" s="3"/>
      <c r="AX2364" s="3"/>
      <c r="AY2364" s="3"/>
      <c r="AZ2364" s="3"/>
      <c r="BA2364" s="5"/>
      <c r="BK2364" s="16"/>
    </row>
    <row r="2365" customFormat="false" ht="12.75" hidden="false" customHeight="false" outlineLevel="0" collapsed="false">
      <c r="B2365" s="14"/>
      <c r="C2365" s="14"/>
      <c r="D2365" s="14"/>
      <c r="E2365" s="14"/>
      <c r="F2365" s="22"/>
      <c r="G2365" s="22"/>
      <c r="V2365" s="23"/>
      <c r="W2365" s="23"/>
      <c r="X2365" s="23"/>
      <c r="Y2365" s="23"/>
      <c r="Z2365" s="23"/>
      <c r="AA2365" s="23"/>
      <c r="AB2365" s="23"/>
      <c r="AC2365" s="23"/>
      <c r="AD2365" s="23"/>
      <c r="AE2365" s="23"/>
      <c r="AF2365" s="23"/>
      <c r="AG2365" s="23"/>
      <c r="AH2365" s="23"/>
      <c r="AI2365" s="23"/>
      <c r="AJ2365" s="23"/>
      <c r="AK2365" s="23"/>
      <c r="AL2365" s="23"/>
      <c r="AM2365" s="23"/>
      <c r="AN2365" s="23"/>
      <c r="AO2365" s="23"/>
      <c r="BK2365" s="16"/>
    </row>
    <row r="2366" s="23" customFormat="true" ht="12.75" hidden="false" customHeight="false" outlineLevel="0" collapsed="false">
      <c r="A2366" s="1"/>
      <c r="B2366" s="14"/>
      <c r="C2366" s="14"/>
      <c r="D2366" s="14"/>
      <c r="E2366" s="14"/>
      <c r="F2366" s="22"/>
      <c r="G2366" s="22"/>
      <c r="T2366" s="5"/>
      <c r="AP2366" s="3"/>
      <c r="AQ2366" s="3"/>
      <c r="AR2366" s="3"/>
      <c r="AS2366" s="3"/>
      <c r="AT2366" s="3"/>
      <c r="AU2366" s="3"/>
      <c r="AV2366" s="3"/>
      <c r="AW2366" s="3"/>
      <c r="AX2366" s="3"/>
      <c r="AY2366" s="3"/>
      <c r="AZ2366" s="3"/>
      <c r="BA2366" s="5"/>
      <c r="BB2366" s="3"/>
      <c r="BK2366" s="16"/>
    </row>
    <row r="2367" customFormat="false" ht="12.75" hidden="false" customHeight="false" outlineLevel="0" collapsed="false">
      <c r="B2367" s="14"/>
      <c r="C2367" s="14"/>
      <c r="D2367" s="14"/>
      <c r="E2367" s="14"/>
      <c r="F2367" s="22"/>
      <c r="G2367" s="15"/>
      <c r="BB2367" s="23"/>
      <c r="BK2367" s="16"/>
    </row>
    <row r="2368" s="23" customFormat="true" ht="12.75" hidden="false" customHeight="false" outlineLevel="0" collapsed="false">
      <c r="A2368" s="1"/>
      <c r="B2368" s="14"/>
      <c r="C2368" s="14"/>
      <c r="D2368" s="14"/>
      <c r="E2368" s="14"/>
      <c r="F2368" s="22"/>
      <c r="G2368" s="22"/>
      <c r="T2368" s="5"/>
      <c r="V2368" s="3"/>
      <c r="W2368" s="3"/>
      <c r="X2368" s="3"/>
      <c r="Y2368" s="3"/>
      <c r="Z2368" s="3"/>
      <c r="AA2368" s="3"/>
      <c r="AB2368" s="3"/>
      <c r="AP2368" s="3"/>
      <c r="AQ2368" s="3"/>
      <c r="AR2368" s="3"/>
      <c r="AS2368" s="3"/>
      <c r="AT2368" s="3"/>
      <c r="AU2368" s="3"/>
      <c r="AV2368" s="3"/>
      <c r="AW2368" s="3"/>
      <c r="AX2368" s="3"/>
      <c r="AY2368" s="3"/>
      <c r="AZ2368" s="3"/>
      <c r="BA2368" s="5"/>
      <c r="BK2368" s="16"/>
    </row>
    <row r="2369" customFormat="false" ht="12" hidden="false" customHeight="true" outlineLevel="0" collapsed="false">
      <c r="B2369" s="14"/>
      <c r="C2369" s="14"/>
      <c r="D2369" s="14"/>
      <c r="E2369" s="14"/>
      <c r="F2369" s="22"/>
      <c r="G2369" s="22"/>
      <c r="BB2369" s="23"/>
      <c r="BC2369" s="23"/>
      <c r="BD2369" s="23"/>
      <c r="BE2369" s="23"/>
      <c r="BF2369" s="23"/>
      <c r="BG2369" s="23"/>
      <c r="BH2369" s="23"/>
      <c r="BI2369" s="23"/>
      <c r="BJ2369" s="23"/>
      <c r="BK2369" s="16"/>
    </row>
    <row r="2370" s="23" customFormat="true" ht="12.75" hidden="false" customHeight="false" outlineLevel="0" collapsed="false">
      <c r="A2370" s="1"/>
      <c r="B2370" s="14"/>
      <c r="C2370" s="14"/>
      <c r="D2370" s="14"/>
      <c r="E2370" s="14"/>
      <c r="F2370" s="22"/>
      <c r="G2370" s="22"/>
      <c r="T2370" s="5"/>
      <c r="AP2370" s="3"/>
      <c r="AQ2370" s="3"/>
      <c r="AR2370" s="3"/>
      <c r="AS2370" s="3"/>
      <c r="AT2370" s="3"/>
      <c r="AU2370" s="3"/>
      <c r="AV2370" s="3"/>
      <c r="AW2370" s="3"/>
      <c r="AX2370" s="3"/>
      <c r="AY2370" s="3"/>
      <c r="AZ2370" s="3"/>
      <c r="BA2370" s="5"/>
      <c r="BB2370" s="3"/>
      <c r="BK2370" s="16"/>
    </row>
    <row r="2371" customFormat="false" ht="12.75" hidden="false" customHeight="false" outlineLevel="0" collapsed="false">
      <c r="B2371" s="14"/>
      <c r="C2371" s="14"/>
      <c r="D2371" s="14"/>
      <c r="E2371" s="14"/>
      <c r="F2371" s="22"/>
      <c r="G2371" s="22"/>
      <c r="V2371" s="23"/>
      <c r="W2371" s="23"/>
      <c r="X2371" s="23"/>
      <c r="Y2371" s="23"/>
      <c r="Z2371" s="23"/>
      <c r="AA2371" s="23"/>
      <c r="AB2371" s="23"/>
      <c r="AC2371" s="23"/>
      <c r="AD2371" s="23"/>
      <c r="AE2371" s="23"/>
      <c r="AF2371" s="23"/>
      <c r="AG2371" s="23"/>
      <c r="AH2371" s="23"/>
      <c r="AI2371" s="23"/>
      <c r="AJ2371" s="23"/>
      <c r="AK2371" s="23"/>
      <c r="AL2371" s="23"/>
      <c r="AM2371" s="23"/>
      <c r="AN2371" s="23"/>
      <c r="AO2371" s="23"/>
      <c r="BK2371" s="16"/>
    </row>
    <row r="2372" s="23" customFormat="true" ht="12.75" hidden="false" customHeight="false" outlineLevel="0" collapsed="false">
      <c r="A2372" s="1"/>
      <c r="B2372" s="14"/>
      <c r="C2372" s="14"/>
      <c r="D2372" s="14"/>
      <c r="E2372" s="14"/>
      <c r="F2372" s="22"/>
      <c r="G2372" s="22"/>
      <c r="T2372" s="5"/>
      <c r="V2372" s="3"/>
      <c r="W2372" s="3"/>
      <c r="X2372" s="3"/>
      <c r="Y2372" s="3"/>
      <c r="Z2372" s="3"/>
      <c r="AA2372" s="3"/>
      <c r="AB2372" s="3"/>
      <c r="AP2372" s="3"/>
      <c r="AQ2372" s="3"/>
      <c r="AR2372" s="3"/>
      <c r="AS2372" s="3"/>
      <c r="AT2372" s="3"/>
      <c r="AU2372" s="3"/>
      <c r="AV2372" s="3"/>
      <c r="AW2372" s="3"/>
      <c r="AX2372" s="3"/>
      <c r="AY2372" s="3"/>
      <c r="AZ2372" s="3"/>
      <c r="BA2372" s="5"/>
      <c r="BK2372" s="16"/>
    </row>
    <row r="2373" customFormat="false" ht="12.75" hidden="false" customHeight="false" outlineLevel="0" collapsed="false">
      <c r="B2373" s="14"/>
      <c r="C2373" s="14"/>
      <c r="D2373" s="14"/>
      <c r="E2373" s="14"/>
      <c r="F2373" s="22"/>
      <c r="G2373" s="15"/>
      <c r="AP2373" s="23"/>
      <c r="AQ2373" s="23"/>
      <c r="AR2373" s="23"/>
      <c r="AS2373" s="23"/>
      <c r="AT2373" s="23"/>
      <c r="AU2373" s="23"/>
      <c r="AV2373" s="23"/>
      <c r="AW2373" s="23"/>
      <c r="AX2373" s="23"/>
      <c r="AY2373" s="23"/>
      <c r="AZ2373" s="23"/>
      <c r="BB2373" s="23"/>
      <c r="BK2373" s="16"/>
    </row>
    <row r="2374" s="23" customFormat="true" ht="12.75" hidden="false" customHeight="false" outlineLevel="0" collapsed="false">
      <c r="A2374" s="1"/>
      <c r="B2374" s="14"/>
      <c r="C2374" s="14"/>
      <c r="D2374" s="14"/>
      <c r="E2374" s="14"/>
      <c r="F2374" s="22"/>
      <c r="G2374" s="22"/>
      <c r="T2374" s="5"/>
      <c r="V2374" s="3"/>
      <c r="W2374" s="3"/>
      <c r="X2374" s="3"/>
      <c r="Y2374" s="3"/>
      <c r="Z2374" s="3"/>
      <c r="AA2374" s="3"/>
      <c r="AB2374" s="3"/>
      <c r="AP2374" s="3"/>
      <c r="AQ2374" s="3"/>
      <c r="AR2374" s="3"/>
      <c r="AS2374" s="3"/>
      <c r="AT2374" s="3"/>
      <c r="AU2374" s="3"/>
      <c r="AV2374" s="3"/>
      <c r="AW2374" s="3"/>
      <c r="AX2374" s="3"/>
      <c r="AY2374" s="3"/>
      <c r="AZ2374" s="3"/>
      <c r="BA2374" s="5"/>
      <c r="BK2374" s="16"/>
    </row>
    <row r="2375" customFormat="false" ht="12" hidden="false" customHeight="true" outlineLevel="0" collapsed="false">
      <c r="B2375" s="14"/>
      <c r="C2375" s="14"/>
      <c r="D2375" s="14"/>
      <c r="E2375" s="14"/>
      <c r="F2375" s="22"/>
      <c r="G2375" s="22"/>
      <c r="BB2375" s="23"/>
      <c r="BC2375" s="23"/>
      <c r="BD2375" s="23"/>
      <c r="BE2375" s="23"/>
      <c r="BF2375" s="23"/>
      <c r="BG2375" s="23"/>
      <c r="BH2375" s="23"/>
      <c r="BI2375" s="23"/>
      <c r="BJ2375" s="23"/>
      <c r="BK2375" s="16"/>
    </row>
    <row r="2376" s="23" customFormat="true" ht="12.75" hidden="false" customHeight="false" outlineLevel="0" collapsed="false">
      <c r="A2376" s="1"/>
      <c r="B2376" s="14"/>
      <c r="C2376" s="14"/>
      <c r="D2376" s="14"/>
      <c r="E2376" s="14"/>
      <c r="F2376" s="22"/>
      <c r="G2376" s="22"/>
      <c r="T2376" s="5"/>
      <c r="AP2376" s="3"/>
      <c r="AQ2376" s="3"/>
      <c r="AR2376" s="3"/>
      <c r="AS2376" s="3"/>
      <c r="AT2376" s="3"/>
      <c r="AU2376" s="3"/>
      <c r="AV2376" s="3"/>
      <c r="AW2376" s="3"/>
      <c r="AX2376" s="3"/>
      <c r="AY2376" s="3"/>
      <c r="AZ2376" s="3"/>
      <c r="BA2376" s="5"/>
      <c r="BK2376" s="16"/>
    </row>
    <row r="2377" customFormat="false" ht="12.75" hidden="false" customHeight="false" outlineLevel="0" collapsed="false">
      <c r="B2377" s="14"/>
      <c r="C2377" s="14"/>
      <c r="D2377" s="14"/>
      <c r="E2377" s="14"/>
      <c r="F2377" s="22"/>
      <c r="G2377" s="22"/>
      <c r="BK2377" s="16"/>
    </row>
    <row r="2378" s="23" customFormat="true" ht="12.75" hidden="false" customHeight="false" outlineLevel="0" collapsed="false">
      <c r="A2378" s="1"/>
      <c r="B2378" s="14"/>
      <c r="C2378" s="14"/>
      <c r="D2378" s="14"/>
      <c r="E2378" s="14"/>
      <c r="F2378" s="22"/>
      <c r="G2378" s="22"/>
      <c r="T2378" s="5"/>
      <c r="AP2378" s="3"/>
      <c r="AQ2378" s="3"/>
      <c r="AR2378" s="3"/>
      <c r="AS2378" s="3"/>
      <c r="AT2378" s="3"/>
      <c r="AU2378" s="3"/>
      <c r="AV2378" s="3"/>
      <c r="AW2378" s="3"/>
      <c r="AX2378" s="3"/>
      <c r="AY2378" s="3"/>
      <c r="AZ2378" s="3"/>
      <c r="BA2378" s="5"/>
      <c r="BK2378" s="16"/>
    </row>
    <row r="2379" customFormat="false" ht="12" hidden="false" customHeight="true" outlineLevel="0" collapsed="false">
      <c r="B2379" s="14"/>
      <c r="C2379" s="14"/>
      <c r="D2379" s="14"/>
      <c r="E2379" s="14"/>
      <c r="F2379" s="22"/>
      <c r="G2379" s="22"/>
      <c r="BB2379" s="23"/>
      <c r="BC2379" s="23"/>
      <c r="BD2379" s="23"/>
      <c r="BE2379" s="23"/>
      <c r="BF2379" s="23"/>
      <c r="BG2379" s="23"/>
      <c r="BH2379" s="23"/>
      <c r="BI2379" s="23"/>
      <c r="BJ2379" s="23"/>
      <c r="BK2379" s="16"/>
    </row>
    <row r="2380" s="23" customFormat="true" ht="12.75" hidden="false" customHeight="false" outlineLevel="0" collapsed="false">
      <c r="A2380" s="1"/>
      <c r="B2380" s="14"/>
      <c r="C2380" s="14"/>
      <c r="D2380" s="14"/>
      <c r="E2380" s="14"/>
      <c r="F2380" s="22"/>
      <c r="G2380" s="22"/>
      <c r="T2380" s="5"/>
      <c r="AP2380" s="3"/>
      <c r="AQ2380" s="3"/>
      <c r="AR2380" s="3"/>
      <c r="AS2380" s="3"/>
      <c r="AT2380" s="3"/>
      <c r="AU2380" s="3"/>
      <c r="AV2380" s="3"/>
      <c r="AW2380" s="3"/>
      <c r="AX2380" s="3"/>
      <c r="AY2380" s="3"/>
      <c r="AZ2380" s="3"/>
      <c r="BA2380" s="5"/>
      <c r="BK2380" s="16"/>
    </row>
    <row r="2381" customFormat="false" ht="12.75" hidden="false" customHeight="false" outlineLevel="0" collapsed="false">
      <c r="B2381" s="14"/>
      <c r="C2381" s="14"/>
      <c r="D2381" s="14"/>
      <c r="E2381" s="14"/>
      <c r="F2381" s="22"/>
      <c r="G2381" s="22"/>
      <c r="BK2381" s="16"/>
    </row>
    <row r="2382" customFormat="false" ht="12.75" hidden="false" customHeight="false" outlineLevel="0" collapsed="false">
      <c r="B2382" s="14"/>
      <c r="C2382" s="14"/>
      <c r="D2382" s="14"/>
      <c r="E2382" s="14"/>
      <c r="F2382" s="22"/>
      <c r="G2382" s="22"/>
      <c r="V2382" s="23"/>
      <c r="W2382" s="23"/>
      <c r="X2382" s="23"/>
      <c r="Y2382" s="23"/>
      <c r="Z2382" s="23"/>
      <c r="BK2382" s="16"/>
    </row>
    <row r="2383" s="23" customFormat="true" ht="12.75" hidden="false" customHeight="false" outlineLevel="0" collapsed="false">
      <c r="A2383" s="1"/>
      <c r="B2383" s="14"/>
      <c r="C2383" s="14"/>
      <c r="D2383" s="14"/>
      <c r="E2383" s="14"/>
      <c r="F2383" s="22"/>
      <c r="G2383" s="22"/>
      <c r="T2383" s="5"/>
      <c r="AP2383" s="3"/>
      <c r="AQ2383" s="3"/>
      <c r="AR2383" s="3"/>
      <c r="AS2383" s="3"/>
      <c r="AT2383" s="3"/>
      <c r="AU2383" s="3"/>
      <c r="AV2383" s="3"/>
      <c r="AW2383" s="3"/>
      <c r="AX2383" s="3"/>
      <c r="AY2383" s="3"/>
      <c r="AZ2383" s="3"/>
      <c r="BA2383" s="5"/>
      <c r="BB2383" s="3"/>
      <c r="BK2383" s="16"/>
    </row>
    <row r="2384" s="23" customFormat="true" ht="12.75" hidden="false" customHeight="false" outlineLevel="0" collapsed="false">
      <c r="A2384" s="1"/>
      <c r="B2384" s="14"/>
      <c r="C2384" s="14"/>
      <c r="D2384" s="14"/>
      <c r="E2384" s="14"/>
      <c r="F2384" s="22"/>
      <c r="G2384" s="22"/>
      <c r="T2384" s="5"/>
      <c r="AP2384" s="3"/>
      <c r="AQ2384" s="3"/>
      <c r="AR2384" s="3"/>
      <c r="AS2384" s="3"/>
      <c r="AT2384" s="3"/>
      <c r="AU2384" s="3"/>
      <c r="AV2384" s="3"/>
      <c r="AW2384" s="3"/>
      <c r="AX2384" s="3"/>
      <c r="AY2384" s="3"/>
      <c r="AZ2384" s="3"/>
      <c r="BA2384" s="5"/>
      <c r="BB2384" s="3"/>
      <c r="BK2384" s="16"/>
    </row>
    <row r="2385" s="23" customFormat="true" ht="12.75" hidden="false" customHeight="false" outlineLevel="0" collapsed="false">
      <c r="A2385" s="1"/>
      <c r="B2385" s="14"/>
      <c r="C2385" s="14"/>
      <c r="D2385" s="14"/>
      <c r="E2385" s="14"/>
      <c r="F2385" s="22"/>
      <c r="G2385" s="22"/>
      <c r="T2385" s="5"/>
      <c r="V2385" s="3"/>
      <c r="W2385" s="3"/>
      <c r="X2385" s="3"/>
      <c r="Y2385" s="3"/>
      <c r="Z2385" s="3"/>
      <c r="AA2385" s="3"/>
      <c r="AB2385" s="3"/>
      <c r="AP2385" s="3"/>
      <c r="AQ2385" s="3"/>
      <c r="AR2385" s="3"/>
      <c r="AS2385" s="3"/>
      <c r="AT2385" s="3"/>
      <c r="AU2385" s="3"/>
      <c r="AV2385" s="3"/>
      <c r="AW2385" s="3"/>
      <c r="AX2385" s="3"/>
      <c r="AY2385" s="3"/>
      <c r="AZ2385" s="3"/>
      <c r="BA2385" s="5"/>
      <c r="BK2385" s="16"/>
    </row>
    <row r="2386" customFormat="false" ht="12.75" hidden="false" customHeight="false" outlineLevel="0" collapsed="false">
      <c r="B2386" s="14"/>
      <c r="C2386" s="14"/>
      <c r="D2386" s="14"/>
      <c r="E2386" s="14"/>
      <c r="F2386" s="22"/>
      <c r="G2386" s="22"/>
      <c r="V2386" s="23"/>
      <c r="W2386" s="23"/>
      <c r="X2386" s="23"/>
      <c r="Y2386" s="23"/>
      <c r="Z2386" s="23"/>
      <c r="AA2386" s="23"/>
      <c r="AB2386" s="23"/>
      <c r="AC2386" s="23"/>
      <c r="AD2386" s="23"/>
      <c r="AE2386" s="23"/>
      <c r="AF2386" s="23"/>
      <c r="AG2386" s="23"/>
      <c r="AH2386" s="23"/>
      <c r="AI2386" s="23"/>
      <c r="AJ2386" s="23"/>
      <c r="AK2386" s="23"/>
      <c r="AL2386" s="23"/>
      <c r="AM2386" s="23"/>
      <c r="AN2386" s="23"/>
      <c r="AO2386" s="23"/>
      <c r="BK2386" s="16"/>
    </row>
    <row r="2387" customFormat="false" ht="12.75" hidden="false" customHeight="false" outlineLevel="0" collapsed="false">
      <c r="B2387" s="14"/>
      <c r="C2387" s="14"/>
      <c r="D2387" s="14"/>
      <c r="E2387" s="14"/>
      <c r="F2387" s="22"/>
      <c r="G2387" s="22"/>
      <c r="BK2387" s="16"/>
    </row>
    <row r="2388" customFormat="false" ht="12" hidden="false" customHeight="true" outlineLevel="0" collapsed="false">
      <c r="B2388" s="14"/>
      <c r="C2388" s="14"/>
      <c r="D2388" s="14"/>
      <c r="E2388" s="14"/>
      <c r="F2388" s="22"/>
      <c r="G2388" s="22"/>
      <c r="BB2388" s="23"/>
      <c r="BC2388" s="23"/>
      <c r="BD2388" s="23"/>
      <c r="BE2388" s="23"/>
      <c r="BF2388" s="23"/>
      <c r="BG2388" s="23"/>
      <c r="BH2388" s="23"/>
      <c r="BI2388" s="23"/>
      <c r="BJ2388" s="23"/>
      <c r="BK2388" s="16"/>
    </row>
    <row r="2389" customFormat="false" ht="12.75" hidden="false" customHeight="false" outlineLevel="0" collapsed="false">
      <c r="B2389" s="14"/>
      <c r="C2389" s="14"/>
      <c r="D2389" s="14"/>
      <c r="E2389" s="14"/>
      <c r="F2389" s="22"/>
      <c r="G2389" s="22"/>
      <c r="BK2389" s="16"/>
    </row>
    <row r="2390" s="11" customFormat="true" ht="12.75" hidden="false" customHeight="false" outlineLevel="0" collapsed="false">
      <c r="A2390" s="7"/>
      <c r="B2390" s="53"/>
      <c r="C2390" s="53"/>
      <c r="D2390" s="53"/>
      <c r="E2390" s="53"/>
      <c r="F2390" s="53"/>
      <c r="G2390" s="53"/>
      <c r="T2390" s="54"/>
      <c r="BA2390" s="54"/>
      <c r="BK2390" s="13"/>
    </row>
    <row r="2391" s="23" customFormat="true" ht="12.75" hidden="false" customHeight="false" outlineLevel="0" collapsed="false">
      <c r="A2391" s="1"/>
      <c r="B2391" s="14"/>
      <c r="C2391" s="14"/>
      <c r="D2391" s="14"/>
      <c r="E2391" s="14"/>
      <c r="F2391" s="22"/>
      <c r="G2391" s="22"/>
      <c r="T2391" s="5"/>
      <c r="AP2391" s="3"/>
      <c r="AQ2391" s="3"/>
      <c r="AR2391" s="3"/>
      <c r="AS2391" s="3"/>
      <c r="AT2391" s="3"/>
      <c r="AU2391" s="3"/>
      <c r="AV2391" s="3"/>
      <c r="AW2391" s="3"/>
      <c r="AX2391" s="3"/>
      <c r="AY2391" s="3"/>
      <c r="AZ2391" s="3"/>
      <c r="BA2391" s="5"/>
      <c r="BK2391" s="16"/>
    </row>
    <row r="2392" customFormat="false" ht="12.75" hidden="false" customHeight="false" outlineLevel="0" collapsed="false">
      <c r="B2392" s="14"/>
      <c r="C2392" s="14"/>
      <c r="D2392" s="14"/>
      <c r="E2392" s="14"/>
      <c r="F2392" s="22"/>
      <c r="G2392" s="22"/>
      <c r="BK2392" s="16"/>
    </row>
    <row r="2393" customFormat="false" ht="12" hidden="false" customHeight="true" outlineLevel="0" collapsed="false">
      <c r="B2393" s="14"/>
      <c r="C2393" s="14"/>
      <c r="D2393" s="14"/>
      <c r="E2393" s="14"/>
      <c r="F2393" s="22"/>
      <c r="G2393" s="22"/>
      <c r="BB2393" s="23"/>
      <c r="BC2393" s="23"/>
      <c r="BD2393" s="23"/>
      <c r="BE2393" s="23"/>
      <c r="BF2393" s="23"/>
      <c r="BG2393" s="23"/>
      <c r="BH2393" s="23"/>
      <c r="BI2393" s="23"/>
      <c r="BJ2393" s="23"/>
      <c r="BK2393" s="16"/>
    </row>
    <row r="2394" s="23" customFormat="true" ht="12.75" hidden="false" customHeight="false" outlineLevel="0" collapsed="false">
      <c r="A2394" s="1"/>
      <c r="B2394" s="14"/>
      <c r="C2394" s="14"/>
      <c r="D2394" s="14"/>
      <c r="E2394" s="14"/>
      <c r="F2394" s="22"/>
      <c r="G2394" s="22"/>
      <c r="T2394" s="5"/>
      <c r="AP2394" s="3"/>
      <c r="AQ2394" s="3"/>
      <c r="AR2394" s="3"/>
      <c r="AS2394" s="3"/>
      <c r="AT2394" s="3"/>
      <c r="AU2394" s="3"/>
      <c r="AV2394" s="3"/>
      <c r="AW2394" s="3"/>
      <c r="AX2394" s="3"/>
      <c r="AY2394" s="3"/>
      <c r="AZ2394" s="3"/>
      <c r="BA2394" s="5"/>
      <c r="BK2394" s="16"/>
    </row>
    <row r="2395" customFormat="false" ht="12.75" hidden="false" customHeight="false" outlineLevel="0" collapsed="false">
      <c r="B2395" s="14"/>
      <c r="C2395" s="14"/>
      <c r="D2395" s="14"/>
      <c r="E2395" s="14"/>
      <c r="F2395" s="22"/>
      <c r="G2395" s="22"/>
      <c r="BK2395" s="16"/>
    </row>
    <row r="2396" customFormat="false" ht="12.75" hidden="false" customHeight="false" outlineLevel="0" collapsed="false">
      <c r="B2396" s="14"/>
      <c r="C2396" s="14"/>
      <c r="D2396" s="14"/>
      <c r="E2396" s="14"/>
      <c r="F2396" s="22"/>
      <c r="G2396" s="22"/>
      <c r="BK2396" s="16"/>
    </row>
    <row r="2397" s="23" customFormat="true" ht="12.75" hidden="false" customHeight="false" outlineLevel="0" collapsed="false">
      <c r="A2397" s="1"/>
      <c r="B2397" s="14"/>
      <c r="C2397" s="14"/>
      <c r="D2397" s="14"/>
      <c r="E2397" s="14"/>
      <c r="F2397" s="22"/>
      <c r="G2397" s="22"/>
      <c r="T2397" s="5"/>
      <c r="AP2397" s="3"/>
      <c r="AQ2397" s="3"/>
      <c r="AR2397" s="3"/>
      <c r="AS2397" s="3"/>
      <c r="AT2397" s="3"/>
      <c r="AU2397" s="3"/>
      <c r="AV2397" s="3"/>
      <c r="AW2397" s="3"/>
      <c r="AX2397" s="3"/>
      <c r="AY2397" s="3"/>
      <c r="AZ2397" s="3"/>
      <c r="BA2397" s="5"/>
      <c r="BK2397" s="16"/>
    </row>
    <row r="2398" customFormat="false" ht="12.75" hidden="false" customHeight="false" outlineLevel="0" collapsed="false">
      <c r="B2398" s="14"/>
      <c r="C2398" s="14"/>
      <c r="D2398" s="14"/>
      <c r="E2398" s="14"/>
      <c r="F2398" s="22"/>
      <c r="G2398" s="22"/>
      <c r="BK2398" s="16"/>
    </row>
    <row r="2399" s="23" customFormat="true" ht="12.75" hidden="false" customHeight="false" outlineLevel="0" collapsed="false">
      <c r="A2399" s="1"/>
      <c r="B2399" s="14"/>
      <c r="C2399" s="14"/>
      <c r="D2399" s="14"/>
      <c r="E2399" s="14"/>
      <c r="F2399" s="22"/>
      <c r="G2399" s="22"/>
      <c r="T2399" s="5"/>
      <c r="AP2399" s="3"/>
      <c r="AQ2399" s="3"/>
      <c r="AR2399" s="3"/>
      <c r="AS2399" s="3"/>
      <c r="AT2399" s="3"/>
      <c r="AU2399" s="3"/>
      <c r="AV2399" s="3"/>
      <c r="AW2399" s="3"/>
      <c r="AX2399" s="3"/>
      <c r="AY2399" s="3"/>
      <c r="AZ2399" s="3"/>
      <c r="BA2399" s="5"/>
      <c r="BK2399" s="16"/>
    </row>
    <row r="2400" customFormat="false" ht="12.75" hidden="false" customHeight="false" outlineLevel="0" collapsed="false">
      <c r="B2400" s="14"/>
      <c r="C2400" s="14"/>
      <c r="D2400" s="14"/>
      <c r="E2400" s="14"/>
      <c r="F2400" s="22"/>
      <c r="G2400" s="22"/>
      <c r="BK2400" s="16"/>
    </row>
    <row r="2401" customFormat="false" ht="12" hidden="false" customHeight="true" outlineLevel="0" collapsed="false">
      <c r="B2401" s="14"/>
      <c r="C2401" s="14"/>
      <c r="D2401" s="14"/>
      <c r="E2401" s="14"/>
      <c r="F2401" s="22"/>
      <c r="G2401" s="22"/>
      <c r="BB2401" s="23"/>
      <c r="BC2401" s="23"/>
      <c r="BD2401" s="23"/>
      <c r="BE2401" s="23"/>
      <c r="BF2401" s="23"/>
      <c r="BG2401" s="23"/>
      <c r="BH2401" s="23"/>
      <c r="BI2401" s="23"/>
      <c r="BJ2401" s="23"/>
      <c r="BK2401" s="16"/>
    </row>
    <row r="2402" customFormat="false" ht="12" hidden="false" customHeight="true" outlineLevel="0" collapsed="false">
      <c r="B2402" s="14"/>
      <c r="C2402" s="14"/>
      <c r="D2402" s="14"/>
      <c r="E2402" s="14"/>
      <c r="F2402" s="22"/>
      <c r="G2402" s="22"/>
      <c r="BB2402" s="23"/>
      <c r="BC2402" s="23"/>
      <c r="BD2402" s="23"/>
      <c r="BE2402" s="23"/>
      <c r="BF2402" s="23"/>
      <c r="BG2402" s="23"/>
      <c r="BH2402" s="23"/>
      <c r="BI2402" s="23"/>
      <c r="BJ2402" s="23"/>
      <c r="BK2402" s="16"/>
    </row>
    <row r="2403" s="23" customFormat="true" ht="12.75" hidden="false" customHeight="false" outlineLevel="0" collapsed="false">
      <c r="A2403" s="1"/>
      <c r="B2403" s="14"/>
      <c r="C2403" s="14"/>
      <c r="D2403" s="14"/>
      <c r="E2403" s="14"/>
      <c r="F2403" s="22"/>
      <c r="G2403" s="22"/>
      <c r="T2403" s="5"/>
      <c r="AP2403" s="3"/>
      <c r="AQ2403" s="3"/>
      <c r="AR2403" s="3"/>
      <c r="AS2403" s="3"/>
      <c r="AT2403" s="3"/>
      <c r="AU2403" s="3"/>
      <c r="AV2403" s="3"/>
      <c r="AW2403" s="3"/>
      <c r="AX2403" s="3"/>
      <c r="AY2403" s="3"/>
      <c r="AZ2403" s="3"/>
      <c r="BA2403" s="5"/>
      <c r="BB2403" s="3"/>
      <c r="BK2403" s="16"/>
    </row>
    <row r="2404" customFormat="false" ht="12" hidden="false" customHeight="true" outlineLevel="0" collapsed="false">
      <c r="B2404" s="14"/>
      <c r="C2404" s="14"/>
      <c r="D2404" s="14"/>
      <c r="E2404" s="14"/>
      <c r="F2404" s="22"/>
      <c r="G2404" s="22"/>
      <c r="BB2404" s="23"/>
      <c r="BC2404" s="23"/>
      <c r="BD2404" s="23"/>
      <c r="BE2404" s="23"/>
      <c r="BF2404" s="23"/>
      <c r="BG2404" s="23"/>
      <c r="BH2404" s="23"/>
      <c r="BI2404" s="23"/>
      <c r="BJ2404" s="23"/>
      <c r="BK2404" s="16"/>
    </row>
    <row r="2405" customFormat="false" ht="12" hidden="false" customHeight="true" outlineLevel="0" collapsed="false">
      <c r="B2405" s="14"/>
      <c r="C2405" s="14"/>
      <c r="D2405" s="14"/>
      <c r="E2405" s="14"/>
      <c r="F2405" s="22"/>
      <c r="G2405" s="22"/>
      <c r="BB2405" s="23"/>
      <c r="BC2405" s="23"/>
      <c r="BD2405" s="23"/>
      <c r="BE2405" s="23"/>
      <c r="BF2405" s="23"/>
      <c r="BG2405" s="23"/>
      <c r="BH2405" s="23"/>
      <c r="BI2405" s="23"/>
      <c r="BJ2405" s="23"/>
      <c r="BK2405" s="16"/>
    </row>
    <row r="2406" customFormat="false" ht="12.75" hidden="false" customHeight="false" outlineLevel="0" collapsed="false">
      <c r="B2406" s="14"/>
      <c r="C2406" s="14"/>
      <c r="D2406" s="14"/>
      <c r="E2406" s="14"/>
      <c r="F2406" s="22"/>
      <c r="G2406" s="22"/>
      <c r="BK2406" s="16"/>
    </row>
    <row r="2407" customFormat="false" ht="12" hidden="false" customHeight="true" outlineLevel="0" collapsed="false">
      <c r="B2407" s="14"/>
      <c r="C2407" s="14"/>
      <c r="D2407" s="14"/>
      <c r="E2407" s="14"/>
      <c r="F2407" s="22"/>
      <c r="G2407" s="22"/>
      <c r="BB2407" s="23"/>
      <c r="BC2407" s="23"/>
      <c r="BD2407" s="23"/>
      <c r="BE2407" s="23"/>
      <c r="BF2407" s="23"/>
      <c r="BG2407" s="23"/>
      <c r="BH2407" s="23"/>
      <c r="BI2407" s="23"/>
      <c r="BJ2407" s="23"/>
      <c r="BK2407" s="16"/>
    </row>
    <row r="2408" s="23" customFormat="true" ht="12.75" hidden="false" customHeight="false" outlineLevel="0" collapsed="false">
      <c r="A2408" s="1"/>
      <c r="B2408" s="14"/>
      <c r="C2408" s="14"/>
      <c r="D2408" s="14"/>
      <c r="E2408" s="14"/>
      <c r="F2408" s="22"/>
      <c r="G2408" s="22"/>
      <c r="T2408" s="5"/>
      <c r="AP2408" s="3"/>
      <c r="AQ2408" s="3"/>
      <c r="AR2408" s="3"/>
      <c r="AS2408" s="3"/>
      <c r="AT2408" s="3"/>
      <c r="AU2408" s="3"/>
      <c r="AV2408" s="3"/>
      <c r="AW2408" s="3"/>
      <c r="AX2408" s="3"/>
      <c r="AY2408" s="3"/>
      <c r="AZ2408" s="3"/>
      <c r="BA2408" s="5"/>
      <c r="BB2408" s="3"/>
      <c r="BK2408" s="16"/>
    </row>
    <row r="2409" s="23" customFormat="true" ht="12.75" hidden="false" customHeight="false" outlineLevel="0" collapsed="false">
      <c r="A2409" s="1"/>
      <c r="B2409" s="14"/>
      <c r="C2409" s="14"/>
      <c r="D2409" s="14"/>
      <c r="E2409" s="14"/>
      <c r="F2409" s="22"/>
      <c r="G2409" s="22"/>
      <c r="T2409" s="5"/>
      <c r="AP2409" s="3"/>
      <c r="AQ2409" s="3"/>
      <c r="AR2409" s="3"/>
      <c r="AS2409" s="3"/>
      <c r="AT2409" s="3"/>
      <c r="AU2409" s="3"/>
      <c r="AV2409" s="3"/>
      <c r="AW2409" s="3"/>
      <c r="AX2409" s="3"/>
      <c r="AY2409" s="3"/>
      <c r="AZ2409" s="3"/>
      <c r="BA2409" s="5"/>
      <c r="BB2409" s="3"/>
      <c r="BK2409" s="16"/>
    </row>
    <row r="2410" s="23" customFormat="true" ht="12.75" hidden="false" customHeight="false" outlineLevel="0" collapsed="false">
      <c r="A2410" s="1"/>
      <c r="B2410" s="14"/>
      <c r="C2410" s="14"/>
      <c r="D2410" s="14"/>
      <c r="E2410" s="14"/>
      <c r="F2410" s="22"/>
      <c r="G2410" s="22"/>
      <c r="T2410" s="5"/>
      <c r="AP2410" s="3"/>
      <c r="AQ2410" s="3"/>
      <c r="AR2410" s="3"/>
      <c r="AS2410" s="3"/>
      <c r="AT2410" s="3"/>
      <c r="AU2410" s="3"/>
      <c r="AV2410" s="3"/>
      <c r="AW2410" s="3"/>
      <c r="AX2410" s="3"/>
      <c r="AY2410" s="3"/>
      <c r="AZ2410" s="3"/>
      <c r="BA2410" s="5"/>
      <c r="BB2410" s="3"/>
      <c r="BK2410" s="16"/>
    </row>
    <row r="2411" s="23" customFormat="true" ht="12.75" hidden="false" customHeight="false" outlineLevel="0" collapsed="false">
      <c r="A2411" s="1"/>
      <c r="B2411" s="14"/>
      <c r="C2411" s="14"/>
      <c r="D2411" s="14"/>
      <c r="E2411" s="14"/>
      <c r="F2411" s="22"/>
      <c r="G2411" s="22"/>
      <c r="T2411" s="5"/>
      <c r="AP2411" s="3"/>
      <c r="AQ2411" s="3"/>
      <c r="AR2411" s="3"/>
      <c r="AS2411" s="3"/>
      <c r="AT2411" s="3"/>
      <c r="AU2411" s="3"/>
      <c r="AV2411" s="3"/>
      <c r="AW2411" s="3"/>
      <c r="AX2411" s="3"/>
      <c r="AY2411" s="3"/>
      <c r="AZ2411" s="3"/>
      <c r="BA2411" s="5"/>
      <c r="BB2411" s="3"/>
      <c r="BK2411" s="16"/>
    </row>
    <row r="2412" s="23" customFormat="true" ht="12.75" hidden="false" customHeight="false" outlineLevel="0" collapsed="false">
      <c r="A2412" s="1"/>
      <c r="B2412" s="14"/>
      <c r="C2412" s="14"/>
      <c r="D2412" s="14"/>
      <c r="E2412" s="14"/>
      <c r="F2412" s="22"/>
      <c r="G2412" s="22"/>
      <c r="T2412" s="5"/>
      <c r="AP2412" s="3"/>
      <c r="AQ2412" s="3"/>
      <c r="AR2412" s="3"/>
      <c r="AS2412" s="3"/>
      <c r="AT2412" s="3"/>
      <c r="AU2412" s="3"/>
      <c r="AV2412" s="3"/>
      <c r="AW2412" s="3"/>
      <c r="AX2412" s="3"/>
      <c r="AY2412" s="3"/>
      <c r="AZ2412" s="3"/>
      <c r="BA2412" s="5"/>
      <c r="BK2412" s="16"/>
    </row>
    <row r="2413" customFormat="false" ht="12.75" hidden="false" customHeight="false" outlineLevel="0" collapsed="false">
      <c r="B2413" s="14"/>
      <c r="C2413" s="14"/>
      <c r="D2413" s="14"/>
      <c r="E2413" s="14"/>
      <c r="F2413" s="22"/>
      <c r="G2413" s="22"/>
      <c r="V2413" s="23"/>
      <c r="W2413" s="23"/>
      <c r="X2413" s="23"/>
      <c r="Y2413" s="23"/>
      <c r="Z2413" s="23"/>
      <c r="AA2413" s="23"/>
      <c r="AB2413" s="23"/>
      <c r="BK2413" s="16"/>
    </row>
    <row r="2414" customFormat="false" ht="12" hidden="false" customHeight="true" outlineLevel="0" collapsed="false">
      <c r="B2414" s="14"/>
      <c r="C2414" s="14"/>
      <c r="D2414" s="14"/>
      <c r="E2414" s="14"/>
      <c r="F2414" s="22"/>
      <c r="G2414" s="22"/>
      <c r="BB2414" s="23"/>
      <c r="BC2414" s="23"/>
      <c r="BD2414" s="23"/>
      <c r="BE2414" s="23"/>
      <c r="BF2414" s="23"/>
      <c r="BG2414" s="23"/>
      <c r="BH2414" s="23"/>
      <c r="BI2414" s="23"/>
      <c r="BJ2414" s="23"/>
      <c r="BK2414" s="16"/>
    </row>
    <row r="2415" customFormat="false" ht="12.75" hidden="false" customHeight="false" outlineLevel="0" collapsed="false">
      <c r="B2415" s="14"/>
      <c r="C2415" s="14"/>
      <c r="D2415" s="14"/>
      <c r="E2415" s="14"/>
      <c r="F2415" s="22"/>
      <c r="G2415" s="22"/>
      <c r="BK2415" s="16"/>
    </row>
    <row r="2416" s="23" customFormat="true" ht="12.75" hidden="false" customHeight="false" outlineLevel="0" collapsed="false">
      <c r="A2416" s="1"/>
      <c r="B2416" s="14"/>
      <c r="C2416" s="14"/>
      <c r="D2416" s="14"/>
      <c r="E2416" s="14"/>
      <c r="F2416" s="22"/>
      <c r="G2416" s="22"/>
      <c r="T2416" s="5"/>
      <c r="BA2416" s="5"/>
      <c r="BK2416" s="16"/>
    </row>
    <row r="2417" s="23" customFormat="true" ht="12.75" hidden="false" customHeight="false" outlineLevel="0" collapsed="false">
      <c r="A2417" s="1"/>
      <c r="B2417" s="14"/>
      <c r="C2417" s="14"/>
      <c r="D2417" s="14"/>
      <c r="E2417" s="14"/>
      <c r="F2417" s="22"/>
      <c r="G2417" s="22"/>
      <c r="T2417" s="5"/>
      <c r="AP2417" s="3"/>
      <c r="AQ2417" s="3"/>
      <c r="AR2417" s="3"/>
      <c r="AS2417" s="3"/>
      <c r="AT2417" s="3"/>
      <c r="AU2417" s="3"/>
      <c r="AV2417" s="3"/>
      <c r="AW2417" s="3"/>
      <c r="AX2417" s="3"/>
      <c r="AY2417" s="3"/>
      <c r="AZ2417" s="3"/>
      <c r="BA2417" s="5"/>
      <c r="BB2417" s="3"/>
      <c r="BK2417" s="16"/>
    </row>
    <row r="2418" s="23" customFormat="true" ht="12.75" hidden="false" customHeight="false" outlineLevel="0" collapsed="false">
      <c r="A2418" s="1"/>
      <c r="B2418" s="14"/>
      <c r="C2418" s="14"/>
      <c r="D2418" s="14"/>
      <c r="E2418" s="14"/>
      <c r="F2418" s="22"/>
      <c r="G2418" s="22"/>
      <c r="T2418" s="5"/>
      <c r="AP2418" s="3"/>
      <c r="AQ2418" s="3"/>
      <c r="AR2418" s="3"/>
      <c r="AS2418" s="3"/>
      <c r="AT2418" s="3"/>
      <c r="AU2418" s="3"/>
      <c r="AV2418" s="3"/>
      <c r="AW2418" s="3"/>
      <c r="AX2418" s="3"/>
      <c r="AY2418" s="3"/>
      <c r="AZ2418" s="3"/>
      <c r="BA2418" s="5"/>
      <c r="BB2418" s="3"/>
      <c r="BK2418" s="16"/>
    </row>
    <row r="2419" customFormat="false" ht="12.75" hidden="false" customHeight="false" outlineLevel="0" collapsed="false">
      <c r="B2419" s="14"/>
      <c r="C2419" s="14"/>
      <c r="D2419" s="14"/>
      <c r="E2419" s="14"/>
      <c r="F2419" s="22"/>
      <c r="G2419" s="22"/>
      <c r="BK2419" s="16"/>
    </row>
    <row r="2420" customFormat="false" ht="12.75" hidden="false" customHeight="false" outlineLevel="0" collapsed="false">
      <c r="B2420" s="14"/>
      <c r="C2420" s="14"/>
      <c r="D2420" s="14"/>
      <c r="E2420" s="14"/>
      <c r="F2420" s="22"/>
      <c r="G2420" s="22"/>
      <c r="BK2420" s="16"/>
    </row>
    <row r="2421" s="23" customFormat="true" ht="12.75" hidden="false" customHeight="false" outlineLevel="0" collapsed="false">
      <c r="A2421" s="1"/>
      <c r="B2421" s="14"/>
      <c r="C2421" s="14"/>
      <c r="D2421" s="14"/>
      <c r="E2421" s="14"/>
      <c r="F2421" s="22"/>
      <c r="G2421" s="22"/>
      <c r="T2421" s="5"/>
      <c r="AP2421" s="3"/>
      <c r="AQ2421" s="3"/>
      <c r="AR2421" s="3"/>
      <c r="AS2421" s="3"/>
      <c r="AT2421" s="3"/>
      <c r="AU2421" s="3"/>
      <c r="AV2421" s="3"/>
      <c r="AW2421" s="3"/>
      <c r="AX2421" s="3"/>
      <c r="AY2421" s="3"/>
      <c r="AZ2421" s="3"/>
      <c r="BA2421" s="5"/>
      <c r="BB2421" s="3"/>
      <c r="BK2421" s="16"/>
    </row>
    <row r="2422" s="23" customFormat="true" ht="12.75" hidden="false" customHeight="false" outlineLevel="0" collapsed="false">
      <c r="A2422" s="1"/>
      <c r="B2422" s="14"/>
      <c r="C2422" s="14"/>
      <c r="D2422" s="14"/>
      <c r="E2422" s="14"/>
      <c r="F2422" s="22"/>
      <c r="G2422" s="22"/>
      <c r="T2422" s="5"/>
      <c r="AP2422" s="3"/>
      <c r="AQ2422" s="3"/>
      <c r="AR2422" s="3"/>
      <c r="AS2422" s="3"/>
      <c r="AT2422" s="3"/>
      <c r="AU2422" s="3"/>
      <c r="AV2422" s="3"/>
      <c r="AW2422" s="3"/>
      <c r="AX2422" s="3"/>
      <c r="AY2422" s="3"/>
      <c r="AZ2422" s="3"/>
      <c r="BA2422" s="5"/>
      <c r="BB2422" s="3"/>
      <c r="BK2422" s="16"/>
    </row>
    <row r="2423" s="23" customFormat="true" ht="12.75" hidden="false" customHeight="false" outlineLevel="0" collapsed="false">
      <c r="A2423" s="1"/>
      <c r="B2423" s="14"/>
      <c r="C2423" s="14"/>
      <c r="D2423" s="14"/>
      <c r="E2423" s="14"/>
      <c r="F2423" s="22"/>
      <c r="G2423" s="22"/>
      <c r="T2423" s="5"/>
      <c r="AP2423" s="3"/>
      <c r="AQ2423" s="3"/>
      <c r="AR2423" s="3"/>
      <c r="AS2423" s="3"/>
      <c r="AT2423" s="3"/>
      <c r="AU2423" s="3"/>
      <c r="AV2423" s="3"/>
      <c r="AW2423" s="3"/>
      <c r="AX2423" s="3"/>
      <c r="AY2423" s="3"/>
      <c r="AZ2423" s="3"/>
      <c r="BA2423" s="5"/>
      <c r="BB2423" s="3"/>
      <c r="BK2423" s="16"/>
    </row>
    <row r="2424" s="23" customFormat="true" ht="12.75" hidden="false" customHeight="false" outlineLevel="0" collapsed="false">
      <c r="A2424" s="1"/>
      <c r="B2424" s="14"/>
      <c r="C2424" s="14"/>
      <c r="D2424" s="14"/>
      <c r="E2424" s="14"/>
      <c r="F2424" s="22"/>
      <c r="G2424" s="22"/>
      <c r="T2424" s="5"/>
      <c r="AP2424" s="3"/>
      <c r="AQ2424" s="3"/>
      <c r="AR2424" s="3"/>
      <c r="AS2424" s="3"/>
      <c r="AT2424" s="3"/>
      <c r="AU2424" s="3"/>
      <c r="AV2424" s="3"/>
      <c r="AW2424" s="3"/>
      <c r="AX2424" s="3"/>
      <c r="AY2424" s="3"/>
      <c r="AZ2424" s="3"/>
      <c r="BA2424" s="5"/>
      <c r="BB2424" s="3"/>
      <c r="BK2424" s="16"/>
    </row>
    <row r="2425" customFormat="false" ht="12.75" hidden="false" customHeight="false" outlineLevel="0" collapsed="false">
      <c r="B2425" s="14"/>
      <c r="C2425" s="14"/>
      <c r="D2425" s="14"/>
      <c r="E2425" s="14"/>
      <c r="F2425" s="22"/>
      <c r="G2425" s="22"/>
      <c r="BK2425" s="16"/>
    </row>
    <row r="2426" s="23" customFormat="true" ht="12.75" hidden="false" customHeight="false" outlineLevel="0" collapsed="false">
      <c r="A2426" s="1"/>
      <c r="B2426" s="14"/>
      <c r="C2426" s="14"/>
      <c r="D2426" s="14"/>
      <c r="E2426" s="14"/>
      <c r="F2426" s="22"/>
      <c r="G2426" s="22"/>
      <c r="T2426" s="5"/>
      <c r="AP2426" s="3"/>
      <c r="AQ2426" s="3"/>
      <c r="AR2426" s="3"/>
      <c r="AS2426" s="3"/>
      <c r="AT2426" s="3"/>
      <c r="AU2426" s="3"/>
      <c r="AV2426" s="3"/>
      <c r="AW2426" s="3"/>
      <c r="AX2426" s="3"/>
      <c r="AY2426" s="3"/>
      <c r="AZ2426" s="3"/>
      <c r="BA2426" s="5"/>
      <c r="BB2426" s="3"/>
      <c r="BK2426" s="16"/>
    </row>
    <row r="2427" s="23" customFormat="true" ht="12.75" hidden="false" customHeight="false" outlineLevel="0" collapsed="false">
      <c r="A2427" s="1"/>
      <c r="B2427" s="14"/>
      <c r="C2427" s="14"/>
      <c r="D2427" s="14"/>
      <c r="E2427" s="14"/>
      <c r="F2427" s="22"/>
      <c r="G2427" s="22"/>
      <c r="T2427" s="5"/>
      <c r="AP2427" s="3"/>
      <c r="AQ2427" s="3"/>
      <c r="AR2427" s="3"/>
      <c r="AS2427" s="3"/>
      <c r="AT2427" s="3"/>
      <c r="AU2427" s="3"/>
      <c r="AV2427" s="3"/>
      <c r="AW2427" s="3"/>
      <c r="AX2427" s="3"/>
      <c r="AY2427" s="3"/>
      <c r="AZ2427" s="3"/>
      <c r="BA2427" s="5"/>
      <c r="BB2427" s="3"/>
      <c r="BK2427" s="16"/>
    </row>
    <row r="2428" s="23" customFormat="true" ht="12.75" hidden="false" customHeight="false" outlineLevel="0" collapsed="false">
      <c r="A2428" s="1"/>
      <c r="B2428" s="14"/>
      <c r="C2428" s="14"/>
      <c r="D2428" s="14"/>
      <c r="E2428" s="14"/>
      <c r="F2428" s="22"/>
      <c r="G2428" s="22"/>
      <c r="T2428" s="5"/>
      <c r="AP2428" s="3"/>
      <c r="AQ2428" s="3"/>
      <c r="AR2428" s="3"/>
      <c r="AS2428" s="3"/>
      <c r="AT2428" s="3"/>
      <c r="AU2428" s="3"/>
      <c r="AV2428" s="3"/>
      <c r="AW2428" s="3"/>
      <c r="AX2428" s="3"/>
      <c r="AY2428" s="3"/>
      <c r="AZ2428" s="3"/>
      <c r="BA2428" s="5"/>
      <c r="BB2428" s="3"/>
      <c r="BK2428" s="16"/>
    </row>
    <row r="2429" customFormat="false" ht="12.75" hidden="false" customHeight="false" outlineLevel="0" collapsed="false">
      <c r="B2429" s="14"/>
      <c r="C2429" s="14"/>
      <c r="D2429" s="14"/>
      <c r="E2429" s="14"/>
      <c r="F2429" s="22"/>
      <c r="G2429" s="22"/>
      <c r="BK2429" s="16"/>
    </row>
    <row r="2430" customFormat="false" ht="12.75" hidden="false" customHeight="false" outlineLevel="0" collapsed="false">
      <c r="B2430" s="14"/>
      <c r="C2430" s="14"/>
      <c r="D2430" s="14"/>
      <c r="E2430" s="14"/>
      <c r="F2430" s="22"/>
      <c r="G2430" s="22"/>
      <c r="BK2430" s="16"/>
    </row>
    <row r="2431" s="23" customFormat="true" ht="12.75" hidden="false" customHeight="false" outlineLevel="0" collapsed="false">
      <c r="A2431" s="1"/>
      <c r="B2431" s="14"/>
      <c r="C2431" s="14"/>
      <c r="D2431" s="14"/>
      <c r="E2431" s="14"/>
      <c r="F2431" s="22"/>
      <c r="G2431" s="22"/>
      <c r="T2431" s="5"/>
      <c r="AP2431" s="3"/>
      <c r="AQ2431" s="3"/>
      <c r="AR2431" s="3"/>
      <c r="AS2431" s="3"/>
      <c r="AT2431" s="3"/>
      <c r="AU2431" s="3"/>
      <c r="AV2431" s="3"/>
      <c r="AW2431" s="3"/>
      <c r="AX2431" s="3"/>
      <c r="AY2431" s="3"/>
      <c r="AZ2431" s="3"/>
      <c r="BA2431" s="5"/>
      <c r="BB2431" s="3"/>
      <c r="BK2431" s="16"/>
    </row>
    <row r="2432" customFormat="false" ht="12.75" hidden="false" customHeight="false" outlineLevel="0" collapsed="false">
      <c r="B2432" s="14"/>
      <c r="C2432" s="14"/>
      <c r="D2432" s="14"/>
      <c r="E2432" s="14"/>
      <c r="F2432" s="22"/>
      <c r="G2432" s="22"/>
      <c r="BK2432" s="16"/>
    </row>
    <row r="2433" customFormat="false" ht="12.75" hidden="false" customHeight="false" outlineLevel="0" collapsed="false">
      <c r="B2433" s="14"/>
      <c r="C2433" s="14"/>
      <c r="D2433" s="14"/>
      <c r="E2433" s="14"/>
      <c r="F2433" s="22"/>
      <c r="G2433" s="22"/>
      <c r="BK2433" s="16"/>
    </row>
    <row r="2434" customFormat="false" ht="12.75" hidden="false" customHeight="false" outlineLevel="0" collapsed="false">
      <c r="B2434" s="14"/>
      <c r="C2434" s="14"/>
      <c r="D2434" s="14"/>
      <c r="E2434" s="14"/>
      <c r="F2434" s="22"/>
      <c r="G2434" s="22"/>
      <c r="BK2434" s="16"/>
    </row>
    <row r="2435" customFormat="false" ht="12.75" hidden="false" customHeight="false" outlineLevel="0" collapsed="false">
      <c r="B2435" s="14"/>
      <c r="C2435" s="14"/>
      <c r="D2435" s="14"/>
      <c r="E2435" s="14"/>
      <c r="F2435" s="22"/>
      <c r="G2435" s="22"/>
      <c r="BK2435" s="16"/>
    </row>
    <row r="2436" s="23" customFormat="true" ht="12.75" hidden="false" customHeight="false" outlineLevel="0" collapsed="false">
      <c r="A2436" s="1"/>
      <c r="B2436" s="14"/>
      <c r="C2436" s="14"/>
      <c r="D2436" s="14"/>
      <c r="E2436" s="14"/>
      <c r="F2436" s="22"/>
      <c r="G2436" s="22"/>
      <c r="T2436" s="5"/>
      <c r="AP2436" s="3"/>
      <c r="AQ2436" s="3"/>
      <c r="AR2436" s="3"/>
      <c r="AS2436" s="3"/>
      <c r="AT2436" s="3"/>
      <c r="AU2436" s="3"/>
      <c r="AV2436" s="3"/>
      <c r="AW2436" s="3"/>
      <c r="AX2436" s="3"/>
      <c r="AY2436" s="3"/>
      <c r="AZ2436" s="3"/>
      <c r="BA2436" s="5"/>
      <c r="BB2436" s="3"/>
      <c r="BK2436" s="16"/>
    </row>
    <row r="2437" s="23" customFormat="true" ht="12.75" hidden="false" customHeight="false" outlineLevel="0" collapsed="false">
      <c r="A2437" s="1"/>
      <c r="B2437" s="14"/>
      <c r="C2437" s="14"/>
      <c r="D2437" s="14"/>
      <c r="E2437" s="14"/>
      <c r="F2437" s="22"/>
      <c r="G2437" s="22"/>
      <c r="T2437" s="5"/>
      <c r="AP2437" s="3"/>
      <c r="AQ2437" s="3"/>
      <c r="AR2437" s="3"/>
      <c r="AS2437" s="3"/>
      <c r="AT2437" s="3"/>
      <c r="AU2437" s="3"/>
      <c r="AV2437" s="3"/>
      <c r="AW2437" s="3"/>
      <c r="AX2437" s="3"/>
      <c r="AY2437" s="3"/>
      <c r="AZ2437" s="3"/>
      <c r="BA2437" s="5"/>
      <c r="BK2437" s="16"/>
    </row>
    <row r="2438" s="23" customFormat="true" ht="12.75" hidden="false" customHeight="false" outlineLevel="0" collapsed="false">
      <c r="A2438" s="1"/>
      <c r="B2438" s="14"/>
      <c r="C2438" s="14"/>
      <c r="D2438" s="14"/>
      <c r="E2438" s="14"/>
      <c r="F2438" s="22"/>
      <c r="G2438" s="22"/>
      <c r="T2438" s="5"/>
      <c r="AP2438" s="3"/>
      <c r="AQ2438" s="3"/>
      <c r="AR2438" s="3"/>
      <c r="AS2438" s="3"/>
      <c r="AT2438" s="3"/>
      <c r="AU2438" s="3"/>
      <c r="AV2438" s="3"/>
      <c r="AW2438" s="3"/>
      <c r="AX2438" s="3"/>
      <c r="AY2438" s="3"/>
      <c r="AZ2438" s="3"/>
      <c r="BA2438" s="5"/>
      <c r="BB2438" s="3"/>
      <c r="BK2438" s="16"/>
    </row>
    <row r="2439" s="23" customFormat="true" ht="12.75" hidden="false" customHeight="false" outlineLevel="0" collapsed="false">
      <c r="A2439" s="1"/>
      <c r="B2439" s="14"/>
      <c r="C2439" s="14"/>
      <c r="D2439" s="14"/>
      <c r="E2439" s="14"/>
      <c r="F2439" s="22"/>
      <c r="G2439" s="22"/>
      <c r="T2439" s="5"/>
      <c r="AP2439" s="3"/>
      <c r="AQ2439" s="3"/>
      <c r="AR2439" s="3"/>
      <c r="AS2439" s="3"/>
      <c r="AT2439" s="3"/>
      <c r="AU2439" s="3"/>
      <c r="AV2439" s="3"/>
      <c r="AW2439" s="3"/>
      <c r="AX2439" s="3"/>
      <c r="AY2439" s="3"/>
      <c r="AZ2439" s="3"/>
      <c r="BA2439" s="5"/>
      <c r="BB2439" s="3"/>
      <c r="BK2439" s="16"/>
    </row>
    <row r="2440" s="23" customFormat="true" ht="12.75" hidden="false" customHeight="false" outlineLevel="0" collapsed="false">
      <c r="A2440" s="1"/>
      <c r="B2440" s="14"/>
      <c r="C2440" s="14"/>
      <c r="D2440" s="14"/>
      <c r="E2440" s="14"/>
      <c r="F2440" s="22"/>
      <c r="G2440" s="22"/>
      <c r="T2440" s="5"/>
      <c r="AP2440" s="3"/>
      <c r="AQ2440" s="3"/>
      <c r="AR2440" s="3"/>
      <c r="AS2440" s="3"/>
      <c r="AT2440" s="3"/>
      <c r="AU2440" s="3"/>
      <c r="AV2440" s="3"/>
      <c r="AW2440" s="3"/>
      <c r="AX2440" s="3"/>
      <c r="AY2440" s="3"/>
      <c r="AZ2440" s="3"/>
      <c r="BA2440" s="5"/>
      <c r="BK2440" s="16"/>
    </row>
    <row r="2441" s="23" customFormat="true" ht="12.75" hidden="false" customHeight="false" outlineLevel="0" collapsed="false">
      <c r="A2441" s="1"/>
      <c r="B2441" s="14"/>
      <c r="C2441" s="14"/>
      <c r="D2441" s="14"/>
      <c r="E2441" s="14"/>
      <c r="F2441" s="22"/>
      <c r="G2441" s="22"/>
      <c r="T2441" s="5"/>
      <c r="AP2441" s="3"/>
      <c r="AQ2441" s="3"/>
      <c r="AR2441" s="3"/>
      <c r="AS2441" s="3"/>
      <c r="AT2441" s="3"/>
      <c r="AU2441" s="3"/>
      <c r="AV2441" s="3"/>
      <c r="AW2441" s="3"/>
      <c r="AX2441" s="3"/>
      <c r="AY2441" s="3"/>
      <c r="AZ2441" s="3"/>
      <c r="BA2441" s="5"/>
      <c r="BB2441" s="3"/>
      <c r="BK2441" s="16"/>
    </row>
    <row r="2442" s="23" customFormat="true" ht="12.75" hidden="false" customHeight="false" outlineLevel="0" collapsed="false">
      <c r="A2442" s="1"/>
      <c r="B2442" s="14"/>
      <c r="C2442" s="14"/>
      <c r="D2442" s="14"/>
      <c r="E2442" s="14"/>
      <c r="F2442" s="22"/>
      <c r="G2442" s="22"/>
      <c r="T2442" s="5"/>
      <c r="AP2442" s="3"/>
      <c r="AQ2442" s="3"/>
      <c r="AR2442" s="3"/>
      <c r="AS2442" s="3"/>
      <c r="AT2442" s="3"/>
      <c r="AU2442" s="3"/>
      <c r="AV2442" s="3"/>
      <c r="AW2442" s="3"/>
      <c r="AX2442" s="3"/>
      <c r="AY2442" s="3"/>
      <c r="AZ2442" s="3"/>
      <c r="BA2442" s="5"/>
      <c r="BB2442" s="3"/>
      <c r="BK2442" s="16"/>
    </row>
    <row r="2443" customFormat="false" ht="12.75" hidden="false" customHeight="false" outlineLevel="0" collapsed="false">
      <c r="B2443" s="14"/>
      <c r="C2443" s="14"/>
      <c r="D2443" s="14"/>
      <c r="E2443" s="14"/>
      <c r="F2443" s="22"/>
      <c r="G2443" s="22"/>
      <c r="BK2443" s="16"/>
    </row>
    <row r="2444" customFormat="false" ht="12.75" hidden="false" customHeight="false" outlineLevel="0" collapsed="false">
      <c r="B2444" s="14"/>
      <c r="C2444" s="14"/>
      <c r="D2444" s="14"/>
      <c r="E2444" s="14"/>
      <c r="F2444" s="22"/>
      <c r="G2444" s="22"/>
      <c r="BK2444" s="16"/>
    </row>
    <row r="2445" customFormat="false" ht="12.75" hidden="false" customHeight="false" outlineLevel="0" collapsed="false">
      <c r="B2445" s="14"/>
      <c r="C2445" s="14"/>
      <c r="D2445" s="14"/>
      <c r="E2445" s="14"/>
      <c r="F2445" s="22"/>
      <c r="G2445" s="22"/>
      <c r="BK2445" s="16"/>
    </row>
    <row r="2446" customFormat="false" ht="12.75" hidden="false" customHeight="false" outlineLevel="0" collapsed="false">
      <c r="B2446" s="14"/>
      <c r="C2446" s="14"/>
      <c r="D2446" s="14"/>
      <c r="E2446" s="14"/>
      <c r="F2446" s="22"/>
      <c r="G2446" s="15"/>
      <c r="BB2446" s="23"/>
      <c r="BK2446" s="16"/>
    </row>
    <row r="2447" s="23" customFormat="true" ht="12.75" hidden="false" customHeight="false" outlineLevel="0" collapsed="false">
      <c r="A2447" s="1"/>
      <c r="B2447" s="14"/>
      <c r="C2447" s="14"/>
      <c r="D2447" s="14"/>
      <c r="E2447" s="14"/>
      <c r="F2447" s="22"/>
      <c r="G2447" s="22"/>
      <c r="T2447" s="5"/>
      <c r="AP2447" s="3"/>
      <c r="AQ2447" s="3"/>
      <c r="AR2447" s="3"/>
      <c r="AS2447" s="3"/>
      <c r="AT2447" s="3"/>
      <c r="AU2447" s="3"/>
      <c r="AV2447" s="3"/>
      <c r="AW2447" s="3"/>
      <c r="AX2447" s="3"/>
      <c r="AY2447" s="3"/>
      <c r="AZ2447" s="3"/>
      <c r="BA2447" s="5"/>
      <c r="BK2447" s="16"/>
    </row>
    <row r="2448" s="23" customFormat="true" ht="12.75" hidden="false" customHeight="false" outlineLevel="0" collapsed="false">
      <c r="A2448" s="1"/>
      <c r="B2448" s="14"/>
      <c r="C2448" s="14"/>
      <c r="D2448" s="14"/>
      <c r="E2448" s="14"/>
      <c r="F2448" s="22"/>
      <c r="G2448" s="22"/>
      <c r="T2448" s="5"/>
      <c r="AP2448" s="3"/>
      <c r="AQ2448" s="3"/>
      <c r="AR2448" s="3"/>
      <c r="AS2448" s="3"/>
      <c r="AT2448" s="3"/>
      <c r="AU2448" s="3"/>
      <c r="AV2448" s="3"/>
      <c r="AW2448" s="3"/>
      <c r="AX2448" s="3"/>
      <c r="AY2448" s="3"/>
      <c r="AZ2448" s="3"/>
      <c r="BA2448" s="5"/>
      <c r="BB2448" s="3"/>
      <c r="BK2448" s="16"/>
    </row>
    <row r="2449" s="23" customFormat="true" ht="12.75" hidden="false" customHeight="false" outlineLevel="0" collapsed="false">
      <c r="A2449" s="1"/>
      <c r="B2449" s="14"/>
      <c r="C2449" s="14"/>
      <c r="D2449" s="14"/>
      <c r="E2449" s="14"/>
      <c r="F2449" s="22"/>
      <c r="G2449" s="22"/>
      <c r="T2449" s="5"/>
      <c r="AP2449" s="3"/>
      <c r="AQ2449" s="3"/>
      <c r="AR2449" s="3"/>
      <c r="AS2449" s="3"/>
      <c r="AT2449" s="3"/>
      <c r="AU2449" s="3"/>
      <c r="AV2449" s="3"/>
      <c r="AW2449" s="3"/>
      <c r="AX2449" s="3"/>
      <c r="AY2449" s="3"/>
      <c r="AZ2449" s="3"/>
      <c r="BA2449" s="5"/>
      <c r="BK2449" s="16"/>
    </row>
    <row r="2450" s="23" customFormat="true" ht="12.75" hidden="false" customHeight="false" outlineLevel="0" collapsed="false">
      <c r="A2450" s="1"/>
      <c r="B2450" s="14"/>
      <c r="C2450" s="14"/>
      <c r="D2450" s="14"/>
      <c r="E2450" s="14"/>
      <c r="F2450" s="22"/>
      <c r="G2450" s="22"/>
      <c r="T2450" s="5"/>
      <c r="AP2450" s="3"/>
      <c r="AQ2450" s="3"/>
      <c r="AR2450" s="3"/>
      <c r="AS2450" s="3"/>
      <c r="AT2450" s="3"/>
      <c r="AU2450" s="3"/>
      <c r="AV2450" s="3"/>
      <c r="AW2450" s="3"/>
      <c r="AX2450" s="3"/>
      <c r="AY2450" s="3"/>
      <c r="AZ2450" s="3"/>
      <c r="BA2450" s="5"/>
      <c r="BB2450" s="3"/>
      <c r="BK2450" s="16"/>
    </row>
    <row r="2451" customFormat="false" ht="12.75" hidden="false" customHeight="false" outlineLevel="0" collapsed="false">
      <c r="B2451" s="14"/>
      <c r="C2451" s="14"/>
      <c r="D2451" s="14"/>
      <c r="E2451" s="14"/>
      <c r="F2451" s="22"/>
      <c r="G2451" s="22"/>
      <c r="BK2451" s="16"/>
    </row>
    <row r="2452" s="23" customFormat="true" ht="12.75" hidden="false" customHeight="false" outlineLevel="0" collapsed="false">
      <c r="A2452" s="1"/>
      <c r="B2452" s="14"/>
      <c r="C2452" s="14"/>
      <c r="D2452" s="14"/>
      <c r="E2452" s="14"/>
      <c r="F2452" s="22"/>
      <c r="G2452" s="22"/>
      <c r="T2452" s="5"/>
      <c r="AP2452" s="3"/>
      <c r="AQ2452" s="3"/>
      <c r="AR2452" s="3"/>
      <c r="AS2452" s="3"/>
      <c r="AT2452" s="3"/>
      <c r="AU2452" s="3"/>
      <c r="AV2452" s="3"/>
      <c r="AW2452" s="3"/>
      <c r="AX2452" s="3"/>
      <c r="AY2452" s="3"/>
      <c r="AZ2452" s="3"/>
      <c r="BA2452" s="5"/>
      <c r="BB2452" s="3"/>
      <c r="BK2452" s="16"/>
    </row>
    <row r="2453" customFormat="false" ht="12.75" hidden="false" customHeight="false" outlineLevel="0" collapsed="false">
      <c r="B2453" s="14"/>
      <c r="C2453" s="14"/>
      <c r="D2453" s="14"/>
      <c r="E2453" s="14"/>
      <c r="F2453" s="22"/>
      <c r="G2453" s="22"/>
      <c r="BK2453" s="16"/>
    </row>
    <row r="2454" customFormat="false" ht="12.75" hidden="false" customHeight="false" outlineLevel="0" collapsed="false">
      <c r="B2454" s="14"/>
      <c r="C2454" s="14"/>
      <c r="D2454" s="14"/>
      <c r="E2454" s="14"/>
      <c r="F2454" s="22"/>
      <c r="G2454" s="22"/>
      <c r="BK2454" s="16"/>
    </row>
    <row r="2455" customFormat="false" ht="12.75" hidden="false" customHeight="false" outlineLevel="0" collapsed="false">
      <c r="B2455" s="14"/>
      <c r="C2455" s="14"/>
      <c r="D2455" s="14"/>
      <c r="E2455" s="14"/>
      <c r="F2455" s="22"/>
      <c r="G2455" s="22"/>
      <c r="BK2455" s="16"/>
    </row>
    <row r="2456" customFormat="false" ht="12.75" hidden="false" customHeight="false" outlineLevel="0" collapsed="false">
      <c r="B2456" s="14"/>
      <c r="C2456" s="14"/>
      <c r="D2456" s="14"/>
      <c r="E2456" s="14"/>
      <c r="F2456" s="22"/>
      <c r="G2456" s="22"/>
      <c r="BK2456" s="16"/>
    </row>
    <row r="2457" s="23" customFormat="true" ht="12.75" hidden="false" customHeight="false" outlineLevel="0" collapsed="false">
      <c r="A2457" s="1"/>
      <c r="B2457" s="14"/>
      <c r="C2457" s="14"/>
      <c r="D2457" s="14"/>
      <c r="E2457" s="14"/>
      <c r="F2457" s="22"/>
      <c r="G2457" s="22"/>
      <c r="T2457" s="5"/>
      <c r="AP2457" s="3"/>
      <c r="AQ2457" s="3"/>
      <c r="AR2457" s="3"/>
      <c r="AS2457" s="3"/>
      <c r="AT2457" s="3"/>
      <c r="AU2457" s="3"/>
      <c r="AV2457" s="3"/>
      <c r="AW2457" s="3"/>
      <c r="AX2457" s="3"/>
      <c r="AY2457" s="3"/>
      <c r="AZ2457" s="3"/>
      <c r="BA2457" s="5"/>
      <c r="BK2457" s="16"/>
    </row>
    <row r="2458" s="11" customFormat="true" ht="12.75" hidden="false" customHeight="false" outlineLevel="0" collapsed="false">
      <c r="A2458" s="7"/>
      <c r="B2458" s="53"/>
      <c r="C2458" s="53"/>
      <c r="D2458" s="53"/>
      <c r="E2458" s="53"/>
      <c r="F2458" s="53"/>
      <c r="G2458" s="53"/>
      <c r="T2458" s="54"/>
      <c r="BA2458" s="54"/>
      <c r="BK2458" s="13"/>
    </row>
    <row r="2459" customFormat="false" ht="12.75" hidden="false" customHeight="false" outlineLevel="0" collapsed="false">
      <c r="B2459" s="14"/>
      <c r="C2459" s="14"/>
      <c r="D2459" s="14"/>
      <c r="E2459" s="14"/>
      <c r="F2459" s="22"/>
      <c r="G2459" s="22"/>
      <c r="BK2459" s="16"/>
    </row>
    <row r="2460" customFormat="false" ht="12.75" hidden="false" customHeight="false" outlineLevel="0" collapsed="false">
      <c r="B2460" s="14"/>
      <c r="C2460" s="14"/>
      <c r="D2460" s="14"/>
      <c r="E2460" s="14"/>
      <c r="F2460" s="22"/>
      <c r="G2460" s="22"/>
      <c r="BK2460" s="16"/>
    </row>
    <row r="2461" customFormat="false" ht="12.75" hidden="false" customHeight="false" outlineLevel="0" collapsed="false">
      <c r="B2461" s="14"/>
      <c r="C2461" s="14"/>
      <c r="D2461" s="14"/>
      <c r="E2461" s="14"/>
      <c r="F2461" s="15"/>
      <c r="G2461" s="15"/>
      <c r="BK2461" s="16"/>
    </row>
    <row r="2462" customFormat="false" ht="12.75" hidden="false" customHeight="false" outlineLevel="0" collapsed="false">
      <c r="B2462" s="14"/>
      <c r="C2462" s="14"/>
      <c r="D2462" s="14"/>
      <c r="E2462" s="14"/>
      <c r="F2462" s="15"/>
      <c r="G2462" s="15"/>
      <c r="BK2462" s="16"/>
    </row>
    <row r="2463" customFormat="false" ht="12.75" hidden="false" customHeight="false" outlineLevel="0" collapsed="false">
      <c r="B2463" s="14"/>
      <c r="C2463" s="14"/>
      <c r="D2463" s="14"/>
      <c r="E2463" s="14"/>
      <c r="F2463" s="22"/>
      <c r="G2463" s="22"/>
      <c r="BK2463" s="16"/>
    </row>
    <row r="2464" customFormat="false" ht="12.75" hidden="false" customHeight="false" outlineLevel="0" collapsed="false">
      <c r="B2464" s="14"/>
      <c r="C2464" s="14"/>
      <c r="D2464" s="14"/>
      <c r="E2464" s="14"/>
      <c r="F2464" s="22"/>
      <c r="G2464" s="22"/>
      <c r="BK2464" s="16"/>
    </row>
    <row r="2465" s="23" customFormat="true" ht="12.75" hidden="false" customHeight="false" outlineLevel="0" collapsed="false">
      <c r="A2465" s="1"/>
      <c r="B2465" s="14"/>
      <c r="C2465" s="14"/>
      <c r="D2465" s="14"/>
      <c r="E2465" s="14"/>
      <c r="F2465" s="22"/>
      <c r="G2465" s="22"/>
      <c r="T2465" s="5"/>
      <c r="V2465" s="3"/>
      <c r="W2465" s="3"/>
      <c r="X2465" s="3"/>
      <c r="Y2465" s="3"/>
      <c r="Z2465" s="3"/>
      <c r="AA2465" s="3"/>
      <c r="AB2465" s="3"/>
      <c r="AP2465" s="3"/>
      <c r="AQ2465" s="3"/>
      <c r="AR2465" s="3"/>
      <c r="AS2465" s="3"/>
      <c r="AT2465" s="3"/>
      <c r="AU2465" s="3"/>
      <c r="AV2465" s="3"/>
      <c r="AW2465" s="3"/>
      <c r="AX2465" s="3"/>
      <c r="AY2465" s="3"/>
      <c r="AZ2465" s="3"/>
      <c r="BA2465" s="5"/>
      <c r="BB2465" s="3"/>
      <c r="BK2465" s="16"/>
    </row>
    <row r="2466" customFormat="false" ht="12.75" hidden="false" customHeight="false" outlineLevel="0" collapsed="false">
      <c r="B2466" s="14"/>
      <c r="C2466" s="14"/>
      <c r="D2466" s="14"/>
      <c r="E2466" s="14"/>
      <c r="F2466" s="22"/>
      <c r="G2466" s="22"/>
      <c r="BC2466" s="23"/>
      <c r="BD2466" s="23"/>
      <c r="BE2466" s="23"/>
      <c r="BF2466" s="23"/>
      <c r="BG2466" s="23"/>
      <c r="BH2466" s="23"/>
      <c r="BI2466" s="23"/>
      <c r="BJ2466" s="23"/>
      <c r="BK2466" s="16"/>
    </row>
    <row r="2467" customFormat="false" ht="12.75" hidden="false" customHeight="false" outlineLevel="0" collapsed="false">
      <c r="B2467" s="14"/>
      <c r="C2467" s="14"/>
      <c r="D2467" s="14"/>
      <c r="E2467" s="14"/>
      <c r="F2467" s="22"/>
      <c r="G2467" s="22"/>
      <c r="BK2467" s="16"/>
    </row>
    <row r="2468" customFormat="false" ht="12.75" hidden="false" customHeight="false" outlineLevel="0" collapsed="false">
      <c r="B2468" s="14"/>
      <c r="C2468" s="14"/>
      <c r="D2468" s="14"/>
      <c r="E2468" s="14"/>
      <c r="F2468" s="22"/>
      <c r="G2468" s="22"/>
      <c r="BK2468" s="16"/>
    </row>
    <row r="2469" s="23" customFormat="true" ht="12.75" hidden="false" customHeight="false" outlineLevel="0" collapsed="false">
      <c r="A2469" s="1"/>
      <c r="B2469" s="14"/>
      <c r="C2469" s="14"/>
      <c r="D2469" s="14"/>
      <c r="E2469" s="14"/>
      <c r="F2469" s="22"/>
      <c r="G2469" s="22"/>
      <c r="T2469" s="5"/>
      <c r="AP2469" s="3"/>
      <c r="AQ2469" s="3"/>
      <c r="AR2469" s="3"/>
      <c r="AS2469" s="3"/>
      <c r="AT2469" s="3"/>
      <c r="AU2469" s="3"/>
      <c r="AV2469" s="3"/>
      <c r="AW2469" s="3"/>
      <c r="AX2469" s="3"/>
      <c r="AY2469" s="3"/>
      <c r="AZ2469" s="3"/>
      <c r="BA2469" s="5"/>
      <c r="BK2469" s="16"/>
    </row>
    <row r="2470" customFormat="false" ht="12.75" hidden="false" customHeight="false" outlineLevel="0" collapsed="false">
      <c r="B2470" s="14"/>
      <c r="C2470" s="14"/>
      <c r="D2470" s="14"/>
      <c r="E2470" s="14"/>
      <c r="F2470" s="22"/>
      <c r="G2470" s="22"/>
      <c r="BK2470" s="16"/>
    </row>
    <row r="2471" customFormat="false" ht="12.75" hidden="false" customHeight="false" outlineLevel="0" collapsed="false">
      <c r="B2471" s="14"/>
      <c r="C2471" s="14"/>
      <c r="D2471" s="14"/>
      <c r="E2471" s="14"/>
      <c r="F2471" s="22"/>
      <c r="G2471" s="22"/>
      <c r="BK2471" s="16"/>
    </row>
    <row r="2472" s="23" customFormat="true" ht="12.75" hidden="false" customHeight="false" outlineLevel="0" collapsed="false">
      <c r="A2472" s="1"/>
      <c r="B2472" s="14"/>
      <c r="C2472" s="14"/>
      <c r="D2472" s="14"/>
      <c r="E2472" s="14"/>
      <c r="F2472" s="22"/>
      <c r="G2472" s="22"/>
      <c r="T2472" s="5"/>
      <c r="AP2472" s="3"/>
      <c r="AQ2472" s="3"/>
      <c r="AR2472" s="3"/>
      <c r="AS2472" s="3"/>
      <c r="AT2472" s="3"/>
      <c r="AU2472" s="3"/>
      <c r="AV2472" s="3"/>
      <c r="AW2472" s="3"/>
      <c r="AX2472" s="3"/>
      <c r="AY2472" s="3"/>
      <c r="AZ2472" s="3"/>
      <c r="BA2472" s="5"/>
      <c r="BB2472" s="3"/>
      <c r="BK2472" s="16"/>
    </row>
    <row r="2473" customFormat="false" ht="12.75" hidden="false" customHeight="false" outlineLevel="0" collapsed="false">
      <c r="B2473" s="14"/>
      <c r="C2473" s="14"/>
      <c r="D2473" s="14"/>
      <c r="E2473" s="14"/>
      <c r="F2473" s="22"/>
      <c r="G2473" s="15"/>
      <c r="BB2473" s="23"/>
      <c r="BK2473" s="16"/>
    </row>
    <row r="2474" s="23" customFormat="true" ht="12.75" hidden="false" customHeight="false" outlineLevel="0" collapsed="false">
      <c r="A2474" s="1"/>
      <c r="B2474" s="14"/>
      <c r="C2474" s="14"/>
      <c r="D2474" s="14"/>
      <c r="E2474" s="14"/>
      <c r="F2474" s="22"/>
      <c r="G2474" s="22"/>
      <c r="T2474" s="5"/>
      <c r="AP2474" s="3"/>
      <c r="AQ2474" s="3"/>
      <c r="AR2474" s="3"/>
      <c r="AS2474" s="3"/>
      <c r="AT2474" s="3"/>
      <c r="AU2474" s="3"/>
      <c r="AV2474" s="3"/>
      <c r="AW2474" s="3"/>
      <c r="AX2474" s="3"/>
      <c r="AY2474" s="3"/>
      <c r="AZ2474" s="3"/>
      <c r="BA2474" s="5"/>
      <c r="BB2474" s="3"/>
      <c r="BK2474" s="16"/>
    </row>
    <row r="2475" customFormat="false" ht="12.75" hidden="false" customHeight="false" outlineLevel="0" collapsed="false">
      <c r="B2475" s="14"/>
      <c r="C2475" s="14"/>
      <c r="D2475" s="14"/>
      <c r="E2475" s="14"/>
      <c r="F2475" s="22"/>
      <c r="G2475" s="22"/>
      <c r="BK2475" s="16"/>
    </row>
    <row r="2476" s="23" customFormat="true" ht="12.75" hidden="false" customHeight="false" outlineLevel="0" collapsed="false">
      <c r="A2476" s="1"/>
      <c r="B2476" s="14"/>
      <c r="C2476" s="14"/>
      <c r="D2476" s="14"/>
      <c r="E2476" s="14"/>
      <c r="F2476" s="22"/>
      <c r="G2476" s="22"/>
      <c r="T2476" s="5"/>
      <c r="AP2476" s="3"/>
      <c r="AQ2476" s="3"/>
      <c r="AR2476" s="3"/>
      <c r="AS2476" s="3"/>
      <c r="AT2476" s="3"/>
      <c r="AU2476" s="3"/>
      <c r="AV2476" s="3"/>
      <c r="AW2476" s="3"/>
      <c r="AX2476" s="3"/>
      <c r="AY2476" s="3"/>
      <c r="AZ2476" s="3"/>
      <c r="BA2476" s="5"/>
      <c r="BB2476" s="3"/>
      <c r="BK2476" s="16"/>
    </row>
    <row r="2477" customFormat="false" ht="12.75" hidden="false" customHeight="false" outlineLevel="0" collapsed="false">
      <c r="B2477" s="14"/>
      <c r="C2477" s="14"/>
      <c r="D2477" s="14"/>
      <c r="E2477" s="14"/>
      <c r="F2477" s="22"/>
      <c r="G2477" s="15"/>
      <c r="BB2477" s="23"/>
      <c r="BK2477" s="16"/>
    </row>
    <row r="2478" customFormat="false" ht="12.75" hidden="false" customHeight="false" outlineLevel="0" collapsed="false">
      <c r="B2478" s="14"/>
      <c r="C2478" s="14"/>
      <c r="D2478" s="14"/>
      <c r="E2478" s="14"/>
      <c r="F2478" s="22"/>
      <c r="G2478" s="22"/>
      <c r="BK2478" s="16"/>
    </row>
    <row r="2479" customFormat="false" ht="12.75" hidden="false" customHeight="false" outlineLevel="0" collapsed="false">
      <c r="B2479" s="14"/>
      <c r="C2479" s="14"/>
      <c r="D2479" s="14"/>
      <c r="E2479" s="14"/>
      <c r="F2479" s="22"/>
      <c r="G2479" s="22"/>
      <c r="BK2479" s="16"/>
    </row>
    <row r="2480" s="23" customFormat="true" ht="12.75" hidden="false" customHeight="false" outlineLevel="0" collapsed="false">
      <c r="A2480" s="1"/>
      <c r="B2480" s="14"/>
      <c r="C2480" s="14"/>
      <c r="D2480" s="14"/>
      <c r="E2480" s="14"/>
      <c r="F2480" s="22"/>
      <c r="G2480" s="22"/>
      <c r="T2480" s="5"/>
      <c r="AP2480" s="3"/>
      <c r="AQ2480" s="3"/>
      <c r="AR2480" s="3"/>
      <c r="AS2480" s="3"/>
      <c r="AT2480" s="3"/>
      <c r="AU2480" s="3"/>
      <c r="AV2480" s="3"/>
      <c r="AW2480" s="3"/>
      <c r="AX2480" s="3"/>
      <c r="AY2480" s="3"/>
      <c r="AZ2480" s="3"/>
      <c r="BA2480" s="5"/>
      <c r="BB2480" s="3"/>
      <c r="BK2480" s="16"/>
    </row>
    <row r="2481" customFormat="false" ht="12.75" hidden="false" customHeight="false" outlineLevel="0" collapsed="false">
      <c r="B2481" s="14"/>
      <c r="C2481" s="14"/>
      <c r="D2481" s="14"/>
      <c r="E2481" s="14"/>
      <c r="F2481" s="15"/>
      <c r="G2481" s="15"/>
      <c r="BK2481" s="16"/>
    </row>
    <row r="2482" customFormat="false" ht="12.75" hidden="false" customHeight="false" outlineLevel="0" collapsed="false">
      <c r="B2482" s="14"/>
      <c r="C2482" s="14"/>
      <c r="D2482" s="14"/>
      <c r="E2482" s="14"/>
      <c r="F2482" s="22"/>
      <c r="G2482" s="15"/>
      <c r="BB2482" s="23"/>
      <c r="BK2482" s="16"/>
    </row>
    <row r="2483" s="23" customFormat="true" ht="12.75" hidden="false" customHeight="false" outlineLevel="0" collapsed="false">
      <c r="A2483" s="1"/>
      <c r="B2483" s="14"/>
      <c r="C2483" s="14"/>
      <c r="D2483" s="14"/>
      <c r="E2483" s="14"/>
      <c r="F2483" s="22"/>
      <c r="G2483" s="22"/>
      <c r="T2483" s="5"/>
      <c r="AP2483" s="3"/>
      <c r="AQ2483" s="3"/>
      <c r="AR2483" s="3"/>
      <c r="AS2483" s="3"/>
      <c r="AT2483" s="3"/>
      <c r="AU2483" s="3"/>
      <c r="AV2483" s="3"/>
      <c r="AW2483" s="3"/>
      <c r="AX2483" s="3"/>
      <c r="AY2483" s="3"/>
      <c r="AZ2483" s="3"/>
      <c r="BA2483" s="5"/>
      <c r="BB2483" s="3"/>
      <c r="BK2483" s="16"/>
    </row>
    <row r="2484" s="23" customFormat="true" ht="12.75" hidden="false" customHeight="false" outlineLevel="0" collapsed="false">
      <c r="A2484" s="1"/>
      <c r="B2484" s="14"/>
      <c r="C2484" s="14"/>
      <c r="D2484" s="14"/>
      <c r="E2484" s="14"/>
      <c r="F2484" s="22"/>
      <c r="G2484" s="22"/>
      <c r="T2484" s="5"/>
      <c r="AP2484" s="3"/>
      <c r="AQ2484" s="3"/>
      <c r="AR2484" s="3"/>
      <c r="AS2484" s="3"/>
      <c r="AT2484" s="3"/>
      <c r="AU2484" s="3"/>
      <c r="AV2484" s="3"/>
      <c r="AW2484" s="3"/>
      <c r="AX2484" s="3"/>
      <c r="AY2484" s="3"/>
      <c r="AZ2484" s="3"/>
      <c r="BA2484" s="5"/>
      <c r="BB2484" s="3"/>
      <c r="BK2484" s="16"/>
    </row>
    <row r="2485" customFormat="false" ht="12.75" hidden="false" customHeight="false" outlineLevel="0" collapsed="false">
      <c r="B2485" s="14"/>
      <c r="C2485" s="14"/>
      <c r="D2485" s="14"/>
      <c r="E2485" s="14"/>
      <c r="F2485" s="22"/>
      <c r="G2485" s="15"/>
      <c r="BB2485" s="23"/>
      <c r="BK2485" s="16"/>
    </row>
    <row r="2486" customFormat="false" ht="12.75" hidden="false" customHeight="false" outlineLevel="0" collapsed="false">
      <c r="B2486" s="14"/>
      <c r="C2486" s="14"/>
      <c r="D2486" s="14"/>
      <c r="E2486" s="14"/>
      <c r="F2486" s="15"/>
      <c r="G2486" s="15"/>
      <c r="BK2486" s="16"/>
    </row>
    <row r="2487" customFormat="false" ht="12.75" hidden="false" customHeight="false" outlineLevel="0" collapsed="false">
      <c r="B2487" s="14"/>
      <c r="C2487" s="14"/>
      <c r="D2487" s="14"/>
      <c r="E2487" s="14"/>
      <c r="F2487" s="15"/>
      <c r="G2487" s="15"/>
      <c r="BK2487" s="16"/>
    </row>
    <row r="2488" s="23" customFormat="true" ht="12.75" hidden="false" customHeight="false" outlineLevel="0" collapsed="false">
      <c r="A2488" s="1"/>
      <c r="B2488" s="14"/>
      <c r="C2488" s="14"/>
      <c r="D2488" s="14"/>
      <c r="E2488" s="14"/>
      <c r="F2488" s="22"/>
      <c r="G2488" s="22"/>
      <c r="T2488" s="5"/>
      <c r="AP2488" s="3"/>
      <c r="AQ2488" s="3"/>
      <c r="AR2488" s="3"/>
      <c r="AS2488" s="3"/>
      <c r="AT2488" s="3"/>
      <c r="AU2488" s="3"/>
      <c r="AV2488" s="3"/>
      <c r="AW2488" s="3"/>
      <c r="AX2488" s="3"/>
      <c r="AY2488" s="3"/>
      <c r="AZ2488" s="3"/>
      <c r="BA2488" s="5"/>
      <c r="BK2488" s="16"/>
    </row>
    <row r="2489" s="23" customFormat="true" ht="12.75" hidden="false" customHeight="false" outlineLevel="0" collapsed="false">
      <c r="A2489" s="1"/>
      <c r="B2489" s="14"/>
      <c r="C2489" s="14"/>
      <c r="D2489" s="14"/>
      <c r="E2489" s="14"/>
      <c r="F2489" s="22"/>
      <c r="G2489" s="22"/>
      <c r="T2489" s="5"/>
      <c r="AP2489" s="3"/>
      <c r="AQ2489" s="3"/>
      <c r="AR2489" s="3"/>
      <c r="AS2489" s="3"/>
      <c r="AT2489" s="3"/>
      <c r="AU2489" s="3"/>
      <c r="AV2489" s="3"/>
      <c r="AW2489" s="3"/>
      <c r="AX2489" s="3"/>
      <c r="AY2489" s="3"/>
      <c r="AZ2489" s="3"/>
      <c r="BA2489" s="5"/>
      <c r="BB2489" s="3"/>
      <c r="BK2489" s="16"/>
    </row>
    <row r="2490" customFormat="false" ht="12.75" hidden="false" customHeight="false" outlineLevel="0" collapsed="false">
      <c r="B2490" s="14"/>
      <c r="C2490" s="14"/>
      <c r="D2490" s="14"/>
      <c r="E2490" s="14"/>
      <c r="F2490" s="15"/>
      <c r="G2490" s="15"/>
      <c r="BK2490" s="16"/>
    </row>
    <row r="2491" customFormat="false" ht="12.75" hidden="false" customHeight="false" outlineLevel="0" collapsed="false">
      <c r="B2491" s="14"/>
      <c r="C2491" s="14"/>
      <c r="D2491" s="14"/>
      <c r="E2491" s="14"/>
      <c r="F2491" s="15"/>
      <c r="G2491" s="15"/>
      <c r="BK2491" s="16"/>
    </row>
    <row r="2492" s="23" customFormat="true" ht="12.75" hidden="false" customHeight="false" outlineLevel="0" collapsed="false">
      <c r="A2492" s="1"/>
      <c r="B2492" s="14"/>
      <c r="C2492" s="14"/>
      <c r="D2492" s="14"/>
      <c r="E2492" s="14"/>
      <c r="F2492" s="22"/>
      <c r="G2492" s="22"/>
      <c r="T2492" s="5"/>
      <c r="V2492" s="3"/>
      <c r="W2492" s="3"/>
      <c r="X2492" s="3"/>
      <c r="Y2492" s="3"/>
      <c r="Z2492" s="3"/>
      <c r="AA2492" s="3"/>
      <c r="AB2492" s="3"/>
      <c r="AP2492" s="3"/>
      <c r="AQ2492" s="3"/>
      <c r="AR2492" s="3"/>
      <c r="AS2492" s="3"/>
      <c r="AT2492" s="3"/>
      <c r="AU2492" s="3"/>
      <c r="AV2492" s="3"/>
      <c r="AW2492" s="3"/>
      <c r="AX2492" s="3"/>
      <c r="AY2492" s="3"/>
      <c r="AZ2492" s="3"/>
      <c r="BA2492" s="5"/>
      <c r="BB2492" s="3"/>
      <c r="BK2492" s="16"/>
    </row>
    <row r="2493" s="23" customFormat="true" ht="12.75" hidden="false" customHeight="false" outlineLevel="0" collapsed="false">
      <c r="A2493" s="1"/>
      <c r="B2493" s="14"/>
      <c r="C2493" s="14"/>
      <c r="D2493" s="14"/>
      <c r="E2493" s="14"/>
      <c r="F2493" s="22"/>
      <c r="G2493" s="22"/>
      <c r="T2493" s="5"/>
      <c r="AP2493" s="3"/>
      <c r="AQ2493" s="3"/>
      <c r="AR2493" s="3"/>
      <c r="AS2493" s="3"/>
      <c r="AT2493" s="3"/>
      <c r="AU2493" s="3"/>
      <c r="AV2493" s="3"/>
      <c r="AW2493" s="3"/>
      <c r="AX2493" s="3"/>
      <c r="AY2493" s="3"/>
      <c r="AZ2493" s="3"/>
      <c r="BA2493" s="5"/>
      <c r="BB2493" s="3"/>
      <c r="BK2493" s="16"/>
    </row>
    <row r="2494" s="23" customFormat="true" ht="12.75" hidden="false" customHeight="false" outlineLevel="0" collapsed="false">
      <c r="A2494" s="1"/>
      <c r="B2494" s="14"/>
      <c r="C2494" s="14"/>
      <c r="D2494" s="14"/>
      <c r="E2494" s="14"/>
      <c r="F2494" s="22"/>
      <c r="G2494" s="22"/>
      <c r="T2494" s="5"/>
      <c r="V2494" s="3"/>
      <c r="W2494" s="3"/>
      <c r="X2494" s="3"/>
      <c r="Y2494" s="3"/>
      <c r="Z2494" s="3"/>
      <c r="AA2494" s="3"/>
      <c r="AB2494" s="3"/>
      <c r="AP2494" s="3"/>
      <c r="AQ2494" s="3"/>
      <c r="AR2494" s="3"/>
      <c r="AS2494" s="3"/>
      <c r="AT2494" s="3"/>
      <c r="AU2494" s="3"/>
      <c r="AV2494" s="3"/>
      <c r="AW2494" s="3"/>
      <c r="AX2494" s="3"/>
      <c r="AY2494" s="3"/>
      <c r="AZ2494" s="3"/>
      <c r="BA2494" s="5"/>
      <c r="BB2494" s="3"/>
      <c r="BK2494" s="16"/>
    </row>
    <row r="2495" customFormat="false" ht="12.75" hidden="false" customHeight="false" outlineLevel="0" collapsed="false">
      <c r="B2495" s="14"/>
      <c r="C2495" s="14"/>
      <c r="D2495" s="14"/>
      <c r="E2495" s="14"/>
      <c r="F2495" s="15"/>
      <c r="G2495" s="15"/>
      <c r="BK2495" s="16"/>
    </row>
    <row r="2496" customFormat="false" ht="12.75" hidden="false" customHeight="false" outlineLevel="0" collapsed="false">
      <c r="B2496" s="14"/>
      <c r="C2496" s="14"/>
      <c r="D2496" s="14"/>
      <c r="E2496" s="14"/>
      <c r="F2496" s="15"/>
      <c r="G2496" s="22"/>
      <c r="BK2496" s="16"/>
    </row>
    <row r="2497" s="23" customFormat="true" ht="12.75" hidden="false" customHeight="false" outlineLevel="0" collapsed="false">
      <c r="A2497" s="1"/>
      <c r="B2497" s="14"/>
      <c r="C2497" s="14"/>
      <c r="D2497" s="14"/>
      <c r="E2497" s="14"/>
      <c r="F2497" s="22"/>
      <c r="G2497" s="22"/>
      <c r="T2497" s="5"/>
      <c r="AP2497" s="3"/>
      <c r="AQ2497" s="3"/>
      <c r="AR2497" s="3"/>
      <c r="AS2497" s="3"/>
      <c r="AT2497" s="3"/>
      <c r="AU2497" s="3"/>
      <c r="AV2497" s="3"/>
      <c r="AW2497" s="3"/>
      <c r="AX2497" s="3"/>
      <c r="AY2497" s="3"/>
      <c r="AZ2497" s="3"/>
      <c r="BA2497" s="5"/>
      <c r="BB2497" s="3"/>
      <c r="BK2497" s="16"/>
    </row>
    <row r="2498" s="23" customFormat="true" ht="12.75" hidden="false" customHeight="false" outlineLevel="0" collapsed="false">
      <c r="A2498" s="1"/>
      <c r="B2498" s="14"/>
      <c r="C2498" s="14"/>
      <c r="D2498" s="14"/>
      <c r="E2498" s="14"/>
      <c r="F2498" s="22"/>
      <c r="G2498" s="22"/>
      <c r="T2498" s="5"/>
      <c r="V2498" s="3"/>
      <c r="AP2498" s="3"/>
      <c r="AQ2498" s="3"/>
      <c r="AR2498" s="3"/>
      <c r="AS2498" s="3"/>
      <c r="AT2498" s="3"/>
      <c r="AU2498" s="3"/>
      <c r="AV2498" s="3"/>
      <c r="AW2498" s="3"/>
      <c r="AX2498" s="3"/>
      <c r="AY2498" s="3"/>
      <c r="AZ2498" s="3"/>
      <c r="BA2498" s="5"/>
      <c r="BB2498" s="3"/>
      <c r="BK2498" s="16"/>
    </row>
    <row r="2499" customFormat="false" ht="12.75" hidden="false" customHeight="false" outlineLevel="0" collapsed="false">
      <c r="B2499" s="14"/>
      <c r="C2499" s="14"/>
      <c r="D2499" s="14"/>
      <c r="E2499" s="14"/>
      <c r="F2499" s="22"/>
      <c r="G2499" s="15"/>
      <c r="BB2499" s="23"/>
      <c r="BK2499" s="16"/>
    </row>
    <row r="2500" s="23" customFormat="true" ht="12.75" hidden="false" customHeight="false" outlineLevel="0" collapsed="false">
      <c r="A2500" s="1"/>
      <c r="B2500" s="14"/>
      <c r="C2500" s="14"/>
      <c r="D2500" s="14"/>
      <c r="E2500" s="14"/>
      <c r="F2500" s="22"/>
      <c r="G2500" s="22"/>
      <c r="T2500" s="5"/>
      <c r="AP2500" s="3"/>
      <c r="AQ2500" s="3"/>
      <c r="AR2500" s="3"/>
      <c r="AS2500" s="3"/>
      <c r="AT2500" s="3"/>
      <c r="AU2500" s="3"/>
      <c r="AV2500" s="3"/>
      <c r="AW2500" s="3"/>
      <c r="AX2500" s="3"/>
      <c r="AY2500" s="3"/>
      <c r="AZ2500" s="3"/>
      <c r="BA2500" s="5"/>
      <c r="BB2500" s="3"/>
      <c r="BK2500" s="16"/>
    </row>
    <row r="2501" customFormat="false" ht="12.75" hidden="false" customHeight="false" outlineLevel="0" collapsed="false">
      <c r="B2501" s="14"/>
      <c r="C2501" s="14"/>
      <c r="D2501" s="14"/>
      <c r="E2501" s="14"/>
      <c r="F2501" s="15"/>
      <c r="G2501" s="15"/>
      <c r="BK2501" s="16"/>
    </row>
    <row r="2502" customFormat="false" ht="12.75" hidden="false" customHeight="false" outlineLevel="0" collapsed="false">
      <c r="B2502" s="14"/>
      <c r="C2502" s="14"/>
      <c r="D2502" s="14"/>
      <c r="E2502" s="14"/>
      <c r="F2502" s="22"/>
      <c r="G2502" s="22"/>
      <c r="BK2502" s="16"/>
    </row>
    <row r="2503" s="23" customFormat="true" ht="12.75" hidden="false" customHeight="false" outlineLevel="0" collapsed="false">
      <c r="A2503" s="1"/>
      <c r="B2503" s="14"/>
      <c r="C2503" s="14"/>
      <c r="D2503" s="14"/>
      <c r="E2503" s="14"/>
      <c r="F2503" s="22"/>
      <c r="G2503" s="22"/>
      <c r="T2503" s="5"/>
      <c r="V2503" s="3"/>
      <c r="AP2503" s="3"/>
      <c r="AQ2503" s="3"/>
      <c r="AR2503" s="3"/>
      <c r="AS2503" s="3"/>
      <c r="AT2503" s="3"/>
      <c r="AU2503" s="3"/>
      <c r="AV2503" s="3"/>
      <c r="AW2503" s="3"/>
      <c r="AX2503" s="3"/>
      <c r="AY2503" s="3"/>
      <c r="AZ2503" s="3"/>
      <c r="BA2503" s="5"/>
      <c r="BB2503" s="3"/>
      <c r="BK2503" s="16"/>
    </row>
    <row r="2504" s="23" customFormat="true" ht="12.75" hidden="false" customHeight="false" outlineLevel="0" collapsed="false">
      <c r="A2504" s="1"/>
      <c r="B2504" s="14"/>
      <c r="C2504" s="14"/>
      <c r="D2504" s="14"/>
      <c r="E2504" s="14"/>
      <c r="F2504" s="22"/>
      <c r="G2504" s="22"/>
      <c r="T2504" s="5"/>
      <c r="AP2504" s="3"/>
      <c r="AQ2504" s="3"/>
      <c r="AR2504" s="3"/>
      <c r="AS2504" s="3"/>
      <c r="AT2504" s="3"/>
      <c r="AU2504" s="3"/>
      <c r="AV2504" s="3"/>
      <c r="AW2504" s="3"/>
      <c r="AX2504" s="3"/>
      <c r="AY2504" s="3"/>
      <c r="AZ2504" s="3"/>
      <c r="BA2504" s="5"/>
      <c r="BB2504" s="3"/>
      <c r="BK2504" s="16"/>
    </row>
    <row r="2505" customFormat="false" ht="12.75" hidden="false" customHeight="false" outlineLevel="0" collapsed="false">
      <c r="B2505" s="14"/>
      <c r="C2505" s="14"/>
      <c r="D2505" s="14"/>
      <c r="E2505" s="14"/>
      <c r="F2505" s="15"/>
      <c r="G2505" s="15"/>
      <c r="BK2505" s="16"/>
    </row>
    <row r="2506" customFormat="false" ht="12.75" hidden="false" customHeight="false" outlineLevel="0" collapsed="false">
      <c r="B2506" s="14"/>
      <c r="C2506" s="14"/>
      <c r="D2506" s="14"/>
      <c r="E2506" s="14"/>
      <c r="F2506" s="22"/>
      <c r="G2506" s="22"/>
      <c r="BK2506" s="16"/>
    </row>
    <row r="2507" customFormat="false" ht="12.75" hidden="false" customHeight="false" outlineLevel="0" collapsed="false">
      <c r="B2507" s="14"/>
      <c r="C2507" s="14"/>
      <c r="D2507" s="14"/>
      <c r="E2507" s="14"/>
      <c r="F2507" s="15"/>
      <c r="G2507" s="15"/>
      <c r="BK2507" s="16"/>
    </row>
    <row r="2508" customFormat="false" ht="12.75" hidden="false" customHeight="false" outlineLevel="0" collapsed="false">
      <c r="B2508" s="14"/>
      <c r="C2508" s="14"/>
      <c r="D2508" s="14"/>
      <c r="E2508" s="14"/>
      <c r="F2508" s="22"/>
      <c r="G2508" s="22"/>
      <c r="AP2508" s="23"/>
      <c r="AQ2508" s="23"/>
      <c r="AR2508" s="23"/>
      <c r="AS2508" s="23"/>
      <c r="AT2508" s="23"/>
      <c r="AU2508" s="23"/>
      <c r="AV2508" s="23"/>
      <c r="AW2508" s="23"/>
      <c r="AX2508" s="23"/>
      <c r="AY2508" s="23"/>
      <c r="AZ2508" s="23"/>
      <c r="BB2508" s="23"/>
      <c r="BC2508" s="23"/>
      <c r="BD2508" s="23"/>
      <c r="BE2508" s="23"/>
      <c r="BF2508" s="23"/>
      <c r="BG2508" s="23"/>
      <c r="BH2508" s="23"/>
      <c r="BJ2508" s="23"/>
      <c r="BK2508" s="16"/>
    </row>
    <row r="2509" customFormat="false" ht="12.75" hidden="false" customHeight="false" outlineLevel="0" collapsed="false">
      <c r="B2509" s="14"/>
      <c r="C2509" s="14"/>
      <c r="D2509" s="14"/>
      <c r="E2509" s="14"/>
      <c r="F2509" s="15"/>
      <c r="G2509" s="15"/>
      <c r="BK2509" s="16"/>
    </row>
    <row r="2510" s="23" customFormat="true" ht="12.75" hidden="false" customHeight="false" outlineLevel="0" collapsed="false">
      <c r="A2510" s="1"/>
      <c r="B2510" s="14"/>
      <c r="C2510" s="14"/>
      <c r="D2510" s="14"/>
      <c r="E2510" s="14"/>
      <c r="F2510" s="22"/>
      <c r="G2510" s="22"/>
      <c r="T2510" s="5"/>
      <c r="V2510" s="3"/>
      <c r="W2510" s="3"/>
      <c r="X2510" s="3"/>
      <c r="Y2510" s="3"/>
      <c r="Z2510" s="3"/>
      <c r="AA2510" s="3"/>
      <c r="AB2510" s="3"/>
      <c r="AP2510" s="3"/>
      <c r="AQ2510" s="3"/>
      <c r="AR2510" s="3"/>
      <c r="AS2510" s="3"/>
      <c r="AT2510" s="3"/>
      <c r="AU2510" s="3"/>
      <c r="AV2510" s="3"/>
      <c r="AW2510" s="3"/>
      <c r="AX2510" s="3"/>
      <c r="AY2510" s="3"/>
      <c r="AZ2510" s="3"/>
      <c r="BA2510" s="5"/>
      <c r="BB2510" s="3"/>
      <c r="BK2510" s="16"/>
    </row>
    <row r="2511" customFormat="false" ht="12.75" hidden="false" customHeight="false" outlineLevel="0" collapsed="false">
      <c r="B2511" s="14"/>
      <c r="C2511" s="14"/>
      <c r="D2511" s="14"/>
      <c r="E2511" s="14"/>
      <c r="F2511" s="15"/>
      <c r="G2511" s="15"/>
      <c r="BK2511" s="16"/>
    </row>
    <row r="2512" s="23" customFormat="true" ht="12.75" hidden="false" customHeight="false" outlineLevel="0" collapsed="false">
      <c r="A2512" s="1"/>
      <c r="B2512" s="14"/>
      <c r="C2512" s="14"/>
      <c r="D2512" s="14"/>
      <c r="E2512" s="14"/>
      <c r="F2512" s="22"/>
      <c r="G2512" s="22"/>
      <c r="T2512" s="5"/>
      <c r="V2512" s="3"/>
      <c r="W2512" s="3"/>
      <c r="X2512" s="3"/>
      <c r="Y2512" s="3"/>
      <c r="Z2512" s="3"/>
      <c r="AA2512" s="3"/>
      <c r="AB2512" s="3"/>
      <c r="AP2512" s="3"/>
      <c r="AQ2512" s="3"/>
      <c r="AR2512" s="3"/>
      <c r="AS2512" s="3"/>
      <c r="AT2512" s="3"/>
      <c r="AU2512" s="3"/>
      <c r="AV2512" s="3"/>
      <c r="AW2512" s="3"/>
      <c r="AX2512" s="3"/>
      <c r="AY2512" s="3"/>
      <c r="AZ2512" s="3"/>
      <c r="BA2512" s="5"/>
      <c r="BB2512" s="3"/>
      <c r="BK2512" s="16"/>
    </row>
    <row r="2513" customFormat="false" ht="12.75" hidden="false" customHeight="false" outlineLevel="0" collapsed="false">
      <c r="B2513" s="14"/>
      <c r="C2513" s="14"/>
      <c r="D2513" s="14"/>
      <c r="E2513" s="14"/>
      <c r="F2513" s="15"/>
      <c r="G2513" s="15"/>
      <c r="BK2513" s="16"/>
    </row>
    <row r="2514" s="23" customFormat="true" ht="12.75" hidden="false" customHeight="false" outlineLevel="0" collapsed="false">
      <c r="A2514" s="1"/>
      <c r="B2514" s="14"/>
      <c r="C2514" s="14"/>
      <c r="D2514" s="14"/>
      <c r="E2514" s="14"/>
      <c r="F2514" s="22"/>
      <c r="G2514" s="22"/>
      <c r="T2514" s="5"/>
      <c r="V2514" s="3"/>
      <c r="W2514" s="3"/>
      <c r="X2514" s="3"/>
      <c r="Y2514" s="3"/>
      <c r="Z2514" s="3"/>
      <c r="AA2514" s="3"/>
      <c r="AB2514" s="3"/>
      <c r="AP2514" s="3"/>
      <c r="AQ2514" s="3"/>
      <c r="AR2514" s="3"/>
      <c r="AS2514" s="3"/>
      <c r="AT2514" s="3"/>
      <c r="AU2514" s="3"/>
      <c r="AV2514" s="3"/>
      <c r="AW2514" s="3"/>
      <c r="AX2514" s="3"/>
      <c r="AY2514" s="3"/>
      <c r="AZ2514" s="3"/>
      <c r="BA2514" s="5"/>
      <c r="BB2514" s="3"/>
      <c r="BK2514" s="16"/>
    </row>
    <row r="2515" s="11" customFormat="true" ht="12.75" hidden="false" customHeight="false" outlineLevel="0" collapsed="false">
      <c r="A2515" s="7"/>
      <c r="B2515" s="53"/>
      <c r="C2515" s="53"/>
      <c r="D2515" s="53"/>
      <c r="E2515" s="53"/>
      <c r="F2515" s="53"/>
      <c r="G2515" s="53"/>
      <c r="T2515" s="54"/>
      <c r="BA2515" s="54"/>
      <c r="BK2515" s="13"/>
    </row>
    <row r="2516" customFormat="false" ht="12.75" hidden="false" customHeight="false" outlineLevel="0" collapsed="false">
      <c r="B2516" s="14"/>
      <c r="C2516" s="14"/>
      <c r="D2516" s="14"/>
      <c r="E2516" s="14"/>
      <c r="F2516" s="15"/>
      <c r="G2516" s="15"/>
      <c r="BK2516" s="16"/>
    </row>
    <row r="2517" customFormat="false" ht="12.75" hidden="false" customHeight="false" outlineLevel="0" collapsed="false">
      <c r="B2517" s="14"/>
      <c r="C2517" s="14"/>
      <c r="D2517" s="14"/>
      <c r="E2517" s="14"/>
      <c r="F2517" s="15"/>
      <c r="G2517" s="15"/>
      <c r="BK2517" s="16"/>
    </row>
    <row r="2518" customFormat="false" ht="12.75" hidden="false" customHeight="false" outlineLevel="0" collapsed="false">
      <c r="B2518" s="14"/>
      <c r="C2518" s="14"/>
      <c r="D2518" s="14"/>
      <c r="E2518" s="14"/>
      <c r="F2518" s="15"/>
      <c r="G2518" s="15"/>
      <c r="BK2518" s="16"/>
    </row>
    <row r="2519" customFormat="false" ht="12.75" hidden="false" customHeight="false" outlineLevel="0" collapsed="false">
      <c r="B2519" s="14"/>
      <c r="C2519" s="14"/>
      <c r="D2519" s="14"/>
      <c r="E2519" s="14"/>
      <c r="F2519" s="15"/>
      <c r="G2519" s="15"/>
      <c r="BK2519" s="16"/>
    </row>
    <row r="2520" customFormat="false" ht="12.75" hidden="false" customHeight="false" outlineLevel="0" collapsed="false">
      <c r="B2520" s="14"/>
      <c r="C2520" s="14"/>
      <c r="D2520" s="14"/>
      <c r="E2520" s="14"/>
      <c r="F2520" s="15"/>
      <c r="G2520" s="15"/>
      <c r="BK2520" s="16"/>
    </row>
    <row r="2521" s="23" customFormat="true" ht="12.75" hidden="false" customHeight="false" outlineLevel="0" collapsed="false">
      <c r="A2521" s="1"/>
      <c r="B2521" s="14"/>
      <c r="C2521" s="14"/>
      <c r="D2521" s="14"/>
      <c r="E2521" s="14"/>
      <c r="F2521" s="22"/>
      <c r="G2521" s="22"/>
      <c r="T2521" s="5"/>
      <c r="V2521" s="3"/>
      <c r="AP2521" s="3"/>
      <c r="AQ2521" s="3"/>
      <c r="AR2521" s="3"/>
      <c r="AS2521" s="3"/>
      <c r="AT2521" s="3"/>
      <c r="AU2521" s="3"/>
      <c r="AV2521" s="3"/>
      <c r="AW2521" s="3"/>
      <c r="AX2521" s="3"/>
      <c r="AY2521" s="3"/>
      <c r="AZ2521" s="3"/>
      <c r="BA2521" s="5"/>
      <c r="BB2521" s="3"/>
      <c r="BK2521" s="16"/>
    </row>
    <row r="2522" customFormat="false" ht="12.75" hidden="false" customHeight="false" outlineLevel="0" collapsed="false">
      <c r="B2522" s="14"/>
      <c r="C2522" s="14"/>
      <c r="D2522" s="14"/>
      <c r="E2522" s="14"/>
      <c r="F2522" s="15"/>
      <c r="G2522" s="15"/>
      <c r="BK2522" s="16"/>
    </row>
    <row r="2523" customFormat="false" ht="12.75" hidden="false" customHeight="false" outlineLevel="0" collapsed="false">
      <c r="B2523" s="14"/>
      <c r="C2523" s="14"/>
      <c r="D2523" s="14"/>
      <c r="E2523" s="14"/>
      <c r="F2523" s="15"/>
      <c r="G2523" s="15"/>
      <c r="BK2523" s="16"/>
    </row>
    <row r="2524" customFormat="false" ht="12.75" hidden="false" customHeight="false" outlineLevel="0" collapsed="false">
      <c r="B2524" s="14"/>
      <c r="C2524" s="14"/>
      <c r="D2524" s="14"/>
      <c r="E2524" s="14"/>
      <c r="F2524" s="15"/>
      <c r="G2524" s="15"/>
      <c r="BK2524" s="16"/>
    </row>
    <row r="2525" customFormat="false" ht="12.75" hidden="false" customHeight="false" outlineLevel="0" collapsed="false">
      <c r="B2525" s="14"/>
      <c r="C2525" s="14"/>
      <c r="D2525" s="14"/>
      <c r="E2525" s="14"/>
      <c r="F2525" s="15"/>
      <c r="G2525" s="15"/>
      <c r="BK2525" s="16"/>
    </row>
    <row r="2526" customFormat="false" ht="12.75" hidden="false" customHeight="false" outlineLevel="0" collapsed="false">
      <c r="B2526" s="14"/>
      <c r="C2526" s="14"/>
      <c r="D2526" s="14"/>
      <c r="E2526" s="14"/>
      <c r="F2526" s="15"/>
      <c r="G2526" s="15"/>
      <c r="BK2526" s="16"/>
    </row>
    <row r="2527" customFormat="false" ht="12.75" hidden="false" customHeight="false" outlineLevel="0" collapsed="false">
      <c r="B2527" s="14"/>
      <c r="C2527" s="14"/>
      <c r="D2527" s="14"/>
      <c r="E2527" s="14"/>
      <c r="F2527" s="15"/>
      <c r="G2527" s="15"/>
      <c r="BK2527" s="16"/>
    </row>
    <row r="2528" customFormat="false" ht="12.75" hidden="false" customHeight="false" outlineLevel="0" collapsed="false">
      <c r="B2528" s="14"/>
      <c r="C2528" s="14"/>
      <c r="D2528" s="14"/>
      <c r="E2528" s="14"/>
      <c r="F2528" s="15"/>
      <c r="G2528" s="15"/>
      <c r="BK2528" s="16"/>
    </row>
    <row r="2529" customFormat="false" ht="12.75" hidden="false" customHeight="false" outlineLevel="0" collapsed="false">
      <c r="B2529" s="14"/>
      <c r="C2529" s="14"/>
      <c r="D2529" s="14"/>
      <c r="E2529" s="14"/>
      <c r="F2529" s="15"/>
      <c r="G2529" s="15"/>
      <c r="BK2529" s="16"/>
    </row>
    <row r="2530" customFormat="false" ht="12.75" hidden="false" customHeight="false" outlineLevel="0" collapsed="false">
      <c r="B2530" s="14"/>
      <c r="C2530" s="14"/>
      <c r="D2530" s="14"/>
      <c r="E2530" s="14"/>
      <c r="F2530" s="15"/>
      <c r="G2530" s="15"/>
      <c r="BK2530" s="16"/>
    </row>
    <row r="2531" customFormat="false" ht="12.75" hidden="false" customHeight="false" outlineLevel="0" collapsed="false">
      <c r="B2531" s="14"/>
      <c r="C2531" s="14"/>
      <c r="D2531" s="14"/>
      <c r="E2531" s="14"/>
      <c r="F2531" s="15"/>
      <c r="G2531" s="15"/>
      <c r="BK2531" s="16"/>
    </row>
    <row r="2532" customFormat="false" ht="12.75" hidden="false" customHeight="false" outlineLevel="0" collapsed="false">
      <c r="B2532" s="14"/>
      <c r="C2532" s="14"/>
      <c r="D2532" s="14"/>
      <c r="E2532" s="14"/>
      <c r="F2532" s="22"/>
      <c r="G2532" s="22"/>
      <c r="BK2532" s="16"/>
    </row>
    <row r="2533" customFormat="false" ht="12.75" hidden="false" customHeight="false" outlineLevel="0" collapsed="false">
      <c r="B2533" s="14"/>
      <c r="C2533" s="14"/>
      <c r="D2533" s="14"/>
      <c r="E2533" s="14"/>
      <c r="F2533" s="15"/>
      <c r="G2533" s="15"/>
      <c r="BK2533" s="16"/>
    </row>
    <row r="2534" customFormat="false" ht="12.75" hidden="false" customHeight="false" outlineLevel="0" collapsed="false">
      <c r="B2534" s="14"/>
      <c r="C2534" s="14"/>
      <c r="D2534" s="14"/>
      <c r="E2534" s="14"/>
      <c r="F2534" s="22"/>
      <c r="G2534" s="22"/>
      <c r="BK2534" s="16"/>
    </row>
    <row r="2535" customFormat="false" ht="12.75" hidden="false" customHeight="false" outlineLevel="0" collapsed="false">
      <c r="B2535" s="14"/>
      <c r="C2535" s="14"/>
      <c r="D2535" s="14"/>
      <c r="E2535" s="14"/>
      <c r="F2535" s="15"/>
      <c r="G2535" s="15"/>
      <c r="BK2535" s="16"/>
    </row>
    <row r="2536" customFormat="false" ht="12.75" hidden="false" customHeight="false" outlineLevel="0" collapsed="false">
      <c r="B2536" s="14"/>
      <c r="C2536" s="14"/>
      <c r="D2536" s="14"/>
      <c r="E2536" s="14"/>
      <c r="F2536" s="15"/>
      <c r="G2536" s="15"/>
      <c r="BK2536" s="16"/>
    </row>
    <row r="2537" customFormat="false" ht="12.75" hidden="false" customHeight="false" outlineLevel="0" collapsed="false">
      <c r="B2537" s="14"/>
      <c r="C2537" s="14"/>
      <c r="D2537" s="14"/>
      <c r="E2537" s="14"/>
      <c r="F2537" s="22"/>
      <c r="G2537" s="22"/>
      <c r="AP2537" s="23"/>
      <c r="AQ2537" s="23"/>
      <c r="AR2537" s="23"/>
      <c r="AS2537" s="23"/>
      <c r="AT2537" s="23"/>
      <c r="AU2537" s="23"/>
      <c r="AV2537" s="23"/>
      <c r="AW2537" s="23"/>
      <c r="AX2537" s="23"/>
      <c r="AY2537" s="23"/>
      <c r="AZ2537" s="23"/>
      <c r="BB2537" s="23"/>
      <c r="BC2537" s="23"/>
      <c r="BD2537" s="23"/>
      <c r="BE2537" s="23"/>
      <c r="BF2537" s="23"/>
      <c r="BG2537" s="23"/>
      <c r="BH2537" s="23"/>
      <c r="BJ2537" s="23"/>
      <c r="BK2537" s="16"/>
    </row>
    <row r="2538" customFormat="false" ht="12.75" hidden="false" customHeight="false" outlineLevel="0" collapsed="false">
      <c r="B2538" s="14"/>
      <c r="C2538" s="14"/>
      <c r="D2538" s="14"/>
      <c r="E2538" s="14"/>
      <c r="F2538" s="15"/>
      <c r="G2538" s="15"/>
      <c r="BK2538" s="16"/>
    </row>
    <row r="2539" customFormat="false" ht="12.75" hidden="false" customHeight="false" outlineLevel="0" collapsed="false">
      <c r="B2539" s="14"/>
      <c r="C2539" s="14"/>
      <c r="D2539" s="14"/>
      <c r="E2539" s="14"/>
      <c r="F2539" s="15"/>
      <c r="G2539" s="15"/>
      <c r="BK2539" s="16"/>
    </row>
    <row r="2540" customFormat="false" ht="12.75" hidden="false" customHeight="false" outlineLevel="0" collapsed="false">
      <c r="B2540" s="14"/>
      <c r="C2540" s="14"/>
      <c r="D2540" s="14"/>
      <c r="E2540" s="14"/>
      <c r="F2540" s="22"/>
      <c r="G2540" s="15"/>
      <c r="BB2540" s="23"/>
      <c r="BK2540" s="16"/>
    </row>
    <row r="2541" customFormat="false" ht="12.75" hidden="false" customHeight="false" outlineLevel="0" collapsed="false">
      <c r="B2541" s="14"/>
      <c r="C2541" s="14"/>
      <c r="D2541" s="14"/>
      <c r="E2541" s="14"/>
      <c r="F2541" s="15"/>
      <c r="G2541" s="15"/>
      <c r="BK2541" s="16"/>
    </row>
    <row r="2542" customFormat="false" ht="12.75" hidden="false" customHeight="false" outlineLevel="0" collapsed="false">
      <c r="B2542" s="14"/>
      <c r="C2542" s="14"/>
      <c r="D2542" s="14"/>
      <c r="E2542" s="14"/>
      <c r="F2542" s="15"/>
      <c r="G2542" s="15"/>
      <c r="BK2542" s="16"/>
    </row>
    <row r="2543" customFormat="false" ht="12.75" hidden="false" customHeight="false" outlineLevel="0" collapsed="false">
      <c r="B2543" s="14"/>
      <c r="C2543" s="14"/>
      <c r="D2543" s="14"/>
      <c r="E2543" s="14"/>
      <c r="F2543" s="15"/>
      <c r="G2543" s="15"/>
      <c r="BK2543" s="16"/>
    </row>
    <row r="2544" customFormat="false" ht="12.75" hidden="false" customHeight="false" outlineLevel="0" collapsed="false">
      <c r="B2544" s="14"/>
      <c r="C2544" s="14"/>
      <c r="D2544" s="14"/>
      <c r="E2544" s="14"/>
      <c r="F2544" s="15"/>
      <c r="G2544" s="15"/>
      <c r="BK2544" s="16"/>
    </row>
    <row r="2545" customFormat="false" ht="12.75" hidden="false" customHeight="false" outlineLevel="0" collapsed="false">
      <c r="B2545" s="14"/>
      <c r="C2545" s="14"/>
      <c r="D2545" s="14"/>
      <c r="E2545" s="14"/>
      <c r="F2545" s="15"/>
      <c r="G2545" s="15"/>
      <c r="BK2545" s="16"/>
    </row>
    <row r="2546" customFormat="false" ht="12.75" hidden="false" customHeight="false" outlineLevel="0" collapsed="false">
      <c r="B2546" s="14"/>
      <c r="C2546" s="14"/>
      <c r="D2546" s="14"/>
      <c r="E2546" s="14"/>
      <c r="F2546" s="15"/>
      <c r="G2546" s="15"/>
      <c r="BK2546" s="16"/>
    </row>
    <row r="2547" customFormat="false" ht="12.75" hidden="false" customHeight="false" outlineLevel="0" collapsed="false">
      <c r="B2547" s="14"/>
      <c r="C2547" s="14"/>
      <c r="D2547" s="14"/>
      <c r="E2547" s="14"/>
      <c r="F2547" s="15"/>
      <c r="G2547" s="15"/>
      <c r="BK2547" s="16"/>
    </row>
    <row r="2548" customFormat="false" ht="12.75" hidden="false" customHeight="false" outlineLevel="0" collapsed="false">
      <c r="B2548" s="14"/>
      <c r="C2548" s="14"/>
      <c r="D2548" s="14"/>
      <c r="E2548" s="14"/>
      <c r="F2548" s="15"/>
      <c r="G2548" s="15"/>
      <c r="BK2548" s="16"/>
    </row>
    <row r="2549" customFormat="false" ht="12.75" hidden="false" customHeight="false" outlineLevel="0" collapsed="false">
      <c r="B2549" s="14"/>
      <c r="C2549" s="14"/>
      <c r="D2549" s="14"/>
      <c r="E2549" s="14"/>
      <c r="F2549" s="15"/>
      <c r="G2549" s="15"/>
      <c r="BK2549" s="16"/>
    </row>
    <row r="2550" customFormat="false" ht="12.75" hidden="false" customHeight="false" outlineLevel="0" collapsed="false">
      <c r="B2550" s="14"/>
      <c r="C2550" s="14"/>
      <c r="D2550" s="14"/>
      <c r="E2550" s="14"/>
      <c r="F2550" s="15"/>
      <c r="G2550" s="15"/>
      <c r="BK2550" s="16"/>
    </row>
    <row r="2551" customFormat="false" ht="12.75" hidden="false" customHeight="false" outlineLevel="0" collapsed="false">
      <c r="B2551" s="14"/>
      <c r="C2551" s="14"/>
      <c r="D2551" s="14"/>
      <c r="E2551" s="14"/>
      <c r="F2551" s="15"/>
      <c r="G2551" s="15"/>
      <c r="BK2551" s="16"/>
    </row>
    <row r="2552" customFormat="false" ht="12.75" hidden="false" customHeight="false" outlineLevel="0" collapsed="false">
      <c r="B2552" s="14"/>
      <c r="C2552" s="14"/>
      <c r="D2552" s="14"/>
      <c r="E2552" s="14"/>
      <c r="F2552" s="15"/>
      <c r="G2552" s="15"/>
      <c r="BK2552" s="16"/>
    </row>
    <row r="2553" customFormat="false" ht="12.75" hidden="false" customHeight="false" outlineLevel="0" collapsed="false">
      <c r="B2553" s="14"/>
      <c r="C2553" s="14"/>
      <c r="D2553" s="14"/>
      <c r="E2553" s="14"/>
      <c r="F2553" s="15"/>
      <c r="G2553" s="15"/>
      <c r="BK2553" s="16"/>
    </row>
    <row r="2554" customFormat="false" ht="12.75" hidden="false" customHeight="false" outlineLevel="0" collapsed="false">
      <c r="B2554" s="14"/>
      <c r="C2554" s="14"/>
      <c r="D2554" s="14"/>
      <c r="E2554" s="14"/>
      <c r="F2554" s="15"/>
      <c r="G2554" s="15"/>
      <c r="BK2554" s="16"/>
    </row>
    <row r="2555" customFormat="false" ht="12.75" hidden="false" customHeight="false" outlineLevel="0" collapsed="false">
      <c r="B2555" s="14"/>
      <c r="C2555" s="14"/>
      <c r="D2555" s="14"/>
      <c r="E2555" s="14"/>
      <c r="F2555" s="15"/>
      <c r="G2555" s="15"/>
      <c r="BK2555" s="16"/>
    </row>
    <row r="2556" customFormat="false" ht="12.75" hidden="false" customHeight="false" outlineLevel="0" collapsed="false">
      <c r="B2556" s="14"/>
      <c r="C2556" s="14"/>
      <c r="D2556" s="14"/>
      <c r="E2556" s="14"/>
      <c r="F2556" s="15"/>
      <c r="G2556" s="15"/>
      <c r="BK2556" s="16"/>
    </row>
    <row r="2557" customFormat="false" ht="12.75" hidden="false" customHeight="false" outlineLevel="0" collapsed="false">
      <c r="B2557" s="14"/>
      <c r="C2557" s="14"/>
      <c r="D2557" s="14"/>
      <c r="E2557" s="14"/>
      <c r="F2557" s="15"/>
      <c r="G2557" s="15"/>
      <c r="BK2557" s="16"/>
    </row>
    <row r="2558" customFormat="false" ht="12.75" hidden="false" customHeight="false" outlineLevel="0" collapsed="false">
      <c r="B2558" s="14"/>
      <c r="C2558" s="14"/>
      <c r="D2558" s="14"/>
      <c r="E2558" s="14"/>
      <c r="F2558" s="15"/>
      <c r="G2558" s="15"/>
      <c r="BK2558" s="16"/>
    </row>
    <row r="2559" customFormat="false" ht="12.75" hidden="false" customHeight="false" outlineLevel="0" collapsed="false">
      <c r="B2559" s="14"/>
      <c r="C2559" s="14"/>
      <c r="D2559" s="14"/>
      <c r="E2559" s="14"/>
      <c r="F2559" s="15"/>
      <c r="G2559" s="15"/>
      <c r="BK2559" s="16"/>
    </row>
    <row r="2560" customFormat="false" ht="12.75" hidden="false" customHeight="false" outlineLevel="0" collapsed="false">
      <c r="B2560" s="14"/>
      <c r="C2560" s="14"/>
      <c r="D2560" s="14"/>
      <c r="E2560" s="14"/>
      <c r="F2560" s="15"/>
      <c r="G2560" s="15"/>
      <c r="BK2560" s="16"/>
    </row>
    <row r="2561" customFormat="false" ht="12.75" hidden="false" customHeight="false" outlineLevel="0" collapsed="false">
      <c r="B2561" s="14"/>
      <c r="C2561" s="14"/>
      <c r="D2561" s="14"/>
      <c r="E2561" s="14"/>
      <c r="F2561" s="15"/>
      <c r="G2561" s="15"/>
      <c r="BK2561" s="16"/>
    </row>
    <row r="2562" customFormat="false" ht="12.75" hidden="false" customHeight="false" outlineLevel="0" collapsed="false">
      <c r="B2562" s="14"/>
      <c r="C2562" s="14"/>
      <c r="D2562" s="14"/>
      <c r="E2562" s="14"/>
      <c r="F2562" s="15"/>
      <c r="G2562" s="15"/>
      <c r="BK2562" s="16"/>
    </row>
    <row r="2563" customFormat="false" ht="12.75" hidden="false" customHeight="false" outlineLevel="0" collapsed="false">
      <c r="B2563" s="14"/>
      <c r="C2563" s="14"/>
      <c r="D2563" s="14"/>
      <c r="E2563" s="14"/>
      <c r="F2563" s="15"/>
      <c r="G2563" s="15"/>
      <c r="BK2563" s="16"/>
    </row>
    <row r="2564" customFormat="false" ht="12.75" hidden="false" customHeight="false" outlineLevel="0" collapsed="false">
      <c r="B2564" s="14"/>
      <c r="C2564" s="14"/>
      <c r="D2564" s="14"/>
      <c r="E2564" s="14"/>
      <c r="F2564" s="15"/>
      <c r="G2564" s="15"/>
      <c r="BK2564" s="16"/>
    </row>
    <row r="2565" customFormat="false" ht="12.75" hidden="false" customHeight="false" outlineLevel="0" collapsed="false">
      <c r="B2565" s="14"/>
      <c r="C2565" s="14"/>
      <c r="D2565" s="14"/>
      <c r="E2565" s="14"/>
      <c r="F2565" s="15"/>
      <c r="G2565" s="15"/>
      <c r="BK2565" s="16"/>
    </row>
    <row r="2566" customFormat="false" ht="12.75" hidden="false" customHeight="false" outlineLevel="0" collapsed="false">
      <c r="B2566" s="14"/>
      <c r="C2566" s="14"/>
      <c r="D2566" s="14"/>
      <c r="E2566" s="14"/>
      <c r="F2566" s="15"/>
      <c r="G2566" s="15"/>
      <c r="BK2566" s="16"/>
    </row>
    <row r="2567" s="23" customFormat="true" ht="12.75" hidden="false" customHeight="false" outlineLevel="0" collapsed="false">
      <c r="A2567" s="1"/>
      <c r="B2567" s="14"/>
      <c r="C2567" s="14"/>
      <c r="D2567" s="14"/>
      <c r="E2567" s="14"/>
      <c r="F2567" s="22"/>
      <c r="G2567" s="22"/>
      <c r="T2567" s="5"/>
      <c r="AP2567" s="3"/>
      <c r="AQ2567" s="3"/>
      <c r="AR2567" s="3"/>
      <c r="AS2567" s="3"/>
      <c r="AT2567" s="3"/>
      <c r="AU2567" s="3"/>
      <c r="AV2567" s="3"/>
      <c r="AW2567" s="3"/>
      <c r="AX2567" s="3"/>
      <c r="AY2567" s="3"/>
      <c r="AZ2567" s="3"/>
      <c r="BA2567" s="5"/>
      <c r="BB2567" s="3"/>
      <c r="BK2567" s="16"/>
    </row>
    <row r="2568" customFormat="false" ht="12.75" hidden="false" customHeight="false" outlineLevel="0" collapsed="false">
      <c r="B2568" s="14"/>
      <c r="C2568" s="14"/>
      <c r="D2568" s="14"/>
      <c r="E2568" s="14"/>
      <c r="F2568" s="15"/>
      <c r="G2568" s="15"/>
      <c r="BK2568" s="16"/>
    </row>
    <row r="2569" customFormat="false" ht="12.75" hidden="false" customHeight="false" outlineLevel="0" collapsed="false">
      <c r="B2569" s="14"/>
      <c r="C2569" s="14"/>
      <c r="D2569" s="14"/>
      <c r="E2569" s="14"/>
      <c r="F2569" s="15"/>
      <c r="G2569" s="15"/>
      <c r="BK2569" s="16"/>
    </row>
    <row r="2570" customFormat="false" ht="12.75" hidden="false" customHeight="false" outlineLevel="0" collapsed="false">
      <c r="B2570" s="14"/>
      <c r="C2570" s="14"/>
      <c r="D2570" s="14"/>
      <c r="E2570" s="14"/>
      <c r="F2570" s="15"/>
      <c r="G2570" s="15"/>
      <c r="BK2570" s="16"/>
    </row>
    <row r="2571" customFormat="false" ht="12.75" hidden="false" customHeight="false" outlineLevel="0" collapsed="false">
      <c r="B2571" s="14"/>
      <c r="C2571" s="14"/>
      <c r="D2571" s="14"/>
      <c r="E2571" s="14"/>
      <c r="F2571" s="15"/>
      <c r="G2571" s="15"/>
      <c r="BK2571" s="16"/>
    </row>
    <row r="2572" customFormat="false" ht="12.75" hidden="false" customHeight="false" outlineLevel="0" collapsed="false">
      <c r="B2572" s="14"/>
      <c r="C2572" s="14"/>
      <c r="D2572" s="14"/>
      <c r="E2572" s="14"/>
      <c r="F2572" s="15"/>
      <c r="G2572" s="15"/>
      <c r="BK2572" s="16"/>
    </row>
    <row r="2573" customFormat="false" ht="12.75" hidden="false" customHeight="false" outlineLevel="0" collapsed="false">
      <c r="B2573" s="14"/>
      <c r="C2573" s="14"/>
      <c r="D2573" s="14"/>
      <c r="E2573" s="14"/>
      <c r="F2573" s="15"/>
      <c r="G2573" s="15"/>
      <c r="BK2573" s="16"/>
    </row>
    <row r="2574" customFormat="false" ht="12.75" hidden="false" customHeight="false" outlineLevel="0" collapsed="false">
      <c r="B2574" s="14"/>
      <c r="C2574" s="14"/>
      <c r="D2574" s="14"/>
      <c r="E2574" s="14"/>
      <c r="F2574" s="15"/>
      <c r="G2574" s="15"/>
      <c r="BK2574" s="16"/>
    </row>
    <row r="2575" customFormat="false" ht="12.75" hidden="false" customHeight="false" outlineLevel="0" collapsed="false">
      <c r="B2575" s="14"/>
      <c r="C2575" s="14"/>
      <c r="D2575" s="14"/>
      <c r="E2575" s="14"/>
      <c r="F2575" s="15"/>
      <c r="G2575" s="15"/>
      <c r="BK2575" s="16"/>
    </row>
    <row r="2576" customFormat="false" ht="12.75" hidden="false" customHeight="false" outlineLevel="0" collapsed="false">
      <c r="B2576" s="14"/>
      <c r="C2576" s="14"/>
      <c r="D2576" s="14"/>
      <c r="E2576" s="14"/>
      <c r="F2576" s="15"/>
      <c r="G2576" s="15"/>
      <c r="BK2576" s="16"/>
    </row>
    <row r="2577" customFormat="false" ht="12.75" hidden="false" customHeight="false" outlineLevel="0" collapsed="false">
      <c r="B2577" s="14"/>
      <c r="C2577" s="14"/>
      <c r="D2577" s="14"/>
      <c r="E2577" s="14"/>
      <c r="F2577" s="15"/>
      <c r="G2577" s="15"/>
      <c r="BK2577" s="16"/>
    </row>
    <row r="2578" customFormat="false" ht="12.75" hidden="false" customHeight="false" outlineLevel="0" collapsed="false">
      <c r="B2578" s="14"/>
      <c r="C2578" s="14"/>
      <c r="D2578" s="14"/>
      <c r="E2578" s="14"/>
      <c r="F2578" s="15"/>
      <c r="G2578" s="15"/>
      <c r="BK2578" s="16"/>
    </row>
    <row r="2579" s="11" customFormat="true" ht="12.75" hidden="false" customHeight="false" outlineLevel="0" collapsed="false">
      <c r="A2579" s="7"/>
      <c r="B2579" s="53"/>
      <c r="C2579" s="53"/>
      <c r="D2579" s="53"/>
      <c r="E2579" s="53"/>
      <c r="F2579" s="53"/>
      <c r="G2579" s="53"/>
      <c r="T2579" s="54"/>
      <c r="BA2579" s="54"/>
      <c r="BK2579" s="13"/>
    </row>
    <row r="2580" s="23" customFormat="true" ht="12.75" hidden="false" customHeight="false" outlineLevel="0" collapsed="false">
      <c r="A2580" s="1"/>
      <c r="B2580" s="14"/>
      <c r="C2580" s="14"/>
      <c r="D2580" s="14"/>
      <c r="E2580" s="14"/>
      <c r="F2580" s="22"/>
      <c r="G2580" s="22"/>
      <c r="T2580" s="5"/>
      <c r="V2580" s="3"/>
      <c r="AP2580" s="3"/>
      <c r="AQ2580" s="3"/>
      <c r="AR2580" s="3"/>
      <c r="AS2580" s="3"/>
      <c r="AT2580" s="3"/>
      <c r="AU2580" s="3"/>
      <c r="AV2580" s="3"/>
      <c r="AW2580" s="3"/>
      <c r="AX2580" s="3"/>
      <c r="AY2580" s="3"/>
      <c r="AZ2580" s="3"/>
      <c r="BA2580" s="5"/>
      <c r="BB2580" s="3"/>
      <c r="BK2580" s="16"/>
    </row>
    <row r="2581" customFormat="false" ht="12.75" hidden="false" customHeight="false" outlineLevel="0" collapsed="false">
      <c r="B2581" s="14"/>
      <c r="C2581" s="14"/>
      <c r="D2581" s="14"/>
      <c r="E2581" s="14"/>
      <c r="F2581" s="15"/>
      <c r="G2581" s="15"/>
      <c r="BK2581" s="16"/>
    </row>
    <row r="2582" customFormat="false" ht="12.75" hidden="false" customHeight="false" outlineLevel="0" collapsed="false">
      <c r="B2582" s="14"/>
      <c r="C2582" s="14"/>
      <c r="D2582" s="14"/>
      <c r="E2582" s="14"/>
      <c r="F2582" s="15"/>
      <c r="G2582" s="15"/>
      <c r="BK2582" s="16"/>
    </row>
    <row r="2583" customFormat="false" ht="12.75" hidden="false" customHeight="false" outlineLevel="0" collapsed="false">
      <c r="B2583" s="14"/>
      <c r="C2583" s="14"/>
      <c r="D2583" s="14"/>
      <c r="E2583" s="14"/>
      <c r="F2583" s="15"/>
      <c r="G2583" s="15"/>
      <c r="BK2583" s="16"/>
    </row>
    <row r="2584" customFormat="false" ht="12.75" hidden="false" customHeight="false" outlineLevel="0" collapsed="false">
      <c r="B2584" s="14"/>
      <c r="C2584" s="14"/>
      <c r="D2584" s="14"/>
      <c r="E2584" s="14"/>
      <c r="F2584" s="15"/>
      <c r="G2584" s="15"/>
      <c r="BK2584" s="16"/>
    </row>
    <row r="2585" s="23" customFormat="true" ht="12.75" hidden="false" customHeight="false" outlineLevel="0" collapsed="false">
      <c r="A2585" s="1"/>
      <c r="B2585" s="14"/>
      <c r="C2585" s="14"/>
      <c r="D2585" s="14"/>
      <c r="E2585" s="14"/>
      <c r="F2585" s="22"/>
      <c r="G2585" s="22"/>
      <c r="T2585" s="5"/>
      <c r="V2585" s="3"/>
      <c r="AP2585" s="3"/>
      <c r="AQ2585" s="3"/>
      <c r="AR2585" s="3"/>
      <c r="AS2585" s="3"/>
      <c r="AT2585" s="3"/>
      <c r="AU2585" s="3"/>
      <c r="AV2585" s="3"/>
      <c r="AW2585" s="3"/>
      <c r="AX2585" s="3"/>
      <c r="AY2585" s="3"/>
      <c r="AZ2585" s="3"/>
      <c r="BA2585" s="5"/>
      <c r="BB2585" s="3"/>
      <c r="BK2585" s="16"/>
    </row>
    <row r="2586" customFormat="false" ht="12.75" hidden="false" customHeight="false" outlineLevel="0" collapsed="false">
      <c r="B2586" s="14"/>
      <c r="C2586" s="14"/>
      <c r="D2586" s="14"/>
      <c r="E2586" s="14"/>
      <c r="F2586" s="15"/>
      <c r="G2586" s="15"/>
      <c r="BC2586" s="23"/>
      <c r="BD2586" s="23"/>
      <c r="BE2586" s="23"/>
      <c r="BF2586" s="23"/>
      <c r="BG2586" s="23"/>
      <c r="BH2586" s="23"/>
      <c r="BI2586" s="23"/>
      <c r="BJ2586" s="23"/>
      <c r="BK2586" s="16"/>
    </row>
    <row r="2587" customFormat="false" ht="12.75" hidden="false" customHeight="false" outlineLevel="0" collapsed="false">
      <c r="B2587" s="14"/>
      <c r="C2587" s="14"/>
      <c r="D2587" s="14"/>
      <c r="E2587" s="14"/>
      <c r="F2587" s="15"/>
      <c r="G2587" s="15"/>
      <c r="BK2587" s="16"/>
    </row>
    <row r="2588" customFormat="false" ht="12.75" hidden="false" customHeight="false" outlineLevel="0" collapsed="false">
      <c r="B2588" s="14"/>
      <c r="C2588" s="14"/>
      <c r="D2588" s="14"/>
      <c r="E2588" s="14"/>
      <c r="F2588" s="15"/>
      <c r="G2588" s="15"/>
      <c r="BK2588" s="16"/>
    </row>
    <row r="2589" customFormat="false" ht="12.75" hidden="false" customHeight="false" outlineLevel="0" collapsed="false">
      <c r="B2589" s="14"/>
      <c r="C2589" s="14"/>
      <c r="D2589" s="14"/>
      <c r="E2589" s="14"/>
      <c r="F2589" s="15"/>
      <c r="G2589" s="15"/>
      <c r="BK2589" s="16"/>
    </row>
    <row r="2590" s="23" customFormat="true" ht="12.75" hidden="false" customHeight="false" outlineLevel="0" collapsed="false">
      <c r="A2590" s="1"/>
      <c r="B2590" s="14"/>
      <c r="C2590" s="14"/>
      <c r="D2590" s="14"/>
      <c r="E2590" s="14"/>
      <c r="F2590" s="22"/>
      <c r="G2590" s="22"/>
      <c r="T2590" s="5"/>
      <c r="V2590" s="3"/>
      <c r="AP2590" s="3"/>
      <c r="AQ2590" s="3"/>
      <c r="AR2590" s="3"/>
      <c r="AS2590" s="3"/>
      <c r="AT2590" s="3"/>
      <c r="AU2590" s="3"/>
      <c r="AV2590" s="3"/>
      <c r="AW2590" s="3"/>
      <c r="AX2590" s="3"/>
      <c r="AY2590" s="3"/>
      <c r="AZ2590" s="3"/>
      <c r="BA2590" s="5"/>
      <c r="BB2590" s="3"/>
      <c r="BK2590" s="16"/>
    </row>
    <row r="2591" customFormat="false" ht="12.75" hidden="false" customHeight="false" outlineLevel="0" collapsed="false">
      <c r="B2591" s="14"/>
      <c r="C2591" s="14"/>
      <c r="D2591" s="14"/>
      <c r="E2591" s="14"/>
      <c r="F2591" s="15"/>
      <c r="G2591" s="15"/>
      <c r="BK2591" s="16"/>
    </row>
    <row r="2592" customFormat="false" ht="12.75" hidden="false" customHeight="false" outlineLevel="0" collapsed="false">
      <c r="B2592" s="14"/>
      <c r="C2592" s="14"/>
      <c r="D2592" s="14"/>
      <c r="E2592" s="14"/>
      <c r="F2592" s="15"/>
      <c r="G2592" s="15"/>
      <c r="BK2592" s="16"/>
    </row>
    <row r="2593" customFormat="false" ht="12.75" hidden="false" customHeight="false" outlineLevel="0" collapsed="false">
      <c r="B2593" s="14"/>
      <c r="C2593" s="14"/>
      <c r="D2593" s="14"/>
      <c r="E2593" s="14"/>
      <c r="F2593" s="15"/>
      <c r="G2593" s="15"/>
      <c r="BK2593" s="16"/>
    </row>
    <row r="2594" customFormat="false" ht="12.75" hidden="false" customHeight="false" outlineLevel="0" collapsed="false">
      <c r="B2594" s="14"/>
      <c r="C2594" s="14"/>
      <c r="D2594" s="14"/>
      <c r="E2594" s="14"/>
      <c r="F2594" s="15"/>
      <c r="G2594" s="15"/>
      <c r="BK2594" s="16"/>
    </row>
    <row r="2595" customFormat="false" ht="12.75" hidden="false" customHeight="false" outlineLevel="0" collapsed="false">
      <c r="B2595" s="14"/>
      <c r="C2595" s="14"/>
      <c r="D2595" s="14"/>
      <c r="E2595" s="14"/>
      <c r="F2595" s="15"/>
      <c r="G2595" s="15"/>
      <c r="BK2595" s="16"/>
    </row>
    <row r="2596" customFormat="false" ht="12.75" hidden="false" customHeight="false" outlineLevel="0" collapsed="false">
      <c r="B2596" s="14"/>
      <c r="C2596" s="14"/>
      <c r="D2596" s="14"/>
      <c r="E2596" s="14"/>
      <c r="F2596" s="15"/>
      <c r="G2596" s="15"/>
      <c r="BK2596" s="16"/>
    </row>
    <row r="2597" customFormat="false" ht="12.75" hidden="false" customHeight="false" outlineLevel="0" collapsed="false">
      <c r="B2597" s="14"/>
      <c r="C2597" s="14"/>
      <c r="D2597" s="14"/>
      <c r="E2597" s="14"/>
      <c r="F2597" s="15"/>
      <c r="G2597" s="15"/>
      <c r="BK2597" s="16"/>
    </row>
    <row r="2598" customFormat="false" ht="12.75" hidden="false" customHeight="false" outlineLevel="0" collapsed="false">
      <c r="B2598" s="14"/>
      <c r="C2598" s="14"/>
      <c r="D2598" s="14"/>
      <c r="E2598" s="14"/>
      <c r="F2598" s="22"/>
      <c r="G2598" s="22"/>
      <c r="BK2598" s="16"/>
    </row>
    <row r="2599" customFormat="false" ht="12.75" hidden="false" customHeight="false" outlineLevel="0" collapsed="false">
      <c r="B2599" s="14"/>
      <c r="C2599" s="14"/>
      <c r="D2599" s="14"/>
      <c r="E2599" s="14"/>
      <c r="F2599" s="15"/>
      <c r="G2599" s="15"/>
      <c r="BK2599" s="16"/>
    </row>
    <row r="2600" customFormat="false" ht="12.75" hidden="false" customHeight="false" outlineLevel="0" collapsed="false">
      <c r="B2600" s="14"/>
      <c r="C2600" s="14"/>
      <c r="D2600" s="14"/>
      <c r="E2600" s="14"/>
      <c r="F2600" s="15"/>
      <c r="G2600" s="15"/>
      <c r="BK2600" s="16"/>
    </row>
    <row r="2601" customFormat="false" ht="12.75" hidden="false" customHeight="false" outlineLevel="0" collapsed="false">
      <c r="B2601" s="14"/>
      <c r="C2601" s="14"/>
      <c r="D2601" s="14"/>
      <c r="E2601" s="14"/>
      <c r="F2601" s="15"/>
      <c r="G2601" s="15"/>
      <c r="BK2601" s="16"/>
    </row>
    <row r="2602" customFormat="false" ht="12.75" hidden="false" customHeight="false" outlineLevel="0" collapsed="false">
      <c r="B2602" s="14"/>
      <c r="C2602" s="14"/>
      <c r="D2602" s="14"/>
      <c r="E2602" s="14"/>
      <c r="F2602" s="15"/>
      <c r="G2602" s="15"/>
      <c r="BK2602" s="16"/>
    </row>
    <row r="2603" customFormat="false" ht="12.75" hidden="false" customHeight="false" outlineLevel="0" collapsed="false">
      <c r="B2603" s="14"/>
      <c r="C2603" s="14"/>
      <c r="D2603" s="14"/>
      <c r="E2603" s="14"/>
      <c r="F2603" s="15"/>
      <c r="G2603" s="15"/>
      <c r="BK2603" s="16"/>
    </row>
    <row r="2604" customFormat="false" ht="12.75" hidden="false" customHeight="false" outlineLevel="0" collapsed="false">
      <c r="B2604" s="14"/>
      <c r="C2604" s="14"/>
      <c r="D2604" s="14"/>
      <c r="E2604" s="14"/>
      <c r="F2604" s="22"/>
      <c r="G2604" s="22"/>
      <c r="BK2604" s="16"/>
    </row>
    <row r="2605" customFormat="false" ht="12.75" hidden="false" customHeight="false" outlineLevel="0" collapsed="false">
      <c r="B2605" s="14"/>
      <c r="C2605" s="14"/>
      <c r="D2605" s="14"/>
      <c r="E2605" s="14"/>
      <c r="F2605" s="15"/>
      <c r="G2605" s="15"/>
      <c r="BK2605" s="16"/>
    </row>
    <row r="2606" customFormat="false" ht="12.75" hidden="false" customHeight="false" outlineLevel="0" collapsed="false">
      <c r="B2606" s="14"/>
      <c r="C2606" s="14"/>
      <c r="D2606" s="14"/>
      <c r="E2606" s="14"/>
      <c r="F2606" s="22"/>
      <c r="G2606" s="22"/>
      <c r="BK2606" s="16"/>
    </row>
    <row r="2607" customFormat="false" ht="12.75" hidden="false" customHeight="false" outlineLevel="0" collapsed="false">
      <c r="B2607" s="14"/>
      <c r="C2607" s="14"/>
      <c r="D2607" s="14"/>
      <c r="E2607" s="14"/>
      <c r="F2607" s="15"/>
      <c r="G2607" s="15"/>
      <c r="BK2607" s="16"/>
    </row>
    <row r="2608" customFormat="false" ht="12.75" hidden="false" customHeight="false" outlineLevel="0" collapsed="false">
      <c r="B2608" s="14"/>
      <c r="C2608" s="14"/>
      <c r="D2608" s="14"/>
      <c r="E2608" s="14"/>
      <c r="F2608" s="15"/>
      <c r="G2608" s="15"/>
      <c r="BK2608" s="16"/>
    </row>
    <row r="2609" customFormat="false" ht="12.75" hidden="false" customHeight="false" outlineLevel="0" collapsed="false">
      <c r="B2609" s="14"/>
      <c r="C2609" s="14"/>
      <c r="D2609" s="14"/>
      <c r="E2609" s="14"/>
      <c r="F2609" s="22"/>
      <c r="G2609" s="22"/>
      <c r="BK2609" s="16"/>
    </row>
    <row r="2610" s="23" customFormat="true" ht="12.75" hidden="false" customHeight="false" outlineLevel="0" collapsed="false">
      <c r="A2610" s="1"/>
      <c r="B2610" s="14"/>
      <c r="C2610" s="14"/>
      <c r="D2610" s="14"/>
      <c r="E2610" s="14"/>
      <c r="F2610" s="22"/>
      <c r="G2610" s="22"/>
      <c r="T2610" s="5"/>
      <c r="AP2610" s="3"/>
      <c r="AQ2610" s="3"/>
      <c r="AR2610" s="3"/>
      <c r="AS2610" s="3"/>
      <c r="AT2610" s="3"/>
      <c r="AU2610" s="3"/>
      <c r="AV2610" s="3"/>
      <c r="AW2610" s="3"/>
      <c r="AX2610" s="3"/>
      <c r="AY2610" s="3"/>
      <c r="AZ2610" s="3"/>
      <c r="BA2610" s="5"/>
      <c r="BK2610" s="16"/>
    </row>
    <row r="2611" s="23" customFormat="true" ht="12.75" hidden="false" customHeight="false" outlineLevel="0" collapsed="false">
      <c r="A2611" s="1"/>
      <c r="B2611" s="14"/>
      <c r="C2611" s="14"/>
      <c r="D2611" s="14"/>
      <c r="E2611" s="14"/>
      <c r="F2611" s="22"/>
      <c r="G2611" s="22"/>
      <c r="T2611" s="5"/>
      <c r="BA2611" s="5"/>
      <c r="BK2611" s="16"/>
    </row>
    <row r="2612" customFormat="false" ht="12.75" hidden="false" customHeight="false" outlineLevel="0" collapsed="false">
      <c r="B2612" s="14"/>
      <c r="C2612" s="14"/>
      <c r="D2612" s="14"/>
      <c r="E2612" s="14"/>
      <c r="F2612" s="15"/>
      <c r="G2612" s="15"/>
      <c r="BK2612" s="16"/>
    </row>
    <row r="2613" customFormat="false" ht="12.75" hidden="false" customHeight="false" outlineLevel="0" collapsed="false">
      <c r="B2613" s="14"/>
      <c r="C2613" s="14"/>
      <c r="D2613" s="14"/>
      <c r="E2613" s="14"/>
      <c r="F2613" s="15"/>
      <c r="G2613" s="15"/>
      <c r="BK2613" s="16"/>
    </row>
    <row r="2614" customFormat="false" ht="12.75" hidden="false" customHeight="false" outlineLevel="0" collapsed="false">
      <c r="B2614" s="14"/>
      <c r="C2614" s="14"/>
      <c r="D2614" s="14"/>
      <c r="E2614" s="14"/>
      <c r="F2614" s="15"/>
      <c r="G2614" s="15"/>
      <c r="BK2614" s="16"/>
    </row>
    <row r="2615" customFormat="false" ht="12.75" hidden="false" customHeight="false" outlineLevel="0" collapsed="false">
      <c r="B2615" s="14"/>
      <c r="C2615" s="14"/>
      <c r="D2615" s="14"/>
      <c r="E2615" s="14"/>
      <c r="F2615" s="22"/>
      <c r="G2615" s="22"/>
      <c r="BK2615" s="16"/>
    </row>
    <row r="2616" customFormat="false" ht="12.75" hidden="false" customHeight="false" outlineLevel="0" collapsed="false">
      <c r="B2616" s="14"/>
      <c r="C2616" s="14"/>
      <c r="D2616" s="14"/>
      <c r="E2616" s="14"/>
      <c r="F2616" s="15"/>
      <c r="G2616" s="15"/>
      <c r="BK2616" s="16"/>
    </row>
    <row r="2617" s="11" customFormat="true" ht="12.75" hidden="false" customHeight="false" outlineLevel="0" collapsed="false">
      <c r="A2617" s="7"/>
      <c r="B2617" s="53"/>
      <c r="C2617" s="53"/>
      <c r="D2617" s="53"/>
      <c r="E2617" s="53"/>
      <c r="F2617" s="53"/>
      <c r="G2617" s="53"/>
      <c r="T2617" s="54"/>
      <c r="BA2617" s="54"/>
      <c r="BK2617" s="13"/>
    </row>
    <row r="2618" s="23" customFormat="true" ht="12.75" hidden="false" customHeight="false" outlineLevel="0" collapsed="false">
      <c r="A2618" s="1"/>
      <c r="B2618" s="14"/>
      <c r="C2618" s="14"/>
      <c r="D2618" s="14"/>
      <c r="E2618" s="14"/>
      <c r="F2618" s="22"/>
      <c r="G2618" s="22"/>
      <c r="T2618" s="5"/>
      <c r="BA2618" s="5"/>
      <c r="BK2618" s="16"/>
    </row>
    <row r="2619" customFormat="false" ht="12.75" hidden="false" customHeight="false" outlineLevel="0" collapsed="false">
      <c r="B2619" s="14"/>
      <c r="C2619" s="14"/>
      <c r="D2619" s="14"/>
      <c r="E2619" s="14"/>
      <c r="F2619" s="15"/>
      <c r="G2619" s="15"/>
      <c r="BK2619" s="16"/>
    </row>
    <row r="2620" customFormat="false" ht="12.75" hidden="false" customHeight="false" outlineLevel="0" collapsed="false">
      <c r="B2620" s="14"/>
      <c r="C2620" s="14"/>
      <c r="D2620" s="14"/>
      <c r="E2620" s="14"/>
      <c r="F2620" s="15"/>
      <c r="G2620" s="15"/>
      <c r="BK2620" s="16"/>
    </row>
    <row r="2621" s="23" customFormat="true" ht="12.75" hidden="false" customHeight="false" outlineLevel="0" collapsed="false">
      <c r="A2621" s="1"/>
      <c r="B2621" s="14"/>
      <c r="C2621" s="14"/>
      <c r="D2621" s="14"/>
      <c r="E2621" s="14"/>
      <c r="F2621" s="22"/>
      <c r="G2621" s="22"/>
      <c r="T2621" s="5"/>
      <c r="V2621" s="3"/>
      <c r="AP2621" s="3"/>
      <c r="AQ2621" s="3"/>
      <c r="AR2621" s="3"/>
      <c r="AS2621" s="3"/>
      <c r="AT2621" s="3"/>
      <c r="AU2621" s="3"/>
      <c r="AV2621" s="3"/>
      <c r="AW2621" s="3"/>
      <c r="AX2621" s="3"/>
      <c r="AY2621" s="3"/>
      <c r="AZ2621" s="3"/>
      <c r="BA2621" s="5"/>
      <c r="BB2621" s="3"/>
      <c r="BK2621" s="16"/>
    </row>
    <row r="2622" customFormat="false" ht="12.75" hidden="false" customHeight="false" outlineLevel="0" collapsed="false">
      <c r="B2622" s="14"/>
      <c r="C2622" s="14"/>
      <c r="D2622" s="14"/>
      <c r="E2622" s="14"/>
      <c r="F2622" s="22"/>
      <c r="G2622" s="22"/>
      <c r="BK2622" s="16"/>
    </row>
    <row r="2623" customFormat="false" ht="12.75" hidden="false" customHeight="false" outlineLevel="0" collapsed="false">
      <c r="B2623" s="14"/>
      <c r="C2623" s="14"/>
      <c r="D2623" s="14"/>
      <c r="E2623" s="14"/>
      <c r="F2623" s="15"/>
      <c r="G2623" s="15"/>
      <c r="BK2623" s="16"/>
    </row>
    <row r="2624" customFormat="false" ht="12.75" hidden="false" customHeight="false" outlineLevel="0" collapsed="false">
      <c r="B2624" s="14"/>
      <c r="C2624" s="14"/>
      <c r="D2624" s="14"/>
      <c r="E2624" s="14"/>
      <c r="F2624" s="15"/>
      <c r="G2624" s="15"/>
      <c r="BK2624" s="16"/>
    </row>
    <row r="2625" customFormat="false" ht="12.75" hidden="false" customHeight="false" outlineLevel="0" collapsed="false">
      <c r="B2625" s="14"/>
      <c r="C2625" s="14"/>
      <c r="D2625" s="14"/>
      <c r="E2625" s="14"/>
      <c r="F2625" s="15"/>
      <c r="G2625" s="15"/>
      <c r="BK2625" s="16"/>
    </row>
    <row r="2626" customFormat="false" ht="12.75" hidden="false" customHeight="false" outlineLevel="0" collapsed="false">
      <c r="B2626" s="14"/>
      <c r="C2626" s="14"/>
      <c r="D2626" s="14"/>
      <c r="E2626" s="14"/>
      <c r="F2626" s="15"/>
      <c r="G2626" s="15"/>
      <c r="BK2626" s="16"/>
    </row>
    <row r="2627" s="23" customFormat="true" ht="12.75" hidden="false" customHeight="false" outlineLevel="0" collapsed="false">
      <c r="A2627" s="1"/>
      <c r="B2627" s="14"/>
      <c r="C2627" s="14"/>
      <c r="D2627" s="14"/>
      <c r="E2627" s="14"/>
      <c r="F2627" s="22"/>
      <c r="G2627" s="22"/>
      <c r="T2627" s="5"/>
      <c r="V2627" s="3"/>
      <c r="AP2627" s="3"/>
      <c r="AQ2627" s="3"/>
      <c r="AR2627" s="3"/>
      <c r="AS2627" s="3"/>
      <c r="AT2627" s="3"/>
      <c r="AU2627" s="3"/>
      <c r="AV2627" s="3"/>
      <c r="AW2627" s="3"/>
      <c r="AX2627" s="3"/>
      <c r="AY2627" s="3"/>
      <c r="AZ2627" s="3"/>
      <c r="BA2627" s="5"/>
      <c r="BB2627" s="3"/>
      <c r="BK2627" s="16"/>
    </row>
    <row r="2628" customFormat="false" ht="12.75" hidden="false" customHeight="false" outlineLevel="0" collapsed="false">
      <c r="B2628" s="14"/>
      <c r="C2628" s="14"/>
      <c r="D2628" s="14"/>
      <c r="E2628" s="14"/>
      <c r="F2628" s="15"/>
      <c r="G2628" s="15"/>
      <c r="BK2628" s="16"/>
    </row>
    <row r="2629" customFormat="false" ht="12.75" hidden="false" customHeight="false" outlineLevel="0" collapsed="false">
      <c r="B2629" s="14"/>
      <c r="C2629" s="14"/>
      <c r="D2629" s="14"/>
      <c r="E2629" s="14"/>
      <c r="F2629" s="15"/>
      <c r="G2629" s="15"/>
      <c r="BK2629" s="16"/>
    </row>
    <row r="2630" customFormat="false" ht="12.75" hidden="false" customHeight="false" outlineLevel="0" collapsed="false">
      <c r="B2630" s="14"/>
      <c r="C2630" s="14"/>
      <c r="D2630" s="14"/>
      <c r="E2630" s="14"/>
      <c r="F2630" s="15"/>
      <c r="G2630" s="15"/>
      <c r="BK2630" s="16"/>
    </row>
    <row r="2631" customFormat="false" ht="12.75" hidden="false" customHeight="false" outlineLevel="0" collapsed="false">
      <c r="B2631" s="14"/>
      <c r="C2631" s="14"/>
      <c r="D2631" s="14"/>
      <c r="E2631" s="14"/>
      <c r="F2631" s="22"/>
      <c r="G2631" s="22"/>
      <c r="BK2631" s="16"/>
    </row>
    <row r="2632" customFormat="false" ht="12.75" hidden="false" customHeight="false" outlineLevel="0" collapsed="false">
      <c r="B2632" s="14"/>
      <c r="C2632" s="14"/>
      <c r="D2632" s="14"/>
      <c r="E2632" s="14"/>
      <c r="F2632" s="15"/>
      <c r="G2632" s="15"/>
      <c r="BK2632" s="16"/>
    </row>
    <row r="2633" customFormat="false" ht="12.75" hidden="false" customHeight="false" outlineLevel="0" collapsed="false">
      <c r="B2633" s="14"/>
      <c r="C2633" s="14"/>
      <c r="D2633" s="14"/>
      <c r="E2633" s="14"/>
      <c r="F2633" s="15"/>
      <c r="G2633" s="15"/>
      <c r="BK2633" s="16"/>
    </row>
    <row r="2634" customFormat="false" ht="12.75" hidden="false" customHeight="false" outlineLevel="0" collapsed="false">
      <c r="B2634" s="14"/>
      <c r="C2634" s="14"/>
      <c r="D2634" s="14"/>
      <c r="E2634" s="14"/>
      <c r="F2634" s="22"/>
      <c r="G2634" s="22"/>
      <c r="BK2634" s="16"/>
    </row>
    <row r="2635" customFormat="false" ht="12.75" hidden="false" customHeight="false" outlineLevel="0" collapsed="false">
      <c r="B2635" s="14"/>
      <c r="C2635" s="14"/>
      <c r="D2635" s="14"/>
      <c r="E2635" s="14"/>
      <c r="F2635" s="15"/>
      <c r="G2635" s="15"/>
      <c r="BK2635" s="16"/>
    </row>
    <row r="2636" customFormat="false" ht="12.75" hidden="false" customHeight="false" outlineLevel="0" collapsed="false">
      <c r="B2636" s="14"/>
      <c r="C2636" s="14"/>
      <c r="D2636" s="14"/>
      <c r="E2636" s="14"/>
      <c r="F2636" s="15"/>
      <c r="G2636" s="15"/>
      <c r="BK2636" s="16"/>
    </row>
    <row r="2637" customFormat="false" ht="12.75" hidden="false" customHeight="false" outlineLevel="0" collapsed="false">
      <c r="B2637" s="14"/>
      <c r="C2637" s="14"/>
      <c r="D2637" s="14"/>
      <c r="E2637" s="14"/>
      <c r="F2637" s="15"/>
      <c r="G2637" s="15"/>
      <c r="BK2637" s="16"/>
    </row>
    <row r="2638" customFormat="false" ht="12.75" hidden="false" customHeight="false" outlineLevel="0" collapsed="false">
      <c r="B2638" s="14"/>
      <c r="C2638" s="14"/>
      <c r="D2638" s="14"/>
      <c r="E2638" s="14"/>
      <c r="F2638" s="22"/>
      <c r="G2638" s="22"/>
      <c r="BK2638" s="16"/>
    </row>
    <row r="2639" customFormat="false" ht="12.75" hidden="false" customHeight="false" outlineLevel="0" collapsed="false">
      <c r="B2639" s="14"/>
      <c r="C2639" s="14"/>
      <c r="D2639" s="14"/>
      <c r="E2639" s="14"/>
      <c r="F2639" s="22"/>
      <c r="G2639" s="22"/>
      <c r="BK2639" s="16"/>
    </row>
    <row r="2640" customFormat="false" ht="12.75" hidden="false" customHeight="false" outlineLevel="0" collapsed="false">
      <c r="B2640" s="14"/>
      <c r="C2640" s="14"/>
      <c r="D2640" s="14"/>
      <c r="E2640" s="14"/>
      <c r="F2640" s="15"/>
      <c r="G2640" s="15"/>
      <c r="BK2640" s="16"/>
    </row>
    <row r="2641" customFormat="false" ht="12.75" hidden="false" customHeight="false" outlineLevel="0" collapsed="false">
      <c r="B2641" s="14"/>
      <c r="C2641" s="14"/>
      <c r="D2641" s="14"/>
      <c r="E2641" s="14"/>
      <c r="F2641" s="15"/>
      <c r="G2641" s="15"/>
      <c r="BK2641" s="16"/>
    </row>
    <row r="2642" customFormat="false" ht="12.75" hidden="false" customHeight="false" outlineLevel="0" collapsed="false">
      <c r="B2642" s="14"/>
      <c r="C2642" s="14"/>
      <c r="D2642" s="14"/>
      <c r="E2642" s="14"/>
      <c r="F2642" s="15"/>
      <c r="G2642" s="15"/>
      <c r="BK2642" s="16"/>
    </row>
    <row r="2643" customFormat="false" ht="12.75" hidden="false" customHeight="false" outlineLevel="0" collapsed="false">
      <c r="B2643" s="14"/>
      <c r="C2643" s="14"/>
      <c r="D2643" s="14"/>
      <c r="E2643" s="14"/>
      <c r="F2643" s="15"/>
      <c r="G2643" s="15"/>
      <c r="BK2643" s="16"/>
    </row>
    <row r="2644" customFormat="false" ht="12.75" hidden="false" customHeight="false" outlineLevel="0" collapsed="false">
      <c r="B2644" s="14"/>
      <c r="C2644" s="14"/>
      <c r="D2644" s="14"/>
      <c r="E2644" s="14"/>
      <c r="F2644" s="15"/>
      <c r="G2644" s="15"/>
      <c r="BK2644" s="16"/>
    </row>
    <row r="2645" customFormat="false" ht="12.75" hidden="false" customHeight="false" outlineLevel="0" collapsed="false">
      <c r="B2645" s="14"/>
      <c r="C2645" s="14"/>
      <c r="D2645" s="14"/>
      <c r="E2645" s="14"/>
      <c r="F2645" s="15"/>
      <c r="G2645" s="15"/>
      <c r="BK2645" s="16"/>
    </row>
    <row r="2646" customFormat="false" ht="12.75" hidden="false" customHeight="false" outlineLevel="0" collapsed="false">
      <c r="B2646" s="14"/>
      <c r="C2646" s="14"/>
      <c r="D2646" s="14"/>
      <c r="E2646" s="14"/>
      <c r="F2646" s="15"/>
      <c r="G2646" s="15"/>
      <c r="BK2646" s="16"/>
    </row>
    <row r="2647" customFormat="false" ht="12.75" hidden="false" customHeight="false" outlineLevel="0" collapsed="false">
      <c r="B2647" s="14"/>
      <c r="C2647" s="14"/>
      <c r="D2647" s="14"/>
      <c r="E2647" s="14"/>
      <c r="F2647" s="22"/>
      <c r="G2647" s="22"/>
      <c r="BK2647" s="16"/>
    </row>
    <row r="2648" customFormat="false" ht="12.75" hidden="false" customHeight="false" outlineLevel="0" collapsed="false">
      <c r="B2648" s="14"/>
      <c r="C2648" s="14"/>
      <c r="D2648" s="14"/>
      <c r="E2648" s="14"/>
      <c r="F2648" s="15"/>
      <c r="G2648" s="15"/>
      <c r="BK2648" s="16"/>
    </row>
    <row r="2649" customFormat="false" ht="12.75" hidden="false" customHeight="false" outlineLevel="0" collapsed="false">
      <c r="B2649" s="14"/>
      <c r="C2649" s="14"/>
      <c r="D2649" s="14"/>
      <c r="E2649" s="14"/>
      <c r="F2649" s="15"/>
      <c r="G2649" s="15"/>
      <c r="BK2649" s="16"/>
    </row>
    <row r="2650" customFormat="false" ht="12.75" hidden="false" customHeight="false" outlineLevel="0" collapsed="false">
      <c r="B2650" s="14"/>
      <c r="C2650" s="14"/>
      <c r="D2650" s="14"/>
      <c r="E2650" s="14"/>
      <c r="F2650" s="15"/>
      <c r="G2650" s="15"/>
      <c r="BK2650" s="16"/>
    </row>
    <row r="2651" customFormat="false" ht="12.75" hidden="false" customHeight="false" outlineLevel="0" collapsed="false">
      <c r="B2651" s="14"/>
      <c r="C2651" s="14"/>
      <c r="D2651" s="14"/>
      <c r="E2651" s="14"/>
      <c r="F2651" s="15"/>
      <c r="G2651" s="15"/>
      <c r="BK2651" s="16"/>
    </row>
    <row r="2652" customFormat="false" ht="12.75" hidden="false" customHeight="false" outlineLevel="0" collapsed="false">
      <c r="B2652" s="14"/>
      <c r="C2652" s="14"/>
      <c r="D2652" s="14"/>
      <c r="E2652" s="14"/>
      <c r="F2652" s="15"/>
      <c r="G2652" s="15"/>
      <c r="BK2652" s="16"/>
    </row>
    <row r="2653" customFormat="false" ht="12.75" hidden="false" customHeight="false" outlineLevel="0" collapsed="false">
      <c r="B2653" s="14"/>
      <c r="C2653" s="14"/>
      <c r="D2653" s="14"/>
      <c r="E2653" s="14"/>
      <c r="F2653" s="15"/>
      <c r="G2653" s="15"/>
      <c r="BK2653" s="16"/>
    </row>
    <row r="2654" customFormat="false" ht="12.75" hidden="false" customHeight="false" outlineLevel="0" collapsed="false">
      <c r="B2654" s="14"/>
      <c r="C2654" s="14"/>
      <c r="D2654" s="14"/>
      <c r="E2654" s="14"/>
      <c r="F2654" s="22"/>
      <c r="G2654" s="22"/>
      <c r="BK2654" s="16"/>
    </row>
    <row r="2655" customFormat="false" ht="12.75" hidden="false" customHeight="false" outlineLevel="0" collapsed="false">
      <c r="B2655" s="14"/>
      <c r="C2655" s="14"/>
      <c r="D2655" s="14"/>
      <c r="E2655" s="14"/>
      <c r="F2655" s="15"/>
      <c r="G2655" s="15"/>
      <c r="BK2655" s="16"/>
    </row>
    <row r="2656" customFormat="false" ht="12.75" hidden="false" customHeight="false" outlineLevel="0" collapsed="false">
      <c r="B2656" s="14"/>
      <c r="C2656" s="14"/>
      <c r="D2656" s="14"/>
      <c r="E2656" s="14"/>
      <c r="F2656" s="15"/>
      <c r="G2656" s="15"/>
      <c r="BK2656" s="16"/>
    </row>
    <row r="2657" customFormat="false" ht="12.75" hidden="false" customHeight="false" outlineLevel="0" collapsed="false">
      <c r="B2657" s="14"/>
      <c r="C2657" s="14"/>
      <c r="D2657" s="14"/>
      <c r="E2657" s="14"/>
      <c r="F2657" s="15"/>
      <c r="G2657" s="15"/>
      <c r="BK2657" s="16"/>
    </row>
    <row r="2658" customFormat="false" ht="12.75" hidden="false" customHeight="false" outlineLevel="0" collapsed="false">
      <c r="B2658" s="14"/>
      <c r="C2658" s="14"/>
      <c r="D2658" s="14"/>
      <c r="E2658" s="14"/>
      <c r="F2658" s="15"/>
      <c r="G2658" s="15"/>
      <c r="BK2658" s="16"/>
    </row>
    <row r="2659" customFormat="false" ht="12.75" hidden="false" customHeight="false" outlineLevel="0" collapsed="false">
      <c r="B2659" s="14"/>
      <c r="C2659" s="14"/>
      <c r="D2659" s="14"/>
      <c r="E2659" s="14"/>
      <c r="F2659" s="15"/>
      <c r="G2659" s="15"/>
      <c r="BK2659" s="16"/>
    </row>
    <row r="2660" customFormat="false" ht="12.75" hidden="false" customHeight="false" outlineLevel="0" collapsed="false">
      <c r="B2660" s="14"/>
      <c r="C2660" s="14"/>
      <c r="D2660" s="14"/>
      <c r="E2660" s="14"/>
      <c r="F2660" s="15"/>
      <c r="G2660" s="15"/>
      <c r="BK2660" s="16"/>
    </row>
    <row r="2661" customFormat="false" ht="12.75" hidden="false" customHeight="false" outlineLevel="0" collapsed="false">
      <c r="B2661" s="14"/>
      <c r="C2661" s="14"/>
      <c r="D2661" s="14"/>
      <c r="E2661" s="14"/>
      <c r="F2661" s="15"/>
      <c r="G2661" s="15"/>
      <c r="BK2661" s="16"/>
    </row>
    <row r="2662" customFormat="false" ht="12.75" hidden="false" customHeight="false" outlineLevel="0" collapsed="false">
      <c r="B2662" s="14"/>
      <c r="C2662" s="14"/>
      <c r="D2662" s="14"/>
      <c r="E2662" s="14"/>
      <c r="F2662" s="15"/>
      <c r="G2662" s="15"/>
      <c r="BK2662" s="16"/>
    </row>
    <row r="2663" customFormat="false" ht="12.75" hidden="false" customHeight="false" outlineLevel="0" collapsed="false">
      <c r="B2663" s="14"/>
      <c r="C2663" s="14"/>
      <c r="D2663" s="14"/>
      <c r="E2663" s="14"/>
      <c r="F2663" s="15"/>
      <c r="G2663" s="15"/>
      <c r="BK2663" s="16"/>
    </row>
    <row r="2664" customFormat="false" ht="12.75" hidden="false" customHeight="false" outlineLevel="0" collapsed="false">
      <c r="B2664" s="14"/>
      <c r="C2664" s="14"/>
      <c r="D2664" s="14"/>
      <c r="E2664" s="14"/>
      <c r="F2664" s="15"/>
      <c r="G2664" s="15"/>
      <c r="BK2664" s="16"/>
    </row>
    <row r="2665" customFormat="false" ht="12.75" hidden="false" customHeight="false" outlineLevel="0" collapsed="false">
      <c r="B2665" s="14"/>
      <c r="C2665" s="14"/>
      <c r="D2665" s="14"/>
      <c r="E2665" s="14"/>
      <c r="F2665" s="15"/>
      <c r="G2665" s="15"/>
      <c r="BK2665" s="16"/>
    </row>
    <row r="2666" customFormat="false" ht="12.75" hidden="false" customHeight="false" outlineLevel="0" collapsed="false">
      <c r="B2666" s="14"/>
      <c r="C2666" s="14"/>
      <c r="D2666" s="14"/>
      <c r="E2666" s="14"/>
      <c r="F2666" s="15"/>
      <c r="G2666" s="15"/>
      <c r="BK2666" s="16"/>
    </row>
    <row r="2667" customFormat="false" ht="12.75" hidden="false" customHeight="false" outlineLevel="0" collapsed="false">
      <c r="B2667" s="14"/>
      <c r="C2667" s="14"/>
      <c r="D2667" s="14"/>
      <c r="E2667" s="14"/>
      <c r="F2667" s="15"/>
      <c r="G2667" s="15"/>
      <c r="BK2667" s="16"/>
    </row>
    <row r="2668" s="11" customFormat="true" ht="12.75" hidden="false" customHeight="false" outlineLevel="0" collapsed="false">
      <c r="A2668" s="7"/>
      <c r="B2668" s="53"/>
      <c r="C2668" s="53"/>
      <c r="D2668" s="53"/>
      <c r="E2668" s="53"/>
      <c r="F2668" s="53"/>
      <c r="G2668" s="53"/>
      <c r="T2668" s="54"/>
      <c r="BA2668" s="54"/>
      <c r="BK2668" s="13"/>
    </row>
    <row r="2669" customFormat="false" ht="12.75" hidden="false" customHeight="false" outlineLevel="0" collapsed="false">
      <c r="B2669" s="14"/>
      <c r="C2669" s="14"/>
      <c r="D2669" s="14"/>
      <c r="E2669" s="14"/>
      <c r="F2669" s="15"/>
      <c r="G2669" s="15"/>
      <c r="BK2669" s="16"/>
    </row>
    <row r="2670" customFormat="false" ht="12.75" hidden="false" customHeight="false" outlineLevel="0" collapsed="false">
      <c r="B2670" s="14"/>
      <c r="C2670" s="14"/>
      <c r="D2670" s="14"/>
      <c r="E2670" s="14"/>
      <c r="F2670" s="15"/>
      <c r="G2670" s="15"/>
      <c r="BK2670" s="16"/>
    </row>
    <row r="2671" customFormat="false" ht="12.75" hidden="false" customHeight="false" outlineLevel="0" collapsed="false">
      <c r="B2671" s="14"/>
      <c r="C2671" s="14"/>
      <c r="D2671" s="14"/>
      <c r="E2671" s="14"/>
      <c r="F2671" s="15"/>
      <c r="G2671" s="15"/>
      <c r="BK2671" s="16"/>
    </row>
    <row r="2672" customFormat="false" ht="12.75" hidden="false" customHeight="false" outlineLevel="0" collapsed="false">
      <c r="B2672" s="14"/>
      <c r="C2672" s="14"/>
      <c r="D2672" s="14"/>
      <c r="E2672" s="14"/>
      <c r="F2672" s="22"/>
      <c r="G2672" s="22"/>
      <c r="BK2672" s="16"/>
    </row>
    <row r="2673" customFormat="false" ht="12.75" hidden="false" customHeight="false" outlineLevel="0" collapsed="false">
      <c r="B2673" s="14"/>
      <c r="C2673" s="14"/>
      <c r="D2673" s="14"/>
      <c r="E2673" s="14"/>
      <c r="F2673" s="15"/>
      <c r="G2673" s="15"/>
      <c r="BK2673" s="16"/>
    </row>
    <row r="2674" customFormat="false" ht="12.75" hidden="false" customHeight="false" outlineLevel="0" collapsed="false">
      <c r="B2674" s="14"/>
      <c r="C2674" s="14"/>
      <c r="D2674" s="14"/>
      <c r="E2674" s="14"/>
      <c r="F2674" s="15"/>
      <c r="G2674" s="15"/>
      <c r="BK2674" s="16"/>
    </row>
    <row r="2675" customFormat="false" ht="12.75" hidden="false" customHeight="false" outlineLevel="0" collapsed="false">
      <c r="B2675" s="14"/>
      <c r="C2675" s="14"/>
      <c r="D2675" s="14"/>
      <c r="E2675" s="14"/>
      <c r="F2675" s="15"/>
      <c r="G2675" s="15"/>
      <c r="BK2675" s="16"/>
    </row>
    <row r="2676" customFormat="false" ht="12.75" hidden="false" customHeight="false" outlineLevel="0" collapsed="false">
      <c r="B2676" s="14"/>
      <c r="C2676" s="14"/>
      <c r="D2676" s="14"/>
      <c r="E2676" s="14"/>
      <c r="F2676" s="15"/>
      <c r="G2676" s="15"/>
      <c r="BK2676" s="16"/>
    </row>
    <row r="2677" customFormat="false" ht="12.75" hidden="false" customHeight="false" outlineLevel="0" collapsed="false">
      <c r="B2677" s="14"/>
      <c r="C2677" s="14"/>
      <c r="D2677" s="14"/>
      <c r="E2677" s="14"/>
      <c r="F2677" s="15"/>
      <c r="G2677" s="15"/>
      <c r="BK2677" s="16"/>
    </row>
    <row r="2678" customFormat="false" ht="12.75" hidden="false" customHeight="false" outlineLevel="0" collapsed="false">
      <c r="B2678" s="14"/>
      <c r="C2678" s="14"/>
      <c r="D2678" s="14"/>
      <c r="E2678" s="14"/>
      <c r="F2678" s="15"/>
      <c r="G2678" s="15"/>
      <c r="BK2678" s="16"/>
    </row>
    <row r="2679" s="23" customFormat="true" ht="12.75" hidden="false" customHeight="false" outlineLevel="0" collapsed="false">
      <c r="A2679" s="1"/>
      <c r="B2679" s="14"/>
      <c r="C2679" s="14"/>
      <c r="D2679" s="14"/>
      <c r="E2679" s="14"/>
      <c r="F2679" s="22"/>
      <c r="G2679" s="15"/>
      <c r="T2679" s="5"/>
      <c r="BA2679" s="5"/>
      <c r="BK2679" s="16"/>
    </row>
    <row r="2680" customFormat="false" ht="12.75" hidden="false" customHeight="false" outlineLevel="0" collapsed="false">
      <c r="B2680" s="14"/>
      <c r="C2680" s="14"/>
      <c r="D2680" s="14"/>
      <c r="E2680" s="14"/>
      <c r="F2680" s="15"/>
      <c r="G2680" s="15"/>
      <c r="BK2680" s="16"/>
    </row>
    <row r="2681" customFormat="false" ht="12.75" hidden="false" customHeight="false" outlineLevel="0" collapsed="false">
      <c r="B2681" s="14"/>
      <c r="C2681" s="14"/>
      <c r="D2681" s="14"/>
      <c r="E2681" s="14"/>
      <c r="F2681" s="15"/>
      <c r="G2681" s="15"/>
      <c r="BK2681" s="16"/>
    </row>
    <row r="2682" customFormat="false" ht="12.75" hidden="false" customHeight="false" outlineLevel="0" collapsed="false">
      <c r="B2682" s="14"/>
      <c r="C2682" s="14"/>
      <c r="D2682" s="14"/>
      <c r="E2682" s="14"/>
      <c r="F2682" s="15"/>
      <c r="G2682" s="15"/>
      <c r="BK2682" s="16"/>
    </row>
    <row r="2683" customFormat="false" ht="12.75" hidden="false" customHeight="false" outlineLevel="0" collapsed="false">
      <c r="B2683" s="14"/>
      <c r="C2683" s="14"/>
      <c r="D2683" s="14"/>
      <c r="E2683" s="14"/>
      <c r="F2683" s="15"/>
      <c r="G2683" s="15"/>
      <c r="BK2683" s="16"/>
    </row>
    <row r="2684" customFormat="false" ht="12.75" hidden="false" customHeight="false" outlineLevel="0" collapsed="false">
      <c r="B2684" s="14"/>
      <c r="C2684" s="14"/>
      <c r="D2684" s="14"/>
      <c r="E2684" s="14"/>
      <c r="F2684" s="15"/>
      <c r="G2684" s="15"/>
      <c r="BK2684" s="16"/>
    </row>
    <row r="2685" customFormat="false" ht="12.75" hidden="false" customHeight="false" outlineLevel="0" collapsed="false">
      <c r="B2685" s="14"/>
      <c r="C2685" s="14"/>
      <c r="D2685" s="14"/>
      <c r="E2685" s="14"/>
      <c r="F2685" s="15"/>
      <c r="G2685" s="15"/>
      <c r="BK2685" s="16"/>
    </row>
    <row r="2686" customFormat="false" ht="12.75" hidden="false" customHeight="false" outlineLevel="0" collapsed="false">
      <c r="B2686" s="14"/>
      <c r="C2686" s="14"/>
      <c r="D2686" s="14"/>
      <c r="E2686" s="14"/>
      <c r="F2686" s="15"/>
      <c r="G2686" s="15"/>
      <c r="BK2686" s="16"/>
    </row>
    <row r="2687" customFormat="false" ht="12.75" hidden="false" customHeight="false" outlineLevel="0" collapsed="false">
      <c r="B2687" s="14"/>
      <c r="C2687" s="14"/>
      <c r="D2687" s="14"/>
      <c r="E2687" s="14"/>
      <c r="F2687" s="15"/>
      <c r="G2687" s="15"/>
      <c r="BK2687" s="16"/>
    </row>
    <row r="2688" customFormat="false" ht="12.75" hidden="false" customHeight="false" outlineLevel="0" collapsed="false">
      <c r="B2688" s="14"/>
      <c r="C2688" s="14"/>
      <c r="D2688" s="14"/>
      <c r="E2688" s="14"/>
      <c r="F2688" s="15"/>
      <c r="G2688" s="15"/>
      <c r="BK2688" s="16"/>
    </row>
    <row r="2689" customFormat="false" ht="12.75" hidden="false" customHeight="false" outlineLevel="0" collapsed="false">
      <c r="B2689" s="14"/>
      <c r="C2689" s="14"/>
      <c r="D2689" s="14"/>
      <c r="E2689" s="14"/>
      <c r="F2689" s="15"/>
      <c r="G2689" s="15"/>
      <c r="BK2689" s="16"/>
    </row>
    <row r="2690" customFormat="false" ht="12.75" hidden="false" customHeight="false" outlineLevel="0" collapsed="false">
      <c r="B2690" s="14"/>
      <c r="C2690" s="14"/>
      <c r="D2690" s="14"/>
      <c r="E2690" s="14"/>
      <c r="F2690" s="15"/>
      <c r="G2690" s="15"/>
      <c r="BK2690" s="16"/>
    </row>
    <row r="2691" s="23" customFormat="true" ht="12.75" hidden="false" customHeight="false" outlineLevel="0" collapsed="false">
      <c r="A2691" s="1"/>
      <c r="B2691" s="14"/>
      <c r="C2691" s="14"/>
      <c r="D2691" s="14"/>
      <c r="E2691" s="14"/>
      <c r="F2691" s="22"/>
      <c r="G2691" s="22"/>
      <c r="T2691" s="5"/>
      <c r="AP2691" s="3"/>
      <c r="AQ2691" s="3"/>
      <c r="AR2691" s="3"/>
      <c r="AS2691" s="3"/>
      <c r="AT2691" s="3"/>
      <c r="AU2691" s="3"/>
      <c r="AV2691" s="3"/>
      <c r="AW2691" s="3"/>
      <c r="AX2691" s="3"/>
      <c r="AY2691" s="3"/>
      <c r="AZ2691" s="3"/>
      <c r="BA2691" s="5"/>
      <c r="BB2691" s="3"/>
      <c r="BK2691" s="16"/>
    </row>
    <row r="2692" customFormat="false" ht="12.75" hidden="false" customHeight="false" outlineLevel="0" collapsed="false">
      <c r="B2692" s="14"/>
      <c r="C2692" s="14"/>
      <c r="D2692" s="14"/>
      <c r="E2692" s="14"/>
      <c r="F2692" s="15"/>
      <c r="G2692" s="15"/>
      <c r="BK2692" s="16"/>
    </row>
    <row r="2693" customFormat="false" ht="12.75" hidden="false" customHeight="false" outlineLevel="0" collapsed="false">
      <c r="B2693" s="14"/>
      <c r="C2693" s="14"/>
      <c r="D2693" s="14"/>
      <c r="E2693" s="14"/>
      <c r="F2693" s="15"/>
      <c r="G2693" s="15"/>
      <c r="BK2693" s="16"/>
    </row>
    <row r="2694" customFormat="false" ht="12.75" hidden="false" customHeight="false" outlineLevel="0" collapsed="false">
      <c r="B2694" s="14"/>
      <c r="C2694" s="14"/>
      <c r="D2694" s="14"/>
      <c r="E2694" s="14"/>
      <c r="F2694" s="15"/>
      <c r="G2694" s="15"/>
      <c r="BK2694" s="16"/>
    </row>
    <row r="2695" s="23" customFormat="true" ht="12.75" hidden="false" customHeight="false" outlineLevel="0" collapsed="false">
      <c r="A2695" s="1"/>
      <c r="B2695" s="14"/>
      <c r="C2695" s="14"/>
      <c r="D2695" s="14"/>
      <c r="E2695" s="14"/>
      <c r="F2695" s="22"/>
      <c r="G2695" s="22"/>
      <c r="T2695" s="5"/>
      <c r="AP2695" s="3"/>
      <c r="AQ2695" s="3"/>
      <c r="AR2695" s="3"/>
      <c r="AS2695" s="3"/>
      <c r="AT2695" s="3"/>
      <c r="AU2695" s="3"/>
      <c r="AV2695" s="3"/>
      <c r="AW2695" s="3"/>
      <c r="AX2695" s="3"/>
      <c r="AY2695" s="3"/>
      <c r="AZ2695" s="3"/>
      <c r="BA2695" s="5"/>
      <c r="BB2695" s="3"/>
      <c r="BK2695" s="16"/>
    </row>
    <row r="2696" customFormat="false" ht="12.75" hidden="false" customHeight="false" outlineLevel="0" collapsed="false">
      <c r="B2696" s="14"/>
      <c r="C2696" s="14"/>
      <c r="D2696" s="14"/>
      <c r="E2696" s="14"/>
      <c r="F2696" s="15"/>
      <c r="G2696" s="15"/>
      <c r="BK2696" s="16"/>
    </row>
    <row r="2697" customFormat="false" ht="12.75" hidden="false" customHeight="false" outlineLevel="0" collapsed="false">
      <c r="B2697" s="14"/>
      <c r="C2697" s="14"/>
      <c r="D2697" s="14"/>
      <c r="E2697" s="14"/>
      <c r="F2697" s="15"/>
      <c r="G2697" s="15"/>
      <c r="BK2697" s="16"/>
    </row>
    <row r="2698" customFormat="false" ht="12.75" hidden="false" customHeight="false" outlineLevel="0" collapsed="false">
      <c r="B2698" s="14"/>
      <c r="C2698" s="14"/>
      <c r="D2698" s="14"/>
      <c r="E2698" s="14"/>
      <c r="F2698" s="15"/>
      <c r="G2698" s="15"/>
      <c r="BK2698" s="16"/>
    </row>
    <row r="2699" s="23" customFormat="true" ht="12.75" hidden="false" customHeight="false" outlineLevel="0" collapsed="false">
      <c r="A2699" s="1"/>
      <c r="B2699" s="14"/>
      <c r="C2699" s="14"/>
      <c r="D2699" s="14"/>
      <c r="E2699" s="14"/>
      <c r="F2699" s="22"/>
      <c r="G2699" s="22"/>
      <c r="T2699" s="5"/>
      <c r="AP2699" s="3"/>
      <c r="AQ2699" s="3"/>
      <c r="AR2699" s="3"/>
      <c r="AS2699" s="3"/>
      <c r="AT2699" s="3"/>
      <c r="AU2699" s="3"/>
      <c r="AV2699" s="3"/>
      <c r="AW2699" s="3"/>
      <c r="AX2699" s="3"/>
      <c r="AY2699" s="3"/>
      <c r="AZ2699" s="3"/>
      <c r="BA2699" s="5"/>
      <c r="BB2699" s="3"/>
      <c r="BK2699" s="16"/>
    </row>
    <row r="2700" customFormat="false" ht="12.75" hidden="false" customHeight="false" outlineLevel="0" collapsed="false">
      <c r="B2700" s="14"/>
      <c r="C2700" s="14"/>
      <c r="D2700" s="14"/>
      <c r="E2700" s="14"/>
      <c r="F2700" s="15"/>
      <c r="G2700" s="15"/>
      <c r="BC2700" s="23"/>
      <c r="BD2700" s="23"/>
      <c r="BE2700" s="23"/>
      <c r="BF2700" s="23"/>
      <c r="BG2700" s="23"/>
      <c r="BH2700" s="23"/>
      <c r="BI2700" s="23"/>
      <c r="BJ2700" s="23"/>
      <c r="BK2700" s="16"/>
    </row>
    <row r="2701" customFormat="false" ht="12.75" hidden="false" customHeight="false" outlineLevel="0" collapsed="false">
      <c r="B2701" s="14"/>
      <c r="C2701" s="14"/>
      <c r="D2701" s="14"/>
      <c r="E2701" s="14"/>
      <c r="F2701" s="15"/>
      <c r="G2701" s="15"/>
      <c r="BK2701" s="16"/>
    </row>
    <row r="2702" customFormat="false" ht="12.75" hidden="false" customHeight="false" outlineLevel="0" collapsed="false">
      <c r="B2702" s="14"/>
      <c r="C2702" s="14"/>
      <c r="D2702" s="14"/>
      <c r="E2702" s="14"/>
      <c r="F2702" s="15"/>
      <c r="G2702" s="15"/>
      <c r="BK2702" s="16"/>
    </row>
    <row r="2703" customFormat="false" ht="12.75" hidden="false" customHeight="false" outlineLevel="0" collapsed="false">
      <c r="B2703" s="14"/>
      <c r="C2703" s="14"/>
      <c r="D2703" s="14"/>
      <c r="E2703" s="14"/>
      <c r="F2703" s="15"/>
      <c r="G2703" s="15"/>
      <c r="BK2703" s="16"/>
    </row>
    <row r="2704" customFormat="false" ht="12.75" hidden="false" customHeight="false" outlineLevel="0" collapsed="false">
      <c r="B2704" s="14"/>
      <c r="C2704" s="14"/>
      <c r="D2704" s="14"/>
      <c r="E2704" s="14"/>
      <c r="F2704" s="22"/>
      <c r="G2704" s="22"/>
      <c r="P2704" s="14"/>
      <c r="BK2704" s="16"/>
    </row>
    <row r="2705" customFormat="false" ht="12.75" hidden="false" customHeight="false" outlineLevel="0" collapsed="false">
      <c r="B2705" s="14"/>
      <c r="C2705" s="14"/>
      <c r="D2705" s="14"/>
      <c r="E2705" s="14"/>
      <c r="F2705" s="15"/>
      <c r="G2705" s="15"/>
      <c r="BK2705" s="16"/>
    </row>
    <row r="2706" s="23" customFormat="true" ht="12.75" hidden="false" customHeight="false" outlineLevel="0" collapsed="false">
      <c r="A2706" s="1"/>
      <c r="B2706" s="14"/>
      <c r="C2706" s="14"/>
      <c r="D2706" s="14"/>
      <c r="E2706" s="14"/>
      <c r="F2706" s="22"/>
      <c r="G2706" s="22"/>
      <c r="T2706" s="5"/>
      <c r="V2706" s="3"/>
      <c r="W2706" s="3"/>
      <c r="X2706" s="3"/>
      <c r="Y2706" s="3"/>
      <c r="Z2706" s="3"/>
      <c r="AA2706" s="3"/>
      <c r="AB2706" s="3"/>
      <c r="AP2706" s="3"/>
      <c r="AQ2706" s="3"/>
      <c r="AR2706" s="3"/>
      <c r="AS2706" s="3"/>
      <c r="AT2706" s="3"/>
      <c r="AU2706" s="3"/>
      <c r="AV2706" s="3"/>
      <c r="AW2706" s="3"/>
      <c r="AX2706" s="3"/>
      <c r="AY2706" s="3"/>
      <c r="AZ2706" s="3"/>
      <c r="BA2706" s="5"/>
      <c r="BB2706" s="3"/>
      <c r="BK2706" s="16"/>
    </row>
    <row r="2707" customFormat="false" ht="12.75" hidden="false" customHeight="false" outlineLevel="0" collapsed="false">
      <c r="B2707" s="14"/>
      <c r="C2707" s="14"/>
      <c r="D2707" s="14"/>
      <c r="E2707" s="14"/>
      <c r="F2707" s="15"/>
      <c r="G2707" s="15"/>
      <c r="BK2707" s="16"/>
    </row>
    <row r="2708" customFormat="false" ht="12.75" hidden="false" customHeight="false" outlineLevel="0" collapsed="false">
      <c r="B2708" s="14"/>
      <c r="C2708" s="14"/>
      <c r="D2708" s="14"/>
      <c r="E2708" s="14"/>
      <c r="F2708" s="15"/>
      <c r="G2708" s="15"/>
      <c r="BK2708" s="16"/>
    </row>
    <row r="2709" customFormat="false" ht="12.75" hidden="false" customHeight="false" outlineLevel="0" collapsed="false">
      <c r="B2709" s="14"/>
      <c r="C2709" s="14"/>
      <c r="D2709" s="14"/>
      <c r="E2709" s="14"/>
      <c r="F2709" s="15"/>
      <c r="G2709" s="15"/>
      <c r="BK2709" s="16"/>
    </row>
    <row r="2710" customFormat="false" ht="12.75" hidden="false" customHeight="false" outlineLevel="0" collapsed="false">
      <c r="B2710" s="14"/>
      <c r="C2710" s="14"/>
      <c r="D2710" s="14"/>
      <c r="E2710" s="14"/>
      <c r="F2710" s="15"/>
      <c r="G2710" s="15"/>
      <c r="BK2710" s="16"/>
    </row>
    <row r="2711" s="23" customFormat="true" ht="12.75" hidden="false" customHeight="false" outlineLevel="0" collapsed="false">
      <c r="A2711" s="1"/>
      <c r="B2711" s="14"/>
      <c r="C2711" s="14"/>
      <c r="D2711" s="14"/>
      <c r="E2711" s="14"/>
      <c r="F2711" s="22"/>
      <c r="G2711" s="22"/>
      <c r="T2711" s="5"/>
      <c r="V2711" s="3"/>
      <c r="W2711" s="3"/>
      <c r="X2711" s="3"/>
      <c r="Y2711" s="3"/>
      <c r="Z2711" s="3"/>
      <c r="AA2711" s="3"/>
      <c r="AB2711" s="3"/>
      <c r="AP2711" s="3"/>
      <c r="AQ2711" s="3"/>
      <c r="AR2711" s="3"/>
      <c r="AS2711" s="3"/>
      <c r="AT2711" s="3"/>
      <c r="AU2711" s="3"/>
      <c r="AV2711" s="3"/>
      <c r="AW2711" s="3"/>
      <c r="AX2711" s="3"/>
      <c r="AY2711" s="3"/>
      <c r="AZ2711" s="3"/>
      <c r="BA2711" s="5"/>
      <c r="BB2711" s="3"/>
      <c r="BK2711" s="16"/>
    </row>
    <row r="2712" s="23" customFormat="true" ht="12.75" hidden="false" customHeight="false" outlineLevel="0" collapsed="false">
      <c r="A2712" s="1"/>
      <c r="B2712" s="14"/>
      <c r="C2712" s="14"/>
      <c r="D2712" s="14"/>
      <c r="E2712" s="14"/>
      <c r="F2712" s="22"/>
      <c r="G2712" s="22"/>
      <c r="T2712" s="5"/>
      <c r="V2712" s="3"/>
      <c r="W2712" s="3"/>
      <c r="X2712" s="3"/>
      <c r="Y2712" s="3"/>
      <c r="Z2712" s="3"/>
      <c r="AA2712" s="3"/>
      <c r="AB2712" s="3"/>
      <c r="AP2712" s="3"/>
      <c r="AQ2712" s="3"/>
      <c r="AR2712" s="3"/>
      <c r="AS2712" s="3"/>
      <c r="AT2712" s="3"/>
      <c r="AU2712" s="3"/>
      <c r="AV2712" s="3"/>
      <c r="AW2712" s="3"/>
      <c r="AX2712" s="3"/>
      <c r="AY2712" s="3"/>
      <c r="AZ2712" s="3"/>
      <c r="BA2712" s="5"/>
      <c r="BB2712" s="3"/>
      <c r="BK2712" s="16"/>
    </row>
    <row r="2713" customFormat="false" ht="12.75" hidden="false" customHeight="false" outlineLevel="0" collapsed="false">
      <c r="B2713" s="14"/>
      <c r="C2713" s="14"/>
      <c r="D2713" s="14"/>
      <c r="E2713" s="14"/>
      <c r="F2713" s="15"/>
      <c r="G2713" s="15"/>
      <c r="BK2713" s="16"/>
    </row>
    <row r="2714" customFormat="false" ht="12.75" hidden="false" customHeight="false" outlineLevel="0" collapsed="false">
      <c r="B2714" s="14"/>
      <c r="C2714" s="14"/>
      <c r="D2714" s="14"/>
      <c r="E2714" s="14"/>
      <c r="F2714" s="15"/>
      <c r="G2714" s="15"/>
      <c r="BK2714" s="16"/>
    </row>
    <row r="2715" s="23" customFormat="true" ht="12.75" hidden="false" customHeight="false" outlineLevel="0" collapsed="false">
      <c r="A2715" s="1"/>
      <c r="B2715" s="14"/>
      <c r="C2715" s="14"/>
      <c r="D2715" s="14"/>
      <c r="E2715" s="14"/>
      <c r="F2715" s="22"/>
      <c r="G2715" s="22"/>
      <c r="T2715" s="5"/>
      <c r="AP2715" s="3"/>
      <c r="AQ2715" s="3"/>
      <c r="AR2715" s="3"/>
      <c r="AS2715" s="3"/>
      <c r="AT2715" s="3"/>
      <c r="AU2715" s="3"/>
      <c r="AV2715" s="3"/>
      <c r="AW2715" s="3"/>
      <c r="AX2715" s="3"/>
      <c r="AY2715" s="3"/>
      <c r="AZ2715" s="3"/>
      <c r="BA2715" s="5"/>
      <c r="BB2715" s="3"/>
      <c r="BK2715" s="16"/>
    </row>
    <row r="2716" customFormat="false" ht="12.75" hidden="false" customHeight="false" outlineLevel="0" collapsed="false">
      <c r="B2716" s="14"/>
      <c r="C2716" s="14"/>
      <c r="D2716" s="14"/>
      <c r="E2716" s="14"/>
      <c r="F2716" s="15"/>
      <c r="G2716" s="15"/>
      <c r="BK2716" s="16"/>
    </row>
    <row r="2717" s="11" customFormat="true" ht="12.75" hidden="false" customHeight="false" outlineLevel="0" collapsed="false">
      <c r="A2717" s="7"/>
      <c r="B2717" s="53"/>
      <c r="C2717" s="53"/>
      <c r="D2717" s="53"/>
      <c r="E2717" s="53"/>
      <c r="F2717" s="53"/>
      <c r="G2717" s="53"/>
      <c r="T2717" s="54"/>
      <c r="BA2717" s="54"/>
      <c r="BK2717" s="13"/>
    </row>
    <row r="2718" customFormat="false" ht="12.75" hidden="false" customHeight="false" outlineLevel="0" collapsed="false">
      <c r="B2718" s="14"/>
      <c r="C2718" s="14"/>
      <c r="D2718" s="14"/>
      <c r="E2718" s="14"/>
      <c r="F2718" s="15"/>
      <c r="G2718" s="15"/>
      <c r="BK2718" s="16"/>
    </row>
    <row r="2719" s="23" customFormat="true" ht="12.75" hidden="false" customHeight="false" outlineLevel="0" collapsed="false">
      <c r="A2719" s="1"/>
      <c r="B2719" s="14"/>
      <c r="C2719" s="14"/>
      <c r="D2719" s="14"/>
      <c r="E2719" s="14"/>
      <c r="F2719" s="22"/>
      <c r="G2719" s="22"/>
      <c r="T2719" s="5"/>
      <c r="AP2719" s="3"/>
      <c r="AQ2719" s="3"/>
      <c r="AR2719" s="3"/>
      <c r="AS2719" s="3"/>
      <c r="AT2719" s="3"/>
      <c r="AU2719" s="3"/>
      <c r="AV2719" s="3"/>
      <c r="AW2719" s="3"/>
      <c r="AX2719" s="3"/>
      <c r="AY2719" s="3"/>
      <c r="AZ2719" s="3"/>
      <c r="BA2719" s="5"/>
      <c r="BB2719" s="3"/>
      <c r="BK2719" s="16"/>
    </row>
    <row r="2720" s="23" customFormat="true" ht="12.75" hidden="false" customHeight="false" outlineLevel="0" collapsed="false">
      <c r="A2720" s="1"/>
      <c r="B2720" s="14"/>
      <c r="C2720" s="14"/>
      <c r="D2720" s="14"/>
      <c r="E2720" s="14"/>
      <c r="F2720" s="22"/>
      <c r="G2720" s="22"/>
      <c r="T2720" s="5"/>
      <c r="V2720" s="3"/>
      <c r="W2720" s="3"/>
      <c r="X2720" s="3"/>
      <c r="Y2720" s="3"/>
      <c r="Z2720" s="3"/>
      <c r="AA2720" s="3"/>
      <c r="AB2720" s="3"/>
      <c r="AP2720" s="3"/>
      <c r="AQ2720" s="3"/>
      <c r="AR2720" s="3"/>
      <c r="AS2720" s="3"/>
      <c r="AT2720" s="3"/>
      <c r="AU2720" s="3"/>
      <c r="AV2720" s="3"/>
      <c r="AW2720" s="3"/>
      <c r="AX2720" s="3"/>
      <c r="AY2720" s="3"/>
      <c r="AZ2720" s="3"/>
      <c r="BA2720" s="5"/>
      <c r="BB2720" s="3"/>
      <c r="BK2720" s="16"/>
    </row>
    <row r="2721" s="23" customFormat="true" ht="12.75" hidden="false" customHeight="false" outlineLevel="0" collapsed="false">
      <c r="A2721" s="1"/>
      <c r="B2721" s="14"/>
      <c r="C2721" s="14"/>
      <c r="D2721" s="14"/>
      <c r="E2721" s="14"/>
      <c r="F2721" s="22"/>
      <c r="G2721" s="22"/>
      <c r="T2721" s="5"/>
      <c r="V2721" s="3"/>
      <c r="W2721" s="3"/>
      <c r="X2721" s="3"/>
      <c r="Y2721" s="3"/>
      <c r="Z2721" s="3"/>
      <c r="AA2721" s="3"/>
      <c r="AB2721" s="3"/>
      <c r="AP2721" s="3"/>
      <c r="AQ2721" s="3"/>
      <c r="AR2721" s="3"/>
      <c r="AS2721" s="3"/>
      <c r="AT2721" s="3"/>
      <c r="AU2721" s="3"/>
      <c r="AV2721" s="3"/>
      <c r="AW2721" s="3"/>
      <c r="AX2721" s="3"/>
      <c r="AY2721" s="3"/>
      <c r="AZ2721" s="3"/>
      <c r="BA2721" s="5"/>
      <c r="BB2721" s="3"/>
      <c r="BK2721" s="16"/>
    </row>
    <row r="2722" s="23" customFormat="true" ht="12.75" hidden="false" customHeight="false" outlineLevel="0" collapsed="false">
      <c r="A2722" s="1"/>
      <c r="B2722" s="14"/>
      <c r="C2722" s="14"/>
      <c r="D2722" s="14"/>
      <c r="E2722" s="14"/>
      <c r="F2722" s="22"/>
      <c r="G2722" s="22"/>
      <c r="T2722" s="5"/>
      <c r="AP2722" s="3"/>
      <c r="AQ2722" s="3"/>
      <c r="AR2722" s="3"/>
      <c r="AS2722" s="3"/>
      <c r="AT2722" s="3"/>
      <c r="AU2722" s="3"/>
      <c r="AV2722" s="3"/>
      <c r="AW2722" s="3"/>
      <c r="AX2722" s="3"/>
      <c r="AY2722" s="3"/>
      <c r="AZ2722" s="3"/>
      <c r="BA2722" s="5"/>
      <c r="BB2722" s="3"/>
      <c r="BK2722" s="16"/>
    </row>
    <row r="2723" s="23" customFormat="true" ht="12.75" hidden="false" customHeight="false" outlineLevel="0" collapsed="false">
      <c r="A2723" s="1"/>
      <c r="B2723" s="14"/>
      <c r="C2723" s="14"/>
      <c r="D2723" s="14"/>
      <c r="E2723" s="14"/>
      <c r="F2723" s="22"/>
      <c r="G2723" s="22"/>
      <c r="T2723" s="5"/>
      <c r="AP2723" s="3"/>
      <c r="AQ2723" s="3"/>
      <c r="AR2723" s="3"/>
      <c r="AS2723" s="3"/>
      <c r="AT2723" s="3"/>
      <c r="AU2723" s="3"/>
      <c r="AV2723" s="3"/>
      <c r="AW2723" s="3"/>
      <c r="AX2723" s="3"/>
      <c r="AY2723" s="3"/>
      <c r="AZ2723" s="3"/>
      <c r="BA2723" s="5"/>
      <c r="BB2723" s="3"/>
      <c r="BK2723" s="16"/>
    </row>
    <row r="2724" customFormat="false" ht="12.75" hidden="false" customHeight="false" outlineLevel="0" collapsed="false">
      <c r="B2724" s="14"/>
      <c r="C2724" s="14"/>
      <c r="D2724" s="14"/>
      <c r="E2724" s="14"/>
      <c r="F2724" s="15"/>
      <c r="G2724" s="15"/>
      <c r="BK2724" s="16"/>
    </row>
    <row r="2725" customFormat="false" ht="12.75" hidden="false" customHeight="false" outlineLevel="0" collapsed="false">
      <c r="B2725" s="14"/>
      <c r="C2725" s="14"/>
      <c r="D2725" s="14"/>
      <c r="E2725" s="14"/>
      <c r="F2725" s="15"/>
      <c r="G2725" s="15"/>
      <c r="BK2725" s="16"/>
    </row>
    <row r="2726" customFormat="false" ht="12.75" hidden="false" customHeight="false" outlineLevel="0" collapsed="false">
      <c r="B2726" s="14"/>
      <c r="C2726" s="14"/>
      <c r="D2726" s="14"/>
      <c r="E2726" s="14"/>
      <c r="F2726" s="15"/>
      <c r="G2726" s="15"/>
      <c r="BK2726" s="16"/>
    </row>
    <row r="2727" customFormat="false" ht="12.75" hidden="false" customHeight="false" outlineLevel="0" collapsed="false">
      <c r="B2727" s="14"/>
      <c r="C2727" s="14"/>
      <c r="D2727" s="14"/>
      <c r="E2727" s="14"/>
      <c r="F2727" s="22"/>
      <c r="G2727" s="22"/>
      <c r="P2727" s="14"/>
      <c r="BK2727" s="16"/>
    </row>
    <row r="2728" s="23" customFormat="true" ht="12.75" hidden="false" customHeight="false" outlineLevel="0" collapsed="false">
      <c r="A2728" s="1"/>
      <c r="B2728" s="14"/>
      <c r="C2728" s="14"/>
      <c r="D2728" s="14"/>
      <c r="E2728" s="14"/>
      <c r="F2728" s="22"/>
      <c r="G2728" s="22"/>
      <c r="T2728" s="5"/>
      <c r="V2728" s="3"/>
      <c r="W2728" s="3"/>
      <c r="X2728" s="3"/>
      <c r="Y2728" s="3"/>
      <c r="Z2728" s="3"/>
      <c r="AA2728" s="3"/>
      <c r="AB2728" s="3"/>
      <c r="AP2728" s="3"/>
      <c r="AQ2728" s="3"/>
      <c r="AR2728" s="3"/>
      <c r="AS2728" s="3"/>
      <c r="AT2728" s="3"/>
      <c r="AU2728" s="3"/>
      <c r="AV2728" s="3"/>
      <c r="AW2728" s="3"/>
      <c r="AX2728" s="3"/>
      <c r="AY2728" s="3"/>
      <c r="AZ2728" s="3"/>
      <c r="BA2728" s="5"/>
      <c r="BB2728" s="3"/>
      <c r="BK2728" s="16"/>
    </row>
    <row r="2729" customFormat="false" ht="12.75" hidden="false" customHeight="false" outlineLevel="0" collapsed="false">
      <c r="B2729" s="14"/>
      <c r="C2729" s="14"/>
      <c r="D2729" s="14"/>
      <c r="E2729" s="14"/>
      <c r="F2729" s="15"/>
      <c r="G2729" s="15"/>
      <c r="BK2729" s="16"/>
    </row>
    <row r="2730" customFormat="false" ht="12.75" hidden="false" customHeight="false" outlineLevel="0" collapsed="false">
      <c r="B2730" s="14"/>
      <c r="C2730" s="14"/>
      <c r="D2730" s="14"/>
      <c r="E2730" s="14"/>
      <c r="F2730" s="15"/>
      <c r="G2730" s="15"/>
      <c r="BK2730" s="16"/>
    </row>
    <row r="2731" customFormat="false" ht="12.75" hidden="false" customHeight="false" outlineLevel="0" collapsed="false">
      <c r="B2731" s="14"/>
      <c r="C2731" s="14"/>
      <c r="D2731" s="14"/>
      <c r="E2731" s="14"/>
      <c r="F2731" s="15"/>
      <c r="G2731" s="15"/>
      <c r="BK2731" s="16"/>
    </row>
    <row r="2732" customFormat="false" ht="12.75" hidden="false" customHeight="false" outlineLevel="0" collapsed="false">
      <c r="B2732" s="14"/>
      <c r="C2732" s="14"/>
      <c r="D2732" s="14"/>
      <c r="E2732" s="14"/>
      <c r="F2732" s="15"/>
      <c r="G2732" s="15"/>
      <c r="BK2732" s="16"/>
    </row>
    <row r="2733" customFormat="false" ht="12.75" hidden="false" customHeight="false" outlineLevel="0" collapsed="false">
      <c r="B2733" s="14"/>
      <c r="C2733" s="14"/>
      <c r="D2733" s="14"/>
      <c r="E2733" s="14"/>
      <c r="F2733" s="15"/>
      <c r="G2733" s="15"/>
      <c r="BK2733" s="16"/>
    </row>
    <row r="2734" customFormat="false" ht="12.75" hidden="false" customHeight="false" outlineLevel="0" collapsed="false">
      <c r="B2734" s="14"/>
      <c r="C2734" s="14"/>
      <c r="D2734" s="14"/>
      <c r="E2734" s="14"/>
      <c r="F2734" s="15"/>
      <c r="G2734" s="15"/>
      <c r="BK2734" s="16"/>
    </row>
    <row r="2735" customFormat="false" ht="12.75" hidden="false" customHeight="false" outlineLevel="0" collapsed="false">
      <c r="B2735" s="14"/>
      <c r="C2735" s="14"/>
      <c r="D2735" s="14"/>
      <c r="E2735" s="14"/>
      <c r="F2735" s="15"/>
      <c r="G2735" s="15"/>
      <c r="BK2735" s="16"/>
    </row>
    <row r="2736" customFormat="false" ht="12.75" hidden="false" customHeight="false" outlineLevel="0" collapsed="false">
      <c r="B2736" s="14"/>
      <c r="C2736" s="14"/>
      <c r="D2736" s="14"/>
      <c r="E2736" s="14"/>
      <c r="F2736" s="15"/>
      <c r="G2736" s="15"/>
      <c r="BK2736" s="16"/>
    </row>
    <row r="2737" customFormat="false" ht="12.75" hidden="false" customHeight="false" outlineLevel="0" collapsed="false">
      <c r="B2737" s="14"/>
      <c r="C2737" s="14"/>
      <c r="D2737" s="14"/>
      <c r="E2737" s="14"/>
      <c r="F2737" s="15"/>
      <c r="G2737" s="15"/>
      <c r="BK2737" s="16"/>
    </row>
    <row r="2738" customFormat="false" ht="12.75" hidden="false" customHeight="false" outlineLevel="0" collapsed="false">
      <c r="B2738" s="14"/>
      <c r="C2738" s="14"/>
      <c r="D2738" s="14"/>
      <c r="E2738" s="14"/>
      <c r="F2738" s="15"/>
      <c r="G2738" s="15"/>
      <c r="BK2738" s="16"/>
    </row>
    <row r="2739" s="23" customFormat="true" ht="12.75" hidden="false" customHeight="false" outlineLevel="0" collapsed="false">
      <c r="A2739" s="1"/>
      <c r="B2739" s="14"/>
      <c r="C2739" s="14"/>
      <c r="D2739" s="14"/>
      <c r="E2739" s="14"/>
      <c r="F2739" s="22"/>
      <c r="G2739" s="22"/>
      <c r="T2739" s="5"/>
      <c r="V2739" s="3"/>
      <c r="W2739" s="3"/>
      <c r="X2739" s="3"/>
      <c r="Y2739" s="3"/>
      <c r="Z2739" s="3"/>
      <c r="AA2739" s="3"/>
      <c r="AB2739" s="3"/>
      <c r="AP2739" s="3"/>
      <c r="AQ2739" s="3"/>
      <c r="AR2739" s="3"/>
      <c r="AS2739" s="3"/>
      <c r="AT2739" s="3"/>
      <c r="AU2739" s="3"/>
      <c r="AV2739" s="3"/>
      <c r="AW2739" s="3"/>
      <c r="AX2739" s="3"/>
      <c r="AY2739" s="3"/>
      <c r="AZ2739" s="3"/>
      <c r="BA2739" s="5"/>
      <c r="BB2739" s="3"/>
      <c r="BK2739" s="16"/>
    </row>
    <row r="2740" customFormat="false" ht="12.75" hidden="false" customHeight="false" outlineLevel="0" collapsed="false">
      <c r="B2740" s="14"/>
      <c r="C2740" s="14"/>
      <c r="D2740" s="14"/>
      <c r="E2740" s="14"/>
      <c r="F2740" s="15"/>
      <c r="G2740" s="15"/>
      <c r="BK2740" s="16"/>
    </row>
    <row r="2741" customFormat="false" ht="12.75" hidden="false" customHeight="false" outlineLevel="0" collapsed="false">
      <c r="B2741" s="14"/>
      <c r="C2741" s="14"/>
      <c r="D2741" s="14"/>
      <c r="E2741" s="14"/>
      <c r="F2741" s="15"/>
      <c r="G2741" s="15"/>
      <c r="BK2741" s="16"/>
    </row>
    <row r="2742" customFormat="false" ht="12.75" hidden="false" customHeight="false" outlineLevel="0" collapsed="false">
      <c r="B2742" s="14"/>
      <c r="C2742" s="14"/>
      <c r="D2742" s="14"/>
      <c r="E2742" s="14"/>
      <c r="F2742" s="15"/>
      <c r="G2742" s="15"/>
      <c r="BK2742" s="16"/>
    </row>
    <row r="2743" s="23" customFormat="true" ht="12.75" hidden="false" customHeight="false" outlineLevel="0" collapsed="false">
      <c r="A2743" s="1"/>
      <c r="B2743" s="14"/>
      <c r="C2743" s="14"/>
      <c r="D2743" s="14"/>
      <c r="E2743" s="14"/>
      <c r="F2743" s="22"/>
      <c r="G2743" s="22"/>
      <c r="T2743" s="5"/>
      <c r="AP2743" s="3"/>
      <c r="AQ2743" s="3"/>
      <c r="AR2743" s="3"/>
      <c r="AS2743" s="3"/>
      <c r="AT2743" s="3"/>
      <c r="AU2743" s="3"/>
      <c r="AV2743" s="3"/>
      <c r="AW2743" s="3"/>
      <c r="AX2743" s="3"/>
      <c r="AY2743" s="3"/>
      <c r="AZ2743" s="3"/>
      <c r="BA2743" s="5"/>
      <c r="BB2743" s="3"/>
      <c r="BK2743" s="16"/>
    </row>
    <row r="2744" customFormat="false" ht="12.75" hidden="false" customHeight="false" outlineLevel="0" collapsed="false">
      <c r="B2744" s="14"/>
      <c r="C2744" s="14"/>
      <c r="D2744" s="14"/>
      <c r="E2744" s="14"/>
      <c r="F2744" s="15"/>
      <c r="G2744" s="15"/>
      <c r="BK2744" s="16"/>
    </row>
    <row r="2745" customFormat="false" ht="12.75" hidden="false" customHeight="false" outlineLevel="0" collapsed="false">
      <c r="B2745" s="14"/>
      <c r="C2745" s="14"/>
      <c r="D2745" s="14"/>
      <c r="E2745" s="14"/>
      <c r="F2745" s="15"/>
      <c r="G2745" s="15"/>
      <c r="BK2745" s="16"/>
    </row>
    <row r="2746" customFormat="false" ht="12.75" hidden="false" customHeight="false" outlineLevel="0" collapsed="false">
      <c r="B2746" s="14"/>
      <c r="C2746" s="14"/>
      <c r="D2746" s="14"/>
      <c r="E2746" s="14"/>
      <c r="F2746" s="15"/>
      <c r="G2746" s="22"/>
      <c r="BK2746" s="16"/>
    </row>
    <row r="2747" customFormat="false" ht="12.75" hidden="false" customHeight="false" outlineLevel="0" collapsed="false">
      <c r="B2747" s="14"/>
      <c r="C2747" s="14"/>
      <c r="D2747" s="14"/>
      <c r="E2747" s="14"/>
      <c r="F2747" s="15"/>
      <c r="G2747" s="15"/>
      <c r="BK2747" s="16"/>
    </row>
    <row r="2748" customFormat="false" ht="12.75" hidden="false" customHeight="false" outlineLevel="0" collapsed="false">
      <c r="B2748" s="14"/>
      <c r="C2748" s="14"/>
      <c r="D2748" s="14"/>
      <c r="E2748" s="14"/>
      <c r="F2748" s="15"/>
      <c r="G2748" s="15"/>
      <c r="BK2748" s="16"/>
    </row>
    <row r="2749" customFormat="false" ht="12.75" hidden="false" customHeight="false" outlineLevel="0" collapsed="false">
      <c r="B2749" s="14"/>
      <c r="C2749" s="14"/>
      <c r="D2749" s="14"/>
      <c r="E2749" s="14"/>
      <c r="F2749" s="15"/>
      <c r="G2749" s="15"/>
      <c r="BK2749" s="16"/>
    </row>
    <row r="2750" customFormat="false" ht="12.75" hidden="false" customHeight="false" outlineLevel="0" collapsed="false">
      <c r="B2750" s="14"/>
      <c r="C2750" s="14"/>
      <c r="D2750" s="14"/>
      <c r="E2750" s="14"/>
      <c r="F2750" s="15"/>
      <c r="G2750" s="15"/>
      <c r="BK2750" s="16"/>
    </row>
    <row r="2751" customFormat="false" ht="12.75" hidden="false" customHeight="false" outlineLevel="0" collapsed="false">
      <c r="B2751" s="14"/>
      <c r="C2751" s="14"/>
      <c r="D2751" s="14"/>
      <c r="E2751" s="14"/>
      <c r="F2751" s="15"/>
      <c r="G2751" s="22"/>
      <c r="BK2751" s="16"/>
    </row>
    <row r="2752" customFormat="false" ht="12.75" hidden="false" customHeight="false" outlineLevel="0" collapsed="false">
      <c r="B2752" s="14"/>
      <c r="C2752" s="14"/>
      <c r="D2752" s="14"/>
      <c r="E2752" s="14"/>
      <c r="F2752" s="15"/>
      <c r="G2752" s="22"/>
      <c r="BK2752" s="16"/>
    </row>
    <row r="2753" customFormat="false" ht="12.75" hidden="false" customHeight="false" outlineLevel="0" collapsed="false">
      <c r="B2753" s="14"/>
      <c r="C2753" s="14"/>
      <c r="D2753" s="14"/>
      <c r="E2753" s="14"/>
      <c r="F2753" s="22"/>
      <c r="G2753" s="22"/>
      <c r="P2753" s="14"/>
      <c r="BK2753" s="16"/>
    </row>
    <row r="2754" customFormat="false" ht="12.75" hidden="false" customHeight="false" outlineLevel="0" collapsed="false">
      <c r="B2754" s="14"/>
      <c r="C2754" s="14"/>
      <c r="D2754" s="14"/>
      <c r="E2754" s="14"/>
      <c r="F2754" s="15"/>
      <c r="G2754" s="15"/>
      <c r="BK2754" s="16"/>
    </row>
    <row r="2755" customFormat="false" ht="12.75" hidden="false" customHeight="false" outlineLevel="0" collapsed="false">
      <c r="B2755" s="14"/>
      <c r="C2755" s="14"/>
      <c r="D2755" s="14"/>
      <c r="E2755" s="14"/>
      <c r="F2755" s="15"/>
      <c r="G2755" s="15"/>
      <c r="BK2755" s="16"/>
    </row>
    <row r="2756" customFormat="false" ht="12.75" hidden="false" customHeight="false" outlineLevel="0" collapsed="false">
      <c r="B2756" s="14"/>
      <c r="C2756" s="14"/>
      <c r="D2756" s="14"/>
      <c r="E2756" s="14"/>
      <c r="F2756" s="22"/>
      <c r="G2756" s="15"/>
      <c r="BB2756" s="23"/>
      <c r="BK2756" s="16"/>
    </row>
    <row r="2757" customFormat="false" ht="12.75" hidden="false" customHeight="false" outlineLevel="0" collapsed="false">
      <c r="B2757" s="14"/>
      <c r="C2757" s="14"/>
      <c r="D2757" s="14"/>
      <c r="E2757" s="14"/>
      <c r="F2757" s="15"/>
      <c r="G2757" s="15"/>
      <c r="BK2757" s="16"/>
    </row>
    <row r="2758" customFormat="false" ht="12.75" hidden="false" customHeight="false" outlineLevel="0" collapsed="false">
      <c r="B2758" s="14"/>
      <c r="C2758" s="14"/>
      <c r="D2758" s="14"/>
      <c r="E2758" s="14"/>
      <c r="F2758" s="22"/>
      <c r="G2758" s="22"/>
      <c r="P2758" s="14"/>
      <c r="BK2758" s="16"/>
    </row>
    <row r="2759" customFormat="false" ht="12.75" hidden="false" customHeight="false" outlineLevel="0" collapsed="false">
      <c r="B2759" s="14"/>
      <c r="C2759" s="14"/>
      <c r="D2759" s="14"/>
      <c r="E2759" s="14"/>
      <c r="F2759" s="15"/>
      <c r="G2759" s="15"/>
      <c r="BK2759" s="16"/>
    </row>
    <row r="2760" customFormat="false" ht="12.75" hidden="false" customHeight="false" outlineLevel="0" collapsed="false">
      <c r="B2760" s="14"/>
      <c r="C2760" s="14"/>
      <c r="D2760" s="14"/>
      <c r="E2760" s="14"/>
      <c r="F2760" s="15"/>
      <c r="G2760" s="15"/>
      <c r="BK2760" s="16"/>
    </row>
    <row r="2761" customFormat="false" ht="12.75" hidden="false" customHeight="false" outlineLevel="0" collapsed="false">
      <c r="B2761" s="14"/>
      <c r="C2761" s="14"/>
      <c r="D2761" s="14"/>
      <c r="E2761" s="14"/>
      <c r="F2761" s="15"/>
      <c r="G2761" s="15"/>
      <c r="BK2761" s="16"/>
    </row>
    <row r="2762" customFormat="false" ht="12.75" hidden="false" customHeight="false" outlineLevel="0" collapsed="false">
      <c r="B2762" s="14"/>
      <c r="C2762" s="14"/>
      <c r="D2762" s="14"/>
      <c r="E2762" s="14"/>
      <c r="F2762" s="15"/>
      <c r="G2762" s="15"/>
      <c r="BK2762" s="16"/>
    </row>
    <row r="2763" customFormat="false" ht="12.75" hidden="false" customHeight="false" outlineLevel="0" collapsed="false">
      <c r="B2763" s="14"/>
      <c r="C2763" s="14"/>
      <c r="D2763" s="14"/>
      <c r="E2763" s="14"/>
      <c r="F2763" s="15"/>
      <c r="G2763" s="15"/>
      <c r="BK2763" s="16"/>
    </row>
    <row r="2764" customFormat="false" ht="12.75" hidden="false" customHeight="false" outlineLevel="0" collapsed="false">
      <c r="B2764" s="14"/>
      <c r="C2764" s="14"/>
      <c r="D2764" s="14"/>
      <c r="E2764" s="14"/>
      <c r="F2764" s="15"/>
      <c r="G2764" s="15"/>
      <c r="BK2764" s="16"/>
    </row>
    <row r="2765" customFormat="false" ht="12.75" hidden="false" customHeight="false" outlineLevel="0" collapsed="false">
      <c r="B2765" s="14"/>
      <c r="C2765" s="14"/>
      <c r="D2765" s="14"/>
      <c r="E2765" s="14"/>
      <c r="F2765" s="15"/>
      <c r="G2765" s="15"/>
      <c r="BK2765" s="16"/>
    </row>
    <row r="2766" customFormat="false" ht="12.75" hidden="false" customHeight="false" outlineLevel="0" collapsed="false">
      <c r="B2766" s="14"/>
      <c r="C2766" s="14"/>
      <c r="D2766" s="14"/>
      <c r="E2766" s="14"/>
      <c r="F2766" s="15"/>
      <c r="G2766" s="15"/>
      <c r="BK2766" s="16"/>
    </row>
    <row r="2767" customFormat="false" ht="12.75" hidden="false" customHeight="false" outlineLevel="0" collapsed="false">
      <c r="B2767" s="14"/>
      <c r="C2767" s="14"/>
      <c r="D2767" s="14"/>
      <c r="E2767" s="14"/>
      <c r="F2767" s="15"/>
      <c r="G2767" s="15"/>
      <c r="BK2767" s="16"/>
    </row>
    <row r="2768" s="11" customFormat="true" ht="12.75" hidden="false" customHeight="false" outlineLevel="0" collapsed="false">
      <c r="A2768" s="7"/>
      <c r="B2768" s="53"/>
      <c r="C2768" s="53"/>
      <c r="D2768" s="53"/>
      <c r="E2768" s="53"/>
      <c r="F2768" s="53"/>
      <c r="G2768" s="53"/>
      <c r="T2768" s="54"/>
      <c r="BA2768" s="54"/>
      <c r="BK2768" s="13"/>
    </row>
    <row r="2769" customFormat="false" ht="12.75" hidden="false" customHeight="false" outlineLevel="0" collapsed="false">
      <c r="B2769" s="14"/>
      <c r="C2769" s="14"/>
      <c r="D2769" s="14"/>
      <c r="E2769" s="14"/>
      <c r="F2769" s="22"/>
      <c r="G2769" s="15"/>
      <c r="BB2769" s="23"/>
      <c r="BK2769" s="16"/>
    </row>
    <row r="2770" customFormat="false" ht="12.75" hidden="false" customHeight="false" outlineLevel="0" collapsed="false">
      <c r="B2770" s="14"/>
      <c r="C2770" s="14"/>
      <c r="D2770" s="14"/>
      <c r="E2770" s="14"/>
      <c r="F2770" s="15"/>
      <c r="G2770" s="15"/>
      <c r="BK2770" s="16"/>
    </row>
    <row r="2771" customFormat="false" ht="12.75" hidden="false" customHeight="false" outlineLevel="0" collapsed="false">
      <c r="B2771" s="14"/>
      <c r="C2771" s="14"/>
      <c r="D2771" s="14"/>
      <c r="E2771" s="14"/>
      <c r="F2771" s="15"/>
      <c r="G2771" s="15"/>
      <c r="BK2771" s="16"/>
    </row>
    <row r="2772" customFormat="false" ht="12.75" hidden="false" customHeight="false" outlineLevel="0" collapsed="false">
      <c r="B2772" s="14"/>
      <c r="C2772" s="14"/>
      <c r="D2772" s="14"/>
      <c r="E2772" s="14"/>
      <c r="F2772" s="15"/>
      <c r="G2772" s="15"/>
      <c r="BK2772" s="16"/>
    </row>
    <row r="2773" s="23" customFormat="true" ht="12.75" hidden="false" customHeight="false" outlineLevel="0" collapsed="false">
      <c r="A2773" s="1"/>
      <c r="B2773" s="14"/>
      <c r="C2773" s="14"/>
      <c r="D2773" s="14"/>
      <c r="E2773" s="14"/>
      <c r="F2773" s="22"/>
      <c r="G2773" s="22"/>
      <c r="T2773" s="5"/>
      <c r="V2773" s="3"/>
      <c r="W2773" s="3"/>
      <c r="X2773" s="3"/>
      <c r="Y2773" s="3"/>
      <c r="Z2773" s="3"/>
      <c r="AA2773" s="3"/>
      <c r="AB2773" s="3"/>
      <c r="AP2773" s="3"/>
      <c r="AQ2773" s="3"/>
      <c r="AR2773" s="3"/>
      <c r="AS2773" s="3"/>
      <c r="AT2773" s="3"/>
      <c r="AU2773" s="3"/>
      <c r="AV2773" s="3"/>
      <c r="AW2773" s="3"/>
      <c r="AX2773" s="3"/>
      <c r="AY2773" s="3"/>
      <c r="AZ2773" s="3"/>
      <c r="BA2773" s="5"/>
      <c r="BB2773" s="3"/>
      <c r="BK2773" s="16"/>
    </row>
    <row r="2774" customFormat="false" ht="12.75" hidden="false" customHeight="false" outlineLevel="0" collapsed="false">
      <c r="B2774" s="14"/>
      <c r="C2774" s="14"/>
      <c r="D2774" s="14"/>
      <c r="E2774" s="14"/>
      <c r="F2774" s="15"/>
      <c r="G2774" s="15"/>
      <c r="BK2774" s="16"/>
    </row>
    <row r="2775" customFormat="false" ht="12.75" hidden="false" customHeight="false" outlineLevel="0" collapsed="false">
      <c r="B2775" s="14"/>
      <c r="C2775" s="14"/>
      <c r="D2775" s="14"/>
      <c r="E2775" s="14"/>
      <c r="F2775" s="15"/>
      <c r="G2775" s="15"/>
      <c r="BK2775" s="16"/>
    </row>
    <row r="2776" customFormat="false" ht="12.75" hidden="false" customHeight="false" outlineLevel="0" collapsed="false">
      <c r="B2776" s="14"/>
      <c r="C2776" s="14"/>
      <c r="D2776" s="14"/>
      <c r="E2776" s="14"/>
      <c r="F2776" s="15"/>
      <c r="G2776" s="15"/>
      <c r="BK2776" s="16"/>
    </row>
    <row r="2777" customFormat="false" ht="12.75" hidden="false" customHeight="false" outlineLevel="0" collapsed="false">
      <c r="B2777" s="14"/>
      <c r="C2777" s="14"/>
      <c r="D2777" s="14"/>
      <c r="E2777" s="14"/>
      <c r="F2777" s="15"/>
      <c r="G2777" s="15"/>
      <c r="BK2777" s="16"/>
    </row>
    <row r="2778" customFormat="false" ht="12.75" hidden="false" customHeight="false" outlineLevel="0" collapsed="false">
      <c r="B2778" s="14"/>
      <c r="C2778" s="14"/>
      <c r="D2778" s="14"/>
      <c r="E2778" s="14"/>
      <c r="F2778" s="15"/>
      <c r="G2778" s="15"/>
      <c r="BK2778" s="16"/>
    </row>
    <row r="2779" customFormat="false" ht="12.75" hidden="false" customHeight="false" outlineLevel="0" collapsed="false">
      <c r="B2779" s="14"/>
      <c r="C2779" s="14"/>
      <c r="D2779" s="14"/>
      <c r="E2779" s="14"/>
      <c r="F2779" s="15"/>
      <c r="G2779" s="15"/>
      <c r="BK2779" s="16"/>
    </row>
    <row r="2780" customFormat="false" ht="12.75" hidden="false" customHeight="false" outlineLevel="0" collapsed="false">
      <c r="B2780" s="14"/>
      <c r="C2780" s="14"/>
      <c r="D2780" s="14"/>
      <c r="E2780" s="14"/>
      <c r="F2780" s="15"/>
      <c r="G2780" s="15"/>
      <c r="BK2780" s="16"/>
    </row>
    <row r="2781" customFormat="false" ht="12.75" hidden="false" customHeight="false" outlineLevel="0" collapsed="false">
      <c r="B2781" s="14"/>
      <c r="C2781" s="14"/>
      <c r="D2781" s="14"/>
      <c r="E2781" s="14"/>
      <c r="F2781" s="15"/>
      <c r="G2781" s="15"/>
      <c r="BK2781" s="16"/>
    </row>
    <row r="2782" customFormat="false" ht="12.75" hidden="false" customHeight="false" outlineLevel="0" collapsed="false">
      <c r="B2782" s="14"/>
      <c r="C2782" s="14"/>
      <c r="D2782" s="14"/>
      <c r="E2782" s="14"/>
      <c r="F2782" s="15"/>
      <c r="G2782" s="15"/>
      <c r="BK2782" s="16"/>
    </row>
    <row r="2783" customFormat="false" ht="12.75" hidden="false" customHeight="false" outlineLevel="0" collapsed="false">
      <c r="B2783" s="14"/>
      <c r="C2783" s="14"/>
      <c r="D2783" s="14"/>
      <c r="E2783" s="14"/>
      <c r="F2783" s="15"/>
      <c r="G2783" s="15"/>
      <c r="BK2783" s="16"/>
    </row>
    <row r="2784" customFormat="false" ht="12.75" hidden="false" customHeight="false" outlineLevel="0" collapsed="false">
      <c r="B2784" s="14"/>
      <c r="C2784" s="14"/>
      <c r="D2784" s="14"/>
      <c r="E2784" s="14"/>
      <c r="F2784" s="15"/>
      <c r="G2784" s="15"/>
      <c r="BK2784" s="16"/>
    </row>
    <row r="2785" customFormat="false" ht="12.75" hidden="false" customHeight="false" outlineLevel="0" collapsed="false">
      <c r="B2785" s="14"/>
      <c r="C2785" s="14"/>
      <c r="D2785" s="14"/>
      <c r="E2785" s="14"/>
      <c r="F2785" s="15"/>
      <c r="G2785" s="15"/>
      <c r="BK2785" s="16"/>
    </row>
    <row r="2786" s="23" customFormat="true" ht="12.75" hidden="false" customHeight="false" outlineLevel="0" collapsed="false">
      <c r="A2786" s="1"/>
      <c r="B2786" s="14"/>
      <c r="C2786" s="14"/>
      <c r="D2786" s="14"/>
      <c r="E2786" s="14"/>
      <c r="F2786" s="22"/>
      <c r="G2786" s="22"/>
      <c r="T2786" s="5"/>
      <c r="AP2786" s="3"/>
      <c r="AQ2786" s="3"/>
      <c r="AR2786" s="3"/>
      <c r="AS2786" s="3"/>
      <c r="AT2786" s="3"/>
      <c r="AU2786" s="3"/>
      <c r="AV2786" s="3"/>
      <c r="AW2786" s="3"/>
      <c r="AX2786" s="3"/>
      <c r="AY2786" s="3"/>
      <c r="BA2786" s="5"/>
      <c r="BK2786" s="16"/>
    </row>
    <row r="2787" customFormat="false" ht="12.75" hidden="false" customHeight="false" outlineLevel="0" collapsed="false">
      <c r="B2787" s="14"/>
      <c r="C2787" s="14"/>
      <c r="D2787" s="14"/>
      <c r="E2787" s="14"/>
      <c r="F2787" s="15"/>
      <c r="G2787" s="15"/>
      <c r="BK2787" s="16"/>
    </row>
    <row r="2788" s="23" customFormat="true" ht="12.75" hidden="false" customHeight="false" outlineLevel="0" collapsed="false">
      <c r="A2788" s="1"/>
      <c r="B2788" s="14"/>
      <c r="C2788" s="14"/>
      <c r="D2788" s="14"/>
      <c r="E2788" s="14"/>
      <c r="F2788" s="22"/>
      <c r="G2788" s="22"/>
      <c r="T2788" s="5"/>
      <c r="AP2788" s="3"/>
      <c r="AQ2788" s="3"/>
      <c r="AR2788" s="3"/>
      <c r="AS2788" s="3"/>
      <c r="AT2788" s="3"/>
      <c r="AU2788" s="3"/>
      <c r="AV2788" s="3"/>
      <c r="AW2788" s="3"/>
      <c r="AX2788" s="3"/>
      <c r="AY2788" s="3"/>
      <c r="AZ2788" s="3"/>
      <c r="BA2788" s="5"/>
      <c r="BK2788" s="16"/>
    </row>
    <row r="2789" customFormat="false" ht="12.75" hidden="false" customHeight="false" outlineLevel="0" collapsed="false">
      <c r="B2789" s="14"/>
      <c r="C2789" s="14"/>
      <c r="D2789" s="14"/>
      <c r="E2789" s="14"/>
      <c r="F2789" s="15"/>
      <c r="G2789" s="15"/>
      <c r="BK2789" s="16"/>
    </row>
    <row r="2790" customFormat="false" ht="12.75" hidden="false" customHeight="false" outlineLevel="0" collapsed="false">
      <c r="B2790" s="14"/>
      <c r="C2790" s="14"/>
      <c r="D2790" s="14"/>
      <c r="E2790" s="14"/>
      <c r="F2790" s="15"/>
      <c r="G2790" s="15"/>
      <c r="BK2790" s="16"/>
    </row>
    <row r="2791" customFormat="false" ht="12.75" hidden="false" customHeight="false" outlineLevel="0" collapsed="false">
      <c r="B2791" s="14"/>
      <c r="C2791" s="14"/>
      <c r="D2791" s="14"/>
      <c r="E2791" s="14"/>
      <c r="F2791" s="15"/>
      <c r="G2791" s="15"/>
      <c r="BK2791" s="16"/>
    </row>
    <row r="2792" customFormat="false" ht="12.75" hidden="false" customHeight="false" outlineLevel="0" collapsed="false">
      <c r="B2792" s="14"/>
      <c r="C2792" s="14"/>
      <c r="D2792" s="14"/>
      <c r="E2792" s="14"/>
      <c r="F2792" s="15"/>
      <c r="G2792" s="15"/>
      <c r="BK2792" s="16"/>
    </row>
    <row r="2793" customFormat="false" ht="12.75" hidden="false" customHeight="false" outlineLevel="0" collapsed="false">
      <c r="B2793" s="14"/>
      <c r="C2793" s="14"/>
      <c r="D2793" s="14"/>
      <c r="E2793" s="14"/>
      <c r="F2793" s="15"/>
      <c r="G2793" s="15"/>
      <c r="BK2793" s="16"/>
    </row>
    <row r="2794" customFormat="false" ht="12.75" hidden="false" customHeight="false" outlineLevel="0" collapsed="false">
      <c r="B2794" s="14"/>
      <c r="C2794" s="14"/>
      <c r="D2794" s="14"/>
      <c r="E2794" s="14"/>
      <c r="F2794" s="15"/>
      <c r="G2794" s="15"/>
      <c r="BK2794" s="16"/>
    </row>
    <row r="2795" customFormat="false" ht="12.75" hidden="false" customHeight="false" outlineLevel="0" collapsed="false">
      <c r="B2795" s="14"/>
      <c r="C2795" s="14"/>
      <c r="D2795" s="14"/>
      <c r="E2795" s="14"/>
      <c r="F2795" s="22"/>
      <c r="G2795" s="22"/>
      <c r="BK2795" s="16"/>
    </row>
    <row r="2796" s="23" customFormat="true" ht="12.75" hidden="false" customHeight="false" outlineLevel="0" collapsed="false">
      <c r="A2796" s="1"/>
      <c r="B2796" s="14"/>
      <c r="C2796" s="14"/>
      <c r="D2796" s="14"/>
      <c r="E2796" s="14"/>
      <c r="F2796" s="22"/>
      <c r="G2796" s="22"/>
      <c r="T2796" s="5"/>
      <c r="AP2796" s="3"/>
      <c r="AQ2796" s="3"/>
      <c r="AR2796" s="3"/>
      <c r="AS2796" s="3"/>
      <c r="AT2796" s="3"/>
      <c r="AU2796" s="3"/>
      <c r="AV2796" s="3"/>
      <c r="AW2796" s="3"/>
      <c r="AX2796" s="3"/>
      <c r="AY2796" s="3"/>
      <c r="AZ2796" s="3"/>
      <c r="BA2796" s="5"/>
      <c r="BK2796" s="16"/>
    </row>
    <row r="2797" customFormat="false" ht="12.75" hidden="false" customHeight="false" outlineLevel="0" collapsed="false">
      <c r="B2797" s="14"/>
      <c r="C2797" s="14"/>
      <c r="D2797" s="14"/>
      <c r="E2797" s="14"/>
      <c r="F2797" s="22"/>
      <c r="G2797" s="22"/>
      <c r="BK2797" s="16"/>
    </row>
    <row r="2798" customFormat="false" ht="12.75" hidden="false" customHeight="false" outlineLevel="0" collapsed="false">
      <c r="B2798" s="14"/>
      <c r="C2798" s="14"/>
      <c r="D2798" s="14"/>
      <c r="E2798" s="14"/>
      <c r="F2798" s="22"/>
      <c r="G2798" s="22"/>
      <c r="BK2798" s="16"/>
    </row>
    <row r="2799" customFormat="false" ht="12.75" hidden="false" customHeight="false" outlineLevel="0" collapsed="false">
      <c r="B2799" s="14"/>
      <c r="C2799" s="14"/>
      <c r="D2799" s="14"/>
      <c r="E2799" s="14"/>
      <c r="F2799" s="15"/>
      <c r="G2799" s="15"/>
      <c r="BK2799" s="16"/>
    </row>
    <row r="2800" customFormat="false" ht="12.75" hidden="false" customHeight="false" outlineLevel="0" collapsed="false">
      <c r="B2800" s="14"/>
      <c r="C2800" s="14"/>
      <c r="D2800" s="14"/>
      <c r="E2800" s="14"/>
      <c r="F2800" s="22"/>
      <c r="G2800" s="22"/>
      <c r="BK2800" s="16"/>
    </row>
    <row r="2801" s="23" customFormat="true" ht="12.75" hidden="false" customHeight="false" outlineLevel="0" collapsed="false">
      <c r="A2801" s="1"/>
      <c r="B2801" s="14"/>
      <c r="C2801" s="14"/>
      <c r="D2801" s="14"/>
      <c r="E2801" s="14"/>
      <c r="F2801" s="22"/>
      <c r="G2801" s="22"/>
      <c r="T2801" s="5"/>
      <c r="AP2801" s="3"/>
      <c r="AQ2801" s="3"/>
      <c r="AR2801" s="3"/>
      <c r="AS2801" s="3"/>
      <c r="AT2801" s="3"/>
      <c r="AU2801" s="3"/>
      <c r="AV2801" s="3"/>
      <c r="AW2801" s="3"/>
      <c r="AX2801" s="3"/>
      <c r="AY2801" s="3"/>
      <c r="BA2801" s="5"/>
      <c r="BK2801" s="16"/>
    </row>
    <row r="2802" customFormat="false" ht="12.75" hidden="false" customHeight="false" outlineLevel="0" collapsed="false">
      <c r="B2802" s="14"/>
      <c r="C2802" s="14"/>
      <c r="D2802" s="14"/>
      <c r="E2802" s="14"/>
      <c r="F2802" s="15"/>
      <c r="G2802" s="15"/>
      <c r="BK2802" s="16"/>
    </row>
    <row r="2803" s="23" customFormat="true" ht="12.75" hidden="false" customHeight="false" outlineLevel="0" collapsed="false">
      <c r="A2803" s="1"/>
      <c r="B2803" s="14"/>
      <c r="C2803" s="14"/>
      <c r="D2803" s="14"/>
      <c r="E2803" s="14"/>
      <c r="F2803" s="22"/>
      <c r="G2803" s="22"/>
      <c r="T2803" s="5"/>
      <c r="AP2803" s="3"/>
      <c r="AQ2803" s="3"/>
      <c r="AR2803" s="3"/>
      <c r="AS2803" s="3"/>
      <c r="AT2803" s="3"/>
      <c r="AU2803" s="3"/>
      <c r="AV2803" s="3"/>
      <c r="AW2803" s="3"/>
      <c r="AX2803" s="3"/>
      <c r="AY2803" s="3"/>
      <c r="AZ2803" s="3"/>
      <c r="BA2803" s="5"/>
      <c r="BK2803" s="16"/>
    </row>
    <row r="2804" customFormat="false" ht="12.75" hidden="false" customHeight="false" outlineLevel="0" collapsed="false">
      <c r="B2804" s="14"/>
      <c r="C2804" s="14"/>
      <c r="D2804" s="14"/>
      <c r="E2804" s="14"/>
      <c r="F2804" s="22"/>
      <c r="G2804" s="22"/>
      <c r="BK2804" s="16"/>
    </row>
    <row r="2805" customFormat="false" ht="12.75" hidden="false" customHeight="false" outlineLevel="0" collapsed="false">
      <c r="B2805" s="14"/>
      <c r="C2805" s="14"/>
      <c r="D2805" s="14"/>
      <c r="E2805" s="14"/>
      <c r="F2805" s="22"/>
      <c r="G2805" s="22"/>
      <c r="BK2805" s="16"/>
    </row>
    <row r="2806" customFormat="false" ht="12.75" hidden="false" customHeight="false" outlineLevel="0" collapsed="false">
      <c r="B2806" s="14"/>
      <c r="C2806" s="14"/>
      <c r="D2806" s="14"/>
      <c r="E2806" s="14"/>
      <c r="F2806" s="15"/>
      <c r="G2806" s="15"/>
      <c r="BK2806" s="16"/>
    </row>
    <row r="2807" customFormat="false" ht="12.75" hidden="false" customHeight="false" outlineLevel="0" collapsed="false">
      <c r="B2807" s="14"/>
      <c r="C2807" s="14"/>
      <c r="D2807" s="14"/>
      <c r="E2807" s="14"/>
      <c r="F2807" s="15"/>
      <c r="G2807" s="15"/>
      <c r="BK2807" s="16"/>
    </row>
    <row r="2808" s="23" customFormat="true" ht="12.75" hidden="false" customHeight="false" outlineLevel="0" collapsed="false">
      <c r="A2808" s="1"/>
      <c r="B2808" s="14"/>
      <c r="C2808" s="14"/>
      <c r="D2808" s="14"/>
      <c r="E2808" s="14"/>
      <c r="F2808" s="22"/>
      <c r="G2808" s="22"/>
      <c r="T2808" s="5"/>
      <c r="AP2808" s="3"/>
      <c r="AQ2808" s="3"/>
      <c r="AR2808" s="3"/>
      <c r="AS2808" s="3"/>
      <c r="AT2808" s="3"/>
      <c r="AU2808" s="3"/>
      <c r="AV2808" s="3"/>
      <c r="AW2808" s="3"/>
      <c r="AX2808" s="3"/>
      <c r="AY2808" s="3"/>
      <c r="AZ2808" s="3"/>
      <c r="BA2808" s="5"/>
      <c r="BK2808" s="16"/>
    </row>
    <row r="2809" customFormat="false" ht="12.75" hidden="false" customHeight="false" outlineLevel="0" collapsed="false">
      <c r="B2809" s="14"/>
      <c r="C2809" s="14"/>
      <c r="D2809" s="14"/>
      <c r="E2809" s="14"/>
      <c r="F2809" s="15"/>
      <c r="G2809" s="15"/>
      <c r="BK2809" s="16"/>
    </row>
    <row r="2810" s="23" customFormat="true" ht="12.75" hidden="false" customHeight="false" outlineLevel="0" collapsed="false">
      <c r="A2810" s="1"/>
      <c r="B2810" s="14"/>
      <c r="C2810" s="14"/>
      <c r="D2810" s="14"/>
      <c r="E2810" s="14"/>
      <c r="F2810" s="22"/>
      <c r="G2810" s="22"/>
      <c r="T2810" s="5"/>
      <c r="AP2810" s="3"/>
      <c r="AQ2810" s="3"/>
      <c r="AR2810" s="3"/>
      <c r="AS2810" s="3"/>
      <c r="AT2810" s="3"/>
      <c r="AU2810" s="3"/>
      <c r="AV2810" s="3"/>
      <c r="AW2810" s="3"/>
      <c r="AX2810" s="3"/>
      <c r="AY2810" s="3"/>
      <c r="AZ2810" s="3"/>
      <c r="BA2810" s="5"/>
      <c r="BK2810" s="16"/>
    </row>
    <row r="2811" customFormat="false" ht="12.75" hidden="false" customHeight="false" outlineLevel="0" collapsed="false">
      <c r="B2811" s="14"/>
      <c r="C2811" s="14"/>
      <c r="D2811" s="14"/>
      <c r="E2811" s="14"/>
      <c r="F2811" s="22"/>
      <c r="G2811" s="22"/>
      <c r="BK2811" s="16"/>
    </row>
    <row r="2812" s="23" customFormat="true" ht="12.75" hidden="false" customHeight="false" outlineLevel="0" collapsed="false">
      <c r="A2812" s="1"/>
      <c r="B2812" s="14"/>
      <c r="C2812" s="14"/>
      <c r="D2812" s="14"/>
      <c r="E2812" s="14"/>
      <c r="F2812" s="22"/>
      <c r="G2812" s="22"/>
      <c r="T2812" s="5"/>
      <c r="AP2812" s="3"/>
      <c r="AQ2812" s="3"/>
      <c r="AR2812" s="3"/>
      <c r="AS2812" s="3"/>
      <c r="AT2812" s="3"/>
      <c r="AU2812" s="3"/>
      <c r="AV2812" s="3"/>
      <c r="AW2812" s="3"/>
      <c r="AX2812" s="3"/>
      <c r="AY2812" s="3"/>
      <c r="AZ2812" s="3"/>
      <c r="BA2812" s="5"/>
      <c r="BB2812" s="3"/>
      <c r="BK2812" s="16"/>
    </row>
    <row r="2813" customFormat="false" ht="12.75" hidden="false" customHeight="false" outlineLevel="0" collapsed="false">
      <c r="B2813" s="14"/>
      <c r="C2813" s="14"/>
      <c r="D2813" s="14"/>
      <c r="E2813" s="14"/>
      <c r="F2813" s="15"/>
      <c r="G2813" s="15"/>
      <c r="BK2813" s="16"/>
    </row>
    <row r="2814" customFormat="false" ht="12.75" hidden="false" customHeight="false" outlineLevel="0" collapsed="false">
      <c r="B2814" s="14"/>
      <c r="C2814" s="14"/>
      <c r="D2814" s="14"/>
      <c r="E2814" s="14"/>
      <c r="F2814" s="15"/>
      <c r="G2814" s="15"/>
      <c r="BK2814" s="16"/>
    </row>
    <row r="2815" s="23" customFormat="true" ht="12.75" hidden="false" customHeight="false" outlineLevel="0" collapsed="false">
      <c r="A2815" s="1"/>
      <c r="B2815" s="14"/>
      <c r="C2815" s="14"/>
      <c r="D2815" s="14"/>
      <c r="E2815" s="14"/>
      <c r="F2815" s="22"/>
      <c r="G2815" s="22"/>
      <c r="T2815" s="5"/>
      <c r="AP2815" s="3"/>
      <c r="AQ2815" s="3"/>
      <c r="AR2815" s="3"/>
      <c r="AS2815" s="3"/>
      <c r="AT2815" s="3"/>
      <c r="AU2815" s="3"/>
      <c r="AV2815" s="3"/>
      <c r="AW2815" s="3"/>
      <c r="AX2815" s="3"/>
      <c r="AY2815" s="3"/>
      <c r="AZ2815" s="3"/>
      <c r="BA2815" s="5"/>
      <c r="BK2815" s="16"/>
    </row>
    <row r="2816" customFormat="false" ht="12.75" hidden="false" customHeight="false" outlineLevel="0" collapsed="false">
      <c r="B2816" s="14"/>
      <c r="C2816" s="14"/>
      <c r="D2816" s="14"/>
      <c r="E2816" s="14"/>
      <c r="F2816" s="15"/>
      <c r="G2816" s="15"/>
      <c r="BK2816" s="16"/>
    </row>
    <row r="2817" customFormat="false" ht="12.75" hidden="false" customHeight="false" outlineLevel="0" collapsed="false">
      <c r="B2817" s="14"/>
      <c r="C2817" s="14"/>
      <c r="D2817" s="14"/>
      <c r="E2817" s="14"/>
      <c r="F2817" s="15"/>
      <c r="G2817" s="15"/>
      <c r="BK2817" s="16"/>
    </row>
    <row r="2818" customFormat="false" ht="12.75" hidden="false" customHeight="false" outlineLevel="0" collapsed="false">
      <c r="B2818" s="14"/>
      <c r="C2818" s="14"/>
      <c r="D2818" s="14"/>
      <c r="E2818" s="14"/>
      <c r="F2818" s="22"/>
      <c r="G2818" s="15"/>
      <c r="BK2818" s="16"/>
    </row>
    <row r="2819" customFormat="false" ht="12.75" hidden="false" customHeight="false" outlineLevel="0" collapsed="false">
      <c r="B2819" s="14"/>
      <c r="C2819" s="14"/>
      <c r="D2819" s="14"/>
      <c r="E2819" s="14"/>
      <c r="F2819" s="15"/>
      <c r="G2819" s="15"/>
      <c r="BK2819" s="16"/>
    </row>
    <row r="2820" customFormat="false" ht="12.75" hidden="false" customHeight="false" outlineLevel="0" collapsed="false">
      <c r="B2820" s="14"/>
      <c r="C2820" s="14"/>
      <c r="D2820" s="14"/>
      <c r="E2820" s="14"/>
      <c r="F2820" s="22"/>
      <c r="G2820" s="22"/>
      <c r="BK2820" s="16"/>
    </row>
    <row r="2821" customFormat="false" ht="12.75" hidden="false" customHeight="false" outlineLevel="0" collapsed="false">
      <c r="B2821" s="14"/>
      <c r="C2821" s="14"/>
      <c r="D2821" s="14"/>
      <c r="E2821" s="14"/>
      <c r="F2821" s="15"/>
      <c r="G2821" s="15"/>
      <c r="BK2821" s="16"/>
    </row>
    <row r="2822" s="23" customFormat="true" ht="12.75" hidden="false" customHeight="false" outlineLevel="0" collapsed="false">
      <c r="A2822" s="1"/>
      <c r="B2822" s="14"/>
      <c r="C2822" s="14"/>
      <c r="D2822" s="14"/>
      <c r="E2822" s="14"/>
      <c r="F2822" s="22"/>
      <c r="G2822" s="22"/>
      <c r="T2822" s="5"/>
      <c r="AP2822" s="3"/>
      <c r="AQ2822" s="3"/>
      <c r="AR2822" s="3"/>
      <c r="AS2822" s="3"/>
      <c r="AT2822" s="3"/>
      <c r="AU2822" s="3"/>
      <c r="AV2822" s="3"/>
      <c r="AW2822" s="3"/>
      <c r="AX2822" s="3"/>
      <c r="AY2822" s="3"/>
      <c r="AZ2822" s="3"/>
      <c r="BA2822" s="5"/>
      <c r="BB2822" s="3"/>
      <c r="BK2822" s="16"/>
    </row>
    <row r="2823" s="23" customFormat="true" ht="12.75" hidden="false" customHeight="false" outlineLevel="0" collapsed="false">
      <c r="A2823" s="1"/>
      <c r="B2823" s="14"/>
      <c r="C2823" s="14"/>
      <c r="D2823" s="14"/>
      <c r="E2823" s="14"/>
      <c r="F2823" s="22"/>
      <c r="G2823" s="22"/>
      <c r="T2823" s="5"/>
      <c r="AP2823" s="3"/>
      <c r="AQ2823" s="3"/>
      <c r="AR2823" s="3"/>
      <c r="AS2823" s="3"/>
      <c r="AT2823" s="3"/>
      <c r="AU2823" s="3"/>
      <c r="AV2823" s="3"/>
      <c r="AW2823" s="3"/>
      <c r="AX2823" s="3"/>
      <c r="AY2823" s="3"/>
      <c r="AZ2823" s="3"/>
      <c r="BA2823" s="5"/>
      <c r="BB2823" s="3"/>
      <c r="BK2823" s="16"/>
    </row>
    <row r="2824" s="23" customFormat="true" ht="12.75" hidden="false" customHeight="false" outlineLevel="0" collapsed="false">
      <c r="A2824" s="1"/>
      <c r="B2824" s="14"/>
      <c r="C2824" s="14"/>
      <c r="D2824" s="14"/>
      <c r="E2824" s="14"/>
      <c r="F2824" s="22"/>
      <c r="G2824" s="22"/>
      <c r="T2824" s="5"/>
      <c r="AP2824" s="3"/>
      <c r="AQ2824" s="3"/>
      <c r="AR2824" s="3"/>
      <c r="AS2824" s="3"/>
      <c r="AT2824" s="3"/>
      <c r="AU2824" s="3"/>
      <c r="AV2824" s="3"/>
      <c r="AW2824" s="3"/>
      <c r="AX2824" s="3"/>
      <c r="AY2824" s="3"/>
      <c r="AZ2824" s="3"/>
      <c r="BA2824" s="5"/>
      <c r="BB2824" s="3"/>
      <c r="BK2824" s="16"/>
    </row>
    <row r="2825" customFormat="false" ht="12.75" hidden="false" customHeight="false" outlineLevel="0" collapsed="false">
      <c r="B2825" s="14"/>
      <c r="C2825" s="14"/>
      <c r="D2825" s="14"/>
      <c r="E2825" s="14"/>
      <c r="F2825" s="22"/>
      <c r="G2825" s="22"/>
      <c r="BK2825" s="16"/>
    </row>
    <row r="2826" s="23" customFormat="true" ht="12.75" hidden="false" customHeight="false" outlineLevel="0" collapsed="false">
      <c r="A2826" s="1"/>
      <c r="B2826" s="14"/>
      <c r="C2826" s="14"/>
      <c r="D2826" s="14"/>
      <c r="E2826" s="14"/>
      <c r="F2826" s="22"/>
      <c r="G2826" s="22"/>
      <c r="T2826" s="5"/>
      <c r="AP2826" s="3"/>
      <c r="AQ2826" s="3"/>
      <c r="AR2826" s="3"/>
      <c r="AS2826" s="3"/>
      <c r="AT2826" s="3"/>
      <c r="AU2826" s="3"/>
      <c r="AV2826" s="3"/>
      <c r="AW2826" s="3"/>
      <c r="AX2826" s="3"/>
      <c r="AY2826" s="3"/>
      <c r="AZ2826" s="3"/>
      <c r="BA2826" s="5"/>
      <c r="BB2826" s="3"/>
      <c r="BK2826" s="16"/>
    </row>
    <row r="2827" s="23" customFormat="true" ht="12.75" hidden="false" customHeight="false" outlineLevel="0" collapsed="false">
      <c r="A2827" s="1"/>
      <c r="B2827" s="14"/>
      <c r="C2827" s="14"/>
      <c r="D2827" s="14"/>
      <c r="E2827" s="14"/>
      <c r="F2827" s="22"/>
      <c r="G2827" s="22"/>
      <c r="T2827" s="5"/>
      <c r="AP2827" s="3"/>
      <c r="AQ2827" s="3"/>
      <c r="AR2827" s="3"/>
      <c r="AS2827" s="3"/>
      <c r="AT2827" s="3"/>
      <c r="AU2827" s="3"/>
      <c r="AV2827" s="3"/>
      <c r="AW2827" s="3"/>
      <c r="AX2827" s="3"/>
      <c r="AY2827" s="3"/>
      <c r="AZ2827" s="3"/>
      <c r="BA2827" s="5"/>
      <c r="BB2827" s="3"/>
      <c r="BK2827" s="16"/>
    </row>
    <row r="2828" s="23" customFormat="true" ht="12.75" hidden="false" customHeight="false" outlineLevel="0" collapsed="false">
      <c r="A2828" s="1"/>
      <c r="B2828" s="14"/>
      <c r="C2828" s="14"/>
      <c r="D2828" s="14"/>
      <c r="E2828" s="14"/>
      <c r="F2828" s="22"/>
      <c r="G2828" s="22"/>
      <c r="T2828" s="5"/>
      <c r="V2828" s="3"/>
      <c r="W2828" s="3"/>
      <c r="X2828" s="3"/>
      <c r="Y2828" s="3"/>
      <c r="Z2828" s="3"/>
      <c r="AA2828" s="3"/>
      <c r="AB2828" s="3"/>
      <c r="AP2828" s="3"/>
      <c r="AQ2828" s="3"/>
      <c r="AR2828" s="3"/>
      <c r="AS2828" s="3"/>
      <c r="AT2828" s="3"/>
      <c r="AU2828" s="3"/>
      <c r="AV2828" s="3"/>
      <c r="AW2828" s="3"/>
      <c r="AX2828" s="3"/>
      <c r="AY2828" s="3"/>
      <c r="AZ2828" s="3"/>
      <c r="BA2828" s="5"/>
      <c r="BB2828" s="3"/>
      <c r="BK2828" s="16"/>
    </row>
    <row r="2829" customFormat="false" ht="12.75" hidden="false" customHeight="false" outlineLevel="0" collapsed="false">
      <c r="B2829" s="14"/>
      <c r="C2829" s="14"/>
      <c r="D2829" s="14"/>
      <c r="E2829" s="14"/>
      <c r="F2829" s="22"/>
      <c r="G2829" s="22"/>
      <c r="BK2829" s="16"/>
    </row>
    <row r="2830" s="23" customFormat="true" ht="12.75" hidden="false" customHeight="false" outlineLevel="0" collapsed="false">
      <c r="A2830" s="1"/>
      <c r="B2830" s="14"/>
      <c r="C2830" s="14"/>
      <c r="D2830" s="14"/>
      <c r="E2830" s="14"/>
      <c r="F2830" s="22"/>
      <c r="G2830" s="22"/>
      <c r="T2830" s="5"/>
      <c r="AP2830" s="3"/>
      <c r="AQ2830" s="3"/>
      <c r="AR2830" s="3"/>
      <c r="AS2830" s="3"/>
      <c r="AT2830" s="3"/>
      <c r="AU2830" s="3"/>
      <c r="AV2830" s="3"/>
      <c r="AW2830" s="3"/>
      <c r="AX2830" s="3"/>
      <c r="AY2830" s="3"/>
      <c r="AZ2830" s="3"/>
      <c r="BA2830" s="5"/>
      <c r="BB2830" s="3"/>
      <c r="BK2830" s="16"/>
    </row>
    <row r="2831" customFormat="false" ht="12.75" hidden="false" customHeight="false" outlineLevel="0" collapsed="false">
      <c r="B2831" s="14"/>
      <c r="C2831" s="14"/>
      <c r="D2831" s="14"/>
      <c r="E2831" s="14"/>
      <c r="F2831" s="15"/>
      <c r="G2831" s="15"/>
      <c r="BK2831" s="16"/>
    </row>
    <row r="2832" s="11" customFormat="true" ht="12.75" hidden="false" customHeight="false" outlineLevel="0" collapsed="false">
      <c r="A2832" s="7"/>
      <c r="B2832" s="53"/>
      <c r="C2832" s="53"/>
      <c r="D2832" s="53"/>
      <c r="E2832" s="53"/>
      <c r="F2832" s="53"/>
      <c r="G2832" s="53"/>
      <c r="T2832" s="54"/>
      <c r="BA2832" s="54"/>
      <c r="BK2832" s="13"/>
    </row>
    <row r="2833" s="23" customFormat="true" ht="12.75" hidden="false" customHeight="false" outlineLevel="0" collapsed="false">
      <c r="A2833" s="1"/>
      <c r="B2833" s="14"/>
      <c r="C2833" s="14"/>
      <c r="D2833" s="14"/>
      <c r="E2833" s="14"/>
      <c r="F2833" s="22"/>
      <c r="G2833" s="22"/>
      <c r="T2833" s="5"/>
      <c r="AP2833" s="3"/>
      <c r="AQ2833" s="3"/>
      <c r="AR2833" s="3"/>
      <c r="AS2833" s="3"/>
      <c r="AT2833" s="3"/>
      <c r="AU2833" s="3"/>
      <c r="AV2833" s="3"/>
      <c r="AW2833" s="3"/>
      <c r="AX2833" s="3"/>
      <c r="AY2833" s="3"/>
      <c r="AZ2833" s="3"/>
      <c r="BA2833" s="5"/>
      <c r="BB2833" s="3"/>
      <c r="BK2833" s="16"/>
    </row>
    <row r="2834" s="23" customFormat="true" ht="12.75" hidden="false" customHeight="false" outlineLevel="0" collapsed="false">
      <c r="A2834" s="1"/>
      <c r="B2834" s="14"/>
      <c r="C2834" s="14"/>
      <c r="D2834" s="14"/>
      <c r="E2834" s="14"/>
      <c r="F2834" s="22"/>
      <c r="G2834" s="22"/>
      <c r="T2834" s="5"/>
      <c r="AP2834" s="3"/>
      <c r="AQ2834" s="3"/>
      <c r="AR2834" s="3"/>
      <c r="AS2834" s="3"/>
      <c r="AT2834" s="3"/>
      <c r="AU2834" s="3"/>
      <c r="AV2834" s="3"/>
      <c r="AW2834" s="3"/>
      <c r="AX2834" s="3"/>
      <c r="AY2834" s="3"/>
      <c r="AZ2834" s="3"/>
      <c r="BA2834" s="5"/>
      <c r="BB2834" s="3"/>
      <c r="BK2834" s="16"/>
    </row>
    <row r="2835" customFormat="false" ht="12.75" hidden="false" customHeight="false" outlineLevel="0" collapsed="false">
      <c r="B2835" s="14"/>
      <c r="C2835" s="14"/>
      <c r="D2835" s="14"/>
      <c r="E2835" s="14"/>
      <c r="F2835" s="15"/>
      <c r="G2835" s="15"/>
      <c r="BK2835" s="16"/>
    </row>
    <row r="2836" customFormat="false" ht="12.75" hidden="false" customHeight="false" outlineLevel="0" collapsed="false">
      <c r="B2836" s="14"/>
      <c r="C2836" s="14"/>
      <c r="D2836" s="14"/>
      <c r="E2836" s="14"/>
      <c r="F2836" s="15"/>
      <c r="G2836" s="15"/>
      <c r="BK2836" s="16"/>
    </row>
    <row r="2837" s="23" customFormat="true" ht="12.75" hidden="false" customHeight="false" outlineLevel="0" collapsed="false">
      <c r="A2837" s="1"/>
      <c r="B2837" s="14"/>
      <c r="C2837" s="14"/>
      <c r="D2837" s="14"/>
      <c r="E2837" s="14"/>
      <c r="F2837" s="22"/>
      <c r="G2837" s="22"/>
      <c r="T2837" s="5"/>
      <c r="AP2837" s="3"/>
      <c r="AQ2837" s="3"/>
      <c r="AR2837" s="3"/>
      <c r="AS2837" s="3"/>
      <c r="AT2837" s="3"/>
      <c r="AU2837" s="3"/>
      <c r="AV2837" s="3"/>
      <c r="AW2837" s="3"/>
      <c r="AX2837" s="3"/>
      <c r="AY2837" s="3"/>
      <c r="AZ2837" s="3"/>
      <c r="BA2837" s="5"/>
      <c r="BB2837" s="3"/>
      <c r="BK2837" s="16"/>
    </row>
    <row r="2838" customFormat="false" ht="12.75" hidden="false" customHeight="false" outlineLevel="0" collapsed="false">
      <c r="B2838" s="14"/>
      <c r="C2838" s="14"/>
      <c r="D2838" s="14"/>
      <c r="E2838" s="14"/>
      <c r="F2838" s="15"/>
      <c r="G2838" s="15"/>
      <c r="BK2838" s="16"/>
    </row>
    <row r="2839" s="23" customFormat="true" ht="12.75" hidden="false" customHeight="false" outlineLevel="0" collapsed="false">
      <c r="A2839" s="1"/>
      <c r="B2839" s="14"/>
      <c r="C2839" s="14"/>
      <c r="D2839" s="14"/>
      <c r="E2839" s="14"/>
      <c r="F2839" s="22"/>
      <c r="G2839" s="22"/>
      <c r="T2839" s="5"/>
      <c r="AP2839" s="3"/>
      <c r="AQ2839" s="3"/>
      <c r="AR2839" s="3"/>
      <c r="AS2839" s="3"/>
      <c r="AT2839" s="3"/>
      <c r="AU2839" s="3"/>
      <c r="AV2839" s="3"/>
      <c r="AW2839" s="3"/>
      <c r="AX2839" s="3"/>
      <c r="AY2839" s="3"/>
      <c r="AZ2839" s="3"/>
      <c r="BA2839" s="5"/>
      <c r="BB2839" s="3"/>
      <c r="BK2839" s="16"/>
    </row>
    <row r="2840" customFormat="false" ht="12.75" hidden="false" customHeight="false" outlineLevel="0" collapsed="false">
      <c r="B2840" s="14"/>
      <c r="C2840" s="14"/>
      <c r="D2840" s="14"/>
      <c r="E2840" s="14"/>
      <c r="F2840" s="15"/>
      <c r="G2840" s="15"/>
      <c r="BK2840" s="16"/>
    </row>
    <row r="2841" customFormat="false" ht="12.75" hidden="false" customHeight="false" outlineLevel="0" collapsed="false">
      <c r="B2841" s="14"/>
      <c r="C2841" s="14"/>
      <c r="D2841" s="14"/>
      <c r="E2841" s="14"/>
      <c r="F2841" s="15"/>
      <c r="G2841" s="15"/>
      <c r="BK2841" s="16"/>
    </row>
    <row r="2842" customFormat="false" ht="12.75" hidden="false" customHeight="false" outlineLevel="0" collapsed="false">
      <c r="B2842" s="14"/>
      <c r="C2842" s="14"/>
      <c r="D2842" s="14"/>
      <c r="E2842" s="14"/>
      <c r="F2842" s="22"/>
      <c r="G2842" s="22"/>
      <c r="BK2842" s="16"/>
    </row>
    <row r="2843" customFormat="false" ht="12.75" hidden="false" customHeight="false" outlineLevel="0" collapsed="false">
      <c r="B2843" s="14"/>
      <c r="C2843" s="14"/>
      <c r="D2843" s="14"/>
      <c r="E2843" s="14"/>
      <c r="F2843" s="15"/>
      <c r="G2843" s="15"/>
      <c r="BK2843" s="16"/>
    </row>
    <row r="2844" customFormat="false" ht="12.75" hidden="false" customHeight="false" outlineLevel="0" collapsed="false"/>
    <row r="2845" customFormat="false" ht="12.75" hidden="false" customHeight="false" outlineLevel="0" collapsed="false"/>
    <row r="2846" customFormat="false" ht="12.75" hidden="false" customHeight="false" outlineLevel="0" collapsed="false"/>
    <row r="2847" customFormat="false" ht="12.75" hidden="false" customHeight="false" outlineLevel="0" collapsed="false"/>
    <row r="2848" customFormat="false" ht="12.75" hidden="false" customHeight="false" outlineLevel="0" collapsed="false"/>
    <row r="2849" customFormat="false" ht="12.75" hidden="false" customHeight="false" outlineLevel="0" collapsed="false"/>
    <row r="2850" customFormat="false" ht="12.75" hidden="false" customHeight="false" outlineLevel="0" collapsed="false"/>
    <row r="2851" customFormat="false" ht="12.75" hidden="false" customHeight="false" outlineLevel="0" collapsed="false"/>
    <row r="2852" customFormat="false" ht="12.75" hidden="false" customHeight="false" outlineLevel="0" collapsed="false"/>
    <row r="2853" customFormat="false" ht="12.75" hidden="false" customHeight="false" outlineLevel="0" collapsed="false"/>
    <row r="2854" customFormat="false" ht="12.75" hidden="false" customHeight="false" outlineLevel="0" collapsed="false"/>
    <row r="2855" customFormat="false" ht="12.75" hidden="false" customHeight="false" outlineLevel="0" collapsed="false"/>
    <row r="2856" customFormat="false" ht="12.75" hidden="false" customHeight="false" outlineLevel="0" collapsed="false"/>
    <row r="2857" customFormat="false" ht="12.75" hidden="false" customHeight="false" outlineLevel="0" collapsed="false"/>
    <row r="2858" customFormat="false" ht="12.75" hidden="false" customHeight="false" outlineLevel="0" collapsed="false"/>
    <row r="2859" customFormat="false" ht="12.75" hidden="false" customHeight="false" outlineLevel="0" collapsed="false"/>
    <row r="2860" customFormat="false" ht="12.75" hidden="false" customHeight="false" outlineLevel="0" collapsed="false"/>
    <row r="2861" customFormat="false" ht="12.75" hidden="false" customHeight="false" outlineLevel="0" collapsed="false"/>
    <row r="2862" customFormat="false" ht="12.75" hidden="false" customHeight="false" outlineLevel="0" collapsed="false"/>
    <row r="2863" customFormat="false" ht="12.75" hidden="false" customHeight="false" outlineLevel="0" collapsed="false"/>
    <row r="2864" customFormat="false" ht="12.75" hidden="false" customHeight="false" outlineLevel="0" collapsed="false"/>
    <row r="2865" customFormat="false" ht="12.75" hidden="false" customHeight="false" outlineLevel="0" collapsed="false"/>
    <row r="2866" customFormat="false" ht="12.75" hidden="false" customHeight="false" outlineLevel="0" collapsed="false"/>
    <row r="2867" customFormat="false" ht="12.75" hidden="false" customHeight="false" outlineLevel="0" collapsed="false"/>
    <row r="2868" customFormat="false" ht="12.75" hidden="false" customHeight="false" outlineLevel="0" collapsed="false"/>
    <row r="2869" customFormat="false" ht="12.75" hidden="false" customHeight="false" outlineLevel="0" collapsed="false"/>
    <row r="2870" customFormat="false" ht="12" hidden="false" customHeight="true" outlineLevel="0" collapsed="false"/>
    <row r="2871" customFormat="false" ht="12.75" hidden="false" customHeight="false" outlineLevel="0" collapsed="false"/>
    <row r="2872" customFormat="false" ht="12.75" hidden="false" customHeight="false" outlineLevel="0" collapsed="false"/>
    <row r="2873" customFormat="false" ht="12.75" hidden="false" customHeight="false" outlineLevel="0" collapsed="false"/>
    <row r="2874" customFormat="false" ht="12.75" hidden="false" customHeight="false" outlineLevel="0" collapsed="false"/>
    <row r="2875" customFormat="false" ht="12.75" hidden="false" customHeight="false" outlineLevel="0" collapsed="false"/>
    <row r="2876" customFormat="false" ht="12.75" hidden="false" customHeight="false" outlineLevel="0" collapsed="false"/>
    <row r="2877" customFormat="false" ht="12.75" hidden="false" customHeight="false" outlineLevel="0" collapsed="false"/>
    <row r="2878" customFormat="false" ht="12.75" hidden="false" customHeight="false" outlineLevel="0" collapsed="false"/>
    <row r="2879" customFormat="false" ht="12.75" hidden="false" customHeight="false" outlineLevel="0" collapsed="false"/>
    <row r="2880" customFormat="false" ht="12.75" hidden="false" customHeight="false" outlineLevel="0" collapsed="false"/>
    <row r="2881" customFormat="false" ht="12.75" hidden="false" customHeight="false" outlineLevel="0" collapsed="false"/>
    <row r="2882" customFormat="false" ht="12.75" hidden="false" customHeight="false" outlineLevel="0" collapsed="false"/>
    <row r="2883" customFormat="false" ht="12.75" hidden="false" customHeight="false" outlineLevel="0" collapsed="false"/>
    <row r="2884" customFormat="false" ht="12.75" hidden="false" customHeight="false" outlineLevel="0" collapsed="false"/>
    <row r="2885" customFormat="false" ht="12.75" hidden="false" customHeight="false" outlineLevel="0" collapsed="false"/>
    <row r="2886" customFormat="false" ht="12.75" hidden="false" customHeight="false" outlineLevel="0" collapsed="false"/>
    <row r="2887" customFormat="false" ht="12.75" hidden="false" customHeight="false" outlineLevel="0" collapsed="false"/>
    <row r="2888" customFormat="false" ht="12.75" hidden="false" customHeight="false" outlineLevel="0" collapsed="false"/>
    <row r="2889" customFormat="false" ht="12.75" hidden="false" customHeight="false" outlineLevel="0" collapsed="false"/>
    <row r="2890" customFormat="false" ht="12.75" hidden="false" customHeight="false" outlineLevel="0" collapsed="false"/>
    <row r="2891" customFormat="false" ht="12.75" hidden="false" customHeight="false" outlineLevel="0" collapsed="false"/>
    <row r="2892" customFormat="false" ht="12.75" hidden="false" customHeight="false" outlineLevel="0" collapsed="false"/>
    <row r="2893" customFormat="false" ht="12.75" hidden="false" customHeight="false" outlineLevel="0" collapsed="false"/>
    <row r="2894" customFormat="false" ht="12.75" hidden="false" customHeight="false" outlineLevel="0" collapsed="false"/>
    <row r="2895" customFormat="false" ht="12.75" hidden="false" customHeight="false" outlineLevel="0" collapsed="false"/>
    <row r="2896" customFormat="false" ht="12.75" hidden="false" customHeight="false" outlineLevel="0" collapsed="false"/>
    <row r="2897" customFormat="false" ht="12.75" hidden="false" customHeight="false" outlineLevel="0" collapsed="false"/>
    <row r="2898" customFormat="false" ht="12.75" hidden="false" customHeight="false" outlineLevel="0" collapsed="false"/>
    <row r="2899" customFormat="false" ht="12.75" hidden="false" customHeight="false" outlineLevel="0" collapsed="false"/>
    <row r="2900" customFormat="false" ht="12.75" hidden="false" customHeight="false" outlineLevel="0" collapsed="false"/>
    <row r="2901" customFormat="false" ht="12.75" hidden="false" customHeight="false" outlineLevel="0" collapsed="false"/>
    <row r="2902" customFormat="false" ht="12.75" hidden="false" customHeight="false" outlineLevel="0" collapsed="false"/>
    <row r="2903" customFormat="false" ht="12.75" hidden="false" customHeight="false" outlineLevel="0" collapsed="false"/>
    <row r="2904" customFormat="false" ht="12.75" hidden="false" customHeight="false" outlineLevel="0" collapsed="false"/>
    <row r="2905" customFormat="false" ht="12.75" hidden="false" customHeight="false" outlineLevel="0" collapsed="false"/>
    <row r="2906" customFormat="false" ht="12.75" hidden="false" customHeight="false" outlineLevel="0" collapsed="false"/>
    <row r="2907" customFormat="false" ht="12.75" hidden="false" customHeight="false" outlineLevel="0" collapsed="false"/>
    <row r="2908" customFormat="false" ht="12.75" hidden="false" customHeight="false" outlineLevel="0" collapsed="false"/>
    <row r="2909" customFormat="false" ht="12.75" hidden="false" customHeight="false" outlineLevel="0" collapsed="false"/>
    <row r="2910" customFormat="false" ht="12.75" hidden="false" customHeight="false" outlineLevel="0" collapsed="false"/>
    <row r="2911" customFormat="false" ht="12.75" hidden="false" customHeight="false" outlineLevel="0" collapsed="false"/>
    <row r="2912" customFormat="false" ht="12.75" hidden="false" customHeight="false" outlineLevel="0" collapsed="false"/>
    <row r="2913" customFormat="false" ht="12.75" hidden="false" customHeight="false" outlineLevel="0" collapsed="false"/>
    <row r="2914" customFormat="false" ht="12.75" hidden="false" customHeight="false" outlineLevel="0" collapsed="false"/>
    <row r="2915" customFormat="false" ht="12.75" hidden="false" customHeight="false" outlineLevel="0" collapsed="false"/>
    <row r="2916" customFormat="false" ht="12.75" hidden="false" customHeight="false" outlineLevel="0" collapsed="false"/>
    <row r="2917" customFormat="false" ht="12.75" hidden="false" customHeight="false" outlineLevel="0" collapsed="false"/>
    <row r="2918" customFormat="false" ht="12.75" hidden="false" customHeight="false" outlineLevel="0" collapsed="false"/>
    <row r="2919" customFormat="false" ht="12.75" hidden="false" customHeight="false" outlineLevel="0" collapsed="false"/>
    <row r="2920" customFormat="false" ht="12.75" hidden="false" customHeight="false" outlineLevel="0" collapsed="false"/>
    <row r="2921" customFormat="false" ht="12.75" hidden="false" customHeight="false" outlineLevel="0" collapsed="false"/>
    <row r="2922" customFormat="false" ht="12.75" hidden="false" customHeight="false" outlineLevel="0" collapsed="false"/>
    <row r="2923" customFormat="false" ht="12.75" hidden="false" customHeight="false" outlineLevel="0" collapsed="false"/>
    <row r="2924" customFormat="false" ht="12.75" hidden="false" customHeight="false" outlineLevel="0" collapsed="false"/>
    <row r="2925" customFormat="false" ht="12.75" hidden="false" customHeight="false" outlineLevel="0" collapsed="false"/>
    <row r="2926" customFormat="false" ht="12.75" hidden="false" customHeight="false" outlineLevel="0" collapsed="false"/>
    <row r="2927" customFormat="false" ht="12.75" hidden="false" customHeight="false" outlineLevel="0" collapsed="false"/>
    <row r="2928" customFormat="false" ht="12.75" hidden="false" customHeight="false" outlineLevel="0" collapsed="false"/>
    <row r="2929" customFormat="false" ht="12.75" hidden="false" customHeight="false" outlineLevel="0" collapsed="false"/>
    <row r="2930" customFormat="false" ht="12.75" hidden="false" customHeight="false" outlineLevel="0" collapsed="false"/>
    <row r="2931" customFormat="false" ht="12.75" hidden="false" customHeight="false" outlineLevel="0" collapsed="false"/>
    <row r="2932" customFormat="false" ht="12.75" hidden="false" customHeight="false" outlineLevel="0" collapsed="false"/>
    <row r="2933" customFormat="false" ht="12.75" hidden="false" customHeight="false" outlineLevel="0" collapsed="false"/>
    <row r="2935" customFormat="false" ht="12.75" hidden="false" customHeight="false" outlineLevel="0" collapsed="false"/>
    <row r="2936" customFormat="false" ht="12.75" hidden="false" customHeight="false" outlineLevel="0" collapsed="false"/>
    <row r="2937" customFormat="false" ht="12.75" hidden="false" customHeight="false" outlineLevel="0" collapsed="false"/>
    <row r="2938" customFormat="false" ht="12.75" hidden="false" customHeight="false" outlineLevel="0" collapsed="false"/>
    <row r="2939" customFormat="false" ht="12.75" hidden="false" customHeight="false" outlineLevel="0" collapsed="false"/>
    <row r="2940" customFormat="false" ht="12.75" hidden="false" customHeight="false" outlineLevel="0" collapsed="false"/>
    <row r="2941" customFormat="false" ht="12.75" hidden="false" customHeight="false" outlineLevel="0" collapsed="false"/>
    <row r="2942" customFormat="false" ht="12.75" hidden="false" customHeight="false" outlineLevel="0" collapsed="false"/>
    <row r="2943" customFormat="false" ht="12.75" hidden="false" customHeight="false" outlineLevel="0" collapsed="false"/>
    <row r="2944" customFormat="false" ht="12.75" hidden="false" customHeight="false" outlineLevel="0" collapsed="false"/>
    <row r="2945" customFormat="false" ht="12.75" hidden="false" customHeight="false" outlineLevel="0" collapsed="false"/>
    <row r="2946" customFormat="false" ht="12.75" hidden="false" customHeight="false" outlineLevel="0" collapsed="false"/>
    <row r="2947" customFormat="false" ht="12.75" hidden="false" customHeight="false" outlineLevel="0" collapsed="false"/>
    <row r="2948" customFormat="false" ht="12.75" hidden="false" customHeight="false" outlineLevel="0" collapsed="false"/>
    <row r="2949" customFormat="false" ht="12.75" hidden="false" customHeight="false" outlineLevel="0" collapsed="false"/>
    <row r="2950" customFormat="false" ht="12.75" hidden="false" customHeight="false" outlineLevel="0" collapsed="false"/>
    <row r="2951" customFormat="false" ht="12.75" hidden="false" customHeight="false" outlineLevel="0" collapsed="false"/>
    <row r="2952" customFormat="false" ht="12.75" hidden="false" customHeight="false" outlineLevel="0" collapsed="false"/>
    <row r="2953" customFormat="false" ht="12.75" hidden="false" customHeight="false" outlineLevel="0" collapsed="false"/>
    <row r="2954" customFormat="false" ht="12.75" hidden="false" customHeight="false" outlineLevel="0" collapsed="false"/>
    <row r="2955" customFormat="false" ht="12.75" hidden="false" customHeight="false" outlineLevel="0" collapsed="false"/>
    <row r="2956" customFormat="false" ht="12.75" hidden="false" customHeight="false" outlineLevel="0" collapsed="false"/>
    <row r="2957" customFormat="false" ht="12.75" hidden="false" customHeight="false" outlineLevel="0" collapsed="false"/>
    <row r="2958" customFormat="false" ht="12.75" hidden="false" customHeight="false" outlineLevel="0" collapsed="false"/>
    <row r="2959" customFormat="false" ht="12.75" hidden="false" customHeight="false" outlineLevel="0" collapsed="false"/>
    <row r="2960" customFormat="false" ht="12.75" hidden="false" customHeight="false" outlineLevel="0" collapsed="false"/>
    <row r="2961" customFormat="false" ht="12.75" hidden="false" customHeight="false" outlineLevel="0" collapsed="false"/>
    <row r="2962" customFormat="false" ht="12.75" hidden="false" customHeight="false" outlineLevel="0" collapsed="false"/>
    <row r="2963" customFormat="false" ht="12.75" hidden="false" customHeight="false" outlineLevel="0" collapsed="false"/>
    <row r="2964" customFormat="false" ht="12.75" hidden="false" customHeight="false" outlineLevel="0" collapsed="false"/>
    <row r="2965" customFormat="false" ht="12.75" hidden="false" customHeight="false" outlineLevel="0" collapsed="false"/>
    <row r="2966" customFormat="false" ht="12.75" hidden="false" customHeight="false" outlineLevel="0" collapsed="false"/>
    <row r="2967" customFormat="false" ht="12.75" hidden="false" customHeight="false" outlineLevel="0" collapsed="false"/>
    <row r="2968" customFormat="false" ht="12.75" hidden="false" customHeight="false" outlineLevel="0" collapsed="false"/>
    <row r="2969" customFormat="false" ht="12.75" hidden="false" customHeight="false" outlineLevel="0" collapsed="false"/>
    <row r="2970" customFormat="false" ht="12.75" hidden="false" customHeight="false" outlineLevel="0" collapsed="false"/>
    <row r="2971" customFormat="false" ht="12.75" hidden="false" customHeight="false" outlineLevel="0" collapsed="false"/>
    <row r="2972" customFormat="false" ht="12.75" hidden="false" customHeight="false" outlineLevel="0" collapsed="false"/>
    <row r="2973" customFormat="false" ht="12.75" hidden="false" customHeight="false" outlineLevel="0" collapsed="false"/>
    <row r="2974" customFormat="false" ht="12.75" hidden="false" customHeight="false" outlineLevel="0" collapsed="false"/>
    <row r="2975" customFormat="false" ht="12.75" hidden="false" customHeight="false" outlineLevel="0" collapsed="false"/>
    <row r="2976" customFormat="false" ht="12.75" hidden="false" customHeight="false" outlineLevel="0" collapsed="false"/>
    <row r="2977" customFormat="false" ht="12.75" hidden="false" customHeight="false" outlineLevel="0" collapsed="false"/>
    <row r="2978" customFormat="false" ht="12.75" hidden="false" customHeight="false" outlineLevel="0" collapsed="false"/>
    <row r="2979" customFormat="false" ht="12.75" hidden="false" customHeight="false" outlineLevel="0" collapsed="false"/>
    <row r="2980" customFormat="false" ht="12.75" hidden="false" customHeight="false" outlineLevel="0" collapsed="false"/>
    <row r="2981" customFormat="false" ht="12.75" hidden="false" customHeight="false" outlineLevel="0" collapsed="false"/>
    <row r="2982" customFormat="false" ht="12.75" hidden="false" customHeight="false" outlineLevel="0" collapsed="false"/>
    <row r="2983" customFormat="false" ht="12.75" hidden="false" customHeight="false" outlineLevel="0" collapsed="false"/>
    <row r="2984" customFormat="false" ht="12.75" hidden="false" customHeight="false" outlineLevel="0" collapsed="false"/>
    <row r="2985" customFormat="false" ht="12.75" hidden="false" customHeight="false" outlineLevel="0" collapsed="false"/>
    <row r="2986" customFormat="false" ht="12.75" hidden="false" customHeight="false" outlineLevel="0" collapsed="false"/>
    <row r="2987" customFormat="false" ht="12.75" hidden="false" customHeight="false" outlineLevel="0" collapsed="false"/>
    <row r="2988" customFormat="false" ht="12.75" hidden="false" customHeight="false" outlineLevel="0" collapsed="false"/>
    <row r="2989" customFormat="false" ht="12.75" hidden="false" customHeight="false" outlineLevel="0" collapsed="false"/>
    <row r="2990" customFormat="false" ht="12.75" hidden="false" customHeight="false" outlineLevel="0" collapsed="false"/>
    <row r="2991" customFormat="false" ht="12.75" hidden="false" customHeight="false" outlineLevel="0" collapsed="false"/>
    <row r="2992" customFormat="false" ht="12.75" hidden="false" customHeight="false" outlineLevel="0" collapsed="false"/>
    <row r="2993" customFormat="false" ht="12.75" hidden="false" customHeight="false" outlineLevel="0" collapsed="false"/>
    <row r="2994" customFormat="false" ht="12.75" hidden="false" customHeight="false" outlineLevel="0" collapsed="false"/>
    <row r="2995" customFormat="false" ht="12.75" hidden="false" customHeight="false" outlineLevel="0" collapsed="false"/>
    <row r="2996" customFormat="false" ht="12.75" hidden="false" customHeight="false" outlineLevel="0" collapsed="false"/>
    <row r="2997" customFormat="false" ht="12.75" hidden="false" customHeight="false" outlineLevel="0" collapsed="false"/>
    <row r="2998" customFormat="false" ht="12.75" hidden="false" customHeight="false" outlineLevel="0" collapsed="false"/>
    <row r="2999" customFormat="false" ht="12.75" hidden="false" customHeight="false" outlineLevel="0" collapsed="false"/>
    <row r="3000" customFormat="false" ht="12.75" hidden="false" customHeight="false" outlineLevel="0" collapsed="false"/>
    <row r="3001" customFormat="false" ht="12.75" hidden="false" customHeight="false" outlineLevel="0" collapsed="false"/>
    <row r="3002" customFormat="false" ht="12.75" hidden="false" customHeight="false" outlineLevel="0" collapsed="false"/>
    <row r="3003" customFormat="false" ht="12.75" hidden="false" customHeight="false" outlineLevel="0" collapsed="false"/>
    <row r="3004" customFormat="false" ht="12.75" hidden="false" customHeight="false" outlineLevel="0" collapsed="false"/>
    <row r="3005" customFormat="false" ht="12.75" hidden="false" customHeight="false" outlineLevel="0" collapsed="false"/>
    <row r="3006" customFormat="false" ht="12.75" hidden="false" customHeight="false" outlineLevel="0" collapsed="false"/>
    <row r="3007" customFormat="false" ht="12.75" hidden="false" customHeight="false" outlineLevel="0" collapsed="false"/>
    <row r="3008" customFormat="false" ht="12.75" hidden="false" customHeight="false" outlineLevel="0" collapsed="false"/>
    <row r="3009" customFormat="false" ht="12.75" hidden="false" customHeight="false" outlineLevel="0" collapsed="false"/>
    <row r="3010" customFormat="false" ht="12.75" hidden="false" customHeight="false" outlineLevel="0" collapsed="false"/>
    <row r="3011" customFormat="false" ht="12.75" hidden="false" customHeight="false" outlineLevel="0" collapsed="false"/>
    <row r="3012" customFormat="false" ht="12.75" hidden="false" customHeight="false" outlineLevel="0" collapsed="false"/>
    <row r="3013" customFormat="false" ht="12.75" hidden="false" customHeight="false" outlineLevel="0" collapsed="false"/>
    <row r="3014" customFormat="false" ht="12.75" hidden="false" customHeight="false" outlineLevel="0" collapsed="false"/>
    <row r="3015" customFormat="false" ht="12.75" hidden="false" customHeight="false" outlineLevel="0" collapsed="false"/>
    <row r="3016" customFormat="false" ht="12.75" hidden="false" customHeight="false" outlineLevel="0" collapsed="false"/>
    <row r="3017" customFormat="false" ht="12.75" hidden="false" customHeight="false" outlineLevel="0" collapsed="false"/>
    <row r="3018" customFormat="false" ht="12.75" hidden="false" customHeight="false" outlineLevel="0" collapsed="false"/>
    <row r="3019" customFormat="false" ht="12.75" hidden="false" customHeight="false" outlineLevel="0" collapsed="false"/>
    <row r="3020" customFormat="false" ht="12.75" hidden="false" customHeight="false" outlineLevel="0" collapsed="false"/>
    <row r="3021" customFormat="false" ht="12.75" hidden="false" customHeight="false" outlineLevel="0" collapsed="false"/>
    <row r="3022" customFormat="false" ht="12.75" hidden="false" customHeight="false" outlineLevel="0" collapsed="false"/>
    <row r="3023" customFormat="false" ht="12.75" hidden="false" customHeight="false" outlineLevel="0" collapsed="false"/>
    <row r="3024" customFormat="false" ht="12.75" hidden="false" customHeight="false" outlineLevel="0" collapsed="false"/>
    <row r="3025" customFormat="false" ht="12.75" hidden="false" customHeight="false" outlineLevel="0" collapsed="false"/>
    <row r="3026" customFormat="false" ht="12.75" hidden="false" customHeight="false" outlineLevel="0" collapsed="false"/>
    <row r="3027" customFormat="false" ht="12.75" hidden="false" customHeight="false" outlineLevel="0" collapsed="false"/>
    <row r="3028" customFormat="false" ht="12.75" hidden="false" customHeight="false" outlineLevel="0" collapsed="false"/>
    <row r="3029" customFormat="false" ht="12.75" hidden="false" customHeight="false" outlineLevel="0" collapsed="false"/>
    <row r="3030" customFormat="false" ht="12.75" hidden="false" customHeight="false" outlineLevel="0" collapsed="false"/>
    <row r="3031" customFormat="false" ht="12.75" hidden="false" customHeight="false" outlineLevel="0" collapsed="false"/>
    <row r="3032" customFormat="false" ht="12.75" hidden="false" customHeight="false" outlineLevel="0" collapsed="false"/>
    <row r="3033" customFormat="false" ht="12.75" hidden="false" customHeight="false" outlineLevel="0" collapsed="false"/>
    <row r="3034" customFormat="false" ht="12.75" hidden="false" customHeight="false" outlineLevel="0" collapsed="false"/>
    <row r="3035" customFormat="false" ht="12.75" hidden="false" customHeight="false" outlineLevel="0" collapsed="false"/>
    <row r="3036" customFormat="false" ht="12.75" hidden="false" customHeight="false" outlineLevel="0" collapsed="false"/>
    <row r="3037" customFormat="false" ht="12.75" hidden="false" customHeight="false" outlineLevel="0" collapsed="false"/>
    <row r="3038" customFormat="false" ht="12.75" hidden="false" customHeight="false" outlineLevel="0" collapsed="false"/>
    <row r="3039" customFormat="false" ht="12.75" hidden="false" customHeight="false" outlineLevel="0" collapsed="false"/>
    <row r="3040" customFormat="false" ht="12.75" hidden="false" customHeight="false" outlineLevel="0" collapsed="false"/>
    <row r="3041" customFormat="false" ht="12.75" hidden="false" customHeight="false" outlineLevel="0" collapsed="false"/>
    <row r="3042" customFormat="false" ht="12.75" hidden="false" customHeight="false" outlineLevel="0" collapsed="false"/>
    <row r="3043" customFormat="false" ht="12.75" hidden="false" customHeight="false" outlineLevel="0" collapsed="false"/>
    <row r="3044" customFormat="false" ht="12.75" hidden="false" customHeight="false" outlineLevel="0" collapsed="false"/>
    <row r="3045" customFormat="false" ht="12.75" hidden="false" customHeight="false" outlineLevel="0" collapsed="false"/>
    <row r="3046" customFormat="false" ht="12.75" hidden="false" customHeight="false" outlineLevel="0" collapsed="false"/>
    <row r="3047" customFormat="false" ht="12.75" hidden="false" customHeight="false" outlineLevel="0" collapsed="false"/>
    <row r="3048" customFormat="false" ht="12.75" hidden="false" customHeight="false" outlineLevel="0" collapsed="false"/>
    <row r="3049" customFormat="false" ht="12.75" hidden="false" customHeight="false" outlineLevel="0" collapsed="false"/>
    <row r="3050" customFormat="false" ht="12.75" hidden="false" customHeight="false" outlineLevel="0" collapsed="false"/>
    <row r="3051" customFormat="false" ht="12.75" hidden="false" customHeight="false" outlineLevel="0" collapsed="false"/>
    <row r="3052" customFormat="false" ht="12.75" hidden="false" customHeight="false" outlineLevel="0" collapsed="false"/>
    <row r="3053" customFormat="false" ht="12.75" hidden="false" customHeight="false" outlineLevel="0" collapsed="false"/>
    <row r="3054" customFormat="false" ht="12.75" hidden="false" customHeight="false" outlineLevel="0" collapsed="false"/>
    <row r="3055" customFormat="false" ht="12.75" hidden="false" customHeight="false" outlineLevel="0" collapsed="false"/>
    <row r="3056" customFormat="false" ht="12.75" hidden="false" customHeight="false" outlineLevel="0" collapsed="false"/>
    <row r="3057" customFormat="false" ht="12.75" hidden="false" customHeight="false" outlineLevel="0" collapsed="false"/>
    <row r="3058" customFormat="false" ht="12.75" hidden="false" customHeight="false" outlineLevel="0" collapsed="false"/>
    <row r="3059" customFormat="false" ht="12.75" hidden="false" customHeight="false" outlineLevel="0" collapsed="false"/>
    <row r="3060" customFormat="false" ht="12.75" hidden="false" customHeight="false" outlineLevel="0" collapsed="false"/>
    <row r="3061" customFormat="false" ht="12.75" hidden="false" customHeight="false" outlineLevel="0" collapsed="false"/>
    <row r="3062" customFormat="false" ht="12.75" hidden="false" customHeight="false" outlineLevel="0" collapsed="false"/>
    <row r="3063" customFormat="false" ht="12.75" hidden="false" customHeight="false" outlineLevel="0" collapsed="false"/>
    <row r="3064" customFormat="false" ht="12.75" hidden="false" customHeight="false" outlineLevel="0" collapsed="false"/>
    <row r="3065" customFormat="false" ht="12.75" hidden="false" customHeight="false" outlineLevel="0" collapsed="false"/>
    <row r="3066" customFormat="false" ht="12.75" hidden="false" customHeight="false" outlineLevel="0" collapsed="false"/>
    <row r="3067" customFormat="false" ht="12.75" hidden="false" customHeight="false" outlineLevel="0" collapsed="false"/>
    <row r="3068" customFormat="false" ht="12.75" hidden="false" customHeight="false" outlineLevel="0" collapsed="false"/>
    <row r="3069" customFormat="false" ht="12.75" hidden="false" customHeight="false" outlineLevel="0" collapsed="false"/>
    <row r="3070" customFormat="false" ht="12.75" hidden="false" customHeight="false" outlineLevel="0" collapsed="false"/>
    <row r="3071" customFormat="false" ht="12.75" hidden="false" customHeight="false" outlineLevel="0" collapsed="false"/>
    <row r="3072" customFormat="false" ht="12.75" hidden="false" customHeight="false" outlineLevel="0" collapsed="false"/>
    <row r="3073" customFormat="false" ht="12.75" hidden="false" customHeight="false" outlineLevel="0" collapsed="false"/>
    <row r="3074" customFormat="false" ht="12.75" hidden="false" customHeight="false" outlineLevel="0" collapsed="false"/>
    <row r="3075" customFormat="false" ht="12.75" hidden="false" customHeight="false" outlineLevel="0" collapsed="false"/>
    <row r="3076" customFormat="false" ht="12.75" hidden="false" customHeight="false" outlineLevel="0" collapsed="false"/>
    <row r="3077" customFormat="false" ht="12.75" hidden="false" customHeight="false" outlineLevel="0" collapsed="false"/>
    <row r="3078" customFormat="false" ht="12.75" hidden="false" customHeight="false" outlineLevel="0" collapsed="false"/>
    <row r="3079" customFormat="false" ht="12.75" hidden="false" customHeight="false" outlineLevel="0" collapsed="false"/>
    <row r="3080" customFormat="false" ht="12.75" hidden="false" customHeight="false" outlineLevel="0" collapsed="false"/>
    <row r="3081" customFormat="false" ht="12.75" hidden="false" customHeight="false" outlineLevel="0" collapsed="false"/>
    <row r="3082" customFormat="false" ht="12.75" hidden="false" customHeight="false" outlineLevel="0" collapsed="false"/>
    <row r="3083" customFormat="false" ht="12.75" hidden="false" customHeight="false" outlineLevel="0" collapsed="false"/>
    <row r="3084" customFormat="false" ht="12.75" hidden="false" customHeight="false" outlineLevel="0" collapsed="false"/>
    <row r="3085" customFormat="false" ht="12.75" hidden="false" customHeight="false" outlineLevel="0" collapsed="false"/>
    <row r="3086" customFormat="false" ht="12.75" hidden="false" customHeight="false" outlineLevel="0" collapsed="false"/>
    <row r="3087" customFormat="false" ht="12.75" hidden="false" customHeight="false" outlineLevel="0" collapsed="false"/>
    <row r="3088" customFormat="false" ht="12.75" hidden="false" customHeight="false" outlineLevel="0" collapsed="false"/>
    <row r="3089" customFormat="false" ht="12.75" hidden="false" customHeight="false" outlineLevel="0" collapsed="false"/>
    <row r="3090" customFormat="false" ht="12.75" hidden="false" customHeight="false" outlineLevel="0" collapsed="false"/>
    <row r="3091" customFormat="false" ht="12.75" hidden="false" customHeight="false" outlineLevel="0" collapsed="false"/>
    <row r="3092" customFormat="false" ht="12.75" hidden="false" customHeight="false" outlineLevel="0" collapsed="false"/>
    <row r="3093" customFormat="false" ht="12.75" hidden="false" customHeight="false" outlineLevel="0" collapsed="false"/>
    <row r="3094" customFormat="false" ht="12.75" hidden="false" customHeight="false" outlineLevel="0" collapsed="false"/>
    <row r="3095" customFormat="false" ht="12.75" hidden="false" customHeight="false" outlineLevel="0" collapsed="false"/>
    <row r="3096" customFormat="false" ht="12.75" hidden="false" customHeight="false" outlineLevel="0" collapsed="false"/>
    <row r="3097" customFormat="false" ht="12.75" hidden="false" customHeight="false" outlineLevel="0" collapsed="false"/>
    <row r="3098" customFormat="false" ht="12.75" hidden="false" customHeight="false" outlineLevel="0" collapsed="false"/>
    <row r="3099" customFormat="false" ht="12.75" hidden="false" customHeight="false" outlineLevel="0" collapsed="false"/>
    <row r="3100" customFormat="false" ht="12.75" hidden="false" customHeight="false" outlineLevel="0" collapsed="false"/>
    <row r="3101" customFormat="false" ht="12.75" hidden="false" customHeight="false" outlineLevel="0" collapsed="false"/>
    <row r="3102" customFormat="false" ht="12.75" hidden="false" customHeight="false" outlineLevel="0" collapsed="false"/>
    <row r="3103" customFormat="false" ht="12.75" hidden="false" customHeight="false" outlineLevel="0" collapsed="false"/>
    <row r="3104" customFormat="false" ht="12.75" hidden="false" customHeight="false" outlineLevel="0" collapsed="false"/>
    <row r="3105" customFormat="false" ht="12.75" hidden="false" customHeight="false" outlineLevel="0" collapsed="false"/>
    <row r="3106" customFormat="false" ht="12.75" hidden="false" customHeight="false" outlineLevel="0" collapsed="false"/>
    <row r="3107" customFormat="false" ht="12.75" hidden="false" customHeight="false" outlineLevel="0" collapsed="false"/>
    <row r="3108" customFormat="false" ht="12.75" hidden="false" customHeight="false" outlineLevel="0" collapsed="false"/>
    <row r="3109" customFormat="false" ht="12.75" hidden="false" customHeight="false" outlineLevel="0" collapsed="false"/>
    <row r="3110" customFormat="false" ht="12.75" hidden="false" customHeight="false" outlineLevel="0" collapsed="false"/>
    <row r="3111" customFormat="false" ht="12.75" hidden="false" customHeight="false" outlineLevel="0" collapsed="false"/>
    <row r="3112" customFormat="false" ht="12.75" hidden="false" customHeight="false" outlineLevel="0" collapsed="false"/>
    <row r="3113" customFormat="false" ht="12.75" hidden="false" customHeight="false" outlineLevel="0" collapsed="false"/>
    <row r="3114" customFormat="false" ht="12.75" hidden="false" customHeight="false" outlineLevel="0" collapsed="false"/>
    <row r="3115" customFormat="false" ht="12.75" hidden="false" customHeight="false" outlineLevel="0" collapsed="false"/>
    <row r="3116" customFormat="false" ht="12.75" hidden="false" customHeight="false" outlineLevel="0" collapsed="false"/>
    <row r="3117" customFormat="false" ht="12.75" hidden="false" customHeight="false" outlineLevel="0" collapsed="false"/>
    <row r="3118" customFormat="false" ht="12.75" hidden="false" customHeight="false" outlineLevel="0" collapsed="false"/>
    <row r="3119" customFormat="false" ht="12.75" hidden="false" customHeight="false" outlineLevel="0" collapsed="false"/>
    <row r="3120" customFormat="false" ht="12.75" hidden="false" customHeight="false" outlineLevel="0" collapsed="false"/>
    <row r="3121" customFormat="false" ht="12.75" hidden="false" customHeight="false" outlineLevel="0" collapsed="false"/>
    <row r="3122" customFormat="false" ht="12.75" hidden="false" customHeight="false" outlineLevel="0" collapsed="false"/>
    <row r="3123" customFormat="false" ht="12.75" hidden="false" customHeight="false" outlineLevel="0" collapsed="false"/>
    <row r="3124" customFormat="false" ht="12.75" hidden="false" customHeight="false" outlineLevel="0" collapsed="false"/>
    <row r="3125" customFormat="false" ht="12.75" hidden="false" customHeight="false" outlineLevel="0" collapsed="false"/>
    <row r="3126" customFormat="false" ht="12.75" hidden="false" customHeight="false" outlineLevel="0" collapsed="false"/>
    <row r="3127" customFormat="false" ht="12.75" hidden="false" customHeight="false" outlineLevel="0" collapsed="false"/>
    <row r="3128" customFormat="false" ht="12.75" hidden="false" customHeight="false" outlineLevel="0" collapsed="false"/>
    <row r="3129" customFormat="false" ht="12.75" hidden="false" customHeight="false" outlineLevel="0" collapsed="false"/>
    <row r="3130" customFormat="false" ht="12.75" hidden="false" customHeight="false" outlineLevel="0" collapsed="false"/>
    <row r="3131" customFormat="false" ht="12.75" hidden="false" customHeight="false" outlineLevel="0" collapsed="false"/>
    <row r="3132" customFormat="false" ht="12.75" hidden="false" customHeight="false" outlineLevel="0" collapsed="false"/>
    <row r="3133" customFormat="false" ht="12.75" hidden="false" customHeight="false" outlineLevel="0" collapsed="false"/>
    <row r="3134" customFormat="false" ht="12.75" hidden="false" customHeight="false" outlineLevel="0" collapsed="false"/>
    <row r="3135" customFormat="false" ht="12.75" hidden="false" customHeight="false" outlineLevel="0" collapsed="false"/>
    <row r="3136" customFormat="false" ht="12.75" hidden="false" customHeight="false" outlineLevel="0" collapsed="false"/>
    <row r="3137" customFormat="false" ht="12.75" hidden="false" customHeight="false" outlineLevel="0" collapsed="false"/>
    <row r="3138" customFormat="false" ht="12.75" hidden="false" customHeight="false" outlineLevel="0" collapsed="false"/>
    <row r="3139" customFormat="false" ht="12.75" hidden="false" customHeight="false" outlineLevel="0" collapsed="false"/>
    <row r="3140" customFormat="false" ht="12.75" hidden="false" customHeight="false" outlineLevel="0" collapsed="false"/>
    <row r="3141" customFormat="false" ht="12.75" hidden="false" customHeight="false" outlineLevel="0" collapsed="false"/>
    <row r="3142" customFormat="false" ht="12.75" hidden="false" customHeight="false" outlineLevel="0" collapsed="false"/>
    <row r="3143" customFormat="false" ht="12.75" hidden="false" customHeight="false" outlineLevel="0" collapsed="false"/>
    <row r="3144" customFormat="false" ht="12.75" hidden="false" customHeight="false" outlineLevel="0" collapsed="false"/>
    <row r="3145" customFormat="false" ht="12.75" hidden="false" customHeight="false" outlineLevel="0" collapsed="false"/>
    <row r="3146" customFormat="false" ht="12.75" hidden="false" customHeight="false" outlineLevel="0" collapsed="false"/>
    <row r="3147" customFormat="false" ht="12.75" hidden="false" customHeight="false" outlineLevel="0" collapsed="false"/>
    <row r="3148" customFormat="false" ht="12.75" hidden="false" customHeight="false" outlineLevel="0" collapsed="false"/>
    <row r="3149" customFormat="false" ht="12.75" hidden="false" customHeight="false" outlineLevel="0" collapsed="false"/>
    <row r="3150" customFormat="false" ht="12.75" hidden="false" customHeight="false" outlineLevel="0" collapsed="false"/>
    <row r="3151" customFormat="false" ht="12.75" hidden="false" customHeight="false" outlineLevel="0" collapsed="false"/>
    <row r="3152" customFormat="false" ht="12.75" hidden="false" customHeight="false" outlineLevel="0" collapsed="false"/>
    <row r="3153" customFormat="false" ht="12.75" hidden="false" customHeight="false" outlineLevel="0" collapsed="false"/>
    <row r="3154" customFormat="false" ht="12.75" hidden="false" customHeight="false" outlineLevel="0" collapsed="false"/>
    <row r="3155" customFormat="false" ht="12.75" hidden="false" customHeight="false" outlineLevel="0" collapsed="false"/>
    <row r="3156" customFormat="false" ht="12.75" hidden="false" customHeight="false" outlineLevel="0" collapsed="false"/>
    <row r="3157" customFormat="false" ht="12.75" hidden="false" customHeight="false" outlineLevel="0" collapsed="false"/>
    <row r="3158" customFormat="false" ht="12.75" hidden="false" customHeight="false" outlineLevel="0" collapsed="false"/>
    <row r="3159" customFormat="false" ht="12.75" hidden="false" customHeight="false" outlineLevel="0" collapsed="false"/>
    <row r="3160" customFormat="false" ht="12.75" hidden="false" customHeight="false" outlineLevel="0" collapsed="false"/>
    <row r="3161" customFormat="false" ht="12.75" hidden="false" customHeight="false" outlineLevel="0" collapsed="false"/>
    <row r="3162" customFormat="false" ht="12.75" hidden="false" customHeight="false" outlineLevel="0" collapsed="false"/>
    <row r="3163" customFormat="false" ht="12.75" hidden="false" customHeight="false" outlineLevel="0" collapsed="false"/>
    <row r="3164" customFormat="false" ht="12.75" hidden="false" customHeight="false" outlineLevel="0" collapsed="false"/>
    <row r="3165" customFormat="false" ht="12.75" hidden="false" customHeight="false" outlineLevel="0" collapsed="false"/>
    <row r="3166" customFormat="false" ht="12.75" hidden="false" customHeight="false" outlineLevel="0" collapsed="false"/>
    <row r="3167" customFormat="false" ht="12.75" hidden="false" customHeight="false" outlineLevel="0" collapsed="false"/>
    <row r="3168" customFormat="false" ht="12.75" hidden="false" customHeight="false" outlineLevel="0" collapsed="false"/>
    <row r="3169" customFormat="false" ht="12.75" hidden="false" customHeight="false" outlineLevel="0" collapsed="false"/>
    <row r="3170" customFormat="false" ht="12.75" hidden="false" customHeight="false" outlineLevel="0" collapsed="false"/>
    <row r="3171" customFormat="false" ht="12.75" hidden="false" customHeight="false" outlineLevel="0" collapsed="false"/>
    <row r="3172" customFormat="false" ht="12.75" hidden="false" customHeight="false" outlineLevel="0" collapsed="false"/>
    <row r="3173" customFormat="false" ht="12.75" hidden="false" customHeight="false" outlineLevel="0" collapsed="false"/>
    <row r="3174" customFormat="false" ht="12.75" hidden="false" customHeight="false" outlineLevel="0" collapsed="false"/>
    <row r="3175" customFormat="false" ht="12.75" hidden="false" customHeight="false" outlineLevel="0" collapsed="false"/>
    <row r="3176" customFormat="false" ht="12.75" hidden="false" customHeight="false" outlineLevel="0" collapsed="false"/>
    <row r="3177" customFormat="false" ht="12.75" hidden="false" customHeight="false" outlineLevel="0" collapsed="false"/>
    <row r="3178" customFormat="false" ht="12.75" hidden="false" customHeight="false" outlineLevel="0" collapsed="false"/>
    <row r="3179" customFormat="false" ht="12.75" hidden="false" customHeight="false" outlineLevel="0" collapsed="false"/>
    <row r="3180" customFormat="false" ht="12.75" hidden="false" customHeight="false" outlineLevel="0" collapsed="false"/>
    <row r="3181" customFormat="false" ht="12.75" hidden="false" customHeight="false" outlineLevel="0" collapsed="false"/>
    <row r="3182" customFormat="false" ht="12.75" hidden="false" customHeight="false" outlineLevel="0" collapsed="false"/>
    <row r="3183" customFormat="false" ht="12.75" hidden="false" customHeight="false" outlineLevel="0" collapsed="false"/>
    <row r="3184" customFormat="false" ht="12.75" hidden="false" customHeight="false" outlineLevel="0" collapsed="false"/>
    <row r="3185" customFormat="false" ht="12.75" hidden="false" customHeight="false" outlineLevel="0" collapsed="false"/>
    <row r="3186" customFormat="false" ht="12.75" hidden="false" customHeight="false" outlineLevel="0" collapsed="false"/>
    <row r="3187" customFormat="false" ht="12.75" hidden="false" customHeight="false" outlineLevel="0" collapsed="false"/>
    <row r="3188" customFormat="false" ht="12.75" hidden="false" customHeight="false" outlineLevel="0" collapsed="false"/>
    <row r="3189" customFormat="false" ht="12.75" hidden="false" customHeight="false" outlineLevel="0" collapsed="false"/>
    <row r="3190" customFormat="false" ht="12.75" hidden="false" customHeight="false" outlineLevel="0" collapsed="false"/>
    <row r="3191" customFormat="false" ht="12.75" hidden="false" customHeight="false" outlineLevel="0" collapsed="false"/>
    <row r="3192" customFormat="false" ht="12.75" hidden="false" customHeight="false" outlineLevel="0" collapsed="false"/>
    <row r="3193" customFormat="false" ht="12.75" hidden="false" customHeight="false" outlineLevel="0" collapsed="false"/>
    <row r="3194" customFormat="false" ht="12.75" hidden="false" customHeight="false" outlineLevel="0" collapsed="false"/>
    <row r="3195" customFormat="false" ht="12.75" hidden="false" customHeight="false" outlineLevel="0" collapsed="false"/>
    <row r="3196" customFormat="false" ht="12.75" hidden="false" customHeight="false" outlineLevel="0" collapsed="false"/>
    <row r="3197" customFormat="false" ht="12.75" hidden="false" customHeight="false" outlineLevel="0" collapsed="false"/>
    <row r="3198" customFormat="false" ht="12.75" hidden="false" customHeight="false" outlineLevel="0" collapsed="false"/>
    <row r="3199" customFormat="false" ht="12.75" hidden="false" customHeight="false" outlineLevel="0" collapsed="false"/>
    <row r="3200" customFormat="false" ht="12.75" hidden="false" customHeight="false" outlineLevel="0" collapsed="false"/>
    <row r="3201" customFormat="false" ht="12.75" hidden="false" customHeight="false" outlineLevel="0" collapsed="false"/>
    <row r="3202" customFormat="false" ht="12.75" hidden="false" customHeight="false" outlineLevel="0" collapsed="false"/>
    <row r="3203" customFormat="false" ht="12.75" hidden="false" customHeight="false" outlineLevel="0" collapsed="false"/>
    <row r="3204" customFormat="false" ht="12.75" hidden="false" customHeight="false" outlineLevel="0" collapsed="false"/>
    <row r="3205" customFormat="false" ht="12.75" hidden="false" customHeight="false" outlineLevel="0" collapsed="false"/>
    <row r="3206" customFormat="false" ht="12.75" hidden="false" customHeight="false" outlineLevel="0" collapsed="false"/>
    <row r="3207" customFormat="false" ht="12.75" hidden="false" customHeight="false" outlineLevel="0" collapsed="false"/>
    <row r="3208" customFormat="false" ht="12.75" hidden="false" customHeight="false" outlineLevel="0" collapsed="false"/>
    <row r="3209" customFormat="false" ht="12.75" hidden="false" customHeight="false" outlineLevel="0" collapsed="false"/>
    <row r="3210" customFormat="false" ht="12.75" hidden="false" customHeight="false" outlineLevel="0" collapsed="false"/>
    <row r="3211" customFormat="false" ht="12.75" hidden="false" customHeight="false" outlineLevel="0" collapsed="false"/>
    <row r="3212" customFormat="false" ht="12.75" hidden="false" customHeight="false" outlineLevel="0" collapsed="false"/>
    <row r="3213" customFormat="false" ht="12.75" hidden="false" customHeight="false" outlineLevel="0" collapsed="false"/>
    <row r="3214" customFormat="false" ht="12.75" hidden="false" customHeight="false" outlineLevel="0" collapsed="false"/>
    <row r="3215" customFormat="false" ht="12.75" hidden="false" customHeight="false" outlineLevel="0" collapsed="false"/>
    <row r="3216" customFormat="false" ht="12.75" hidden="false" customHeight="false" outlineLevel="0" collapsed="false"/>
    <row r="3217" customFormat="false" ht="12.75" hidden="false" customHeight="false" outlineLevel="0" collapsed="false"/>
    <row r="3218" customFormat="false" ht="12.75" hidden="false" customHeight="false" outlineLevel="0" collapsed="false"/>
    <row r="3219" customFormat="false" ht="12.75" hidden="false" customHeight="false" outlineLevel="0" collapsed="false"/>
    <row r="3220" customFormat="false" ht="12.75" hidden="false" customHeight="false" outlineLevel="0" collapsed="false"/>
    <row r="3221" customFormat="false" ht="12.75" hidden="false" customHeight="false" outlineLevel="0" collapsed="false"/>
    <row r="3222" customFormat="false" ht="12.75" hidden="false" customHeight="false" outlineLevel="0" collapsed="false"/>
    <row r="3223" customFormat="false" ht="12.75" hidden="false" customHeight="false" outlineLevel="0" collapsed="false"/>
    <row r="3224" customFormat="false" ht="12.75" hidden="false" customHeight="false" outlineLevel="0" collapsed="false"/>
    <row r="3225" customFormat="false" ht="12.75" hidden="false" customHeight="false" outlineLevel="0" collapsed="false"/>
    <row r="3226" customFormat="false" ht="12.75" hidden="false" customHeight="false" outlineLevel="0" collapsed="false"/>
    <row r="3227" customFormat="false" ht="12.75" hidden="false" customHeight="false" outlineLevel="0" collapsed="false"/>
    <row r="3228" customFormat="false" ht="12.75" hidden="false" customHeight="false" outlineLevel="0" collapsed="false"/>
    <row r="3229" customFormat="false" ht="12.75" hidden="false" customHeight="false" outlineLevel="0" collapsed="false"/>
    <row r="3230" customFormat="false" ht="12.75" hidden="false" customHeight="false" outlineLevel="0" collapsed="false"/>
    <row r="3231" customFormat="false" ht="12.75" hidden="false" customHeight="false" outlineLevel="0" collapsed="false"/>
    <row r="3232" customFormat="false" ht="12.75" hidden="false" customHeight="false" outlineLevel="0" collapsed="false"/>
    <row r="3233" customFormat="false" ht="12.75" hidden="false" customHeight="false" outlineLevel="0" collapsed="false"/>
    <row r="3234" customFormat="false" ht="12.75" hidden="false" customHeight="false" outlineLevel="0" collapsed="false"/>
    <row r="3235" customFormat="false" ht="12.75" hidden="false" customHeight="false" outlineLevel="0" collapsed="false"/>
    <row r="3236" customFormat="false" ht="12.75" hidden="false" customHeight="false" outlineLevel="0" collapsed="false"/>
    <row r="3237" customFormat="false" ht="12.75" hidden="false" customHeight="false" outlineLevel="0" collapsed="false"/>
    <row r="3238" customFormat="false" ht="12.75" hidden="false" customHeight="false" outlineLevel="0" collapsed="false"/>
    <row r="3239" customFormat="false" ht="12.75" hidden="false" customHeight="false" outlineLevel="0" collapsed="false"/>
    <row r="3240" customFormat="false" ht="12.75" hidden="false" customHeight="false" outlineLevel="0" collapsed="false"/>
    <row r="3241" customFormat="false" ht="12.75" hidden="false" customHeight="false" outlineLevel="0" collapsed="false"/>
    <row r="3242" customFormat="false" ht="12.75" hidden="false" customHeight="false" outlineLevel="0" collapsed="false"/>
    <row r="3243" customFormat="false" ht="12.75" hidden="false" customHeight="false" outlineLevel="0" collapsed="false"/>
    <row r="3244" customFormat="false" ht="12.75" hidden="false" customHeight="false" outlineLevel="0" collapsed="false"/>
    <row r="3245" customFormat="false" ht="12.75" hidden="false" customHeight="false" outlineLevel="0" collapsed="false"/>
    <row r="3246" customFormat="false" ht="12.75" hidden="false" customHeight="false" outlineLevel="0" collapsed="false"/>
    <row r="3247" customFormat="false" ht="12.75" hidden="false" customHeight="false" outlineLevel="0" collapsed="false"/>
    <row r="3248" customFormat="false" ht="12.75" hidden="false" customHeight="false" outlineLevel="0" collapsed="false"/>
    <row r="3249" customFormat="false" ht="12.75" hidden="false" customHeight="false" outlineLevel="0" collapsed="false"/>
    <row r="3250" customFormat="false" ht="12.75" hidden="false" customHeight="false" outlineLevel="0" collapsed="false"/>
    <row r="3251" customFormat="false" ht="12.75" hidden="false" customHeight="false" outlineLevel="0" collapsed="false"/>
    <row r="3252" customFormat="false" ht="12.75" hidden="false" customHeight="false" outlineLevel="0" collapsed="false"/>
    <row r="3253" customFormat="false" ht="12.75" hidden="false" customHeight="false" outlineLevel="0" collapsed="false"/>
    <row r="3254" customFormat="false" ht="12.75" hidden="false" customHeight="false" outlineLevel="0" collapsed="false"/>
    <row r="3255" customFormat="false" ht="12.75" hidden="false" customHeight="false" outlineLevel="0" collapsed="false"/>
    <row r="3256" customFormat="false" ht="12.75" hidden="false" customHeight="false" outlineLevel="0" collapsed="false"/>
    <row r="3257" customFormat="false" ht="12.75" hidden="false" customHeight="false" outlineLevel="0" collapsed="false"/>
    <row r="3258" customFormat="false" ht="12.75" hidden="false" customHeight="false" outlineLevel="0" collapsed="false"/>
    <row r="3259" customFormat="false" ht="12.75" hidden="false" customHeight="false" outlineLevel="0" collapsed="false"/>
    <row r="3260" customFormat="false" ht="12.75" hidden="false" customHeight="false" outlineLevel="0" collapsed="false"/>
    <row r="3261" customFormat="false" ht="12.75" hidden="false" customHeight="false" outlineLevel="0" collapsed="false"/>
    <row r="3262" customFormat="false" ht="12.75" hidden="false" customHeight="false" outlineLevel="0" collapsed="false"/>
    <row r="3263" customFormat="false" ht="12.75" hidden="false" customHeight="false" outlineLevel="0" collapsed="false"/>
    <row r="3264" customFormat="false" ht="12.75" hidden="false" customHeight="false" outlineLevel="0" collapsed="false"/>
    <row r="3265" customFormat="false" ht="12.75" hidden="false" customHeight="false" outlineLevel="0" collapsed="false"/>
    <row r="3266" customFormat="false" ht="12.75" hidden="false" customHeight="false" outlineLevel="0" collapsed="false"/>
    <row r="3267" customFormat="false" ht="12.75" hidden="false" customHeight="false" outlineLevel="0" collapsed="false"/>
    <row r="3268" customFormat="false" ht="12.75" hidden="false" customHeight="false" outlineLevel="0" collapsed="false"/>
    <row r="3269" customFormat="false" ht="12.75" hidden="false" customHeight="false" outlineLevel="0" collapsed="false"/>
    <row r="3270" customFormat="false" ht="12.75" hidden="false" customHeight="false" outlineLevel="0" collapsed="false"/>
    <row r="3271" customFormat="false" ht="12.75" hidden="false" customHeight="false" outlineLevel="0" collapsed="false"/>
    <row r="3272" customFormat="false" ht="12.75" hidden="false" customHeight="false" outlineLevel="0" collapsed="false"/>
    <row r="3273" customFormat="false" ht="12.75" hidden="false" customHeight="false" outlineLevel="0" collapsed="false"/>
    <row r="3274" customFormat="false" ht="12.75" hidden="false" customHeight="false" outlineLevel="0" collapsed="false"/>
    <row r="3275" customFormat="false" ht="12.75" hidden="false" customHeight="false" outlineLevel="0" collapsed="false"/>
    <row r="3276" customFormat="false" ht="12.75" hidden="false" customHeight="false" outlineLevel="0" collapsed="false"/>
    <row r="3277" customFormat="false" ht="12.75" hidden="false" customHeight="false" outlineLevel="0" collapsed="false"/>
    <row r="3278" customFormat="false" ht="12.75" hidden="false" customHeight="false" outlineLevel="0" collapsed="false"/>
    <row r="3279" customFormat="false" ht="12.75" hidden="false" customHeight="false" outlineLevel="0" collapsed="false"/>
    <row r="3280" customFormat="false" ht="12.75" hidden="false" customHeight="false" outlineLevel="0" collapsed="false"/>
    <row r="3281" customFormat="false" ht="12.75" hidden="false" customHeight="false" outlineLevel="0" collapsed="false"/>
    <row r="3282" customFormat="false" ht="12.75" hidden="false" customHeight="false" outlineLevel="0" collapsed="false"/>
    <row r="3283" customFormat="false" ht="12.75" hidden="false" customHeight="false" outlineLevel="0" collapsed="false"/>
    <row r="3284" customFormat="false" ht="12.75" hidden="false" customHeight="false" outlineLevel="0" collapsed="false"/>
    <row r="3285" customFormat="false" ht="12.75" hidden="false" customHeight="false" outlineLevel="0" collapsed="false"/>
    <row r="3286" customFormat="false" ht="12.75" hidden="false" customHeight="false" outlineLevel="0" collapsed="false"/>
    <row r="3287" customFormat="false" ht="12.75" hidden="false" customHeight="false" outlineLevel="0" collapsed="false"/>
    <row r="3288" customFormat="false" ht="12.75" hidden="false" customHeight="false" outlineLevel="0" collapsed="false"/>
    <row r="3289" customFormat="false" ht="12.75" hidden="false" customHeight="false" outlineLevel="0" collapsed="false"/>
    <row r="3290" customFormat="false" ht="12.75" hidden="false" customHeight="false" outlineLevel="0" collapsed="false"/>
    <row r="3291" customFormat="false" ht="12.75" hidden="false" customHeight="false" outlineLevel="0" collapsed="false"/>
    <row r="3292" customFormat="false" ht="12.75" hidden="false" customHeight="false" outlineLevel="0" collapsed="false"/>
    <row r="3293" customFormat="false" ht="12.75" hidden="false" customHeight="false" outlineLevel="0" collapsed="false"/>
    <row r="3294" customFormat="false" ht="12.75" hidden="false" customHeight="false" outlineLevel="0" collapsed="false"/>
    <row r="3295" customFormat="false" ht="12.75" hidden="false" customHeight="false" outlineLevel="0" collapsed="false"/>
    <row r="3296" customFormat="false" ht="12.75" hidden="false" customHeight="false" outlineLevel="0" collapsed="false"/>
    <row r="3297" customFormat="false" ht="12.75" hidden="false" customHeight="false" outlineLevel="0" collapsed="false"/>
    <row r="3298" customFormat="false" ht="12.75" hidden="false" customHeight="false" outlineLevel="0" collapsed="false"/>
    <row r="3299" customFormat="false" ht="12.75" hidden="false" customHeight="false" outlineLevel="0" collapsed="false"/>
    <row r="3300" customFormat="false" ht="12.75" hidden="false" customHeight="false" outlineLevel="0" collapsed="false"/>
    <row r="3301" customFormat="false" ht="12.75" hidden="false" customHeight="false" outlineLevel="0" collapsed="false"/>
    <row r="3302" customFormat="false" ht="12.75" hidden="false" customHeight="false" outlineLevel="0" collapsed="false"/>
    <row r="3303" customFormat="false" ht="12.75" hidden="false" customHeight="false" outlineLevel="0" collapsed="false"/>
    <row r="3304" customFormat="false" ht="12.75" hidden="false" customHeight="false" outlineLevel="0" collapsed="false"/>
    <row r="3305" customFormat="false" ht="12.75" hidden="false" customHeight="false" outlineLevel="0" collapsed="false"/>
    <row r="3306" customFormat="false" ht="12.75" hidden="false" customHeight="false" outlineLevel="0" collapsed="false"/>
    <row r="3307" customFormat="false" ht="12.75" hidden="false" customHeight="false" outlineLevel="0" collapsed="false"/>
    <row r="3308" customFormat="false" ht="12.75" hidden="false" customHeight="false" outlineLevel="0" collapsed="false"/>
    <row r="3309" customFormat="false" ht="12.75" hidden="false" customHeight="false" outlineLevel="0" collapsed="false"/>
    <row r="3310" customFormat="false" ht="12.75" hidden="false" customHeight="false" outlineLevel="0" collapsed="false"/>
    <row r="3311" customFormat="false" ht="12.75" hidden="false" customHeight="false" outlineLevel="0" collapsed="false"/>
    <row r="3312" customFormat="false" ht="12.75" hidden="false" customHeight="false" outlineLevel="0" collapsed="false"/>
    <row r="3313" customFormat="false" ht="12.75" hidden="false" customHeight="false" outlineLevel="0" collapsed="false"/>
    <row r="3314" customFormat="false" ht="12.75" hidden="false" customHeight="false" outlineLevel="0" collapsed="false"/>
    <row r="3315" customFormat="false" ht="12.75" hidden="false" customHeight="false" outlineLevel="0" collapsed="false"/>
    <row r="3316" customFormat="false" ht="12.75" hidden="false" customHeight="false" outlineLevel="0" collapsed="false"/>
    <row r="3317" customFormat="false" ht="12.75" hidden="false" customHeight="false" outlineLevel="0" collapsed="false"/>
    <row r="3318" customFormat="false" ht="12.75" hidden="false" customHeight="false" outlineLevel="0" collapsed="false"/>
    <row r="3323" customFormat="false" ht="12.75" hidden="false" customHeight="false" outlineLevel="0" collapsed="false"/>
    <row r="3324" customFormat="false" ht="12.75" hidden="false" customHeight="false" outlineLevel="0" collapsed="false"/>
    <row r="3327" customFormat="false" ht="12.75" hidden="false" customHeight="false" outlineLevel="0" collapsed="false"/>
    <row r="3329" customFormat="false" ht="12.75" hidden="false" customHeight="false" outlineLevel="0" collapsed="false"/>
    <row r="3332" customFormat="false" ht="12.75" hidden="false" customHeight="false" outlineLevel="0" collapsed="false"/>
    <row r="3350" customFormat="false" ht="12.75" hidden="false" customHeight="false" outlineLevel="0" collapsed="false"/>
    <row r="3351" customFormat="false" ht="12.75" hidden="false" customHeight="false" outlineLevel="0" collapsed="false"/>
    <row r="3354" customFormat="false" ht="12.75" hidden="false" customHeight="false" outlineLevel="0" collapsed="false"/>
    <row r="3355" customFormat="false" ht="12.75" hidden="false" customHeight="false" outlineLevel="0" collapsed="false"/>
    <row r="3363" customFormat="false" ht="12.75" hidden="false" customHeight="false" outlineLevel="0" collapsed="false"/>
    <row r="3368" customFormat="false" ht="12.75" hidden="false" customHeight="false" outlineLevel="0" collapsed="false"/>
    <row r="3372" customFormat="false" ht="12.75" hidden="false" customHeight="false" outlineLevel="0" collapsed="false"/>
    <row r="3379" customFormat="false" ht="12.75" hidden="false" customHeight="false" outlineLevel="0" collapsed="false"/>
    <row r="3381" customFormat="false" ht="12.75" hidden="false" customHeight="false" outlineLevel="0" collapsed="false"/>
    <row r="3383" customFormat="false" ht="12.75" hidden="false" customHeight="false" outlineLevel="0" collapsed="false"/>
    <row r="3384" customFormat="false" ht="12.75" hidden="false" customHeight="false" outlineLevel="0" collapsed="false"/>
    <row r="3395" customFormat="false" ht="12.75" hidden="false" customHeight="false" outlineLevel="0" collapsed="false"/>
    <row r="3397" customFormat="false" ht="12.75" hidden="false" customHeight="false" outlineLevel="0" collapsed="false"/>
    <row r="3398" customFormat="false" ht="12.75" hidden="false" customHeight="false" outlineLevel="0" collapsed="false"/>
    <row r="3399" customFormat="false" ht="12.75" hidden="false" customHeight="false" outlineLevel="0" collapsed="false"/>
    <row r="3400" customFormat="false" ht="12.75" hidden="false" customHeight="false" outlineLevel="0" collapsed="false"/>
    <row r="3415" customFormat="false" ht="12.75" hidden="false" customHeight="false" outlineLevel="0" collapsed="false"/>
    <row r="3416" customFormat="false" ht="12.75" hidden="false" customHeight="false" outlineLevel="0" collapsed="false"/>
    <row r="3417" customFormat="false" ht="12.75" hidden="false" customHeight="false" outlineLevel="0" collapsed="false"/>
    <row r="3418" customFormat="false" ht="12.75" hidden="false" customHeight="false" outlineLevel="0" collapsed="false"/>
    <row r="3419" customFormat="false" ht="12.75" hidden="false" customHeight="false" outlineLevel="0" collapsed="false"/>
    <row r="3420" customFormat="false" ht="12.75" hidden="false" customHeight="false" outlineLevel="0" collapsed="false"/>
    <row r="3421" customFormat="false" ht="12.75" hidden="false" customHeight="false" outlineLevel="0" collapsed="false"/>
    <row r="3422" customFormat="false" ht="12.75" hidden="false" customHeight="false" outlineLevel="0" collapsed="false"/>
    <row r="3423" customFormat="false" ht="12.75" hidden="false" customHeight="false" outlineLevel="0" collapsed="false"/>
    <row r="3424" customFormat="false" ht="12.75" hidden="false" customHeight="false" outlineLevel="0" collapsed="false"/>
    <row r="3425" customFormat="false" ht="12.75" hidden="false" customHeight="false" outlineLevel="0" collapsed="false"/>
    <row r="3426" customFormat="false" ht="12.75" hidden="false" customHeight="false" outlineLevel="0" collapsed="false"/>
    <row r="3427" customFormat="false" ht="12.75" hidden="false" customHeight="false" outlineLevel="0" collapsed="false"/>
    <row r="3428" customFormat="false" ht="12.75" hidden="false" customHeight="false" outlineLevel="0" collapsed="false"/>
    <row r="3429" customFormat="false" ht="12.75" hidden="false" customHeight="false" outlineLevel="0" collapsed="false"/>
    <row r="3430" customFormat="false" ht="12.75" hidden="false" customHeight="false" outlineLevel="0" collapsed="false"/>
    <row r="3431" customFormat="false" ht="12.75" hidden="false" customHeight="false" outlineLevel="0" collapsed="false"/>
    <row r="3432" customFormat="false" ht="12.75" hidden="false" customHeight="false" outlineLevel="0" collapsed="false"/>
    <row r="3433" customFormat="false" ht="12.75" hidden="false" customHeight="false" outlineLevel="0" collapsed="false"/>
    <row r="3434" customFormat="false" ht="12.75" hidden="false" customHeight="false" outlineLevel="0" collapsed="false"/>
    <row r="3435" customFormat="false" ht="12.75" hidden="false" customHeight="false" outlineLevel="0" collapsed="false"/>
    <row r="3436" customFormat="false" ht="12.75" hidden="false" customHeight="false" outlineLevel="0" collapsed="false"/>
    <row r="3437" customFormat="false" ht="12.75" hidden="false" customHeight="false" outlineLevel="0" collapsed="false"/>
    <row r="3438" customFormat="false" ht="12.75" hidden="false" customHeight="false" outlineLevel="0" collapsed="false"/>
    <row r="3439" customFormat="false" ht="12.75" hidden="false" customHeight="false" outlineLevel="0" collapsed="false"/>
    <row r="3440" customFormat="false" ht="12.75" hidden="false" customHeight="false" outlineLevel="0" collapsed="false"/>
    <row r="3441" customFormat="false" ht="12.75" hidden="false" customHeight="false" outlineLevel="0" collapsed="false"/>
    <row r="3442" customFormat="false" ht="12.75" hidden="false" customHeight="false" outlineLevel="0" collapsed="false"/>
    <row r="3443" customFormat="false" ht="12.75" hidden="false" customHeight="false" outlineLevel="0" collapsed="false"/>
    <row r="3444" customFormat="false" ht="12.75" hidden="false" customHeight="false" outlineLevel="0" collapsed="false"/>
    <row r="3445" customFormat="false" ht="12.75" hidden="false" customHeight="false" outlineLevel="0" collapsed="false"/>
    <row r="3446" customFormat="false" ht="12.75" hidden="false" customHeight="false" outlineLevel="0" collapsed="false"/>
    <row r="3447" customFormat="false" ht="12.75" hidden="false" customHeight="false" outlineLevel="0" collapsed="false"/>
    <row r="3448" customFormat="false" ht="12.75" hidden="false" customHeight="false" outlineLevel="0" collapsed="false"/>
    <row r="3449" customFormat="false" ht="12.75" hidden="false" customHeight="false" outlineLevel="0" collapsed="false"/>
    <row r="3450" customFormat="false" ht="12.75" hidden="false" customHeight="false" outlineLevel="0" collapsed="false"/>
    <row r="3451" customFormat="false" ht="12.75" hidden="false" customHeight="false" outlineLevel="0" collapsed="false"/>
    <row r="3452" customFormat="false" ht="12.75" hidden="false" customHeight="false" outlineLevel="0" collapsed="false"/>
    <row r="3453" customFormat="false" ht="12.75" hidden="false" customHeight="false" outlineLevel="0" collapsed="false"/>
    <row r="3454" customFormat="false" ht="12.75" hidden="false" customHeight="false" outlineLevel="0" collapsed="false"/>
    <row r="3455" customFormat="false" ht="12.75" hidden="false" customHeight="false" outlineLevel="0" collapsed="false"/>
    <row r="3456" customFormat="false" ht="12.75" hidden="false" customHeight="false" outlineLevel="0" collapsed="false"/>
    <row r="3457" customFormat="false" ht="12.75" hidden="false" customHeight="false" outlineLevel="0" collapsed="false"/>
    <row r="3458" customFormat="false" ht="12.75" hidden="false" customHeight="false" outlineLevel="0" collapsed="false"/>
    <row r="3459" customFormat="false" ht="12.75" hidden="false" customHeight="false" outlineLevel="0" collapsed="false"/>
    <row r="3460" customFormat="false" ht="12.75" hidden="false" customHeight="false" outlineLevel="0" collapsed="false"/>
    <row r="3461" customFormat="false" ht="12.75" hidden="false" customHeight="false" outlineLevel="0" collapsed="false"/>
    <row r="3462" customFormat="false" ht="12.75" hidden="false" customHeight="false" outlineLevel="0" collapsed="false"/>
    <row r="3463" customFormat="false" ht="12.75" hidden="false" customHeight="false" outlineLevel="0" collapsed="false"/>
    <row r="3464" customFormat="false" ht="12.75" hidden="false" customHeight="false" outlineLevel="0" collapsed="false"/>
    <row r="3465" customFormat="false" ht="12.75" hidden="false" customHeight="false" outlineLevel="0" collapsed="false"/>
    <row r="3466" customFormat="false" ht="12.75" hidden="false" customHeight="false" outlineLevel="0" collapsed="false"/>
    <row r="3467" customFormat="false" ht="12.75" hidden="false" customHeight="false" outlineLevel="0" collapsed="false"/>
    <row r="3468" customFormat="false" ht="12.75" hidden="false" customHeight="false" outlineLevel="0" collapsed="false"/>
    <row r="3469" customFormat="false" ht="12.75" hidden="false" customHeight="false" outlineLevel="0" collapsed="false"/>
    <row r="3470" customFormat="false" ht="12.75" hidden="false" customHeight="false" outlineLevel="0" collapsed="false"/>
    <row r="3471" customFormat="false" ht="12.75" hidden="false" customHeight="false" outlineLevel="0" collapsed="false"/>
    <row r="3472" customFormat="false" ht="12.75" hidden="false" customHeight="false" outlineLevel="0" collapsed="false"/>
    <row r="3473" customFormat="false" ht="12.75" hidden="false" customHeight="false" outlineLevel="0" collapsed="false"/>
    <row r="3474" customFormat="false" ht="12.75" hidden="false" customHeight="false" outlineLevel="0" collapsed="false"/>
    <row r="3475" customFormat="false" ht="12.75" hidden="false" customHeight="false" outlineLevel="0" collapsed="false"/>
    <row r="3476" customFormat="false" ht="12.75" hidden="false" customHeight="false" outlineLevel="0" collapsed="false"/>
    <row r="3477" customFormat="false" ht="12.75" hidden="false" customHeight="false" outlineLevel="0" collapsed="false"/>
    <row r="3478" customFormat="false" ht="12.75" hidden="false" customHeight="false" outlineLevel="0" collapsed="false"/>
    <row r="3479" customFormat="false" ht="12.75" hidden="false" customHeight="false" outlineLevel="0" collapsed="false"/>
    <row r="3480" customFormat="false" ht="12.75" hidden="false" customHeight="false" outlineLevel="0" collapsed="false"/>
    <row r="3481" customFormat="false" ht="12.75" hidden="false" customHeight="false" outlineLevel="0" collapsed="false"/>
    <row r="3482" customFormat="false" ht="12.75" hidden="false" customHeight="false" outlineLevel="0" collapsed="false"/>
    <row r="3483" customFormat="false" ht="12.75" hidden="false" customHeight="false" outlineLevel="0" collapsed="false"/>
    <row r="3484" customFormat="false" ht="12.75" hidden="false" customHeight="false" outlineLevel="0" collapsed="false"/>
    <row r="3485" customFormat="false" ht="12.75" hidden="false" customHeight="false" outlineLevel="0" collapsed="false"/>
    <row r="3486" customFormat="false" ht="12.75" hidden="false" customHeight="false" outlineLevel="0" collapsed="false"/>
    <row r="3487" customFormat="false" ht="12.75" hidden="false" customHeight="false" outlineLevel="0" collapsed="false"/>
    <row r="3488" customFormat="false" ht="12.75" hidden="false" customHeight="false" outlineLevel="0" collapsed="false"/>
    <row r="3489" customFormat="false" ht="12.75" hidden="false" customHeight="false" outlineLevel="0" collapsed="false"/>
    <row r="3490" customFormat="false" ht="12.75" hidden="false" customHeight="false" outlineLevel="0" collapsed="false"/>
    <row r="3491" customFormat="false" ht="12.75" hidden="false" customHeight="false" outlineLevel="0" collapsed="false"/>
    <row r="3492" customFormat="false" ht="12.75" hidden="false" customHeight="false" outlineLevel="0" collapsed="false"/>
    <row r="3493" customFormat="false" ht="12.75" hidden="false" customHeight="false" outlineLevel="0" collapsed="false"/>
    <row r="3494" customFormat="false" ht="12.75" hidden="false" customHeight="false" outlineLevel="0" collapsed="false"/>
    <row r="3495" customFormat="false" ht="12.75" hidden="false" customHeight="false" outlineLevel="0" collapsed="false"/>
    <row r="3496" customFormat="false" ht="12.75" hidden="false" customHeight="false" outlineLevel="0" collapsed="false"/>
    <row r="3497" customFormat="false" ht="12.75" hidden="false" customHeight="false" outlineLevel="0" collapsed="false"/>
    <row r="3498" customFormat="false" ht="12.75" hidden="false" customHeight="false" outlineLevel="0" collapsed="false"/>
    <row r="3499" customFormat="false" ht="12.75" hidden="false" customHeight="false" outlineLevel="0" collapsed="false"/>
    <row r="3500" customFormat="false" ht="12.75" hidden="false" customHeight="false" outlineLevel="0" collapsed="false"/>
    <row r="3501" customFormat="false" ht="12.75" hidden="false" customHeight="false" outlineLevel="0" collapsed="false"/>
    <row r="3502" customFormat="false" ht="12.75" hidden="false" customHeight="false" outlineLevel="0" collapsed="false"/>
    <row r="3503" customFormat="false" ht="12.75" hidden="false" customHeight="false" outlineLevel="0" collapsed="false"/>
    <row r="3504" customFormat="false" ht="12.75" hidden="false" customHeight="false" outlineLevel="0" collapsed="false"/>
    <row r="3505" customFormat="false" ht="12.75" hidden="false" customHeight="false" outlineLevel="0" collapsed="false"/>
    <row r="3506" customFormat="false" ht="12.75" hidden="false" customHeight="false" outlineLevel="0" collapsed="false"/>
    <row r="3507" customFormat="false" ht="12.75" hidden="false" customHeight="false" outlineLevel="0" collapsed="false"/>
    <row r="3508" customFormat="false" ht="12.75" hidden="false" customHeight="false" outlineLevel="0" collapsed="false"/>
    <row r="3509" customFormat="false" ht="12.75" hidden="false" customHeight="false" outlineLevel="0" collapsed="false"/>
    <row r="3510" customFormat="false" ht="12.75" hidden="false" customHeight="false" outlineLevel="0" collapsed="false"/>
    <row r="3511" customFormat="false" ht="12.75" hidden="false" customHeight="false" outlineLevel="0" collapsed="false"/>
    <row r="3512" customFormat="false" ht="12.75" hidden="false" customHeight="false" outlineLevel="0" collapsed="false"/>
    <row r="3513" customFormat="false" ht="12.75" hidden="false" customHeight="false" outlineLevel="0" collapsed="false"/>
    <row r="3514" customFormat="false" ht="12.75" hidden="false" customHeight="false" outlineLevel="0" collapsed="false"/>
    <row r="3515" customFormat="false" ht="12.75" hidden="false" customHeight="false" outlineLevel="0" collapsed="false"/>
    <row r="3516" customFormat="false" ht="12.75" hidden="false" customHeight="false" outlineLevel="0" collapsed="false"/>
    <row r="3517" customFormat="false" ht="12.75" hidden="false" customHeight="false" outlineLevel="0" collapsed="false"/>
    <row r="3518" customFormat="false" ht="12.75" hidden="false" customHeight="false" outlineLevel="0" collapsed="false"/>
    <row r="3519" customFormat="false" ht="12.75" hidden="false" customHeight="false" outlineLevel="0" collapsed="false"/>
    <row r="3520" customFormat="false" ht="12.75" hidden="false" customHeight="false" outlineLevel="0" collapsed="false"/>
    <row r="3521" customFormat="false" ht="12.75" hidden="false" customHeight="false" outlineLevel="0" collapsed="false"/>
    <row r="3522" customFormat="false" ht="12.75" hidden="false" customHeight="false" outlineLevel="0" collapsed="false"/>
    <row r="3523" customFormat="false" ht="12.75" hidden="false" customHeight="false" outlineLevel="0" collapsed="false"/>
    <row r="3524" customFormat="false" ht="12.75" hidden="false" customHeight="false" outlineLevel="0" collapsed="false"/>
    <row r="3525" customFormat="false" ht="12.75" hidden="false" customHeight="false" outlineLevel="0" collapsed="false"/>
    <row r="3526" customFormat="false" ht="12.75" hidden="false" customHeight="false" outlineLevel="0" collapsed="false"/>
    <row r="3527" customFormat="false" ht="12.75" hidden="false" customHeight="false" outlineLevel="0" collapsed="false"/>
    <row r="3528" customFormat="false" ht="12.75" hidden="false" customHeight="false" outlineLevel="0" collapsed="false"/>
    <row r="3529" customFormat="false" ht="12.75" hidden="false" customHeight="false" outlineLevel="0" collapsed="false"/>
    <row r="3530" customFormat="false" ht="12.75" hidden="false" customHeight="false" outlineLevel="0" collapsed="false"/>
    <row r="3531" customFormat="false" ht="12.75" hidden="false" customHeight="false" outlineLevel="0" collapsed="false"/>
    <row r="3532" customFormat="false" ht="12.75" hidden="false" customHeight="false" outlineLevel="0" collapsed="false"/>
    <row r="3533" customFormat="false" ht="12.75" hidden="false" customHeight="false" outlineLevel="0" collapsed="false"/>
    <row r="3534" customFormat="false" ht="12.75" hidden="false" customHeight="false" outlineLevel="0" collapsed="false"/>
    <row r="3535" customFormat="false" ht="12.75" hidden="false" customHeight="false" outlineLevel="0" collapsed="false"/>
    <row r="3536" customFormat="false" ht="12.75" hidden="false" customHeight="false" outlineLevel="0" collapsed="false"/>
    <row r="3537" customFormat="false" ht="12.75" hidden="false" customHeight="false" outlineLevel="0" collapsed="false"/>
    <row r="3538" customFormat="false" ht="12.75" hidden="false" customHeight="false" outlineLevel="0" collapsed="false"/>
    <row r="3539" customFormat="false" ht="12.75" hidden="false" customHeight="false" outlineLevel="0" collapsed="false"/>
    <row r="3540" customFormat="false" ht="12.75" hidden="false" customHeight="false" outlineLevel="0" collapsed="false"/>
    <row r="3541" customFormat="false" ht="12.75" hidden="false" customHeight="false" outlineLevel="0" collapsed="false"/>
    <row r="3542" customFormat="false" ht="12.75" hidden="false" customHeight="false" outlineLevel="0" collapsed="false"/>
    <row r="3543" customFormat="false" ht="12.75" hidden="false" customHeight="false" outlineLevel="0" collapsed="false"/>
    <row r="3544" customFormat="false" ht="12.75" hidden="false" customHeight="false" outlineLevel="0" collapsed="false"/>
    <row r="3545" customFormat="false" ht="12.75" hidden="false" customHeight="false" outlineLevel="0" collapsed="false"/>
    <row r="3546" customFormat="false" ht="12.75" hidden="false" customHeight="false" outlineLevel="0" collapsed="false"/>
    <row r="3547" customFormat="false" ht="12.75" hidden="false" customHeight="false" outlineLevel="0" collapsed="false"/>
    <row r="3548" customFormat="false" ht="12.75" hidden="false" customHeight="false" outlineLevel="0" collapsed="false"/>
    <row r="3549" customFormat="false" ht="12.75" hidden="false" customHeight="false" outlineLevel="0" collapsed="false"/>
    <row r="3550" customFormat="false" ht="12.75" hidden="false" customHeight="false" outlineLevel="0" collapsed="false"/>
    <row r="3551" customFormat="false" ht="12.75" hidden="false" customHeight="false" outlineLevel="0" collapsed="false"/>
    <row r="3552" customFormat="false" ht="12.75" hidden="false" customHeight="false" outlineLevel="0" collapsed="false"/>
    <row r="3553" customFormat="false" ht="12.75" hidden="false" customHeight="false" outlineLevel="0" collapsed="false"/>
    <row r="3554" customFormat="false" ht="12.75" hidden="false" customHeight="false" outlineLevel="0" collapsed="false"/>
    <row r="3555" customFormat="false" ht="12.75" hidden="false" customHeight="false" outlineLevel="0" collapsed="false"/>
    <row r="3556" customFormat="false" ht="12.75" hidden="false" customHeight="false" outlineLevel="0" collapsed="false"/>
    <row r="3557" customFormat="false" ht="12.75" hidden="false" customHeight="false" outlineLevel="0" collapsed="false"/>
    <row r="3558" customFormat="false" ht="12.75" hidden="false" customHeight="false" outlineLevel="0" collapsed="false"/>
    <row r="3559" customFormat="false" ht="12.75" hidden="false" customHeight="false" outlineLevel="0" collapsed="false"/>
    <row r="3560" customFormat="false" ht="12.75" hidden="false" customHeight="false" outlineLevel="0" collapsed="false"/>
    <row r="3561" customFormat="false" ht="12.75" hidden="false" customHeight="false" outlineLevel="0" collapsed="false"/>
    <row r="3562" customFormat="false" ht="12.75" hidden="false" customHeight="false" outlineLevel="0" collapsed="false"/>
    <row r="3563" customFormat="false" ht="12.75" hidden="false" customHeight="false" outlineLevel="0" collapsed="false"/>
    <row r="3564" customFormat="false" ht="12.75" hidden="false" customHeight="false" outlineLevel="0" collapsed="false"/>
    <row r="3565" customFormat="false" ht="12.75" hidden="false" customHeight="false" outlineLevel="0" collapsed="false"/>
    <row r="3566" customFormat="false" ht="12.75" hidden="false" customHeight="false" outlineLevel="0" collapsed="false"/>
    <row r="3567" customFormat="false" ht="12.75" hidden="false" customHeight="false" outlineLevel="0" collapsed="false"/>
    <row r="3568" customFormat="false" ht="12.75" hidden="false" customHeight="false" outlineLevel="0" collapsed="false"/>
    <row r="3569" customFormat="false" ht="12.75" hidden="false" customHeight="false" outlineLevel="0" collapsed="false"/>
    <row r="3570" customFormat="false" ht="12.75" hidden="false" customHeight="false" outlineLevel="0" collapsed="false"/>
    <row r="3571" customFormat="false" ht="12.75" hidden="false" customHeight="false" outlineLevel="0" collapsed="false"/>
    <row r="3572" customFormat="false" ht="12.75" hidden="false" customHeight="false" outlineLevel="0" collapsed="false"/>
    <row r="3573" customFormat="false" ht="12.75" hidden="false" customHeight="false" outlineLevel="0" collapsed="false"/>
    <row r="3574" customFormat="false" ht="12.75" hidden="false" customHeight="false" outlineLevel="0" collapsed="false"/>
    <row r="3575" customFormat="false" ht="12.75" hidden="false" customHeight="false" outlineLevel="0" collapsed="false"/>
    <row r="3576" customFormat="false" ht="12.75" hidden="false" customHeight="false" outlineLevel="0" collapsed="false"/>
    <row r="3577" customFormat="false" ht="12.75" hidden="false" customHeight="false" outlineLevel="0" collapsed="false"/>
    <row r="3578" customFormat="false" ht="12.75" hidden="false" customHeight="false" outlineLevel="0" collapsed="false"/>
    <row r="3579" customFormat="false" ht="12.75" hidden="false" customHeight="false" outlineLevel="0" collapsed="false"/>
    <row r="3580" customFormat="false" ht="12.75" hidden="false" customHeight="false" outlineLevel="0" collapsed="false"/>
    <row r="3581" customFormat="false" ht="12.75" hidden="false" customHeight="false" outlineLevel="0" collapsed="false"/>
    <row r="3582" customFormat="false" ht="12.75" hidden="false" customHeight="false" outlineLevel="0" collapsed="false"/>
    <row r="3583" customFormat="false" ht="12.75" hidden="false" customHeight="false" outlineLevel="0" collapsed="false"/>
    <row r="3584" customFormat="false" ht="12.75" hidden="false" customHeight="false" outlineLevel="0" collapsed="false"/>
    <row r="3585" customFormat="false" ht="12.75" hidden="false" customHeight="false" outlineLevel="0" collapsed="false"/>
    <row r="3586" customFormat="false" ht="12.75" hidden="false" customHeight="false" outlineLevel="0" collapsed="false"/>
    <row r="3587" customFormat="false" ht="12.75" hidden="false" customHeight="false" outlineLevel="0" collapsed="false"/>
    <row r="3588" customFormat="false" ht="12.75" hidden="false" customHeight="false" outlineLevel="0" collapsed="false"/>
    <row r="3589" customFormat="false" ht="12.75" hidden="false" customHeight="false" outlineLevel="0" collapsed="false"/>
    <row r="3590" customFormat="false" ht="12.75" hidden="false" customHeight="false" outlineLevel="0" collapsed="false"/>
    <row r="3591" customFormat="false" ht="12.75" hidden="false" customHeight="false" outlineLevel="0" collapsed="false"/>
    <row r="3592" customFormat="false" ht="12.75" hidden="false" customHeight="false" outlineLevel="0" collapsed="false"/>
    <row r="3593" customFormat="false" ht="12.75" hidden="false" customHeight="false" outlineLevel="0" collapsed="false"/>
    <row r="3594" customFormat="false" ht="12.75" hidden="false" customHeight="false" outlineLevel="0" collapsed="false"/>
    <row r="3595" customFormat="false" ht="12.75" hidden="false" customHeight="false" outlineLevel="0" collapsed="false"/>
    <row r="3596" customFormat="false" ht="12.75" hidden="false" customHeight="false" outlineLevel="0" collapsed="false"/>
    <row r="3597" customFormat="false" ht="12.75" hidden="false" customHeight="false" outlineLevel="0" collapsed="false"/>
    <row r="3598" customFormat="false" ht="12.75" hidden="false" customHeight="false" outlineLevel="0" collapsed="false"/>
    <row r="3599" customFormat="false" ht="12.75" hidden="false" customHeight="false" outlineLevel="0" collapsed="false"/>
    <row r="3600" customFormat="false" ht="12.75" hidden="false" customHeight="false" outlineLevel="0" collapsed="false"/>
    <row r="3601" customFormat="false" ht="12.75" hidden="false" customHeight="false" outlineLevel="0" collapsed="false"/>
    <row r="3602" customFormat="false" ht="12.75" hidden="false" customHeight="false" outlineLevel="0" collapsed="false"/>
    <row r="3603" customFormat="false" ht="12.75" hidden="false" customHeight="false" outlineLevel="0" collapsed="false"/>
    <row r="3604" customFormat="false" ht="12.75" hidden="false" customHeight="false" outlineLevel="0" collapsed="false"/>
    <row r="3605" customFormat="false" ht="12.75" hidden="false" customHeight="false" outlineLevel="0" collapsed="false"/>
    <row r="3606" customFormat="false" ht="12.75" hidden="false" customHeight="false" outlineLevel="0" collapsed="false"/>
    <row r="3607" customFormat="false" ht="12.75" hidden="false" customHeight="false" outlineLevel="0" collapsed="false"/>
    <row r="3608" customFormat="false" ht="12.75" hidden="false" customHeight="false" outlineLevel="0" collapsed="false"/>
    <row r="3609" customFormat="false" ht="12.75" hidden="false" customHeight="false" outlineLevel="0" collapsed="false"/>
    <row r="3610" customFormat="false" ht="12.75" hidden="false" customHeight="false" outlineLevel="0" collapsed="false"/>
    <row r="3611" customFormat="false" ht="12.75" hidden="false" customHeight="false" outlineLevel="0" collapsed="false"/>
    <row r="3612" customFormat="false" ht="12.75" hidden="false" customHeight="false" outlineLevel="0" collapsed="false"/>
    <row r="3613" customFormat="false" ht="12.75" hidden="false" customHeight="false" outlineLevel="0" collapsed="false"/>
    <row r="3614" customFormat="false" ht="12.75" hidden="false" customHeight="false" outlineLevel="0" collapsed="false"/>
    <row r="3615" customFormat="false" ht="12.75" hidden="false" customHeight="false" outlineLevel="0" collapsed="false"/>
    <row r="3616" customFormat="false" ht="12.75" hidden="false" customHeight="false" outlineLevel="0" collapsed="false"/>
    <row r="3617" customFormat="false" ht="12.75" hidden="false" customHeight="false" outlineLevel="0" collapsed="false"/>
    <row r="3618" customFormat="false" ht="12.75" hidden="false" customHeight="false" outlineLevel="0" collapsed="false"/>
    <row r="3619" customFormat="false" ht="12.75" hidden="false" customHeight="false" outlineLevel="0" collapsed="false"/>
    <row r="3620" customFormat="false" ht="12.75" hidden="false" customHeight="false" outlineLevel="0" collapsed="false"/>
    <row r="3621" customFormat="false" ht="12.75" hidden="false" customHeight="false" outlineLevel="0" collapsed="false"/>
    <row r="3622" customFormat="false" ht="12.75" hidden="false" customHeight="false" outlineLevel="0" collapsed="false"/>
    <row r="3623" customFormat="false" ht="12.75" hidden="false" customHeight="false" outlineLevel="0" collapsed="false"/>
    <row r="3624" customFormat="false" ht="12.75" hidden="false" customHeight="false" outlineLevel="0" collapsed="false"/>
    <row r="3625" customFormat="false" ht="12.75" hidden="false" customHeight="false" outlineLevel="0" collapsed="false"/>
    <row r="3626" customFormat="false" ht="12.75" hidden="false" customHeight="false" outlineLevel="0" collapsed="false"/>
    <row r="3627" customFormat="false" ht="12.75" hidden="false" customHeight="false" outlineLevel="0" collapsed="false"/>
    <row r="3628" customFormat="false" ht="12.75" hidden="false" customHeight="false" outlineLevel="0" collapsed="false"/>
    <row r="3629" customFormat="false" ht="12.75" hidden="false" customHeight="false" outlineLevel="0" collapsed="false"/>
    <row r="3630" customFormat="false" ht="12.75" hidden="false" customHeight="false" outlineLevel="0" collapsed="false"/>
    <row r="3631" customFormat="false" ht="12.75" hidden="false" customHeight="false" outlineLevel="0" collapsed="false"/>
    <row r="3632" customFormat="false" ht="12.75" hidden="false" customHeight="false" outlineLevel="0" collapsed="false"/>
    <row r="3633" customFormat="false" ht="12.75" hidden="false" customHeight="false" outlineLevel="0" collapsed="false"/>
    <row r="3634" customFormat="false" ht="12.75" hidden="false" customHeight="false" outlineLevel="0" collapsed="false"/>
    <row r="3635" customFormat="false" ht="12.75" hidden="false" customHeight="false" outlineLevel="0" collapsed="false"/>
    <row r="3636" customFormat="false" ht="12.75" hidden="false" customHeight="false" outlineLevel="0" collapsed="false"/>
    <row r="3637" customFormat="false" ht="12.75" hidden="false" customHeight="false" outlineLevel="0" collapsed="false"/>
    <row r="3638" customFormat="false" ht="12.75" hidden="false" customHeight="false" outlineLevel="0" collapsed="false"/>
    <row r="3639" customFormat="false" ht="12.75" hidden="false" customHeight="false" outlineLevel="0" collapsed="false"/>
    <row r="3640" customFormat="false" ht="12.75" hidden="false" customHeight="false" outlineLevel="0" collapsed="false"/>
    <row r="3641" customFormat="false" ht="12.75" hidden="false" customHeight="false" outlineLevel="0" collapsed="false"/>
    <row r="3642" customFormat="false" ht="12.75" hidden="false" customHeight="false" outlineLevel="0" collapsed="false"/>
    <row r="3643" customFormat="false" ht="12.75" hidden="false" customHeight="false" outlineLevel="0" collapsed="false"/>
    <row r="3644" customFormat="false" ht="12.75" hidden="false" customHeight="false" outlineLevel="0" collapsed="false"/>
    <row r="3645" customFormat="false" ht="12.75" hidden="false" customHeight="false" outlineLevel="0" collapsed="false"/>
    <row r="3646" customFormat="false" ht="12.75" hidden="false" customHeight="false" outlineLevel="0" collapsed="false"/>
    <row r="3647" customFormat="false" ht="12.75" hidden="false" customHeight="false" outlineLevel="0" collapsed="false"/>
    <row r="3648" customFormat="false" ht="12.75" hidden="false" customHeight="false" outlineLevel="0" collapsed="false"/>
    <row r="3649" customFormat="false" ht="12.75" hidden="false" customHeight="false" outlineLevel="0" collapsed="false"/>
    <row r="3650" customFormat="false" ht="12.75" hidden="false" customHeight="false" outlineLevel="0" collapsed="false"/>
    <row r="3651" customFormat="false" ht="12.75" hidden="false" customHeight="false" outlineLevel="0" collapsed="false"/>
    <row r="3652" customFormat="false" ht="12.75" hidden="false" customHeight="false" outlineLevel="0" collapsed="false"/>
    <row r="3653" customFormat="false" ht="12.75" hidden="false" customHeight="false" outlineLevel="0" collapsed="false"/>
    <row r="3654" customFormat="false" ht="12.75" hidden="false" customHeight="false" outlineLevel="0" collapsed="false"/>
    <row r="3655" customFormat="false" ht="12.75" hidden="false" customHeight="false" outlineLevel="0" collapsed="false"/>
    <row r="3656" customFormat="false" ht="12.75" hidden="false" customHeight="false" outlineLevel="0" collapsed="false"/>
    <row r="3657" customFormat="false" ht="12.75" hidden="false" customHeight="false" outlineLevel="0" collapsed="false"/>
    <row r="3658" customFormat="false" ht="12.75" hidden="false" customHeight="false" outlineLevel="0" collapsed="false"/>
    <row r="3659" customFormat="false" ht="12.75" hidden="false" customHeight="false" outlineLevel="0" collapsed="false"/>
    <row r="3660" customFormat="false" ht="12.75" hidden="false" customHeight="false" outlineLevel="0" collapsed="false"/>
    <row r="3661" customFormat="false" ht="12.75" hidden="false" customHeight="false" outlineLevel="0" collapsed="false"/>
    <row r="3662" customFormat="false" ht="12.75" hidden="false" customHeight="false" outlineLevel="0" collapsed="false"/>
    <row r="3663" customFormat="false" ht="12.75" hidden="false" customHeight="false" outlineLevel="0" collapsed="false"/>
    <row r="3664" customFormat="false" ht="12.75" hidden="false" customHeight="false" outlineLevel="0" collapsed="false"/>
    <row r="3665" customFormat="false" ht="12.75" hidden="false" customHeight="false" outlineLevel="0" collapsed="false"/>
    <row r="3666" customFormat="false" ht="12.75" hidden="false" customHeight="false" outlineLevel="0" collapsed="false"/>
    <row r="3667" customFormat="false" ht="12.75" hidden="false" customHeight="false" outlineLevel="0" collapsed="false"/>
    <row r="3668" customFormat="false" ht="12.75" hidden="false" customHeight="false" outlineLevel="0" collapsed="false"/>
    <row r="3669" customFormat="false" ht="12.75" hidden="false" customHeight="false" outlineLevel="0" collapsed="false"/>
    <row r="3670" customFormat="false" ht="12.75" hidden="false" customHeight="false" outlineLevel="0" collapsed="false"/>
    <row r="3671" customFormat="false" ht="12.75" hidden="false" customHeight="false" outlineLevel="0" collapsed="false"/>
    <row r="3672" customFormat="false" ht="12.75" hidden="false" customHeight="false" outlineLevel="0" collapsed="false"/>
    <row r="3673" customFormat="false" ht="12.75" hidden="false" customHeight="false" outlineLevel="0" collapsed="false"/>
    <row r="3674" customFormat="false" ht="12.75" hidden="false" customHeight="false" outlineLevel="0" collapsed="false"/>
    <row r="3675" customFormat="false" ht="12.75" hidden="false" customHeight="false" outlineLevel="0" collapsed="false"/>
    <row r="3676" customFormat="false" ht="12.75" hidden="false" customHeight="false" outlineLevel="0" collapsed="false"/>
    <row r="3677" customFormat="false" ht="12.75" hidden="false" customHeight="false" outlineLevel="0" collapsed="false"/>
    <row r="3678" customFormat="false" ht="12.75" hidden="false" customHeight="false" outlineLevel="0" collapsed="false"/>
    <row r="3679" customFormat="false" ht="12.75" hidden="false" customHeight="false" outlineLevel="0" collapsed="false"/>
    <row r="3680" customFormat="false" ht="12.75" hidden="false" customHeight="false" outlineLevel="0" collapsed="false"/>
    <row r="3681" customFormat="false" ht="12.75" hidden="false" customHeight="false" outlineLevel="0" collapsed="false"/>
    <row r="3682" customFormat="false" ht="12.75" hidden="false" customHeight="false" outlineLevel="0" collapsed="false"/>
    <row r="3683" customFormat="false" ht="12.75" hidden="false" customHeight="false" outlineLevel="0" collapsed="false"/>
    <row r="3684" customFormat="false" ht="12.75" hidden="false" customHeight="false" outlineLevel="0" collapsed="false"/>
    <row r="3685" customFormat="false" ht="12.75" hidden="false" customHeight="false" outlineLevel="0" collapsed="false"/>
    <row r="3686" customFormat="false" ht="12.75" hidden="false" customHeight="false" outlineLevel="0" collapsed="false"/>
    <row r="3687" customFormat="false" ht="12.75" hidden="false" customHeight="false" outlineLevel="0" collapsed="false"/>
    <row r="3688" customFormat="false" ht="12.75" hidden="false" customHeight="false" outlineLevel="0" collapsed="false"/>
    <row r="3689" customFormat="false" ht="12.75" hidden="false" customHeight="false" outlineLevel="0" collapsed="false"/>
    <row r="3690" customFormat="false" ht="12.75" hidden="false" customHeight="false" outlineLevel="0" collapsed="false"/>
    <row r="3691" customFormat="false" ht="12.75" hidden="false" customHeight="false" outlineLevel="0" collapsed="false"/>
    <row r="3692" customFormat="false" ht="12.75" hidden="false" customHeight="false" outlineLevel="0" collapsed="false"/>
    <row r="3693" customFormat="false" ht="12.75" hidden="false" customHeight="false" outlineLevel="0" collapsed="false"/>
    <row r="3694" customFormat="false" ht="12.75" hidden="false" customHeight="false" outlineLevel="0" collapsed="false"/>
    <row r="3695" customFormat="false" ht="12.75" hidden="false" customHeight="false" outlineLevel="0" collapsed="false"/>
    <row r="3696" customFormat="false" ht="12.75" hidden="false" customHeight="false" outlineLevel="0" collapsed="false"/>
    <row r="3697" customFormat="false" ht="12.75" hidden="false" customHeight="false" outlineLevel="0" collapsed="false"/>
    <row r="3698" customFormat="false" ht="12.75" hidden="false" customHeight="false" outlineLevel="0" collapsed="false"/>
    <row r="3699" customFormat="false" ht="12.75" hidden="false" customHeight="false" outlineLevel="0" collapsed="false"/>
    <row r="3700" customFormat="false" ht="12.75" hidden="false" customHeight="false" outlineLevel="0" collapsed="false"/>
    <row r="3701" customFormat="false" ht="12.75" hidden="false" customHeight="false" outlineLevel="0" collapsed="false"/>
    <row r="3702" customFormat="false" ht="12.75" hidden="false" customHeight="false" outlineLevel="0" collapsed="false"/>
    <row r="3703" customFormat="false" ht="12.75" hidden="false" customHeight="false" outlineLevel="0" collapsed="false"/>
    <row r="3704" customFormat="false" ht="12.75" hidden="false" customHeight="false" outlineLevel="0" collapsed="false"/>
    <row r="3705" customFormat="false" ht="12.75" hidden="false" customHeight="false" outlineLevel="0" collapsed="false"/>
    <row r="3706" customFormat="false" ht="12.75" hidden="false" customHeight="false" outlineLevel="0" collapsed="false"/>
    <row r="3707" customFormat="false" ht="12.75" hidden="false" customHeight="false" outlineLevel="0" collapsed="false"/>
    <row r="3708" customFormat="false" ht="12.75" hidden="false" customHeight="false" outlineLevel="0" collapsed="false"/>
    <row r="3709" customFormat="false" ht="12.75" hidden="false" customHeight="false" outlineLevel="0" collapsed="false"/>
    <row r="3710" customFormat="false" ht="12.75" hidden="false" customHeight="false" outlineLevel="0" collapsed="false"/>
    <row r="3711" customFormat="false" ht="12.75" hidden="false" customHeight="false" outlineLevel="0" collapsed="false"/>
    <row r="3712" customFormat="false" ht="12.75" hidden="false" customHeight="false" outlineLevel="0" collapsed="false"/>
    <row r="3713" customFormat="false" ht="12.75" hidden="false" customHeight="false" outlineLevel="0" collapsed="false"/>
    <row r="3714" customFormat="false" ht="12.75" hidden="false" customHeight="false" outlineLevel="0" collapsed="false"/>
    <row r="3715" customFormat="false" ht="12.75" hidden="false" customHeight="false" outlineLevel="0" collapsed="false"/>
    <row r="3716" customFormat="false" ht="12.75" hidden="false" customHeight="false" outlineLevel="0" collapsed="false"/>
    <row r="3717" customFormat="false" ht="12.75" hidden="false" customHeight="false" outlineLevel="0" collapsed="false"/>
    <row r="3718" customFormat="false" ht="12.75" hidden="false" customHeight="false" outlineLevel="0" collapsed="false"/>
    <row r="3719" customFormat="false" ht="12.75" hidden="false" customHeight="false" outlineLevel="0" collapsed="false"/>
    <row r="3720" customFormat="false" ht="12.75" hidden="false" customHeight="false" outlineLevel="0" collapsed="false"/>
    <row r="3721" customFormat="false" ht="12.75" hidden="false" customHeight="false" outlineLevel="0" collapsed="false"/>
    <row r="3722" customFormat="false" ht="12.75" hidden="false" customHeight="false" outlineLevel="0" collapsed="false"/>
    <row r="3723" customFormat="false" ht="12.75" hidden="false" customHeight="false" outlineLevel="0" collapsed="false"/>
    <row r="3724" customFormat="false" ht="12.75" hidden="false" customHeight="false" outlineLevel="0" collapsed="false"/>
    <row r="3725" customFormat="false" ht="12.75" hidden="false" customHeight="false" outlineLevel="0" collapsed="false"/>
    <row r="3726" customFormat="false" ht="12.75" hidden="false" customHeight="false" outlineLevel="0" collapsed="false"/>
    <row r="3727" customFormat="false" ht="12.75" hidden="false" customHeight="false" outlineLevel="0" collapsed="false"/>
    <row r="3728" customFormat="false" ht="12.75" hidden="false" customHeight="false" outlineLevel="0" collapsed="false"/>
    <row r="3729" customFormat="false" ht="12.75" hidden="false" customHeight="false" outlineLevel="0" collapsed="false"/>
    <row r="3730" customFormat="false" ht="12.75" hidden="false" customHeight="false" outlineLevel="0" collapsed="false"/>
    <row r="3731" customFormat="false" ht="12.75" hidden="false" customHeight="false" outlineLevel="0" collapsed="false"/>
    <row r="3732" customFormat="false" ht="12.75" hidden="false" customHeight="false" outlineLevel="0" collapsed="false"/>
    <row r="3733" customFormat="false" ht="12.75" hidden="false" customHeight="false" outlineLevel="0" collapsed="false"/>
    <row r="3734" customFormat="false" ht="12.75" hidden="false" customHeight="false" outlineLevel="0" collapsed="false"/>
    <row r="3735" customFormat="false" ht="12.75" hidden="false" customHeight="false" outlineLevel="0" collapsed="false"/>
    <row r="3736" customFormat="false" ht="12.75" hidden="false" customHeight="false" outlineLevel="0" collapsed="false"/>
    <row r="3737" customFormat="false" ht="12.75" hidden="false" customHeight="false" outlineLevel="0" collapsed="false"/>
    <row r="3738" customFormat="false" ht="12.75" hidden="false" customHeight="false" outlineLevel="0" collapsed="false"/>
    <row r="3739" customFormat="false" ht="12.75" hidden="false" customHeight="false" outlineLevel="0" collapsed="false"/>
    <row r="3740" customFormat="false" ht="12.75" hidden="false" customHeight="false" outlineLevel="0" collapsed="false"/>
    <row r="3741" customFormat="false" ht="12.75" hidden="false" customHeight="false" outlineLevel="0" collapsed="false"/>
    <row r="3742" customFormat="false" ht="12.75" hidden="false" customHeight="false" outlineLevel="0" collapsed="false"/>
    <row r="3743" customFormat="false" ht="12.75" hidden="false" customHeight="false" outlineLevel="0" collapsed="false"/>
    <row r="3744" customFormat="false" ht="12.75" hidden="false" customHeight="false" outlineLevel="0" collapsed="false"/>
    <row r="3745" customFormat="false" ht="12.75" hidden="false" customHeight="false" outlineLevel="0" collapsed="false"/>
    <row r="3746" customFormat="false" ht="12.75" hidden="false" customHeight="false" outlineLevel="0" collapsed="false"/>
    <row r="3747" customFormat="false" ht="12.75" hidden="false" customHeight="false" outlineLevel="0" collapsed="false"/>
    <row r="3748" customFormat="false" ht="12.75" hidden="false" customHeight="false" outlineLevel="0" collapsed="false"/>
    <row r="3749" customFormat="false" ht="12.75" hidden="false" customHeight="false" outlineLevel="0" collapsed="false"/>
    <row r="3750" customFormat="false" ht="12.75" hidden="false" customHeight="false" outlineLevel="0" collapsed="false"/>
    <row r="3751" customFormat="false" ht="12.75" hidden="false" customHeight="false" outlineLevel="0" collapsed="false"/>
    <row r="3752" customFormat="false" ht="12.75" hidden="false" customHeight="false" outlineLevel="0" collapsed="false"/>
    <row r="3753" customFormat="false" ht="12.75" hidden="false" customHeight="false" outlineLevel="0" collapsed="false"/>
    <row r="3754" customFormat="false" ht="12.75" hidden="false" customHeight="false" outlineLevel="0" collapsed="false"/>
    <row r="3755" customFormat="false" ht="12.75" hidden="false" customHeight="false" outlineLevel="0" collapsed="false"/>
    <row r="3756" customFormat="false" ht="12.75" hidden="false" customHeight="false" outlineLevel="0" collapsed="false"/>
    <row r="3757" customFormat="false" ht="12.75" hidden="false" customHeight="false" outlineLevel="0" collapsed="false"/>
    <row r="3758" customFormat="false" ht="12.75" hidden="false" customHeight="false" outlineLevel="0" collapsed="false"/>
    <row r="3759" customFormat="false" ht="12.75" hidden="false" customHeight="false" outlineLevel="0" collapsed="false"/>
    <row r="3760" customFormat="false" ht="12.75" hidden="false" customHeight="false" outlineLevel="0" collapsed="false"/>
    <row r="3761" customFormat="false" ht="12.75" hidden="false" customHeight="false" outlineLevel="0" collapsed="false"/>
    <row r="3762" customFormat="false" ht="12.75" hidden="false" customHeight="false" outlineLevel="0" collapsed="false"/>
    <row r="3763" customFormat="false" ht="12.75" hidden="false" customHeight="false" outlineLevel="0" collapsed="false"/>
    <row r="3764" customFormat="false" ht="12.75" hidden="false" customHeight="false" outlineLevel="0" collapsed="false"/>
    <row r="3765" customFormat="false" ht="12.75" hidden="false" customHeight="false" outlineLevel="0" collapsed="false"/>
    <row r="3766" customFormat="false" ht="12.75" hidden="false" customHeight="false" outlineLevel="0" collapsed="false"/>
    <row r="3767" customFormat="false" ht="12.75" hidden="false" customHeight="false" outlineLevel="0" collapsed="false"/>
    <row r="3768" customFormat="false" ht="12.75" hidden="false" customHeight="false" outlineLevel="0" collapsed="false"/>
    <row r="3769" customFormat="false" ht="12.75" hidden="false" customHeight="false" outlineLevel="0" collapsed="false"/>
    <row r="3770" customFormat="false" ht="12.75" hidden="false" customHeight="false" outlineLevel="0" collapsed="false"/>
    <row r="3771" customFormat="false" ht="12.75" hidden="false" customHeight="false" outlineLevel="0" collapsed="false"/>
    <row r="3772" customFormat="false" ht="12.75" hidden="false" customHeight="false" outlineLevel="0" collapsed="false"/>
    <row r="3773" customFormat="false" ht="12.75" hidden="false" customHeight="false" outlineLevel="0" collapsed="false"/>
    <row r="3774" customFormat="false" ht="12.75" hidden="false" customHeight="false" outlineLevel="0" collapsed="false"/>
    <row r="3775" customFormat="false" ht="12.75" hidden="false" customHeight="false" outlineLevel="0" collapsed="false"/>
    <row r="3776" customFormat="false" ht="12.75" hidden="false" customHeight="false" outlineLevel="0" collapsed="false"/>
    <row r="3777" customFormat="false" ht="12.75" hidden="false" customHeight="false" outlineLevel="0" collapsed="false"/>
    <row r="3778" customFormat="false" ht="12.75" hidden="false" customHeight="false" outlineLevel="0" collapsed="false"/>
    <row r="3779" customFormat="false" ht="12.75" hidden="false" customHeight="false" outlineLevel="0" collapsed="false"/>
    <row r="3780" customFormat="false" ht="12.75" hidden="false" customHeight="false" outlineLevel="0" collapsed="false"/>
    <row r="3781" customFormat="false" ht="12.75" hidden="false" customHeight="false" outlineLevel="0" collapsed="false"/>
    <row r="3782" customFormat="false" ht="12.75" hidden="false" customHeight="false" outlineLevel="0" collapsed="false"/>
    <row r="3783" customFormat="false" ht="12.75" hidden="false" customHeight="false" outlineLevel="0" collapsed="false"/>
    <row r="3784" customFormat="false" ht="12.75" hidden="false" customHeight="false" outlineLevel="0" collapsed="false"/>
    <row r="3785" customFormat="false" ht="12.75" hidden="false" customHeight="false" outlineLevel="0" collapsed="false"/>
    <row r="3786" customFormat="false" ht="12.75" hidden="false" customHeight="false" outlineLevel="0" collapsed="false"/>
    <row r="3787" customFormat="false" ht="12.75" hidden="false" customHeight="false" outlineLevel="0" collapsed="false"/>
    <row r="3788" customFormat="false" ht="12.75" hidden="false" customHeight="false" outlineLevel="0" collapsed="false"/>
    <row r="3789" customFormat="false" ht="12.75" hidden="false" customHeight="false" outlineLevel="0" collapsed="false"/>
    <row r="3790" customFormat="false" ht="12.75" hidden="false" customHeight="false" outlineLevel="0" collapsed="false"/>
    <row r="3791" customFormat="false" ht="12.75" hidden="false" customHeight="false" outlineLevel="0" collapsed="false"/>
    <row r="3792" customFormat="false" ht="12.75" hidden="false" customHeight="false" outlineLevel="0" collapsed="false"/>
    <row r="3793" customFormat="false" ht="12.75" hidden="false" customHeight="false" outlineLevel="0" collapsed="false"/>
    <row r="3794" customFormat="false" ht="12.75" hidden="false" customHeight="false" outlineLevel="0" collapsed="false"/>
    <row r="3795" customFormat="false" ht="12.75" hidden="false" customHeight="false" outlineLevel="0" collapsed="false"/>
    <row r="3796" customFormat="false" ht="12.75" hidden="false" customHeight="false" outlineLevel="0" collapsed="false"/>
    <row r="3797" customFormat="false" ht="12.75" hidden="false" customHeight="false" outlineLevel="0" collapsed="false"/>
    <row r="3798" customFormat="false" ht="12.75" hidden="false" customHeight="false" outlineLevel="0" collapsed="false"/>
    <row r="3799" customFormat="false" ht="12.75" hidden="false" customHeight="false" outlineLevel="0" collapsed="false"/>
    <row r="3800" customFormat="false" ht="12.75" hidden="false" customHeight="false" outlineLevel="0" collapsed="false"/>
    <row r="3801" customFormat="false" ht="12.75" hidden="false" customHeight="false" outlineLevel="0" collapsed="false"/>
    <row r="3802" customFormat="false" ht="12.75" hidden="false" customHeight="false" outlineLevel="0" collapsed="false"/>
    <row r="3803" customFormat="false" ht="12.75" hidden="false" customHeight="false" outlineLevel="0" collapsed="false"/>
    <row r="3804" customFormat="false" ht="12.75" hidden="false" customHeight="false" outlineLevel="0" collapsed="false"/>
    <row r="3805" customFormat="false" ht="12.75" hidden="false" customHeight="false" outlineLevel="0" collapsed="false"/>
    <row r="3806" customFormat="false" ht="12.75" hidden="false" customHeight="false" outlineLevel="0" collapsed="false"/>
    <row r="3807" customFormat="false" ht="12.75" hidden="false" customHeight="false" outlineLevel="0" collapsed="false"/>
    <row r="3808" customFormat="false" ht="12.75" hidden="false" customHeight="false" outlineLevel="0" collapsed="false"/>
    <row r="3809" customFormat="false" ht="12.75" hidden="false" customHeight="false" outlineLevel="0" collapsed="false"/>
    <row r="3810" customFormat="false" ht="12.75" hidden="false" customHeight="false" outlineLevel="0" collapsed="false"/>
    <row r="3811" customFormat="false" ht="12.75" hidden="false" customHeight="false" outlineLevel="0" collapsed="false"/>
    <row r="3812" customFormat="false" ht="12.75" hidden="false" customHeight="false" outlineLevel="0" collapsed="false"/>
    <row r="3813" customFormat="false" ht="12.75" hidden="false" customHeight="false" outlineLevel="0" collapsed="false"/>
    <row r="3814" customFormat="false" ht="12.75" hidden="false" customHeight="false" outlineLevel="0" collapsed="false"/>
    <row r="3815" customFormat="false" ht="12.75" hidden="false" customHeight="false" outlineLevel="0" collapsed="false"/>
    <row r="3816" customFormat="false" ht="12.75" hidden="false" customHeight="false" outlineLevel="0" collapsed="false"/>
    <row r="3817" customFormat="false" ht="12.75" hidden="false" customHeight="false" outlineLevel="0" collapsed="false"/>
    <row r="3818" customFormat="false" ht="12.75" hidden="false" customHeight="false" outlineLevel="0" collapsed="false"/>
    <row r="3819" customFormat="false" ht="12.75" hidden="false" customHeight="false" outlineLevel="0" collapsed="false"/>
    <row r="3820" customFormat="false" ht="12.75" hidden="false" customHeight="false" outlineLevel="0" collapsed="false"/>
    <row r="3821" customFormat="false" ht="12.75" hidden="false" customHeight="false" outlineLevel="0" collapsed="false"/>
    <row r="3822" customFormat="false" ht="12.75" hidden="false" customHeight="false" outlineLevel="0" collapsed="false"/>
    <row r="3823" customFormat="false" ht="12.75" hidden="false" customHeight="false" outlineLevel="0" collapsed="false"/>
    <row r="3824" customFormat="false" ht="12.75" hidden="false" customHeight="false" outlineLevel="0" collapsed="false"/>
    <row r="3825" customFormat="false" ht="12.75" hidden="false" customHeight="false" outlineLevel="0" collapsed="false"/>
    <row r="3826" customFormat="false" ht="12.75" hidden="false" customHeight="false" outlineLevel="0" collapsed="false"/>
    <row r="3827" customFormat="false" ht="12.75" hidden="false" customHeight="false" outlineLevel="0" collapsed="false"/>
    <row r="3828" customFormat="false" ht="12.75" hidden="false" customHeight="false" outlineLevel="0" collapsed="false"/>
    <row r="3829" customFormat="false" ht="12.75" hidden="false" customHeight="false" outlineLevel="0" collapsed="false"/>
    <row r="3830" customFormat="false" ht="12.75" hidden="false" customHeight="false" outlineLevel="0" collapsed="false"/>
    <row r="3831" customFormat="false" ht="12.75" hidden="false" customHeight="false" outlineLevel="0" collapsed="false"/>
    <row r="3832" customFormat="false" ht="12.75" hidden="false" customHeight="false" outlineLevel="0" collapsed="false"/>
    <row r="3833" customFormat="false" ht="12.75" hidden="false" customHeight="false" outlineLevel="0" collapsed="false"/>
    <row r="3834" customFormat="false" ht="12.75" hidden="false" customHeight="false" outlineLevel="0" collapsed="false"/>
    <row r="3835" customFormat="false" ht="12.75" hidden="false" customHeight="false" outlineLevel="0" collapsed="false"/>
    <row r="3836" customFormat="false" ht="12.75" hidden="false" customHeight="false" outlineLevel="0" collapsed="false"/>
    <row r="3837" customFormat="false" ht="12.75" hidden="false" customHeight="false" outlineLevel="0" collapsed="false"/>
    <row r="3838" customFormat="false" ht="12.75" hidden="false" customHeight="false" outlineLevel="0" collapsed="false"/>
    <row r="3839" customFormat="false" ht="12.75" hidden="false" customHeight="false" outlineLevel="0" collapsed="false"/>
    <row r="3840" customFormat="false" ht="12.75" hidden="false" customHeight="false" outlineLevel="0" collapsed="false"/>
    <row r="3841" customFormat="false" ht="12.75" hidden="false" customHeight="false" outlineLevel="0" collapsed="false"/>
    <row r="3842" customFormat="false" ht="12.75" hidden="false" customHeight="false" outlineLevel="0" collapsed="false"/>
    <row r="3843" customFormat="false" ht="12.75" hidden="false" customHeight="false" outlineLevel="0" collapsed="false"/>
    <row r="3844" customFormat="false" ht="12.75" hidden="false" customHeight="false" outlineLevel="0" collapsed="false"/>
    <row r="3845" customFormat="false" ht="12.75" hidden="false" customHeight="false" outlineLevel="0" collapsed="false"/>
    <row r="3846" customFormat="false" ht="12.75" hidden="false" customHeight="false" outlineLevel="0" collapsed="false"/>
    <row r="3847" customFormat="false" ht="12.75" hidden="false" customHeight="false" outlineLevel="0" collapsed="false"/>
    <row r="3848" customFormat="false" ht="12.75" hidden="false" customHeight="false" outlineLevel="0" collapsed="false"/>
    <row r="3849" customFormat="false" ht="12.75" hidden="false" customHeight="false" outlineLevel="0" collapsed="false"/>
    <row r="3850" customFormat="false" ht="12.75" hidden="false" customHeight="false" outlineLevel="0" collapsed="false"/>
    <row r="3851" customFormat="false" ht="12.75" hidden="false" customHeight="false" outlineLevel="0" collapsed="false"/>
    <row r="3852" customFormat="false" ht="12.75" hidden="false" customHeight="false" outlineLevel="0" collapsed="false"/>
    <row r="3853" customFormat="false" ht="12.75" hidden="false" customHeight="false" outlineLevel="0" collapsed="false"/>
    <row r="3854" customFormat="false" ht="12.75" hidden="false" customHeight="false" outlineLevel="0" collapsed="false"/>
    <row r="3855" customFormat="false" ht="12.75" hidden="false" customHeight="false" outlineLevel="0" collapsed="false"/>
    <row r="3856" customFormat="false" ht="12.75" hidden="false" customHeight="false" outlineLevel="0" collapsed="false"/>
    <row r="3857" customFormat="false" ht="12.75" hidden="false" customHeight="false" outlineLevel="0" collapsed="false"/>
    <row r="3858" customFormat="false" ht="12.75" hidden="false" customHeight="false" outlineLevel="0" collapsed="false"/>
    <row r="3859" customFormat="false" ht="12.75" hidden="false" customHeight="false" outlineLevel="0" collapsed="false"/>
    <row r="3860" customFormat="false" ht="12.75" hidden="false" customHeight="false" outlineLevel="0" collapsed="false"/>
    <row r="3861" customFormat="false" ht="12.75" hidden="false" customHeight="false" outlineLevel="0" collapsed="false"/>
    <row r="3862" customFormat="false" ht="12.75" hidden="false" customHeight="false" outlineLevel="0" collapsed="false"/>
    <row r="3863" customFormat="false" ht="12.75" hidden="false" customHeight="false" outlineLevel="0" collapsed="false"/>
    <row r="3864" customFormat="false" ht="12.75" hidden="false" customHeight="false" outlineLevel="0" collapsed="false"/>
    <row r="3865" customFormat="false" ht="12.75" hidden="false" customHeight="false" outlineLevel="0" collapsed="false"/>
    <row r="3866" customFormat="false" ht="12.75" hidden="false" customHeight="false" outlineLevel="0" collapsed="false"/>
    <row r="3867" customFormat="false" ht="12.75" hidden="false" customHeight="false" outlineLevel="0" collapsed="false"/>
    <row r="3868" customFormat="false" ht="12.75" hidden="false" customHeight="false" outlineLevel="0" collapsed="false"/>
    <row r="3869" customFormat="false" ht="12.75" hidden="false" customHeight="false" outlineLevel="0" collapsed="false"/>
    <row r="3870" customFormat="false" ht="12.75" hidden="false" customHeight="false" outlineLevel="0" collapsed="false"/>
    <row r="3871" customFormat="false" ht="12.75" hidden="false" customHeight="false" outlineLevel="0" collapsed="false"/>
    <row r="3872" customFormat="false" ht="12.75" hidden="false" customHeight="false" outlineLevel="0" collapsed="false"/>
    <row r="3873" customFormat="false" ht="12.75" hidden="false" customHeight="false" outlineLevel="0" collapsed="false"/>
    <row r="3874" customFormat="false" ht="12.75" hidden="false" customHeight="false" outlineLevel="0" collapsed="false"/>
    <row r="3875" customFormat="false" ht="12.75" hidden="false" customHeight="false" outlineLevel="0" collapsed="false"/>
    <row r="3876" customFormat="false" ht="12.75" hidden="false" customHeight="false" outlineLevel="0" collapsed="false"/>
    <row r="3877" customFormat="false" ht="12.75" hidden="false" customHeight="false" outlineLevel="0" collapsed="false"/>
    <row r="3878" customFormat="false" ht="12.75" hidden="false" customHeight="false" outlineLevel="0" collapsed="false"/>
    <row r="3879" customFormat="false" ht="12.75" hidden="false" customHeight="false" outlineLevel="0" collapsed="false"/>
    <row r="3880" customFormat="false" ht="12.75" hidden="false" customHeight="false" outlineLevel="0" collapsed="false"/>
    <row r="3881" customFormat="false" ht="12.75" hidden="false" customHeight="false" outlineLevel="0" collapsed="false"/>
    <row r="3882" customFormat="false" ht="12.75" hidden="false" customHeight="false" outlineLevel="0" collapsed="false"/>
    <row r="3883" customFormat="false" ht="12.75" hidden="false" customHeight="false" outlineLevel="0" collapsed="false"/>
    <row r="3884" customFormat="false" ht="12.75" hidden="false" customHeight="false" outlineLevel="0" collapsed="false"/>
    <row r="3885" customFormat="false" ht="12.75" hidden="false" customHeight="false" outlineLevel="0" collapsed="false"/>
    <row r="3886" customFormat="false" ht="12.75" hidden="false" customHeight="false" outlineLevel="0" collapsed="false"/>
    <row r="3887" customFormat="false" ht="12.75" hidden="false" customHeight="false" outlineLevel="0" collapsed="false"/>
    <row r="3888" customFormat="false" ht="12.75" hidden="false" customHeight="false" outlineLevel="0" collapsed="false"/>
    <row r="3889" customFormat="false" ht="12.75" hidden="false" customHeight="false" outlineLevel="0" collapsed="false"/>
    <row r="3890" customFormat="false" ht="12.75" hidden="false" customHeight="false" outlineLevel="0" collapsed="false"/>
    <row r="3891" customFormat="false" ht="12.75" hidden="false" customHeight="false" outlineLevel="0" collapsed="false"/>
    <row r="3892" customFormat="false" ht="12.75" hidden="false" customHeight="false" outlineLevel="0" collapsed="false"/>
    <row r="3893" customFormat="false" ht="12.75" hidden="false" customHeight="false" outlineLevel="0" collapsed="false"/>
    <row r="3894" customFormat="false" ht="12.75" hidden="false" customHeight="false" outlineLevel="0" collapsed="false"/>
    <row r="3895" customFormat="false" ht="12.75" hidden="false" customHeight="false" outlineLevel="0" collapsed="false"/>
    <row r="3896" customFormat="false" ht="12.75" hidden="false" customHeight="false" outlineLevel="0" collapsed="false"/>
    <row r="3897" customFormat="false" ht="12.75" hidden="false" customHeight="false" outlineLevel="0" collapsed="false"/>
    <row r="3898" customFormat="false" ht="12.75" hidden="false" customHeight="false" outlineLevel="0" collapsed="false"/>
    <row r="3899" customFormat="false" ht="12.75" hidden="false" customHeight="false" outlineLevel="0" collapsed="false"/>
    <row r="3900" customFormat="false" ht="12.75" hidden="false" customHeight="false" outlineLevel="0" collapsed="false"/>
    <row r="3901" customFormat="false" ht="12.75" hidden="false" customHeight="false" outlineLevel="0" collapsed="false"/>
    <row r="3902" customFormat="false" ht="12.75" hidden="false" customHeight="false" outlineLevel="0" collapsed="false"/>
    <row r="3903" customFormat="false" ht="12.75" hidden="false" customHeight="false" outlineLevel="0" collapsed="false"/>
    <row r="3904" customFormat="false" ht="12.75" hidden="false" customHeight="false" outlineLevel="0" collapsed="false"/>
    <row r="3905" customFormat="false" ht="12.75" hidden="false" customHeight="false" outlineLevel="0" collapsed="false"/>
    <row r="3906" customFormat="false" ht="12.75" hidden="false" customHeight="false" outlineLevel="0" collapsed="false"/>
    <row r="3907" customFormat="false" ht="12.75" hidden="false" customHeight="false" outlineLevel="0" collapsed="false"/>
    <row r="3908" customFormat="false" ht="12.75" hidden="false" customHeight="false" outlineLevel="0" collapsed="false"/>
    <row r="3909" customFormat="false" ht="12.75" hidden="false" customHeight="false" outlineLevel="0" collapsed="false"/>
    <row r="3910" customFormat="false" ht="12.75" hidden="false" customHeight="false" outlineLevel="0" collapsed="false"/>
    <row r="3911" customFormat="false" ht="12.75" hidden="false" customHeight="false" outlineLevel="0" collapsed="false"/>
    <row r="3912" customFormat="false" ht="12.75" hidden="false" customHeight="false" outlineLevel="0" collapsed="false"/>
    <row r="3913" customFormat="false" ht="12.75" hidden="false" customHeight="false" outlineLevel="0" collapsed="false"/>
    <row r="3914" customFormat="false" ht="12.75" hidden="false" customHeight="false" outlineLevel="0" collapsed="false"/>
    <row r="3915" customFormat="false" ht="12.75" hidden="false" customHeight="false" outlineLevel="0" collapsed="false"/>
    <row r="3916" customFormat="false" ht="12.75" hidden="false" customHeight="false" outlineLevel="0" collapsed="false"/>
    <row r="3917" customFormat="false" ht="12.75" hidden="false" customHeight="false" outlineLevel="0" collapsed="false"/>
    <row r="3918" customFormat="false" ht="12.75" hidden="false" customHeight="false" outlineLevel="0" collapsed="false"/>
    <row r="3919" customFormat="false" ht="12.75" hidden="false" customHeight="false" outlineLevel="0" collapsed="false"/>
    <row r="3920" customFormat="false" ht="12.75" hidden="false" customHeight="false" outlineLevel="0" collapsed="false"/>
    <row r="3921" customFormat="false" ht="12.75" hidden="false" customHeight="false" outlineLevel="0" collapsed="false"/>
    <row r="3922" customFormat="false" ht="12.75" hidden="false" customHeight="false" outlineLevel="0" collapsed="false"/>
    <row r="3923" customFormat="false" ht="12.75" hidden="false" customHeight="false" outlineLevel="0" collapsed="false"/>
    <row r="3924" customFormat="false" ht="12.75" hidden="false" customHeight="false" outlineLevel="0" collapsed="false"/>
    <row r="3925" customFormat="false" ht="12.75" hidden="false" customHeight="false" outlineLevel="0" collapsed="false"/>
    <row r="3926" customFormat="false" ht="12.75" hidden="false" customHeight="false" outlineLevel="0" collapsed="false"/>
    <row r="3927" customFormat="false" ht="12.75" hidden="false" customHeight="false" outlineLevel="0" collapsed="false"/>
    <row r="3928" customFormat="false" ht="12.75" hidden="false" customHeight="false" outlineLevel="0" collapsed="false"/>
    <row r="3929" customFormat="false" ht="12.75" hidden="false" customHeight="false" outlineLevel="0" collapsed="false"/>
    <row r="3930" customFormat="false" ht="12.75" hidden="false" customHeight="false" outlineLevel="0" collapsed="false"/>
    <row r="3931" customFormat="false" ht="12.75" hidden="false" customHeight="false" outlineLevel="0" collapsed="false"/>
    <row r="3932" customFormat="false" ht="12.75" hidden="false" customHeight="false" outlineLevel="0" collapsed="false"/>
    <row r="3933" customFormat="false" ht="12.75" hidden="false" customHeight="false" outlineLevel="0" collapsed="false"/>
    <row r="3934" customFormat="false" ht="12.75" hidden="false" customHeight="false" outlineLevel="0" collapsed="false"/>
    <row r="3935" customFormat="false" ht="12.75" hidden="false" customHeight="false" outlineLevel="0" collapsed="false"/>
    <row r="3936" customFormat="false" ht="12.75" hidden="false" customHeight="false" outlineLevel="0" collapsed="false"/>
    <row r="3937" customFormat="false" ht="12.75" hidden="false" customHeight="false" outlineLevel="0" collapsed="false"/>
    <row r="3938" customFormat="false" ht="12.75" hidden="false" customHeight="false" outlineLevel="0" collapsed="false"/>
    <row r="3939" customFormat="false" ht="12.75" hidden="false" customHeight="false" outlineLevel="0" collapsed="false"/>
    <row r="3940" customFormat="false" ht="12.75" hidden="false" customHeight="false" outlineLevel="0" collapsed="false"/>
    <row r="3941" customFormat="false" ht="12.75" hidden="false" customHeight="false" outlineLevel="0" collapsed="false"/>
    <row r="3942" customFormat="false" ht="12.75" hidden="false" customHeight="false" outlineLevel="0" collapsed="false"/>
    <row r="3943" customFormat="false" ht="12.75" hidden="false" customHeight="false" outlineLevel="0" collapsed="false"/>
    <row r="3944" customFormat="false" ht="12.75" hidden="false" customHeight="false" outlineLevel="0" collapsed="false"/>
    <row r="3945" customFormat="false" ht="12.75" hidden="false" customHeight="false" outlineLevel="0" collapsed="false"/>
    <row r="3946" customFormat="false" ht="12.75" hidden="false" customHeight="false" outlineLevel="0" collapsed="false"/>
    <row r="3947" customFormat="false" ht="12.75" hidden="false" customHeight="false" outlineLevel="0" collapsed="false"/>
    <row r="3948" customFormat="false" ht="12.75" hidden="false" customHeight="false" outlineLevel="0" collapsed="false"/>
    <row r="3949" customFormat="false" ht="12.75" hidden="false" customHeight="false" outlineLevel="0" collapsed="false"/>
    <row r="3950" customFormat="false" ht="12.75" hidden="false" customHeight="false" outlineLevel="0" collapsed="false"/>
    <row r="3951" customFormat="false" ht="12.75" hidden="false" customHeight="false" outlineLevel="0" collapsed="false"/>
    <row r="3952" customFormat="false" ht="12.75" hidden="false" customHeight="false" outlineLevel="0" collapsed="false"/>
    <row r="3953" customFormat="false" ht="12.75" hidden="false" customHeight="false" outlineLevel="0" collapsed="false"/>
    <row r="3954" customFormat="false" ht="12.75" hidden="false" customHeight="false" outlineLevel="0" collapsed="false"/>
    <row r="3955" customFormat="false" ht="12.75" hidden="false" customHeight="false" outlineLevel="0" collapsed="false"/>
    <row r="3956" customFormat="false" ht="12.75" hidden="false" customHeight="false" outlineLevel="0" collapsed="false"/>
    <row r="3957" customFormat="false" ht="12.75" hidden="false" customHeight="false" outlineLevel="0" collapsed="false"/>
    <row r="3958" customFormat="false" ht="12.75" hidden="false" customHeight="false" outlineLevel="0" collapsed="false"/>
    <row r="3959" customFormat="false" ht="12.75" hidden="false" customHeight="false" outlineLevel="0" collapsed="false"/>
    <row r="3960" customFormat="false" ht="12.75" hidden="false" customHeight="false" outlineLevel="0" collapsed="false"/>
    <row r="3961" customFormat="false" ht="12.75" hidden="false" customHeight="false" outlineLevel="0" collapsed="false"/>
    <row r="3962" customFormat="false" ht="12.75" hidden="false" customHeight="false" outlineLevel="0" collapsed="false"/>
    <row r="3963" customFormat="false" ht="12.75" hidden="false" customHeight="false" outlineLevel="0" collapsed="false"/>
    <row r="3964" customFormat="false" ht="12.75" hidden="false" customHeight="false" outlineLevel="0" collapsed="false"/>
    <row r="3965" customFormat="false" ht="12.75" hidden="false" customHeight="false" outlineLevel="0" collapsed="false"/>
    <row r="3966" customFormat="false" ht="12.75" hidden="false" customHeight="false" outlineLevel="0" collapsed="false"/>
    <row r="3967" customFormat="false" ht="12.75" hidden="false" customHeight="false" outlineLevel="0" collapsed="false"/>
    <row r="3968" customFormat="false" ht="12.75" hidden="false" customHeight="false" outlineLevel="0" collapsed="false"/>
    <row r="3969" customFormat="false" ht="12.75" hidden="false" customHeight="false" outlineLevel="0" collapsed="false"/>
    <row r="3970" customFormat="false" ht="12.75" hidden="false" customHeight="false" outlineLevel="0" collapsed="false"/>
    <row r="3971" customFormat="false" ht="12.75" hidden="false" customHeight="false" outlineLevel="0" collapsed="false"/>
    <row r="3972" customFormat="false" ht="12.75" hidden="false" customHeight="false" outlineLevel="0" collapsed="false"/>
    <row r="3973" customFormat="false" ht="12.75" hidden="false" customHeight="false" outlineLevel="0" collapsed="false"/>
    <row r="3974" customFormat="false" ht="12.75" hidden="false" customHeight="false" outlineLevel="0" collapsed="false"/>
    <row r="3975" customFormat="false" ht="12.75" hidden="false" customHeight="false" outlineLevel="0" collapsed="false"/>
    <row r="3976" customFormat="false" ht="12.75" hidden="false" customHeight="false" outlineLevel="0" collapsed="false"/>
    <row r="3977" customFormat="false" ht="12.75" hidden="false" customHeight="false" outlineLevel="0" collapsed="false"/>
    <row r="3978" customFormat="false" ht="12.75" hidden="false" customHeight="false" outlineLevel="0" collapsed="false"/>
    <row r="3979" customFormat="false" ht="12.75" hidden="false" customHeight="false" outlineLevel="0" collapsed="false"/>
    <row r="3980" customFormat="false" ht="12.75" hidden="false" customHeight="false" outlineLevel="0" collapsed="false"/>
    <row r="3981" customFormat="false" ht="12.75" hidden="false" customHeight="false" outlineLevel="0" collapsed="false"/>
    <row r="3982" customFormat="false" ht="12.75" hidden="false" customHeight="false" outlineLevel="0" collapsed="false"/>
    <row r="3983" customFormat="false" ht="12.75" hidden="false" customHeight="false" outlineLevel="0" collapsed="false"/>
    <row r="3984" customFormat="false" ht="12.75" hidden="false" customHeight="false" outlineLevel="0" collapsed="false"/>
    <row r="3985" customFormat="false" ht="12.75" hidden="false" customHeight="false" outlineLevel="0" collapsed="false"/>
    <row r="3986" customFormat="false" ht="12.75" hidden="false" customHeight="false" outlineLevel="0" collapsed="false"/>
    <row r="3987" customFormat="false" ht="12.75" hidden="false" customHeight="false" outlineLevel="0" collapsed="false"/>
    <row r="3988" customFormat="false" ht="12.75" hidden="false" customHeight="false" outlineLevel="0" collapsed="false"/>
    <row r="3989" customFormat="false" ht="12.75" hidden="false" customHeight="false" outlineLevel="0" collapsed="false"/>
    <row r="3990" customFormat="false" ht="12.75" hidden="false" customHeight="false" outlineLevel="0" collapsed="false"/>
    <row r="3991" customFormat="false" ht="12.75" hidden="false" customHeight="false" outlineLevel="0" collapsed="false"/>
    <row r="3992" customFormat="false" ht="12.75" hidden="false" customHeight="false" outlineLevel="0" collapsed="false"/>
    <row r="3993" customFormat="false" ht="12.75" hidden="false" customHeight="false" outlineLevel="0" collapsed="false"/>
    <row r="3994" customFormat="false" ht="12.75" hidden="false" customHeight="false" outlineLevel="0" collapsed="false"/>
    <row r="3995" customFormat="false" ht="12.75" hidden="false" customHeight="false" outlineLevel="0" collapsed="false"/>
    <row r="3996" customFormat="false" ht="12.75" hidden="false" customHeight="false" outlineLevel="0" collapsed="false"/>
    <row r="3997" customFormat="false" ht="12.75" hidden="false" customHeight="false" outlineLevel="0" collapsed="false"/>
    <row r="3998" customFormat="false" ht="12.75" hidden="false" customHeight="false" outlineLevel="0" collapsed="false"/>
    <row r="3999" customFormat="false" ht="12.75" hidden="false" customHeight="false" outlineLevel="0" collapsed="false"/>
    <row r="4000" customFormat="false" ht="12.75" hidden="false" customHeight="false" outlineLevel="0" collapsed="false"/>
    <row r="4001" customFormat="false" ht="12.75" hidden="false" customHeight="false" outlineLevel="0" collapsed="false"/>
    <row r="4002" customFormat="false" ht="12.75" hidden="false" customHeight="false" outlineLevel="0" collapsed="false"/>
    <row r="4003" customFormat="false" ht="12.75" hidden="false" customHeight="false" outlineLevel="0" collapsed="false"/>
    <row r="4004" customFormat="false" ht="12.75" hidden="false" customHeight="false" outlineLevel="0" collapsed="false"/>
    <row r="4005" customFormat="false" ht="12.75" hidden="false" customHeight="false" outlineLevel="0" collapsed="false"/>
    <row r="4006" customFormat="false" ht="12.75" hidden="false" customHeight="false" outlineLevel="0" collapsed="false"/>
    <row r="4007" customFormat="false" ht="12.75" hidden="false" customHeight="false" outlineLevel="0" collapsed="false"/>
    <row r="4008" customFormat="false" ht="12.75" hidden="false" customHeight="false" outlineLevel="0" collapsed="false"/>
    <row r="4009" customFormat="false" ht="12.75" hidden="false" customHeight="false" outlineLevel="0" collapsed="false"/>
    <row r="4010" customFormat="false" ht="12.75" hidden="false" customHeight="false" outlineLevel="0" collapsed="false"/>
    <row r="4011" customFormat="false" ht="12.75" hidden="false" customHeight="false" outlineLevel="0" collapsed="false"/>
    <row r="4012" customFormat="false" ht="12.75" hidden="false" customHeight="false" outlineLevel="0" collapsed="false"/>
    <row r="4013" customFormat="false" ht="12.75" hidden="false" customHeight="false" outlineLevel="0" collapsed="false"/>
    <row r="4014" customFormat="false" ht="12.75" hidden="false" customHeight="false" outlineLevel="0" collapsed="false"/>
    <row r="4015" customFormat="false" ht="12.75" hidden="false" customHeight="false" outlineLevel="0" collapsed="false"/>
    <row r="4016" customFormat="false" ht="12.75" hidden="false" customHeight="false" outlineLevel="0" collapsed="false"/>
    <row r="4017" customFormat="false" ht="12.75" hidden="false" customHeight="false" outlineLevel="0" collapsed="false"/>
    <row r="4018" customFormat="false" ht="12.75" hidden="false" customHeight="false" outlineLevel="0" collapsed="false"/>
    <row r="4019" customFormat="false" ht="12.75" hidden="false" customHeight="false" outlineLevel="0" collapsed="false"/>
    <row r="4020" customFormat="false" ht="12.75" hidden="false" customHeight="false" outlineLevel="0" collapsed="false"/>
    <row r="4021" customFormat="false" ht="12.75" hidden="false" customHeight="false" outlineLevel="0" collapsed="false"/>
    <row r="4022" customFormat="false" ht="12.75" hidden="false" customHeight="false" outlineLevel="0" collapsed="false"/>
    <row r="4023" customFormat="false" ht="12.75" hidden="false" customHeight="false" outlineLevel="0" collapsed="false"/>
    <row r="4024" customFormat="false" ht="12.75" hidden="false" customHeight="false" outlineLevel="0" collapsed="false"/>
    <row r="4025" customFormat="false" ht="12.75" hidden="false" customHeight="false" outlineLevel="0" collapsed="false"/>
    <row r="4026" customFormat="false" ht="12.75" hidden="false" customHeight="false" outlineLevel="0" collapsed="false"/>
    <row r="4027" customFormat="false" ht="12.75" hidden="false" customHeight="false" outlineLevel="0" collapsed="false"/>
    <row r="4028" customFormat="false" ht="12.75" hidden="false" customHeight="false" outlineLevel="0" collapsed="false"/>
    <row r="4029" customFormat="false" ht="12.75" hidden="false" customHeight="false" outlineLevel="0" collapsed="false"/>
    <row r="4030" customFormat="false" ht="12.75" hidden="false" customHeight="false" outlineLevel="0" collapsed="false"/>
    <row r="4031" customFormat="false" ht="12.75" hidden="false" customHeight="false" outlineLevel="0" collapsed="false"/>
    <row r="4032" customFormat="false" ht="12.75" hidden="false" customHeight="false" outlineLevel="0" collapsed="false"/>
    <row r="4033" customFormat="false" ht="12.75" hidden="false" customHeight="false" outlineLevel="0" collapsed="false"/>
    <row r="4034" customFormat="false" ht="12.75" hidden="false" customHeight="false" outlineLevel="0" collapsed="false"/>
    <row r="4035" customFormat="false" ht="12.75" hidden="false" customHeight="false" outlineLevel="0" collapsed="false"/>
    <row r="4036" customFormat="false" ht="12.75" hidden="false" customHeight="false" outlineLevel="0" collapsed="false"/>
    <row r="4037" customFormat="false" ht="12.75" hidden="false" customHeight="false" outlineLevel="0" collapsed="false"/>
    <row r="4038" customFormat="false" ht="12.75" hidden="false" customHeight="false" outlineLevel="0" collapsed="false"/>
    <row r="4039" customFormat="false" ht="12.75" hidden="false" customHeight="false" outlineLevel="0" collapsed="false"/>
    <row r="4040" customFormat="false" ht="12.75" hidden="false" customHeight="false" outlineLevel="0" collapsed="false"/>
    <row r="4041" customFormat="false" ht="12.75" hidden="false" customHeight="false" outlineLevel="0" collapsed="false"/>
    <row r="4042" customFormat="false" ht="12.75" hidden="false" customHeight="false" outlineLevel="0" collapsed="false"/>
    <row r="4043" customFormat="false" ht="12.75" hidden="false" customHeight="false" outlineLevel="0" collapsed="false"/>
    <row r="4044" customFormat="false" ht="12.75" hidden="false" customHeight="false" outlineLevel="0" collapsed="false"/>
    <row r="4045" customFormat="false" ht="12.75" hidden="false" customHeight="false" outlineLevel="0" collapsed="false"/>
    <row r="4046" customFormat="false" ht="12.75" hidden="false" customHeight="false" outlineLevel="0" collapsed="false"/>
    <row r="4047" customFormat="false" ht="12.75" hidden="false" customHeight="false" outlineLevel="0" collapsed="false"/>
    <row r="4048" customFormat="false" ht="12.75" hidden="false" customHeight="false" outlineLevel="0" collapsed="false"/>
    <row r="4049" customFormat="false" ht="12.75" hidden="false" customHeight="false" outlineLevel="0" collapsed="false"/>
    <row r="4050" customFormat="false" ht="12.75" hidden="false" customHeight="false" outlineLevel="0" collapsed="false"/>
    <row r="4051" customFormat="false" ht="12.75" hidden="false" customHeight="false" outlineLevel="0" collapsed="false"/>
    <row r="4052" customFormat="false" ht="12.75" hidden="false" customHeight="false" outlineLevel="0" collapsed="false"/>
    <row r="4053" customFormat="false" ht="12.75" hidden="false" customHeight="false" outlineLevel="0" collapsed="false"/>
    <row r="4054" customFormat="false" ht="12.75" hidden="false" customHeight="false" outlineLevel="0" collapsed="false"/>
    <row r="4055" customFormat="false" ht="12.75" hidden="false" customHeight="false" outlineLevel="0" collapsed="false"/>
    <row r="4056" customFormat="false" ht="12.75" hidden="false" customHeight="false" outlineLevel="0" collapsed="false"/>
    <row r="4057" customFormat="false" ht="12.75" hidden="false" customHeight="false" outlineLevel="0" collapsed="false"/>
    <row r="4058" customFormat="false" ht="12.75" hidden="false" customHeight="false" outlineLevel="0" collapsed="false"/>
    <row r="4059" customFormat="false" ht="12.75" hidden="false" customHeight="false" outlineLevel="0" collapsed="false"/>
    <row r="4060" customFormat="false" ht="12.75" hidden="false" customHeight="false" outlineLevel="0" collapsed="false"/>
    <row r="4061" customFormat="false" ht="12.75" hidden="false" customHeight="false" outlineLevel="0" collapsed="false"/>
    <row r="4062" customFormat="false" ht="12.75" hidden="false" customHeight="false" outlineLevel="0" collapsed="false"/>
    <row r="4063" customFormat="false" ht="12.75" hidden="false" customHeight="false" outlineLevel="0" collapsed="false"/>
    <row r="4064" customFormat="false" ht="12.75" hidden="false" customHeight="false" outlineLevel="0" collapsed="false"/>
    <row r="4065" customFormat="false" ht="12.75" hidden="false" customHeight="false" outlineLevel="0" collapsed="false"/>
    <row r="4066" customFormat="false" ht="12.75" hidden="false" customHeight="false" outlineLevel="0" collapsed="false"/>
    <row r="4067" customFormat="false" ht="12.75" hidden="false" customHeight="false" outlineLevel="0" collapsed="false"/>
    <row r="4068" customFormat="false" ht="12.75" hidden="false" customHeight="false" outlineLevel="0" collapsed="false"/>
    <row r="4069" customFormat="false" ht="12.75" hidden="false" customHeight="false" outlineLevel="0" collapsed="false"/>
    <row r="4070" customFormat="false" ht="12.75" hidden="false" customHeight="false" outlineLevel="0" collapsed="false"/>
    <row r="4071" customFormat="false" ht="12.75" hidden="false" customHeight="false" outlineLevel="0" collapsed="false"/>
    <row r="4072" customFormat="false" ht="12.75" hidden="false" customHeight="false" outlineLevel="0" collapsed="false"/>
    <row r="4073" customFormat="false" ht="12.75" hidden="false" customHeight="false" outlineLevel="0" collapsed="false"/>
    <row r="4074" customFormat="false" ht="12.75" hidden="false" customHeight="false" outlineLevel="0" collapsed="false"/>
    <row r="4075" customFormat="false" ht="12.75" hidden="false" customHeight="false" outlineLevel="0" collapsed="false"/>
    <row r="4076" customFormat="false" ht="12.75" hidden="false" customHeight="false" outlineLevel="0" collapsed="false"/>
    <row r="4077" customFormat="false" ht="12.75" hidden="false" customHeight="false" outlineLevel="0" collapsed="false"/>
    <row r="4078" customFormat="false" ht="12.75" hidden="false" customHeight="false" outlineLevel="0" collapsed="false"/>
    <row r="4079" customFormat="false" ht="12.75" hidden="false" customHeight="false" outlineLevel="0" collapsed="false"/>
    <row r="4080" customFormat="false" ht="12.75" hidden="false" customHeight="false" outlineLevel="0" collapsed="false"/>
    <row r="4081" customFormat="false" ht="12.75" hidden="false" customHeight="false" outlineLevel="0" collapsed="false"/>
    <row r="4082" customFormat="false" ht="12.75" hidden="false" customHeight="false" outlineLevel="0" collapsed="false"/>
    <row r="4083" customFormat="false" ht="12.75" hidden="false" customHeight="false" outlineLevel="0" collapsed="false"/>
    <row r="4084" customFormat="false" ht="12.75" hidden="false" customHeight="false" outlineLevel="0" collapsed="false"/>
    <row r="4085" customFormat="false" ht="12.75" hidden="false" customHeight="false" outlineLevel="0" collapsed="false"/>
    <row r="4086" customFormat="false" ht="12.75" hidden="false" customHeight="false" outlineLevel="0" collapsed="false"/>
    <row r="4087" customFormat="false" ht="12.75" hidden="false" customHeight="false" outlineLevel="0" collapsed="false"/>
    <row r="4088" customFormat="false" ht="12.75" hidden="false" customHeight="false" outlineLevel="0" collapsed="false"/>
    <row r="4089" customFormat="false" ht="12.75" hidden="false" customHeight="false" outlineLevel="0" collapsed="false"/>
    <row r="4090" customFormat="false" ht="12.75" hidden="false" customHeight="false" outlineLevel="0" collapsed="false"/>
    <row r="4091" customFormat="false" ht="12.75" hidden="false" customHeight="false" outlineLevel="0" collapsed="false"/>
    <row r="4092" customFormat="false" ht="12.75" hidden="false" customHeight="false" outlineLevel="0" collapsed="false"/>
    <row r="4093" customFormat="false" ht="12.75" hidden="false" customHeight="false" outlineLevel="0" collapsed="false"/>
    <row r="4094" customFormat="false" ht="12.75" hidden="false" customHeight="false" outlineLevel="0" collapsed="false"/>
    <row r="4095" customFormat="false" ht="12.75" hidden="false" customHeight="false" outlineLevel="0" collapsed="false"/>
    <row r="4096" customFormat="false" ht="12.75" hidden="false" customHeight="false" outlineLevel="0" collapsed="false"/>
    <row r="4097" customFormat="false" ht="12.75" hidden="false" customHeight="false" outlineLevel="0" collapsed="false"/>
    <row r="4098" customFormat="false" ht="12.75" hidden="false" customHeight="false" outlineLevel="0" collapsed="false"/>
    <row r="4099" customFormat="false" ht="12.75" hidden="false" customHeight="false" outlineLevel="0" collapsed="false"/>
    <row r="4100" customFormat="false" ht="12.75" hidden="false" customHeight="false" outlineLevel="0" collapsed="false"/>
    <row r="4101" customFormat="false" ht="12.75" hidden="false" customHeight="false" outlineLevel="0" collapsed="false"/>
    <row r="4102" customFormat="false" ht="12.75" hidden="false" customHeight="false" outlineLevel="0" collapsed="false"/>
    <row r="4103" customFormat="false" ht="12.75" hidden="false" customHeight="false" outlineLevel="0" collapsed="false"/>
    <row r="4104" customFormat="false" ht="12.75" hidden="false" customHeight="false" outlineLevel="0" collapsed="false"/>
    <row r="4105" customFormat="false" ht="12.75" hidden="false" customHeight="false" outlineLevel="0" collapsed="false"/>
    <row r="4106" customFormat="false" ht="12.75" hidden="false" customHeight="false" outlineLevel="0" collapsed="false"/>
    <row r="4107" customFormat="false" ht="12.75" hidden="false" customHeight="false" outlineLevel="0" collapsed="false"/>
    <row r="4108" customFormat="false" ht="12.75" hidden="false" customHeight="false" outlineLevel="0" collapsed="false"/>
    <row r="4109" customFormat="false" ht="12.75" hidden="false" customHeight="false" outlineLevel="0" collapsed="false"/>
    <row r="4110" customFormat="false" ht="12.75" hidden="false" customHeight="false" outlineLevel="0" collapsed="false"/>
    <row r="4111" customFormat="false" ht="12.75" hidden="false" customHeight="false" outlineLevel="0" collapsed="false"/>
    <row r="4112" customFormat="false" ht="12.75" hidden="false" customHeight="false" outlineLevel="0" collapsed="false"/>
    <row r="4113" customFormat="false" ht="12.75" hidden="false" customHeight="false" outlineLevel="0" collapsed="false"/>
    <row r="4114" customFormat="false" ht="12.75" hidden="false" customHeight="false" outlineLevel="0" collapsed="false"/>
    <row r="4115" customFormat="false" ht="12.75" hidden="false" customHeight="false" outlineLevel="0" collapsed="false"/>
    <row r="4116" customFormat="false" ht="12.75" hidden="false" customHeight="false" outlineLevel="0" collapsed="false"/>
    <row r="4117" customFormat="false" ht="12.75" hidden="false" customHeight="false" outlineLevel="0" collapsed="false"/>
    <row r="4118" customFormat="false" ht="12.75" hidden="false" customHeight="false" outlineLevel="0" collapsed="false"/>
    <row r="4119" customFormat="false" ht="12.75" hidden="false" customHeight="false" outlineLevel="0" collapsed="false"/>
    <row r="4120" customFormat="false" ht="12.75" hidden="false" customHeight="false" outlineLevel="0" collapsed="false"/>
    <row r="4121" customFormat="false" ht="12.75" hidden="false" customHeight="false" outlineLevel="0" collapsed="false"/>
    <row r="4122" customFormat="false" ht="12.75" hidden="false" customHeight="false" outlineLevel="0" collapsed="false"/>
    <row r="4123" customFormat="false" ht="12.75" hidden="false" customHeight="false" outlineLevel="0" collapsed="false"/>
    <row r="4124" customFormat="false" ht="12.75" hidden="false" customHeight="false" outlineLevel="0" collapsed="false"/>
    <row r="4125" customFormat="false" ht="12.75" hidden="false" customHeight="false" outlineLevel="0" collapsed="false"/>
    <row r="4126" customFormat="false" ht="12.75" hidden="false" customHeight="false" outlineLevel="0" collapsed="false"/>
    <row r="4127" customFormat="false" ht="12.75" hidden="false" customHeight="false" outlineLevel="0" collapsed="false"/>
    <row r="4128" customFormat="false" ht="12.75" hidden="false" customHeight="false" outlineLevel="0" collapsed="false"/>
    <row r="4129" customFormat="false" ht="12.75" hidden="false" customHeight="false" outlineLevel="0" collapsed="false"/>
    <row r="4130" customFormat="false" ht="12.75" hidden="false" customHeight="false" outlineLevel="0" collapsed="false"/>
    <row r="4131" customFormat="false" ht="12.75" hidden="false" customHeight="false" outlineLevel="0" collapsed="false"/>
    <row r="4132" customFormat="false" ht="12.75" hidden="false" customHeight="false" outlineLevel="0" collapsed="false"/>
    <row r="4133" customFormat="false" ht="12.75" hidden="false" customHeight="false" outlineLevel="0" collapsed="false"/>
    <row r="4134" customFormat="false" ht="12.75" hidden="false" customHeight="false" outlineLevel="0" collapsed="false"/>
    <row r="4135" customFormat="false" ht="12.75" hidden="false" customHeight="false" outlineLevel="0" collapsed="false"/>
    <row r="4136" customFormat="false" ht="12.75" hidden="false" customHeight="false" outlineLevel="0" collapsed="false"/>
    <row r="4137" customFormat="false" ht="12.75" hidden="false" customHeight="false" outlineLevel="0" collapsed="false"/>
    <row r="4138" customFormat="false" ht="12.75" hidden="false" customHeight="false" outlineLevel="0" collapsed="false"/>
    <row r="4139" customFormat="false" ht="12.75" hidden="false" customHeight="false" outlineLevel="0" collapsed="false"/>
    <row r="4140" customFormat="false" ht="12.75" hidden="false" customHeight="false" outlineLevel="0" collapsed="false"/>
    <row r="4141" customFormat="false" ht="12.75" hidden="false" customHeight="false" outlineLevel="0" collapsed="false"/>
    <row r="4142" customFormat="false" ht="12.75" hidden="false" customHeight="false" outlineLevel="0" collapsed="false"/>
    <row r="4143" customFormat="false" ht="12.75" hidden="false" customHeight="false" outlineLevel="0" collapsed="false"/>
    <row r="4144" customFormat="false" ht="12.75" hidden="false" customHeight="false" outlineLevel="0" collapsed="false"/>
    <row r="4145" customFormat="false" ht="12.75" hidden="false" customHeight="false" outlineLevel="0" collapsed="false"/>
    <row r="4146" customFormat="false" ht="12.75" hidden="false" customHeight="false" outlineLevel="0" collapsed="false"/>
    <row r="4147" customFormat="false" ht="12.75" hidden="false" customHeight="false" outlineLevel="0" collapsed="false"/>
    <row r="4148" customFormat="false" ht="12.75" hidden="false" customHeight="false" outlineLevel="0" collapsed="false"/>
    <row r="4149" customFormat="false" ht="12.75" hidden="false" customHeight="false" outlineLevel="0" collapsed="false"/>
    <row r="4150" customFormat="false" ht="12.75" hidden="false" customHeight="false" outlineLevel="0" collapsed="false"/>
    <row r="4151" customFormat="false" ht="12.75" hidden="false" customHeight="false" outlineLevel="0" collapsed="false"/>
    <row r="4152" customFormat="false" ht="12.75" hidden="false" customHeight="false" outlineLevel="0" collapsed="false"/>
    <row r="4153" customFormat="false" ht="12.75" hidden="false" customHeight="false" outlineLevel="0" collapsed="false"/>
    <row r="4154" customFormat="false" ht="12.75" hidden="false" customHeight="false" outlineLevel="0" collapsed="false"/>
    <row r="4155" customFormat="false" ht="12.75" hidden="false" customHeight="false" outlineLevel="0" collapsed="false"/>
    <row r="4156" customFormat="false" ht="12.75" hidden="false" customHeight="false" outlineLevel="0" collapsed="false"/>
    <row r="4157" customFormat="false" ht="12.75" hidden="false" customHeight="false" outlineLevel="0" collapsed="false"/>
    <row r="4158" customFormat="false" ht="12.75" hidden="false" customHeight="false" outlineLevel="0" collapsed="false"/>
    <row r="4159" customFormat="false" ht="12.75" hidden="false" customHeight="false" outlineLevel="0" collapsed="false"/>
    <row r="4160" customFormat="false" ht="12.75" hidden="false" customHeight="false" outlineLevel="0" collapsed="false"/>
    <row r="4161" customFormat="false" ht="12.75" hidden="false" customHeight="false" outlineLevel="0" collapsed="false"/>
    <row r="4162" customFormat="false" ht="12.75" hidden="false" customHeight="false" outlineLevel="0" collapsed="false"/>
    <row r="4163" customFormat="false" ht="12.75" hidden="false" customHeight="false" outlineLevel="0" collapsed="false"/>
    <row r="4164" customFormat="false" ht="12.75" hidden="false" customHeight="false" outlineLevel="0" collapsed="false"/>
    <row r="4165" customFormat="false" ht="12.75" hidden="false" customHeight="false" outlineLevel="0" collapsed="false"/>
    <row r="4166" customFormat="false" ht="12.75" hidden="false" customHeight="false" outlineLevel="0" collapsed="false"/>
    <row r="4167" customFormat="false" ht="12.75" hidden="false" customHeight="false" outlineLevel="0" collapsed="false"/>
    <row r="4168" customFormat="false" ht="12.75" hidden="false" customHeight="false" outlineLevel="0" collapsed="false"/>
    <row r="4169" customFormat="false" ht="12.75" hidden="false" customHeight="false" outlineLevel="0" collapsed="false"/>
    <row r="4170" customFormat="false" ht="12.75" hidden="false" customHeight="false" outlineLevel="0" collapsed="false"/>
    <row r="4171" customFormat="false" ht="12.75" hidden="false" customHeight="false" outlineLevel="0" collapsed="false"/>
    <row r="4172" customFormat="false" ht="12.75" hidden="false" customHeight="false" outlineLevel="0" collapsed="false"/>
    <row r="4173" customFormat="false" ht="12.75" hidden="false" customHeight="false" outlineLevel="0" collapsed="false"/>
    <row r="4174" customFormat="false" ht="12.75" hidden="false" customHeight="false" outlineLevel="0" collapsed="false"/>
    <row r="4175" customFormat="false" ht="12.75" hidden="false" customHeight="false" outlineLevel="0" collapsed="false"/>
    <row r="4176" customFormat="false" ht="12.75" hidden="false" customHeight="false" outlineLevel="0" collapsed="false"/>
    <row r="4177" customFormat="false" ht="12.75" hidden="false" customHeight="false" outlineLevel="0" collapsed="false"/>
    <row r="4178" customFormat="false" ht="12.75" hidden="false" customHeight="false" outlineLevel="0" collapsed="false"/>
    <row r="4179" customFormat="false" ht="12.75" hidden="false" customHeight="false" outlineLevel="0" collapsed="false"/>
    <row r="4180" customFormat="false" ht="12.75" hidden="false" customHeight="false" outlineLevel="0" collapsed="false"/>
    <row r="4181" customFormat="false" ht="12.75" hidden="false" customHeight="false" outlineLevel="0" collapsed="false"/>
    <row r="4182" customFormat="false" ht="12.75" hidden="false" customHeight="false" outlineLevel="0" collapsed="false"/>
    <row r="4183" customFormat="false" ht="12.75" hidden="false" customHeight="false" outlineLevel="0" collapsed="false"/>
    <row r="4184" customFormat="false" ht="12.75" hidden="false" customHeight="false" outlineLevel="0" collapsed="false"/>
    <row r="4185" customFormat="false" ht="12.75" hidden="false" customHeight="false" outlineLevel="0" collapsed="false"/>
    <row r="4186" customFormat="false" ht="12.75" hidden="false" customHeight="false" outlineLevel="0" collapsed="false"/>
    <row r="4187" customFormat="false" ht="12.75" hidden="false" customHeight="false" outlineLevel="0" collapsed="false"/>
    <row r="4188" customFormat="false" ht="12.75" hidden="false" customHeight="false" outlineLevel="0" collapsed="false"/>
    <row r="4189" customFormat="false" ht="12.75" hidden="false" customHeight="false" outlineLevel="0" collapsed="false"/>
    <row r="4190" customFormat="false" ht="12.75" hidden="false" customHeight="false" outlineLevel="0" collapsed="false"/>
    <row r="4191" customFormat="false" ht="12.75" hidden="false" customHeight="false" outlineLevel="0" collapsed="false"/>
    <row r="4192" customFormat="false" ht="12.75" hidden="false" customHeight="false" outlineLevel="0" collapsed="false"/>
    <row r="4193" customFormat="false" ht="12.75" hidden="false" customHeight="false" outlineLevel="0" collapsed="false"/>
    <row r="4194" customFormat="false" ht="12.75" hidden="false" customHeight="false" outlineLevel="0" collapsed="false"/>
    <row r="4195" customFormat="false" ht="12.75" hidden="false" customHeight="false" outlineLevel="0" collapsed="false"/>
    <row r="4196" customFormat="false" ht="12.75" hidden="false" customHeight="false" outlineLevel="0" collapsed="false"/>
    <row r="4197" customFormat="false" ht="12.75" hidden="false" customHeight="false" outlineLevel="0" collapsed="false"/>
    <row r="4198" customFormat="false" ht="12.75" hidden="false" customHeight="false" outlineLevel="0" collapsed="false"/>
    <row r="4199" customFormat="false" ht="12.75" hidden="false" customHeight="false" outlineLevel="0" collapsed="false"/>
    <row r="4200" customFormat="false" ht="12.75" hidden="false" customHeight="false" outlineLevel="0" collapsed="false"/>
    <row r="4201" customFormat="false" ht="12.75" hidden="false" customHeight="false" outlineLevel="0" collapsed="false"/>
    <row r="4202" customFormat="false" ht="12.75" hidden="false" customHeight="false" outlineLevel="0" collapsed="false"/>
    <row r="4203" customFormat="false" ht="12.75" hidden="false" customHeight="false" outlineLevel="0" collapsed="false"/>
    <row r="4204" customFormat="false" ht="12.75" hidden="false" customHeight="false" outlineLevel="0" collapsed="false"/>
    <row r="4205" customFormat="false" ht="12.75" hidden="false" customHeight="false" outlineLevel="0" collapsed="false"/>
    <row r="4206" customFormat="false" ht="12.75" hidden="false" customHeight="false" outlineLevel="0" collapsed="false"/>
    <row r="4207" customFormat="false" ht="12.75" hidden="false" customHeight="false" outlineLevel="0" collapsed="false"/>
    <row r="4208" customFormat="false" ht="12.75" hidden="false" customHeight="false" outlineLevel="0" collapsed="false"/>
    <row r="4209" customFormat="false" ht="12.75" hidden="false" customHeight="false" outlineLevel="0" collapsed="false"/>
    <row r="4210" customFormat="false" ht="12.75" hidden="false" customHeight="false" outlineLevel="0" collapsed="false"/>
    <row r="4211" customFormat="false" ht="12.75" hidden="false" customHeight="false" outlineLevel="0" collapsed="false"/>
    <row r="4212" customFormat="false" ht="12.75" hidden="false" customHeight="false" outlineLevel="0" collapsed="false"/>
    <row r="4213" customFormat="false" ht="12.75" hidden="false" customHeight="false" outlineLevel="0" collapsed="false"/>
    <row r="4214" customFormat="false" ht="12.75" hidden="false" customHeight="false" outlineLevel="0" collapsed="false"/>
    <row r="4215" customFormat="false" ht="12.75" hidden="false" customHeight="false" outlineLevel="0" collapsed="false"/>
    <row r="4216" customFormat="false" ht="12.75" hidden="false" customHeight="false" outlineLevel="0" collapsed="false"/>
    <row r="4217" customFormat="false" ht="12.75" hidden="false" customHeight="false" outlineLevel="0" collapsed="false"/>
    <row r="4218" customFormat="false" ht="12.75" hidden="false" customHeight="false" outlineLevel="0" collapsed="false"/>
    <row r="4219" customFormat="false" ht="12.75" hidden="false" customHeight="false" outlineLevel="0" collapsed="false"/>
    <row r="4220" customFormat="false" ht="12.75" hidden="false" customHeight="false" outlineLevel="0" collapsed="false"/>
    <row r="4221" customFormat="false" ht="12.75" hidden="false" customHeight="false" outlineLevel="0" collapsed="false"/>
    <row r="4222" customFormat="false" ht="12.75" hidden="false" customHeight="false" outlineLevel="0" collapsed="false"/>
    <row r="4223" customFormat="false" ht="12.75" hidden="false" customHeight="false" outlineLevel="0" collapsed="false"/>
    <row r="4224" customFormat="false" ht="12.75" hidden="false" customHeight="false" outlineLevel="0" collapsed="false"/>
    <row r="4225" customFormat="false" ht="12.75" hidden="false" customHeight="false" outlineLevel="0" collapsed="false"/>
    <row r="4226" customFormat="false" ht="12.75" hidden="false" customHeight="false" outlineLevel="0" collapsed="false"/>
    <row r="4227" customFormat="false" ht="12.75" hidden="false" customHeight="false" outlineLevel="0" collapsed="false"/>
    <row r="4228" customFormat="false" ht="12.75" hidden="false" customHeight="false" outlineLevel="0" collapsed="false"/>
    <row r="4229" customFormat="false" ht="12.75" hidden="false" customHeight="false" outlineLevel="0" collapsed="false"/>
    <row r="4230" customFormat="false" ht="12.75" hidden="false" customHeight="false" outlineLevel="0" collapsed="false"/>
    <row r="4231" customFormat="false" ht="12.75" hidden="false" customHeight="false" outlineLevel="0" collapsed="false"/>
    <row r="4232" customFormat="false" ht="12.75" hidden="false" customHeight="false" outlineLevel="0" collapsed="false"/>
    <row r="4233" customFormat="false" ht="12.75" hidden="false" customHeight="false" outlineLevel="0" collapsed="false"/>
    <row r="4234" customFormat="false" ht="12.75" hidden="false" customHeight="false" outlineLevel="0" collapsed="false"/>
    <row r="4235" customFormat="false" ht="12.75" hidden="false" customHeight="false" outlineLevel="0" collapsed="false"/>
    <row r="4236" customFormat="false" ht="12.75" hidden="false" customHeight="false" outlineLevel="0" collapsed="false"/>
    <row r="4237" customFormat="false" ht="12.75" hidden="false" customHeight="false" outlineLevel="0" collapsed="false"/>
    <row r="4238" customFormat="false" ht="12.75" hidden="false" customHeight="false" outlineLevel="0" collapsed="false"/>
    <row r="4239" customFormat="false" ht="12.75" hidden="false" customHeight="false" outlineLevel="0" collapsed="false"/>
    <row r="4240" customFormat="false" ht="12.75" hidden="false" customHeight="false" outlineLevel="0" collapsed="false"/>
    <row r="4241" customFormat="false" ht="12.75" hidden="false" customHeight="false" outlineLevel="0" collapsed="false"/>
    <row r="4242" customFormat="false" ht="12.75" hidden="false" customHeight="false" outlineLevel="0" collapsed="false"/>
    <row r="4243" customFormat="false" ht="12.75" hidden="false" customHeight="false" outlineLevel="0" collapsed="false"/>
    <row r="4244" customFormat="false" ht="12.75" hidden="false" customHeight="false" outlineLevel="0" collapsed="false"/>
    <row r="4245" customFormat="false" ht="12.75" hidden="false" customHeight="false" outlineLevel="0" collapsed="false"/>
    <row r="4246" customFormat="false" ht="12.75" hidden="false" customHeight="false" outlineLevel="0" collapsed="false"/>
    <row r="4247" customFormat="false" ht="12.75" hidden="false" customHeight="false" outlineLevel="0" collapsed="false"/>
    <row r="4248" customFormat="false" ht="12.75" hidden="false" customHeight="false" outlineLevel="0" collapsed="false"/>
    <row r="4249" customFormat="false" ht="12.75" hidden="false" customHeight="false" outlineLevel="0" collapsed="false"/>
    <row r="4250" customFormat="false" ht="12.75" hidden="false" customHeight="false" outlineLevel="0" collapsed="false"/>
    <row r="4251" customFormat="false" ht="12.75" hidden="false" customHeight="false" outlineLevel="0" collapsed="false"/>
    <row r="4252" customFormat="false" ht="12.75" hidden="false" customHeight="false" outlineLevel="0" collapsed="false"/>
    <row r="4253" customFormat="false" ht="12.75" hidden="false" customHeight="false" outlineLevel="0" collapsed="false"/>
    <row r="4254" customFormat="false" ht="12.75" hidden="false" customHeight="false" outlineLevel="0" collapsed="false"/>
    <row r="4255" customFormat="false" ht="12.75" hidden="false" customHeight="false" outlineLevel="0" collapsed="false"/>
    <row r="4256" customFormat="false" ht="12.75" hidden="false" customHeight="false" outlineLevel="0" collapsed="false"/>
    <row r="4257" customFormat="false" ht="12.75" hidden="false" customHeight="false" outlineLevel="0" collapsed="false"/>
    <row r="4258" customFormat="false" ht="12.75" hidden="false" customHeight="false" outlineLevel="0" collapsed="false"/>
    <row r="4259" customFormat="false" ht="12.75" hidden="false" customHeight="false" outlineLevel="0" collapsed="false"/>
    <row r="4260" customFormat="false" ht="12.75" hidden="false" customHeight="false" outlineLevel="0" collapsed="false"/>
    <row r="4261" customFormat="false" ht="12.75" hidden="false" customHeight="false" outlineLevel="0" collapsed="false"/>
    <row r="4262" customFormat="false" ht="12.75" hidden="false" customHeight="false" outlineLevel="0" collapsed="false"/>
    <row r="4263" customFormat="false" ht="12.75" hidden="false" customHeight="false" outlineLevel="0" collapsed="false"/>
    <row r="4264" customFormat="false" ht="12.75" hidden="false" customHeight="false" outlineLevel="0" collapsed="false"/>
    <row r="4265" customFormat="false" ht="12.75" hidden="false" customHeight="false" outlineLevel="0" collapsed="false"/>
    <row r="4266" customFormat="false" ht="12.75" hidden="false" customHeight="false" outlineLevel="0" collapsed="false"/>
    <row r="4267" customFormat="false" ht="12.75" hidden="false" customHeight="false" outlineLevel="0" collapsed="false"/>
    <row r="4268" customFormat="false" ht="12.75" hidden="false" customHeight="false" outlineLevel="0" collapsed="false"/>
    <row r="4269" customFormat="false" ht="12.75" hidden="false" customHeight="false" outlineLevel="0" collapsed="false"/>
    <row r="4270" customFormat="false" ht="12.75" hidden="false" customHeight="false" outlineLevel="0" collapsed="false"/>
    <row r="4271" customFormat="false" ht="12.75" hidden="false" customHeight="false" outlineLevel="0" collapsed="false"/>
    <row r="4272" customFormat="false" ht="12.75" hidden="false" customHeight="false" outlineLevel="0" collapsed="false"/>
    <row r="4273" customFormat="false" ht="12.75" hidden="false" customHeight="false" outlineLevel="0" collapsed="false"/>
    <row r="4274" customFormat="false" ht="12.75" hidden="false" customHeight="false" outlineLevel="0" collapsed="false"/>
    <row r="4275" customFormat="false" ht="12.75" hidden="false" customHeight="false" outlineLevel="0" collapsed="false"/>
    <row r="4276" customFormat="false" ht="12.75" hidden="false" customHeight="false" outlineLevel="0" collapsed="false"/>
    <row r="4277" customFormat="false" ht="12.75" hidden="false" customHeight="false" outlineLevel="0" collapsed="false"/>
    <row r="4278" customFormat="false" ht="12.75" hidden="false" customHeight="false" outlineLevel="0" collapsed="false"/>
    <row r="4279" customFormat="false" ht="12.75" hidden="false" customHeight="false" outlineLevel="0" collapsed="false"/>
    <row r="4280" customFormat="false" ht="12.75" hidden="false" customHeight="false" outlineLevel="0" collapsed="false"/>
    <row r="4281" customFormat="false" ht="12.75" hidden="false" customHeight="false" outlineLevel="0" collapsed="false"/>
    <row r="4282" customFormat="false" ht="12.75" hidden="false" customHeight="false" outlineLevel="0" collapsed="false"/>
    <row r="4283" customFormat="false" ht="12.75" hidden="false" customHeight="false" outlineLevel="0" collapsed="false"/>
    <row r="4284" customFormat="false" ht="12.75" hidden="false" customHeight="false" outlineLevel="0" collapsed="false"/>
    <row r="4285" customFormat="false" ht="12.75" hidden="false" customHeight="false" outlineLevel="0" collapsed="false"/>
    <row r="4286" customFormat="false" ht="12.75" hidden="false" customHeight="false" outlineLevel="0" collapsed="false"/>
    <row r="4287" customFormat="false" ht="12.75" hidden="false" customHeight="false" outlineLevel="0" collapsed="false"/>
    <row r="4288" customFormat="false" ht="12.75" hidden="false" customHeight="false" outlineLevel="0" collapsed="false"/>
    <row r="4289" customFormat="false" ht="12.75" hidden="false" customHeight="false" outlineLevel="0" collapsed="false"/>
    <row r="4290" customFormat="false" ht="12.75" hidden="false" customHeight="false" outlineLevel="0" collapsed="false"/>
    <row r="4291" customFormat="false" ht="12.75" hidden="false" customHeight="false" outlineLevel="0" collapsed="false"/>
    <row r="4292" customFormat="false" ht="12.75" hidden="false" customHeight="false" outlineLevel="0" collapsed="false"/>
    <row r="4293" customFormat="false" ht="12.75" hidden="false" customHeight="false" outlineLevel="0" collapsed="false"/>
    <row r="4294" customFormat="false" ht="12.75" hidden="false" customHeight="false" outlineLevel="0" collapsed="false"/>
    <row r="4295" customFormat="false" ht="12.75" hidden="false" customHeight="false" outlineLevel="0" collapsed="false"/>
    <row r="4296" customFormat="false" ht="12.75" hidden="false" customHeight="false" outlineLevel="0" collapsed="false"/>
    <row r="4297" customFormat="false" ht="12.75" hidden="false" customHeight="false" outlineLevel="0" collapsed="false"/>
    <row r="4298" customFormat="false" ht="12.75" hidden="false" customHeight="false" outlineLevel="0" collapsed="false"/>
    <row r="4299" customFormat="false" ht="12.75" hidden="false" customHeight="false" outlineLevel="0" collapsed="false"/>
    <row r="4300" customFormat="false" ht="12.75" hidden="false" customHeight="false" outlineLevel="0" collapsed="false"/>
    <row r="4301" customFormat="false" ht="12.75" hidden="false" customHeight="false" outlineLevel="0" collapsed="false"/>
    <row r="4302" customFormat="false" ht="12.75" hidden="false" customHeight="false" outlineLevel="0" collapsed="false"/>
    <row r="4303" customFormat="false" ht="12.75" hidden="false" customHeight="false" outlineLevel="0" collapsed="false"/>
    <row r="4304" customFormat="false" ht="12.75" hidden="false" customHeight="false" outlineLevel="0" collapsed="false"/>
    <row r="4305" customFormat="false" ht="12.75" hidden="false" customHeight="false" outlineLevel="0" collapsed="false"/>
    <row r="4306" customFormat="false" ht="12.75" hidden="false" customHeight="false" outlineLevel="0" collapsed="false"/>
    <row r="4307" customFormat="false" ht="12.75" hidden="false" customHeight="false" outlineLevel="0" collapsed="false"/>
    <row r="4308" customFormat="false" ht="12.75" hidden="false" customHeight="false" outlineLevel="0" collapsed="false"/>
    <row r="4309" customFormat="false" ht="12.75" hidden="false" customHeight="false" outlineLevel="0" collapsed="false"/>
    <row r="4310" customFormat="false" ht="12.75" hidden="false" customHeight="false" outlineLevel="0" collapsed="false"/>
    <row r="4311" customFormat="false" ht="12.75" hidden="false" customHeight="false" outlineLevel="0" collapsed="false"/>
    <row r="4312" customFormat="false" ht="12.75" hidden="false" customHeight="false" outlineLevel="0" collapsed="false"/>
    <row r="4313" customFormat="false" ht="12.75" hidden="false" customHeight="false" outlineLevel="0" collapsed="false"/>
    <row r="4314" customFormat="false" ht="12.75" hidden="false" customHeight="false" outlineLevel="0" collapsed="false"/>
    <row r="4315" customFormat="false" ht="12.75" hidden="false" customHeight="false" outlineLevel="0" collapsed="false"/>
    <row r="4316" customFormat="false" ht="12.75" hidden="false" customHeight="false" outlineLevel="0" collapsed="false"/>
    <row r="4317" customFormat="false" ht="12.75" hidden="false" customHeight="false" outlineLevel="0" collapsed="false"/>
    <row r="4318" customFormat="false" ht="12.75" hidden="false" customHeight="false" outlineLevel="0" collapsed="false"/>
    <row r="4319" customFormat="false" ht="12.75" hidden="false" customHeight="false" outlineLevel="0" collapsed="false"/>
    <row r="4320" customFormat="false" ht="12.75" hidden="false" customHeight="false" outlineLevel="0" collapsed="false"/>
    <row r="4321" customFormat="false" ht="12.75" hidden="false" customHeight="false" outlineLevel="0" collapsed="false"/>
    <row r="4322" customFormat="false" ht="12.75" hidden="false" customHeight="false" outlineLevel="0" collapsed="false"/>
    <row r="4323" customFormat="false" ht="12.75" hidden="false" customHeight="false" outlineLevel="0" collapsed="false"/>
    <row r="4324" customFormat="false" ht="12.75" hidden="false" customHeight="false" outlineLevel="0" collapsed="false"/>
    <row r="4325" customFormat="false" ht="12.75" hidden="false" customHeight="false" outlineLevel="0" collapsed="false"/>
    <row r="4326" customFormat="false" ht="12.75" hidden="false" customHeight="false" outlineLevel="0" collapsed="false"/>
    <row r="4327" customFormat="false" ht="12.75" hidden="false" customHeight="false" outlineLevel="0" collapsed="false"/>
    <row r="4328" customFormat="false" ht="12.75" hidden="false" customHeight="false" outlineLevel="0" collapsed="false"/>
    <row r="4329" customFormat="false" ht="12.75" hidden="false" customHeight="false" outlineLevel="0" collapsed="false"/>
    <row r="4330" customFormat="false" ht="12.75" hidden="false" customHeight="false" outlineLevel="0" collapsed="false"/>
    <row r="4331" customFormat="false" ht="12.75" hidden="false" customHeight="false" outlineLevel="0" collapsed="false"/>
    <row r="4332" customFormat="false" ht="12.75" hidden="false" customHeight="false" outlineLevel="0" collapsed="false"/>
    <row r="4333" customFormat="false" ht="12.75" hidden="false" customHeight="false" outlineLevel="0" collapsed="false"/>
    <row r="4334" customFormat="false" ht="12.75" hidden="false" customHeight="false" outlineLevel="0" collapsed="false"/>
    <row r="4335" customFormat="false" ht="12.75" hidden="false" customHeight="false" outlineLevel="0" collapsed="false"/>
    <row r="4336" customFormat="false" ht="12.75" hidden="false" customHeight="false" outlineLevel="0" collapsed="false"/>
    <row r="4337" customFormat="false" ht="12.75" hidden="false" customHeight="false" outlineLevel="0" collapsed="false"/>
    <row r="4338" customFormat="false" ht="12.75" hidden="false" customHeight="false" outlineLevel="0" collapsed="false"/>
    <row r="4339" customFormat="false" ht="12.75" hidden="false" customHeight="false" outlineLevel="0" collapsed="false"/>
    <row r="4340" customFormat="false" ht="12.75" hidden="false" customHeight="false" outlineLevel="0" collapsed="false"/>
    <row r="4341" customFormat="false" ht="12.75" hidden="false" customHeight="false" outlineLevel="0" collapsed="false"/>
    <row r="4342" customFormat="false" ht="12.75" hidden="false" customHeight="false" outlineLevel="0" collapsed="false"/>
    <row r="4343" customFormat="false" ht="12.75" hidden="false" customHeight="false" outlineLevel="0" collapsed="false"/>
    <row r="4344" customFormat="false" ht="12.75" hidden="false" customHeight="false" outlineLevel="0" collapsed="false"/>
    <row r="4345" customFormat="false" ht="12.75" hidden="false" customHeight="false" outlineLevel="0" collapsed="false"/>
    <row r="4346" customFormat="false" ht="12.75" hidden="false" customHeight="false" outlineLevel="0" collapsed="false"/>
    <row r="4347" customFormat="false" ht="12.75" hidden="false" customHeight="false" outlineLevel="0" collapsed="false"/>
    <row r="4348" customFormat="false" ht="12.75" hidden="false" customHeight="false" outlineLevel="0" collapsed="false"/>
    <row r="4349" customFormat="false" ht="12.75" hidden="false" customHeight="false" outlineLevel="0" collapsed="false"/>
    <row r="4350" customFormat="false" ht="12.75" hidden="false" customHeight="false" outlineLevel="0" collapsed="false"/>
    <row r="4351" customFormat="false" ht="12.75" hidden="false" customHeight="false" outlineLevel="0" collapsed="false"/>
    <row r="4352" customFormat="false" ht="12.75" hidden="false" customHeight="false" outlineLevel="0" collapsed="false"/>
    <row r="4353" customFormat="false" ht="12.75" hidden="false" customHeight="false" outlineLevel="0" collapsed="false"/>
    <row r="4354" customFormat="false" ht="12.75" hidden="false" customHeight="false" outlineLevel="0" collapsed="false"/>
    <row r="4355" customFormat="false" ht="12.75" hidden="false" customHeight="false" outlineLevel="0" collapsed="false"/>
    <row r="4356" customFormat="false" ht="12.75" hidden="false" customHeight="false" outlineLevel="0" collapsed="false"/>
    <row r="4357" customFormat="false" ht="12.75" hidden="false" customHeight="false" outlineLevel="0" collapsed="false"/>
    <row r="4358" customFormat="false" ht="12.75" hidden="false" customHeight="false" outlineLevel="0" collapsed="false"/>
    <row r="4359" customFormat="false" ht="12.75" hidden="false" customHeight="false" outlineLevel="0" collapsed="false"/>
    <row r="4360" customFormat="false" ht="12.75" hidden="false" customHeight="false" outlineLevel="0" collapsed="false"/>
    <row r="4361" customFormat="false" ht="12.75" hidden="false" customHeight="false" outlineLevel="0" collapsed="false"/>
    <row r="4362" customFormat="false" ht="12.75" hidden="false" customHeight="false" outlineLevel="0" collapsed="false"/>
    <row r="4363" customFormat="false" ht="12.75" hidden="false" customHeight="false" outlineLevel="0" collapsed="false"/>
    <row r="4364" customFormat="false" ht="12.75" hidden="false" customHeight="false" outlineLevel="0" collapsed="false"/>
    <row r="4365" customFormat="false" ht="12.75" hidden="false" customHeight="false" outlineLevel="0" collapsed="false"/>
    <row r="4366" customFormat="false" ht="12.75" hidden="false" customHeight="false" outlineLevel="0" collapsed="false"/>
    <row r="4367" customFormat="false" ht="12.75" hidden="false" customHeight="false" outlineLevel="0" collapsed="false"/>
    <row r="4368" customFormat="false" ht="12.75" hidden="false" customHeight="false" outlineLevel="0" collapsed="false"/>
    <row r="4369" customFormat="false" ht="12.75" hidden="false" customHeight="false" outlineLevel="0" collapsed="false"/>
    <row r="4370" customFormat="false" ht="12.75" hidden="false" customHeight="false" outlineLevel="0" collapsed="false"/>
    <row r="4371" customFormat="false" ht="12.75" hidden="false" customHeight="false" outlineLevel="0" collapsed="false"/>
    <row r="4372" customFormat="false" ht="12.75" hidden="false" customHeight="false" outlineLevel="0" collapsed="false"/>
    <row r="4373" customFormat="false" ht="12.75" hidden="false" customHeight="false" outlineLevel="0" collapsed="false"/>
    <row r="4374" customFormat="false" ht="12.75" hidden="false" customHeight="false" outlineLevel="0" collapsed="false"/>
    <row r="4375" customFormat="false" ht="12.75" hidden="false" customHeight="false" outlineLevel="0" collapsed="false"/>
    <row r="4376" customFormat="false" ht="12.75" hidden="false" customHeight="false" outlineLevel="0" collapsed="false"/>
    <row r="4377" customFormat="false" ht="12.75" hidden="false" customHeight="false" outlineLevel="0" collapsed="false"/>
    <row r="4378" customFormat="false" ht="12.75" hidden="false" customHeight="false" outlineLevel="0" collapsed="false"/>
    <row r="4379" customFormat="false" ht="12.75" hidden="false" customHeight="false" outlineLevel="0" collapsed="false"/>
    <row r="4380" customFormat="false" ht="12.75" hidden="false" customHeight="false" outlineLevel="0" collapsed="false"/>
    <row r="4381" customFormat="false" ht="12.75" hidden="false" customHeight="false" outlineLevel="0" collapsed="false"/>
    <row r="4382" customFormat="false" ht="12.75" hidden="false" customHeight="false" outlineLevel="0" collapsed="false"/>
    <row r="4383" customFormat="false" ht="12.75" hidden="false" customHeight="false" outlineLevel="0" collapsed="false"/>
    <row r="4384" customFormat="false" ht="12.75" hidden="false" customHeight="false" outlineLevel="0" collapsed="false"/>
    <row r="4385" customFormat="false" ht="12.75" hidden="false" customHeight="false" outlineLevel="0" collapsed="false"/>
    <row r="4386" customFormat="false" ht="12.75" hidden="false" customHeight="false" outlineLevel="0" collapsed="false"/>
    <row r="4387" customFormat="false" ht="12.75" hidden="false" customHeight="false" outlineLevel="0" collapsed="false"/>
    <row r="4388" customFormat="false" ht="12.75" hidden="false" customHeight="false" outlineLevel="0" collapsed="false"/>
    <row r="4389" customFormat="false" ht="12.75" hidden="false" customHeight="false" outlineLevel="0" collapsed="false"/>
    <row r="4390" customFormat="false" ht="12.75" hidden="false" customHeight="false" outlineLevel="0" collapsed="false"/>
    <row r="4391" customFormat="false" ht="12.75" hidden="false" customHeight="false" outlineLevel="0" collapsed="false"/>
    <row r="4392" customFormat="false" ht="12.75" hidden="false" customHeight="false" outlineLevel="0" collapsed="false"/>
    <row r="4393" customFormat="false" ht="12.75" hidden="false" customHeight="false" outlineLevel="0" collapsed="false"/>
    <row r="4394" customFormat="false" ht="12.75" hidden="false" customHeight="false" outlineLevel="0" collapsed="false"/>
    <row r="4395" customFormat="false" ht="12.75" hidden="false" customHeight="false" outlineLevel="0" collapsed="false"/>
    <row r="4396" customFormat="false" ht="12.75" hidden="false" customHeight="false" outlineLevel="0" collapsed="false"/>
    <row r="4397" customFormat="false" ht="12.75" hidden="false" customHeight="false" outlineLevel="0" collapsed="false"/>
    <row r="4398" customFormat="false" ht="12.75" hidden="false" customHeight="false" outlineLevel="0" collapsed="false"/>
    <row r="4399" customFormat="false" ht="12.75" hidden="false" customHeight="false" outlineLevel="0" collapsed="false"/>
    <row r="4400" customFormat="false" ht="12.75" hidden="false" customHeight="false" outlineLevel="0" collapsed="false"/>
    <row r="4401" customFormat="false" ht="12.75" hidden="false" customHeight="false" outlineLevel="0" collapsed="false"/>
    <row r="4402" customFormat="false" ht="12.75" hidden="false" customHeight="false" outlineLevel="0" collapsed="false"/>
    <row r="4403" customFormat="false" ht="12.75" hidden="false" customHeight="false" outlineLevel="0" collapsed="false"/>
    <row r="4404" customFormat="false" ht="12.75" hidden="false" customHeight="false" outlineLevel="0" collapsed="false"/>
    <row r="4405" customFormat="false" ht="12.75" hidden="false" customHeight="false" outlineLevel="0" collapsed="false"/>
    <row r="4406" customFormat="false" ht="12.75" hidden="false" customHeight="false" outlineLevel="0" collapsed="false"/>
    <row r="4407" customFormat="false" ht="12.75" hidden="false" customHeight="false" outlineLevel="0" collapsed="false"/>
    <row r="4408" customFormat="false" ht="12.75" hidden="false" customHeight="false" outlineLevel="0" collapsed="false"/>
    <row r="4409" customFormat="false" ht="12.75" hidden="false" customHeight="false" outlineLevel="0" collapsed="false"/>
    <row r="4410" customFormat="false" ht="12.75" hidden="false" customHeight="false" outlineLevel="0" collapsed="false"/>
    <row r="4411" customFormat="false" ht="12.75" hidden="false" customHeight="false" outlineLevel="0" collapsed="false"/>
    <row r="4412" customFormat="false" ht="12.75" hidden="false" customHeight="false" outlineLevel="0" collapsed="false"/>
    <row r="4413" customFormat="false" ht="12.75" hidden="false" customHeight="false" outlineLevel="0" collapsed="false"/>
    <row r="4414" customFormat="false" ht="12.75" hidden="false" customHeight="false" outlineLevel="0" collapsed="false"/>
    <row r="4415" customFormat="false" ht="12.75" hidden="false" customHeight="false" outlineLevel="0" collapsed="false"/>
    <row r="4416" customFormat="false" ht="12.75" hidden="false" customHeight="false" outlineLevel="0" collapsed="false"/>
    <row r="4417" customFormat="false" ht="12.75" hidden="false" customHeight="false" outlineLevel="0" collapsed="false"/>
    <row r="4418" customFormat="false" ht="12.75" hidden="false" customHeight="false" outlineLevel="0" collapsed="false"/>
    <row r="4419" customFormat="false" ht="12.75" hidden="false" customHeight="false" outlineLevel="0" collapsed="false"/>
    <row r="4420" customFormat="false" ht="12.75" hidden="false" customHeight="false" outlineLevel="0" collapsed="false"/>
    <row r="4421" customFormat="false" ht="12.75" hidden="false" customHeight="false" outlineLevel="0" collapsed="false"/>
    <row r="4422" customFormat="false" ht="12.75" hidden="false" customHeight="false" outlineLevel="0" collapsed="false"/>
    <row r="4423" customFormat="false" ht="12.75" hidden="false" customHeight="false" outlineLevel="0" collapsed="false"/>
    <row r="4424" customFormat="false" ht="12.75" hidden="false" customHeight="false" outlineLevel="0" collapsed="false"/>
    <row r="4425" customFormat="false" ht="12.75" hidden="false" customHeight="false" outlineLevel="0" collapsed="false"/>
    <row r="4426" customFormat="false" ht="12.75" hidden="false" customHeight="false" outlineLevel="0" collapsed="false"/>
    <row r="4427" customFormat="false" ht="12.75" hidden="false" customHeight="false" outlineLevel="0" collapsed="false"/>
    <row r="4428" customFormat="false" ht="12.75" hidden="false" customHeight="false" outlineLevel="0" collapsed="false"/>
    <row r="4429" customFormat="false" ht="12.75" hidden="false" customHeight="false" outlineLevel="0" collapsed="false"/>
    <row r="4430" customFormat="false" ht="12.75" hidden="false" customHeight="false" outlineLevel="0" collapsed="false"/>
    <row r="4431" customFormat="false" ht="12.75" hidden="false" customHeight="false" outlineLevel="0" collapsed="false"/>
    <row r="4432" customFormat="false" ht="12.75" hidden="false" customHeight="false" outlineLevel="0" collapsed="false"/>
    <row r="4433" customFormat="false" ht="12.75" hidden="false" customHeight="false" outlineLevel="0" collapsed="false"/>
    <row r="4434" customFormat="false" ht="12.75" hidden="false" customHeight="false" outlineLevel="0" collapsed="false"/>
    <row r="4435" customFormat="false" ht="12.75" hidden="false" customHeight="false" outlineLevel="0" collapsed="false"/>
    <row r="4436" customFormat="false" ht="12.75" hidden="false" customHeight="false" outlineLevel="0" collapsed="false"/>
    <row r="4437" customFormat="false" ht="12.75" hidden="false" customHeight="false" outlineLevel="0" collapsed="false"/>
    <row r="4438" customFormat="false" ht="12.75" hidden="false" customHeight="false" outlineLevel="0" collapsed="false"/>
    <row r="4439" customFormat="false" ht="12.75" hidden="false" customHeight="false" outlineLevel="0" collapsed="false"/>
    <row r="4440" customFormat="false" ht="12.75" hidden="false" customHeight="false" outlineLevel="0" collapsed="false"/>
    <row r="4441" customFormat="false" ht="12.75" hidden="false" customHeight="false" outlineLevel="0" collapsed="false"/>
    <row r="4442" customFormat="false" ht="12.75" hidden="false" customHeight="false" outlineLevel="0" collapsed="false"/>
    <row r="4443" customFormat="false" ht="12.75" hidden="false" customHeight="false" outlineLevel="0" collapsed="false"/>
    <row r="4444" customFormat="false" ht="12.75" hidden="false" customHeight="false" outlineLevel="0" collapsed="false"/>
    <row r="4445" customFormat="false" ht="12.75" hidden="false" customHeight="false" outlineLevel="0" collapsed="false"/>
    <row r="4446" customFormat="false" ht="12.75" hidden="false" customHeight="false" outlineLevel="0" collapsed="false"/>
    <row r="4447" customFormat="false" ht="12.75" hidden="false" customHeight="false" outlineLevel="0" collapsed="false"/>
    <row r="4448" customFormat="false" ht="12.75" hidden="false" customHeight="false" outlineLevel="0" collapsed="false"/>
    <row r="4449" customFormat="false" ht="12.75" hidden="false" customHeight="false" outlineLevel="0" collapsed="false"/>
    <row r="4450" customFormat="false" ht="12.75" hidden="false" customHeight="false" outlineLevel="0" collapsed="false"/>
    <row r="4451" customFormat="false" ht="12.75" hidden="false" customHeight="false" outlineLevel="0" collapsed="false"/>
    <row r="4452" customFormat="false" ht="12.75" hidden="false" customHeight="false" outlineLevel="0" collapsed="false"/>
    <row r="4453" customFormat="false" ht="12.75" hidden="false" customHeight="false" outlineLevel="0" collapsed="false"/>
    <row r="4454" customFormat="false" ht="12.75" hidden="false" customHeight="false" outlineLevel="0" collapsed="false"/>
    <row r="4455" customFormat="false" ht="12.75" hidden="false" customHeight="false" outlineLevel="0" collapsed="false"/>
    <row r="4456" customFormat="false" ht="12.75" hidden="false" customHeight="false" outlineLevel="0" collapsed="false"/>
    <row r="4457" customFormat="false" ht="12.75" hidden="false" customHeight="false" outlineLevel="0" collapsed="false"/>
    <row r="4458" customFormat="false" ht="12.75" hidden="false" customHeight="false" outlineLevel="0" collapsed="false"/>
    <row r="4459" customFormat="false" ht="12.75" hidden="false" customHeight="false" outlineLevel="0" collapsed="false"/>
    <row r="4460" customFormat="false" ht="12.75" hidden="false" customHeight="false" outlineLevel="0" collapsed="false"/>
    <row r="4461" customFormat="false" ht="12.75" hidden="false" customHeight="false" outlineLevel="0" collapsed="false"/>
    <row r="4462" customFormat="false" ht="12.75" hidden="false" customHeight="false" outlineLevel="0" collapsed="false"/>
    <row r="4463" customFormat="false" ht="12.75" hidden="false" customHeight="false" outlineLevel="0" collapsed="false"/>
    <row r="4464" customFormat="false" ht="12.75" hidden="false" customHeight="false" outlineLevel="0" collapsed="false"/>
    <row r="4465" customFormat="false" ht="12.75" hidden="false" customHeight="false" outlineLevel="0" collapsed="false"/>
    <row r="4466" customFormat="false" ht="12.75" hidden="false" customHeight="false" outlineLevel="0" collapsed="false"/>
    <row r="4467" customFormat="false" ht="12.75" hidden="false" customHeight="false" outlineLevel="0" collapsed="false"/>
    <row r="4468" customFormat="false" ht="12.75" hidden="false" customHeight="false" outlineLevel="0" collapsed="false"/>
    <row r="4469" customFormat="false" ht="12.75" hidden="false" customHeight="false" outlineLevel="0" collapsed="false"/>
    <row r="4470" customFormat="false" ht="12.75" hidden="false" customHeight="false" outlineLevel="0" collapsed="false"/>
    <row r="4471" customFormat="false" ht="12.75" hidden="false" customHeight="false" outlineLevel="0" collapsed="false"/>
    <row r="4472" customFormat="false" ht="12.75" hidden="false" customHeight="false" outlineLevel="0" collapsed="false"/>
    <row r="4473" customFormat="false" ht="12.75" hidden="false" customHeight="false" outlineLevel="0" collapsed="false"/>
    <row r="4474" customFormat="false" ht="12.75" hidden="false" customHeight="false" outlineLevel="0" collapsed="false"/>
    <row r="4475" customFormat="false" ht="12.75" hidden="false" customHeight="false" outlineLevel="0" collapsed="false"/>
    <row r="4476" customFormat="false" ht="12.75" hidden="false" customHeight="false" outlineLevel="0" collapsed="false"/>
    <row r="4477" customFormat="false" ht="12.75" hidden="false" customHeight="false" outlineLevel="0" collapsed="false"/>
    <row r="4478" customFormat="false" ht="12.75" hidden="false" customHeight="false" outlineLevel="0" collapsed="false"/>
    <row r="4479" customFormat="false" ht="12.75" hidden="false" customHeight="false" outlineLevel="0" collapsed="false"/>
    <row r="4480" customFormat="false" ht="12.75" hidden="false" customHeight="false" outlineLevel="0" collapsed="false"/>
    <row r="4481" customFormat="false" ht="12.75" hidden="false" customHeight="false" outlineLevel="0" collapsed="false"/>
    <row r="4482" customFormat="false" ht="12.75" hidden="false" customHeight="false" outlineLevel="0" collapsed="false"/>
    <row r="4483" customFormat="false" ht="12.75" hidden="false" customHeight="false" outlineLevel="0" collapsed="false"/>
    <row r="4484" customFormat="false" ht="12.75" hidden="false" customHeight="false" outlineLevel="0" collapsed="false"/>
    <row r="4485" customFormat="false" ht="12.75" hidden="false" customHeight="false" outlineLevel="0" collapsed="false"/>
    <row r="4486" customFormat="false" ht="12.75" hidden="false" customHeight="false" outlineLevel="0" collapsed="false"/>
    <row r="4487" customFormat="false" ht="12.75" hidden="false" customHeight="false" outlineLevel="0" collapsed="false"/>
    <row r="4488" customFormat="false" ht="12.75" hidden="false" customHeight="false" outlineLevel="0" collapsed="false"/>
    <row r="4489" customFormat="false" ht="12.75" hidden="false" customHeight="false" outlineLevel="0" collapsed="false"/>
    <row r="4490" customFormat="false" ht="12.75" hidden="false" customHeight="false" outlineLevel="0" collapsed="false"/>
    <row r="4491" customFormat="false" ht="12.75" hidden="false" customHeight="false" outlineLevel="0" collapsed="false"/>
    <row r="4492" customFormat="false" ht="12.75" hidden="false" customHeight="false" outlineLevel="0" collapsed="false"/>
    <row r="4493" customFormat="false" ht="12.75" hidden="false" customHeight="false" outlineLevel="0" collapsed="false"/>
    <row r="4494" customFormat="false" ht="12.75" hidden="false" customHeight="false" outlineLevel="0" collapsed="false"/>
    <row r="4495" customFormat="false" ht="12.75" hidden="false" customHeight="false" outlineLevel="0" collapsed="false"/>
    <row r="4496" customFormat="false" ht="12.75" hidden="false" customHeight="false" outlineLevel="0" collapsed="false"/>
    <row r="4497" customFormat="false" ht="12.75" hidden="false" customHeight="false" outlineLevel="0" collapsed="false"/>
    <row r="4498" customFormat="false" ht="12.75" hidden="false" customHeight="false" outlineLevel="0" collapsed="false"/>
    <row r="4499" customFormat="false" ht="12.75" hidden="false" customHeight="false" outlineLevel="0" collapsed="false"/>
    <row r="4500" customFormat="false" ht="12.75" hidden="false" customHeight="false" outlineLevel="0" collapsed="false"/>
    <row r="4501" customFormat="false" ht="12.75" hidden="false" customHeight="false" outlineLevel="0" collapsed="false"/>
    <row r="4502" customFormat="false" ht="12.75" hidden="false" customHeight="false" outlineLevel="0" collapsed="false"/>
    <row r="4503" customFormat="false" ht="12.75" hidden="false" customHeight="false" outlineLevel="0" collapsed="false"/>
    <row r="4504" customFormat="false" ht="12.75" hidden="false" customHeight="false" outlineLevel="0" collapsed="false"/>
    <row r="4505" customFormat="false" ht="12.75" hidden="false" customHeight="false" outlineLevel="0" collapsed="false"/>
    <row r="4506" customFormat="false" ht="12.75" hidden="false" customHeight="false" outlineLevel="0" collapsed="false"/>
    <row r="4507" customFormat="false" ht="12.75" hidden="false" customHeight="false" outlineLevel="0" collapsed="false"/>
    <row r="4508" customFormat="false" ht="12.75" hidden="false" customHeight="false" outlineLevel="0" collapsed="false"/>
    <row r="4509" customFormat="false" ht="12.75" hidden="false" customHeight="false" outlineLevel="0" collapsed="false"/>
    <row r="4510" customFormat="false" ht="12.75" hidden="false" customHeight="false" outlineLevel="0" collapsed="false"/>
    <row r="4511" customFormat="false" ht="12.75" hidden="false" customHeight="false" outlineLevel="0" collapsed="false"/>
    <row r="4512" customFormat="false" ht="12.75" hidden="false" customHeight="false" outlineLevel="0" collapsed="false"/>
    <row r="4513" customFormat="false" ht="12.75" hidden="false" customHeight="false" outlineLevel="0" collapsed="false"/>
    <row r="4514" customFormat="false" ht="12.75" hidden="false" customHeight="false" outlineLevel="0" collapsed="false"/>
    <row r="4515" customFormat="false" ht="12.75" hidden="false" customHeight="false" outlineLevel="0" collapsed="false"/>
    <row r="4516" customFormat="false" ht="12.75" hidden="false" customHeight="false" outlineLevel="0" collapsed="false"/>
    <row r="4517" customFormat="false" ht="12.75" hidden="false" customHeight="false" outlineLevel="0" collapsed="false"/>
    <row r="4518" customFormat="false" ht="12.75" hidden="false" customHeight="false" outlineLevel="0" collapsed="false"/>
    <row r="4519" customFormat="false" ht="12.75" hidden="false" customHeight="false" outlineLevel="0" collapsed="false"/>
    <row r="4520" customFormat="false" ht="12.75" hidden="false" customHeight="false" outlineLevel="0" collapsed="false"/>
    <row r="4521" customFormat="false" ht="12.75" hidden="false" customHeight="false" outlineLevel="0" collapsed="false"/>
    <row r="4522" customFormat="false" ht="12.75" hidden="false" customHeight="false" outlineLevel="0" collapsed="false"/>
    <row r="4523" customFormat="false" ht="12.75" hidden="false" customHeight="false" outlineLevel="0" collapsed="false"/>
    <row r="4524" customFormat="false" ht="12.75" hidden="false" customHeight="false" outlineLevel="0" collapsed="false"/>
    <row r="4525" customFormat="false" ht="12.75" hidden="false" customHeight="false" outlineLevel="0" collapsed="false"/>
    <row r="4526" customFormat="false" ht="12.75" hidden="false" customHeight="false" outlineLevel="0" collapsed="false"/>
    <row r="4527" customFormat="false" ht="12.75" hidden="false" customHeight="false" outlineLevel="0" collapsed="false"/>
    <row r="4528" customFormat="false" ht="12.75" hidden="false" customHeight="false" outlineLevel="0" collapsed="false"/>
    <row r="4529" customFormat="false" ht="12.75" hidden="false" customHeight="false" outlineLevel="0" collapsed="false"/>
    <row r="4530" customFormat="false" ht="12.75" hidden="false" customHeight="false" outlineLevel="0" collapsed="false"/>
    <row r="4531" customFormat="false" ht="12.75" hidden="false" customHeight="false" outlineLevel="0" collapsed="false"/>
    <row r="4532" customFormat="false" ht="12.75" hidden="false" customHeight="false" outlineLevel="0" collapsed="false"/>
    <row r="4533" customFormat="false" ht="12.75" hidden="false" customHeight="false" outlineLevel="0" collapsed="false"/>
    <row r="4534" customFormat="false" ht="12.75" hidden="false" customHeight="false" outlineLevel="0" collapsed="false"/>
    <row r="4535" customFormat="false" ht="12.75" hidden="false" customHeight="false" outlineLevel="0" collapsed="false"/>
    <row r="4536" customFormat="false" ht="12.75" hidden="false" customHeight="false" outlineLevel="0" collapsed="false"/>
    <row r="4537" customFormat="false" ht="12.75" hidden="false" customHeight="false" outlineLevel="0" collapsed="false"/>
    <row r="4538" customFormat="false" ht="12.75" hidden="false" customHeight="false" outlineLevel="0" collapsed="false"/>
    <row r="4539" customFormat="false" ht="12.75" hidden="false" customHeight="false" outlineLevel="0" collapsed="false"/>
    <row r="4540" customFormat="false" ht="12.75" hidden="false" customHeight="false" outlineLevel="0" collapsed="false"/>
    <row r="4541" customFormat="false" ht="12.75" hidden="false" customHeight="false" outlineLevel="0" collapsed="false"/>
    <row r="4542" customFormat="false" ht="12.75" hidden="false" customHeight="false" outlineLevel="0" collapsed="false"/>
    <row r="4543" customFormat="false" ht="12.75" hidden="false" customHeight="false" outlineLevel="0" collapsed="false"/>
    <row r="4544" customFormat="false" ht="12.75" hidden="false" customHeight="false" outlineLevel="0" collapsed="false"/>
    <row r="4545" customFormat="false" ht="12.75" hidden="false" customHeight="false" outlineLevel="0" collapsed="false"/>
    <row r="4546" customFormat="false" ht="12.75" hidden="false" customHeight="false" outlineLevel="0" collapsed="false"/>
    <row r="4547" customFormat="false" ht="12.75" hidden="false" customHeight="false" outlineLevel="0" collapsed="false"/>
    <row r="4548" customFormat="false" ht="12.75" hidden="false" customHeight="false" outlineLevel="0" collapsed="false"/>
    <row r="4549" customFormat="false" ht="12.75" hidden="false" customHeight="false" outlineLevel="0" collapsed="false"/>
    <row r="4550" customFormat="false" ht="12.75" hidden="false" customHeight="false" outlineLevel="0" collapsed="false"/>
    <row r="4551" customFormat="false" ht="12.75" hidden="false" customHeight="false" outlineLevel="0" collapsed="false"/>
    <row r="4552" customFormat="false" ht="12.75" hidden="false" customHeight="false" outlineLevel="0" collapsed="false"/>
    <row r="4553" customFormat="false" ht="12.75" hidden="false" customHeight="false" outlineLevel="0" collapsed="false"/>
    <row r="4554" customFormat="false" ht="12.75" hidden="false" customHeight="false" outlineLevel="0" collapsed="false"/>
    <row r="4555" customFormat="false" ht="12.75" hidden="false" customHeight="false" outlineLevel="0" collapsed="false"/>
    <row r="4556" customFormat="false" ht="12.75" hidden="false" customHeight="false" outlineLevel="0" collapsed="false"/>
    <row r="4557" customFormat="false" ht="12.75" hidden="false" customHeight="false" outlineLevel="0" collapsed="false"/>
    <row r="4558" customFormat="false" ht="12.75" hidden="false" customHeight="false" outlineLevel="0" collapsed="false"/>
    <row r="4559" customFormat="false" ht="12.75" hidden="false" customHeight="false" outlineLevel="0" collapsed="false"/>
    <row r="4560" customFormat="false" ht="12.75" hidden="false" customHeight="false" outlineLevel="0" collapsed="false"/>
    <row r="4561" customFormat="false" ht="12.75" hidden="false" customHeight="false" outlineLevel="0" collapsed="false"/>
    <row r="4562" customFormat="false" ht="12.75" hidden="false" customHeight="false" outlineLevel="0" collapsed="false"/>
    <row r="4563" customFormat="false" ht="12.75" hidden="false" customHeight="false" outlineLevel="0" collapsed="false"/>
    <row r="4564" customFormat="false" ht="12.75" hidden="false" customHeight="false" outlineLevel="0" collapsed="false"/>
    <row r="4565" customFormat="false" ht="12.75" hidden="false" customHeight="false" outlineLevel="0" collapsed="false"/>
    <row r="4566" customFormat="false" ht="12.75" hidden="false" customHeight="false" outlineLevel="0" collapsed="false"/>
    <row r="4567" customFormat="false" ht="12.75" hidden="false" customHeight="false" outlineLevel="0" collapsed="false"/>
    <row r="4568" customFormat="false" ht="12.75" hidden="false" customHeight="false" outlineLevel="0" collapsed="false"/>
    <row r="4569" customFormat="false" ht="12.75" hidden="false" customHeight="false" outlineLevel="0" collapsed="false"/>
    <row r="4570" customFormat="false" ht="12.75" hidden="false" customHeight="false" outlineLevel="0" collapsed="false"/>
    <row r="4571" customFormat="false" ht="12.75" hidden="false" customHeight="false" outlineLevel="0" collapsed="false"/>
    <row r="4572" customFormat="false" ht="12.75" hidden="false" customHeight="false" outlineLevel="0" collapsed="false"/>
    <row r="4573" customFormat="false" ht="12.75" hidden="false" customHeight="false" outlineLevel="0" collapsed="false"/>
    <row r="4574" customFormat="false" ht="12.75" hidden="false" customHeight="false" outlineLevel="0" collapsed="false"/>
    <row r="4575" customFormat="false" ht="12.75" hidden="false" customHeight="false" outlineLevel="0" collapsed="false"/>
    <row r="4576" customFormat="false" ht="12.75" hidden="false" customHeight="false" outlineLevel="0" collapsed="false"/>
    <row r="4577" customFormat="false" ht="12.75" hidden="false" customHeight="false" outlineLevel="0" collapsed="false"/>
    <row r="4578" customFormat="false" ht="12.75" hidden="false" customHeight="false" outlineLevel="0" collapsed="false"/>
    <row r="4579" customFormat="false" ht="12.75" hidden="false" customHeight="false" outlineLevel="0" collapsed="false"/>
    <row r="4580" customFormat="false" ht="12.75" hidden="false" customHeight="false" outlineLevel="0" collapsed="false"/>
    <row r="4581" customFormat="false" ht="12.75" hidden="false" customHeight="false" outlineLevel="0" collapsed="false"/>
    <row r="4582" customFormat="false" ht="12.75" hidden="false" customHeight="false" outlineLevel="0" collapsed="false"/>
    <row r="4583" customFormat="false" ht="12.75" hidden="false" customHeight="false" outlineLevel="0" collapsed="false"/>
    <row r="4584" customFormat="false" ht="12.75" hidden="false" customHeight="false" outlineLevel="0" collapsed="false"/>
    <row r="4585" customFormat="false" ht="12.75" hidden="false" customHeight="false" outlineLevel="0" collapsed="false"/>
    <row r="4586" customFormat="false" ht="12.75" hidden="false" customHeight="false" outlineLevel="0" collapsed="false"/>
    <row r="4587" customFormat="false" ht="12.75" hidden="false" customHeight="false" outlineLevel="0" collapsed="false"/>
    <row r="4588" customFormat="false" ht="12.75" hidden="false" customHeight="false" outlineLevel="0" collapsed="false"/>
    <row r="4589" customFormat="false" ht="12.75" hidden="false" customHeight="false" outlineLevel="0" collapsed="false"/>
    <row r="4590" customFormat="false" ht="12.75" hidden="false" customHeight="false" outlineLevel="0" collapsed="false"/>
    <row r="4591" customFormat="false" ht="12.75" hidden="false" customHeight="false" outlineLevel="0" collapsed="false"/>
    <row r="4592" customFormat="false" ht="12.75" hidden="false" customHeight="false" outlineLevel="0" collapsed="false"/>
    <row r="4593" customFormat="false" ht="12.75" hidden="false" customHeight="false" outlineLevel="0" collapsed="false"/>
    <row r="4594" customFormat="false" ht="12.75" hidden="false" customHeight="false" outlineLevel="0" collapsed="false"/>
    <row r="4595" customFormat="false" ht="12.75" hidden="false" customHeight="false" outlineLevel="0" collapsed="false"/>
    <row r="4596" customFormat="false" ht="12.75" hidden="false" customHeight="false" outlineLevel="0" collapsed="false"/>
    <row r="4597" customFormat="false" ht="12.75" hidden="false" customHeight="false" outlineLevel="0" collapsed="false"/>
    <row r="4598" customFormat="false" ht="12.75" hidden="false" customHeight="false" outlineLevel="0" collapsed="false"/>
    <row r="4599" customFormat="false" ht="12.75" hidden="false" customHeight="false" outlineLevel="0" collapsed="false"/>
    <row r="4600" customFormat="false" ht="12.75" hidden="false" customHeight="false" outlineLevel="0" collapsed="false"/>
    <row r="4601" customFormat="false" ht="12.75" hidden="false" customHeight="false" outlineLevel="0" collapsed="false"/>
    <row r="4602" customFormat="false" ht="12.75" hidden="false" customHeight="false" outlineLevel="0" collapsed="false"/>
    <row r="4603" customFormat="false" ht="12.75" hidden="false" customHeight="false" outlineLevel="0" collapsed="false"/>
    <row r="4604" customFormat="false" ht="12.75" hidden="false" customHeight="false" outlineLevel="0" collapsed="false"/>
    <row r="4605" customFormat="false" ht="12.75" hidden="false" customHeight="false" outlineLevel="0" collapsed="false"/>
    <row r="4606" customFormat="false" ht="12.75" hidden="false" customHeight="false" outlineLevel="0" collapsed="false"/>
    <row r="4607" customFormat="false" ht="12.75" hidden="false" customHeight="false" outlineLevel="0" collapsed="false"/>
    <row r="4608" customFormat="false" ht="12.75" hidden="false" customHeight="false" outlineLevel="0" collapsed="false"/>
    <row r="4609" customFormat="false" ht="12.75" hidden="false" customHeight="false" outlineLevel="0" collapsed="false"/>
    <row r="4610" customFormat="false" ht="12.75" hidden="false" customHeight="false" outlineLevel="0" collapsed="false"/>
    <row r="4611" customFormat="false" ht="12.75" hidden="false" customHeight="false" outlineLevel="0" collapsed="false"/>
    <row r="4612" customFormat="false" ht="12.75" hidden="false" customHeight="false" outlineLevel="0" collapsed="false"/>
    <row r="4613" customFormat="false" ht="12.75" hidden="false" customHeight="false" outlineLevel="0" collapsed="false"/>
    <row r="4614" customFormat="false" ht="12.75" hidden="false" customHeight="false" outlineLevel="0" collapsed="false"/>
    <row r="4615" customFormat="false" ht="12.75" hidden="false" customHeight="false" outlineLevel="0" collapsed="false"/>
    <row r="4616" customFormat="false" ht="12.75" hidden="false" customHeight="false" outlineLevel="0" collapsed="false"/>
    <row r="4617" customFormat="false" ht="12.75" hidden="false" customHeight="false" outlineLevel="0" collapsed="false"/>
    <row r="4618" customFormat="false" ht="12.75" hidden="false" customHeight="false" outlineLevel="0" collapsed="false"/>
    <row r="4619" customFormat="false" ht="12.75" hidden="false" customHeight="false" outlineLevel="0" collapsed="false"/>
    <row r="4620" customFormat="false" ht="12.75" hidden="false" customHeight="false" outlineLevel="0" collapsed="false"/>
    <row r="4621" customFormat="false" ht="12.75" hidden="false" customHeight="false" outlineLevel="0" collapsed="false"/>
    <row r="4622" customFormat="false" ht="12.75" hidden="false" customHeight="false" outlineLevel="0" collapsed="false"/>
    <row r="4623" customFormat="false" ht="12.75" hidden="false" customHeight="false" outlineLevel="0" collapsed="false"/>
    <row r="4624" customFormat="false" ht="12.75" hidden="false" customHeight="false" outlineLevel="0" collapsed="false"/>
    <row r="4625" customFormat="false" ht="12.75" hidden="false" customHeight="false" outlineLevel="0" collapsed="false"/>
    <row r="4626" customFormat="false" ht="12.75" hidden="false" customHeight="false" outlineLevel="0" collapsed="false"/>
    <row r="4627" customFormat="false" ht="12.75" hidden="false" customHeight="false" outlineLevel="0" collapsed="false"/>
    <row r="4628" customFormat="false" ht="12.75" hidden="false" customHeight="false" outlineLevel="0" collapsed="false"/>
    <row r="4629" customFormat="false" ht="12.75" hidden="false" customHeight="false" outlineLevel="0" collapsed="false"/>
    <row r="4630" customFormat="false" ht="12.75" hidden="false" customHeight="false" outlineLevel="0" collapsed="false"/>
    <row r="4631" customFormat="false" ht="12.75" hidden="false" customHeight="false" outlineLevel="0" collapsed="false"/>
    <row r="4632" customFormat="false" ht="12.75" hidden="false" customHeight="false" outlineLevel="0" collapsed="false"/>
    <row r="4633" customFormat="false" ht="12.75" hidden="false" customHeight="false" outlineLevel="0" collapsed="false"/>
    <row r="4634" customFormat="false" ht="12.75" hidden="false" customHeight="false" outlineLevel="0" collapsed="false"/>
    <row r="4635" customFormat="false" ht="12.75" hidden="false" customHeight="false" outlineLevel="0" collapsed="false"/>
    <row r="4636" customFormat="false" ht="12.75" hidden="false" customHeight="false" outlineLevel="0" collapsed="false"/>
    <row r="4637" customFormat="false" ht="12.75" hidden="false" customHeight="false" outlineLevel="0" collapsed="false"/>
    <row r="4638" customFormat="false" ht="12.75" hidden="false" customHeight="false" outlineLevel="0" collapsed="false"/>
    <row r="4639" customFormat="false" ht="12.75" hidden="false" customHeight="false" outlineLevel="0" collapsed="false"/>
    <row r="4640" customFormat="false" ht="12.75" hidden="false" customHeight="false" outlineLevel="0" collapsed="false"/>
    <row r="4641" customFormat="false" ht="12.75" hidden="false" customHeight="false" outlineLevel="0" collapsed="false"/>
    <row r="4642" customFormat="false" ht="12.75" hidden="false" customHeight="false" outlineLevel="0" collapsed="false"/>
    <row r="4643" customFormat="false" ht="12.75" hidden="false" customHeight="false" outlineLevel="0" collapsed="false"/>
    <row r="4644" customFormat="false" ht="12.75" hidden="false" customHeight="false" outlineLevel="0" collapsed="false"/>
    <row r="4645" customFormat="false" ht="12.75" hidden="false" customHeight="false" outlineLevel="0" collapsed="false"/>
    <row r="4646" customFormat="false" ht="12.75" hidden="false" customHeight="false" outlineLevel="0" collapsed="false"/>
    <row r="4647" customFormat="false" ht="12.75" hidden="false" customHeight="false" outlineLevel="0" collapsed="false"/>
    <row r="4648" customFormat="false" ht="12.75" hidden="false" customHeight="false" outlineLevel="0" collapsed="false"/>
    <row r="4649" customFormat="false" ht="12.75" hidden="false" customHeight="false" outlineLevel="0" collapsed="false"/>
    <row r="4650" customFormat="false" ht="12.75" hidden="false" customHeight="false" outlineLevel="0" collapsed="false"/>
    <row r="4651" customFormat="false" ht="12.75" hidden="false" customHeight="false" outlineLevel="0" collapsed="false"/>
    <row r="4652" customFormat="false" ht="12.75" hidden="false" customHeight="false" outlineLevel="0" collapsed="false"/>
    <row r="4653" customFormat="false" ht="12.75" hidden="false" customHeight="false" outlineLevel="0" collapsed="false"/>
    <row r="4654" customFormat="false" ht="12.75" hidden="false" customHeight="false" outlineLevel="0" collapsed="false"/>
    <row r="4655" customFormat="false" ht="12.75" hidden="false" customHeight="false" outlineLevel="0" collapsed="false"/>
    <row r="4656" customFormat="false" ht="12.75" hidden="false" customHeight="false" outlineLevel="0" collapsed="false"/>
    <row r="4657" customFormat="false" ht="12.75" hidden="false" customHeight="false" outlineLevel="0" collapsed="false"/>
    <row r="4658" customFormat="false" ht="12.75" hidden="false" customHeight="false" outlineLevel="0" collapsed="false"/>
    <row r="4659" customFormat="false" ht="12.75" hidden="false" customHeight="false" outlineLevel="0" collapsed="false"/>
    <row r="4660" customFormat="false" ht="12.75" hidden="false" customHeight="false" outlineLevel="0" collapsed="false"/>
    <row r="4661" customFormat="false" ht="12.75" hidden="false" customHeight="false" outlineLevel="0" collapsed="false"/>
    <row r="4662" customFormat="false" ht="12.75" hidden="false" customHeight="false" outlineLevel="0" collapsed="false"/>
    <row r="4663" customFormat="false" ht="12.75" hidden="false" customHeight="false" outlineLevel="0" collapsed="false"/>
    <row r="4664" customFormat="false" ht="12.75" hidden="false" customHeight="false" outlineLevel="0" collapsed="false"/>
    <row r="4665" customFormat="false" ht="12.75" hidden="false" customHeight="false" outlineLevel="0" collapsed="false"/>
    <row r="4666" customFormat="false" ht="12.75" hidden="false" customHeight="false" outlineLevel="0" collapsed="false"/>
    <row r="4667" customFormat="false" ht="12.75" hidden="false" customHeight="false" outlineLevel="0" collapsed="false"/>
    <row r="4668" customFormat="false" ht="12.75" hidden="false" customHeight="false" outlineLevel="0" collapsed="false"/>
    <row r="4669" customFormat="false" ht="12.75" hidden="false" customHeight="false" outlineLevel="0" collapsed="false"/>
    <row r="4670" customFormat="false" ht="12.75" hidden="false" customHeight="false" outlineLevel="0" collapsed="false"/>
    <row r="4671" customFormat="false" ht="12.75" hidden="false" customHeight="false" outlineLevel="0" collapsed="false"/>
    <row r="4672" customFormat="false" ht="12.75" hidden="false" customHeight="false" outlineLevel="0" collapsed="false"/>
    <row r="4673" customFormat="false" ht="12.75" hidden="false" customHeight="false" outlineLevel="0" collapsed="false"/>
    <row r="4674" customFormat="false" ht="12.75" hidden="false" customHeight="false" outlineLevel="0" collapsed="false"/>
    <row r="4675" customFormat="false" ht="12.75" hidden="false" customHeight="false" outlineLevel="0" collapsed="false"/>
    <row r="4676" customFormat="false" ht="12.75" hidden="false" customHeight="false" outlineLevel="0" collapsed="false"/>
    <row r="4677" customFormat="false" ht="12.75" hidden="false" customHeight="false" outlineLevel="0" collapsed="false"/>
    <row r="4678" customFormat="false" ht="12.75" hidden="false" customHeight="false" outlineLevel="0" collapsed="false"/>
    <row r="4679" customFormat="false" ht="12.75" hidden="false" customHeight="false" outlineLevel="0" collapsed="false"/>
    <row r="4680" customFormat="false" ht="12.75" hidden="false" customHeight="false" outlineLevel="0" collapsed="false"/>
    <row r="4681" customFormat="false" ht="12.75" hidden="false" customHeight="false" outlineLevel="0" collapsed="false"/>
    <row r="4682" customFormat="false" ht="12.75" hidden="false" customHeight="false" outlineLevel="0" collapsed="false"/>
    <row r="4683" customFormat="false" ht="12.75" hidden="false" customHeight="false" outlineLevel="0" collapsed="false"/>
    <row r="4684" customFormat="false" ht="12.75" hidden="false" customHeight="false" outlineLevel="0" collapsed="false"/>
    <row r="4685" customFormat="false" ht="12.75" hidden="false" customHeight="false" outlineLevel="0" collapsed="false"/>
    <row r="4686" customFormat="false" ht="12.75" hidden="false" customHeight="false" outlineLevel="0" collapsed="false"/>
    <row r="4687" customFormat="false" ht="12.75" hidden="false" customHeight="false" outlineLevel="0" collapsed="false"/>
    <row r="4688" customFormat="false" ht="12.75" hidden="false" customHeight="false" outlineLevel="0" collapsed="false"/>
    <row r="4689" customFormat="false" ht="12.75" hidden="false" customHeight="false" outlineLevel="0" collapsed="false"/>
    <row r="4690" customFormat="false" ht="12.75" hidden="false" customHeight="false" outlineLevel="0" collapsed="false"/>
    <row r="4691" customFormat="false" ht="12.75" hidden="false" customHeight="false" outlineLevel="0" collapsed="false"/>
    <row r="4692" customFormat="false" ht="12.75" hidden="false" customHeight="false" outlineLevel="0" collapsed="false"/>
    <row r="4693" customFormat="false" ht="12.75" hidden="false" customHeight="false" outlineLevel="0" collapsed="false"/>
    <row r="4694" customFormat="false" ht="12.75" hidden="false" customHeight="false" outlineLevel="0" collapsed="false"/>
    <row r="4695" customFormat="false" ht="12.75" hidden="false" customHeight="false" outlineLevel="0" collapsed="false"/>
    <row r="4696" customFormat="false" ht="12.75" hidden="false" customHeight="false" outlineLevel="0" collapsed="false"/>
    <row r="4697" customFormat="false" ht="12.75" hidden="false" customHeight="false" outlineLevel="0" collapsed="false"/>
    <row r="4698" customFormat="false" ht="12.75" hidden="false" customHeight="false" outlineLevel="0" collapsed="false"/>
    <row r="4699" customFormat="false" ht="12.75" hidden="false" customHeight="false" outlineLevel="0" collapsed="false"/>
    <row r="4700" customFormat="false" ht="12.75" hidden="false" customHeight="false" outlineLevel="0" collapsed="false"/>
    <row r="4701" customFormat="false" ht="12.75" hidden="false" customHeight="false" outlineLevel="0" collapsed="false"/>
    <row r="4702" customFormat="false" ht="12.75" hidden="false" customHeight="false" outlineLevel="0" collapsed="false"/>
    <row r="4703" customFormat="false" ht="12.75" hidden="false" customHeight="false" outlineLevel="0" collapsed="false"/>
    <row r="4704" customFormat="false" ht="12.75" hidden="false" customHeight="false" outlineLevel="0" collapsed="false"/>
    <row r="4705" customFormat="false" ht="12.75" hidden="false" customHeight="false" outlineLevel="0" collapsed="false"/>
    <row r="4706" customFormat="false" ht="12.75" hidden="false" customHeight="false" outlineLevel="0" collapsed="false"/>
    <row r="4707" customFormat="false" ht="12.75" hidden="false" customHeight="false" outlineLevel="0" collapsed="false"/>
    <row r="4708" customFormat="false" ht="12.75" hidden="false" customHeight="false" outlineLevel="0" collapsed="false"/>
    <row r="4709" customFormat="false" ht="12.75" hidden="false" customHeight="false" outlineLevel="0" collapsed="false"/>
    <row r="4710" customFormat="false" ht="12.75" hidden="false" customHeight="false" outlineLevel="0" collapsed="false"/>
    <row r="4711" customFormat="false" ht="12.75" hidden="false" customHeight="false" outlineLevel="0" collapsed="false"/>
    <row r="4712" customFormat="false" ht="12.75" hidden="false" customHeight="false" outlineLevel="0" collapsed="false"/>
    <row r="4713" customFormat="false" ht="12.75" hidden="false" customHeight="false" outlineLevel="0" collapsed="false"/>
    <row r="4714" customFormat="false" ht="12.75" hidden="false" customHeight="false" outlineLevel="0" collapsed="false"/>
    <row r="4715" customFormat="false" ht="12.75" hidden="false" customHeight="false" outlineLevel="0" collapsed="false"/>
    <row r="4716" customFormat="false" ht="12.75" hidden="false" customHeight="false" outlineLevel="0" collapsed="false"/>
    <row r="4717" customFormat="false" ht="12.75" hidden="false" customHeight="false" outlineLevel="0" collapsed="false"/>
    <row r="4718" customFormat="false" ht="12.75" hidden="false" customHeight="false" outlineLevel="0" collapsed="false"/>
    <row r="4719" customFormat="false" ht="12.75" hidden="false" customHeight="false" outlineLevel="0" collapsed="false"/>
    <row r="4720" customFormat="false" ht="12.75" hidden="false" customHeight="false" outlineLevel="0" collapsed="false"/>
    <row r="4721" customFormat="false" ht="12.75" hidden="false" customHeight="false" outlineLevel="0" collapsed="false"/>
    <row r="4722" customFormat="false" ht="12.75" hidden="false" customHeight="false" outlineLevel="0" collapsed="false"/>
    <row r="4723" customFormat="false" ht="12.75" hidden="false" customHeight="false" outlineLevel="0" collapsed="false"/>
    <row r="4724" customFormat="false" ht="12.75" hidden="false" customHeight="false" outlineLevel="0" collapsed="false"/>
    <row r="4725" customFormat="false" ht="12.75" hidden="false" customHeight="false" outlineLevel="0" collapsed="false"/>
    <row r="4726" customFormat="false" ht="12.75" hidden="false" customHeight="false" outlineLevel="0" collapsed="false"/>
    <row r="4727" customFormat="false" ht="12.75" hidden="false" customHeight="false" outlineLevel="0" collapsed="false"/>
    <row r="4728" customFormat="false" ht="12.75" hidden="false" customHeight="false" outlineLevel="0" collapsed="false"/>
    <row r="4729" customFormat="false" ht="12.75" hidden="false" customHeight="false" outlineLevel="0" collapsed="false"/>
    <row r="4730" customFormat="false" ht="12.75" hidden="false" customHeight="false" outlineLevel="0" collapsed="false"/>
    <row r="4731" customFormat="false" ht="12.75" hidden="false" customHeight="false" outlineLevel="0" collapsed="false"/>
    <row r="4732" customFormat="false" ht="12.75" hidden="false" customHeight="false" outlineLevel="0" collapsed="false"/>
    <row r="4733" customFormat="false" ht="12.75" hidden="false" customHeight="false" outlineLevel="0" collapsed="false"/>
    <row r="4734" customFormat="false" ht="12.75" hidden="false" customHeight="false" outlineLevel="0" collapsed="false"/>
    <row r="4735" customFormat="false" ht="12.75" hidden="false" customHeight="false" outlineLevel="0" collapsed="false"/>
    <row r="4736" customFormat="false" ht="12.75" hidden="false" customHeight="false" outlineLevel="0" collapsed="false"/>
    <row r="4737" customFormat="false" ht="12.75" hidden="false" customHeight="false" outlineLevel="0" collapsed="false"/>
    <row r="4738" customFormat="false" ht="12.75" hidden="false" customHeight="false" outlineLevel="0" collapsed="false"/>
    <row r="4739" customFormat="false" ht="12.75" hidden="false" customHeight="false" outlineLevel="0" collapsed="false"/>
    <row r="4740" customFormat="false" ht="12.75" hidden="false" customHeight="false" outlineLevel="0" collapsed="false"/>
    <row r="4741" customFormat="false" ht="12.75" hidden="false" customHeight="false" outlineLevel="0" collapsed="false"/>
    <row r="4742" customFormat="false" ht="12.75" hidden="false" customHeight="false" outlineLevel="0" collapsed="false"/>
    <row r="4743" customFormat="false" ht="12.75" hidden="false" customHeight="false" outlineLevel="0" collapsed="false"/>
    <row r="4744" customFormat="false" ht="12.75" hidden="false" customHeight="false" outlineLevel="0" collapsed="false"/>
    <row r="4745" customFormat="false" ht="12.75" hidden="false" customHeight="false" outlineLevel="0" collapsed="false"/>
    <row r="4746" customFormat="false" ht="12.75" hidden="false" customHeight="false" outlineLevel="0" collapsed="false"/>
    <row r="4747" customFormat="false" ht="12.75" hidden="false" customHeight="false" outlineLevel="0" collapsed="false"/>
    <row r="4748" customFormat="false" ht="12.75" hidden="false" customHeight="false" outlineLevel="0" collapsed="false"/>
    <row r="4749" customFormat="false" ht="12.75" hidden="false" customHeight="false" outlineLevel="0" collapsed="false"/>
    <row r="4750" customFormat="false" ht="12.75" hidden="false" customHeight="false" outlineLevel="0" collapsed="false"/>
    <row r="4751" customFormat="false" ht="12.75" hidden="false" customHeight="false" outlineLevel="0" collapsed="false"/>
    <row r="4752" customFormat="false" ht="12.75" hidden="false" customHeight="false" outlineLevel="0" collapsed="false"/>
    <row r="4753" customFormat="false" ht="12.75" hidden="false" customHeight="false" outlineLevel="0" collapsed="false"/>
    <row r="4754" customFormat="false" ht="12.75" hidden="false" customHeight="false" outlineLevel="0" collapsed="false"/>
    <row r="4755" customFormat="false" ht="12.75" hidden="false" customHeight="false" outlineLevel="0" collapsed="false"/>
    <row r="4756" customFormat="false" ht="12.75" hidden="false" customHeight="false" outlineLevel="0" collapsed="false"/>
    <row r="4757" customFormat="false" ht="12.75" hidden="false" customHeight="false" outlineLevel="0" collapsed="false"/>
    <row r="4758" customFormat="false" ht="12.75" hidden="false" customHeight="false" outlineLevel="0" collapsed="false"/>
    <row r="4759" customFormat="false" ht="12.75" hidden="false" customHeight="false" outlineLevel="0" collapsed="false"/>
    <row r="4760" customFormat="false" ht="12.75" hidden="false" customHeight="false" outlineLevel="0" collapsed="false"/>
    <row r="4761" customFormat="false" ht="12.75" hidden="false" customHeight="false" outlineLevel="0" collapsed="false"/>
    <row r="4762" customFormat="false" ht="12.75" hidden="false" customHeight="false" outlineLevel="0" collapsed="false"/>
    <row r="4763" customFormat="false" ht="12.75" hidden="false" customHeight="false" outlineLevel="0" collapsed="false"/>
    <row r="4764" customFormat="false" ht="12.75" hidden="false" customHeight="false" outlineLevel="0" collapsed="false"/>
    <row r="4765" customFormat="false" ht="12.75" hidden="false" customHeight="false" outlineLevel="0" collapsed="false"/>
    <row r="4766" customFormat="false" ht="12.75" hidden="false" customHeight="false" outlineLevel="0" collapsed="false"/>
    <row r="4767" customFormat="false" ht="12.75" hidden="false" customHeight="false" outlineLevel="0" collapsed="false"/>
    <row r="4768" customFormat="false" ht="12.75" hidden="false" customHeight="false" outlineLevel="0" collapsed="false"/>
    <row r="4769" customFormat="false" ht="12.75" hidden="false" customHeight="false" outlineLevel="0" collapsed="false"/>
    <row r="4770" customFormat="false" ht="12.75" hidden="false" customHeight="false" outlineLevel="0" collapsed="false"/>
    <row r="4771" customFormat="false" ht="12.75" hidden="false" customHeight="false" outlineLevel="0" collapsed="false"/>
    <row r="4772" customFormat="false" ht="12.75" hidden="false" customHeight="false" outlineLevel="0" collapsed="false"/>
    <row r="4773" customFormat="false" ht="12.75" hidden="false" customHeight="false" outlineLevel="0" collapsed="false"/>
    <row r="4774" customFormat="false" ht="12.75" hidden="false" customHeight="false" outlineLevel="0" collapsed="false"/>
    <row r="4775" customFormat="false" ht="12.75" hidden="false" customHeight="false" outlineLevel="0" collapsed="false"/>
    <row r="4776" customFormat="false" ht="12.75" hidden="false" customHeight="false" outlineLevel="0" collapsed="false"/>
    <row r="4777" customFormat="false" ht="12.75" hidden="false" customHeight="false" outlineLevel="0" collapsed="false"/>
    <row r="4778" customFormat="false" ht="12.75" hidden="false" customHeight="false" outlineLevel="0" collapsed="false"/>
    <row r="4779" customFormat="false" ht="12.75" hidden="false" customHeight="false" outlineLevel="0" collapsed="false"/>
    <row r="4780" customFormat="false" ht="12.75" hidden="false" customHeight="false" outlineLevel="0" collapsed="false"/>
    <row r="4781" customFormat="false" ht="12.75" hidden="false" customHeight="false" outlineLevel="0" collapsed="false"/>
    <row r="4782" customFormat="false" ht="12.75" hidden="false" customHeight="false" outlineLevel="0" collapsed="false"/>
    <row r="4783" customFormat="false" ht="12.75" hidden="false" customHeight="false" outlineLevel="0" collapsed="false"/>
    <row r="4784" customFormat="false" ht="12.75" hidden="false" customHeight="false" outlineLevel="0" collapsed="false"/>
    <row r="4785" customFormat="false" ht="12.75" hidden="false" customHeight="false" outlineLevel="0" collapsed="false"/>
    <row r="4786" customFormat="false" ht="12.75" hidden="false" customHeight="false" outlineLevel="0" collapsed="false"/>
    <row r="4787" customFormat="false" ht="12.75" hidden="false" customHeight="false" outlineLevel="0" collapsed="false"/>
    <row r="4788" customFormat="false" ht="12.75" hidden="false" customHeight="false" outlineLevel="0" collapsed="false"/>
    <row r="4789" customFormat="false" ht="12.75" hidden="false" customHeight="false" outlineLevel="0" collapsed="false"/>
    <row r="4790" customFormat="false" ht="12.75" hidden="false" customHeight="false" outlineLevel="0" collapsed="false"/>
    <row r="4791" customFormat="false" ht="12.75" hidden="false" customHeight="false" outlineLevel="0" collapsed="false"/>
    <row r="4792" customFormat="false" ht="12.75" hidden="false" customHeight="false" outlineLevel="0" collapsed="false"/>
    <row r="4793" customFormat="false" ht="12.75" hidden="false" customHeight="false" outlineLevel="0" collapsed="false"/>
    <row r="4794" customFormat="false" ht="12.75" hidden="false" customHeight="false" outlineLevel="0" collapsed="false"/>
    <row r="4795" customFormat="false" ht="12.75" hidden="false" customHeight="false" outlineLevel="0" collapsed="false"/>
    <row r="4796" customFormat="false" ht="12.75" hidden="false" customHeight="false" outlineLevel="0" collapsed="false"/>
    <row r="4797" customFormat="false" ht="12.75" hidden="false" customHeight="false" outlineLevel="0" collapsed="false"/>
    <row r="4798" customFormat="false" ht="12.75" hidden="false" customHeight="false" outlineLevel="0" collapsed="false"/>
    <row r="4799" customFormat="false" ht="12.75" hidden="false" customHeight="false" outlineLevel="0" collapsed="false"/>
    <row r="4800" customFormat="false" ht="12.75" hidden="false" customHeight="false" outlineLevel="0" collapsed="false"/>
    <row r="4801" customFormat="false" ht="12.75" hidden="false" customHeight="false" outlineLevel="0" collapsed="false"/>
    <row r="4802" customFormat="false" ht="12.75" hidden="false" customHeight="false" outlineLevel="0" collapsed="false"/>
    <row r="4803" customFormat="false" ht="12.75" hidden="false" customHeight="false" outlineLevel="0" collapsed="false"/>
    <row r="4804" customFormat="false" ht="12.75" hidden="false" customHeight="false" outlineLevel="0" collapsed="false"/>
    <row r="4805" customFormat="false" ht="12.75" hidden="false" customHeight="false" outlineLevel="0" collapsed="false"/>
    <row r="4806" customFormat="false" ht="12.75" hidden="false" customHeight="false" outlineLevel="0" collapsed="false"/>
    <row r="4807" customFormat="false" ht="12.75" hidden="false" customHeight="false" outlineLevel="0" collapsed="false"/>
    <row r="4808" customFormat="false" ht="12.75" hidden="false" customHeight="false" outlineLevel="0" collapsed="false"/>
    <row r="4809" customFormat="false" ht="12.75" hidden="false" customHeight="false" outlineLevel="0" collapsed="false"/>
    <row r="4810" customFormat="false" ht="12.75" hidden="false" customHeight="false" outlineLevel="0" collapsed="false"/>
    <row r="4811" customFormat="false" ht="12.75" hidden="false" customHeight="false" outlineLevel="0" collapsed="false"/>
    <row r="4812" customFormat="false" ht="12.75" hidden="false" customHeight="false" outlineLevel="0" collapsed="false"/>
    <row r="4813" customFormat="false" ht="12.75" hidden="false" customHeight="false" outlineLevel="0" collapsed="false"/>
    <row r="4814" customFormat="false" ht="12.75" hidden="false" customHeight="false" outlineLevel="0" collapsed="false"/>
    <row r="4815" customFormat="false" ht="12.75" hidden="false" customHeight="false" outlineLevel="0" collapsed="false"/>
    <row r="4816" customFormat="false" ht="12.75" hidden="false" customHeight="false" outlineLevel="0" collapsed="false"/>
    <row r="4817" customFormat="false" ht="12.75" hidden="false" customHeight="false" outlineLevel="0" collapsed="false"/>
    <row r="4818" customFormat="false" ht="12.75" hidden="false" customHeight="false" outlineLevel="0" collapsed="false"/>
    <row r="4819" customFormat="false" ht="12.75" hidden="false" customHeight="false" outlineLevel="0" collapsed="false"/>
    <row r="4820" customFormat="false" ht="12.75" hidden="false" customHeight="false" outlineLevel="0" collapsed="false"/>
    <row r="4821" customFormat="false" ht="12.75" hidden="false" customHeight="false" outlineLevel="0" collapsed="false"/>
    <row r="4822" customFormat="false" ht="12.75" hidden="false" customHeight="false" outlineLevel="0" collapsed="false"/>
    <row r="4823" customFormat="false" ht="12.75" hidden="false" customHeight="false" outlineLevel="0" collapsed="false"/>
    <row r="4824" customFormat="false" ht="12.75" hidden="false" customHeight="false" outlineLevel="0" collapsed="false"/>
    <row r="4825" customFormat="false" ht="12.75" hidden="false" customHeight="false" outlineLevel="0" collapsed="false"/>
    <row r="4826" customFormat="false" ht="12.75" hidden="false" customHeight="false" outlineLevel="0" collapsed="false"/>
    <row r="4827" customFormat="false" ht="12.75" hidden="false" customHeight="false" outlineLevel="0" collapsed="false"/>
    <row r="4828" customFormat="false" ht="12.75" hidden="false" customHeight="false" outlineLevel="0" collapsed="false"/>
    <row r="4829" customFormat="false" ht="12.75" hidden="false" customHeight="false" outlineLevel="0" collapsed="false"/>
    <row r="4830" customFormat="false" ht="12.75" hidden="false" customHeight="false" outlineLevel="0" collapsed="false"/>
    <row r="4831" customFormat="false" ht="12.75" hidden="false" customHeight="false" outlineLevel="0" collapsed="false"/>
    <row r="4832" customFormat="false" ht="12.75" hidden="false" customHeight="false" outlineLevel="0" collapsed="false"/>
    <row r="4833" customFormat="false" ht="12.75" hidden="false" customHeight="false" outlineLevel="0" collapsed="false"/>
    <row r="4834" customFormat="false" ht="12.75" hidden="false" customHeight="false" outlineLevel="0" collapsed="false"/>
    <row r="4835" customFormat="false" ht="12.75" hidden="false" customHeight="false" outlineLevel="0" collapsed="false"/>
    <row r="4836" customFormat="false" ht="12.75" hidden="false" customHeight="false" outlineLevel="0" collapsed="false"/>
    <row r="4837" customFormat="false" ht="12.75" hidden="false" customHeight="false" outlineLevel="0" collapsed="false"/>
    <row r="4838" customFormat="false" ht="12.75" hidden="false" customHeight="false" outlineLevel="0" collapsed="false"/>
    <row r="4839" customFormat="false" ht="12.75" hidden="false" customHeight="false" outlineLevel="0" collapsed="false"/>
    <row r="4840" customFormat="false" ht="12.75" hidden="false" customHeight="false" outlineLevel="0" collapsed="false"/>
    <row r="4841" customFormat="false" ht="12.75" hidden="false" customHeight="false" outlineLevel="0" collapsed="false"/>
    <row r="4842" customFormat="false" ht="12.75" hidden="false" customHeight="false" outlineLevel="0" collapsed="false"/>
    <row r="4843" customFormat="false" ht="12.75" hidden="false" customHeight="false" outlineLevel="0" collapsed="false"/>
    <row r="4844" customFormat="false" ht="12.75" hidden="false" customHeight="false" outlineLevel="0" collapsed="false"/>
    <row r="4845" customFormat="false" ht="12.75" hidden="false" customHeight="false" outlineLevel="0" collapsed="false"/>
    <row r="4846" customFormat="false" ht="12.75" hidden="false" customHeight="false" outlineLevel="0" collapsed="false"/>
    <row r="4847" customFormat="false" ht="12.75" hidden="false" customHeight="false" outlineLevel="0" collapsed="false"/>
    <row r="4848" customFormat="false" ht="12.75" hidden="false" customHeight="false" outlineLevel="0" collapsed="false"/>
    <row r="4849" customFormat="false" ht="12.75" hidden="false" customHeight="false" outlineLevel="0" collapsed="false"/>
    <row r="4850" customFormat="false" ht="12.75" hidden="false" customHeight="false" outlineLevel="0" collapsed="false"/>
    <row r="4851" customFormat="false" ht="12.75" hidden="false" customHeight="false" outlineLevel="0" collapsed="false"/>
    <row r="4852" customFormat="false" ht="12.75" hidden="false" customHeight="false" outlineLevel="0" collapsed="false"/>
    <row r="4853" customFormat="false" ht="12.75" hidden="false" customHeight="false" outlineLevel="0" collapsed="false"/>
    <row r="4854" customFormat="false" ht="12.75" hidden="false" customHeight="false" outlineLevel="0" collapsed="false"/>
    <row r="4855" customFormat="false" ht="12.75" hidden="false" customHeight="false" outlineLevel="0" collapsed="false"/>
    <row r="4856" customFormat="false" ht="12.75" hidden="false" customHeight="false" outlineLevel="0" collapsed="false"/>
    <row r="4857" customFormat="false" ht="12.75" hidden="false" customHeight="false" outlineLevel="0" collapsed="false"/>
    <row r="4858" customFormat="false" ht="12.75" hidden="false" customHeight="false" outlineLevel="0" collapsed="false"/>
    <row r="4859" customFormat="false" ht="12.75" hidden="false" customHeight="false" outlineLevel="0" collapsed="false"/>
    <row r="4860" customFormat="false" ht="12.75" hidden="false" customHeight="false" outlineLevel="0" collapsed="false"/>
    <row r="4861" customFormat="false" ht="12.75" hidden="false" customHeight="false" outlineLevel="0" collapsed="false"/>
    <row r="4862" customFormat="false" ht="12.75" hidden="false" customHeight="false" outlineLevel="0" collapsed="false"/>
    <row r="4863" customFormat="false" ht="12.75" hidden="false" customHeight="false" outlineLevel="0" collapsed="false"/>
    <row r="4864" customFormat="false" ht="12.75" hidden="false" customHeight="false" outlineLevel="0" collapsed="false"/>
    <row r="4865" customFormat="false" ht="12.75" hidden="false" customHeight="false" outlineLevel="0" collapsed="false"/>
    <row r="4866" customFormat="false" ht="12.75" hidden="false" customHeight="false" outlineLevel="0" collapsed="false"/>
    <row r="4867" customFormat="false" ht="12.75" hidden="false" customHeight="false" outlineLevel="0" collapsed="false"/>
    <row r="4868" customFormat="false" ht="12.75" hidden="false" customHeight="false" outlineLevel="0" collapsed="false"/>
    <row r="4869" customFormat="false" ht="12.75" hidden="false" customHeight="false" outlineLevel="0" collapsed="false"/>
    <row r="4870" customFormat="false" ht="12.75" hidden="false" customHeight="false" outlineLevel="0" collapsed="false"/>
    <row r="4871" customFormat="false" ht="12.75" hidden="false" customHeight="false" outlineLevel="0" collapsed="false"/>
    <row r="4872" customFormat="false" ht="12.75" hidden="false" customHeight="false" outlineLevel="0" collapsed="false"/>
    <row r="4873" customFormat="false" ht="12.75" hidden="false" customHeight="false" outlineLevel="0" collapsed="false"/>
    <row r="4874" customFormat="false" ht="12.75" hidden="false" customHeight="false" outlineLevel="0" collapsed="false"/>
    <row r="4875" customFormat="false" ht="12.75" hidden="false" customHeight="false" outlineLevel="0" collapsed="false"/>
    <row r="4876" customFormat="false" ht="12.75" hidden="false" customHeight="false" outlineLevel="0" collapsed="false"/>
    <row r="4877" customFormat="false" ht="12.75" hidden="false" customHeight="false" outlineLevel="0" collapsed="false"/>
    <row r="4878" customFormat="false" ht="12.75" hidden="false" customHeight="false" outlineLevel="0" collapsed="false"/>
    <row r="4879" customFormat="false" ht="12.75" hidden="false" customHeight="false" outlineLevel="0" collapsed="false"/>
    <row r="4880" customFormat="false" ht="12.75" hidden="false" customHeight="false" outlineLevel="0" collapsed="false"/>
    <row r="4881" customFormat="false" ht="12.75" hidden="false" customHeight="false" outlineLevel="0" collapsed="false"/>
    <row r="4882" customFormat="false" ht="12.75" hidden="false" customHeight="false" outlineLevel="0" collapsed="false"/>
    <row r="4883" customFormat="false" ht="12.75" hidden="false" customHeight="false" outlineLevel="0" collapsed="false"/>
    <row r="4884" customFormat="false" ht="12.75" hidden="false" customHeight="false" outlineLevel="0" collapsed="false"/>
    <row r="4885" customFormat="false" ht="12.75" hidden="false" customHeight="false" outlineLevel="0" collapsed="false"/>
    <row r="4886" customFormat="false" ht="12.75" hidden="false" customHeight="false" outlineLevel="0" collapsed="false"/>
    <row r="4887" customFormat="false" ht="12.75" hidden="false" customHeight="false" outlineLevel="0" collapsed="false"/>
    <row r="4888" customFormat="false" ht="12.75" hidden="false" customHeight="false" outlineLevel="0" collapsed="false"/>
    <row r="4889" customFormat="false" ht="12.75" hidden="false" customHeight="false" outlineLevel="0" collapsed="false"/>
    <row r="4890" customFormat="false" ht="12.75" hidden="false" customHeight="false" outlineLevel="0" collapsed="false"/>
    <row r="4891" customFormat="false" ht="12.75" hidden="false" customHeight="false" outlineLevel="0" collapsed="false"/>
    <row r="4892" customFormat="false" ht="12.75" hidden="false" customHeight="false" outlineLevel="0" collapsed="false"/>
    <row r="4893" customFormat="false" ht="12.75" hidden="false" customHeight="false" outlineLevel="0" collapsed="false"/>
    <row r="4894" customFormat="false" ht="12.75" hidden="false" customHeight="false" outlineLevel="0" collapsed="false"/>
    <row r="4895" customFormat="false" ht="12.75" hidden="false" customHeight="false" outlineLevel="0" collapsed="false"/>
    <row r="4896" customFormat="false" ht="12.75" hidden="false" customHeight="false" outlineLevel="0" collapsed="false"/>
    <row r="4897" customFormat="false" ht="12.75" hidden="false" customHeight="false" outlineLevel="0" collapsed="false"/>
    <row r="4898" customFormat="false" ht="12.75" hidden="false" customHeight="false" outlineLevel="0" collapsed="false"/>
    <row r="4899" customFormat="false" ht="12.75" hidden="false" customHeight="false" outlineLevel="0" collapsed="false"/>
    <row r="4900" customFormat="false" ht="12.75" hidden="false" customHeight="false" outlineLevel="0" collapsed="false"/>
    <row r="4901" customFormat="false" ht="12.75" hidden="false" customHeight="false" outlineLevel="0" collapsed="false"/>
    <row r="4902" customFormat="false" ht="12.75" hidden="false" customHeight="false" outlineLevel="0" collapsed="false"/>
    <row r="4903" customFormat="false" ht="12.75" hidden="false" customHeight="false" outlineLevel="0" collapsed="false"/>
    <row r="4904" customFormat="false" ht="12.75" hidden="false" customHeight="false" outlineLevel="0" collapsed="false"/>
    <row r="4905" customFormat="false" ht="12.75" hidden="false" customHeight="false" outlineLevel="0" collapsed="false"/>
    <row r="4906" customFormat="false" ht="12.75" hidden="false" customHeight="false" outlineLevel="0" collapsed="false"/>
    <row r="4907" customFormat="false" ht="12.75" hidden="false" customHeight="false" outlineLevel="0" collapsed="false"/>
    <row r="4908" customFormat="false" ht="12.75" hidden="false" customHeight="false" outlineLevel="0" collapsed="false"/>
    <row r="4909" customFormat="false" ht="12.75" hidden="false" customHeight="false" outlineLevel="0" collapsed="false"/>
    <row r="4910" customFormat="false" ht="12.75" hidden="false" customHeight="false" outlineLevel="0" collapsed="false"/>
    <row r="4911" customFormat="false" ht="12.75" hidden="false" customHeight="false" outlineLevel="0" collapsed="false"/>
    <row r="4912" customFormat="false" ht="12.75" hidden="false" customHeight="false" outlineLevel="0" collapsed="false"/>
    <row r="4913" customFormat="false" ht="12.75" hidden="false" customHeight="false" outlineLevel="0" collapsed="false"/>
    <row r="4914" customFormat="false" ht="12.75" hidden="false" customHeight="false" outlineLevel="0" collapsed="false"/>
    <row r="4915" customFormat="false" ht="12.75" hidden="false" customHeight="false" outlineLevel="0" collapsed="false"/>
    <row r="4916" customFormat="false" ht="12.75" hidden="false" customHeight="false" outlineLevel="0" collapsed="false"/>
    <row r="4917" customFormat="false" ht="12.75" hidden="false" customHeight="false" outlineLevel="0" collapsed="false"/>
    <row r="4918" customFormat="false" ht="12.75" hidden="false" customHeight="false" outlineLevel="0" collapsed="false"/>
    <row r="4919" customFormat="false" ht="12.75" hidden="false" customHeight="false" outlineLevel="0" collapsed="false"/>
    <row r="4920" customFormat="false" ht="12.75" hidden="false" customHeight="false" outlineLevel="0" collapsed="false"/>
    <row r="4921" customFormat="false" ht="12.75" hidden="false" customHeight="false" outlineLevel="0" collapsed="false"/>
    <row r="4922" customFormat="false" ht="12.75" hidden="false" customHeight="false" outlineLevel="0" collapsed="false"/>
    <row r="4923" customFormat="false" ht="12.75" hidden="false" customHeight="false" outlineLevel="0" collapsed="false"/>
    <row r="4924" customFormat="false" ht="12.75" hidden="false" customHeight="false" outlineLevel="0" collapsed="false"/>
    <row r="4925" customFormat="false" ht="12.75" hidden="false" customHeight="false" outlineLevel="0" collapsed="false"/>
    <row r="4926" customFormat="false" ht="12.75" hidden="false" customHeight="false" outlineLevel="0" collapsed="false"/>
    <row r="4927" customFormat="false" ht="12.75" hidden="false" customHeight="false" outlineLevel="0" collapsed="false"/>
    <row r="4928" customFormat="false" ht="12.75" hidden="false" customHeight="false" outlineLevel="0" collapsed="false"/>
    <row r="4929" customFormat="false" ht="12.75" hidden="false" customHeight="false" outlineLevel="0" collapsed="false"/>
    <row r="4930" customFormat="false" ht="12.75" hidden="false" customHeight="false" outlineLevel="0" collapsed="false"/>
    <row r="4931" customFormat="false" ht="12.75" hidden="false" customHeight="false" outlineLevel="0" collapsed="false"/>
    <row r="4932" customFormat="false" ht="12.75" hidden="false" customHeight="false" outlineLevel="0" collapsed="false"/>
    <row r="4933" customFormat="false" ht="12.75" hidden="false" customHeight="false" outlineLevel="0" collapsed="false"/>
    <row r="4934" customFormat="false" ht="12.75" hidden="false" customHeight="false" outlineLevel="0" collapsed="false"/>
    <row r="4935" customFormat="false" ht="12.75" hidden="false" customHeight="false" outlineLevel="0" collapsed="false"/>
    <row r="4936" customFormat="false" ht="12.75" hidden="false" customHeight="false" outlineLevel="0" collapsed="false"/>
    <row r="4937" customFormat="false" ht="12.75" hidden="false" customHeight="false" outlineLevel="0" collapsed="false"/>
    <row r="4938" customFormat="false" ht="12.75" hidden="false" customHeight="false" outlineLevel="0" collapsed="false"/>
    <row r="4939" customFormat="false" ht="12.75" hidden="false" customHeight="false" outlineLevel="0" collapsed="false"/>
    <row r="4940" customFormat="false" ht="12.75" hidden="false" customHeight="false" outlineLevel="0" collapsed="false"/>
    <row r="4941" customFormat="false" ht="12.75" hidden="false" customHeight="false" outlineLevel="0" collapsed="false"/>
    <row r="4942" customFormat="false" ht="12.75" hidden="false" customHeight="false" outlineLevel="0" collapsed="false"/>
    <row r="4943" customFormat="false" ht="12.75" hidden="false" customHeight="false" outlineLevel="0" collapsed="false"/>
    <row r="4944" customFormat="false" ht="12.75" hidden="false" customHeight="false" outlineLevel="0" collapsed="false"/>
    <row r="4945" customFormat="false" ht="12.75" hidden="false" customHeight="false" outlineLevel="0" collapsed="false"/>
    <row r="4946" customFormat="false" ht="12.75" hidden="false" customHeight="false" outlineLevel="0" collapsed="false"/>
    <row r="4947" customFormat="false" ht="12.75" hidden="false" customHeight="false" outlineLevel="0" collapsed="false"/>
    <row r="4948" customFormat="false" ht="12.75" hidden="false" customHeight="false" outlineLevel="0" collapsed="false"/>
    <row r="4949" customFormat="false" ht="12.75" hidden="false" customHeight="false" outlineLevel="0" collapsed="false"/>
    <row r="4950" customFormat="false" ht="12.75" hidden="false" customHeight="false" outlineLevel="0" collapsed="false"/>
    <row r="4951" customFormat="false" ht="12.75" hidden="false" customHeight="false" outlineLevel="0" collapsed="false"/>
    <row r="4952" customFormat="false" ht="12.75" hidden="false" customHeight="false" outlineLevel="0" collapsed="false"/>
    <row r="4953" customFormat="false" ht="12.75" hidden="false" customHeight="false" outlineLevel="0" collapsed="false"/>
    <row r="4954" customFormat="false" ht="12.75" hidden="false" customHeight="false" outlineLevel="0" collapsed="false"/>
    <row r="4955" customFormat="false" ht="12.75" hidden="false" customHeight="false" outlineLevel="0" collapsed="false"/>
    <row r="4956" customFormat="false" ht="12.75" hidden="false" customHeight="false" outlineLevel="0" collapsed="false"/>
    <row r="4957" customFormat="false" ht="12.75" hidden="false" customHeight="false" outlineLevel="0" collapsed="false"/>
    <row r="4958" customFormat="false" ht="12.75" hidden="false" customHeight="false" outlineLevel="0" collapsed="false"/>
    <row r="4959" customFormat="false" ht="12.75" hidden="false" customHeight="false" outlineLevel="0" collapsed="false"/>
    <row r="4960" customFormat="false" ht="12.75" hidden="false" customHeight="false" outlineLevel="0" collapsed="false"/>
    <row r="4961" customFormat="false" ht="12.75" hidden="false" customHeight="false" outlineLevel="0" collapsed="false"/>
    <row r="4962" customFormat="false" ht="12.75" hidden="false" customHeight="false" outlineLevel="0" collapsed="false"/>
    <row r="4963" customFormat="false" ht="12.75" hidden="false" customHeight="false" outlineLevel="0" collapsed="false"/>
    <row r="4964" customFormat="false" ht="12.75" hidden="false" customHeight="false" outlineLevel="0" collapsed="false"/>
    <row r="4965" customFormat="false" ht="12.75" hidden="false" customHeight="false" outlineLevel="0" collapsed="false"/>
    <row r="4966" customFormat="false" ht="12.75" hidden="false" customHeight="false" outlineLevel="0" collapsed="false"/>
    <row r="4967" customFormat="false" ht="12.75" hidden="false" customHeight="false" outlineLevel="0" collapsed="false"/>
    <row r="4968" customFormat="false" ht="12.75" hidden="false" customHeight="false" outlineLevel="0" collapsed="false"/>
    <row r="4969" customFormat="false" ht="12.75" hidden="false" customHeight="false" outlineLevel="0" collapsed="false"/>
    <row r="4970" customFormat="false" ht="12.75" hidden="false" customHeight="false" outlineLevel="0" collapsed="false"/>
    <row r="4971" customFormat="false" ht="12.75" hidden="false" customHeight="false" outlineLevel="0" collapsed="false"/>
    <row r="4972" customFormat="false" ht="12.75" hidden="false" customHeight="false" outlineLevel="0" collapsed="false"/>
    <row r="4973" customFormat="false" ht="12.75" hidden="false" customHeight="false" outlineLevel="0" collapsed="false"/>
    <row r="4974" customFormat="false" ht="12.75" hidden="false" customHeight="false" outlineLevel="0" collapsed="false"/>
    <row r="4975" customFormat="false" ht="12.75" hidden="false" customHeight="false" outlineLevel="0" collapsed="false"/>
    <row r="4976" customFormat="false" ht="12.75" hidden="false" customHeight="false" outlineLevel="0" collapsed="false"/>
    <row r="4977" customFormat="false" ht="12.75" hidden="false" customHeight="false" outlineLevel="0" collapsed="false"/>
    <row r="4978" customFormat="false" ht="12.75" hidden="false" customHeight="false" outlineLevel="0" collapsed="false"/>
    <row r="4979" customFormat="false" ht="12.75" hidden="false" customHeight="false" outlineLevel="0" collapsed="false"/>
    <row r="4980" customFormat="false" ht="12.75" hidden="false" customHeight="false" outlineLevel="0" collapsed="false"/>
    <row r="4981" customFormat="false" ht="12.75" hidden="false" customHeight="false" outlineLevel="0" collapsed="false"/>
    <row r="4982" customFormat="false" ht="12.75" hidden="false" customHeight="false" outlineLevel="0" collapsed="false"/>
    <row r="4983" customFormat="false" ht="12.75" hidden="false" customHeight="false" outlineLevel="0" collapsed="false"/>
    <row r="4984" customFormat="false" ht="12.75" hidden="false" customHeight="false" outlineLevel="0" collapsed="false"/>
    <row r="4985" customFormat="false" ht="12.75" hidden="false" customHeight="false" outlineLevel="0" collapsed="false"/>
    <row r="4986" customFormat="false" ht="12.75" hidden="false" customHeight="false" outlineLevel="0" collapsed="false"/>
    <row r="4987" customFormat="false" ht="12.75" hidden="false" customHeight="false" outlineLevel="0" collapsed="false"/>
    <row r="4988" customFormat="false" ht="12.75" hidden="false" customHeight="false" outlineLevel="0" collapsed="false"/>
    <row r="4989" customFormat="false" ht="12.75" hidden="false" customHeight="false" outlineLevel="0" collapsed="false"/>
    <row r="4990" customFormat="false" ht="12.75" hidden="false" customHeight="false" outlineLevel="0" collapsed="false"/>
    <row r="4991" customFormat="false" ht="12.75" hidden="false" customHeight="false" outlineLevel="0" collapsed="false"/>
    <row r="4992" customFormat="false" ht="12.75" hidden="false" customHeight="false" outlineLevel="0" collapsed="false"/>
    <row r="4993" customFormat="false" ht="12.75" hidden="false" customHeight="false" outlineLevel="0" collapsed="false"/>
    <row r="4994" customFormat="false" ht="12.75" hidden="false" customHeight="false" outlineLevel="0" collapsed="false"/>
    <row r="4995" customFormat="false" ht="12.75" hidden="false" customHeight="false" outlineLevel="0" collapsed="false"/>
    <row r="4996" customFormat="false" ht="12.75" hidden="false" customHeight="false" outlineLevel="0" collapsed="false"/>
    <row r="4997" customFormat="false" ht="12.75" hidden="false" customHeight="false" outlineLevel="0" collapsed="false"/>
    <row r="4998" customFormat="false" ht="12.75" hidden="false" customHeight="false" outlineLevel="0" collapsed="false"/>
    <row r="4999" customFormat="false" ht="12.75" hidden="false" customHeight="false" outlineLevel="0" collapsed="false"/>
    <row r="5000" customFormat="false" ht="12.75" hidden="false" customHeight="false" outlineLevel="0" collapsed="false"/>
    <row r="5001" customFormat="false" ht="12.75" hidden="false" customHeight="false" outlineLevel="0" collapsed="false"/>
    <row r="5002" customFormat="false" ht="12.75" hidden="false" customHeight="false" outlineLevel="0" collapsed="false"/>
    <row r="5003" customFormat="false" ht="12.75" hidden="false" customHeight="false" outlineLevel="0" collapsed="false"/>
    <row r="5004" customFormat="false" ht="12.75" hidden="false" customHeight="false" outlineLevel="0" collapsed="false"/>
    <row r="5005" customFormat="false" ht="12.75" hidden="false" customHeight="false" outlineLevel="0" collapsed="false"/>
    <row r="5006" customFormat="false" ht="12.75" hidden="false" customHeight="false" outlineLevel="0" collapsed="false"/>
    <row r="5007" customFormat="false" ht="12.75" hidden="false" customHeight="false" outlineLevel="0" collapsed="false"/>
    <row r="5008" customFormat="false" ht="12.75" hidden="false" customHeight="false" outlineLevel="0" collapsed="false"/>
    <row r="5009" customFormat="false" ht="12.75" hidden="false" customHeight="false" outlineLevel="0" collapsed="false"/>
    <row r="5010" customFormat="false" ht="12.75" hidden="false" customHeight="false" outlineLevel="0" collapsed="false"/>
    <row r="5011" customFormat="false" ht="12.75" hidden="false" customHeight="false" outlineLevel="0" collapsed="false"/>
    <row r="5012" customFormat="false" ht="12.75" hidden="false" customHeight="false" outlineLevel="0" collapsed="false"/>
    <row r="5013" customFormat="false" ht="12.75" hidden="false" customHeight="false" outlineLevel="0" collapsed="false"/>
    <row r="5014" customFormat="false" ht="12.75" hidden="false" customHeight="false" outlineLevel="0" collapsed="false"/>
    <row r="5015" customFormat="false" ht="12.75" hidden="false" customHeight="false" outlineLevel="0" collapsed="false"/>
    <row r="5016" customFormat="false" ht="12.75" hidden="false" customHeight="false" outlineLevel="0" collapsed="false"/>
    <row r="5017" customFormat="false" ht="12.75" hidden="false" customHeight="false" outlineLevel="0" collapsed="false"/>
    <row r="5018" customFormat="false" ht="12.75" hidden="false" customHeight="false" outlineLevel="0" collapsed="false"/>
    <row r="5019" customFormat="false" ht="12.75" hidden="false" customHeight="false" outlineLevel="0" collapsed="false"/>
    <row r="5020" customFormat="false" ht="12.75" hidden="false" customHeight="false" outlineLevel="0" collapsed="false"/>
    <row r="5021" customFormat="false" ht="12.75" hidden="false" customHeight="false" outlineLevel="0" collapsed="false"/>
    <row r="5022" customFormat="false" ht="12.75" hidden="false" customHeight="false" outlineLevel="0" collapsed="false"/>
    <row r="5023" customFormat="false" ht="12.75" hidden="false" customHeight="false" outlineLevel="0" collapsed="false"/>
    <row r="5024" customFormat="false" ht="12.75" hidden="false" customHeight="false" outlineLevel="0" collapsed="false"/>
    <row r="5025" customFormat="false" ht="12.75" hidden="false" customHeight="false" outlineLevel="0" collapsed="false"/>
    <row r="5026" customFormat="false" ht="12.75" hidden="false" customHeight="false" outlineLevel="0" collapsed="false"/>
    <row r="5027" customFormat="false" ht="12.75" hidden="false" customHeight="false" outlineLevel="0" collapsed="false"/>
    <row r="5028" customFormat="false" ht="12.75" hidden="false" customHeight="false" outlineLevel="0" collapsed="false"/>
    <row r="5029" customFormat="false" ht="12.75" hidden="false" customHeight="false" outlineLevel="0" collapsed="false"/>
    <row r="5030" customFormat="false" ht="12.75" hidden="false" customHeight="false" outlineLevel="0" collapsed="false"/>
    <row r="5031" customFormat="false" ht="12.75" hidden="false" customHeight="false" outlineLevel="0" collapsed="false"/>
    <row r="5032" customFormat="false" ht="12.75" hidden="false" customHeight="false" outlineLevel="0" collapsed="false"/>
    <row r="5033" customFormat="false" ht="12.75" hidden="false" customHeight="false" outlineLevel="0" collapsed="false"/>
    <row r="5034" customFormat="false" ht="12.75" hidden="false" customHeight="false" outlineLevel="0" collapsed="false"/>
    <row r="5035" customFormat="false" ht="12.75" hidden="false" customHeight="false" outlineLevel="0" collapsed="false"/>
    <row r="5036" customFormat="false" ht="12.75" hidden="false" customHeight="false" outlineLevel="0" collapsed="false"/>
    <row r="5037" customFormat="false" ht="12.75" hidden="false" customHeight="false" outlineLevel="0" collapsed="false"/>
    <row r="5038" customFormat="false" ht="12.75" hidden="false" customHeight="false" outlineLevel="0" collapsed="false"/>
    <row r="5039" customFormat="false" ht="12.75" hidden="false" customHeight="false" outlineLevel="0" collapsed="false"/>
    <row r="5040" customFormat="false" ht="12.75" hidden="false" customHeight="false" outlineLevel="0" collapsed="false"/>
    <row r="5041" customFormat="false" ht="12.75" hidden="false" customHeight="false" outlineLevel="0" collapsed="false"/>
    <row r="5042" customFormat="false" ht="12.75" hidden="false" customHeight="false" outlineLevel="0" collapsed="false"/>
    <row r="5043" customFormat="false" ht="12.75" hidden="false" customHeight="false" outlineLevel="0" collapsed="false"/>
    <row r="5044" customFormat="false" ht="12.75" hidden="false" customHeight="false" outlineLevel="0" collapsed="false"/>
    <row r="5045" customFormat="false" ht="12.75" hidden="false" customHeight="false" outlineLevel="0" collapsed="false"/>
    <row r="5046" customFormat="false" ht="12.75" hidden="false" customHeight="false" outlineLevel="0" collapsed="false"/>
    <row r="5047" customFormat="false" ht="12.75" hidden="false" customHeight="false" outlineLevel="0" collapsed="false"/>
    <row r="5048" customFormat="false" ht="12.75" hidden="false" customHeight="false" outlineLevel="0" collapsed="false"/>
    <row r="5049" customFormat="false" ht="12.75" hidden="false" customHeight="false" outlineLevel="0" collapsed="false"/>
    <row r="5050" customFormat="false" ht="12.75" hidden="false" customHeight="false" outlineLevel="0" collapsed="false"/>
    <row r="5051" customFormat="false" ht="12.75" hidden="false" customHeight="false" outlineLevel="0" collapsed="false"/>
    <row r="5052" customFormat="false" ht="12.75" hidden="false" customHeight="false" outlineLevel="0" collapsed="false"/>
    <row r="5053" customFormat="false" ht="12.75" hidden="false" customHeight="false" outlineLevel="0" collapsed="false"/>
    <row r="5054" customFormat="false" ht="12.75" hidden="false" customHeight="false" outlineLevel="0" collapsed="false"/>
    <row r="5055" customFormat="false" ht="12.75" hidden="false" customHeight="false" outlineLevel="0" collapsed="false"/>
    <row r="5056" customFormat="false" ht="12.75" hidden="false" customHeight="false" outlineLevel="0" collapsed="false"/>
    <row r="5057" customFormat="false" ht="12.75" hidden="false" customHeight="false" outlineLevel="0" collapsed="false"/>
    <row r="5058" customFormat="false" ht="12.75" hidden="false" customHeight="false" outlineLevel="0" collapsed="false"/>
    <row r="5059" customFormat="false" ht="12.75" hidden="false" customHeight="false" outlineLevel="0" collapsed="false"/>
    <row r="5060" customFormat="false" ht="12.75" hidden="false" customHeight="false" outlineLevel="0" collapsed="false"/>
    <row r="5061" customFormat="false" ht="12.75" hidden="false" customHeight="false" outlineLevel="0" collapsed="false"/>
    <row r="5062" customFormat="false" ht="12.75" hidden="false" customHeight="false" outlineLevel="0" collapsed="false"/>
    <row r="5063" customFormat="false" ht="12.75" hidden="false" customHeight="false" outlineLevel="0" collapsed="false"/>
    <row r="5064" customFormat="false" ht="12.75" hidden="false" customHeight="false" outlineLevel="0" collapsed="false"/>
    <row r="5065" customFormat="false" ht="12.75" hidden="false" customHeight="false" outlineLevel="0" collapsed="false"/>
    <row r="5066" customFormat="false" ht="12.75" hidden="false" customHeight="false" outlineLevel="0" collapsed="false"/>
    <row r="5067" customFormat="false" ht="12.75" hidden="false" customHeight="false" outlineLevel="0" collapsed="false"/>
    <row r="5068" customFormat="false" ht="12.75" hidden="false" customHeight="false" outlineLevel="0" collapsed="false"/>
    <row r="5069" customFormat="false" ht="12.75" hidden="false" customHeight="false" outlineLevel="0" collapsed="false"/>
    <row r="5070" customFormat="false" ht="12.75" hidden="false" customHeight="false" outlineLevel="0" collapsed="false"/>
    <row r="5071" customFormat="false" ht="12.75" hidden="false" customHeight="false" outlineLevel="0" collapsed="false"/>
    <row r="5072" customFormat="false" ht="12.75" hidden="false" customHeight="false" outlineLevel="0" collapsed="false"/>
    <row r="5073" customFormat="false" ht="12.75" hidden="false" customHeight="false" outlineLevel="0" collapsed="false"/>
    <row r="5074" customFormat="false" ht="12.75" hidden="false" customHeight="false" outlineLevel="0" collapsed="false"/>
    <row r="5075" customFormat="false" ht="12.75" hidden="false" customHeight="false" outlineLevel="0" collapsed="false"/>
    <row r="5076" customFormat="false" ht="12.75" hidden="false" customHeight="false" outlineLevel="0" collapsed="false"/>
    <row r="5077" customFormat="false" ht="12.75" hidden="false" customHeight="false" outlineLevel="0" collapsed="false"/>
    <row r="5078" customFormat="false" ht="12.75" hidden="false" customHeight="false" outlineLevel="0" collapsed="false"/>
    <row r="5079" customFormat="false" ht="12.75" hidden="false" customHeight="false" outlineLevel="0" collapsed="false"/>
    <row r="5080" customFormat="false" ht="12.75" hidden="false" customHeight="false" outlineLevel="0" collapsed="false"/>
    <row r="5081" customFormat="false" ht="12.75" hidden="false" customHeight="false" outlineLevel="0" collapsed="false"/>
    <row r="5082" customFormat="false" ht="12.75" hidden="false" customHeight="false" outlineLevel="0" collapsed="false"/>
    <row r="5083" customFormat="false" ht="12.75" hidden="false" customHeight="false" outlineLevel="0" collapsed="false"/>
    <row r="5084" customFormat="false" ht="12.75" hidden="false" customHeight="false" outlineLevel="0" collapsed="false"/>
    <row r="5085" customFormat="false" ht="12.75" hidden="false" customHeight="false" outlineLevel="0" collapsed="false"/>
    <row r="5086" customFormat="false" ht="12.75" hidden="false" customHeight="false" outlineLevel="0" collapsed="false"/>
    <row r="5087" customFormat="false" ht="12.75" hidden="false" customHeight="false" outlineLevel="0" collapsed="false"/>
    <row r="5088" customFormat="false" ht="12.75" hidden="false" customHeight="false" outlineLevel="0" collapsed="false"/>
    <row r="5089" customFormat="false" ht="12.75" hidden="false" customHeight="false" outlineLevel="0" collapsed="false"/>
    <row r="5090" customFormat="false" ht="12.75" hidden="false" customHeight="false" outlineLevel="0" collapsed="false"/>
    <row r="5091" customFormat="false" ht="12.75" hidden="false" customHeight="false" outlineLevel="0" collapsed="false"/>
    <row r="5092" customFormat="false" ht="12.75" hidden="false" customHeight="false" outlineLevel="0" collapsed="false"/>
    <row r="5093" customFormat="false" ht="12.75" hidden="false" customHeight="false" outlineLevel="0" collapsed="false"/>
    <row r="5094" customFormat="false" ht="12.75" hidden="false" customHeight="false" outlineLevel="0" collapsed="false"/>
    <row r="5095" customFormat="false" ht="12.75" hidden="false" customHeight="false" outlineLevel="0" collapsed="false"/>
    <row r="5096" customFormat="false" ht="12.75" hidden="false" customHeight="false" outlineLevel="0" collapsed="false"/>
    <row r="5097" customFormat="false" ht="12.75" hidden="false" customHeight="false" outlineLevel="0" collapsed="false"/>
    <row r="5098" customFormat="false" ht="12.75" hidden="false" customHeight="false" outlineLevel="0" collapsed="false"/>
    <row r="5099" customFormat="false" ht="12.75" hidden="false" customHeight="false" outlineLevel="0" collapsed="false"/>
    <row r="5100" customFormat="false" ht="12.75" hidden="false" customHeight="false" outlineLevel="0" collapsed="false"/>
    <row r="5101" customFormat="false" ht="12.75" hidden="false" customHeight="false" outlineLevel="0" collapsed="false"/>
    <row r="5102" customFormat="false" ht="12.75" hidden="false" customHeight="false" outlineLevel="0" collapsed="false"/>
    <row r="5103" customFormat="false" ht="12.75" hidden="false" customHeight="false" outlineLevel="0" collapsed="false"/>
    <row r="5104" customFormat="false" ht="12.75" hidden="false" customHeight="false" outlineLevel="0" collapsed="false"/>
    <row r="5105" customFormat="false" ht="12.75" hidden="false" customHeight="false" outlineLevel="0" collapsed="false"/>
    <row r="5106" customFormat="false" ht="12.75" hidden="false" customHeight="false" outlineLevel="0" collapsed="false"/>
    <row r="5107" customFormat="false" ht="12.75" hidden="false" customHeight="false" outlineLevel="0" collapsed="false"/>
    <row r="5108" customFormat="false" ht="12.75" hidden="false" customHeight="false" outlineLevel="0" collapsed="false"/>
    <row r="5109" customFormat="false" ht="12.75" hidden="false" customHeight="false" outlineLevel="0" collapsed="false"/>
    <row r="5110" customFormat="false" ht="12.75" hidden="false" customHeight="false" outlineLevel="0" collapsed="false"/>
    <row r="5111" customFormat="false" ht="12.75" hidden="false" customHeight="false" outlineLevel="0" collapsed="false"/>
    <row r="5112" customFormat="false" ht="12.75" hidden="false" customHeight="false" outlineLevel="0" collapsed="false"/>
    <row r="5113" customFormat="false" ht="12.75" hidden="false" customHeight="false" outlineLevel="0" collapsed="false"/>
    <row r="5114" customFormat="false" ht="12.75" hidden="false" customHeight="false" outlineLevel="0" collapsed="false"/>
    <row r="5115" customFormat="false" ht="12.75" hidden="false" customHeight="false" outlineLevel="0" collapsed="false"/>
    <row r="5116" customFormat="false" ht="12.75" hidden="false" customHeight="false" outlineLevel="0" collapsed="false"/>
    <row r="5117" customFormat="false" ht="12.75" hidden="false" customHeight="false" outlineLevel="0" collapsed="false"/>
    <row r="5118" customFormat="false" ht="12.75" hidden="false" customHeight="false" outlineLevel="0" collapsed="false"/>
    <row r="5119" customFormat="false" ht="12.75" hidden="false" customHeight="false" outlineLevel="0" collapsed="false"/>
    <row r="5120" customFormat="false" ht="12.75" hidden="false" customHeight="false" outlineLevel="0" collapsed="false"/>
    <row r="5121" customFormat="false" ht="12.75" hidden="false" customHeight="false" outlineLevel="0" collapsed="false"/>
    <row r="5122" customFormat="false" ht="12.75" hidden="false" customHeight="false" outlineLevel="0" collapsed="false"/>
    <row r="5123" customFormat="false" ht="12.75" hidden="false" customHeight="false" outlineLevel="0" collapsed="false"/>
    <row r="5124" customFormat="false" ht="12.75" hidden="false" customHeight="false" outlineLevel="0" collapsed="false"/>
    <row r="5125" customFormat="false" ht="12.75" hidden="false" customHeight="false" outlineLevel="0" collapsed="false"/>
    <row r="5126" customFormat="false" ht="12.75" hidden="false" customHeight="false" outlineLevel="0" collapsed="false"/>
    <row r="5127" customFormat="false" ht="12.75" hidden="false" customHeight="false" outlineLevel="0" collapsed="false"/>
    <row r="5128" customFormat="false" ht="12.75" hidden="false" customHeight="false" outlineLevel="0" collapsed="false"/>
    <row r="5129" customFormat="false" ht="12.75" hidden="false" customHeight="false" outlineLevel="0" collapsed="false"/>
    <row r="5130" customFormat="false" ht="12.75" hidden="false" customHeight="false" outlineLevel="0" collapsed="false"/>
    <row r="5131" customFormat="false" ht="12.75" hidden="false" customHeight="false" outlineLevel="0" collapsed="false"/>
    <row r="5132" customFormat="false" ht="12.75" hidden="false" customHeight="false" outlineLevel="0" collapsed="false"/>
    <row r="5133" customFormat="false" ht="12.75" hidden="false" customHeight="false" outlineLevel="0" collapsed="false"/>
    <row r="5134" customFormat="false" ht="12.75" hidden="false" customHeight="false" outlineLevel="0" collapsed="false"/>
    <row r="5135" customFormat="false" ht="12.75" hidden="false" customHeight="false" outlineLevel="0" collapsed="false"/>
    <row r="5136" customFormat="false" ht="12.75" hidden="false" customHeight="false" outlineLevel="0" collapsed="false"/>
    <row r="5137" customFormat="false" ht="12.75" hidden="false" customHeight="false" outlineLevel="0" collapsed="false"/>
    <row r="5138" customFormat="false" ht="12.75" hidden="false" customHeight="false" outlineLevel="0" collapsed="false"/>
    <row r="5139" customFormat="false" ht="12.75" hidden="false" customHeight="false" outlineLevel="0" collapsed="false"/>
    <row r="5140" customFormat="false" ht="12.75" hidden="false" customHeight="false" outlineLevel="0" collapsed="false"/>
    <row r="5141" customFormat="false" ht="12.75" hidden="false" customHeight="false" outlineLevel="0" collapsed="false"/>
    <row r="5142" customFormat="false" ht="12.75" hidden="false" customHeight="false" outlineLevel="0" collapsed="false"/>
    <row r="5143" customFormat="false" ht="12.75" hidden="false" customHeight="false" outlineLevel="0" collapsed="false"/>
    <row r="5144" customFormat="false" ht="12.75" hidden="false" customHeight="false" outlineLevel="0" collapsed="false"/>
    <row r="5145" customFormat="false" ht="12.75" hidden="false" customHeight="false" outlineLevel="0" collapsed="false"/>
    <row r="5146" customFormat="false" ht="12.75" hidden="false" customHeight="false" outlineLevel="0" collapsed="false"/>
    <row r="5147" customFormat="false" ht="12.75" hidden="false" customHeight="false" outlineLevel="0" collapsed="false"/>
    <row r="5148" customFormat="false" ht="12.75" hidden="false" customHeight="false" outlineLevel="0" collapsed="false"/>
    <row r="5149" customFormat="false" ht="12.75" hidden="false" customHeight="false" outlineLevel="0" collapsed="false"/>
    <row r="5150" customFormat="false" ht="12.75" hidden="false" customHeight="false" outlineLevel="0" collapsed="false"/>
    <row r="5151" customFormat="false" ht="12.75" hidden="false" customHeight="false" outlineLevel="0" collapsed="false"/>
    <row r="5152" customFormat="false" ht="12.75" hidden="false" customHeight="false" outlineLevel="0" collapsed="false"/>
    <row r="5153" customFormat="false" ht="12.75" hidden="false" customHeight="false" outlineLevel="0" collapsed="false"/>
    <row r="5154" customFormat="false" ht="12.75" hidden="false" customHeight="false" outlineLevel="0" collapsed="false"/>
    <row r="5155" customFormat="false" ht="12.75" hidden="false" customHeight="false" outlineLevel="0" collapsed="false"/>
    <row r="5156" customFormat="false" ht="12.75" hidden="false" customHeight="false" outlineLevel="0" collapsed="false"/>
    <row r="5157" customFormat="false" ht="12.75" hidden="false" customHeight="false" outlineLevel="0" collapsed="false"/>
    <row r="5158" customFormat="false" ht="12.75" hidden="false" customHeight="false" outlineLevel="0" collapsed="false"/>
    <row r="5159" customFormat="false" ht="12.75" hidden="false" customHeight="false" outlineLevel="0" collapsed="false"/>
    <row r="5160" customFormat="false" ht="12.75" hidden="false" customHeight="false" outlineLevel="0" collapsed="false"/>
    <row r="5161" customFormat="false" ht="12.75" hidden="false" customHeight="false" outlineLevel="0" collapsed="false"/>
    <row r="5162" customFormat="false" ht="12.75" hidden="false" customHeight="false" outlineLevel="0" collapsed="false"/>
    <row r="5163" customFormat="false" ht="12.75" hidden="false" customHeight="false" outlineLevel="0" collapsed="false"/>
    <row r="5164" customFormat="false" ht="12.75" hidden="false" customHeight="false" outlineLevel="0" collapsed="false"/>
    <row r="5165" customFormat="false" ht="12.75" hidden="false" customHeight="false" outlineLevel="0" collapsed="false"/>
    <row r="5166" customFormat="false" ht="12.75" hidden="false" customHeight="false" outlineLevel="0" collapsed="false"/>
    <row r="5167" customFormat="false" ht="12.75" hidden="false" customHeight="false" outlineLevel="0" collapsed="false"/>
    <row r="5168" customFormat="false" ht="12.75" hidden="false" customHeight="false" outlineLevel="0" collapsed="false"/>
    <row r="5169" customFormat="false" ht="12.75" hidden="false" customHeight="false" outlineLevel="0" collapsed="false"/>
    <row r="5170" customFormat="false" ht="12.75" hidden="false" customHeight="false" outlineLevel="0" collapsed="false"/>
    <row r="5171" customFormat="false" ht="12.75" hidden="false" customHeight="false" outlineLevel="0" collapsed="false"/>
    <row r="5172" customFormat="false" ht="12.75" hidden="false" customHeight="false" outlineLevel="0" collapsed="false"/>
    <row r="5173" customFormat="false" ht="12.75" hidden="false" customHeight="false" outlineLevel="0" collapsed="false"/>
    <row r="5174" customFormat="false" ht="12.75" hidden="false" customHeight="false" outlineLevel="0" collapsed="false"/>
    <row r="5175" customFormat="false" ht="12.75" hidden="false" customHeight="false" outlineLevel="0" collapsed="false"/>
    <row r="5176" customFormat="false" ht="12.75" hidden="false" customHeight="false" outlineLevel="0" collapsed="false"/>
    <row r="5177" customFormat="false" ht="12.75" hidden="false" customHeight="false" outlineLevel="0" collapsed="false"/>
    <row r="5178" customFormat="false" ht="12.75" hidden="false" customHeight="false" outlineLevel="0" collapsed="false"/>
    <row r="5179" customFormat="false" ht="12.75" hidden="false" customHeight="false" outlineLevel="0" collapsed="false"/>
    <row r="5180" customFormat="false" ht="12.75" hidden="false" customHeight="false" outlineLevel="0" collapsed="false"/>
    <row r="5181" customFormat="false" ht="12.75" hidden="false" customHeight="false" outlineLevel="0" collapsed="false"/>
    <row r="5182" customFormat="false" ht="12.75" hidden="false" customHeight="false" outlineLevel="0" collapsed="false"/>
    <row r="5183" customFormat="false" ht="12.75" hidden="false" customHeight="false" outlineLevel="0" collapsed="false"/>
    <row r="5184" customFormat="false" ht="12.75" hidden="false" customHeight="false" outlineLevel="0" collapsed="false"/>
    <row r="5185" customFormat="false" ht="12.75" hidden="false" customHeight="false" outlineLevel="0" collapsed="false"/>
    <row r="5186" customFormat="false" ht="12.75" hidden="false" customHeight="false" outlineLevel="0" collapsed="false"/>
    <row r="5187" customFormat="false" ht="12.75" hidden="false" customHeight="false" outlineLevel="0" collapsed="false"/>
    <row r="5188" customFormat="false" ht="12.75" hidden="false" customHeight="false" outlineLevel="0" collapsed="false"/>
    <row r="5189" customFormat="false" ht="12.75" hidden="false" customHeight="false" outlineLevel="0" collapsed="false"/>
    <row r="5190" customFormat="false" ht="12.75" hidden="false" customHeight="false" outlineLevel="0" collapsed="false"/>
    <row r="5191" customFormat="false" ht="12.75" hidden="false" customHeight="false" outlineLevel="0" collapsed="false"/>
    <row r="5192" customFormat="false" ht="12.75" hidden="false" customHeight="false" outlineLevel="0" collapsed="false"/>
    <row r="5193" customFormat="false" ht="12.75" hidden="false" customHeight="false" outlineLevel="0" collapsed="false"/>
    <row r="5194" customFormat="false" ht="12.75" hidden="false" customHeight="false" outlineLevel="0" collapsed="false"/>
    <row r="5195" customFormat="false" ht="12.75" hidden="false" customHeight="false" outlineLevel="0" collapsed="false"/>
    <row r="5196" customFormat="false" ht="12.75" hidden="false" customHeight="false" outlineLevel="0" collapsed="false"/>
    <row r="5197" customFormat="false" ht="12.75" hidden="false" customHeight="false" outlineLevel="0" collapsed="false"/>
    <row r="5198" customFormat="false" ht="12.75" hidden="false" customHeight="false" outlineLevel="0" collapsed="false"/>
    <row r="5199" customFormat="false" ht="12.75" hidden="false" customHeight="false" outlineLevel="0" collapsed="false"/>
    <row r="5200" customFormat="false" ht="12.75" hidden="false" customHeight="false" outlineLevel="0" collapsed="false"/>
    <row r="5201" customFormat="false" ht="12.75" hidden="false" customHeight="false" outlineLevel="0" collapsed="false"/>
    <row r="5202" customFormat="false" ht="12.75" hidden="false" customHeight="false" outlineLevel="0" collapsed="false"/>
    <row r="5203" customFormat="false" ht="12.75" hidden="false" customHeight="false" outlineLevel="0" collapsed="false"/>
    <row r="5204" customFormat="false" ht="12.75" hidden="false" customHeight="false" outlineLevel="0" collapsed="false"/>
    <row r="5205" customFormat="false" ht="12.75" hidden="false" customHeight="false" outlineLevel="0" collapsed="false"/>
    <row r="5206" customFormat="false" ht="12.75" hidden="false" customHeight="false" outlineLevel="0" collapsed="false"/>
    <row r="5207" customFormat="false" ht="12.75" hidden="false" customHeight="false" outlineLevel="0" collapsed="false"/>
    <row r="5208" customFormat="false" ht="12.75" hidden="false" customHeight="false" outlineLevel="0" collapsed="false"/>
    <row r="5209" customFormat="false" ht="12.75" hidden="false" customHeight="false" outlineLevel="0" collapsed="false"/>
    <row r="5210" customFormat="false" ht="12.75" hidden="false" customHeight="false" outlineLevel="0" collapsed="false"/>
    <row r="5211" customFormat="false" ht="12.75" hidden="false" customHeight="false" outlineLevel="0" collapsed="false"/>
    <row r="5212" customFormat="false" ht="12.75" hidden="false" customHeight="false" outlineLevel="0" collapsed="false"/>
    <row r="5213" customFormat="false" ht="12.75" hidden="false" customHeight="false" outlineLevel="0" collapsed="false"/>
    <row r="5214" customFormat="false" ht="12.75" hidden="false" customHeight="false" outlineLevel="0" collapsed="false"/>
    <row r="5215" customFormat="false" ht="12.75" hidden="false" customHeight="false" outlineLevel="0" collapsed="false"/>
    <row r="5216" customFormat="false" ht="12.75" hidden="false" customHeight="false" outlineLevel="0" collapsed="false"/>
    <row r="5217" customFormat="false" ht="12.75" hidden="false" customHeight="false" outlineLevel="0" collapsed="false"/>
    <row r="5218" customFormat="false" ht="12.75" hidden="false" customHeight="false" outlineLevel="0" collapsed="false"/>
    <row r="5219" customFormat="false" ht="12.75" hidden="false" customHeight="false" outlineLevel="0" collapsed="false"/>
    <row r="5220" customFormat="false" ht="12.75" hidden="false" customHeight="false" outlineLevel="0" collapsed="false"/>
    <row r="5221" customFormat="false" ht="12.75" hidden="false" customHeight="false" outlineLevel="0" collapsed="false"/>
    <row r="5222" customFormat="false" ht="12.75" hidden="false" customHeight="false" outlineLevel="0" collapsed="false"/>
    <row r="5223" customFormat="false" ht="12.75" hidden="false" customHeight="false" outlineLevel="0" collapsed="false"/>
    <row r="5224" customFormat="false" ht="12.75" hidden="false" customHeight="false" outlineLevel="0" collapsed="false"/>
    <row r="5225" customFormat="false" ht="12.75" hidden="false" customHeight="false" outlineLevel="0" collapsed="false"/>
    <row r="5226" customFormat="false" ht="12.75" hidden="false" customHeight="false" outlineLevel="0" collapsed="false"/>
    <row r="5227" customFormat="false" ht="12.75" hidden="false" customHeight="false" outlineLevel="0" collapsed="false"/>
    <row r="5228" customFormat="false" ht="12.75" hidden="false" customHeight="false" outlineLevel="0" collapsed="false"/>
    <row r="5229" customFormat="false" ht="12.75" hidden="false" customHeight="false" outlineLevel="0" collapsed="false"/>
    <row r="5230" customFormat="false" ht="12.75" hidden="false" customHeight="false" outlineLevel="0" collapsed="false"/>
    <row r="5231" customFormat="false" ht="12.75" hidden="false" customHeight="false" outlineLevel="0" collapsed="false"/>
    <row r="5232" customFormat="false" ht="12.75" hidden="false" customHeight="false" outlineLevel="0" collapsed="false"/>
    <row r="5233" customFormat="false" ht="12.75" hidden="false" customHeight="false" outlineLevel="0" collapsed="false"/>
    <row r="5234" customFormat="false" ht="12.75" hidden="false" customHeight="false" outlineLevel="0" collapsed="false"/>
    <row r="5235" customFormat="false" ht="12.75" hidden="false" customHeight="false" outlineLevel="0" collapsed="false"/>
    <row r="5236" customFormat="false" ht="12.75" hidden="false" customHeight="false" outlineLevel="0" collapsed="false"/>
    <row r="5237" customFormat="false" ht="12.75" hidden="false" customHeight="false" outlineLevel="0" collapsed="false"/>
    <row r="5238" customFormat="false" ht="12.75" hidden="false" customHeight="false" outlineLevel="0" collapsed="false"/>
    <row r="5239" customFormat="false" ht="12.75" hidden="false" customHeight="false" outlineLevel="0" collapsed="false"/>
    <row r="5240" customFormat="false" ht="12.75" hidden="false" customHeight="false" outlineLevel="0" collapsed="false"/>
    <row r="5241" customFormat="false" ht="12.75" hidden="false" customHeight="false" outlineLevel="0" collapsed="false"/>
    <row r="5242" customFormat="false" ht="12.75" hidden="false" customHeight="false" outlineLevel="0" collapsed="false"/>
    <row r="5243" customFormat="false" ht="12.75" hidden="false" customHeight="false" outlineLevel="0" collapsed="false"/>
    <row r="5244" customFormat="false" ht="12.75" hidden="false" customHeight="false" outlineLevel="0" collapsed="false"/>
    <row r="5245" customFormat="false" ht="12.75" hidden="false" customHeight="false" outlineLevel="0" collapsed="false"/>
    <row r="5246" customFormat="false" ht="12.75" hidden="false" customHeight="false" outlineLevel="0" collapsed="false"/>
    <row r="5247" customFormat="false" ht="12.75" hidden="false" customHeight="false" outlineLevel="0" collapsed="false"/>
    <row r="5248" customFormat="false" ht="12.75" hidden="false" customHeight="false" outlineLevel="0" collapsed="false"/>
    <row r="5249" customFormat="false" ht="12.75" hidden="false" customHeight="false" outlineLevel="0" collapsed="false"/>
    <row r="5250" customFormat="false" ht="12.75" hidden="false" customHeight="false" outlineLevel="0" collapsed="false"/>
    <row r="5251" customFormat="false" ht="12.75" hidden="false" customHeight="false" outlineLevel="0" collapsed="false"/>
    <row r="5252" customFormat="false" ht="12.75" hidden="false" customHeight="false" outlineLevel="0" collapsed="false"/>
    <row r="5253" customFormat="false" ht="12.75" hidden="false" customHeight="false" outlineLevel="0" collapsed="false"/>
    <row r="5254" customFormat="false" ht="12.75" hidden="false" customHeight="false" outlineLevel="0" collapsed="false"/>
    <row r="5255" customFormat="false" ht="12.75" hidden="false" customHeight="false" outlineLevel="0" collapsed="false"/>
    <row r="5256" customFormat="false" ht="12.75" hidden="false" customHeight="false" outlineLevel="0" collapsed="false"/>
    <row r="5257" customFormat="false" ht="12.75" hidden="false" customHeight="false" outlineLevel="0" collapsed="false"/>
    <row r="5258" customFormat="false" ht="12.75" hidden="false" customHeight="false" outlineLevel="0" collapsed="false"/>
    <row r="5259" customFormat="false" ht="12.75" hidden="false" customHeight="false" outlineLevel="0" collapsed="false"/>
    <row r="5260" customFormat="false" ht="12.75" hidden="false" customHeight="false" outlineLevel="0" collapsed="false"/>
    <row r="5261" customFormat="false" ht="12.75" hidden="false" customHeight="false" outlineLevel="0" collapsed="false"/>
    <row r="5262" customFormat="false" ht="12.75" hidden="false" customHeight="false" outlineLevel="0" collapsed="false"/>
    <row r="5263" customFormat="false" ht="12.75" hidden="false" customHeight="false" outlineLevel="0" collapsed="false"/>
    <row r="5264" customFormat="false" ht="12.75" hidden="false" customHeight="false" outlineLevel="0" collapsed="false"/>
    <row r="5265" customFormat="false" ht="12.75" hidden="false" customHeight="false" outlineLevel="0" collapsed="false"/>
    <row r="5266" customFormat="false" ht="12.75" hidden="false" customHeight="false" outlineLevel="0" collapsed="false"/>
    <row r="5267" customFormat="false" ht="12.75" hidden="false" customHeight="false" outlineLevel="0" collapsed="false"/>
    <row r="5268" customFormat="false" ht="12.75" hidden="false" customHeight="false" outlineLevel="0" collapsed="false"/>
    <row r="5269" customFormat="false" ht="12.75" hidden="false" customHeight="false" outlineLevel="0" collapsed="false"/>
    <row r="5270" customFormat="false" ht="12.75" hidden="false" customHeight="false" outlineLevel="0" collapsed="false"/>
    <row r="5271" customFormat="false" ht="12.75" hidden="false" customHeight="false" outlineLevel="0" collapsed="false"/>
    <row r="5272" customFormat="false" ht="12.75" hidden="false" customHeight="false" outlineLevel="0" collapsed="false"/>
    <row r="5273" customFormat="false" ht="12.75" hidden="false" customHeight="false" outlineLevel="0" collapsed="false"/>
    <row r="5274" customFormat="false" ht="12.75" hidden="false" customHeight="false" outlineLevel="0" collapsed="false"/>
    <row r="5275" customFormat="false" ht="12.75" hidden="false" customHeight="false" outlineLevel="0" collapsed="false"/>
    <row r="5276" customFormat="false" ht="12.75" hidden="false" customHeight="false" outlineLevel="0" collapsed="false"/>
    <row r="5277" customFormat="false" ht="12.75" hidden="false" customHeight="false" outlineLevel="0" collapsed="false"/>
    <row r="5278" customFormat="false" ht="12.75" hidden="false" customHeight="false" outlineLevel="0" collapsed="false"/>
    <row r="5279" customFormat="false" ht="12.75" hidden="false" customHeight="false" outlineLevel="0" collapsed="false"/>
    <row r="5280" customFormat="false" ht="12.75" hidden="false" customHeight="false" outlineLevel="0" collapsed="false"/>
    <row r="5281" customFormat="false" ht="12.75" hidden="false" customHeight="false" outlineLevel="0" collapsed="false"/>
    <row r="5282" customFormat="false" ht="12.75" hidden="false" customHeight="false" outlineLevel="0" collapsed="false"/>
    <row r="5283" customFormat="false" ht="12.75" hidden="false" customHeight="false" outlineLevel="0" collapsed="false"/>
    <row r="5284" customFormat="false" ht="12.75" hidden="false" customHeight="false" outlineLevel="0" collapsed="false"/>
    <row r="5285" customFormat="false" ht="12.75" hidden="false" customHeight="false" outlineLevel="0" collapsed="false"/>
    <row r="5286" customFormat="false" ht="12.75" hidden="false" customHeight="false" outlineLevel="0" collapsed="false"/>
    <row r="5287" customFormat="false" ht="12.75" hidden="false" customHeight="false" outlineLevel="0" collapsed="false"/>
    <row r="5288" customFormat="false" ht="12.75" hidden="false" customHeight="false" outlineLevel="0" collapsed="false"/>
    <row r="5289" customFormat="false" ht="12.75" hidden="false" customHeight="false" outlineLevel="0" collapsed="false"/>
    <row r="5290" customFormat="false" ht="12.75" hidden="false" customHeight="false" outlineLevel="0" collapsed="false"/>
    <row r="5291" customFormat="false" ht="12.75" hidden="false" customHeight="false" outlineLevel="0" collapsed="false"/>
    <row r="5292" customFormat="false" ht="12.75" hidden="false" customHeight="false" outlineLevel="0" collapsed="false"/>
    <row r="5293" customFormat="false" ht="12.75" hidden="false" customHeight="false" outlineLevel="0" collapsed="false"/>
    <row r="5294" customFormat="false" ht="12.75" hidden="false" customHeight="false" outlineLevel="0" collapsed="false"/>
    <row r="5295" customFormat="false" ht="12.75" hidden="false" customHeight="false" outlineLevel="0" collapsed="false"/>
    <row r="5296" customFormat="false" ht="12.75" hidden="false" customHeight="false" outlineLevel="0" collapsed="false"/>
    <row r="5297" customFormat="false" ht="12.75" hidden="false" customHeight="false" outlineLevel="0" collapsed="false"/>
    <row r="5298" customFormat="false" ht="12.75" hidden="false" customHeight="false" outlineLevel="0" collapsed="false"/>
    <row r="5299" customFormat="false" ht="12.75" hidden="false" customHeight="false" outlineLevel="0" collapsed="false"/>
    <row r="5300" customFormat="false" ht="12.75" hidden="false" customHeight="false" outlineLevel="0" collapsed="false"/>
    <row r="5301" customFormat="false" ht="12.75" hidden="false" customHeight="false" outlineLevel="0" collapsed="false"/>
    <row r="5302" customFormat="false" ht="12.75" hidden="false" customHeight="false" outlineLevel="0" collapsed="false"/>
    <row r="5303" customFormat="false" ht="12.75" hidden="false" customHeight="false" outlineLevel="0" collapsed="false"/>
    <row r="5304" customFormat="false" ht="12.75" hidden="false" customHeight="false" outlineLevel="0" collapsed="false"/>
    <row r="5305" customFormat="false" ht="12.75" hidden="false" customHeight="false" outlineLevel="0" collapsed="false"/>
    <row r="5306" customFormat="false" ht="12.75" hidden="false" customHeight="false" outlineLevel="0" collapsed="false"/>
    <row r="5307" customFormat="false" ht="12.75" hidden="false" customHeight="false" outlineLevel="0" collapsed="false"/>
    <row r="5308" customFormat="false" ht="12.75" hidden="false" customHeight="false" outlineLevel="0" collapsed="false"/>
    <row r="5309" customFormat="false" ht="12.75" hidden="false" customHeight="false" outlineLevel="0" collapsed="false"/>
    <row r="5310" customFormat="false" ht="12.75" hidden="false" customHeight="false" outlineLevel="0" collapsed="false"/>
    <row r="5311" customFormat="false" ht="12.75" hidden="false" customHeight="false" outlineLevel="0" collapsed="false"/>
    <row r="5312" customFormat="false" ht="12.75" hidden="false" customHeight="false" outlineLevel="0" collapsed="false"/>
    <row r="5313" customFormat="false" ht="12.75" hidden="false" customHeight="false" outlineLevel="0" collapsed="false"/>
    <row r="5314" customFormat="false" ht="12.75" hidden="false" customHeight="false" outlineLevel="0" collapsed="false"/>
    <row r="5315" customFormat="false" ht="12.75" hidden="false" customHeight="false" outlineLevel="0" collapsed="false"/>
    <row r="5316" customFormat="false" ht="12.75" hidden="false" customHeight="false" outlineLevel="0" collapsed="false"/>
    <row r="5317" customFormat="false" ht="12.75" hidden="false" customHeight="false" outlineLevel="0" collapsed="false"/>
    <row r="5318" customFormat="false" ht="12.75" hidden="false" customHeight="false" outlineLevel="0" collapsed="false"/>
    <row r="5319" customFormat="false" ht="12.75" hidden="false" customHeight="false" outlineLevel="0" collapsed="false"/>
    <row r="5320" customFormat="false" ht="12.75" hidden="false" customHeight="false" outlineLevel="0" collapsed="false"/>
    <row r="5321" customFormat="false" ht="12.75" hidden="false" customHeight="false" outlineLevel="0" collapsed="false"/>
    <row r="5322" customFormat="false" ht="12.75" hidden="false" customHeight="false" outlineLevel="0" collapsed="false"/>
    <row r="5323" customFormat="false" ht="12.75" hidden="false" customHeight="false" outlineLevel="0" collapsed="false"/>
    <row r="5324" customFormat="false" ht="12.75" hidden="false" customHeight="false" outlineLevel="0" collapsed="false"/>
    <row r="5325" customFormat="false" ht="12.75" hidden="false" customHeight="false" outlineLevel="0" collapsed="false"/>
    <row r="5326" customFormat="false" ht="12.75" hidden="false" customHeight="false" outlineLevel="0" collapsed="false"/>
    <row r="5327" customFormat="false" ht="12.75" hidden="false" customHeight="false" outlineLevel="0" collapsed="false"/>
    <row r="5328" customFormat="false" ht="12.75" hidden="false" customHeight="false" outlineLevel="0" collapsed="false"/>
    <row r="5329" customFormat="false" ht="12.75" hidden="false" customHeight="false" outlineLevel="0" collapsed="false"/>
    <row r="5330" customFormat="false" ht="12.75" hidden="false" customHeight="false" outlineLevel="0" collapsed="false"/>
    <row r="5331" customFormat="false" ht="12.75" hidden="false" customHeight="false" outlineLevel="0" collapsed="false"/>
    <row r="5332" customFormat="false" ht="12.75" hidden="false" customHeight="false" outlineLevel="0" collapsed="false"/>
    <row r="5333" customFormat="false" ht="12.75" hidden="false" customHeight="false" outlineLevel="0" collapsed="false"/>
    <row r="5334" customFormat="false" ht="12.75" hidden="false" customHeight="false" outlineLevel="0" collapsed="false"/>
    <row r="5335" customFormat="false" ht="12.75" hidden="false" customHeight="false" outlineLevel="0" collapsed="false"/>
    <row r="5336" customFormat="false" ht="12.75" hidden="false" customHeight="false" outlineLevel="0" collapsed="false"/>
    <row r="5337" customFormat="false" ht="12.75" hidden="false" customHeight="false" outlineLevel="0" collapsed="false"/>
    <row r="5338" customFormat="false" ht="12.75" hidden="false" customHeight="false" outlineLevel="0" collapsed="false"/>
    <row r="5339" customFormat="false" ht="12.75" hidden="false" customHeight="false" outlineLevel="0" collapsed="false"/>
    <row r="5340" customFormat="false" ht="12.75" hidden="false" customHeight="false" outlineLevel="0" collapsed="false"/>
    <row r="5341" customFormat="false" ht="12.75" hidden="false" customHeight="false" outlineLevel="0" collapsed="false"/>
    <row r="5342" customFormat="false" ht="12.75" hidden="false" customHeight="false" outlineLevel="0" collapsed="false"/>
    <row r="5343" customFormat="false" ht="12.75" hidden="false" customHeight="false" outlineLevel="0" collapsed="false"/>
    <row r="5344" customFormat="false" ht="12.75" hidden="false" customHeight="false" outlineLevel="0" collapsed="false"/>
    <row r="5345" customFormat="false" ht="12.75" hidden="false" customHeight="false" outlineLevel="0" collapsed="false"/>
    <row r="5346" customFormat="false" ht="12.75" hidden="false" customHeight="false" outlineLevel="0" collapsed="false"/>
    <row r="5347" customFormat="false" ht="12.75" hidden="false" customHeight="false" outlineLevel="0" collapsed="false"/>
    <row r="5348" customFormat="false" ht="12.75" hidden="false" customHeight="false" outlineLevel="0" collapsed="false"/>
    <row r="5349" customFormat="false" ht="12.75" hidden="false" customHeight="false" outlineLevel="0" collapsed="false"/>
    <row r="5350" customFormat="false" ht="12.75" hidden="false" customHeight="false" outlineLevel="0" collapsed="false"/>
    <row r="5351" customFormat="false" ht="12.75" hidden="false" customHeight="false" outlineLevel="0" collapsed="false"/>
    <row r="5352" customFormat="false" ht="12.75" hidden="false" customHeight="false" outlineLevel="0" collapsed="false"/>
    <row r="5353" customFormat="false" ht="12.75" hidden="false" customHeight="false" outlineLevel="0" collapsed="false"/>
    <row r="5354" customFormat="false" ht="12.75" hidden="false" customHeight="false" outlineLevel="0" collapsed="false"/>
    <row r="5355" customFormat="false" ht="12.75" hidden="false" customHeight="false" outlineLevel="0" collapsed="false"/>
    <row r="5356" customFormat="false" ht="12.75" hidden="false" customHeight="false" outlineLevel="0" collapsed="false"/>
    <row r="5357" customFormat="false" ht="12.75" hidden="false" customHeight="false" outlineLevel="0" collapsed="false"/>
    <row r="5358" customFormat="false" ht="12.75" hidden="false" customHeight="false" outlineLevel="0" collapsed="false"/>
    <row r="5359" customFormat="false" ht="12.75" hidden="false" customHeight="false" outlineLevel="0" collapsed="false"/>
    <row r="5360" customFormat="false" ht="12.75" hidden="false" customHeight="false" outlineLevel="0" collapsed="false"/>
    <row r="5361" customFormat="false" ht="12.75" hidden="false" customHeight="false" outlineLevel="0" collapsed="false"/>
    <row r="5362" customFormat="false" ht="12.75" hidden="false" customHeight="false" outlineLevel="0" collapsed="false"/>
    <row r="5363" customFormat="false" ht="12.75" hidden="false" customHeight="false" outlineLevel="0" collapsed="false"/>
    <row r="5364" customFormat="false" ht="12.75" hidden="false" customHeight="false" outlineLevel="0" collapsed="false"/>
    <row r="5365" customFormat="false" ht="12.75" hidden="false" customHeight="false" outlineLevel="0" collapsed="false"/>
    <row r="5366" customFormat="false" ht="12.75" hidden="false" customHeight="false" outlineLevel="0" collapsed="false"/>
    <row r="5367" customFormat="false" ht="12.75" hidden="false" customHeight="false" outlineLevel="0" collapsed="false"/>
    <row r="5368" customFormat="false" ht="12.75" hidden="false" customHeight="false" outlineLevel="0" collapsed="false"/>
    <row r="5369" customFormat="false" ht="12.75" hidden="false" customHeight="false" outlineLevel="0" collapsed="false"/>
    <row r="5370" customFormat="false" ht="12.75" hidden="false" customHeight="false" outlineLevel="0" collapsed="false"/>
    <row r="5371" customFormat="false" ht="12.75" hidden="false" customHeight="false" outlineLevel="0" collapsed="false"/>
    <row r="5372" customFormat="false" ht="12.75" hidden="false" customHeight="false" outlineLevel="0" collapsed="false"/>
    <row r="5373" customFormat="false" ht="12.75" hidden="false" customHeight="false" outlineLevel="0" collapsed="false"/>
    <row r="5374" customFormat="false" ht="12.75" hidden="false" customHeight="false" outlineLevel="0" collapsed="false"/>
    <row r="5375" customFormat="false" ht="12.75" hidden="false" customHeight="false" outlineLevel="0" collapsed="false"/>
    <row r="5376" customFormat="false" ht="12.75" hidden="false" customHeight="false" outlineLevel="0" collapsed="false"/>
    <row r="5377" customFormat="false" ht="12.75" hidden="false" customHeight="false" outlineLevel="0" collapsed="false"/>
    <row r="5378" customFormat="false" ht="12.75" hidden="false" customHeight="false" outlineLevel="0" collapsed="false"/>
    <row r="5379" customFormat="false" ht="12.75" hidden="false" customHeight="false" outlineLevel="0" collapsed="false"/>
    <row r="5380" customFormat="false" ht="12.75" hidden="false" customHeight="false" outlineLevel="0" collapsed="false"/>
    <row r="5381" customFormat="false" ht="12.75" hidden="false" customHeight="false" outlineLevel="0" collapsed="false"/>
    <row r="5382" customFormat="false" ht="12.75" hidden="false" customHeight="false" outlineLevel="0" collapsed="false"/>
    <row r="5383" customFormat="false" ht="12.75" hidden="false" customHeight="false" outlineLevel="0" collapsed="false"/>
    <row r="5384" customFormat="false" ht="12.75" hidden="false" customHeight="false" outlineLevel="0" collapsed="false"/>
    <row r="5385" customFormat="false" ht="12.75" hidden="false" customHeight="false" outlineLevel="0" collapsed="false"/>
    <row r="5386" customFormat="false" ht="12.75" hidden="false" customHeight="false" outlineLevel="0" collapsed="false"/>
    <row r="5387" customFormat="false" ht="12.75" hidden="false" customHeight="false" outlineLevel="0" collapsed="false"/>
    <row r="5388" customFormat="false" ht="12.75" hidden="false" customHeight="false" outlineLevel="0" collapsed="false"/>
    <row r="5389" customFormat="false" ht="12.75" hidden="false" customHeight="false" outlineLevel="0" collapsed="false"/>
    <row r="5390" customFormat="false" ht="12.75" hidden="false" customHeight="false" outlineLevel="0" collapsed="false"/>
    <row r="5391" customFormat="false" ht="12.75" hidden="false" customHeight="false" outlineLevel="0" collapsed="false"/>
    <row r="5392" customFormat="false" ht="12.75" hidden="false" customHeight="false" outlineLevel="0" collapsed="false"/>
    <row r="5393" customFormat="false" ht="12.75" hidden="false" customHeight="false" outlineLevel="0" collapsed="false"/>
    <row r="5394" customFormat="false" ht="12.75" hidden="false" customHeight="false" outlineLevel="0" collapsed="false"/>
    <row r="5395" customFormat="false" ht="12.75" hidden="false" customHeight="false" outlineLevel="0" collapsed="false"/>
    <row r="5396" customFormat="false" ht="12.75" hidden="false" customHeight="false" outlineLevel="0" collapsed="false"/>
    <row r="5397" customFormat="false" ht="12.75" hidden="false" customHeight="false" outlineLevel="0" collapsed="false"/>
    <row r="5398" customFormat="false" ht="12.75" hidden="false" customHeight="false" outlineLevel="0" collapsed="false"/>
    <row r="5399" customFormat="false" ht="12.75" hidden="false" customHeight="false" outlineLevel="0" collapsed="false"/>
    <row r="5400" customFormat="false" ht="12.75" hidden="false" customHeight="false" outlineLevel="0" collapsed="false"/>
    <row r="5401" customFormat="false" ht="12.75" hidden="false" customHeight="false" outlineLevel="0" collapsed="false"/>
    <row r="5402" customFormat="false" ht="12.75" hidden="false" customHeight="false" outlineLevel="0" collapsed="false"/>
    <row r="5403" customFormat="false" ht="12.75" hidden="false" customHeight="false" outlineLevel="0" collapsed="false"/>
    <row r="5404" customFormat="false" ht="12.75" hidden="false" customHeight="false" outlineLevel="0" collapsed="false"/>
    <row r="5405" customFormat="false" ht="12.75" hidden="false" customHeight="false" outlineLevel="0" collapsed="false"/>
    <row r="5406" customFormat="false" ht="12.75" hidden="false" customHeight="false" outlineLevel="0" collapsed="false"/>
    <row r="5407" customFormat="false" ht="12.75" hidden="false" customHeight="false" outlineLevel="0" collapsed="false"/>
    <row r="5408" customFormat="false" ht="12.75" hidden="false" customHeight="false" outlineLevel="0" collapsed="false"/>
    <row r="5409" customFormat="false" ht="12.75" hidden="false" customHeight="false" outlineLevel="0" collapsed="false"/>
    <row r="5410" customFormat="false" ht="12.75" hidden="false" customHeight="false" outlineLevel="0" collapsed="false"/>
    <row r="5411" customFormat="false" ht="12.75" hidden="false" customHeight="false" outlineLevel="0" collapsed="false"/>
    <row r="5412" customFormat="false" ht="12.75" hidden="false" customHeight="false" outlineLevel="0" collapsed="false"/>
    <row r="5413" customFormat="false" ht="12.75" hidden="false" customHeight="false" outlineLevel="0" collapsed="false"/>
    <row r="5414" customFormat="false" ht="12.75" hidden="false" customHeight="false" outlineLevel="0" collapsed="false"/>
    <row r="5415" customFormat="false" ht="12.75" hidden="false" customHeight="false" outlineLevel="0" collapsed="false"/>
    <row r="5416" customFormat="false" ht="12.75" hidden="false" customHeight="false" outlineLevel="0" collapsed="false"/>
    <row r="5417" customFormat="false" ht="12.75" hidden="false" customHeight="false" outlineLevel="0" collapsed="false"/>
    <row r="5418" customFormat="false" ht="12.75" hidden="false" customHeight="false" outlineLevel="0" collapsed="false"/>
    <row r="5419" customFormat="false" ht="12.75" hidden="false" customHeight="false" outlineLevel="0" collapsed="false"/>
    <row r="5420" customFormat="false" ht="12.75" hidden="false" customHeight="false" outlineLevel="0" collapsed="false"/>
    <row r="5421" customFormat="false" ht="12.75" hidden="false" customHeight="false" outlineLevel="0" collapsed="false"/>
    <row r="5422" customFormat="false" ht="12.75" hidden="false" customHeight="false" outlineLevel="0" collapsed="false"/>
    <row r="5423" customFormat="false" ht="12.75" hidden="false" customHeight="false" outlineLevel="0" collapsed="false"/>
    <row r="5424" customFormat="false" ht="12.75" hidden="false" customHeight="false" outlineLevel="0" collapsed="false"/>
    <row r="5425" customFormat="false" ht="12.75" hidden="false" customHeight="false" outlineLevel="0" collapsed="false"/>
    <row r="5426" customFormat="false" ht="12.75" hidden="false" customHeight="false" outlineLevel="0" collapsed="false"/>
    <row r="5427" customFormat="false" ht="12.75" hidden="false" customHeight="false" outlineLevel="0" collapsed="false"/>
    <row r="5428" customFormat="false" ht="12.75" hidden="false" customHeight="false" outlineLevel="0" collapsed="false"/>
    <row r="5429" customFormat="false" ht="12.75" hidden="false" customHeight="false" outlineLevel="0" collapsed="false"/>
    <row r="5430" customFormat="false" ht="12.75" hidden="false" customHeight="false" outlineLevel="0" collapsed="false"/>
    <row r="5431" customFormat="false" ht="12.75" hidden="false" customHeight="false" outlineLevel="0" collapsed="false"/>
    <row r="5432" customFormat="false" ht="12.75" hidden="false" customHeight="false" outlineLevel="0" collapsed="false"/>
    <row r="5433" customFormat="false" ht="12.75" hidden="false" customHeight="false" outlineLevel="0" collapsed="false"/>
    <row r="5434" customFormat="false" ht="12.75" hidden="false" customHeight="false" outlineLevel="0" collapsed="false"/>
    <row r="5435" customFormat="false" ht="12.75" hidden="false" customHeight="false" outlineLevel="0" collapsed="false"/>
    <row r="5436" customFormat="false" ht="12.75" hidden="false" customHeight="false" outlineLevel="0" collapsed="false"/>
    <row r="5437" customFormat="false" ht="12.75" hidden="false" customHeight="false" outlineLevel="0" collapsed="false"/>
    <row r="5438" customFormat="false" ht="12.75" hidden="false" customHeight="false" outlineLevel="0" collapsed="false"/>
    <row r="5439" customFormat="false" ht="12.75" hidden="false" customHeight="false" outlineLevel="0" collapsed="false"/>
    <row r="5440" customFormat="false" ht="12.75" hidden="false" customHeight="false" outlineLevel="0" collapsed="false"/>
    <row r="5441" customFormat="false" ht="12.75" hidden="false" customHeight="false" outlineLevel="0" collapsed="false"/>
    <row r="5442" customFormat="false" ht="12.75" hidden="false" customHeight="false" outlineLevel="0" collapsed="false"/>
    <row r="5443" customFormat="false" ht="12.75" hidden="false" customHeight="false" outlineLevel="0" collapsed="false"/>
    <row r="5444" customFormat="false" ht="12.75" hidden="false" customHeight="false" outlineLevel="0" collapsed="false"/>
    <row r="5445" customFormat="false" ht="12.75" hidden="false" customHeight="false" outlineLevel="0" collapsed="false"/>
    <row r="5446" customFormat="false" ht="12.75" hidden="false" customHeight="false" outlineLevel="0" collapsed="false"/>
    <row r="5447" customFormat="false" ht="12.75" hidden="false" customHeight="false" outlineLevel="0" collapsed="false"/>
    <row r="5448" customFormat="false" ht="12.75" hidden="false" customHeight="false" outlineLevel="0" collapsed="false"/>
    <row r="5449" customFormat="false" ht="12.75" hidden="false" customHeight="false" outlineLevel="0" collapsed="false"/>
    <row r="5450" customFormat="false" ht="12.75" hidden="false" customHeight="false" outlineLevel="0" collapsed="false"/>
    <row r="5451" customFormat="false" ht="12.75" hidden="false" customHeight="false" outlineLevel="0" collapsed="false"/>
    <row r="5452" customFormat="false" ht="12.75" hidden="false" customHeight="false" outlineLevel="0" collapsed="false"/>
    <row r="5453" customFormat="false" ht="12.75" hidden="false" customHeight="false" outlineLevel="0" collapsed="false"/>
    <row r="5454" customFormat="false" ht="12.75" hidden="false" customHeight="false" outlineLevel="0" collapsed="false"/>
    <row r="5455" customFormat="false" ht="12.75" hidden="false" customHeight="false" outlineLevel="0" collapsed="false"/>
    <row r="5456" customFormat="false" ht="12.75" hidden="false" customHeight="false" outlineLevel="0" collapsed="false"/>
    <row r="5457" customFormat="false" ht="12.75" hidden="false" customHeight="false" outlineLevel="0" collapsed="false"/>
    <row r="5458" customFormat="false" ht="12.75" hidden="false" customHeight="false" outlineLevel="0" collapsed="false"/>
    <row r="5459" customFormat="false" ht="12.75" hidden="false" customHeight="false" outlineLevel="0" collapsed="false"/>
    <row r="5460" customFormat="false" ht="12.75" hidden="false" customHeight="false" outlineLevel="0" collapsed="false"/>
    <row r="5461" customFormat="false" ht="12.75" hidden="false" customHeight="false" outlineLevel="0" collapsed="false"/>
    <row r="5462" customFormat="false" ht="12.75" hidden="false" customHeight="false" outlineLevel="0" collapsed="false"/>
    <row r="5463" customFormat="false" ht="12.75" hidden="false" customHeight="false" outlineLevel="0" collapsed="false"/>
    <row r="5464" customFormat="false" ht="12.75" hidden="false" customHeight="false" outlineLevel="0" collapsed="false"/>
    <row r="5465" customFormat="false" ht="12.75" hidden="false" customHeight="false" outlineLevel="0" collapsed="false"/>
    <row r="5466" customFormat="false" ht="12.75" hidden="false" customHeight="false" outlineLevel="0" collapsed="false"/>
    <row r="5467" customFormat="false" ht="12.75" hidden="false" customHeight="false" outlineLevel="0" collapsed="false"/>
    <row r="5468" customFormat="false" ht="12.75" hidden="false" customHeight="false" outlineLevel="0" collapsed="false"/>
    <row r="5469" customFormat="false" ht="12.75" hidden="false" customHeight="false" outlineLevel="0" collapsed="false"/>
    <row r="5470" customFormat="false" ht="12.75" hidden="false" customHeight="false" outlineLevel="0" collapsed="false"/>
    <row r="5471" customFormat="false" ht="12.75" hidden="false" customHeight="false" outlineLevel="0" collapsed="false"/>
    <row r="5472" customFormat="false" ht="12.75" hidden="false" customHeight="false" outlineLevel="0" collapsed="false"/>
    <row r="5473" customFormat="false" ht="12.75" hidden="false" customHeight="false" outlineLevel="0" collapsed="false"/>
    <row r="5474" customFormat="false" ht="12.75" hidden="false" customHeight="false" outlineLevel="0" collapsed="false"/>
    <row r="5475" customFormat="false" ht="12.75" hidden="false" customHeight="false" outlineLevel="0" collapsed="false"/>
    <row r="5476" customFormat="false" ht="12.75" hidden="false" customHeight="false" outlineLevel="0" collapsed="false"/>
    <row r="5477" customFormat="false" ht="12.75" hidden="false" customHeight="false" outlineLevel="0" collapsed="false"/>
    <row r="5478" customFormat="false" ht="12.75" hidden="false" customHeight="false" outlineLevel="0" collapsed="false"/>
    <row r="5479" customFormat="false" ht="12.75" hidden="false" customHeight="false" outlineLevel="0" collapsed="false"/>
    <row r="5480" customFormat="false" ht="12.75" hidden="false" customHeight="false" outlineLevel="0" collapsed="false"/>
    <row r="5481" customFormat="false" ht="12.75" hidden="false" customHeight="false" outlineLevel="0" collapsed="false"/>
    <row r="5482" customFormat="false" ht="12.75" hidden="false" customHeight="false" outlineLevel="0" collapsed="false"/>
    <row r="5483" customFormat="false" ht="12.75" hidden="false" customHeight="false" outlineLevel="0" collapsed="false"/>
    <row r="5484" customFormat="false" ht="12.75" hidden="false" customHeight="false" outlineLevel="0" collapsed="false"/>
    <row r="5485" customFormat="false" ht="12.75" hidden="false" customHeight="false" outlineLevel="0" collapsed="false"/>
    <row r="5486" customFormat="false" ht="12.75" hidden="false" customHeight="false" outlineLevel="0" collapsed="false"/>
    <row r="5487" customFormat="false" ht="12.75" hidden="false" customHeight="false" outlineLevel="0" collapsed="false"/>
    <row r="5488" customFormat="false" ht="12.75" hidden="false" customHeight="false" outlineLevel="0" collapsed="false"/>
    <row r="5489" customFormat="false" ht="12.75" hidden="false" customHeight="false" outlineLevel="0" collapsed="false"/>
    <row r="5490" customFormat="false" ht="12.75" hidden="false" customHeight="false" outlineLevel="0" collapsed="false"/>
    <row r="5491" customFormat="false" ht="12.75" hidden="false" customHeight="false" outlineLevel="0" collapsed="false"/>
    <row r="5492" customFormat="false" ht="12.75" hidden="false" customHeight="false" outlineLevel="0" collapsed="false"/>
    <row r="5493" customFormat="false" ht="12.75" hidden="false" customHeight="false" outlineLevel="0" collapsed="false"/>
    <row r="5494" customFormat="false" ht="12.75" hidden="false" customHeight="false" outlineLevel="0" collapsed="false"/>
    <row r="5495" customFormat="false" ht="12.75" hidden="false" customHeight="false" outlineLevel="0" collapsed="false"/>
    <row r="5496" customFormat="false" ht="12.75" hidden="false" customHeight="false" outlineLevel="0" collapsed="false"/>
    <row r="5497" customFormat="false" ht="12.75" hidden="false" customHeight="false" outlineLevel="0" collapsed="false"/>
    <row r="5498" customFormat="false" ht="12.75" hidden="false" customHeight="false" outlineLevel="0" collapsed="false"/>
    <row r="5499" customFormat="false" ht="12.75" hidden="false" customHeight="false" outlineLevel="0" collapsed="false"/>
    <row r="5500" customFormat="false" ht="12.75" hidden="false" customHeight="false" outlineLevel="0" collapsed="false"/>
    <row r="5501" customFormat="false" ht="12.75" hidden="false" customHeight="false" outlineLevel="0" collapsed="false"/>
    <row r="5502" customFormat="false" ht="12.75" hidden="false" customHeight="false" outlineLevel="0" collapsed="false"/>
    <row r="5503" customFormat="false" ht="12.75" hidden="false" customHeight="false" outlineLevel="0" collapsed="false"/>
    <row r="5504" customFormat="false" ht="12.75" hidden="false" customHeight="false" outlineLevel="0" collapsed="false"/>
    <row r="5505" customFormat="false" ht="12.75" hidden="false" customHeight="false" outlineLevel="0" collapsed="false"/>
    <row r="5506" customFormat="false" ht="12.75" hidden="false" customHeight="false" outlineLevel="0" collapsed="false"/>
    <row r="5507" customFormat="false" ht="12.75" hidden="false" customHeight="false" outlineLevel="0" collapsed="false"/>
    <row r="5508" customFormat="false" ht="12.75" hidden="false" customHeight="false" outlineLevel="0" collapsed="false"/>
    <row r="5509" customFormat="false" ht="12.75" hidden="false" customHeight="false" outlineLevel="0" collapsed="false"/>
    <row r="5510" customFormat="false" ht="12.75" hidden="false" customHeight="false" outlineLevel="0" collapsed="false"/>
    <row r="5511" customFormat="false" ht="12.75" hidden="false" customHeight="false" outlineLevel="0" collapsed="false"/>
    <row r="5512" customFormat="false" ht="12.75" hidden="false" customHeight="false" outlineLevel="0" collapsed="false"/>
    <row r="5513" customFormat="false" ht="12.75" hidden="false" customHeight="false" outlineLevel="0" collapsed="false"/>
    <row r="5514" customFormat="false" ht="12.75" hidden="false" customHeight="false" outlineLevel="0" collapsed="false"/>
    <row r="5515" customFormat="false" ht="12.75" hidden="false" customHeight="false" outlineLevel="0" collapsed="false"/>
    <row r="5516" customFormat="false" ht="12.75" hidden="false" customHeight="false" outlineLevel="0" collapsed="false"/>
    <row r="5517" customFormat="false" ht="12.75" hidden="false" customHeight="false" outlineLevel="0" collapsed="false"/>
    <row r="5518" customFormat="false" ht="12.75" hidden="false" customHeight="false" outlineLevel="0" collapsed="false"/>
    <row r="5519" customFormat="false" ht="12.75" hidden="false" customHeight="false" outlineLevel="0" collapsed="false"/>
    <row r="5520" customFormat="false" ht="12.75" hidden="false" customHeight="false" outlineLevel="0" collapsed="false"/>
    <row r="5521" customFormat="false" ht="12.75" hidden="false" customHeight="false" outlineLevel="0" collapsed="false"/>
    <row r="5522" customFormat="false" ht="12.75" hidden="false" customHeight="false" outlineLevel="0" collapsed="false"/>
    <row r="5523" customFormat="false" ht="12.75" hidden="false" customHeight="false" outlineLevel="0" collapsed="false"/>
    <row r="5524" customFormat="false" ht="12.75" hidden="false" customHeight="false" outlineLevel="0" collapsed="false"/>
    <row r="5525" customFormat="false" ht="12.75" hidden="false" customHeight="false" outlineLevel="0" collapsed="false"/>
    <row r="5526" customFormat="false" ht="12.75" hidden="false" customHeight="false" outlineLevel="0" collapsed="false"/>
    <row r="5527" customFormat="false" ht="12.75" hidden="false" customHeight="false" outlineLevel="0" collapsed="false"/>
    <row r="5528" customFormat="false" ht="12.75" hidden="false" customHeight="false" outlineLevel="0" collapsed="false"/>
    <row r="5529" customFormat="false" ht="12.75" hidden="false" customHeight="false" outlineLevel="0" collapsed="false"/>
    <row r="5530" customFormat="false" ht="12.75" hidden="false" customHeight="false" outlineLevel="0" collapsed="false"/>
    <row r="5531" customFormat="false" ht="12.75" hidden="false" customHeight="false" outlineLevel="0" collapsed="false"/>
    <row r="5532" customFormat="false" ht="12.75" hidden="false" customHeight="false" outlineLevel="0" collapsed="false"/>
    <row r="5533" customFormat="false" ht="12.75" hidden="false" customHeight="false" outlineLevel="0" collapsed="false"/>
    <row r="5534" customFormat="false" ht="12.75" hidden="false" customHeight="false" outlineLevel="0" collapsed="false"/>
    <row r="5535" customFormat="false" ht="12.75" hidden="false" customHeight="false" outlineLevel="0" collapsed="false"/>
    <row r="5536" customFormat="false" ht="12.75" hidden="false" customHeight="false" outlineLevel="0" collapsed="false"/>
    <row r="5537" customFormat="false" ht="12.75" hidden="false" customHeight="false" outlineLevel="0" collapsed="false"/>
    <row r="5538" customFormat="false" ht="12.75" hidden="false" customHeight="false" outlineLevel="0" collapsed="false"/>
    <row r="5539" customFormat="false" ht="12.75" hidden="false" customHeight="false" outlineLevel="0" collapsed="false"/>
    <row r="5540" customFormat="false" ht="12.75" hidden="false" customHeight="false" outlineLevel="0" collapsed="false"/>
    <row r="5541" customFormat="false" ht="12.75" hidden="false" customHeight="false" outlineLevel="0" collapsed="false"/>
    <row r="5542" customFormat="false" ht="12.75" hidden="false" customHeight="false" outlineLevel="0" collapsed="false"/>
    <row r="5543" customFormat="false" ht="12.75" hidden="false" customHeight="false" outlineLevel="0" collapsed="false"/>
    <row r="5544" customFormat="false" ht="12.75" hidden="false" customHeight="false" outlineLevel="0" collapsed="false"/>
    <row r="5545" customFormat="false" ht="12.75" hidden="false" customHeight="false" outlineLevel="0" collapsed="false"/>
    <row r="5546" customFormat="false" ht="12.75" hidden="false" customHeight="false" outlineLevel="0" collapsed="false"/>
    <row r="5547" customFormat="false" ht="12.75" hidden="false" customHeight="false" outlineLevel="0" collapsed="false"/>
    <row r="5548" customFormat="false" ht="12.75" hidden="false" customHeight="false" outlineLevel="0" collapsed="false"/>
    <row r="5549" customFormat="false" ht="12.75" hidden="false" customHeight="false" outlineLevel="0" collapsed="false"/>
    <row r="5550" customFormat="false" ht="12.75" hidden="false" customHeight="false" outlineLevel="0" collapsed="false"/>
    <row r="5551" customFormat="false" ht="12.75" hidden="false" customHeight="false" outlineLevel="0" collapsed="false"/>
    <row r="5552" customFormat="false" ht="12.75" hidden="false" customHeight="false" outlineLevel="0" collapsed="false"/>
    <row r="5553" customFormat="false" ht="12.75" hidden="false" customHeight="false" outlineLevel="0" collapsed="false"/>
    <row r="5554" customFormat="false" ht="12.75" hidden="false" customHeight="false" outlineLevel="0" collapsed="false"/>
    <row r="5555" customFormat="false" ht="12.75" hidden="false" customHeight="false" outlineLevel="0" collapsed="false"/>
    <row r="5556" customFormat="false" ht="12.75" hidden="false" customHeight="false" outlineLevel="0" collapsed="false"/>
    <row r="5557" customFormat="false" ht="12.75" hidden="false" customHeight="false" outlineLevel="0" collapsed="false"/>
    <row r="5558" customFormat="false" ht="12.75" hidden="false" customHeight="false" outlineLevel="0" collapsed="false"/>
    <row r="5559" customFormat="false" ht="12.75" hidden="false" customHeight="false" outlineLevel="0" collapsed="false"/>
    <row r="5560" customFormat="false" ht="12.75" hidden="false" customHeight="false" outlineLevel="0" collapsed="false"/>
    <row r="5561" customFormat="false" ht="12.75" hidden="false" customHeight="false" outlineLevel="0" collapsed="false"/>
    <row r="5562" customFormat="false" ht="12.75" hidden="false" customHeight="false" outlineLevel="0" collapsed="false"/>
    <row r="5563" customFormat="false" ht="12.75" hidden="false" customHeight="false" outlineLevel="0" collapsed="false"/>
    <row r="5564" customFormat="false" ht="12.75" hidden="false" customHeight="false" outlineLevel="0" collapsed="false"/>
    <row r="5565" customFormat="false" ht="12.75" hidden="false" customHeight="false" outlineLevel="0" collapsed="false"/>
    <row r="5566" customFormat="false" ht="12.75" hidden="false" customHeight="false" outlineLevel="0" collapsed="false"/>
    <row r="5567" customFormat="false" ht="12.75" hidden="false" customHeight="false" outlineLevel="0" collapsed="false"/>
    <row r="5568" customFormat="false" ht="12.75" hidden="false" customHeight="false" outlineLevel="0" collapsed="false"/>
    <row r="5569" customFormat="false" ht="12.75" hidden="false" customHeight="false" outlineLevel="0" collapsed="false"/>
    <row r="5570" customFormat="false" ht="12.75" hidden="false" customHeight="false" outlineLevel="0" collapsed="false"/>
    <row r="5571" customFormat="false" ht="12.75" hidden="false" customHeight="false" outlineLevel="0" collapsed="false"/>
    <row r="5572" customFormat="false" ht="12.75" hidden="false" customHeight="false" outlineLevel="0" collapsed="false"/>
    <row r="5573" customFormat="false" ht="12.75" hidden="false" customHeight="false" outlineLevel="0" collapsed="false"/>
    <row r="5574" customFormat="false" ht="12.75" hidden="false" customHeight="false" outlineLevel="0" collapsed="false"/>
    <row r="5575" customFormat="false" ht="12.75" hidden="false" customHeight="false" outlineLevel="0" collapsed="false"/>
    <row r="5576" customFormat="false" ht="12.75" hidden="false" customHeight="false" outlineLevel="0" collapsed="false"/>
    <row r="5577" customFormat="false" ht="12.75" hidden="false" customHeight="false" outlineLevel="0" collapsed="false"/>
    <row r="5578" customFormat="false" ht="12.75" hidden="false" customHeight="false" outlineLevel="0" collapsed="false"/>
    <row r="5579" customFormat="false" ht="12.75" hidden="false" customHeight="false" outlineLevel="0" collapsed="false"/>
    <row r="5580" customFormat="false" ht="12.75" hidden="false" customHeight="false" outlineLevel="0" collapsed="false"/>
    <row r="5581" customFormat="false" ht="12.75" hidden="false" customHeight="false" outlineLevel="0" collapsed="false"/>
    <row r="5582" customFormat="false" ht="12.75" hidden="false" customHeight="false" outlineLevel="0" collapsed="false"/>
    <row r="5583" customFormat="false" ht="12.75" hidden="false" customHeight="false" outlineLevel="0" collapsed="false"/>
    <row r="5584" customFormat="false" ht="12.75" hidden="false" customHeight="false" outlineLevel="0" collapsed="false"/>
    <row r="5585" customFormat="false" ht="12.75" hidden="false" customHeight="false" outlineLevel="0" collapsed="false"/>
    <row r="5586" customFormat="false" ht="12.75" hidden="false" customHeight="false" outlineLevel="0" collapsed="false"/>
    <row r="5587" customFormat="false" ht="12.75" hidden="false" customHeight="false" outlineLevel="0" collapsed="false"/>
    <row r="5588" customFormat="false" ht="12.75" hidden="false" customHeight="false" outlineLevel="0" collapsed="false"/>
    <row r="5589" customFormat="false" ht="12.75" hidden="false" customHeight="false" outlineLevel="0" collapsed="false"/>
    <row r="5590" customFormat="false" ht="12.75" hidden="false" customHeight="false" outlineLevel="0" collapsed="false"/>
    <row r="5591" customFormat="false" ht="12.75" hidden="false" customHeight="false" outlineLevel="0" collapsed="false"/>
    <row r="5592" customFormat="false" ht="12.75" hidden="false" customHeight="false" outlineLevel="0" collapsed="false"/>
    <row r="5593" customFormat="false" ht="12.75" hidden="false" customHeight="false" outlineLevel="0" collapsed="false"/>
    <row r="5594" customFormat="false" ht="12.75" hidden="false" customHeight="false" outlineLevel="0" collapsed="false"/>
    <row r="5595" customFormat="false" ht="12.75" hidden="false" customHeight="false" outlineLevel="0" collapsed="false"/>
    <row r="5596" customFormat="false" ht="12.75" hidden="false" customHeight="false" outlineLevel="0" collapsed="false"/>
    <row r="5597" customFormat="false" ht="12.75" hidden="false" customHeight="false" outlineLevel="0" collapsed="false"/>
    <row r="5598" customFormat="false" ht="12.75" hidden="false" customHeight="false" outlineLevel="0" collapsed="false"/>
    <row r="5599" customFormat="false" ht="12.75" hidden="false" customHeight="false" outlineLevel="0" collapsed="false"/>
    <row r="5600" customFormat="false" ht="12.75" hidden="false" customHeight="false" outlineLevel="0" collapsed="false"/>
    <row r="5601" customFormat="false" ht="12.75" hidden="false" customHeight="false" outlineLevel="0" collapsed="false"/>
    <row r="5602" customFormat="false" ht="12.75" hidden="false" customHeight="false" outlineLevel="0" collapsed="false"/>
    <row r="5603" customFormat="false" ht="12.75" hidden="false" customHeight="false" outlineLevel="0" collapsed="false"/>
    <row r="5604" customFormat="false" ht="12.75" hidden="false" customHeight="false" outlineLevel="0" collapsed="false"/>
    <row r="5605" customFormat="false" ht="12.75" hidden="false" customHeight="false" outlineLevel="0" collapsed="false"/>
    <row r="5606" customFormat="false" ht="12.75" hidden="false" customHeight="false" outlineLevel="0" collapsed="false"/>
    <row r="5607" customFormat="false" ht="12.75" hidden="false" customHeight="false" outlineLevel="0" collapsed="false"/>
    <row r="5608" customFormat="false" ht="12.75" hidden="false" customHeight="false" outlineLevel="0" collapsed="false"/>
    <row r="5609" customFormat="false" ht="12.75" hidden="false" customHeight="false" outlineLevel="0" collapsed="false"/>
    <row r="5610" customFormat="false" ht="12.75" hidden="false" customHeight="false" outlineLevel="0" collapsed="false"/>
    <row r="5611" customFormat="false" ht="12.75" hidden="false" customHeight="false" outlineLevel="0" collapsed="false"/>
    <row r="5612" customFormat="false" ht="12.75" hidden="false" customHeight="false" outlineLevel="0" collapsed="false"/>
    <row r="5613" customFormat="false" ht="12.75" hidden="false" customHeight="false" outlineLevel="0" collapsed="false"/>
    <row r="5614" customFormat="false" ht="12.75" hidden="false" customHeight="false" outlineLevel="0" collapsed="false"/>
    <row r="5615" customFormat="false" ht="12.75" hidden="false" customHeight="false" outlineLevel="0" collapsed="false"/>
    <row r="5616" customFormat="false" ht="12.75" hidden="false" customHeight="false" outlineLevel="0" collapsed="false"/>
    <row r="5617" customFormat="false" ht="12.75" hidden="false" customHeight="false" outlineLevel="0" collapsed="false"/>
    <row r="5618" customFormat="false" ht="12.75" hidden="false" customHeight="false" outlineLevel="0" collapsed="false"/>
    <row r="5619" customFormat="false" ht="12.75" hidden="false" customHeight="false" outlineLevel="0" collapsed="false"/>
    <row r="5620" customFormat="false" ht="12.75" hidden="false" customHeight="false" outlineLevel="0" collapsed="false"/>
    <row r="5621" customFormat="false" ht="12.75" hidden="false" customHeight="false" outlineLevel="0" collapsed="false"/>
    <row r="5622" customFormat="false" ht="12.75" hidden="false" customHeight="false" outlineLevel="0" collapsed="false"/>
    <row r="5623" customFormat="false" ht="12.75" hidden="false" customHeight="false" outlineLevel="0" collapsed="false"/>
    <row r="5624" customFormat="false" ht="12.75" hidden="false" customHeight="false" outlineLevel="0" collapsed="false"/>
    <row r="5625" customFormat="false" ht="12.75" hidden="false" customHeight="false" outlineLevel="0" collapsed="false"/>
    <row r="5626" customFormat="false" ht="12.75" hidden="false" customHeight="false" outlineLevel="0" collapsed="false"/>
    <row r="5627" customFormat="false" ht="12.75" hidden="false" customHeight="false" outlineLevel="0" collapsed="false"/>
    <row r="5628" customFormat="false" ht="12.75" hidden="false" customHeight="false" outlineLevel="0" collapsed="false"/>
    <row r="5629" customFormat="false" ht="12.75" hidden="false" customHeight="false" outlineLevel="0" collapsed="false"/>
    <row r="5630" customFormat="false" ht="12.75" hidden="false" customHeight="false" outlineLevel="0" collapsed="false"/>
    <row r="5631" customFormat="false" ht="12.75" hidden="false" customHeight="false" outlineLevel="0" collapsed="false"/>
    <row r="5632" customFormat="false" ht="12.75" hidden="false" customHeight="false" outlineLevel="0" collapsed="false"/>
    <row r="5633" customFormat="false" ht="12.75" hidden="false" customHeight="false" outlineLevel="0" collapsed="false"/>
    <row r="5634" customFormat="false" ht="12.75" hidden="false" customHeight="false" outlineLevel="0" collapsed="false"/>
    <row r="5635" customFormat="false" ht="12.75" hidden="false" customHeight="false" outlineLevel="0" collapsed="false"/>
    <row r="5636" customFormat="false" ht="12.75" hidden="false" customHeight="false" outlineLevel="0" collapsed="false"/>
    <row r="5637" customFormat="false" ht="12.75" hidden="false" customHeight="false" outlineLevel="0" collapsed="false"/>
    <row r="5638" customFormat="false" ht="12.75" hidden="false" customHeight="false" outlineLevel="0" collapsed="false"/>
    <row r="5639" customFormat="false" ht="12.75" hidden="false" customHeight="false" outlineLevel="0" collapsed="false"/>
    <row r="5640" customFormat="false" ht="12.75" hidden="false" customHeight="false" outlineLevel="0" collapsed="false"/>
    <row r="5641" customFormat="false" ht="12.75" hidden="false" customHeight="false" outlineLevel="0" collapsed="false"/>
    <row r="5642" customFormat="false" ht="12.75" hidden="false" customHeight="false" outlineLevel="0" collapsed="false"/>
    <row r="5643" customFormat="false" ht="12.75" hidden="false" customHeight="false" outlineLevel="0" collapsed="false"/>
    <row r="5644" customFormat="false" ht="12.75" hidden="false" customHeight="false" outlineLevel="0" collapsed="false"/>
    <row r="5645" customFormat="false" ht="12.75" hidden="false" customHeight="false" outlineLevel="0" collapsed="false"/>
    <row r="5646" customFormat="false" ht="12.75" hidden="false" customHeight="false" outlineLevel="0" collapsed="false"/>
    <row r="5647" customFormat="false" ht="12.75" hidden="false" customHeight="false" outlineLevel="0" collapsed="false"/>
    <row r="5648" customFormat="false" ht="12.75" hidden="false" customHeight="false" outlineLevel="0" collapsed="false"/>
    <row r="5649" customFormat="false" ht="12.75" hidden="false" customHeight="false" outlineLevel="0" collapsed="false"/>
    <row r="5650" customFormat="false" ht="12.75" hidden="false" customHeight="false" outlineLevel="0" collapsed="false"/>
    <row r="5651" customFormat="false" ht="12.75" hidden="false" customHeight="false" outlineLevel="0" collapsed="false"/>
    <row r="5652" customFormat="false" ht="12.75" hidden="false" customHeight="false" outlineLevel="0" collapsed="false"/>
    <row r="5653" customFormat="false" ht="12.75" hidden="false" customHeight="false" outlineLevel="0" collapsed="false"/>
    <row r="5654" customFormat="false" ht="12.75" hidden="false" customHeight="false" outlineLevel="0" collapsed="false"/>
    <row r="5655" customFormat="false" ht="12.75" hidden="false" customHeight="false" outlineLevel="0" collapsed="false"/>
    <row r="5656" customFormat="false" ht="12.75" hidden="false" customHeight="false" outlineLevel="0" collapsed="false"/>
    <row r="5657" customFormat="false" ht="12.75" hidden="false" customHeight="false" outlineLevel="0" collapsed="false"/>
    <row r="5658" customFormat="false" ht="12.75" hidden="false" customHeight="false" outlineLevel="0" collapsed="false"/>
    <row r="5659" customFormat="false" ht="12.75" hidden="false" customHeight="false" outlineLevel="0" collapsed="false"/>
    <row r="5660" customFormat="false" ht="12.75" hidden="false" customHeight="false" outlineLevel="0" collapsed="false"/>
    <row r="5661" customFormat="false" ht="12.75" hidden="false" customHeight="false" outlineLevel="0" collapsed="false"/>
    <row r="5662" customFormat="false" ht="12.75" hidden="false" customHeight="false" outlineLevel="0" collapsed="false"/>
    <row r="5663" customFormat="false" ht="12.75" hidden="false" customHeight="false" outlineLevel="0" collapsed="false"/>
    <row r="5664" customFormat="false" ht="12.75" hidden="false" customHeight="false" outlineLevel="0" collapsed="false"/>
    <row r="5665" customFormat="false" ht="12.75" hidden="false" customHeight="false" outlineLevel="0" collapsed="false"/>
    <row r="5666" customFormat="false" ht="12.75" hidden="false" customHeight="false" outlineLevel="0" collapsed="false"/>
    <row r="5667" customFormat="false" ht="12.75" hidden="false" customHeight="false" outlineLevel="0" collapsed="false"/>
    <row r="5668" customFormat="false" ht="12.75" hidden="false" customHeight="false" outlineLevel="0" collapsed="false"/>
    <row r="5669" customFormat="false" ht="12.75" hidden="false" customHeight="false" outlineLevel="0" collapsed="false"/>
    <row r="5670" customFormat="false" ht="12.75" hidden="false" customHeight="false" outlineLevel="0" collapsed="false"/>
    <row r="5671" customFormat="false" ht="12.75" hidden="false" customHeight="false" outlineLevel="0" collapsed="false"/>
    <row r="5672" customFormat="false" ht="12.75" hidden="false" customHeight="false" outlineLevel="0" collapsed="false"/>
    <row r="5673" customFormat="false" ht="12.75" hidden="false" customHeight="false" outlineLevel="0" collapsed="false"/>
    <row r="5674" customFormat="false" ht="12.75" hidden="false" customHeight="false" outlineLevel="0" collapsed="false"/>
    <row r="5675" customFormat="false" ht="12.75" hidden="false" customHeight="false" outlineLevel="0" collapsed="false"/>
    <row r="5676" customFormat="false" ht="12.75" hidden="false" customHeight="false" outlineLevel="0" collapsed="false"/>
    <row r="5677" customFormat="false" ht="12.75" hidden="false" customHeight="false" outlineLevel="0" collapsed="false"/>
    <row r="5678" customFormat="false" ht="12.75" hidden="false" customHeight="false" outlineLevel="0" collapsed="false"/>
    <row r="5679" customFormat="false" ht="12.75" hidden="false" customHeight="false" outlineLevel="0" collapsed="false"/>
    <row r="5680" customFormat="false" ht="12.75" hidden="false" customHeight="false" outlineLevel="0" collapsed="false"/>
    <row r="5681" customFormat="false" ht="12.75" hidden="false" customHeight="false" outlineLevel="0" collapsed="false"/>
    <row r="5682" customFormat="false" ht="12.75" hidden="false" customHeight="false" outlineLevel="0" collapsed="false"/>
    <row r="5683" customFormat="false" ht="12.75" hidden="false" customHeight="false" outlineLevel="0" collapsed="false"/>
    <row r="5684" customFormat="false" ht="12.75" hidden="false" customHeight="false" outlineLevel="0" collapsed="false"/>
    <row r="5685" customFormat="false" ht="12.75" hidden="false" customHeight="false" outlineLevel="0" collapsed="false"/>
    <row r="5686" customFormat="false" ht="12.75" hidden="false" customHeight="false" outlineLevel="0" collapsed="false"/>
    <row r="5687" customFormat="false" ht="12.75" hidden="false" customHeight="false" outlineLevel="0" collapsed="false"/>
    <row r="5688" customFormat="false" ht="12.75" hidden="false" customHeight="false" outlineLevel="0" collapsed="false"/>
    <row r="5689" customFormat="false" ht="12.75" hidden="false" customHeight="false" outlineLevel="0" collapsed="false"/>
    <row r="5690" customFormat="false" ht="12.75" hidden="false" customHeight="false" outlineLevel="0" collapsed="false"/>
    <row r="5691" customFormat="false" ht="12.75" hidden="false" customHeight="false" outlineLevel="0" collapsed="false"/>
    <row r="5692" customFormat="false" ht="12.75" hidden="false" customHeight="false" outlineLevel="0" collapsed="false"/>
    <row r="5693" customFormat="false" ht="12.75" hidden="false" customHeight="false" outlineLevel="0" collapsed="false"/>
    <row r="5694" customFormat="false" ht="12.75" hidden="false" customHeight="false" outlineLevel="0" collapsed="false"/>
    <row r="5695" customFormat="false" ht="12.75" hidden="false" customHeight="false" outlineLevel="0" collapsed="false"/>
    <row r="5696" customFormat="false" ht="12.75" hidden="false" customHeight="false" outlineLevel="0" collapsed="false"/>
    <row r="5697" customFormat="false" ht="12.75" hidden="false" customHeight="false" outlineLevel="0" collapsed="false"/>
    <row r="5698" customFormat="false" ht="12.75" hidden="false" customHeight="false" outlineLevel="0" collapsed="false"/>
    <row r="5699" customFormat="false" ht="12.75" hidden="false" customHeight="false" outlineLevel="0" collapsed="false"/>
    <row r="5700" customFormat="false" ht="12.75" hidden="false" customHeight="false" outlineLevel="0" collapsed="false"/>
    <row r="5701" customFormat="false" ht="12.75" hidden="false" customHeight="false" outlineLevel="0" collapsed="false"/>
    <row r="5702" customFormat="false" ht="12.75" hidden="false" customHeight="false" outlineLevel="0" collapsed="false"/>
    <row r="5703" customFormat="false" ht="12.75" hidden="false" customHeight="false" outlineLevel="0" collapsed="false"/>
    <row r="5704" customFormat="false" ht="12.75" hidden="false" customHeight="false" outlineLevel="0" collapsed="false"/>
    <row r="5705" customFormat="false" ht="12.75" hidden="false" customHeight="false" outlineLevel="0" collapsed="false"/>
    <row r="5706" customFormat="false" ht="12.75" hidden="false" customHeight="false" outlineLevel="0" collapsed="false"/>
    <row r="5707" customFormat="false" ht="12.75" hidden="false" customHeight="false" outlineLevel="0" collapsed="false"/>
    <row r="5708" customFormat="false" ht="12.75" hidden="false" customHeight="false" outlineLevel="0" collapsed="false"/>
    <row r="5709" customFormat="false" ht="12.75" hidden="false" customHeight="false" outlineLevel="0" collapsed="false"/>
    <row r="5710" customFormat="false" ht="12.75" hidden="false" customHeight="false" outlineLevel="0" collapsed="false"/>
    <row r="5711" customFormat="false" ht="12.75" hidden="false" customHeight="false" outlineLevel="0" collapsed="false"/>
    <row r="5712" customFormat="false" ht="12.75" hidden="false" customHeight="false" outlineLevel="0" collapsed="false"/>
    <row r="5713" customFormat="false" ht="12.75" hidden="false" customHeight="false" outlineLevel="0" collapsed="false"/>
    <row r="5714" customFormat="false" ht="12.75" hidden="false" customHeight="false" outlineLevel="0" collapsed="false"/>
    <row r="5715" customFormat="false" ht="12.75" hidden="false" customHeight="false" outlineLevel="0" collapsed="false"/>
    <row r="5716" customFormat="false" ht="12.75" hidden="false" customHeight="false" outlineLevel="0" collapsed="false"/>
    <row r="5717" customFormat="false" ht="12.75" hidden="false" customHeight="false" outlineLevel="0" collapsed="false"/>
    <row r="5718" customFormat="false" ht="12.75" hidden="false" customHeight="false" outlineLevel="0" collapsed="false"/>
    <row r="5719" customFormat="false" ht="12.75" hidden="false" customHeight="false" outlineLevel="0" collapsed="false"/>
    <row r="5720" customFormat="false" ht="12.75" hidden="false" customHeight="false" outlineLevel="0" collapsed="false"/>
    <row r="5721" customFormat="false" ht="12.75" hidden="false" customHeight="false" outlineLevel="0" collapsed="false"/>
    <row r="5722" customFormat="false" ht="12.75" hidden="false" customHeight="false" outlineLevel="0" collapsed="false"/>
    <row r="5723" customFormat="false" ht="12.75" hidden="false" customHeight="false" outlineLevel="0" collapsed="false"/>
    <row r="5724" customFormat="false" ht="12.75" hidden="false" customHeight="false" outlineLevel="0" collapsed="false"/>
    <row r="5725" customFormat="false" ht="12.75" hidden="false" customHeight="false" outlineLevel="0" collapsed="false"/>
    <row r="5726" customFormat="false" ht="12.75" hidden="false" customHeight="false" outlineLevel="0" collapsed="false"/>
    <row r="5727" customFormat="false" ht="12.75" hidden="false" customHeight="false" outlineLevel="0" collapsed="false"/>
    <row r="5728" customFormat="false" ht="12.75" hidden="false" customHeight="false" outlineLevel="0" collapsed="false"/>
    <row r="5729" customFormat="false" ht="12.75" hidden="false" customHeight="false" outlineLevel="0" collapsed="false"/>
    <row r="5730" customFormat="false" ht="12.75" hidden="false" customHeight="false" outlineLevel="0" collapsed="false"/>
    <row r="5731" customFormat="false" ht="12.75" hidden="false" customHeight="false" outlineLevel="0" collapsed="false"/>
    <row r="5732" customFormat="false" ht="12.75" hidden="false" customHeight="false" outlineLevel="0" collapsed="false"/>
    <row r="5733" customFormat="false" ht="12.75" hidden="false" customHeight="false" outlineLevel="0" collapsed="false"/>
    <row r="5734" customFormat="false" ht="12.75" hidden="false" customHeight="false" outlineLevel="0" collapsed="false"/>
    <row r="5735" customFormat="false" ht="12.75" hidden="false" customHeight="false" outlineLevel="0" collapsed="false"/>
    <row r="5736" customFormat="false" ht="12.75" hidden="false" customHeight="false" outlineLevel="0" collapsed="false"/>
    <row r="5737" customFormat="false" ht="12.75" hidden="false" customHeight="false" outlineLevel="0" collapsed="false"/>
    <row r="5738" customFormat="false" ht="12.75" hidden="false" customHeight="false" outlineLevel="0" collapsed="false"/>
    <row r="5739" customFormat="false" ht="12.75" hidden="false" customHeight="false" outlineLevel="0" collapsed="false"/>
    <row r="5740" customFormat="false" ht="12.75" hidden="false" customHeight="false" outlineLevel="0" collapsed="false"/>
    <row r="5741" customFormat="false" ht="12.75" hidden="false" customHeight="false" outlineLevel="0" collapsed="false"/>
    <row r="5742" customFormat="false" ht="12.75" hidden="false" customHeight="false" outlineLevel="0" collapsed="false"/>
    <row r="5743" customFormat="false" ht="12.75" hidden="false" customHeight="false" outlineLevel="0" collapsed="false"/>
    <row r="5744" customFormat="false" ht="12.75" hidden="false" customHeight="false" outlineLevel="0" collapsed="false"/>
    <row r="5745" customFormat="false" ht="12.75" hidden="false" customHeight="false" outlineLevel="0" collapsed="false"/>
    <row r="5746" customFormat="false" ht="12.75" hidden="false" customHeight="false" outlineLevel="0" collapsed="false"/>
    <row r="5747" customFormat="false" ht="12.75" hidden="false" customHeight="false" outlineLevel="0" collapsed="false"/>
    <row r="5748" customFormat="false" ht="12.75" hidden="false" customHeight="false" outlineLevel="0" collapsed="false"/>
    <row r="5749" customFormat="false" ht="12.75" hidden="false" customHeight="false" outlineLevel="0" collapsed="false"/>
    <row r="5750" customFormat="false" ht="12.75" hidden="false" customHeight="false" outlineLevel="0" collapsed="false"/>
    <row r="5751" customFormat="false" ht="12.75" hidden="false" customHeight="false" outlineLevel="0" collapsed="false"/>
    <row r="5752" customFormat="false" ht="12.75" hidden="false" customHeight="false" outlineLevel="0" collapsed="false"/>
    <row r="5753" customFormat="false" ht="12.75" hidden="false" customHeight="false" outlineLevel="0" collapsed="false"/>
    <row r="5754" customFormat="false" ht="12.75" hidden="false" customHeight="false" outlineLevel="0" collapsed="false"/>
    <row r="5755" customFormat="false" ht="12.75" hidden="false" customHeight="false" outlineLevel="0" collapsed="false"/>
    <row r="5756" customFormat="false" ht="12.75" hidden="false" customHeight="false" outlineLevel="0" collapsed="false"/>
    <row r="5757" customFormat="false" ht="12.75" hidden="false" customHeight="false" outlineLevel="0" collapsed="false"/>
    <row r="5758" customFormat="false" ht="12.75" hidden="false" customHeight="false" outlineLevel="0" collapsed="false"/>
    <row r="5759" customFormat="false" ht="12.75" hidden="false" customHeight="false" outlineLevel="0" collapsed="false"/>
    <row r="5760" customFormat="false" ht="12.75" hidden="false" customHeight="false" outlineLevel="0" collapsed="false"/>
    <row r="5761" customFormat="false" ht="12.75" hidden="false" customHeight="false" outlineLevel="0" collapsed="false"/>
    <row r="5762" customFormat="false" ht="12.75" hidden="false" customHeight="false" outlineLevel="0" collapsed="false"/>
    <row r="5763" customFormat="false" ht="12.75" hidden="false" customHeight="false" outlineLevel="0" collapsed="false"/>
    <row r="5764" customFormat="false" ht="12.75" hidden="false" customHeight="false" outlineLevel="0" collapsed="false"/>
    <row r="5765" customFormat="false" ht="12.75" hidden="false" customHeight="false" outlineLevel="0" collapsed="false"/>
    <row r="5766" customFormat="false" ht="12.75" hidden="false" customHeight="false" outlineLevel="0" collapsed="false"/>
    <row r="5767" customFormat="false" ht="12.75" hidden="false" customHeight="false" outlineLevel="0" collapsed="false"/>
    <row r="5768" customFormat="false" ht="12.75" hidden="false" customHeight="false" outlineLevel="0" collapsed="false"/>
    <row r="5769" customFormat="false" ht="12.75" hidden="false" customHeight="false" outlineLevel="0" collapsed="false"/>
    <row r="5770" customFormat="false" ht="12.75" hidden="false" customHeight="false" outlineLevel="0" collapsed="false"/>
    <row r="5771" customFormat="false" ht="12.75" hidden="false" customHeight="false" outlineLevel="0" collapsed="false"/>
    <row r="5772" customFormat="false" ht="12.75" hidden="false" customHeight="false" outlineLevel="0" collapsed="false"/>
    <row r="5773" customFormat="false" ht="12.75" hidden="false" customHeight="false" outlineLevel="0" collapsed="false"/>
    <row r="5774" customFormat="false" ht="12.75" hidden="false" customHeight="false" outlineLevel="0" collapsed="false"/>
    <row r="5775" customFormat="false" ht="12.75" hidden="false" customHeight="false" outlineLevel="0" collapsed="false"/>
    <row r="5776" customFormat="false" ht="12.75" hidden="false" customHeight="false" outlineLevel="0" collapsed="false"/>
    <row r="5777" customFormat="false" ht="12.75" hidden="false" customHeight="false" outlineLevel="0" collapsed="false"/>
    <row r="5778" customFormat="false" ht="12.75" hidden="false" customHeight="false" outlineLevel="0" collapsed="false"/>
    <row r="5779" customFormat="false" ht="12.75" hidden="false" customHeight="false" outlineLevel="0" collapsed="false"/>
    <row r="5780" customFormat="false" ht="12.75" hidden="false" customHeight="false" outlineLevel="0" collapsed="false"/>
    <row r="5781" customFormat="false" ht="12.75" hidden="false" customHeight="false" outlineLevel="0" collapsed="false"/>
    <row r="5782" customFormat="false" ht="12.75" hidden="false" customHeight="false" outlineLevel="0" collapsed="false"/>
    <row r="5783" customFormat="false" ht="12.75" hidden="false" customHeight="false" outlineLevel="0" collapsed="false"/>
    <row r="5784" customFormat="false" ht="12.75" hidden="false" customHeight="false" outlineLevel="0" collapsed="false"/>
    <row r="5785" customFormat="false" ht="12.75" hidden="false" customHeight="false" outlineLevel="0" collapsed="false"/>
    <row r="5786" customFormat="false" ht="12.75" hidden="false" customHeight="false" outlineLevel="0" collapsed="false"/>
    <row r="5787" customFormat="false" ht="12.75" hidden="false" customHeight="false" outlineLevel="0" collapsed="false"/>
    <row r="5788" customFormat="false" ht="12.75" hidden="false" customHeight="false" outlineLevel="0" collapsed="false"/>
    <row r="5789" customFormat="false" ht="12.75" hidden="false" customHeight="false" outlineLevel="0" collapsed="false"/>
    <row r="5790" customFormat="false" ht="12.75" hidden="false" customHeight="false" outlineLevel="0" collapsed="false"/>
    <row r="5791" customFormat="false" ht="12.75" hidden="false" customHeight="false" outlineLevel="0" collapsed="false"/>
    <row r="5792" customFormat="false" ht="12.75" hidden="false" customHeight="false" outlineLevel="0" collapsed="false"/>
    <row r="5793" customFormat="false" ht="12.75" hidden="false" customHeight="false" outlineLevel="0" collapsed="false"/>
    <row r="5794" customFormat="false" ht="12.75" hidden="false" customHeight="false" outlineLevel="0" collapsed="false"/>
    <row r="5795" customFormat="false" ht="12.75" hidden="false" customHeight="false" outlineLevel="0" collapsed="false"/>
    <row r="5796" customFormat="false" ht="12.75" hidden="false" customHeight="false" outlineLevel="0" collapsed="false"/>
    <row r="5797" customFormat="false" ht="12.75" hidden="false" customHeight="false" outlineLevel="0" collapsed="false"/>
    <row r="5798" customFormat="false" ht="12.75" hidden="false" customHeight="false" outlineLevel="0" collapsed="false"/>
    <row r="5799" customFormat="false" ht="12.75" hidden="false" customHeight="false" outlineLevel="0" collapsed="false"/>
    <row r="5800" customFormat="false" ht="12.75" hidden="false" customHeight="false" outlineLevel="0" collapsed="false"/>
    <row r="5801" customFormat="false" ht="12.75" hidden="false" customHeight="false" outlineLevel="0" collapsed="false"/>
    <row r="5802" customFormat="false" ht="12.75" hidden="false" customHeight="false" outlineLevel="0" collapsed="false"/>
    <row r="5803" customFormat="false" ht="12.75" hidden="false" customHeight="false" outlineLevel="0" collapsed="false"/>
    <row r="5804" customFormat="false" ht="12.75" hidden="false" customHeight="false" outlineLevel="0" collapsed="false"/>
    <row r="5805" customFormat="false" ht="12.75" hidden="false" customHeight="false" outlineLevel="0" collapsed="false"/>
    <row r="5806" customFormat="false" ht="12.75" hidden="false" customHeight="false" outlineLevel="0" collapsed="false"/>
    <row r="5807" customFormat="false" ht="12.75" hidden="false" customHeight="false" outlineLevel="0" collapsed="false"/>
    <row r="5808" customFormat="false" ht="12.75" hidden="false" customHeight="false" outlineLevel="0" collapsed="false"/>
    <row r="5809" customFormat="false" ht="12.75" hidden="false" customHeight="false" outlineLevel="0" collapsed="false"/>
    <row r="5810" customFormat="false" ht="12.75" hidden="false" customHeight="false" outlineLevel="0" collapsed="false"/>
    <row r="5811" customFormat="false" ht="12.75" hidden="false" customHeight="false" outlineLevel="0" collapsed="false"/>
    <row r="5812" customFormat="false" ht="12.75" hidden="false" customHeight="false" outlineLevel="0" collapsed="false"/>
    <row r="5813" customFormat="false" ht="12.75" hidden="false" customHeight="false" outlineLevel="0" collapsed="false"/>
    <row r="5814" customFormat="false" ht="12.75" hidden="false" customHeight="false" outlineLevel="0" collapsed="false"/>
    <row r="5815" customFormat="false" ht="12.75" hidden="false" customHeight="false" outlineLevel="0" collapsed="false"/>
    <row r="5816" customFormat="false" ht="12.75" hidden="false" customHeight="false" outlineLevel="0" collapsed="false"/>
    <row r="5817" customFormat="false" ht="12.75" hidden="false" customHeight="false" outlineLevel="0" collapsed="false"/>
    <row r="5818" customFormat="false" ht="12.75" hidden="false" customHeight="false" outlineLevel="0" collapsed="false"/>
    <row r="5819" customFormat="false" ht="12.75" hidden="false" customHeight="false" outlineLevel="0" collapsed="false"/>
    <row r="5820" customFormat="false" ht="12.75" hidden="false" customHeight="false" outlineLevel="0" collapsed="false"/>
    <row r="5821" customFormat="false" ht="12.75" hidden="false" customHeight="false" outlineLevel="0" collapsed="false"/>
    <row r="5822" customFormat="false" ht="12.75" hidden="false" customHeight="false" outlineLevel="0" collapsed="false"/>
    <row r="5823" customFormat="false" ht="12.75" hidden="false" customHeight="false" outlineLevel="0" collapsed="false"/>
    <row r="5824" customFormat="false" ht="12.75" hidden="false" customHeight="false" outlineLevel="0" collapsed="false"/>
    <row r="5825" customFormat="false" ht="12.75" hidden="false" customHeight="false" outlineLevel="0" collapsed="false"/>
    <row r="5826" customFormat="false" ht="12.75" hidden="false" customHeight="false" outlineLevel="0" collapsed="false"/>
    <row r="5827" customFormat="false" ht="12.75" hidden="false" customHeight="false" outlineLevel="0" collapsed="false"/>
    <row r="5828" customFormat="false" ht="12.75" hidden="false" customHeight="false" outlineLevel="0" collapsed="false"/>
    <row r="5829" customFormat="false" ht="12.75" hidden="false" customHeight="false" outlineLevel="0" collapsed="false"/>
    <row r="5830" customFormat="false" ht="12.75" hidden="false" customHeight="false" outlineLevel="0" collapsed="false"/>
    <row r="5831" customFormat="false" ht="12.75" hidden="false" customHeight="false" outlineLevel="0" collapsed="false"/>
    <row r="5832" customFormat="false" ht="12.75" hidden="false" customHeight="false" outlineLevel="0" collapsed="false"/>
    <row r="5833" customFormat="false" ht="12.75" hidden="false" customHeight="false" outlineLevel="0" collapsed="false"/>
    <row r="5834" customFormat="false" ht="12.75" hidden="false" customHeight="false" outlineLevel="0" collapsed="false"/>
    <row r="5835" customFormat="false" ht="12.75" hidden="false" customHeight="false" outlineLevel="0" collapsed="false"/>
    <row r="5836" customFormat="false" ht="12.75" hidden="false" customHeight="false" outlineLevel="0" collapsed="false"/>
    <row r="5837" customFormat="false" ht="12.75" hidden="false" customHeight="false" outlineLevel="0" collapsed="false"/>
    <row r="5838" customFormat="false" ht="12.75" hidden="false" customHeight="false" outlineLevel="0" collapsed="false"/>
    <row r="5839" customFormat="false" ht="12.75" hidden="false" customHeight="false" outlineLevel="0" collapsed="false"/>
    <row r="5840" customFormat="false" ht="12.75" hidden="false" customHeight="false" outlineLevel="0" collapsed="false"/>
    <row r="5841" customFormat="false" ht="12.75" hidden="false" customHeight="false" outlineLevel="0" collapsed="false"/>
    <row r="5842" customFormat="false" ht="12.75" hidden="false" customHeight="false" outlineLevel="0" collapsed="false"/>
    <row r="5843" customFormat="false" ht="12.75" hidden="false" customHeight="false" outlineLevel="0" collapsed="false"/>
    <row r="5844" customFormat="false" ht="12.75" hidden="false" customHeight="false" outlineLevel="0" collapsed="false"/>
    <row r="5845" customFormat="false" ht="12.75" hidden="false" customHeight="false" outlineLevel="0" collapsed="false"/>
    <row r="5846" customFormat="false" ht="12.75" hidden="false" customHeight="false" outlineLevel="0" collapsed="false"/>
    <row r="5847" customFormat="false" ht="12.75" hidden="false" customHeight="false" outlineLevel="0" collapsed="false"/>
    <row r="5848" customFormat="false" ht="12.75" hidden="false" customHeight="false" outlineLevel="0" collapsed="false"/>
    <row r="5849" customFormat="false" ht="12.75" hidden="false" customHeight="false" outlineLevel="0" collapsed="false"/>
    <row r="5850" customFormat="false" ht="12.75" hidden="false" customHeight="false" outlineLevel="0" collapsed="false"/>
    <row r="5851" customFormat="false" ht="12.75" hidden="false" customHeight="false" outlineLevel="0" collapsed="false"/>
    <row r="5852" customFormat="false" ht="12.75" hidden="false" customHeight="false" outlineLevel="0" collapsed="false"/>
    <row r="5853" customFormat="false" ht="12.75" hidden="false" customHeight="false" outlineLevel="0" collapsed="false"/>
    <row r="5854" customFormat="false" ht="12.75" hidden="false" customHeight="false" outlineLevel="0" collapsed="false"/>
    <row r="5855" customFormat="false" ht="12.75" hidden="false" customHeight="false" outlineLevel="0" collapsed="false"/>
    <row r="5856" customFormat="false" ht="12.75" hidden="false" customHeight="false" outlineLevel="0" collapsed="false"/>
    <row r="5857" customFormat="false" ht="12.75" hidden="false" customHeight="false" outlineLevel="0" collapsed="false"/>
    <row r="5858" customFormat="false" ht="12.75" hidden="false" customHeight="false" outlineLevel="0" collapsed="false"/>
    <row r="5859" customFormat="false" ht="12.75" hidden="false" customHeight="false" outlineLevel="0" collapsed="false"/>
    <row r="5860" customFormat="false" ht="12.75" hidden="false" customHeight="false" outlineLevel="0" collapsed="false"/>
    <row r="5861" customFormat="false" ht="12.75" hidden="false" customHeight="false" outlineLevel="0" collapsed="false"/>
    <row r="5862" customFormat="false" ht="12.75" hidden="false" customHeight="false" outlineLevel="0" collapsed="false"/>
    <row r="5863" customFormat="false" ht="12.75" hidden="false" customHeight="false" outlineLevel="0" collapsed="false"/>
    <row r="5864" customFormat="false" ht="12.75" hidden="false" customHeight="false" outlineLevel="0" collapsed="false"/>
    <row r="5865" customFormat="false" ht="12.75" hidden="false" customHeight="false" outlineLevel="0" collapsed="false"/>
    <row r="5866" customFormat="false" ht="12.75" hidden="false" customHeight="false" outlineLevel="0" collapsed="false"/>
    <row r="5867" customFormat="false" ht="12.75" hidden="false" customHeight="false" outlineLevel="0" collapsed="false"/>
    <row r="5868" customFormat="false" ht="12.75" hidden="false" customHeight="false" outlineLevel="0" collapsed="false"/>
    <row r="5869" customFormat="false" ht="12.75" hidden="false" customHeight="false" outlineLevel="0" collapsed="false"/>
    <row r="5870" customFormat="false" ht="12.75" hidden="false" customHeight="false" outlineLevel="0" collapsed="false"/>
    <row r="5871" customFormat="false" ht="12.75" hidden="false" customHeight="false" outlineLevel="0" collapsed="false"/>
    <row r="5872" customFormat="false" ht="12.75" hidden="false" customHeight="false" outlineLevel="0" collapsed="false"/>
    <row r="5873" customFormat="false" ht="12.75" hidden="false" customHeight="false" outlineLevel="0" collapsed="false"/>
    <row r="5874" customFormat="false" ht="12.75" hidden="false" customHeight="false" outlineLevel="0" collapsed="false"/>
    <row r="5875" customFormat="false" ht="12.75" hidden="false" customHeight="false" outlineLevel="0" collapsed="false"/>
    <row r="5876" customFormat="false" ht="12.75" hidden="false" customHeight="false" outlineLevel="0" collapsed="false"/>
    <row r="5877" customFormat="false" ht="12.75" hidden="false" customHeight="false" outlineLevel="0" collapsed="false"/>
    <row r="5878" customFormat="false" ht="12.75" hidden="false" customHeight="false" outlineLevel="0" collapsed="false"/>
    <row r="5879" customFormat="false" ht="12.75" hidden="false" customHeight="false" outlineLevel="0" collapsed="false"/>
    <row r="5880" customFormat="false" ht="12.75" hidden="false" customHeight="false" outlineLevel="0" collapsed="false"/>
    <row r="5881" customFormat="false" ht="12.75" hidden="false" customHeight="false" outlineLevel="0" collapsed="false"/>
    <row r="5882" customFormat="false" ht="12.75" hidden="false" customHeight="false" outlineLevel="0" collapsed="false"/>
    <row r="5883" customFormat="false" ht="12.75" hidden="false" customHeight="false" outlineLevel="0" collapsed="false"/>
    <row r="5884" customFormat="false" ht="12.75" hidden="false" customHeight="false" outlineLevel="0" collapsed="false"/>
    <row r="5885" customFormat="false" ht="12.75" hidden="false" customHeight="false" outlineLevel="0" collapsed="false"/>
    <row r="5886" customFormat="false" ht="12.75" hidden="false" customHeight="false" outlineLevel="0" collapsed="false"/>
    <row r="5887" customFormat="false" ht="12.75" hidden="false" customHeight="false" outlineLevel="0" collapsed="false"/>
    <row r="5888" customFormat="false" ht="12.75" hidden="false" customHeight="false" outlineLevel="0" collapsed="false"/>
    <row r="5889" customFormat="false" ht="12.75" hidden="false" customHeight="false" outlineLevel="0" collapsed="false"/>
    <row r="5890" customFormat="false" ht="12.75" hidden="false" customHeight="false" outlineLevel="0" collapsed="false"/>
    <row r="5891" customFormat="false" ht="12.75" hidden="false" customHeight="false" outlineLevel="0" collapsed="false"/>
    <row r="5892" customFormat="false" ht="12.75" hidden="false" customHeight="false" outlineLevel="0" collapsed="false"/>
    <row r="5893" customFormat="false" ht="12.75" hidden="false" customHeight="false" outlineLevel="0" collapsed="false"/>
    <row r="5894" customFormat="false" ht="12.75" hidden="false" customHeight="false" outlineLevel="0" collapsed="false"/>
    <row r="5895" customFormat="false" ht="12.75" hidden="false" customHeight="false" outlineLevel="0" collapsed="false"/>
    <row r="5896" customFormat="false" ht="12.75" hidden="false" customHeight="false" outlineLevel="0" collapsed="false"/>
    <row r="5897" customFormat="false" ht="12.75" hidden="false" customHeight="false" outlineLevel="0" collapsed="false"/>
    <row r="5898" customFormat="false" ht="12.75" hidden="false" customHeight="false" outlineLevel="0" collapsed="false"/>
    <row r="5899" customFormat="false" ht="12.75" hidden="false" customHeight="false" outlineLevel="0" collapsed="false"/>
    <row r="5900" customFormat="false" ht="12.75" hidden="false" customHeight="false" outlineLevel="0" collapsed="false"/>
    <row r="5901" customFormat="false" ht="12.75" hidden="false" customHeight="false" outlineLevel="0" collapsed="false"/>
    <row r="5902" customFormat="false" ht="12.75" hidden="false" customHeight="false" outlineLevel="0" collapsed="false"/>
    <row r="5903" customFormat="false" ht="12.75" hidden="false" customHeight="false" outlineLevel="0" collapsed="false"/>
    <row r="5904" customFormat="false" ht="12.75" hidden="false" customHeight="false" outlineLevel="0" collapsed="false"/>
    <row r="5905" customFormat="false" ht="12.75" hidden="false" customHeight="false" outlineLevel="0" collapsed="false"/>
    <row r="5906" customFormat="false" ht="12.75" hidden="false" customHeight="false" outlineLevel="0" collapsed="false"/>
    <row r="5907" customFormat="false" ht="12.75" hidden="false" customHeight="false" outlineLevel="0" collapsed="false"/>
    <row r="5908" customFormat="false" ht="12.75" hidden="false" customHeight="false" outlineLevel="0" collapsed="false"/>
    <row r="5909" customFormat="false" ht="12.75" hidden="false" customHeight="false" outlineLevel="0" collapsed="false"/>
    <row r="5910" customFormat="false" ht="12.75" hidden="false" customHeight="false" outlineLevel="0" collapsed="false"/>
    <row r="5911" customFormat="false" ht="12.75" hidden="false" customHeight="false" outlineLevel="0" collapsed="false"/>
    <row r="5912" customFormat="false" ht="12.75" hidden="false" customHeight="false" outlineLevel="0" collapsed="false"/>
    <row r="5913" customFormat="false" ht="12.75" hidden="false" customHeight="false" outlineLevel="0" collapsed="false"/>
    <row r="5914" customFormat="false" ht="12.75" hidden="false" customHeight="false" outlineLevel="0" collapsed="false"/>
    <row r="5915" customFormat="false" ht="12.75" hidden="false" customHeight="false" outlineLevel="0" collapsed="false"/>
    <row r="5916" customFormat="false" ht="12.75" hidden="false" customHeight="false" outlineLevel="0" collapsed="false"/>
    <row r="5917" customFormat="false" ht="12.75" hidden="false" customHeight="false" outlineLevel="0" collapsed="false"/>
    <row r="5918" customFormat="false" ht="12.75" hidden="false" customHeight="false" outlineLevel="0" collapsed="false"/>
    <row r="5919" customFormat="false" ht="12.75" hidden="false" customHeight="false" outlineLevel="0" collapsed="false"/>
    <row r="5920" customFormat="false" ht="12.75" hidden="false" customHeight="false" outlineLevel="0" collapsed="false"/>
    <row r="5921" customFormat="false" ht="12.75" hidden="false" customHeight="false" outlineLevel="0" collapsed="false"/>
    <row r="5922" customFormat="false" ht="12.75" hidden="false" customHeight="false" outlineLevel="0" collapsed="false"/>
    <row r="5923" customFormat="false" ht="12.75" hidden="false" customHeight="false" outlineLevel="0" collapsed="false"/>
    <row r="5924" customFormat="false" ht="12.75" hidden="false" customHeight="false" outlineLevel="0" collapsed="false"/>
    <row r="5925" customFormat="false" ht="12.75" hidden="false" customHeight="false" outlineLevel="0" collapsed="false"/>
    <row r="5926" customFormat="false" ht="12.75" hidden="false" customHeight="false" outlineLevel="0" collapsed="false"/>
    <row r="5927" customFormat="false" ht="12.75" hidden="false" customHeight="false" outlineLevel="0" collapsed="false"/>
    <row r="5928" customFormat="false" ht="12.75" hidden="false" customHeight="false" outlineLevel="0" collapsed="false"/>
    <row r="5929" customFormat="false" ht="12.75" hidden="false" customHeight="false" outlineLevel="0" collapsed="false"/>
    <row r="5930" customFormat="false" ht="12.75" hidden="false" customHeight="false" outlineLevel="0" collapsed="false"/>
    <row r="5931" customFormat="false" ht="12.75" hidden="false" customHeight="false" outlineLevel="0" collapsed="false"/>
    <row r="5932" customFormat="false" ht="12.75" hidden="false" customHeight="false" outlineLevel="0" collapsed="false"/>
    <row r="5933" customFormat="false" ht="12.75" hidden="false" customHeight="false" outlineLevel="0" collapsed="false"/>
    <row r="5934" customFormat="false" ht="12.75" hidden="false" customHeight="false" outlineLevel="0" collapsed="false"/>
    <row r="5935" customFormat="false" ht="12.75" hidden="false" customHeight="false" outlineLevel="0" collapsed="false"/>
    <row r="5936" customFormat="false" ht="12.75" hidden="false" customHeight="false" outlineLevel="0" collapsed="false"/>
    <row r="5937" customFormat="false" ht="12.75" hidden="false" customHeight="false" outlineLevel="0" collapsed="false"/>
    <row r="5938" customFormat="false" ht="12.75" hidden="false" customHeight="false" outlineLevel="0" collapsed="false"/>
    <row r="5939" customFormat="false" ht="12.75" hidden="false" customHeight="false" outlineLevel="0" collapsed="false"/>
    <row r="5940" customFormat="false" ht="12.75" hidden="false" customHeight="false" outlineLevel="0" collapsed="false"/>
    <row r="5941" customFormat="false" ht="12.75" hidden="false" customHeight="false" outlineLevel="0" collapsed="false"/>
    <row r="5942" customFormat="false" ht="12.75" hidden="false" customHeight="false" outlineLevel="0" collapsed="false"/>
    <row r="5943" customFormat="false" ht="12.75" hidden="false" customHeight="false" outlineLevel="0" collapsed="false"/>
    <row r="5944" customFormat="false" ht="12.75" hidden="false" customHeight="false" outlineLevel="0" collapsed="false"/>
    <row r="5945" customFormat="false" ht="12.75" hidden="false" customHeight="false" outlineLevel="0" collapsed="false"/>
    <row r="5946" customFormat="false" ht="12.75" hidden="false" customHeight="false" outlineLevel="0" collapsed="false"/>
    <row r="5947" customFormat="false" ht="12.75" hidden="false" customHeight="false" outlineLevel="0" collapsed="false"/>
    <row r="5948" customFormat="false" ht="12.75" hidden="false" customHeight="false" outlineLevel="0" collapsed="false"/>
    <row r="5949" customFormat="false" ht="12.75" hidden="false" customHeight="false" outlineLevel="0" collapsed="false"/>
    <row r="5950" customFormat="false" ht="12.75" hidden="false" customHeight="false" outlineLevel="0" collapsed="false"/>
    <row r="5951" customFormat="false" ht="12.75" hidden="false" customHeight="false" outlineLevel="0" collapsed="false"/>
    <row r="5952" customFormat="false" ht="12.75" hidden="false" customHeight="false" outlineLevel="0" collapsed="false"/>
    <row r="5953" customFormat="false" ht="12.75" hidden="false" customHeight="false" outlineLevel="0" collapsed="false"/>
    <row r="5954" customFormat="false" ht="12.75" hidden="false" customHeight="false" outlineLevel="0" collapsed="false"/>
    <row r="5955" customFormat="false" ht="12.75" hidden="false" customHeight="false" outlineLevel="0" collapsed="false"/>
    <row r="5956" customFormat="false" ht="12.75" hidden="false" customHeight="false" outlineLevel="0" collapsed="false"/>
    <row r="5957" customFormat="false" ht="12.75" hidden="false" customHeight="false" outlineLevel="0" collapsed="false"/>
    <row r="5958" customFormat="false" ht="12.75" hidden="false" customHeight="false" outlineLevel="0" collapsed="false"/>
    <row r="5959" customFormat="false" ht="12.75" hidden="false" customHeight="false" outlineLevel="0" collapsed="false"/>
    <row r="5960" customFormat="false" ht="12.75" hidden="false" customHeight="false" outlineLevel="0" collapsed="false"/>
    <row r="5961" customFormat="false" ht="12.75" hidden="false" customHeight="false" outlineLevel="0" collapsed="false"/>
    <row r="5962" customFormat="false" ht="12.75" hidden="false" customHeight="false" outlineLevel="0" collapsed="false"/>
    <row r="5963" customFormat="false" ht="12.75" hidden="false" customHeight="false" outlineLevel="0" collapsed="false"/>
    <row r="5964" customFormat="false" ht="12.75" hidden="false" customHeight="false" outlineLevel="0" collapsed="false"/>
    <row r="5965" customFormat="false" ht="12.75" hidden="false" customHeight="false" outlineLevel="0" collapsed="false"/>
    <row r="5966" customFormat="false" ht="12.75" hidden="false" customHeight="false" outlineLevel="0" collapsed="false"/>
    <row r="5967" customFormat="false" ht="12.75" hidden="false" customHeight="false" outlineLevel="0" collapsed="false"/>
    <row r="5968" customFormat="false" ht="12.75" hidden="false" customHeight="false" outlineLevel="0" collapsed="false"/>
    <row r="5969" customFormat="false" ht="12.75" hidden="false" customHeight="false" outlineLevel="0" collapsed="false"/>
    <row r="5970" customFormat="false" ht="12.75" hidden="false" customHeight="false" outlineLevel="0" collapsed="false"/>
    <row r="5971" customFormat="false" ht="12.75" hidden="false" customHeight="false" outlineLevel="0" collapsed="false"/>
    <row r="5972" customFormat="false" ht="12.75" hidden="false" customHeight="false" outlineLevel="0" collapsed="false"/>
    <row r="5973" customFormat="false" ht="12.75" hidden="false" customHeight="false" outlineLevel="0" collapsed="false"/>
    <row r="5974" customFormat="false" ht="12.75" hidden="false" customHeight="false" outlineLevel="0" collapsed="false"/>
    <row r="5975" customFormat="false" ht="12.75" hidden="false" customHeight="false" outlineLevel="0" collapsed="false"/>
    <row r="5976" customFormat="false" ht="12.75" hidden="false" customHeight="false" outlineLevel="0" collapsed="false"/>
    <row r="5977" customFormat="false" ht="12.75" hidden="false" customHeight="false" outlineLevel="0" collapsed="false"/>
    <row r="5978" customFormat="false" ht="12.75" hidden="false" customHeight="false" outlineLevel="0" collapsed="false"/>
    <row r="5979" customFormat="false" ht="12.75" hidden="false" customHeight="false" outlineLevel="0" collapsed="false"/>
    <row r="5980" customFormat="false" ht="12.75" hidden="false" customHeight="false" outlineLevel="0" collapsed="false"/>
    <row r="5981" customFormat="false" ht="12.75" hidden="false" customHeight="false" outlineLevel="0" collapsed="false"/>
    <row r="5982" customFormat="false" ht="12.75" hidden="false" customHeight="false" outlineLevel="0" collapsed="false"/>
    <row r="5983" customFormat="false" ht="12.75" hidden="false" customHeight="false" outlineLevel="0" collapsed="false"/>
    <row r="5984" customFormat="false" ht="12.75" hidden="false" customHeight="false" outlineLevel="0" collapsed="false"/>
    <row r="5985" customFormat="false" ht="12.75" hidden="false" customHeight="false" outlineLevel="0" collapsed="false"/>
    <row r="5986" customFormat="false" ht="12.75" hidden="false" customHeight="false" outlineLevel="0" collapsed="false"/>
    <row r="5987" customFormat="false" ht="12.75" hidden="false" customHeight="false" outlineLevel="0" collapsed="false"/>
    <row r="5988" customFormat="false" ht="12.75" hidden="false" customHeight="false" outlineLevel="0" collapsed="false"/>
    <row r="5989" customFormat="false" ht="12.75" hidden="false" customHeight="false" outlineLevel="0" collapsed="false"/>
    <row r="5990" customFormat="false" ht="12.75" hidden="false" customHeight="false" outlineLevel="0" collapsed="false"/>
    <row r="5991" customFormat="false" ht="12.75" hidden="false" customHeight="false" outlineLevel="0" collapsed="false"/>
    <row r="5992" customFormat="false" ht="12.75" hidden="false" customHeight="false" outlineLevel="0" collapsed="false"/>
    <row r="5993" customFormat="false" ht="12.75" hidden="false" customHeight="false" outlineLevel="0" collapsed="false"/>
    <row r="5994" customFormat="false" ht="12.75" hidden="false" customHeight="false" outlineLevel="0" collapsed="false"/>
    <row r="5995" customFormat="false" ht="12.75" hidden="false" customHeight="false" outlineLevel="0" collapsed="false"/>
    <row r="5996" customFormat="false" ht="12.75" hidden="false" customHeight="false" outlineLevel="0" collapsed="false"/>
    <row r="5997" customFormat="false" ht="12.75" hidden="false" customHeight="false" outlineLevel="0" collapsed="false"/>
    <row r="5998" customFormat="false" ht="12.75" hidden="false" customHeight="false" outlineLevel="0" collapsed="false"/>
    <row r="5999" customFormat="false" ht="12.75" hidden="false" customHeight="false" outlineLevel="0" collapsed="false"/>
    <row r="6000" customFormat="false" ht="12.75" hidden="false" customHeight="false" outlineLevel="0" collapsed="false"/>
    <row r="6001" customFormat="false" ht="12.75" hidden="false" customHeight="false" outlineLevel="0" collapsed="false"/>
    <row r="6002" customFormat="false" ht="12.75" hidden="false" customHeight="false" outlineLevel="0" collapsed="false"/>
    <row r="6003" customFormat="false" ht="12.75" hidden="false" customHeight="false" outlineLevel="0" collapsed="false"/>
    <row r="6004" customFormat="false" ht="12.75" hidden="false" customHeight="false" outlineLevel="0" collapsed="false"/>
    <row r="6005" customFormat="false" ht="12.75" hidden="false" customHeight="false" outlineLevel="0" collapsed="false"/>
    <row r="6006" customFormat="false" ht="12.75" hidden="false" customHeight="false" outlineLevel="0" collapsed="false"/>
    <row r="6007" customFormat="false" ht="12.75" hidden="false" customHeight="false" outlineLevel="0" collapsed="false"/>
    <row r="6008" customFormat="false" ht="12.75" hidden="false" customHeight="false" outlineLevel="0" collapsed="false"/>
    <row r="6009" customFormat="false" ht="12.75" hidden="false" customHeight="false" outlineLevel="0" collapsed="false"/>
    <row r="6010" customFormat="false" ht="12.75" hidden="false" customHeight="false" outlineLevel="0" collapsed="false"/>
    <row r="6011" customFormat="false" ht="12.75" hidden="false" customHeight="false" outlineLevel="0" collapsed="false"/>
    <row r="6012" customFormat="false" ht="12.75" hidden="false" customHeight="false" outlineLevel="0" collapsed="false"/>
    <row r="6013" customFormat="false" ht="12.75" hidden="false" customHeight="false" outlineLevel="0" collapsed="false"/>
    <row r="6014" customFormat="false" ht="12.75" hidden="false" customHeight="false" outlineLevel="0" collapsed="false"/>
    <row r="6015" customFormat="false" ht="12.75" hidden="false" customHeight="false" outlineLevel="0" collapsed="false"/>
    <row r="6016" customFormat="false" ht="12.75" hidden="false" customHeight="false" outlineLevel="0" collapsed="false"/>
    <row r="6017" customFormat="false" ht="12.75" hidden="false" customHeight="false" outlineLevel="0" collapsed="false"/>
    <row r="6018" customFormat="false" ht="12.75" hidden="false" customHeight="false" outlineLevel="0" collapsed="false"/>
    <row r="6019" customFormat="false" ht="12.75" hidden="false" customHeight="false" outlineLevel="0" collapsed="false"/>
    <row r="6020" customFormat="false" ht="12.75" hidden="false" customHeight="false" outlineLevel="0" collapsed="false"/>
    <row r="6021" customFormat="false" ht="12.75" hidden="false" customHeight="false" outlineLevel="0" collapsed="false"/>
    <row r="6022" customFormat="false" ht="12.75" hidden="false" customHeight="false" outlineLevel="0" collapsed="false"/>
    <row r="6023" customFormat="false" ht="12.75" hidden="false" customHeight="false" outlineLevel="0" collapsed="false"/>
    <row r="6024" customFormat="false" ht="12.75" hidden="false" customHeight="false" outlineLevel="0" collapsed="false"/>
    <row r="6025" customFormat="false" ht="12.75" hidden="false" customHeight="false" outlineLevel="0" collapsed="false"/>
    <row r="6026" customFormat="false" ht="12.75" hidden="false" customHeight="false" outlineLevel="0" collapsed="false"/>
    <row r="6027" customFormat="false" ht="12.75" hidden="false" customHeight="false" outlineLevel="0" collapsed="false"/>
    <row r="6028" customFormat="false" ht="12.75" hidden="false" customHeight="false" outlineLevel="0" collapsed="false"/>
    <row r="6029" customFormat="false" ht="12.75" hidden="false" customHeight="false" outlineLevel="0" collapsed="false"/>
    <row r="6030" customFormat="false" ht="12.75" hidden="false" customHeight="false" outlineLevel="0" collapsed="false"/>
    <row r="6031" customFormat="false" ht="12.75" hidden="false" customHeight="false" outlineLevel="0" collapsed="false"/>
    <row r="6032" customFormat="false" ht="12.75" hidden="false" customHeight="false" outlineLevel="0" collapsed="false"/>
    <row r="6033" customFormat="false" ht="12.75" hidden="false" customHeight="false" outlineLevel="0" collapsed="false"/>
    <row r="6034" customFormat="false" ht="12.75" hidden="false" customHeight="false" outlineLevel="0" collapsed="false"/>
    <row r="6035" customFormat="false" ht="12.75" hidden="false" customHeight="false" outlineLevel="0" collapsed="false"/>
    <row r="6036" customFormat="false" ht="12.75" hidden="false" customHeight="false" outlineLevel="0" collapsed="false"/>
    <row r="6037" customFormat="false" ht="12.75" hidden="false" customHeight="false" outlineLevel="0" collapsed="false"/>
    <row r="6038" customFormat="false" ht="12.75" hidden="false" customHeight="false" outlineLevel="0" collapsed="false"/>
    <row r="6039" customFormat="false" ht="12.75" hidden="false" customHeight="false" outlineLevel="0" collapsed="false"/>
    <row r="6040" customFormat="false" ht="12.75" hidden="false" customHeight="false" outlineLevel="0" collapsed="false"/>
    <row r="6041" customFormat="false" ht="12.75" hidden="false" customHeight="false" outlineLevel="0" collapsed="false"/>
    <row r="6042" customFormat="false" ht="12.75" hidden="false" customHeight="false" outlineLevel="0" collapsed="false"/>
    <row r="6043" customFormat="false" ht="12.75" hidden="false" customHeight="false" outlineLevel="0" collapsed="false"/>
    <row r="6044" customFormat="false" ht="12.75" hidden="false" customHeight="false" outlineLevel="0" collapsed="false"/>
    <row r="6045" customFormat="false" ht="12.75" hidden="false" customHeight="false" outlineLevel="0" collapsed="false"/>
    <row r="6046" customFormat="false" ht="12.75" hidden="false" customHeight="false" outlineLevel="0" collapsed="false"/>
    <row r="6047" customFormat="false" ht="12.75" hidden="false" customHeight="false" outlineLevel="0" collapsed="false"/>
    <row r="6048" customFormat="false" ht="12.75" hidden="false" customHeight="false" outlineLevel="0" collapsed="false"/>
    <row r="6049" customFormat="false" ht="12.75" hidden="false" customHeight="false" outlineLevel="0" collapsed="false"/>
    <row r="6050" customFormat="false" ht="12.75" hidden="false" customHeight="false" outlineLevel="0" collapsed="false"/>
    <row r="6051" customFormat="false" ht="12.75" hidden="false" customHeight="false" outlineLevel="0" collapsed="false"/>
    <row r="6052" customFormat="false" ht="12.75" hidden="false" customHeight="false" outlineLevel="0" collapsed="false"/>
    <row r="6053" customFormat="false" ht="12.75" hidden="false" customHeight="false" outlineLevel="0" collapsed="false"/>
    <row r="6054" customFormat="false" ht="12.75" hidden="false" customHeight="false" outlineLevel="0" collapsed="false"/>
    <row r="6055" customFormat="false" ht="12.75" hidden="false" customHeight="false" outlineLevel="0" collapsed="false"/>
    <row r="6056" customFormat="false" ht="12.75" hidden="false" customHeight="false" outlineLevel="0" collapsed="false"/>
    <row r="6057" customFormat="false" ht="12.75" hidden="false" customHeight="false" outlineLevel="0" collapsed="false"/>
    <row r="6058" customFormat="false" ht="12.75" hidden="false" customHeight="false" outlineLevel="0" collapsed="false"/>
    <row r="6059" customFormat="false" ht="12.75" hidden="false" customHeight="false" outlineLevel="0" collapsed="false"/>
    <row r="6060" customFormat="false" ht="12.75" hidden="false" customHeight="false" outlineLevel="0" collapsed="false"/>
    <row r="6061" customFormat="false" ht="12.75" hidden="false" customHeight="false" outlineLevel="0" collapsed="false"/>
    <row r="6062" customFormat="false" ht="12.75" hidden="false" customHeight="false" outlineLevel="0" collapsed="false"/>
    <row r="6063" customFormat="false" ht="12.75" hidden="false" customHeight="false" outlineLevel="0" collapsed="false"/>
    <row r="6064" customFormat="false" ht="12.75" hidden="false" customHeight="false" outlineLevel="0" collapsed="false"/>
    <row r="6065" customFormat="false" ht="12.75" hidden="false" customHeight="false" outlineLevel="0" collapsed="false"/>
    <row r="6066" customFormat="false" ht="12.75" hidden="false" customHeight="false" outlineLevel="0" collapsed="false"/>
    <row r="6067" customFormat="false" ht="12.75" hidden="false" customHeight="false" outlineLevel="0" collapsed="false"/>
    <row r="6068" customFormat="false" ht="12.75" hidden="false" customHeight="false" outlineLevel="0" collapsed="false"/>
    <row r="6069" customFormat="false" ht="12.75" hidden="false" customHeight="false" outlineLevel="0" collapsed="false"/>
    <row r="6070" customFormat="false" ht="12.75" hidden="false" customHeight="false" outlineLevel="0" collapsed="false"/>
    <row r="6071" customFormat="false" ht="12.75" hidden="false" customHeight="false" outlineLevel="0" collapsed="false"/>
    <row r="6072" customFormat="false" ht="12.75" hidden="false" customHeight="false" outlineLevel="0" collapsed="false"/>
    <row r="6073" customFormat="false" ht="12.75" hidden="false" customHeight="false" outlineLevel="0" collapsed="false"/>
    <row r="6074" customFormat="false" ht="12.75" hidden="false" customHeight="false" outlineLevel="0" collapsed="false"/>
    <row r="6075" customFormat="false" ht="12.75" hidden="false" customHeight="false" outlineLevel="0" collapsed="false"/>
    <row r="6076" customFormat="false" ht="12.75" hidden="false" customHeight="false" outlineLevel="0" collapsed="false"/>
    <row r="6077" customFormat="false" ht="12.75" hidden="false" customHeight="false" outlineLevel="0" collapsed="false"/>
    <row r="6078" customFormat="false" ht="12.75" hidden="false" customHeight="false" outlineLevel="0" collapsed="false"/>
    <row r="6079" customFormat="false" ht="12.75" hidden="false" customHeight="false" outlineLevel="0" collapsed="false"/>
    <row r="6080" customFormat="false" ht="12.75" hidden="false" customHeight="false" outlineLevel="0" collapsed="false"/>
    <row r="6081" customFormat="false" ht="12.75" hidden="false" customHeight="false" outlineLevel="0" collapsed="false"/>
    <row r="6082" customFormat="false" ht="12.75" hidden="false" customHeight="false" outlineLevel="0" collapsed="false"/>
    <row r="6083" customFormat="false" ht="12.75" hidden="false" customHeight="false" outlineLevel="0" collapsed="false"/>
    <row r="6084" customFormat="false" ht="12.75" hidden="false" customHeight="false" outlineLevel="0" collapsed="false"/>
    <row r="6085" customFormat="false" ht="12.75" hidden="false" customHeight="false" outlineLevel="0" collapsed="false"/>
    <row r="6086" customFormat="false" ht="12.75" hidden="false" customHeight="false" outlineLevel="0" collapsed="false"/>
    <row r="6087" customFormat="false" ht="12.75" hidden="false" customHeight="false" outlineLevel="0" collapsed="false"/>
    <row r="6088" customFormat="false" ht="12.75" hidden="false" customHeight="false" outlineLevel="0" collapsed="false"/>
    <row r="6089" customFormat="false" ht="12.75" hidden="false" customHeight="false" outlineLevel="0" collapsed="false"/>
    <row r="6090" customFormat="false" ht="12.75" hidden="false" customHeight="false" outlineLevel="0" collapsed="false"/>
    <row r="6091" customFormat="false" ht="12.75" hidden="false" customHeight="false" outlineLevel="0" collapsed="false"/>
    <row r="6092" customFormat="false" ht="12.75" hidden="false" customHeight="false" outlineLevel="0" collapsed="false"/>
    <row r="6093" customFormat="false" ht="12.75" hidden="false" customHeight="false" outlineLevel="0" collapsed="false"/>
    <row r="6094" customFormat="false" ht="12.75" hidden="false" customHeight="false" outlineLevel="0" collapsed="false"/>
    <row r="6095" customFormat="false" ht="12.75" hidden="false" customHeight="false" outlineLevel="0" collapsed="false"/>
    <row r="6096" customFormat="false" ht="12.75" hidden="false" customHeight="false" outlineLevel="0" collapsed="false"/>
    <row r="6097" customFormat="false" ht="12.75" hidden="false" customHeight="false" outlineLevel="0" collapsed="false"/>
    <row r="6098" customFormat="false" ht="12.75" hidden="false" customHeight="false" outlineLevel="0" collapsed="false"/>
    <row r="6099" customFormat="false" ht="12.75" hidden="false" customHeight="false" outlineLevel="0" collapsed="false"/>
    <row r="6100" customFormat="false" ht="12.75" hidden="false" customHeight="false" outlineLevel="0" collapsed="false"/>
    <row r="6101" customFormat="false" ht="12.75" hidden="false" customHeight="false" outlineLevel="0" collapsed="false"/>
    <row r="6102" customFormat="false" ht="12.75" hidden="false" customHeight="false" outlineLevel="0" collapsed="false"/>
    <row r="6103" customFormat="false" ht="12.75" hidden="false" customHeight="false" outlineLevel="0" collapsed="false"/>
    <row r="6104" customFormat="false" ht="12.75" hidden="false" customHeight="false" outlineLevel="0" collapsed="false"/>
    <row r="6105" customFormat="false" ht="12.75" hidden="false" customHeight="false" outlineLevel="0" collapsed="false"/>
    <row r="6106" customFormat="false" ht="12.75" hidden="false" customHeight="false" outlineLevel="0" collapsed="false"/>
    <row r="6107" customFormat="false" ht="12.75" hidden="false" customHeight="false" outlineLevel="0" collapsed="false"/>
    <row r="6108" customFormat="false" ht="12.75" hidden="false" customHeight="false" outlineLevel="0" collapsed="false"/>
    <row r="6109" customFormat="false" ht="12.75" hidden="false" customHeight="false" outlineLevel="0" collapsed="false"/>
    <row r="6110" customFormat="false" ht="12.75" hidden="false" customHeight="false" outlineLevel="0" collapsed="false"/>
    <row r="6111" customFormat="false" ht="12.75" hidden="false" customHeight="false" outlineLevel="0" collapsed="false"/>
    <row r="6112" customFormat="false" ht="12.75" hidden="false" customHeight="false" outlineLevel="0" collapsed="false"/>
    <row r="6113" customFormat="false" ht="12.75" hidden="false" customHeight="false" outlineLevel="0" collapsed="false"/>
    <row r="6114" customFormat="false" ht="12.75" hidden="false" customHeight="false" outlineLevel="0" collapsed="false"/>
    <row r="6115" customFormat="false" ht="12.75" hidden="false" customHeight="false" outlineLevel="0" collapsed="false"/>
    <row r="6116" customFormat="false" ht="12.75" hidden="false" customHeight="false" outlineLevel="0" collapsed="false"/>
    <row r="6117" customFormat="false" ht="12.75" hidden="false" customHeight="false" outlineLevel="0" collapsed="false"/>
    <row r="6118" customFormat="false" ht="12.75" hidden="false" customHeight="false" outlineLevel="0" collapsed="false"/>
    <row r="6119" customFormat="false" ht="12.75" hidden="false" customHeight="false" outlineLevel="0" collapsed="false"/>
    <row r="6120" customFormat="false" ht="12.75" hidden="false" customHeight="false" outlineLevel="0" collapsed="false"/>
    <row r="6121" customFormat="false" ht="12.75" hidden="false" customHeight="false" outlineLevel="0" collapsed="false"/>
    <row r="6122" customFormat="false" ht="12.75" hidden="false" customHeight="false" outlineLevel="0" collapsed="false"/>
    <row r="6123" customFormat="false" ht="12.75" hidden="false" customHeight="false" outlineLevel="0" collapsed="false"/>
    <row r="6124" customFormat="false" ht="12.75" hidden="false" customHeight="false" outlineLevel="0" collapsed="false"/>
    <row r="6125" customFormat="false" ht="12.75" hidden="false" customHeight="false" outlineLevel="0" collapsed="false"/>
    <row r="6126" customFormat="false" ht="12.75" hidden="false" customHeight="false" outlineLevel="0" collapsed="false"/>
    <row r="6127" customFormat="false" ht="12.75" hidden="false" customHeight="false" outlineLevel="0" collapsed="false"/>
    <row r="6128" customFormat="false" ht="12.75" hidden="false" customHeight="false" outlineLevel="0" collapsed="false"/>
    <row r="6129" customFormat="false" ht="12.75" hidden="false" customHeight="false" outlineLevel="0" collapsed="false"/>
    <row r="6130" customFormat="false" ht="12.75" hidden="false" customHeight="false" outlineLevel="0" collapsed="false"/>
    <row r="6131" customFormat="false" ht="12.75" hidden="false" customHeight="false" outlineLevel="0" collapsed="false"/>
    <row r="6132" customFormat="false" ht="12.75" hidden="false" customHeight="false" outlineLevel="0" collapsed="false"/>
    <row r="6133" customFormat="false" ht="12.75" hidden="false" customHeight="false" outlineLevel="0" collapsed="false"/>
    <row r="6134" customFormat="false" ht="12.75" hidden="false" customHeight="false" outlineLevel="0" collapsed="false"/>
    <row r="6135" customFormat="false" ht="12.75" hidden="false" customHeight="false" outlineLevel="0" collapsed="false"/>
    <row r="6136" customFormat="false" ht="12.75" hidden="false" customHeight="false" outlineLevel="0" collapsed="false"/>
    <row r="6137" customFormat="false" ht="12.75" hidden="false" customHeight="false" outlineLevel="0" collapsed="false"/>
    <row r="6138" customFormat="false" ht="12.75" hidden="false" customHeight="false" outlineLevel="0" collapsed="false"/>
    <row r="6139" customFormat="false" ht="12.75" hidden="false" customHeight="false" outlineLevel="0" collapsed="false"/>
    <row r="6140" customFormat="false" ht="12.75" hidden="false" customHeight="false" outlineLevel="0" collapsed="false"/>
    <row r="6141" customFormat="false" ht="12.75" hidden="false" customHeight="false" outlineLevel="0" collapsed="false"/>
    <row r="6142" customFormat="false" ht="12.75" hidden="false" customHeight="false" outlineLevel="0" collapsed="false"/>
    <row r="6143" customFormat="false" ht="12.75" hidden="false" customHeight="false" outlineLevel="0" collapsed="false"/>
    <row r="6144" customFormat="false" ht="12.75" hidden="false" customHeight="false" outlineLevel="0" collapsed="false"/>
    <row r="6145" customFormat="false" ht="12.75" hidden="false" customHeight="false" outlineLevel="0" collapsed="false"/>
    <row r="6146" customFormat="false" ht="12.75" hidden="false" customHeight="false" outlineLevel="0" collapsed="false"/>
    <row r="6147" customFormat="false" ht="12.75" hidden="false" customHeight="false" outlineLevel="0" collapsed="false"/>
    <row r="6148" customFormat="false" ht="12.75" hidden="false" customHeight="false" outlineLevel="0" collapsed="false"/>
    <row r="6149" customFormat="false" ht="12.75" hidden="false" customHeight="false" outlineLevel="0" collapsed="false"/>
    <row r="6150" customFormat="false" ht="12.75" hidden="false" customHeight="false" outlineLevel="0" collapsed="false"/>
    <row r="6151" customFormat="false" ht="12.75" hidden="false" customHeight="false" outlineLevel="0" collapsed="false"/>
    <row r="6152" customFormat="false" ht="12.75" hidden="false" customHeight="false" outlineLevel="0" collapsed="false"/>
    <row r="6153" customFormat="false" ht="12.75" hidden="false" customHeight="false" outlineLevel="0" collapsed="false"/>
    <row r="6154" customFormat="false" ht="12.75" hidden="false" customHeight="false" outlineLevel="0" collapsed="false"/>
    <row r="6155" customFormat="false" ht="12.75" hidden="false" customHeight="false" outlineLevel="0" collapsed="false"/>
    <row r="6156" customFormat="false" ht="12.75" hidden="false" customHeight="false" outlineLevel="0" collapsed="false"/>
    <row r="6157" customFormat="false" ht="12.75" hidden="false" customHeight="false" outlineLevel="0" collapsed="false"/>
    <row r="6158" customFormat="false" ht="12.75" hidden="false" customHeight="false" outlineLevel="0" collapsed="false"/>
    <row r="6159" customFormat="false" ht="12.75" hidden="false" customHeight="false" outlineLevel="0" collapsed="false"/>
    <row r="6160" customFormat="false" ht="12.75" hidden="false" customHeight="false" outlineLevel="0" collapsed="false"/>
    <row r="6161" customFormat="false" ht="12.75" hidden="false" customHeight="false" outlineLevel="0" collapsed="false"/>
    <row r="6162" customFormat="false" ht="12.75" hidden="false" customHeight="false" outlineLevel="0" collapsed="false"/>
    <row r="6163" customFormat="false" ht="12.75" hidden="false" customHeight="false" outlineLevel="0" collapsed="false"/>
    <row r="6164" customFormat="false" ht="12.75" hidden="false" customHeight="false" outlineLevel="0" collapsed="false"/>
    <row r="6165" customFormat="false" ht="12.75" hidden="false" customHeight="false" outlineLevel="0" collapsed="false"/>
    <row r="6166" customFormat="false" ht="12.75" hidden="false" customHeight="false" outlineLevel="0" collapsed="false"/>
    <row r="6167" customFormat="false" ht="12.75" hidden="false" customHeight="false" outlineLevel="0" collapsed="false"/>
    <row r="6168" customFormat="false" ht="12.75" hidden="false" customHeight="false" outlineLevel="0" collapsed="false"/>
    <row r="6169" customFormat="false" ht="12.75" hidden="false" customHeight="false" outlineLevel="0" collapsed="false"/>
    <row r="6170" customFormat="false" ht="12.75" hidden="false" customHeight="false" outlineLevel="0" collapsed="false"/>
    <row r="6171" customFormat="false" ht="12.75" hidden="false" customHeight="false" outlineLevel="0" collapsed="false"/>
    <row r="6172" customFormat="false" ht="12.75" hidden="false" customHeight="false" outlineLevel="0" collapsed="false"/>
    <row r="6173" customFormat="false" ht="12.75" hidden="false" customHeight="false" outlineLevel="0" collapsed="false"/>
    <row r="6174" customFormat="false" ht="12.75" hidden="false" customHeight="false" outlineLevel="0" collapsed="false"/>
    <row r="6175" customFormat="false" ht="12.75" hidden="false" customHeight="false" outlineLevel="0" collapsed="false"/>
    <row r="6176" customFormat="false" ht="12.75" hidden="false" customHeight="false" outlineLevel="0" collapsed="false"/>
    <row r="6177" customFormat="false" ht="12.75" hidden="false" customHeight="false" outlineLevel="0" collapsed="false"/>
    <row r="6178" customFormat="false" ht="12.75" hidden="false" customHeight="false" outlineLevel="0" collapsed="false"/>
    <row r="6179" customFormat="false" ht="12.75" hidden="false" customHeight="false" outlineLevel="0" collapsed="false"/>
    <row r="6180" customFormat="false" ht="12.75" hidden="false" customHeight="false" outlineLevel="0" collapsed="false"/>
    <row r="6181" customFormat="false" ht="12.75" hidden="false" customHeight="false" outlineLevel="0" collapsed="false"/>
    <row r="6182" customFormat="false" ht="12.75" hidden="false" customHeight="false" outlineLevel="0" collapsed="false"/>
    <row r="6183" customFormat="false" ht="12.75" hidden="false" customHeight="false" outlineLevel="0" collapsed="false"/>
    <row r="6184" customFormat="false" ht="12.75" hidden="false" customHeight="false" outlineLevel="0" collapsed="false"/>
    <row r="6185" customFormat="false" ht="12.75" hidden="false" customHeight="false" outlineLevel="0" collapsed="false"/>
    <row r="6186" customFormat="false" ht="12.75" hidden="false" customHeight="false" outlineLevel="0" collapsed="false"/>
    <row r="6187" customFormat="false" ht="12.75" hidden="false" customHeight="false" outlineLevel="0" collapsed="false"/>
    <row r="6188" customFormat="false" ht="12.75" hidden="false" customHeight="false" outlineLevel="0" collapsed="false"/>
    <row r="6189" customFormat="false" ht="12.75" hidden="false" customHeight="false" outlineLevel="0" collapsed="false"/>
    <row r="6190" customFormat="false" ht="12.75" hidden="false" customHeight="false" outlineLevel="0" collapsed="false"/>
    <row r="6191" customFormat="false" ht="12.75" hidden="false" customHeight="false" outlineLevel="0" collapsed="false"/>
    <row r="6192" customFormat="false" ht="12.75" hidden="false" customHeight="false" outlineLevel="0" collapsed="false"/>
    <row r="6193" customFormat="false" ht="12.75" hidden="false" customHeight="false" outlineLevel="0" collapsed="false"/>
    <row r="6194" customFormat="false" ht="12.75" hidden="false" customHeight="false" outlineLevel="0" collapsed="false"/>
    <row r="6195" customFormat="false" ht="12.75" hidden="false" customHeight="false" outlineLevel="0" collapsed="false"/>
    <row r="6196" customFormat="false" ht="12.75" hidden="false" customHeight="false" outlineLevel="0" collapsed="false"/>
    <row r="6197" customFormat="false" ht="12.75" hidden="false" customHeight="false" outlineLevel="0" collapsed="false"/>
    <row r="6198" customFormat="false" ht="12.75" hidden="false" customHeight="false" outlineLevel="0" collapsed="false"/>
    <row r="6199" customFormat="false" ht="12.75" hidden="false" customHeight="false" outlineLevel="0" collapsed="false"/>
    <row r="6200" customFormat="false" ht="12.75" hidden="false" customHeight="false" outlineLevel="0" collapsed="false"/>
    <row r="6201" customFormat="false" ht="12.75" hidden="false" customHeight="false" outlineLevel="0" collapsed="false"/>
    <row r="6202" customFormat="false" ht="12.75" hidden="false" customHeight="false" outlineLevel="0" collapsed="false"/>
    <row r="6203" customFormat="false" ht="12.75" hidden="false" customHeight="false" outlineLevel="0" collapsed="false"/>
    <row r="6204" customFormat="false" ht="12.75" hidden="false" customHeight="false" outlineLevel="0" collapsed="false"/>
    <row r="6205" customFormat="false" ht="12.75" hidden="false" customHeight="false" outlineLevel="0" collapsed="false"/>
    <row r="6206" customFormat="false" ht="12.75" hidden="false" customHeight="false" outlineLevel="0" collapsed="false"/>
    <row r="6207" customFormat="false" ht="12.75" hidden="false" customHeight="false" outlineLevel="0" collapsed="false"/>
    <row r="6208" customFormat="false" ht="12.75" hidden="false" customHeight="false" outlineLevel="0" collapsed="false"/>
    <row r="6209" customFormat="false" ht="12.75" hidden="false" customHeight="false" outlineLevel="0" collapsed="false"/>
    <row r="6210" customFormat="false" ht="12.75" hidden="false" customHeight="false" outlineLevel="0" collapsed="false"/>
    <row r="6211" customFormat="false" ht="12.75" hidden="false" customHeight="false" outlineLevel="0" collapsed="false"/>
    <row r="6212" customFormat="false" ht="12.75" hidden="false" customHeight="false" outlineLevel="0" collapsed="false"/>
    <row r="6213" customFormat="false" ht="12.75" hidden="false" customHeight="false" outlineLevel="0" collapsed="false"/>
    <row r="6214" customFormat="false" ht="12.75" hidden="false" customHeight="false" outlineLevel="0" collapsed="false"/>
    <row r="6215" customFormat="false" ht="12.75" hidden="false" customHeight="false" outlineLevel="0" collapsed="false"/>
    <row r="6216" customFormat="false" ht="12.75" hidden="false" customHeight="false" outlineLevel="0" collapsed="false"/>
    <row r="6217" customFormat="false" ht="12.75" hidden="false" customHeight="false" outlineLevel="0" collapsed="false"/>
    <row r="6218" customFormat="false" ht="12.75" hidden="false" customHeight="false" outlineLevel="0" collapsed="false"/>
    <row r="6219" customFormat="false" ht="12.75" hidden="false" customHeight="false" outlineLevel="0" collapsed="false"/>
    <row r="6220" customFormat="false" ht="12.75" hidden="false" customHeight="false" outlineLevel="0" collapsed="false"/>
    <row r="6221" customFormat="false" ht="12.75" hidden="false" customHeight="false" outlineLevel="0" collapsed="false"/>
    <row r="6222" customFormat="false" ht="12.75" hidden="false" customHeight="false" outlineLevel="0" collapsed="false"/>
    <row r="6223" customFormat="false" ht="12.75" hidden="false" customHeight="false" outlineLevel="0" collapsed="false"/>
    <row r="6224" customFormat="false" ht="12.75" hidden="false" customHeight="false" outlineLevel="0" collapsed="false"/>
    <row r="6225" customFormat="false" ht="12.75" hidden="false" customHeight="false" outlineLevel="0" collapsed="false"/>
    <row r="6226" customFormat="false" ht="12.75" hidden="false" customHeight="false" outlineLevel="0" collapsed="false"/>
    <row r="6227" customFormat="false" ht="12.75" hidden="false" customHeight="false" outlineLevel="0" collapsed="false"/>
    <row r="6228" customFormat="false" ht="12.75" hidden="false" customHeight="false" outlineLevel="0" collapsed="false"/>
    <row r="6229" customFormat="false" ht="12.75" hidden="false" customHeight="false" outlineLevel="0" collapsed="false"/>
    <row r="6230" customFormat="false" ht="12.75" hidden="false" customHeight="false" outlineLevel="0" collapsed="false"/>
    <row r="6231" customFormat="false" ht="12.75" hidden="false" customHeight="false" outlineLevel="0" collapsed="false"/>
    <row r="6232" customFormat="false" ht="12.75" hidden="false" customHeight="false" outlineLevel="0" collapsed="false"/>
    <row r="6233" customFormat="false" ht="12.75" hidden="false" customHeight="false" outlineLevel="0" collapsed="false"/>
    <row r="6234" customFormat="false" ht="12.75" hidden="false" customHeight="false" outlineLevel="0" collapsed="false"/>
    <row r="6235" customFormat="false" ht="12.75" hidden="false" customHeight="false" outlineLevel="0" collapsed="false"/>
    <row r="6236" customFormat="false" ht="12.75" hidden="false" customHeight="false" outlineLevel="0" collapsed="false"/>
    <row r="6237" customFormat="false" ht="12.75" hidden="false" customHeight="false" outlineLevel="0" collapsed="false"/>
    <row r="6238" customFormat="false" ht="12.75" hidden="false" customHeight="false" outlineLevel="0" collapsed="false"/>
    <row r="6239" customFormat="false" ht="12.75" hidden="false" customHeight="false" outlineLevel="0" collapsed="false"/>
    <row r="6240" customFormat="false" ht="12.75" hidden="false" customHeight="false" outlineLevel="0" collapsed="false"/>
    <row r="6241" customFormat="false" ht="12.75" hidden="false" customHeight="false" outlineLevel="0" collapsed="false"/>
    <row r="6242" customFormat="false" ht="12.75" hidden="false" customHeight="false" outlineLevel="0" collapsed="false"/>
    <row r="6243" customFormat="false" ht="12.75" hidden="false" customHeight="false" outlineLevel="0" collapsed="false"/>
    <row r="6244" customFormat="false" ht="12.75" hidden="false" customHeight="false" outlineLevel="0" collapsed="false"/>
    <row r="6245" customFormat="false" ht="12.75" hidden="false" customHeight="false" outlineLevel="0" collapsed="false"/>
    <row r="6246" customFormat="false" ht="12.75" hidden="false" customHeight="false" outlineLevel="0" collapsed="false"/>
    <row r="6247" customFormat="false" ht="12.75" hidden="false" customHeight="false" outlineLevel="0" collapsed="false"/>
    <row r="6248" customFormat="false" ht="12.75" hidden="false" customHeight="false" outlineLevel="0" collapsed="false"/>
    <row r="6249" customFormat="false" ht="12.75" hidden="false" customHeight="false" outlineLevel="0" collapsed="false"/>
    <row r="6250" customFormat="false" ht="12.75" hidden="false" customHeight="false" outlineLevel="0" collapsed="false"/>
    <row r="6251" customFormat="false" ht="12.75" hidden="false" customHeight="false" outlineLevel="0" collapsed="false"/>
    <row r="6252" customFormat="false" ht="12.75" hidden="false" customHeight="false" outlineLevel="0" collapsed="false"/>
    <row r="6253" customFormat="false" ht="12.75" hidden="false" customHeight="false" outlineLevel="0" collapsed="false"/>
    <row r="6254" customFormat="false" ht="12.75" hidden="false" customHeight="false" outlineLevel="0" collapsed="false"/>
    <row r="6255" customFormat="false" ht="12.75" hidden="false" customHeight="false" outlineLevel="0" collapsed="false"/>
    <row r="6256" customFormat="false" ht="12.75" hidden="false" customHeight="false" outlineLevel="0" collapsed="false"/>
    <row r="6257" customFormat="false" ht="12.75" hidden="false" customHeight="false" outlineLevel="0" collapsed="false"/>
    <row r="6258" customFormat="false" ht="12.75" hidden="false" customHeight="false" outlineLevel="0" collapsed="false"/>
    <row r="6259" customFormat="false" ht="12.75" hidden="false" customHeight="false" outlineLevel="0" collapsed="false"/>
    <row r="6260" customFormat="false" ht="12.75" hidden="false" customHeight="false" outlineLevel="0" collapsed="false"/>
    <row r="6261" customFormat="false" ht="12.75" hidden="false" customHeight="false" outlineLevel="0" collapsed="false"/>
    <row r="6262" customFormat="false" ht="12.75" hidden="false" customHeight="false" outlineLevel="0" collapsed="false"/>
    <row r="6263" customFormat="false" ht="12.75" hidden="false" customHeight="false" outlineLevel="0" collapsed="false"/>
    <row r="6264" customFormat="false" ht="12.75" hidden="false" customHeight="false" outlineLevel="0" collapsed="false"/>
    <row r="6265" customFormat="false" ht="12.75" hidden="false" customHeight="false" outlineLevel="0" collapsed="false"/>
    <row r="6266" customFormat="false" ht="12.75" hidden="false" customHeight="false" outlineLevel="0" collapsed="false"/>
    <row r="6267" customFormat="false" ht="12.75" hidden="false" customHeight="false" outlineLevel="0" collapsed="false"/>
    <row r="6268" customFormat="false" ht="12.75" hidden="false" customHeight="false" outlineLevel="0" collapsed="false"/>
    <row r="6269" customFormat="false" ht="12.75" hidden="false" customHeight="false" outlineLevel="0" collapsed="false"/>
    <row r="6270" customFormat="false" ht="12.75" hidden="false" customHeight="false" outlineLevel="0" collapsed="false"/>
    <row r="6271" customFormat="false" ht="12.75" hidden="false" customHeight="false" outlineLevel="0" collapsed="false"/>
    <row r="6272" customFormat="false" ht="12.75" hidden="false" customHeight="false" outlineLevel="0" collapsed="false"/>
    <row r="6273" customFormat="false" ht="12.75" hidden="false" customHeight="false" outlineLevel="0" collapsed="false"/>
    <row r="6274" customFormat="false" ht="12.75" hidden="false" customHeight="false" outlineLevel="0" collapsed="false"/>
    <row r="6275" customFormat="false" ht="12.75" hidden="false" customHeight="false" outlineLevel="0" collapsed="false"/>
    <row r="6276" customFormat="false" ht="12.75" hidden="false" customHeight="false" outlineLevel="0" collapsed="false"/>
    <row r="6277" customFormat="false" ht="12.75" hidden="false" customHeight="false" outlineLevel="0" collapsed="false"/>
    <row r="6278" customFormat="false" ht="12.75" hidden="false" customHeight="false" outlineLevel="0" collapsed="false"/>
    <row r="6279" customFormat="false" ht="12.75" hidden="false" customHeight="false" outlineLevel="0" collapsed="false"/>
    <row r="6280" customFormat="false" ht="12.75" hidden="false" customHeight="false" outlineLevel="0" collapsed="false"/>
    <row r="6281" customFormat="false" ht="12.75" hidden="false" customHeight="false" outlineLevel="0" collapsed="false"/>
    <row r="6282" customFormat="false" ht="12.75" hidden="false" customHeight="false" outlineLevel="0" collapsed="false"/>
    <row r="6283" customFormat="false" ht="12.75" hidden="false" customHeight="false" outlineLevel="0" collapsed="false"/>
    <row r="6284" customFormat="false" ht="12.75" hidden="false" customHeight="false" outlineLevel="0" collapsed="false"/>
    <row r="6285" customFormat="false" ht="12.75" hidden="false" customHeight="false" outlineLevel="0" collapsed="false"/>
    <row r="6286" customFormat="false" ht="12.75" hidden="false" customHeight="false" outlineLevel="0" collapsed="false"/>
    <row r="6287" customFormat="false" ht="12.75" hidden="false" customHeight="false" outlineLevel="0" collapsed="false"/>
    <row r="6288" customFormat="false" ht="12.75" hidden="false" customHeight="false" outlineLevel="0" collapsed="false"/>
    <row r="6289" customFormat="false" ht="12.75" hidden="false" customHeight="false" outlineLevel="0" collapsed="false"/>
    <row r="6290" customFormat="false" ht="12.75" hidden="false" customHeight="false" outlineLevel="0" collapsed="false"/>
    <row r="6291" customFormat="false" ht="12.75" hidden="false" customHeight="false" outlineLevel="0" collapsed="false"/>
    <row r="6292" customFormat="false" ht="12.75" hidden="false" customHeight="false" outlineLevel="0" collapsed="false"/>
    <row r="6293" customFormat="false" ht="12.75" hidden="false" customHeight="false" outlineLevel="0" collapsed="false"/>
    <row r="6294" customFormat="false" ht="12.75" hidden="false" customHeight="false" outlineLevel="0" collapsed="false"/>
    <row r="6295" customFormat="false" ht="12.75" hidden="false" customHeight="false" outlineLevel="0" collapsed="false"/>
    <row r="6296" customFormat="false" ht="12.75" hidden="false" customHeight="false" outlineLevel="0" collapsed="false"/>
    <row r="6297" customFormat="false" ht="12.75" hidden="false" customHeight="false" outlineLevel="0" collapsed="false"/>
    <row r="6298" customFormat="false" ht="12.75" hidden="false" customHeight="false" outlineLevel="0" collapsed="false"/>
    <row r="6299" customFormat="false" ht="12.75" hidden="false" customHeight="false" outlineLevel="0" collapsed="false"/>
    <row r="6300" customFormat="false" ht="12.75" hidden="false" customHeight="false" outlineLevel="0" collapsed="false"/>
    <row r="6301" customFormat="false" ht="12.75" hidden="false" customHeight="false" outlineLevel="0" collapsed="false"/>
    <row r="6302" customFormat="false" ht="12.75" hidden="false" customHeight="false" outlineLevel="0" collapsed="false"/>
    <row r="6303" customFormat="false" ht="12.75" hidden="false" customHeight="false" outlineLevel="0" collapsed="false"/>
    <row r="6304" customFormat="false" ht="12.75" hidden="false" customHeight="false" outlineLevel="0" collapsed="false"/>
    <row r="6305" customFormat="false" ht="12.75" hidden="false" customHeight="false" outlineLevel="0" collapsed="false"/>
    <row r="6306" customFormat="false" ht="12.75" hidden="false" customHeight="false" outlineLevel="0" collapsed="false"/>
    <row r="6307" customFormat="false" ht="12.75" hidden="false" customHeight="false" outlineLevel="0" collapsed="false"/>
    <row r="6308" customFormat="false" ht="12.75" hidden="false" customHeight="false" outlineLevel="0" collapsed="false"/>
    <row r="6309" customFormat="false" ht="12.75" hidden="false" customHeight="false" outlineLevel="0" collapsed="false"/>
    <row r="6310" customFormat="false" ht="12.75" hidden="false" customHeight="false" outlineLevel="0" collapsed="false"/>
    <row r="6311" customFormat="false" ht="12.75" hidden="false" customHeight="false" outlineLevel="0" collapsed="false"/>
    <row r="6312" customFormat="false" ht="12.75" hidden="false" customHeight="false" outlineLevel="0" collapsed="false"/>
    <row r="6313" customFormat="false" ht="12.75" hidden="false" customHeight="false" outlineLevel="0" collapsed="false"/>
    <row r="6314" customFormat="false" ht="12.75" hidden="false" customHeight="false" outlineLevel="0" collapsed="false"/>
    <row r="6315" customFormat="false" ht="12.75" hidden="false" customHeight="false" outlineLevel="0" collapsed="false"/>
    <row r="6316" customFormat="false" ht="12.75" hidden="false" customHeight="false" outlineLevel="0" collapsed="false"/>
    <row r="6317" customFormat="false" ht="12.75" hidden="false" customHeight="false" outlineLevel="0" collapsed="false"/>
    <row r="6318" customFormat="false" ht="12.75" hidden="false" customHeight="false" outlineLevel="0" collapsed="false"/>
    <row r="6319" customFormat="false" ht="12.75" hidden="false" customHeight="false" outlineLevel="0" collapsed="false"/>
    <row r="6320" customFormat="false" ht="12.75" hidden="false" customHeight="false" outlineLevel="0" collapsed="false"/>
    <row r="6321" customFormat="false" ht="12.75" hidden="false" customHeight="false" outlineLevel="0" collapsed="false"/>
    <row r="6322" customFormat="false" ht="12.75" hidden="false" customHeight="false" outlineLevel="0" collapsed="false"/>
    <row r="6323" customFormat="false" ht="12.75" hidden="false" customHeight="false" outlineLevel="0" collapsed="false"/>
    <row r="6324" customFormat="false" ht="12.75" hidden="false" customHeight="false" outlineLevel="0" collapsed="false"/>
    <row r="6325" customFormat="false" ht="12.75" hidden="false" customHeight="false" outlineLevel="0" collapsed="false"/>
    <row r="6326" customFormat="false" ht="12.75" hidden="false" customHeight="false" outlineLevel="0" collapsed="false"/>
    <row r="6327" customFormat="false" ht="12.75" hidden="false" customHeight="false" outlineLevel="0" collapsed="false"/>
    <row r="6328" customFormat="false" ht="12.75" hidden="false" customHeight="false" outlineLevel="0" collapsed="false"/>
    <row r="6329" customFormat="false" ht="12.75" hidden="false" customHeight="false" outlineLevel="0" collapsed="false"/>
    <row r="6330" customFormat="false" ht="12.75" hidden="false" customHeight="false" outlineLevel="0" collapsed="false"/>
    <row r="6331" customFormat="false" ht="12.75" hidden="false" customHeight="false" outlineLevel="0" collapsed="false"/>
    <row r="6332" customFormat="false" ht="12.75" hidden="false" customHeight="false" outlineLevel="0" collapsed="false"/>
    <row r="6333" customFormat="false" ht="12.75" hidden="false" customHeight="false" outlineLevel="0" collapsed="false"/>
    <row r="6334" customFormat="false" ht="12.75" hidden="false" customHeight="false" outlineLevel="0" collapsed="false"/>
    <row r="6335" customFormat="false" ht="12.75" hidden="false" customHeight="false" outlineLevel="0" collapsed="false"/>
    <row r="6336" customFormat="false" ht="12.75" hidden="false" customHeight="false" outlineLevel="0" collapsed="false"/>
    <row r="6337" customFormat="false" ht="12.75" hidden="false" customHeight="false" outlineLevel="0" collapsed="false"/>
    <row r="6338" customFormat="false" ht="12.75" hidden="false" customHeight="false" outlineLevel="0" collapsed="false"/>
    <row r="6339" customFormat="false" ht="12.75" hidden="false" customHeight="false" outlineLevel="0" collapsed="false"/>
    <row r="6340" customFormat="false" ht="12.75" hidden="false" customHeight="false" outlineLevel="0" collapsed="false"/>
    <row r="6341" customFormat="false" ht="12.75" hidden="false" customHeight="false" outlineLevel="0" collapsed="false"/>
    <row r="6342" customFormat="false" ht="12.75" hidden="false" customHeight="false" outlineLevel="0" collapsed="false"/>
    <row r="6343" customFormat="false" ht="12.75" hidden="false" customHeight="false" outlineLevel="0" collapsed="false"/>
    <row r="6344" customFormat="false" ht="12.75" hidden="false" customHeight="false" outlineLevel="0" collapsed="false"/>
    <row r="6345" customFormat="false" ht="12.75" hidden="false" customHeight="false" outlineLevel="0" collapsed="false"/>
    <row r="6346" customFormat="false" ht="12.75" hidden="false" customHeight="false" outlineLevel="0" collapsed="false"/>
    <row r="6347" customFormat="false" ht="12.75" hidden="false" customHeight="false" outlineLevel="0" collapsed="false"/>
    <row r="6348" customFormat="false" ht="12.75" hidden="false" customHeight="false" outlineLevel="0" collapsed="false"/>
    <row r="6349" customFormat="false" ht="12.75" hidden="false" customHeight="false" outlineLevel="0" collapsed="false"/>
    <row r="6350" customFormat="false" ht="12.75" hidden="false" customHeight="false" outlineLevel="0" collapsed="false"/>
    <row r="6351" customFormat="false" ht="12.75" hidden="false" customHeight="false" outlineLevel="0" collapsed="false"/>
    <row r="6352" customFormat="false" ht="12.75" hidden="false" customHeight="false" outlineLevel="0" collapsed="false"/>
    <row r="6353" customFormat="false" ht="12.75" hidden="false" customHeight="false" outlineLevel="0" collapsed="false"/>
    <row r="6354" customFormat="false" ht="12.75" hidden="false" customHeight="false" outlineLevel="0" collapsed="false"/>
    <row r="6355" customFormat="false" ht="12.75" hidden="false" customHeight="false" outlineLevel="0" collapsed="false"/>
    <row r="6356" customFormat="false" ht="12.75" hidden="false" customHeight="false" outlineLevel="0" collapsed="false"/>
    <row r="6357" customFormat="false" ht="12.75" hidden="false" customHeight="false" outlineLevel="0" collapsed="false"/>
    <row r="6358" customFormat="false" ht="12.75" hidden="false" customHeight="false" outlineLevel="0" collapsed="false"/>
    <row r="6359" customFormat="false" ht="12.75" hidden="false" customHeight="false" outlineLevel="0" collapsed="false"/>
    <row r="6360" customFormat="false" ht="12.75" hidden="false" customHeight="false" outlineLevel="0" collapsed="false"/>
    <row r="6361" customFormat="false" ht="12.75" hidden="false" customHeight="false" outlineLevel="0" collapsed="false"/>
    <row r="6362" customFormat="false" ht="12.75" hidden="false" customHeight="false" outlineLevel="0" collapsed="false"/>
    <row r="6363" customFormat="false" ht="12.75" hidden="false" customHeight="false" outlineLevel="0" collapsed="false"/>
    <row r="6364" customFormat="false" ht="12.75" hidden="false" customHeight="false" outlineLevel="0" collapsed="false"/>
    <row r="6365" customFormat="false" ht="12.75" hidden="false" customHeight="false" outlineLevel="0" collapsed="false"/>
    <row r="6366" customFormat="false" ht="12.75" hidden="false" customHeight="false" outlineLevel="0" collapsed="false"/>
    <row r="6367" customFormat="false" ht="12.75" hidden="false" customHeight="false" outlineLevel="0" collapsed="false"/>
    <row r="6368" customFormat="false" ht="12.75" hidden="false" customHeight="false" outlineLevel="0" collapsed="false"/>
    <row r="6369" customFormat="false" ht="12.75" hidden="false" customHeight="false" outlineLevel="0" collapsed="false"/>
    <row r="6370" customFormat="false" ht="12.75" hidden="false" customHeight="false" outlineLevel="0" collapsed="false"/>
    <row r="6371" customFormat="false" ht="12.75" hidden="false" customHeight="false" outlineLevel="0" collapsed="false"/>
    <row r="6372" customFormat="false" ht="12.75" hidden="false" customHeight="false" outlineLevel="0" collapsed="false"/>
    <row r="6373" customFormat="false" ht="12.75" hidden="false" customHeight="false" outlineLevel="0" collapsed="false"/>
    <row r="6374" customFormat="false" ht="12.75" hidden="false" customHeight="false" outlineLevel="0" collapsed="false"/>
    <row r="6375" customFormat="false" ht="12.75" hidden="false" customHeight="false" outlineLevel="0" collapsed="false"/>
    <row r="6376" customFormat="false" ht="12.75" hidden="false" customHeight="false" outlineLevel="0" collapsed="false"/>
    <row r="6377" customFormat="false" ht="12.75" hidden="false" customHeight="false" outlineLevel="0" collapsed="false"/>
    <row r="6378" customFormat="false" ht="12.75" hidden="false" customHeight="false" outlineLevel="0" collapsed="false"/>
    <row r="6379" customFormat="false" ht="12.75" hidden="false" customHeight="false" outlineLevel="0" collapsed="false"/>
    <row r="6380" customFormat="false" ht="12.75" hidden="false" customHeight="false" outlineLevel="0" collapsed="false"/>
    <row r="6381" customFormat="false" ht="12.75" hidden="false" customHeight="false" outlineLevel="0" collapsed="false"/>
    <row r="6382" customFormat="false" ht="12.75" hidden="false" customHeight="false" outlineLevel="0" collapsed="false"/>
    <row r="6383" customFormat="false" ht="12.75" hidden="false" customHeight="false" outlineLevel="0" collapsed="false"/>
    <row r="6384" customFormat="false" ht="12.75" hidden="false" customHeight="false" outlineLevel="0" collapsed="false"/>
    <row r="6385" customFormat="false" ht="12.75" hidden="false" customHeight="false" outlineLevel="0" collapsed="false"/>
    <row r="6386" customFormat="false" ht="12.75" hidden="false" customHeight="false" outlineLevel="0" collapsed="false"/>
    <row r="6387" customFormat="false" ht="12.75" hidden="false" customHeight="false" outlineLevel="0" collapsed="false"/>
    <row r="6388" customFormat="false" ht="12.75" hidden="false" customHeight="false" outlineLevel="0" collapsed="false"/>
    <row r="6389" customFormat="false" ht="12.75" hidden="false" customHeight="false" outlineLevel="0" collapsed="false"/>
    <row r="6390" customFormat="false" ht="12.75" hidden="false" customHeight="false" outlineLevel="0" collapsed="false"/>
    <row r="6391" customFormat="false" ht="12.75" hidden="false" customHeight="false" outlineLevel="0" collapsed="false"/>
    <row r="6392" customFormat="false" ht="12.75" hidden="false" customHeight="false" outlineLevel="0" collapsed="false"/>
    <row r="6393" customFormat="false" ht="12.75" hidden="false" customHeight="false" outlineLevel="0" collapsed="false"/>
    <row r="6394" customFormat="false" ht="12.75" hidden="false" customHeight="false" outlineLevel="0" collapsed="false"/>
    <row r="6395" customFormat="false" ht="12.75" hidden="false" customHeight="false" outlineLevel="0" collapsed="false"/>
    <row r="6396" customFormat="false" ht="12.75" hidden="false" customHeight="false" outlineLevel="0" collapsed="false"/>
    <row r="6397" customFormat="false" ht="12.75" hidden="false" customHeight="false" outlineLevel="0" collapsed="false"/>
    <row r="6398" customFormat="false" ht="12.75" hidden="false" customHeight="false" outlineLevel="0" collapsed="false"/>
    <row r="6399" customFormat="false" ht="12.75" hidden="false" customHeight="false" outlineLevel="0" collapsed="false"/>
    <row r="6400" customFormat="false" ht="12.75" hidden="false" customHeight="false" outlineLevel="0" collapsed="false"/>
    <row r="6401" customFormat="false" ht="12.75" hidden="false" customHeight="false" outlineLevel="0" collapsed="false"/>
    <row r="6402" customFormat="false" ht="12.75" hidden="false" customHeight="false" outlineLevel="0" collapsed="false"/>
    <row r="6403" customFormat="false" ht="12.75" hidden="false" customHeight="false" outlineLevel="0" collapsed="false"/>
    <row r="6404" customFormat="false" ht="12.75" hidden="false" customHeight="false" outlineLevel="0" collapsed="false"/>
    <row r="6405" customFormat="false" ht="12.75" hidden="false" customHeight="false" outlineLevel="0" collapsed="false"/>
    <row r="6406" customFormat="false" ht="12.75" hidden="false" customHeight="false" outlineLevel="0" collapsed="false"/>
    <row r="6407" customFormat="false" ht="12.75" hidden="false" customHeight="false" outlineLevel="0" collapsed="false"/>
    <row r="6408" customFormat="false" ht="12.75" hidden="false" customHeight="false" outlineLevel="0" collapsed="false"/>
    <row r="6409" customFormat="false" ht="12.75" hidden="false" customHeight="false" outlineLevel="0" collapsed="false"/>
    <row r="6410" customFormat="false" ht="12.75" hidden="false" customHeight="false" outlineLevel="0" collapsed="false"/>
    <row r="6411" customFormat="false" ht="12.75" hidden="false" customHeight="false" outlineLevel="0" collapsed="false"/>
    <row r="6412" customFormat="false" ht="12.75" hidden="false" customHeight="false" outlineLevel="0" collapsed="false"/>
    <row r="6413" customFormat="false" ht="12.75" hidden="false" customHeight="false" outlineLevel="0" collapsed="false"/>
    <row r="6414" customFormat="false" ht="12.75" hidden="false" customHeight="false" outlineLevel="0" collapsed="false"/>
    <row r="6415" customFormat="false" ht="12.75" hidden="false" customHeight="false" outlineLevel="0" collapsed="false"/>
    <row r="6416" customFormat="false" ht="12.75" hidden="false" customHeight="false" outlineLevel="0" collapsed="false"/>
    <row r="6417" customFormat="false" ht="12.75" hidden="false" customHeight="false" outlineLevel="0" collapsed="false"/>
    <row r="6418" customFormat="false" ht="12.75" hidden="false" customHeight="false" outlineLevel="0" collapsed="false"/>
    <row r="6419" customFormat="false" ht="12.75" hidden="false" customHeight="false" outlineLevel="0" collapsed="false"/>
    <row r="6420" customFormat="false" ht="12.75" hidden="false" customHeight="false" outlineLevel="0" collapsed="false"/>
    <row r="6421" customFormat="false" ht="12.75" hidden="false" customHeight="false" outlineLevel="0" collapsed="false"/>
    <row r="6422" customFormat="false" ht="12.75" hidden="false" customHeight="false" outlineLevel="0" collapsed="false"/>
    <row r="6423" customFormat="false" ht="12.75" hidden="false" customHeight="false" outlineLevel="0" collapsed="false"/>
    <row r="6424" customFormat="false" ht="12.75" hidden="false" customHeight="false" outlineLevel="0" collapsed="false"/>
    <row r="6425" customFormat="false" ht="12.75" hidden="false" customHeight="false" outlineLevel="0" collapsed="false"/>
    <row r="6426" customFormat="false" ht="12.75" hidden="false" customHeight="false" outlineLevel="0" collapsed="false"/>
    <row r="6427" customFormat="false" ht="12.75" hidden="false" customHeight="false" outlineLevel="0" collapsed="false"/>
    <row r="6428" customFormat="false" ht="12.75" hidden="false" customHeight="false" outlineLevel="0" collapsed="false"/>
    <row r="6429" customFormat="false" ht="12.75" hidden="false" customHeight="false" outlineLevel="0" collapsed="false"/>
    <row r="6430" customFormat="false" ht="12.75" hidden="false" customHeight="false" outlineLevel="0" collapsed="false"/>
    <row r="6431" customFormat="false" ht="12.75" hidden="false" customHeight="false" outlineLevel="0" collapsed="false"/>
    <row r="6432" customFormat="false" ht="12.75" hidden="false" customHeight="false" outlineLevel="0" collapsed="false"/>
    <row r="6433" customFormat="false" ht="12.75" hidden="false" customHeight="false" outlineLevel="0" collapsed="false"/>
    <row r="6434" customFormat="false" ht="12.75" hidden="false" customHeight="false" outlineLevel="0" collapsed="false"/>
    <row r="6435" customFormat="false" ht="12.75" hidden="false" customHeight="false" outlineLevel="0" collapsed="false"/>
    <row r="6436" customFormat="false" ht="12.75" hidden="false" customHeight="false" outlineLevel="0" collapsed="false"/>
    <row r="6437" customFormat="false" ht="12.75" hidden="false" customHeight="false" outlineLevel="0" collapsed="false"/>
    <row r="6438" customFormat="false" ht="12.75" hidden="false" customHeight="false" outlineLevel="0" collapsed="false"/>
    <row r="6439" customFormat="false" ht="12.75" hidden="false" customHeight="false" outlineLevel="0" collapsed="false"/>
    <row r="6440" customFormat="false" ht="12.75" hidden="false" customHeight="false" outlineLevel="0" collapsed="false"/>
    <row r="6441" customFormat="false" ht="12.75" hidden="false" customHeight="false" outlineLevel="0" collapsed="false"/>
    <row r="6442" customFormat="false" ht="12.75" hidden="false" customHeight="false" outlineLevel="0" collapsed="false"/>
    <row r="6443" customFormat="false" ht="12.75" hidden="false" customHeight="false" outlineLevel="0" collapsed="false"/>
    <row r="6444" customFormat="false" ht="12.75" hidden="false" customHeight="false" outlineLevel="0" collapsed="false"/>
    <row r="6445" customFormat="false" ht="12.75" hidden="false" customHeight="false" outlineLevel="0" collapsed="false"/>
    <row r="6446" customFormat="false" ht="12.75" hidden="false" customHeight="false" outlineLevel="0" collapsed="false"/>
    <row r="6447" customFormat="false" ht="12.75" hidden="false" customHeight="false" outlineLevel="0" collapsed="false"/>
    <row r="6448" customFormat="false" ht="12.75" hidden="false" customHeight="false" outlineLevel="0" collapsed="false"/>
    <row r="6449" customFormat="false" ht="12.75" hidden="false" customHeight="false" outlineLevel="0" collapsed="false"/>
    <row r="6450" customFormat="false" ht="12.75" hidden="false" customHeight="false" outlineLevel="0" collapsed="false"/>
    <row r="6451" customFormat="false" ht="12.75" hidden="false" customHeight="false" outlineLevel="0" collapsed="false"/>
    <row r="6452" customFormat="false" ht="12.75" hidden="false" customHeight="false" outlineLevel="0" collapsed="false"/>
    <row r="6453" customFormat="false" ht="12.75" hidden="false" customHeight="false" outlineLevel="0" collapsed="false"/>
    <row r="6454" customFormat="false" ht="12.75" hidden="false" customHeight="false" outlineLevel="0" collapsed="false"/>
    <row r="6455" customFormat="false" ht="12.75" hidden="false" customHeight="false" outlineLevel="0" collapsed="false"/>
    <row r="6456" customFormat="false" ht="12.75" hidden="false" customHeight="false" outlineLevel="0" collapsed="false"/>
    <row r="6457" customFormat="false" ht="12.75" hidden="false" customHeight="false" outlineLevel="0" collapsed="false"/>
    <row r="6458" customFormat="false" ht="12.75" hidden="false" customHeight="false" outlineLevel="0" collapsed="false"/>
    <row r="6459" customFormat="false" ht="12.75" hidden="false" customHeight="false" outlineLevel="0" collapsed="false"/>
    <row r="6460" customFormat="false" ht="12.75" hidden="false" customHeight="false" outlineLevel="0" collapsed="false"/>
    <row r="6461" customFormat="false" ht="12.75" hidden="false" customHeight="false" outlineLevel="0" collapsed="false"/>
    <row r="6462" customFormat="false" ht="12.75" hidden="false" customHeight="false" outlineLevel="0" collapsed="false"/>
    <row r="6463" customFormat="false" ht="12.75" hidden="false" customHeight="false" outlineLevel="0" collapsed="false"/>
    <row r="6464" customFormat="false" ht="12.75" hidden="false" customHeight="false" outlineLevel="0" collapsed="false"/>
    <row r="6465" customFormat="false" ht="12.75" hidden="false" customHeight="false" outlineLevel="0" collapsed="false"/>
    <row r="6466" customFormat="false" ht="12.75" hidden="false" customHeight="false" outlineLevel="0" collapsed="false"/>
    <row r="6467" customFormat="false" ht="12.75" hidden="false" customHeight="false" outlineLevel="0" collapsed="false"/>
    <row r="6468" customFormat="false" ht="12.75" hidden="false" customHeight="false" outlineLevel="0" collapsed="false"/>
    <row r="6469" customFormat="false" ht="12.75" hidden="false" customHeight="false" outlineLevel="0" collapsed="false"/>
    <row r="6470" customFormat="false" ht="12.75" hidden="false" customHeight="false" outlineLevel="0" collapsed="false"/>
    <row r="6471" customFormat="false" ht="12.75" hidden="false" customHeight="false" outlineLevel="0" collapsed="false"/>
    <row r="6472" customFormat="false" ht="12.75" hidden="false" customHeight="false" outlineLevel="0" collapsed="false"/>
    <row r="6473" customFormat="false" ht="12.75" hidden="false" customHeight="false" outlineLevel="0" collapsed="false"/>
    <row r="6474" customFormat="false" ht="12.75" hidden="false" customHeight="false" outlineLevel="0" collapsed="false"/>
    <row r="6475" customFormat="false" ht="12.75" hidden="false" customHeight="false" outlineLevel="0" collapsed="false"/>
    <row r="6476" customFormat="false" ht="12.75" hidden="false" customHeight="false" outlineLevel="0" collapsed="false"/>
    <row r="6477" customFormat="false" ht="12.75" hidden="false" customHeight="false" outlineLevel="0" collapsed="false"/>
    <row r="6478" customFormat="false" ht="12.75" hidden="false" customHeight="false" outlineLevel="0" collapsed="false"/>
    <row r="6479" customFormat="false" ht="12.75" hidden="false" customHeight="false" outlineLevel="0" collapsed="false"/>
    <row r="6480" customFormat="false" ht="12.75" hidden="false" customHeight="false" outlineLevel="0" collapsed="false"/>
    <row r="6481" customFormat="false" ht="12.75" hidden="false" customHeight="false" outlineLevel="0" collapsed="false"/>
    <row r="6482" customFormat="false" ht="12.75" hidden="false" customHeight="false" outlineLevel="0" collapsed="false"/>
    <row r="6483" customFormat="false" ht="12.75" hidden="false" customHeight="false" outlineLevel="0" collapsed="false"/>
    <row r="6484" customFormat="false" ht="12.75" hidden="false" customHeight="false" outlineLevel="0" collapsed="false"/>
    <row r="6485" customFormat="false" ht="12.75" hidden="false" customHeight="false" outlineLevel="0" collapsed="false"/>
    <row r="6486" customFormat="false" ht="12.75" hidden="false" customHeight="false" outlineLevel="0" collapsed="false"/>
    <row r="6487" customFormat="false" ht="12.75" hidden="false" customHeight="false" outlineLevel="0" collapsed="false"/>
    <row r="6488" customFormat="false" ht="12.75" hidden="false" customHeight="false" outlineLevel="0" collapsed="false"/>
    <row r="6489" customFormat="false" ht="12.75" hidden="false" customHeight="false" outlineLevel="0" collapsed="false"/>
    <row r="6490" customFormat="false" ht="12.75" hidden="false" customHeight="false" outlineLevel="0" collapsed="false"/>
    <row r="6491" customFormat="false" ht="12.75" hidden="false" customHeight="false" outlineLevel="0" collapsed="false"/>
    <row r="6492" customFormat="false" ht="12.75" hidden="false" customHeight="false" outlineLevel="0" collapsed="false"/>
    <row r="6493" customFormat="false" ht="12.75" hidden="false" customHeight="false" outlineLevel="0" collapsed="false"/>
    <row r="6494" customFormat="false" ht="12.75" hidden="false" customHeight="false" outlineLevel="0" collapsed="false"/>
    <row r="6495" customFormat="false" ht="12.75" hidden="false" customHeight="false" outlineLevel="0" collapsed="false"/>
    <row r="6496" customFormat="false" ht="12.75" hidden="false" customHeight="false" outlineLevel="0" collapsed="false"/>
    <row r="6497" customFormat="false" ht="12.75" hidden="false" customHeight="false" outlineLevel="0" collapsed="false"/>
    <row r="6498" customFormat="false" ht="12.75" hidden="false" customHeight="false" outlineLevel="0" collapsed="false"/>
    <row r="6499" customFormat="false" ht="12.75" hidden="false" customHeight="false" outlineLevel="0" collapsed="false"/>
    <row r="6500" customFormat="false" ht="12.75" hidden="false" customHeight="false" outlineLevel="0" collapsed="false"/>
    <row r="6501" customFormat="false" ht="12.75" hidden="false" customHeight="false" outlineLevel="0" collapsed="false"/>
    <row r="6502" customFormat="false" ht="12.75" hidden="false" customHeight="false" outlineLevel="0" collapsed="false"/>
    <row r="6503" customFormat="false" ht="12.75" hidden="false" customHeight="false" outlineLevel="0" collapsed="false"/>
    <row r="6504" customFormat="false" ht="12.75" hidden="false" customHeight="false" outlineLevel="0" collapsed="false"/>
    <row r="6505" customFormat="false" ht="12.75" hidden="false" customHeight="false" outlineLevel="0" collapsed="false"/>
    <row r="6506" customFormat="false" ht="12.75" hidden="false" customHeight="false" outlineLevel="0" collapsed="false"/>
    <row r="6507" customFormat="false" ht="12.75" hidden="false" customHeight="false" outlineLevel="0" collapsed="false"/>
    <row r="6508" customFormat="false" ht="12.75" hidden="false" customHeight="false" outlineLevel="0" collapsed="false"/>
    <row r="6509" customFormat="false" ht="12.75" hidden="false" customHeight="false" outlineLevel="0" collapsed="false"/>
    <row r="6510" customFormat="false" ht="12.75" hidden="false" customHeight="false" outlineLevel="0" collapsed="false"/>
    <row r="6511" customFormat="false" ht="12.75" hidden="false" customHeight="false" outlineLevel="0" collapsed="false"/>
    <row r="6512" customFormat="false" ht="12.75" hidden="false" customHeight="false" outlineLevel="0" collapsed="false"/>
    <row r="6513" customFormat="false" ht="12.75" hidden="false" customHeight="false" outlineLevel="0" collapsed="false"/>
    <row r="6514" customFormat="false" ht="12.75" hidden="false" customHeight="false" outlineLevel="0" collapsed="false"/>
    <row r="6515" customFormat="false" ht="12.75" hidden="false" customHeight="false" outlineLevel="0" collapsed="false"/>
    <row r="6516" customFormat="false" ht="12.75" hidden="false" customHeight="false" outlineLevel="0" collapsed="false"/>
    <row r="6517" customFormat="false" ht="12.75" hidden="false" customHeight="false" outlineLevel="0" collapsed="false"/>
    <row r="6518" customFormat="false" ht="12.75" hidden="false" customHeight="false" outlineLevel="0" collapsed="false"/>
    <row r="6519" customFormat="false" ht="12.75" hidden="false" customHeight="false" outlineLevel="0" collapsed="false"/>
    <row r="6520" customFormat="false" ht="12.75" hidden="false" customHeight="false" outlineLevel="0" collapsed="false"/>
    <row r="6521" customFormat="false" ht="12.75" hidden="false" customHeight="false" outlineLevel="0" collapsed="false"/>
    <row r="6522" customFormat="false" ht="12.75" hidden="false" customHeight="false" outlineLevel="0" collapsed="false"/>
    <row r="6523" customFormat="false" ht="12.75" hidden="false" customHeight="false" outlineLevel="0" collapsed="false"/>
    <row r="6524" customFormat="false" ht="12.75" hidden="false" customHeight="false" outlineLevel="0" collapsed="false"/>
    <row r="6525" customFormat="false" ht="12.75" hidden="false" customHeight="false" outlineLevel="0" collapsed="false"/>
    <row r="6526" customFormat="false" ht="12.75" hidden="false" customHeight="false" outlineLevel="0" collapsed="false"/>
    <row r="6527" customFormat="false" ht="12.75" hidden="false" customHeight="false" outlineLevel="0" collapsed="false"/>
    <row r="6528" customFormat="false" ht="12.75" hidden="false" customHeight="false" outlineLevel="0" collapsed="false"/>
    <row r="6529" customFormat="false" ht="12.75" hidden="false" customHeight="false" outlineLevel="0" collapsed="false"/>
    <row r="6530" customFormat="false" ht="12.75" hidden="false" customHeight="false" outlineLevel="0" collapsed="false"/>
    <row r="6531" customFormat="false" ht="12.75" hidden="false" customHeight="false" outlineLevel="0" collapsed="false"/>
    <row r="6532" customFormat="false" ht="12.75" hidden="false" customHeight="false" outlineLevel="0" collapsed="false"/>
    <row r="6533" customFormat="false" ht="12.75" hidden="false" customHeight="false" outlineLevel="0" collapsed="false"/>
    <row r="6534" customFormat="false" ht="12.75" hidden="false" customHeight="false" outlineLevel="0" collapsed="false"/>
    <row r="6535" customFormat="false" ht="12.75" hidden="false" customHeight="false" outlineLevel="0" collapsed="false"/>
    <row r="6536" customFormat="false" ht="12.75" hidden="false" customHeight="false" outlineLevel="0" collapsed="false"/>
    <row r="6537" customFormat="false" ht="12.75" hidden="false" customHeight="false" outlineLevel="0" collapsed="false"/>
    <row r="6538" customFormat="false" ht="12.75" hidden="false" customHeight="false" outlineLevel="0" collapsed="false"/>
    <row r="6539" customFormat="false" ht="12.75" hidden="false" customHeight="false" outlineLevel="0" collapsed="false"/>
    <row r="6540" customFormat="false" ht="12.75" hidden="false" customHeight="false" outlineLevel="0" collapsed="false"/>
    <row r="6541" customFormat="false" ht="12.75" hidden="false" customHeight="false" outlineLevel="0" collapsed="false"/>
    <row r="6542" customFormat="false" ht="12.75" hidden="false" customHeight="false" outlineLevel="0" collapsed="false"/>
    <row r="6543" customFormat="false" ht="12.75" hidden="false" customHeight="false" outlineLevel="0" collapsed="false"/>
    <row r="6544" customFormat="false" ht="12.75" hidden="false" customHeight="false" outlineLevel="0" collapsed="false"/>
    <row r="6545" customFormat="false" ht="12.75" hidden="false" customHeight="false" outlineLevel="0" collapsed="false"/>
    <row r="6546" customFormat="false" ht="12.75" hidden="false" customHeight="false" outlineLevel="0" collapsed="false"/>
    <row r="6547" customFormat="false" ht="12.75" hidden="false" customHeight="false" outlineLevel="0" collapsed="false"/>
    <row r="6548" customFormat="false" ht="12.75" hidden="false" customHeight="false" outlineLevel="0" collapsed="false"/>
    <row r="6549" customFormat="false" ht="12.75" hidden="false" customHeight="false" outlineLevel="0" collapsed="false"/>
    <row r="6550" customFormat="false" ht="12.75" hidden="false" customHeight="false" outlineLevel="0" collapsed="false"/>
    <row r="6551" customFormat="false" ht="12.75" hidden="false" customHeight="false" outlineLevel="0" collapsed="false"/>
    <row r="6552" customFormat="false" ht="12.75" hidden="false" customHeight="false" outlineLevel="0" collapsed="false"/>
    <row r="6553" customFormat="false" ht="12.75" hidden="false" customHeight="false" outlineLevel="0" collapsed="false"/>
    <row r="6554" customFormat="false" ht="12.75" hidden="false" customHeight="false" outlineLevel="0" collapsed="false"/>
    <row r="6555" customFormat="false" ht="12.75" hidden="false" customHeight="false" outlineLevel="0" collapsed="false"/>
    <row r="6556" customFormat="false" ht="12.75" hidden="false" customHeight="false" outlineLevel="0" collapsed="false"/>
    <row r="6557" customFormat="false" ht="12.75" hidden="false" customHeight="false" outlineLevel="0" collapsed="false"/>
    <row r="6558" customFormat="false" ht="12.75" hidden="false" customHeight="false" outlineLevel="0" collapsed="false"/>
    <row r="6559" customFormat="false" ht="12.75" hidden="false" customHeight="false" outlineLevel="0" collapsed="false"/>
    <row r="6560" customFormat="false" ht="12.75" hidden="false" customHeight="false" outlineLevel="0" collapsed="false"/>
    <row r="6561" customFormat="false" ht="12.75" hidden="false" customHeight="false" outlineLevel="0" collapsed="false"/>
    <row r="6562" customFormat="false" ht="12.75" hidden="false" customHeight="false" outlineLevel="0" collapsed="false"/>
    <row r="6563" customFormat="false" ht="12.75" hidden="false" customHeight="false" outlineLevel="0" collapsed="false"/>
    <row r="6564" customFormat="false" ht="12.75" hidden="false" customHeight="false" outlineLevel="0" collapsed="false"/>
    <row r="6565" customFormat="false" ht="12.75" hidden="false" customHeight="false" outlineLevel="0" collapsed="false"/>
    <row r="6566" customFormat="false" ht="12.75" hidden="false" customHeight="false" outlineLevel="0" collapsed="false"/>
    <row r="6567" customFormat="false" ht="12.75" hidden="false" customHeight="false" outlineLevel="0" collapsed="false"/>
    <row r="6568" customFormat="false" ht="12.75" hidden="false" customHeight="false" outlineLevel="0" collapsed="false"/>
    <row r="6569" customFormat="false" ht="12.75" hidden="false" customHeight="false" outlineLevel="0" collapsed="false"/>
    <row r="6570" customFormat="false" ht="12.75" hidden="false" customHeight="false" outlineLevel="0" collapsed="false"/>
    <row r="6571" customFormat="false" ht="12.75" hidden="false" customHeight="false" outlineLevel="0" collapsed="false"/>
    <row r="6572" customFormat="false" ht="12.75" hidden="false" customHeight="false" outlineLevel="0" collapsed="false"/>
    <row r="6573" customFormat="false" ht="12.75" hidden="false" customHeight="false" outlineLevel="0" collapsed="false"/>
    <row r="6574" customFormat="false" ht="12.75" hidden="false" customHeight="false" outlineLevel="0" collapsed="false"/>
    <row r="6575" customFormat="false" ht="12.75" hidden="false" customHeight="false" outlineLevel="0" collapsed="false"/>
    <row r="6576" customFormat="false" ht="12.75" hidden="false" customHeight="false" outlineLevel="0" collapsed="false"/>
    <row r="6577" customFormat="false" ht="12.75" hidden="false" customHeight="false" outlineLevel="0" collapsed="false"/>
    <row r="6578" customFormat="false" ht="12.75" hidden="false" customHeight="false" outlineLevel="0" collapsed="false"/>
    <row r="6579" customFormat="false" ht="12.75" hidden="false" customHeight="false" outlineLevel="0" collapsed="false"/>
    <row r="6580" customFormat="false" ht="12.75" hidden="false" customHeight="false" outlineLevel="0" collapsed="false"/>
    <row r="6581" customFormat="false" ht="12.75" hidden="false" customHeight="false" outlineLevel="0" collapsed="false"/>
    <row r="6582" customFormat="false" ht="12.75" hidden="false" customHeight="false" outlineLevel="0" collapsed="false"/>
    <row r="6583" customFormat="false" ht="12.75" hidden="false" customHeight="false" outlineLevel="0" collapsed="false"/>
    <row r="6584" customFormat="false" ht="12.75" hidden="false" customHeight="false" outlineLevel="0" collapsed="false"/>
    <row r="6585" customFormat="false" ht="12.75" hidden="false" customHeight="false" outlineLevel="0" collapsed="false"/>
    <row r="6586" customFormat="false" ht="12.75" hidden="false" customHeight="false" outlineLevel="0" collapsed="false"/>
    <row r="6587" customFormat="false" ht="12.75" hidden="false" customHeight="false" outlineLevel="0" collapsed="false"/>
    <row r="6588" customFormat="false" ht="12.75" hidden="false" customHeight="false" outlineLevel="0" collapsed="false"/>
    <row r="6589" customFormat="false" ht="12.75" hidden="false" customHeight="false" outlineLevel="0" collapsed="false"/>
    <row r="6590" customFormat="false" ht="12.75" hidden="false" customHeight="false" outlineLevel="0" collapsed="false"/>
    <row r="6591" customFormat="false" ht="12.75" hidden="false" customHeight="false" outlineLevel="0" collapsed="false"/>
    <row r="6592" customFormat="false" ht="12.75" hidden="false" customHeight="false" outlineLevel="0" collapsed="false"/>
    <row r="6593" customFormat="false" ht="12.75" hidden="false" customHeight="false" outlineLevel="0" collapsed="false"/>
    <row r="6594" customFormat="false" ht="12.75" hidden="false" customHeight="false" outlineLevel="0" collapsed="false"/>
    <row r="6595" customFormat="false" ht="12.75" hidden="false" customHeight="false" outlineLevel="0" collapsed="false"/>
    <row r="6596" customFormat="false" ht="12.75" hidden="false" customHeight="false" outlineLevel="0" collapsed="false"/>
    <row r="6597" customFormat="false" ht="12.75" hidden="false" customHeight="false" outlineLevel="0" collapsed="false"/>
    <row r="6598" customFormat="false" ht="12.75" hidden="false" customHeight="false" outlineLevel="0" collapsed="false"/>
    <row r="6599" customFormat="false" ht="12.75" hidden="false" customHeight="false" outlineLevel="0" collapsed="false"/>
    <row r="6600" customFormat="false" ht="12.75" hidden="false" customHeight="false" outlineLevel="0" collapsed="false"/>
    <row r="6601" customFormat="false" ht="12.75" hidden="false" customHeight="false" outlineLevel="0" collapsed="false"/>
    <row r="6602" customFormat="false" ht="12.75" hidden="false" customHeight="false" outlineLevel="0" collapsed="false"/>
    <row r="6603" customFormat="false" ht="12.75" hidden="false" customHeight="false" outlineLevel="0" collapsed="false"/>
    <row r="6604" customFormat="false" ht="12.75" hidden="false" customHeight="false" outlineLevel="0" collapsed="false"/>
    <row r="6605" customFormat="false" ht="12.75" hidden="false" customHeight="false" outlineLevel="0" collapsed="false"/>
    <row r="6606" customFormat="false" ht="12.75" hidden="false" customHeight="false" outlineLevel="0" collapsed="false"/>
    <row r="6607" customFormat="false" ht="12.75" hidden="false" customHeight="false" outlineLevel="0" collapsed="false"/>
    <row r="6608" customFormat="false" ht="12.75" hidden="false" customHeight="false" outlineLevel="0" collapsed="false"/>
    <row r="6609" customFormat="false" ht="12.75" hidden="false" customHeight="false" outlineLevel="0" collapsed="false"/>
    <row r="6610" customFormat="false" ht="12.75" hidden="false" customHeight="false" outlineLevel="0" collapsed="false"/>
    <row r="6611" customFormat="false" ht="12.75" hidden="false" customHeight="false" outlineLevel="0" collapsed="false"/>
    <row r="6612" customFormat="false" ht="12.75" hidden="false" customHeight="false" outlineLevel="0" collapsed="false"/>
    <row r="6613" customFormat="false" ht="12.75" hidden="false" customHeight="false" outlineLevel="0" collapsed="false"/>
    <row r="6614" customFormat="false" ht="12.75" hidden="false" customHeight="false" outlineLevel="0" collapsed="false"/>
    <row r="6615" customFormat="false" ht="12.75" hidden="false" customHeight="false" outlineLevel="0" collapsed="false"/>
    <row r="6616" customFormat="false" ht="12.75" hidden="false" customHeight="false" outlineLevel="0" collapsed="false"/>
    <row r="6617" customFormat="false" ht="12.75" hidden="false" customHeight="false" outlineLevel="0" collapsed="false"/>
    <row r="6618" customFormat="false" ht="12.75" hidden="false" customHeight="false" outlineLevel="0" collapsed="false"/>
    <row r="6619" customFormat="false" ht="12.75" hidden="false" customHeight="false" outlineLevel="0" collapsed="false"/>
    <row r="6620" customFormat="false" ht="12.75" hidden="false" customHeight="false" outlineLevel="0" collapsed="false"/>
    <row r="6621" customFormat="false" ht="12.75" hidden="false" customHeight="false" outlineLevel="0" collapsed="false"/>
    <row r="6622" customFormat="false" ht="12.75" hidden="false" customHeight="false" outlineLevel="0" collapsed="false"/>
    <row r="6623" customFormat="false" ht="12.75" hidden="false" customHeight="false" outlineLevel="0" collapsed="false"/>
    <row r="6624" customFormat="false" ht="12.75" hidden="false" customHeight="false" outlineLevel="0" collapsed="false"/>
    <row r="6625" customFormat="false" ht="12.75" hidden="false" customHeight="false" outlineLevel="0" collapsed="false"/>
    <row r="6626" customFormat="false" ht="12.75" hidden="false" customHeight="false" outlineLevel="0" collapsed="false"/>
    <row r="6627" customFormat="false" ht="12.75" hidden="false" customHeight="false" outlineLevel="0" collapsed="false"/>
    <row r="6628" customFormat="false" ht="12.75" hidden="false" customHeight="false" outlineLevel="0" collapsed="false"/>
    <row r="6629" customFormat="false" ht="12.75" hidden="false" customHeight="false" outlineLevel="0" collapsed="false"/>
    <row r="6630" customFormat="false" ht="12.75" hidden="false" customHeight="false" outlineLevel="0" collapsed="false"/>
    <row r="6631" customFormat="false" ht="12.75" hidden="false" customHeight="false" outlineLevel="0" collapsed="false"/>
    <row r="6632" customFormat="false" ht="12.75" hidden="false" customHeight="false" outlineLevel="0" collapsed="false"/>
    <row r="6633" customFormat="false" ht="12.75" hidden="false" customHeight="false" outlineLevel="0" collapsed="false"/>
    <row r="6634" customFormat="false" ht="12.75" hidden="false" customHeight="false" outlineLevel="0" collapsed="false"/>
    <row r="6635" customFormat="false" ht="12.75" hidden="false" customHeight="false" outlineLevel="0" collapsed="false"/>
    <row r="6636" customFormat="false" ht="12.75" hidden="false" customHeight="false" outlineLevel="0" collapsed="false"/>
    <row r="6637" customFormat="false" ht="12.75" hidden="false" customHeight="false" outlineLevel="0" collapsed="false"/>
    <row r="6638" customFormat="false" ht="12.75" hidden="false" customHeight="false" outlineLevel="0" collapsed="false"/>
    <row r="6639" customFormat="false" ht="12.75" hidden="false" customHeight="false" outlineLevel="0" collapsed="false"/>
    <row r="6640" customFormat="false" ht="12.75" hidden="false" customHeight="false" outlineLevel="0" collapsed="false"/>
    <row r="6641" customFormat="false" ht="12.75" hidden="false" customHeight="false" outlineLevel="0" collapsed="false"/>
    <row r="6642" customFormat="false" ht="12.75" hidden="false" customHeight="false" outlineLevel="0" collapsed="false"/>
    <row r="6643" customFormat="false" ht="12.75" hidden="false" customHeight="false" outlineLevel="0" collapsed="false"/>
    <row r="6644" customFormat="false" ht="12.75" hidden="false" customHeight="false" outlineLevel="0" collapsed="false"/>
    <row r="6645" customFormat="false" ht="12.75" hidden="false" customHeight="false" outlineLevel="0" collapsed="false"/>
    <row r="6646" customFormat="false" ht="12.75" hidden="false" customHeight="false" outlineLevel="0" collapsed="false"/>
    <row r="6647" customFormat="false" ht="12.75" hidden="false" customHeight="false" outlineLevel="0" collapsed="false"/>
    <row r="6648" customFormat="false" ht="12.75" hidden="false" customHeight="false" outlineLevel="0" collapsed="false"/>
    <row r="6649" customFormat="false" ht="12.75" hidden="false" customHeight="false" outlineLevel="0" collapsed="false"/>
    <row r="6650" customFormat="false" ht="12.75" hidden="false" customHeight="false" outlineLevel="0" collapsed="false"/>
    <row r="6651" customFormat="false" ht="12.75" hidden="false" customHeight="false" outlineLevel="0" collapsed="false"/>
    <row r="6652" customFormat="false" ht="12.75" hidden="false" customHeight="false" outlineLevel="0" collapsed="false"/>
    <row r="6653" customFormat="false" ht="12.75" hidden="false" customHeight="false" outlineLevel="0" collapsed="false"/>
    <row r="6654" customFormat="false" ht="12.75" hidden="false" customHeight="false" outlineLevel="0" collapsed="false"/>
    <row r="6655" customFormat="false" ht="12.75" hidden="false" customHeight="false" outlineLevel="0" collapsed="false"/>
    <row r="6656" customFormat="false" ht="12.75" hidden="false" customHeight="false" outlineLevel="0" collapsed="false"/>
    <row r="6657" customFormat="false" ht="12.75" hidden="false" customHeight="false" outlineLevel="0" collapsed="false"/>
    <row r="6658" customFormat="false" ht="12.75" hidden="false" customHeight="false" outlineLevel="0" collapsed="false"/>
    <row r="6659" customFormat="false" ht="12.75" hidden="false" customHeight="false" outlineLevel="0" collapsed="false"/>
    <row r="6660" customFormat="false" ht="12.75" hidden="false" customHeight="false" outlineLevel="0" collapsed="false"/>
    <row r="6661" customFormat="false" ht="12.75" hidden="false" customHeight="false" outlineLevel="0" collapsed="false"/>
    <row r="6662" customFormat="false" ht="12.75" hidden="false" customHeight="false" outlineLevel="0" collapsed="false"/>
    <row r="6663" customFormat="false" ht="12.75" hidden="false" customHeight="false" outlineLevel="0" collapsed="false"/>
    <row r="6664" customFormat="false" ht="12.75" hidden="false" customHeight="false" outlineLevel="0" collapsed="false"/>
    <row r="6665" customFormat="false" ht="12.75" hidden="false" customHeight="false" outlineLevel="0" collapsed="false"/>
    <row r="6666" customFormat="false" ht="12.75" hidden="false" customHeight="false" outlineLevel="0" collapsed="false"/>
    <row r="6667" customFormat="false" ht="12.75" hidden="false" customHeight="false" outlineLevel="0" collapsed="false"/>
    <row r="6668" customFormat="false" ht="12.75" hidden="false" customHeight="false" outlineLevel="0" collapsed="false"/>
    <row r="6669" customFormat="false" ht="12.75" hidden="false" customHeight="false" outlineLevel="0" collapsed="false"/>
    <row r="6670" customFormat="false" ht="12.75" hidden="false" customHeight="false" outlineLevel="0" collapsed="false"/>
    <row r="6671" customFormat="false" ht="12.75" hidden="false" customHeight="false" outlineLevel="0" collapsed="false"/>
    <row r="6672" customFormat="false" ht="12.75" hidden="false" customHeight="false" outlineLevel="0" collapsed="false"/>
    <row r="6673" customFormat="false" ht="12.75" hidden="false" customHeight="false" outlineLevel="0" collapsed="false"/>
    <row r="6674" customFormat="false" ht="12.75" hidden="false" customHeight="false" outlineLevel="0" collapsed="false"/>
    <row r="6675" customFormat="false" ht="12.75" hidden="false" customHeight="false" outlineLevel="0" collapsed="false"/>
    <row r="6676" customFormat="false" ht="12.75" hidden="false" customHeight="false" outlineLevel="0" collapsed="false"/>
    <row r="6677" customFormat="false" ht="12.75" hidden="false" customHeight="false" outlineLevel="0" collapsed="false"/>
    <row r="6678" customFormat="false" ht="12.75" hidden="false" customHeight="false" outlineLevel="0" collapsed="false"/>
    <row r="6679" customFormat="false" ht="12.75" hidden="false" customHeight="false" outlineLevel="0" collapsed="false"/>
    <row r="6680" customFormat="false" ht="12.75" hidden="false" customHeight="false" outlineLevel="0" collapsed="false"/>
    <row r="6681" customFormat="false" ht="12.75" hidden="false" customHeight="false" outlineLevel="0" collapsed="false"/>
    <row r="6682" customFormat="false" ht="12.75" hidden="false" customHeight="false" outlineLevel="0" collapsed="false"/>
    <row r="6683" customFormat="false" ht="12.75" hidden="false" customHeight="false" outlineLevel="0" collapsed="false"/>
    <row r="6684" customFormat="false" ht="12.75" hidden="false" customHeight="false" outlineLevel="0" collapsed="false"/>
    <row r="6685" customFormat="false" ht="12.75" hidden="false" customHeight="false" outlineLevel="0" collapsed="false"/>
    <row r="6686" customFormat="false" ht="12.75" hidden="false" customHeight="false" outlineLevel="0" collapsed="false"/>
    <row r="6687" customFormat="false" ht="12.75" hidden="false" customHeight="false" outlineLevel="0" collapsed="false"/>
    <row r="6688" customFormat="false" ht="12.75" hidden="false" customHeight="false" outlineLevel="0" collapsed="false"/>
    <row r="6689" customFormat="false" ht="12.75" hidden="false" customHeight="false" outlineLevel="0" collapsed="false"/>
    <row r="6690" customFormat="false" ht="12.75" hidden="false" customHeight="false" outlineLevel="0" collapsed="false"/>
    <row r="6691" customFormat="false" ht="12.75" hidden="false" customHeight="false" outlineLevel="0" collapsed="false"/>
    <row r="6692" customFormat="false" ht="12.75" hidden="false" customHeight="false" outlineLevel="0" collapsed="false"/>
    <row r="6693" customFormat="false" ht="12.75" hidden="false" customHeight="false" outlineLevel="0" collapsed="false"/>
    <row r="6694" customFormat="false" ht="12.75" hidden="false" customHeight="false" outlineLevel="0" collapsed="false"/>
    <row r="6695" customFormat="false" ht="12.75" hidden="false" customHeight="false" outlineLevel="0" collapsed="false"/>
    <row r="6696" customFormat="false" ht="12.75" hidden="false" customHeight="false" outlineLevel="0" collapsed="false"/>
    <row r="6697" customFormat="false" ht="12.75" hidden="false" customHeight="false" outlineLevel="0" collapsed="false"/>
    <row r="6698" customFormat="false" ht="12.75" hidden="false" customHeight="false" outlineLevel="0" collapsed="false"/>
    <row r="6699" customFormat="false" ht="12.75" hidden="false" customHeight="false" outlineLevel="0" collapsed="false"/>
    <row r="6700" customFormat="false" ht="12.75" hidden="false" customHeight="false" outlineLevel="0" collapsed="false"/>
    <row r="6701" customFormat="false" ht="12.75" hidden="false" customHeight="false" outlineLevel="0" collapsed="false"/>
    <row r="6702" customFormat="false" ht="12.75" hidden="false" customHeight="false" outlineLevel="0" collapsed="false"/>
    <row r="6703" customFormat="false" ht="12.75" hidden="false" customHeight="false" outlineLevel="0" collapsed="false"/>
    <row r="6704" customFormat="false" ht="12.75" hidden="false" customHeight="false" outlineLevel="0" collapsed="false"/>
    <row r="6705" customFormat="false" ht="12.75" hidden="false" customHeight="false" outlineLevel="0" collapsed="false"/>
    <row r="6706" customFormat="false" ht="12.75" hidden="false" customHeight="false" outlineLevel="0" collapsed="false"/>
    <row r="6707" customFormat="false" ht="12.75" hidden="false" customHeight="false" outlineLevel="0" collapsed="false"/>
    <row r="6708" customFormat="false" ht="12.75" hidden="false" customHeight="false" outlineLevel="0" collapsed="false"/>
    <row r="6709" customFormat="false" ht="12.75" hidden="false" customHeight="false" outlineLevel="0" collapsed="false"/>
    <row r="6710" customFormat="false" ht="12.75" hidden="false" customHeight="false" outlineLevel="0" collapsed="false"/>
    <row r="6711" customFormat="false" ht="12.75" hidden="false" customHeight="false" outlineLevel="0" collapsed="false"/>
    <row r="6712" customFormat="false" ht="12.75" hidden="false" customHeight="false" outlineLevel="0" collapsed="false"/>
    <row r="6713" customFormat="false" ht="12.75" hidden="false" customHeight="false" outlineLevel="0" collapsed="false"/>
    <row r="6714" customFormat="false" ht="12.75" hidden="false" customHeight="false" outlineLevel="0" collapsed="false"/>
    <row r="6715" customFormat="false" ht="12.75" hidden="false" customHeight="false" outlineLevel="0" collapsed="false"/>
    <row r="6716" customFormat="false" ht="12.75" hidden="false" customHeight="false" outlineLevel="0" collapsed="false"/>
    <row r="6717" customFormat="false" ht="12.75" hidden="false" customHeight="false" outlineLevel="0" collapsed="false"/>
    <row r="6718" customFormat="false" ht="12.75" hidden="false" customHeight="false" outlineLevel="0" collapsed="false"/>
    <row r="6719" customFormat="false" ht="12.75" hidden="false" customHeight="false" outlineLevel="0" collapsed="false"/>
    <row r="6720" customFormat="false" ht="12.75" hidden="false" customHeight="false" outlineLevel="0" collapsed="false"/>
    <row r="6721" customFormat="false" ht="12.75" hidden="false" customHeight="false" outlineLevel="0" collapsed="false"/>
    <row r="6722" customFormat="false" ht="12.75" hidden="false" customHeight="false" outlineLevel="0" collapsed="false"/>
    <row r="6723" customFormat="false" ht="12.75" hidden="false" customHeight="false" outlineLevel="0" collapsed="false"/>
    <row r="6724" customFormat="false" ht="12.75" hidden="false" customHeight="false" outlineLevel="0" collapsed="false"/>
    <row r="6725" customFormat="false" ht="12.75" hidden="false" customHeight="false" outlineLevel="0" collapsed="false"/>
    <row r="6726" customFormat="false" ht="12.75" hidden="false" customHeight="false" outlineLevel="0" collapsed="false"/>
    <row r="6727" customFormat="false" ht="12.75" hidden="false" customHeight="false" outlineLevel="0" collapsed="false"/>
    <row r="6728" customFormat="false" ht="12.75" hidden="false" customHeight="false" outlineLevel="0" collapsed="false"/>
    <row r="6729" customFormat="false" ht="12.75" hidden="false" customHeight="false" outlineLevel="0" collapsed="false"/>
    <row r="6730" customFormat="false" ht="12.75" hidden="false" customHeight="false" outlineLevel="0" collapsed="false"/>
    <row r="6731" customFormat="false" ht="12.75" hidden="false" customHeight="false" outlineLevel="0" collapsed="false"/>
    <row r="6732" customFormat="false" ht="12.75" hidden="false" customHeight="false" outlineLevel="0" collapsed="false"/>
    <row r="6733" customFormat="false" ht="12.75" hidden="false" customHeight="false" outlineLevel="0" collapsed="false"/>
    <row r="6734" customFormat="false" ht="12.75" hidden="false" customHeight="false" outlineLevel="0" collapsed="false"/>
    <row r="6735" customFormat="false" ht="12.75" hidden="false" customHeight="false" outlineLevel="0" collapsed="false"/>
    <row r="6736" customFormat="false" ht="12.75" hidden="false" customHeight="false" outlineLevel="0" collapsed="false"/>
    <row r="6737" customFormat="false" ht="12.75" hidden="false" customHeight="false" outlineLevel="0" collapsed="false"/>
    <row r="6738" customFormat="false" ht="12.75" hidden="false" customHeight="false" outlineLevel="0" collapsed="false"/>
    <row r="6739" customFormat="false" ht="12.75" hidden="false" customHeight="false" outlineLevel="0" collapsed="false"/>
    <row r="6740" customFormat="false" ht="12.75" hidden="false" customHeight="false" outlineLevel="0" collapsed="false"/>
    <row r="6741" customFormat="false" ht="12.75" hidden="false" customHeight="false" outlineLevel="0" collapsed="false"/>
    <row r="6742" customFormat="false" ht="12.75" hidden="false" customHeight="false" outlineLevel="0" collapsed="false"/>
    <row r="6743" customFormat="false" ht="12.75" hidden="false" customHeight="false" outlineLevel="0" collapsed="false"/>
    <row r="6744" customFormat="false" ht="12.75" hidden="false" customHeight="false" outlineLevel="0" collapsed="false"/>
    <row r="6745" customFormat="false" ht="12.75" hidden="false" customHeight="false" outlineLevel="0" collapsed="false"/>
    <row r="6746" customFormat="false" ht="12.75" hidden="false" customHeight="false" outlineLevel="0" collapsed="false"/>
    <row r="6747" customFormat="false" ht="12.75" hidden="false" customHeight="false" outlineLevel="0" collapsed="false"/>
    <row r="6748" customFormat="false" ht="12.75" hidden="false" customHeight="false" outlineLevel="0" collapsed="false"/>
    <row r="6749" customFormat="false" ht="12.75" hidden="false" customHeight="false" outlineLevel="0" collapsed="false"/>
    <row r="6750" customFormat="false" ht="12.75" hidden="false" customHeight="false" outlineLevel="0" collapsed="false"/>
    <row r="6751" customFormat="false" ht="12.75" hidden="false" customHeight="false" outlineLevel="0" collapsed="false"/>
    <row r="6752" customFormat="false" ht="12.75" hidden="false" customHeight="false" outlineLevel="0" collapsed="false"/>
    <row r="6753" customFormat="false" ht="12.75" hidden="false" customHeight="false" outlineLevel="0" collapsed="false"/>
    <row r="6754" customFormat="false" ht="12.75" hidden="false" customHeight="false" outlineLevel="0" collapsed="false"/>
    <row r="6755" customFormat="false" ht="12.75" hidden="false" customHeight="false" outlineLevel="0" collapsed="false"/>
    <row r="6756" customFormat="false" ht="12.75" hidden="false" customHeight="false" outlineLevel="0" collapsed="false"/>
    <row r="6757" customFormat="false" ht="12.75" hidden="false" customHeight="false" outlineLevel="0" collapsed="false"/>
    <row r="6758" customFormat="false" ht="12.75" hidden="false" customHeight="false" outlineLevel="0" collapsed="false"/>
    <row r="6759" customFormat="false" ht="12.75" hidden="false" customHeight="false" outlineLevel="0" collapsed="false"/>
    <row r="6760" customFormat="false" ht="12.75" hidden="false" customHeight="false" outlineLevel="0" collapsed="false"/>
    <row r="6761" customFormat="false" ht="12.75" hidden="false" customHeight="false" outlineLevel="0" collapsed="false"/>
    <row r="6762" customFormat="false" ht="12.75" hidden="false" customHeight="false" outlineLevel="0" collapsed="false"/>
    <row r="6763" customFormat="false" ht="12.75" hidden="false" customHeight="false" outlineLevel="0" collapsed="false"/>
    <row r="6764" customFormat="false" ht="12.75" hidden="false" customHeight="false" outlineLevel="0" collapsed="false"/>
    <row r="6765" customFormat="false" ht="12.75" hidden="false" customHeight="false" outlineLevel="0" collapsed="false"/>
    <row r="6766" customFormat="false" ht="12.75" hidden="false" customHeight="false" outlineLevel="0" collapsed="false"/>
    <row r="6767" customFormat="false" ht="12.75" hidden="false" customHeight="false" outlineLevel="0" collapsed="false"/>
    <row r="6768" customFormat="false" ht="12.75" hidden="false" customHeight="false" outlineLevel="0" collapsed="false"/>
    <row r="6769" customFormat="false" ht="12.75" hidden="false" customHeight="false" outlineLevel="0" collapsed="false"/>
    <row r="6770" customFormat="false" ht="12.75" hidden="false" customHeight="false" outlineLevel="0" collapsed="false"/>
    <row r="6771" customFormat="false" ht="12.75" hidden="false" customHeight="false" outlineLevel="0" collapsed="false"/>
    <row r="6772" customFormat="false" ht="12.75" hidden="false" customHeight="false" outlineLevel="0" collapsed="false"/>
    <row r="6773" customFormat="false" ht="12.75" hidden="false" customHeight="false" outlineLevel="0" collapsed="false"/>
    <row r="6774" customFormat="false" ht="12.75" hidden="false" customHeight="false" outlineLevel="0" collapsed="false"/>
    <row r="6775" customFormat="false" ht="12.75" hidden="false" customHeight="false" outlineLevel="0" collapsed="false"/>
    <row r="6776" customFormat="false" ht="12.75" hidden="false" customHeight="false" outlineLevel="0" collapsed="false"/>
    <row r="6777" customFormat="false" ht="12.75" hidden="false" customHeight="false" outlineLevel="0" collapsed="false"/>
    <row r="6778" customFormat="false" ht="12.75" hidden="false" customHeight="false" outlineLevel="0" collapsed="false"/>
    <row r="6779" customFormat="false" ht="12.75" hidden="false" customHeight="false" outlineLevel="0" collapsed="false"/>
    <row r="6780" customFormat="false" ht="12.75" hidden="false" customHeight="false" outlineLevel="0" collapsed="false"/>
    <row r="6781" customFormat="false" ht="12.75" hidden="false" customHeight="false" outlineLevel="0" collapsed="false"/>
    <row r="6782" customFormat="false" ht="12.75" hidden="false" customHeight="false" outlineLevel="0" collapsed="false"/>
    <row r="6783" customFormat="false" ht="12.75" hidden="false" customHeight="false" outlineLevel="0" collapsed="false"/>
    <row r="6784" customFormat="false" ht="12.75" hidden="false" customHeight="false" outlineLevel="0" collapsed="false"/>
    <row r="6785" customFormat="false" ht="12.75" hidden="false" customHeight="false" outlineLevel="0" collapsed="false"/>
    <row r="6786" customFormat="false" ht="12.75" hidden="false" customHeight="false" outlineLevel="0" collapsed="false"/>
    <row r="6787" customFormat="false" ht="12.75" hidden="false" customHeight="false" outlineLevel="0" collapsed="false"/>
    <row r="6788" customFormat="false" ht="12.75" hidden="false" customHeight="false" outlineLevel="0" collapsed="false"/>
    <row r="6789" customFormat="false" ht="12.75" hidden="false" customHeight="false" outlineLevel="0" collapsed="false"/>
    <row r="6790" customFormat="false" ht="12.75" hidden="false" customHeight="false" outlineLevel="0" collapsed="false"/>
    <row r="6791" customFormat="false" ht="12.75" hidden="false" customHeight="false" outlineLevel="0" collapsed="false"/>
    <row r="6792" customFormat="false" ht="12.75" hidden="false" customHeight="false" outlineLevel="0" collapsed="false"/>
    <row r="6793" customFormat="false" ht="12.75" hidden="false" customHeight="false" outlineLevel="0" collapsed="false"/>
    <row r="6794" customFormat="false" ht="12.75" hidden="false" customHeight="false" outlineLevel="0" collapsed="false"/>
    <row r="6795" customFormat="false" ht="12.75" hidden="false" customHeight="false" outlineLevel="0" collapsed="false"/>
    <row r="6796" customFormat="false" ht="12.75" hidden="false" customHeight="false" outlineLevel="0" collapsed="false"/>
    <row r="6797" customFormat="false" ht="12.75" hidden="false" customHeight="false" outlineLevel="0" collapsed="false"/>
    <row r="6798" customFormat="false" ht="12.75" hidden="false" customHeight="false" outlineLevel="0" collapsed="false"/>
    <row r="6799" customFormat="false" ht="12.75" hidden="false" customHeight="false" outlineLevel="0" collapsed="false"/>
    <row r="6800" customFormat="false" ht="12.75" hidden="false" customHeight="false" outlineLevel="0" collapsed="false"/>
    <row r="6801" customFormat="false" ht="12.75" hidden="false" customHeight="false" outlineLevel="0" collapsed="false"/>
    <row r="6802" customFormat="false" ht="12.75" hidden="false" customHeight="false" outlineLevel="0" collapsed="false"/>
    <row r="6803" customFormat="false" ht="12.75" hidden="false" customHeight="false" outlineLevel="0" collapsed="false"/>
    <row r="6804" customFormat="false" ht="12.75" hidden="false" customHeight="false" outlineLevel="0" collapsed="false"/>
    <row r="6805" customFormat="false" ht="12.75" hidden="false" customHeight="false" outlineLevel="0" collapsed="false"/>
    <row r="6806" customFormat="false" ht="12.75" hidden="false" customHeight="false" outlineLevel="0" collapsed="false"/>
    <row r="6807" customFormat="false" ht="12.75" hidden="false" customHeight="false" outlineLevel="0" collapsed="false"/>
    <row r="6808" customFormat="false" ht="12.75" hidden="false" customHeight="false" outlineLevel="0" collapsed="false"/>
    <row r="6809" customFormat="false" ht="12.75" hidden="false" customHeight="false" outlineLevel="0" collapsed="false"/>
    <row r="6810" customFormat="false" ht="12.75" hidden="false" customHeight="false" outlineLevel="0" collapsed="false"/>
    <row r="6811" customFormat="false" ht="12.75" hidden="false" customHeight="false" outlineLevel="0" collapsed="false"/>
    <row r="6812" customFormat="false" ht="12.75" hidden="false" customHeight="false" outlineLevel="0" collapsed="false"/>
    <row r="6813" customFormat="false" ht="12.75" hidden="false" customHeight="false" outlineLevel="0" collapsed="false"/>
    <row r="6814" customFormat="false" ht="12.75" hidden="false" customHeight="false" outlineLevel="0" collapsed="false"/>
    <row r="6815" customFormat="false" ht="12.75" hidden="false" customHeight="false" outlineLevel="0" collapsed="false"/>
    <row r="6816" customFormat="false" ht="12.75" hidden="false" customHeight="false" outlineLevel="0" collapsed="false"/>
    <row r="6817" customFormat="false" ht="12.75" hidden="false" customHeight="false" outlineLevel="0" collapsed="false"/>
    <row r="6818" customFormat="false" ht="12.75" hidden="false" customHeight="false" outlineLevel="0" collapsed="false"/>
    <row r="6819" customFormat="false" ht="12.75" hidden="false" customHeight="false" outlineLevel="0" collapsed="false"/>
    <row r="6820" customFormat="false" ht="12.75" hidden="false" customHeight="false" outlineLevel="0" collapsed="false"/>
    <row r="6821" customFormat="false" ht="12.75" hidden="false" customHeight="false" outlineLevel="0" collapsed="false"/>
    <row r="6822" customFormat="false" ht="12.75" hidden="false" customHeight="false" outlineLevel="0" collapsed="false"/>
    <row r="6823" customFormat="false" ht="12.75" hidden="false" customHeight="false" outlineLevel="0" collapsed="false"/>
    <row r="6824" customFormat="false" ht="12.75" hidden="false" customHeight="false" outlineLevel="0" collapsed="false"/>
    <row r="6825" customFormat="false" ht="12.75" hidden="false" customHeight="false" outlineLevel="0" collapsed="false"/>
    <row r="6826" customFormat="false" ht="12.75" hidden="false" customHeight="false" outlineLevel="0" collapsed="false"/>
    <row r="6827" customFormat="false" ht="12.75" hidden="false" customHeight="false" outlineLevel="0" collapsed="false"/>
    <row r="6828" customFormat="false" ht="12.75" hidden="false" customHeight="false" outlineLevel="0" collapsed="false"/>
    <row r="6829" customFormat="false" ht="12.75" hidden="false" customHeight="false" outlineLevel="0" collapsed="false"/>
    <row r="6830" customFormat="false" ht="12.75" hidden="false" customHeight="false" outlineLevel="0" collapsed="false"/>
    <row r="6831" customFormat="false" ht="12.75" hidden="false" customHeight="false" outlineLevel="0" collapsed="false"/>
    <row r="6832" customFormat="false" ht="12.75" hidden="false" customHeight="false" outlineLevel="0" collapsed="false"/>
    <row r="6833" customFormat="false" ht="12.75" hidden="false" customHeight="false" outlineLevel="0" collapsed="false"/>
    <row r="6834" customFormat="false" ht="12.75" hidden="false" customHeight="false" outlineLevel="0" collapsed="false"/>
    <row r="6835" customFormat="false" ht="12.75" hidden="false" customHeight="false" outlineLevel="0" collapsed="false"/>
    <row r="6836" customFormat="false" ht="12.75" hidden="false" customHeight="false" outlineLevel="0" collapsed="false"/>
    <row r="6837" customFormat="false" ht="12.75" hidden="false" customHeight="false" outlineLevel="0" collapsed="false"/>
    <row r="6838" customFormat="false" ht="12.75" hidden="false" customHeight="false" outlineLevel="0" collapsed="false"/>
    <row r="6839" customFormat="false" ht="12.75" hidden="false" customHeight="false" outlineLevel="0" collapsed="false"/>
    <row r="6840" customFormat="false" ht="12.75" hidden="false" customHeight="false" outlineLevel="0" collapsed="false"/>
    <row r="6841" customFormat="false" ht="12.75" hidden="false" customHeight="false" outlineLevel="0" collapsed="false"/>
    <row r="6842" customFormat="false" ht="12.75" hidden="false" customHeight="false" outlineLevel="0" collapsed="false"/>
    <row r="6843" customFormat="false" ht="12.75" hidden="false" customHeight="false" outlineLevel="0" collapsed="false"/>
    <row r="6844" customFormat="false" ht="12.75" hidden="false" customHeight="false" outlineLevel="0" collapsed="false"/>
    <row r="6845" customFormat="false" ht="12.75" hidden="false" customHeight="false" outlineLevel="0" collapsed="false"/>
    <row r="6846" customFormat="false" ht="12.75" hidden="false" customHeight="false" outlineLevel="0" collapsed="false"/>
    <row r="6847" customFormat="false" ht="12.75" hidden="false" customHeight="false" outlineLevel="0" collapsed="false"/>
    <row r="6848" customFormat="false" ht="12.75" hidden="false" customHeight="false" outlineLevel="0" collapsed="false"/>
    <row r="6849" customFormat="false" ht="12.75" hidden="false" customHeight="false" outlineLevel="0" collapsed="false"/>
    <row r="6850" customFormat="false" ht="12.75" hidden="false" customHeight="false" outlineLevel="0" collapsed="false"/>
    <row r="6851" customFormat="false" ht="12.75" hidden="false" customHeight="false" outlineLevel="0" collapsed="false"/>
    <row r="6852" customFormat="false" ht="12.75" hidden="false" customHeight="false" outlineLevel="0" collapsed="false"/>
    <row r="6853" customFormat="false" ht="12.75" hidden="false" customHeight="false" outlineLevel="0" collapsed="false"/>
    <row r="6854" customFormat="false" ht="12.75" hidden="false" customHeight="false" outlineLevel="0" collapsed="false"/>
    <row r="6855" customFormat="false" ht="12.75" hidden="false" customHeight="false" outlineLevel="0" collapsed="false"/>
    <row r="6856" customFormat="false" ht="12.75" hidden="false" customHeight="false" outlineLevel="0" collapsed="false"/>
    <row r="6857" customFormat="false" ht="12.75" hidden="false" customHeight="false" outlineLevel="0" collapsed="false"/>
    <row r="6858" customFormat="false" ht="12.75" hidden="false" customHeight="false" outlineLevel="0" collapsed="false"/>
    <row r="6859" customFormat="false" ht="12.75" hidden="false" customHeight="false" outlineLevel="0" collapsed="false"/>
    <row r="6860" customFormat="false" ht="12.75" hidden="false" customHeight="false" outlineLevel="0" collapsed="false"/>
    <row r="6861" customFormat="false" ht="12.75" hidden="false" customHeight="false" outlineLevel="0" collapsed="false"/>
    <row r="6862" customFormat="false" ht="12.75" hidden="false" customHeight="false" outlineLevel="0" collapsed="false"/>
    <row r="6863" customFormat="false" ht="12.75" hidden="false" customHeight="false" outlineLevel="0" collapsed="false"/>
    <row r="6864" customFormat="false" ht="12.75" hidden="false" customHeight="false" outlineLevel="0" collapsed="false"/>
    <row r="6865" customFormat="false" ht="12.75" hidden="false" customHeight="false" outlineLevel="0" collapsed="false"/>
    <row r="6866" customFormat="false" ht="12.75" hidden="false" customHeight="false" outlineLevel="0" collapsed="false"/>
    <row r="6867" customFormat="false" ht="12.75" hidden="false" customHeight="false" outlineLevel="0" collapsed="false"/>
    <row r="6868" customFormat="false" ht="12.75" hidden="false" customHeight="false" outlineLevel="0" collapsed="false"/>
    <row r="6869" customFormat="false" ht="12.75" hidden="false" customHeight="false" outlineLevel="0" collapsed="false"/>
    <row r="6870" customFormat="false" ht="12.75" hidden="false" customHeight="false" outlineLevel="0" collapsed="false"/>
    <row r="6871" customFormat="false" ht="12.75" hidden="false" customHeight="false" outlineLevel="0" collapsed="false"/>
    <row r="6872" customFormat="false" ht="12.75" hidden="false" customHeight="false" outlineLevel="0" collapsed="false"/>
    <row r="6873" customFormat="false" ht="12.75" hidden="false" customHeight="false" outlineLevel="0" collapsed="false"/>
    <row r="6874" customFormat="false" ht="12.75" hidden="false" customHeight="false" outlineLevel="0" collapsed="false"/>
    <row r="6875" customFormat="false" ht="12.75" hidden="false" customHeight="false" outlineLevel="0" collapsed="false"/>
    <row r="6876" customFormat="false" ht="12.75" hidden="false" customHeight="false" outlineLevel="0" collapsed="false"/>
    <row r="6877" customFormat="false" ht="12.75" hidden="false" customHeight="false" outlineLevel="0" collapsed="false"/>
    <row r="6878" customFormat="false" ht="12.75" hidden="false" customHeight="false" outlineLevel="0" collapsed="false"/>
    <row r="6879" customFormat="false" ht="12.75" hidden="false" customHeight="false" outlineLevel="0" collapsed="false"/>
    <row r="6880" customFormat="false" ht="12.75" hidden="false" customHeight="false" outlineLevel="0" collapsed="false"/>
    <row r="6881" customFormat="false" ht="12.75" hidden="false" customHeight="false" outlineLevel="0" collapsed="false"/>
    <row r="6882" customFormat="false" ht="12.75" hidden="false" customHeight="false" outlineLevel="0" collapsed="false"/>
    <row r="6883" customFormat="false" ht="12.75" hidden="false" customHeight="false" outlineLevel="0" collapsed="false"/>
    <row r="6884" customFormat="false" ht="12.75" hidden="false" customHeight="false" outlineLevel="0" collapsed="false"/>
    <row r="6885" customFormat="false" ht="12.75" hidden="false" customHeight="false" outlineLevel="0" collapsed="false"/>
    <row r="6886" customFormat="false" ht="12.75" hidden="false" customHeight="false" outlineLevel="0" collapsed="false"/>
    <row r="6887" customFormat="false" ht="12.75" hidden="false" customHeight="false" outlineLevel="0" collapsed="false"/>
    <row r="6888" customFormat="false" ht="12.75" hidden="false" customHeight="false" outlineLevel="0" collapsed="false"/>
    <row r="6889" customFormat="false" ht="12.75" hidden="false" customHeight="false" outlineLevel="0" collapsed="false"/>
    <row r="6890" customFormat="false" ht="12.75" hidden="false" customHeight="false" outlineLevel="0" collapsed="false"/>
    <row r="6891" customFormat="false" ht="12.75" hidden="false" customHeight="false" outlineLevel="0" collapsed="false"/>
    <row r="6892" customFormat="false" ht="12.75" hidden="false" customHeight="false" outlineLevel="0" collapsed="false"/>
    <row r="6893" customFormat="false" ht="12.75" hidden="false" customHeight="false" outlineLevel="0" collapsed="false"/>
    <row r="6894" customFormat="false" ht="12.75" hidden="false" customHeight="false" outlineLevel="0" collapsed="false"/>
    <row r="6895" customFormat="false" ht="12.75" hidden="false" customHeight="false" outlineLevel="0" collapsed="false"/>
    <row r="6896" customFormat="false" ht="12.75" hidden="false" customHeight="false" outlineLevel="0" collapsed="false"/>
    <row r="6897" customFormat="false" ht="12.75" hidden="false" customHeight="false" outlineLevel="0" collapsed="false"/>
    <row r="6898" customFormat="false" ht="12.75" hidden="false" customHeight="false" outlineLevel="0" collapsed="false"/>
    <row r="6899" customFormat="false" ht="12.75" hidden="false" customHeight="false" outlineLevel="0" collapsed="false"/>
    <row r="6900" customFormat="false" ht="12.75" hidden="false" customHeight="false" outlineLevel="0" collapsed="false"/>
    <row r="6901" customFormat="false" ht="12.75" hidden="false" customHeight="false" outlineLevel="0" collapsed="false"/>
    <row r="6902" customFormat="false" ht="12.75" hidden="false" customHeight="false" outlineLevel="0" collapsed="false"/>
    <row r="6903" customFormat="false" ht="12.75" hidden="false" customHeight="false" outlineLevel="0" collapsed="false"/>
    <row r="6904" customFormat="false" ht="12.75" hidden="false" customHeight="false" outlineLevel="0" collapsed="false"/>
    <row r="6905" customFormat="false" ht="12.75" hidden="false" customHeight="false" outlineLevel="0" collapsed="false"/>
    <row r="6906" customFormat="false" ht="12.75" hidden="false" customHeight="false" outlineLevel="0" collapsed="false"/>
    <row r="6907" customFormat="false" ht="12.75" hidden="false" customHeight="false" outlineLevel="0" collapsed="false"/>
    <row r="6908" customFormat="false" ht="12.75" hidden="false" customHeight="false" outlineLevel="0" collapsed="false"/>
    <row r="6909" customFormat="false" ht="12.75" hidden="false" customHeight="false" outlineLevel="0" collapsed="false"/>
    <row r="6910" customFormat="false" ht="12.75" hidden="false" customHeight="false" outlineLevel="0" collapsed="false"/>
    <row r="6911" customFormat="false" ht="12.75" hidden="false" customHeight="false" outlineLevel="0" collapsed="false"/>
    <row r="6912" customFormat="false" ht="12.75" hidden="false" customHeight="false" outlineLevel="0" collapsed="false"/>
    <row r="6913" customFormat="false" ht="12.75" hidden="false" customHeight="false" outlineLevel="0" collapsed="false"/>
    <row r="6914" customFormat="false" ht="12.75" hidden="false" customHeight="false" outlineLevel="0" collapsed="false"/>
    <row r="6915" customFormat="false" ht="12.75" hidden="false" customHeight="false" outlineLevel="0" collapsed="false"/>
    <row r="6916" customFormat="false" ht="12.75" hidden="false" customHeight="false" outlineLevel="0" collapsed="false"/>
    <row r="6917" customFormat="false" ht="12.75" hidden="false" customHeight="false" outlineLevel="0" collapsed="false"/>
    <row r="6918" customFormat="false" ht="12.75" hidden="false" customHeight="false" outlineLevel="0" collapsed="false"/>
    <row r="6919" customFormat="false" ht="12.75" hidden="false" customHeight="false" outlineLevel="0" collapsed="false"/>
    <row r="6920" customFormat="false" ht="12.75" hidden="false" customHeight="false" outlineLevel="0" collapsed="false"/>
    <row r="6921" customFormat="false" ht="12.75" hidden="false" customHeight="false" outlineLevel="0" collapsed="false"/>
    <row r="6922" customFormat="false" ht="12.75" hidden="false" customHeight="false" outlineLevel="0" collapsed="false"/>
    <row r="6923" customFormat="false" ht="12.75" hidden="false" customHeight="false" outlineLevel="0" collapsed="false"/>
    <row r="6924" customFormat="false" ht="12.75" hidden="false" customHeight="false" outlineLevel="0" collapsed="false"/>
    <row r="6925" customFormat="false" ht="12.75" hidden="false" customHeight="false" outlineLevel="0" collapsed="false"/>
    <row r="6926" customFormat="false" ht="12.75" hidden="false" customHeight="false" outlineLevel="0" collapsed="false"/>
    <row r="6927" customFormat="false" ht="12.75" hidden="false" customHeight="false" outlineLevel="0" collapsed="false"/>
    <row r="6928" customFormat="false" ht="12.75" hidden="false" customHeight="false" outlineLevel="0" collapsed="false"/>
    <row r="6929" customFormat="false" ht="12.75" hidden="false" customHeight="false" outlineLevel="0" collapsed="false"/>
    <row r="6930" customFormat="false" ht="12.75" hidden="false" customHeight="false" outlineLevel="0" collapsed="false"/>
    <row r="6931" customFormat="false" ht="12.75" hidden="false" customHeight="false" outlineLevel="0" collapsed="false"/>
    <row r="6932" customFormat="false" ht="12.75" hidden="false" customHeight="false" outlineLevel="0" collapsed="false"/>
    <row r="6933" customFormat="false" ht="12.75" hidden="false" customHeight="false" outlineLevel="0" collapsed="false"/>
    <row r="6934" customFormat="false" ht="12.75" hidden="false" customHeight="false" outlineLevel="0" collapsed="false"/>
    <row r="6935" customFormat="false" ht="12.75" hidden="false" customHeight="false" outlineLevel="0" collapsed="false"/>
    <row r="6936" customFormat="false" ht="12.75" hidden="false" customHeight="false" outlineLevel="0" collapsed="false"/>
    <row r="6937" customFormat="false" ht="12.75" hidden="false" customHeight="false" outlineLevel="0" collapsed="false"/>
    <row r="6938" customFormat="false" ht="12.75" hidden="false" customHeight="false" outlineLevel="0" collapsed="false"/>
    <row r="6939" customFormat="false" ht="12.75" hidden="false" customHeight="false" outlineLevel="0" collapsed="false"/>
    <row r="6940" customFormat="false" ht="12.75" hidden="false" customHeight="false" outlineLevel="0" collapsed="false"/>
    <row r="6941" customFormat="false" ht="12.75" hidden="false" customHeight="false" outlineLevel="0" collapsed="false"/>
    <row r="6942" customFormat="false" ht="12.75" hidden="false" customHeight="false" outlineLevel="0" collapsed="false"/>
    <row r="6943" customFormat="false" ht="12.75" hidden="false" customHeight="false" outlineLevel="0" collapsed="false"/>
    <row r="6944" customFormat="false" ht="12.75" hidden="false" customHeight="false" outlineLevel="0" collapsed="false"/>
    <row r="6945" customFormat="false" ht="12.75" hidden="false" customHeight="false" outlineLevel="0" collapsed="false"/>
    <row r="6946" customFormat="false" ht="12.75" hidden="false" customHeight="false" outlineLevel="0" collapsed="false"/>
    <row r="6947" customFormat="false" ht="12.75" hidden="false" customHeight="false" outlineLevel="0" collapsed="false"/>
    <row r="6948" customFormat="false" ht="12.75" hidden="false" customHeight="false" outlineLevel="0" collapsed="false"/>
    <row r="6949" customFormat="false" ht="12.75" hidden="false" customHeight="false" outlineLevel="0" collapsed="false"/>
    <row r="6950" customFormat="false" ht="12.75" hidden="false" customHeight="false" outlineLevel="0" collapsed="false"/>
    <row r="6951" customFormat="false" ht="12.75" hidden="false" customHeight="false" outlineLevel="0" collapsed="false"/>
    <row r="6952" customFormat="false" ht="12.75" hidden="false" customHeight="false" outlineLevel="0" collapsed="false"/>
    <row r="6953" customFormat="false" ht="12.75" hidden="false" customHeight="false" outlineLevel="0" collapsed="false"/>
    <row r="6954" customFormat="false" ht="12.75" hidden="false" customHeight="false" outlineLevel="0" collapsed="false"/>
    <row r="6955" customFormat="false" ht="12.75" hidden="false" customHeight="false" outlineLevel="0" collapsed="false"/>
    <row r="6956" customFormat="false" ht="12.75" hidden="false" customHeight="false" outlineLevel="0" collapsed="false"/>
    <row r="6957" customFormat="false" ht="12.75" hidden="false" customHeight="false" outlineLevel="0" collapsed="false"/>
    <row r="6958" customFormat="false" ht="12.75" hidden="false" customHeight="false" outlineLevel="0" collapsed="false"/>
    <row r="6959" customFormat="false" ht="12.75" hidden="false" customHeight="false" outlineLevel="0" collapsed="false"/>
    <row r="6960" customFormat="false" ht="12.75" hidden="false" customHeight="false" outlineLevel="0" collapsed="false"/>
    <row r="6961" customFormat="false" ht="12.75" hidden="false" customHeight="false" outlineLevel="0" collapsed="false"/>
    <row r="6962" customFormat="false" ht="12.75" hidden="false" customHeight="false" outlineLevel="0" collapsed="false"/>
    <row r="6963" customFormat="false" ht="12.75" hidden="false" customHeight="false" outlineLevel="0" collapsed="false"/>
    <row r="6964" customFormat="false" ht="12.75" hidden="false" customHeight="false" outlineLevel="0" collapsed="false"/>
    <row r="6965" customFormat="false" ht="12.75" hidden="false" customHeight="false" outlineLevel="0" collapsed="false"/>
    <row r="6966" customFormat="false" ht="12.75" hidden="false" customHeight="false" outlineLevel="0" collapsed="false"/>
    <row r="6967" customFormat="false" ht="12.75" hidden="false" customHeight="false" outlineLevel="0" collapsed="false"/>
    <row r="6968" customFormat="false" ht="12.75" hidden="false" customHeight="false" outlineLevel="0" collapsed="false"/>
    <row r="6969" customFormat="false" ht="12.75" hidden="false" customHeight="false" outlineLevel="0" collapsed="false"/>
    <row r="6970" customFormat="false" ht="12.75" hidden="false" customHeight="false" outlineLevel="0" collapsed="false"/>
    <row r="6971" customFormat="false" ht="12.75" hidden="false" customHeight="false" outlineLevel="0" collapsed="false"/>
    <row r="6972" customFormat="false" ht="12.75" hidden="false" customHeight="false" outlineLevel="0" collapsed="false"/>
    <row r="6973" customFormat="false" ht="12.75" hidden="false" customHeight="false" outlineLevel="0" collapsed="false"/>
    <row r="6974" customFormat="false" ht="12.75" hidden="false" customHeight="false" outlineLevel="0" collapsed="false"/>
    <row r="6975" customFormat="false" ht="12.75" hidden="false" customHeight="false" outlineLevel="0" collapsed="false"/>
    <row r="6976" customFormat="false" ht="12.75" hidden="false" customHeight="false" outlineLevel="0" collapsed="false"/>
    <row r="6977" customFormat="false" ht="12.75" hidden="false" customHeight="false" outlineLevel="0" collapsed="false"/>
    <row r="6978" customFormat="false" ht="12.75" hidden="false" customHeight="false" outlineLevel="0" collapsed="false"/>
    <row r="6979" customFormat="false" ht="12.75" hidden="false" customHeight="false" outlineLevel="0" collapsed="false"/>
    <row r="6980" customFormat="false" ht="12.75" hidden="false" customHeight="false" outlineLevel="0" collapsed="false"/>
    <row r="6981" customFormat="false" ht="12.75" hidden="false" customHeight="false" outlineLevel="0" collapsed="false"/>
    <row r="6982" customFormat="false" ht="12.75" hidden="false" customHeight="false" outlineLevel="0" collapsed="false"/>
    <row r="6983" customFormat="false" ht="12.75" hidden="false" customHeight="false" outlineLevel="0" collapsed="false"/>
    <row r="6984" customFormat="false" ht="12.75" hidden="false" customHeight="false" outlineLevel="0" collapsed="false"/>
    <row r="6985" customFormat="false" ht="12.75" hidden="false" customHeight="false" outlineLevel="0" collapsed="false"/>
    <row r="6986" customFormat="false" ht="12.75" hidden="false" customHeight="false" outlineLevel="0" collapsed="false"/>
    <row r="6987" customFormat="false" ht="12.75" hidden="false" customHeight="false" outlineLevel="0" collapsed="false"/>
    <row r="6988" customFormat="false" ht="12.75" hidden="false" customHeight="false" outlineLevel="0" collapsed="false"/>
    <row r="6989" customFormat="false" ht="12.75" hidden="false" customHeight="false" outlineLevel="0" collapsed="false"/>
    <row r="6990" customFormat="false" ht="12.75" hidden="false" customHeight="false" outlineLevel="0" collapsed="false"/>
    <row r="6991" customFormat="false" ht="12.75" hidden="false" customHeight="false" outlineLevel="0" collapsed="false"/>
    <row r="6992" customFormat="false" ht="12.75" hidden="false" customHeight="false" outlineLevel="0" collapsed="false"/>
    <row r="6993" customFormat="false" ht="12.75" hidden="false" customHeight="false" outlineLevel="0" collapsed="false"/>
    <row r="6994" customFormat="false" ht="12.75" hidden="false" customHeight="false" outlineLevel="0" collapsed="false"/>
    <row r="6995" customFormat="false" ht="12.75" hidden="false" customHeight="false" outlineLevel="0" collapsed="false"/>
    <row r="6996" customFormat="false" ht="12.75" hidden="false" customHeight="false" outlineLevel="0" collapsed="false"/>
    <row r="6997" customFormat="false" ht="12.75" hidden="false" customHeight="false" outlineLevel="0" collapsed="false"/>
    <row r="6998" customFormat="false" ht="12.75" hidden="false" customHeight="false" outlineLevel="0" collapsed="false"/>
    <row r="6999" customFormat="false" ht="12.75" hidden="false" customHeight="false" outlineLevel="0" collapsed="false"/>
    <row r="7000" customFormat="false" ht="12.75" hidden="false" customHeight="false" outlineLevel="0" collapsed="false"/>
    <row r="7001" customFormat="false" ht="12.75" hidden="false" customHeight="false" outlineLevel="0" collapsed="false"/>
    <row r="7002" customFormat="false" ht="12.75" hidden="false" customHeight="false" outlineLevel="0" collapsed="false"/>
    <row r="7003" customFormat="false" ht="12.75" hidden="false" customHeight="false" outlineLevel="0" collapsed="false"/>
    <row r="7004" customFormat="false" ht="12.75" hidden="false" customHeight="false" outlineLevel="0" collapsed="false"/>
    <row r="7005" customFormat="false" ht="12.75" hidden="false" customHeight="false" outlineLevel="0" collapsed="false"/>
    <row r="7006" customFormat="false" ht="12.75" hidden="false" customHeight="false" outlineLevel="0" collapsed="false"/>
    <row r="7007" customFormat="false" ht="12.75" hidden="false" customHeight="false" outlineLevel="0" collapsed="false"/>
    <row r="7008" customFormat="false" ht="12.75" hidden="false" customHeight="false" outlineLevel="0" collapsed="false"/>
    <row r="7009" customFormat="false" ht="12.75" hidden="false" customHeight="false" outlineLevel="0" collapsed="false"/>
    <row r="7010" customFormat="false" ht="12.75" hidden="false" customHeight="false" outlineLevel="0" collapsed="false"/>
    <row r="7011" customFormat="false" ht="12.75" hidden="false" customHeight="false" outlineLevel="0" collapsed="false"/>
    <row r="7012" customFormat="false" ht="12.75" hidden="false" customHeight="false" outlineLevel="0" collapsed="false"/>
    <row r="7013" customFormat="false" ht="12.75" hidden="false" customHeight="false" outlineLevel="0" collapsed="false"/>
    <row r="7014" customFormat="false" ht="12.75" hidden="false" customHeight="false" outlineLevel="0" collapsed="false"/>
    <row r="7015" customFormat="false" ht="12.75" hidden="false" customHeight="false" outlineLevel="0" collapsed="false"/>
    <row r="7016" customFormat="false" ht="12.75" hidden="false" customHeight="false" outlineLevel="0" collapsed="false"/>
    <row r="7017" customFormat="false" ht="12.75" hidden="false" customHeight="false" outlineLevel="0" collapsed="false"/>
    <row r="7018" customFormat="false" ht="12.75" hidden="false" customHeight="false" outlineLevel="0" collapsed="false"/>
    <row r="7019" customFormat="false" ht="12.75" hidden="false" customHeight="false" outlineLevel="0" collapsed="false"/>
    <row r="7020" customFormat="false" ht="12.75" hidden="false" customHeight="false" outlineLevel="0" collapsed="false"/>
    <row r="7021" customFormat="false" ht="12.75" hidden="false" customHeight="false" outlineLevel="0" collapsed="false"/>
    <row r="7022" customFormat="false" ht="12.75" hidden="false" customHeight="false" outlineLevel="0" collapsed="false"/>
    <row r="7023" customFormat="false" ht="12.75" hidden="false" customHeight="false" outlineLevel="0" collapsed="false"/>
    <row r="7024" customFormat="false" ht="12.75" hidden="false" customHeight="false" outlineLevel="0" collapsed="false"/>
    <row r="7025" customFormat="false" ht="12.75" hidden="false" customHeight="false" outlineLevel="0" collapsed="false"/>
    <row r="7026" customFormat="false" ht="12.75" hidden="false" customHeight="false" outlineLevel="0" collapsed="false"/>
    <row r="7027" customFormat="false" ht="12.75" hidden="false" customHeight="false" outlineLevel="0" collapsed="false"/>
    <row r="7028" customFormat="false" ht="12.75" hidden="false" customHeight="false" outlineLevel="0" collapsed="false"/>
    <row r="7029" customFormat="false" ht="12.75" hidden="false" customHeight="false" outlineLevel="0" collapsed="false"/>
    <row r="7030" customFormat="false" ht="12.75" hidden="false" customHeight="false" outlineLevel="0" collapsed="false"/>
    <row r="7031" customFormat="false" ht="12.75" hidden="false" customHeight="false" outlineLevel="0" collapsed="false"/>
    <row r="7032" customFormat="false" ht="12.75" hidden="false" customHeight="false" outlineLevel="0" collapsed="false"/>
    <row r="7033" customFormat="false" ht="12.75" hidden="false" customHeight="false" outlineLevel="0" collapsed="false"/>
    <row r="7034" customFormat="false" ht="12.75" hidden="false" customHeight="false" outlineLevel="0" collapsed="false"/>
    <row r="7035" customFormat="false" ht="12.75" hidden="false" customHeight="false" outlineLevel="0" collapsed="false"/>
    <row r="7036" customFormat="false" ht="12.75" hidden="false" customHeight="false" outlineLevel="0" collapsed="false"/>
    <row r="7037" customFormat="false" ht="12.75" hidden="false" customHeight="false" outlineLevel="0" collapsed="false"/>
    <row r="7038" customFormat="false" ht="12.75" hidden="false" customHeight="false" outlineLevel="0" collapsed="false"/>
    <row r="7039" customFormat="false" ht="12.75" hidden="false" customHeight="false" outlineLevel="0" collapsed="false"/>
    <row r="7040" customFormat="false" ht="12.75" hidden="false" customHeight="false" outlineLevel="0" collapsed="false"/>
    <row r="7041" customFormat="false" ht="12.75" hidden="false" customHeight="false" outlineLevel="0" collapsed="false"/>
    <row r="7042" customFormat="false" ht="12.75" hidden="false" customHeight="false" outlineLevel="0" collapsed="false"/>
    <row r="7043" customFormat="false" ht="12.75" hidden="false" customHeight="false" outlineLevel="0" collapsed="false"/>
    <row r="7044" customFormat="false" ht="12.75" hidden="false" customHeight="false" outlineLevel="0" collapsed="false"/>
    <row r="7045" customFormat="false" ht="12.75" hidden="false" customHeight="false" outlineLevel="0" collapsed="false"/>
    <row r="7046" customFormat="false" ht="12.75" hidden="false" customHeight="false" outlineLevel="0" collapsed="false"/>
    <row r="7047" customFormat="false" ht="12.75" hidden="false" customHeight="false" outlineLevel="0" collapsed="false"/>
    <row r="7048" customFormat="false" ht="12.75" hidden="false" customHeight="false" outlineLevel="0" collapsed="false"/>
    <row r="7049" customFormat="false" ht="12.75" hidden="false" customHeight="false" outlineLevel="0" collapsed="false"/>
    <row r="7050" customFormat="false" ht="12.75" hidden="false" customHeight="false" outlineLevel="0" collapsed="false"/>
    <row r="7051" customFormat="false" ht="12.75" hidden="false" customHeight="false" outlineLevel="0" collapsed="false"/>
    <row r="7052" customFormat="false" ht="12.75" hidden="false" customHeight="false" outlineLevel="0" collapsed="false"/>
    <row r="7053" customFormat="false" ht="12.75" hidden="false" customHeight="false" outlineLevel="0" collapsed="false"/>
    <row r="7054" customFormat="false" ht="12.75" hidden="false" customHeight="false" outlineLevel="0" collapsed="false"/>
    <row r="7055" customFormat="false" ht="12.75" hidden="false" customHeight="false" outlineLevel="0" collapsed="false"/>
    <row r="7056" customFormat="false" ht="12.75" hidden="false" customHeight="false" outlineLevel="0" collapsed="false"/>
    <row r="7057" customFormat="false" ht="12.75" hidden="false" customHeight="false" outlineLevel="0" collapsed="false"/>
    <row r="7058" customFormat="false" ht="12.75" hidden="false" customHeight="false" outlineLevel="0" collapsed="false"/>
    <row r="7059" customFormat="false" ht="12.75" hidden="false" customHeight="false" outlineLevel="0" collapsed="false"/>
    <row r="7060" customFormat="false" ht="12.75" hidden="false" customHeight="false" outlineLevel="0" collapsed="false"/>
    <row r="7061" customFormat="false" ht="12.75" hidden="false" customHeight="false" outlineLevel="0" collapsed="false"/>
    <row r="7062" customFormat="false" ht="12.75" hidden="false" customHeight="false" outlineLevel="0" collapsed="false"/>
    <row r="7063" customFormat="false" ht="12.75" hidden="false" customHeight="false" outlineLevel="0" collapsed="false"/>
    <row r="7064" customFormat="false" ht="12.75" hidden="false" customHeight="false" outlineLevel="0" collapsed="false"/>
    <row r="7065" customFormat="false" ht="12.75" hidden="false" customHeight="false" outlineLevel="0" collapsed="false"/>
    <row r="7066" customFormat="false" ht="12.75" hidden="false" customHeight="false" outlineLevel="0" collapsed="false"/>
    <row r="7067" customFormat="false" ht="12.75" hidden="false" customHeight="false" outlineLevel="0" collapsed="false"/>
    <row r="7068" customFormat="false" ht="12.75" hidden="false" customHeight="false" outlineLevel="0" collapsed="false"/>
    <row r="7069" customFormat="false" ht="12.75" hidden="false" customHeight="false" outlineLevel="0" collapsed="false"/>
    <row r="7070" customFormat="false" ht="12.75" hidden="false" customHeight="false" outlineLevel="0" collapsed="false"/>
    <row r="7071" customFormat="false" ht="12.75" hidden="false" customHeight="false" outlineLevel="0" collapsed="false"/>
    <row r="7072" customFormat="false" ht="12.75" hidden="false" customHeight="false" outlineLevel="0" collapsed="false"/>
    <row r="7073" customFormat="false" ht="12.75" hidden="false" customHeight="false" outlineLevel="0" collapsed="false"/>
    <row r="7074" customFormat="false" ht="12.75" hidden="false" customHeight="false" outlineLevel="0" collapsed="false"/>
    <row r="7075" customFormat="false" ht="12.75" hidden="false" customHeight="false" outlineLevel="0" collapsed="false"/>
    <row r="7076" customFormat="false" ht="12.75" hidden="false" customHeight="false" outlineLevel="0" collapsed="false"/>
    <row r="7077" customFormat="false" ht="12.75" hidden="false" customHeight="false" outlineLevel="0" collapsed="false"/>
    <row r="7078" customFormat="false" ht="12.75" hidden="false" customHeight="false" outlineLevel="0" collapsed="false"/>
    <row r="7079" customFormat="false" ht="12.75" hidden="false" customHeight="false" outlineLevel="0" collapsed="false"/>
    <row r="7080" customFormat="false" ht="12.75" hidden="false" customHeight="false" outlineLevel="0" collapsed="false"/>
    <row r="7081" customFormat="false" ht="12.75" hidden="false" customHeight="false" outlineLevel="0" collapsed="false"/>
    <row r="7082" customFormat="false" ht="12.75" hidden="false" customHeight="false" outlineLevel="0" collapsed="false"/>
    <row r="7083" customFormat="false" ht="12.75" hidden="false" customHeight="false" outlineLevel="0" collapsed="false"/>
    <row r="7084" customFormat="false" ht="12.75" hidden="false" customHeight="false" outlineLevel="0" collapsed="false"/>
    <row r="7085" customFormat="false" ht="12.75" hidden="false" customHeight="false" outlineLevel="0" collapsed="false"/>
    <row r="7086" customFormat="false" ht="12.75" hidden="false" customHeight="false" outlineLevel="0" collapsed="false"/>
    <row r="7087" customFormat="false" ht="12.75" hidden="false" customHeight="false" outlineLevel="0" collapsed="false"/>
    <row r="7088" customFormat="false" ht="12.75" hidden="false" customHeight="false" outlineLevel="0" collapsed="false"/>
    <row r="7089" customFormat="false" ht="12.75" hidden="false" customHeight="false" outlineLevel="0" collapsed="false"/>
    <row r="7090" customFormat="false" ht="12.75" hidden="false" customHeight="false" outlineLevel="0" collapsed="false"/>
    <row r="7091" customFormat="false" ht="12.75" hidden="false" customHeight="false" outlineLevel="0" collapsed="false"/>
    <row r="7092" customFormat="false" ht="12.75" hidden="false" customHeight="false" outlineLevel="0" collapsed="false"/>
    <row r="7093" customFormat="false" ht="12.75" hidden="false" customHeight="false" outlineLevel="0" collapsed="false"/>
    <row r="7094" customFormat="false" ht="12.75" hidden="false" customHeight="false" outlineLevel="0" collapsed="false"/>
    <row r="7095" customFormat="false" ht="12.75" hidden="false" customHeight="false" outlineLevel="0" collapsed="false"/>
    <row r="7096" customFormat="false" ht="12.75" hidden="false" customHeight="false" outlineLevel="0" collapsed="false"/>
    <row r="7097" customFormat="false" ht="12.75" hidden="false" customHeight="false" outlineLevel="0" collapsed="false"/>
    <row r="7098" customFormat="false" ht="12.75" hidden="false" customHeight="false" outlineLevel="0" collapsed="false"/>
    <row r="7099" customFormat="false" ht="12.75" hidden="false" customHeight="false" outlineLevel="0" collapsed="false"/>
    <row r="7100" customFormat="false" ht="12.75" hidden="false" customHeight="false" outlineLevel="0" collapsed="false"/>
    <row r="7101" customFormat="false" ht="12.75" hidden="false" customHeight="false" outlineLevel="0" collapsed="false"/>
    <row r="7102" customFormat="false" ht="12.75" hidden="false" customHeight="false" outlineLevel="0" collapsed="false"/>
    <row r="7103" customFormat="false" ht="12.75" hidden="false" customHeight="false" outlineLevel="0" collapsed="false"/>
    <row r="7104" customFormat="false" ht="12.75" hidden="false" customHeight="false" outlineLevel="0" collapsed="false"/>
    <row r="7105" customFormat="false" ht="12.75" hidden="false" customHeight="false" outlineLevel="0" collapsed="false"/>
    <row r="7106" customFormat="false" ht="12.75" hidden="false" customHeight="false" outlineLevel="0" collapsed="false"/>
    <row r="7107" customFormat="false" ht="12.75" hidden="false" customHeight="false" outlineLevel="0" collapsed="false"/>
    <row r="7108" customFormat="false" ht="12.75" hidden="false" customHeight="false" outlineLevel="0" collapsed="false"/>
    <row r="7109" customFormat="false" ht="12.75" hidden="false" customHeight="false" outlineLevel="0" collapsed="false"/>
    <row r="7110" customFormat="false" ht="12.75" hidden="false" customHeight="false" outlineLevel="0" collapsed="false"/>
    <row r="7111" customFormat="false" ht="12.75" hidden="false" customHeight="false" outlineLevel="0" collapsed="false"/>
    <row r="7112" customFormat="false" ht="12.75" hidden="false" customHeight="false" outlineLevel="0" collapsed="false"/>
    <row r="7113" customFormat="false" ht="12.75" hidden="false" customHeight="false" outlineLevel="0" collapsed="false"/>
    <row r="7114" customFormat="false" ht="12.75" hidden="false" customHeight="false" outlineLevel="0" collapsed="false"/>
    <row r="7115" customFormat="false" ht="12.75" hidden="false" customHeight="false" outlineLevel="0" collapsed="false"/>
    <row r="7116" customFormat="false" ht="12.75" hidden="false" customHeight="false" outlineLevel="0" collapsed="false"/>
    <row r="7117" customFormat="false" ht="12.75" hidden="false" customHeight="false" outlineLevel="0" collapsed="false"/>
    <row r="7118" customFormat="false" ht="12.75" hidden="false" customHeight="false" outlineLevel="0" collapsed="false"/>
    <row r="7119" customFormat="false" ht="12.75" hidden="false" customHeight="false" outlineLevel="0" collapsed="false"/>
    <row r="7120" customFormat="false" ht="12.75" hidden="false" customHeight="false" outlineLevel="0" collapsed="false"/>
    <row r="7121" customFormat="false" ht="12.75" hidden="false" customHeight="false" outlineLevel="0" collapsed="false"/>
    <row r="7122" customFormat="false" ht="12.75" hidden="false" customHeight="false" outlineLevel="0" collapsed="false"/>
    <row r="7123" customFormat="false" ht="12.75" hidden="false" customHeight="false" outlineLevel="0" collapsed="false"/>
    <row r="7124" customFormat="false" ht="12.75" hidden="false" customHeight="false" outlineLevel="0" collapsed="false"/>
    <row r="7125" customFormat="false" ht="12.75" hidden="false" customHeight="false" outlineLevel="0" collapsed="false"/>
    <row r="7126" customFormat="false" ht="12.75" hidden="false" customHeight="false" outlineLevel="0" collapsed="false"/>
    <row r="7127" customFormat="false" ht="12.75" hidden="false" customHeight="false" outlineLevel="0" collapsed="false"/>
    <row r="7128" customFormat="false" ht="12.75" hidden="false" customHeight="false" outlineLevel="0" collapsed="false"/>
    <row r="7129" customFormat="false" ht="12.75" hidden="false" customHeight="false" outlineLevel="0" collapsed="false"/>
    <row r="7130" customFormat="false" ht="12.75" hidden="false" customHeight="false" outlineLevel="0" collapsed="false"/>
    <row r="7131" customFormat="false" ht="12.75" hidden="false" customHeight="false" outlineLevel="0" collapsed="false"/>
    <row r="7132" customFormat="false" ht="12.75" hidden="false" customHeight="false" outlineLevel="0" collapsed="false"/>
    <row r="7133" customFormat="false" ht="12.75" hidden="false" customHeight="false" outlineLevel="0" collapsed="false"/>
    <row r="7134" customFormat="false" ht="12.75" hidden="false" customHeight="false" outlineLevel="0" collapsed="false"/>
    <row r="7135" customFormat="false" ht="12.75" hidden="false" customHeight="false" outlineLevel="0" collapsed="false"/>
    <row r="7136" customFormat="false" ht="12.75" hidden="false" customHeight="false" outlineLevel="0" collapsed="false"/>
    <row r="7137" customFormat="false" ht="12.75" hidden="false" customHeight="false" outlineLevel="0" collapsed="false"/>
    <row r="7138" customFormat="false" ht="12.75" hidden="false" customHeight="false" outlineLevel="0" collapsed="false"/>
    <row r="7139" customFormat="false" ht="12.75" hidden="false" customHeight="false" outlineLevel="0" collapsed="false"/>
    <row r="7140" customFormat="false" ht="12.75" hidden="false" customHeight="false" outlineLevel="0" collapsed="false"/>
    <row r="7141" customFormat="false" ht="12.75" hidden="false" customHeight="false" outlineLevel="0" collapsed="false"/>
    <row r="7142" customFormat="false" ht="12.75" hidden="false" customHeight="false" outlineLevel="0" collapsed="false"/>
    <row r="7143" customFormat="false" ht="12.75" hidden="false" customHeight="false" outlineLevel="0" collapsed="false"/>
    <row r="7144" customFormat="false" ht="12.75" hidden="false" customHeight="false" outlineLevel="0" collapsed="false"/>
    <row r="7145" customFormat="false" ht="12.75" hidden="false" customHeight="false" outlineLevel="0" collapsed="false"/>
    <row r="7146" customFormat="false" ht="12.75" hidden="false" customHeight="false" outlineLevel="0" collapsed="false"/>
    <row r="7147" customFormat="false" ht="12.75" hidden="false" customHeight="false" outlineLevel="0" collapsed="false"/>
    <row r="7148" customFormat="false" ht="12.75" hidden="false" customHeight="false" outlineLevel="0" collapsed="false"/>
    <row r="7149" customFormat="false" ht="12.75" hidden="false" customHeight="false" outlineLevel="0" collapsed="false"/>
    <row r="7150" customFormat="false" ht="12.75" hidden="false" customHeight="false" outlineLevel="0" collapsed="false"/>
    <row r="7151" customFormat="false" ht="12.75" hidden="false" customHeight="false" outlineLevel="0" collapsed="false"/>
    <row r="7152" customFormat="false" ht="12.75" hidden="false" customHeight="false" outlineLevel="0" collapsed="false"/>
    <row r="7153" customFormat="false" ht="12.75" hidden="false" customHeight="false" outlineLevel="0" collapsed="false"/>
    <row r="7154" customFormat="false" ht="12.75" hidden="false" customHeight="false" outlineLevel="0" collapsed="false"/>
    <row r="7155" customFormat="false" ht="12.75" hidden="false" customHeight="false" outlineLevel="0" collapsed="false"/>
    <row r="7156" customFormat="false" ht="12.75" hidden="false" customHeight="false" outlineLevel="0" collapsed="false"/>
    <row r="7157" customFormat="false" ht="12.75" hidden="false" customHeight="false" outlineLevel="0" collapsed="false"/>
    <row r="7158" customFormat="false" ht="12.75" hidden="false" customHeight="false" outlineLevel="0" collapsed="false"/>
    <row r="7159" customFormat="false" ht="12.75" hidden="false" customHeight="false" outlineLevel="0" collapsed="false"/>
    <row r="7160" customFormat="false" ht="12.75" hidden="false" customHeight="false" outlineLevel="0" collapsed="false"/>
    <row r="7161" customFormat="false" ht="12.75" hidden="false" customHeight="false" outlineLevel="0" collapsed="false"/>
    <row r="7162" customFormat="false" ht="12.75" hidden="false" customHeight="false" outlineLevel="0" collapsed="false"/>
    <row r="7163" customFormat="false" ht="12.75" hidden="false" customHeight="false" outlineLevel="0" collapsed="false"/>
    <row r="7164" customFormat="false" ht="12.75" hidden="false" customHeight="false" outlineLevel="0" collapsed="false"/>
    <row r="7165" customFormat="false" ht="12.75" hidden="false" customHeight="false" outlineLevel="0" collapsed="false"/>
    <row r="7166" customFormat="false" ht="12.75" hidden="false" customHeight="false" outlineLevel="0" collapsed="false"/>
    <row r="7167" customFormat="false" ht="12.75" hidden="false" customHeight="false" outlineLevel="0" collapsed="false"/>
    <row r="7168" customFormat="false" ht="12.75" hidden="false" customHeight="false" outlineLevel="0" collapsed="false"/>
    <row r="7169" customFormat="false" ht="12.75" hidden="false" customHeight="false" outlineLevel="0" collapsed="false"/>
    <row r="7170" customFormat="false" ht="12.75" hidden="false" customHeight="false" outlineLevel="0" collapsed="false"/>
    <row r="7171" customFormat="false" ht="12.75" hidden="false" customHeight="false" outlineLevel="0" collapsed="false"/>
    <row r="7172" customFormat="false" ht="12.75" hidden="false" customHeight="false" outlineLevel="0" collapsed="false"/>
    <row r="7173" customFormat="false" ht="12.75" hidden="false" customHeight="false" outlineLevel="0" collapsed="false"/>
    <row r="7174" customFormat="false" ht="12.75" hidden="false" customHeight="false" outlineLevel="0" collapsed="false"/>
    <row r="7175" customFormat="false" ht="12.75" hidden="false" customHeight="false" outlineLevel="0" collapsed="false"/>
    <row r="7176" customFormat="false" ht="12.75" hidden="false" customHeight="false" outlineLevel="0" collapsed="false"/>
    <row r="7177" customFormat="false" ht="12.75" hidden="false" customHeight="false" outlineLevel="0" collapsed="false"/>
    <row r="7178" customFormat="false" ht="12.75" hidden="false" customHeight="false" outlineLevel="0" collapsed="false"/>
    <row r="7179" customFormat="false" ht="12.75" hidden="false" customHeight="false" outlineLevel="0" collapsed="false"/>
    <row r="7180" customFormat="false" ht="12.75" hidden="false" customHeight="false" outlineLevel="0" collapsed="false"/>
    <row r="7181" customFormat="false" ht="12.75" hidden="false" customHeight="false" outlineLevel="0" collapsed="false"/>
    <row r="7182" customFormat="false" ht="12.75" hidden="false" customHeight="false" outlineLevel="0" collapsed="false"/>
    <row r="7183" customFormat="false" ht="12.75" hidden="false" customHeight="false" outlineLevel="0" collapsed="false"/>
    <row r="7184" customFormat="false" ht="12.75" hidden="false" customHeight="false" outlineLevel="0" collapsed="false"/>
    <row r="7185" customFormat="false" ht="12.75" hidden="false" customHeight="false" outlineLevel="0" collapsed="false"/>
    <row r="7186" customFormat="false" ht="12.75" hidden="false" customHeight="false" outlineLevel="0" collapsed="false"/>
    <row r="7187" customFormat="false" ht="12.75" hidden="false" customHeight="false" outlineLevel="0" collapsed="false"/>
    <row r="7188" customFormat="false" ht="12.75" hidden="false" customHeight="false" outlineLevel="0" collapsed="false"/>
    <row r="7189" customFormat="false" ht="12.75" hidden="false" customHeight="false" outlineLevel="0" collapsed="false"/>
    <row r="7190" customFormat="false" ht="12.75" hidden="false" customHeight="false" outlineLevel="0" collapsed="false"/>
    <row r="7191" customFormat="false" ht="12.75" hidden="false" customHeight="false" outlineLevel="0" collapsed="false"/>
    <row r="7192" customFormat="false" ht="12.75" hidden="false" customHeight="false" outlineLevel="0" collapsed="false"/>
    <row r="7193" customFormat="false" ht="12.75" hidden="false" customHeight="false" outlineLevel="0" collapsed="false"/>
    <row r="7194" customFormat="false" ht="12.75" hidden="false" customHeight="false" outlineLevel="0" collapsed="false"/>
    <row r="7195" customFormat="false" ht="12.75" hidden="false" customHeight="false" outlineLevel="0" collapsed="false"/>
    <row r="7196" customFormat="false" ht="12.75" hidden="false" customHeight="false" outlineLevel="0" collapsed="false"/>
    <row r="7197" customFormat="false" ht="12.75" hidden="false" customHeight="false" outlineLevel="0" collapsed="false"/>
    <row r="7198" customFormat="false" ht="12.75" hidden="false" customHeight="false" outlineLevel="0" collapsed="false"/>
    <row r="7199" customFormat="false" ht="12.75" hidden="false" customHeight="false" outlineLevel="0" collapsed="false"/>
    <row r="7200" customFormat="false" ht="12.75" hidden="false" customHeight="false" outlineLevel="0" collapsed="false"/>
    <row r="7201" customFormat="false" ht="12.75" hidden="false" customHeight="false" outlineLevel="0" collapsed="false"/>
    <row r="7202" customFormat="false" ht="12.75" hidden="false" customHeight="false" outlineLevel="0" collapsed="false"/>
    <row r="7203" customFormat="false" ht="12.75" hidden="false" customHeight="false" outlineLevel="0" collapsed="false"/>
    <row r="7204" customFormat="false" ht="12.75" hidden="false" customHeight="false" outlineLevel="0" collapsed="false"/>
    <row r="7205" customFormat="false" ht="12.75" hidden="false" customHeight="false" outlineLevel="0" collapsed="false"/>
    <row r="7206" customFormat="false" ht="12.75" hidden="false" customHeight="false" outlineLevel="0" collapsed="false"/>
    <row r="7207" customFormat="false" ht="12.75" hidden="false" customHeight="false" outlineLevel="0" collapsed="false"/>
    <row r="7208" customFormat="false" ht="12.75" hidden="false" customHeight="false" outlineLevel="0" collapsed="false"/>
    <row r="7209" customFormat="false" ht="12.75" hidden="false" customHeight="false" outlineLevel="0" collapsed="false"/>
    <row r="7210" customFormat="false" ht="12.75" hidden="false" customHeight="false" outlineLevel="0" collapsed="false"/>
    <row r="7211" customFormat="false" ht="12.75" hidden="false" customHeight="false" outlineLevel="0" collapsed="false"/>
    <row r="7212" customFormat="false" ht="12.75" hidden="false" customHeight="false" outlineLevel="0" collapsed="false"/>
    <row r="7213" customFormat="false" ht="12.75" hidden="false" customHeight="false" outlineLevel="0" collapsed="false"/>
    <row r="7214" customFormat="false" ht="12.75" hidden="false" customHeight="false" outlineLevel="0" collapsed="false"/>
    <row r="7215" customFormat="false" ht="12.75" hidden="false" customHeight="false" outlineLevel="0" collapsed="false"/>
    <row r="7216" customFormat="false" ht="12.75" hidden="false" customHeight="false" outlineLevel="0" collapsed="false"/>
    <row r="7217" customFormat="false" ht="12.75" hidden="false" customHeight="false" outlineLevel="0" collapsed="false"/>
    <row r="7218" customFormat="false" ht="12.75" hidden="false" customHeight="false" outlineLevel="0" collapsed="false"/>
    <row r="7219" customFormat="false" ht="12.75" hidden="false" customHeight="false" outlineLevel="0" collapsed="false"/>
    <row r="7220" customFormat="false" ht="12.75" hidden="false" customHeight="false" outlineLevel="0" collapsed="false"/>
    <row r="7221" customFormat="false" ht="12.75" hidden="false" customHeight="false" outlineLevel="0" collapsed="false"/>
    <row r="7222" customFormat="false" ht="12.75" hidden="false" customHeight="false" outlineLevel="0" collapsed="false"/>
    <row r="7223" customFormat="false" ht="12.75" hidden="false" customHeight="false" outlineLevel="0" collapsed="false"/>
    <row r="7224" customFormat="false" ht="12.75" hidden="false" customHeight="false" outlineLevel="0" collapsed="false"/>
    <row r="7225" customFormat="false" ht="12.75" hidden="false" customHeight="false" outlineLevel="0" collapsed="false"/>
    <row r="7226" customFormat="false" ht="12.75" hidden="false" customHeight="false" outlineLevel="0" collapsed="false"/>
    <row r="7227" customFormat="false" ht="12.75" hidden="false" customHeight="false" outlineLevel="0" collapsed="false"/>
    <row r="7228" customFormat="false" ht="12.75" hidden="false" customHeight="false" outlineLevel="0" collapsed="false"/>
    <row r="7229" customFormat="false" ht="12.75" hidden="false" customHeight="false" outlineLevel="0" collapsed="false"/>
    <row r="7230" customFormat="false" ht="12.75" hidden="false" customHeight="false" outlineLevel="0" collapsed="false"/>
    <row r="7231" customFormat="false" ht="12.75" hidden="false" customHeight="false" outlineLevel="0" collapsed="false"/>
    <row r="7232" customFormat="false" ht="12.75" hidden="false" customHeight="false" outlineLevel="0" collapsed="false"/>
    <row r="7233" customFormat="false" ht="12.75" hidden="false" customHeight="false" outlineLevel="0" collapsed="false"/>
    <row r="7234" customFormat="false" ht="12.75" hidden="false" customHeight="false" outlineLevel="0" collapsed="false"/>
    <row r="7235" customFormat="false" ht="12.75" hidden="false" customHeight="false" outlineLevel="0" collapsed="false"/>
    <row r="7236" customFormat="false" ht="12.75" hidden="false" customHeight="false" outlineLevel="0" collapsed="false"/>
    <row r="7237" customFormat="false" ht="12.75" hidden="false" customHeight="false" outlineLevel="0" collapsed="false"/>
    <row r="7238" customFormat="false" ht="12.75" hidden="false" customHeight="false" outlineLevel="0" collapsed="false"/>
    <row r="7239" customFormat="false" ht="12.75" hidden="false" customHeight="false" outlineLevel="0" collapsed="false"/>
    <row r="7240" customFormat="false" ht="12.75" hidden="false" customHeight="false" outlineLevel="0" collapsed="false"/>
    <row r="7241" customFormat="false" ht="12.75" hidden="false" customHeight="false" outlineLevel="0" collapsed="false"/>
    <row r="7242" customFormat="false" ht="12.75" hidden="false" customHeight="false" outlineLevel="0" collapsed="false"/>
    <row r="7243" customFormat="false" ht="12.75" hidden="false" customHeight="false" outlineLevel="0" collapsed="false"/>
    <row r="7244" customFormat="false" ht="12.75" hidden="false" customHeight="false" outlineLevel="0" collapsed="false"/>
    <row r="7245" customFormat="false" ht="12.75" hidden="false" customHeight="false" outlineLevel="0" collapsed="false"/>
    <row r="7246" customFormat="false" ht="12.75" hidden="false" customHeight="false" outlineLevel="0" collapsed="false"/>
    <row r="7247" customFormat="false" ht="12.75" hidden="false" customHeight="false" outlineLevel="0" collapsed="false"/>
    <row r="7248" customFormat="false" ht="12.75" hidden="false" customHeight="false" outlineLevel="0" collapsed="false"/>
    <row r="7249" customFormat="false" ht="12.75" hidden="false" customHeight="false" outlineLevel="0" collapsed="false"/>
    <row r="7250" customFormat="false" ht="12.75" hidden="false" customHeight="false" outlineLevel="0" collapsed="false"/>
    <row r="7251" customFormat="false" ht="12.75" hidden="false" customHeight="false" outlineLevel="0" collapsed="false"/>
    <row r="7252" customFormat="false" ht="12.75" hidden="false" customHeight="false" outlineLevel="0" collapsed="false"/>
    <row r="7253" customFormat="false" ht="12.75" hidden="false" customHeight="false" outlineLevel="0" collapsed="false"/>
    <row r="7254" customFormat="false" ht="12.75" hidden="false" customHeight="false" outlineLevel="0" collapsed="false"/>
    <row r="7255" customFormat="false" ht="12.75" hidden="false" customHeight="false" outlineLevel="0" collapsed="false"/>
    <row r="7256" customFormat="false" ht="12.75" hidden="false" customHeight="false" outlineLevel="0" collapsed="false"/>
    <row r="7257" customFormat="false" ht="12.75" hidden="false" customHeight="false" outlineLevel="0" collapsed="false"/>
    <row r="7258" customFormat="false" ht="12.75" hidden="false" customHeight="false" outlineLevel="0" collapsed="false"/>
    <row r="7259" customFormat="false" ht="12.75" hidden="false" customHeight="false" outlineLevel="0" collapsed="false"/>
    <row r="7260" customFormat="false" ht="12.75" hidden="false" customHeight="false" outlineLevel="0" collapsed="false"/>
    <row r="7261" customFormat="false" ht="12.75" hidden="false" customHeight="false" outlineLevel="0" collapsed="false"/>
    <row r="7262" customFormat="false" ht="12.75" hidden="false" customHeight="false" outlineLevel="0" collapsed="false"/>
    <row r="7263" customFormat="false" ht="12.75" hidden="false" customHeight="false" outlineLevel="0" collapsed="false"/>
    <row r="7264" customFormat="false" ht="12.75" hidden="false" customHeight="false" outlineLevel="0" collapsed="false"/>
    <row r="7265" customFormat="false" ht="12.75" hidden="false" customHeight="false" outlineLevel="0" collapsed="false"/>
    <row r="7266" customFormat="false" ht="12.75" hidden="false" customHeight="false" outlineLevel="0" collapsed="false"/>
    <row r="7267" customFormat="false" ht="12.75" hidden="false" customHeight="false" outlineLevel="0" collapsed="false"/>
    <row r="7268" customFormat="false" ht="12.75" hidden="false" customHeight="false" outlineLevel="0" collapsed="false"/>
    <row r="7269" customFormat="false" ht="12.75" hidden="false" customHeight="false" outlineLevel="0" collapsed="false"/>
    <row r="7270" customFormat="false" ht="12.75" hidden="false" customHeight="false" outlineLevel="0" collapsed="false"/>
    <row r="7271" customFormat="false" ht="12.75" hidden="false" customHeight="false" outlineLevel="0" collapsed="false"/>
    <row r="7272" customFormat="false" ht="12.75" hidden="false" customHeight="false" outlineLevel="0" collapsed="false"/>
    <row r="7273" customFormat="false" ht="12.75" hidden="false" customHeight="false" outlineLevel="0" collapsed="false"/>
    <row r="7274" customFormat="false" ht="12.75" hidden="false" customHeight="false" outlineLevel="0" collapsed="false"/>
    <row r="7275" customFormat="false" ht="12.75" hidden="false" customHeight="false" outlineLevel="0" collapsed="false"/>
    <row r="7276" customFormat="false" ht="12.75" hidden="false" customHeight="false" outlineLevel="0" collapsed="false"/>
    <row r="7277" customFormat="false" ht="12.75" hidden="false" customHeight="false" outlineLevel="0" collapsed="false"/>
    <row r="7278" customFormat="false" ht="12.75" hidden="false" customHeight="false" outlineLevel="0" collapsed="false"/>
    <row r="7279" customFormat="false" ht="12.75" hidden="false" customHeight="false" outlineLevel="0" collapsed="false"/>
    <row r="7280" customFormat="false" ht="12.75" hidden="false" customHeight="false" outlineLevel="0" collapsed="false"/>
    <row r="7281" customFormat="false" ht="12.75" hidden="false" customHeight="false" outlineLevel="0" collapsed="false"/>
    <row r="7282" customFormat="false" ht="12.75" hidden="false" customHeight="false" outlineLevel="0" collapsed="false"/>
    <row r="7283" customFormat="false" ht="12.75" hidden="false" customHeight="false" outlineLevel="0" collapsed="false"/>
    <row r="7284" customFormat="false" ht="12.75" hidden="false" customHeight="false" outlineLevel="0" collapsed="false"/>
    <row r="7285" customFormat="false" ht="12.75" hidden="false" customHeight="false" outlineLevel="0" collapsed="false"/>
    <row r="7286" customFormat="false" ht="12.75" hidden="false" customHeight="false" outlineLevel="0" collapsed="false"/>
    <row r="7287" customFormat="false" ht="12.75" hidden="false" customHeight="false" outlineLevel="0" collapsed="false"/>
    <row r="7288" customFormat="false" ht="12.75" hidden="false" customHeight="false" outlineLevel="0" collapsed="false"/>
    <row r="7289" customFormat="false" ht="12.75" hidden="false" customHeight="false" outlineLevel="0" collapsed="false"/>
    <row r="7290" customFormat="false" ht="12.75" hidden="false" customHeight="false" outlineLevel="0" collapsed="false"/>
    <row r="7291" customFormat="false" ht="12.75" hidden="false" customHeight="false" outlineLevel="0" collapsed="false"/>
    <row r="7292" customFormat="false" ht="12.75" hidden="false" customHeight="false" outlineLevel="0" collapsed="false"/>
    <row r="7293" customFormat="false" ht="12.75" hidden="false" customHeight="false" outlineLevel="0" collapsed="false"/>
    <row r="7294" customFormat="false" ht="12.75" hidden="false" customHeight="false" outlineLevel="0" collapsed="false"/>
    <row r="7295" customFormat="false" ht="12.75" hidden="false" customHeight="false" outlineLevel="0" collapsed="false"/>
    <row r="7296" customFormat="false" ht="12.75" hidden="false" customHeight="false" outlineLevel="0" collapsed="false"/>
    <row r="7297" customFormat="false" ht="12.75" hidden="false" customHeight="false" outlineLevel="0" collapsed="false"/>
    <row r="7298" customFormat="false" ht="12.75" hidden="false" customHeight="false" outlineLevel="0" collapsed="false"/>
    <row r="7299" customFormat="false" ht="12.75" hidden="false" customHeight="false" outlineLevel="0" collapsed="false"/>
    <row r="7300" customFormat="false" ht="12.75" hidden="false" customHeight="false" outlineLevel="0" collapsed="false"/>
    <row r="7301" customFormat="false" ht="12.75" hidden="false" customHeight="false" outlineLevel="0" collapsed="false"/>
    <row r="7302" customFormat="false" ht="12.75" hidden="false" customHeight="false" outlineLevel="0" collapsed="false"/>
    <row r="7303" customFormat="false" ht="12.75" hidden="false" customHeight="false" outlineLevel="0" collapsed="false"/>
    <row r="7304" customFormat="false" ht="12.75" hidden="false" customHeight="false" outlineLevel="0" collapsed="false"/>
    <row r="7305" customFormat="false" ht="12.75" hidden="false" customHeight="false" outlineLevel="0" collapsed="false"/>
    <row r="7306" customFormat="false" ht="12.75" hidden="false" customHeight="false" outlineLevel="0" collapsed="false"/>
    <row r="7307" customFormat="false" ht="12.75" hidden="false" customHeight="false" outlineLevel="0" collapsed="false"/>
    <row r="7308" customFormat="false" ht="12.75" hidden="false" customHeight="false" outlineLevel="0" collapsed="false"/>
    <row r="7309" customFormat="false" ht="12.75" hidden="false" customHeight="false" outlineLevel="0" collapsed="false"/>
    <row r="7310" customFormat="false" ht="12.75" hidden="false" customHeight="false" outlineLevel="0" collapsed="false"/>
    <row r="7311" customFormat="false" ht="12.75" hidden="false" customHeight="false" outlineLevel="0" collapsed="false"/>
    <row r="7312" customFormat="false" ht="12.75" hidden="false" customHeight="false" outlineLevel="0" collapsed="false"/>
    <row r="7313" customFormat="false" ht="12.75" hidden="false" customHeight="false" outlineLevel="0" collapsed="false"/>
    <row r="7314" customFormat="false" ht="12.75" hidden="false" customHeight="false" outlineLevel="0" collapsed="false"/>
    <row r="7315" customFormat="false" ht="12.75" hidden="false" customHeight="false" outlineLevel="0" collapsed="false"/>
    <row r="7316" customFormat="false" ht="12.75" hidden="false" customHeight="false" outlineLevel="0" collapsed="false"/>
    <row r="7317" customFormat="false" ht="12.75" hidden="false" customHeight="false" outlineLevel="0" collapsed="false"/>
    <row r="7318" customFormat="false" ht="12.75" hidden="false" customHeight="false" outlineLevel="0" collapsed="false"/>
    <row r="7319" customFormat="false" ht="12.75" hidden="false" customHeight="false" outlineLevel="0" collapsed="false"/>
    <row r="7320" customFormat="false" ht="12.75" hidden="false" customHeight="false" outlineLevel="0" collapsed="false"/>
    <row r="7321" customFormat="false" ht="12.75" hidden="false" customHeight="false" outlineLevel="0" collapsed="false"/>
    <row r="7322" customFormat="false" ht="12.75" hidden="false" customHeight="false" outlineLevel="0" collapsed="false"/>
    <row r="7323" customFormat="false" ht="12.75" hidden="false" customHeight="false" outlineLevel="0" collapsed="false"/>
    <row r="7324" customFormat="false" ht="12.75" hidden="false" customHeight="false" outlineLevel="0" collapsed="false"/>
    <row r="7325" customFormat="false" ht="12.75" hidden="false" customHeight="false" outlineLevel="0" collapsed="false"/>
    <row r="7326" customFormat="false" ht="12.75" hidden="false" customHeight="false" outlineLevel="0" collapsed="false"/>
    <row r="7327" customFormat="false" ht="12.75" hidden="false" customHeight="false" outlineLevel="0" collapsed="false"/>
    <row r="7328" customFormat="false" ht="12.75" hidden="false" customHeight="false" outlineLevel="0" collapsed="false"/>
    <row r="7329" customFormat="false" ht="12.75" hidden="false" customHeight="false" outlineLevel="0" collapsed="false"/>
    <row r="7330" customFormat="false" ht="12.75" hidden="false" customHeight="false" outlineLevel="0" collapsed="false"/>
    <row r="7331" customFormat="false" ht="12.75" hidden="false" customHeight="false" outlineLevel="0" collapsed="false"/>
    <row r="7332" customFormat="false" ht="12.75" hidden="false" customHeight="false" outlineLevel="0" collapsed="false"/>
    <row r="7333" customFormat="false" ht="12.75" hidden="false" customHeight="false" outlineLevel="0" collapsed="false"/>
    <row r="7334" customFormat="false" ht="12.75" hidden="false" customHeight="false" outlineLevel="0" collapsed="false"/>
    <row r="7335" customFormat="false" ht="12.75" hidden="false" customHeight="false" outlineLevel="0" collapsed="false"/>
    <row r="7336" customFormat="false" ht="12.75" hidden="false" customHeight="false" outlineLevel="0" collapsed="false"/>
    <row r="7337" customFormat="false" ht="12.75" hidden="false" customHeight="false" outlineLevel="0" collapsed="false"/>
    <row r="7338" customFormat="false" ht="12.75" hidden="false" customHeight="false" outlineLevel="0" collapsed="false"/>
    <row r="7339" customFormat="false" ht="12.75" hidden="false" customHeight="false" outlineLevel="0" collapsed="false"/>
    <row r="7340" customFormat="false" ht="12.75" hidden="false" customHeight="false" outlineLevel="0" collapsed="false"/>
    <row r="7341" customFormat="false" ht="12.75" hidden="false" customHeight="false" outlineLevel="0" collapsed="false"/>
    <row r="7342" customFormat="false" ht="12.75" hidden="false" customHeight="false" outlineLevel="0" collapsed="false"/>
    <row r="7343" customFormat="false" ht="12.75" hidden="false" customHeight="false" outlineLevel="0" collapsed="false"/>
    <row r="7344" customFormat="false" ht="12.75" hidden="false" customHeight="false" outlineLevel="0" collapsed="false"/>
    <row r="7345" customFormat="false" ht="12.75" hidden="false" customHeight="false" outlineLevel="0" collapsed="false"/>
    <row r="7346" customFormat="false" ht="12.75" hidden="false" customHeight="false" outlineLevel="0" collapsed="false"/>
    <row r="7347" customFormat="false" ht="12.75" hidden="false" customHeight="false" outlineLevel="0" collapsed="false"/>
    <row r="7348" customFormat="false" ht="12.75" hidden="false" customHeight="false" outlineLevel="0" collapsed="false"/>
    <row r="7349" customFormat="false" ht="12.75" hidden="false" customHeight="false" outlineLevel="0" collapsed="false"/>
    <row r="7350" customFormat="false" ht="12.75" hidden="false" customHeight="false" outlineLevel="0" collapsed="false"/>
    <row r="7351" customFormat="false" ht="12.75" hidden="false" customHeight="false" outlineLevel="0" collapsed="false"/>
    <row r="7352" customFormat="false" ht="12.75" hidden="false" customHeight="false" outlineLevel="0" collapsed="false"/>
    <row r="7353" customFormat="false" ht="12.75" hidden="false" customHeight="false" outlineLevel="0" collapsed="false"/>
    <row r="7354" customFormat="false" ht="12.75" hidden="false" customHeight="false" outlineLevel="0" collapsed="false"/>
    <row r="7355" customFormat="false" ht="12.75" hidden="false" customHeight="false" outlineLevel="0" collapsed="false"/>
    <row r="7356" customFormat="false" ht="12.75" hidden="false" customHeight="false" outlineLevel="0" collapsed="false"/>
    <row r="7357" customFormat="false" ht="12.75" hidden="false" customHeight="false" outlineLevel="0" collapsed="false"/>
    <row r="7358" customFormat="false" ht="12.75" hidden="false" customHeight="false" outlineLevel="0" collapsed="false"/>
    <row r="7359" customFormat="false" ht="12.75" hidden="false" customHeight="false" outlineLevel="0" collapsed="false"/>
    <row r="7360" customFormat="false" ht="12.75" hidden="false" customHeight="false" outlineLevel="0" collapsed="false"/>
    <row r="7361" customFormat="false" ht="12.75" hidden="false" customHeight="false" outlineLevel="0" collapsed="false"/>
    <row r="7362" customFormat="false" ht="12.75" hidden="false" customHeight="false" outlineLevel="0" collapsed="false"/>
    <row r="7363" customFormat="false" ht="12.75" hidden="false" customHeight="false" outlineLevel="0" collapsed="false"/>
    <row r="7364" customFormat="false" ht="12.75" hidden="false" customHeight="false" outlineLevel="0" collapsed="false"/>
    <row r="7365" customFormat="false" ht="12.75" hidden="false" customHeight="false" outlineLevel="0" collapsed="false"/>
    <row r="7366" customFormat="false" ht="12.75" hidden="false" customHeight="false" outlineLevel="0" collapsed="false"/>
    <row r="7367" customFormat="false" ht="12.75" hidden="false" customHeight="false" outlineLevel="0" collapsed="false"/>
    <row r="7368" customFormat="false" ht="12.75" hidden="false" customHeight="false" outlineLevel="0" collapsed="false"/>
    <row r="7369" customFormat="false" ht="12.75" hidden="false" customHeight="false" outlineLevel="0" collapsed="false"/>
    <row r="7370" customFormat="false" ht="12.75" hidden="false" customHeight="false" outlineLevel="0" collapsed="false"/>
    <row r="7371" customFormat="false" ht="12.75" hidden="false" customHeight="false" outlineLevel="0" collapsed="false"/>
    <row r="7372" customFormat="false" ht="12.75" hidden="false" customHeight="false" outlineLevel="0" collapsed="false"/>
    <row r="7373" customFormat="false" ht="12.75" hidden="false" customHeight="false" outlineLevel="0" collapsed="false"/>
    <row r="7374" customFormat="false" ht="12.75" hidden="false" customHeight="false" outlineLevel="0" collapsed="false"/>
    <row r="7375" customFormat="false" ht="12.75" hidden="false" customHeight="false" outlineLevel="0" collapsed="false"/>
    <row r="7376" customFormat="false" ht="12.75" hidden="false" customHeight="false" outlineLevel="0" collapsed="false"/>
    <row r="7377" customFormat="false" ht="12.75" hidden="false" customHeight="false" outlineLevel="0" collapsed="false"/>
    <row r="7378" customFormat="false" ht="12.75" hidden="false" customHeight="false" outlineLevel="0" collapsed="false"/>
    <row r="7379" customFormat="false" ht="12.75" hidden="false" customHeight="false" outlineLevel="0" collapsed="false"/>
    <row r="7380" customFormat="false" ht="12.75" hidden="false" customHeight="false" outlineLevel="0" collapsed="false"/>
    <row r="7381" customFormat="false" ht="12.75" hidden="false" customHeight="false" outlineLevel="0" collapsed="false"/>
    <row r="7382" customFormat="false" ht="12.75" hidden="false" customHeight="false" outlineLevel="0" collapsed="false"/>
    <row r="7383" customFormat="false" ht="12.75" hidden="false" customHeight="false" outlineLevel="0" collapsed="false"/>
    <row r="7384" customFormat="false" ht="12.75" hidden="false" customHeight="false" outlineLevel="0" collapsed="false"/>
    <row r="7385" customFormat="false" ht="12.75" hidden="false" customHeight="false" outlineLevel="0" collapsed="false"/>
    <row r="7386" customFormat="false" ht="12.75" hidden="false" customHeight="false" outlineLevel="0" collapsed="false"/>
    <row r="7387" customFormat="false" ht="12.75" hidden="false" customHeight="false" outlineLevel="0" collapsed="false"/>
    <row r="7388" customFormat="false" ht="12.75" hidden="false" customHeight="false" outlineLevel="0" collapsed="false"/>
    <row r="7389" customFormat="false" ht="12.75" hidden="false" customHeight="false" outlineLevel="0" collapsed="false"/>
    <row r="7390" customFormat="false" ht="12.75" hidden="false" customHeight="false" outlineLevel="0" collapsed="false"/>
    <row r="7391" customFormat="false" ht="12.75" hidden="false" customHeight="false" outlineLevel="0" collapsed="false"/>
    <row r="7392" customFormat="false" ht="12.75" hidden="false" customHeight="false" outlineLevel="0" collapsed="false"/>
    <row r="7393" customFormat="false" ht="12.75" hidden="false" customHeight="false" outlineLevel="0" collapsed="false"/>
    <row r="7394" customFormat="false" ht="12.75" hidden="false" customHeight="false" outlineLevel="0" collapsed="false"/>
    <row r="7395" customFormat="false" ht="12.75" hidden="false" customHeight="false" outlineLevel="0" collapsed="false"/>
    <row r="7396" customFormat="false" ht="12.75" hidden="false" customHeight="false" outlineLevel="0" collapsed="false"/>
    <row r="7397" customFormat="false" ht="12.75" hidden="false" customHeight="false" outlineLevel="0" collapsed="false"/>
    <row r="7398" customFormat="false" ht="12.75" hidden="false" customHeight="false" outlineLevel="0" collapsed="false"/>
    <row r="7399" customFormat="false" ht="12.75" hidden="false" customHeight="false" outlineLevel="0" collapsed="false"/>
    <row r="7400" customFormat="false" ht="12.75" hidden="false" customHeight="false" outlineLevel="0" collapsed="false"/>
    <row r="7401" customFormat="false" ht="12.75" hidden="false" customHeight="false" outlineLevel="0" collapsed="false"/>
    <row r="7402" customFormat="false" ht="12.75" hidden="false" customHeight="false" outlineLevel="0" collapsed="false"/>
    <row r="7403" customFormat="false" ht="12.75" hidden="false" customHeight="false" outlineLevel="0" collapsed="false"/>
    <row r="7404" customFormat="false" ht="12.75" hidden="false" customHeight="false" outlineLevel="0" collapsed="false"/>
    <row r="7405" customFormat="false" ht="12.75" hidden="false" customHeight="false" outlineLevel="0" collapsed="false"/>
    <row r="7406" customFormat="false" ht="12.75" hidden="false" customHeight="false" outlineLevel="0" collapsed="false"/>
    <row r="7407" customFormat="false" ht="12.75" hidden="false" customHeight="false" outlineLevel="0" collapsed="false"/>
    <row r="7408" customFormat="false" ht="12.75" hidden="false" customHeight="false" outlineLevel="0" collapsed="false"/>
    <row r="7409" customFormat="false" ht="12.75" hidden="false" customHeight="fals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true" gridLinesSet="true" horizontalCentered="false" verticalCentered="false"/>
  <pageMargins left="0.75" right="0.75" top="1" bottom="1" header="0" footer="0"/>
  <pageSetup paperSize="9" scale="10" fitToWidth="1" fitToHeight="1" pageOrder="downThenOver" orientation="portrait" blackAndWhite="false" draft="false" cellComments="none" horizontalDpi="300" verticalDpi="300" copies="1"/>
  <headerFooter differentFirst="false" differentOddEven="false">
    <oddHeader>&amp;C&amp;F</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22" activeCellId="0" sqref="M22"/>
    </sheetView>
  </sheetViews>
  <sheetFormatPr defaultColWidth="11.43359375" defaultRowHeight="12.75" customHeight="true" zeroHeight="false" outlineLevelRow="0" outlineLevelCol="0"/>
  <sheetData>
    <row r="3" customFormat="false" ht="12.75" hidden="false" customHeight="false" outlineLevel="0" collapsed="false">
      <c r="A3" s="62" t="s">
        <v>3343</v>
      </c>
      <c r="B3" s="62" t="n">
        <f aca="false">COUNTIF('Tabla general'!I:I,1)</f>
        <v>538</v>
      </c>
      <c r="K3" s="62" t="s">
        <v>3344</v>
      </c>
      <c r="L3" s="62" t="s">
        <v>3343</v>
      </c>
      <c r="M3" s="62" t="n">
        <f aca="false">COUNTIFS('Tabla general'!I:I,1,'Tabla general'!T:T,1)</f>
        <v>234</v>
      </c>
    </row>
    <row r="4" customFormat="false" ht="12.75" hidden="false" customHeight="false" outlineLevel="0" collapsed="false">
      <c r="A4" s="62" t="s">
        <v>3345</v>
      </c>
      <c r="B4" s="62" t="n">
        <f aca="false">COUNTIF('Tabla general'!I:I,2)</f>
        <v>810</v>
      </c>
      <c r="L4" s="62" t="s">
        <v>3345</v>
      </c>
      <c r="M4" s="62" t="n">
        <f aca="false">COUNTIFS('Tabla general'!I:I,2,'Tabla general'!T:T,1)</f>
        <v>294</v>
      </c>
    </row>
    <row r="21" customFormat="false" ht="12.75" hidden="false" customHeight="false" outlineLevel="0" collapsed="false">
      <c r="A21" s="62" t="s">
        <v>3344</v>
      </c>
      <c r="B21" s="62" t="n">
        <f aca="false">COUNTIF('Tabla general'!T:T,1)</f>
        <v>528</v>
      </c>
      <c r="K21" s="62" t="s">
        <v>3346</v>
      </c>
      <c r="L21" s="62" t="s">
        <v>3343</v>
      </c>
      <c r="M21" s="62" t="n">
        <f aca="false">COUNTIFS('Tabla general'!I:I,1,'Tabla general'!T:T,2)</f>
        <v>122</v>
      </c>
    </row>
    <row r="22" customFormat="false" ht="12.75" hidden="false" customHeight="false" outlineLevel="0" collapsed="false">
      <c r="A22" s="62" t="s">
        <v>3346</v>
      </c>
      <c r="B22" s="62" t="n">
        <f aca="false">COUNTIF('Tabla general'!T:T,2)</f>
        <v>423</v>
      </c>
      <c r="L22" s="62" t="s">
        <v>3345</v>
      </c>
      <c r="M22" s="62" t="n">
        <f aca="false">COUNTIFS('Tabla general'!I:I,2,'Tabla general'!T:T,2)</f>
        <v>301</v>
      </c>
    </row>
    <row r="41" customFormat="false" ht="12.75" hidden="false" customHeight="false" outlineLevel="0" collapsed="false">
      <c r="A41" s="62" t="s">
        <v>3344</v>
      </c>
      <c r="B41" s="62" t="s">
        <v>3343</v>
      </c>
      <c r="C41" s="62" t="n">
        <f aca="false">COUNTIFS('Tabla general'!I:I,1,'Tabla general'!T:T,1)</f>
        <v>234</v>
      </c>
    </row>
    <row r="42" customFormat="false" ht="12.75" hidden="false" customHeight="false" outlineLevel="0" collapsed="false">
      <c r="B42" s="62" t="s">
        <v>3345</v>
      </c>
      <c r="C42" s="62" t="n">
        <f aca="false">COUNTIFS('Tabla general'!I:I,2,'Tabla general'!T:T,1)</f>
        <v>294</v>
      </c>
    </row>
    <row r="44" customFormat="false" ht="12.75" hidden="false" customHeight="false" outlineLevel="0" collapsed="false">
      <c r="A44" s="62" t="s">
        <v>3346</v>
      </c>
      <c r="B44" s="62" t="s">
        <v>3343</v>
      </c>
      <c r="C44" s="62" t="n">
        <f aca="false">COUNTIFS('Tabla general'!I:I,1,'Tabla general'!T:T,2)</f>
        <v>122</v>
      </c>
    </row>
    <row r="45" customFormat="false" ht="12.75" hidden="false" customHeight="false" outlineLevel="0" collapsed="false">
      <c r="B45" s="62" t="s">
        <v>3345</v>
      </c>
      <c r="C45" s="62" t="n">
        <f aca="false">COUNTIFS('Tabla general'!I:I,2,'Tabla general'!T:T,2)</f>
        <v>301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E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5" activeCellId="0" sqref="C25"/>
    </sheetView>
  </sheetViews>
  <sheetFormatPr defaultColWidth="11.43359375" defaultRowHeight="12.75" customHeight="true" zeroHeight="false" outlineLevelRow="0" outlineLevelCol="0"/>
  <sheetData>
    <row r="2" customFormat="false" ht="12.75" hidden="false" customHeight="false" outlineLevel="0" collapsed="false">
      <c r="A2" s="62" t="s">
        <v>3346</v>
      </c>
      <c r="B2" s="62" t="s">
        <v>3343</v>
      </c>
      <c r="C2" s="62" t="n">
        <f aca="false">COUNTIFS('Tabla general'!I:I,1,'Tabla general'!T:T,2)</f>
        <v>122</v>
      </c>
    </row>
    <row r="3" customFormat="false" ht="12.75" hidden="false" customHeight="false" outlineLevel="0" collapsed="false">
      <c r="B3" s="62" t="s">
        <v>3345</v>
      </c>
      <c r="C3" s="62" t="n">
        <f aca="false">COUNTIFS('Tabla general'!I:I,2,'Tabla general'!T:T,2)</f>
        <v>301</v>
      </c>
    </row>
    <row r="24" customFormat="false" ht="12.75" hidden="false" customHeight="false" outlineLevel="0" collapsed="false">
      <c r="A24" s="62" t="s">
        <v>3347</v>
      </c>
      <c r="C24" s="62" t="s">
        <v>3348</v>
      </c>
      <c r="D24" s="62" t="s">
        <v>3343</v>
      </c>
      <c r="E24" s="62" t="s">
        <v>3345</v>
      </c>
    </row>
    <row r="25" customFormat="false" ht="12.75" hidden="false" customHeight="false" outlineLevel="0" collapsed="false">
      <c r="B25" s="62" t="s">
        <v>3349</v>
      </c>
      <c r="C25" s="62" t="n">
        <f aca="false">COUNTIFS('Tabla general'!T:T,2,'Tabla general'!J:J,"&lt;="&amp;40)</f>
        <v>14</v>
      </c>
      <c r="D25" s="62" t="n">
        <f aca="false">COUNTIFS('Tabla general'!I:I,1,'Tabla general'!T:T,2,'Tabla general'!J:J,"&lt;="&amp;40)</f>
        <v>3</v>
      </c>
      <c r="E25" s="62" t="n">
        <f aca="false">COUNTIFS('Tabla general'!I:I,2,'Tabla general'!T:T,2,'Tabla general'!J:J,"&lt;="&amp;40)</f>
        <v>11</v>
      </c>
    </row>
    <row r="26" customFormat="false" ht="12.75" hidden="false" customHeight="false" outlineLevel="0" collapsed="false">
      <c r="B26" s="62" t="s">
        <v>3350</v>
      </c>
      <c r="C26" s="62" t="n">
        <f aca="false">COUNTIFS('Tabla general'!T:T,2,'Tabla general'!J:J,"&gt;="&amp;41,'Tabla general'!J:J,"&lt;="&amp;50)</f>
        <v>46</v>
      </c>
      <c r="D26" s="62" t="n">
        <f aca="false">COUNTIFS('Tabla general'!I:I,1,'Tabla general'!T:T,2,'Tabla general'!J:J,"&gt;="&amp;41,'Tabla general'!J:J,"&lt;="&amp;50)</f>
        <v>7</v>
      </c>
      <c r="E26" s="62" t="n">
        <f aca="false">COUNTIFS('Tabla general'!I:I,2,'Tabla general'!T:T,2,'Tabla general'!J:J,"&gt;="&amp;41,'Tabla general'!J:J,"&lt;="&amp;50)</f>
        <v>39</v>
      </c>
    </row>
    <row r="27" customFormat="false" ht="12.75" hidden="false" customHeight="false" outlineLevel="0" collapsed="false">
      <c r="B27" s="62" t="s">
        <v>3351</v>
      </c>
      <c r="C27" s="62" t="n">
        <f aca="false">COUNTIFS('Tabla general'!T:T,2,'Tabla general'!J:J,"&gt;="&amp;51,'Tabla general'!J:J,"&lt;="&amp;60)</f>
        <v>133</v>
      </c>
      <c r="D27" s="62" t="n">
        <f aca="false">COUNTIFS('Tabla general'!I:I,1,'Tabla general'!T:T,2,'Tabla general'!J:J,"&gt;="&amp;51,'Tabla general'!J:J,"&lt;="&amp;60)</f>
        <v>33</v>
      </c>
      <c r="E27" s="62" t="n">
        <f aca="false">COUNTIFS('Tabla general'!I:I,2,'Tabla general'!T:T,2,'Tabla general'!J:J,"&gt;="&amp;51,'Tabla general'!J:J,"&lt;="&amp;60)</f>
        <v>100</v>
      </c>
    </row>
    <row r="28" customFormat="false" ht="12.75" hidden="false" customHeight="false" outlineLevel="0" collapsed="false">
      <c r="B28" s="62" t="s">
        <v>3352</v>
      </c>
      <c r="C28" s="62" t="n">
        <f aca="false">COUNTIFS('Tabla general'!T:T,2,'Tabla general'!J:J,"&gt;="&amp;61,'Tabla general'!J:J,"&lt;="&amp;70)</f>
        <v>123</v>
      </c>
      <c r="D28" s="62" t="n">
        <f aca="false">COUNTIFS('Tabla general'!I:I,1,'Tabla general'!T:T,2,'Tabla general'!J:J,"&gt;="&amp;61,'Tabla general'!J:J,"&lt;="&amp;70)</f>
        <v>39</v>
      </c>
      <c r="E28" s="62" t="n">
        <f aca="false">COUNTIFS('Tabla general'!I:I,2,'Tabla general'!T:T,2,'Tabla general'!J:J,"&gt;="&amp;61,'Tabla general'!J:J,"&lt;="&amp;70)</f>
        <v>84</v>
      </c>
    </row>
    <row r="29" customFormat="false" ht="12.75" hidden="false" customHeight="false" outlineLevel="0" collapsed="false">
      <c r="B29" s="62" t="s">
        <v>3353</v>
      </c>
      <c r="C29" s="62" t="n">
        <f aca="false">COUNTIFS('Tabla general'!T:T,2,'Tabla general'!J:J,"&gt;="&amp;71,'Tabla general'!J:J,"&lt;="&amp;80)</f>
        <v>82</v>
      </c>
      <c r="D29" s="62" t="n">
        <f aca="false">COUNTIFS('Tabla general'!I:I,1,'Tabla general'!T:T,2,'Tabla general'!J:J,"&gt;="&amp;71,'Tabla general'!J:J,"&lt;="&amp;80)</f>
        <v>31</v>
      </c>
      <c r="E29" s="62" t="n">
        <f aca="false">COUNTIFS('Tabla general'!I:I,2,'Tabla general'!T:T,2,'Tabla general'!J:J,"&gt;="&amp;71,'Tabla general'!J:J,"&lt;="&amp;80)</f>
        <v>51</v>
      </c>
    </row>
    <row r="30" customFormat="false" ht="12.75" hidden="false" customHeight="false" outlineLevel="0" collapsed="false">
      <c r="B30" s="62" t="s">
        <v>3354</v>
      </c>
      <c r="C30" s="62" t="n">
        <f aca="false">COUNTIFS('Tabla general'!T:T,2,'Tabla general'!J:J,"&gt;"&amp;80)</f>
        <v>25</v>
      </c>
      <c r="D30" s="62" t="n">
        <f aca="false">COUNTIFS('Tabla general'!I:I,1,'Tabla general'!T:T,2,'Tabla general'!J:J,"&gt;"&amp;80)</f>
        <v>9</v>
      </c>
      <c r="E30" s="62" t="n">
        <f aca="false">COUNTIFS('Tabla general'!I:I,2,'Tabla general'!T:T,2,'Tabla general'!J:J,"&gt;"&amp;80)</f>
        <v>16</v>
      </c>
    </row>
    <row r="43" customFormat="false" ht="12.75" hidden="false" customHeight="false" outlineLevel="0" collapsed="false">
      <c r="A43" s="62" t="s">
        <v>3355</v>
      </c>
    </row>
    <row r="44" customFormat="false" ht="12.75" hidden="false" customHeight="false" outlineLevel="0" collapsed="false">
      <c r="B44" s="62" t="s">
        <v>3356</v>
      </c>
      <c r="C44" s="62" t="n">
        <f aca="false">COUNTIFS('Tabla general'!K:K,1,'Tabla general'!T:T,2)</f>
        <v>296</v>
      </c>
    </row>
    <row r="45" customFormat="false" ht="12.75" hidden="false" customHeight="false" outlineLevel="0" collapsed="false">
      <c r="B45" s="62" t="s">
        <v>3357</v>
      </c>
      <c r="C45" s="62" t="n">
        <f aca="false">COUNTIFS('Tabla general'!K:K,2,'Tabla general'!T:T,2)</f>
        <v>127</v>
      </c>
    </row>
    <row r="46" customFormat="false" ht="12.75" hidden="false" customHeight="false" outlineLevel="0" collapsed="false">
      <c r="B46" s="62" t="s">
        <v>3358</v>
      </c>
      <c r="C46" s="62" t="n">
        <f aca="false">COUNTIFS('Tabla general'!K:K,3,'Tabla general'!T:T,2)</f>
        <v>0</v>
      </c>
    </row>
    <row r="63" customFormat="false" ht="12.75" hidden="false" customHeight="false" outlineLevel="0" collapsed="false">
      <c r="A63" s="62" t="s">
        <v>3359</v>
      </c>
    </row>
    <row r="64" customFormat="false" ht="12.75" hidden="false" customHeight="false" outlineLevel="0" collapsed="false">
      <c r="B64" s="62" t="s">
        <v>10</v>
      </c>
      <c r="C64" s="62" t="n">
        <f aca="false">COUNTIFS('Tabla general'!T:T,2,'Tabla general'!L:L,1)</f>
        <v>261</v>
      </c>
    </row>
    <row r="65" customFormat="false" ht="12.75" hidden="false" customHeight="false" outlineLevel="0" collapsed="false">
      <c r="B65" s="62" t="s">
        <v>11</v>
      </c>
      <c r="C65" s="62" t="n">
        <f aca="false">COUNTIFS('Tabla general'!T:T,2,'Tabla general'!M:M,1)</f>
        <v>312</v>
      </c>
    </row>
    <row r="66" customFormat="false" ht="12.75" hidden="false" customHeight="false" outlineLevel="0" collapsed="false">
      <c r="B66" s="62" t="s">
        <v>12</v>
      </c>
      <c r="C66" s="62" t="n">
        <f aca="false">COUNTIFS('Tabla general'!T:T,2,'Tabla general'!N:N,1)</f>
        <v>37</v>
      </c>
    </row>
    <row r="67" customFormat="false" ht="12.75" hidden="false" customHeight="false" outlineLevel="0" collapsed="false">
      <c r="B67" s="62" t="s">
        <v>13</v>
      </c>
      <c r="C67" s="62" t="n">
        <f aca="false">COUNTIFS('Tabla general'!T:T,2,'Tabla general'!O:O,1)</f>
        <v>44</v>
      </c>
    </row>
    <row r="68" customFormat="false" ht="12.75" hidden="false" customHeight="false" outlineLevel="0" collapsed="false">
      <c r="B68" s="62" t="s">
        <v>14</v>
      </c>
      <c r="C68" s="62" t="n">
        <f aca="false">COUNTIFS('Tabla general'!T:T,2,'Tabla general'!P:P,1)</f>
        <v>39</v>
      </c>
    </row>
    <row r="69" customFormat="false" ht="12.75" hidden="false" customHeight="false" outlineLevel="0" collapsed="false">
      <c r="B69" s="62" t="s">
        <v>15</v>
      </c>
      <c r="C69" s="62" t="n">
        <f aca="false">COUNTIFS('Tabla general'!T:T,2,'Tabla general'!Q:Q,1)</f>
        <v>106</v>
      </c>
    </row>
    <row r="70" customFormat="false" ht="12.75" hidden="false" customHeight="false" outlineLevel="0" collapsed="false">
      <c r="B70" s="62" t="s">
        <v>16</v>
      </c>
      <c r="C70" s="62" t="n">
        <f aca="false">COUNTIFS('Tabla general'!T:T,2,'Tabla general'!R:R,1)</f>
        <v>4</v>
      </c>
    </row>
    <row r="83" customFormat="false" ht="12.75" hidden="false" customHeight="false" outlineLevel="0" collapsed="false">
      <c r="A83" s="62" t="s">
        <v>3360</v>
      </c>
    </row>
    <row r="84" customFormat="false" ht="12.75" hidden="false" customHeight="false" outlineLevel="0" collapsed="false">
      <c r="B84" s="62" t="s">
        <v>3361</v>
      </c>
      <c r="C84" s="62" t="n">
        <f aca="false">COUNTIFS('Tabla general'!T:T,2,'Tabla general'!AZ:AZ,1)</f>
        <v>329</v>
      </c>
    </row>
    <row r="85" customFormat="false" ht="12.75" hidden="false" customHeight="false" outlineLevel="0" collapsed="false">
      <c r="B85" s="62" t="s">
        <v>3362</v>
      </c>
      <c r="C85" s="62" t="n">
        <f aca="false">COUNTIFS('Tabla general'!T:T,2,'Tabla general'!AZ:AZ,2)</f>
        <v>6</v>
      </c>
    </row>
    <row r="86" customFormat="false" ht="12.75" hidden="false" customHeight="false" outlineLevel="0" collapsed="false">
      <c r="B86" s="62" t="s">
        <v>3363</v>
      </c>
      <c r="C86" s="62" t="n">
        <f aca="false">COUNTIFS('Tabla general'!T:T,2,'Tabla general'!AZ:AZ,3)</f>
        <v>2</v>
      </c>
    </row>
    <row r="87" customFormat="false" ht="12.75" hidden="false" customHeight="false" outlineLevel="0" collapsed="false">
      <c r="B87" s="62" t="s">
        <v>3364</v>
      </c>
      <c r="C87" s="62" t="n">
        <f aca="false">COUNTIFS('Tabla general'!T:T,2,'Tabla general'!AZ:AZ,4)</f>
        <v>19</v>
      </c>
    </row>
    <row r="88" customFormat="false" ht="12.75" hidden="false" customHeight="false" outlineLevel="0" collapsed="false">
      <c r="B88" s="62" t="s">
        <v>3365</v>
      </c>
      <c r="C88" s="62" t="n">
        <f aca="false">COUNTIFS('Tabla general'!T:T,2,'Tabla general'!AZ:AZ,5)</f>
        <v>21</v>
      </c>
    </row>
    <row r="89" customFormat="false" ht="12.75" hidden="false" customHeight="false" outlineLevel="0" collapsed="false">
      <c r="B89" s="62" t="s">
        <v>3366</v>
      </c>
      <c r="C89" s="62" t="n">
        <f aca="false">COUNTIFS('Tabla general'!T:T,2,'Tabla general'!AZ:AZ,6)</f>
        <v>20</v>
      </c>
    </row>
    <row r="90" customFormat="false" ht="12.75" hidden="false" customHeight="false" outlineLevel="0" collapsed="false">
      <c r="B90" s="62" t="s">
        <v>3367</v>
      </c>
      <c r="C90" s="62" t="n">
        <f aca="false">COUNTIFS('Tabla general'!T:T,2,'Tabla general'!AZ:AZ,7)</f>
        <v>4</v>
      </c>
    </row>
    <row r="91" customFormat="false" ht="12.75" hidden="false" customHeight="false" outlineLevel="0" collapsed="false">
      <c r="B91" s="62" t="s">
        <v>3368</v>
      </c>
      <c r="C91" s="62" t="n">
        <f aca="false">COUNTIFS('Tabla general'!T:T,2,'Tabla general'!AZ:AZ,8)</f>
        <v>0</v>
      </c>
    </row>
    <row r="92" customFormat="false" ht="12.75" hidden="false" customHeight="false" outlineLevel="0" collapsed="false">
      <c r="B92" s="62" t="s">
        <v>3369</v>
      </c>
      <c r="C92" s="62" t="n">
        <f aca="false">COUNTIFS('Tabla general'!T:T,2,'Tabla general'!AZ:AZ,9)</f>
        <v>3</v>
      </c>
    </row>
    <row r="93" customFormat="false" ht="12.75" hidden="false" customHeight="false" outlineLevel="0" collapsed="false">
      <c r="B93" s="62" t="s">
        <v>3370</v>
      </c>
      <c r="C93" s="62" t="n">
        <f aca="false">COUNTIFS('Tabla general'!T:T,2,'Tabla general'!AZ:AZ,10)</f>
        <v>11</v>
      </c>
    </row>
    <row r="94" customFormat="false" ht="12.75" hidden="false" customHeight="false" outlineLevel="0" collapsed="false">
      <c r="B94" s="62" t="s">
        <v>3371</v>
      </c>
      <c r="C94" s="62" t="n">
        <f aca="false">COUNTIFS('Tabla general'!T:T,2,'Tabla general'!AZ:AZ,11)</f>
        <v>0</v>
      </c>
    </row>
    <row r="95" customFormat="false" ht="12.75" hidden="false" customHeight="false" outlineLevel="0" collapsed="false">
      <c r="B95" s="62" t="n">
        <v>12</v>
      </c>
      <c r="C95" s="62" t="n">
        <f aca="false">COUNTIFS('Tabla general'!T:T,2,'Tabla general'!AZ:AZ,12)</f>
        <v>0</v>
      </c>
    </row>
    <row r="96" customFormat="false" ht="12.75" hidden="false" customHeight="false" outlineLevel="0" collapsed="false">
      <c r="B96" s="62" t="n">
        <v>13</v>
      </c>
      <c r="C96" s="62" t="n">
        <f aca="false">COUNTIFS('Tabla general'!T:T,2,'Tabla general'!AZ:AZ,13)</f>
        <v>0</v>
      </c>
    </row>
    <row r="97" customFormat="false" ht="12.75" hidden="false" customHeight="false" outlineLevel="0" collapsed="false">
      <c r="B97" s="62" t="s">
        <v>3372</v>
      </c>
      <c r="C97" s="62" t="n">
        <f aca="false">COUNTIFS('Tabla general'!T:T,2,'Tabla general'!AZ:AZ,14)</f>
        <v>3</v>
      </c>
    </row>
    <row r="98" customFormat="false" ht="12.75" hidden="false" customHeight="false" outlineLevel="0" collapsed="false">
      <c r="B98" s="62" t="s">
        <v>3373</v>
      </c>
      <c r="C98" s="62" t="n">
        <f aca="false">COUNTIFS('Tabla general'!T:T,2,'Tabla general'!AZ:AZ,15)</f>
        <v>1</v>
      </c>
    </row>
    <row r="99" customFormat="false" ht="12.75" hidden="false" customHeight="false" outlineLevel="0" collapsed="false">
      <c r="B99" s="62" t="s">
        <v>3374</v>
      </c>
      <c r="C99" s="62" t="n">
        <f aca="false">COUNTIFS('Tabla general'!T:T,2,'Tabla general'!AZ:AZ,16)</f>
        <v>4</v>
      </c>
    </row>
    <row r="103" customFormat="false" ht="12.75" hidden="false" customHeight="false" outlineLevel="0" collapsed="false">
      <c r="A103" s="62" t="s">
        <v>3375</v>
      </c>
      <c r="B103" s="62" t="s">
        <v>3376</v>
      </c>
      <c r="C103" s="62" t="n">
        <f aca="false">COUNTIFS('Tabla general'!T:T,2,'Tabla general'!BD:BD,1)</f>
        <v>0</v>
      </c>
    </row>
    <row r="104" customFormat="false" ht="12.75" hidden="false" customHeight="false" outlineLevel="0" collapsed="false">
      <c r="B104" s="62" t="s">
        <v>3377</v>
      </c>
      <c r="C104" s="62" t="n">
        <f aca="false">COUNTIFS('Tabla general'!T:T,2,'Tabla general'!BD:BD,2)</f>
        <v>169</v>
      </c>
    </row>
    <row r="105" customFormat="false" ht="12.75" hidden="false" customHeight="false" outlineLevel="0" collapsed="false">
      <c r="B105" s="62" t="s">
        <v>3378</v>
      </c>
      <c r="C105" s="62" t="n">
        <f aca="false">COUNTIFS('Tabla general'!T:T,2,'Tabla general'!BD:BD,3)</f>
        <v>9</v>
      </c>
    </row>
    <row r="106" customFormat="false" ht="12.75" hidden="false" customHeight="false" outlineLevel="0" collapsed="false">
      <c r="B106" s="62" t="s">
        <v>3379</v>
      </c>
      <c r="C106" s="62" t="n">
        <f aca="false">COUNTIFS('Tabla general'!T:T,2,'Tabla general'!BD:BD,4)</f>
        <v>220</v>
      </c>
    </row>
    <row r="107" customFormat="false" ht="12.75" hidden="false" customHeight="false" outlineLevel="0" collapsed="false">
      <c r="B107" s="62" t="s">
        <v>3380</v>
      </c>
      <c r="C107" s="62" t="n">
        <f aca="false">COUNTIFS('Tabla general'!T:T,2,'Tabla general'!BD:BD,5)</f>
        <v>6</v>
      </c>
    </row>
    <row r="108" customFormat="false" ht="12.75" hidden="false" customHeight="false" outlineLevel="0" collapsed="false">
      <c r="B108" s="62" t="s">
        <v>3381</v>
      </c>
      <c r="C108" s="62" t="n">
        <f aca="false">COUNTIFS('Tabla general'!T:T,2,'Tabla general'!BD:BD,6)</f>
        <v>19</v>
      </c>
    </row>
    <row r="121" customFormat="false" ht="12.75" hidden="false" customHeight="false" outlineLevel="0" collapsed="false">
      <c r="A121" s="62" t="s">
        <v>3382</v>
      </c>
    </row>
    <row r="122" customFormat="false" ht="12.75" hidden="false" customHeight="false" outlineLevel="0" collapsed="false">
      <c r="B122" s="62" t="s">
        <v>3383</v>
      </c>
      <c r="C122" s="62" t="n">
        <f aca="false">COUNTIFS('Tabla general'!T:T,2,'Tabla general'!BE:BE,1)</f>
        <v>269</v>
      </c>
    </row>
    <row r="123" customFormat="false" ht="12.75" hidden="false" customHeight="false" outlineLevel="0" collapsed="false">
      <c r="B123" s="62" t="s">
        <v>3384</v>
      </c>
      <c r="C123" s="62" t="n">
        <f aca="false">COUNTIFS('Tabla general'!T:T,2,'Tabla general'!BE:BE,2)</f>
        <v>6</v>
      </c>
    </row>
    <row r="124" customFormat="false" ht="12.75" hidden="false" customHeight="false" outlineLevel="0" collapsed="false">
      <c r="B124" s="62" t="s">
        <v>3385</v>
      </c>
      <c r="C124" s="62" t="n">
        <f aca="false">COUNTIFS('Tabla general'!T:T,2,'Tabla general'!BE:BE,3)</f>
        <v>147</v>
      </c>
    </row>
    <row r="125" customFormat="false" ht="12.75" hidden="false" customHeight="false" outlineLevel="0" collapsed="false">
      <c r="B125" s="62" t="s">
        <v>3386</v>
      </c>
      <c r="C125" s="62" t="n">
        <f aca="false">COUNTIFS('Tabla general'!T:T,2,'Tabla general'!BE:BE,4)</f>
        <v>1</v>
      </c>
    </row>
    <row r="140" customFormat="false" ht="12.75" hidden="false" customHeight="false" outlineLevel="0" collapsed="false">
      <c r="A140" s="62" t="s">
        <v>3387</v>
      </c>
    </row>
    <row r="141" customFormat="false" ht="12.75" hidden="false" customHeight="false" outlineLevel="0" collapsed="false">
      <c r="B141" s="62" t="s">
        <v>3388</v>
      </c>
      <c r="C141" s="62" t="n">
        <f aca="false">COUNTIFS('Tabla general'!T:T,2,'Tabla general'!BC:BC,1)</f>
        <v>399</v>
      </c>
    </row>
    <row r="142" customFormat="false" ht="12.75" hidden="false" customHeight="false" outlineLevel="0" collapsed="false">
      <c r="B142" s="62" t="s">
        <v>3389</v>
      </c>
      <c r="C142" s="62" t="n">
        <f aca="false">COUNTIFS('Tabla general'!T:T,2,'Tabla general'!BC:BC,2)</f>
        <v>24</v>
      </c>
    </row>
    <row r="160" customFormat="false" ht="12.75" hidden="false" customHeight="false" outlineLevel="0" collapsed="false">
      <c r="A160" s="62" t="s">
        <v>3390</v>
      </c>
    </row>
    <row r="161" customFormat="false" ht="12.75" hidden="false" customHeight="false" outlineLevel="0" collapsed="false">
      <c r="B161" s="62" t="s">
        <v>3391</v>
      </c>
      <c r="C161" s="62" t="n">
        <f aca="false">COUNTIFS('Tabla general'!T:T,2,'Tabla general'!AR:AR,1)</f>
        <v>1</v>
      </c>
    </row>
    <row r="162" customFormat="false" ht="12.75" hidden="false" customHeight="false" outlineLevel="0" collapsed="false">
      <c r="B162" s="62" t="s">
        <v>3392</v>
      </c>
      <c r="C162" s="62" t="n">
        <f aca="false">COUNTIFS('Tabla general'!T:T,2,'Tabla general'!AR:AR,2)</f>
        <v>4</v>
      </c>
    </row>
    <row r="163" customFormat="false" ht="12.75" hidden="false" customHeight="false" outlineLevel="0" collapsed="false">
      <c r="B163" s="62" t="s">
        <v>3366</v>
      </c>
      <c r="C163" s="62" t="n">
        <f aca="false">COUNTIFS('Tabla general'!T:T,2,'Tabla general'!AR:AR,3)</f>
        <v>2</v>
      </c>
    </row>
    <row r="164" customFormat="false" ht="12.75" hidden="false" customHeight="false" outlineLevel="0" collapsed="false">
      <c r="B164" s="62" t="s">
        <v>3393</v>
      </c>
      <c r="C164" s="62" t="n">
        <f aca="false">COUNTIFS('Tabla general'!T:T,2,'Tabla general'!AR:AR,4)</f>
        <v>404</v>
      </c>
    </row>
    <row r="165" customFormat="false" ht="12.75" hidden="false" customHeight="false" outlineLevel="0" collapsed="false">
      <c r="B165" s="62" t="s">
        <v>3394</v>
      </c>
      <c r="C165" s="62" t="n">
        <f aca="false">COUNTIFS('Tabla general'!T:T,2,'Tabla general'!AR:AR,11)</f>
        <v>0</v>
      </c>
    </row>
    <row r="166" customFormat="false" ht="12.75" hidden="false" customHeight="false" outlineLevel="0" collapsed="false">
      <c r="B166" s="62" t="n">
        <v>5</v>
      </c>
      <c r="C166" s="62" t="n">
        <f aca="false">COUNTIFS('Tabla general'!T:T,2,'Tabla general'!AR:AR,5)</f>
        <v>1</v>
      </c>
    </row>
    <row r="167" customFormat="false" ht="12.75" hidden="false" customHeight="false" outlineLevel="0" collapsed="false">
      <c r="B167" s="62" t="n">
        <v>6</v>
      </c>
      <c r="C167" s="62" t="n">
        <f aca="false">COUNTIFS('Tabla general'!T:T,2,'Tabla general'!AR:AR,6)</f>
        <v>0</v>
      </c>
    </row>
    <row r="168" customFormat="false" ht="12.75" hidden="false" customHeight="false" outlineLevel="0" collapsed="false">
      <c r="B168" s="62" t="n">
        <v>7</v>
      </c>
      <c r="C168" s="62" t="n">
        <f aca="false">COUNTIFS('Tabla general'!T:T,2,'Tabla general'!AR:AR,7)</f>
        <v>6</v>
      </c>
    </row>
    <row r="169" customFormat="false" ht="12.75" hidden="false" customHeight="false" outlineLevel="0" collapsed="false">
      <c r="B169" s="62" t="n">
        <v>8</v>
      </c>
      <c r="C169" s="62" t="n">
        <f aca="false">COUNTIFS('Tabla general'!T:T,2,'Tabla general'!AR:AR,8)</f>
        <v>4</v>
      </c>
    </row>
    <row r="170" customFormat="false" ht="12.75" hidden="false" customHeight="false" outlineLevel="0" collapsed="false">
      <c r="B170" s="62" t="n">
        <v>9</v>
      </c>
      <c r="C170" s="62" t="n">
        <f aca="false">COUNTIFS('Tabla general'!T:T,2,'Tabla general'!AR:AR,9)</f>
        <v>1</v>
      </c>
    </row>
    <row r="171" customFormat="false" ht="12.75" hidden="false" customHeight="false" outlineLevel="0" collapsed="false">
      <c r="B171" s="62" t="n">
        <v>10</v>
      </c>
      <c r="C171" s="62" t="n">
        <f aca="false">COUNTIFS('Tabla general'!T:T,2,'Tabla general'!AR:AR,10)</f>
        <v>0</v>
      </c>
    </row>
    <row r="179" customFormat="false" ht="12.75" hidden="false" customHeight="false" outlineLevel="0" collapsed="false">
      <c r="A179" s="62" t="s">
        <v>3395</v>
      </c>
      <c r="C179" s="62" t="n">
        <f aca="false">COUNTIFS('Tabla general'!T:T,2,'Tabla general'!BE:BE,1,'Tabla general'!BC:BC,2)</f>
        <v>11</v>
      </c>
    </row>
    <row r="180" customFormat="false" ht="12.75" hidden="false" customHeight="false" outlineLevel="0" collapsed="false">
      <c r="A180" s="62" t="s">
        <v>3396</v>
      </c>
      <c r="C180" s="62" t="n">
        <f aca="false">COUNTIFS('Tabla general'!T:T,2,'Tabla general'!BE:BE,2,'Tabla general'!BC:BC,2)</f>
        <v>0</v>
      </c>
    </row>
    <row r="181" customFormat="false" ht="12.75" hidden="false" customHeight="false" outlineLevel="0" collapsed="false">
      <c r="A181" s="62" t="s">
        <v>3397</v>
      </c>
      <c r="C181" s="62" t="n">
        <f aca="false">COUNTIFS('Tabla general'!T:T,2,'Tabla general'!BE:BE,3,'Tabla general'!BC:BC,2)</f>
        <v>13</v>
      </c>
    </row>
    <row r="182" customFormat="false" ht="12.75" hidden="false" customHeight="false" outlineLevel="0" collapsed="false">
      <c r="A182" s="62" t="s">
        <v>3398</v>
      </c>
      <c r="C182" s="62" t="n">
        <f aca="false">COUNTIFS('Tabla general'!T:T,2,'Tabla general'!BE:BE,4,'Tabla general'!BC:BC,2)</f>
        <v>0</v>
      </c>
    </row>
    <row r="184" customFormat="false" ht="12.75" hidden="false" customHeight="false" outlineLevel="0" collapsed="false">
      <c r="A184" s="62" t="s">
        <v>3399</v>
      </c>
      <c r="C184" s="62" t="n">
        <f aca="false">COUNTIFS('Tabla general'!T:T,2,'Tabla general'!AR:AR,1,'Tabla general'!BC:BC,2)</f>
        <v>1</v>
      </c>
    </row>
    <row r="185" customFormat="false" ht="12.75" hidden="false" customHeight="false" outlineLevel="0" collapsed="false">
      <c r="A185" s="62" t="s">
        <v>3400</v>
      </c>
      <c r="C185" s="62" t="n">
        <f aca="false">COUNTIFS('Tabla general'!T:T,2,'Tabla general'!AR:AR,2,'Tabla general'!BC:BC,2)</f>
        <v>0</v>
      </c>
    </row>
    <row r="186" customFormat="false" ht="12.75" hidden="false" customHeight="false" outlineLevel="0" collapsed="false">
      <c r="A186" s="62" t="s">
        <v>3401</v>
      </c>
      <c r="C186" s="62" t="n">
        <f aca="false">COUNTIFS('Tabla general'!T:T,2,'Tabla general'!AR:AR,3,'Tabla general'!BC:BC,2)</f>
        <v>0</v>
      </c>
    </row>
    <row r="187" customFormat="false" ht="12.75" hidden="false" customHeight="false" outlineLevel="0" collapsed="false">
      <c r="A187" s="62" t="s">
        <v>3402</v>
      </c>
      <c r="C187" s="62" t="n">
        <f aca="false">COUNTIFS('Tabla general'!T:T,2,'Tabla general'!AR:AR,4,'Tabla general'!BC:BC,2)</f>
        <v>22</v>
      </c>
    </row>
    <row r="188" customFormat="false" ht="12.75" hidden="false" customHeight="false" outlineLevel="0" collapsed="false">
      <c r="A188" s="62" t="s">
        <v>3403</v>
      </c>
      <c r="C188" s="62" t="n">
        <f aca="false">COUNTIFS('Tabla general'!T:T,2,'Tabla general'!AR:AR,11,'Tabla general'!BC:BC,2)</f>
        <v>0</v>
      </c>
    </row>
    <row r="189" customFormat="false" ht="12.75" hidden="false" customHeight="false" outlineLevel="0" collapsed="false">
      <c r="B189" s="62" t="n">
        <v>5</v>
      </c>
      <c r="C189" s="62" t="n">
        <f aca="false">COUNTIFS('Tabla general'!T:T,2,'Tabla general'!AR:AR,5,'Tabla general'!BC:BC,2)</f>
        <v>0</v>
      </c>
    </row>
    <row r="190" customFormat="false" ht="12.75" hidden="false" customHeight="false" outlineLevel="0" collapsed="false">
      <c r="B190" s="62" t="n">
        <v>6</v>
      </c>
      <c r="C190" s="62" t="n">
        <f aca="false">COUNTIFS('Tabla general'!T:T,2,'Tabla general'!AR:AR,6,'Tabla general'!BC:BC,2)</f>
        <v>0</v>
      </c>
    </row>
    <row r="191" customFormat="false" ht="12.75" hidden="false" customHeight="false" outlineLevel="0" collapsed="false">
      <c r="B191" s="62" t="n">
        <v>7</v>
      </c>
      <c r="C191" s="62" t="n">
        <f aca="false">COUNTIFS('Tabla general'!T:T,2,'Tabla general'!AR:AR,7,'Tabla general'!BC:BC,2)</f>
        <v>0</v>
      </c>
    </row>
    <row r="192" customFormat="false" ht="12.75" hidden="false" customHeight="false" outlineLevel="0" collapsed="false">
      <c r="B192" s="62" t="n">
        <v>8</v>
      </c>
      <c r="C192" s="62" t="n">
        <f aca="false">COUNTIFS('Tabla general'!T:T,2,'Tabla general'!AR:AR,8,'Tabla general'!BC:BC,2)</f>
        <v>0</v>
      </c>
    </row>
    <row r="193" customFormat="false" ht="12.75" hidden="false" customHeight="false" outlineLevel="0" collapsed="false">
      <c r="B193" s="62" t="n">
        <v>9</v>
      </c>
      <c r="C193" s="62" t="n">
        <f aca="false">COUNTIFS('Tabla general'!T:T,2,'Tabla general'!AR:AR,9,'Tabla general'!BC:BC,2)</f>
        <v>1</v>
      </c>
    </row>
    <row r="194" customFormat="false" ht="12.75" hidden="false" customHeight="false" outlineLevel="0" collapsed="false">
      <c r="B194" s="62" t="n">
        <v>10</v>
      </c>
      <c r="C194" s="62" t="n">
        <f aca="false">COUNTIFS('Tabla general'!T:T,2,'Tabla general'!AR:AR,10,'Tabla general'!BC:BC,2)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2" activeCellId="0" sqref="O2"/>
    </sheetView>
  </sheetViews>
  <sheetFormatPr defaultColWidth="11.43359375" defaultRowHeight="12.75" customHeight="true" zeroHeight="false" outlineLevelRow="0" outlineLevelCol="0"/>
  <sheetData>
    <row r="1" customFormat="false" ht="12.75" hidden="false" customHeight="false" outlineLevel="0" collapsed="false">
      <c r="A1" s="12" t="s">
        <v>18</v>
      </c>
    </row>
    <row r="2" customFormat="false" ht="12.75" hidden="false" customHeight="false" outlineLevel="0" collapsed="false">
      <c r="A2" s="4" t="n">
        <v>2</v>
      </c>
    </row>
    <row r="4" customFormat="false" ht="12.75" hidden="false" customHeight="false" outlineLevel="0" collapsed="false">
      <c r="A4" s="8" t="s">
        <v>0</v>
      </c>
      <c r="B4" s="9" t="s">
        <v>1</v>
      </c>
      <c r="C4" s="9" t="s">
        <v>2</v>
      </c>
      <c r="D4" s="9" t="s">
        <v>3</v>
      </c>
      <c r="E4" s="9" t="s">
        <v>4</v>
      </c>
      <c r="F4" s="9" t="s">
        <v>5</v>
      </c>
      <c r="G4" s="10" t="s">
        <v>6</v>
      </c>
      <c r="H4" s="11" t="s">
        <v>7</v>
      </c>
      <c r="I4" s="11" t="s">
        <v>8</v>
      </c>
      <c r="J4" s="11" t="s">
        <v>9</v>
      </c>
      <c r="K4" s="11" t="s">
        <v>10</v>
      </c>
      <c r="L4" s="11" t="s">
        <v>11</v>
      </c>
      <c r="M4" s="11" t="s">
        <v>12</v>
      </c>
      <c r="N4" s="11" t="s">
        <v>13</v>
      </c>
      <c r="O4" s="11" t="s">
        <v>14</v>
      </c>
      <c r="P4" s="11" t="s">
        <v>15</v>
      </c>
      <c r="Q4" s="11" t="s">
        <v>16</v>
      </c>
      <c r="R4" s="11" t="s">
        <v>17</v>
      </c>
      <c r="S4" s="12" t="s">
        <v>18</v>
      </c>
      <c r="T4" s="11" t="s">
        <v>19</v>
      </c>
      <c r="U4" s="11" t="s">
        <v>20</v>
      </c>
      <c r="V4" s="11" t="s">
        <v>21</v>
      </c>
      <c r="W4" s="11" t="s">
        <v>22</v>
      </c>
      <c r="X4" s="11" t="s">
        <v>23</v>
      </c>
      <c r="Z4" s="11" t="s">
        <v>25</v>
      </c>
      <c r="AA4" s="11" t="s">
        <v>26</v>
      </c>
      <c r="AB4" s="11" t="s">
        <v>27</v>
      </c>
      <c r="AC4" s="11" t="s">
        <v>28</v>
      </c>
      <c r="AD4" s="11" t="s">
        <v>29</v>
      </c>
      <c r="AE4" s="11" t="s">
        <v>30</v>
      </c>
      <c r="AF4" s="11" t="s">
        <v>31</v>
      </c>
      <c r="AG4" s="11" t="s">
        <v>32</v>
      </c>
      <c r="AH4" s="11" t="s">
        <v>33</v>
      </c>
      <c r="AI4" s="11" t="s">
        <v>17</v>
      </c>
      <c r="AJ4" s="11" t="s">
        <v>34</v>
      </c>
      <c r="AK4" s="11" t="s">
        <v>35</v>
      </c>
      <c r="AL4" s="11" t="s">
        <v>36</v>
      </c>
      <c r="AM4" s="11" t="s">
        <v>37</v>
      </c>
      <c r="AN4" s="11" t="s">
        <v>38</v>
      </c>
      <c r="AO4" s="11" t="s">
        <v>39</v>
      </c>
      <c r="AP4" s="11" t="s">
        <v>40</v>
      </c>
      <c r="AQ4" s="11" t="s">
        <v>41</v>
      </c>
      <c r="AR4" s="11" t="s">
        <v>42</v>
      </c>
      <c r="AS4" s="11" t="s">
        <v>43</v>
      </c>
      <c r="AT4" s="11" t="s">
        <v>44</v>
      </c>
      <c r="AU4" s="11" t="s">
        <v>45</v>
      </c>
      <c r="AV4" s="11" t="s">
        <v>46</v>
      </c>
      <c r="AW4" s="11" t="s">
        <v>47</v>
      </c>
      <c r="AX4" s="11" t="s">
        <v>48</v>
      </c>
      <c r="AY4" s="11" t="s">
        <v>49</v>
      </c>
      <c r="AZ4" s="5" t="s">
        <v>50</v>
      </c>
      <c r="BA4" s="11" t="s">
        <v>51</v>
      </c>
      <c r="BB4" s="11" t="s">
        <v>52</v>
      </c>
      <c r="BC4" s="11" t="s">
        <v>53</v>
      </c>
      <c r="BD4" s="11" t="s">
        <v>54</v>
      </c>
      <c r="BE4" s="11" t="s">
        <v>55</v>
      </c>
      <c r="BF4" s="11" t="s">
        <v>56</v>
      </c>
      <c r="BG4" s="11" t="s">
        <v>57</v>
      </c>
      <c r="BH4" s="11" t="s">
        <v>58</v>
      </c>
      <c r="BI4" s="11" t="s">
        <v>59</v>
      </c>
    </row>
    <row r="5" customFormat="false" ht="12.75" hidden="false" customHeight="false" outlineLevel="0" collapsed="false">
      <c r="A5" s="14" t="s">
        <v>65</v>
      </c>
      <c r="B5" s="14" t="s">
        <v>66</v>
      </c>
      <c r="C5" s="14" t="s">
        <v>67</v>
      </c>
      <c r="D5" s="14" t="n">
        <v>160305</v>
      </c>
      <c r="E5" s="15" t="n">
        <v>43355</v>
      </c>
      <c r="F5" s="15" t="n">
        <v>43361</v>
      </c>
      <c r="G5" s="3" t="n">
        <v>6</v>
      </c>
      <c r="H5" s="3" t="n">
        <v>2</v>
      </c>
      <c r="I5" s="3" t="n">
        <v>41</v>
      </c>
      <c r="J5" s="3" t="n">
        <v>1</v>
      </c>
      <c r="K5" s="3" t="n">
        <v>2</v>
      </c>
      <c r="L5" s="3" t="n">
        <v>2</v>
      </c>
      <c r="M5" s="3" t="n">
        <v>2</v>
      </c>
      <c r="N5" s="3" t="n">
        <v>2</v>
      </c>
      <c r="O5" s="3" t="n">
        <v>2</v>
      </c>
      <c r="P5" s="3" t="n">
        <v>2</v>
      </c>
      <c r="Q5" s="3" t="n">
        <v>2</v>
      </c>
      <c r="R5" s="3" t="n">
        <v>2</v>
      </c>
      <c r="S5" s="4" t="n">
        <v>2</v>
      </c>
      <c r="T5" s="3" t="n">
        <v>2</v>
      </c>
      <c r="U5" s="3" t="n">
        <v>4.48</v>
      </c>
      <c r="V5" s="3" t="n">
        <v>1.84</v>
      </c>
      <c r="W5" s="3" t="n">
        <v>5.8</v>
      </c>
      <c r="X5" s="3" t="n">
        <v>480</v>
      </c>
      <c r="Z5" s="3" t="n">
        <v>0.45</v>
      </c>
      <c r="AA5" s="3" t="n">
        <v>12</v>
      </c>
      <c r="AB5" s="3" t="n">
        <v>2</v>
      </c>
      <c r="AC5" s="3" t="n">
        <v>2</v>
      </c>
      <c r="AD5" s="3" t="n">
        <v>2</v>
      </c>
      <c r="AE5" s="3" t="n">
        <v>1</v>
      </c>
      <c r="AF5" s="3" t="n">
        <v>1</v>
      </c>
      <c r="AG5" s="3" t="n">
        <v>2</v>
      </c>
      <c r="AH5" s="3" t="n">
        <v>2</v>
      </c>
      <c r="AI5" s="3" t="n">
        <v>2</v>
      </c>
      <c r="AJ5" s="3" t="n">
        <v>2</v>
      </c>
      <c r="AK5" s="3" t="n">
        <v>2</v>
      </c>
      <c r="AL5" s="3" t="n">
        <v>2</v>
      </c>
      <c r="AM5" s="3" t="n">
        <v>2</v>
      </c>
      <c r="AN5" s="3" t="n">
        <v>2</v>
      </c>
      <c r="AO5" s="3" t="n">
        <v>3</v>
      </c>
      <c r="AP5" s="3" t="n">
        <v>4</v>
      </c>
      <c r="AQ5" s="3" t="n">
        <v>4</v>
      </c>
      <c r="AR5" s="3" t="n">
        <v>6</v>
      </c>
      <c r="AS5" s="3" t="n">
        <v>4</v>
      </c>
      <c r="AT5" s="3" t="n">
        <v>4</v>
      </c>
      <c r="AU5" s="3" t="n">
        <v>6</v>
      </c>
      <c r="AV5" s="3" t="n">
        <v>6</v>
      </c>
      <c r="AW5" s="3" t="n">
        <v>3</v>
      </c>
      <c r="AX5" s="3" t="n">
        <v>3</v>
      </c>
      <c r="AY5" s="3" t="n">
        <v>1</v>
      </c>
      <c r="AZ5" s="5" t="n">
        <v>1</v>
      </c>
      <c r="BA5" s="3" t="n">
        <v>1</v>
      </c>
      <c r="BB5" s="3" t="n">
        <v>1</v>
      </c>
      <c r="BC5" s="3" t="n">
        <v>2</v>
      </c>
      <c r="BD5" s="3" t="n">
        <v>1</v>
      </c>
      <c r="BE5" s="3" t="n">
        <v>2</v>
      </c>
      <c r="BF5" s="3" t="n">
        <v>1</v>
      </c>
      <c r="BG5" s="3" t="n">
        <v>4</v>
      </c>
      <c r="BH5" s="3" t="n">
        <v>1</v>
      </c>
      <c r="BI5" s="3" t="n">
        <v>1</v>
      </c>
    </row>
    <row r="6" customFormat="false" ht="12.75" hidden="false" customHeight="false" outlineLevel="0" collapsed="false">
      <c r="A6" s="25" t="s">
        <v>89</v>
      </c>
      <c r="B6" s="25" t="s">
        <v>90</v>
      </c>
      <c r="C6" s="25" t="s">
        <v>91</v>
      </c>
      <c r="D6" s="26" t="n">
        <v>160898</v>
      </c>
      <c r="E6" s="27" t="n">
        <v>43361</v>
      </c>
      <c r="F6" s="28" t="n">
        <v>43364</v>
      </c>
      <c r="G6" s="29" t="n">
        <v>3</v>
      </c>
      <c r="H6" s="30" t="n">
        <v>2</v>
      </c>
      <c r="I6" s="30" t="n">
        <v>77</v>
      </c>
      <c r="J6" s="30" t="n">
        <v>2</v>
      </c>
      <c r="K6" s="30" t="n">
        <v>2</v>
      </c>
      <c r="L6" s="30" t="n">
        <v>1</v>
      </c>
      <c r="M6" s="30" t="n">
        <v>2</v>
      </c>
      <c r="N6" s="30" t="n">
        <v>2</v>
      </c>
      <c r="O6" s="30" t="n">
        <v>2</v>
      </c>
      <c r="P6" s="30" t="n">
        <v>2</v>
      </c>
      <c r="Q6" s="30" t="n">
        <v>2</v>
      </c>
      <c r="R6" s="30" t="n">
        <v>1</v>
      </c>
      <c r="S6" s="4" t="n">
        <v>2</v>
      </c>
      <c r="T6" s="30" t="n">
        <v>2</v>
      </c>
      <c r="U6" s="30"/>
      <c r="V6" s="30"/>
      <c r="W6" s="30"/>
      <c r="X6" s="30"/>
      <c r="Z6" s="30"/>
      <c r="AA6" s="30"/>
      <c r="AB6" s="29" t="n">
        <v>3</v>
      </c>
      <c r="AC6" s="30" t="n">
        <v>2</v>
      </c>
      <c r="AD6" s="30" t="n">
        <v>2</v>
      </c>
      <c r="AE6" s="30" t="n">
        <v>1</v>
      </c>
      <c r="AF6" s="30" t="n">
        <v>2</v>
      </c>
      <c r="AG6" s="30" t="n">
        <v>2</v>
      </c>
      <c r="AH6" s="30" t="n">
        <v>1</v>
      </c>
      <c r="AI6" s="30" t="n">
        <v>1</v>
      </c>
      <c r="AJ6" s="30" t="n">
        <v>2</v>
      </c>
      <c r="AK6" s="30" t="n">
        <v>2</v>
      </c>
      <c r="AL6" s="30" t="n">
        <v>2</v>
      </c>
      <c r="AM6" s="30" t="n">
        <v>2</v>
      </c>
      <c r="AN6" s="30" t="n">
        <v>2</v>
      </c>
      <c r="AO6" s="30" t="n">
        <v>3</v>
      </c>
      <c r="AP6" s="30" t="n">
        <v>4</v>
      </c>
      <c r="AQ6" s="30" t="n">
        <v>4</v>
      </c>
      <c r="AR6" s="30" t="n">
        <v>6</v>
      </c>
      <c r="AS6" s="30" t="n">
        <v>4</v>
      </c>
      <c r="AT6" s="30" t="n">
        <v>4</v>
      </c>
      <c r="AU6" s="30" t="n">
        <v>6</v>
      </c>
      <c r="AV6" s="30" t="n">
        <v>6</v>
      </c>
      <c r="AW6" s="30" t="n">
        <v>3</v>
      </c>
      <c r="AX6" s="30" t="n">
        <v>3</v>
      </c>
      <c r="AY6" s="30" t="n">
        <v>3</v>
      </c>
      <c r="AZ6" s="5" t="n">
        <v>1</v>
      </c>
      <c r="BA6" s="30" t="n">
        <v>1</v>
      </c>
      <c r="BB6" s="30" t="n">
        <v>2</v>
      </c>
      <c r="BC6" s="30" t="n">
        <v>2</v>
      </c>
      <c r="BD6" s="30" t="n">
        <v>1</v>
      </c>
      <c r="BE6" s="30" t="n">
        <v>2</v>
      </c>
      <c r="BF6" s="30" t="n">
        <v>1</v>
      </c>
      <c r="BG6" s="30" t="n">
        <v>4</v>
      </c>
      <c r="BH6" s="30" t="n">
        <v>1</v>
      </c>
      <c r="BI6" s="30" t="n">
        <v>1</v>
      </c>
    </row>
    <row r="7" customFormat="false" ht="12.75" hidden="false" customHeight="false" outlineLevel="0" collapsed="false">
      <c r="A7" s="17" t="s">
        <v>97</v>
      </c>
      <c r="B7" s="17" t="s">
        <v>98</v>
      </c>
      <c r="C7" s="17" t="s">
        <v>99</v>
      </c>
      <c r="D7" s="14" t="n">
        <v>160679</v>
      </c>
      <c r="E7" s="15" t="n">
        <v>43359</v>
      </c>
      <c r="F7" s="22" t="n">
        <v>43365</v>
      </c>
      <c r="G7" s="23" t="n">
        <v>6</v>
      </c>
      <c r="H7" s="3" t="n">
        <v>2</v>
      </c>
      <c r="I7" s="3" t="n">
        <v>68</v>
      </c>
      <c r="J7" s="3" t="n">
        <v>1</v>
      </c>
      <c r="K7" s="3" t="n">
        <v>1</v>
      </c>
      <c r="L7" s="3" t="n">
        <v>1</v>
      </c>
      <c r="M7" s="3" t="n">
        <v>2</v>
      </c>
      <c r="N7" s="3" t="n">
        <v>2</v>
      </c>
      <c r="O7" s="3" t="n">
        <v>2</v>
      </c>
      <c r="P7" s="3" t="n">
        <v>1</v>
      </c>
      <c r="Q7" s="3" t="n">
        <v>2</v>
      </c>
      <c r="R7" s="3" t="n">
        <v>2</v>
      </c>
      <c r="S7" s="4" t="n">
        <v>2</v>
      </c>
      <c r="T7" s="3" t="n">
        <v>1</v>
      </c>
      <c r="U7" s="23" t="n">
        <v>5.76</v>
      </c>
      <c r="V7" s="23" t="n">
        <v>1.65</v>
      </c>
      <c r="W7" s="23" t="n">
        <v>11</v>
      </c>
      <c r="X7" s="23" t="n">
        <v>395</v>
      </c>
      <c r="Z7" s="23" t="n">
        <v>0.4</v>
      </c>
      <c r="AA7" s="23" t="n">
        <v>9</v>
      </c>
      <c r="AB7" s="3" t="n">
        <v>1</v>
      </c>
      <c r="AC7" s="23" t="n">
        <v>1</v>
      </c>
      <c r="AD7" s="23" t="n">
        <v>1</v>
      </c>
      <c r="AE7" s="23" t="n">
        <v>1</v>
      </c>
      <c r="AF7" s="23" t="n">
        <v>2</v>
      </c>
      <c r="AG7" s="23" t="n">
        <v>2</v>
      </c>
      <c r="AH7" s="23" t="n">
        <v>1</v>
      </c>
      <c r="AI7" s="3" t="n">
        <v>2</v>
      </c>
      <c r="AJ7" s="23" t="n">
        <v>1</v>
      </c>
      <c r="AK7" s="23" t="n">
        <v>2</v>
      </c>
      <c r="AL7" s="23" t="n">
        <v>1</v>
      </c>
      <c r="AM7" s="23" t="n">
        <v>2</v>
      </c>
      <c r="AN7" s="23" t="n">
        <v>2</v>
      </c>
      <c r="AO7" s="23" t="n">
        <v>3</v>
      </c>
      <c r="AP7" s="23" t="n">
        <v>4</v>
      </c>
      <c r="AQ7" s="23" t="n">
        <v>4</v>
      </c>
      <c r="AR7" s="23" t="n">
        <v>6</v>
      </c>
      <c r="AS7" s="23" t="n">
        <v>4</v>
      </c>
      <c r="AT7" s="23" t="n">
        <v>4</v>
      </c>
      <c r="AU7" s="23" t="n">
        <v>6</v>
      </c>
      <c r="AV7" s="23" t="n">
        <v>6</v>
      </c>
      <c r="AW7" s="23" t="n">
        <v>3</v>
      </c>
      <c r="AX7" s="23" t="n">
        <v>3</v>
      </c>
      <c r="AY7" s="23" t="n">
        <v>1</v>
      </c>
      <c r="AZ7" s="5" t="n">
        <v>1</v>
      </c>
      <c r="BA7" s="23" t="n">
        <v>1</v>
      </c>
      <c r="BB7" s="23" t="n">
        <v>1</v>
      </c>
      <c r="BC7" s="23" t="n">
        <v>4</v>
      </c>
      <c r="BD7" s="23" t="n">
        <v>3</v>
      </c>
      <c r="BE7" s="23" t="n">
        <v>5</v>
      </c>
      <c r="BF7" s="23" t="n">
        <v>3</v>
      </c>
      <c r="BG7" s="23" t="n">
        <v>4</v>
      </c>
      <c r="BH7" s="23" t="n">
        <v>1</v>
      </c>
      <c r="BI7" s="23" t="n">
        <v>1</v>
      </c>
    </row>
    <row r="8" customFormat="false" ht="12.75" hidden="false" customHeight="false" outlineLevel="0" collapsed="false">
      <c r="A8" s="14" t="s">
        <v>126</v>
      </c>
      <c r="B8" s="14" t="s">
        <v>127</v>
      </c>
      <c r="C8" s="14" t="s">
        <v>128</v>
      </c>
      <c r="D8" s="14" t="n">
        <v>161238</v>
      </c>
      <c r="E8" s="22" t="n">
        <v>43364</v>
      </c>
      <c r="F8" s="22" t="n">
        <v>43370</v>
      </c>
      <c r="G8" s="23" t="n">
        <v>6</v>
      </c>
      <c r="H8" s="3" t="n">
        <v>2</v>
      </c>
      <c r="I8" s="3" t="n">
        <v>57</v>
      </c>
      <c r="J8" s="3" t="n">
        <v>2</v>
      </c>
      <c r="K8" s="3" t="n">
        <v>2</v>
      </c>
      <c r="L8" s="3" t="n">
        <v>1</v>
      </c>
      <c r="M8" s="3" t="n">
        <v>2</v>
      </c>
      <c r="N8" s="3" t="n">
        <v>2</v>
      </c>
      <c r="O8" s="3" t="n">
        <v>2</v>
      </c>
      <c r="P8" s="3" t="n">
        <v>1</v>
      </c>
      <c r="Q8" s="3" t="n">
        <v>2</v>
      </c>
      <c r="R8" s="3" t="n">
        <v>1</v>
      </c>
      <c r="S8" s="4" t="n">
        <v>2</v>
      </c>
      <c r="T8" s="3" t="n">
        <v>2</v>
      </c>
      <c r="U8" s="3" t="n">
        <v>5.6</v>
      </c>
      <c r="V8" s="3" t="n">
        <v>1.52</v>
      </c>
      <c r="W8" s="3" t="n">
        <v>14.1</v>
      </c>
      <c r="X8" s="3" t="n">
        <v>341</v>
      </c>
      <c r="Z8" s="3" t="n">
        <v>0.49</v>
      </c>
      <c r="AA8" s="3" t="n">
        <v>17.6</v>
      </c>
      <c r="AB8" s="23" t="n">
        <v>1</v>
      </c>
      <c r="AC8" s="23" t="n">
        <v>1</v>
      </c>
      <c r="AD8" s="23" t="n">
        <v>1</v>
      </c>
      <c r="AE8" s="23" t="n">
        <v>1</v>
      </c>
      <c r="AF8" s="23" t="n">
        <v>2</v>
      </c>
      <c r="AG8" s="23" t="n">
        <v>2</v>
      </c>
      <c r="AH8" s="23" t="n">
        <v>1</v>
      </c>
      <c r="AI8" s="3" t="n">
        <v>1</v>
      </c>
      <c r="AJ8" s="23" t="n">
        <v>1</v>
      </c>
      <c r="AK8" s="23" t="n">
        <v>2</v>
      </c>
      <c r="AL8" s="23" t="n">
        <v>2</v>
      </c>
      <c r="AM8" s="23" t="n">
        <v>2</v>
      </c>
      <c r="AN8" s="23" t="n">
        <v>2</v>
      </c>
      <c r="AO8" s="23" t="n">
        <v>2</v>
      </c>
      <c r="AP8" s="23" t="n">
        <v>2</v>
      </c>
      <c r="AQ8" s="23" t="n">
        <v>7</v>
      </c>
      <c r="AR8" s="23" t="n">
        <v>4</v>
      </c>
      <c r="AS8" s="23" t="n">
        <v>2</v>
      </c>
      <c r="AT8" s="23" t="n">
        <v>1</v>
      </c>
      <c r="AU8" s="23" t="n">
        <v>1</v>
      </c>
      <c r="AV8" s="23" t="n">
        <v>1</v>
      </c>
      <c r="AW8" s="23" t="n">
        <v>2</v>
      </c>
      <c r="AX8" s="23" t="n">
        <v>2</v>
      </c>
      <c r="AY8" s="23" t="n">
        <v>1</v>
      </c>
      <c r="AZ8" s="5" t="n">
        <v>1</v>
      </c>
      <c r="BA8" s="23" t="n">
        <v>1</v>
      </c>
      <c r="BB8" s="23" t="n">
        <v>1</v>
      </c>
      <c r="BC8" s="23" t="n">
        <v>4</v>
      </c>
      <c r="BD8" s="23" t="n">
        <v>3</v>
      </c>
      <c r="BE8" s="23" t="n">
        <v>5</v>
      </c>
      <c r="BF8" s="23" t="n">
        <v>3</v>
      </c>
      <c r="BG8" s="23" t="n">
        <v>4</v>
      </c>
      <c r="BH8" s="23" t="n">
        <v>1</v>
      </c>
      <c r="BI8" s="23" t="n">
        <v>1</v>
      </c>
    </row>
    <row r="9" customFormat="false" ht="12.75" hidden="false" customHeight="false" outlineLevel="0" collapsed="false">
      <c r="A9" s="2" t="s">
        <v>130</v>
      </c>
      <c r="B9" s="2" t="s">
        <v>131</v>
      </c>
      <c r="C9" s="2" t="s">
        <v>94</v>
      </c>
      <c r="D9" s="32" t="s">
        <v>132</v>
      </c>
      <c r="E9" s="15" t="n">
        <v>43363</v>
      </c>
      <c r="F9" s="15" t="n">
        <v>43370</v>
      </c>
      <c r="G9" s="3" t="n">
        <v>7</v>
      </c>
      <c r="H9" s="3" t="n">
        <v>2</v>
      </c>
      <c r="I9" s="3" t="n">
        <v>56</v>
      </c>
      <c r="J9" s="3" t="n">
        <v>1</v>
      </c>
      <c r="K9" s="3" t="n">
        <v>1</v>
      </c>
      <c r="L9" s="3" t="n">
        <v>2</v>
      </c>
      <c r="M9" s="3" t="n">
        <v>2</v>
      </c>
      <c r="N9" s="3" t="n">
        <v>2</v>
      </c>
      <c r="O9" s="3" t="n">
        <v>2</v>
      </c>
      <c r="P9" s="3" t="n">
        <v>2</v>
      </c>
      <c r="Q9" s="3" t="n">
        <v>2</v>
      </c>
      <c r="R9" s="3" t="n">
        <v>2</v>
      </c>
      <c r="S9" s="4" t="n">
        <v>2</v>
      </c>
      <c r="T9" s="3" t="n">
        <v>1</v>
      </c>
      <c r="U9" s="3" t="n">
        <v>5.4</v>
      </c>
      <c r="V9" s="3" t="n">
        <v>0.83</v>
      </c>
      <c r="W9" s="3" t="n">
        <v>3.8</v>
      </c>
      <c r="X9" s="3" t="n">
        <v>367</v>
      </c>
      <c r="Z9" s="3" t="n">
        <v>0.42</v>
      </c>
      <c r="AA9" s="3" t="n">
        <v>10.4</v>
      </c>
      <c r="AB9" s="3" t="n">
        <v>1</v>
      </c>
      <c r="AC9" s="3" t="n">
        <v>1</v>
      </c>
      <c r="AD9" s="3" t="n">
        <v>1</v>
      </c>
      <c r="AE9" s="3" t="n">
        <v>1</v>
      </c>
      <c r="AF9" s="3" t="n">
        <v>2</v>
      </c>
      <c r="AG9" s="3" t="n">
        <v>2</v>
      </c>
      <c r="AH9" s="3" t="n">
        <v>1</v>
      </c>
      <c r="AI9" s="3" t="n">
        <v>2</v>
      </c>
      <c r="AJ9" s="3" t="n">
        <v>2</v>
      </c>
      <c r="AK9" s="3" t="n">
        <v>2</v>
      </c>
      <c r="AL9" s="3" t="n">
        <v>2</v>
      </c>
      <c r="AM9" s="3" t="n">
        <v>2</v>
      </c>
      <c r="AN9" s="3" t="n">
        <v>2</v>
      </c>
      <c r="AO9" s="3" t="n">
        <v>3</v>
      </c>
      <c r="AP9" s="3" t="n">
        <v>4</v>
      </c>
      <c r="AQ9" s="3" t="n">
        <v>4</v>
      </c>
      <c r="AR9" s="3" t="n">
        <v>6</v>
      </c>
      <c r="AS9" s="3" t="n">
        <v>4</v>
      </c>
      <c r="AT9" s="3" t="n">
        <v>4</v>
      </c>
      <c r="AU9" s="3" t="n">
        <v>6</v>
      </c>
      <c r="AV9" s="3" t="n">
        <v>6</v>
      </c>
      <c r="AW9" s="3" t="n">
        <v>3</v>
      </c>
      <c r="AX9" s="3" t="n">
        <v>3</v>
      </c>
      <c r="AY9" s="3" t="n">
        <v>1</v>
      </c>
      <c r="AZ9" s="5" t="n">
        <v>1</v>
      </c>
      <c r="BA9" s="3" t="n">
        <v>1</v>
      </c>
      <c r="BB9" s="3" t="n">
        <v>1</v>
      </c>
      <c r="BC9" s="3" t="n">
        <v>4</v>
      </c>
      <c r="BD9" s="3" t="n">
        <v>1</v>
      </c>
      <c r="BE9" s="3" t="n">
        <v>2</v>
      </c>
      <c r="BF9" s="3" t="n">
        <v>1</v>
      </c>
      <c r="BG9" s="3" t="n">
        <v>4</v>
      </c>
      <c r="BH9" s="3" t="n">
        <v>1</v>
      </c>
      <c r="BI9" s="3" t="n">
        <v>1</v>
      </c>
    </row>
    <row r="10" customFormat="false" ht="12.75" hidden="false" customHeight="false" outlineLevel="0" collapsed="false">
      <c r="A10" s="2" t="s">
        <v>137</v>
      </c>
      <c r="B10" s="2" t="s">
        <v>66</v>
      </c>
      <c r="C10" s="2" t="s">
        <v>138</v>
      </c>
      <c r="D10" s="2" t="n">
        <v>161234</v>
      </c>
      <c r="E10" s="15" t="n">
        <v>43364</v>
      </c>
      <c r="F10" s="15" t="n">
        <v>43370</v>
      </c>
      <c r="G10" s="3" t="n">
        <v>6</v>
      </c>
      <c r="H10" s="3" t="n">
        <v>1</v>
      </c>
      <c r="I10" s="3" t="n">
        <v>62</v>
      </c>
      <c r="J10" s="3" t="n">
        <v>1</v>
      </c>
      <c r="K10" s="3" t="n">
        <v>1</v>
      </c>
      <c r="L10" s="3" t="n">
        <v>1</v>
      </c>
      <c r="M10" s="3" t="n">
        <v>2</v>
      </c>
      <c r="N10" s="3" t="n">
        <v>1</v>
      </c>
      <c r="O10" s="3" t="n">
        <v>2</v>
      </c>
      <c r="P10" s="3" t="n">
        <v>2</v>
      </c>
      <c r="Q10" s="3" t="n">
        <v>2</v>
      </c>
      <c r="R10" s="3" t="n">
        <v>2</v>
      </c>
      <c r="S10" s="4" t="n">
        <v>2</v>
      </c>
      <c r="T10" s="3" t="n">
        <v>2</v>
      </c>
      <c r="U10" s="3"/>
      <c r="V10" s="3" t="n">
        <v>1.97</v>
      </c>
      <c r="W10" s="3" t="n">
        <v>6.8</v>
      </c>
      <c r="X10" s="3" t="n">
        <v>571</v>
      </c>
      <c r="Z10" s="3"/>
      <c r="AA10" s="3"/>
      <c r="AB10" s="3" t="n">
        <v>1</v>
      </c>
      <c r="AC10" s="3" t="n">
        <v>2</v>
      </c>
      <c r="AD10" s="3" t="n">
        <v>1</v>
      </c>
      <c r="AE10" s="3" t="n">
        <v>1</v>
      </c>
      <c r="AF10" s="3" t="n">
        <v>2</v>
      </c>
      <c r="AG10" s="3" t="n">
        <v>2</v>
      </c>
      <c r="AH10" s="3" t="n">
        <v>1</v>
      </c>
      <c r="AI10" s="3" t="n">
        <v>2</v>
      </c>
      <c r="AJ10" s="3" t="n">
        <v>2</v>
      </c>
      <c r="AK10" s="3" t="n">
        <v>2</v>
      </c>
      <c r="AL10" s="3" t="n">
        <v>1</v>
      </c>
      <c r="AM10" s="3" t="n">
        <v>2</v>
      </c>
      <c r="AN10" s="3" t="n">
        <v>2</v>
      </c>
      <c r="AO10" s="3" t="n">
        <v>3</v>
      </c>
      <c r="AP10" s="3" t="n">
        <v>4</v>
      </c>
      <c r="AQ10" s="3" t="n">
        <v>4</v>
      </c>
      <c r="AR10" s="3" t="n">
        <v>6</v>
      </c>
      <c r="AS10" s="3" t="n">
        <v>4</v>
      </c>
      <c r="AT10" s="3" t="n">
        <v>4</v>
      </c>
      <c r="AU10" s="3" t="n">
        <v>6</v>
      </c>
      <c r="AV10" s="3" t="n">
        <v>6</v>
      </c>
      <c r="AW10" s="3" t="n">
        <v>3</v>
      </c>
      <c r="AX10" s="3" t="n">
        <v>3</v>
      </c>
      <c r="AY10" s="3" t="n">
        <v>1</v>
      </c>
      <c r="AZ10" s="5" t="n">
        <v>1</v>
      </c>
      <c r="BA10" s="3" t="n">
        <v>1</v>
      </c>
      <c r="BB10" s="3" t="n">
        <v>1</v>
      </c>
      <c r="BC10" s="3" t="n">
        <v>4</v>
      </c>
      <c r="BD10" s="3" t="n">
        <v>3</v>
      </c>
      <c r="BE10" s="3" t="n">
        <v>5</v>
      </c>
      <c r="BF10" s="3" t="n">
        <v>3</v>
      </c>
      <c r="BG10" s="3" t="n">
        <v>4</v>
      </c>
      <c r="BH10" s="3" t="n">
        <v>1</v>
      </c>
      <c r="BI10" s="3" t="n">
        <v>1</v>
      </c>
    </row>
    <row r="11" customFormat="false" ht="12.75" hidden="false" customHeight="false" outlineLevel="0" collapsed="false">
      <c r="A11" s="2" t="s">
        <v>163</v>
      </c>
      <c r="B11" s="2" t="s">
        <v>164</v>
      </c>
      <c r="C11" s="2" t="s">
        <v>165</v>
      </c>
      <c r="D11" s="2" t="n">
        <v>161536</v>
      </c>
      <c r="E11" s="15" t="n">
        <v>43371</v>
      </c>
      <c r="F11" s="15" t="n">
        <v>43376</v>
      </c>
      <c r="G11" s="3" t="n">
        <v>5</v>
      </c>
      <c r="H11" s="3" t="n">
        <v>2</v>
      </c>
      <c r="I11" s="3" t="n">
        <v>64</v>
      </c>
      <c r="J11" s="3" t="n">
        <v>1</v>
      </c>
      <c r="K11" s="3" t="n">
        <v>2</v>
      </c>
      <c r="L11" s="3" t="n">
        <v>1</v>
      </c>
      <c r="M11" s="3" t="n">
        <v>1</v>
      </c>
      <c r="N11" s="3" t="n">
        <v>2</v>
      </c>
      <c r="O11" s="3" t="n">
        <v>2</v>
      </c>
      <c r="P11" s="3" t="n">
        <v>2</v>
      </c>
      <c r="Q11" s="3" t="n">
        <v>2</v>
      </c>
      <c r="R11" s="3" t="n">
        <v>2</v>
      </c>
      <c r="S11" s="4" t="n">
        <v>2</v>
      </c>
      <c r="T11" s="3" t="n">
        <v>2</v>
      </c>
      <c r="U11" s="3" t="n">
        <v>6.19</v>
      </c>
      <c r="V11" s="3" t="n">
        <v>1.98</v>
      </c>
      <c r="W11" s="3" t="n">
        <v>7.2</v>
      </c>
      <c r="X11" s="3" t="n">
        <v>388</v>
      </c>
      <c r="Z11" s="3" t="n">
        <v>0.41</v>
      </c>
      <c r="AA11" s="3" t="n">
        <v>13.4</v>
      </c>
      <c r="AB11" s="3" t="n">
        <v>1</v>
      </c>
      <c r="AC11" s="3" t="n">
        <v>2</v>
      </c>
      <c r="AD11" s="3" t="n">
        <v>1</v>
      </c>
      <c r="AE11" s="3" t="n">
        <v>1</v>
      </c>
      <c r="AF11" s="3" t="n">
        <v>2</v>
      </c>
      <c r="AG11" s="3" t="n">
        <v>1</v>
      </c>
      <c r="AH11" s="3" t="n">
        <v>1</v>
      </c>
      <c r="AI11" s="3" t="n">
        <v>2</v>
      </c>
      <c r="AJ11" s="3" t="n">
        <v>2</v>
      </c>
      <c r="AK11" s="3" t="n">
        <v>2</v>
      </c>
      <c r="AL11" s="3" t="n">
        <v>2</v>
      </c>
      <c r="AM11" s="3" t="n">
        <v>2</v>
      </c>
      <c r="AN11" s="3" t="n">
        <v>2</v>
      </c>
      <c r="AO11" s="3" t="n">
        <v>2</v>
      </c>
      <c r="AP11" s="3" t="n">
        <v>3</v>
      </c>
      <c r="AQ11" s="3" t="n">
        <v>3</v>
      </c>
      <c r="AR11" s="3" t="n">
        <v>4</v>
      </c>
      <c r="AS11" s="3" t="n">
        <v>2</v>
      </c>
      <c r="AT11" s="3" t="n">
        <v>1</v>
      </c>
      <c r="AU11" s="3" t="n">
        <v>1</v>
      </c>
      <c r="AV11" s="3" t="n">
        <v>1</v>
      </c>
      <c r="AW11" s="3" t="n">
        <v>2</v>
      </c>
      <c r="AX11" s="3" t="n">
        <v>2</v>
      </c>
      <c r="AY11" s="3" t="n">
        <v>1</v>
      </c>
      <c r="AZ11" s="5" t="n">
        <v>1</v>
      </c>
      <c r="BA11" s="3" t="n">
        <v>1</v>
      </c>
      <c r="BB11" s="3" t="n">
        <v>1</v>
      </c>
      <c r="BC11" s="3" t="n">
        <v>4</v>
      </c>
      <c r="BD11" s="3" t="n">
        <v>4</v>
      </c>
      <c r="BE11" s="3" t="n">
        <v>5</v>
      </c>
      <c r="BF11" s="3" t="n">
        <v>3</v>
      </c>
      <c r="BG11" s="3" t="n">
        <v>4</v>
      </c>
      <c r="BH11" s="3" t="n">
        <v>1</v>
      </c>
      <c r="BI11" s="3" t="n">
        <v>1</v>
      </c>
    </row>
    <row r="12" customFormat="false" ht="12.75" hidden="false" customHeight="false" outlineLevel="0" collapsed="false">
      <c r="A12" s="2" t="s">
        <v>174</v>
      </c>
      <c r="B12" s="2" t="s">
        <v>127</v>
      </c>
      <c r="C12" s="2" t="s">
        <v>175</v>
      </c>
      <c r="D12" s="2" t="n">
        <v>161437</v>
      </c>
      <c r="E12" s="15" t="n">
        <v>43368</v>
      </c>
      <c r="F12" s="15" t="n">
        <v>43377</v>
      </c>
      <c r="G12" s="3" t="n">
        <v>9</v>
      </c>
      <c r="H12" s="3" t="n">
        <v>2</v>
      </c>
      <c r="I12" s="3" t="n">
        <v>54</v>
      </c>
      <c r="J12" s="3" t="n">
        <v>1</v>
      </c>
      <c r="K12" s="3" t="n">
        <v>1</v>
      </c>
      <c r="L12" s="3" t="n">
        <v>1</v>
      </c>
      <c r="M12" s="3" t="n">
        <v>2</v>
      </c>
      <c r="N12" s="3" t="n">
        <v>2</v>
      </c>
      <c r="O12" s="3" t="n">
        <v>2</v>
      </c>
      <c r="P12" s="3" t="n">
        <v>2</v>
      </c>
      <c r="Q12" s="3" t="n">
        <v>2</v>
      </c>
      <c r="R12" s="3" t="n">
        <v>2</v>
      </c>
      <c r="S12" s="4" t="n">
        <v>2</v>
      </c>
      <c r="T12" s="3" t="n">
        <v>2</v>
      </c>
      <c r="U12" s="3" t="n">
        <v>6.23</v>
      </c>
      <c r="V12" s="3" t="n">
        <v>1.87</v>
      </c>
      <c r="W12" s="3" t="n">
        <v>4.5</v>
      </c>
      <c r="X12" s="3" t="n">
        <v>296</v>
      </c>
      <c r="Z12" s="3" t="n">
        <v>0.33</v>
      </c>
      <c r="AA12" s="3" t="n">
        <v>6.6</v>
      </c>
      <c r="AB12" s="3" t="n">
        <v>1</v>
      </c>
      <c r="AC12" s="3" t="n">
        <v>2</v>
      </c>
      <c r="AD12" s="3" t="n">
        <v>1</v>
      </c>
      <c r="AE12" s="3" t="n">
        <v>1</v>
      </c>
      <c r="AF12" s="3" t="n">
        <v>1</v>
      </c>
      <c r="AG12" s="3" t="n">
        <v>2</v>
      </c>
      <c r="AH12" s="3" t="n">
        <v>1</v>
      </c>
      <c r="AI12" s="3" t="n">
        <v>2</v>
      </c>
      <c r="AJ12" s="3" t="n">
        <v>2</v>
      </c>
      <c r="AK12" s="3" t="n">
        <v>2</v>
      </c>
      <c r="AL12" s="3" t="n">
        <v>1</v>
      </c>
      <c r="AM12" s="3" t="n">
        <v>2</v>
      </c>
      <c r="AN12" s="3" t="n">
        <v>2</v>
      </c>
      <c r="AO12" s="3" t="n">
        <v>2</v>
      </c>
      <c r="AP12" s="3" t="n">
        <v>2</v>
      </c>
      <c r="AQ12" s="3" t="n">
        <v>7</v>
      </c>
      <c r="AR12" s="3" t="n">
        <v>2</v>
      </c>
      <c r="AS12" s="3" t="n">
        <v>5</v>
      </c>
      <c r="AT12" s="3" t="n">
        <v>1</v>
      </c>
      <c r="AU12" s="3" t="n">
        <v>1</v>
      </c>
      <c r="AV12" s="3" t="n">
        <v>1</v>
      </c>
      <c r="AW12" s="3" t="n">
        <v>2</v>
      </c>
      <c r="AX12" s="3" t="n">
        <v>2</v>
      </c>
      <c r="AY12" s="3" t="n">
        <v>1</v>
      </c>
      <c r="AZ12" s="5" t="n">
        <v>1</v>
      </c>
      <c r="BA12" s="3" t="n">
        <v>1</v>
      </c>
      <c r="BB12" s="3" t="n">
        <v>1</v>
      </c>
      <c r="BC12" s="3" t="n">
        <v>2</v>
      </c>
      <c r="BD12" s="3" t="n">
        <v>3</v>
      </c>
      <c r="BE12" s="3" t="n">
        <v>5</v>
      </c>
      <c r="BF12" s="3" t="n">
        <v>3</v>
      </c>
      <c r="BG12" s="3" t="n">
        <v>4</v>
      </c>
      <c r="BH12" s="3" t="n">
        <v>1</v>
      </c>
      <c r="BI12" s="3" t="n">
        <v>1</v>
      </c>
    </row>
    <row r="13" customFormat="false" ht="12.75" hidden="false" customHeight="false" outlineLevel="0" collapsed="false">
      <c r="A13" s="2" t="s">
        <v>200</v>
      </c>
      <c r="B13" s="2" t="s">
        <v>201</v>
      </c>
      <c r="C13" s="2" t="s">
        <v>154</v>
      </c>
      <c r="D13" s="2" t="n">
        <v>161590</v>
      </c>
      <c r="E13" s="15" t="n">
        <v>43374</v>
      </c>
      <c r="F13" s="15" t="n">
        <v>43382</v>
      </c>
      <c r="G13" s="3" t="n">
        <v>8</v>
      </c>
      <c r="H13" s="3" t="n">
        <v>2</v>
      </c>
      <c r="I13" s="3" t="n">
        <v>55</v>
      </c>
      <c r="J13" s="3" t="n">
        <v>1</v>
      </c>
      <c r="K13" s="3" t="n">
        <v>1</v>
      </c>
      <c r="L13" s="3" t="n">
        <v>2</v>
      </c>
      <c r="M13" s="3" t="n">
        <v>2</v>
      </c>
      <c r="N13" s="3" t="n">
        <v>2</v>
      </c>
      <c r="O13" s="3" t="n">
        <v>2</v>
      </c>
      <c r="P13" s="3" t="n">
        <v>2</v>
      </c>
      <c r="Q13" s="3" t="n">
        <v>2</v>
      </c>
      <c r="R13" s="3" t="n">
        <v>2</v>
      </c>
      <c r="S13" s="4" t="n">
        <v>2</v>
      </c>
      <c r="T13" s="3" t="n">
        <v>2</v>
      </c>
      <c r="U13" s="3" t="n">
        <v>3.59</v>
      </c>
      <c r="V13" s="3" t="n">
        <v>0.95</v>
      </c>
      <c r="W13" s="3" t="n">
        <v>5.7</v>
      </c>
      <c r="X13" s="3" t="n">
        <v>313</v>
      </c>
      <c r="Z13" s="3" t="n">
        <v>0.43</v>
      </c>
      <c r="AA13" s="3" t="n">
        <v>8.6</v>
      </c>
      <c r="AB13" s="3" t="n">
        <v>2</v>
      </c>
      <c r="AC13" s="3" t="n">
        <v>1</v>
      </c>
      <c r="AD13" s="3" t="n">
        <v>1</v>
      </c>
      <c r="AE13" s="3" t="n">
        <v>1</v>
      </c>
      <c r="AF13" s="3" t="n">
        <v>1</v>
      </c>
      <c r="AG13" s="3" t="n">
        <v>2</v>
      </c>
      <c r="AH13" s="3" t="n">
        <v>1</v>
      </c>
      <c r="AI13" s="3" t="n">
        <v>2</v>
      </c>
      <c r="AJ13" s="3" t="n">
        <v>2</v>
      </c>
      <c r="AK13" s="3" t="n">
        <v>2</v>
      </c>
      <c r="AL13" s="3" t="n">
        <v>2</v>
      </c>
      <c r="AM13" s="3" t="n">
        <v>2</v>
      </c>
      <c r="AN13" s="3" t="n">
        <v>2</v>
      </c>
      <c r="AO13" s="3" t="n">
        <v>3</v>
      </c>
      <c r="AP13" s="3" t="n">
        <v>4</v>
      </c>
      <c r="AQ13" s="3" t="n">
        <v>4</v>
      </c>
      <c r="AR13" s="3" t="n">
        <v>6</v>
      </c>
      <c r="AS13" s="3" t="n">
        <v>4</v>
      </c>
      <c r="AT13" s="3" t="n">
        <v>4</v>
      </c>
      <c r="AU13" s="3" t="n">
        <v>6</v>
      </c>
      <c r="AV13" s="3" t="n">
        <v>6</v>
      </c>
      <c r="AW13" s="3" t="n">
        <v>3</v>
      </c>
      <c r="AX13" s="3" t="n">
        <v>3</v>
      </c>
      <c r="AY13" s="3" t="n">
        <v>1</v>
      </c>
      <c r="AZ13" s="5" t="n">
        <v>1</v>
      </c>
      <c r="BA13" s="3" t="n">
        <v>1</v>
      </c>
      <c r="BB13" s="3" t="n">
        <v>1</v>
      </c>
      <c r="BC13" s="3" t="n">
        <v>2</v>
      </c>
      <c r="BD13" s="3" t="n">
        <v>1</v>
      </c>
      <c r="BE13" s="3" t="n">
        <v>3</v>
      </c>
      <c r="BF13" s="3" t="n">
        <v>1</v>
      </c>
      <c r="BG13" s="3" t="n">
        <v>4</v>
      </c>
      <c r="BH13" s="3" t="n">
        <v>1</v>
      </c>
      <c r="BI13" s="3" t="n">
        <v>1</v>
      </c>
    </row>
    <row r="14" customFormat="false" ht="12.75" hidden="false" customHeight="false" outlineLevel="0" collapsed="false">
      <c r="A14" s="2" t="s">
        <v>213</v>
      </c>
      <c r="B14" s="2" t="s">
        <v>214</v>
      </c>
      <c r="C14" s="2" t="s">
        <v>75</v>
      </c>
      <c r="D14" s="2" t="n">
        <v>162269</v>
      </c>
      <c r="E14" s="15" t="n">
        <v>43377</v>
      </c>
      <c r="F14" s="15" t="n">
        <v>43384</v>
      </c>
      <c r="G14" s="3" t="n">
        <v>7</v>
      </c>
      <c r="H14" s="3" t="n">
        <v>2</v>
      </c>
      <c r="I14" s="3" t="n">
        <v>71</v>
      </c>
      <c r="J14" s="3" t="n">
        <v>2</v>
      </c>
      <c r="K14" s="3" t="n">
        <v>1</v>
      </c>
      <c r="L14" s="3" t="n">
        <v>2</v>
      </c>
      <c r="M14" s="3" t="n">
        <v>2</v>
      </c>
      <c r="N14" s="3" t="n">
        <v>2</v>
      </c>
      <c r="O14" s="3" t="n">
        <v>2</v>
      </c>
      <c r="P14" s="3" t="n">
        <v>2</v>
      </c>
      <c r="Q14" s="3" t="n">
        <v>2</v>
      </c>
      <c r="R14" s="3" t="n">
        <v>2</v>
      </c>
      <c r="S14" s="4" t="n">
        <v>2</v>
      </c>
      <c r="T14" s="3" t="n">
        <v>2</v>
      </c>
      <c r="U14" s="3" t="n">
        <v>4.72</v>
      </c>
      <c r="V14" s="3" t="n">
        <v>0.95</v>
      </c>
      <c r="W14" s="3" t="n">
        <v>6.4</v>
      </c>
      <c r="X14" s="3" t="n">
        <v>337</v>
      </c>
      <c r="Z14" s="3" t="n">
        <v>0.4</v>
      </c>
      <c r="AA14" s="3" t="n">
        <v>8.2</v>
      </c>
      <c r="AB14" s="3" t="n">
        <v>1</v>
      </c>
      <c r="AC14" s="3" t="n">
        <v>2</v>
      </c>
      <c r="AD14" s="3" t="n">
        <v>1</v>
      </c>
      <c r="AE14" s="3" t="n">
        <v>1</v>
      </c>
      <c r="AF14" s="3" t="n">
        <v>2</v>
      </c>
      <c r="AG14" s="3" t="n">
        <v>2</v>
      </c>
      <c r="AH14" s="3" t="n">
        <v>1</v>
      </c>
      <c r="AI14" s="3" t="n">
        <v>2</v>
      </c>
      <c r="AJ14" s="3" t="n">
        <v>2</v>
      </c>
      <c r="AK14" s="3" t="n">
        <v>2</v>
      </c>
      <c r="AL14" s="3" t="n">
        <v>2</v>
      </c>
      <c r="AM14" s="3" t="n">
        <v>2</v>
      </c>
      <c r="AN14" s="3" t="n">
        <v>2</v>
      </c>
      <c r="AO14" s="3" t="n">
        <v>3</v>
      </c>
      <c r="AP14" s="3" t="n">
        <v>4</v>
      </c>
      <c r="AQ14" s="3" t="n">
        <v>4</v>
      </c>
      <c r="AR14" s="3" t="n">
        <v>6</v>
      </c>
      <c r="AS14" s="3" t="n">
        <v>4</v>
      </c>
      <c r="AT14" s="3" t="n">
        <v>4</v>
      </c>
      <c r="AU14" s="3" t="n">
        <v>6</v>
      </c>
      <c r="AV14" s="3" t="n">
        <v>6</v>
      </c>
      <c r="AW14" s="3" t="n">
        <v>3</v>
      </c>
      <c r="AX14" s="3" t="n">
        <v>3</v>
      </c>
      <c r="AY14" s="3" t="n">
        <v>1</v>
      </c>
      <c r="AZ14" s="5" t="n">
        <v>1</v>
      </c>
      <c r="BA14" s="3" t="n">
        <v>1</v>
      </c>
      <c r="BB14" s="3" t="n">
        <v>1</v>
      </c>
      <c r="BC14" s="3" t="n">
        <v>4</v>
      </c>
      <c r="BD14" s="3" t="n">
        <v>1</v>
      </c>
      <c r="BE14" s="3" t="n">
        <v>2</v>
      </c>
      <c r="BF14" s="3" t="n">
        <v>4</v>
      </c>
      <c r="BG14" s="3" t="n">
        <v>4</v>
      </c>
      <c r="BH14" s="3" t="n">
        <v>1</v>
      </c>
      <c r="BI14" s="3" t="n">
        <v>1</v>
      </c>
    </row>
    <row r="15" customFormat="false" ht="12.75" hidden="false" customHeight="false" outlineLevel="0" collapsed="false">
      <c r="A15" s="2" t="s">
        <v>225</v>
      </c>
      <c r="B15" s="2" t="s">
        <v>226</v>
      </c>
      <c r="C15" s="2" t="s">
        <v>181</v>
      </c>
      <c r="D15" s="2" t="n">
        <v>162402</v>
      </c>
      <c r="E15" s="15" t="n">
        <v>43379</v>
      </c>
      <c r="F15" s="15" t="n">
        <v>43385</v>
      </c>
      <c r="G15" s="3" t="n">
        <v>6</v>
      </c>
      <c r="H15" s="3" t="n">
        <v>2</v>
      </c>
      <c r="I15" s="3" t="n">
        <v>71</v>
      </c>
      <c r="J15" s="3" t="n">
        <v>1</v>
      </c>
      <c r="K15" s="3" t="n">
        <v>1</v>
      </c>
      <c r="L15" s="3" t="n">
        <v>2</v>
      </c>
      <c r="M15" s="3" t="n">
        <v>2</v>
      </c>
      <c r="N15" s="3" t="n">
        <v>2</v>
      </c>
      <c r="O15" s="3" t="n">
        <v>2</v>
      </c>
      <c r="P15" s="3" t="n">
        <v>2</v>
      </c>
      <c r="Q15" s="3" t="n">
        <v>2</v>
      </c>
      <c r="R15" s="3" t="n">
        <v>2</v>
      </c>
      <c r="S15" s="4" t="n">
        <v>2</v>
      </c>
      <c r="T15" s="3" t="n">
        <v>2</v>
      </c>
      <c r="U15" s="3" t="n">
        <v>4.62</v>
      </c>
      <c r="V15" s="3" t="n">
        <v>0.71</v>
      </c>
      <c r="W15" s="3" t="n">
        <v>7.5</v>
      </c>
      <c r="X15" s="3" t="n">
        <v>471</v>
      </c>
      <c r="Z15" s="3" t="n">
        <v>0.38</v>
      </c>
      <c r="AA15" s="3" t="n">
        <v>6</v>
      </c>
      <c r="AB15" s="3" t="n">
        <v>1</v>
      </c>
      <c r="AC15" s="3" t="n">
        <v>1</v>
      </c>
      <c r="AD15" s="3" t="n">
        <v>1</v>
      </c>
      <c r="AE15" s="3" t="n">
        <v>1</v>
      </c>
      <c r="AF15" s="3" t="n">
        <v>2</v>
      </c>
      <c r="AG15" s="3" t="n">
        <v>2</v>
      </c>
      <c r="AH15" s="3" t="n">
        <v>1</v>
      </c>
      <c r="AI15" s="3" t="n">
        <v>2</v>
      </c>
      <c r="AJ15" s="3" t="n">
        <v>2</v>
      </c>
      <c r="AK15" s="3" t="n">
        <v>2</v>
      </c>
      <c r="AL15" s="3" t="n">
        <v>1</v>
      </c>
      <c r="AM15" s="3" t="n">
        <v>2</v>
      </c>
      <c r="AN15" s="3" t="n">
        <v>2</v>
      </c>
      <c r="AO15" s="3" t="n">
        <v>3</v>
      </c>
      <c r="AP15" s="3" t="n">
        <v>4</v>
      </c>
      <c r="AQ15" s="3" t="n">
        <v>4</v>
      </c>
      <c r="AR15" s="3" t="n">
        <v>6</v>
      </c>
      <c r="AS15" s="3" t="n">
        <v>4</v>
      </c>
      <c r="AT15" s="3" t="n">
        <v>4</v>
      </c>
      <c r="AU15" s="3" t="n">
        <v>6</v>
      </c>
      <c r="AV15" s="3" t="n">
        <v>6</v>
      </c>
      <c r="AW15" s="3" t="n">
        <v>3</v>
      </c>
      <c r="AX15" s="3" t="n">
        <v>3</v>
      </c>
      <c r="AY15" s="3" t="n">
        <v>1</v>
      </c>
      <c r="AZ15" s="5" t="n">
        <v>1</v>
      </c>
      <c r="BA15" s="3" t="n">
        <v>1</v>
      </c>
      <c r="BB15" s="3" t="n">
        <v>1</v>
      </c>
      <c r="BC15" s="3" t="n">
        <v>2</v>
      </c>
      <c r="BD15" s="3" t="n">
        <v>3</v>
      </c>
      <c r="BE15" s="3" t="n">
        <v>5</v>
      </c>
      <c r="BF15" s="3" t="n">
        <v>3</v>
      </c>
      <c r="BG15" s="3" t="n">
        <v>4</v>
      </c>
      <c r="BH15" s="3" t="n">
        <v>1</v>
      </c>
      <c r="BI15" s="3" t="n">
        <v>1</v>
      </c>
    </row>
    <row r="16" customFormat="false" ht="12.75" hidden="false" customHeight="false" outlineLevel="0" collapsed="false">
      <c r="A16" s="2" t="s">
        <v>228</v>
      </c>
      <c r="B16" s="2" t="s">
        <v>229</v>
      </c>
      <c r="C16" s="2" t="s">
        <v>128</v>
      </c>
      <c r="D16" s="2" t="n">
        <v>161446</v>
      </c>
      <c r="E16" s="15" t="n">
        <v>43368</v>
      </c>
      <c r="F16" s="15" t="n">
        <v>43385</v>
      </c>
      <c r="G16" s="3" t="n">
        <v>17</v>
      </c>
      <c r="H16" s="3" t="n">
        <v>2</v>
      </c>
      <c r="I16" s="3" t="n">
        <v>68</v>
      </c>
      <c r="J16" s="3" t="n">
        <v>1</v>
      </c>
      <c r="K16" s="3" t="n">
        <v>1</v>
      </c>
      <c r="L16" s="3" t="n">
        <v>1</v>
      </c>
      <c r="M16" s="3" t="n">
        <v>2</v>
      </c>
      <c r="N16" s="3" t="n">
        <v>2</v>
      </c>
      <c r="O16" s="3" t="n">
        <v>2</v>
      </c>
      <c r="P16" s="3" t="n">
        <v>2</v>
      </c>
      <c r="Q16" s="3" t="n">
        <v>2</v>
      </c>
      <c r="R16" s="3" t="n">
        <v>2</v>
      </c>
      <c r="S16" s="4" t="n">
        <v>2</v>
      </c>
      <c r="T16" s="3" t="n">
        <v>1</v>
      </c>
      <c r="U16" s="3" t="n">
        <v>3.74</v>
      </c>
      <c r="V16" s="3" t="n">
        <v>1.11</v>
      </c>
      <c r="W16" s="3" t="n">
        <v>5</v>
      </c>
      <c r="X16" s="3" t="n">
        <v>224</v>
      </c>
      <c r="Z16" s="3" t="n">
        <v>0.36</v>
      </c>
      <c r="AA16" s="3" t="n">
        <v>7.8</v>
      </c>
      <c r="AB16" s="3" t="n">
        <v>1</v>
      </c>
      <c r="AC16" s="3" t="n">
        <v>2</v>
      </c>
      <c r="AD16" s="3" t="n">
        <v>1</v>
      </c>
      <c r="AE16" s="3" t="n">
        <v>1</v>
      </c>
      <c r="AF16" s="3" t="n">
        <v>2</v>
      </c>
      <c r="AG16" s="3" t="n">
        <v>2</v>
      </c>
      <c r="AH16" s="3" t="n">
        <v>1</v>
      </c>
      <c r="AI16" s="3" t="n">
        <v>2</v>
      </c>
      <c r="AJ16" s="3" t="n">
        <v>2</v>
      </c>
      <c r="AK16" s="3" t="n">
        <v>2</v>
      </c>
      <c r="AL16" s="3" t="n">
        <v>2</v>
      </c>
      <c r="AM16" s="3" t="n">
        <v>2</v>
      </c>
      <c r="AN16" s="3" t="n">
        <v>2</v>
      </c>
      <c r="AO16" s="3" t="n">
        <v>2</v>
      </c>
      <c r="AP16" s="3" t="n">
        <v>3</v>
      </c>
      <c r="AQ16" s="3" t="n">
        <v>4</v>
      </c>
      <c r="AR16" s="3" t="n">
        <v>6</v>
      </c>
      <c r="AS16" s="3" t="n">
        <v>4</v>
      </c>
      <c r="AT16" s="3" t="n">
        <v>4</v>
      </c>
      <c r="AU16" s="3" t="n">
        <v>3</v>
      </c>
      <c r="AV16" s="3" t="n">
        <v>6</v>
      </c>
      <c r="AW16" s="3" t="n">
        <v>3</v>
      </c>
      <c r="AX16" s="3" t="n">
        <v>3</v>
      </c>
      <c r="AY16" s="3" t="n">
        <v>1</v>
      </c>
      <c r="AZ16" s="5" t="n">
        <v>1</v>
      </c>
      <c r="BA16" s="3" t="n">
        <v>1</v>
      </c>
      <c r="BB16" s="3" t="n">
        <v>1</v>
      </c>
      <c r="BC16" s="3" t="n">
        <v>2</v>
      </c>
      <c r="BD16" s="3" t="n">
        <v>3</v>
      </c>
      <c r="BE16" s="3" t="n">
        <v>5</v>
      </c>
      <c r="BF16" s="3" t="n">
        <v>3</v>
      </c>
      <c r="BG16" s="3" t="n">
        <v>4</v>
      </c>
      <c r="BH16" s="3" t="n">
        <v>1</v>
      </c>
      <c r="BI16" s="3" t="n">
        <v>1</v>
      </c>
    </row>
    <row r="17" customFormat="false" ht="12.75" hidden="false" customHeight="false" outlineLevel="0" collapsed="false">
      <c r="A17" s="2" t="s">
        <v>234</v>
      </c>
      <c r="B17" s="2" t="s">
        <v>235</v>
      </c>
      <c r="C17" s="2" t="s">
        <v>236</v>
      </c>
      <c r="D17" s="2" t="n">
        <v>162422</v>
      </c>
      <c r="E17" s="15" t="n">
        <v>43380</v>
      </c>
      <c r="F17" s="15" t="n">
        <v>43388</v>
      </c>
      <c r="G17" s="3" t="n">
        <v>8</v>
      </c>
      <c r="H17" s="3" t="n">
        <v>1</v>
      </c>
      <c r="I17" s="3" t="n">
        <v>64</v>
      </c>
      <c r="J17" s="3" t="n">
        <v>1</v>
      </c>
      <c r="K17" s="3" t="n">
        <v>1</v>
      </c>
      <c r="L17" s="3" t="n">
        <v>1</v>
      </c>
      <c r="M17" s="3" t="n">
        <v>2</v>
      </c>
      <c r="N17" s="3" t="n">
        <v>2</v>
      </c>
      <c r="O17" s="3" t="n">
        <v>2</v>
      </c>
      <c r="P17" s="3" t="n">
        <v>2</v>
      </c>
      <c r="Q17" s="3" t="n">
        <v>2</v>
      </c>
      <c r="R17" s="3" t="n">
        <v>2</v>
      </c>
      <c r="S17" s="4" t="n">
        <v>2</v>
      </c>
      <c r="T17" s="3" t="n">
        <v>2</v>
      </c>
      <c r="U17" s="3" t="n">
        <v>4.78</v>
      </c>
      <c r="V17" s="3" t="n">
        <v>1</v>
      </c>
      <c r="W17" s="3" t="n">
        <v>4.6</v>
      </c>
      <c r="X17" s="3" t="n">
        <v>549</v>
      </c>
      <c r="Z17" s="3" t="n">
        <v>0.42</v>
      </c>
      <c r="AA17" s="3" t="n">
        <v>6.9</v>
      </c>
      <c r="AB17" s="3" t="n">
        <v>2</v>
      </c>
      <c r="AC17" s="3" t="n">
        <v>2</v>
      </c>
      <c r="AD17" s="3" t="n">
        <v>1</v>
      </c>
      <c r="AE17" s="3" t="n">
        <v>1</v>
      </c>
      <c r="AF17" s="3" t="n">
        <v>2</v>
      </c>
      <c r="AG17" s="3" t="n">
        <v>2</v>
      </c>
      <c r="AH17" s="3" t="n">
        <v>1</v>
      </c>
      <c r="AI17" s="3" t="n">
        <v>2</v>
      </c>
      <c r="AJ17" s="3" t="n">
        <v>2</v>
      </c>
      <c r="AK17" s="3" t="n">
        <v>2</v>
      </c>
      <c r="AL17" s="3" t="n">
        <v>2</v>
      </c>
      <c r="AM17" s="3" t="n">
        <v>2</v>
      </c>
      <c r="AN17" s="3" t="n">
        <v>2</v>
      </c>
      <c r="AO17" s="3" t="n">
        <v>3</v>
      </c>
      <c r="AP17" s="3" t="n">
        <v>4</v>
      </c>
      <c r="AQ17" s="3" t="n">
        <v>4</v>
      </c>
      <c r="AR17" s="3" t="n">
        <v>6</v>
      </c>
      <c r="AS17" s="3" t="n">
        <v>4</v>
      </c>
      <c r="AT17" s="3" t="n">
        <v>4</v>
      </c>
      <c r="AU17" s="3" t="n">
        <v>6</v>
      </c>
      <c r="AV17" s="3" t="n">
        <v>6</v>
      </c>
      <c r="AW17" s="3" t="n">
        <v>3</v>
      </c>
      <c r="AX17" s="3" t="n">
        <v>3</v>
      </c>
      <c r="AY17" s="3" t="n">
        <v>1</v>
      </c>
      <c r="AZ17" s="5" t="n">
        <v>1</v>
      </c>
      <c r="BA17" s="3" t="n">
        <v>1</v>
      </c>
      <c r="BB17" s="3" t="n">
        <v>1</v>
      </c>
      <c r="BC17" s="3" t="n">
        <v>2</v>
      </c>
      <c r="BD17" s="3" t="n">
        <v>1</v>
      </c>
      <c r="BE17" s="3" t="n">
        <v>2</v>
      </c>
      <c r="BF17" s="3" t="n">
        <v>1</v>
      </c>
      <c r="BG17" s="3" t="n">
        <v>4</v>
      </c>
      <c r="BH17" s="3" t="n">
        <v>1</v>
      </c>
      <c r="BI17" s="3" t="n">
        <v>1</v>
      </c>
    </row>
    <row r="18" customFormat="false" ht="12.75" hidden="false" customHeight="false" outlineLevel="0" collapsed="false">
      <c r="A18" s="2" t="s">
        <v>262</v>
      </c>
      <c r="B18" s="2" t="s">
        <v>263</v>
      </c>
      <c r="C18" s="2" t="s">
        <v>78</v>
      </c>
      <c r="D18" s="2" t="n">
        <v>162446</v>
      </c>
      <c r="E18" s="15" t="n">
        <v>43381</v>
      </c>
      <c r="F18" s="15" t="n">
        <v>43391</v>
      </c>
      <c r="G18" s="3" t="n">
        <v>10</v>
      </c>
      <c r="H18" s="3" t="n">
        <v>2</v>
      </c>
      <c r="I18" s="3" t="n">
        <v>57</v>
      </c>
      <c r="J18" s="3" t="n">
        <v>1</v>
      </c>
      <c r="K18" s="3" t="n">
        <v>1</v>
      </c>
      <c r="L18" s="3" t="n">
        <v>1</v>
      </c>
      <c r="M18" s="3" t="n">
        <v>2</v>
      </c>
      <c r="N18" s="3" t="n">
        <v>1</v>
      </c>
      <c r="O18" s="3" t="n">
        <v>2</v>
      </c>
      <c r="P18" s="3" t="n">
        <v>1</v>
      </c>
      <c r="Q18" s="3" t="n">
        <v>2</v>
      </c>
      <c r="R18" s="3" t="n">
        <v>2</v>
      </c>
      <c r="S18" s="4" t="n">
        <v>2</v>
      </c>
      <c r="T18" s="3" t="n">
        <v>2</v>
      </c>
      <c r="U18" s="3" t="n">
        <v>6.34</v>
      </c>
      <c r="V18" s="3" t="n">
        <v>2.36</v>
      </c>
      <c r="W18" s="3" t="n">
        <v>13.6</v>
      </c>
      <c r="X18" s="3" t="n">
        <v>271</v>
      </c>
      <c r="Z18" s="3" t="n">
        <v>0.58</v>
      </c>
      <c r="AA18" s="3" t="n">
        <v>9.2</v>
      </c>
      <c r="AB18" s="3" t="n">
        <v>2</v>
      </c>
      <c r="AC18" s="3" t="n">
        <v>2</v>
      </c>
      <c r="AD18" s="3" t="n">
        <v>1</v>
      </c>
      <c r="AE18" s="3" t="n">
        <v>1</v>
      </c>
      <c r="AF18" s="3" t="n">
        <v>1</v>
      </c>
      <c r="AG18" s="3" t="n">
        <v>2</v>
      </c>
      <c r="AH18" s="3" t="n">
        <v>1</v>
      </c>
      <c r="AI18" s="3" t="n">
        <v>2</v>
      </c>
      <c r="AJ18" s="3" t="n">
        <v>1</v>
      </c>
      <c r="AK18" s="3" t="n">
        <v>2</v>
      </c>
      <c r="AL18" s="3" t="n">
        <v>2</v>
      </c>
      <c r="AM18" s="3" t="n">
        <v>2</v>
      </c>
      <c r="AN18" s="3" t="n">
        <v>2</v>
      </c>
      <c r="AO18" s="3" t="n">
        <v>2</v>
      </c>
      <c r="AP18" s="3" t="n">
        <v>3</v>
      </c>
      <c r="AQ18" s="3" t="n">
        <v>8</v>
      </c>
      <c r="AR18" s="3" t="n">
        <v>5</v>
      </c>
      <c r="AS18" s="3" t="n">
        <v>2</v>
      </c>
      <c r="AT18" s="3" t="n">
        <v>1</v>
      </c>
      <c r="AU18" s="3" t="n">
        <v>1</v>
      </c>
      <c r="AV18" s="3" t="n">
        <v>1</v>
      </c>
      <c r="AW18" s="3" t="n">
        <v>2</v>
      </c>
      <c r="AX18" s="3" t="n">
        <v>2</v>
      </c>
      <c r="AY18" s="3" t="n">
        <v>1</v>
      </c>
      <c r="AZ18" s="5" t="n">
        <v>1</v>
      </c>
      <c r="BA18" s="3" t="n">
        <v>1</v>
      </c>
      <c r="BB18" s="3" t="n">
        <v>1</v>
      </c>
      <c r="BC18" s="3" t="n">
        <v>2</v>
      </c>
      <c r="BD18" s="3" t="n">
        <v>1</v>
      </c>
      <c r="BE18" s="3" t="n">
        <v>2</v>
      </c>
      <c r="BF18" s="3" t="n">
        <v>1</v>
      </c>
      <c r="BG18" s="3" t="n">
        <v>4</v>
      </c>
      <c r="BH18" s="3" t="n">
        <v>1</v>
      </c>
      <c r="BI18" s="3" t="n">
        <v>1</v>
      </c>
    </row>
    <row r="19" customFormat="false" ht="12.75" hidden="false" customHeight="false" outlineLevel="0" collapsed="false">
      <c r="A19" s="2" t="s">
        <v>267</v>
      </c>
      <c r="B19" s="2" t="s">
        <v>268</v>
      </c>
      <c r="C19" s="2" t="s">
        <v>269</v>
      </c>
      <c r="D19" s="2" t="n">
        <v>162556</v>
      </c>
      <c r="E19" s="15" t="n">
        <v>43386</v>
      </c>
      <c r="F19" s="15" t="n">
        <v>43393</v>
      </c>
      <c r="G19" s="3" t="n">
        <v>7</v>
      </c>
      <c r="H19" s="3" t="n">
        <v>2</v>
      </c>
      <c r="I19" s="3" t="n">
        <v>66</v>
      </c>
      <c r="J19" s="3" t="n">
        <v>1</v>
      </c>
      <c r="K19" s="3" t="n">
        <v>1</v>
      </c>
      <c r="L19" s="3" t="n">
        <v>1</v>
      </c>
      <c r="M19" s="3" t="n">
        <v>2</v>
      </c>
      <c r="N19" s="3" t="n">
        <v>2</v>
      </c>
      <c r="O19" s="3" t="n">
        <v>2</v>
      </c>
      <c r="P19" s="3" t="n">
        <v>2</v>
      </c>
      <c r="Q19" s="3" t="n">
        <v>2</v>
      </c>
      <c r="R19" s="3" t="n">
        <v>2</v>
      </c>
      <c r="S19" s="4" t="n">
        <v>2</v>
      </c>
      <c r="T19" s="3" t="n">
        <v>2</v>
      </c>
      <c r="U19" s="3" t="n">
        <v>5.58</v>
      </c>
      <c r="V19" s="3" t="n">
        <v>2.23</v>
      </c>
      <c r="W19" s="3" t="n">
        <v>8.4</v>
      </c>
      <c r="X19" s="3" t="n">
        <v>337</v>
      </c>
      <c r="Z19" s="3" t="n">
        <v>0.44</v>
      </c>
      <c r="AA19" s="3" t="n">
        <v>10.8</v>
      </c>
      <c r="AB19" s="3" t="n">
        <v>1</v>
      </c>
      <c r="AC19" s="3" t="n">
        <v>1</v>
      </c>
      <c r="AD19" s="3" t="n">
        <v>1</v>
      </c>
      <c r="AE19" s="3" t="n">
        <v>1</v>
      </c>
      <c r="AF19" s="3" t="n">
        <v>2</v>
      </c>
      <c r="AG19" s="3" t="n">
        <v>2</v>
      </c>
      <c r="AH19" s="3" t="n">
        <v>1</v>
      </c>
      <c r="AI19" s="3" t="n">
        <v>2</v>
      </c>
      <c r="AJ19" s="3" t="n">
        <v>2</v>
      </c>
      <c r="AK19" s="3" t="n">
        <v>2</v>
      </c>
      <c r="AL19" s="3" t="n">
        <v>2</v>
      </c>
      <c r="AM19" s="3" t="n">
        <v>2</v>
      </c>
      <c r="AN19" s="3" t="n">
        <v>2</v>
      </c>
      <c r="AO19" s="3" t="n">
        <v>3</v>
      </c>
      <c r="AP19" s="3" t="n">
        <v>4</v>
      </c>
      <c r="AQ19" s="3" t="n">
        <v>4</v>
      </c>
      <c r="AR19" s="3" t="n">
        <v>6</v>
      </c>
      <c r="AS19" s="3" t="n">
        <v>4</v>
      </c>
      <c r="AT19" s="3" t="n">
        <v>4</v>
      </c>
      <c r="AU19" s="3" t="n">
        <v>6</v>
      </c>
      <c r="AV19" s="3" t="n">
        <v>6</v>
      </c>
      <c r="AW19" s="3" t="n">
        <v>3</v>
      </c>
      <c r="AX19" s="3" t="n">
        <v>3</v>
      </c>
      <c r="AY19" s="3" t="n">
        <v>1</v>
      </c>
      <c r="AZ19" s="5" t="n">
        <v>1</v>
      </c>
      <c r="BA19" s="3" t="n">
        <v>1</v>
      </c>
      <c r="BB19" s="3" t="n">
        <v>1</v>
      </c>
      <c r="BC19" s="3" t="n">
        <v>4</v>
      </c>
      <c r="BD19" s="3" t="n">
        <v>1</v>
      </c>
      <c r="BE19" s="3" t="n">
        <v>2</v>
      </c>
      <c r="BF19" s="3" t="n">
        <v>1</v>
      </c>
      <c r="BG19" s="3" t="n">
        <v>4</v>
      </c>
      <c r="BH19" s="3" t="n">
        <v>1</v>
      </c>
      <c r="BI19" s="3" t="n">
        <v>1</v>
      </c>
    </row>
    <row r="20" customFormat="false" ht="12.75" hidden="false" customHeight="false" outlineLevel="0" collapsed="false">
      <c r="A20" s="2" t="s">
        <v>258</v>
      </c>
      <c r="B20" s="2" t="s">
        <v>303</v>
      </c>
      <c r="C20" s="2" t="s">
        <v>304</v>
      </c>
      <c r="D20" s="2" t="n">
        <v>163068</v>
      </c>
      <c r="E20" s="15" t="n">
        <v>43391</v>
      </c>
      <c r="F20" s="15" t="n">
        <v>43398</v>
      </c>
      <c r="G20" s="3" t="n">
        <v>7</v>
      </c>
      <c r="H20" s="3" t="n">
        <v>2</v>
      </c>
      <c r="I20" s="3" t="n">
        <v>59</v>
      </c>
      <c r="J20" s="3" t="n">
        <v>1</v>
      </c>
      <c r="K20" s="3" t="n">
        <v>1</v>
      </c>
      <c r="L20" s="3" t="n">
        <v>1</v>
      </c>
      <c r="M20" s="3" t="n">
        <v>2</v>
      </c>
      <c r="N20" s="3" t="n">
        <v>2</v>
      </c>
      <c r="O20" s="3" t="n">
        <v>2</v>
      </c>
      <c r="P20" s="3" t="n">
        <v>2</v>
      </c>
      <c r="Q20" s="3" t="n">
        <v>2</v>
      </c>
      <c r="R20" s="3" t="n">
        <v>1</v>
      </c>
      <c r="S20" s="4" t="n">
        <v>2</v>
      </c>
      <c r="T20" s="3" t="n">
        <v>2</v>
      </c>
      <c r="U20" s="3" t="n">
        <v>5.73</v>
      </c>
      <c r="V20" s="3" t="n">
        <v>2</v>
      </c>
      <c r="W20" s="3" t="n">
        <v>5.2</v>
      </c>
      <c r="X20" s="3" t="n">
        <v>341</v>
      </c>
      <c r="Z20" s="3" t="n">
        <v>0.4</v>
      </c>
      <c r="AA20" s="3" t="n">
        <v>7</v>
      </c>
      <c r="AB20" s="3" t="n">
        <v>1</v>
      </c>
      <c r="AC20" s="3" t="n">
        <v>2</v>
      </c>
      <c r="AD20" s="3" t="n">
        <v>1</v>
      </c>
      <c r="AE20" s="3" t="n">
        <v>1</v>
      </c>
      <c r="AF20" s="3" t="n">
        <v>2</v>
      </c>
      <c r="AG20" s="3" t="n">
        <v>2</v>
      </c>
      <c r="AH20" s="3" t="n">
        <v>1</v>
      </c>
      <c r="AI20" s="3" t="n">
        <v>1</v>
      </c>
      <c r="AJ20" s="3" t="n">
        <v>2</v>
      </c>
      <c r="AK20" s="3" t="n">
        <v>2</v>
      </c>
      <c r="AL20" s="3" t="n">
        <v>2</v>
      </c>
      <c r="AM20" s="3" t="n">
        <v>2</v>
      </c>
      <c r="AN20" s="3" t="n">
        <v>2</v>
      </c>
      <c r="AO20" s="3" t="n">
        <v>3</v>
      </c>
      <c r="AP20" s="3" t="n">
        <v>4</v>
      </c>
      <c r="AQ20" s="3" t="n">
        <v>4</v>
      </c>
      <c r="AR20" s="3" t="n">
        <v>6</v>
      </c>
      <c r="AS20" s="3" t="n">
        <v>4</v>
      </c>
      <c r="AT20" s="3" t="n">
        <v>4</v>
      </c>
      <c r="AU20" s="3" t="n">
        <v>6</v>
      </c>
      <c r="AV20" s="3" t="n">
        <v>6</v>
      </c>
      <c r="AW20" s="3" t="n">
        <v>3</v>
      </c>
      <c r="AX20" s="3" t="n">
        <v>3</v>
      </c>
      <c r="AY20" s="3" t="n">
        <v>1</v>
      </c>
      <c r="AZ20" s="5" t="n">
        <v>1</v>
      </c>
      <c r="BA20" s="3" t="n">
        <v>1</v>
      </c>
      <c r="BB20" s="3" t="n">
        <v>1</v>
      </c>
      <c r="BC20" s="3" t="n">
        <v>3</v>
      </c>
      <c r="BD20" s="3" t="n">
        <v>1</v>
      </c>
      <c r="BE20" s="3" t="n">
        <v>2</v>
      </c>
      <c r="BF20" s="3" t="n">
        <v>1</v>
      </c>
      <c r="BG20" s="3" t="n">
        <v>4</v>
      </c>
      <c r="BH20" s="3" t="n">
        <v>1</v>
      </c>
      <c r="BI20" s="3" t="n">
        <v>1</v>
      </c>
    </row>
    <row r="21" customFormat="false" ht="12.75" hidden="false" customHeight="false" outlineLevel="0" collapsed="false">
      <c r="A21" s="2" t="s">
        <v>339</v>
      </c>
      <c r="B21" s="2" t="s">
        <v>340</v>
      </c>
      <c r="C21" s="2" t="s">
        <v>66</v>
      </c>
      <c r="D21" s="2" t="n">
        <v>163381</v>
      </c>
      <c r="E21" s="15" t="n">
        <v>43395</v>
      </c>
      <c r="F21" s="15" t="n">
        <v>43402</v>
      </c>
      <c r="G21" s="3" t="n">
        <v>7</v>
      </c>
      <c r="H21" s="3" t="n">
        <v>1</v>
      </c>
      <c r="I21" s="3" t="n">
        <v>58</v>
      </c>
      <c r="J21" s="3" t="n">
        <v>1</v>
      </c>
      <c r="K21" s="3" t="n">
        <v>2</v>
      </c>
      <c r="L21" s="3" t="n">
        <v>1</v>
      </c>
      <c r="M21" s="3" t="n">
        <v>2</v>
      </c>
      <c r="N21" s="3" t="n">
        <v>1</v>
      </c>
      <c r="O21" s="3" t="n">
        <v>2</v>
      </c>
      <c r="P21" s="3" t="n">
        <v>1</v>
      </c>
      <c r="Q21" s="3" t="n">
        <v>2</v>
      </c>
      <c r="R21" s="3" t="n">
        <v>1</v>
      </c>
      <c r="S21" s="4" t="n">
        <v>2</v>
      </c>
      <c r="T21" s="3" t="n">
        <v>2</v>
      </c>
      <c r="U21" s="3" t="n">
        <v>4.59</v>
      </c>
      <c r="V21" s="3" t="n">
        <v>2.44</v>
      </c>
      <c r="W21" s="3" t="n">
        <v>14.7</v>
      </c>
      <c r="X21" s="3" t="n">
        <v>269</v>
      </c>
      <c r="Z21" s="3" t="n">
        <v>0.4</v>
      </c>
      <c r="AA21" s="3" t="n">
        <v>10.3</v>
      </c>
      <c r="AB21" s="3" t="n">
        <v>2</v>
      </c>
      <c r="AC21" s="3" t="n">
        <v>2</v>
      </c>
      <c r="AD21" s="3" t="n">
        <v>1</v>
      </c>
      <c r="AE21" s="3" t="n">
        <v>1</v>
      </c>
      <c r="AF21" s="3" t="n">
        <v>2</v>
      </c>
      <c r="AG21" s="3" t="n">
        <v>2</v>
      </c>
      <c r="AH21" s="3" t="n">
        <v>1</v>
      </c>
      <c r="AI21" s="3" t="n">
        <v>1</v>
      </c>
      <c r="AJ21" s="3" t="n">
        <v>2</v>
      </c>
      <c r="AK21" s="3" t="n">
        <v>2</v>
      </c>
      <c r="AL21" s="3" t="n">
        <v>1</v>
      </c>
      <c r="AM21" s="3" t="n">
        <v>2</v>
      </c>
      <c r="AN21" s="3" t="n">
        <v>2</v>
      </c>
      <c r="AO21" s="3" t="n">
        <v>3</v>
      </c>
      <c r="AP21" s="3" t="n">
        <v>4</v>
      </c>
      <c r="AQ21" s="3" t="n">
        <v>4</v>
      </c>
      <c r="AR21" s="3" t="n">
        <v>6</v>
      </c>
      <c r="AS21" s="3" t="n">
        <v>4</v>
      </c>
      <c r="AT21" s="3" t="n">
        <v>4</v>
      </c>
      <c r="AU21" s="3" t="n">
        <v>6</v>
      </c>
      <c r="AV21" s="3" t="n">
        <v>6</v>
      </c>
      <c r="AW21" s="3" t="n">
        <v>3</v>
      </c>
      <c r="AX21" s="3" t="n">
        <v>3</v>
      </c>
      <c r="AY21" s="3" t="n">
        <v>9</v>
      </c>
      <c r="AZ21" s="5" t="n">
        <v>1</v>
      </c>
      <c r="BA21" s="3" t="n">
        <v>1</v>
      </c>
      <c r="BB21" s="3" t="n">
        <v>1</v>
      </c>
      <c r="BC21" s="3" t="n">
        <v>2</v>
      </c>
      <c r="BD21" s="3" t="n">
        <v>3</v>
      </c>
      <c r="BE21" s="3" t="n">
        <v>5</v>
      </c>
      <c r="BF21" s="3" t="n">
        <v>3</v>
      </c>
      <c r="BG21" s="3" t="n">
        <v>4</v>
      </c>
      <c r="BH21" s="3" t="n">
        <v>1</v>
      </c>
      <c r="BI21" s="3" t="n">
        <v>1</v>
      </c>
    </row>
    <row r="22" customFormat="false" ht="12.75" hidden="false" customHeight="false" outlineLevel="0" collapsed="false">
      <c r="A22" s="26" t="s">
        <v>367</v>
      </c>
      <c r="B22" s="26" t="s">
        <v>368</v>
      </c>
      <c r="C22" s="26" t="s">
        <v>304</v>
      </c>
      <c r="D22" s="26" t="n">
        <v>164001</v>
      </c>
      <c r="E22" s="27" t="n">
        <v>43405</v>
      </c>
      <c r="F22" s="27" t="n">
        <v>43406</v>
      </c>
      <c r="G22" s="30" t="n">
        <v>1</v>
      </c>
      <c r="H22" s="30" t="n">
        <v>1</v>
      </c>
      <c r="I22" s="30" t="n">
        <v>79</v>
      </c>
      <c r="J22" s="30" t="n">
        <v>1</v>
      </c>
      <c r="K22" s="30" t="n">
        <v>2</v>
      </c>
      <c r="L22" s="30" t="n">
        <v>1</v>
      </c>
      <c r="M22" s="30" t="n">
        <v>2</v>
      </c>
      <c r="N22" s="30" t="n">
        <v>1</v>
      </c>
      <c r="O22" s="30" t="n">
        <v>2</v>
      </c>
      <c r="P22" s="30" t="n">
        <v>2</v>
      </c>
      <c r="Q22" s="30" t="n">
        <v>2</v>
      </c>
      <c r="R22" s="30" t="n">
        <v>1</v>
      </c>
      <c r="S22" s="4" t="n">
        <v>2</v>
      </c>
      <c r="T22" s="30" t="n">
        <v>2</v>
      </c>
      <c r="U22" s="30" t="n">
        <v>2.76</v>
      </c>
      <c r="V22" s="30" t="n">
        <v>1.12</v>
      </c>
      <c r="W22" s="30" t="n">
        <v>3</v>
      </c>
      <c r="X22" s="30" t="n">
        <v>442</v>
      </c>
      <c r="Z22" s="30" t="n">
        <v>0.33</v>
      </c>
      <c r="AA22" s="30" t="n">
        <v>12.9</v>
      </c>
      <c r="AB22" s="30" t="n">
        <v>3</v>
      </c>
      <c r="AC22" s="30" t="n">
        <v>2</v>
      </c>
      <c r="AD22" s="30" t="n">
        <v>1</v>
      </c>
      <c r="AE22" s="30" t="n">
        <v>1</v>
      </c>
      <c r="AF22" s="30" t="n">
        <v>2</v>
      </c>
      <c r="AG22" s="30" t="n">
        <v>2</v>
      </c>
      <c r="AH22" s="30" t="n">
        <v>1</v>
      </c>
      <c r="AI22" s="30" t="n">
        <v>1</v>
      </c>
      <c r="AJ22" s="30" t="n">
        <v>2</v>
      </c>
      <c r="AK22" s="30" t="n">
        <v>2</v>
      </c>
      <c r="AL22" s="30" t="n">
        <v>2</v>
      </c>
      <c r="AM22" s="30" t="n">
        <v>2</v>
      </c>
      <c r="AN22" s="30" t="n">
        <v>2</v>
      </c>
      <c r="AO22" s="30" t="n">
        <v>3</v>
      </c>
      <c r="AP22" s="30" t="n">
        <v>4</v>
      </c>
      <c r="AQ22" s="30" t="n">
        <v>4</v>
      </c>
      <c r="AR22" s="30" t="n">
        <v>6</v>
      </c>
      <c r="AS22" s="30" t="n">
        <v>4</v>
      </c>
      <c r="AT22" s="30" t="n">
        <v>4</v>
      </c>
      <c r="AU22" s="30" t="n">
        <v>6</v>
      </c>
      <c r="AV22" s="30" t="n">
        <v>6</v>
      </c>
      <c r="AW22" s="30" t="n">
        <v>3</v>
      </c>
      <c r="AX22" s="30" t="n">
        <v>3</v>
      </c>
      <c r="AY22" s="30" t="n">
        <v>10</v>
      </c>
      <c r="AZ22" s="5" t="n">
        <v>1</v>
      </c>
      <c r="BA22" s="30" t="n">
        <v>1</v>
      </c>
      <c r="BB22" s="30" t="n">
        <v>2</v>
      </c>
      <c r="BC22" s="30" t="n">
        <v>2</v>
      </c>
      <c r="BD22" s="30" t="n">
        <v>1</v>
      </c>
      <c r="BE22" s="30" t="n">
        <v>2</v>
      </c>
      <c r="BF22" s="30" t="n">
        <v>1</v>
      </c>
      <c r="BG22" s="30" t="n">
        <v>4</v>
      </c>
      <c r="BH22" s="30" t="n">
        <v>2</v>
      </c>
      <c r="BI22" s="30" t="n">
        <v>1</v>
      </c>
    </row>
    <row r="23" customFormat="false" ht="12.75" hidden="false" customHeight="false" outlineLevel="0" collapsed="false">
      <c r="A23" s="2" t="s">
        <v>374</v>
      </c>
      <c r="B23" s="2" t="s">
        <v>94</v>
      </c>
      <c r="C23" s="2" t="s">
        <v>375</v>
      </c>
      <c r="D23" s="2" t="n">
        <v>163684</v>
      </c>
      <c r="E23" s="15" t="n">
        <v>43398</v>
      </c>
      <c r="F23" s="15" t="n">
        <v>43406</v>
      </c>
      <c r="G23" s="3" t="n">
        <v>7</v>
      </c>
      <c r="H23" s="3" t="n">
        <v>2</v>
      </c>
      <c r="I23" s="3" t="n">
        <v>78</v>
      </c>
      <c r="J23" s="3" t="n">
        <v>1</v>
      </c>
      <c r="K23" s="3" t="n">
        <v>2</v>
      </c>
      <c r="L23" s="3" t="n">
        <v>1</v>
      </c>
      <c r="M23" s="3" t="n">
        <v>2</v>
      </c>
      <c r="N23" s="3" t="n">
        <v>2</v>
      </c>
      <c r="O23" s="3" t="n">
        <v>2</v>
      </c>
      <c r="P23" s="3" t="n">
        <v>1</v>
      </c>
      <c r="Q23" s="3" t="n">
        <v>2</v>
      </c>
      <c r="R23" s="3" t="n">
        <v>1</v>
      </c>
      <c r="S23" s="4" t="n">
        <v>2</v>
      </c>
      <c r="T23" s="3" t="n">
        <v>2</v>
      </c>
      <c r="U23" s="3" t="n">
        <v>5.15</v>
      </c>
      <c r="V23" s="3" t="n">
        <v>1.54</v>
      </c>
      <c r="W23" s="3" t="n">
        <v>10.9</v>
      </c>
      <c r="X23" s="3" t="n">
        <v>519</v>
      </c>
      <c r="Z23" s="3" t="n">
        <v>0.44</v>
      </c>
      <c r="AA23" s="3" t="n">
        <v>9</v>
      </c>
      <c r="AB23" s="3" t="n">
        <v>2</v>
      </c>
      <c r="AC23" s="3" t="n">
        <v>2</v>
      </c>
      <c r="AD23" s="3" t="n">
        <v>1</v>
      </c>
      <c r="AE23" s="3" t="n">
        <v>1</v>
      </c>
      <c r="AF23" s="3" t="n">
        <v>2</v>
      </c>
      <c r="AG23" s="3" t="n">
        <v>2</v>
      </c>
      <c r="AH23" s="3" t="n">
        <v>1</v>
      </c>
      <c r="AI23" s="3" t="n">
        <v>1</v>
      </c>
      <c r="AJ23" s="3" t="n">
        <v>1</v>
      </c>
      <c r="AK23" s="3" t="n">
        <v>2</v>
      </c>
      <c r="AL23" s="3" t="n">
        <v>1</v>
      </c>
      <c r="AM23" s="3" t="n">
        <v>2</v>
      </c>
      <c r="AN23" s="3" t="n">
        <v>2</v>
      </c>
      <c r="AO23" s="3" t="n">
        <v>3</v>
      </c>
      <c r="AP23" s="3" t="n">
        <v>4</v>
      </c>
      <c r="AQ23" s="3" t="n">
        <v>4</v>
      </c>
      <c r="AR23" s="3" t="n">
        <v>6</v>
      </c>
      <c r="AS23" s="3" t="n">
        <v>4</v>
      </c>
      <c r="AT23" s="3" t="n">
        <v>4</v>
      </c>
      <c r="AU23" s="3" t="n">
        <v>6</v>
      </c>
      <c r="AV23" s="3" t="n">
        <v>6</v>
      </c>
      <c r="AW23" s="3" t="n">
        <v>3</v>
      </c>
      <c r="AX23" s="3" t="n">
        <v>3</v>
      </c>
      <c r="AY23" s="3" t="n">
        <v>4</v>
      </c>
      <c r="AZ23" s="5" t="n">
        <v>1</v>
      </c>
      <c r="BA23" s="3" t="n">
        <v>1</v>
      </c>
      <c r="BB23" s="3" t="n">
        <v>1</v>
      </c>
      <c r="BC23" s="3" t="n">
        <v>2</v>
      </c>
      <c r="BD23" s="3" t="n">
        <v>3</v>
      </c>
      <c r="BE23" s="3" t="n">
        <v>5</v>
      </c>
      <c r="BF23" s="3" t="n">
        <v>3</v>
      </c>
      <c r="BG23" s="3" t="n">
        <v>4</v>
      </c>
      <c r="BH23" s="3" t="n">
        <v>1</v>
      </c>
      <c r="BI23" s="3" t="n">
        <v>1</v>
      </c>
    </row>
    <row r="24" customFormat="false" ht="12.75" hidden="false" customHeight="false" outlineLevel="0" collapsed="false">
      <c r="A24" s="2" t="s">
        <v>171</v>
      </c>
      <c r="B24" s="2" t="s">
        <v>95</v>
      </c>
      <c r="C24" s="2" t="s">
        <v>382</v>
      </c>
      <c r="D24" s="2" t="n">
        <v>163785</v>
      </c>
      <c r="E24" s="15" t="n">
        <v>43402</v>
      </c>
      <c r="F24" s="15" t="n">
        <v>43409</v>
      </c>
      <c r="G24" s="3" t="n">
        <v>8</v>
      </c>
      <c r="H24" s="3" t="n">
        <v>2</v>
      </c>
      <c r="I24" s="3" t="n">
        <v>49</v>
      </c>
      <c r="J24" s="3" t="n">
        <v>1</v>
      </c>
      <c r="K24" s="3" t="n">
        <v>1</v>
      </c>
      <c r="L24" s="3" t="n">
        <v>1</v>
      </c>
      <c r="M24" s="3" t="n">
        <v>2</v>
      </c>
      <c r="N24" s="3" t="n">
        <v>2</v>
      </c>
      <c r="O24" s="3" t="n">
        <v>2</v>
      </c>
      <c r="P24" s="3" t="n">
        <v>2</v>
      </c>
      <c r="Q24" s="3" t="n">
        <v>2</v>
      </c>
      <c r="R24" s="3" t="n">
        <v>1</v>
      </c>
      <c r="S24" s="4" t="n">
        <v>2</v>
      </c>
      <c r="T24" s="3" t="n">
        <v>2</v>
      </c>
      <c r="U24" s="3" t="n">
        <v>4.56</v>
      </c>
      <c r="V24" s="3" t="n">
        <v>1.19</v>
      </c>
      <c r="W24" s="3" t="n">
        <v>6.2</v>
      </c>
      <c r="X24" s="3" t="n">
        <v>368</v>
      </c>
      <c r="Z24" s="3" t="n">
        <v>0.42</v>
      </c>
      <c r="AA24" s="3" t="n">
        <v>10.8</v>
      </c>
      <c r="AB24" s="3" t="n">
        <v>1</v>
      </c>
      <c r="AC24" s="3" t="n">
        <v>2</v>
      </c>
      <c r="AD24" s="3" t="n">
        <v>1</v>
      </c>
      <c r="AE24" s="3" t="n">
        <v>1</v>
      </c>
      <c r="AF24" s="3" t="n">
        <v>1</v>
      </c>
      <c r="AG24" s="3" t="n">
        <v>2</v>
      </c>
      <c r="AH24" s="3" t="n">
        <v>1</v>
      </c>
      <c r="AI24" s="3" t="n">
        <v>1</v>
      </c>
      <c r="AJ24" s="3" t="n">
        <v>2</v>
      </c>
      <c r="AK24" s="3" t="n">
        <v>2</v>
      </c>
      <c r="AL24" s="3" t="n">
        <v>2</v>
      </c>
      <c r="AM24" s="3" t="n">
        <v>2</v>
      </c>
      <c r="AN24" s="3" t="n">
        <v>2</v>
      </c>
      <c r="AO24" s="3" t="n">
        <v>3</v>
      </c>
      <c r="AP24" s="3" t="n">
        <v>4</v>
      </c>
      <c r="AQ24" s="3" t="n">
        <v>4</v>
      </c>
      <c r="AR24" s="3" t="n">
        <v>6</v>
      </c>
      <c r="AS24" s="3" t="n">
        <v>4</v>
      </c>
      <c r="AT24" s="3" t="n">
        <v>4</v>
      </c>
      <c r="AU24" s="3" t="n">
        <v>6</v>
      </c>
      <c r="AV24" s="3" t="n">
        <v>6</v>
      </c>
      <c r="AW24" s="3" t="n">
        <v>3</v>
      </c>
      <c r="AX24" s="3" t="n">
        <v>3</v>
      </c>
      <c r="AY24" s="3" t="n">
        <v>1</v>
      </c>
      <c r="AZ24" s="5" t="n">
        <v>1</v>
      </c>
      <c r="BA24" s="3" t="n">
        <v>1</v>
      </c>
      <c r="BB24" s="3" t="n">
        <v>1</v>
      </c>
      <c r="BC24" s="3" t="n">
        <v>5</v>
      </c>
      <c r="BD24" s="3" t="n">
        <v>1</v>
      </c>
      <c r="BE24" s="3" t="n">
        <v>2</v>
      </c>
      <c r="BF24" s="3" t="n">
        <v>1</v>
      </c>
      <c r="BG24" s="3" t="n">
        <v>4</v>
      </c>
      <c r="BH24" s="3" t="n">
        <v>1</v>
      </c>
      <c r="BI24" s="3" t="n">
        <v>1</v>
      </c>
    </row>
    <row r="25" customFormat="false" ht="12.75" hidden="false" customHeight="false" outlineLevel="0" collapsed="false">
      <c r="A25" s="2" t="s">
        <v>437</v>
      </c>
      <c r="B25" s="2" t="s">
        <v>438</v>
      </c>
      <c r="C25" s="2" t="s">
        <v>127</v>
      </c>
      <c r="D25" s="2" t="n">
        <v>164962</v>
      </c>
      <c r="E25" s="15" t="n">
        <v>43415</v>
      </c>
      <c r="F25" s="15" t="n">
        <v>43420</v>
      </c>
      <c r="G25" s="3" t="n">
        <v>5</v>
      </c>
      <c r="H25" s="3" t="n">
        <v>2</v>
      </c>
      <c r="I25" s="3" t="n">
        <v>56</v>
      </c>
      <c r="J25" s="3" t="n">
        <v>1</v>
      </c>
      <c r="K25" s="3" t="n">
        <v>2</v>
      </c>
      <c r="L25" s="3" t="n">
        <v>1</v>
      </c>
      <c r="M25" s="3" t="n">
        <v>2</v>
      </c>
      <c r="N25" s="3" t="n">
        <v>2</v>
      </c>
      <c r="O25" s="3" t="n">
        <v>2</v>
      </c>
      <c r="P25" s="3" t="n">
        <v>2</v>
      </c>
      <c r="Q25" s="3" t="n">
        <v>2</v>
      </c>
      <c r="R25" s="3" t="n">
        <v>2</v>
      </c>
      <c r="S25" s="4" t="n">
        <v>2</v>
      </c>
      <c r="T25" s="3" t="n">
        <v>1</v>
      </c>
      <c r="U25" s="3" t="n">
        <v>6.24</v>
      </c>
      <c r="V25" s="3" t="n">
        <v>1.44</v>
      </c>
      <c r="W25" s="3" t="n">
        <v>5.5</v>
      </c>
      <c r="X25" s="3" t="n">
        <v>284</v>
      </c>
      <c r="Z25" s="3" t="n">
        <v>0.42</v>
      </c>
      <c r="AA25" s="3" t="n">
        <v>8.7</v>
      </c>
      <c r="AB25" s="3" t="n">
        <v>1</v>
      </c>
      <c r="AC25" s="3" t="n">
        <v>2</v>
      </c>
      <c r="AD25" s="3" t="n">
        <v>1</v>
      </c>
      <c r="AE25" s="3" t="n">
        <v>1</v>
      </c>
      <c r="AF25" s="3" t="n">
        <v>2</v>
      </c>
      <c r="AG25" s="3" t="n">
        <v>2</v>
      </c>
      <c r="AH25" s="3" t="n">
        <v>1</v>
      </c>
      <c r="AI25" s="3" t="n">
        <v>2</v>
      </c>
      <c r="AJ25" s="3" t="n">
        <v>2</v>
      </c>
      <c r="AK25" s="3" t="n">
        <v>2</v>
      </c>
      <c r="AL25" s="3" t="n">
        <v>2</v>
      </c>
      <c r="AM25" s="3" t="n">
        <v>2</v>
      </c>
      <c r="AN25" s="3" t="n">
        <v>2</v>
      </c>
      <c r="AO25" s="3" t="n">
        <v>3</v>
      </c>
      <c r="AP25" s="3" t="n">
        <v>4</v>
      </c>
      <c r="AQ25" s="3" t="n">
        <v>4</v>
      </c>
      <c r="AR25" s="3" t="n">
        <v>6</v>
      </c>
      <c r="AS25" s="3" t="n">
        <v>4</v>
      </c>
      <c r="AT25" s="3" t="n">
        <v>4</v>
      </c>
      <c r="AU25" s="3" t="n">
        <v>6</v>
      </c>
      <c r="AV25" s="3" t="n">
        <v>6</v>
      </c>
      <c r="AW25" s="3" t="n">
        <v>3</v>
      </c>
      <c r="AX25" s="3" t="n">
        <v>3</v>
      </c>
      <c r="AY25" s="3" t="n">
        <v>1</v>
      </c>
      <c r="AZ25" s="5" t="n">
        <v>1</v>
      </c>
      <c r="BA25" s="3" t="n">
        <v>1</v>
      </c>
      <c r="BB25" s="3" t="n">
        <v>1</v>
      </c>
      <c r="BC25" s="3" t="n">
        <v>4</v>
      </c>
      <c r="BD25" s="3" t="n">
        <v>3</v>
      </c>
      <c r="BE25" s="3" t="n">
        <v>5</v>
      </c>
      <c r="BF25" s="3" t="n">
        <v>3</v>
      </c>
      <c r="BG25" s="3" t="n">
        <v>4</v>
      </c>
      <c r="BH25" s="3" t="n">
        <v>1</v>
      </c>
      <c r="BI25" s="3" t="n">
        <v>1</v>
      </c>
    </row>
    <row r="26" customFormat="false" ht="12.75" hidden="false" customHeight="false" outlineLevel="0" collapsed="false">
      <c r="A26" s="2" t="s">
        <v>445</v>
      </c>
      <c r="B26" s="2" t="s">
        <v>446</v>
      </c>
      <c r="C26" s="2" t="s">
        <v>447</v>
      </c>
      <c r="D26" s="2" t="n">
        <v>164978</v>
      </c>
      <c r="E26" s="15" t="n">
        <v>43416</v>
      </c>
      <c r="F26" s="15" t="n">
        <v>43423</v>
      </c>
      <c r="G26" s="3" t="n">
        <v>7</v>
      </c>
      <c r="H26" s="3" t="n">
        <v>1</v>
      </c>
      <c r="I26" s="3" t="n">
        <v>57</v>
      </c>
      <c r="J26" s="3" t="n">
        <v>1</v>
      </c>
      <c r="K26" s="3" t="n">
        <v>1</v>
      </c>
      <c r="L26" s="3" t="n">
        <v>2</v>
      </c>
      <c r="M26" s="3" t="n">
        <v>2</v>
      </c>
      <c r="N26" s="3" t="n">
        <v>1</v>
      </c>
      <c r="O26" s="3" t="n">
        <v>2</v>
      </c>
      <c r="P26" s="3" t="n">
        <v>2</v>
      </c>
      <c r="Q26" s="3" t="n">
        <v>2</v>
      </c>
      <c r="R26" s="3" t="n">
        <v>2</v>
      </c>
      <c r="S26" s="4" t="n">
        <v>2</v>
      </c>
      <c r="T26" s="3" t="n">
        <v>2</v>
      </c>
      <c r="U26" s="3" t="n">
        <v>8.45</v>
      </c>
      <c r="V26" s="3" t="n">
        <v>2.47</v>
      </c>
      <c r="W26" s="3" t="n">
        <v>5.5</v>
      </c>
      <c r="X26" s="3" t="n">
        <v>475</v>
      </c>
      <c r="Z26" s="3" t="n">
        <v>0.4</v>
      </c>
      <c r="AA26" s="3" t="n">
        <v>6.9</v>
      </c>
      <c r="AB26" s="3" t="n">
        <v>1</v>
      </c>
      <c r="AC26" s="3" t="n">
        <v>2</v>
      </c>
      <c r="AD26" s="3" t="n">
        <v>1</v>
      </c>
      <c r="AE26" s="3" t="n">
        <v>1</v>
      </c>
      <c r="AF26" s="3" t="n">
        <v>2</v>
      </c>
      <c r="AG26" s="3" t="n">
        <v>2</v>
      </c>
      <c r="AH26" s="3" t="n">
        <v>1</v>
      </c>
      <c r="AI26" s="3" t="n">
        <v>2</v>
      </c>
      <c r="AJ26" s="3" t="n">
        <v>2</v>
      </c>
      <c r="AK26" s="3" t="n">
        <v>2</v>
      </c>
      <c r="AL26" s="3" t="n">
        <v>2</v>
      </c>
      <c r="AM26" s="3" t="n">
        <v>2</v>
      </c>
      <c r="AN26" s="3" t="n">
        <v>2</v>
      </c>
      <c r="AO26" s="3" t="n">
        <v>3</v>
      </c>
      <c r="AP26" s="3" t="n">
        <v>4</v>
      </c>
      <c r="AQ26" s="3" t="n">
        <v>4</v>
      </c>
      <c r="AR26" s="3" t="n">
        <v>6</v>
      </c>
      <c r="AS26" s="3" t="n">
        <v>4</v>
      </c>
      <c r="AT26" s="3" t="n">
        <v>4</v>
      </c>
      <c r="AU26" s="3" t="n">
        <v>6</v>
      </c>
      <c r="AV26" s="3" t="n">
        <v>6</v>
      </c>
      <c r="AW26" s="3" t="n">
        <v>3</v>
      </c>
      <c r="AX26" s="3" t="n">
        <v>3</v>
      </c>
      <c r="AY26" s="3" t="n">
        <v>1</v>
      </c>
      <c r="AZ26" s="5" t="n">
        <v>1</v>
      </c>
      <c r="BA26" s="3" t="n">
        <v>1</v>
      </c>
      <c r="BB26" s="3" t="n">
        <v>1</v>
      </c>
      <c r="BC26" s="3" t="n">
        <v>4</v>
      </c>
      <c r="BD26" s="3" t="n">
        <v>1</v>
      </c>
      <c r="BE26" s="3" t="n">
        <v>2</v>
      </c>
      <c r="BF26" s="3" t="n">
        <v>1</v>
      </c>
      <c r="BG26" s="3" t="n">
        <v>4</v>
      </c>
      <c r="BH26" s="3" t="n">
        <v>1</v>
      </c>
      <c r="BI26" s="3" t="n">
        <v>1</v>
      </c>
    </row>
    <row r="27" customFormat="false" ht="12.75" hidden="false" customHeight="false" outlineLevel="0" collapsed="false">
      <c r="A27" s="2" t="s">
        <v>473</v>
      </c>
      <c r="B27" s="2" t="s">
        <v>293</v>
      </c>
      <c r="C27" s="2" t="s">
        <v>474</v>
      </c>
      <c r="D27" s="2" t="n">
        <v>165061</v>
      </c>
      <c r="E27" s="15" t="n">
        <v>43419</v>
      </c>
      <c r="F27" s="15" t="n">
        <v>43426</v>
      </c>
      <c r="G27" s="3" t="n">
        <v>7</v>
      </c>
      <c r="H27" s="3" t="n">
        <v>2</v>
      </c>
      <c r="I27" s="3" t="n">
        <v>51</v>
      </c>
      <c r="J27" s="3" t="n">
        <v>2</v>
      </c>
      <c r="K27" s="3" t="n">
        <v>1</v>
      </c>
      <c r="L27" s="3" t="n">
        <v>2</v>
      </c>
      <c r="M27" s="3" t="n">
        <v>2</v>
      </c>
      <c r="N27" s="3" t="n">
        <v>2</v>
      </c>
      <c r="O27" s="3" t="n">
        <v>2</v>
      </c>
      <c r="P27" s="3" t="n">
        <v>1</v>
      </c>
      <c r="Q27" s="3" t="n">
        <v>2</v>
      </c>
      <c r="R27" s="3" t="n">
        <v>2</v>
      </c>
      <c r="S27" s="4" t="n">
        <v>2</v>
      </c>
      <c r="T27" s="3" t="n">
        <v>2</v>
      </c>
      <c r="U27" s="3" t="n">
        <v>5.78</v>
      </c>
      <c r="V27" s="3" t="n">
        <v>0.54</v>
      </c>
      <c r="W27" s="3" t="n">
        <v>21.1</v>
      </c>
      <c r="X27" s="3" t="n">
        <v>334</v>
      </c>
      <c r="Z27" s="3" t="n">
        <v>0.33</v>
      </c>
      <c r="AA27" s="3" t="n">
        <v>9</v>
      </c>
      <c r="AB27" s="3" t="n">
        <v>1</v>
      </c>
      <c r="AC27" s="3" t="n">
        <v>2</v>
      </c>
      <c r="AD27" s="3" t="n">
        <v>1</v>
      </c>
      <c r="AE27" s="3" t="n">
        <v>1</v>
      </c>
      <c r="AF27" s="3" t="n">
        <v>2</v>
      </c>
      <c r="AG27" s="3" t="n">
        <v>2</v>
      </c>
      <c r="AH27" s="3" t="n">
        <v>1</v>
      </c>
      <c r="AI27" s="3" t="n">
        <v>2</v>
      </c>
      <c r="AJ27" s="3" t="n">
        <v>2</v>
      </c>
      <c r="AK27" s="3" t="n">
        <v>2</v>
      </c>
      <c r="AL27" s="3" t="n">
        <v>2</v>
      </c>
      <c r="AM27" s="3" t="n">
        <v>2</v>
      </c>
      <c r="AN27" s="3" t="n">
        <v>2</v>
      </c>
      <c r="AO27" s="3" t="n">
        <v>3</v>
      </c>
      <c r="AP27" s="3" t="n">
        <v>4</v>
      </c>
      <c r="AQ27" s="3" t="n">
        <v>4</v>
      </c>
      <c r="AR27" s="3" t="n">
        <v>6</v>
      </c>
      <c r="AS27" s="3" t="n">
        <v>4</v>
      </c>
      <c r="AT27" s="3" t="n">
        <v>4</v>
      </c>
      <c r="AU27" s="3" t="n">
        <v>6</v>
      </c>
      <c r="AV27" s="3" t="n">
        <v>6</v>
      </c>
      <c r="AW27" s="3" t="n">
        <v>3</v>
      </c>
      <c r="AX27" s="3" t="n">
        <v>3</v>
      </c>
      <c r="AY27" s="3" t="n">
        <v>7</v>
      </c>
      <c r="AZ27" s="5" t="n">
        <v>1</v>
      </c>
      <c r="BA27" s="3" t="n">
        <v>1</v>
      </c>
      <c r="BB27" s="3" t="n">
        <v>1</v>
      </c>
      <c r="BC27" s="3" t="n">
        <v>4</v>
      </c>
      <c r="BD27" s="3" t="n">
        <v>3</v>
      </c>
      <c r="BE27" s="3" t="n">
        <v>5</v>
      </c>
      <c r="BF27" s="3" t="n">
        <v>3</v>
      </c>
      <c r="BG27" s="3" t="n">
        <v>4</v>
      </c>
      <c r="BH27" s="3" t="n">
        <v>1</v>
      </c>
      <c r="BI27" s="3" t="n">
        <v>1</v>
      </c>
    </row>
    <row r="28" customFormat="false" ht="12.75" hidden="false" customHeight="false" outlineLevel="0" collapsed="false">
      <c r="A28" s="2" t="s">
        <v>180</v>
      </c>
      <c r="B28" s="2" t="s">
        <v>197</v>
      </c>
      <c r="C28" s="2" t="s">
        <v>386</v>
      </c>
      <c r="D28" s="2" t="n">
        <v>165062</v>
      </c>
      <c r="E28" s="15" t="n">
        <v>43419</v>
      </c>
      <c r="F28" s="15" t="n">
        <v>43426</v>
      </c>
      <c r="G28" s="3" t="n">
        <v>7</v>
      </c>
      <c r="H28" s="3" t="n">
        <v>2</v>
      </c>
      <c r="I28" s="3" t="n">
        <v>46</v>
      </c>
      <c r="J28" s="3" t="n">
        <v>1</v>
      </c>
      <c r="K28" s="3" t="n">
        <v>2</v>
      </c>
      <c r="L28" s="3" t="n">
        <v>2</v>
      </c>
      <c r="M28" s="3" t="n">
        <v>2</v>
      </c>
      <c r="N28" s="3" t="n">
        <v>2</v>
      </c>
      <c r="O28" s="3" t="n">
        <v>2</v>
      </c>
      <c r="P28" s="3" t="n">
        <v>2</v>
      </c>
      <c r="Q28" s="3" t="n">
        <v>2</v>
      </c>
      <c r="R28" s="3" t="n">
        <v>2</v>
      </c>
      <c r="S28" s="4" t="n">
        <v>2</v>
      </c>
      <c r="T28" s="3" t="n">
        <v>4</v>
      </c>
      <c r="U28" s="3" t="n">
        <v>4.76</v>
      </c>
      <c r="V28" s="3" t="n">
        <v>1.49</v>
      </c>
      <c r="W28" s="3" t="n">
        <v>5.7</v>
      </c>
      <c r="X28" s="3" t="n">
        <v>356</v>
      </c>
      <c r="Z28" s="3" t="n">
        <v>0.41</v>
      </c>
      <c r="AA28" s="3" t="n">
        <v>7</v>
      </c>
      <c r="AB28" s="3" t="n">
        <v>1</v>
      </c>
      <c r="AC28" s="3" t="n">
        <v>2</v>
      </c>
      <c r="AD28" s="3" t="n">
        <v>1</v>
      </c>
      <c r="AE28" s="3" t="n">
        <v>1</v>
      </c>
      <c r="AF28" s="3" t="n">
        <v>2</v>
      </c>
      <c r="AG28" s="3" t="n">
        <v>2</v>
      </c>
      <c r="AH28" s="3" t="n">
        <v>1</v>
      </c>
      <c r="AI28" s="3" t="n">
        <v>2</v>
      </c>
      <c r="AJ28" s="3" t="n">
        <v>2</v>
      </c>
      <c r="AK28" s="3" t="n">
        <v>2</v>
      </c>
      <c r="AL28" s="3" t="n">
        <v>2</v>
      </c>
      <c r="AM28" s="3" t="n">
        <v>2</v>
      </c>
      <c r="AN28" s="3" t="n">
        <v>2</v>
      </c>
      <c r="AO28" s="3" t="n">
        <v>2</v>
      </c>
      <c r="AP28" s="3" t="n">
        <v>3</v>
      </c>
      <c r="AQ28" s="3" t="n">
        <v>7</v>
      </c>
      <c r="AR28" s="3" t="n">
        <v>5</v>
      </c>
      <c r="AS28" s="3" t="n">
        <v>3</v>
      </c>
      <c r="AT28" s="3" t="n">
        <v>1</v>
      </c>
      <c r="AU28" s="3" t="n">
        <v>1</v>
      </c>
      <c r="AV28" s="3" t="n">
        <v>1</v>
      </c>
      <c r="AW28" s="3" t="n">
        <v>2</v>
      </c>
      <c r="AX28" s="3" t="n">
        <v>2</v>
      </c>
      <c r="AY28" s="3" t="n">
        <v>1</v>
      </c>
      <c r="AZ28" s="5" t="n">
        <v>1</v>
      </c>
      <c r="BA28" s="3" t="n">
        <v>1</v>
      </c>
      <c r="BB28" s="3" t="n">
        <v>1</v>
      </c>
      <c r="BC28" s="3" t="n">
        <v>4</v>
      </c>
      <c r="BD28" s="3" t="n">
        <v>1</v>
      </c>
      <c r="BE28" s="3" t="n">
        <v>2</v>
      </c>
      <c r="BF28" s="3" t="n">
        <v>1</v>
      </c>
      <c r="BG28" s="3" t="n">
        <v>4</v>
      </c>
      <c r="BH28" s="3" t="n">
        <v>1</v>
      </c>
      <c r="BI28" s="3" t="n">
        <v>1</v>
      </c>
    </row>
    <row r="29" customFormat="false" ht="12.75" hidden="false" customHeight="false" outlineLevel="0" collapsed="false">
      <c r="A29" s="2" t="s">
        <v>486</v>
      </c>
      <c r="B29" s="2" t="s">
        <v>127</v>
      </c>
      <c r="C29" s="2" t="s">
        <v>95</v>
      </c>
      <c r="D29" s="2" t="n">
        <v>165065</v>
      </c>
      <c r="E29" s="15" t="n">
        <v>43419</v>
      </c>
      <c r="F29" s="15" t="n">
        <v>43427</v>
      </c>
      <c r="G29" s="3" t="n">
        <v>8</v>
      </c>
      <c r="H29" s="3" t="n">
        <v>2</v>
      </c>
      <c r="I29" s="3" t="n">
        <v>74</v>
      </c>
      <c r="J29" s="3" t="n">
        <v>1</v>
      </c>
      <c r="K29" s="3" t="n">
        <v>2</v>
      </c>
      <c r="L29" s="3" t="n">
        <v>1</v>
      </c>
      <c r="M29" s="3" t="n">
        <v>1</v>
      </c>
      <c r="N29" s="3" t="n">
        <v>2</v>
      </c>
      <c r="O29" s="3" t="n">
        <v>2</v>
      </c>
      <c r="P29" s="3" t="n">
        <v>2</v>
      </c>
      <c r="Q29" s="3" t="n">
        <v>2</v>
      </c>
      <c r="R29" s="3" t="n">
        <v>2</v>
      </c>
      <c r="S29" s="4" t="n">
        <v>2</v>
      </c>
      <c r="T29" s="3" t="n">
        <v>2</v>
      </c>
      <c r="U29" s="3" t="n">
        <v>6.75</v>
      </c>
      <c r="V29" s="3" t="n">
        <v>0.77</v>
      </c>
      <c r="W29" s="3" t="n">
        <v>6.7</v>
      </c>
      <c r="X29" s="3" t="n">
        <v>255</v>
      </c>
      <c r="Z29" s="3" t="n">
        <v>0.36</v>
      </c>
      <c r="AA29" s="3" t="n">
        <v>9.2</v>
      </c>
      <c r="AB29" s="3" t="n">
        <v>2</v>
      </c>
      <c r="AC29" s="3" t="n">
        <v>2</v>
      </c>
      <c r="AD29" s="3" t="n">
        <v>1</v>
      </c>
      <c r="AE29" s="3" t="n">
        <v>1</v>
      </c>
      <c r="AF29" s="3" t="n">
        <v>2</v>
      </c>
      <c r="AG29" s="3" t="n">
        <v>2</v>
      </c>
      <c r="AH29" s="3" t="n">
        <v>1</v>
      </c>
      <c r="AI29" s="3" t="n">
        <v>2</v>
      </c>
      <c r="AJ29" s="3" t="n">
        <v>2</v>
      </c>
      <c r="AK29" s="3" t="n">
        <v>2</v>
      </c>
      <c r="AL29" s="3" t="n">
        <v>2</v>
      </c>
      <c r="AM29" s="3" t="n">
        <v>2</v>
      </c>
      <c r="AN29" s="3" t="n">
        <v>2</v>
      </c>
      <c r="AO29" s="3" t="n">
        <v>3</v>
      </c>
      <c r="AP29" s="3" t="n">
        <v>4</v>
      </c>
      <c r="AQ29" s="3" t="n">
        <v>4</v>
      </c>
      <c r="AR29" s="3" t="n">
        <v>6</v>
      </c>
      <c r="AS29" s="3" t="n">
        <v>4</v>
      </c>
      <c r="AT29" s="3" t="n">
        <v>4</v>
      </c>
      <c r="AU29" s="3" t="n">
        <v>6</v>
      </c>
      <c r="AV29" s="3" t="n">
        <v>6</v>
      </c>
      <c r="AW29" s="3" t="n">
        <v>3</v>
      </c>
      <c r="AX29" s="3" t="n">
        <v>3</v>
      </c>
      <c r="AY29" s="3" t="n">
        <v>1</v>
      </c>
      <c r="AZ29" s="5" t="n">
        <v>1</v>
      </c>
      <c r="BA29" s="3" t="n">
        <v>1</v>
      </c>
      <c r="BB29" s="3" t="n">
        <v>1</v>
      </c>
      <c r="BC29" s="3" t="n">
        <v>2</v>
      </c>
      <c r="BD29" s="3" t="n">
        <v>1</v>
      </c>
      <c r="BE29" s="3" t="n">
        <v>2</v>
      </c>
      <c r="BF29" s="3" t="n">
        <v>1</v>
      </c>
      <c r="BG29" s="3" t="n">
        <v>4</v>
      </c>
      <c r="BH29" s="3" t="n">
        <v>1</v>
      </c>
      <c r="BI29" s="3" t="n">
        <v>1</v>
      </c>
    </row>
    <row r="30" customFormat="false" ht="12.75" hidden="false" customHeight="false" outlineLevel="0" collapsed="false">
      <c r="A30" s="2" t="s">
        <v>274</v>
      </c>
      <c r="B30" s="2" t="s">
        <v>127</v>
      </c>
      <c r="C30" s="2" t="s">
        <v>500</v>
      </c>
      <c r="D30" s="2" t="n">
        <v>165231</v>
      </c>
      <c r="E30" s="15" t="n">
        <v>43423</v>
      </c>
      <c r="F30" s="15" t="n">
        <v>43430</v>
      </c>
      <c r="G30" s="3" t="n">
        <v>7</v>
      </c>
      <c r="H30" s="3" t="n">
        <v>2</v>
      </c>
      <c r="I30" s="3" t="n">
        <v>84</v>
      </c>
      <c r="J30" s="3" t="n">
        <v>2</v>
      </c>
      <c r="K30" s="3" t="n">
        <v>1</v>
      </c>
      <c r="L30" s="3" t="n">
        <v>1</v>
      </c>
      <c r="M30" s="3" t="n">
        <v>2</v>
      </c>
      <c r="N30" s="3" t="n">
        <v>2</v>
      </c>
      <c r="O30" s="3" t="n">
        <v>2</v>
      </c>
      <c r="P30" s="3" t="n">
        <v>2</v>
      </c>
      <c r="Q30" s="3" t="n">
        <v>2</v>
      </c>
      <c r="R30" s="3" t="n">
        <v>2</v>
      </c>
      <c r="S30" s="4" t="n">
        <v>2</v>
      </c>
      <c r="T30" s="3" t="n">
        <v>2</v>
      </c>
      <c r="U30" s="3" t="n">
        <v>8.14</v>
      </c>
      <c r="V30" s="3" t="n">
        <v>1.11</v>
      </c>
      <c r="W30" s="3" t="n">
        <v>6.8</v>
      </c>
      <c r="X30" s="3" t="n">
        <v>413</v>
      </c>
      <c r="Z30" s="3" t="n">
        <v>0.51</v>
      </c>
      <c r="AA30" s="3" t="n">
        <v>14.8</v>
      </c>
      <c r="AB30" s="3" t="n">
        <v>1</v>
      </c>
      <c r="AC30" s="3" t="n">
        <v>2</v>
      </c>
      <c r="AD30" s="3" t="n">
        <v>1</v>
      </c>
      <c r="AE30" s="3" t="n">
        <v>1</v>
      </c>
      <c r="AF30" s="3" t="n">
        <v>2</v>
      </c>
      <c r="AG30" s="3" t="n">
        <v>2</v>
      </c>
      <c r="AH30" s="3" t="n">
        <v>1</v>
      </c>
      <c r="AI30" s="3" t="n">
        <v>2</v>
      </c>
      <c r="AJ30" s="3" t="n">
        <v>2</v>
      </c>
      <c r="AK30" s="3" t="n">
        <v>2</v>
      </c>
      <c r="AL30" s="3" t="n">
        <v>2</v>
      </c>
      <c r="AM30" s="3" t="n">
        <v>2</v>
      </c>
      <c r="AN30" s="3" t="n">
        <v>2</v>
      </c>
      <c r="AO30" s="3" t="n">
        <v>3</v>
      </c>
      <c r="AP30" s="3" t="n">
        <v>4</v>
      </c>
      <c r="AQ30" s="3" t="n">
        <v>4</v>
      </c>
      <c r="AR30" s="3" t="n">
        <v>6</v>
      </c>
      <c r="AS30" s="3" t="n">
        <v>4</v>
      </c>
      <c r="AT30" s="3" t="n">
        <v>4</v>
      </c>
      <c r="AU30" s="3" t="n">
        <v>6</v>
      </c>
      <c r="AV30" s="3" t="n">
        <v>6</v>
      </c>
      <c r="AW30" s="3" t="n">
        <v>3</v>
      </c>
      <c r="AX30" s="3" t="n">
        <v>3</v>
      </c>
      <c r="AY30" s="3" t="n">
        <v>1</v>
      </c>
      <c r="AZ30" s="5" t="n">
        <v>1</v>
      </c>
      <c r="BA30" s="3" t="n">
        <v>1</v>
      </c>
      <c r="BB30" s="3" t="n">
        <v>1</v>
      </c>
      <c r="BC30" s="3" t="n">
        <v>4</v>
      </c>
      <c r="BD30" s="3" t="n">
        <v>1</v>
      </c>
      <c r="BE30" s="3" t="n">
        <v>2</v>
      </c>
      <c r="BF30" s="3" t="n">
        <v>1</v>
      </c>
      <c r="BG30" s="3" t="n">
        <v>4</v>
      </c>
      <c r="BH30" s="3" t="n">
        <v>1</v>
      </c>
      <c r="BI30" s="3" t="n">
        <v>1</v>
      </c>
    </row>
    <row r="31" customFormat="false" ht="12.75" hidden="false" customHeight="false" outlineLevel="0" collapsed="false">
      <c r="A31" s="2" t="s">
        <v>508</v>
      </c>
      <c r="B31" s="2" t="s">
        <v>509</v>
      </c>
      <c r="C31" s="2" t="s">
        <v>510</v>
      </c>
      <c r="D31" s="2" t="n">
        <v>165650</v>
      </c>
      <c r="E31" s="15" t="n">
        <v>43427</v>
      </c>
      <c r="F31" s="15" t="n">
        <v>43434</v>
      </c>
      <c r="G31" s="3" t="n">
        <v>7</v>
      </c>
      <c r="H31" s="3" t="n">
        <v>2</v>
      </c>
      <c r="I31" s="3" t="n">
        <v>59</v>
      </c>
      <c r="J31" s="3" t="n">
        <v>1</v>
      </c>
      <c r="K31" s="3" t="n">
        <v>1</v>
      </c>
      <c r="L31" s="3" t="n">
        <v>2</v>
      </c>
      <c r="M31" s="3" t="n">
        <v>2</v>
      </c>
      <c r="N31" s="3" t="n">
        <v>2</v>
      </c>
      <c r="O31" s="3" t="n">
        <v>2</v>
      </c>
      <c r="P31" s="3" t="n">
        <v>2</v>
      </c>
      <c r="Q31" s="3" t="n">
        <v>2</v>
      </c>
      <c r="R31" s="3" t="n">
        <v>2</v>
      </c>
      <c r="S31" s="4" t="n">
        <v>2</v>
      </c>
      <c r="T31" s="3" t="n">
        <v>2</v>
      </c>
      <c r="U31" s="3" t="n">
        <v>4.27</v>
      </c>
      <c r="V31" s="3" t="n">
        <v>0.35</v>
      </c>
      <c r="W31" s="3" t="n">
        <v>5.5</v>
      </c>
      <c r="X31" s="3" t="n">
        <v>351</v>
      </c>
      <c r="Z31" s="3" t="n">
        <v>0.39</v>
      </c>
      <c r="AA31" s="3" t="n">
        <v>8.2</v>
      </c>
      <c r="AB31" s="3" t="n">
        <v>1</v>
      </c>
      <c r="AC31" s="3" t="n">
        <v>2</v>
      </c>
      <c r="AD31" s="3" t="n">
        <v>1</v>
      </c>
      <c r="AE31" s="3" t="n">
        <v>1</v>
      </c>
      <c r="AF31" s="3" t="n">
        <v>2</v>
      </c>
      <c r="AG31" s="3" t="n">
        <v>2</v>
      </c>
      <c r="AH31" s="3" t="n">
        <v>1</v>
      </c>
      <c r="AI31" s="3" t="n">
        <v>2</v>
      </c>
      <c r="AJ31" s="3" t="n">
        <v>2</v>
      </c>
      <c r="AK31" s="3" t="n">
        <v>2</v>
      </c>
      <c r="AL31" s="3" t="n">
        <v>2</v>
      </c>
      <c r="AM31" s="3" t="n">
        <v>2</v>
      </c>
      <c r="AN31" s="3" t="n">
        <v>2</v>
      </c>
      <c r="AO31" s="3" t="n">
        <v>3</v>
      </c>
      <c r="AP31" s="3" t="n">
        <v>4</v>
      </c>
      <c r="AQ31" s="3" t="n">
        <v>4</v>
      </c>
      <c r="AR31" s="3" t="n">
        <v>6</v>
      </c>
      <c r="AS31" s="3" t="n">
        <v>4</v>
      </c>
      <c r="AT31" s="3" t="n">
        <v>4</v>
      </c>
      <c r="AU31" s="3" t="n">
        <v>6</v>
      </c>
      <c r="AV31" s="3" t="n">
        <v>6</v>
      </c>
      <c r="AW31" s="3" t="n">
        <v>3</v>
      </c>
      <c r="AX31" s="3" t="n">
        <v>3</v>
      </c>
      <c r="AY31" s="3" t="n">
        <v>1</v>
      </c>
      <c r="AZ31" s="5" t="n">
        <v>1</v>
      </c>
      <c r="BA31" s="3" t="n">
        <v>1</v>
      </c>
      <c r="BB31" s="3" t="n">
        <v>1</v>
      </c>
      <c r="BC31" s="3" t="n">
        <v>2</v>
      </c>
      <c r="BD31" s="3" t="n">
        <v>1</v>
      </c>
      <c r="BE31" s="3" t="n">
        <v>1</v>
      </c>
      <c r="BF31" s="3" t="n">
        <v>1</v>
      </c>
      <c r="BG31" s="3" t="n">
        <v>4</v>
      </c>
      <c r="BH31" s="3" t="n">
        <v>1</v>
      </c>
      <c r="BI31" s="3" t="n">
        <v>1</v>
      </c>
    </row>
    <row r="32" customFormat="false" ht="12.75" hidden="false" customHeight="false" outlineLevel="0" collapsed="false">
      <c r="A32" s="2" t="s">
        <v>583</v>
      </c>
      <c r="B32" s="2" t="s">
        <v>584</v>
      </c>
      <c r="C32" s="2" t="s">
        <v>94</v>
      </c>
      <c r="D32" s="2" t="n">
        <v>166752</v>
      </c>
      <c r="E32" s="15" t="n">
        <v>43439</v>
      </c>
      <c r="F32" s="15" t="n">
        <v>43446</v>
      </c>
      <c r="G32" s="3" t="n">
        <v>7</v>
      </c>
      <c r="H32" s="3" t="n">
        <v>1</v>
      </c>
      <c r="I32" s="3" t="n">
        <v>64</v>
      </c>
      <c r="J32" s="3" t="n">
        <v>1</v>
      </c>
      <c r="K32" s="3" t="n">
        <v>2</v>
      </c>
      <c r="L32" s="3" t="n">
        <v>1</v>
      </c>
      <c r="M32" s="3" t="n">
        <v>2</v>
      </c>
      <c r="N32" s="3" t="n">
        <v>2</v>
      </c>
      <c r="O32" s="3" t="n">
        <v>2</v>
      </c>
      <c r="P32" s="3" t="n">
        <v>2</v>
      </c>
      <c r="Q32" s="3" t="n">
        <v>2</v>
      </c>
      <c r="R32" s="3" t="n">
        <v>1</v>
      </c>
      <c r="S32" s="4" t="n">
        <v>2</v>
      </c>
      <c r="T32" s="3" t="n">
        <v>2</v>
      </c>
      <c r="U32" s="3"/>
      <c r="V32" s="3"/>
      <c r="W32" s="3"/>
      <c r="X32" s="3"/>
      <c r="Z32" s="3" t="n">
        <v>0.4</v>
      </c>
      <c r="AA32" s="3" t="n">
        <v>8</v>
      </c>
      <c r="AB32" s="3" t="n">
        <v>1</v>
      </c>
      <c r="AC32" s="3" t="n">
        <v>2</v>
      </c>
      <c r="AD32" s="3" t="n">
        <v>1</v>
      </c>
      <c r="AE32" s="3" t="n">
        <v>1</v>
      </c>
      <c r="AF32" s="3" t="n">
        <v>2</v>
      </c>
      <c r="AG32" s="3" t="n">
        <v>2</v>
      </c>
      <c r="AH32" s="3" t="n">
        <v>1</v>
      </c>
      <c r="AI32" s="3" t="n">
        <v>1</v>
      </c>
      <c r="AJ32" s="3" t="n">
        <v>2</v>
      </c>
      <c r="AK32" s="3" t="n">
        <v>2</v>
      </c>
      <c r="AL32" s="3" t="n">
        <v>1</v>
      </c>
      <c r="AM32" s="3" t="n">
        <v>2</v>
      </c>
      <c r="AN32" s="3" t="n">
        <v>2</v>
      </c>
      <c r="AO32" s="3" t="n">
        <v>3</v>
      </c>
      <c r="AP32" s="3" t="n">
        <v>4</v>
      </c>
      <c r="AQ32" s="3" t="n">
        <v>4</v>
      </c>
      <c r="AR32" s="3" t="n">
        <v>6</v>
      </c>
      <c r="AS32" s="3" t="n">
        <v>4</v>
      </c>
      <c r="AT32" s="3" t="n">
        <v>4</v>
      </c>
      <c r="AU32" s="3" t="n">
        <v>6</v>
      </c>
      <c r="AV32" s="3" t="n">
        <v>6</v>
      </c>
      <c r="AW32" s="3" t="n">
        <v>3</v>
      </c>
      <c r="AX32" s="3" t="n">
        <v>3</v>
      </c>
      <c r="AY32" s="3" t="n">
        <v>1</v>
      </c>
      <c r="AZ32" s="5" t="n">
        <v>1</v>
      </c>
      <c r="BA32" s="3" t="n">
        <v>1</v>
      </c>
      <c r="BB32" s="3" t="n">
        <v>1</v>
      </c>
      <c r="BC32" s="3" t="n">
        <v>4</v>
      </c>
      <c r="BD32" s="3" t="n">
        <v>1</v>
      </c>
      <c r="BE32" s="3" t="n">
        <v>2</v>
      </c>
      <c r="BF32" s="3" t="n">
        <v>1</v>
      </c>
      <c r="BG32" s="3" t="n">
        <v>4</v>
      </c>
      <c r="BH32" s="3" t="n">
        <v>1</v>
      </c>
      <c r="BI32" s="3" t="n">
        <v>1</v>
      </c>
    </row>
    <row r="33" customFormat="false" ht="12.75" hidden="false" customHeight="false" outlineLevel="0" collapsed="false">
      <c r="A33" s="2" t="s">
        <v>604</v>
      </c>
      <c r="B33" s="2" t="s">
        <v>210</v>
      </c>
      <c r="C33" s="2" t="s">
        <v>605</v>
      </c>
      <c r="D33" s="2" t="n">
        <v>166390</v>
      </c>
      <c r="E33" s="15" t="n">
        <v>43444</v>
      </c>
      <c r="F33" s="15" t="n">
        <v>43452</v>
      </c>
      <c r="G33" s="3" t="n">
        <v>8</v>
      </c>
      <c r="H33" s="3" t="n">
        <v>2</v>
      </c>
      <c r="I33" s="3" t="n">
        <v>58</v>
      </c>
      <c r="J33" s="3" t="n">
        <v>1</v>
      </c>
      <c r="K33" s="3" t="n">
        <v>2</v>
      </c>
      <c r="L33" s="3" t="n">
        <v>1</v>
      </c>
      <c r="M33" s="3" t="n">
        <v>2</v>
      </c>
      <c r="N33" s="3" t="n">
        <v>2</v>
      </c>
      <c r="O33" s="3" t="n">
        <v>2</v>
      </c>
      <c r="P33" s="3" t="n">
        <v>2</v>
      </c>
      <c r="Q33" s="3" t="n">
        <v>2</v>
      </c>
      <c r="R33" s="3" t="n">
        <v>1</v>
      </c>
      <c r="S33" s="4" t="n">
        <v>2</v>
      </c>
      <c r="T33" s="3" t="n">
        <v>1</v>
      </c>
      <c r="U33" s="3" t="n">
        <v>4.73</v>
      </c>
      <c r="V33" s="3" t="n">
        <v>1.32</v>
      </c>
      <c r="W33" s="3" t="n">
        <v>3.36</v>
      </c>
      <c r="X33" s="3" t="n">
        <v>175</v>
      </c>
      <c r="Z33" s="3" t="n">
        <v>0.32</v>
      </c>
      <c r="AA33" s="3" t="n">
        <v>7</v>
      </c>
      <c r="AB33" s="3" t="n">
        <v>1</v>
      </c>
      <c r="AC33" s="3" t="n">
        <v>2</v>
      </c>
      <c r="AD33" s="3" t="n">
        <v>1</v>
      </c>
      <c r="AE33" s="3" t="n">
        <v>1</v>
      </c>
      <c r="AF33" s="3" t="n">
        <v>2</v>
      </c>
      <c r="AG33" s="3" t="n">
        <v>2</v>
      </c>
      <c r="AH33" s="3" t="n">
        <v>2</v>
      </c>
      <c r="AI33" s="3" t="n">
        <v>1</v>
      </c>
      <c r="AJ33" s="3" t="n">
        <v>2</v>
      </c>
      <c r="AK33" s="3" t="n">
        <v>1</v>
      </c>
      <c r="AL33" s="3" t="n">
        <v>1</v>
      </c>
      <c r="AM33" s="3" t="n">
        <v>2</v>
      </c>
      <c r="AN33" s="3" t="n">
        <v>2</v>
      </c>
      <c r="AO33" s="3" t="n">
        <v>3</v>
      </c>
      <c r="AP33" s="3" t="n">
        <v>4</v>
      </c>
      <c r="AQ33" s="3" t="n">
        <v>4</v>
      </c>
      <c r="AR33" s="3" t="n">
        <v>6</v>
      </c>
      <c r="AS33" s="3" t="n">
        <v>4</v>
      </c>
      <c r="AT33" s="3" t="n">
        <v>4</v>
      </c>
      <c r="AU33" s="3" t="n">
        <v>6</v>
      </c>
      <c r="AV33" s="3" t="n">
        <v>6</v>
      </c>
      <c r="AW33" s="3" t="n">
        <v>3</v>
      </c>
      <c r="AX33" s="3" t="n">
        <v>3</v>
      </c>
      <c r="AY33" s="3" t="n">
        <v>1</v>
      </c>
      <c r="AZ33" s="5" t="n">
        <v>7</v>
      </c>
      <c r="BA33" s="3" t="n">
        <v>2</v>
      </c>
      <c r="BB33" s="3" t="n">
        <v>1</v>
      </c>
      <c r="BC33" s="3" t="n">
        <v>6</v>
      </c>
      <c r="BD33" s="3" t="n">
        <v>3</v>
      </c>
      <c r="BE33" s="3" t="n">
        <v>5</v>
      </c>
      <c r="BF33" s="3" t="n">
        <v>3</v>
      </c>
      <c r="BG33" s="3" t="n">
        <v>4</v>
      </c>
      <c r="BH33" s="3" t="n">
        <v>1</v>
      </c>
      <c r="BI33" s="3" t="n">
        <v>1</v>
      </c>
    </row>
    <row r="34" customFormat="false" ht="12.75" hidden="false" customHeight="false" outlineLevel="0" collapsed="false">
      <c r="A34" s="2" t="s">
        <v>556</v>
      </c>
      <c r="B34" s="2" t="s">
        <v>301</v>
      </c>
      <c r="C34" s="2" t="s">
        <v>95</v>
      </c>
      <c r="D34" s="2" t="n">
        <v>167273</v>
      </c>
      <c r="E34" s="15" t="n">
        <v>43447</v>
      </c>
      <c r="F34" s="15" t="n">
        <v>43454</v>
      </c>
      <c r="G34" s="3" t="n">
        <v>7</v>
      </c>
      <c r="H34" s="3" t="n">
        <v>2</v>
      </c>
      <c r="I34" s="3" t="n">
        <v>62</v>
      </c>
      <c r="J34" s="3" t="n">
        <v>2</v>
      </c>
      <c r="K34" s="3" t="n">
        <v>2</v>
      </c>
      <c r="L34" s="3" t="n">
        <v>1</v>
      </c>
      <c r="M34" s="3" t="n">
        <v>2</v>
      </c>
      <c r="N34" s="3" t="n">
        <v>2</v>
      </c>
      <c r="O34" s="3" t="n">
        <v>2</v>
      </c>
      <c r="P34" s="3" t="n">
        <v>2</v>
      </c>
      <c r="Q34" s="3" t="n">
        <v>2</v>
      </c>
      <c r="R34" s="3" t="n">
        <v>2</v>
      </c>
      <c r="S34" s="4" t="n">
        <v>2</v>
      </c>
      <c r="T34" s="3" t="n">
        <v>2</v>
      </c>
      <c r="U34" s="3" t="n">
        <v>4.09</v>
      </c>
      <c r="V34" s="3" t="n">
        <v>0.53</v>
      </c>
      <c r="W34" s="3" t="n">
        <v>8.8</v>
      </c>
      <c r="X34" s="3" t="n">
        <v>397</v>
      </c>
      <c r="Z34" s="3" t="n">
        <v>0.39</v>
      </c>
      <c r="AA34" s="3" t="n">
        <v>9.3</v>
      </c>
      <c r="AB34" s="3" t="n">
        <v>1</v>
      </c>
      <c r="AC34" s="3" t="n">
        <v>1</v>
      </c>
      <c r="AD34" s="3" t="n">
        <v>1</v>
      </c>
      <c r="AE34" s="3" t="n">
        <v>1</v>
      </c>
      <c r="AF34" s="3" t="n">
        <v>2</v>
      </c>
      <c r="AG34" s="3" t="n">
        <v>2</v>
      </c>
      <c r="AH34" s="3" t="n">
        <v>1</v>
      </c>
      <c r="AI34" s="3" t="n">
        <v>2</v>
      </c>
      <c r="AJ34" s="3" t="n">
        <v>2</v>
      </c>
      <c r="AK34" s="3" t="n">
        <v>2</v>
      </c>
      <c r="AL34" s="3" t="n">
        <v>2</v>
      </c>
      <c r="AM34" s="3" t="n">
        <v>2</v>
      </c>
      <c r="AN34" s="3" t="n">
        <v>2</v>
      </c>
      <c r="AO34" s="3" t="n">
        <v>3</v>
      </c>
      <c r="AP34" s="3" t="n">
        <v>4</v>
      </c>
      <c r="AQ34" s="3" t="n">
        <v>4</v>
      </c>
      <c r="AR34" s="3" t="n">
        <v>6</v>
      </c>
      <c r="AS34" s="3" t="n">
        <v>4</v>
      </c>
      <c r="AT34" s="3" t="n">
        <v>4</v>
      </c>
      <c r="AU34" s="3" t="n">
        <v>6</v>
      </c>
      <c r="AV34" s="3" t="n">
        <v>6</v>
      </c>
      <c r="AW34" s="3" t="n">
        <v>3</v>
      </c>
      <c r="AX34" s="3" t="n">
        <v>3</v>
      </c>
      <c r="AY34" s="3" t="n">
        <v>1</v>
      </c>
      <c r="AZ34" s="5" t="n">
        <v>1</v>
      </c>
      <c r="BA34" s="3" t="n">
        <v>1</v>
      </c>
      <c r="BB34" s="3" t="n">
        <v>1</v>
      </c>
      <c r="BC34" s="3" t="n">
        <v>2</v>
      </c>
      <c r="BD34" s="3" t="n">
        <v>1</v>
      </c>
      <c r="BE34" s="3" t="n">
        <v>2</v>
      </c>
      <c r="BF34" s="3" t="n">
        <v>2</v>
      </c>
      <c r="BG34" s="3" t="n">
        <v>4</v>
      </c>
      <c r="BH34" s="3" t="n">
        <v>1</v>
      </c>
      <c r="BI34" s="3" t="n">
        <v>1</v>
      </c>
    </row>
    <row r="35" customFormat="false" ht="12.75" hidden="false" customHeight="false" outlineLevel="0" collapsed="false">
      <c r="A35" s="2" t="s">
        <v>617</v>
      </c>
      <c r="B35" s="2" t="s">
        <v>618</v>
      </c>
      <c r="C35" s="2" t="s">
        <v>619</v>
      </c>
      <c r="D35" s="2" t="n">
        <v>167267</v>
      </c>
      <c r="E35" s="15" t="n">
        <v>43447</v>
      </c>
      <c r="F35" s="15" t="n">
        <v>43454</v>
      </c>
      <c r="G35" s="3" t="n">
        <v>7</v>
      </c>
      <c r="H35" s="3" t="n">
        <v>2</v>
      </c>
      <c r="I35" s="3" t="n">
        <v>53</v>
      </c>
      <c r="J35" s="3" t="n">
        <v>2</v>
      </c>
      <c r="K35" s="3" t="n">
        <v>1</v>
      </c>
      <c r="L35" s="3" t="n">
        <v>2</v>
      </c>
      <c r="M35" s="3" t="n">
        <v>2</v>
      </c>
      <c r="N35" s="3" t="n">
        <v>2</v>
      </c>
      <c r="O35" s="3" t="n">
        <v>2</v>
      </c>
      <c r="P35" s="3" t="n">
        <v>2</v>
      </c>
      <c r="Q35" s="3" t="n">
        <v>2</v>
      </c>
      <c r="R35" s="3" t="n">
        <v>2</v>
      </c>
      <c r="S35" s="4" t="n">
        <v>2</v>
      </c>
      <c r="T35" s="3" t="n">
        <v>2</v>
      </c>
      <c r="U35" s="3" t="n">
        <v>5.35</v>
      </c>
      <c r="V35" s="3" t="n">
        <v>2.12</v>
      </c>
      <c r="W35" s="3" t="n">
        <v>6.9</v>
      </c>
      <c r="X35" s="3" t="n">
        <v>326</v>
      </c>
      <c r="Z35" s="3" t="n">
        <v>0.46</v>
      </c>
      <c r="AA35" s="3" t="n">
        <v>12</v>
      </c>
      <c r="AB35" s="3" t="n">
        <v>2</v>
      </c>
      <c r="AC35" s="3" t="n">
        <v>2</v>
      </c>
      <c r="AD35" s="3" t="n">
        <v>1</v>
      </c>
      <c r="AE35" s="3" t="n">
        <v>1</v>
      </c>
      <c r="AF35" s="3" t="n">
        <v>2</v>
      </c>
      <c r="AG35" s="3" t="n">
        <v>2</v>
      </c>
      <c r="AH35" s="3" t="n">
        <v>1</v>
      </c>
      <c r="AI35" s="3" t="n">
        <v>2</v>
      </c>
      <c r="AJ35" s="3" t="n">
        <v>2</v>
      </c>
      <c r="AK35" s="3" t="n">
        <v>2</v>
      </c>
      <c r="AL35" s="3" t="n">
        <v>2</v>
      </c>
      <c r="AM35" s="3" t="n">
        <v>2</v>
      </c>
      <c r="AN35" s="3" t="n">
        <v>2</v>
      </c>
      <c r="AO35" s="3" t="n">
        <v>3</v>
      </c>
      <c r="AP35" s="3" t="n">
        <v>4</v>
      </c>
      <c r="AQ35" s="3" t="n">
        <v>4</v>
      </c>
      <c r="AR35" s="3" t="n">
        <v>6</v>
      </c>
      <c r="AS35" s="3" t="n">
        <v>4</v>
      </c>
      <c r="AT35" s="3" t="n">
        <v>4</v>
      </c>
      <c r="AU35" s="3" t="n">
        <v>6</v>
      </c>
      <c r="AV35" s="3" t="n">
        <v>6</v>
      </c>
      <c r="AW35" s="3" t="n">
        <v>3</v>
      </c>
      <c r="AX35" s="3" t="n">
        <v>3</v>
      </c>
      <c r="AY35" s="3" t="n">
        <v>1</v>
      </c>
      <c r="AZ35" s="5" t="n">
        <v>1</v>
      </c>
      <c r="BA35" s="3" t="n">
        <v>1</v>
      </c>
      <c r="BB35" s="3" t="n">
        <v>1</v>
      </c>
      <c r="BC35" s="3" t="n">
        <v>2</v>
      </c>
      <c r="BD35" s="3" t="n">
        <v>1</v>
      </c>
      <c r="BE35" s="3" t="n">
        <v>2</v>
      </c>
      <c r="BF35" s="3" t="n">
        <v>1</v>
      </c>
      <c r="BG35" s="3" t="n">
        <v>4</v>
      </c>
      <c r="BH35" s="3" t="n">
        <v>1</v>
      </c>
      <c r="BI35" s="3" t="n">
        <v>1</v>
      </c>
    </row>
    <row r="36" customFormat="false" ht="12.75" hidden="false" customHeight="false" outlineLevel="0" collapsed="false">
      <c r="A36" s="2" t="s">
        <v>660</v>
      </c>
      <c r="B36" s="2" t="s">
        <v>661</v>
      </c>
      <c r="C36" s="2" t="s">
        <v>662</v>
      </c>
      <c r="D36" s="2" t="n">
        <v>168070</v>
      </c>
      <c r="E36" s="15" t="n">
        <v>43460</v>
      </c>
      <c r="F36" s="15" t="n">
        <v>43466</v>
      </c>
      <c r="G36" s="3" t="n">
        <v>6</v>
      </c>
      <c r="H36" s="3" t="n">
        <v>2</v>
      </c>
      <c r="I36" s="3" t="n">
        <v>69</v>
      </c>
      <c r="J36" s="3" t="n">
        <v>2</v>
      </c>
      <c r="K36" s="3" t="n">
        <v>2</v>
      </c>
      <c r="L36" s="3" t="n">
        <v>2</v>
      </c>
      <c r="M36" s="3" t="n">
        <v>2</v>
      </c>
      <c r="N36" s="3" t="n">
        <v>2</v>
      </c>
      <c r="O36" s="3" t="n">
        <v>2</v>
      </c>
      <c r="P36" s="3" t="n">
        <v>2</v>
      </c>
      <c r="Q36" s="3" t="n">
        <v>2</v>
      </c>
      <c r="R36" s="3" t="n">
        <v>2</v>
      </c>
      <c r="S36" s="4" t="n">
        <v>2</v>
      </c>
      <c r="T36" s="3" t="n">
        <v>2</v>
      </c>
      <c r="U36" s="3" t="n">
        <v>2.61</v>
      </c>
      <c r="V36" s="3" t="n">
        <v>0.31</v>
      </c>
      <c r="W36" s="3" t="n">
        <v>7.1</v>
      </c>
      <c r="X36" s="3" t="n">
        <v>394</v>
      </c>
      <c r="Z36" s="3" t="n">
        <v>0.35</v>
      </c>
      <c r="AA36" s="3" t="n">
        <v>7.5</v>
      </c>
      <c r="AB36" s="3" t="n">
        <v>1</v>
      </c>
      <c r="AC36" s="3" t="n">
        <v>2</v>
      </c>
      <c r="AD36" s="3" t="n">
        <v>1</v>
      </c>
      <c r="AE36" s="3" t="n">
        <v>1</v>
      </c>
      <c r="AF36" s="3" t="n">
        <v>2</v>
      </c>
      <c r="AG36" s="3" t="n">
        <v>2</v>
      </c>
      <c r="AH36" s="3" t="n">
        <v>1</v>
      </c>
      <c r="AI36" s="3" t="n">
        <v>2</v>
      </c>
      <c r="AJ36" s="3" t="n">
        <v>2</v>
      </c>
      <c r="AK36" s="3" t="n">
        <v>2</v>
      </c>
      <c r="AL36" s="3" t="n">
        <v>2</v>
      </c>
      <c r="AM36" s="3" t="n">
        <v>2</v>
      </c>
      <c r="AN36" s="3" t="n">
        <v>2</v>
      </c>
      <c r="AO36" s="3" t="n">
        <v>3</v>
      </c>
      <c r="AP36" s="3" t="n">
        <v>4</v>
      </c>
      <c r="AQ36" s="3" t="n">
        <v>4</v>
      </c>
      <c r="AR36" s="3" t="n">
        <v>6</v>
      </c>
      <c r="AS36" s="3" t="n">
        <v>4</v>
      </c>
      <c r="AT36" s="3" t="n">
        <v>4</v>
      </c>
      <c r="AU36" s="3" t="n">
        <v>6</v>
      </c>
      <c r="AV36" s="3" t="n">
        <v>6</v>
      </c>
      <c r="AW36" s="3" t="n">
        <v>3</v>
      </c>
      <c r="AX36" s="3" t="n">
        <v>3</v>
      </c>
      <c r="AY36" s="3" t="n">
        <v>1</v>
      </c>
      <c r="AZ36" s="5" t="n">
        <v>1</v>
      </c>
      <c r="BA36" s="3" t="n">
        <v>1</v>
      </c>
      <c r="BB36" s="3" t="n">
        <v>1</v>
      </c>
      <c r="BC36" s="3" t="n">
        <v>2</v>
      </c>
      <c r="BD36" s="3" t="n">
        <v>1</v>
      </c>
      <c r="BE36" s="3" t="n">
        <v>2</v>
      </c>
      <c r="BF36" s="3" t="n">
        <v>1</v>
      </c>
      <c r="BG36" s="3" t="n">
        <v>4</v>
      </c>
      <c r="BH36" s="3" t="n">
        <v>1</v>
      </c>
      <c r="BI36" s="3" t="n">
        <v>1</v>
      </c>
    </row>
    <row r="37" customFormat="false" ht="12.75" hidden="false" customHeight="false" outlineLevel="0" collapsed="false">
      <c r="A37" s="2" t="s">
        <v>667</v>
      </c>
      <c r="B37" s="2" t="s">
        <v>668</v>
      </c>
      <c r="C37" s="2" t="s">
        <v>118</v>
      </c>
      <c r="D37" s="2" t="n">
        <v>168063</v>
      </c>
      <c r="E37" s="15" t="n">
        <v>43460</v>
      </c>
      <c r="F37" s="15" t="n">
        <v>43467</v>
      </c>
      <c r="G37" s="3" t="n">
        <v>7</v>
      </c>
      <c r="H37" s="3" t="n">
        <v>1</v>
      </c>
      <c r="I37" s="3" t="n">
        <v>62</v>
      </c>
      <c r="J37" s="3" t="n">
        <v>1</v>
      </c>
      <c r="K37" s="3" t="n">
        <v>1</v>
      </c>
      <c r="L37" s="3" t="n">
        <v>1</v>
      </c>
      <c r="M37" s="3" t="n">
        <v>2</v>
      </c>
      <c r="N37" s="3" t="n">
        <v>2</v>
      </c>
      <c r="O37" s="3" t="n">
        <v>2</v>
      </c>
      <c r="P37" s="3" t="n">
        <v>2</v>
      </c>
      <c r="Q37" s="3" t="n">
        <v>2</v>
      </c>
      <c r="R37" s="3" t="n">
        <v>2</v>
      </c>
      <c r="S37" s="4" t="n">
        <v>2</v>
      </c>
      <c r="T37" s="3" t="n">
        <v>2</v>
      </c>
      <c r="U37" s="3" t="n">
        <v>3.18</v>
      </c>
      <c r="V37" s="3" t="n">
        <v>1.06</v>
      </c>
      <c r="W37" s="3" t="n">
        <v>4.4</v>
      </c>
      <c r="X37" s="3" t="n">
        <v>119</v>
      </c>
      <c r="Z37" s="3" t="n">
        <v>0.28</v>
      </c>
      <c r="AA37" s="3" t="n">
        <v>11</v>
      </c>
      <c r="AB37" s="3"/>
      <c r="AC37" s="3" t="n">
        <v>2</v>
      </c>
      <c r="AD37" s="3" t="n">
        <v>1</v>
      </c>
      <c r="AE37" s="3" t="n">
        <v>2</v>
      </c>
      <c r="AF37" s="3" t="n">
        <v>2</v>
      </c>
      <c r="AG37" s="3" t="n">
        <v>1</v>
      </c>
      <c r="AH37" s="3" t="n">
        <v>1</v>
      </c>
      <c r="AI37" s="3" t="n">
        <v>2</v>
      </c>
      <c r="AJ37" s="3" t="n">
        <v>2</v>
      </c>
      <c r="AK37" s="3" t="n">
        <v>2</v>
      </c>
      <c r="AL37" s="3" t="n">
        <v>2</v>
      </c>
      <c r="AM37" s="3" t="n">
        <v>2</v>
      </c>
      <c r="AN37" s="3" t="n">
        <v>2</v>
      </c>
      <c r="AO37" s="3" t="n">
        <v>3</v>
      </c>
      <c r="AP37" s="3" t="n">
        <v>4</v>
      </c>
      <c r="AQ37" s="3" t="n">
        <v>4</v>
      </c>
      <c r="AR37" s="3" t="n">
        <v>6</v>
      </c>
      <c r="AS37" s="3" t="n">
        <v>4</v>
      </c>
      <c r="AT37" s="3" t="n">
        <v>4</v>
      </c>
      <c r="AU37" s="3" t="n">
        <v>6</v>
      </c>
      <c r="AV37" s="3" t="n">
        <v>6</v>
      </c>
      <c r="AW37" s="3" t="n">
        <v>3</v>
      </c>
      <c r="AX37" s="3" t="n">
        <v>3</v>
      </c>
      <c r="AY37" s="3" t="n">
        <v>1</v>
      </c>
      <c r="AZ37" s="5" t="n">
        <v>1</v>
      </c>
      <c r="BA37" s="3" t="n">
        <v>1</v>
      </c>
      <c r="BB37" s="3" t="n">
        <v>1</v>
      </c>
      <c r="BC37" s="3" t="n">
        <v>4</v>
      </c>
      <c r="BD37" s="3" t="n">
        <v>3</v>
      </c>
      <c r="BE37" s="3" t="n">
        <v>5</v>
      </c>
      <c r="BF37" s="3" t="n">
        <v>3</v>
      </c>
      <c r="BG37" s="3" t="n">
        <v>2</v>
      </c>
      <c r="BH37" s="3" t="n">
        <v>1</v>
      </c>
      <c r="BI37" s="3" t="n">
        <v>1</v>
      </c>
    </row>
    <row r="38" customFormat="false" ht="12.75" hidden="false" customHeight="false" outlineLevel="0" collapsed="false">
      <c r="A38" s="2" t="s">
        <v>677</v>
      </c>
      <c r="B38" s="2" t="s">
        <v>260</v>
      </c>
      <c r="C38" s="2" t="s">
        <v>678</v>
      </c>
      <c r="D38" s="2" t="n">
        <v>167925</v>
      </c>
      <c r="E38" s="15" t="n">
        <v>43462</v>
      </c>
      <c r="F38" s="15" t="n">
        <v>43469</v>
      </c>
      <c r="G38" s="3" t="n">
        <v>7</v>
      </c>
      <c r="H38" s="3" t="n">
        <v>2</v>
      </c>
      <c r="I38" s="3" t="n">
        <v>62</v>
      </c>
      <c r="J38" s="3" t="n">
        <v>2</v>
      </c>
      <c r="K38" s="3" t="n">
        <v>1</v>
      </c>
      <c r="L38" s="3" t="n">
        <v>1</v>
      </c>
      <c r="M38" s="3" t="n">
        <v>2</v>
      </c>
      <c r="N38" s="3" t="n">
        <v>2</v>
      </c>
      <c r="O38" s="3" t="n">
        <v>2</v>
      </c>
      <c r="P38" s="3" t="n">
        <v>2</v>
      </c>
      <c r="Q38" s="3" t="n">
        <v>2</v>
      </c>
      <c r="R38" s="3" t="n">
        <v>2</v>
      </c>
      <c r="S38" s="4" t="n">
        <v>2</v>
      </c>
      <c r="T38" s="3" t="n">
        <v>2</v>
      </c>
      <c r="U38" s="3" t="n">
        <v>5.21</v>
      </c>
      <c r="V38" s="3" t="n">
        <v>0.67</v>
      </c>
      <c r="W38" s="3" t="n">
        <v>3.8</v>
      </c>
      <c r="X38" s="3" t="n">
        <v>300</v>
      </c>
      <c r="Z38" s="3" t="n">
        <v>0.43</v>
      </c>
      <c r="AA38" s="3" t="n">
        <v>4.2</v>
      </c>
      <c r="AB38" s="3" t="n">
        <v>1</v>
      </c>
      <c r="AC38" s="3" t="n">
        <v>1</v>
      </c>
      <c r="AD38" s="3" t="n">
        <v>1</v>
      </c>
      <c r="AE38" s="3" t="n">
        <v>1</v>
      </c>
      <c r="AF38" s="3" t="n">
        <v>2</v>
      </c>
      <c r="AG38" s="3" t="n">
        <v>2</v>
      </c>
      <c r="AH38" s="3" t="n">
        <v>1</v>
      </c>
      <c r="AI38" s="3" t="n">
        <v>2</v>
      </c>
      <c r="AJ38" s="3" t="n">
        <v>2</v>
      </c>
      <c r="AK38" s="3" t="n">
        <v>2</v>
      </c>
      <c r="AL38" s="3" t="n">
        <v>2</v>
      </c>
      <c r="AM38" s="3" t="n">
        <v>2</v>
      </c>
      <c r="AN38" s="3" t="n">
        <v>2</v>
      </c>
      <c r="AO38" s="3" t="n">
        <v>3</v>
      </c>
      <c r="AP38" s="3" t="n">
        <v>4</v>
      </c>
      <c r="AQ38" s="3" t="n">
        <v>4</v>
      </c>
      <c r="AR38" s="3" t="n">
        <v>6</v>
      </c>
      <c r="AS38" s="3" t="n">
        <v>4</v>
      </c>
      <c r="AT38" s="3" t="n">
        <v>4</v>
      </c>
      <c r="AU38" s="3" t="n">
        <v>6</v>
      </c>
      <c r="AV38" s="3" t="n">
        <v>6</v>
      </c>
      <c r="AW38" s="3" t="n">
        <v>3</v>
      </c>
      <c r="AX38" s="3" t="n">
        <v>3</v>
      </c>
      <c r="AY38" s="3" t="n">
        <v>1</v>
      </c>
      <c r="AZ38" s="5" t="n">
        <v>5</v>
      </c>
      <c r="BA38" s="3" t="n">
        <v>2</v>
      </c>
      <c r="BB38" s="3" t="n">
        <v>1</v>
      </c>
      <c r="BC38" s="3" t="n">
        <v>6</v>
      </c>
      <c r="BD38" s="3" t="n">
        <v>3</v>
      </c>
      <c r="BE38" s="3" t="n">
        <v>5</v>
      </c>
      <c r="BF38" s="3" t="n">
        <v>3</v>
      </c>
      <c r="BG38" s="3" t="n">
        <v>4</v>
      </c>
      <c r="BH38" s="3" t="n">
        <v>1</v>
      </c>
      <c r="BI38" s="3" t="n">
        <v>1</v>
      </c>
    </row>
    <row r="39" customFormat="false" ht="12.75" hidden="false" customHeight="false" outlineLevel="0" collapsed="false">
      <c r="A39" s="2" t="s">
        <v>706</v>
      </c>
      <c r="B39" s="2" t="s">
        <v>127</v>
      </c>
      <c r="C39" s="2" t="s">
        <v>707</v>
      </c>
      <c r="D39" s="2" t="n">
        <v>168231</v>
      </c>
      <c r="E39" s="15" t="n">
        <v>43468</v>
      </c>
      <c r="F39" s="15" t="n">
        <v>43476</v>
      </c>
      <c r="G39" s="3" t="n">
        <v>8</v>
      </c>
      <c r="H39" s="3" t="n">
        <v>2</v>
      </c>
      <c r="I39" s="3" t="n">
        <v>53</v>
      </c>
      <c r="J39" s="3" t="n">
        <v>1</v>
      </c>
      <c r="K39" s="3" t="n">
        <v>1</v>
      </c>
      <c r="L39" s="3" t="n">
        <v>1</v>
      </c>
      <c r="M39" s="3" t="n">
        <v>2</v>
      </c>
      <c r="N39" s="3" t="n">
        <v>2</v>
      </c>
      <c r="O39" s="3" t="n">
        <v>2</v>
      </c>
      <c r="P39" s="3" t="n">
        <v>2</v>
      </c>
      <c r="Q39" s="3" t="n">
        <v>2</v>
      </c>
      <c r="R39" s="3" t="n">
        <v>1</v>
      </c>
      <c r="S39" s="4" t="n">
        <v>2</v>
      </c>
      <c r="T39" s="3" t="n">
        <v>2</v>
      </c>
      <c r="U39" s="3" t="n">
        <v>4.21</v>
      </c>
      <c r="V39" s="3" t="n">
        <v>2.88</v>
      </c>
      <c r="W39" s="3" t="s">
        <v>708</v>
      </c>
      <c r="X39" s="3" t="n">
        <v>758</v>
      </c>
      <c r="Z39" s="3" t="n">
        <v>0.48</v>
      </c>
      <c r="AA39" s="3" t="n">
        <v>12.3</v>
      </c>
      <c r="AB39" s="3" t="n">
        <v>2</v>
      </c>
      <c r="AC39" s="3" t="n">
        <v>2</v>
      </c>
      <c r="AD39" s="3" t="n">
        <v>1</v>
      </c>
      <c r="AE39" s="3" t="n">
        <v>1</v>
      </c>
      <c r="AF39" s="3" t="n">
        <v>2</v>
      </c>
      <c r="AG39" s="3" t="n">
        <v>2</v>
      </c>
      <c r="AH39" s="3" t="n">
        <v>1</v>
      </c>
      <c r="AI39" s="3" t="n">
        <v>1</v>
      </c>
      <c r="AJ39" s="3" t="n">
        <v>2</v>
      </c>
      <c r="AK39" s="3" t="n">
        <v>2</v>
      </c>
      <c r="AL39" s="3" t="n">
        <v>1</v>
      </c>
      <c r="AM39" s="3" t="n">
        <v>2</v>
      </c>
      <c r="AN39" s="3" t="n">
        <v>2</v>
      </c>
      <c r="AO39" s="3" t="n">
        <v>3</v>
      </c>
      <c r="AP39" s="3" t="n">
        <v>4</v>
      </c>
      <c r="AQ39" s="3" t="n">
        <v>4</v>
      </c>
      <c r="AR39" s="3" t="n">
        <v>6</v>
      </c>
      <c r="AS39" s="3" t="n">
        <v>4</v>
      </c>
      <c r="AT39" s="3" t="n">
        <v>4</v>
      </c>
      <c r="AU39" s="3" t="n">
        <v>6</v>
      </c>
      <c r="AV39" s="3" t="n">
        <v>6</v>
      </c>
      <c r="AW39" s="3" t="n">
        <v>3</v>
      </c>
      <c r="AX39" s="3" t="n">
        <v>3</v>
      </c>
      <c r="AY39" s="3" t="n">
        <v>4</v>
      </c>
      <c r="AZ39" s="5" t="n">
        <v>1</v>
      </c>
      <c r="BA39" s="3" t="n">
        <v>1</v>
      </c>
      <c r="BB39" s="3" t="n">
        <v>1</v>
      </c>
      <c r="BC39" s="3" t="n">
        <v>2</v>
      </c>
      <c r="BD39" s="3" t="n">
        <v>1</v>
      </c>
      <c r="BE39" s="3" t="n">
        <v>2</v>
      </c>
      <c r="BF39" s="3" t="n">
        <v>1</v>
      </c>
      <c r="BG39" s="3" t="n">
        <v>4</v>
      </c>
      <c r="BH39" s="3" t="n">
        <v>1</v>
      </c>
      <c r="BI39" s="3" t="n">
        <v>1</v>
      </c>
    </row>
    <row r="40" customFormat="false" ht="12.75" hidden="false" customHeight="false" outlineLevel="0" collapsed="false">
      <c r="A40" s="2" t="s">
        <v>734</v>
      </c>
      <c r="B40" s="2" t="s">
        <v>194</v>
      </c>
      <c r="C40" s="2" t="s">
        <v>735</v>
      </c>
      <c r="D40" s="2" t="n">
        <v>168619</v>
      </c>
      <c r="E40" s="15" t="n">
        <v>43477</v>
      </c>
      <c r="F40" s="15" t="n">
        <v>43483</v>
      </c>
      <c r="G40" s="3" t="n">
        <v>6</v>
      </c>
      <c r="H40" s="3" t="n">
        <v>2</v>
      </c>
      <c r="I40" s="3" t="n">
        <v>67</v>
      </c>
      <c r="J40" s="3" t="n">
        <v>1</v>
      </c>
      <c r="K40" s="3" t="n">
        <v>1</v>
      </c>
      <c r="L40" s="3" t="n">
        <v>1</v>
      </c>
      <c r="M40" s="3" t="n">
        <v>2</v>
      </c>
      <c r="N40" s="3" t="n">
        <v>2</v>
      </c>
      <c r="O40" s="3" t="n">
        <v>2</v>
      </c>
      <c r="P40" s="3" t="n">
        <v>2</v>
      </c>
      <c r="Q40" s="3" t="n">
        <v>2</v>
      </c>
      <c r="R40" s="3" t="n">
        <v>2</v>
      </c>
      <c r="S40" s="4" t="n">
        <v>2</v>
      </c>
      <c r="T40" s="3" t="n">
        <v>2</v>
      </c>
      <c r="U40" s="3" t="n">
        <v>4.01</v>
      </c>
      <c r="V40" s="3" t="n">
        <v>0.27</v>
      </c>
      <c r="W40" s="3" t="n">
        <v>4.8</v>
      </c>
      <c r="X40" s="3" t="n">
        <v>289</v>
      </c>
      <c r="Z40" s="3" t="n">
        <v>0.46</v>
      </c>
      <c r="AA40" s="3" t="n">
        <v>9.8</v>
      </c>
      <c r="AB40" s="3" t="n">
        <v>1</v>
      </c>
      <c r="AC40" s="3" t="n">
        <v>1</v>
      </c>
      <c r="AD40" s="3" t="n">
        <v>1</v>
      </c>
      <c r="AE40" s="3" t="n">
        <v>1</v>
      </c>
      <c r="AF40" s="3" t="n">
        <v>2</v>
      </c>
      <c r="AG40" s="3" t="n">
        <v>2</v>
      </c>
      <c r="AH40" s="3" t="n">
        <v>1</v>
      </c>
      <c r="AI40" s="3" t="n">
        <v>2</v>
      </c>
      <c r="AJ40" s="3" t="n">
        <v>2</v>
      </c>
      <c r="AK40" s="3" t="n">
        <v>2</v>
      </c>
      <c r="AL40" s="3" t="n">
        <v>2</v>
      </c>
      <c r="AM40" s="3" t="n">
        <v>2</v>
      </c>
      <c r="AN40" s="3" t="n">
        <v>2</v>
      </c>
      <c r="AO40" s="3" t="n">
        <v>3</v>
      </c>
      <c r="AP40" s="3" t="n">
        <v>4</v>
      </c>
      <c r="AQ40" s="3" t="n">
        <v>4</v>
      </c>
      <c r="AR40" s="3" t="n">
        <v>6</v>
      </c>
      <c r="AS40" s="3" t="n">
        <v>4</v>
      </c>
      <c r="AT40" s="3" t="n">
        <v>4</v>
      </c>
      <c r="AU40" s="3" t="n">
        <v>6</v>
      </c>
      <c r="AV40" s="3" t="n">
        <v>6</v>
      </c>
      <c r="AW40" s="3" t="n">
        <v>3</v>
      </c>
      <c r="AX40" s="3" t="n">
        <v>3</v>
      </c>
      <c r="AY40" s="3" t="n">
        <v>1</v>
      </c>
      <c r="AZ40" s="5" t="n">
        <v>1</v>
      </c>
      <c r="BA40" s="3" t="n">
        <v>1</v>
      </c>
      <c r="BB40" s="3" t="n">
        <v>1</v>
      </c>
      <c r="BC40" s="3" t="n">
        <v>2</v>
      </c>
      <c r="BD40" s="3" t="n">
        <v>3</v>
      </c>
      <c r="BE40" s="3" t="n">
        <v>5</v>
      </c>
      <c r="BF40" s="3" t="n">
        <v>3</v>
      </c>
      <c r="BG40" s="3" t="n">
        <v>4</v>
      </c>
      <c r="BH40" s="3" t="n">
        <v>1</v>
      </c>
      <c r="BI40" s="3" t="n">
        <v>1</v>
      </c>
    </row>
    <row r="41" customFormat="false" ht="12.75" hidden="false" customHeight="false" outlineLevel="0" collapsed="false">
      <c r="A41" s="2" t="s">
        <v>752</v>
      </c>
      <c r="B41" s="2" t="s">
        <v>210</v>
      </c>
      <c r="C41" s="2" t="s">
        <v>753</v>
      </c>
      <c r="D41" s="2" t="n">
        <v>168639</v>
      </c>
      <c r="E41" s="15" t="n">
        <v>43476</v>
      </c>
      <c r="F41" s="15" t="n">
        <v>43487</v>
      </c>
      <c r="G41" s="3" t="n">
        <v>11</v>
      </c>
      <c r="H41" s="3" t="n">
        <v>2</v>
      </c>
      <c r="I41" s="3" t="n">
        <v>57</v>
      </c>
      <c r="J41" s="3" t="n">
        <v>1</v>
      </c>
      <c r="K41" s="3" t="n">
        <v>2</v>
      </c>
      <c r="L41" s="3" t="n">
        <v>1</v>
      </c>
      <c r="M41" s="3" t="n">
        <v>2</v>
      </c>
      <c r="N41" s="3" t="n">
        <v>2</v>
      </c>
      <c r="O41" s="3" t="n">
        <v>2</v>
      </c>
      <c r="P41" s="3" t="n">
        <v>1</v>
      </c>
      <c r="Q41" s="3" t="n">
        <v>2</v>
      </c>
      <c r="R41" s="3" t="n">
        <v>1</v>
      </c>
      <c r="S41" s="4" t="n">
        <v>2</v>
      </c>
      <c r="T41" s="3" t="n">
        <v>2</v>
      </c>
      <c r="U41" s="3" t="n">
        <v>3.09</v>
      </c>
      <c r="V41" s="3" t="n">
        <v>1.44</v>
      </c>
      <c r="W41" s="3" t="n">
        <v>8.25</v>
      </c>
      <c r="X41" s="3" t="n">
        <v>336</v>
      </c>
      <c r="Z41" s="3" t="n">
        <v>0.33</v>
      </c>
      <c r="AA41" s="3" t="n">
        <v>13</v>
      </c>
      <c r="AB41" s="3" t="n">
        <v>2</v>
      </c>
      <c r="AC41" s="3" t="n">
        <v>2</v>
      </c>
      <c r="AD41" s="3" t="n">
        <v>1</v>
      </c>
      <c r="AE41" s="3" t="n">
        <v>1</v>
      </c>
      <c r="AF41" s="3" t="n">
        <v>1</v>
      </c>
      <c r="AG41" s="3" t="n">
        <v>2</v>
      </c>
      <c r="AH41" s="3" t="n">
        <v>1</v>
      </c>
      <c r="AI41" s="3" t="n">
        <v>1</v>
      </c>
      <c r="AJ41" s="3" t="n">
        <v>2</v>
      </c>
      <c r="AK41" s="3" t="n">
        <v>2</v>
      </c>
      <c r="AL41" s="3" t="n">
        <v>1</v>
      </c>
      <c r="AM41" s="3" t="n">
        <v>2</v>
      </c>
      <c r="AN41" s="3" t="n">
        <v>2</v>
      </c>
      <c r="AO41" s="3" t="n">
        <v>2</v>
      </c>
      <c r="AP41" s="3" t="n">
        <v>3</v>
      </c>
      <c r="AQ41" s="3" t="n">
        <v>4</v>
      </c>
      <c r="AR41" s="3" t="n">
        <v>6</v>
      </c>
      <c r="AS41" s="3" t="n">
        <v>4</v>
      </c>
      <c r="AT41" s="3" t="n">
        <v>4</v>
      </c>
      <c r="AU41" s="3" t="n">
        <v>1</v>
      </c>
      <c r="AV41" s="3" t="n">
        <v>6</v>
      </c>
      <c r="AW41" s="3" t="n">
        <v>2</v>
      </c>
      <c r="AX41" s="3" t="n">
        <v>1</v>
      </c>
      <c r="AY41" s="3" t="n">
        <v>1</v>
      </c>
      <c r="AZ41" s="5" t="n">
        <v>1</v>
      </c>
      <c r="BA41" s="3" t="n">
        <v>1</v>
      </c>
      <c r="BB41" s="3" t="n">
        <v>1</v>
      </c>
      <c r="BC41" s="3" t="n">
        <v>2</v>
      </c>
      <c r="BD41" s="3" t="n">
        <v>1</v>
      </c>
      <c r="BE41" s="3" t="n">
        <v>2</v>
      </c>
      <c r="BF41" s="3" t="n">
        <v>1</v>
      </c>
      <c r="BG41" s="3" t="n">
        <v>4</v>
      </c>
      <c r="BH41" s="3" t="n">
        <v>1</v>
      </c>
      <c r="BI41" s="3" t="n">
        <v>1</v>
      </c>
    </row>
    <row r="42" customFormat="false" ht="12.75" hidden="false" customHeight="false" outlineLevel="0" collapsed="false">
      <c r="A42" s="2" t="s">
        <v>156</v>
      </c>
      <c r="B42" s="2" t="s">
        <v>792</v>
      </c>
      <c r="C42" s="2" t="s">
        <v>66</v>
      </c>
      <c r="D42" s="2" t="n">
        <v>169051</v>
      </c>
      <c r="E42" s="15" t="n">
        <v>43483</v>
      </c>
      <c r="F42" s="15" t="n">
        <v>43496</v>
      </c>
      <c r="G42" s="3" t="n">
        <v>13</v>
      </c>
      <c r="H42" s="3" t="n">
        <v>2</v>
      </c>
      <c r="I42" s="3" t="n">
        <v>60</v>
      </c>
      <c r="J42" s="3" t="n">
        <v>1</v>
      </c>
      <c r="K42" s="3" t="n">
        <v>1</v>
      </c>
      <c r="L42" s="3" t="n">
        <v>1</v>
      </c>
      <c r="M42" s="3" t="n">
        <v>2</v>
      </c>
      <c r="N42" s="3" t="n">
        <v>2</v>
      </c>
      <c r="O42" s="3" t="n">
        <v>2</v>
      </c>
      <c r="P42" s="3" t="n">
        <v>2</v>
      </c>
      <c r="Q42" s="3" t="n">
        <v>2</v>
      </c>
      <c r="R42" s="3" t="n">
        <v>2</v>
      </c>
      <c r="S42" s="4" t="n">
        <v>2</v>
      </c>
      <c r="T42" s="3" t="n">
        <v>2</v>
      </c>
      <c r="U42" s="3" t="n">
        <v>4.4</v>
      </c>
      <c r="V42" s="3" t="n">
        <v>0.32</v>
      </c>
      <c r="W42" s="3" t="n">
        <v>8.4</v>
      </c>
      <c r="X42" s="3" t="n">
        <v>186</v>
      </c>
      <c r="Z42" s="3" t="n">
        <v>0.4</v>
      </c>
      <c r="AA42" s="3" t="n">
        <v>12.4</v>
      </c>
      <c r="AB42" s="3" t="n">
        <v>2</v>
      </c>
      <c r="AC42" s="3" t="n">
        <v>1</v>
      </c>
      <c r="AD42" s="3" t="n">
        <v>1</v>
      </c>
      <c r="AE42" s="3" t="n">
        <v>1</v>
      </c>
      <c r="AF42" s="3" t="n">
        <v>2</v>
      </c>
      <c r="AG42" s="3" t="n">
        <v>2</v>
      </c>
      <c r="AH42" s="3" t="n">
        <v>1</v>
      </c>
      <c r="AI42" s="3" t="n">
        <v>2</v>
      </c>
      <c r="AJ42" s="3" t="n">
        <v>2</v>
      </c>
      <c r="AK42" s="3" t="n">
        <v>2</v>
      </c>
      <c r="AL42" s="3" t="n">
        <v>2</v>
      </c>
      <c r="AM42" s="3" t="n">
        <v>2</v>
      </c>
      <c r="AN42" s="3" t="n">
        <v>2</v>
      </c>
      <c r="AO42" s="3" t="n">
        <v>2</v>
      </c>
      <c r="AP42" s="3" t="n">
        <v>3</v>
      </c>
      <c r="AQ42" s="3" t="n">
        <v>8</v>
      </c>
      <c r="AR42" s="3" t="n">
        <v>5</v>
      </c>
      <c r="AS42" s="3" t="n">
        <v>2</v>
      </c>
      <c r="AT42" s="3" t="n">
        <v>1</v>
      </c>
      <c r="AU42" s="3" t="n">
        <v>1</v>
      </c>
      <c r="AV42" s="3" t="n">
        <v>1</v>
      </c>
      <c r="AW42" s="3" t="n">
        <v>2</v>
      </c>
      <c r="AX42" s="3" t="n">
        <v>2</v>
      </c>
      <c r="AY42" s="3" t="n">
        <v>1</v>
      </c>
      <c r="AZ42" s="5" t="n">
        <v>1</v>
      </c>
      <c r="BA42" s="3" t="n">
        <v>1</v>
      </c>
      <c r="BB42" s="3" t="n">
        <v>1</v>
      </c>
      <c r="BC42" s="3" t="n">
        <v>5</v>
      </c>
      <c r="BD42" s="3" t="n">
        <v>3</v>
      </c>
      <c r="BE42" s="3" t="n">
        <v>5</v>
      </c>
      <c r="BF42" s="3" t="n">
        <v>3</v>
      </c>
      <c r="BG42" s="3" t="n">
        <v>4</v>
      </c>
      <c r="BH42" s="3" t="n">
        <v>1</v>
      </c>
      <c r="BI42" s="3" t="n">
        <v>1</v>
      </c>
    </row>
    <row r="43" customFormat="false" ht="12.75" hidden="false" customHeight="false" outlineLevel="0" collapsed="false">
      <c r="A43" s="2" t="s">
        <v>844</v>
      </c>
      <c r="B43" s="2" t="s">
        <v>845</v>
      </c>
      <c r="C43" s="2" t="s">
        <v>846</v>
      </c>
      <c r="D43" s="2" t="n">
        <v>170785</v>
      </c>
      <c r="E43" s="15" t="n">
        <v>43501</v>
      </c>
      <c r="F43" s="15" t="n">
        <v>43507</v>
      </c>
      <c r="G43" s="3" t="n">
        <v>6</v>
      </c>
      <c r="H43" s="3" t="n">
        <v>1</v>
      </c>
      <c r="I43" s="3" t="n">
        <v>63</v>
      </c>
      <c r="J43" s="3" t="n">
        <v>1</v>
      </c>
      <c r="K43" s="3" t="n">
        <v>1</v>
      </c>
      <c r="L43" s="3" t="n">
        <v>1</v>
      </c>
      <c r="M43" s="3" t="n">
        <v>1</v>
      </c>
      <c r="N43" s="3" t="n">
        <v>2</v>
      </c>
      <c r="O43" s="3" t="n">
        <v>2</v>
      </c>
      <c r="P43" s="3" t="n">
        <v>2</v>
      </c>
      <c r="Q43" s="3" t="n">
        <v>2</v>
      </c>
      <c r="R43" s="3" t="n">
        <v>2</v>
      </c>
      <c r="S43" s="4" t="n">
        <v>2</v>
      </c>
      <c r="T43" s="3" t="n">
        <v>2</v>
      </c>
      <c r="U43" s="3" t="n">
        <v>4.86</v>
      </c>
      <c r="V43" s="3" t="n">
        <v>1.01</v>
      </c>
      <c r="W43" s="3" t="n">
        <v>5.64</v>
      </c>
      <c r="X43" s="3" t="n">
        <v>162</v>
      </c>
      <c r="Z43" s="3" t="n">
        <v>0.27</v>
      </c>
      <c r="AA43" s="3" t="n">
        <v>12</v>
      </c>
      <c r="AB43" s="3" t="n">
        <v>2</v>
      </c>
      <c r="AC43" s="3" t="n">
        <v>1</v>
      </c>
      <c r="AD43" s="3" t="n">
        <v>1</v>
      </c>
      <c r="AE43" s="3" t="n">
        <v>1</v>
      </c>
      <c r="AF43" s="3" t="n">
        <v>2</v>
      </c>
      <c r="AG43" s="3" t="n">
        <v>2</v>
      </c>
      <c r="AH43" s="3" t="n">
        <v>1</v>
      </c>
      <c r="AI43" s="3" t="n">
        <v>2</v>
      </c>
      <c r="AJ43" s="3" t="n">
        <v>2</v>
      </c>
      <c r="AK43" s="3" t="n">
        <v>2</v>
      </c>
      <c r="AL43" s="3" t="n">
        <v>2</v>
      </c>
      <c r="AM43" s="3" t="n">
        <v>2</v>
      </c>
      <c r="AN43" s="3" t="n">
        <v>2</v>
      </c>
      <c r="AO43" s="3" t="n">
        <v>3</v>
      </c>
      <c r="AP43" s="3" t="n">
        <v>4</v>
      </c>
      <c r="AQ43" s="3" t="n">
        <v>4</v>
      </c>
      <c r="AR43" s="3" t="n">
        <v>6</v>
      </c>
      <c r="AS43" s="3" t="n">
        <v>4</v>
      </c>
      <c r="AT43" s="3" t="n">
        <v>4</v>
      </c>
      <c r="AU43" s="3" t="n">
        <v>6</v>
      </c>
      <c r="AV43" s="3" t="n">
        <v>6</v>
      </c>
      <c r="AW43" s="3" t="n">
        <v>3</v>
      </c>
      <c r="AX43" s="3" t="n">
        <v>3</v>
      </c>
      <c r="AY43" s="3" t="n">
        <v>1</v>
      </c>
      <c r="AZ43" s="5" t="n">
        <v>1</v>
      </c>
      <c r="BA43" s="3" t="n">
        <v>1</v>
      </c>
      <c r="BB43" s="3" t="n">
        <v>1</v>
      </c>
      <c r="BC43" s="3" t="n">
        <v>2</v>
      </c>
      <c r="BD43" s="3" t="n">
        <v>3</v>
      </c>
      <c r="BE43" s="3" t="n">
        <v>5</v>
      </c>
      <c r="BF43" s="3" t="n">
        <v>3</v>
      </c>
      <c r="BG43" s="3" t="n">
        <v>4</v>
      </c>
      <c r="BH43" s="3" t="n">
        <v>1</v>
      </c>
      <c r="BI43" s="3" t="n">
        <v>1</v>
      </c>
    </row>
    <row r="44" customFormat="false" ht="12.75" hidden="false" customHeight="false" outlineLevel="0" collapsed="false">
      <c r="A44" s="2" t="s">
        <v>886</v>
      </c>
      <c r="B44" s="2" t="s">
        <v>887</v>
      </c>
      <c r="C44" s="2" t="s">
        <v>127</v>
      </c>
      <c r="D44" s="2" t="n">
        <v>171631</v>
      </c>
      <c r="E44" s="15" t="n">
        <v>43510</v>
      </c>
      <c r="F44" s="15" t="n">
        <v>43518</v>
      </c>
      <c r="G44" s="3" t="n">
        <v>5</v>
      </c>
      <c r="H44" s="3" t="n">
        <v>2</v>
      </c>
      <c r="I44" s="3" t="n">
        <v>77</v>
      </c>
      <c r="J44" s="3" t="n">
        <v>1</v>
      </c>
      <c r="K44" s="3" t="n">
        <v>2</v>
      </c>
      <c r="L44" s="3" t="n">
        <v>1</v>
      </c>
      <c r="M44" s="3" t="n">
        <v>2</v>
      </c>
      <c r="N44" s="3" t="n">
        <v>2</v>
      </c>
      <c r="O44" s="3" t="n">
        <v>2</v>
      </c>
      <c r="P44" s="3" t="n">
        <v>2</v>
      </c>
      <c r="Q44" s="3" t="n">
        <v>2</v>
      </c>
      <c r="R44" s="3" t="n">
        <v>2</v>
      </c>
      <c r="S44" s="4" t="n">
        <v>2</v>
      </c>
      <c r="T44" s="3" t="n">
        <v>2</v>
      </c>
      <c r="U44" s="3" t="n">
        <v>2.52</v>
      </c>
      <c r="V44" s="3" t="n">
        <v>0.59</v>
      </c>
      <c r="W44" s="3" t="n">
        <v>8.57</v>
      </c>
      <c r="X44" s="3" t="n">
        <v>415</v>
      </c>
      <c r="Z44" s="3" t="n">
        <v>0.48</v>
      </c>
      <c r="AA44" s="3" t="n">
        <v>12.3</v>
      </c>
      <c r="AB44" s="3" t="n">
        <v>1</v>
      </c>
      <c r="AC44" s="3" t="n">
        <v>2</v>
      </c>
      <c r="AD44" s="3" t="n">
        <v>1</v>
      </c>
      <c r="AE44" s="3" t="n">
        <v>2</v>
      </c>
      <c r="AF44" s="3" t="n">
        <v>1</v>
      </c>
      <c r="AG44" s="3" t="n">
        <v>2</v>
      </c>
      <c r="AH44" s="3" t="n">
        <v>1</v>
      </c>
      <c r="AI44" s="3" t="n">
        <v>2</v>
      </c>
      <c r="AJ44" s="3" t="n">
        <v>2</v>
      </c>
      <c r="AK44" s="3" t="n">
        <v>2</v>
      </c>
      <c r="AL44" s="3" t="n">
        <v>1</v>
      </c>
      <c r="AM44" s="3" t="n">
        <v>2</v>
      </c>
      <c r="AN44" s="3" t="n">
        <v>2</v>
      </c>
      <c r="AO44" s="3" t="n">
        <v>3</v>
      </c>
      <c r="AP44" s="3" t="n">
        <v>4</v>
      </c>
      <c r="AQ44" s="3" t="n">
        <v>4</v>
      </c>
      <c r="AR44" s="3" t="n">
        <v>6</v>
      </c>
      <c r="AS44" s="3" t="n">
        <v>4</v>
      </c>
      <c r="AT44" s="3" t="n">
        <v>4</v>
      </c>
      <c r="AU44" s="3" t="n">
        <v>6</v>
      </c>
      <c r="AV44" s="3" t="n">
        <v>6</v>
      </c>
      <c r="AW44" s="3" t="n">
        <v>3</v>
      </c>
      <c r="AX44" s="3" t="n">
        <v>3</v>
      </c>
      <c r="AY44" s="3" t="n">
        <v>1</v>
      </c>
      <c r="AZ44" s="5" t="n">
        <v>1</v>
      </c>
      <c r="BA44" s="3" t="n">
        <v>1</v>
      </c>
      <c r="BB44" s="3" t="n">
        <v>1</v>
      </c>
      <c r="BC44" s="3" t="n">
        <v>4</v>
      </c>
      <c r="BD44" s="3" t="n">
        <v>3</v>
      </c>
      <c r="BE44" s="3" t="n">
        <v>5</v>
      </c>
      <c r="BF44" s="3" t="n">
        <v>3</v>
      </c>
      <c r="BG44" s="3" t="n">
        <v>4</v>
      </c>
      <c r="BH44" s="3" t="n">
        <v>1</v>
      </c>
      <c r="BI44" s="3" t="n">
        <v>1</v>
      </c>
    </row>
    <row r="45" customFormat="false" ht="12.75" hidden="false" customHeight="false" outlineLevel="0" collapsed="false">
      <c r="A45" s="2" t="s">
        <v>889</v>
      </c>
      <c r="B45" s="2" t="s">
        <v>890</v>
      </c>
      <c r="C45" s="2" t="s">
        <v>494</v>
      </c>
      <c r="D45" s="2" t="n">
        <v>171732</v>
      </c>
      <c r="E45" s="15" t="n">
        <v>43512</v>
      </c>
      <c r="F45" s="15" t="n">
        <v>43518</v>
      </c>
      <c r="G45" s="3" t="n">
        <v>6</v>
      </c>
      <c r="H45" s="3" t="n">
        <v>2</v>
      </c>
      <c r="I45" s="3" t="n">
        <v>76</v>
      </c>
      <c r="J45" s="3" t="n">
        <v>1</v>
      </c>
      <c r="K45" s="3" t="n">
        <v>2</v>
      </c>
      <c r="L45" s="3" t="n">
        <v>2</v>
      </c>
      <c r="M45" s="3" t="n">
        <v>2</v>
      </c>
      <c r="N45" s="3" t="n">
        <v>2</v>
      </c>
      <c r="O45" s="3" t="n">
        <v>2</v>
      </c>
      <c r="P45" s="3" t="n">
        <v>2</v>
      </c>
      <c r="Q45" s="3" t="n">
        <v>2</v>
      </c>
      <c r="R45" s="3" t="n">
        <v>2</v>
      </c>
      <c r="S45" s="4" t="n">
        <v>2</v>
      </c>
      <c r="T45" s="3" t="n">
        <v>2</v>
      </c>
      <c r="U45" s="3" t="n">
        <v>3.22</v>
      </c>
      <c r="V45" s="3" t="n">
        <v>0.2</v>
      </c>
      <c r="W45" s="3" t="n">
        <v>4.9</v>
      </c>
      <c r="X45" s="3" t="n">
        <v>9</v>
      </c>
      <c r="Z45" s="3" t="n">
        <v>0.46</v>
      </c>
      <c r="AA45" s="3" t="n">
        <v>9.6</v>
      </c>
      <c r="AB45" s="3" t="n">
        <v>2</v>
      </c>
      <c r="AC45" s="3" t="n">
        <v>2</v>
      </c>
      <c r="AD45" s="3" t="n">
        <v>1</v>
      </c>
      <c r="AE45" s="3" t="n">
        <v>1</v>
      </c>
      <c r="AF45" s="3" t="n">
        <v>2</v>
      </c>
      <c r="AG45" s="3" t="n">
        <v>2</v>
      </c>
      <c r="AH45" s="3" t="n">
        <v>1</v>
      </c>
      <c r="AI45" s="3" t="n">
        <v>2</v>
      </c>
      <c r="AJ45" s="3" t="n">
        <v>2</v>
      </c>
      <c r="AK45" s="3" t="n">
        <v>2</v>
      </c>
      <c r="AL45" s="3" t="n">
        <v>2</v>
      </c>
      <c r="AM45" s="3" t="n">
        <v>2</v>
      </c>
      <c r="AN45" s="3" t="n">
        <v>2</v>
      </c>
      <c r="AO45" s="3" t="n">
        <v>3</v>
      </c>
      <c r="AP45" s="3" t="n">
        <v>4</v>
      </c>
      <c r="AQ45" s="3" t="n">
        <v>4</v>
      </c>
      <c r="AR45" s="3" t="n">
        <v>6</v>
      </c>
      <c r="AS45" s="3" t="n">
        <v>4</v>
      </c>
      <c r="AT45" s="3" t="n">
        <v>4</v>
      </c>
      <c r="AU45" s="3" t="n">
        <v>6</v>
      </c>
      <c r="AV45" s="3" t="n">
        <v>6</v>
      </c>
      <c r="AW45" s="3" t="n">
        <v>3</v>
      </c>
      <c r="AX45" s="3" t="n">
        <v>3</v>
      </c>
      <c r="AY45" s="3" t="n">
        <v>1</v>
      </c>
      <c r="AZ45" s="5" t="n">
        <v>1</v>
      </c>
      <c r="BA45" s="3" t="n">
        <v>1</v>
      </c>
      <c r="BB45" s="3" t="n">
        <v>1</v>
      </c>
      <c r="BC45" s="3" t="n">
        <v>2</v>
      </c>
      <c r="BD45" s="3" t="n">
        <v>1</v>
      </c>
      <c r="BE45" s="3" t="n">
        <v>2</v>
      </c>
      <c r="BF45" s="3" t="n">
        <v>1</v>
      </c>
      <c r="BG45" s="3" t="n">
        <v>4</v>
      </c>
      <c r="BH45" s="3" t="n">
        <v>1</v>
      </c>
      <c r="BI45" s="3" t="n">
        <v>1</v>
      </c>
    </row>
    <row r="46" customFormat="false" ht="12.75" hidden="false" customHeight="false" outlineLevel="0" collapsed="false">
      <c r="A46" s="26" t="s">
        <v>556</v>
      </c>
      <c r="B46" s="26" t="s">
        <v>94</v>
      </c>
      <c r="C46" s="26" t="s">
        <v>127</v>
      </c>
      <c r="D46" s="26" t="n">
        <v>171705</v>
      </c>
      <c r="E46" s="27" t="n">
        <v>43513</v>
      </c>
      <c r="F46" s="27" t="n">
        <v>43519</v>
      </c>
      <c r="G46" s="30" t="n">
        <v>6</v>
      </c>
      <c r="H46" s="30" t="n">
        <v>2</v>
      </c>
      <c r="I46" s="30" t="n">
        <v>88</v>
      </c>
      <c r="J46" s="30" t="n">
        <v>2</v>
      </c>
      <c r="K46" s="30" t="n">
        <v>2</v>
      </c>
      <c r="L46" s="30" t="n">
        <v>1</v>
      </c>
      <c r="M46" s="30" t="n">
        <v>2</v>
      </c>
      <c r="N46" s="30" t="n">
        <v>2</v>
      </c>
      <c r="O46" s="30" t="n">
        <v>1</v>
      </c>
      <c r="P46" s="30" t="n">
        <v>1</v>
      </c>
      <c r="Q46" s="30" t="n">
        <v>1</v>
      </c>
      <c r="R46" s="30" t="n">
        <v>2</v>
      </c>
      <c r="S46" s="4" t="n">
        <v>2</v>
      </c>
      <c r="T46" s="30" t="n">
        <v>2</v>
      </c>
      <c r="U46" s="30" t="n">
        <v>4.46</v>
      </c>
      <c r="V46" s="30" t="n">
        <v>0.92</v>
      </c>
      <c r="W46" s="30" t="n">
        <v>8.1</v>
      </c>
      <c r="X46" s="30" t="n">
        <v>791</v>
      </c>
      <c r="Z46" s="30" t="n">
        <v>0.38</v>
      </c>
      <c r="AA46" s="30" t="n">
        <v>11.8</v>
      </c>
      <c r="AB46" s="30" t="n">
        <v>3</v>
      </c>
      <c r="AC46" s="30" t="n">
        <v>2</v>
      </c>
      <c r="AD46" s="30" t="n">
        <v>1</v>
      </c>
      <c r="AE46" s="30" t="n">
        <v>1</v>
      </c>
      <c r="AF46" s="30" t="n">
        <v>2</v>
      </c>
      <c r="AG46" s="30" t="n">
        <v>2</v>
      </c>
      <c r="AH46" s="30" t="n">
        <v>1</v>
      </c>
      <c r="AI46" s="30" t="n">
        <v>2</v>
      </c>
      <c r="AJ46" s="30" t="n">
        <v>2</v>
      </c>
      <c r="AK46" s="30" t="n">
        <v>2</v>
      </c>
      <c r="AL46" s="30" t="n">
        <v>1</v>
      </c>
      <c r="AM46" s="30" t="n">
        <v>1</v>
      </c>
      <c r="AN46" s="30" t="n">
        <v>2</v>
      </c>
      <c r="AO46" s="30" t="n">
        <v>2</v>
      </c>
      <c r="AP46" s="30" t="n">
        <v>2</v>
      </c>
      <c r="AQ46" s="30" t="n">
        <v>1</v>
      </c>
      <c r="AR46" s="30" t="n">
        <v>3</v>
      </c>
      <c r="AS46" s="30" t="n">
        <v>1</v>
      </c>
      <c r="AT46" s="30" t="n">
        <v>1</v>
      </c>
      <c r="AU46" s="30" t="n">
        <v>1</v>
      </c>
      <c r="AV46" s="30" t="n">
        <v>1</v>
      </c>
      <c r="AW46" s="30" t="n">
        <v>2</v>
      </c>
      <c r="AX46" s="30" t="n">
        <v>2</v>
      </c>
      <c r="AY46" s="30" t="n">
        <v>6</v>
      </c>
      <c r="AZ46" s="5" t="n">
        <v>1</v>
      </c>
      <c r="BA46" s="30" t="n">
        <v>1</v>
      </c>
      <c r="BB46" s="30" t="n">
        <v>2</v>
      </c>
      <c r="BC46" s="30" t="n">
        <v>2</v>
      </c>
      <c r="BD46" s="30" t="n">
        <v>3</v>
      </c>
      <c r="BE46" s="30" t="n">
        <v>5</v>
      </c>
      <c r="BF46" s="30" t="n">
        <v>3</v>
      </c>
      <c r="BG46" s="30" t="n">
        <v>4</v>
      </c>
      <c r="BH46" s="30" t="n">
        <v>1</v>
      </c>
      <c r="BI46" s="30" t="n">
        <v>1</v>
      </c>
    </row>
    <row r="47" customFormat="false" ht="12.75" hidden="false" customHeight="false" outlineLevel="0" collapsed="false">
      <c r="A47" s="2" t="s">
        <v>894</v>
      </c>
      <c r="B47" s="2" t="s">
        <v>895</v>
      </c>
      <c r="C47" s="2" t="s">
        <v>94</v>
      </c>
      <c r="D47" s="2" t="n">
        <v>171774</v>
      </c>
      <c r="E47" s="15" t="n">
        <v>43510</v>
      </c>
      <c r="F47" s="15" t="n">
        <v>43519</v>
      </c>
      <c r="G47" s="3" t="n">
        <v>9</v>
      </c>
      <c r="H47" s="3" t="n">
        <v>2</v>
      </c>
      <c r="I47" s="3" t="n">
        <v>61</v>
      </c>
      <c r="J47" s="3" t="n">
        <v>1</v>
      </c>
      <c r="K47" s="3" t="n">
        <v>1</v>
      </c>
      <c r="L47" s="3" t="n">
        <v>1</v>
      </c>
      <c r="M47" s="3" t="n">
        <v>2</v>
      </c>
      <c r="N47" s="3" t="n">
        <v>2</v>
      </c>
      <c r="O47" s="3" t="n">
        <v>2</v>
      </c>
      <c r="P47" s="3" t="n">
        <v>2</v>
      </c>
      <c r="Q47" s="3" t="n">
        <v>2</v>
      </c>
      <c r="R47" s="3" t="n">
        <v>2</v>
      </c>
      <c r="S47" s="4" t="n">
        <v>2</v>
      </c>
      <c r="T47" s="3" t="n">
        <v>2</v>
      </c>
      <c r="U47" s="3" t="n">
        <v>5.76</v>
      </c>
      <c r="V47" s="3" t="n">
        <v>2.51</v>
      </c>
      <c r="W47" s="3" t="n">
        <v>5.8</v>
      </c>
      <c r="X47" s="3" t="n">
        <v>393</v>
      </c>
      <c r="Z47" s="3" t="n">
        <v>0.45</v>
      </c>
      <c r="AA47" s="3" t="n">
        <v>9.6</v>
      </c>
      <c r="AB47" s="3" t="n">
        <v>1</v>
      </c>
      <c r="AC47" s="3" t="n">
        <v>2</v>
      </c>
      <c r="AD47" s="3" t="n">
        <v>1</v>
      </c>
      <c r="AE47" s="3" t="n">
        <v>1</v>
      </c>
      <c r="AF47" s="3" t="n">
        <v>2</v>
      </c>
      <c r="AG47" s="3" t="n">
        <v>2</v>
      </c>
      <c r="AH47" s="3" t="n">
        <v>1</v>
      </c>
      <c r="AI47" s="3" t="n">
        <v>2</v>
      </c>
      <c r="AJ47" s="3" t="n">
        <v>2</v>
      </c>
      <c r="AK47" s="3" t="n">
        <v>2</v>
      </c>
      <c r="AL47" s="3" t="n">
        <v>1</v>
      </c>
      <c r="AM47" s="3" t="n">
        <v>2</v>
      </c>
      <c r="AN47" s="3" t="n">
        <v>2</v>
      </c>
      <c r="AO47" s="3" t="n">
        <v>2</v>
      </c>
      <c r="AP47" s="3" t="n">
        <v>2</v>
      </c>
      <c r="AQ47" s="3" t="n">
        <v>4</v>
      </c>
      <c r="AR47" s="3" t="n">
        <v>6</v>
      </c>
      <c r="AS47" s="3" t="n">
        <v>4</v>
      </c>
      <c r="AT47" s="3" t="n">
        <v>4</v>
      </c>
      <c r="AU47" s="3" t="n">
        <v>1</v>
      </c>
      <c r="AV47" s="3" t="n">
        <v>6</v>
      </c>
      <c r="AW47" s="3" t="n">
        <v>2</v>
      </c>
      <c r="AX47" s="3" t="n">
        <v>1</v>
      </c>
      <c r="AY47" s="3" t="n">
        <v>1</v>
      </c>
      <c r="AZ47" s="5" t="n">
        <v>1</v>
      </c>
      <c r="BA47" s="3" t="n">
        <v>1</v>
      </c>
      <c r="BB47" s="3" t="n">
        <v>1</v>
      </c>
      <c r="BC47" s="3" t="n">
        <v>2</v>
      </c>
      <c r="BD47" s="3" t="n">
        <v>1</v>
      </c>
      <c r="BE47" s="3" t="n">
        <v>2</v>
      </c>
      <c r="BF47" s="3" t="n">
        <v>1</v>
      </c>
      <c r="BG47" s="3" t="n">
        <v>4</v>
      </c>
      <c r="BH47" s="3" t="n">
        <v>1</v>
      </c>
      <c r="BI47" s="3" t="n">
        <v>1</v>
      </c>
    </row>
    <row r="48" customFormat="false" ht="12.75" hidden="false" customHeight="false" outlineLevel="0" collapsed="false">
      <c r="A48" s="2" t="s">
        <v>900</v>
      </c>
      <c r="B48" s="2" t="s">
        <v>688</v>
      </c>
      <c r="C48" s="2" t="s">
        <v>457</v>
      </c>
      <c r="D48" s="2" t="n">
        <v>171733</v>
      </c>
      <c r="E48" s="15" t="n">
        <v>43512</v>
      </c>
      <c r="F48" s="15" t="n">
        <v>43522</v>
      </c>
      <c r="G48" s="3" t="n">
        <v>10</v>
      </c>
      <c r="H48" s="3" t="n">
        <v>1</v>
      </c>
      <c r="I48" s="3" t="n">
        <v>61</v>
      </c>
      <c r="J48" s="3" t="n">
        <v>1</v>
      </c>
      <c r="K48" s="3" t="n">
        <v>2</v>
      </c>
      <c r="L48" s="3" t="n">
        <v>1</v>
      </c>
      <c r="M48" s="3" t="n">
        <v>2</v>
      </c>
      <c r="N48" s="3" t="n">
        <v>2</v>
      </c>
      <c r="O48" s="3" t="n">
        <v>2</v>
      </c>
      <c r="P48" s="3" t="n">
        <v>1</v>
      </c>
      <c r="Q48" s="3" t="n">
        <v>2</v>
      </c>
      <c r="R48" s="3" t="n">
        <v>2</v>
      </c>
      <c r="S48" s="4" t="n">
        <v>2</v>
      </c>
      <c r="T48" s="3" t="n">
        <v>2</v>
      </c>
      <c r="U48" s="3" t="n">
        <v>4.57</v>
      </c>
      <c r="V48" s="3" t="n">
        <v>1.46</v>
      </c>
      <c r="W48" s="3" t="n">
        <v>11.1</v>
      </c>
      <c r="X48" s="3" t="n">
        <v>285</v>
      </c>
      <c r="Z48" s="3" t="n">
        <v>0.43</v>
      </c>
      <c r="AA48" s="3" t="n">
        <v>12.8</v>
      </c>
      <c r="AB48" s="3" t="n">
        <v>2</v>
      </c>
      <c r="AC48" s="3" t="n">
        <v>1</v>
      </c>
      <c r="AD48" s="3" t="n">
        <v>1</v>
      </c>
      <c r="AE48" s="3" t="n">
        <v>1</v>
      </c>
      <c r="AF48" s="3" t="n">
        <v>2</v>
      </c>
      <c r="AG48" s="3" t="n">
        <v>1</v>
      </c>
      <c r="AH48" s="3" t="n">
        <v>1</v>
      </c>
      <c r="AI48" s="3" t="n">
        <v>2</v>
      </c>
      <c r="AJ48" s="3" t="n">
        <v>2</v>
      </c>
      <c r="AK48" s="3" t="n">
        <v>2</v>
      </c>
      <c r="AL48" s="3" t="n">
        <v>2</v>
      </c>
      <c r="AM48" s="3" t="n">
        <v>2</v>
      </c>
      <c r="AN48" s="3" t="n">
        <v>2</v>
      </c>
      <c r="AO48" s="3" t="n">
        <v>2</v>
      </c>
      <c r="AP48" s="3" t="n">
        <v>3</v>
      </c>
      <c r="AQ48" s="3" t="n">
        <v>4</v>
      </c>
      <c r="AR48" s="3" t="n">
        <v>6</v>
      </c>
      <c r="AS48" s="3" t="n">
        <v>4</v>
      </c>
      <c r="AT48" s="3" t="n">
        <v>4</v>
      </c>
      <c r="AU48" s="3" t="n">
        <v>1</v>
      </c>
      <c r="AV48" s="3" t="n">
        <v>6</v>
      </c>
      <c r="AW48" s="3" t="n">
        <v>1</v>
      </c>
      <c r="AX48" s="3" t="n">
        <v>2</v>
      </c>
      <c r="AY48" s="3" t="n">
        <v>5</v>
      </c>
      <c r="AZ48" s="5" t="n">
        <v>1</v>
      </c>
      <c r="BA48" s="3" t="n">
        <v>1</v>
      </c>
      <c r="BB48" s="3" t="n">
        <v>1</v>
      </c>
      <c r="BC48" s="3" t="n">
        <v>4</v>
      </c>
      <c r="BD48" s="3" t="n">
        <v>1</v>
      </c>
      <c r="BE48" s="3" t="n">
        <v>2</v>
      </c>
      <c r="BF48" s="3" t="n">
        <v>1</v>
      </c>
      <c r="BG48" s="3" t="n">
        <v>4</v>
      </c>
      <c r="BH48" s="3" t="n">
        <v>1</v>
      </c>
      <c r="BI48" s="3" t="n">
        <v>1</v>
      </c>
    </row>
    <row r="49" customFormat="false" ht="12.75" hidden="false" customHeight="false" outlineLevel="0" collapsed="false">
      <c r="A49" s="2" t="s">
        <v>392</v>
      </c>
      <c r="B49" s="2" t="s">
        <v>902</v>
      </c>
      <c r="C49" s="2" t="s">
        <v>382</v>
      </c>
      <c r="D49" s="2" t="n">
        <v>172154</v>
      </c>
      <c r="E49" s="15" t="n">
        <v>43516</v>
      </c>
      <c r="F49" s="15" t="n">
        <v>43735</v>
      </c>
      <c r="G49" s="3" t="n">
        <v>7</v>
      </c>
      <c r="H49" s="3" t="n">
        <v>2</v>
      </c>
      <c r="I49" s="3" t="n">
        <v>73</v>
      </c>
      <c r="J49" s="3" t="n">
        <v>1</v>
      </c>
      <c r="K49" s="3" t="n">
        <v>2</v>
      </c>
      <c r="L49" s="3" t="n">
        <v>1</v>
      </c>
      <c r="M49" s="3" t="n">
        <v>2</v>
      </c>
      <c r="N49" s="3" t="n">
        <v>2</v>
      </c>
      <c r="O49" s="3" t="n">
        <v>2</v>
      </c>
      <c r="P49" s="3" t="n">
        <v>1</v>
      </c>
      <c r="Q49" s="3" t="n">
        <v>2</v>
      </c>
      <c r="R49" s="3" t="n">
        <v>2</v>
      </c>
      <c r="S49" s="4" t="n">
        <v>2</v>
      </c>
      <c r="T49" s="3" t="n">
        <v>2</v>
      </c>
      <c r="U49" s="3" t="n">
        <v>5.62</v>
      </c>
      <c r="V49" s="3" t="n">
        <v>1.13</v>
      </c>
      <c r="W49" s="3" t="n">
        <v>6.5</v>
      </c>
      <c r="X49" s="3" t="n">
        <v>473</v>
      </c>
      <c r="Z49" s="3" t="n">
        <v>0.49</v>
      </c>
      <c r="AA49" s="3" t="n">
        <v>9.4</v>
      </c>
      <c r="AB49" s="3" t="n">
        <v>1</v>
      </c>
      <c r="AC49" s="3" t="n">
        <v>1</v>
      </c>
      <c r="AD49" s="3" t="n">
        <v>1</v>
      </c>
      <c r="AE49" s="3" t="n">
        <v>1</v>
      </c>
      <c r="AF49" s="3" t="n">
        <v>2</v>
      </c>
      <c r="AG49" s="3" t="n">
        <v>1</v>
      </c>
      <c r="AH49" s="3" t="n">
        <v>1</v>
      </c>
      <c r="AI49" s="3" t="n">
        <v>2</v>
      </c>
      <c r="AJ49" s="3" t="n">
        <v>2</v>
      </c>
      <c r="AK49" s="3" t="n">
        <v>2</v>
      </c>
      <c r="AL49" s="3" t="n">
        <v>2</v>
      </c>
      <c r="AM49" s="3" t="n">
        <v>2</v>
      </c>
      <c r="AN49" s="3" t="n">
        <v>2</v>
      </c>
      <c r="AO49" s="3" t="n">
        <v>3</v>
      </c>
      <c r="AP49" s="3" t="n">
        <v>4</v>
      </c>
      <c r="AQ49" s="3" t="n">
        <v>4</v>
      </c>
      <c r="AR49" s="3" t="n">
        <v>6</v>
      </c>
      <c r="AS49" s="3" t="n">
        <v>4</v>
      </c>
      <c r="AT49" s="3" t="n">
        <v>4</v>
      </c>
      <c r="AU49" s="3" t="n">
        <v>6</v>
      </c>
      <c r="AV49" s="3" t="n">
        <v>6</v>
      </c>
      <c r="AW49" s="3" t="n">
        <v>3</v>
      </c>
      <c r="AX49" s="3" t="n">
        <v>3</v>
      </c>
      <c r="AY49" s="3" t="n">
        <v>1</v>
      </c>
      <c r="AZ49" s="5" t="n">
        <v>1</v>
      </c>
      <c r="BA49" s="3" t="n">
        <v>1</v>
      </c>
      <c r="BB49" s="3" t="n">
        <v>1</v>
      </c>
      <c r="BC49" s="3" t="n">
        <v>4</v>
      </c>
      <c r="BD49" s="3" t="n">
        <v>1</v>
      </c>
      <c r="BE49" s="3" t="n">
        <v>2</v>
      </c>
      <c r="BF49" s="3" t="n">
        <v>1</v>
      </c>
      <c r="BG49" s="3" t="n">
        <v>4</v>
      </c>
      <c r="BH49" s="3" t="n">
        <v>1</v>
      </c>
      <c r="BI49" s="3" t="n">
        <v>1</v>
      </c>
    </row>
    <row r="50" customFormat="false" ht="12.75" hidden="false" customHeight="false" outlineLevel="0" collapsed="false">
      <c r="A50" s="2" t="s">
        <v>394</v>
      </c>
      <c r="B50" s="2" t="s">
        <v>808</v>
      </c>
      <c r="C50" s="2" t="s">
        <v>78</v>
      </c>
      <c r="D50" s="2" t="n">
        <v>172534</v>
      </c>
      <c r="E50" s="15" t="n">
        <v>43521</v>
      </c>
      <c r="F50" s="15" t="n">
        <v>43529</v>
      </c>
      <c r="G50" s="3" t="n">
        <v>8</v>
      </c>
      <c r="H50" s="3" t="n">
        <v>2</v>
      </c>
      <c r="I50" s="3" t="n">
        <v>62</v>
      </c>
      <c r="J50" s="3" t="n">
        <v>2</v>
      </c>
      <c r="K50" s="3" t="n">
        <v>1</v>
      </c>
      <c r="L50" s="3" t="n">
        <v>2</v>
      </c>
      <c r="M50" s="3" t="n">
        <v>2</v>
      </c>
      <c r="N50" s="3" t="n">
        <v>2</v>
      </c>
      <c r="O50" s="3" t="n">
        <v>2</v>
      </c>
      <c r="P50" s="3" t="n">
        <v>2</v>
      </c>
      <c r="Q50" s="3" t="n">
        <v>2</v>
      </c>
      <c r="R50" s="3" t="n">
        <v>2</v>
      </c>
      <c r="S50" s="4" t="n">
        <v>2</v>
      </c>
      <c r="T50" s="3" t="n">
        <v>2</v>
      </c>
      <c r="U50" s="3" t="n">
        <v>5.52</v>
      </c>
      <c r="V50" s="3" t="n">
        <v>1.7</v>
      </c>
      <c r="W50" s="3" t="n">
        <v>5</v>
      </c>
      <c r="X50" s="3" t="n">
        <v>310</v>
      </c>
      <c r="Z50" s="3" t="n">
        <v>0.4</v>
      </c>
      <c r="AA50" s="3" t="n">
        <v>11.2</v>
      </c>
      <c r="AB50" s="3" t="n">
        <v>1</v>
      </c>
      <c r="AC50" s="3" t="n">
        <v>2</v>
      </c>
      <c r="AD50" s="3" t="n">
        <v>1</v>
      </c>
      <c r="AE50" s="3" t="n">
        <v>1</v>
      </c>
      <c r="AF50" s="3" t="n">
        <v>2</v>
      </c>
      <c r="AG50" s="3" t="n">
        <v>2</v>
      </c>
      <c r="AH50" s="3" t="n">
        <v>1</v>
      </c>
      <c r="AI50" s="3" t="n">
        <v>2</v>
      </c>
      <c r="AJ50" s="3" t="n">
        <v>2</v>
      </c>
      <c r="AK50" s="3" t="n">
        <v>2</v>
      </c>
      <c r="AL50" s="3" t="n">
        <v>1</v>
      </c>
      <c r="AM50" s="3" t="n">
        <v>2</v>
      </c>
      <c r="AN50" s="3" t="n">
        <v>2</v>
      </c>
      <c r="AO50" s="3" t="n">
        <v>3</v>
      </c>
      <c r="AP50" s="3" t="n">
        <v>4</v>
      </c>
      <c r="AQ50" s="3" t="n">
        <v>4</v>
      </c>
      <c r="AR50" s="3" t="n">
        <v>6</v>
      </c>
      <c r="AS50" s="3" t="n">
        <v>4</v>
      </c>
      <c r="AT50" s="3" t="n">
        <v>4</v>
      </c>
      <c r="AU50" s="3" t="n">
        <v>6</v>
      </c>
      <c r="AV50" s="3" t="n">
        <v>6</v>
      </c>
      <c r="AW50" s="3" t="n">
        <v>3</v>
      </c>
      <c r="AX50" s="3" t="n">
        <v>3</v>
      </c>
      <c r="AY50" s="3" t="n">
        <v>1</v>
      </c>
      <c r="AZ50" s="5" t="n">
        <v>1</v>
      </c>
      <c r="BA50" s="3" t="n">
        <v>1</v>
      </c>
      <c r="BB50" s="3" t="n">
        <v>1</v>
      </c>
      <c r="BC50" s="3" t="n">
        <v>4</v>
      </c>
      <c r="BD50" s="3" t="n">
        <v>1</v>
      </c>
      <c r="BE50" s="3" t="n">
        <v>2</v>
      </c>
      <c r="BF50" s="3" t="n">
        <v>1</v>
      </c>
      <c r="BG50" s="3" t="n">
        <v>4</v>
      </c>
      <c r="BH50" s="3" t="n">
        <v>1</v>
      </c>
      <c r="BI50" s="3" t="n">
        <v>1</v>
      </c>
    </row>
    <row r="51" customFormat="false" ht="12.75" hidden="false" customHeight="false" outlineLevel="0" collapsed="false">
      <c r="A51" s="2" t="s">
        <v>942</v>
      </c>
      <c r="B51" s="2" t="s">
        <v>510</v>
      </c>
      <c r="C51" s="2" t="s">
        <v>153</v>
      </c>
      <c r="D51" s="2" t="n">
        <v>172650</v>
      </c>
      <c r="E51" s="15" t="n">
        <v>43523</v>
      </c>
      <c r="F51" s="15" t="n">
        <v>43530</v>
      </c>
      <c r="G51" s="3" t="n">
        <v>7</v>
      </c>
      <c r="H51" s="3" t="n">
        <v>1</v>
      </c>
      <c r="I51" s="3" t="n">
        <v>49</v>
      </c>
      <c r="J51" s="3" t="n">
        <v>1</v>
      </c>
      <c r="K51" s="3" t="n">
        <v>1</v>
      </c>
      <c r="L51" s="3" t="n">
        <v>1</v>
      </c>
      <c r="M51" s="3" t="n">
        <v>2</v>
      </c>
      <c r="N51" s="3" t="n">
        <v>2</v>
      </c>
      <c r="O51" s="3" t="n">
        <v>2</v>
      </c>
      <c r="P51" s="3" t="n">
        <v>1</v>
      </c>
      <c r="Q51" s="3" t="n">
        <v>2</v>
      </c>
      <c r="R51" s="3" t="n">
        <v>2</v>
      </c>
      <c r="S51" s="4" t="n">
        <v>2</v>
      </c>
      <c r="T51" s="3" t="n">
        <v>2</v>
      </c>
      <c r="U51" s="3" t="n">
        <v>3.15</v>
      </c>
      <c r="V51" s="3" t="n">
        <v>2.4</v>
      </c>
      <c r="W51" s="3" t="n">
        <v>6.3</v>
      </c>
      <c r="X51" s="3" t="n">
        <v>352</v>
      </c>
      <c r="Z51" s="3" t="n">
        <v>0.38</v>
      </c>
      <c r="AA51" s="3" t="n">
        <v>10.4</v>
      </c>
      <c r="AB51" s="3" t="n">
        <v>1</v>
      </c>
      <c r="AC51" s="3" t="n">
        <v>2</v>
      </c>
      <c r="AD51" s="3" t="n">
        <v>1</v>
      </c>
      <c r="AE51" s="3" t="n">
        <v>1</v>
      </c>
      <c r="AF51" s="3" t="n">
        <v>2</v>
      </c>
      <c r="AG51" s="3" t="n">
        <v>2</v>
      </c>
      <c r="AH51" s="3" t="n">
        <v>2</v>
      </c>
      <c r="AI51" s="3" t="n">
        <v>2</v>
      </c>
      <c r="AJ51" s="3" t="n">
        <v>2</v>
      </c>
      <c r="AK51" s="3" t="n">
        <v>2</v>
      </c>
      <c r="AL51" s="3" t="n">
        <v>2</v>
      </c>
      <c r="AM51" s="3" t="n">
        <v>2</v>
      </c>
      <c r="AN51" s="3" t="n">
        <v>2</v>
      </c>
      <c r="AO51" s="3" t="n">
        <v>3</v>
      </c>
      <c r="AP51" s="3" t="n">
        <v>4</v>
      </c>
      <c r="AQ51" s="3" t="n">
        <v>4</v>
      </c>
      <c r="AR51" s="3" t="n">
        <v>6</v>
      </c>
      <c r="AS51" s="3" t="n">
        <v>4</v>
      </c>
      <c r="AT51" s="3" t="n">
        <v>4</v>
      </c>
      <c r="AU51" s="3" t="n">
        <v>6</v>
      </c>
      <c r="AV51" s="3" t="n">
        <v>6</v>
      </c>
      <c r="AW51" s="3" t="n">
        <v>3</v>
      </c>
      <c r="AX51" s="3" t="n">
        <v>3</v>
      </c>
      <c r="AY51" s="3" t="n">
        <v>1</v>
      </c>
      <c r="AZ51" s="5" t="n">
        <v>1</v>
      </c>
      <c r="BA51" s="3" t="n">
        <v>1</v>
      </c>
      <c r="BB51" s="3" t="n">
        <v>1</v>
      </c>
      <c r="BC51" s="3" t="n">
        <v>4</v>
      </c>
      <c r="BD51" s="3" t="n">
        <v>1</v>
      </c>
      <c r="BE51" s="3" t="n">
        <v>2</v>
      </c>
      <c r="BF51" s="3" t="n">
        <v>1</v>
      </c>
      <c r="BG51" s="3" t="n">
        <v>4</v>
      </c>
      <c r="BH51" s="3" t="n">
        <v>1</v>
      </c>
      <c r="BI51" s="3" t="n">
        <v>1</v>
      </c>
    </row>
    <row r="52" customFormat="false" ht="12.75" hidden="false" customHeight="false" outlineLevel="0" collapsed="false">
      <c r="A52" s="2" t="s">
        <v>976</v>
      </c>
      <c r="B52" s="2" t="s">
        <v>99</v>
      </c>
      <c r="C52" s="2" t="s">
        <v>94</v>
      </c>
      <c r="D52" s="2" t="n">
        <v>160731</v>
      </c>
      <c r="E52" s="15" t="n">
        <v>43528</v>
      </c>
      <c r="F52" s="15" t="n">
        <v>43543</v>
      </c>
      <c r="G52" s="3" t="n">
        <v>15</v>
      </c>
      <c r="H52" s="3" t="n">
        <v>1</v>
      </c>
      <c r="I52" s="3" t="n">
        <v>55</v>
      </c>
      <c r="J52" s="3" t="n">
        <v>1</v>
      </c>
      <c r="K52" s="3" t="n">
        <v>2</v>
      </c>
      <c r="L52" s="3" t="n">
        <v>1</v>
      </c>
      <c r="M52" s="3" t="n">
        <v>2</v>
      </c>
      <c r="N52" s="3" t="n">
        <v>1</v>
      </c>
      <c r="O52" s="3" t="n">
        <v>1</v>
      </c>
      <c r="P52" s="3" t="n">
        <v>1</v>
      </c>
      <c r="Q52" s="3" t="n">
        <v>2</v>
      </c>
      <c r="R52" s="3" t="n">
        <v>2</v>
      </c>
      <c r="S52" s="4" t="n">
        <v>2</v>
      </c>
      <c r="T52" s="3" t="n">
        <v>2</v>
      </c>
      <c r="U52" s="3" t="n">
        <v>5.71</v>
      </c>
      <c r="V52" s="3" t="n">
        <v>2.36</v>
      </c>
      <c r="W52" s="3" t="n">
        <v>8.49</v>
      </c>
      <c r="X52" s="3" t="n">
        <v>294</v>
      </c>
      <c r="Z52" s="3" t="n">
        <v>0.47</v>
      </c>
      <c r="AA52" s="3" t="n">
        <v>11.4</v>
      </c>
      <c r="AB52" s="3" t="n">
        <v>1</v>
      </c>
      <c r="AC52" s="3" t="n">
        <v>1</v>
      </c>
      <c r="AD52" s="3" t="n">
        <v>1</v>
      </c>
      <c r="AE52" s="3" t="n">
        <v>1</v>
      </c>
      <c r="AF52" s="3" t="n">
        <v>2</v>
      </c>
      <c r="AG52" s="3" t="n">
        <v>2</v>
      </c>
      <c r="AH52" s="3" t="n">
        <v>1</v>
      </c>
      <c r="AI52" s="3" t="n">
        <v>2</v>
      </c>
      <c r="AJ52" s="3" t="n">
        <v>2</v>
      </c>
      <c r="AK52" s="3" t="n">
        <v>2</v>
      </c>
      <c r="AL52" s="3" t="n">
        <v>2</v>
      </c>
      <c r="AM52" s="3" t="n">
        <v>2</v>
      </c>
      <c r="AN52" s="3" t="n">
        <v>2</v>
      </c>
      <c r="AO52" s="3" t="n">
        <v>2</v>
      </c>
      <c r="AP52" s="3" t="n">
        <v>2</v>
      </c>
      <c r="AQ52" s="3" t="n">
        <v>7</v>
      </c>
      <c r="AR52" s="3" t="n">
        <v>2</v>
      </c>
      <c r="AS52" s="3" t="n">
        <v>1</v>
      </c>
      <c r="AT52" s="3" t="n">
        <v>1</v>
      </c>
      <c r="AU52" s="3" t="n">
        <v>1</v>
      </c>
      <c r="AV52" s="3" t="n">
        <v>1</v>
      </c>
      <c r="AW52" s="3" t="n">
        <v>2</v>
      </c>
      <c r="AX52" s="3" t="n">
        <v>1</v>
      </c>
      <c r="AY52" s="3" t="n">
        <v>1</v>
      </c>
      <c r="AZ52" s="5" t="n">
        <v>1</v>
      </c>
      <c r="BA52" s="3" t="n">
        <v>1</v>
      </c>
      <c r="BB52" s="3" t="n">
        <v>1</v>
      </c>
      <c r="BC52" s="3" t="n">
        <v>2</v>
      </c>
      <c r="BD52" s="3" t="n">
        <v>1</v>
      </c>
      <c r="BE52" s="3" t="n">
        <v>2</v>
      </c>
      <c r="BF52" s="3" t="n">
        <v>1</v>
      </c>
      <c r="BG52" s="3" t="n">
        <v>4</v>
      </c>
      <c r="BH52" s="3" t="n">
        <v>1</v>
      </c>
      <c r="BI52" s="3" t="n">
        <v>1</v>
      </c>
    </row>
    <row r="53" customFormat="false" ht="12.75" hidden="false" customHeight="false" outlineLevel="0" collapsed="false">
      <c r="A53" s="2" t="s">
        <v>978</v>
      </c>
      <c r="B53" s="2" t="s">
        <v>623</v>
      </c>
      <c r="C53" s="2" t="s">
        <v>979</v>
      </c>
      <c r="D53" s="2" t="n">
        <v>173262</v>
      </c>
      <c r="E53" s="15" t="n">
        <v>43536</v>
      </c>
      <c r="F53" s="15" t="n">
        <v>43542</v>
      </c>
      <c r="G53" s="3" t="n">
        <v>6</v>
      </c>
      <c r="H53" s="3" t="n">
        <v>1</v>
      </c>
      <c r="I53" s="3" t="n">
        <v>49</v>
      </c>
      <c r="J53" s="3" t="n">
        <v>2</v>
      </c>
      <c r="K53" s="3" t="n">
        <v>2</v>
      </c>
      <c r="L53" s="3" t="n">
        <v>2</v>
      </c>
      <c r="M53" s="3" t="n">
        <v>2</v>
      </c>
      <c r="N53" s="3" t="n">
        <v>2</v>
      </c>
      <c r="O53" s="3" t="n">
        <v>2</v>
      </c>
      <c r="P53" s="3" t="n">
        <v>2</v>
      </c>
      <c r="Q53" s="3" t="n">
        <v>2</v>
      </c>
      <c r="R53" s="3" t="n">
        <v>2</v>
      </c>
      <c r="S53" s="4" t="n">
        <v>2</v>
      </c>
      <c r="T53" s="3" t="n">
        <v>2</v>
      </c>
      <c r="U53" s="3" t="n">
        <v>3.9</v>
      </c>
      <c r="V53" s="3" t="n">
        <v>2.57</v>
      </c>
      <c r="W53" s="3" t="n">
        <v>7.5</v>
      </c>
      <c r="X53" s="3" t="n">
        <v>302</v>
      </c>
      <c r="Z53" s="3" t="n">
        <v>0.35</v>
      </c>
      <c r="AA53" s="3" t="n">
        <v>10</v>
      </c>
      <c r="AB53" s="3" t="n">
        <v>1</v>
      </c>
      <c r="AC53" s="3" t="n">
        <v>1</v>
      </c>
      <c r="AD53" s="3" t="n">
        <v>1</v>
      </c>
      <c r="AE53" s="3" t="n">
        <v>1</v>
      </c>
      <c r="AF53" s="3" t="n">
        <v>2</v>
      </c>
      <c r="AG53" s="3" t="n">
        <v>2</v>
      </c>
      <c r="AH53" s="3" t="n">
        <v>1</v>
      </c>
      <c r="AI53" s="3" t="n">
        <v>2</v>
      </c>
      <c r="AJ53" s="3" t="n">
        <v>2</v>
      </c>
      <c r="AK53" s="3" t="n">
        <v>2</v>
      </c>
      <c r="AL53" s="3" t="n">
        <v>2</v>
      </c>
      <c r="AM53" s="3" t="n">
        <v>2</v>
      </c>
      <c r="AN53" s="3" t="n">
        <v>2</v>
      </c>
      <c r="AO53" s="3" t="n">
        <v>3</v>
      </c>
      <c r="AP53" s="3" t="n">
        <v>4</v>
      </c>
      <c r="AQ53" s="3" t="n">
        <v>4</v>
      </c>
      <c r="AR53" s="3" t="n">
        <v>6</v>
      </c>
      <c r="AS53" s="3" t="n">
        <v>4</v>
      </c>
      <c r="AT53" s="3" t="n">
        <v>4</v>
      </c>
      <c r="AU53" s="3" t="n">
        <v>6</v>
      </c>
      <c r="AV53" s="3" t="n">
        <v>6</v>
      </c>
      <c r="AW53" s="3" t="n">
        <v>3</v>
      </c>
      <c r="AX53" s="3" t="n">
        <v>3</v>
      </c>
      <c r="AY53" s="3" t="n">
        <v>1</v>
      </c>
      <c r="AZ53" s="5" t="n">
        <v>1</v>
      </c>
      <c r="BA53" s="3" t="n">
        <v>1</v>
      </c>
      <c r="BB53" s="3" t="n">
        <v>1</v>
      </c>
      <c r="BC53" s="3" t="n">
        <v>2</v>
      </c>
      <c r="BD53" s="3" t="n">
        <v>3</v>
      </c>
      <c r="BE53" s="3" t="n">
        <v>5</v>
      </c>
      <c r="BF53" s="3" t="n">
        <v>3</v>
      </c>
      <c r="BG53" s="3" t="n">
        <v>4</v>
      </c>
      <c r="BH53" s="3" t="n">
        <v>1</v>
      </c>
      <c r="BI53" s="3" t="n">
        <v>1</v>
      </c>
    </row>
    <row r="54" customFormat="false" ht="12.75" hidden="false" customHeight="false" outlineLevel="0" collapsed="false">
      <c r="A54" s="2" t="s">
        <v>986</v>
      </c>
      <c r="B54" s="2" t="s">
        <v>987</v>
      </c>
      <c r="C54" s="2" t="s">
        <v>988</v>
      </c>
      <c r="D54" s="2" t="n">
        <v>173244</v>
      </c>
      <c r="E54" s="15" t="n">
        <v>43537</v>
      </c>
      <c r="F54" s="15" t="n">
        <v>43544</v>
      </c>
      <c r="G54" s="3" t="n">
        <v>7</v>
      </c>
      <c r="H54" s="3" t="n">
        <v>1</v>
      </c>
      <c r="I54" s="3" t="n">
        <v>66</v>
      </c>
      <c r="J54" s="3" t="n">
        <v>2</v>
      </c>
      <c r="K54" s="3" t="n">
        <v>1</v>
      </c>
      <c r="L54" s="3" t="n">
        <v>1</v>
      </c>
      <c r="M54" s="3" t="n">
        <v>2</v>
      </c>
      <c r="N54" s="3" t="n">
        <v>2</v>
      </c>
      <c r="O54" s="3" t="n">
        <v>2</v>
      </c>
      <c r="P54" s="3" t="n">
        <v>1</v>
      </c>
      <c r="Q54" s="3" t="n">
        <v>2</v>
      </c>
      <c r="R54" s="3" t="n">
        <v>2</v>
      </c>
      <c r="S54" s="4" t="n">
        <v>2</v>
      </c>
      <c r="T54" s="3" t="n">
        <v>2</v>
      </c>
      <c r="U54" s="3" t="n">
        <v>4.46</v>
      </c>
      <c r="V54" s="3" t="n">
        <v>1.55</v>
      </c>
      <c r="W54" s="3" t="n">
        <v>17.2</v>
      </c>
      <c r="X54" s="3" t="n">
        <v>329</v>
      </c>
      <c r="Z54" s="3" t="n">
        <v>0.37</v>
      </c>
      <c r="AA54" s="3" t="n">
        <v>11.4</v>
      </c>
      <c r="AB54" s="3" t="n">
        <v>1</v>
      </c>
      <c r="AC54" s="3" t="n">
        <v>1</v>
      </c>
      <c r="AD54" s="3" t="n">
        <v>1</v>
      </c>
      <c r="AE54" s="3" t="n">
        <v>1</v>
      </c>
      <c r="AF54" s="3" t="n">
        <v>2</v>
      </c>
      <c r="AG54" s="3" t="n">
        <v>1</v>
      </c>
      <c r="AH54" s="3" t="n">
        <v>1</v>
      </c>
      <c r="AI54" s="3" t="n">
        <v>2</v>
      </c>
      <c r="AJ54" s="3" t="n">
        <v>2</v>
      </c>
      <c r="AK54" s="3" t="n">
        <v>2</v>
      </c>
      <c r="AL54" s="3" t="n">
        <v>2</v>
      </c>
      <c r="AM54" s="3" t="n">
        <v>2</v>
      </c>
      <c r="AN54" s="3" t="n">
        <v>2</v>
      </c>
      <c r="AO54" s="3" t="n">
        <v>3</v>
      </c>
      <c r="AP54" s="3" t="n">
        <v>4</v>
      </c>
      <c r="AQ54" s="3" t="n">
        <v>4</v>
      </c>
      <c r="AR54" s="3" t="n">
        <v>6</v>
      </c>
      <c r="AS54" s="3" t="n">
        <v>4</v>
      </c>
      <c r="AT54" s="3" t="n">
        <v>4</v>
      </c>
      <c r="AU54" s="3" t="n">
        <v>6</v>
      </c>
      <c r="AV54" s="3" t="n">
        <v>6</v>
      </c>
      <c r="AW54" s="3" t="n">
        <v>3</v>
      </c>
      <c r="AX54" s="3" t="n">
        <v>3</v>
      </c>
      <c r="AY54" s="3" t="n">
        <v>1</v>
      </c>
      <c r="AZ54" s="5" t="n">
        <v>1</v>
      </c>
      <c r="BA54" s="3" t="n">
        <v>1</v>
      </c>
      <c r="BB54" s="3" t="n">
        <v>1</v>
      </c>
      <c r="BC54" s="3" t="n">
        <v>4</v>
      </c>
      <c r="BD54" s="3" t="n">
        <v>3</v>
      </c>
      <c r="BE54" s="3" t="n">
        <v>5</v>
      </c>
      <c r="BF54" s="3" t="n">
        <v>3</v>
      </c>
      <c r="BG54" s="3" t="n">
        <v>4</v>
      </c>
      <c r="BH54" s="3" t="n">
        <v>1</v>
      </c>
      <c r="BI54" s="3" t="n">
        <v>1</v>
      </c>
    </row>
    <row r="55" customFormat="false" ht="12.75" hidden="false" customHeight="false" outlineLevel="0" collapsed="false">
      <c r="A55" s="2" t="s">
        <v>1005</v>
      </c>
      <c r="B55" s="2" t="s">
        <v>454</v>
      </c>
      <c r="C55" s="2" t="s">
        <v>95</v>
      </c>
      <c r="D55" s="2" t="n">
        <v>173644</v>
      </c>
      <c r="E55" s="15" t="n">
        <v>43540</v>
      </c>
      <c r="F55" s="15" t="n">
        <v>43550</v>
      </c>
      <c r="G55" s="3" t="n">
        <v>10</v>
      </c>
      <c r="H55" s="3" t="n">
        <v>2</v>
      </c>
      <c r="I55" s="3" t="n">
        <v>60</v>
      </c>
      <c r="J55" s="3" t="n">
        <v>1</v>
      </c>
      <c r="K55" s="3" t="n">
        <v>2</v>
      </c>
      <c r="L55" s="3" t="n">
        <v>1</v>
      </c>
      <c r="M55" s="3" t="n">
        <v>2</v>
      </c>
      <c r="N55" s="3" t="n">
        <v>2</v>
      </c>
      <c r="O55" s="3" t="n">
        <v>2</v>
      </c>
      <c r="P55" s="3" t="n">
        <v>2</v>
      </c>
      <c r="Q55" s="3" t="n">
        <v>2</v>
      </c>
      <c r="R55" s="3" t="n">
        <v>2</v>
      </c>
      <c r="S55" s="4" t="n">
        <v>2</v>
      </c>
      <c r="T55" s="3" t="n">
        <v>2</v>
      </c>
      <c r="U55" s="3" t="n">
        <v>3.88</v>
      </c>
      <c r="V55" s="3" t="n">
        <v>0.87</v>
      </c>
      <c r="W55" s="3" t="n">
        <v>7.88</v>
      </c>
      <c r="X55" s="3" t="n">
        <v>385</v>
      </c>
      <c r="Z55" s="3" t="n">
        <v>0.45</v>
      </c>
      <c r="AA55" s="3" t="n">
        <v>12</v>
      </c>
      <c r="AB55" s="3" t="n">
        <v>2</v>
      </c>
      <c r="AC55" s="3" t="n">
        <v>2</v>
      </c>
      <c r="AD55" s="3" t="n">
        <v>1</v>
      </c>
      <c r="AE55" s="3" t="n">
        <v>1</v>
      </c>
      <c r="AF55" s="3" t="n">
        <v>2</v>
      </c>
      <c r="AG55" s="3" t="n">
        <v>2</v>
      </c>
      <c r="AH55" s="3" t="n">
        <v>1</v>
      </c>
      <c r="AI55" s="3" t="n">
        <v>2</v>
      </c>
      <c r="AJ55" s="3" t="n">
        <v>2</v>
      </c>
      <c r="AK55" s="3" t="n">
        <v>2</v>
      </c>
      <c r="AL55" s="3" t="n">
        <v>1</v>
      </c>
      <c r="AM55" s="3" t="n">
        <v>2</v>
      </c>
      <c r="AN55" s="3" t="n">
        <v>2</v>
      </c>
      <c r="AO55" s="3" t="n">
        <v>3</v>
      </c>
      <c r="AP55" s="3" t="n">
        <v>4</v>
      </c>
      <c r="AQ55" s="3" t="n">
        <v>4</v>
      </c>
      <c r="AR55" s="3" t="n">
        <v>6</v>
      </c>
      <c r="AS55" s="3" t="n">
        <v>4</v>
      </c>
      <c r="AT55" s="3" t="n">
        <v>4</v>
      </c>
      <c r="AU55" s="3" t="n">
        <v>6</v>
      </c>
      <c r="AV55" s="3" t="n">
        <v>6</v>
      </c>
      <c r="AW55" s="3" t="n">
        <v>3</v>
      </c>
      <c r="AX55" s="3" t="n">
        <v>3</v>
      </c>
      <c r="AY55" s="3" t="n">
        <v>4</v>
      </c>
      <c r="AZ55" s="5" t="n">
        <v>1</v>
      </c>
      <c r="BA55" s="3" t="n">
        <v>1</v>
      </c>
      <c r="BB55" s="3" t="n">
        <v>1</v>
      </c>
      <c r="BC55" s="3" t="n">
        <v>2</v>
      </c>
      <c r="BD55" s="3" t="n">
        <v>1</v>
      </c>
      <c r="BE55" s="3" t="n">
        <v>2</v>
      </c>
      <c r="BF55" s="3" t="n">
        <v>1</v>
      </c>
      <c r="BG55" s="3" t="n">
        <v>4</v>
      </c>
      <c r="BH55" s="3" t="n">
        <v>1</v>
      </c>
      <c r="BI55" s="3" t="n">
        <v>1</v>
      </c>
    </row>
    <row r="56" customFormat="false" ht="12.75" hidden="false" customHeight="false" outlineLevel="0" collapsed="false">
      <c r="A56" s="2" t="s">
        <v>1010</v>
      </c>
      <c r="B56" s="2" t="s">
        <v>1011</v>
      </c>
      <c r="C56" s="2" t="s">
        <v>1011</v>
      </c>
      <c r="D56" s="2" t="n">
        <v>173678</v>
      </c>
      <c r="E56" s="15" t="n">
        <v>43542</v>
      </c>
      <c r="F56" s="15" t="n">
        <v>43551</v>
      </c>
      <c r="G56" s="3" t="n">
        <v>9</v>
      </c>
      <c r="H56" s="3" t="n">
        <v>2</v>
      </c>
      <c r="I56" s="3" t="n">
        <v>51</v>
      </c>
      <c r="J56" s="3" t="n">
        <v>1</v>
      </c>
      <c r="K56" s="3" t="n">
        <v>2</v>
      </c>
      <c r="L56" s="3" t="n">
        <v>1</v>
      </c>
      <c r="M56" s="3" t="n">
        <v>2</v>
      </c>
      <c r="N56" s="3" t="n">
        <v>2</v>
      </c>
      <c r="O56" s="3" t="n">
        <v>2</v>
      </c>
      <c r="P56" s="3" t="n">
        <v>2</v>
      </c>
      <c r="Q56" s="3" t="n">
        <v>2</v>
      </c>
      <c r="R56" s="3" t="n">
        <v>2</v>
      </c>
      <c r="S56" s="4" t="n">
        <v>2</v>
      </c>
      <c r="T56" s="3" t="n">
        <v>2</v>
      </c>
      <c r="U56" s="3" t="n">
        <v>4.4</v>
      </c>
      <c r="V56" s="3" t="n">
        <v>1.36</v>
      </c>
      <c r="W56" s="3" t="n">
        <v>7.19</v>
      </c>
      <c r="X56" s="3" t="n">
        <v>398</v>
      </c>
      <c r="Z56" s="3" t="n">
        <v>0.46</v>
      </c>
      <c r="AA56" s="3" t="n">
        <v>9.8</v>
      </c>
      <c r="AB56" s="3" t="n">
        <v>2</v>
      </c>
      <c r="AC56" s="3" t="n">
        <v>2</v>
      </c>
      <c r="AD56" s="3" t="n">
        <v>1</v>
      </c>
      <c r="AE56" s="3" t="n">
        <v>1</v>
      </c>
      <c r="AF56" s="3" t="n">
        <v>2</v>
      </c>
      <c r="AG56" s="3" t="n">
        <v>2</v>
      </c>
      <c r="AH56" s="3" t="n">
        <v>1</v>
      </c>
      <c r="AI56" s="3" t="n">
        <v>2</v>
      </c>
      <c r="AJ56" s="3" t="n">
        <v>2</v>
      </c>
      <c r="AK56" s="3" t="n">
        <v>2</v>
      </c>
      <c r="AL56" s="3" t="n">
        <v>2</v>
      </c>
      <c r="AM56" s="3" t="n">
        <v>1</v>
      </c>
      <c r="AN56" s="3" t="n">
        <v>2</v>
      </c>
      <c r="AO56" s="3" t="n">
        <v>3</v>
      </c>
      <c r="AP56" s="3" t="n">
        <v>4</v>
      </c>
      <c r="AQ56" s="3" t="n">
        <v>4</v>
      </c>
      <c r="AR56" s="3" t="n">
        <v>6</v>
      </c>
      <c r="AS56" s="3" t="n">
        <v>4</v>
      </c>
      <c r="AT56" s="3" t="n">
        <v>4</v>
      </c>
      <c r="AU56" s="3" t="n">
        <v>6</v>
      </c>
      <c r="AV56" s="3" t="n">
        <v>6</v>
      </c>
      <c r="AW56" s="3" t="n">
        <v>3</v>
      </c>
      <c r="AX56" s="3" t="n">
        <v>3</v>
      </c>
      <c r="AY56" s="3" t="n">
        <v>6</v>
      </c>
      <c r="AZ56" s="5" t="n">
        <v>1</v>
      </c>
      <c r="BA56" s="3" t="n">
        <v>1</v>
      </c>
      <c r="BB56" s="3" t="n">
        <v>1</v>
      </c>
      <c r="BC56" s="3" t="n">
        <v>2</v>
      </c>
      <c r="BD56" s="3" t="n">
        <v>1</v>
      </c>
      <c r="BE56" s="3" t="n">
        <v>2</v>
      </c>
      <c r="BF56" s="3" t="n">
        <v>1</v>
      </c>
      <c r="BG56" s="3" t="n">
        <v>4</v>
      </c>
      <c r="BH56" s="3" t="n">
        <v>1</v>
      </c>
      <c r="BI56" s="3" t="n">
        <v>1</v>
      </c>
    </row>
    <row r="57" customFormat="false" ht="12.75" hidden="false" customHeight="false" outlineLevel="0" collapsed="false">
      <c r="A57" s="26" t="s">
        <v>1013</v>
      </c>
      <c r="B57" s="26" t="s">
        <v>168</v>
      </c>
      <c r="C57" s="26" t="s">
        <v>244</v>
      </c>
      <c r="D57" s="26" t="n">
        <v>174181</v>
      </c>
      <c r="E57" s="27" t="n">
        <v>43546</v>
      </c>
      <c r="F57" s="27" t="n">
        <v>43546</v>
      </c>
      <c r="G57" s="30" t="n">
        <v>0</v>
      </c>
      <c r="H57" s="30" t="n">
        <v>1</v>
      </c>
      <c r="I57" s="30" t="n">
        <v>57</v>
      </c>
      <c r="J57" s="30" t="n">
        <v>2</v>
      </c>
      <c r="K57" s="30" t="n">
        <v>1</v>
      </c>
      <c r="L57" s="30" t="n">
        <v>1</v>
      </c>
      <c r="M57" s="30" t="n">
        <v>2</v>
      </c>
      <c r="N57" s="30" t="n">
        <v>2</v>
      </c>
      <c r="O57" s="30" t="n">
        <v>2</v>
      </c>
      <c r="P57" s="30" t="n">
        <v>2</v>
      </c>
      <c r="Q57" s="30" t="n">
        <v>2</v>
      </c>
      <c r="R57" s="30" t="n">
        <v>2</v>
      </c>
      <c r="S57" s="4" t="n">
        <v>2</v>
      </c>
      <c r="T57" s="30" t="n">
        <v>2</v>
      </c>
      <c r="U57" s="30"/>
      <c r="V57" s="30"/>
      <c r="W57" s="30"/>
      <c r="X57" s="30"/>
      <c r="Z57" s="30"/>
      <c r="AA57" s="30"/>
      <c r="AB57" s="30" t="n">
        <v>3</v>
      </c>
      <c r="AC57" s="30" t="n">
        <v>2</v>
      </c>
      <c r="AD57" s="30" t="n">
        <v>1</v>
      </c>
      <c r="AE57" s="30" t="n">
        <v>1</v>
      </c>
      <c r="AF57" s="30" t="n">
        <v>2</v>
      </c>
      <c r="AG57" s="30" t="n">
        <v>2</v>
      </c>
      <c r="AH57" s="30" t="n">
        <v>1</v>
      </c>
      <c r="AI57" s="30" t="n">
        <v>2</v>
      </c>
      <c r="AJ57" s="30" t="n">
        <v>2</v>
      </c>
      <c r="AK57" s="30" t="n">
        <v>2</v>
      </c>
      <c r="AL57" s="30" t="n">
        <v>1</v>
      </c>
      <c r="AM57" s="30" t="n">
        <v>1</v>
      </c>
      <c r="AN57" s="30" t="n">
        <v>2</v>
      </c>
      <c r="AO57" s="30" t="n">
        <v>3</v>
      </c>
      <c r="AP57" s="30" t="n">
        <v>4</v>
      </c>
      <c r="AQ57" s="30" t="n">
        <v>4</v>
      </c>
      <c r="AR57" s="30" t="n">
        <v>6</v>
      </c>
      <c r="AS57" s="30" t="n">
        <v>4</v>
      </c>
      <c r="AT57" s="30" t="n">
        <v>4</v>
      </c>
      <c r="AU57" s="30" t="n">
        <v>6</v>
      </c>
      <c r="AV57" s="30" t="n">
        <v>6</v>
      </c>
      <c r="AW57" s="30" t="n">
        <v>3</v>
      </c>
      <c r="AX57" s="30" t="n">
        <v>3</v>
      </c>
      <c r="AY57" s="30" t="n">
        <v>10</v>
      </c>
      <c r="AZ57" s="5" t="n">
        <v>1</v>
      </c>
      <c r="BA57" s="30" t="n">
        <v>1</v>
      </c>
      <c r="BB57" s="30" t="n">
        <v>2</v>
      </c>
      <c r="BC57" s="30" t="n">
        <v>3</v>
      </c>
      <c r="BD57" s="30" t="n">
        <v>1</v>
      </c>
      <c r="BE57" s="30" t="n">
        <v>2</v>
      </c>
      <c r="BF57" s="30" t="n">
        <v>1</v>
      </c>
      <c r="BG57" s="30" t="n">
        <v>4</v>
      </c>
      <c r="BH57" s="30" t="n">
        <v>2</v>
      </c>
      <c r="BI57" s="30" t="n">
        <v>2</v>
      </c>
    </row>
    <row r="58" customFormat="false" ht="12.75" hidden="false" customHeight="false" outlineLevel="0" collapsed="false">
      <c r="A58" s="2" t="s">
        <v>1017</v>
      </c>
      <c r="B58" s="2" t="s">
        <v>1018</v>
      </c>
      <c r="C58" s="2" t="s">
        <v>66</v>
      </c>
      <c r="D58" s="2" t="n">
        <v>174147</v>
      </c>
      <c r="E58" s="15" t="n">
        <v>43544</v>
      </c>
      <c r="F58" s="15" t="n">
        <v>43551</v>
      </c>
      <c r="G58" s="3" t="n">
        <v>7</v>
      </c>
      <c r="H58" s="3" t="n">
        <v>1</v>
      </c>
      <c r="I58" s="3" t="n">
        <v>55</v>
      </c>
      <c r="J58" s="3" t="n">
        <v>1</v>
      </c>
      <c r="K58" s="3" t="n">
        <v>2</v>
      </c>
      <c r="L58" s="3" t="n">
        <v>1</v>
      </c>
      <c r="M58" s="3" t="n">
        <v>2</v>
      </c>
      <c r="N58" s="3" t="n">
        <v>2</v>
      </c>
      <c r="O58" s="3" t="n">
        <v>2</v>
      </c>
      <c r="P58" s="3" t="n">
        <v>2</v>
      </c>
      <c r="Q58" s="3" t="n">
        <v>2</v>
      </c>
      <c r="R58" s="3" t="n">
        <v>2</v>
      </c>
      <c r="S58" s="4" t="n">
        <v>2</v>
      </c>
      <c r="T58" s="3" t="n">
        <v>2</v>
      </c>
      <c r="U58" s="3" t="n">
        <v>5.86</v>
      </c>
      <c r="V58" s="3" t="n">
        <v>2.07</v>
      </c>
      <c r="W58" s="3" t="n">
        <v>6.2</v>
      </c>
      <c r="X58" s="3" t="n">
        <v>235</v>
      </c>
      <c r="Z58" s="3" t="n">
        <v>0.35</v>
      </c>
      <c r="AA58" s="3" t="n">
        <v>9.5</v>
      </c>
      <c r="AB58" s="3" t="n">
        <v>1</v>
      </c>
      <c r="AC58" s="3" t="n">
        <v>2</v>
      </c>
      <c r="AD58" s="3" t="n">
        <v>1</v>
      </c>
      <c r="AE58" s="3" t="n">
        <v>1</v>
      </c>
      <c r="AF58" s="3" t="n">
        <v>2</v>
      </c>
      <c r="AG58" s="3" t="n">
        <v>2</v>
      </c>
      <c r="AH58" s="3" t="n">
        <v>1</v>
      </c>
      <c r="AI58" s="3" t="n">
        <v>2</v>
      </c>
      <c r="AJ58" s="3" t="n">
        <v>2</v>
      </c>
      <c r="AK58" s="3" t="n">
        <v>2</v>
      </c>
      <c r="AL58" s="3" t="n">
        <v>2</v>
      </c>
      <c r="AM58" s="3" t="n">
        <v>2</v>
      </c>
      <c r="AN58" s="3" t="n">
        <v>2</v>
      </c>
      <c r="AO58" s="3" t="n">
        <v>3</v>
      </c>
      <c r="AP58" s="3" t="n">
        <v>4</v>
      </c>
      <c r="AQ58" s="3" t="n">
        <v>4</v>
      </c>
      <c r="AR58" s="3" t="n">
        <v>6</v>
      </c>
      <c r="AS58" s="3" t="n">
        <v>4</v>
      </c>
      <c r="AT58" s="3" t="n">
        <v>4</v>
      </c>
      <c r="AU58" s="3" t="n">
        <v>6</v>
      </c>
      <c r="AV58" s="3" t="n">
        <v>6</v>
      </c>
      <c r="AW58" s="3" t="n">
        <v>3</v>
      </c>
      <c r="AX58" s="3" t="n">
        <v>3</v>
      </c>
      <c r="AY58" s="3" t="n">
        <v>1</v>
      </c>
      <c r="AZ58" s="5" t="n">
        <v>1</v>
      </c>
      <c r="BA58" s="3" t="n">
        <v>1</v>
      </c>
      <c r="BB58" s="3" t="n">
        <v>1</v>
      </c>
      <c r="BC58" s="3" t="n">
        <v>3</v>
      </c>
      <c r="BD58" s="3" t="n">
        <v>1</v>
      </c>
      <c r="BE58" s="3" t="n">
        <v>2</v>
      </c>
      <c r="BF58" s="3" t="n">
        <v>1</v>
      </c>
      <c r="BG58" s="3" t="n">
        <v>4</v>
      </c>
      <c r="BH58" s="3" t="n">
        <v>1</v>
      </c>
      <c r="BI58" s="3" t="n">
        <v>1</v>
      </c>
    </row>
    <row r="59" customFormat="false" ht="12.75" hidden="false" customHeight="false" outlineLevel="0" collapsed="false">
      <c r="A59" s="2" t="s">
        <v>228</v>
      </c>
      <c r="B59" s="2" t="s">
        <v>414</v>
      </c>
      <c r="C59" s="2" t="s">
        <v>160</v>
      </c>
      <c r="D59" s="2" t="n">
        <v>173694</v>
      </c>
      <c r="E59" s="15" t="n">
        <v>43545</v>
      </c>
      <c r="F59" s="15" t="n">
        <v>43552</v>
      </c>
      <c r="G59" s="3" t="n">
        <v>7</v>
      </c>
      <c r="H59" s="3" t="n">
        <v>2</v>
      </c>
      <c r="I59" s="3" t="n">
        <v>66</v>
      </c>
      <c r="J59" s="3" t="n">
        <v>1</v>
      </c>
      <c r="K59" s="3" t="n">
        <v>1</v>
      </c>
      <c r="L59" s="3" t="n">
        <v>2</v>
      </c>
      <c r="M59" s="3" t="n">
        <v>1</v>
      </c>
      <c r="N59" s="3" t="n">
        <v>1</v>
      </c>
      <c r="O59" s="3" t="n">
        <v>2</v>
      </c>
      <c r="P59" s="3" t="n">
        <v>2</v>
      </c>
      <c r="Q59" s="3" t="n">
        <v>2</v>
      </c>
      <c r="R59" s="3" t="n">
        <v>2</v>
      </c>
      <c r="S59" s="4" t="n">
        <v>2</v>
      </c>
      <c r="T59" s="3" t="n">
        <v>2</v>
      </c>
      <c r="U59" s="3" t="n">
        <v>2.8</v>
      </c>
      <c r="V59" s="3" t="n">
        <v>0.88</v>
      </c>
      <c r="W59" s="3" t="n">
        <v>4.8</v>
      </c>
      <c r="X59" s="3" t="n">
        <v>596</v>
      </c>
      <c r="Z59" s="3" t="n">
        <v>0.25</v>
      </c>
      <c r="AA59" s="3" t="n">
        <v>11.9</v>
      </c>
      <c r="AB59" s="3" t="n">
        <v>2</v>
      </c>
      <c r="AC59" s="3" t="n">
        <v>1</v>
      </c>
      <c r="AD59" s="3" t="n">
        <v>1</v>
      </c>
      <c r="AE59" s="3" t="n">
        <v>1</v>
      </c>
      <c r="AF59" s="3" t="n">
        <v>2</v>
      </c>
      <c r="AG59" s="3" t="n">
        <v>2</v>
      </c>
      <c r="AH59" s="3" t="n">
        <v>1</v>
      </c>
      <c r="AI59" s="3" t="n">
        <v>2</v>
      </c>
      <c r="AJ59" s="3" t="n">
        <v>2</v>
      </c>
      <c r="AK59" s="3" t="n">
        <v>2</v>
      </c>
      <c r="AL59" s="3" t="n">
        <v>1</v>
      </c>
      <c r="AM59" s="3" t="n">
        <v>2</v>
      </c>
      <c r="AN59" s="3" t="n">
        <v>2</v>
      </c>
      <c r="AO59" s="3" t="n">
        <v>3</v>
      </c>
      <c r="AP59" s="3" t="n">
        <v>4</v>
      </c>
      <c r="AQ59" s="3" t="n">
        <v>4</v>
      </c>
      <c r="AR59" s="3" t="n">
        <v>6</v>
      </c>
      <c r="AS59" s="3" t="n">
        <v>4</v>
      </c>
      <c r="AT59" s="3" t="n">
        <v>4</v>
      </c>
      <c r="AU59" s="3" t="n">
        <v>6</v>
      </c>
      <c r="AV59" s="3" t="n">
        <v>6</v>
      </c>
      <c r="AW59" s="3" t="n">
        <v>3</v>
      </c>
      <c r="AX59" s="3" t="n">
        <v>3</v>
      </c>
      <c r="AY59" s="3" t="n">
        <v>1</v>
      </c>
      <c r="AZ59" s="5" t="n">
        <v>1</v>
      </c>
      <c r="BA59" s="3" t="n">
        <v>1</v>
      </c>
      <c r="BB59" s="3" t="n">
        <v>1</v>
      </c>
      <c r="BC59" s="3" t="n">
        <v>4</v>
      </c>
      <c r="BD59" s="3" t="n">
        <v>1</v>
      </c>
      <c r="BE59" s="3" t="n">
        <v>2</v>
      </c>
      <c r="BF59" s="3" t="n">
        <v>1</v>
      </c>
      <c r="BG59" s="3" t="n">
        <v>4</v>
      </c>
      <c r="BH59" s="3" t="n">
        <v>1</v>
      </c>
      <c r="BI59" s="3" t="n">
        <v>1</v>
      </c>
    </row>
    <row r="60" customFormat="false" ht="12.75" hidden="false" customHeight="false" outlineLevel="0" collapsed="false">
      <c r="A60" s="2" t="s">
        <v>440</v>
      </c>
      <c r="B60" s="2" t="s">
        <v>94</v>
      </c>
      <c r="C60" s="2" t="s">
        <v>94</v>
      </c>
      <c r="D60" s="2" t="n">
        <v>174500</v>
      </c>
      <c r="E60" s="15" t="n">
        <v>43550</v>
      </c>
      <c r="F60" s="15" t="n">
        <v>43558</v>
      </c>
      <c r="G60" s="3" t="n">
        <v>8</v>
      </c>
      <c r="H60" s="3" t="n">
        <v>2</v>
      </c>
      <c r="I60" s="3" t="n">
        <v>81</v>
      </c>
      <c r="J60" s="3" t="n">
        <v>1</v>
      </c>
      <c r="K60" s="3" t="n">
        <v>1</v>
      </c>
      <c r="L60" s="3" t="n">
        <v>1</v>
      </c>
      <c r="M60" s="3" t="n">
        <v>1</v>
      </c>
      <c r="N60" s="3" t="n">
        <v>2</v>
      </c>
      <c r="O60" s="3" t="n">
        <v>2</v>
      </c>
      <c r="P60" s="3" t="n">
        <v>2</v>
      </c>
      <c r="Q60" s="3" t="n">
        <v>2</v>
      </c>
      <c r="R60" s="3" t="n">
        <v>1</v>
      </c>
      <c r="S60" s="4" t="n">
        <v>2</v>
      </c>
      <c r="T60" s="3" t="n">
        <v>2</v>
      </c>
      <c r="U60" s="3" t="n">
        <v>2.88</v>
      </c>
      <c r="V60" s="3" t="n">
        <v>0.6</v>
      </c>
      <c r="W60" s="3" t="n">
        <v>5.5</v>
      </c>
      <c r="X60" s="3" t="n">
        <v>355</v>
      </c>
      <c r="Z60" s="3" t="n">
        <v>0.45</v>
      </c>
      <c r="AA60" s="3" t="n">
        <v>13</v>
      </c>
      <c r="AB60" s="3" t="n">
        <v>2</v>
      </c>
      <c r="AC60" s="3" t="n">
        <v>1</v>
      </c>
      <c r="AD60" s="3" t="n">
        <v>1</v>
      </c>
      <c r="AE60" s="3" t="n">
        <v>1</v>
      </c>
      <c r="AF60" s="3" t="n">
        <v>2</v>
      </c>
      <c r="AG60" s="3" t="n">
        <v>2</v>
      </c>
      <c r="AH60" s="3" t="n">
        <v>1</v>
      </c>
      <c r="AI60" s="3" t="n">
        <v>1</v>
      </c>
      <c r="AJ60" s="3" t="n">
        <v>2</v>
      </c>
      <c r="AK60" s="3" t="n">
        <v>2</v>
      </c>
      <c r="AL60" s="3" t="n">
        <v>1</v>
      </c>
      <c r="AM60" s="3" t="n">
        <v>2</v>
      </c>
      <c r="AN60" s="3" t="n">
        <v>2</v>
      </c>
      <c r="AO60" s="3" t="n">
        <v>3</v>
      </c>
      <c r="AP60" s="3" t="n">
        <v>4</v>
      </c>
      <c r="AQ60" s="3" t="n">
        <v>4</v>
      </c>
      <c r="AR60" s="3" t="n">
        <v>6</v>
      </c>
      <c r="AS60" s="3" t="n">
        <v>4</v>
      </c>
      <c r="AT60" s="3" t="n">
        <v>4</v>
      </c>
      <c r="AU60" s="3" t="n">
        <v>6</v>
      </c>
      <c r="AV60" s="3" t="n">
        <v>6</v>
      </c>
      <c r="AW60" s="3" t="n">
        <v>3</v>
      </c>
      <c r="AX60" s="3" t="n">
        <v>3</v>
      </c>
      <c r="AY60" s="3" t="n">
        <v>1</v>
      </c>
      <c r="AZ60" s="5" t="n">
        <v>1</v>
      </c>
      <c r="BA60" s="3" t="n">
        <v>2</v>
      </c>
      <c r="BB60" s="3" t="n">
        <v>1</v>
      </c>
      <c r="BC60" s="3" t="n">
        <v>2</v>
      </c>
      <c r="BD60" s="3" t="n">
        <v>1</v>
      </c>
      <c r="BE60" s="3" t="n">
        <v>2</v>
      </c>
      <c r="BF60" s="3" t="n">
        <v>1</v>
      </c>
      <c r="BG60" s="3" t="n">
        <v>4</v>
      </c>
      <c r="BH60" s="3" t="n">
        <v>1</v>
      </c>
      <c r="BI60" s="3" t="n">
        <v>1</v>
      </c>
    </row>
    <row r="61" customFormat="false" ht="12.75" hidden="false" customHeight="false" outlineLevel="0" collapsed="false">
      <c r="A61" s="2" t="s">
        <v>831</v>
      </c>
      <c r="B61" s="2" t="s">
        <v>1048</v>
      </c>
      <c r="C61" s="2" t="s">
        <v>577</v>
      </c>
      <c r="D61" s="2" t="n">
        <v>174561</v>
      </c>
      <c r="E61" s="15" t="n">
        <v>43552</v>
      </c>
      <c r="F61" s="15" t="n">
        <v>43560</v>
      </c>
      <c r="G61" s="3" t="n">
        <v>8</v>
      </c>
      <c r="H61" s="3" t="n">
        <v>2</v>
      </c>
      <c r="I61" s="3" t="n">
        <v>43</v>
      </c>
      <c r="J61" s="3" t="n">
        <v>2</v>
      </c>
      <c r="K61" s="3" t="n">
        <v>1</v>
      </c>
      <c r="L61" s="3" t="n">
        <v>2</v>
      </c>
      <c r="M61" s="3" t="n">
        <v>2</v>
      </c>
      <c r="N61" s="3" t="n">
        <v>2</v>
      </c>
      <c r="O61" s="3" t="n">
        <v>2</v>
      </c>
      <c r="P61" s="3" t="n">
        <v>2</v>
      </c>
      <c r="Q61" s="3" t="n">
        <v>2</v>
      </c>
      <c r="R61" s="3" t="n">
        <v>2</v>
      </c>
      <c r="S61" s="4" t="n">
        <v>2</v>
      </c>
      <c r="T61" s="3" t="n">
        <v>2</v>
      </c>
      <c r="U61" s="3" t="n">
        <v>7.61</v>
      </c>
      <c r="V61" s="3" t="n">
        <v>0.96</v>
      </c>
      <c r="W61" s="3" t="n">
        <v>6.9</v>
      </c>
      <c r="X61" s="3" t="n">
        <v>281</v>
      </c>
      <c r="Z61" s="3" t="n">
        <v>0.42</v>
      </c>
      <c r="AA61" s="3" t="n">
        <v>13.6</v>
      </c>
      <c r="AB61" s="3" t="n">
        <v>1</v>
      </c>
      <c r="AC61" s="3" t="n">
        <v>2</v>
      </c>
      <c r="AD61" s="3" t="n">
        <v>1</v>
      </c>
      <c r="AE61" s="3" t="n">
        <v>1</v>
      </c>
      <c r="AF61" s="3" t="n">
        <v>1</v>
      </c>
      <c r="AG61" s="3" t="n">
        <v>2</v>
      </c>
      <c r="AH61" s="3" t="n">
        <v>1</v>
      </c>
      <c r="AI61" s="3" t="n">
        <v>2</v>
      </c>
      <c r="AJ61" s="3" t="n">
        <v>2</v>
      </c>
      <c r="AK61" s="3" t="n">
        <v>2</v>
      </c>
      <c r="AL61" s="3" t="n">
        <v>2</v>
      </c>
      <c r="AM61" s="3" t="n">
        <v>2</v>
      </c>
      <c r="AN61" s="3" t="n">
        <v>2</v>
      </c>
      <c r="AO61" s="3" t="n">
        <v>3</v>
      </c>
      <c r="AP61" s="3" t="n">
        <v>4</v>
      </c>
      <c r="AQ61" s="3" t="n">
        <v>4</v>
      </c>
      <c r="AR61" s="3" t="n">
        <v>6</v>
      </c>
      <c r="AS61" s="3" t="n">
        <v>4</v>
      </c>
      <c r="AT61" s="3" t="n">
        <v>4</v>
      </c>
      <c r="AU61" s="3" t="n">
        <v>6</v>
      </c>
      <c r="AV61" s="3" t="n">
        <v>6</v>
      </c>
      <c r="AW61" s="3" t="n">
        <v>3</v>
      </c>
      <c r="AX61" s="3" t="n">
        <v>3</v>
      </c>
      <c r="AY61" s="3" t="n">
        <v>1</v>
      </c>
      <c r="AZ61" s="5" t="n">
        <v>1</v>
      </c>
      <c r="BA61" s="3" t="n">
        <v>1</v>
      </c>
      <c r="BB61" s="3" t="n">
        <v>1</v>
      </c>
      <c r="BC61" s="3" t="n">
        <v>2</v>
      </c>
      <c r="BD61" s="3" t="n">
        <v>1</v>
      </c>
      <c r="BE61" s="3" t="n">
        <v>3</v>
      </c>
      <c r="BF61" s="3" t="n">
        <v>1</v>
      </c>
      <c r="BG61" s="3" t="n">
        <v>4</v>
      </c>
      <c r="BH61" s="3" t="n">
        <v>1</v>
      </c>
      <c r="BI61" s="3" t="n">
        <v>1</v>
      </c>
    </row>
    <row r="62" customFormat="false" ht="12.75" hidden="false" customHeight="false" outlineLevel="0" collapsed="false">
      <c r="A62" s="2" t="s">
        <v>1050</v>
      </c>
      <c r="B62" s="2" t="s">
        <v>1051</v>
      </c>
      <c r="C62" s="2" t="s">
        <v>1052</v>
      </c>
      <c r="D62" s="2" t="n">
        <v>174839</v>
      </c>
      <c r="E62" s="15" t="n">
        <v>43556</v>
      </c>
      <c r="F62" s="15" t="n">
        <v>43563</v>
      </c>
      <c r="G62" s="3" t="n">
        <v>7</v>
      </c>
      <c r="H62" s="3" t="n">
        <v>1</v>
      </c>
      <c r="I62" s="3" t="n">
        <v>72</v>
      </c>
      <c r="J62" s="3" t="n">
        <v>2</v>
      </c>
      <c r="K62" s="3" t="n">
        <v>1</v>
      </c>
      <c r="L62" s="3" t="n">
        <v>1</v>
      </c>
      <c r="M62" s="3" t="n">
        <v>2</v>
      </c>
      <c r="N62" s="3" t="n">
        <v>2</v>
      </c>
      <c r="O62" s="3" t="n">
        <v>2</v>
      </c>
      <c r="P62" s="3" t="n">
        <v>1</v>
      </c>
      <c r="Q62" s="3" t="n">
        <v>2</v>
      </c>
      <c r="R62" s="3" t="n">
        <v>2</v>
      </c>
      <c r="S62" s="4" t="n">
        <v>2</v>
      </c>
      <c r="T62" s="3" t="n">
        <v>2</v>
      </c>
      <c r="U62" s="3" t="n">
        <v>7.21</v>
      </c>
      <c r="V62" s="3"/>
      <c r="W62" s="3" t="n">
        <v>6.3</v>
      </c>
      <c r="X62" s="3" t="n">
        <v>337</v>
      </c>
      <c r="Z62" s="3" t="n">
        <v>0.38</v>
      </c>
      <c r="AA62" s="3" t="n">
        <v>8.6</v>
      </c>
      <c r="AB62" s="3" t="n">
        <v>1</v>
      </c>
      <c r="AC62" s="3" t="n">
        <v>2</v>
      </c>
      <c r="AD62" s="3" t="n">
        <v>1</v>
      </c>
      <c r="AE62" s="3" t="n">
        <v>1</v>
      </c>
      <c r="AF62" s="3" t="n">
        <v>2</v>
      </c>
      <c r="AG62" s="3" t="n">
        <v>2</v>
      </c>
      <c r="AH62" s="3" t="n">
        <v>1</v>
      </c>
      <c r="AI62" s="3" t="n">
        <v>2</v>
      </c>
      <c r="AJ62" s="3" t="n">
        <v>2</v>
      </c>
      <c r="AK62" s="3" t="n">
        <v>2</v>
      </c>
      <c r="AL62" s="3" t="n">
        <v>1</v>
      </c>
      <c r="AM62" s="3" t="n">
        <v>2</v>
      </c>
      <c r="AN62" s="3" t="n">
        <v>2</v>
      </c>
      <c r="AO62" s="3" t="n">
        <v>3</v>
      </c>
      <c r="AP62" s="3" t="n">
        <v>4</v>
      </c>
      <c r="AQ62" s="3" t="n">
        <v>4</v>
      </c>
      <c r="AR62" s="3" t="n">
        <v>6</v>
      </c>
      <c r="AS62" s="3" t="n">
        <v>4</v>
      </c>
      <c r="AT62" s="3" t="n">
        <v>4</v>
      </c>
      <c r="AU62" s="3" t="n">
        <v>6</v>
      </c>
      <c r="AV62" s="3" t="n">
        <v>6</v>
      </c>
      <c r="AW62" s="3" t="n">
        <v>3</v>
      </c>
      <c r="AX62" s="3" t="n">
        <v>3</v>
      </c>
      <c r="AY62" s="3" t="n">
        <v>1</v>
      </c>
      <c r="AZ62" s="5" t="n">
        <v>1</v>
      </c>
      <c r="BA62" s="3" t="n">
        <v>1</v>
      </c>
      <c r="BB62" s="3" t="n">
        <v>1</v>
      </c>
      <c r="BC62" s="3" t="n">
        <v>4</v>
      </c>
      <c r="BD62" s="3" t="n">
        <v>3</v>
      </c>
      <c r="BE62" s="3" t="n">
        <v>5</v>
      </c>
      <c r="BF62" s="3" t="n">
        <v>3</v>
      </c>
      <c r="BG62" s="3" t="n">
        <v>4</v>
      </c>
      <c r="BH62" s="3" t="n">
        <v>1</v>
      </c>
      <c r="BI62" s="3" t="n">
        <v>1</v>
      </c>
    </row>
    <row r="63" customFormat="false" ht="12.75" hidden="false" customHeight="false" outlineLevel="0" collapsed="false">
      <c r="A63" s="2" t="s">
        <v>145</v>
      </c>
      <c r="B63" s="2" t="s">
        <v>1061</v>
      </c>
      <c r="C63" s="2" t="s">
        <v>1062</v>
      </c>
      <c r="D63" s="2" t="n">
        <v>174891</v>
      </c>
      <c r="E63" s="15" t="n">
        <v>43557</v>
      </c>
      <c r="F63" s="15" t="n">
        <v>43564</v>
      </c>
      <c r="G63" s="3" t="n">
        <v>7</v>
      </c>
      <c r="H63" s="3" t="n">
        <v>2</v>
      </c>
      <c r="I63" s="3" t="n">
        <v>67</v>
      </c>
      <c r="J63" s="3" t="n">
        <v>1</v>
      </c>
      <c r="K63" s="3" t="n">
        <v>2</v>
      </c>
      <c r="L63" s="3" t="n">
        <v>1</v>
      </c>
      <c r="M63" s="3" t="n">
        <v>2</v>
      </c>
      <c r="N63" s="3" t="n">
        <v>2</v>
      </c>
      <c r="O63" s="3" t="n">
        <v>2</v>
      </c>
      <c r="P63" s="3" t="n">
        <v>2</v>
      </c>
      <c r="Q63" s="3" t="n">
        <v>2</v>
      </c>
      <c r="R63" s="3" t="n">
        <v>1</v>
      </c>
      <c r="S63" s="4" t="n">
        <v>2</v>
      </c>
      <c r="T63" s="3" t="n">
        <v>2</v>
      </c>
      <c r="U63" s="3" t="n">
        <v>5.74</v>
      </c>
      <c r="V63" s="3" t="s">
        <v>1063</v>
      </c>
      <c r="W63" s="3" t="n">
        <v>7.33</v>
      </c>
      <c r="X63" s="3" t="n">
        <v>486</v>
      </c>
      <c r="Z63" s="3" t="n">
        <v>0.41</v>
      </c>
      <c r="AA63" s="3" t="n">
        <v>12.2</v>
      </c>
      <c r="AB63" s="3" t="n">
        <v>1</v>
      </c>
      <c r="AC63" s="3" t="n">
        <v>2</v>
      </c>
      <c r="AD63" s="3" t="n">
        <v>1</v>
      </c>
      <c r="AE63" s="3" t="n">
        <v>1</v>
      </c>
      <c r="AF63" s="3" t="n">
        <v>2</v>
      </c>
      <c r="AG63" s="3" t="n">
        <v>2</v>
      </c>
      <c r="AH63" s="3" t="n">
        <v>1</v>
      </c>
      <c r="AI63" s="3" t="n">
        <v>1</v>
      </c>
      <c r="AJ63" s="3" t="n">
        <v>2</v>
      </c>
      <c r="AK63" s="3" t="n">
        <v>2</v>
      </c>
      <c r="AL63" s="3" t="n">
        <v>2</v>
      </c>
      <c r="AM63" s="3" t="n">
        <v>2</v>
      </c>
      <c r="AN63" s="3" t="n">
        <v>2</v>
      </c>
      <c r="AO63" s="3" t="n">
        <v>3</v>
      </c>
      <c r="AP63" s="3" t="n">
        <v>4</v>
      </c>
      <c r="AQ63" s="3" t="n">
        <v>4</v>
      </c>
      <c r="AR63" s="3" t="n">
        <v>6</v>
      </c>
      <c r="AS63" s="3" t="n">
        <v>4</v>
      </c>
      <c r="AT63" s="3" t="n">
        <v>4</v>
      </c>
      <c r="AU63" s="3" t="n">
        <v>6</v>
      </c>
      <c r="AV63" s="3" t="n">
        <v>6</v>
      </c>
      <c r="AW63" s="3" t="n">
        <v>3</v>
      </c>
      <c r="AX63" s="3" t="n">
        <v>3</v>
      </c>
      <c r="AY63" s="3" t="n">
        <v>1</v>
      </c>
      <c r="AZ63" s="5" t="n">
        <v>1</v>
      </c>
      <c r="BA63" s="3" t="n">
        <v>1</v>
      </c>
      <c r="BB63" s="3" t="n">
        <v>1</v>
      </c>
      <c r="BC63" s="3" t="n">
        <v>4</v>
      </c>
      <c r="BD63" s="3" t="n">
        <v>1</v>
      </c>
      <c r="BE63" s="3" t="n">
        <v>1</v>
      </c>
      <c r="BF63" s="3" t="n">
        <v>1</v>
      </c>
      <c r="BG63" s="3" t="n">
        <v>4</v>
      </c>
      <c r="BH63" s="3" t="n">
        <v>1</v>
      </c>
      <c r="BI63" s="3" t="n">
        <v>1</v>
      </c>
    </row>
    <row r="64" customFormat="false" ht="12.75" hidden="false" customHeight="false" outlineLevel="0" collapsed="false">
      <c r="A64" s="2" t="s">
        <v>1078</v>
      </c>
      <c r="B64" s="2" t="s">
        <v>197</v>
      </c>
      <c r="C64" s="2" t="s">
        <v>94</v>
      </c>
      <c r="D64" s="2" t="n">
        <v>175518</v>
      </c>
      <c r="E64" s="15" t="n">
        <v>43562</v>
      </c>
      <c r="F64" s="15" t="n">
        <v>43570</v>
      </c>
      <c r="G64" s="3" t="n">
        <v>8</v>
      </c>
      <c r="H64" s="3" t="n">
        <v>2</v>
      </c>
      <c r="I64" s="3" t="n">
        <v>81</v>
      </c>
      <c r="J64" s="3" t="n">
        <v>2</v>
      </c>
      <c r="K64" s="3" t="n">
        <v>1</v>
      </c>
      <c r="L64" s="3" t="n">
        <v>1</v>
      </c>
      <c r="M64" s="3" t="n">
        <v>1</v>
      </c>
      <c r="N64" s="3" t="n">
        <v>2</v>
      </c>
      <c r="O64" s="3" t="n">
        <v>2</v>
      </c>
      <c r="P64" s="3" t="n">
        <v>2</v>
      </c>
      <c r="Q64" s="3" t="n">
        <v>2</v>
      </c>
      <c r="R64" s="3" t="n">
        <v>2</v>
      </c>
      <c r="S64" s="4" t="n">
        <v>2</v>
      </c>
      <c r="T64" s="3" t="n">
        <v>2</v>
      </c>
      <c r="U64" s="3" t="n">
        <v>6.96</v>
      </c>
      <c r="V64" s="3"/>
      <c r="W64" s="3" t="n">
        <v>7.6</v>
      </c>
      <c r="X64" s="3" t="n">
        <v>682</v>
      </c>
      <c r="Z64" s="3" t="n">
        <v>0.48</v>
      </c>
      <c r="AA64" s="3" t="n">
        <v>11.3</v>
      </c>
      <c r="AB64" s="3" t="n">
        <v>1</v>
      </c>
      <c r="AC64" s="3" t="n">
        <v>1</v>
      </c>
      <c r="AD64" s="3" t="n">
        <v>1</v>
      </c>
      <c r="AE64" s="3" t="n">
        <v>1</v>
      </c>
      <c r="AF64" s="3" t="n">
        <v>2</v>
      </c>
      <c r="AG64" s="3" t="n">
        <v>2</v>
      </c>
      <c r="AH64" s="3" t="n">
        <v>1</v>
      </c>
      <c r="AI64" s="3" t="n">
        <v>2</v>
      </c>
      <c r="AJ64" s="3" t="n">
        <v>2</v>
      </c>
      <c r="AK64" s="3" t="n">
        <v>2</v>
      </c>
      <c r="AL64" s="3" t="n">
        <v>1</v>
      </c>
      <c r="AM64" s="3" t="n">
        <v>2</v>
      </c>
      <c r="AN64" s="3" t="n">
        <v>2</v>
      </c>
      <c r="AO64" s="3" t="n">
        <v>3</v>
      </c>
      <c r="AP64" s="3" t="n">
        <v>4</v>
      </c>
      <c r="AQ64" s="3" t="n">
        <v>4</v>
      </c>
      <c r="AR64" s="3" t="n">
        <v>6</v>
      </c>
      <c r="AS64" s="3" t="n">
        <v>4</v>
      </c>
      <c r="AT64" s="3" t="n">
        <v>4</v>
      </c>
      <c r="AU64" s="3" t="n">
        <v>6</v>
      </c>
      <c r="AV64" s="3" t="n">
        <v>6</v>
      </c>
      <c r="AW64" s="3" t="n">
        <v>3</v>
      </c>
      <c r="AX64" s="3" t="n">
        <v>3</v>
      </c>
      <c r="AY64" s="3" t="n">
        <v>1</v>
      </c>
      <c r="AZ64" s="5" t="n">
        <v>1</v>
      </c>
      <c r="BA64" s="3" t="n">
        <v>1</v>
      </c>
      <c r="BB64" s="3" t="n">
        <v>1</v>
      </c>
      <c r="BC64" s="3" t="n">
        <v>4</v>
      </c>
      <c r="BD64" s="3" t="n">
        <v>1</v>
      </c>
      <c r="BE64" s="3" t="n">
        <v>2</v>
      </c>
      <c r="BF64" s="3" t="n">
        <v>1</v>
      </c>
      <c r="BG64" s="3" t="n">
        <v>4</v>
      </c>
      <c r="BH64" s="3" t="n">
        <v>1</v>
      </c>
      <c r="BI64" s="3" t="n">
        <v>1</v>
      </c>
    </row>
    <row r="65" customFormat="false" ht="12.75" hidden="false" customHeight="false" outlineLevel="0" collapsed="false">
      <c r="A65" s="26" t="s">
        <v>1080</v>
      </c>
      <c r="B65" s="26" t="s">
        <v>467</v>
      </c>
      <c r="C65" s="26" t="s">
        <v>1081</v>
      </c>
      <c r="D65" s="26" t="n">
        <v>175512</v>
      </c>
      <c r="E65" s="27" t="n">
        <v>43561</v>
      </c>
      <c r="F65" s="27" t="n">
        <v>43570</v>
      </c>
      <c r="G65" s="30" t="n">
        <v>9</v>
      </c>
      <c r="H65" s="30" t="n">
        <v>2</v>
      </c>
      <c r="I65" s="30" t="n">
        <v>75</v>
      </c>
      <c r="J65" s="30" t="n">
        <v>1</v>
      </c>
      <c r="K65" s="30" t="n">
        <v>1</v>
      </c>
      <c r="L65" s="30" t="n">
        <v>1</v>
      </c>
      <c r="M65" s="30" t="n">
        <v>2</v>
      </c>
      <c r="N65" s="30" t="n">
        <v>2</v>
      </c>
      <c r="O65" s="30" t="n">
        <v>2</v>
      </c>
      <c r="P65" s="30" t="n">
        <v>1</v>
      </c>
      <c r="Q65" s="30" t="n">
        <v>2</v>
      </c>
      <c r="R65" s="30" t="n">
        <v>2</v>
      </c>
      <c r="S65" s="4" t="n">
        <v>2</v>
      </c>
      <c r="T65" s="30" t="n">
        <v>2</v>
      </c>
      <c r="U65" s="30" t="n">
        <v>4.94</v>
      </c>
      <c r="V65" s="30"/>
      <c r="W65" s="30" t="n">
        <v>7</v>
      </c>
      <c r="X65" s="30" t="n">
        <v>284</v>
      </c>
      <c r="Z65" s="30" t="n">
        <v>0.37</v>
      </c>
      <c r="AA65" s="30" t="n">
        <v>8.6</v>
      </c>
      <c r="AB65" s="30" t="n">
        <v>2</v>
      </c>
      <c r="AC65" s="30" t="n">
        <v>2</v>
      </c>
      <c r="AD65" s="30" t="n">
        <v>1</v>
      </c>
      <c r="AE65" s="30" t="n">
        <v>1</v>
      </c>
      <c r="AF65" s="30" t="n">
        <v>2</v>
      </c>
      <c r="AG65" s="30" t="n">
        <v>2</v>
      </c>
      <c r="AH65" s="30" t="n">
        <v>1</v>
      </c>
      <c r="AI65" s="30" t="n">
        <v>2</v>
      </c>
      <c r="AJ65" s="30" t="n">
        <v>2</v>
      </c>
      <c r="AK65" s="30" t="n">
        <v>2</v>
      </c>
      <c r="AL65" s="30" t="n">
        <v>2</v>
      </c>
      <c r="AM65" s="30" t="n">
        <v>2</v>
      </c>
      <c r="AN65" s="30" t="n">
        <v>2</v>
      </c>
      <c r="AO65" s="30" t="n">
        <v>3</v>
      </c>
      <c r="AP65" s="30" t="n">
        <v>4</v>
      </c>
      <c r="AQ65" s="30" t="n">
        <v>4</v>
      </c>
      <c r="AR65" s="30" t="n">
        <v>6</v>
      </c>
      <c r="AS65" s="30" t="n">
        <v>4</v>
      </c>
      <c r="AT65" s="30" t="n">
        <v>4</v>
      </c>
      <c r="AU65" s="30" t="n">
        <v>6</v>
      </c>
      <c r="AV65" s="30" t="n">
        <v>6</v>
      </c>
      <c r="AW65" s="30" t="n">
        <v>3</v>
      </c>
      <c r="AX65" s="30" t="n">
        <v>3</v>
      </c>
      <c r="AY65" s="30" t="n">
        <v>2</v>
      </c>
      <c r="AZ65" s="5" t="n">
        <v>1</v>
      </c>
      <c r="BA65" s="30" t="n">
        <v>1</v>
      </c>
      <c r="BB65" s="30" t="n">
        <v>2</v>
      </c>
      <c r="BC65" s="30" t="n">
        <v>4</v>
      </c>
      <c r="BD65" s="30" t="n">
        <v>3</v>
      </c>
      <c r="BE65" s="30" t="n">
        <v>5</v>
      </c>
      <c r="BF65" s="30" t="n">
        <v>3</v>
      </c>
      <c r="BG65" s="30" t="n">
        <v>4</v>
      </c>
      <c r="BH65" s="30" t="n">
        <v>1</v>
      </c>
      <c r="BI65" s="30" t="n">
        <v>1</v>
      </c>
    </row>
    <row r="66" customFormat="false" ht="12.75" hidden="false" customHeight="false" outlineLevel="0" collapsed="false">
      <c r="A66" s="2" t="s">
        <v>1138</v>
      </c>
      <c r="B66" s="2" t="s">
        <v>382</v>
      </c>
      <c r="C66" s="2" t="s">
        <v>662</v>
      </c>
      <c r="D66" s="2" t="n">
        <v>176266</v>
      </c>
      <c r="E66" s="15" t="n">
        <v>43575</v>
      </c>
      <c r="F66" s="15" t="n">
        <v>43584</v>
      </c>
      <c r="G66" s="3" t="n">
        <v>9</v>
      </c>
      <c r="H66" s="3" t="n">
        <v>2</v>
      </c>
      <c r="I66" s="3" t="n">
        <v>57</v>
      </c>
      <c r="J66" s="3" t="n">
        <v>1</v>
      </c>
      <c r="K66" s="3" t="n">
        <v>1</v>
      </c>
      <c r="L66" s="3" t="n">
        <v>1</v>
      </c>
      <c r="M66" s="3" t="n">
        <v>2</v>
      </c>
      <c r="N66" s="3" t="n">
        <v>2</v>
      </c>
      <c r="O66" s="3" t="n">
        <v>2</v>
      </c>
      <c r="P66" s="3" t="n">
        <v>2</v>
      </c>
      <c r="Q66" s="3" t="n">
        <v>2</v>
      </c>
      <c r="R66" s="3" t="n">
        <v>2</v>
      </c>
      <c r="S66" s="4" t="n">
        <v>2</v>
      </c>
      <c r="T66" s="3" t="n">
        <v>2</v>
      </c>
      <c r="U66" s="3" t="n">
        <v>3.81</v>
      </c>
      <c r="V66" s="3" t="n">
        <v>0.88</v>
      </c>
      <c r="W66" s="3" t="n">
        <v>5.08</v>
      </c>
      <c r="X66" s="3" t="n">
        <v>327</v>
      </c>
      <c r="Z66" s="3" t="n">
        <v>0.47</v>
      </c>
      <c r="AA66" s="3" t="n">
        <v>12</v>
      </c>
      <c r="AB66" s="3" t="n">
        <v>1</v>
      </c>
      <c r="AC66" s="3" t="n">
        <v>2</v>
      </c>
      <c r="AD66" s="3" t="n">
        <v>1</v>
      </c>
      <c r="AE66" s="3" t="n">
        <v>1</v>
      </c>
      <c r="AF66" s="3" t="n">
        <v>2</v>
      </c>
      <c r="AG66" s="3" t="n">
        <v>2</v>
      </c>
      <c r="AH66" s="3" t="n">
        <v>1</v>
      </c>
      <c r="AI66" s="3" t="n">
        <v>2</v>
      </c>
      <c r="AJ66" s="3" t="n">
        <v>2</v>
      </c>
      <c r="AK66" s="3" t="n">
        <v>2</v>
      </c>
      <c r="AL66" s="3" t="n">
        <v>2</v>
      </c>
      <c r="AM66" s="3" t="n">
        <v>2</v>
      </c>
      <c r="AN66" s="3" t="n">
        <v>1</v>
      </c>
      <c r="AO66" s="3" t="n">
        <v>3</v>
      </c>
      <c r="AP66" s="3" t="n">
        <v>4</v>
      </c>
      <c r="AQ66" s="3" t="n">
        <v>4</v>
      </c>
      <c r="AR66" s="3" t="n">
        <v>6</v>
      </c>
      <c r="AS66" s="3" t="n">
        <v>4</v>
      </c>
      <c r="AT66" s="3" t="n">
        <v>4</v>
      </c>
      <c r="AU66" s="3" t="n">
        <v>6</v>
      </c>
      <c r="AV66" s="3" t="n">
        <v>6</v>
      </c>
      <c r="AW66" s="3" t="n">
        <v>3</v>
      </c>
      <c r="AX66" s="3" t="n">
        <v>3</v>
      </c>
      <c r="AY66" s="3" t="n">
        <v>1</v>
      </c>
      <c r="AZ66" s="5" t="n">
        <v>1</v>
      </c>
      <c r="BA66" s="3" t="n">
        <v>1</v>
      </c>
      <c r="BB66" s="3" t="n">
        <v>1</v>
      </c>
      <c r="BC66" s="3" t="n">
        <v>2</v>
      </c>
      <c r="BD66" s="3" t="n">
        <v>1</v>
      </c>
      <c r="BE66" s="3" t="n">
        <v>1</v>
      </c>
      <c r="BF66" s="3" t="n">
        <v>1</v>
      </c>
      <c r="BG66" s="3" t="n">
        <v>4</v>
      </c>
      <c r="BH66" s="3" t="n">
        <v>1</v>
      </c>
      <c r="BI66" s="3" t="n">
        <v>1</v>
      </c>
    </row>
    <row r="67" customFormat="false" ht="12.75" hidden="false" customHeight="false" outlineLevel="0" collapsed="false">
      <c r="A67" s="2" t="s">
        <v>1143</v>
      </c>
      <c r="B67" s="2" t="s">
        <v>1144</v>
      </c>
      <c r="C67" s="2" t="s">
        <v>898</v>
      </c>
      <c r="D67" s="2" t="n">
        <v>176438</v>
      </c>
      <c r="E67" s="15" t="n">
        <v>43578</v>
      </c>
      <c r="F67" s="15" t="n">
        <v>43585</v>
      </c>
      <c r="G67" s="3" t="n">
        <v>7</v>
      </c>
      <c r="H67" s="3" t="n">
        <v>2</v>
      </c>
      <c r="I67" s="3" t="n">
        <v>51</v>
      </c>
      <c r="J67" s="3" t="n">
        <v>2</v>
      </c>
      <c r="K67" s="3" t="n">
        <v>1</v>
      </c>
      <c r="L67" s="3" t="n">
        <v>1</v>
      </c>
      <c r="M67" s="3" t="n">
        <v>2</v>
      </c>
      <c r="N67" s="3" t="n">
        <v>2</v>
      </c>
      <c r="O67" s="3" t="n">
        <v>2</v>
      </c>
      <c r="P67" s="3" t="n">
        <v>2</v>
      </c>
      <c r="Q67" s="3" t="n">
        <v>2</v>
      </c>
      <c r="R67" s="3" t="n">
        <v>2</v>
      </c>
      <c r="S67" s="4" t="n">
        <v>2</v>
      </c>
      <c r="T67" s="3" t="n">
        <v>2</v>
      </c>
      <c r="U67" s="3" t="n">
        <v>3.9</v>
      </c>
      <c r="V67" s="3" t="n">
        <v>0.9</v>
      </c>
      <c r="W67" s="3" t="n">
        <v>5.2</v>
      </c>
      <c r="X67" s="3" t="n">
        <v>359</v>
      </c>
      <c r="Z67" s="3" t="n">
        <v>0.4</v>
      </c>
      <c r="AA67" s="3" t="n">
        <v>12.4</v>
      </c>
      <c r="AB67" s="3" t="n">
        <v>1</v>
      </c>
      <c r="AC67" s="3" t="n">
        <v>2</v>
      </c>
      <c r="AD67" s="3" t="n">
        <v>1</v>
      </c>
      <c r="AE67" s="3" t="n">
        <v>1</v>
      </c>
      <c r="AF67" s="3" t="n">
        <v>2</v>
      </c>
      <c r="AG67" s="3" t="n">
        <v>2</v>
      </c>
      <c r="AH67" s="3" t="n">
        <v>1</v>
      </c>
      <c r="AI67" s="3" t="n">
        <v>2</v>
      </c>
      <c r="AJ67" s="3" t="n">
        <v>2</v>
      </c>
      <c r="AK67" s="3" t="n">
        <v>2</v>
      </c>
      <c r="AL67" s="3" t="n">
        <v>2</v>
      </c>
      <c r="AM67" s="3" t="n">
        <v>2</v>
      </c>
      <c r="AN67" s="3" t="n">
        <v>2</v>
      </c>
      <c r="AO67" s="3" t="n">
        <v>3</v>
      </c>
      <c r="AP67" s="3" t="n">
        <v>4</v>
      </c>
      <c r="AQ67" s="3" t="n">
        <v>4</v>
      </c>
      <c r="AR67" s="3" t="n">
        <v>6</v>
      </c>
      <c r="AS67" s="3" t="n">
        <v>4</v>
      </c>
      <c r="AT67" s="3" t="n">
        <v>4</v>
      </c>
      <c r="AU67" s="3" t="n">
        <v>6</v>
      </c>
      <c r="AV67" s="3" t="n">
        <v>6</v>
      </c>
      <c r="AW67" s="3" t="n">
        <v>3</v>
      </c>
      <c r="AX67" s="3" t="n">
        <v>3</v>
      </c>
      <c r="AY67" s="3" t="n">
        <v>1</v>
      </c>
      <c r="AZ67" s="5" t="n">
        <v>1</v>
      </c>
      <c r="BA67" s="3" t="n">
        <v>1</v>
      </c>
      <c r="BB67" s="3" t="n">
        <v>1</v>
      </c>
      <c r="BC67" s="3" t="n">
        <v>4</v>
      </c>
      <c r="BD67" s="3" t="n">
        <v>3</v>
      </c>
      <c r="BE67" s="3" t="n">
        <v>5</v>
      </c>
      <c r="BF67" s="3" t="n">
        <v>3</v>
      </c>
      <c r="BG67" s="3" t="n">
        <v>4</v>
      </c>
      <c r="BH67" s="3" t="n">
        <v>1</v>
      </c>
      <c r="BI67" s="3" t="n">
        <v>1</v>
      </c>
    </row>
    <row r="68" customFormat="false" ht="12.75" hidden="false" customHeight="false" outlineLevel="0" collapsed="false">
      <c r="A68" s="2" t="s">
        <v>1152</v>
      </c>
      <c r="B68" s="2" t="s">
        <v>1153</v>
      </c>
      <c r="C68" s="2" t="s">
        <v>1154</v>
      </c>
      <c r="D68" s="2" t="n">
        <v>176538</v>
      </c>
      <c r="E68" s="15" t="n">
        <v>43582</v>
      </c>
      <c r="F68" s="15" t="n">
        <v>43587</v>
      </c>
      <c r="G68" s="3" t="n">
        <v>5</v>
      </c>
      <c r="H68" s="3" t="n">
        <v>1</v>
      </c>
      <c r="I68" s="3" t="n">
        <v>49</v>
      </c>
      <c r="J68" s="3" t="n">
        <v>1</v>
      </c>
      <c r="K68" s="3" t="n">
        <v>1</v>
      </c>
      <c r="L68" s="3" t="n">
        <v>1</v>
      </c>
      <c r="M68" s="3" t="n">
        <v>1</v>
      </c>
      <c r="N68" s="3" t="n">
        <v>2</v>
      </c>
      <c r="O68" s="3" t="n">
        <v>2</v>
      </c>
      <c r="P68" s="3" t="n">
        <v>2</v>
      </c>
      <c r="Q68" s="3" t="n">
        <v>2</v>
      </c>
      <c r="R68" s="3" t="n">
        <v>2</v>
      </c>
      <c r="S68" s="4" t="n">
        <v>2</v>
      </c>
      <c r="T68" s="3" t="n">
        <v>2</v>
      </c>
      <c r="U68" s="3"/>
      <c r="V68" s="3"/>
      <c r="W68" s="3"/>
      <c r="X68" s="3"/>
      <c r="Z68" s="3"/>
      <c r="AA68" s="3"/>
      <c r="AB68" s="3"/>
      <c r="AC68" s="3" t="n">
        <v>2</v>
      </c>
      <c r="AD68" s="3" t="n">
        <v>1</v>
      </c>
      <c r="AE68" s="3" t="n">
        <v>1</v>
      </c>
      <c r="AF68" s="3" t="n">
        <v>2</v>
      </c>
      <c r="AG68" s="3" t="n">
        <v>2</v>
      </c>
      <c r="AH68" s="3" t="n">
        <v>1</v>
      </c>
      <c r="AI68" s="3" t="n">
        <v>2</v>
      </c>
      <c r="AJ68" s="3" t="n">
        <v>1</v>
      </c>
      <c r="AK68" s="3" t="n">
        <v>2</v>
      </c>
      <c r="AL68" s="3" t="n">
        <v>1</v>
      </c>
      <c r="AM68" s="3" t="n">
        <v>2</v>
      </c>
      <c r="AN68" s="3" t="n">
        <v>2</v>
      </c>
      <c r="AO68" s="3" t="n">
        <v>3</v>
      </c>
      <c r="AP68" s="3" t="n">
        <v>4</v>
      </c>
      <c r="AQ68" s="3" t="n">
        <v>4</v>
      </c>
      <c r="AR68" s="3" t="n">
        <v>6</v>
      </c>
      <c r="AS68" s="3" t="n">
        <v>4</v>
      </c>
      <c r="AT68" s="3" t="n">
        <v>4</v>
      </c>
      <c r="AU68" s="3" t="n">
        <v>6</v>
      </c>
      <c r="AV68" s="3" t="n">
        <v>6</v>
      </c>
      <c r="AW68" s="3" t="n">
        <v>3</v>
      </c>
      <c r="AX68" s="3" t="n">
        <v>3</v>
      </c>
      <c r="AY68" s="3" t="n">
        <v>1</v>
      </c>
      <c r="AZ68" s="5" t="n">
        <v>5</v>
      </c>
      <c r="BA68" s="3" t="n">
        <v>2</v>
      </c>
      <c r="BB68" s="3" t="n">
        <v>1</v>
      </c>
      <c r="BC68" s="3" t="n">
        <v>6</v>
      </c>
      <c r="BD68" s="3" t="n">
        <v>3</v>
      </c>
      <c r="BE68" s="3" t="n">
        <v>5</v>
      </c>
      <c r="BF68" s="3" t="n">
        <v>3</v>
      </c>
      <c r="BG68" s="3" t="n">
        <v>4</v>
      </c>
      <c r="BH68" s="3" t="n">
        <v>1</v>
      </c>
      <c r="BI68" s="3" t="n">
        <v>1</v>
      </c>
    </row>
    <row r="69" customFormat="false" ht="12.75" hidden="false" customHeight="false" outlineLevel="0" collapsed="false">
      <c r="A69" s="2" t="s">
        <v>1010</v>
      </c>
      <c r="B69" s="2" t="s">
        <v>95</v>
      </c>
      <c r="C69" s="2" t="s">
        <v>95</v>
      </c>
      <c r="D69" s="2" t="n">
        <v>177469</v>
      </c>
      <c r="E69" s="15" t="n">
        <v>43599</v>
      </c>
      <c r="F69" s="15" t="n">
        <v>43605</v>
      </c>
      <c r="G69" s="3" t="n">
        <v>6</v>
      </c>
      <c r="H69" s="3" t="n">
        <v>2</v>
      </c>
      <c r="I69" s="3" t="n">
        <v>47</v>
      </c>
      <c r="J69" s="3" t="n">
        <v>1</v>
      </c>
      <c r="K69" s="3" t="n">
        <v>1</v>
      </c>
      <c r="L69" s="3" t="n">
        <v>2</v>
      </c>
      <c r="M69" s="3" t="n">
        <v>2</v>
      </c>
      <c r="N69" s="3" t="n">
        <v>2</v>
      </c>
      <c r="O69" s="3" t="n">
        <v>2</v>
      </c>
      <c r="P69" s="3" t="n">
        <v>2</v>
      </c>
      <c r="Q69" s="3" t="n">
        <v>2</v>
      </c>
      <c r="R69" s="3" t="n">
        <v>2</v>
      </c>
      <c r="S69" s="4" t="n">
        <v>2</v>
      </c>
      <c r="T69" s="3" t="n">
        <v>2</v>
      </c>
      <c r="U69" s="3" t="n">
        <v>5.44</v>
      </c>
      <c r="V69" s="3" t="n">
        <v>2.36</v>
      </c>
      <c r="W69" s="3" t="n">
        <v>5.9</v>
      </c>
      <c r="X69" s="3" t="n">
        <v>508</v>
      </c>
      <c r="Z69" s="3" t="n">
        <v>0.47</v>
      </c>
      <c r="AA69" s="3" t="n">
        <v>15.6</v>
      </c>
      <c r="AB69" s="3" t="n">
        <v>1</v>
      </c>
      <c r="AC69" s="3" t="n">
        <v>1</v>
      </c>
      <c r="AD69" s="3" t="n">
        <v>1</v>
      </c>
      <c r="AE69" s="3" t="n">
        <v>1</v>
      </c>
      <c r="AF69" s="3" t="n">
        <v>2</v>
      </c>
      <c r="AG69" s="3" t="n">
        <v>2</v>
      </c>
      <c r="AH69" s="3" t="n">
        <v>1</v>
      </c>
      <c r="AI69" s="3" t="n">
        <v>2</v>
      </c>
      <c r="AJ69" s="3" t="n">
        <v>2</v>
      </c>
      <c r="AK69" s="3" t="n">
        <v>2</v>
      </c>
      <c r="AL69" s="3" t="n">
        <v>2</v>
      </c>
      <c r="AM69" s="3" t="n">
        <v>2</v>
      </c>
      <c r="AN69" s="3" t="n">
        <v>2</v>
      </c>
      <c r="AO69" s="3" t="n">
        <v>3</v>
      </c>
      <c r="AP69" s="3" t="n">
        <v>4</v>
      </c>
      <c r="AQ69" s="3" t="n">
        <v>4</v>
      </c>
      <c r="AR69" s="3" t="n">
        <v>6</v>
      </c>
      <c r="AS69" s="3" t="n">
        <v>4</v>
      </c>
      <c r="AT69" s="3" t="n">
        <v>4</v>
      </c>
      <c r="AU69" s="3" t="n">
        <v>6</v>
      </c>
      <c r="AV69" s="3" t="n">
        <v>6</v>
      </c>
      <c r="AW69" s="3" t="n">
        <v>3</v>
      </c>
      <c r="AX69" s="3" t="n">
        <v>3</v>
      </c>
      <c r="AY69" s="3" t="n">
        <v>1</v>
      </c>
      <c r="AZ69" s="5" t="n">
        <v>1</v>
      </c>
      <c r="BA69" s="3" t="n">
        <v>1</v>
      </c>
      <c r="BB69" s="3" t="n">
        <v>1</v>
      </c>
      <c r="BC69" s="3" t="n">
        <v>4</v>
      </c>
      <c r="BD69" s="3" t="n">
        <v>1</v>
      </c>
      <c r="BE69" s="3" t="n">
        <v>2</v>
      </c>
      <c r="BF69" s="3" t="n">
        <v>1</v>
      </c>
      <c r="BG69" s="3" t="n">
        <v>4</v>
      </c>
      <c r="BH69" s="3" t="n">
        <v>1</v>
      </c>
      <c r="BI69" s="3" t="n">
        <v>1</v>
      </c>
    </row>
    <row r="70" customFormat="false" ht="12.75" hidden="false" customHeight="false" outlineLevel="0" collapsed="false">
      <c r="A70" s="2" t="s">
        <v>1183</v>
      </c>
      <c r="B70" s="2" t="s">
        <v>127</v>
      </c>
      <c r="C70" s="2" t="s">
        <v>66</v>
      </c>
      <c r="D70" s="2" t="n">
        <v>177476</v>
      </c>
      <c r="E70" s="15" t="n">
        <v>43598</v>
      </c>
      <c r="F70" s="15" t="n">
        <v>43605</v>
      </c>
      <c r="G70" s="3" t="n">
        <v>7</v>
      </c>
      <c r="H70" s="3" t="n">
        <v>1</v>
      </c>
      <c r="I70" s="3" t="n">
        <v>55</v>
      </c>
      <c r="J70" s="3" t="n">
        <v>1</v>
      </c>
      <c r="K70" s="3" t="n">
        <v>1</v>
      </c>
      <c r="L70" s="3" t="n">
        <v>1</v>
      </c>
      <c r="M70" s="3" t="n">
        <v>2</v>
      </c>
      <c r="N70" s="3" t="n">
        <v>2</v>
      </c>
      <c r="O70" s="3" t="n">
        <v>2</v>
      </c>
      <c r="P70" s="3" t="n">
        <v>2</v>
      </c>
      <c r="Q70" s="3" t="n">
        <v>2</v>
      </c>
      <c r="R70" s="3" t="n">
        <v>2</v>
      </c>
      <c r="S70" s="4" t="n">
        <v>2</v>
      </c>
      <c r="T70" s="3" t="n">
        <v>2</v>
      </c>
      <c r="U70" s="3" t="n">
        <v>10.27</v>
      </c>
      <c r="V70" s="3" t="n">
        <v>2.58</v>
      </c>
      <c r="W70" s="3" t="n">
        <v>5.4</v>
      </c>
      <c r="X70" s="3" t="n">
        <v>421</v>
      </c>
      <c r="Z70" s="3" t="n">
        <v>0.42</v>
      </c>
      <c r="AA70" s="3" t="n">
        <v>10.9</v>
      </c>
      <c r="AB70" s="3" t="n">
        <v>1</v>
      </c>
      <c r="AC70" s="3" t="n">
        <v>1</v>
      </c>
      <c r="AD70" s="3" t="n">
        <v>1</v>
      </c>
      <c r="AE70" s="3" t="n">
        <v>1</v>
      </c>
      <c r="AF70" s="3" t="n">
        <v>2</v>
      </c>
      <c r="AG70" s="3" t="n">
        <v>2</v>
      </c>
      <c r="AH70" s="3" t="n">
        <v>1</v>
      </c>
      <c r="AI70" s="3" t="n">
        <v>2</v>
      </c>
      <c r="AJ70" s="3" t="n">
        <v>2</v>
      </c>
      <c r="AK70" s="3" t="n">
        <v>2</v>
      </c>
      <c r="AL70" s="3" t="n">
        <v>2</v>
      </c>
      <c r="AM70" s="3" t="n">
        <v>2</v>
      </c>
      <c r="AN70" s="3" t="n">
        <v>2</v>
      </c>
      <c r="AO70" s="3" t="n">
        <v>3</v>
      </c>
      <c r="AP70" s="3" t="n">
        <v>4</v>
      </c>
      <c r="AQ70" s="3" t="n">
        <v>4</v>
      </c>
      <c r="AR70" s="3" t="n">
        <v>6</v>
      </c>
      <c r="AS70" s="3" t="n">
        <v>4</v>
      </c>
      <c r="AT70" s="3" t="n">
        <v>4</v>
      </c>
      <c r="AU70" s="3" t="n">
        <v>6</v>
      </c>
      <c r="AV70" s="3" t="n">
        <v>6</v>
      </c>
      <c r="AW70" s="3" t="n">
        <v>3</v>
      </c>
      <c r="AX70" s="3" t="n">
        <v>3</v>
      </c>
      <c r="AY70" s="3" t="n">
        <v>1</v>
      </c>
      <c r="AZ70" s="5" t="n">
        <v>1</v>
      </c>
      <c r="BA70" s="3" t="n">
        <v>1</v>
      </c>
      <c r="BB70" s="3" t="n">
        <v>1</v>
      </c>
      <c r="BC70" s="3" t="n">
        <v>4</v>
      </c>
      <c r="BD70" s="3" t="n">
        <v>3</v>
      </c>
      <c r="BE70" s="3" t="n">
        <v>5</v>
      </c>
      <c r="BF70" s="3" t="n">
        <v>3</v>
      </c>
      <c r="BG70" s="3" t="n">
        <v>4</v>
      </c>
      <c r="BH70" s="3" t="n">
        <v>1</v>
      </c>
      <c r="BI70" s="3" t="n">
        <v>1</v>
      </c>
    </row>
    <row r="71" customFormat="false" ht="12.75" hidden="false" customHeight="false" outlineLevel="0" collapsed="false">
      <c r="A71" s="2" t="s">
        <v>1223</v>
      </c>
      <c r="B71" s="2" t="s">
        <v>1224</v>
      </c>
      <c r="C71" s="2" t="s">
        <v>94</v>
      </c>
      <c r="D71" s="2" t="n">
        <v>178193</v>
      </c>
      <c r="E71" s="15" t="n">
        <v>43611</v>
      </c>
      <c r="F71" s="15" t="n">
        <v>43616</v>
      </c>
      <c r="G71" s="3" t="n">
        <v>5</v>
      </c>
      <c r="H71" s="3" t="n">
        <v>2</v>
      </c>
      <c r="I71" s="3" t="n">
        <v>60</v>
      </c>
      <c r="J71" s="3" t="n">
        <v>2</v>
      </c>
      <c r="K71" s="3" t="n">
        <v>2</v>
      </c>
      <c r="L71" s="3" t="n">
        <v>1</v>
      </c>
      <c r="M71" s="3" t="n">
        <v>2</v>
      </c>
      <c r="N71" s="3" t="n">
        <v>1</v>
      </c>
      <c r="O71" s="3" t="n">
        <v>2</v>
      </c>
      <c r="P71" s="3" t="n">
        <v>2</v>
      </c>
      <c r="Q71" s="3" t="n">
        <v>2</v>
      </c>
      <c r="R71" s="3" t="n">
        <v>2</v>
      </c>
      <c r="S71" s="4" t="n">
        <v>2</v>
      </c>
      <c r="T71" s="3" t="n">
        <v>2</v>
      </c>
      <c r="U71" s="3" t="n">
        <v>5.71</v>
      </c>
      <c r="V71" s="3" t="n">
        <v>1.4</v>
      </c>
      <c r="W71" s="3" t="n">
        <v>7.4</v>
      </c>
      <c r="X71" s="3" t="n">
        <v>601</v>
      </c>
      <c r="Z71" s="3" t="n">
        <v>0.45</v>
      </c>
      <c r="AA71" s="3" t="n">
        <v>9.9</v>
      </c>
      <c r="AB71" s="3" t="n">
        <v>2</v>
      </c>
      <c r="AC71" s="3" t="n">
        <v>1</v>
      </c>
      <c r="AD71" s="3" t="n">
        <v>1</v>
      </c>
      <c r="AE71" s="3" t="n">
        <v>1</v>
      </c>
      <c r="AF71" s="3" t="n">
        <v>2</v>
      </c>
      <c r="AG71" s="3" t="n">
        <v>1</v>
      </c>
      <c r="AH71" s="3" t="n">
        <v>1</v>
      </c>
      <c r="AI71" s="3" t="n">
        <v>2</v>
      </c>
      <c r="AJ71" s="3" t="n">
        <v>2</v>
      </c>
      <c r="AK71" s="3" t="n">
        <v>2</v>
      </c>
      <c r="AL71" s="3" t="n">
        <v>1</v>
      </c>
      <c r="AM71" s="3" t="n">
        <v>2</v>
      </c>
      <c r="AN71" s="3" t="n">
        <v>2</v>
      </c>
      <c r="AO71" s="3" t="n">
        <v>2</v>
      </c>
      <c r="AP71" s="3" t="n">
        <v>1</v>
      </c>
      <c r="AQ71" s="3" t="n">
        <v>4</v>
      </c>
      <c r="AR71" s="3" t="n">
        <v>6</v>
      </c>
      <c r="AS71" s="3" t="n">
        <v>4</v>
      </c>
      <c r="AT71" s="3" t="n">
        <v>4</v>
      </c>
      <c r="AU71" s="3" t="n">
        <v>1</v>
      </c>
      <c r="AV71" s="3" t="n">
        <v>6</v>
      </c>
      <c r="AW71" s="3" t="n">
        <v>2</v>
      </c>
      <c r="AX71" s="3" t="n">
        <v>1</v>
      </c>
      <c r="AY71" s="3" t="n">
        <v>1</v>
      </c>
      <c r="AZ71" s="5" t="n">
        <v>1</v>
      </c>
      <c r="BA71" s="3" t="n">
        <v>1</v>
      </c>
      <c r="BB71" s="3" t="n">
        <v>1</v>
      </c>
      <c r="BC71" s="3" t="n">
        <v>2</v>
      </c>
      <c r="BD71" s="3" t="n">
        <v>1</v>
      </c>
      <c r="BE71" s="3" t="n">
        <v>2</v>
      </c>
      <c r="BF71" s="3" t="n">
        <v>1</v>
      </c>
      <c r="BG71" s="3" t="n">
        <v>4</v>
      </c>
      <c r="BH71" s="3" t="n">
        <v>1</v>
      </c>
      <c r="BI71" s="3" t="n">
        <v>1</v>
      </c>
    </row>
    <row r="72" customFormat="false" ht="12.75" hidden="false" customHeight="false" outlineLevel="0" collapsed="false">
      <c r="A72" s="2" t="s">
        <v>1236</v>
      </c>
      <c r="B72" s="2" t="s">
        <v>992</v>
      </c>
      <c r="C72" s="2" t="s">
        <v>1237</v>
      </c>
      <c r="D72" s="2" t="n">
        <v>178587</v>
      </c>
      <c r="E72" s="15" t="n">
        <v>43614</v>
      </c>
      <c r="F72" s="15" t="n">
        <v>43621</v>
      </c>
      <c r="G72" s="3" t="n">
        <v>7</v>
      </c>
      <c r="H72" s="3" t="n">
        <v>1</v>
      </c>
      <c r="I72" s="3" t="n">
        <v>56</v>
      </c>
      <c r="J72" s="3" t="n">
        <v>2</v>
      </c>
      <c r="K72" s="3" t="n">
        <v>1</v>
      </c>
      <c r="L72" s="3" t="n">
        <v>1</v>
      </c>
      <c r="M72" s="3" t="n">
        <v>2</v>
      </c>
      <c r="N72" s="3" t="n">
        <v>2</v>
      </c>
      <c r="O72" s="3" t="n">
        <v>2</v>
      </c>
      <c r="P72" s="3" t="n">
        <v>2</v>
      </c>
      <c r="Q72" s="3" t="n">
        <v>2</v>
      </c>
      <c r="R72" s="3" t="n">
        <v>2</v>
      </c>
      <c r="S72" s="4" t="n">
        <v>2</v>
      </c>
      <c r="T72" s="3" t="n">
        <v>2</v>
      </c>
      <c r="U72" s="3" t="n">
        <v>6.49</v>
      </c>
      <c r="V72" s="3" t="n">
        <v>1.11</v>
      </c>
      <c r="W72" s="3" t="n">
        <v>8.1</v>
      </c>
      <c r="X72" s="3" t="n">
        <v>283</v>
      </c>
      <c r="Z72" s="3" t="n">
        <v>0.44</v>
      </c>
      <c r="AA72" s="3" t="n">
        <v>11.2</v>
      </c>
      <c r="AB72" s="3"/>
      <c r="AC72" s="3" t="n">
        <v>2</v>
      </c>
      <c r="AD72" s="3" t="n">
        <v>1</v>
      </c>
      <c r="AE72" s="3" t="n">
        <v>1</v>
      </c>
      <c r="AF72" s="3" t="n">
        <v>2</v>
      </c>
      <c r="AG72" s="3" t="n">
        <v>2</v>
      </c>
      <c r="AH72" s="3" t="n">
        <v>1</v>
      </c>
      <c r="AI72" s="3" t="n">
        <v>2</v>
      </c>
      <c r="AJ72" s="3" t="n">
        <v>2</v>
      </c>
      <c r="AK72" s="3" t="n">
        <v>2</v>
      </c>
      <c r="AL72" s="3" t="n">
        <v>2</v>
      </c>
      <c r="AM72" s="3" t="n">
        <v>2</v>
      </c>
      <c r="AN72" s="3" t="n">
        <v>2</v>
      </c>
      <c r="AO72" s="3" t="n">
        <v>3</v>
      </c>
      <c r="AP72" s="3" t="n">
        <v>4</v>
      </c>
      <c r="AQ72" s="3" t="n">
        <v>4</v>
      </c>
      <c r="AR72" s="3" t="n">
        <v>6</v>
      </c>
      <c r="AS72" s="3" t="n">
        <v>4</v>
      </c>
      <c r="AT72" s="3" t="n">
        <v>4</v>
      </c>
      <c r="AU72" s="3" t="n">
        <v>6</v>
      </c>
      <c r="AV72" s="3" t="n">
        <v>6</v>
      </c>
      <c r="AW72" s="3" t="n">
        <v>3</v>
      </c>
      <c r="AX72" s="3" t="n">
        <v>3</v>
      </c>
      <c r="AY72" s="3" t="n">
        <v>1</v>
      </c>
      <c r="AZ72" s="5" t="n">
        <v>1</v>
      </c>
      <c r="BA72" s="3" t="n">
        <v>1</v>
      </c>
      <c r="BB72" s="3" t="n">
        <v>1</v>
      </c>
      <c r="BC72" s="3" t="n">
        <v>4</v>
      </c>
      <c r="BD72" s="3" t="n">
        <v>1</v>
      </c>
      <c r="BE72" s="3" t="n">
        <v>2</v>
      </c>
      <c r="BF72" s="3" t="n">
        <v>2</v>
      </c>
      <c r="BG72" s="3" t="n">
        <v>4</v>
      </c>
      <c r="BH72" s="3" t="n">
        <v>1</v>
      </c>
      <c r="BI72" s="3" t="n">
        <v>1</v>
      </c>
    </row>
    <row r="73" customFormat="false" ht="12.75" hidden="false" customHeight="false" outlineLevel="0" collapsed="false">
      <c r="A73" s="2" t="s">
        <v>1242</v>
      </c>
      <c r="B73" s="2" t="s">
        <v>1243</v>
      </c>
      <c r="C73" s="2" t="s">
        <v>70</v>
      </c>
      <c r="D73" s="2" t="n">
        <v>178872</v>
      </c>
      <c r="E73" s="15" t="n">
        <v>43618</v>
      </c>
      <c r="F73" s="15" t="n">
        <v>43626</v>
      </c>
      <c r="G73" s="3" t="n">
        <v>8</v>
      </c>
      <c r="H73" s="3" t="n">
        <v>2</v>
      </c>
      <c r="I73" s="3" t="n">
        <v>68</v>
      </c>
      <c r="J73" s="3" t="n">
        <v>1</v>
      </c>
      <c r="K73" s="3" t="n">
        <v>2</v>
      </c>
      <c r="L73" s="3" t="n">
        <v>1</v>
      </c>
      <c r="M73" s="3" t="n">
        <v>2</v>
      </c>
      <c r="N73" s="3" t="n">
        <v>2</v>
      </c>
      <c r="O73" s="3" t="n">
        <v>1</v>
      </c>
      <c r="P73" s="3" t="n">
        <v>1</v>
      </c>
      <c r="Q73" s="3" t="n">
        <v>1</v>
      </c>
      <c r="R73" s="3" t="n">
        <v>2</v>
      </c>
      <c r="S73" s="4" t="n">
        <v>2</v>
      </c>
      <c r="T73" s="3" t="n">
        <v>1</v>
      </c>
      <c r="U73" s="3" t="s">
        <v>1244</v>
      </c>
      <c r="V73" s="3" t="s">
        <v>1245</v>
      </c>
      <c r="W73" s="3" t="s">
        <v>1246</v>
      </c>
      <c r="X73" s="3" t="n">
        <v>617</v>
      </c>
      <c r="Z73" s="3" t="s">
        <v>1247</v>
      </c>
      <c r="AA73" s="3" t="s">
        <v>1248</v>
      </c>
      <c r="AB73" s="3" t="n">
        <v>1</v>
      </c>
      <c r="AC73" s="3" t="n">
        <v>1</v>
      </c>
      <c r="AD73" s="3" t="n">
        <v>1</v>
      </c>
      <c r="AE73" s="3" t="n">
        <v>1</v>
      </c>
      <c r="AF73" s="3" t="n">
        <v>2</v>
      </c>
      <c r="AG73" s="3" t="n">
        <v>1</v>
      </c>
      <c r="AH73" s="3" t="n">
        <v>1</v>
      </c>
      <c r="AI73" s="3" t="n">
        <v>2</v>
      </c>
      <c r="AJ73" s="3" t="n">
        <v>1</v>
      </c>
      <c r="AK73" s="3" t="n">
        <v>2</v>
      </c>
      <c r="AL73" s="3" t="n">
        <v>1</v>
      </c>
      <c r="AM73" s="3" t="n">
        <v>2</v>
      </c>
      <c r="AN73" s="3" t="n">
        <v>2</v>
      </c>
      <c r="AO73" s="3" t="n">
        <v>3</v>
      </c>
      <c r="AP73" s="3" t="n">
        <v>4</v>
      </c>
      <c r="AQ73" s="3" t="n">
        <v>4</v>
      </c>
      <c r="AR73" s="3" t="n">
        <v>6</v>
      </c>
      <c r="AS73" s="3" t="n">
        <v>4</v>
      </c>
      <c r="AT73" s="3" t="n">
        <v>4</v>
      </c>
      <c r="AU73" s="3" t="n">
        <v>6</v>
      </c>
      <c r="AV73" s="3" t="n">
        <v>6</v>
      </c>
      <c r="AW73" s="3" t="n">
        <v>3</v>
      </c>
      <c r="AX73" s="3" t="n">
        <v>3</v>
      </c>
      <c r="AY73" s="3" t="n">
        <v>1</v>
      </c>
      <c r="AZ73" s="5" t="n">
        <v>5</v>
      </c>
      <c r="BA73" s="3" t="n">
        <v>2</v>
      </c>
      <c r="BB73" s="3" t="n">
        <v>1</v>
      </c>
      <c r="BC73" s="3" t="n">
        <v>6</v>
      </c>
      <c r="BD73" s="3" t="n">
        <v>3</v>
      </c>
      <c r="BE73" s="3" t="n">
        <v>5</v>
      </c>
      <c r="BF73" s="3" t="n">
        <v>3</v>
      </c>
      <c r="BG73" s="3" t="n">
        <v>4</v>
      </c>
      <c r="BH73" s="3" t="n">
        <v>1</v>
      </c>
      <c r="BI73" s="3" t="n">
        <v>1</v>
      </c>
    </row>
    <row r="74" customFormat="false" ht="12.75" hidden="false" customHeight="false" outlineLevel="0" collapsed="false">
      <c r="A74" s="26" t="s">
        <v>1256</v>
      </c>
      <c r="B74" s="26" t="s">
        <v>1257</v>
      </c>
      <c r="C74" s="26" t="s">
        <v>386</v>
      </c>
      <c r="D74" s="26" t="n">
        <v>178521</v>
      </c>
      <c r="E74" s="27" t="n">
        <v>43612</v>
      </c>
      <c r="F74" s="27" t="n">
        <v>43622</v>
      </c>
      <c r="G74" s="30" t="n">
        <v>10</v>
      </c>
      <c r="H74" s="30" t="n">
        <v>1</v>
      </c>
      <c r="I74" s="30" t="n">
        <v>72</v>
      </c>
      <c r="J74" s="30" t="n">
        <v>1</v>
      </c>
      <c r="K74" s="30" t="n">
        <v>1</v>
      </c>
      <c r="L74" s="30" t="n">
        <v>2</v>
      </c>
      <c r="M74" s="30" t="n">
        <v>2</v>
      </c>
      <c r="N74" s="30" t="n">
        <v>2</v>
      </c>
      <c r="O74" s="30" t="n">
        <v>2</v>
      </c>
      <c r="P74" s="30" t="n">
        <v>2</v>
      </c>
      <c r="Q74" s="30" t="n">
        <v>2</v>
      </c>
      <c r="R74" s="30" t="n">
        <v>2</v>
      </c>
      <c r="S74" s="4" t="n">
        <v>2</v>
      </c>
      <c r="T74" s="30" t="n">
        <v>2</v>
      </c>
      <c r="U74" s="30" t="n">
        <v>4.67</v>
      </c>
      <c r="V74" s="30" t="n">
        <v>2.55</v>
      </c>
      <c r="W74" s="30" t="n">
        <v>7.4</v>
      </c>
      <c r="X74" s="30" t="n">
        <v>721</v>
      </c>
      <c r="Z74" s="30" t="n">
        <v>0.3</v>
      </c>
      <c r="AA74" s="30" t="n">
        <v>8.2</v>
      </c>
      <c r="AB74" s="30" t="n">
        <v>2</v>
      </c>
      <c r="AC74" s="30" t="n">
        <v>1</v>
      </c>
      <c r="AD74" s="30" t="n">
        <v>1</v>
      </c>
      <c r="AE74" s="30" t="n">
        <v>1</v>
      </c>
      <c r="AF74" s="30" t="n">
        <v>2</v>
      </c>
      <c r="AG74" s="30" t="n">
        <v>2</v>
      </c>
      <c r="AH74" s="30" t="n">
        <v>1</v>
      </c>
      <c r="AI74" s="30" t="n">
        <v>2</v>
      </c>
      <c r="AJ74" s="30" t="n">
        <v>2</v>
      </c>
      <c r="AK74" s="30" t="n">
        <v>2</v>
      </c>
      <c r="AL74" s="30" t="n">
        <v>2</v>
      </c>
      <c r="AM74" s="30" t="n">
        <v>1</v>
      </c>
      <c r="AN74" s="30" t="n">
        <v>2</v>
      </c>
      <c r="AO74" s="30" t="n">
        <v>2</v>
      </c>
      <c r="AP74" s="30" t="n">
        <v>3</v>
      </c>
      <c r="AQ74" s="30" t="n">
        <v>9</v>
      </c>
      <c r="AR74" s="30" t="n">
        <v>5</v>
      </c>
      <c r="AS74" s="30" t="n">
        <v>2</v>
      </c>
      <c r="AT74" s="30" t="n">
        <v>4</v>
      </c>
      <c r="AU74" s="30" t="n">
        <v>2</v>
      </c>
      <c r="AV74" s="30" t="n">
        <v>8</v>
      </c>
      <c r="AW74" s="30" t="n">
        <v>2</v>
      </c>
      <c r="AX74" s="30" t="n">
        <v>1</v>
      </c>
      <c r="AY74" s="30" t="n">
        <v>6</v>
      </c>
      <c r="AZ74" s="5" t="n">
        <v>1</v>
      </c>
      <c r="BA74" s="30" t="n">
        <v>1</v>
      </c>
      <c r="BB74" s="30" t="n">
        <v>2</v>
      </c>
      <c r="BC74" s="30" t="n">
        <v>2</v>
      </c>
      <c r="BD74" s="30" t="n">
        <v>3</v>
      </c>
      <c r="BE74" s="30" t="n">
        <v>5</v>
      </c>
      <c r="BF74" s="30" t="n">
        <v>3</v>
      </c>
      <c r="BG74" s="30" t="n">
        <v>4</v>
      </c>
      <c r="BH74" s="30" t="n">
        <v>1</v>
      </c>
      <c r="BI74" s="30" t="n">
        <v>1</v>
      </c>
    </row>
    <row r="75" customFormat="false" ht="12.75" hidden="false" customHeight="false" outlineLevel="0" collapsed="false">
      <c r="A75" s="2" t="s">
        <v>278</v>
      </c>
      <c r="B75" s="2" t="s">
        <v>1259</v>
      </c>
      <c r="C75" s="2" t="s">
        <v>298</v>
      </c>
      <c r="D75" s="2" t="n">
        <v>178862</v>
      </c>
      <c r="E75" s="15" t="n">
        <v>43617</v>
      </c>
      <c r="F75" s="15" t="n">
        <v>43623</v>
      </c>
      <c r="G75" s="3" t="n">
        <v>6</v>
      </c>
      <c r="H75" s="3" t="n">
        <v>2</v>
      </c>
      <c r="I75" s="3" t="n">
        <v>79</v>
      </c>
      <c r="J75" s="3" t="n">
        <v>2</v>
      </c>
      <c r="K75" s="3" t="n">
        <v>1</v>
      </c>
      <c r="L75" s="3" t="n">
        <v>2</v>
      </c>
      <c r="M75" s="3" t="n">
        <v>2</v>
      </c>
      <c r="N75" s="3" t="n">
        <v>1</v>
      </c>
      <c r="O75" s="3" t="n">
        <v>2</v>
      </c>
      <c r="P75" s="3" t="n">
        <v>2</v>
      </c>
      <c r="Q75" s="3" t="n">
        <v>2</v>
      </c>
      <c r="R75" s="3" t="n">
        <v>1</v>
      </c>
      <c r="S75" s="4" t="n">
        <v>2</v>
      </c>
      <c r="T75" s="3" t="n">
        <v>1</v>
      </c>
      <c r="U75" s="3"/>
      <c r="V75" s="3" t="s">
        <v>1260</v>
      </c>
      <c r="W75" s="3" t="s">
        <v>1261</v>
      </c>
      <c r="X75" s="3" t="n">
        <v>374</v>
      </c>
      <c r="Z75" s="3" t="s">
        <v>1262</v>
      </c>
      <c r="AA75" s="3" t="s">
        <v>1263</v>
      </c>
      <c r="AB75" s="3" t="n">
        <v>2</v>
      </c>
      <c r="AC75" s="3" t="n">
        <v>2</v>
      </c>
      <c r="AD75" s="3" t="n">
        <v>1</v>
      </c>
      <c r="AE75" s="3" t="n">
        <v>1</v>
      </c>
      <c r="AF75" s="3" t="n">
        <v>2</v>
      </c>
      <c r="AG75" s="3" t="n">
        <v>1</v>
      </c>
      <c r="AH75" s="3" t="n">
        <v>1</v>
      </c>
      <c r="AI75" s="3" t="n">
        <v>1</v>
      </c>
      <c r="AJ75" s="3" t="n">
        <v>1</v>
      </c>
      <c r="AK75" s="3" t="n">
        <v>2</v>
      </c>
      <c r="AL75" s="3" t="n">
        <v>1</v>
      </c>
      <c r="AM75" s="3" t="n">
        <v>2</v>
      </c>
      <c r="AN75" s="3" t="n">
        <v>2</v>
      </c>
      <c r="AO75" s="3" t="n">
        <v>3</v>
      </c>
      <c r="AP75" s="3" t="n">
        <v>4</v>
      </c>
      <c r="AQ75" s="3" t="n">
        <v>4</v>
      </c>
      <c r="AR75" s="3" t="n">
        <v>6</v>
      </c>
      <c r="AS75" s="3" t="n">
        <v>4</v>
      </c>
      <c r="AT75" s="3" t="n">
        <v>4</v>
      </c>
      <c r="AU75" s="3" t="n">
        <v>6</v>
      </c>
      <c r="AV75" s="3" t="n">
        <v>6</v>
      </c>
      <c r="AW75" s="3" t="n">
        <v>3</v>
      </c>
      <c r="AX75" s="3" t="n">
        <v>3</v>
      </c>
      <c r="AY75" s="3" t="n">
        <v>1</v>
      </c>
      <c r="AZ75" s="5" t="n">
        <v>1</v>
      </c>
      <c r="BA75" s="3" t="n">
        <v>1</v>
      </c>
      <c r="BB75" s="3" t="n">
        <v>1</v>
      </c>
      <c r="BC75" s="3" t="n">
        <v>4</v>
      </c>
      <c r="BD75" s="3" t="n">
        <v>1</v>
      </c>
      <c r="BE75" s="3" t="n">
        <v>2</v>
      </c>
      <c r="BF75" s="3" t="n">
        <v>1</v>
      </c>
      <c r="BG75" s="3" t="n">
        <v>4</v>
      </c>
      <c r="BH75" s="3" t="n">
        <v>1</v>
      </c>
      <c r="BI75" s="3" t="n">
        <v>1</v>
      </c>
    </row>
    <row r="76" customFormat="false" ht="12.75" hidden="false" customHeight="false" outlineLevel="0" collapsed="false">
      <c r="A76" s="2" t="s">
        <v>1270</v>
      </c>
      <c r="B76" s="2" t="s">
        <v>95</v>
      </c>
      <c r="C76" s="2" t="s">
        <v>763</v>
      </c>
      <c r="D76" s="2" t="n">
        <v>178592</v>
      </c>
      <c r="E76" s="15" t="n">
        <v>43617</v>
      </c>
      <c r="F76" s="15" t="n">
        <v>43624</v>
      </c>
      <c r="G76" s="3" t="n">
        <v>7</v>
      </c>
      <c r="H76" s="3" t="n">
        <v>2</v>
      </c>
      <c r="I76" s="3" t="n">
        <v>58</v>
      </c>
      <c r="J76" s="3" t="n">
        <v>1</v>
      </c>
      <c r="K76" s="3" t="n">
        <v>1</v>
      </c>
      <c r="L76" s="3" t="n">
        <v>2</v>
      </c>
      <c r="M76" s="3" t="n">
        <v>2</v>
      </c>
      <c r="N76" s="3" t="n">
        <v>2</v>
      </c>
      <c r="O76" s="3" t="n">
        <v>2</v>
      </c>
      <c r="P76" s="3" t="n">
        <v>2</v>
      </c>
      <c r="Q76" s="3" t="n">
        <v>2</v>
      </c>
      <c r="R76" s="3" t="n">
        <v>2</v>
      </c>
      <c r="S76" s="4" t="n">
        <v>2</v>
      </c>
      <c r="T76" s="3" t="n">
        <v>2</v>
      </c>
      <c r="U76" s="3" t="s">
        <v>1271</v>
      </c>
      <c r="V76" s="3" t="s">
        <v>1272</v>
      </c>
      <c r="W76" s="3" t="s">
        <v>1273</v>
      </c>
      <c r="X76" s="3" t="n">
        <v>167</v>
      </c>
      <c r="Z76" s="3" t="s">
        <v>1274</v>
      </c>
      <c r="AA76" s="3" t="s">
        <v>1275</v>
      </c>
      <c r="AB76" s="3"/>
      <c r="AC76" s="3" t="n">
        <v>2</v>
      </c>
      <c r="AD76" s="3" t="n">
        <v>1</v>
      </c>
      <c r="AE76" s="3" t="n">
        <v>1</v>
      </c>
      <c r="AF76" s="3" t="n">
        <v>2</v>
      </c>
      <c r="AG76" s="3" t="n">
        <v>2</v>
      </c>
      <c r="AH76" s="3" t="n">
        <v>2</v>
      </c>
      <c r="AI76" s="3" t="n">
        <v>2</v>
      </c>
      <c r="AJ76" s="3" t="n">
        <v>2</v>
      </c>
      <c r="AK76" s="3" t="n">
        <v>2</v>
      </c>
      <c r="AL76" s="3" t="n">
        <v>2</v>
      </c>
      <c r="AM76" s="3" t="n">
        <v>2</v>
      </c>
      <c r="AN76" s="3" t="n">
        <v>2</v>
      </c>
      <c r="AO76" s="3" t="n">
        <v>3</v>
      </c>
      <c r="AP76" s="3" t="n">
        <v>4</v>
      </c>
      <c r="AQ76" s="3" t="n">
        <v>4</v>
      </c>
      <c r="AR76" s="3" t="n">
        <v>6</v>
      </c>
      <c r="AS76" s="3" t="n">
        <v>4</v>
      </c>
      <c r="AT76" s="3" t="n">
        <v>4</v>
      </c>
      <c r="AU76" s="3" t="n">
        <v>6</v>
      </c>
      <c r="AV76" s="3" t="n">
        <v>6</v>
      </c>
      <c r="AW76" s="3" t="n">
        <v>3</v>
      </c>
      <c r="AX76" s="3" t="n">
        <v>3</v>
      </c>
      <c r="AY76" s="3" t="n">
        <v>1</v>
      </c>
      <c r="AZ76" s="5" t="n">
        <v>1</v>
      </c>
      <c r="BA76" s="3" t="n">
        <v>1</v>
      </c>
      <c r="BB76" s="3" t="n">
        <v>1</v>
      </c>
      <c r="BC76" s="3" t="n">
        <v>4</v>
      </c>
      <c r="BD76" s="3" t="n">
        <v>1</v>
      </c>
      <c r="BE76" s="3" t="n">
        <v>2</v>
      </c>
      <c r="BF76" s="3" t="n">
        <v>1</v>
      </c>
      <c r="BG76" s="3" t="n">
        <v>4</v>
      </c>
      <c r="BH76" s="3" t="n">
        <v>1</v>
      </c>
      <c r="BI76" s="3" t="n">
        <v>1</v>
      </c>
    </row>
    <row r="77" customFormat="false" ht="12.75" hidden="false" customHeight="false" outlineLevel="0" collapsed="false">
      <c r="A77" s="2" t="s">
        <v>228</v>
      </c>
      <c r="B77" s="2" t="s">
        <v>127</v>
      </c>
      <c r="C77" s="2" t="s">
        <v>61</v>
      </c>
      <c r="D77" s="2" t="n">
        <v>179609</v>
      </c>
      <c r="E77" s="15" t="n">
        <v>43630</v>
      </c>
      <c r="F77" s="15" t="n">
        <v>43637</v>
      </c>
      <c r="G77" s="3" t="n">
        <v>7</v>
      </c>
      <c r="H77" s="3" t="n">
        <v>2</v>
      </c>
      <c r="I77" s="3" t="n">
        <v>87</v>
      </c>
      <c r="J77" s="3" t="n">
        <v>1</v>
      </c>
      <c r="K77" s="3" t="n">
        <v>2</v>
      </c>
      <c r="L77" s="3" t="n">
        <v>1</v>
      </c>
      <c r="M77" s="3" t="n">
        <v>2</v>
      </c>
      <c r="N77" s="3" t="n">
        <v>2</v>
      </c>
      <c r="O77" s="3" t="n">
        <v>2</v>
      </c>
      <c r="P77" s="3" t="n">
        <v>2</v>
      </c>
      <c r="Q77" s="3" t="n">
        <v>2</v>
      </c>
      <c r="R77" s="3" t="n">
        <v>2</v>
      </c>
      <c r="S77" s="4" t="n">
        <v>2</v>
      </c>
      <c r="T77" s="3" t="n">
        <v>2</v>
      </c>
      <c r="U77" s="3" t="n">
        <v>3.95</v>
      </c>
      <c r="V77" s="3" t="n">
        <v>0.5</v>
      </c>
      <c r="W77" s="3" t="n">
        <v>7.77</v>
      </c>
      <c r="X77" s="3" t="n">
        <v>428</v>
      </c>
      <c r="Z77" s="3" t="n">
        <v>0.38</v>
      </c>
      <c r="AA77" s="3" t="n">
        <v>10.8</v>
      </c>
      <c r="AB77" s="3" t="n">
        <v>2</v>
      </c>
      <c r="AC77" s="3" t="n">
        <v>2</v>
      </c>
      <c r="AD77" s="3" t="n">
        <v>1</v>
      </c>
      <c r="AE77" s="3" t="n">
        <v>1</v>
      </c>
      <c r="AF77" s="3" t="n">
        <v>2</v>
      </c>
      <c r="AG77" s="3" t="n">
        <v>2</v>
      </c>
      <c r="AH77" s="3" t="n">
        <v>1</v>
      </c>
      <c r="AI77" s="3" t="n">
        <v>2</v>
      </c>
      <c r="AJ77" s="3" t="n">
        <v>2</v>
      </c>
      <c r="AK77" s="3" t="n">
        <v>2</v>
      </c>
      <c r="AL77" s="3" t="n">
        <v>1</v>
      </c>
      <c r="AM77" s="3" t="n">
        <v>1</v>
      </c>
      <c r="AN77" s="3" t="n">
        <v>2</v>
      </c>
      <c r="AO77" s="3" t="n">
        <v>3</v>
      </c>
      <c r="AP77" s="3" t="n">
        <v>4</v>
      </c>
      <c r="AQ77" s="3" t="n">
        <v>4</v>
      </c>
      <c r="AR77" s="3" t="n">
        <v>6</v>
      </c>
      <c r="AS77" s="3" t="n">
        <v>4</v>
      </c>
      <c r="AT77" s="3" t="n">
        <v>4</v>
      </c>
      <c r="AU77" s="3" t="n">
        <v>6</v>
      </c>
      <c r="AV77" s="3" t="n">
        <v>6</v>
      </c>
      <c r="AW77" s="3" t="n">
        <v>3</v>
      </c>
      <c r="AX77" s="3" t="n">
        <v>3</v>
      </c>
      <c r="AY77" s="3" t="n">
        <v>4</v>
      </c>
      <c r="AZ77" s="5" t="n">
        <v>1</v>
      </c>
      <c r="BA77" s="3" t="n">
        <v>1</v>
      </c>
      <c r="BB77" s="3" t="n">
        <v>1</v>
      </c>
      <c r="BC77" s="3" t="n">
        <v>2</v>
      </c>
      <c r="BD77" s="3" t="n">
        <v>1</v>
      </c>
      <c r="BE77" s="3" t="n">
        <v>2</v>
      </c>
      <c r="BF77" s="3" t="n">
        <v>1</v>
      </c>
      <c r="BG77" s="3" t="n">
        <v>4</v>
      </c>
      <c r="BH77" s="3" t="n">
        <v>1</v>
      </c>
      <c r="BI77" s="3" t="n">
        <v>1</v>
      </c>
    </row>
    <row r="78" customFormat="false" ht="12.75" hidden="false" customHeight="false" outlineLevel="0" collapsed="false">
      <c r="A78" s="2" t="s">
        <v>569</v>
      </c>
      <c r="B78" s="2" t="s">
        <v>127</v>
      </c>
      <c r="C78" s="2" t="s">
        <v>510</v>
      </c>
      <c r="D78" s="2" t="n">
        <v>180109</v>
      </c>
      <c r="E78" s="15" t="n">
        <v>43639</v>
      </c>
      <c r="F78" s="15" t="n">
        <v>43641</v>
      </c>
      <c r="G78" s="3" t="n">
        <v>2</v>
      </c>
      <c r="H78" s="3" t="n">
        <v>2</v>
      </c>
      <c r="I78" s="3" t="n">
        <v>69</v>
      </c>
      <c r="J78" s="3" t="n">
        <v>1</v>
      </c>
      <c r="K78" s="3" t="n">
        <v>1</v>
      </c>
      <c r="L78" s="3" t="n">
        <v>1</v>
      </c>
      <c r="M78" s="3" t="n">
        <v>2</v>
      </c>
      <c r="N78" s="3" t="n">
        <v>2</v>
      </c>
      <c r="O78" s="3" t="n">
        <v>2</v>
      </c>
      <c r="P78" s="3" t="n">
        <v>2</v>
      </c>
      <c r="Q78" s="3" t="n">
        <v>2</v>
      </c>
      <c r="R78" s="3" t="n">
        <v>2</v>
      </c>
      <c r="S78" s="4" t="n">
        <v>2</v>
      </c>
      <c r="T78" s="3" t="n">
        <v>4</v>
      </c>
      <c r="U78" s="3" t="n">
        <v>5.94</v>
      </c>
      <c r="V78" s="3" t="n">
        <v>1.88</v>
      </c>
      <c r="W78" s="3" t="n">
        <v>5.2</v>
      </c>
      <c r="X78" s="3" t="n">
        <v>449</v>
      </c>
      <c r="Z78" s="3" t="n">
        <v>0.45</v>
      </c>
      <c r="AA78" s="3" t="n">
        <v>9.2</v>
      </c>
      <c r="AB78" s="3" t="n">
        <v>1</v>
      </c>
      <c r="AC78" s="3" t="n">
        <v>2</v>
      </c>
      <c r="AD78" s="3" t="n">
        <v>1</v>
      </c>
      <c r="AE78" s="3" t="n">
        <v>1</v>
      </c>
      <c r="AF78" s="3" t="n">
        <v>2</v>
      </c>
      <c r="AG78" s="3" t="n">
        <v>2</v>
      </c>
      <c r="AH78" s="3" t="n">
        <v>1</v>
      </c>
      <c r="AI78" s="3" t="n">
        <v>2</v>
      </c>
      <c r="AJ78" s="3" t="n">
        <v>2</v>
      </c>
      <c r="AK78" s="3" t="n">
        <v>2</v>
      </c>
      <c r="AL78" s="3" t="n">
        <v>2</v>
      </c>
      <c r="AM78" s="3" t="n">
        <v>2</v>
      </c>
      <c r="AN78" s="3" t="n">
        <v>2</v>
      </c>
      <c r="AO78" s="3" t="n">
        <v>3</v>
      </c>
      <c r="AP78" s="3" t="n">
        <v>4</v>
      </c>
      <c r="AQ78" s="3" t="n">
        <v>4</v>
      </c>
      <c r="AR78" s="3" t="n">
        <v>6</v>
      </c>
      <c r="AS78" s="3" t="n">
        <v>4</v>
      </c>
      <c r="AT78" s="3" t="n">
        <v>4</v>
      </c>
      <c r="AU78" s="3" t="n">
        <v>6</v>
      </c>
      <c r="AV78" s="3" t="n">
        <v>6</v>
      </c>
      <c r="AW78" s="3" t="n">
        <v>3</v>
      </c>
      <c r="AX78" s="3" t="n">
        <v>3</v>
      </c>
      <c r="AY78" s="3" t="n">
        <v>1</v>
      </c>
      <c r="AZ78" s="5" t="n">
        <v>3</v>
      </c>
      <c r="BA78" s="3" t="n">
        <v>2</v>
      </c>
      <c r="BB78" s="3" t="n">
        <v>1</v>
      </c>
      <c r="BC78" s="3" t="n">
        <v>6</v>
      </c>
      <c r="BD78" s="3" t="n">
        <v>2</v>
      </c>
      <c r="BE78" s="3" t="n">
        <v>2</v>
      </c>
      <c r="BF78" s="3" t="n">
        <v>3</v>
      </c>
      <c r="BG78" s="3" t="n">
        <v>4</v>
      </c>
      <c r="BH78" s="3" t="n">
        <v>1</v>
      </c>
      <c r="BI78" s="3" t="n">
        <v>1</v>
      </c>
    </row>
    <row r="79" customFormat="false" ht="12.75" hidden="false" customHeight="false" outlineLevel="0" collapsed="false">
      <c r="A79" s="2" t="s">
        <v>1311</v>
      </c>
      <c r="B79" s="2" t="s">
        <v>1312</v>
      </c>
      <c r="C79" s="2" t="s">
        <v>197</v>
      </c>
      <c r="D79" s="2" t="n">
        <v>179633</v>
      </c>
      <c r="E79" s="15" t="n">
        <v>43631</v>
      </c>
      <c r="F79" s="15" t="n">
        <v>43640</v>
      </c>
      <c r="G79" s="3" t="n">
        <v>9</v>
      </c>
      <c r="H79" s="3" t="n">
        <v>1</v>
      </c>
      <c r="I79" s="3" t="n">
        <v>62</v>
      </c>
      <c r="J79" s="3" t="n">
        <v>1</v>
      </c>
      <c r="K79" s="3" t="n">
        <v>1</v>
      </c>
      <c r="L79" s="3" t="n">
        <v>1</v>
      </c>
      <c r="M79" s="3" t="n">
        <v>2</v>
      </c>
      <c r="N79" s="3" t="n">
        <v>2</v>
      </c>
      <c r="O79" s="3" t="n">
        <v>2</v>
      </c>
      <c r="P79" s="3" t="n">
        <v>1</v>
      </c>
      <c r="Q79" s="3" t="n">
        <v>2</v>
      </c>
      <c r="R79" s="3" t="n">
        <v>2</v>
      </c>
      <c r="S79" s="4" t="n">
        <v>2</v>
      </c>
      <c r="T79" s="3" t="n">
        <v>2</v>
      </c>
      <c r="U79" s="3" t="n">
        <v>5.93</v>
      </c>
      <c r="V79" s="3" t="n">
        <v>3.87</v>
      </c>
      <c r="W79" s="3" t="n">
        <v>7.72</v>
      </c>
      <c r="X79" s="3" t="n">
        <v>368</v>
      </c>
      <c r="Z79" s="3" t="n">
        <v>0.46</v>
      </c>
      <c r="AA79" s="3" t="n">
        <v>12.3</v>
      </c>
      <c r="AB79" s="3" t="n">
        <v>2</v>
      </c>
      <c r="AC79" s="3" t="n">
        <v>2</v>
      </c>
      <c r="AD79" s="3" t="n">
        <v>1</v>
      </c>
      <c r="AE79" s="3" t="n">
        <v>1</v>
      </c>
      <c r="AF79" s="3" t="n">
        <v>2</v>
      </c>
      <c r="AG79" s="3" t="n">
        <v>2</v>
      </c>
      <c r="AH79" s="3" t="n">
        <v>1</v>
      </c>
      <c r="AI79" s="3" t="n">
        <v>2</v>
      </c>
      <c r="AJ79" s="3" t="n">
        <v>2</v>
      </c>
      <c r="AK79" s="3" t="n">
        <v>2</v>
      </c>
      <c r="AL79" s="3" t="n">
        <v>1</v>
      </c>
      <c r="AM79" s="3" t="n">
        <v>2</v>
      </c>
      <c r="AN79" s="3" t="n">
        <v>2</v>
      </c>
      <c r="AO79" s="3" t="n">
        <v>3</v>
      </c>
      <c r="AP79" s="3" t="n">
        <v>4</v>
      </c>
      <c r="AQ79" s="3" t="n">
        <v>4</v>
      </c>
      <c r="AR79" s="3" t="n">
        <v>6</v>
      </c>
      <c r="AS79" s="3" t="n">
        <v>4</v>
      </c>
      <c r="AT79" s="3" t="n">
        <v>4</v>
      </c>
      <c r="AU79" s="3" t="n">
        <v>6</v>
      </c>
      <c r="AV79" s="3" t="n">
        <v>6</v>
      </c>
      <c r="AW79" s="3" t="n">
        <v>3</v>
      </c>
      <c r="AX79" s="3" t="n">
        <v>3</v>
      </c>
      <c r="AY79" s="3" t="n">
        <v>2</v>
      </c>
      <c r="AZ79" s="5" t="n">
        <v>1</v>
      </c>
      <c r="BA79" s="3" t="n">
        <v>1</v>
      </c>
      <c r="BB79" s="3" t="n">
        <v>1</v>
      </c>
      <c r="BC79" s="3" t="n">
        <v>2</v>
      </c>
      <c r="BD79" s="3" t="n">
        <v>1</v>
      </c>
      <c r="BE79" s="3" t="n">
        <v>2</v>
      </c>
      <c r="BF79" s="3" t="n">
        <v>1</v>
      </c>
      <c r="BG79" s="3" t="n">
        <v>4</v>
      </c>
      <c r="BH79" s="3" t="n">
        <v>1</v>
      </c>
      <c r="BI79" s="3" t="n">
        <v>1</v>
      </c>
    </row>
    <row r="80" customFormat="false" ht="12.75" hidden="false" customHeight="false" outlineLevel="0" collapsed="false">
      <c r="A80" s="2" t="s">
        <v>145</v>
      </c>
      <c r="B80" s="2" t="s">
        <v>95</v>
      </c>
      <c r="C80" s="2" t="s">
        <v>127</v>
      </c>
      <c r="D80" s="2" t="n">
        <v>179909</v>
      </c>
      <c r="E80" s="15" t="n">
        <v>43634</v>
      </c>
      <c r="F80" s="15" t="n">
        <v>43641</v>
      </c>
      <c r="G80" s="3" t="n">
        <v>7</v>
      </c>
      <c r="H80" s="3" t="n">
        <v>2</v>
      </c>
      <c r="I80" s="3" t="n">
        <v>76</v>
      </c>
      <c r="J80" s="3" t="n">
        <v>2</v>
      </c>
      <c r="K80" s="3" t="n">
        <v>2</v>
      </c>
      <c r="L80" s="3" t="n">
        <v>1</v>
      </c>
      <c r="M80" s="3" t="n">
        <v>2</v>
      </c>
      <c r="N80" s="3" t="n">
        <v>2</v>
      </c>
      <c r="O80" s="3" t="n">
        <v>2</v>
      </c>
      <c r="P80" s="3" t="n">
        <v>1</v>
      </c>
      <c r="Q80" s="3" t="n">
        <v>2</v>
      </c>
      <c r="R80" s="3" t="n">
        <v>2</v>
      </c>
      <c r="S80" s="4" t="n">
        <v>2</v>
      </c>
      <c r="T80" s="3" t="n">
        <v>2</v>
      </c>
      <c r="U80" s="3" t="n">
        <v>5.86</v>
      </c>
      <c r="V80" s="3" t="n">
        <v>1.97</v>
      </c>
      <c r="W80" s="3" t="n">
        <v>6.16</v>
      </c>
      <c r="X80" s="3" t="n">
        <v>423</v>
      </c>
      <c r="Z80" s="3" t="n">
        <v>0.4</v>
      </c>
      <c r="AA80" s="3" t="n">
        <v>7.8</v>
      </c>
      <c r="AB80" s="3" t="n">
        <v>2</v>
      </c>
      <c r="AC80" s="3" t="n">
        <v>2</v>
      </c>
      <c r="AD80" s="3" t="n">
        <v>1</v>
      </c>
      <c r="AE80" s="3" t="n">
        <v>1</v>
      </c>
      <c r="AF80" s="3" t="n">
        <v>2</v>
      </c>
      <c r="AG80" s="3" t="n">
        <v>2</v>
      </c>
      <c r="AH80" s="3" t="n">
        <v>1</v>
      </c>
      <c r="AI80" s="3" t="n">
        <v>2</v>
      </c>
      <c r="AJ80" s="3" t="n">
        <v>2</v>
      </c>
      <c r="AK80" s="3" t="n">
        <v>2</v>
      </c>
      <c r="AL80" s="3" t="n">
        <v>2</v>
      </c>
      <c r="AM80" s="3" t="n">
        <v>2</v>
      </c>
      <c r="AN80" s="3" t="n">
        <v>2</v>
      </c>
      <c r="AO80" s="3" t="n">
        <v>3</v>
      </c>
      <c r="AP80" s="3" t="n">
        <v>4</v>
      </c>
      <c r="AQ80" s="3" t="n">
        <v>4</v>
      </c>
      <c r="AR80" s="3" t="n">
        <v>6</v>
      </c>
      <c r="AS80" s="3" t="n">
        <v>4</v>
      </c>
      <c r="AT80" s="3" t="n">
        <v>4</v>
      </c>
      <c r="AU80" s="3" t="n">
        <v>6</v>
      </c>
      <c r="AV80" s="3" t="n">
        <v>6</v>
      </c>
      <c r="AW80" s="3" t="n">
        <v>3</v>
      </c>
      <c r="AX80" s="3" t="n">
        <v>3</v>
      </c>
      <c r="AY80" s="3" t="n">
        <v>1</v>
      </c>
      <c r="AZ80" s="5" t="n">
        <v>1</v>
      </c>
      <c r="BA80" s="3" t="n">
        <v>1</v>
      </c>
      <c r="BB80" s="3" t="n">
        <v>1</v>
      </c>
      <c r="BC80" s="3" t="n">
        <v>2</v>
      </c>
      <c r="BD80" s="3" t="n">
        <v>1</v>
      </c>
      <c r="BE80" s="3" t="n">
        <v>2</v>
      </c>
      <c r="BF80" s="3" t="n">
        <v>1</v>
      </c>
      <c r="BG80" s="3" t="n">
        <v>4</v>
      </c>
      <c r="BH80" s="3" t="n">
        <v>1</v>
      </c>
      <c r="BI80" s="3" t="n">
        <v>1</v>
      </c>
    </row>
    <row r="81" customFormat="false" ht="12.75" hidden="false" customHeight="false" outlineLevel="0" collapsed="false">
      <c r="A81" s="2" t="s">
        <v>278</v>
      </c>
      <c r="B81" s="2" t="s">
        <v>118</v>
      </c>
      <c r="C81" s="2" t="s">
        <v>433</v>
      </c>
      <c r="D81" s="2" t="n">
        <v>179924</v>
      </c>
      <c r="E81" s="15" t="n">
        <v>43635</v>
      </c>
      <c r="F81" s="15" t="n">
        <v>43642</v>
      </c>
      <c r="G81" s="3" t="n">
        <v>7</v>
      </c>
      <c r="H81" s="3" t="n">
        <v>2</v>
      </c>
      <c r="I81" s="3" t="n">
        <v>70</v>
      </c>
      <c r="J81" s="3" t="n">
        <v>1</v>
      </c>
      <c r="K81" s="3" t="n">
        <v>2</v>
      </c>
      <c r="L81" s="3" t="n">
        <v>1</v>
      </c>
      <c r="M81" s="3" t="n">
        <v>2</v>
      </c>
      <c r="N81" s="3" t="n">
        <v>2</v>
      </c>
      <c r="O81" s="3" t="n">
        <v>2</v>
      </c>
      <c r="P81" s="3" t="n">
        <v>2</v>
      </c>
      <c r="Q81" s="3" t="n">
        <v>2</v>
      </c>
      <c r="R81" s="3" t="n">
        <v>2</v>
      </c>
      <c r="S81" s="4" t="n">
        <v>2</v>
      </c>
      <c r="T81" s="3" t="n">
        <v>2</v>
      </c>
      <c r="U81" s="3" t="n">
        <v>3.89</v>
      </c>
      <c r="V81" s="3" t="s">
        <v>1324</v>
      </c>
      <c r="W81" s="3" t="n">
        <v>5.55</v>
      </c>
      <c r="X81" s="3" t="n">
        <v>422</v>
      </c>
      <c r="Z81" s="3" t="n">
        <v>0.38</v>
      </c>
      <c r="AA81" s="3" t="n">
        <v>12.6</v>
      </c>
      <c r="AB81" s="3"/>
      <c r="AC81" s="3" t="n">
        <v>1</v>
      </c>
      <c r="AD81" s="3" t="n">
        <v>1</v>
      </c>
      <c r="AE81" s="3" t="n">
        <v>1</v>
      </c>
      <c r="AF81" s="3" t="n">
        <v>1</v>
      </c>
      <c r="AG81" s="3" t="n">
        <v>2</v>
      </c>
      <c r="AH81" s="3" t="n">
        <v>1</v>
      </c>
      <c r="AI81" s="3" t="n">
        <v>2</v>
      </c>
      <c r="AJ81" s="3" t="n">
        <v>2</v>
      </c>
      <c r="AK81" s="3" t="n">
        <v>2</v>
      </c>
      <c r="AL81" s="3" t="n">
        <v>2</v>
      </c>
      <c r="AM81" s="3" t="n">
        <v>2</v>
      </c>
      <c r="AN81" s="3" t="n">
        <v>2</v>
      </c>
      <c r="AO81" s="3" t="n">
        <v>3</v>
      </c>
      <c r="AP81" s="3" t="n">
        <v>4</v>
      </c>
      <c r="AQ81" s="3" t="n">
        <v>4</v>
      </c>
      <c r="AR81" s="3" t="n">
        <v>6</v>
      </c>
      <c r="AS81" s="3" t="n">
        <v>4</v>
      </c>
      <c r="AT81" s="3" t="n">
        <v>4</v>
      </c>
      <c r="AU81" s="3" t="n">
        <v>6</v>
      </c>
      <c r="AV81" s="3" t="n">
        <v>6</v>
      </c>
      <c r="AW81" s="3" t="n">
        <v>3</v>
      </c>
      <c r="AX81" s="3" t="n">
        <v>3</v>
      </c>
      <c r="AY81" s="3" t="n">
        <v>1</v>
      </c>
      <c r="AZ81" s="5" t="n">
        <v>1</v>
      </c>
      <c r="BA81" s="3" t="n">
        <v>1</v>
      </c>
      <c r="BB81" s="3" t="n">
        <v>1</v>
      </c>
      <c r="BC81" s="3" t="n">
        <v>2</v>
      </c>
      <c r="BD81" s="3" t="n">
        <v>1</v>
      </c>
      <c r="BE81" s="3" t="n">
        <v>2</v>
      </c>
      <c r="BF81" s="3" t="n">
        <v>1</v>
      </c>
      <c r="BG81" s="3" t="n">
        <v>4</v>
      </c>
      <c r="BH81" s="3" t="n">
        <v>1</v>
      </c>
      <c r="BI81" s="3" t="n">
        <v>1</v>
      </c>
    </row>
    <row r="82" customFormat="false" ht="12.75" hidden="false" customHeight="false" outlineLevel="0" collapsed="false">
      <c r="A82" s="2" t="s">
        <v>187</v>
      </c>
      <c r="B82" s="2" t="s">
        <v>1330</v>
      </c>
      <c r="C82" s="2" t="s">
        <v>198</v>
      </c>
      <c r="D82" s="2" t="n">
        <v>179970</v>
      </c>
      <c r="E82" s="15" t="n">
        <v>43636</v>
      </c>
      <c r="F82" s="15" t="n">
        <v>43643</v>
      </c>
      <c r="G82" s="3" t="n">
        <v>7</v>
      </c>
      <c r="H82" s="3" t="n">
        <v>2</v>
      </c>
      <c r="I82" s="3" t="n">
        <v>42</v>
      </c>
      <c r="J82" s="3" t="n">
        <v>1</v>
      </c>
      <c r="K82" s="3" t="n">
        <v>2</v>
      </c>
      <c r="L82" s="3" t="n">
        <v>1</v>
      </c>
      <c r="M82" s="3" t="n">
        <v>2</v>
      </c>
      <c r="N82" s="3" t="n">
        <v>2</v>
      </c>
      <c r="O82" s="3" t="n">
        <v>2</v>
      </c>
      <c r="P82" s="3" t="n">
        <v>2</v>
      </c>
      <c r="Q82" s="3" t="n">
        <v>2</v>
      </c>
      <c r="R82" s="3" t="n">
        <v>1</v>
      </c>
      <c r="S82" s="4" t="n">
        <v>2</v>
      </c>
      <c r="T82" s="3" t="n">
        <v>2</v>
      </c>
      <c r="U82" s="3" t="n">
        <v>5.04</v>
      </c>
      <c r="V82" s="3" t="n">
        <v>2.77</v>
      </c>
      <c r="W82" s="3" t="n">
        <v>7.7</v>
      </c>
      <c r="X82" s="3" t="n">
        <v>340</v>
      </c>
      <c r="Z82" s="3" t="n">
        <v>0.45</v>
      </c>
      <c r="AA82" s="3" t="n">
        <v>13</v>
      </c>
      <c r="AB82" s="3" t="n">
        <v>1</v>
      </c>
      <c r="AC82" s="3" t="n">
        <v>2</v>
      </c>
      <c r="AD82" s="3" t="n">
        <v>1</v>
      </c>
      <c r="AE82" s="3" t="n">
        <v>1</v>
      </c>
      <c r="AF82" s="3" t="n">
        <v>2</v>
      </c>
      <c r="AG82" s="3" t="n">
        <v>1</v>
      </c>
      <c r="AH82" s="3" t="n">
        <v>1</v>
      </c>
      <c r="AI82" s="3" t="n">
        <v>1</v>
      </c>
      <c r="AJ82" s="3" t="n">
        <v>2</v>
      </c>
      <c r="AK82" s="3" t="n">
        <v>2</v>
      </c>
      <c r="AL82" s="3" t="n">
        <v>2</v>
      </c>
      <c r="AM82" s="3" t="n">
        <v>2</v>
      </c>
      <c r="AN82" s="3" t="n">
        <v>2</v>
      </c>
      <c r="AO82" s="3" t="n">
        <v>3</v>
      </c>
      <c r="AP82" s="3" t="n">
        <v>4</v>
      </c>
      <c r="AQ82" s="3" t="n">
        <v>4</v>
      </c>
      <c r="AR82" s="3" t="n">
        <v>6</v>
      </c>
      <c r="AS82" s="3" t="n">
        <v>4</v>
      </c>
      <c r="AT82" s="3" t="n">
        <v>4</v>
      </c>
      <c r="AU82" s="3" t="n">
        <v>6</v>
      </c>
      <c r="AV82" s="3" t="n">
        <v>6</v>
      </c>
      <c r="AW82" s="3" t="n">
        <v>3</v>
      </c>
      <c r="AX82" s="3" t="n">
        <v>3</v>
      </c>
      <c r="AY82" s="3" t="n">
        <v>1</v>
      </c>
      <c r="AZ82" s="5" t="n">
        <v>1</v>
      </c>
      <c r="BA82" s="3" t="n">
        <v>1</v>
      </c>
      <c r="BB82" s="3" t="n">
        <v>1</v>
      </c>
      <c r="BC82" s="3" t="n">
        <v>2</v>
      </c>
      <c r="BD82" s="3" t="n">
        <v>1</v>
      </c>
      <c r="BE82" s="3" t="n">
        <v>3</v>
      </c>
      <c r="BF82" s="3" t="n">
        <v>1</v>
      </c>
      <c r="BG82" s="3" t="n">
        <v>4</v>
      </c>
      <c r="BH82" s="3" t="n">
        <v>1</v>
      </c>
      <c r="BI82" s="3" t="n">
        <v>1</v>
      </c>
    </row>
    <row r="83" customFormat="false" ht="12.75" hidden="false" customHeight="false" outlineLevel="0" collapsed="false">
      <c r="A83" s="2" t="s">
        <v>180</v>
      </c>
      <c r="B83" s="2" t="s">
        <v>684</v>
      </c>
      <c r="C83" s="2" t="s">
        <v>685</v>
      </c>
      <c r="D83" s="2" t="n">
        <v>180341</v>
      </c>
      <c r="E83" s="15" t="n">
        <v>43640</v>
      </c>
      <c r="F83" s="15" t="n">
        <v>43647</v>
      </c>
      <c r="G83" s="3" t="n">
        <v>7</v>
      </c>
      <c r="H83" s="3" t="n">
        <v>2</v>
      </c>
      <c r="I83" s="3" t="n">
        <v>55</v>
      </c>
      <c r="J83" s="3" t="n">
        <v>1</v>
      </c>
      <c r="K83" s="3" t="n">
        <v>1</v>
      </c>
      <c r="L83" s="3" t="n">
        <v>2</v>
      </c>
      <c r="M83" s="3" t="n">
        <v>2</v>
      </c>
      <c r="N83" s="3" t="n">
        <v>2</v>
      </c>
      <c r="O83" s="3" t="n">
        <v>1</v>
      </c>
      <c r="P83" s="3" t="n">
        <v>2</v>
      </c>
      <c r="Q83" s="3" t="n">
        <v>2</v>
      </c>
      <c r="R83" s="3" t="n">
        <v>2</v>
      </c>
      <c r="S83" s="4" t="n">
        <v>2</v>
      </c>
      <c r="T83" s="3" t="n">
        <v>2</v>
      </c>
      <c r="U83" s="3" t="n">
        <v>4.9</v>
      </c>
      <c r="V83" s="3" t="n">
        <v>2.19</v>
      </c>
      <c r="W83" s="3" t="n">
        <v>5.1</v>
      </c>
      <c r="X83" s="3" t="n">
        <v>397</v>
      </c>
      <c r="Z83" s="3" t="n">
        <v>0.48</v>
      </c>
      <c r="AA83" s="3" t="n">
        <v>12.3</v>
      </c>
      <c r="AB83" s="3" t="n">
        <v>1</v>
      </c>
      <c r="AC83" s="3" t="n">
        <v>2</v>
      </c>
      <c r="AD83" s="3" t="n">
        <v>1</v>
      </c>
      <c r="AE83" s="3" t="n">
        <v>1</v>
      </c>
      <c r="AF83" s="3" t="n">
        <v>2</v>
      </c>
      <c r="AG83" s="3" t="n">
        <v>2</v>
      </c>
      <c r="AH83" s="3" t="n">
        <v>1</v>
      </c>
      <c r="AI83" s="3" t="n">
        <v>2</v>
      </c>
      <c r="AJ83" s="3" t="n">
        <v>2</v>
      </c>
      <c r="AK83" s="3" t="n">
        <v>2</v>
      </c>
      <c r="AL83" s="3" t="n">
        <v>2</v>
      </c>
      <c r="AM83" s="3" t="n">
        <v>2</v>
      </c>
      <c r="AN83" s="3" t="n">
        <v>2</v>
      </c>
      <c r="AO83" s="3" t="n">
        <v>3</v>
      </c>
      <c r="AP83" s="3" t="n">
        <v>4</v>
      </c>
      <c r="AQ83" s="3" t="n">
        <v>4</v>
      </c>
      <c r="AR83" s="3" t="n">
        <v>6</v>
      </c>
      <c r="AS83" s="3" t="n">
        <v>4</v>
      </c>
      <c r="AT83" s="3" t="n">
        <v>4</v>
      </c>
      <c r="AU83" s="3" t="n">
        <v>6</v>
      </c>
      <c r="AV83" s="3" t="n">
        <v>6</v>
      </c>
      <c r="AW83" s="3" t="n">
        <v>3</v>
      </c>
      <c r="AX83" s="3" t="n">
        <v>3</v>
      </c>
      <c r="AY83" s="3" t="n">
        <v>1</v>
      </c>
      <c r="AZ83" s="5" t="n">
        <v>1</v>
      </c>
      <c r="BA83" s="3" t="n">
        <v>1</v>
      </c>
      <c r="BB83" s="3" t="n">
        <v>1</v>
      </c>
      <c r="BC83" s="3" t="n">
        <v>4</v>
      </c>
      <c r="BD83" s="3" t="n">
        <v>1</v>
      </c>
      <c r="BE83" s="3" t="n">
        <v>2</v>
      </c>
      <c r="BF83" s="3" t="n">
        <v>1</v>
      </c>
      <c r="BG83" s="3" t="n">
        <v>4</v>
      </c>
      <c r="BH83" s="3" t="n">
        <v>1</v>
      </c>
      <c r="BI83" s="3" t="n">
        <v>1</v>
      </c>
    </row>
    <row r="84" customFormat="false" ht="12.75" hidden="false" customHeight="false" outlineLevel="0" collapsed="false">
      <c r="A84" s="2" t="s">
        <v>442</v>
      </c>
      <c r="B84" s="2" t="s">
        <v>999</v>
      </c>
      <c r="C84" s="2" t="s">
        <v>94</v>
      </c>
      <c r="D84" s="2" t="n">
        <v>180523</v>
      </c>
      <c r="E84" s="15" t="n">
        <v>43643</v>
      </c>
      <c r="F84" s="15" t="n">
        <v>43650</v>
      </c>
      <c r="G84" s="3" t="n">
        <v>7</v>
      </c>
      <c r="H84" s="3" t="n">
        <v>2</v>
      </c>
      <c r="I84" s="3" t="n">
        <v>65</v>
      </c>
      <c r="J84" s="3" t="n">
        <v>1</v>
      </c>
      <c r="K84" s="3" t="n">
        <v>1</v>
      </c>
      <c r="L84" s="3" t="n">
        <v>1</v>
      </c>
      <c r="M84" s="3" t="n">
        <v>2</v>
      </c>
      <c r="N84" s="3" t="n">
        <v>1</v>
      </c>
      <c r="O84" s="3" t="n">
        <v>2</v>
      </c>
      <c r="P84" s="3" t="n">
        <v>2</v>
      </c>
      <c r="Q84" s="3" t="n">
        <v>2</v>
      </c>
      <c r="R84" s="3" t="n">
        <v>2</v>
      </c>
      <c r="S84" s="4" t="n">
        <v>2</v>
      </c>
      <c r="T84" s="3" t="n">
        <v>2</v>
      </c>
      <c r="U84" s="3" t="n">
        <v>5.48</v>
      </c>
      <c r="V84" s="3" t="n">
        <v>2.33</v>
      </c>
      <c r="W84" s="3" t="n">
        <v>5.5</v>
      </c>
      <c r="X84" s="3" t="n">
        <v>392</v>
      </c>
      <c r="Z84" s="3" t="n">
        <v>0.47</v>
      </c>
      <c r="AA84" s="3" t="n">
        <v>11.8</v>
      </c>
      <c r="AB84" s="3"/>
      <c r="AC84" s="3" t="n">
        <v>2</v>
      </c>
      <c r="AD84" s="3" t="n">
        <v>1</v>
      </c>
      <c r="AE84" s="3" t="n">
        <v>1</v>
      </c>
      <c r="AF84" s="3" t="n">
        <v>2</v>
      </c>
      <c r="AG84" s="3" t="n">
        <v>2</v>
      </c>
      <c r="AH84" s="3" t="n">
        <v>1</v>
      </c>
      <c r="AI84" s="3" t="n">
        <v>2</v>
      </c>
      <c r="AJ84" s="3" t="n">
        <v>2</v>
      </c>
      <c r="AK84" s="3" t="n">
        <v>2</v>
      </c>
      <c r="AL84" s="3" t="n">
        <v>2</v>
      </c>
      <c r="AM84" s="3" t="n">
        <v>2</v>
      </c>
      <c r="AN84" s="3" t="n">
        <v>2</v>
      </c>
      <c r="AO84" s="3" t="n">
        <v>3</v>
      </c>
      <c r="AP84" s="3" t="n">
        <v>4</v>
      </c>
      <c r="AQ84" s="3" t="n">
        <v>4</v>
      </c>
      <c r="AR84" s="3" t="n">
        <v>6</v>
      </c>
      <c r="AS84" s="3" t="n">
        <v>4</v>
      </c>
      <c r="AT84" s="3" t="n">
        <v>4</v>
      </c>
      <c r="AU84" s="3" t="n">
        <v>6</v>
      </c>
      <c r="AV84" s="3" t="n">
        <v>6</v>
      </c>
      <c r="AW84" s="3" t="n">
        <v>3</v>
      </c>
      <c r="AX84" s="3" t="n">
        <v>3</v>
      </c>
      <c r="AY84" s="3" t="n">
        <v>1</v>
      </c>
      <c r="AZ84" s="5" t="n">
        <v>1</v>
      </c>
      <c r="BA84" s="3" t="n">
        <v>1</v>
      </c>
      <c r="BB84" s="3" t="n">
        <v>1</v>
      </c>
      <c r="BC84" s="3" t="n">
        <v>4</v>
      </c>
      <c r="BD84" s="3" t="n">
        <v>1</v>
      </c>
      <c r="BE84" s="3" t="n">
        <v>2</v>
      </c>
      <c r="BF84" s="3" t="n">
        <v>1</v>
      </c>
      <c r="BG84" s="3" t="n">
        <v>4</v>
      </c>
      <c r="BH84" s="3" t="n">
        <v>1</v>
      </c>
      <c r="BI84" s="3" t="n">
        <v>1</v>
      </c>
    </row>
    <row r="85" customFormat="false" ht="12.75" hidden="false" customHeight="false" outlineLevel="0" collapsed="false">
      <c r="A85" s="2" t="s">
        <v>352</v>
      </c>
      <c r="B85" s="2" t="s">
        <v>1348</v>
      </c>
      <c r="C85" s="2" t="s">
        <v>999</v>
      </c>
      <c r="D85" s="2" t="n">
        <v>180736</v>
      </c>
      <c r="E85" s="15" t="n">
        <v>43647</v>
      </c>
      <c r="F85" s="15" t="n">
        <v>43654</v>
      </c>
      <c r="G85" s="3" t="n">
        <v>7</v>
      </c>
      <c r="H85" s="3" t="n">
        <v>2</v>
      </c>
      <c r="I85" s="3" t="n">
        <v>81</v>
      </c>
      <c r="J85" s="3" t="n">
        <v>1</v>
      </c>
      <c r="K85" s="3" t="n">
        <v>2</v>
      </c>
      <c r="L85" s="3" t="n">
        <v>1</v>
      </c>
      <c r="M85" s="3" t="n">
        <v>1</v>
      </c>
      <c r="N85" s="3" t="n">
        <v>2</v>
      </c>
      <c r="O85" s="3" t="n">
        <v>2</v>
      </c>
      <c r="P85" s="3" t="n">
        <v>1</v>
      </c>
      <c r="Q85" s="3" t="n">
        <v>2</v>
      </c>
      <c r="R85" s="3" t="n">
        <v>2</v>
      </c>
      <c r="S85" s="4" t="n">
        <v>2</v>
      </c>
      <c r="T85" s="3" t="n">
        <v>2</v>
      </c>
      <c r="U85" s="3" t="n">
        <v>2.39</v>
      </c>
      <c r="V85" s="3" t="n">
        <v>0.61</v>
      </c>
      <c r="W85" s="3" t="n">
        <v>10.14</v>
      </c>
      <c r="X85" s="3" t="n">
        <v>312</v>
      </c>
      <c r="Z85" s="3" t="n">
        <v>6.35</v>
      </c>
      <c r="AA85" s="3" t="n">
        <v>6</v>
      </c>
      <c r="AB85" s="3"/>
      <c r="AC85" s="3" t="n">
        <v>1</v>
      </c>
      <c r="AD85" s="3" t="n">
        <v>1</v>
      </c>
      <c r="AE85" s="3" t="n">
        <v>1</v>
      </c>
      <c r="AF85" s="3" t="n">
        <v>2</v>
      </c>
      <c r="AG85" s="3" t="n">
        <v>2</v>
      </c>
      <c r="AH85" s="3" t="n">
        <v>1</v>
      </c>
      <c r="AI85" s="3" t="n">
        <v>2</v>
      </c>
      <c r="AJ85" s="3" t="n">
        <v>2</v>
      </c>
      <c r="AK85" s="3" t="n">
        <v>2</v>
      </c>
      <c r="AL85" s="3" t="n">
        <v>2</v>
      </c>
      <c r="AM85" s="3" t="n">
        <v>2</v>
      </c>
      <c r="AN85" s="3" t="n">
        <v>2</v>
      </c>
      <c r="AO85" s="3" t="n">
        <v>3</v>
      </c>
      <c r="AP85" s="3" t="n">
        <v>4</v>
      </c>
      <c r="AQ85" s="3" t="n">
        <v>4</v>
      </c>
      <c r="AR85" s="3" t="n">
        <v>6</v>
      </c>
      <c r="AS85" s="3" t="n">
        <v>4</v>
      </c>
      <c r="AT85" s="3" t="n">
        <v>4</v>
      </c>
      <c r="AU85" s="3" t="n">
        <v>6</v>
      </c>
      <c r="AV85" s="3" t="n">
        <v>6</v>
      </c>
      <c r="AW85" s="3" t="n">
        <v>3</v>
      </c>
      <c r="AX85" s="3" t="n">
        <v>3</v>
      </c>
      <c r="AY85" s="3" t="n">
        <v>1</v>
      </c>
      <c r="AZ85" s="5" t="n">
        <v>1</v>
      </c>
      <c r="BA85" s="3" t="n">
        <v>1</v>
      </c>
      <c r="BB85" s="3" t="n">
        <v>1</v>
      </c>
      <c r="BC85" s="3" t="n">
        <v>4</v>
      </c>
      <c r="BD85" s="3" t="n">
        <v>3</v>
      </c>
      <c r="BE85" s="3" t="n">
        <v>5</v>
      </c>
      <c r="BF85" s="3" t="n">
        <v>3</v>
      </c>
      <c r="BG85" s="3" t="n">
        <v>4</v>
      </c>
      <c r="BH85" s="3" t="n">
        <v>1</v>
      </c>
      <c r="BI85" s="3" t="n">
        <v>1</v>
      </c>
    </row>
    <row r="86" customFormat="false" ht="12.75" hidden="false" customHeight="false" outlineLevel="0" collapsed="false">
      <c r="A86" s="2" t="s">
        <v>1352</v>
      </c>
      <c r="B86" s="2" t="s">
        <v>428</v>
      </c>
      <c r="C86" s="2" t="s">
        <v>78</v>
      </c>
      <c r="D86" s="2" t="n">
        <v>180951</v>
      </c>
      <c r="E86" s="15" t="n">
        <v>43651</v>
      </c>
      <c r="F86" s="15" t="n">
        <v>43658</v>
      </c>
      <c r="G86" s="3" t="n">
        <v>7</v>
      </c>
      <c r="H86" s="3" t="n">
        <v>2</v>
      </c>
      <c r="I86" s="3" t="n">
        <v>44</v>
      </c>
      <c r="J86" s="3" t="n">
        <v>1</v>
      </c>
      <c r="K86" s="3" t="n">
        <v>1</v>
      </c>
      <c r="L86" s="3" t="n">
        <v>1</v>
      </c>
      <c r="M86" s="3" t="n">
        <v>2</v>
      </c>
      <c r="N86" s="3" t="n">
        <v>2</v>
      </c>
      <c r="O86" s="3" t="n">
        <v>2</v>
      </c>
      <c r="P86" s="3" t="n">
        <v>2</v>
      </c>
      <c r="Q86" s="3" t="n">
        <v>2</v>
      </c>
      <c r="R86" s="3" t="n">
        <v>2</v>
      </c>
      <c r="S86" s="4" t="n">
        <v>2</v>
      </c>
      <c r="T86" s="3" t="n">
        <v>2</v>
      </c>
      <c r="U86" s="3" t="n">
        <v>5.39</v>
      </c>
      <c r="V86" s="3" t="n">
        <v>3.02</v>
      </c>
      <c r="W86" s="3" t="n">
        <v>6.35</v>
      </c>
      <c r="X86" s="3" t="n">
        <v>467</v>
      </c>
      <c r="Z86" s="3" t="n">
        <v>0.51</v>
      </c>
      <c r="AA86" s="3" t="n">
        <v>4</v>
      </c>
      <c r="AB86" s="3" t="n">
        <v>1</v>
      </c>
      <c r="AC86" s="3" t="n">
        <v>1</v>
      </c>
      <c r="AD86" s="3" t="n">
        <v>1</v>
      </c>
      <c r="AE86" s="3" t="n">
        <v>1</v>
      </c>
      <c r="AF86" s="3" t="n">
        <v>1</v>
      </c>
      <c r="AG86" s="3" t="n">
        <v>2</v>
      </c>
      <c r="AH86" s="3" t="n">
        <v>1</v>
      </c>
      <c r="AI86" s="3" t="n">
        <v>2</v>
      </c>
      <c r="AJ86" s="3" t="n">
        <v>2</v>
      </c>
      <c r="AK86" s="3" t="n">
        <v>2</v>
      </c>
      <c r="AL86" s="3" t="n">
        <v>1</v>
      </c>
      <c r="AM86" s="3" t="n">
        <v>2</v>
      </c>
      <c r="AN86" s="3" t="n">
        <v>2</v>
      </c>
      <c r="AO86" s="3" t="n">
        <v>3</v>
      </c>
      <c r="AP86" s="3" t="n">
        <v>4</v>
      </c>
      <c r="AQ86" s="3" t="n">
        <v>4</v>
      </c>
      <c r="AR86" s="3" t="n">
        <v>6</v>
      </c>
      <c r="AS86" s="3" t="n">
        <v>4</v>
      </c>
      <c r="AT86" s="3" t="n">
        <v>4</v>
      </c>
      <c r="AU86" s="3" t="n">
        <v>6</v>
      </c>
      <c r="AV86" s="3" t="n">
        <v>6</v>
      </c>
      <c r="AW86" s="3" t="n">
        <v>3</v>
      </c>
      <c r="AX86" s="3" t="n">
        <v>3</v>
      </c>
      <c r="AY86" s="3" t="n">
        <v>1</v>
      </c>
      <c r="AZ86" s="5" t="n">
        <v>1</v>
      </c>
      <c r="BA86" s="3" t="n">
        <v>2</v>
      </c>
      <c r="BB86" s="3" t="n">
        <v>1</v>
      </c>
      <c r="BC86" s="3" t="n">
        <v>2</v>
      </c>
      <c r="BD86" s="3" t="n">
        <v>3</v>
      </c>
      <c r="BE86" s="3" t="n">
        <v>5</v>
      </c>
      <c r="BF86" s="3" t="n">
        <v>3</v>
      </c>
      <c r="BG86" s="3" t="n">
        <v>4</v>
      </c>
      <c r="BH86" s="3" t="n">
        <v>1</v>
      </c>
      <c r="BI86" s="3" t="n">
        <v>1</v>
      </c>
    </row>
    <row r="87" customFormat="false" ht="12.75" hidden="false" customHeight="false" outlineLevel="0" collapsed="false">
      <c r="A87" s="2" t="s">
        <v>1395</v>
      </c>
      <c r="B87" s="2" t="s">
        <v>178</v>
      </c>
      <c r="C87" s="2" t="s">
        <v>1396</v>
      </c>
      <c r="D87" s="2" t="n">
        <v>181429</v>
      </c>
      <c r="E87" s="15" t="n">
        <v>43657</v>
      </c>
      <c r="F87" s="15" t="n">
        <v>43664</v>
      </c>
      <c r="G87" s="3" t="n">
        <v>7</v>
      </c>
      <c r="H87" s="3" t="n">
        <v>1</v>
      </c>
      <c r="I87" s="3" t="n">
        <v>80</v>
      </c>
      <c r="J87" s="3" t="n">
        <v>1</v>
      </c>
      <c r="K87" s="3" t="n">
        <v>2</v>
      </c>
      <c r="L87" s="3" t="n">
        <v>2</v>
      </c>
      <c r="M87" s="3" t="n">
        <v>2</v>
      </c>
      <c r="N87" s="3" t="n">
        <v>2</v>
      </c>
      <c r="O87" s="3" t="n">
        <v>2</v>
      </c>
      <c r="P87" s="3" t="n">
        <v>2</v>
      </c>
      <c r="Q87" s="3" t="n">
        <v>2</v>
      </c>
      <c r="R87" s="3" t="n">
        <v>2</v>
      </c>
      <c r="S87" s="4" t="n">
        <v>2</v>
      </c>
      <c r="T87" s="3" t="n">
        <v>2</v>
      </c>
      <c r="U87" s="3" t="n">
        <v>6.05</v>
      </c>
      <c r="V87" s="3" t="n">
        <v>0.95</v>
      </c>
      <c r="W87" s="3" t="n">
        <v>7.3</v>
      </c>
      <c r="X87" s="3" t="n">
        <v>425</v>
      </c>
      <c r="Z87" s="3" t="n">
        <v>0.43</v>
      </c>
      <c r="AA87" s="3" t="n">
        <v>12.06</v>
      </c>
      <c r="AB87" s="3" t="n">
        <v>1</v>
      </c>
      <c r="AC87" s="3" t="n">
        <v>2</v>
      </c>
      <c r="AD87" s="3" t="n">
        <v>1</v>
      </c>
      <c r="AE87" s="3" t="n">
        <v>1</v>
      </c>
      <c r="AF87" s="3" t="n">
        <v>2</v>
      </c>
      <c r="AG87" s="3" t="n">
        <v>2</v>
      </c>
      <c r="AH87" s="3" t="n">
        <v>1</v>
      </c>
      <c r="AI87" s="3" t="n">
        <v>2</v>
      </c>
      <c r="AJ87" s="3" t="n">
        <v>2</v>
      </c>
      <c r="AK87" s="3" t="n">
        <v>2</v>
      </c>
      <c r="AL87" s="3" t="n">
        <v>2</v>
      </c>
      <c r="AM87" s="3" t="n">
        <v>1</v>
      </c>
      <c r="AN87" s="3" t="n">
        <v>2</v>
      </c>
      <c r="AO87" s="3" t="n">
        <v>3</v>
      </c>
      <c r="AP87" s="3" t="n">
        <v>4</v>
      </c>
      <c r="AQ87" s="3" t="n">
        <v>4</v>
      </c>
      <c r="AR87" s="3" t="n">
        <v>6</v>
      </c>
      <c r="AS87" s="3" t="n">
        <v>4</v>
      </c>
      <c r="AT87" s="3" t="n">
        <v>4</v>
      </c>
      <c r="AU87" s="3" t="n">
        <v>6</v>
      </c>
      <c r="AV87" s="3" t="n">
        <v>6</v>
      </c>
      <c r="AW87" s="3" t="n">
        <v>3</v>
      </c>
      <c r="AX87" s="3" t="n">
        <v>3</v>
      </c>
      <c r="AY87" s="3" t="n">
        <v>1</v>
      </c>
      <c r="AZ87" s="5" t="n">
        <v>1</v>
      </c>
      <c r="BA87" s="3" t="n">
        <v>1</v>
      </c>
      <c r="BB87" s="3" t="n">
        <v>1</v>
      </c>
      <c r="BC87" s="3" t="n">
        <v>4</v>
      </c>
      <c r="BD87" s="3" t="n">
        <v>1</v>
      </c>
      <c r="BE87" s="3" t="n">
        <v>2</v>
      </c>
      <c r="BF87" s="3" t="n">
        <v>1</v>
      </c>
      <c r="BG87" s="3" t="n">
        <v>4</v>
      </c>
      <c r="BH87" s="3" t="n">
        <v>1</v>
      </c>
      <c r="BI87" s="3" t="n">
        <v>1</v>
      </c>
    </row>
    <row r="88" customFormat="false" ht="12.75" hidden="false" customHeight="false" outlineLevel="0" collapsed="false">
      <c r="A88" s="3" t="s">
        <v>1416</v>
      </c>
      <c r="B88" s="3" t="s">
        <v>1243</v>
      </c>
      <c r="C88" s="3" t="s">
        <v>1417</v>
      </c>
      <c r="D88" s="3" t="n">
        <v>182335</v>
      </c>
      <c r="E88" s="41" t="n">
        <v>43671</v>
      </c>
      <c r="F88" s="41" t="n">
        <v>43678</v>
      </c>
      <c r="G88" s="3" t="n">
        <v>7</v>
      </c>
      <c r="H88" s="3" t="n">
        <v>1</v>
      </c>
      <c r="I88" s="3" t="n">
        <v>54</v>
      </c>
      <c r="J88" s="3" t="n">
        <v>2</v>
      </c>
      <c r="K88" s="3" t="n">
        <v>2</v>
      </c>
      <c r="L88" s="3" t="n">
        <v>1</v>
      </c>
      <c r="M88" s="3" t="n">
        <v>2</v>
      </c>
      <c r="N88" s="3" t="n">
        <v>1</v>
      </c>
      <c r="O88" s="3" t="n">
        <v>2</v>
      </c>
      <c r="P88" s="3" t="n">
        <v>2</v>
      </c>
      <c r="Q88" s="3" t="n">
        <v>2</v>
      </c>
      <c r="R88" s="3" t="n">
        <v>1</v>
      </c>
      <c r="S88" s="4" t="n">
        <v>2</v>
      </c>
      <c r="T88" s="3" t="n">
        <v>1</v>
      </c>
      <c r="U88" s="3" t="s">
        <v>1418</v>
      </c>
      <c r="V88" s="3" t="s">
        <v>1419</v>
      </c>
      <c r="W88" s="3" t="s">
        <v>1420</v>
      </c>
      <c r="X88" s="3" t="s">
        <v>1421</v>
      </c>
      <c r="Z88" s="3" t="s">
        <v>1402</v>
      </c>
      <c r="AA88" s="3" t="s">
        <v>1422</v>
      </c>
      <c r="AB88" s="3" t="n">
        <v>1</v>
      </c>
      <c r="AC88" s="3" t="n">
        <v>1</v>
      </c>
      <c r="AD88" s="3" t="n">
        <v>1</v>
      </c>
      <c r="AE88" s="3" t="n">
        <v>1</v>
      </c>
      <c r="AF88" s="3" t="n">
        <v>2</v>
      </c>
      <c r="AG88" s="3" t="n">
        <v>2</v>
      </c>
      <c r="AH88" s="3" t="n">
        <v>1</v>
      </c>
      <c r="AI88" s="3" t="n">
        <v>1</v>
      </c>
      <c r="AJ88" s="3" t="n">
        <v>2</v>
      </c>
      <c r="AK88" s="3" t="n">
        <v>2</v>
      </c>
      <c r="AL88" s="3" t="n">
        <v>2</v>
      </c>
      <c r="AM88" s="3" t="n">
        <v>2</v>
      </c>
      <c r="AN88" s="3" t="n">
        <v>2</v>
      </c>
      <c r="AO88" s="3" t="n">
        <v>3</v>
      </c>
      <c r="AP88" s="3" t="n">
        <v>4</v>
      </c>
      <c r="AQ88" s="3" t="n">
        <v>4</v>
      </c>
      <c r="AR88" s="3" t="n">
        <v>6</v>
      </c>
      <c r="AS88" s="3" t="n">
        <v>4</v>
      </c>
      <c r="AT88" s="3" t="n">
        <v>4</v>
      </c>
      <c r="AU88" s="3" t="n">
        <v>6</v>
      </c>
      <c r="AV88" s="3" t="n">
        <v>6</v>
      </c>
      <c r="AW88" s="3" t="n">
        <v>3</v>
      </c>
      <c r="AX88" s="3" t="n">
        <v>3</v>
      </c>
      <c r="AY88" s="3" t="n">
        <v>1</v>
      </c>
      <c r="AZ88" s="4" t="n">
        <v>1</v>
      </c>
      <c r="BA88" s="3" t="n">
        <v>1</v>
      </c>
      <c r="BB88" s="3" t="n">
        <v>1</v>
      </c>
      <c r="BC88" s="3" t="n">
        <v>4</v>
      </c>
      <c r="BD88" s="3" t="n">
        <v>3</v>
      </c>
      <c r="BE88" s="3" t="n">
        <v>5</v>
      </c>
      <c r="BF88" s="3" t="n">
        <v>3</v>
      </c>
      <c r="BG88" s="3" t="n">
        <v>4</v>
      </c>
      <c r="BH88" s="3" t="n">
        <v>1</v>
      </c>
      <c r="BI88" s="3" t="n">
        <v>1</v>
      </c>
    </row>
    <row r="89" customFormat="false" ht="12.75" hidden="false" customHeight="false" outlineLevel="0" collapsed="false">
      <c r="A89" s="3" t="s">
        <v>440</v>
      </c>
      <c r="B89" s="3" t="s">
        <v>1429</v>
      </c>
      <c r="C89" s="3" t="s">
        <v>462</v>
      </c>
      <c r="D89" s="3" t="n">
        <v>182488</v>
      </c>
      <c r="E89" s="41" t="n">
        <v>43675</v>
      </c>
      <c r="F89" s="41" t="n">
        <v>43682</v>
      </c>
      <c r="G89" s="3" t="n">
        <v>7</v>
      </c>
      <c r="H89" s="3" t="n">
        <v>2</v>
      </c>
      <c r="I89" s="3" t="n">
        <v>62</v>
      </c>
      <c r="J89" s="3" t="n">
        <v>2</v>
      </c>
      <c r="K89" s="3" t="n">
        <v>1</v>
      </c>
      <c r="L89" s="3" t="n">
        <v>1</v>
      </c>
      <c r="M89" s="3" t="n">
        <v>2</v>
      </c>
      <c r="N89" s="3" t="n">
        <v>2</v>
      </c>
      <c r="O89" s="3" t="n">
        <v>2</v>
      </c>
      <c r="P89" s="3" t="n">
        <v>2</v>
      </c>
      <c r="Q89" s="3" t="n">
        <v>2</v>
      </c>
      <c r="R89" s="3" t="n">
        <v>2</v>
      </c>
      <c r="S89" s="4" t="n">
        <v>2</v>
      </c>
      <c r="T89" s="3" t="n">
        <v>2</v>
      </c>
      <c r="U89" s="3" t="n">
        <v>5.17</v>
      </c>
      <c r="V89" s="3" t="n">
        <v>1.18</v>
      </c>
      <c r="W89" s="3" t="n">
        <v>3.94</v>
      </c>
      <c r="X89" s="3" t="n">
        <v>477</v>
      </c>
      <c r="Z89" s="3" t="n">
        <v>0.41</v>
      </c>
      <c r="AA89" s="3" t="n">
        <v>10.6</v>
      </c>
      <c r="AB89" s="3" t="n">
        <v>1</v>
      </c>
      <c r="AC89" s="3" t="n">
        <v>1</v>
      </c>
      <c r="AD89" s="3" t="n">
        <v>1</v>
      </c>
      <c r="AE89" s="3" t="n">
        <v>1</v>
      </c>
      <c r="AF89" s="3" t="n">
        <v>2</v>
      </c>
      <c r="AG89" s="3" t="n">
        <v>2</v>
      </c>
      <c r="AH89" s="3" t="n">
        <v>1</v>
      </c>
      <c r="AI89" s="3" t="n">
        <v>2</v>
      </c>
      <c r="AJ89" s="3" t="n">
        <v>2</v>
      </c>
      <c r="AK89" s="3" t="n">
        <v>2</v>
      </c>
      <c r="AL89" s="3" t="n">
        <v>2</v>
      </c>
      <c r="AM89" s="3" t="n">
        <v>2</v>
      </c>
      <c r="AN89" s="3" t="n">
        <v>2</v>
      </c>
      <c r="AO89" s="3" t="n">
        <v>3</v>
      </c>
      <c r="AP89" s="3" t="n">
        <v>4</v>
      </c>
      <c r="AQ89" s="3" t="n">
        <v>4</v>
      </c>
      <c r="AR89" s="3" t="n">
        <v>6</v>
      </c>
      <c r="AS89" s="3" t="n">
        <v>4</v>
      </c>
      <c r="AT89" s="3" t="n">
        <v>4</v>
      </c>
      <c r="AU89" s="3" t="n">
        <v>6</v>
      </c>
      <c r="AV89" s="3" t="n">
        <v>6</v>
      </c>
      <c r="AW89" s="3" t="n">
        <v>3</v>
      </c>
      <c r="AX89" s="3" t="n">
        <v>3</v>
      </c>
      <c r="AY89" s="3" t="n">
        <v>1</v>
      </c>
      <c r="AZ89" s="4" t="n">
        <v>1</v>
      </c>
      <c r="BA89" s="3" t="n">
        <v>1</v>
      </c>
      <c r="BB89" s="3" t="n">
        <v>1</v>
      </c>
      <c r="BC89" s="3" t="n">
        <v>4</v>
      </c>
      <c r="BD89" s="3" t="n">
        <v>3</v>
      </c>
      <c r="BE89" s="3" t="n">
        <v>5</v>
      </c>
      <c r="BF89" s="3" t="n">
        <v>3</v>
      </c>
      <c r="BG89" s="3" t="n">
        <v>4</v>
      </c>
      <c r="BH89" s="3" t="n">
        <v>1</v>
      </c>
      <c r="BI89" s="3" t="n">
        <v>1</v>
      </c>
    </row>
    <row r="90" customFormat="false" ht="12.75" hidden="false" customHeight="false" outlineLevel="0" collapsed="false">
      <c r="A90" s="3" t="s">
        <v>1445</v>
      </c>
      <c r="B90" s="3" t="s">
        <v>1383</v>
      </c>
      <c r="C90" s="3" t="s">
        <v>1383</v>
      </c>
      <c r="D90" s="3" t="n">
        <v>182490</v>
      </c>
      <c r="E90" s="41" t="n">
        <v>43675</v>
      </c>
      <c r="F90" s="41" t="n">
        <v>43682</v>
      </c>
      <c r="G90" s="3" t="n">
        <v>8</v>
      </c>
      <c r="H90" s="3" t="n">
        <v>2</v>
      </c>
      <c r="I90" s="3" t="n">
        <v>62</v>
      </c>
      <c r="J90" s="3" t="n">
        <v>1</v>
      </c>
      <c r="K90" s="3" t="n">
        <v>2</v>
      </c>
      <c r="L90" s="3" t="n">
        <v>1</v>
      </c>
      <c r="M90" s="3" t="n">
        <v>1</v>
      </c>
      <c r="N90" s="3" t="n">
        <v>2</v>
      </c>
      <c r="O90" s="3" t="n">
        <v>2</v>
      </c>
      <c r="P90" s="3" t="n">
        <v>2</v>
      </c>
      <c r="Q90" s="3" t="n">
        <v>2</v>
      </c>
      <c r="R90" s="3" t="n">
        <v>1</v>
      </c>
      <c r="S90" s="4" t="n">
        <v>2</v>
      </c>
      <c r="T90" s="3" t="n">
        <v>2</v>
      </c>
      <c r="U90" s="3" t="n">
        <v>5.35</v>
      </c>
      <c r="V90" s="3" t="n">
        <v>1.68</v>
      </c>
      <c r="W90" s="3" t="n">
        <v>5.7</v>
      </c>
      <c r="X90" s="3" t="n">
        <v>310</v>
      </c>
      <c r="Z90" s="3" t="n">
        <v>0.43</v>
      </c>
      <c r="AA90" s="3" t="n">
        <v>11.2</v>
      </c>
      <c r="AB90" s="3" t="n">
        <v>1</v>
      </c>
      <c r="AC90" s="3" t="n">
        <v>1</v>
      </c>
      <c r="AD90" s="3" t="n">
        <v>1</v>
      </c>
      <c r="AE90" s="3" t="n">
        <v>1</v>
      </c>
      <c r="AF90" s="3" t="n">
        <v>2</v>
      </c>
      <c r="AG90" s="3" t="n">
        <v>1</v>
      </c>
      <c r="AH90" s="3" t="n">
        <v>1</v>
      </c>
      <c r="AI90" s="3" t="n">
        <v>1</v>
      </c>
      <c r="AJ90" s="3" t="n">
        <v>2</v>
      </c>
      <c r="AK90" s="3" t="n">
        <v>2</v>
      </c>
      <c r="AL90" s="3" t="n">
        <v>2</v>
      </c>
      <c r="AM90" s="3" t="n">
        <v>2</v>
      </c>
      <c r="AN90" s="3" t="n">
        <v>2</v>
      </c>
      <c r="AO90" s="3" t="n">
        <v>3</v>
      </c>
      <c r="AP90" s="3" t="n">
        <v>4</v>
      </c>
      <c r="AQ90" s="3" t="n">
        <v>4</v>
      </c>
      <c r="AR90" s="3" t="n">
        <v>6</v>
      </c>
      <c r="AS90" s="3" t="n">
        <v>4</v>
      </c>
      <c r="AT90" s="3" t="n">
        <v>4</v>
      </c>
      <c r="AU90" s="3" t="n">
        <v>6</v>
      </c>
      <c r="AV90" s="3" t="n">
        <v>6</v>
      </c>
      <c r="AW90" s="3" t="n">
        <v>3</v>
      </c>
      <c r="AX90" s="3" t="n">
        <v>3</v>
      </c>
      <c r="AY90" s="3" t="n">
        <v>1</v>
      </c>
      <c r="AZ90" s="4" t="n">
        <v>1</v>
      </c>
      <c r="BA90" s="3" t="n">
        <v>1</v>
      </c>
      <c r="BB90" s="3" t="n">
        <v>1</v>
      </c>
      <c r="BC90" s="3" t="n">
        <v>4</v>
      </c>
      <c r="BD90" s="3" t="n">
        <v>3</v>
      </c>
      <c r="BE90" s="3" t="n">
        <v>5</v>
      </c>
      <c r="BF90" s="3" t="n">
        <v>3</v>
      </c>
      <c r="BG90" s="3" t="n">
        <v>4</v>
      </c>
      <c r="BH90" s="3" t="n">
        <v>1</v>
      </c>
      <c r="BI90" s="3" t="n">
        <v>1</v>
      </c>
    </row>
    <row r="91" customFormat="false" ht="12.75" hidden="false" customHeight="false" outlineLevel="0" collapsed="false">
      <c r="A91" s="3" t="s">
        <v>1143</v>
      </c>
      <c r="B91" s="3" t="s">
        <v>66</v>
      </c>
      <c r="C91" s="3" t="s">
        <v>438</v>
      </c>
      <c r="D91" s="3" t="n">
        <v>181912</v>
      </c>
      <c r="E91" s="41" t="n">
        <v>43679</v>
      </c>
      <c r="F91" s="41" t="n">
        <v>43686</v>
      </c>
      <c r="G91" s="3" t="n">
        <v>7</v>
      </c>
      <c r="H91" s="3" t="n">
        <v>2</v>
      </c>
      <c r="I91" s="3" t="n">
        <v>50</v>
      </c>
      <c r="J91" s="3" t="n">
        <v>2</v>
      </c>
      <c r="K91" s="3" t="n">
        <v>2</v>
      </c>
      <c r="L91" s="3" t="n">
        <v>2</v>
      </c>
      <c r="M91" s="3" t="n">
        <v>2</v>
      </c>
      <c r="N91" s="3" t="n">
        <v>2</v>
      </c>
      <c r="O91" s="3" t="n">
        <v>2</v>
      </c>
      <c r="P91" s="3" t="n">
        <v>1</v>
      </c>
      <c r="Q91" s="3" t="n">
        <v>2</v>
      </c>
      <c r="R91" s="3" t="n">
        <v>2</v>
      </c>
      <c r="S91" s="4" t="n">
        <v>2</v>
      </c>
      <c r="T91" s="3" t="n">
        <v>2</v>
      </c>
      <c r="U91" s="3" t="n">
        <v>7.45</v>
      </c>
      <c r="V91" s="3" t="n">
        <v>1.64</v>
      </c>
      <c r="W91" s="3" t="n">
        <v>9.2</v>
      </c>
      <c r="X91" s="3" t="n">
        <v>522</v>
      </c>
      <c r="Z91" s="3" t="n">
        <v>0.52</v>
      </c>
      <c r="AA91" s="3" t="n">
        <v>18.4</v>
      </c>
      <c r="AB91" s="3" t="n">
        <v>2</v>
      </c>
      <c r="AC91" s="3" t="n">
        <v>2</v>
      </c>
      <c r="AD91" s="3" t="n">
        <v>1</v>
      </c>
      <c r="AE91" s="3" t="n">
        <v>1</v>
      </c>
      <c r="AF91" s="3" t="n">
        <v>2</v>
      </c>
      <c r="AG91" s="3" t="n">
        <v>2</v>
      </c>
      <c r="AH91" s="3" t="n">
        <v>1</v>
      </c>
      <c r="AI91" s="3" t="n">
        <v>2</v>
      </c>
      <c r="AJ91" s="3" t="n">
        <v>2</v>
      </c>
      <c r="AK91" s="3" t="n">
        <v>2</v>
      </c>
      <c r="AL91" s="3" t="n">
        <v>1</v>
      </c>
      <c r="AM91" s="3" t="n">
        <v>2</v>
      </c>
      <c r="AN91" s="3" t="n">
        <v>2</v>
      </c>
      <c r="AO91" s="3" t="n">
        <v>3</v>
      </c>
      <c r="AP91" s="3" t="n">
        <v>4</v>
      </c>
      <c r="AQ91" s="3" t="n">
        <v>4</v>
      </c>
      <c r="AR91" s="3" t="n">
        <v>6</v>
      </c>
      <c r="AS91" s="3" t="n">
        <v>4</v>
      </c>
      <c r="AT91" s="3" t="n">
        <v>4</v>
      </c>
      <c r="AU91" s="3" t="n">
        <v>6</v>
      </c>
      <c r="AV91" s="3" t="n">
        <v>6</v>
      </c>
      <c r="AW91" s="3" t="n">
        <v>3</v>
      </c>
      <c r="AX91" s="3" t="n">
        <v>3</v>
      </c>
      <c r="AY91" s="3" t="n">
        <v>4</v>
      </c>
      <c r="AZ91" s="4" t="n">
        <v>1</v>
      </c>
      <c r="BA91" s="3" t="n">
        <v>1</v>
      </c>
      <c r="BB91" s="3" t="n">
        <v>1</v>
      </c>
      <c r="BC91" s="3" t="n">
        <v>2</v>
      </c>
      <c r="BD91" s="3" t="n">
        <v>1</v>
      </c>
      <c r="BE91" s="3" t="n">
        <v>2</v>
      </c>
      <c r="BF91" s="3" t="n">
        <v>1</v>
      </c>
      <c r="BG91" s="3" t="n">
        <v>4</v>
      </c>
      <c r="BH91" s="3" t="n">
        <v>1</v>
      </c>
      <c r="BI91" s="3" t="n">
        <v>1</v>
      </c>
    </row>
    <row r="92" customFormat="false" ht="12.75" hidden="false" customHeight="false" outlineLevel="0" collapsed="false">
      <c r="A92" s="2" t="s">
        <v>1460</v>
      </c>
      <c r="B92" s="2" t="s">
        <v>528</v>
      </c>
      <c r="C92" s="2" t="s">
        <v>118</v>
      </c>
      <c r="D92" s="2" t="n">
        <v>182909</v>
      </c>
      <c r="E92" s="15" t="n">
        <v>43682</v>
      </c>
      <c r="F92" s="15" t="n">
        <v>43689</v>
      </c>
      <c r="G92" s="3" t="n">
        <v>7</v>
      </c>
      <c r="H92" s="3" t="n">
        <v>1</v>
      </c>
      <c r="I92" s="3" t="n">
        <v>82</v>
      </c>
      <c r="J92" s="3" t="n">
        <v>1</v>
      </c>
      <c r="K92" s="3" t="n">
        <v>2</v>
      </c>
      <c r="L92" s="3" t="n">
        <v>1</v>
      </c>
      <c r="M92" s="3" t="n">
        <v>2</v>
      </c>
      <c r="N92" s="3" t="n">
        <v>2</v>
      </c>
      <c r="O92" s="3" t="n">
        <v>2</v>
      </c>
      <c r="P92" s="3" t="n">
        <v>2</v>
      </c>
      <c r="Q92" s="3" t="n">
        <v>2</v>
      </c>
      <c r="R92" s="3" t="n">
        <v>2</v>
      </c>
      <c r="S92" s="4" t="n">
        <v>2</v>
      </c>
      <c r="T92" s="3" t="n">
        <v>2</v>
      </c>
      <c r="U92" s="3" t="n">
        <v>5.57</v>
      </c>
      <c r="V92" s="3" t="n">
        <v>2.1</v>
      </c>
      <c r="W92" s="3" t="n">
        <v>7.9</v>
      </c>
      <c r="X92" s="3" t="n">
        <v>242</v>
      </c>
      <c r="Z92" s="3" t="n">
        <v>0.44</v>
      </c>
      <c r="AA92" s="3" t="n">
        <v>13.4</v>
      </c>
      <c r="AB92" s="3" t="n">
        <v>1</v>
      </c>
      <c r="AC92" s="3" t="n">
        <v>2</v>
      </c>
      <c r="AD92" s="3" t="n">
        <v>1</v>
      </c>
      <c r="AE92" s="3" t="n">
        <v>1</v>
      </c>
      <c r="AF92" s="3" t="n">
        <v>2</v>
      </c>
      <c r="AG92" s="3" t="n">
        <v>2</v>
      </c>
      <c r="AH92" s="3" t="n">
        <v>1</v>
      </c>
      <c r="AI92" s="3" t="n">
        <v>2</v>
      </c>
      <c r="AJ92" s="3" t="n">
        <v>2</v>
      </c>
      <c r="AK92" s="3" t="n">
        <v>2</v>
      </c>
      <c r="AL92" s="3" t="n">
        <v>2</v>
      </c>
      <c r="AM92" s="3" t="n">
        <v>2</v>
      </c>
      <c r="AN92" s="3" t="n">
        <v>2</v>
      </c>
      <c r="AO92" s="3" t="n">
        <v>3</v>
      </c>
      <c r="AP92" s="3" t="n">
        <v>4</v>
      </c>
      <c r="AQ92" s="3" t="n">
        <v>4</v>
      </c>
      <c r="AR92" s="3" t="n">
        <v>6</v>
      </c>
      <c r="AS92" s="3" t="n">
        <v>4</v>
      </c>
      <c r="AT92" s="3" t="n">
        <v>4</v>
      </c>
      <c r="AU92" s="3" t="n">
        <v>6</v>
      </c>
      <c r="AV92" s="3" t="n">
        <v>6</v>
      </c>
      <c r="AW92" s="3" t="n">
        <v>3</v>
      </c>
      <c r="AX92" s="3" t="n">
        <v>3</v>
      </c>
      <c r="AY92" s="3" t="n">
        <v>1</v>
      </c>
      <c r="AZ92" s="5" t="n">
        <v>1</v>
      </c>
      <c r="BA92" s="3" t="n">
        <v>1</v>
      </c>
      <c r="BB92" s="3" t="n">
        <v>1</v>
      </c>
      <c r="BC92" s="3" t="n">
        <v>4</v>
      </c>
      <c r="BD92" s="3" t="n">
        <v>1</v>
      </c>
      <c r="BE92" s="3" t="n">
        <v>2</v>
      </c>
      <c r="BF92" s="3" t="n">
        <v>1</v>
      </c>
      <c r="BG92" s="3" t="n">
        <v>4</v>
      </c>
      <c r="BH92" s="3" t="n">
        <v>1</v>
      </c>
      <c r="BI92" s="3" t="n">
        <v>1</v>
      </c>
    </row>
    <row r="93" customFormat="false" ht="12.75" hidden="false" customHeight="false" outlineLevel="0" collapsed="false">
      <c r="A93" s="2" t="s">
        <v>1229</v>
      </c>
      <c r="B93" s="2" t="s">
        <v>1462</v>
      </c>
      <c r="C93" s="2" t="s">
        <v>1463</v>
      </c>
      <c r="D93" s="2" t="n">
        <v>182902</v>
      </c>
      <c r="E93" s="15" t="n">
        <v>43682</v>
      </c>
      <c r="F93" s="15" t="n">
        <v>43689</v>
      </c>
      <c r="G93" s="3" t="n">
        <v>7</v>
      </c>
      <c r="H93" s="3" t="n">
        <v>2</v>
      </c>
      <c r="I93" s="3" t="n">
        <v>61</v>
      </c>
      <c r="J93" s="3" t="n">
        <v>1</v>
      </c>
      <c r="K93" s="3" t="n">
        <v>2</v>
      </c>
      <c r="L93" s="3" t="n">
        <v>1</v>
      </c>
      <c r="M93" s="3" t="n">
        <v>2</v>
      </c>
      <c r="N93" s="3" t="n">
        <v>2</v>
      </c>
      <c r="O93" s="3" t="n">
        <v>2</v>
      </c>
      <c r="P93" s="3" t="n">
        <v>2</v>
      </c>
      <c r="Q93" s="3" t="n">
        <v>2</v>
      </c>
      <c r="R93" s="3" t="n">
        <v>2</v>
      </c>
      <c r="S93" s="4" t="n">
        <v>2</v>
      </c>
      <c r="T93" s="3" t="n">
        <v>2</v>
      </c>
      <c r="U93" s="3" t="n">
        <v>4.22</v>
      </c>
      <c r="V93" s="3" t="n">
        <v>0.53</v>
      </c>
      <c r="W93" s="3" t="n">
        <v>9.08</v>
      </c>
      <c r="X93" s="3" t="n">
        <v>497</v>
      </c>
      <c r="Z93" s="3" t="n">
        <v>0.5</v>
      </c>
      <c r="AA93" s="3" t="n">
        <v>13.2</v>
      </c>
      <c r="AB93" s="3" t="n">
        <v>1</v>
      </c>
      <c r="AC93" s="3" t="n">
        <v>1</v>
      </c>
      <c r="AD93" s="3" t="n">
        <v>1</v>
      </c>
      <c r="AE93" s="3" t="n">
        <v>1</v>
      </c>
      <c r="AF93" s="3" t="n">
        <v>2</v>
      </c>
      <c r="AG93" s="3" t="n">
        <v>2</v>
      </c>
      <c r="AH93" s="3" t="n">
        <v>1</v>
      </c>
      <c r="AI93" s="3" t="n">
        <v>2</v>
      </c>
      <c r="AJ93" s="3" t="n">
        <v>2</v>
      </c>
      <c r="AK93" s="3" t="n">
        <v>2</v>
      </c>
      <c r="AL93" s="3" t="n">
        <v>2</v>
      </c>
      <c r="AM93" s="3" t="n">
        <v>2</v>
      </c>
      <c r="AN93" s="3" t="n">
        <v>2</v>
      </c>
      <c r="AO93" s="3" t="n">
        <v>3</v>
      </c>
      <c r="AP93" s="3" t="n">
        <v>4</v>
      </c>
      <c r="AQ93" s="3" t="n">
        <v>4</v>
      </c>
      <c r="AR93" s="3" t="n">
        <v>6</v>
      </c>
      <c r="AS93" s="3" t="n">
        <v>4</v>
      </c>
      <c r="AT93" s="3" t="n">
        <v>4</v>
      </c>
      <c r="AU93" s="3" t="n">
        <v>6</v>
      </c>
      <c r="AV93" s="3" t="n">
        <v>6</v>
      </c>
      <c r="AW93" s="3" t="n">
        <v>3</v>
      </c>
      <c r="AX93" s="3" t="n">
        <v>3</v>
      </c>
      <c r="AY93" s="3" t="n">
        <v>10</v>
      </c>
      <c r="AZ93" s="5" t="n">
        <v>1</v>
      </c>
      <c r="BA93" s="3" t="n">
        <v>1</v>
      </c>
      <c r="BB93" s="3" t="n">
        <v>1</v>
      </c>
      <c r="BC93" s="3" t="n">
        <v>3</v>
      </c>
      <c r="BD93" s="3" t="n">
        <v>3</v>
      </c>
      <c r="BE93" s="3" t="n">
        <v>5</v>
      </c>
      <c r="BF93" s="3" t="n">
        <v>3</v>
      </c>
      <c r="BG93" s="3" t="n">
        <v>4</v>
      </c>
      <c r="BH93" s="3" t="n">
        <v>1</v>
      </c>
      <c r="BI93" s="3" t="n">
        <v>1</v>
      </c>
    </row>
    <row r="94" customFormat="false" ht="12.75" hidden="false" customHeight="false" outlineLevel="0" collapsed="false">
      <c r="A94" s="2" t="s">
        <v>1465</v>
      </c>
      <c r="B94" s="2" t="s">
        <v>1466</v>
      </c>
      <c r="C94" s="2" t="s">
        <v>1467</v>
      </c>
      <c r="D94" s="2" t="n">
        <v>182939</v>
      </c>
      <c r="E94" s="15" t="n">
        <v>43681</v>
      </c>
      <c r="F94" s="15" t="n">
        <v>43689</v>
      </c>
      <c r="G94" s="3" t="n">
        <v>8</v>
      </c>
      <c r="H94" s="3" t="n">
        <v>1</v>
      </c>
      <c r="I94" s="3" t="n">
        <v>71</v>
      </c>
      <c r="J94" s="3" t="n">
        <v>2</v>
      </c>
      <c r="K94" s="3" t="n">
        <v>2</v>
      </c>
      <c r="L94" s="3" t="n">
        <v>1</v>
      </c>
      <c r="M94" s="3" t="n">
        <v>2</v>
      </c>
      <c r="N94" s="3" t="n">
        <v>2</v>
      </c>
      <c r="O94" s="3" t="n">
        <v>2</v>
      </c>
      <c r="P94" s="3" t="n">
        <v>2</v>
      </c>
      <c r="Q94" s="3" t="n">
        <v>2</v>
      </c>
      <c r="R94" s="3" t="n">
        <v>2</v>
      </c>
      <c r="S94" s="4" t="n">
        <v>2</v>
      </c>
      <c r="T94" s="3" t="n">
        <v>2</v>
      </c>
      <c r="U94" s="3" t="n">
        <v>6.35</v>
      </c>
      <c r="V94" s="3" t="n">
        <v>0.96</v>
      </c>
      <c r="W94" s="3" t="n">
        <v>6.8</v>
      </c>
      <c r="X94" s="3" t="n">
        <v>572</v>
      </c>
      <c r="Z94" s="3" t="n">
        <v>0.49</v>
      </c>
      <c r="AA94" s="3" t="n">
        <v>13</v>
      </c>
      <c r="AB94" s="3" t="n">
        <v>1</v>
      </c>
      <c r="AC94" s="3" t="n">
        <v>2</v>
      </c>
      <c r="AD94" s="3" t="n">
        <v>1</v>
      </c>
      <c r="AE94" s="3" t="n">
        <v>1</v>
      </c>
      <c r="AF94" s="3" t="n">
        <v>1</v>
      </c>
      <c r="AG94" s="3" t="n">
        <v>1</v>
      </c>
      <c r="AH94" s="3" t="n">
        <v>1</v>
      </c>
      <c r="AI94" s="3" t="n">
        <v>2</v>
      </c>
      <c r="AJ94" s="3" t="n">
        <v>2</v>
      </c>
      <c r="AK94" s="3" t="n">
        <v>2</v>
      </c>
      <c r="AL94" s="3" t="n">
        <v>1</v>
      </c>
      <c r="AM94" s="3" t="n">
        <v>2</v>
      </c>
      <c r="AN94" s="3" t="n">
        <v>2</v>
      </c>
      <c r="AO94" s="3" t="n">
        <v>3</v>
      </c>
      <c r="AP94" s="3" t="n">
        <v>4</v>
      </c>
      <c r="AQ94" s="3" t="n">
        <v>4</v>
      </c>
      <c r="AR94" s="3" t="n">
        <v>6</v>
      </c>
      <c r="AS94" s="3" t="n">
        <v>4</v>
      </c>
      <c r="AT94" s="3" t="n">
        <v>4</v>
      </c>
      <c r="AU94" s="3" t="n">
        <v>6</v>
      </c>
      <c r="AV94" s="3" t="n">
        <v>6</v>
      </c>
      <c r="AW94" s="3" t="n">
        <v>3</v>
      </c>
      <c r="AX94" s="3" t="n">
        <v>3</v>
      </c>
      <c r="AY94" s="3" t="n">
        <v>1</v>
      </c>
      <c r="AZ94" s="5" t="n">
        <v>1</v>
      </c>
      <c r="BA94" s="3" t="n">
        <v>1</v>
      </c>
      <c r="BB94" s="3" t="n">
        <v>1</v>
      </c>
      <c r="BC94" s="3" t="n">
        <v>2</v>
      </c>
      <c r="BD94" s="3" t="n">
        <v>1</v>
      </c>
      <c r="BE94" s="3" t="n">
        <v>2</v>
      </c>
      <c r="BF94" s="3" t="n">
        <v>1</v>
      </c>
      <c r="BG94" s="3" t="n">
        <v>4</v>
      </c>
      <c r="BH94" s="3" t="n">
        <v>1</v>
      </c>
      <c r="BI94" s="3" t="n">
        <v>1</v>
      </c>
    </row>
    <row r="95" customFormat="false" ht="12.75" hidden="false" customHeight="false" outlineLevel="0" collapsed="false">
      <c r="A95" s="14" t="s">
        <v>1496</v>
      </c>
      <c r="B95" s="14" t="s">
        <v>1497</v>
      </c>
      <c r="C95" s="14" t="s">
        <v>1498</v>
      </c>
      <c r="D95" s="14" t="n">
        <v>184006</v>
      </c>
      <c r="E95" s="22" t="n">
        <v>43697</v>
      </c>
      <c r="F95" s="22" t="n">
        <v>43704</v>
      </c>
      <c r="G95" s="3" t="n">
        <v>7</v>
      </c>
      <c r="H95" s="3" t="n">
        <v>2</v>
      </c>
      <c r="I95" s="3" t="n">
        <v>63</v>
      </c>
      <c r="J95" s="3" t="n">
        <v>1</v>
      </c>
      <c r="K95" s="3" t="n">
        <v>1</v>
      </c>
      <c r="L95" s="3" t="n">
        <v>1</v>
      </c>
      <c r="M95" s="3" t="n">
        <v>2</v>
      </c>
      <c r="N95" s="3" t="n">
        <v>1</v>
      </c>
      <c r="O95" s="3" t="n">
        <v>1</v>
      </c>
      <c r="P95" s="3" t="n">
        <v>2</v>
      </c>
      <c r="Q95" s="3" t="n">
        <v>2</v>
      </c>
      <c r="R95" s="3" t="n">
        <v>1</v>
      </c>
      <c r="S95" s="4" t="n">
        <v>2</v>
      </c>
      <c r="T95" s="3" t="n">
        <v>2</v>
      </c>
      <c r="U95" s="3"/>
      <c r="V95" s="3"/>
      <c r="W95" s="3"/>
      <c r="X95" s="3"/>
      <c r="Z95" s="3"/>
      <c r="AA95" s="3"/>
      <c r="AB95" s="3" t="n">
        <v>1</v>
      </c>
      <c r="AC95" s="3" t="n">
        <v>2</v>
      </c>
      <c r="AD95" s="3" t="n">
        <v>1</v>
      </c>
      <c r="AE95" s="3" t="n">
        <v>1</v>
      </c>
      <c r="AF95" s="3" t="n">
        <v>1</v>
      </c>
      <c r="AG95" s="3" t="n">
        <v>2</v>
      </c>
      <c r="AH95" s="3" t="n">
        <v>1</v>
      </c>
      <c r="AI95" s="3" t="n">
        <v>1</v>
      </c>
      <c r="AJ95" s="3" t="n">
        <v>2</v>
      </c>
      <c r="AK95" s="3" t="n">
        <v>2</v>
      </c>
      <c r="AL95" s="3" t="n">
        <v>2</v>
      </c>
      <c r="AM95" s="3" t="n">
        <v>2</v>
      </c>
      <c r="AN95" s="3" t="n">
        <v>2</v>
      </c>
      <c r="AO95" s="3" t="n">
        <v>2</v>
      </c>
      <c r="AP95" s="3" t="n">
        <v>3</v>
      </c>
      <c r="AQ95" s="3" t="n">
        <v>4</v>
      </c>
      <c r="AR95" s="3" t="n">
        <v>6</v>
      </c>
      <c r="AS95" s="3" t="n">
        <v>4</v>
      </c>
      <c r="AT95" s="3" t="n">
        <v>4</v>
      </c>
      <c r="AU95" s="3" t="n">
        <v>1</v>
      </c>
      <c r="AV95" s="3" t="n">
        <v>6</v>
      </c>
      <c r="AW95" s="3" t="n">
        <v>2</v>
      </c>
      <c r="AX95" s="3" t="n">
        <v>1</v>
      </c>
      <c r="AY95" s="3" t="n">
        <v>1</v>
      </c>
      <c r="AZ95" s="5" t="n">
        <v>1</v>
      </c>
      <c r="BA95" s="3" t="n">
        <v>1</v>
      </c>
      <c r="BB95" s="3" t="n">
        <v>1</v>
      </c>
      <c r="BC95" s="3" t="n">
        <v>4</v>
      </c>
      <c r="BD95" s="3" t="n">
        <v>1</v>
      </c>
      <c r="BE95" s="3" t="n">
        <v>1</v>
      </c>
      <c r="BF95" s="3" t="n">
        <v>1</v>
      </c>
      <c r="BG95" s="3" t="n">
        <v>4</v>
      </c>
      <c r="BH95" s="3" t="n">
        <v>4</v>
      </c>
      <c r="BI95" s="3" t="n">
        <v>1</v>
      </c>
    </row>
    <row r="96" customFormat="false" ht="12.75" hidden="false" customHeight="false" outlineLevel="0" collapsed="false">
      <c r="A96" s="17" t="s">
        <v>1517</v>
      </c>
      <c r="B96" s="17" t="s">
        <v>1518</v>
      </c>
      <c r="C96" s="17" t="s">
        <v>1519</v>
      </c>
      <c r="D96" s="2" t="n">
        <v>184086</v>
      </c>
      <c r="E96" s="15" t="n">
        <v>43699</v>
      </c>
      <c r="F96" s="15" t="n">
        <v>43707</v>
      </c>
      <c r="G96" s="3" t="n">
        <v>8</v>
      </c>
      <c r="H96" s="3" t="n">
        <v>2</v>
      </c>
      <c r="I96" s="3" t="n">
        <v>45</v>
      </c>
      <c r="J96" s="3" t="n">
        <v>1</v>
      </c>
      <c r="K96" s="3" t="n">
        <v>1</v>
      </c>
      <c r="L96" s="3" t="n">
        <v>1</v>
      </c>
      <c r="M96" s="3" t="n">
        <v>2</v>
      </c>
      <c r="N96" s="3" t="n">
        <v>1</v>
      </c>
      <c r="O96" s="3" t="n">
        <v>1</v>
      </c>
      <c r="P96" s="3" t="n">
        <v>1</v>
      </c>
      <c r="Q96" s="3" t="n">
        <v>2</v>
      </c>
      <c r="R96" s="3" t="n">
        <v>1</v>
      </c>
      <c r="S96" s="4" t="n">
        <v>2</v>
      </c>
      <c r="T96" s="3" t="n">
        <v>1</v>
      </c>
      <c r="U96" s="3"/>
      <c r="V96" s="3"/>
      <c r="W96" s="3"/>
      <c r="X96" s="3"/>
      <c r="Z96" s="3"/>
      <c r="AA96" s="3"/>
      <c r="AB96" s="3" t="n">
        <v>1</v>
      </c>
      <c r="AC96" s="3" t="n">
        <v>1</v>
      </c>
      <c r="AD96" s="3" t="n">
        <v>1</v>
      </c>
      <c r="AE96" s="3" t="n">
        <v>1</v>
      </c>
      <c r="AF96" s="3" t="n">
        <v>2</v>
      </c>
      <c r="AG96" s="3" t="n">
        <v>1</v>
      </c>
      <c r="AH96" s="3" t="n">
        <v>1</v>
      </c>
      <c r="AI96" s="3" t="n">
        <v>1</v>
      </c>
      <c r="AJ96" s="3" t="n">
        <v>2</v>
      </c>
      <c r="AK96" s="3" t="n">
        <v>2</v>
      </c>
      <c r="AL96" s="3" t="n">
        <v>2</v>
      </c>
      <c r="AM96" s="3" t="n">
        <v>2</v>
      </c>
      <c r="AN96" s="3" t="n">
        <v>2</v>
      </c>
      <c r="AO96" s="3" t="n">
        <v>3</v>
      </c>
      <c r="AP96" s="3" t="n">
        <v>4</v>
      </c>
      <c r="AQ96" s="3" t="n">
        <v>4</v>
      </c>
      <c r="AR96" s="3" t="n">
        <v>6</v>
      </c>
      <c r="AS96" s="3" t="n">
        <v>4</v>
      </c>
      <c r="AT96" s="3" t="n">
        <v>4</v>
      </c>
      <c r="AU96" s="3" t="n">
        <v>6</v>
      </c>
      <c r="AV96" s="3" t="n">
        <v>6</v>
      </c>
      <c r="AW96" s="3" t="n">
        <v>3</v>
      </c>
      <c r="AX96" s="3" t="n">
        <v>3</v>
      </c>
      <c r="AY96" s="3" t="n">
        <v>1</v>
      </c>
      <c r="AZ96" s="5" t="n">
        <v>5</v>
      </c>
      <c r="BA96" s="3" t="n">
        <v>2</v>
      </c>
      <c r="BB96" s="3" t="n">
        <v>1</v>
      </c>
      <c r="BC96" s="3" t="n">
        <v>6</v>
      </c>
      <c r="BD96" s="3" t="n">
        <v>3</v>
      </c>
      <c r="BE96" s="3" t="n">
        <v>5</v>
      </c>
      <c r="BF96" s="3" t="n">
        <v>3</v>
      </c>
      <c r="BG96" s="3" t="n">
        <v>4</v>
      </c>
      <c r="BH96" s="3" t="n">
        <v>1</v>
      </c>
      <c r="BI96" s="3" t="n">
        <v>1</v>
      </c>
    </row>
    <row r="97" customFormat="false" ht="12.75" hidden="false" customHeight="false" outlineLevel="0" collapsed="false">
      <c r="A97" s="17" t="s">
        <v>1521</v>
      </c>
      <c r="B97" s="17" t="s">
        <v>739</v>
      </c>
      <c r="C97" s="17" t="s">
        <v>611</v>
      </c>
      <c r="D97" s="2" t="n">
        <v>184022</v>
      </c>
      <c r="E97" s="15" t="n">
        <v>43697</v>
      </c>
      <c r="F97" s="15" t="n">
        <v>43701</v>
      </c>
      <c r="G97" s="3" t="n">
        <v>4</v>
      </c>
      <c r="H97" s="3" t="n">
        <v>2</v>
      </c>
      <c r="I97" s="3" t="n">
        <v>74</v>
      </c>
      <c r="J97" s="3" t="n">
        <v>1</v>
      </c>
      <c r="K97" s="3" t="n">
        <v>1</v>
      </c>
      <c r="L97" s="19" t="n">
        <v>1</v>
      </c>
      <c r="M97" s="3" t="n">
        <v>1</v>
      </c>
      <c r="N97" s="3" t="n">
        <v>2</v>
      </c>
      <c r="O97" s="3" t="n">
        <v>2</v>
      </c>
      <c r="P97" s="3" t="n">
        <v>2</v>
      </c>
      <c r="Q97" s="3" t="n">
        <v>2</v>
      </c>
      <c r="R97" s="3" t="n">
        <v>2</v>
      </c>
      <c r="S97" s="4" t="n">
        <v>2</v>
      </c>
      <c r="T97" s="3" t="n">
        <v>2</v>
      </c>
      <c r="U97" s="3"/>
      <c r="V97" s="3"/>
      <c r="W97" s="3"/>
      <c r="X97" s="3"/>
      <c r="Z97" s="3"/>
      <c r="AA97" s="3"/>
      <c r="AB97" s="3" t="n">
        <v>1</v>
      </c>
      <c r="AC97" s="3" t="n">
        <v>1</v>
      </c>
      <c r="AD97" s="3" t="n">
        <v>1</v>
      </c>
      <c r="AE97" s="3" t="n">
        <v>1</v>
      </c>
      <c r="AF97" s="3" t="n">
        <v>2</v>
      </c>
      <c r="AG97" s="3" t="n">
        <v>1</v>
      </c>
      <c r="AH97" s="3" t="n">
        <v>1</v>
      </c>
      <c r="AI97" s="3" t="n">
        <v>2</v>
      </c>
      <c r="AJ97" s="3" t="n">
        <v>2</v>
      </c>
      <c r="AK97" s="3" t="n">
        <v>2</v>
      </c>
      <c r="AL97" s="3" t="n">
        <v>2</v>
      </c>
      <c r="AM97" s="3" t="n">
        <v>2</v>
      </c>
      <c r="AN97" s="3" t="n">
        <v>2</v>
      </c>
      <c r="AO97" s="3" t="n">
        <v>3</v>
      </c>
      <c r="AP97" s="3" t="n">
        <v>4</v>
      </c>
      <c r="AQ97" s="3" t="n">
        <v>4</v>
      </c>
      <c r="AR97" s="3" t="n">
        <v>6</v>
      </c>
      <c r="AS97" s="3" t="n">
        <v>4</v>
      </c>
      <c r="AT97" s="3" t="n">
        <v>4</v>
      </c>
      <c r="AU97" s="3" t="n">
        <v>6</v>
      </c>
      <c r="AV97" s="3" t="n">
        <v>6</v>
      </c>
      <c r="AW97" s="3" t="n">
        <v>3</v>
      </c>
      <c r="AX97" s="3" t="n">
        <v>3</v>
      </c>
      <c r="AY97" s="3" t="n">
        <v>1</v>
      </c>
      <c r="AZ97" s="5" t="n">
        <v>1</v>
      </c>
      <c r="BA97" s="3" t="n">
        <v>1</v>
      </c>
      <c r="BB97" s="3" t="n">
        <v>1</v>
      </c>
      <c r="BC97" s="3" t="n">
        <v>2</v>
      </c>
      <c r="BD97" s="3" t="n">
        <v>3</v>
      </c>
      <c r="BE97" s="3" t="n">
        <v>5</v>
      </c>
      <c r="BF97" s="3" t="n">
        <v>3</v>
      </c>
      <c r="BG97" s="3" t="n">
        <v>4</v>
      </c>
      <c r="BH97" s="3" t="n">
        <v>1</v>
      </c>
      <c r="BI97" s="3" t="n">
        <v>1</v>
      </c>
    </row>
    <row r="98" customFormat="false" ht="12.75" hidden="false" customHeight="false" outlineLevel="0" collapsed="false">
      <c r="A98" s="17" t="s">
        <v>467</v>
      </c>
      <c r="B98" s="17" t="s">
        <v>1538</v>
      </c>
      <c r="C98" s="17" t="s">
        <v>128</v>
      </c>
      <c r="D98" s="2" t="n">
        <v>184113</v>
      </c>
      <c r="E98" s="15" t="n">
        <v>43702</v>
      </c>
      <c r="F98" s="15" t="n">
        <v>43709</v>
      </c>
      <c r="G98" s="3" t="n">
        <v>7</v>
      </c>
      <c r="H98" s="3" t="n">
        <v>2</v>
      </c>
      <c r="I98" s="3" t="n">
        <v>58</v>
      </c>
      <c r="J98" s="3" t="n">
        <v>1</v>
      </c>
      <c r="K98" s="3" t="n">
        <v>2</v>
      </c>
      <c r="L98" s="3" t="n">
        <v>2</v>
      </c>
      <c r="M98" s="3" t="n">
        <v>2</v>
      </c>
      <c r="N98" s="3" t="n">
        <v>2</v>
      </c>
      <c r="O98" s="3" t="n">
        <v>2</v>
      </c>
      <c r="P98" s="3" t="n">
        <v>2</v>
      </c>
      <c r="Q98" s="3" t="n">
        <v>2</v>
      </c>
      <c r="R98" s="3" t="n">
        <v>2</v>
      </c>
      <c r="S98" s="4" t="n">
        <v>2</v>
      </c>
      <c r="T98" s="3" t="n">
        <v>2</v>
      </c>
      <c r="U98" s="3" t="n">
        <v>5.6</v>
      </c>
      <c r="V98" s="3" t="n">
        <v>2.69</v>
      </c>
      <c r="W98" s="3" t="n">
        <v>6.2</v>
      </c>
      <c r="X98" s="3" t="n">
        <v>572</v>
      </c>
      <c r="Z98" s="3" t="n">
        <v>0.37</v>
      </c>
      <c r="AA98" s="3" t="n">
        <v>12.3</v>
      </c>
      <c r="AB98" s="3" t="n">
        <v>1</v>
      </c>
      <c r="AC98" s="3" t="n">
        <v>2</v>
      </c>
      <c r="AD98" s="3" t="n">
        <v>1</v>
      </c>
      <c r="AE98" s="3" t="n">
        <v>1</v>
      </c>
      <c r="AF98" s="3" t="n">
        <v>2</v>
      </c>
      <c r="AG98" s="3" t="n">
        <v>2</v>
      </c>
      <c r="AH98" s="3" t="n">
        <v>1</v>
      </c>
      <c r="AI98" s="3" t="n">
        <v>2</v>
      </c>
      <c r="AJ98" s="3" t="n">
        <v>2</v>
      </c>
      <c r="AK98" s="3" t="n">
        <v>2</v>
      </c>
      <c r="AL98" s="3" t="n">
        <v>1</v>
      </c>
      <c r="AM98" s="3" t="n">
        <v>2</v>
      </c>
      <c r="AN98" s="3" t="n">
        <v>2</v>
      </c>
      <c r="AO98" s="3" t="n">
        <v>3</v>
      </c>
      <c r="AP98" s="3" t="n">
        <v>4</v>
      </c>
      <c r="AQ98" s="3" t="n">
        <v>4</v>
      </c>
      <c r="AR98" s="3" t="n">
        <v>6</v>
      </c>
      <c r="AS98" s="3" t="n">
        <v>4</v>
      </c>
      <c r="AT98" s="3" t="n">
        <v>4</v>
      </c>
      <c r="AU98" s="3" t="n">
        <v>6</v>
      </c>
      <c r="AV98" s="3" t="n">
        <v>6</v>
      </c>
      <c r="AW98" s="3" t="n">
        <v>3</v>
      </c>
      <c r="AX98" s="3" t="n">
        <v>3</v>
      </c>
      <c r="AY98" s="3" t="n">
        <v>1</v>
      </c>
      <c r="AZ98" s="5" t="n">
        <v>1</v>
      </c>
      <c r="BA98" s="3" t="n">
        <v>1</v>
      </c>
      <c r="BB98" s="3" t="n">
        <v>1</v>
      </c>
      <c r="BC98" s="3" t="n">
        <v>4</v>
      </c>
      <c r="BD98" s="3" t="n">
        <v>3</v>
      </c>
      <c r="BE98" s="3" t="n">
        <v>5</v>
      </c>
      <c r="BF98" s="3" t="n">
        <v>3</v>
      </c>
      <c r="BG98" s="3" t="n">
        <v>4</v>
      </c>
      <c r="BH98" s="3" t="n">
        <v>1</v>
      </c>
      <c r="BI98" s="3" t="n">
        <v>1</v>
      </c>
    </row>
    <row r="99" customFormat="false" ht="12.75" hidden="false" customHeight="false" outlineLevel="0" collapsed="false">
      <c r="A99" s="17" t="s">
        <v>445</v>
      </c>
      <c r="B99" s="17" t="s">
        <v>308</v>
      </c>
      <c r="C99" s="17" t="s">
        <v>1540</v>
      </c>
      <c r="D99" s="2" t="n">
        <v>184117</v>
      </c>
      <c r="E99" s="15" t="n">
        <v>43702</v>
      </c>
      <c r="F99" s="15" t="n">
        <v>43709</v>
      </c>
      <c r="G99" s="3" t="n">
        <v>7</v>
      </c>
      <c r="H99" s="3" t="n">
        <v>1</v>
      </c>
      <c r="I99" s="3" t="n">
        <v>55</v>
      </c>
      <c r="J99" s="3" t="n">
        <v>1</v>
      </c>
      <c r="K99" s="3" t="n">
        <v>1</v>
      </c>
      <c r="L99" s="3" t="n">
        <v>1</v>
      </c>
      <c r="M99" s="3" t="n">
        <v>2</v>
      </c>
      <c r="N99" s="3" t="n">
        <v>2</v>
      </c>
      <c r="O99" s="3" t="n">
        <v>2</v>
      </c>
      <c r="P99" s="3" t="n">
        <v>1</v>
      </c>
      <c r="Q99" s="3" t="n">
        <v>2</v>
      </c>
      <c r="R99" s="3" t="n">
        <v>2</v>
      </c>
      <c r="S99" s="4" t="n">
        <v>2</v>
      </c>
      <c r="T99" s="3" t="n">
        <v>2</v>
      </c>
      <c r="U99" s="3" t="n">
        <v>4.94</v>
      </c>
      <c r="V99" s="3" t="n">
        <v>1.31</v>
      </c>
      <c r="W99" s="3" t="n">
        <v>7.8</v>
      </c>
      <c r="X99" s="3" t="n">
        <v>453</v>
      </c>
      <c r="Z99" s="3" t="n">
        <v>12</v>
      </c>
      <c r="AA99" s="3" t="n">
        <v>0.45</v>
      </c>
      <c r="AB99" s="3" t="n">
        <v>1</v>
      </c>
      <c r="AC99" s="3" t="n">
        <v>2</v>
      </c>
      <c r="AD99" s="3" t="n">
        <v>1</v>
      </c>
      <c r="AE99" s="3" t="n">
        <v>1</v>
      </c>
      <c r="AF99" s="3" t="n">
        <v>2</v>
      </c>
      <c r="AG99" s="3" t="n">
        <v>2</v>
      </c>
      <c r="AH99" s="3" t="n">
        <v>1</v>
      </c>
      <c r="AI99" s="3" t="n">
        <v>2</v>
      </c>
      <c r="AJ99" s="3" t="n">
        <v>2</v>
      </c>
      <c r="AK99" s="3" t="n">
        <v>2</v>
      </c>
      <c r="AL99" s="3" t="n">
        <v>2</v>
      </c>
      <c r="AM99" s="3" t="n">
        <v>2</v>
      </c>
      <c r="AN99" s="3" t="n">
        <v>2</v>
      </c>
      <c r="AO99" s="3" t="n">
        <v>3</v>
      </c>
      <c r="AP99" s="3" t="n">
        <v>4</v>
      </c>
      <c r="AQ99" s="3" t="n">
        <v>4</v>
      </c>
      <c r="AR99" s="3" t="n">
        <v>6</v>
      </c>
      <c r="AS99" s="3" t="n">
        <v>4</v>
      </c>
      <c r="AT99" s="3" t="n">
        <v>4</v>
      </c>
      <c r="AU99" s="3" t="n">
        <v>6</v>
      </c>
      <c r="AV99" s="3" t="n">
        <v>6</v>
      </c>
      <c r="AW99" s="3" t="n">
        <v>3</v>
      </c>
      <c r="AX99" s="3" t="n">
        <v>3</v>
      </c>
      <c r="AY99" s="3" t="n">
        <v>1</v>
      </c>
      <c r="AZ99" s="5" t="n">
        <v>1</v>
      </c>
      <c r="BA99" s="3" t="n">
        <v>1</v>
      </c>
      <c r="BB99" s="3" t="n">
        <v>1</v>
      </c>
      <c r="BC99" s="3" t="n">
        <v>4</v>
      </c>
      <c r="BD99" s="3" t="n">
        <v>1</v>
      </c>
      <c r="BE99" s="3" t="n">
        <v>3</v>
      </c>
      <c r="BF99" s="3" t="n">
        <v>1</v>
      </c>
      <c r="BG99" s="3" t="n">
        <v>4</v>
      </c>
      <c r="BH99" s="3" t="n">
        <v>1</v>
      </c>
      <c r="BI99" s="3" t="n">
        <v>1</v>
      </c>
    </row>
    <row r="100" customFormat="false" ht="12.75" hidden="false" customHeight="false" outlineLevel="0" collapsed="false">
      <c r="A100" s="17" t="s">
        <v>258</v>
      </c>
      <c r="B100" s="17" t="s">
        <v>494</v>
      </c>
      <c r="C100" s="17" t="s">
        <v>528</v>
      </c>
      <c r="D100" s="2" t="n">
        <v>184408</v>
      </c>
      <c r="E100" s="15" t="n">
        <v>43707</v>
      </c>
      <c r="F100" s="15" t="n">
        <v>43712</v>
      </c>
      <c r="G100" s="3" t="n">
        <v>5</v>
      </c>
      <c r="H100" s="3" t="n">
        <v>2</v>
      </c>
      <c r="I100" s="3" t="n">
        <v>58</v>
      </c>
      <c r="J100" s="3" t="n">
        <v>1</v>
      </c>
      <c r="K100" s="3" t="n">
        <v>1</v>
      </c>
      <c r="L100" s="3" t="n">
        <v>1</v>
      </c>
      <c r="M100" s="3" t="n">
        <v>2</v>
      </c>
      <c r="N100" s="3" t="n">
        <v>2</v>
      </c>
      <c r="O100" s="3" t="n">
        <v>2</v>
      </c>
      <c r="P100" s="3" t="n">
        <v>1</v>
      </c>
      <c r="Q100" s="3" t="n">
        <v>2</v>
      </c>
      <c r="R100" s="3" t="n">
        <v>2</v>
      </c>
      <c r="S100" s="4" t="n">
        <v>2</v>
      </c>
      <c r="T100" s="3" t="n">
        <v>2</v>
      </c>
      <c r="U100" s="3" t="n">
        <v>4.14</v>
      </c>
      <c r="V100" s="3" t="n">
        <v>1.92</v>
      </c>
      <c r="W100" s="3" t="n">
        <v>18.3</v>
      </c>
      <c r="X100" s="3" t="n">
        <v>567</v>
      </c>
      <c r="Z100" s="3" t="n">
        <v>0.41</v>
      </c>
      <c r="AA100" s="3" t="n">
        <v>22.4</v>
      </c>
      <c r="AB100" s="3" t="n">
        <v>1</v>
      </c>
      <c r="AC100" s="3" t="n">
        <v>2</v>
      </c>
      <c r="AD100" s="3" t="n">
        <v>1</v>
      </c>
      <c r="AE100" s="3" t="n">
        <v>1</v>
      </c>
      <c r="AF100" s="3" t="n">
        <v>2</v>
      </c>
      <c r="AG100" s="3" t="n">
        <v>2</v>
      </c>
      <c r="AH100" s="3" t="n">
        <v>1</v>
      </c>
      <c r="AI100" s="3" t="n">
        <v>2</v>
      </c>
      <c r="AJ100" s="3" t="n">
        <v>1</v>
      </c>
      <c r="AK100" s="3" t="n">
        <v>2</v>
      </c>
      <c r="AL100" s="3" t="n">
        <v>1</v>
      </c>
      <c r="AM100" s="3" t="n">
        <v>2</v>
      </c>
      <c r="AN100" s="3" t="n">
        <v>2</v>
      </c>
      <c r="AO100" s="3" t="n">
        <v>3</v>
      </c>
      <c r="AP100" s="3" t="n">
        <v>4</v>
      </c>
      <c r="AQ100" s="3" t="n">
        <v>4</v>
      </c>
      <c r="AR100" s="3" t="n">
        <v>6</v>
      </c>
      <c r="AS100" s="3" t="n">
        <v>4</v>
      </c>
      <c r="AT100" s="3" t="n">
        <v>4</v>
      </c>
      <c r="AU100" s="3" t="n">
        <v>6</v>
      </c>
      <c r="AV100" s="3" t="n">
        <v>6</v>
      </c>
      <c r="AW100" s="3" t="n">
        <v>3</v>
      </c>
      <c r="AX100" s="3" t="n">
        <v>3</v>
      </c>
      <c r="AY100" s="3" t="n">
        <v>16</v>
      </c>
      <c r="AZ100" s="5" t="n">
        <v>1</v>
      </c>
      <c r="BA100" s="3" t="n">
        <v>1</v>
      </c>
      <c r="BB100" s="3" t="n">
        <v>1</v>
      </c>
      <c r="BC100" s="3" t="n">
        <v>4</v>
      </c>
      <c r="BD100" s="3" t="n">
        <v>3</v>
      </c>
      <c r="BE100" s="3" t="n">
        <v>5</v>
      </c>
      <c r="BF100" s="3" t="n">
        <v>3</v>
      </c>
      <c r="BG100" s="3" t="n">
        <v>4</v>
      </c>
      <c r="BH100" s="3" t="n">
        <v>1</v>
      </c>
      <c r="BI100" s="3" t="n">
        <v>1</v>
      </c>
    </row>
    <row r="101" customFormat="false" ht="12.75" hidden="false" customHeight="false" outlineLevel="0" collapsed="false">
      <c r="A101" s="17" t="s">
        <v>1116</v>
      </c>
      <c r="B101" s="17" t="s">
        <v>1547</v>
      </c>
      <c r="C101" s="17" t="s">
        <v>308</v>
      </c>
      <c r="D101" s="2" t="n">
        <v>184301</v>
      </c>
      <c r="E101" s="15" t="n">
        <v>43705</v>
      </c>
      <c r="F101" s="15" t="n">
        <v>43712</v>
      </c>
      <c r="G101" s="3" t="n">
        <v>7</v>
      </c>
      <c r="H101" s="3" t="n">
        <v>2</v>
      </c>
      <c r="I101" s="3" t="n">
        <v>61</v>
      </c>
      <c r="J101" s="3" t="n">
        <v>1</v>
      </c>
      <c r="K101" s="3" t="n">
        <v>1</v>
      </c>
      <c r="L101" s="3" t="n">
        <v>1</v>
      </c>
      <c r="M101" s="3" t="n">
        <v>2</v>
      </c>
      <c r="N101" s="3" t="n">
        <v>2</v>
      </c>
      <c r="O101" s="3" t="n">
        <v>2</v>
      </c>
      <c r="P101" s="3" t="n">
        <v>2</v>
      </c>
      <c r="Q101" s="3" t="n">
        <v>2</v>
      </c>
      <c r="R101" s="3" t="n">
        <v>2</v>
      </c>
      <c r="S101" s="4" t="n">
        <v>2</v>
      </c>
      <c r="T101" s="3" t="n">
        <v>2</v>
      </c>
      <c r="U101" s="3" t="n">
        <v>5.19</v>
      </c>
      <c r="V101" s="3" t="n">
        <v>1.56</v>
      </c>
      <c r="W101" s="3" t="n">
        <v>5.69</v>
      </c>
      <c r="X101" s="3" t="n">
        <v>680</v>
      </c>
      <c r="Z101" s="3" t="n">
        <v>0.46</v>
      </c>
      <c r="AA101" s="3" t="n">
        <v>13</v>
      </c>
      <c r="AB101" s="3" t="n">
        <v>1</v>
      </c>
      <c r="AC101" s="3" t="n">
        <v>2</v>
      </c>
      <c r="AD101" s="3" t="n">
        <v>1</v>
      </c>
      <c r="AE101" s="3" t="n">
        <v>1</v>
      </c>
      <c r="AF101" s="3" t="n">
        <v>1</v>
      </c>
      <c r="AG101" s="3" t="n">
        <v>2</v>
      </c>
      <c r="AH101" s="3" t="n">
        <v>1</v>
      </c>
      <c r="AI101" s="3" t="n">
        <v>2</v>
      </c>
      <c r="AJ101" s="3" t="n">
        <v>2</v>
      </c>
      <c r="AK101" s="3" t="n">
        <v>2</v>
      </c>
      <c r="AL101" s="3" t="n">
        <v>2</v>
      </c>
      <c r="AM101" s="3" t="n">
        <v>2</v>
      </c>
      <c r="AN101" s="3" t="n">
        <v>2</v>
      </c>
      <c r="AO101" s="3" t="n">
        <v>3</v>
      </c>
      <c r="AP101" s="3" t="n">
        <v>4</v>
      </c>
      <c r="AQ101" s="3" t="n">
        <v>4</v>
      </c>
      <c r="AR101" s="3" t="n">
        <v>6</v>
      </c>
      <c r="AS101" s="3" t="n">
        <v>4</v>
      </c>
      <c r="AT101" s="3" t="n">
        <v>4</v>
      </c>
      <c r="AU101" s="3" t="n">
        <v>6</v>
      </c>
      <c r="AV101" s="3" t="n">
        <v>6</v>
      </c>
      <c r="AW101" s="3" t="n">
        <v>3</v>
      </c>
      <c r="AX101" s="3" t="n">
        <v>3</v>
      </c>
      <c r="AY101" s="3" t="n">
        <v>1</v>
      </c>
      <c r="AZ101" s="5" t="n">
        <v>1</v>
      </c>
      <c r="BA101" s="3" t="n">
        <v>1</v>
      </c>
      <c r="BB101" s="3" t="n">
        <v>1</v>
      </c>
      <c r="BC101" s="3" t="n">
        <v>2</v>
      </c>
      <c r="BD101" s="3" t="n">
        <v>3</v>
      </c>
      <c r="BE101" s="3" t="n">
        <v>5</v>
      </c>
      <c r="BF101" s="3" t="n">
        <v>3</v>
      </c>
      <c r="BG101" s="3" t="n">
        <v>4</v>
      </c>
      <c r="BH101" s="3" t="n">
        <v>1</v>
      </c>
      <c r="BI101" s="3" t="n">
        <v>1</v>
      </c>
    </row>
    <row r="102" customFormat="false" ht="12.75" hidden="false" customHeight="false" outlineLevel="0" collapsed="false">
      <c r="A102" s="17" t="s">
        <v>1549</v>
      </c>
      <c r="B102" s="17" t="s">
        <v>304</v>
      </c>
      <c r="C102" s="17" t="s">
        <v>1550</v>
      </c>
      <c r="D102" s="2" t="n">
        <v>184413</v>
      </c>
      <c r="E102" s="15" t="n">
        <v>43707</v>
      </c>
      <c r="F102" s="15" t="n">
        <v>43713</v>
      </c>
      <c r="G102" s="3" t="n">
        <v>6</v>
      </c>
      <c r="H102" s="3" t="n">
        <v>2</v>
      </c>
      <c r="I102" s="3" t="n">
        <v>60</v>
      </c>
      <c r="J102" s="3" t="n">
        <v>1</v>
      </c>
      <c r="K102" s="3" t="n">
        <v>2</v>
      </c>
      <c r="L102" s="3" t="n">
        <v>1</v>
      </c>
      <c r="M102" s="3" t="n">
        <v>2</v>
      </c>
      <c r="N102" s="3" t="n">
        <v>2</v>
      </c>
      <c r="O102" s="3" t="n">
        <v>1</v>
      </c>
      <c r="P102" s="3" t="n">
        <v>1</v>
      </c>
      <c r="Q102" s="3" t="n">
        <v>2</v>
      </c>
      <c r="R102" s="3" t="n">
        <v>1</v>
      </c>
      <c r="S102" s="4" t="n">
        <v>2</v>
      </c>
      <c r="T102" s="3" t="n">
        <v>2</v>
      </c>
      <c r="U102" s="3" t="n">
        <v>5.49</v>
      </c>
      <c r="V102" s="3" t="n">
        <v>2.29</v>
      </c>
      <c r="W102" s="3" t="n">
        <v>8.1</v>
      </c>
      <c r="X102" s="3" t="n">
        <v>446</v>
      </c>
      <c r="Z102" s="3" t="n">
        <v>0.47</v>
      </c>
      <c r="AA102" s="3" t="n">
        <v>7.6</v>
      </c>
      <c r="AB102" s="3" t="n">
        <v>1</v>
      </c>
      <c r="AC102" s="3" t="n">
        <v>2</v>
      </c>
      <c r="AD102" s="3" t="n">
        <v>1</v>
      </c>
      <c r="AE102" s="3" t="n">
        <v>1</v>
      </c>
      <c r="AF102" s="3" t="n">
        <v>1</v>
      </c>
      <c r="AG102" s="3" t="n">
        <v>2</v>
      </c>
      <c r="AH102" s="3" t="n">
        <v>1</v>
      </c>
      <c r="AI102" s="3" t="n">
        <v>1</v>
      </c>
      <c r="AJ102" s="3" t="n">
        <v>2</v>
      </c>
      <c r="AK102" s="3" t="n">
        <v>2</v>
      </c>
      <c r="AL102" s="3" t="n">
        <v>2</v>
      </c>
      <c r="AM102" s="3" t="n">
        <v>2</v>
      </c>
      <c r="AN102" s="3" t="n">
        <v>2</v>
      </c>
      <c r="AO102" s="3" t="n">
        <v>3</v>
      </c>
      <c r="AP102" s="3" t="n">
        <v>4</v>
      </c>
      <c r="AQ102" s="3" t="n">
        <v>4</v>
      </c>
      <c r="AR102" s="3" t="n">
        <v>6</v>
      </c>
      <c r="AS102" s="3" t="n">
        <v>4</v>
      </c>
      <c r="AT102" s="3" t="n">
        <v>4</v>
      </c>
      <c r="AU102" s="3" t="n">
        <v>6</v>
      </c>
      <c r="AV102" s="3" t="n">
        <v>6</v>
      </c>
      <c r="AW102" s="3" t="n">
        <v>3</v>
      </c>
      <c r="AX102" s="3" t="n">
        <v>3</v>
      </c>
      <c r="AY102" s="3" t="n">
        <v>1</v>
      </c>
      <c r="AZ102" s="5" t="n">
        <v>1</v>
      </c>
      <c r="BA102" s="3" t="n">
        <v>1</v>
      </c>
      <c r="BB102" s="3" t="n">
        <v>1</v>
      </c>
      <c r="BC102" s="3" t="n">
        <v>3</v>
      </c>
      <c r="BD102" s="3" t="n">
        <v>3</v>
      </c>
      <c r="BE102" s="3" t="n">
        <v>5</v>
      </c>
      <c r="BF102" s="3" t="n">
        <v>3</v>
      </c>
      <c r="BG102" s="3" t="n">
        <v>4</v>
      </c>
      <c r="BH102" s="3" t="n">
        <v>1</v>
      </c>
      <c r="BI102" s="3" t="n">
        <v>1</v>
      </c>
    </row>
    <row r="103" customFormat="false" ht="12.75" hidden="false" customHeight="false" outlineLevel="0" collapsed="false">
      <c r="A103" s="17" t="s">
        <v>323</v>
      </c>
      <c r="B103" s="17" t="s">
        <v>1482</v>
      </c>
      <c r="C103" s="17" t="s">
        <v>1552</v>
      </c>
      <c r="D103" s="2" t="n">
        <v>184462</v>
      </c>
      <c r="E103" s="15" t="n">
        <v>43708</v>
      </c>
      <c r="F103" s="15" t="n">
        <v>43715</v>
      </c>
      <c r="G103" s="3" t="n">
        <v>8</v>
      </c>
      <c r="H103" s="3" t="n">
        <v>2</v>
      </c>
      <c r="I103" s="3" t="n">
        <v>61</v>
      </c>
      <c r="J103" s="3" t="n">
        <v>1</v>
      </c>
      <c r="K103" s="3" t="n">
        <v>1</v>
      </c>
      <c r="L103" s="3" t="n">
        <v>1</v>
      </c>
      <c r="M103" s="3" t="n">
        <v>2</v>
      </c>
      <c r="N103" s="3" t="n">
        <v>2</v>
      </c>
      <c r="O103" s="3" t="n">
        <v>2</v>
      </c>
      <c r="P103" s="3" t="n">
        <v>2</v>
      </c>
      <c r="Q103" s="3" t="n">
        <v>2</v>
      </c>
      <c r="R103" s="3" t="n">
        <v>2</v>
      </c>
      <c r="S103" s="4" t="n">
        <v>2</v>
      </c>
      <c r="T103" s="3" t="n">
        <v>2</v>
      </c>
      <c r="U103" s="3" t="n">
        <v>4.44</v>
      </c>
      <c r="V103" s="3" t="n">
        <v>1.24</v>
      </c>
      <c r="W103" s="3" t="n">
        <v>4.51</v>
      </c>
      <c r="X103" s="3" t="n">
        <v>367</v>
      </c>
      <c r="Z103" s="3" t="n">
        <v>0.45</v>
      </c>
      <c r="AA103" s="3" t="n">
        <v>15.6</v>
      </c>
      <c r="AB103" s="3" t="n">
        <v>1</v>
      </c>
      <c r="AC103" s="3" t="n">
        <v>2</v>
      </c>
      <c r="AD103" s="3" t="n">
        <v>1</v>
      </c>
      <c r="AE103" s="3" t="n">
        <v>1</v>
      </c>
      <c r="AF103" s="3" t="n">
        <v>2</v>
      </c>
      <c r="AG103" s="3" t="n">
        <v>2</v>
      </c>
      <c r="AH103" s="3" t="n">
        <v>1</v>
      </c>
      <c r="AI103" s="3" t="n">
        <v>2</v>
      </c>
      <c r="AJ103" s="3" t="n">
        <v>2</v>
      </c>
      <c r="AK103" s="3" t="n">
        <v>2</v>
      </c>
      <c r="AL103" s="3" t="n">
        <v>2</v>
      </c>
      <c r="AM103" s="3" t="n">
        <v>2</v>
      </c>
      <c r="AN103" s="3" t="n">
        <v>2</v>
      </c>
      <c r="AO103" s="3" t="n">
        <v>3</v>
      </c>
      <c r="AP103" s="3" t="n">
        <v>4</v>
      </c>
      <c r="AQ103" s="3" t="n">
        <v>4</v>
      </c>
      <c r="AR103" s="3" t="n">
        <v>6</v>
      </c>
      <c r="AS103" s="3" t="n">
        <v>4</v>
      </c>
      <c r="AT103" s="3" t="n">
        <v>4</v>
      </c>
      <c r="AU103" s="3" t="n">
        <v>6</v>
      </c>
      <c r="AV103" s="3" t="n">
        <v>6</v>
      </c>
      <c r="AW103" s="3" t="n">
        <v>3</v>
      </c>
      <c r="AX103" s="3" t="n">
        <v>3</v>
      </c>
      <c r="AY103" s="3" t="n">
        <v>1</v>
      </c>
      <c r="AZ103" s="5" t="n">
        <v>1</v>
      </c>
      <c r="BA103" s="3" t="n">
        <v>1</v>
      </c>
      <c r="BB103" s="3" t="n">
        <v>1</v>
      </c>
      <c r="BC103" s="3" t="n">
        <v>4</v>
      </c>
      <c r="BD103" s="3" t="n">
        <v>1</v>
      </c>
      <c r="BE103" s="3" t="n">
        <v>2</v>
      </c>
      <c r="BF103" s="3" t="n">
        <v>3</v>
      </c>
      <c r="BG103" s="3" t="n">
        <v>4</v>
      </c>
      <c r="BH103" s="3" t="n">
        <v>1</v>
      </c>
      <c r="BI103" s="3" t="n">
        <v>1</v>
      </c>
    </row>
    <row r="104" customFormat="false" ht="12.75" hidden="false" customHeight="false" outlineLevel="0" collapsed="false">
      <c r="A104" s="2" t="s">
        <v>758</v>
      </c>
      <c r="B104" s="2" t="s">
        <v>127</v>
      </c>
      <c r="C104" s="2" t="s">
        <v>454</v>
      </c>
      <c r="D104" s="2" t="n">
        <v>184498</v>
      </c>
      <c r="E104" s="15" t="n">
        <v>43710</v>
      </c>
      <c r="F104" s="15" t="n">
        <v>43717</v>
      </c>
      <c r="G104" s="3" t="n">
        <v>7</v>
      </c>
      <c r="H104" s="3" t="n">
        <v>2</v>
      </c>
      <c r="I104" s="3" t="n">
        <v>63</v>
      </c>
      <c r="J104" s="3" t="n">
        <v>1</v>
      </c>
      <c r="K104" s="3" t="n">
        <v>1</v>
      </c>
      <c r="L104" s="3" t="n">
        <v>2</v>
      </c>
      <c r="M104" s="3" t="n">
        <v>2</v>
      </c>
      <c r="N104" s="3" t="n">
        <v>2</v>
      </c>
      <c r="O104" s="3" t="n">
        <v>2</v>
      </c>
      <c r="P104" s="3" t="n">
        <v>2</v>
      </c>
      <c r="Q104" s="3" t="n">
        <v>2</v>
      </c>
      <c r="R104" s="3" t="n">
        <v>2</v>
      </c>
      <c r="S104" s="4" t="n">
        <v>2</v>
      </c>
      <c r="T104" s="3" t="n">
        <v>2</v>
      </c>
      <c r="U104" s="3" t="n">
        <v>4.62</v>
      </c>
      <c r="V104" s="3" t="n">
        <v>2.76</v>
      </c>
      <c r="W104" s="3" t="n">
        <v>9.9</v>
      </c>
      <c r="X104" s="3" t="n">
        <v>486</v>
      </c>
      <c r="Z104" s="3" t="n">
        <v>0.47</v>
      </c>
      <c r="AA104" s="3" t="n">
        <v>13</v>
      </c>
      <c r="AB104" s="3" t="n">
        <v>1</v>
      </c>
      <c r="AC104" s="3" t="n">
        <v>2</v>
      </c>
      <c r="AD104" s="3" t="n">
        <v>1</v>
      </c>
      <c r="AE104" s="3" t="n">
        <v>1</v>
      </c>
      <c r="AF104" s="3" t="n">
        <v>2</v>
      </c>
      <c r="AG104" s="3" t="n">
        <v>2</v>
      </c>
      <c r="AH104" s="3" t="n">
        <v>1</v>
      </c>
      <c r="AI104" s="3" t="n">
        <v>2</v>
      </c>
      <c r="AJ104" s="3" t="n">
        <v>2</v>
      </c>
      <c r="AK104" s="3" t="n">
        <v>2</v>
      </c>
      <c r="AL104" s="3" t="n">
        <v>2</v>
      </c>
      <c r="AM104" s="3" t="n">
        <v>2</v>
      </c>
      <c r="AN104" s="3" t="n">
        <v>2</v>
      </c>
      <c r="AO104" s="3" t="n">
        <v>3</v>
      </c>
      <c r="AP104" s="3" t="n">
        <v>4</v>
      </c>
      <c r="AQ104" s="3" t="n">
        <v>4</v>
      </c>
      <c r="AR104" s="3" t="n">
        <v>6</v>
      </c>
      <c r="AS104" s="3" t="n">
        <v>4</v>
      </c>
      <c r="AT104" s="3" t="n">
        <v>4</v>
      </c>
      <c r="AU104" s="3" t="n">
        <v>6</v>
      </c>
      <c r="AV104" s="3" t="n">
        <v>6</v>
      </c>
      <c r="AW104" s="3" t="n">
        <v>3</v>
      </c>
      <c r="AX104" s="3" t="n">
        <v>3</v>
      </c>
      <c r="AY104" s="3" t="n">
        <v>1</v>
      </c>
      <c r="AZ104" s="5" t="n">
        <v>1</v>
      </c>
      <c r="BA104" s="3" t="n">
        <v>1</v>
      </c>
      <c r="BB104" s="3" t="n">
        <v>1</v>
      </c>
      <c r="BC104" s="3" t="n">
        <v>4</v>
      </c>
      <c r="BD104" s="3" t="n">
        <v>1</v>
      </c>
      <c r="BE104" s="3" t="n">
        <v>2</v>
      </c>
      <c r="BF104" s="3" t="n">
        <v>1</v>
      </c>
      <c r="BG104" s="3" t="n">
        <v>4</v>
      </c>
      <c r="BH104" s="3" t="n">
        <v>1</v>
      </c>
      <c r="BI104" s="3" t="n">
        <v>1</v>
      </c>
    </row>
    <row r="105" customFormat="false" ht="12.75" hidden="false" customHeight="false" outlineLevel="0" collapsed="false">
      <c r="A105" s="2" t="s">
        <v>73</v>
      </c>
      <c r="B105" s="2" t="s">
        <v>1570</v>
      </c>
      <c r="C105" s="2" t="s">
        <v>127</v>
      </c>
      <c r="D105" s="2" t="n">
        <v>184730</v>
      </c>
      <c r="E105" s="15" t="n">
        <v>43718</v>
      </c>
      <c r="F105" s="15" t="n">
        <v>37516</v>
      </c>
      <c r="G105" s="3" t="n">
        <v>7</v>
      </c>
      <c r="H105" s="3" t="n">
        <v>2</v>
      </c>
      <c r="I105" s="3" t="n">
        <v>56</v>
      </c>
      <c r="J105" s="3" t="n">
        <v>1</v>
      </c>
      <c r="K105" s="3" t="n">
        <v>2</v>
      </c>
      <c r="L105" s="3" t="n">
        <v>1</v>
      </c>
      <c r="M105" s="3" t="n">
        <v>2</v>
      </c>
      <c r="N105" s="3" t="n">
        <v>2</v>
      </c>
      <c r="O105" s="3" t="n">
        <v>2</v>
      </c>
      <c r="P105" s="3" t="n">
        <v>2</v>
      </c>
      <c r="Q105" s="3" t="n">
        <v>2</v>
      </c>
      <c r="R105" s="3" t="n">
        <v>1</v>
      </c>
      <c r="S105" s="4" t="n">
        <v>2</v>
      </c>
      <c r="T105" s="3" t="n">
        <v>2</v>
      </c>
      <c r="U105" s="3" t="n">
        <v>5.22</v>
      </c>
      <c r="V105" s="3" t="n">
        <v>1.79</v>
      </c>
      <c r="W105" s="3" t="n">
        <v>7.7</v>
      </c>
      <c r="X105" s="3" t="n">
        <v>451</v>
      </c>
      <c r="Z105" s="3" t="n">
        <v>0.41</v>
      </c>
      <c r="AA105" s="3" t="n">
        <v>8</v>
      </c>
      <c r="AB105" s="3" t="n">
        <v>2</v>
      </c>
      <c r="AC105" s="3" t="n">
        <v>1</v>
      </c>
      <c r="AD105" s="3" t="n">
        <v>1</v>
      </c>
      <c r="AE105" s="3" t="n">
        <v>1</v>
      </c>
      <c r="AF105" s="3" t="n">
        <v>2</v>
      </c>
      <c r="AG105" s="3" t="n">
        <v>2</v>
      </c>
      <c r="AH105" s="3" t="n">
        <v>1</v>
      </c>
      <c r="AI105" s="3" t="n">
        <v>1</v>
      </c>
      <c r="AJ105" s="3" t="n">
        <v>2</v>
      </c>
      <c r="AK105" s="3" t="n">
        <v>2</v>
      </c>
      <c r="AL105" s="3" t="n">
        <v>1</v>
      </c>
      <c r="AM105" s="3" t="n">
        <v>2</v>
      </c>
      <c r="AN105" s="3" t="n">
        <v>2</v>
      </c>
      <c r="AO105" s="3" t="n">
        <v>3</v>
      </c>
      <c r="AP105" s="3" t="n">
        <v>4</v>
      </c>
      <c r="AQ105" s="3" t="n">
        <v>4</v>
      </c>
      <c r="AR105" s="3" t="n">
        <v>6</v>
      </c>
      <c r="AS105" s="3" t="n">
        <v>4</v>
      </c>
      <c r="AT105" s="3" t="n">
        <v>4</v>
      </c>
      <c r="AU105" s="3" t="n">
        <v>6</v>
      </c>
      <c r="AV105" s="3" t="n">
        <v>6</v>
      </c>
      <c r="AW105" s="3" t="n">
        <v>3</v>
      </c>
      <c r="AX105" s="3" t="n">
        <v>3</v>
      </c>
      <c r="AY105" s="3" t="n">
        <v>1</v>
      </c>
      <c r="AZ105" s="5" t="n">
        <v>1</v>
      </c>
      <c r="BA105" s="3" t="n">
        <v>1</v>
      </c>
      <c r="BB105" s="3" t="n">
        <v>1</v>
      </c>
      <c r="BC105" s="3" t="n">
        <v>2</v>
      </c>
      <c r="BD105" s="3" t="n">
        <v>3</v>
      </c>
      <c r="BE105" s="3" t="n">
        <v>5</v>
      </c>
      <c r="BF105" s="3" t="n">
        <v>3</v>
      </c>
      <c r="BG105" s="3" t="n">
        <v>4</v>
      </c>
      <c r="BH105" s="3" t="n">
        <v>1</v>
      </c>
      <c r="BI105" s="3" t="n">
        <v>1</v>
      </c>
    </row>
    <row r="106" customFormat="false" ht="12.75" hidden="false" customHeight="false" outlineLevel="0" collapsed="false">
      <c r="A106" s="2" t="s">
        <v>1577</v>
      </c>
      <c r="B106" s="2" t="s">
        <v>172</v>
      </c>
      <c r="C106" s="2" t="s">
        <v>157</v>
      </c>
      <c r="D106" s="2" t="n">
        <v>185146</v>
      </c>
      <c r="E106" s="15" t="n">
        <v>43724</v>
      </c>
      <c r="F106" s="15" t="n">
        <v>43732</v>
      </c>
      <c r="G106" s="3" t="n">
        <v>8</v>
      </c>
      <c r="H106" s="3" t="n">
        <v>2</v>
      </c>
      <c r="I106" s="3" t="n">
        <v>67</v>
      </c>
      <c r="J106" s="3" t="n">
        <v>1</v>
      </c>
      <c r="K106" s="3" t="n">
        <v>1</v>
      </c>
      <c r="L106" s="3" t="n">
        <v>2</v>
      </c>
      <c r="M106" s="3" t="n">
        <v>2</v>
      </c>
      <c r="N106" s="3" t="n">
        <v>2</v>
      </c>
      <c r="O106" s="3" t="n">
        <v>2</v>
      </c>
      <c r="P106" s="3" t="n">
        <v>2</v>
      </c>
      <c r="Q106" s="3" t="n">
        <v>2</v>
      </c>
      <c r="R106" s="3" t="n">
        <v>2</v>
      </c>
      <c r="S106" s="4" t="n">
        <v>2</v>
      </c>
      <c r="T106" s="3" t="n">
        <v>2</v>
      </c>
      <c r="U106" s="3" t="n">
        <v>2.88</v>
      </c>
      <c r="V106" s="3" t="n">
        <v>1.02</v>
      </c>
      <c r="W106" s="3" t="n">
        <v>5.93</v>
      </c>
      <c r="X106" s="3" t="n">
        <v>277</v>
      </c>
      <c r="Z106" s="3" t="n">
        <v>0.44</v>
      </c>
      <c r="AA106" s="3" t="n">
        <v>16</v>
      </c>
      <c r="AB106" s="3" t="n">
        <v>1</v>
      </c>
      <c r="AC106" s="3" t="n">
        <v>2</v>
      </c>
      <c r="AD106" s="3" t="n">
        <v>1</v>
      </c>
      <c r="AE106" s="3" t="n">
        <v>1</v>
      </c>
      <c r="AF106" s="3" t="n">
        <v>2</v>
      </c>
      <c r="AG106" s="3" t="n">
        <v>2</v>
      </c>
      <c r="AH106" s="3" t="n">
        <v>1</v>
      </c>
      <c r="AI106" s="3" t="n">
        <v>2</v>
      </c>
      <c r="AJ106" s="3" t="n">
        <v>2</v>
      </c>
      <c r="AK106" s="3" t="n">
        <v>2</v>
      </c>
      <c r="AL106" s="3" t="n">
        <v>2</v>
      </c>
      <c r="AM106" s="3" t="n">
        <v>2</v>
      </c>
      <c r="AN106" s="3" t="n">
        <v>2</v>
      </c>
      <c r="AO106" s="3" t="n">
        <v>2</v>
      </c>
      <c r="AP106" s="3" t="n">
        <v>2</v>
      </c>
      <c r="AQ106" s="3" t="n">
        <v>4</v>
      </c>
      <c r="AR106" s="3" t="n">
        <v>6</v>
      </c>
      <c r="AS106" s="3" t="n">
        <v>4</v>
      </c>
      <c r="AT106" s="3" t="n">
        <v>4</v>
      </c>
      <c r="AU106" s="3" t="n">
        <v>1</v>
      </c>
      <c r="AV106" s="3" t="n">
        <v>6</v>
      </c>
      <c r="AW106" s="3" t="n">
        <v>2</v>
      </c>
      <c r="AX106" s="3" t="n">
        <v>1</v>
      </c>
      <c r="AY106" s="3" t="n">
        <v>5</v>
      </c>
      <c r="AZ106" s="5" t="n">
        <v>1</v>
      </c>
      <c r="BA106" s="3" t="n">
        <v>1</v>
      </c>
      <c r="BB106" s="3" t="n">
        <v>1</v>
      </c>
      <c r="BC106" s="3" t="n">
        <v>4</v>
      </c>
      <c r="BD106" s="3" t="n">
        <v>1</v>
      </c>
      <c r="BE106" s="3" t="n">
        <v>2</v>
      </c>
      <c r="BF106" s="3" t="n">
        <v>1</v>
      </c>
      <c r="BG106" s="3" t="n">
        <v>4</v>
      </c>
      <c r="BH106" s="3" t="n">
        <v>1</v>
      </c>
      <c r="BI106" s="3" t="n">
        <v>1</v>
      </c>
    </row>
    <row r="107" customFormat="false" ht="12.75" hidden="false" customHeight="false" outlineLevel="0" collapsed="false">
      <c r="A107" s="2" t="s">
        <v>1582</v>
      </c>
      <c r="B107" s="2" t="s">
        <v>1583</v>
      </c>
      <c r="C107" s="2" t="s">
        <v>127</v>
      </c>
      <c r="D107" s="2" t="n">
        <v>185323</v>
      </c>
      <c r="E107" s="15" t="n">
        <v>43725</v>
      </c>
      <c r="F107" s="15" t="n">
        <v>43732</v>
      </c>
      <c r="G107" s="3" t="n">
        <v>7</v>
      </c>
      <c r="H107" s="3" t="n">
        <v>2</v>
      </c>
      <c r="I107" s="3" t="n">
        <v>47</v>
      </c>
      <c r="J107" s="3" t="n">
        <v>1</v>
      </c>
      <c r="K107" s="3" t="n">
        <v>1</v>
      </c>
      <c r="L107" s="3" t="n">
        <v>1</v>
      </c>
      <c r="M107" s="3" t="n">
        <v>2</v>
      </c>
      <c r="N107" s="3" t="n">
        <v>2</v>
      </c>
      <c r="O107" s="3" t="n">
        <v>2</v>
      </c>
      <c r="P107" s="3" t="n">
        <v>2</v>
      </c>
      <c r="Q107" s="3" t="n">
        <v>2</v>
      </c>
      <c r="R107" s="3" t="n">
        <v>2</v>
      </c>
      <c r="S107" s="4" t="n">
        <v>2</v>
      </c>
      <c r="T107" s="3" t="n">
        <v>2</v>
      </c>
      <c r="U107" s="3" t="n">
        <v>3.66</v>
      </c>
      <c r="V107" s="3" t="n">
        <v>0.73</v>
      </c>
      <c r="W107" s="3" t="n">
        <v>6.11</v>
      </c>
      <c r="X107" s="3" t="n">
        <v>447</v>
      </c>
      <c r="Z107" s="3" t="n">
        <v>0.47</v>
      </c>
      <c r="AA107" s="3" t="n">
        <v>12.3</v>
      </c>
      <c r="AB107" s="3" t="n">
        <v>1</v>
      </c>
      <c r="AC107" s="3" t="n">
        <v>2</v>
      </c>
      <c r="AD107" s="3" t="n">
        <v>1</v>
      </c>
      <c r="AE107" s="3" t="n">
        <v>1</v>
      </c>
      <c r="AF107" s="3" t="n">
        <v>2</v>
      </c>
      <c r="AG107" s="3" t="n">
        <v>2</v>
      </c>
      <c r="AH107" s="3" t="n">
        <v>1</v>
      </c>
      <c r="AI107" s="3" t="n">
        <v>2</v>
      </c>
      <c r="AJ107" s="3" t="n">
        <v>2</v>
      </c>
      <c r="AK107" s="3" t="n">
        <v>2</v>
      </c>
      <c r="AL107" s="3" t="n">
        <v>2</v>
      </c>
      <c r="AM107" s="3" t="n">
        <v>2</v>
      </c>
      <c r="AN107" s="3" t="n">
        <v>2</v>
      </c>
      <c r="AO107" s="3" t="n">
        <v>3</v>
      </c>
      <c r="AP107" s="3" t="n">
        <v>4</v>
      </c>
      <c r="AQ107" s="3" t="n">
        <v>4</v>
      </c>
      <c r="AR107" s="3" t="n">
        <v>6</v>
      </c>
      <c r="AS107" s="3" t="n">
        <v>4</v>
      </c>
      <c r="AT107" s="3" t="n">
        <v>4</v>
      </c>
      <c r="AU107" s="3" t="n">
        <v>6</v>
      </c>
      <c r="AV107" s="3" t="n">
        <v>6</v>
      </c>
      <c r="AW107" s="3" t="n">
        <v>3</v>
      </c>
      <c r="AX107" s="3" t="n">
        <v>3</v>
      </c>
      <c r="AY107" s="3" t="n">
        <v>1</v>
      </c>
      <c r="AZ107" s="5" t="n">
        <v>1</v>
      </c>
      <c r="BA107" s="3" t="n">
        <v>1</v>
      </c>
      <c r="BB107" s="3" t="n">
        <v>1</v>
      </c>
      <c r="BC107" s="3" t="n">
        <v>2</v>
      </c>
      <c r="BD107" s="3" t="n">
        <v>1</v>
      </c>
      <c r="BE107" s="3" t="n">
        <v>2</v>
      </c>
      <c r="BF107" s="3" t="n">
        <v>1</v>
      </c>
      <c r="BG107" s="3" t="n">
        <v>4</v>
      </c>
      <c r="BH107" s="3" t="n">
        <v>1</v>
      </c>
      <c r="BI107" s="3" t="n">
        <v>1</v>
      </c>
    </row>
    <row r="108" customFormat="false" ht="12.75" hidden="false" customHeight="false" outlineLevel="0" collapsed="false">
      <c r="A108" s="2" t="s">
        <v>556</v>
      </c>
      <c r="B108" s="2" t="s">
        <v>95</v>
      </c>
      <c r="C108" s="2" t="s">
        <v>95</v>
      </c>
      <c r="D108" s="2" t="n">
        <v>185349</v>
      </c>
      <c r="E108" s="15" t="n">
        <v>43726</v>
      </c>
      <c r="F108" s="15" t="n">
        <v>43731</v>
      </c>
      <c r="G108" s="3" t="n">
        <v>5</v>
      </c>
      <c r="H108" s="3" t="n">
        <v>2</v>
      </c>
      <c r="I108" s="3" t="n">
        <v>77</v>
      </c>
      <c r="J108" s="3" t="n">
        <v>1</v>
      </c>
      <c r="K108" s="3" t="n">
        <v>2</v>
      </c>
      <c r="L108" s="3" t="n">
        <v>1</v>
      </c>
      <c r="M108" s="3" t="n">
        <v>2</v>
      </c>
      <c r="N108" s="3" t="n">
        <v>2</v>
      </c>
      <c r="O108" s="3" t="n">
        <v>2</v>
      </c>
      <c r="P108" s="3" t="n">
        <v>1</v>
      </c>
      <c r="Q108" s="3" t="n">
        <v>2</v>
      </c>
      <c r="R108" s="3" t="n">
        <v>2</v>
      </c>
      <c r="S108" s="4" t="n">
        <v>2</v>
      </c>
      <c r="T108" s="3" t="n">
        <v>2</v>
      </c>
      <c r="U108" s="3" t="n">
        <v>4.37</v>
      </c>
      <c r="V108" s="3" t="n">
        <v>2</v>
      </c>
      <c r="W108" s="3" t="n">
        <v>4.47</v>
      </c>
      <c r="X108" s="3" t="n">
        <v>505</v>
      </c>
      <c r="Z108" s="3" t="n">
        <v>0.48</v>
      </c>
      <c r="AA108" s="3" t="n">
        <v>8.7</v>
      </c>
      <c r="AB108" s="3" t="n">
        <v>1</v>
      </c>
      <c r="AC108" s="3" t="n">
        <v>1</v>
      </c>
      <c r="AD108" s="3" t="n">
        <v>1</v>
      </c>
      <c r="AE108" s="3" t="n">
        <v>1</v>
      </c>
      <c r="AF108" s="3" t="n">
        <v>2</v>
      </c>
      <c r="AG108" s="3" t="n">
        <v>1</v>
      </c>
      <c r="AH108" s="3" t="n">
        <v>1</v>
      </c>
      <c r="AI108" s="3" t="n">
        <v>2</v>
      </c>
      <c r="AJ108" s="3" t="n">
        <v>2</v>
      </c>
      <c r="AK108" s="3" t="n">
        <v>2</v>
      </c>
      <c r="AL108" s="3" t="n">
        <v>2</v>
      </c>
      <c r="AM108" s="3" t="n">
        <v>2</v>
      </c>
      <c r="AN108" s="3" t="n">
        <v>2</v>
      </c>
      <c r="AO108" s="3" t="n">
        <v>3</v>
      </c>
      <c r="AP108" s="3" t="n">
        <v>4</v>
      </c>
      <c r="AQ108" s="3" t="n">
        <v>4</v>
      </c>
      <c r="AR108" s="3" t="n">
        <v>6</v>
      </c>
      <c r="AS108" s="3" t="n">
        <v>4</v>
      </c>
      <c r="AT108" s="3" t="n">
        <v>4</v>
      </c>
      <c r="AU108" s="3" t="n">
        <v>6</v>
      </c>
      <c r="AV108" s="3" t="n">
        <v>6</v>
      </c>
      <c r="AW108" s="3" t="n">
        <v>3</v>
      </c>
      <c r="AX108" s="3" t="n">
        <v>3</v>
      </c>
      <c r="AY108" s="3" t="n">
        <v>1</v>
      </c>
      <c r="AZ108" s="5" t="n">
        <v>1</v>
      </c>
      <c r="BA108" s="3" t="n">
        <v>1</v>
      </c>
      <c r="BB108" s="3" t="n">
        <v>1</v>
      </c>
      <c r="BC108" s="3" t="n">
        <v>4</v>
      </c>
      <c r="BD108" s="3" t="n">
        <v>1</v>
      </c>
      <c r="BE108" s="3" t="n">
        <v>2</v>
      </c>
      <c r="BF108" s="3" t="n">
        <v>1</v>
      </c>
      <c r="BG108" s="3" t="n">
        <v>4</v>
      </c>
      <c r="BH108" s="3" t="n">
        <v>1</v>
      </c>
      <c r="BI108" s="3" t="n">
        <v>1</v>
      </c>
    </row>
    <row r="109" customFormat="false" ht="12.75" hidden="false" customHeight="false" outlineLevel="0" collapsed="false">
      <c r="A109" s="2" t="s">
        <v>1586</v>
      </c>
      <c r="B109" s="2" t="s">
        <v>74</v>
      </c>
      <c r="C109" s="2" t="s">
        <v>324</v>
      </c>
      <c r="D109" s="2" t="n">
        <v>185361</v>
      </c>
      <c r="E109" s="15" t="n">
        <v>43728</v>
      </c>
      <c r="F109" s="15" t="n">
        <v>43735</v>
      </c>
      <c r="G109" s="3" t="n">
        <v>7</v>
      </c>
      <c r="H109" s="3" t="n">
        <v>2</v>
      </c>
      <c r="I109" s="3" t="n">
        <v>67</v>
      </c>
      <c r="J109" s="3" t="n">
        <v>1</v>
      </c>
      <c r="K109" s="3" t="n">
        <v>2</v>
      </c>
      <c r="L109" s="3" t="n">
        <v>2</v>
      </c>
      <c r="M109" s="3" t="n">
        <v>2</v>
      </c>
      <c r="N109" s="3" t="n">
        <v>2</v>
      </c>
      <c r="O109" s="3" t="n">
        <v>2</v>
      </c>
      <c r="P109" s="3" t="n">
        <v>1</v>
      </c>
      <c r="Q109" s="3" t="n">
        <v>2</v>
      </c>
      <c r="R109" s="3" t="n">
        <v>2</v>
      </c>
      <c r="S109" s="4" t="n">
        <v>2</v>
      </c>
      <c r="T109" s="3" t="n">
        <v>2</v>
      </c>
      <c r="U109" s="3" t="n">
        <v>4.47</v>
      </c>
      <c r="V109" s="3" t="n">
        <v>1.47</v>
      </c>
      <c r="W109" s="3" t="n">
        <v>7.4</v>
      </c>
      <c r="X109" s="3" t="n">
        <v>324</v>
      </c>
      <c r="Z109" s="3" t="n">
        <v>0.44</v>
      </c>
      <c r="AA109" s="3" t="n">
        <v>6.8</v>
      </c>
      <c r="AB109" s="3" t="n">
        <v>1</v>
      </c>
      <c r="AC109" s="3" t="n">
        <v>1</v>
      </c>
      <c r="AD109" s="3" t="n">
        <v>1</v>
      </c>
      <c r="AE109" s="3" t="n">
        <v>1</v>
      </c>
      <c r="AF109" s="3" t="n">
        <v>1</v>
      </c>
      <c r="AG109" s="3" t="n">
        <v>2</v>
      </c>
      <c r="AH109" s="3" t="n">
        <v>1</v>
      </c>
      <c r="AI109" s="3" t="n">
        <v>2</v>
      </c>
      <c r="AJ109" s="3" t="n">
        <v>2</v>
      </c>
      <c r="AK109" s="3" t="n">
        <v>2</v>
      </c>
      <c r="AL109" s="3" t="n">
        <v>2</v>
      </c>
      <c r="AM109" s="3" t="n">
        <v>2</v>
      </c>
      <c r="AN109" s="3" t="n">
        <v>2</v>
      </c>
      <c r="AO109" s="3" t="n">
        <v>3</v>
      </c>
      <c r="AP109" s="3" t="n">
        <v>4</v>
      </c>
      <c r="AQ109" s="3" t="n">
        <v>4</v>
      </c>
      <c r="AR109" s="3" t="n">
        <v>6</v>
      </c>
      <c r="AS109" s="3" t="n">
        <v>4</v>
      </c>
      <c r="AT109" s="3" t="n">
        <v>4</v>
      </c>
      <c r="AU109" s="3" t="n">
        <v>6</v>
      </c>
      <c r="AV109" s="3" t="n">
        <v>6</v>
      </c>
      <c r="AW109" s="3" t="n">
        <v>3</v>
      </c>
      <c r="AX109" s="3" t="n">
        <v>3</v>
      </c>
      <c r="AY109" s="3" t="n">
        <v>1</v>
      </c>
      <c r="AZ109" s="5" t="n">
        <v>1</v>
      </c>
      <c r="BA109" s="3" t="n">
        <v>1</v>
      </c>
      <c r="BB109" s="3" t="n">
        <v>1</v>
      </c>
      <c r="BC109" s="3" t="n">
        <v>4</v>
      </c>
      <c r="BD109" s="3" t="n">
        <v>3</v>
      </c>
      <c r="BE109" s="3" t="n">
        <v>5</v>
      </c>
      <c r="BF109" s="3" t="n">
        <v>3</v>
      </c>
      <c r="BG109" s="3" t="n">
        <v>4</v>
      </c>
      <c r="BH109" s="3" t="n">
        <v>1</v>
      </c>
      <c r="BI109" s="3" t="n">
        <v>1</v>
      </c>
    </row>
    <row r="110" customFormat="false" ht="12.75" hidden="false" customHeight="false" outlineLevel="0" collapsed="false">
      <c r="A110" s="2" t="s">
        <v>1596</v>
      </c>
      <c r="B110" s="2" t="s">
        <v>153</v>
      </c>
      <c r="C110" s="2" t="s">
        <v>178</v>
      </c>
      <c r="D110" s="2" t="n">
        <v>185623</v>
      </c>
      <c r="E110" s="15" t="n">
        <v>43731</v>
      </c>
      <c r="F110" s="15" t="n">
        <v>43736</v>
      </c>
      <c r="G110" s="3" t="n">
        <v>5</v>
      </c>
      <c r="H110" s="3" t="n">
        <v>2</v>
      </c>
      <c r="I110" s="3" t="n">
        <v>70</v>
      </c>
      <c r="J110" s="3" t="n">
        <v>1</v>
      </c>
      <c r="K110" s="3" t="n">
        <v>2</v>
      </c>
      <c r="L110" s="3" t="n">
        <v>1</v>
      </c>
      <c r="M110" s="3" t="n">
        <v>2</v>
      </c>
      <c r="N110" s="3" t="n">
        <v>2</v>
      </c>
      <c r="O110" s="3" t="n">
        <v>2</v>
      </c>
      <c r="P110" s="3" t="n">
        <v>1</v>
      </c>
      <c r="Q110" s="3" t="n">
        <v>2</v>
      </c>
      <c r="R110" s="3" t="n">
        <v>2</v>
      </c>
      <c r="S110" s="4" t="n">
        <v>2</v>
      </c>
      <c r="T110" s="3" t="n">
        <v>4</v>
      </c>
      <c r="U110" s="3" t="n">
        <v>3.81</v>
      </c>
      <c r="V110" s="3" t="n">
        <v>1.09</v>
      </c>
      <c r="W110" s="3" t="n">
        <v>6.37</v>
      </c>
      <c r="X110" s="3" t="n">
        <v>411</v>
      </c>
      <c r="Z110" s="3" t="n">
        <v>0.36</v>
      </c>
      <c r="AA110" s="3" t="n">
        <v>10.2</v>
      </c>
      <c r="AB110" s="3" t="n">
        <v>1</v>
      </c>
      <c r="AC110" s="3" t="n">
        <v>2</v>
      </c>
      <c r="AD110" s="3" t="n">
        <v>1</v>
      </c>
      <c r="AE110" s="3" t="n">
        <v>1</v>
      </c>
      <c r="AF110" s="3" t="n">
        <v>2</v>
      </c>
      <c r="AG110" s="3" t="n">
        <v>2</v>
      </c>
      <c r="AH110" s="3" t="n">
        <v>1</v>
      </c>
      <c r="AI110" s="3" t="n">
        <v>2</v>
      </c>
      <c r="AJ110" s="3" t="n">
        <v>2</v>
      </c>
      <c r="AK110" s="3" t="n">
        <v>2</v>
      </c>
      <c r="AL110" s="3" t="n">
        <v>2</v>
      </c>
      <c r="AM110" s="3" t="n">
        <v>2</v>
      </c>
      <c r="AN110" s="3" t="n">
        <v>2</v>
      </c>
      <c r="AO110" s="3" t="n">
        <v>3</v>
      </c>
      <c r="AP110" s="3" t="n">
        <v>4</v>
      </c>
      <c r="AQ110" s="3" t="n">
        <v>4</v>
      </c>
      <c r="AR110" s="3" t="n">
        <v>6</v>
      </c>
      <c r="AS110" s="3" t="n">
        <v>4</v>
      </c>
      <c r="AT110" s="3" t="n">
        <v>4</v>
      </c>
      <c r="AU110" s="3" t="n">
        <v>6</v>
      </c>
      <c r="AV110" s="3" t="n">
        <v>6</v>
      </c>
      <c r="AW110" s="3" t="n">
        <v>3</v>
      </c>
      <c r="AX110" s="3" t="n">
        <v>3</v>
      </c>
      <c r="AY110" s="3" t="n">
        <v>1</v>
      </c>
      <c r="AZ110" s="5" t="n">
        <v>1</v>
      </c>
      <c r="BA110" s="3" t="n">
        <v>1</v>
      </c>
      <c r="BB110" s="3" t="n">
        <v>1</v>
      </c>
      <c r="BC110" s="3" t="n">
        <v>4</v>
      </c>
      <c r="BD110" s="3" t="n">
        <v>3</v>
      </c>
      <c r="BE110" s="3" t="n">
        <v>5</v>
      </c>
      <c r="BF110" s="3" t="n">
        <v>3</v>
      </c>
      <c r="BG110" s="3" t="n">
        <v>4</v>
      </c>
      <c r="BH110" s="3" t="n">
        <v>1</v>
      </c>
      <c r="BI110" s="3" t="n">
        <v>1</v>
      </c>
    </row>
    <row r="111" customFormat="false" ht="12.75" hidden="false" customHeight="false" outlineLevel="0" collapsed="false">
      <c r="A111" s="2" t="s">
        <v>1601</v>
      </c>
      <c r="B111" s="2" t="s">
        <v>826</v>
      </c>
      <c r="C111" s="2" t="s">
        <v>1092</v>
      </c>
      <c r="D111" s="2" t="n">
        <v>185771</v>
      </c>
      <c r="E111" s="15" t="n">
        <v>43733</v>
      </c>
      <c r="F111" s="15" t="n">
        <v>43740</v>
      </c>
      <c r="G111" s="3" t="n">
        <v>7</v>
      </c>
      <c r="H111" s="3" t="n">
        <v>2</v>
      </c>
      <c r="I111" s="3" t="n">
        <v>56</v>
      </c>
      <c r="J111" s="3" t="n">
        <v>1</v>
      </c>
      <c r="K111" s="3" t="n">
        <v>2</v>
      </c>
      <c r="L111" s="3" t="n">
        <v>1</v>
      </c>
      <c r="M111" s="3" t="n">
        <v>1</v>
      </c>
      <c r="N111" s="3" t="n">
        <v>1</v>
      </c>
      <c r="O111" s="3" t="n">
        <v>1</v>
      </c>
      <c r="P111" s="3" t="n">
        <v>1</v>
      </c>
      <c r="Q111" s="3" t="n">
        <v>2</v>
      </c>
      <c r="R111" s="3" t="n">
        <v>2</v>
      </c>
      <c r="S111" s="4" t="n">
        <v>2</v>
      </c>
      <c r="T111" s="3" t="n">
        <v>2</v>
      </c>
      <c r="U111" s="3" t="n">
        <v>4.88</v>
      </c>
      <c r="V111" s="3" t="n">
        <v>3.49</v>
      </c>
      <c r="W111" s="3" t="n">
        <v>12.2</v>
      </c>
      <c r="X111" s="3" t="n">
        <v>428</v>
      </c>
      <c r="Z111" s="3" t="n">
        <v>0.52</v>
      </c>
      <c r="AA111" s="3" t="n">
        <v>11.6</v>
      </c>
      <c r="AB111" s="3" t="n">
        <v>2</v>
      </c>
      <c r="AC111" s="3" t="n">
        <v>2</v>
      </c>
      <c r="AD111" s="3" t="n">
        <v>1</v>
      </c>
      <c r="AE111" s="3" t="n">
        <v>1</v>
      </c>
      <c r="AF111" s="3" t="n">
        <v>2</v>
      </c>
      <c r="AG111" s="3" t="n">
        <v>2</v>
      </c>
      <c r="AH111" s="3" t="n">
        <v>1</v>
      </c>
      <c r="AI111" s="3" t="n">
        <v>2</v>
      </c>
      <c r="AJ111" s="3" t="n">
        <v>2</v>
      </c>
      <c r="AK111" s="3" t="n">
        <v>2</v>
      </c>
      <c r="AL111" s="3" t="n">
        <v>1</v>
      </c>
      <c r="AM111" s="3" t="n">
        <v>2</v>
      </c>
      <c r="AN111" s="3" t="n">
        <v>2</v>
      </c>
      <c r="AO111" s="3" t="n">
        <v>2</v>
      </c>
      <c r="AP111" s="3" t="n">
        <v>3</v>
      </c>
      <c r="AQ111" s="3" t="n">
        <v>2</v>
      </c>
      <c r="AR111" s="3" t="n">
        <v>3</v>
      </c>
      <c r="AS111" s="3" t="n">
        <v>2</v>
      </c>
      <c r="AT111" s="3" t="n">
        <v>1</v>
      </c>
      <c r="AU111" s="3" t="n">
        <v>1</v>
      </c>
      <c r="AV111" s="3" t="n">
        <v>1</v>
      </c>
      <c r="AW111" s="3" t="n">
        <v>2</v>
      </c>
      <c r="AX111" s="3" t="n">
        <v>2</v>
      </c>
      <c r="AY111" s="3" t="n">
        <v>2</v>
      </c>
      <c r="AZ111" s="5" t="n">
        <v>1</v>
      </c>
      <c r="BA111" s="3" t="n">
        <v>1</v>
      </c>
      <c r="BB111" s="3" t="n">
        <v>1</v>
      </c>
      <c r="BC111" s="3" t="n">
        <v>2</v>
      </c>
      <c r="BD111" s="3" t="n">
        <v>1</v>
      </c>
      <c r="BE111" s="3" t="n">
        <v>2</v>
      </c>
      <c r="BF111" s="3" t="n">
        <v>2</v>
      </c>
      <c r="BG111" s="3" t="n">
        <v>4</v>
      </c>
      <c r="BH111" s="3" t="n">
        <v>1</v>
      </c>
      <c r="BI111" s="3" t="n">
        <v>1</v>
      </c>
    </row>
    <row r="112" customFormat="false" ht="12.75" hidden="false" customHeight="false" outlineLevel="0" collapsed="false">
      <c r="A112" s="2" t="s">
        <v>1604</v>
      </c>
      <c r="B112" s="2" t="s">
        <v>1605</v>
      </c>
      <c r="C112" s="2" t="s">
        <v>1606</v>
      </c>
      <c r="D112" s="2" t="n">
        <v>185792</v>
      </c>
      <c r="E112" s="15" t="n">
        <v>43734</v>
      </c>
      <c r="F112" s="15" t="n">
        <v>43740</v>
      </c>
      <c r="G112" s="3" t="n">
        <v>6</v>
      </c>
      <c r="H112" s="3" t="n">
        <v>2</v>
      </c>
      <c r="I112" s="3" t="n">
        <v>58</v>
      </c>
      <c r="J112" s="3" t="n">
        <v>1</v>
      </c>
      <c r="K112" s="3" t="n">
        <v>2</v>
      </c>
      <c r="L112" s="3" t="n">
        <v>2</v>
      </c>
      <c r="M112" s="3" t="n">
        <v>2</v>
      </c>
      <c r="N112" s="3" t="n">
        <v>2</v>
      </c>
      <c r="O112" s="3" t="n">
        <v>2</v>
      </c>
      <c r="P112" s="3" t="n">
        <v>2</v>
      </c>
      <c r="Q112" s="3" t="n">
        <v>2</v>
      </c>
      <c r="R112" s="3" t="n">
        <v>2</v>
      </c>
      <c r="S112" s="4" t="n">
        <v>2</v>
      </c>
      <c r="T112" s="3" t="n">
        <v>2</v>
      </c>
      <c r="U112" s="3" t="n">
        <v>4.55</v>
      </c>
      <c r="V112" s="3" t="n">
        <v>2.48</v>
      </c>
      <c r="W112" s="3" t="n">
        <v>5.65</v>
      </c>
      <c r="X112" s="3" t="n">
        <v>422</v>
      </c>
      <c r="Z112" s="3" t="n">
        <v>0.44</v>
      </c>
      <c r="AA112" s="3" t="n">
        <v>4.3</v>
      </c>
      <c r="AB112" s="3" t="n">
        <v>1</v>
      </c>
      <c r="AC112" s="3" t="n">
        <v>2</v>
      </c>
      <c r="AD112" s="3" t="n">
        <v>1</v>
      </c>
      <c r="AE112" s="3" t="n">
        <v>1</v>
      </c>
      <c r="AF112" s="3" t="n">
        <v>2</v>
      </c>
      <c r="AG112" s="3" t="n">
        <v>2</v>
      </c>
      <c r="AH112" s="3" t="n">
        <v>1</v>
      </c>
      <c r="AI112" s="3" t="n">
        <v>2</v>
      </c>
      <c r="AJ112" s="3" t="n">
        <v>2</v>
      </c>
      <c r="AK112" s="3" t="n">
        <v>2</v>
      </c>
      <c r="AL112" s="3" t="n">
        <v>2</v>
      </c>
      <c r="AM112" s="3" t="n">
        <v>2</v>
      </c>
      <c r="AN112" s="3" t="n">
        <v>2</v>
      </c>
      <c r="AO112" s="3" t="n">
        <v>3</v>
      </c>
      <c r="AP112" s="3" t="n">
        <v>4</v>
      </c>
      <c r="AQ112" s="3" t="n">
        <v>4</v>
      </c>
      <c r="AR112" s="3" t="n">
        <v>6</v>
      </c>
      <c r="AS112" s="3" t="n">
        <v>4</v>
      </c>
      <c r="AT112" s="3" t="n">
        <v>4</v>
      </c>
      <c r="AU112" s="3" t="n">
        <v>6</v>
      </c>
      <c r="AV112" s="3" t="n">
        <v>6</v>
      </c>
      <c r="AW112" s="3" t="n">
        <v>3</v>
      </c>
      <c r="AX112" s="3" t="n">
        <v>3</v>
      </c>
      <c r="AY112" s="3" t="n">
        <v>5</v>
      </c>
      <c r="AZ112" s="5" t="n">
        <v>1</v>
      </c>
      <c r="BA112" s="3" t="n">
        <v>1</v>
      </c>
      <c r="BB112" s="3" t="n">
        <v>1</v>
      </c>
      <c r="BC112" s="3" t="n">
        <v>4</v>
      </c>
      <c r="BD112" s="3" t="n">
        <v>1</v>
      </c>
      <c r="BE112" s="3" t="n">
        <v>2</v>
      </c>
      <c r="BF112" s="3" t="n">
        <v>1</v>
      </c>
      <c r="BG112" s="3" t="n">
        <v>4</v>
      </c>
      <c r="BH112" s="3" t="n">
        <v>1</v>
      </c>
      <c r="BI112" s="3" t="n">
        <v>1</v>
      </c>
    </row>
    <row r="113" customFormat="false" ht="12.75" hidden="false" customHeight="false" outlineLevel="0" collapsed="false">
      <c r="A113" s="2" t="s">
        <v>857</v>
      </c>
      <c r="B113" s="2" t="s">
        <v>1608</v>
      </c>
      <c r="C113" s="2" t="s">
        <v>78</v>
      </c>
      <c r="D113" s="2" t="n">
        <v>185835</v>
      </c>
      <c r="E113" s="15" t="n">
        <v>43735</v>
      </c>
      <c r="F113" s="15" t="n">
        <v>43741</v>
      </c>
      <c r="G113" s="3" t="n">
        <v>6</v>
      </c>
      <c r="H113" s="3" t="n">
        <v>1</v>
      </c>
      <c r="I113" s="3" t="n">
        <v>72</v>
      </c>
      <c r="J113" s="3" t="n">
        <v>1</v>
      </c>
      <c r="K113" s="3" t="n">
        <v>2</v>
      </c>
      <c r="L113" s="3" t="n">
        <v>1</v>
      </c>
      <c r="M113" s="3" t="n">
        <v>2</v>
      </c>
      <c r="N113" s="3" t="n">
        <v>2</v>
      </c>
      <c r="O113" s="3" t="n">
        <v>2</v>
      </c>
      <c r="P113" s="3" t="n">
        <v>2</v>
      </c>
      <c r="Q113" s="3" t="n">
        <v>2</v>
      </c>
      <c r="R113" s="3" t="n">
        <v>1</v>
      </c>
      <c r="S113" s="4" t="n">
        <v>2</v>
      </c>
      <c r="T113" s="3" t="n">
        <v>2</v>
      </c>
      <c r="U113" s="3" t="n">
        <v>11.52</v>
      </c>
      <c r="V113" s="3" t="n">
        <v>1.71</v>
      </c>
      <c r="W113" s="3" t="n">
        <v>5.4</v>
      </c>
      <c r="X113" s="3" t="n">
        <v>359</v>
      </c>
      <c r="Z113" s="3" t="n">
        <v>0.38</v>
      </c>
      <c r="AA113" s="3" t="n">
        <v>13.8</v>
      </c>
      <c r="AB113" s="3" t="n">
        <v>1</v>
      </c>
      <c r="AC113" s="3" t="n">
        <v>2</v>
      </c>
      <c r="AD113" s="3" t="n">
        <v>1</v>
      </c>
      <c r="AE113" s="3" t="n">
        <v>1</v>
      </c>
      <c r="AF113" s="3" t="n">
        <v>2</v>
      </c>
      <c r="AG113" s="3" t="n">
        <v>2</v>
      </c>
      <c r="AH113" s="3" t="n">
        <v>1</v>
      </c>
      <c r="AI113" s="3" t="n">
        <v>1</v>
      </c>
      <c r="AJ113" s="3" t="n">
        <v>2</v>
      </c>
      <c r="AK113" s="3" t="n">
        <v>2</v>
      </c>
      <c r="AL113" s="3" t="n">
        <v>1</v>
      </c>
      <c r="AM113" s="3" t="n">
        <v>2</v>
      </c>
      <c r="AN113" s="3" t="n">
        <v>2</v>
      </c>
      <c r="AO113" s="3" t="n">
        <v>1</v>
      </c>
      <c r="AP113" s="3" t="n">
        <v>3</v>
      </c>
      <c r="AQ113" s="3" t="n">
        <v>4</v>
      </c>
      <c r="AR113" s="3" t="n">
        <v>6</v>
      </c>
      <c r="AS113" s="3" t="n">
        <v>4</v>
      </c>
      <c r="AT113" s="3" t="n">
        <v>4</v>
      </c>
      <c r="AU113" s="3" t="n">
        <v>1</v>
      </c>
      <c r="AV113" s="3" t="n">
        <v>6</v>
      </c>
      <c r="AW113" s="3" t="n">
        <v>3</v>
      </c>
      <c r="AX113" s="3" t="n">
        <v>3</v>
      </c>
      <c r="AY113" s="3" t="n">
        <v>4</v>
      </c>
      <c r="AZ113" s="5" t="n">
        <v>1</v>
      </c>
      <c r="BA113" s="3" t="n">
        <v>1</v>
      </c>
      <c r="BB113" s="3" t="n">
        <v>1</v>
      </c>
      <c r="BC113" s="3" t="n">
        <v>4</v>
      </c>
      <c r="BD113" s="3" t="n">
        <v>3</v>
      </c>
      <c r="BE113" s="3" t="n">
        <v>5</v>
      </c>
      <c r="BF113" s="3" t="n">
        <v>3</v>
      </c>
      <c r="BG113" s="3" t="n">
        <v>4</v>
      </c>
      <c r="BH113" s="3" t="n">
        <v>1</v>
      </c>
      <c r="BI113" s="3" t="n">
        <v>1</v>
      </c>
    </row>
    <row r="114" customFormat="false" ht="12.75" hidden="false" customHeight="false" outlineLevel="0" collapsed="false">
      <c r="A114" s="2" t="s">
        <v>1223</v>
      </c>
      <c r="B114" s="2" t="s">
        <v>846</v>
      </c>
      <c r="C114" s="2" t="s">
        <v>1612</v>
      </c>
      <c r="D114" s="2" t="n">
        <v>186133</v>
      </c>
      <c r="E114" s="15" t="n">
        <v>43743</v>
      </c>
      <c r="F114" s="15" t="n">
        <v>43749</v>
      </c>
      <c r="G114" s="3" t="n">
        <v>6</v>
      </c>
      <c r="H114" s="3" t="n">
        <v>2</v>
      </c>
      <c r="I114" s="3" t="n">
        <v>53</v>
      </c>
      <c r="J114" s="3" t="n">
        <v>2</v>
      </c>
      <c r="K114" s="3" t="n">
        <v>1</v>
      </c>
      <c r="L114" s="3" t="n">
        <v>2</v>
      </c>
      <c r="M114" s="3" t="n">
        <v>2</v>
      </c>
      <c r="N114" s="3" t="n">
        <v>2</v>
      </c>
      <c r="O114" s="3" t="n">
        <v>2</v>
      </c>
      <c r="P114" s="3" t="n">
        <v>2</v>
      </c>
      <c r="Q114" s="3" t="n">
        <v>2</v>
      </c>
      <c r="R114" s="3" t="n">
        <v>2</v>
      </c>
      <c r="S114" s="4" t="n">
        <v>2</v>
      </c>
      <c r="T114" s="3" t="n">
        <v>2</v>
      </c>
      <c r="U114" s="3"/>
      <c r="V114" s="3"/>
      <c r="W114" s="3"/>
      <c r="X114" s="3"/>
      <c r="Z114" s="3"/>
      <c r="AA114" s="3"/>
      <c r="AB114" s="3"/>
      <c r="AC114" s="3" t="n">
        <v>2</v>
      </c>
      <c r="AD114" s="3" t="n">
        <v>1</v>
      </c>
      <c r="AE114" s="3" t="n">
        <v>1</v>
      </c>
      <c r="AF114" s="3" t="n">
        <v>2</v>
      </c>
      <c r="AG114" s="3" t="n">
        <v>2</v>
      </c>
      <c r="AH114" s="3" t="n">
        <v>1</v>
      </c>
      <c r="AI114" s="3" t="n">
        <v>2</v>
      </c>
      <c r="AJ114" s="3" t="n">
        <v>2</v>
      </c>
      <c r="AK114" s="3" t="n">
        <v>2</v>
      </c>
      <c r="AL114" s="3" t="n">
        <v>2</v>
      </c>
      <c r="AM114" s="3" t="n">
        <v>2</v>
      </c>
      <c r="AN114" s="3" t="n">
        <v>2</v>
      </c>
      <c r="AO114" s="3" t="n">
        <v>3</v>
      </c>
      <c r="AP114" s="3" t="n">
        <v>4</v>
      </c>
      <c r="AQ114" s="3" t="n">
        <v>4</v>
      </c>
      <c r="AR114" s="3" t="n">
        <v>6</v>
      </c>
      <c r="AS114" s="3" t="n">
        <v>4</v>
      </c>
      <c r="AT114" s="3" t="n">
        <v>4</v>
      </c>
      <c r="AU114" s="3" t="n">
        <v>6</v>
      </c>
      <c r="AV114" s="3" t="n">
        <v>6</v>
      </c>
      <c r="AW114" s="3" t="n">
        <v>3</v>
      </c>
      <c r="AX114" s="3" t="n">
        <v>3</v>
      </c>
      <c r="AY114" s="3" t="n">
        <v>5</v>
      </c>
      <c r="AZ114" s="5" t="n">
        <v>1</v>
      </c>
      <c r="BA114" s="3" t="n">
        <v>1</v>
      </c>
      <c r="BB114" s="3" t="n">
        <v>1</v>
      </c>
      <c r="BC114" s="3" t="n">
        <v>4</v>
      </c>
      <c r="BD114" s="3" t="n">
        <v>1</v>
      </c>
      <c r="BE114" s="3" t="n">
        <v>2</v>
      </c>
      <c r="BF114" s="3" t="n">
        <v>1</v>
      </c>
      <c r="BG114" s="3" t="n">
        <v>4</v>
      </c>
      <c r="BH114" s="3" t="n">
        <v>1</v>
      </c>
      <c r="BI114" s="3" t="n">
        <v>1</v>
      </c>
    </row>
    <row r="115" customFormat="false" ht="12.75" hidden="false" customHeight="false" outlineLevel="0" collapsed="false">
      <c r="A115" s="2" t="s">
        <v>1620</v>
      </c>
      <c r="B115" s="2" t="s">
        <v>812</v>
      </c>
      <c r="C115" s="2" t="s">
        <v>1621</v>
      </c>
      <c r="D115" s="2" t="n">
        <v>186575</v>
      </c>
      <c r="E115" s="15" t="n">
        <v>43745</v>
      </c>
      <c r="F115" s="15" t="n">
        <v>43752</v>
      </c>
      <c r="G115" s="3" t="n">
        <v>7</v>
      </c>
      <c r="H115" s="3" t="n">
        <v>2</v>
      </c>
      <c r="I115" s="3" t="n">
        <v>62</v>
      </c>
      <c r="J115" s="3" t="n">
        <v>2</v>
      </c>
      <c r="K115" s="3" t="n">
        <v>2</v>
      </c>
      <c r="L115" s="3" t="n">
        <v>2</v>
      </c>
      <c r="M115" s="3" t="n">
        <v>2</v>
      </c>
      <c r="N115" s="3" t="n">
        <v>2</v>
      </c>
      <c r="O115" s="3" t="n">
        <v>1</v>
      </c>
      <c r="P115" s="3" t="n">
        <v>2</v>
      </c>
      <c r="Q115" s="3" t="n">
        <v>2</v>
      </c>
      <c r="R115" s="3" t="n">
        <v>2</v>
      </c>
      <c r="S115" s="4" t="n">
        <v>2</v>
      </c>
      <c r="T115" s="3" t="n">
        <v>2</v>
      </c>
      <c r="U115" s="3" t="n">
        <v>4.66</v>
      </c>
      <c r="V115" s="3" t="n">
        <v>4.55</v>
      </c>
      <c r="W115" s="3" t="n">
        <v>9.09</v>
      </c>
      <c r="X115" s="3" t="n">
        <v>546</v>
      </c>
      <c r="Z115" s="3" t="n">
        <v>0.47</v>
      </c>
      <c r="AA115" s="3" t="n">
        <v>12.87</v>
      </c>
      <c r="AB115" s="3" t="n">
        <v>1</v>
      </c>
      <c r="AC115" s="3" t="n">
        <v>2</v>
      </c>
      <c r="AD115" s="3" t="n">
        <v>1</v>
      </c>
      <c r="AE115" s="3" t="n">
        <v>1</v>
      </c>
      <c r="AF115" s="3" t="n">
        <v>2</v>
      </c>
      <c r="AG115" s="3" t="n">
        <v>2</v>
      </c>
      <c r="AH115" s="3" t="n">
        <v>1</v>
      </c>
      <c r="AI115" s="3" t="n">
        <v>2</v>
      </c>
      <c r="AJ115" s="3" t="n">
        <v>2</v>
      </c>
      <c r="AK115" s="3" t="n">
        <v>2</v>
      </c>
      <c r="AL115" s="3" t="n">
        <v>2</v>
      </c>
      <c r="AM115" s="3" t="n">
        <v>2</v>
      </c>
      <c r="AN115" s="3" t="n">
        <v>2</v>
      </c>
      <c r="AO115" s="3" t="n">
        <v>3</v>
      </c>
      <c r="AP115" s="3" t="n">
        <v>4</v>
      </c>
      <c r="AQ115" s="3" t="n">
        <v>4</v>
      </c>
      <c r="AR115" s="3" t="n">
        <v>6</v>
      </c>
      <c r="AS115" s="3" t="n">
        <v>4</v>
      </c>
      <c r="AT115" s="3" t="n">
        <v>4</v>
      </c>
      <c r="AU115" s="3" t="n">
        <v>6</v>
      </c>
      <c r="AV115" s="3" t="n">
        <v>6</v>
      </c>
      <c r="AW115" s="3" t="n">
        <v>3</v>
      </c>
      <c r="AX115" s="3" t="n">
        <v>3</v>
      </c>
      <c r="AY115" s="3" t="n">
        <v>1</v>
      </c>
      <c r="AZ115" s="5" t="n">
        <v>1</v>
      </c>
      <c r="BA115" s="3" t="n">
        <v>1</v>
      </c>
      <c r="BB115" s="3" t="n">
        <v>1</v>
      </c>
      <c r="BC115" s="3" t="n">
        <v>4</v>
      </c>
      <c r="BD115" s="3" t="n">
        <v>1</v>
      </c>
      <c r="BE115" s="3" t="n">
        <v>2</v>
      </c>
      <c r="BF115" s="3" t="n">
        <v>1</v>
      </c>
      <c r="BG115" s="3" t="n">
        <v>4</v>
      </c>
      <c r="BH115" s="3" t="n">
        <v>1</v>
      </c>
      <c r="BI115" s="3" t="n">
        <v>1</v>
      </c>
    </row>
    <row r="116" customFormat="false" ht="12.75" hidden="false" customHeight="false" outlineLevel="0" collapsed="false">
      <c r="A116" s="17" t="s">
        <v>278</v>
      </c>
      <c r="B116" s="17" t="s">
        <v>61</v>
      </c>
      <c r="C116" s="17" t="s">
        <v>78</v>
      </c>
      <c r="D116" s="2" t="n">
        <v>186599</v>
      </c>
      <c r="E116" s="15" t="n">
        <v>43746</v>
      </c>
      <c r="F116" s="15" t="n">
        <v>43753</v>
      </c>
      <c r="G116" s="3" t="n">
        <v>7</v>
      </c>
      <c r="H116" s="3" t="n">
        <v>2</v>
      </c>
      <c r="I116" s="3" t="n">
        <v>45</v>
      </c>
      <c r="J116" s="3" t="n">
        <v>2</v>
      </c>
      <c r="K116" s="3" t="n">
        <v>2</v>
      </c>
      <c r="L116" s="3" t="n">
        <v>1</v>
      </c>
      <c r="M116" s="3" t="n">
        <v>2</v>
      </c>
      <c r="N116" s="3" t="n">
        <v>2</v>
      </c>
      <c r="O116" s="3" t="n">
        <v>2</v>
      </c>
      <c r="P116" s="3" t="n">
        <v>2</v>
      </c>
      <c r="Q116" s="3" t="n">
        <v>2</v>
      </c>
      <c r="R116" s="3" t="n">
        <v>2</v>
      </c>
      <c r="S116" s="4" t="n">
        <v>2</v>
      </c>
      <c r="T116" s="3" t="n">
        <v>2</v>
      </c>
      <c r="U116" s="3" t="n">
        <v>6.55</v>
      </c>
      <c r="V116" s="3" t="n">
        <v>2.07</v>
      </c>
      <c r="W116" s="3" t="n">
        <v>6.02</v>
      </c>
      <c r="X116" s="3" t="n">
        <v>320</v>
      </c>
      <c r="Z116" s="3" t="n">
        <v>0.49</v>
      </c>
      <c r="AA116" s="3" t="n">
        <v>9.6</v>
      </c>
      <c r="AB116" s="3" t="n">
        <v>1</v>
      </c>
      <c r="AC116" s="3" t="n">
        <v>2</v>
      </c>
      <c r="AD116" s="3" t="n">
        <v>1</v>
      </c>
      <c r="AE116" s="3" t="n">
        <v>1</v>
      </c>
      <c r="AF116" s="3" t="n">
        <v>2</v>
      </c>
      <c r="AG116" s="3" t="n">
        <v>2</v>
      </c>
      <c r="AH116" s="3" t="n">
        <v>1</v>
      </c>
      <c r="AI116" s="3" t="n">
        <v>2</v>
      </c>
      <c r="AJ116" s="3" t="n">
        <v>2</v>
      </c>
      <c r="AK116" s="3" t="n">
        <v>2</v>
      </c>
      <c r="AL116" s="3" t="n">
        <v>2</v>
      </c>
      <c r="AM116" s="3" t="n">
        <v>2</v>
      </c>
      <c r="AN116" s="3" t="n">
        <v>2</v>
      </c>
      <c r="AO116" s="3" t="n">
        <v>3</v>
      </c>
      <c r="AP116" s="3" t="n">
        <v>4</v>
      </c>
      <c r="AQ116" s="3" t="n">
        <v>4</v>
      </c>
      <c r="AR116" s="3" t="n">
        <v>6</v>
      </c>
      <c r="AS116" s="3" t="n">
        <v>4</v>
      </c>
      <c r="AT116" s="3" t="n">
        <v>4</v>
      </c>
      <c r="AU116" s="3" t="n">
        <v>6</v>
      </c>
      <c r="AV116" s="3" t="n">
        <v>6</v>
      </c>
      <c r="AW116" s="3" t="n">
        <v>3</v>
      </c>
      <c r="AX116" s="3" t="n">
        <v>3</v>
      </c>
      <c r="AY116" s="3" t="n">
        <v>1</v>
      </c>
      <c r="AZ116" s="5" t="n">
        <v>1</v>
      </c>
      <c r="BA116" s="3" t="n">
        <v>1</v>
      </c>
      <c r="BB116" s="3" t="n">
        <v>1</v>
      </c>
      <c r="BC116" s="3" t="n">
        <v>4</v>
      </c>
      <c r="BD116" s="19" t="n">
        <v>1</v>
      </c>
      <c r="BE116" s="3" t="n">
        <v>2</v>
      </c>
      <c r="BF116" s="3" t="n">
        <v>1</v>
      </c>
      <c r="BG116" s="3" t="n">
        <v>4</v>
      </c>
      <c r="BH116" s="3" t="n">
        <v>1</v>
      </c>
      <c r="BI116" s="3" t="n">
        <v>1</v>
      </c>
    </row>
    <row r="117" customFormat="false" ht="12.75" hidden="false" customHeight="false" outlineLevel="0" collapsed="false">
      <c r="A117" s="17" t="s">
        <v>1637</v>
      </c>
      <c r="B117" s="17" t="s">
        <v>1638</v>
      </c>
      <c r="C117" s="17" t="s">
        <v>584</v>
      </c>
      <c r="D117" s="2" t="n">
        <v>186749</v>
      </c>
      <c r="E117" s="15" t="n">
        <v>43749</v>
      </c>
      <c r="F117" s="15" t="n">
        <v>43760</v>
      </c>
      <c r="G117" s="3" t="n">
        <v>11</v>
      </c>
      <c r="H117" s="3" t="n">
        <v>1</v>
      </c>
      <c r="I117" s="3" t="n">
        <v>66</v>
      </c>
      <c r="J117" s="3" t="n">
        <v>1</v>
      </c>
      <c r="K117" s="3" t="n">
        <v>1</v>
      </c>
      <c r="L117" s="3" t="n">
        <v>1</v>
      </c>
      <c r="M117" s="3" t="n">
        <v>1</v>
      </c>
      <c r="N117" s="3" t="n">
        <v>2</v>
      </c>
      <c r="O117" s="3" t="n">
        <v>2</v>
      </c>
      <c r="P117" s="3" t="n">
        <v>1</v>
      </c>
      <c r="Q117" s="3" t="n">
        <v>2</v>
      </c>
      <c r="R117" s="3" t="n">
        <v>1</v>
      </c>
      <c r="S117" s="4" t="n">
        <v>2</v>
      </c>
      <c r="T117" s="3" t="n">
        <v>2</v>
      </c>
      <c r="U117" s="3" t="n">
        <v>3.65</v>
      </c>
      <c r="V117" s="3" t="n">
        <v>1.22</v>
      </c>
      <c r="W117" s="3" t="n">
        <v>5.38</v>
      </c>
      <c r="X117" s="3" t="n">
        <v>341</v>
      </c>
      <c r="Z117" s="3" t="n">
        <v>0.43</v>
      </c>
      <c r="AA117" s="3" t="n">
        <v>6</v>
      </c>
      <c r="AB117" s="3" t="n">
        <v>1</v>
      </c>
      <c r="AC117" s="3" t="n">
        <v>2</v>
      </c>
      <c r="AD117" s="3" t="n">
        <v>1</v>
      </c>
      <c r="AE117" s="3" t="n">
        <v>1</v>
      </c>
      <c r="AF117" s="3" t="n">
        <v>2</v>
      </c>
      <c r="AG117" s="3" t="n">
        <v>2</v>
      </c>
      <c r="AH117" s="3" t="n">
        <v>1</v>
      </c>
      <c r="AI117" s="3" t="n">
        <v>1</v>
      </c>
      <c r="AJ117" s="3" t="n">
        <v>2</v>
      </c>
      <c r="AK117" s="3" t="n">
        <v>2</v>
      </c>
      <c r="AL117" s="3" t="n">
        <v>2</v>
      </c>
      <c r="AM117" s="3" t="n">
        <v>2</v>
      </c>
      <c r="AN117" s="3" t="n">
        <v>2</v>
      </c>
      <c r="AO117" s="3" t="n">
        <v>1</v>
      </c>
      <c r="AP117" s="3" t="n">
        <v>1</v>
      </c>
      <c r="AQ117" s="3" t="n">
        <v>4</v>
      </c>
      <c r="AR117" s="3" t="n">
        <v>6</v>
      </c>
      <c r="AS117" s="3" t="n">
        <v>4</v>
      </c>
      <c r="AT117" s="3" t="n">
        <v>4</v>
      </c>
      <c r="AU117" s="3" t="n">
        <v>1</v>
      </c>
      <c r="AV117" s="3" t="n">
        <v>6</v>
      </c>
      <c r="AW117" s="3" t="n">
        <v>2</v>
      </c>
      <c r="AX117" s="3" t="n">
        <v>1</v>
      </c>
      <c r="AY117" s="3" t="n">
        <v>1</v>
      </c>
      <c r="AZ117" s="5" t="n">
        <v>5</v>
      </c>
      <c r="BA117" s="3" t="n">
        <v>2</v>
      </c>
      <c r="BB117" s="3" t="n">
        <v>1</v>
      </c>
      <c r="BC117" s="3" t="n">
        <v>6</v>
      </c>
      <c r="BD117" s="3" t="n">
        <v>3</v>
      </c>
      <c r="BE117" s="3" t="n">
        <v>5</v>
      </c>
      <c r="BF117" s="3" t="n">
        <v>3</v>
      </c>
      <c r="BG117" s="3" t="n">
        <v>4</v>
      </c>
      <c r="BH117" s="3" t="n">
        <v>1</v>
      </c>
      <c r="BI117" s="3" t="n">
        <v>1</v>
      </c>
    </row>
    <row r="118" customFormat="false" ht="12.75" hidden="false" customHeight="false" outlineLevel="0" collapsed="false">
      <c r="A118" s="2" t="s">
        <v>1649</v>
      </c>
      <c r="B118" s="2" t="s">
        <v>78</v>
      </c>
      <c r="C118" s="2" t="s">
        <v>336</v>
      </c>
      <c r="D118" s="2" t="n">
        <v>187054</v>
      </c>
      <c r="E118" s="15" t="n">
        <v>43756</v>
      </c>
      <c r="F118" s="15" t="n">
        <v>43763</v>
      </c>
      <c r="G118" s="3" t="n">
        <v>7</v>
      </c>
      <c r="H118" s="3" t="n">
        <v>2</v>
      </c>
      <c r="I118" s="3" t="n">
        <v>78</v>
      </c>
      <c r="J118" s="3" t="n">
        <v>1</v>
      </c>
      <c r="K118" s="3" t="n">
        <v>2</v>
      </c>
      <c r="L118" s="3" t="n">
        <v>1</v>
      </c>
      <c r="M118" s="3" t="n">
        <v>2</v>
      </c>
      <c r="N118" s="3" t="n">
        <v>2</v>
      </c>
      <c r="O118" s="3" t="n">
        <v>2</v>
      </c>
      <c r="P118" s="3" t="n">
        <v>2</v>
      </c>
      <c r="Q118" s="3" t="n">
        <v>2</v>
      </c>
      <c r="R118" s="3" t="n">
        <v>2</v>
      </c>
      <c r="S118" s="4" t="n">
        <v>2</v>
      </c>
      <c r="T118" s="3" t="n">
        <v>2</v>
      </c>
      <c r="U118" s="3" t="n">
        <v>4.39</v>
      </c>
      <c r="V118" s="3" t="n">
        <v>0.9</v>
      </c>
      <c r="W118" s="3" t="n">
        <v>8.39</v>
      </c>
      <c r="X118" s="3" t="n">
        <v>305</v>
      </c>
      <c r="Z118" s="3" t="n">
        <v>0.42</v>
      </c>
      <c r="AA118" s="3" t="n">
        <v>19.4</v>
      </c>
      <c r="AB118" s="3" t="n">
        <v>2</v>
      </c>
      <c r="AC118" s="3" t="n">
        <v>2</v>
      </c>
      <c r="AD118" s="3" t="n">
        <v>1</v>
      </c>
      <c r="AE118" s="3" t="n">
        <v>1</v>
      </c>
      <c r="AF118" s="3" t="n">
        <v>2</v>
      </c>
      <c r="AG118" s="3" t="n">
        <v>2</v>
      </c>
      <c r="AH118" s="3" t="n">
        <v>1</v>
      </c>
      <c r="AI118" s="3" t="n">
        <v>2</v>
      </c>
      <c r="AJ118" s="3" t="n">
        <v>2</v>
      </c>
      <c r="AK118" s="3" t="n">
        <v>2</v>
      </c>
      <c r="AL118" s="3" t="n">
        <v>1</v>
      </c>
      <c r="AM118" s="3" t="n">
        <v>2</v>
      </c>
      <c r="AN118" s="3" t="n">
        <v>2</v>
      </c>
      <c r="AO118" s="3" t="n">
        <v>3</v>
      </c>
      <c r="AP118" s="3" t="n">
        <v>4</v>
      </c>
      <c r="AQ118" s="3" t="n">
        <v>4</v>
      </c>
      <c r="AR118" s="3" t="n">
        <v>6</v>
      </c>
      <c r="AS118" s="3" t="n">
        <v>4</v>
      </c>
      <c r="AT118" s="3" t="n">
        <v>4</v>
      </c>
      <c r="AU118" s="3" t="n">
        <v>6</v>
      </c>
      <c r="AV118" s="3" t="n">
        <v>6</v>
      </c>
      <c r="AW118" s="3" t="n">
        <v>3</v>
      </c>
      <c r="AX118" s="3" t="n">
        <v>3</v>
      </c>
      <c r="AY118" s="3" t="n">
        <v>1</v>
      </c>
      <c r="AZ118" s="5" t="n">
        <v>1</v>
      </c>
      <c r="BA118" s="3" t="n">
        <v>1</v>
      </c>
      <c r="BB118" s="3" t="n">
        <v>1</v>
      </c>
      <c r="BC118" s="3" t="n">
        <v>2</v>
      </c>
      <c r="BD118" s="3" t="n">
        <v>3</v>
      </c>
      <c r="BE118" s="3" t="n">
        <v>5</v>
      </c>
      <c r="BF118" s="3" t="n">
        <v>3</v>
      </c>
      <c r="BG118" s="3" t="n">
        <v>4</v>
      </c>
      <c r="BH118" s="3" t="n">
        <v>1</v>
      </c>
      <c r="BI118" s="3" t="n">
        <v>1</v>
      </c>
    </row>
    <row r="119" customFormat="false" ht="12.75" hidden="false" customHeight="false" outlineLevel="0" collapsed="false">
      <c r="A119" s="26" t="s">
        <v>1677</v>
      </c>
      <c r="B119" s="26" t="s">
        <v>157</v>
      </c>
      <c r="C119" s="26" t="s">
        <v>1678</v>
      </c>
      <c r="D119" s="26" t="n">
        <v>187687</v>
      </c>
      <c r="E119" s="27" t="n">
        <v>43766</v>
      </c>
      <c r="F119" s="27" t="n">
        <v>43768</v>
      </c>
      <c r="G119" s="30" t="n">
        <v>2</v>
      </c>
      <c r="H119" s="30" t="n">
        <v>1</v>
      </c>
      <c r="I119" s="30" t="n">
        <v>64</v>
      </c>
      <c r="J119" s="30" t="n">
        <v>1</v>
      </c>
      <c r="K119" s="30" t="n">
        <v>2</v>
      </c>
      <c r="L119" s="30" t="n">
        <v>1</v>
      </c>
      <c r="M119" s="30" t="n">
        <v>2</v>
      </c>
      <c r="N119" s="30" t="n">
        <v>2</v>
      </c>
      <c r="O119" s="30" t="n">
        <v>2</v>
      </c>
      <c r="P119" s="30" t="n">
        <v>1</v>
      </c>
      <c r="Q119" s="30" t="n">
        <v>2</v>
      </c>
      <c r="R119" s="30" t="n">
        <v>2</v>
      </c>
      <c r="S119" s="4" t="n">
        <v>2</v>
      </c>
      <c r="T119" s="30" t="n">
        <v>2</v>
      </c>
      <c r="U119" s="30" t="n">
        <v>4.4</v>
      </c>
      <c r="V119" s="30" t="n">
        <v>3.2</v>
      </c>
      <c r="W119" s="30" t="n">
        <v>23.5</v>
      </c>
      <c r="X119" s="30" t="n">
        <v>576</v>
      </c>
      <c r="Z119" s="30" t="n">
        <v>0.37</v>
      </c>
      <c r="AA119" s="30" t="n">
        <v>13.9</v>
      </c>
      <c r="AB119" s="30" t="n">
        <v>3</v>
      </c>
      <c r="AC119" s="30" t="n">
        <v>2</v>
      </c>
      <c r="AD119" s="30" t="n">
        <v>1</v>
      </c>
      <c r="AE119" s="30" t="n">
        <v>1</v>
      </c>
      <c r="AF119" s="30" t="n">
        <v>2</v>
      </c>
      <c r="AG119" s="30" t="n">
        <v>2</v>
      </c>
      <c r="AH119" s="30" t="n">
        <v>2</v>
      </c>
      <c r="AI119" s="30" t="n">
        <v>2</v>
      </c>
      <c r="AJ119" s="30" t="n">
        <v>2</v>
      </c>
      <c r="AK119" s="30" t="n">
        <v>2</v>
      </c>
      <c r="AL119" s="30" t="n">
        <v>2</v>
      </c>
      <c r="AM119" s="30" t="n">
        <v>1</v>
      </c>
      <c r="AN119" s="30" t="n">
        <v>2</v>
      </c>
      <c r="AO119" s="30" t="n">
        <v>3</v>
      </c>
      <c r="AP119" s="30" t="n">
        <v>4</v>
      </c>
      <c r="AQ119" s="30" t="n">
        <v>4</v>
      </c>
      <c r="AR119" s="30" t="n">
        <v>6</v>
      </c>
      <c r="AS119" s="30" t="n">
        <v>4</v>
      </c>
      <c r="AT119" s="30" t="n">
        <v>4</v>
      </c>
      <c r="AU119" s="30" t="n">
        <v>6</v>
      </c>
      <c r="AV119" s="30" t="n">
        <v>6</v>
      </c>
      <c r="AW119" s="30" t="n">
        <v>3</v>
      </c>
      <c r="AX119" s="30" t="n">
        <v>3</v>
      </c>
      <c r="AY119" s="30" t="n">
        <v>6</v>
      </c>
      <c r="AZ119" s="5" t="n">
        <v>1</v>
      </c>
      <c r="BA119" s="30" t="n">
        <v>1</v>
      </c>
      <c r="BB119" s="30" t="n">
        <v>2</v>
      </c>
      <c r="BC119" s="30" t="n">
        <v>4</v>
      </c>
      <c r="BD119" s="30" t="n">
        <v>3</v>
      </c>
      <c r="BE119" s="30" t="n">
        <v>5</v>
      </c>
      <c r="BF119" s="30" t="n">
        <v>3</v>
      </c>
      <c r="BG119" s="30" t="n">
        <v>4</v>
      </c>
      <c r="BH119" s="30" t="n">
        <v>1</v>
      </c>
      <c r="BI119" s="30" t="n">
        <v>1</v>
      </c>
    </row>
    <row r="120" customFormat="false" ht="12.75" hidden="false" customHeight="false" outlineLevel="0" collapsed="false">
      <c r="A120" s="2" t="s">
        <v>727</v>
      </c>
      <c r="B120" s="2" t="s">
        <v>70</v>
      </c>
      <c r="C120" s="2" t="s">
        <v>1713</v>
      </c>
      <c r="D120" s="2" t="n">
        <v>188276</v>
      </c>
      <c r="E120" s="15" t="n">
        <v>43776</v>
      </c>
      <c r="F120" s="15" t="n">
        <v>43786</v>
      </c>
      <c r="G120" s="3" t="n">
        <v>10</v>
      </c>
      <c r="H120" s="3" t="n">
        <v>2</v>
      </c>
      <c r="I120" s="3" t="n">
        <v>72</v>
      </c>
      <c r="J120" s="3" t="n">
        <v>1</v>
      </c>
      <c r="K120" s="3" t="n">
        <v>1</v>
      </c>
      <c r="L120" s="3" t="n">
        <v>1</v>
      </c>
      <c r="M120" s="3" t="n">
        <v>2</v>
      </c>
      <c r="N120" s="3" t="n">
        <v>2</v>
      </c>
      <c r="O120" s="3" t="n">
        <v>1</v>
      </c>
      <c r="P120" s="3" t="n">
        <v>2</v>
      </c>
      <c r="Q120" s="3" t="n">
        <v>2</v>
      </c>
      <c r="R120" s="3" t="n">
        <v>1</v>
      </c>
      <c r="S120" s="4" t="n">
        <v>2</v>
      </c>
      <c r="T120" s="3" t="n">
        <v>2</v>
      </c>
      <c r="U120" s="3" t="n">
        <v>6.42</v>
      </c>
      <c r="V120" s="3" t="n">
        <v>1.65</v>
      </c>
      <c r="W120" s="3" t="n">
        <v>3.6</v>
      </c>
      <c r="X120" s="3" t="n">
        <v>484</v>
      </c>
      <c r="Z120" s="3" t="n">
        <v>0.52</v>
      </c>
      <c r="AA120" s="3" t="n">
        <v>15.6</v>
      </c>
      <c r="AB120" s="3" t="n">
        <v>1</v>
      </c>
      <c r="AC120" s="3" t="n">
        <v>2</v>
      </c>
      <c r="AD120" s="3" t="n">
        <v>1</v>
      </c>
      <c r="AE120" s="3" t="n">
        <v>1</v>
      </c>
      <c r="AF120" s="3" t="n">
        <v>2</v>
      </c>
      <c r="AG120" s="3" t="n">
        <v>2</v>
      </c>
      <c r="AH120" s="3" t="n">
        <v>1</v>
      </c>
      <c r="AI120" s="3" t="n">
        <v>1</v>
      </c>
      <c r="AJ120" s="3" t="n">
        <v>2</v>
      </c>
      <c r="AK120" s="3" t="n">
        <v>2</v>
      </c>
      <c r="AL120" s="3" t="n">
        <v>2</v>
      </c>
      <c r="AM120" s="3" t="n">
        <v>2</v>
      </c>
      <c r="AN120" s="3" t="n">
        <v>2</v>
      </c>
      <c r="AO120" s="3" t="n">
        <v>2</v>
      </c>
      <c r="AP120" s="3" t="n">
        <v>2</v>
      </c>
      <c r="AQ120" s="3" t="n">
        <v>2</v>
      </c>
      <c r="AR120" s="3" t="n">
        <v>4</v>
      </c>
      <c r="AS120" s="3" t="n">
        <v>1</v>
      </c>
      <c r="AT120" s="3" t="n">
        <v>1</v>
      </c>
      <c r="AU120" s="3" t="n">
        <v>1</v>
      </c>
      <c r="AV120" s="3" t="n">
        <v>1</v>
      </c>
      <c r="AW120" s="3" t="n">
        <v>2</v>
      </c>
      <c r="AX120" s="3" t="n">
        <v>2</v>
      </c>
      <c r="AY120" s="3" t="n">
        <v>1</v>
      </c>
      <c r="AZ120" s="5" t="n">
        <v>1</v>
      </c>
      <c r="BA120" s="3" t="n">
        <v>1</v>
      </c>
      <c r="BB120" s="3" t="n">
        <v>1</v>
      </c>
      <c r="BC120" s="3" t="n">
        <v>4</v>
      </c>
      <c r="BD120" s="3" t="n">
        <v>1</v>
      </c>
      <c r="BE120" s="3" t="n">
        <v>2</v>
      </c>
      <c r="BF120" s="3" t="n">
        <v>1</v>
      </c>
      <c r="BG120" s="3" t="n">
        <v>4</v>
      </c>
      <c r="BH120" s="3" t="n">
        <v>1</v>
      </c>
      <c r="BI120" s="3" t="n">
        <v>1</v>
      </c>
    </row>
    <row r="121" customFormat="false" ht="12.75" hidden="false" customHeight="false" outlineLevel="0" collapsed="false">
      <c r="A121" s="2" t="s">
        <v>1715</v>
      </c>
      <c r="B121" s="2" t="s">
        <v>66</v>
      </c>
      <c r="C121" s="2" t="s">
        <v>298</v>
      </c>
      <c r="D121" s="2" t="n">
        <v>187631</v>
      </c>
      <c r="E121" s="15" t="n">
        <v>43767</v>
      </c>
      <c r="F121" s="15" t="n">
        <v>43774</v>
      </c>
      <c r="G121" s="3" t="n">
        <v>7</v>
      </c>
      <c r="H121" s="3" t="n">
        <v>2</v>
      </c>
      <c r="I121" s="3" t="n">
        <v>55</v>
      </c>
      <c r="J121" s="3" t="n">
        <v>1</v>
      </c>
      <c r="K121" s="3" t="n">
        <v>1</v>
      </c>
      <c r="L121" s="3" t="n">
        <v>2</v>
      </c>
      <c r="M121" s="3" t="n">
        <v>2</v>
      </c>
      <c r="N121" s="3" t="n">
        <v>2</v>
      </c>
      <c r="O121" s="3" t="n">
        <v>2</v>
      </c>
      <c r="P121" s="3" t="n">
        <v>1</v>
      </c>
      <c r="Q121" s="3" t="n">
        <v>2</v>
      </c>
      <c r="R121" s="3" t="n">
        <v>2</v>
      </c>
      <c r="S121" s="4" t="n">
        <v>2</v>
      </c>
      <c r="T121" s="3" t="n">
        <v>2</v>
      </c>
      <c r="U121" s="3" t="n">
        <v>4.57</v>
      </c>
      <c r="V121" s="3" t="n">
        <v>8.94</v>
      </c>
      <c r="W121" s="3" t="n">
        <v>12.94</v>
      </c>
      <c r="X121" s="3" t="n">
        <v>273</v>
      </c>
      <c r="Z121" s="3" t="n">
        <v>0.45</v>
      </c>
      <c r="AA121" s="3" t="n">
        <v>11.3</v>
      </c>
      <c r="AB121" s="3" t="n">
        <v>1</v>
      </c>
      <c r="AC121" s="3" t="n">
        <v>1</v>
      </c>
      <c r="AD121" s="3" t="n">
        <v>1</v>
      </c>
      <c r="AE121" s="3" t="n">
        <v>1</v>
      </c>
      <c r="AF121" s="3" t="n">
        <v>2</v>
      </c>
      <c r="AG121" s="3" t="n">
        <v>1</v>
      </c>
      <c r="AH121" s="3" t="n">
        <v>2</v>
      </c>
      <c r="AI121" s="3" t="n">
        <v>2</v>
      </c>
      <c r="AJ121" s="3" t="n">
        <v>2</v>
      </c>
      <c r="AK121" s="3" t="n">
        <v>2</v>
      </c>
      <c r="AL121" s="3" t="n">
        <v>2</v>
      </c>
      <c r="AM121" s="3" t="n">
        <v>2</v>
      </c>
      <c r="AN121" s="3" t="n">
        <v>2</v>
      </c>
      <c r="AO121" s="3" t="n">
        <v>3</v>
      </c>
      <c r="AP121" s="3" t="n">
        <v>4</v>
      </c>
      <c r="AQ121" s="3" t="n">
        <v>4</v>
      </c>
      <c r="AR121" s="3" t="n">
        <v>6</v>
      </c>
      <c r="AS121" s="3" t="n">
        <v>4</v>
      </c>
      <c r="AT121" s="3" t="n">
        <v>4</v>
      </c>
      <c r="AU121" s="3" t="n">
        <v>6</v>
      </c>
      <c r="AV121" s="3" t="n">
        <v>6</v>
      </c>
      <c r="AW121" s="3" t="n">
        <v>3</v>
      </c>
      <c r="AX121" s="3" t="n">
        <v>3</v>
      </c>
      <c r="AY121" s="3" t="n">
        <v>1</v>
      </c>
      <c r="AZ121" s="5" t="n">
        <v>1</v>
      </c>
      <c r="BA121" s="3" t="n">
        <v>1</v>
      </c>
      <c r="BB121" s="3" t="n">
        <v>1</v>
      </c>
      <c r="BC121" s="3" t="n">
        <v>4</v>
      </c>
      <c r="BD121" s="3" t="n">
        <v>3</v>
      </c>
      <c r="BE121" s="3" t="n">
        <v>5</v>
      </c>
      <c r="BF121" s="3" t="n">
        <v>3</v>
      </c>
      <c r="BG121" s="3" t="n">
        <v>4</v>
      </c>
      <c r="BH121" s="3" t="n">
        <v>1</v>
      </c>
      <c r="BI121" s="3" t="n">
        <v>1</v>
      </c>
    </row>
    <row r="122" customFormat="false" ht="12.75" hidden="false" customHeight="false" outlineLevel="0" collapsed="false">
      <c r="A122" s="17" t="s">
        <v>966</v>
      </c>
      <c r="B122" s="17" t="s">
        <v>1067</v>
      </c>
      <c r="C122" s="17" t="s">
        <v>1724</v>
      </c>
      <c r="D122" s="17" t="n">
        <v>188363</v>
      </c>
      <c r="E122" s="15" t="n">
        <v>43783</v>
      </c>
      <c r="F122" s="15" t="n">
        <v>43788</v>
      </c>
      <c r="G122" s="3" t="n">
        <v>5</v>
      </c>
      <c r="H122" s="3" t="n">
        <v>2</v>
      </c>
      <c r="I122" s="3" t="n">
        <v>56</v>
      </c>
      <c r="J122" s="3" t="n">
        <v>1</v>
      </c>
      <c r="K122" s="3" t="n">
        <v>2</v>
      </c>
      <c r="L122" s="3" t="n">
        <v>2</v>
      </c>
      <c r="M122" s="3" t="n">
        <v>2</v>
      </c>
      <c r="N122" s="3" t="n">
        <v>2</v>
      </c>
      <c r="O122" s="3" t="n">
        <v>2</v>
      </c>
      <c r="P122" s="3" t="n">
        <v>2</v>
      </c>
      <c r="Q122" s="3" t="n">
        <v>2</v>
      </c>
      <c r="R122" s="3" t="n">
        <v>2</v>
      </c>
      <c r="S122" s="4" t="n">
        <v>2</v>
      </c>
      <c r="T122" s="3" t="n">
        <v>1</v>
      </c>
      <c r="U122" s="3" t="n">
        <v>5.48</v>
      </c>
      <c r="V122" s="3" t="n">
        <v>5.74</v>
      </c>
      <c r="W122" s="3" t="n">
        <v>8.48</v>
      </c>
      <c r="X122" s="3" t="n">
        <v>523</v>
      </c>
      <c r="Z122" s="3" t="n">
        <v>0.43</v>
      </c>
      <c r="AA122" s="3" t="n">
        <v>10.2</v>
      </c>
      <c r="AB122" s="3"/>
      <c r="AC122" s="3" t="n">
        <v>1</v>
      </c>
      <c r="AD122" s="3" t="n">
        <v>1</v>
      </c>
      <c r="AE122" s="3" t="n">
        <v>1</v>
      </c>
      <c r="AF122" s="3" t="n">
        <v>2</v>
      </c>
      <c r="AG122" s="3" t="n">
        <v>1</v>
      </c>
      <c r="AH122" s="3" t="n">
        <v>1</v>
      </c>
      <c r="AI122" s="3" t="n">
        <v>2</v>
      </c>
      <c r="AJ122" s="3" t="n">
        <v>2</v>
      </c>
      <c r="AK122" s="3" t="n">
        <v>2</v>
      </c>
      <c r="AL122" s="3" t="n">
        <v>2</v>
      </c>
      <c r="AM122" s="3" t="n">
        <v>2</v>
      </c>
      <c r="AN122" s="3" t="n">
        <v>2</v>
      </c>
      <c r="AO122" s="3" t="n">
        <v>3</v>
      </c>
      <c r="AP122" s="3" t="n">
        <v>4</v>
      </c>
      <c r="AQ122" s="3" t="n">
        <v>4</v>
      </c>
      <c r="AR122" s="3" t="n">
        <v>6</v>
      </c>
      <c r="AS122" s="3" t="n">
        <v>4</v>
      </c>
      <c r="AT122" s="3" t="n">
        <v>4</v>
      </c>
      <c r="AU122" s="3" t="n">
        <v>6</v>
      </c>
      <c r="AV122" s="3" t="n">
        <v>6</v>
      </c>
      <c r="AW122" s="3" t="n">
        <v>3</v>
      </c>
      <c r="AX122" s="3" t="n">
        <v>3</v>
      </c>
      <c r="AY122" s="3" t="n">
        <v>1</v>
      </c>
      <c r="AZ122" s="5" t="n">
        <v>1</v>
      </c>
      <c r="BA122" s="3" t="n">
        <v>1</v>
      </c>
      <c r="BB122" s="3" t="n">
        <v>1</v>
      </c>
      <c r="BC122" s="3" t="n">
        <v>2</v>
      </c>
      <c r="BD122" s="3" t="n">
        <v>3</v>
      </c>
      <c r="BE122" s="3" t="n">
        <v>5</v>
      </c>
      <c r="BF122" s="3" t="n">
        <v>3</v>
      </c>
      <c r="BG122" s="3" t="n">
        <v>4</v>
      </c>
      <c r="BH122" s="3" t="n">
        <v>1</v>
      </c>
      <c r="BI122" s="3" t="n">
        <v>1</v>
      </c>
    </row>
    <row r="123" customFormat="false" ht="12.75" hidden="false" customHeight="false" outlineLevel="0" collapsed="false">
      <c r="A123" s="17" t="s">
        <v>1732</v>
      </c>
      <c r="B123" s="17" t="s">
        <v>1733</v>
      </c>
      <c r="C123" s="17" t="s">
        <v>1734</v>
      </c>
      <c r="D123" s="2" t="n">
        <v>188865</v>
      </c>
      <c r="E123" s="15" t="n">
        <v>43783</v>
      </c>
      <c r="F123" s="15" t="n">
        <v>43790</v>
      </c>
      <c r="G123" s="3" t="n">
        <v>7</v>
      </c>
      <c r="H123" s="3" t="n">
        <v>2</v>
      </c>
      <c r="I123" s="3" t="n">
        <v>61</v>
      </c>
      <c r="J123" s="3" t="n">
        <v>1</v>
      </c>
      <c r="K123" s="3" t="n">
        <v>1</v>
      </c>
      <c r="L123" s="3" t="n">
        <v>2</v>
      </c>
      <c r="M123" s="3" t="n">
        <v>2</v>
      </c>
      <c r="N123" s="3" t="n">
        <v>2</v>
      </c>
      <c r="O123" s="3" t="n">
        <v>2</v>
      </c>
      <c r="P123" s="3" t="n">
        <v>2</v>
      </c>
      <c r="Q123" s="3" t="n">
        <v>2</v>
      </c>
      <c r="R123" s="3" t="n">
        <v>2</v>
      </c>
      <c r="S123" s="4" t="n">
        <v>2</v>
      </c>
      <c r="T123" s="3" t="n">
        <v>2</v>
      </c>
      <c r="U123" s="3" t="n">
        <v>5.15</v>
      </c>
      <c r="V123" s="3" t="n">
        <v>0.78</v>
      </c>
      <c r="W123" s="3" t="n">
        <v>7.8</v>
      </c>
      <c r="X123" s="3" t="n">
        <v>486</v>
      </c>
      <c r="Z123" s="3" t="n">
        <v>0.4</v>
      </c>
      <c r="AA123" s="3" t="n">
        <v>11.2</v>
      </c>
      <c r="AB123" s="3" t="n">
        <v>2</v>
      </c>
      <c r="AC123" s="3" t="n">
        <v>2</v>
      </c>
      <c r="AD123" s="3" t="n">
        <v>1</v>
      </c>
      <c r="AE123" s="3" t="n">
        <v>1</v>
      </c>
      <c r="AF123" s="3" t="n">
        <v>1</v>
      </c>
      <c r="AG123" s="3" t="n">
        <v>2</v>
      </c>
      <c r="AH123" s="3" t="n">
        <v>1</v>
      </c>
      <c r="AI123" s="3" t="n">
        <v>2</v>
      </c>
      <c r="AJ123" s="3" t="n">
        <v>2</v>
      </c>
      <c r="AK123" s="3" t="n">
        <v>2</v>
      </c>
      <c r="AL123" s="3" t="n">
        <v>1</v>
      </c>
      <c r="AM123" s="3" t="n">
        <v>2</v>
      </c>
      <c r="AN123" s="3" t="n">
        <v>2</v>
      </c>
      <c r="AO123" s="3" t="n">
        <v>3</v>
      </c>
      <c r="AP123" s="3" t="n">
        <v>4</v>
      </c>
      <c r="AQ123" s="3" t="n">
        <v>4</v>
      </c>
      <c r="AR123" s="3" t="n">
        <v>6</v>
      </c>
      <c r="AS123" s="3" t="n">
        <v>4</v>
      </c>
      <c r="AT123" s="3" t="n">
        <v>4</v>
      </c>
      <c r="AU123" s="3" t="n">
        <v>6</v>
      </c>
      <c r="AV123" s="3" t="n">
        <v>6</v>
      </c>
      <c r="AW123" s="3" t="n">
        <v>3</v>
      </c>
      <c r="AX123" s="3" t="n">
        <v>3</v>
      </c>
      <c r="AY123" s="3" t="n">
        <v>1</v>
      </c>
      <c r="AZ123" s="5" t="n">
        <v>1</v>
      </c>
      <c r="BA123" s="3" t="n">
        <v>1</v>
      </c>
      <c r="BB123" s="3" t="n">
        <v>1</v>
      </c>
      <c r="BC123" s="3" t="n">
        <v>2</v>
      </c>
      <c r="BD123" s="3" t="n">
        <v>1</v>
      </c>
      <c r="BE123" s="3" t="n">
        <v>2</v>
      </c>
      <c r="BF123" s="3" t="n">
        <v>1</v>
      </c>
      <c r="BG123" s="3" t="n">
        <v>4</v>
      </c>
      <c r="BH123" s="3" t="n">
        <v>1</v>
      </c>
      <c r="BI123" s="3" t="n">
        <v>1</v>
      </c>
    </row>
    <row r="124" customFormat="false" ht="12.75" hidden="false" customHeight="false" outlineLevel="0" collapsed="false">
      <c r="A124" s="2" t="s">
        <v>1075</v>
      </c>
      <c r="B124" s="2" t="s">
        <v>1749</v>
      </c>
      <c r="C124" s="2" t="s">
        <v>1750</v>
      </c>
      <c r="D124" s="2" t="n">
        <v>188824</v>
      </c>
      <c r="E124" s="15" t="n">
        <v>43788</v>
      </c>
      <c r="F124" s="15" t="n">
        <v>43794</v>
      </c>
      <c r="G124" s="3" t="n">
        <v>6</v>
      </c>
      <c r="H124" s="3" t="n">
        <v>2</v>
      </c>
      <c r="I124" s="3" t="n">
        <v>54</v>
      </c>
      <c r="J124" s="3" t="n">
        <v>1</v>
      </c>
      <c r="K124" s="3" t="n">
        <v>1</v>
      </c>
      <c r="L124" s="3" t="n">
        <v>1</v>
      </c>
      <c r="M124" s="3" t="n">
        <v>2</v>
      </c>
      <c r="N124" s="3" t="n">
        <v>1</v>
      </c>
      <c r="O124" s="3" t="n">
        <v>2</v>
      </c>
      <c r="P124" s="3" t="n">
        <v>2</v>
      </c>
      <c r="Q124" s="3" t="n">
        <v>2</v>
      </c>
      <c r="R124" s="3" t="n">
        <v>2</v>
      </c>
      <c r="S124" s="4" t="n">
        <v>2</v>
      </c>
      <c r="T124" s="3" t="n">
        <v>1</v>
      </c>
      <c r="U124" s="3" t="n">
        <v>5.24</v>
      </c>
      <c r="V124" s="3" t="n">
        <v>1.94</v>
      </c>
      <c r="W124" s="3" t="n">
        <v>6.97</v>
      </c>
      <c r="X124" s="3" t="n">
        <v>453</v>
      </c>
      <c r="Z124" s="3" t="n">
        <v>0.45</v>
      </c>
      <c r="AA124" s="3" t="n">
        <v>8.3</v>
      </c>
      <c r="AB124" s="3" t="n">
        <v>2</v>
      </c>
      <c r="AC124" s="3" t="n">
        <v>2</v>
      </c>
      <c r="AD124" s="3" t="n">
        <v>1</v>
      </c>
      <c r="AE124" s="3" t="n">
        <v>1</v>
      </c>
      <c r="AF124" s="3" t="n">
        <v>1</v>
      </c>
      <c r="AG124" s="3" t="n">
        <v>2</v>
      </c>
      <c r="AH124" s="3" t="n">
        <v>2</v>
      </c>
      <c r="AI124" s="3" t="n">
        <v>2</v>
      </c>
      <c r="AJ124" s="3" t="n">
        <v>2</v>
      </c>
      <c r="AK124" s="3" t="n">
        <v>2</v>
      </c>
      <c r="AL124" s="3" t="n">
        <v>1</v>
      </c>
      <c r="AM124" s="3" t="n">
        <v>2</v>
      </c>
      <c r="AN124" s="3" t="n">
        <v>2</v>
      </c>
      <c r="AO124" s="3" t="n">
        <v>3</v>
      </c>
      <c r="AP124" s="3" t="n">
        <v>4</v>
      </c>
      <c r="AQ124" s="3" t="n">
        <v>4</v>
      </c>
      <c r="AR124" s="3" t="n">
        <v>6</v>
      </c>
      <c r="AS124" s="3" t="n">
        <v>4</v>
      </c>
      <c r="AT124" s="3" t="n">
        <v>4</v>
      </c>
      <c r="AU124" s="3" t="n">
        <v>6</v>
      </c>
      <c r="AV124" s="3" t="n">
        <v>6</v>
      </c>
      <c r="AW124" s="3" t="n">
        <v>3</v>
      </c>
      <c r="AX124" s="3" t="n">
        <v>3</v>
      </c>
      <c r="AY124" s="3" t="n">
        <v>4</v>
      </c>
      <c r="AZ124" s="5" t="n">
        <v>1</v>
      </c>
      <c r="BA124" s="3" t="n">
        <v>1</v>
      </c>
      <c r="BB124" s="3" t="n">
        <v>1</v>
      </c>
      <c r="BC124" s="3" t="n">
        <v>2</v>
      </c>
      <c r="BD124" s="3" t="n">
        <v>3</v>
      </c>
      <c r="BE124" s="3" t="n">
        <v>5</v>
      </c>
      <c r="BF124" s="3" t="n">
        <v>3</v>
      </c>
      <c r="BG124" s="3" t="n">
        <v>4</v>
      </c>
      <c r="BH124" s="3" t="n">
        <v>1</v>
      </c>
      <c r="BI124" s="3" t="n">
        <v>1</v>
      </c>
    </row>
    <row r="125" customFormat="false" ht="12.75" hidden="false" customHeight="false" outlineLevel="0" collapsed="false">
      <c r="A125" s="17" t="s">
        <v>569</v>
      </c>
      <c r="B125" s="17" t="s">
        <v>564</v>
      </c>
      <c r="C125" s="17" t="s">
        <v>210</v>
      </c>
      <c r="D125" s="2" t="n">
        <v>188853</v>
      </c>
      <c r="E125" s="15" t="n">
        <v>43786</v>
      </c>
      <c r="F125" s="15" t="n">
        <v>43796</v>
      </c>
      <c r="G125" s="3" t="n">
        <v>10</v>
      </c>
      <c r="H125" s="3" t="n">
        <v>2</v>
      </c>
      <c r="I125" s="3" t="n">
        <v>63</v>
      </c>
      <c r="J125" s="3" t="n">
        <v>1</v>
      </c>
      <c r="K125" s="3" t="n">
        <v>2</v>
      </c>
      <c r="L125" s="3" t="n">
        <v>1</v>
      </c>
      <c r="M125" s="3" t="n">
        <v>2</v>
      </c>
      <c r="N125" s="3" t="n">
        <v>2</v>
      </c>
      <c r="O125" s="3" t="n">
        <v>2</v>
      </c>
      <c r="P125" s="3" t="n">
        <v>2</v>
      </c>
      <c r="Q125" s="3" t="n">
        <v>2</v>
      </c>
      <c r="R125" s="3" t="n">
        <v>2</v>
      </c>
      <c r="S125" s="4" t="n">
        <v>2</v>
      </c>
      <c r="T125" s="3" t="n">
        <v>2</v>
      </c>
      <c r="U125" s="3" t="n">
        <v>5.69</v>
      </c>
      <c r="V125" s="3" t="n">
        <v>1.76</v>
      </c>
      <c r="W125" s="3" t="n">
        <v>5.08</v>
      </c>
      <c r="X125" s="3" t="n">
        <v>361</v>
      </c>
      <c r="Z125" s="3" t="n">
        <v>0.5</v>
      </c>
      <c r="AA125" s="3" t="n">
        <v>9.1</v>
      </c>
      <c r="AB125" s="3" t="n">
        <v>1</v>
      </c>
      <c r="AC125" s="3" t="n">
        <v>2</v>
      </c>
      <c r="AD125" s="3" t="n">
        <v>1</v>
      </c>
      <c r="AE125" s="3" t="n">
        <v>1</v>
      </c>
      <c r="AF125" s="3" t="n">
        <v>2</v>
      </c>
      <c r="AG125" s="3" t="n">
        <v>2</v>
      </c>
      <c r="AH125" s="3" t="n">
        <v>1</v>
      </c>
      <c r="AI125" s="3" t="n">
        <v>2</v>
      </c>
      <c r="AJ125" s="3" t="n">
        <v>2</v>
      </c>
      <c r="AK125" s="3" t="n">
        <v>2</v>
      </c>
      <c r="AL125" s="3" t="n">
        <v>2</v>
      </c>
      <c r="AM125" s="3" t="n">
        <v>2</v>
      </c>
      <c r="AN125" s="3" t="n">
        <v>2</v>
      </c>
      <c r="AO125" s="3" t="n">
        <v>3</v>
      </c>
      <c r="AP125" s="3" t="n">
        <v>4</v>
      </c>
      <c r="AQ125" s="3" t="n">
        <v>4</v>
      </c>
      <c r="AR125" s="3" t="n">
        <v>6</v>
      </c>
      <c r="AS125" s="3" t="n">
        <v>4</v>
      </c>
      <c r="AT125" s="3" t="n">
        <v>4</v>
      </c>
      <c r="AU125" s="3" t="n">
        <v>6</v>
      </c>
      <c r="AV125" s="3" t="n">
        <v>6</v>
      </c>
      <c r="AW125" s="3" t="n">
        <v>3</v>
      </c>
      <c r="AX125" s="3" t="n">
        <v>3</v>
      </c>
      <c r="AY125" s="3" t="n">
        <v>2</v>
      </c>
      <c r="AZ125" s="5" t="n">
        <v>1</v>
      </c>
      <c r="BA125" s="3" t="n">
        <v>1</v>
      </c>
      <c r="BB125" s="3" t="n">
        <v>1</v>
      </c>
      <c r="BC125" s="3" t="n">
        <v>2</v>
      </c>
      <c r="BD125" s="3" t="n">
        <v>1</v>
      </c>
      <c r="BE125" s="3" t="n">
        <v>2</v>
      </c>
      <c r="BF125" s="3" t="n">
        <v>1</v>
      </c>
      <c r="BG125" s="3" t="n">
        <v>4</v>
      </c>
      <c r="BH125" s="3" t="n">
        <v>1</v>
      </c>
      <c r="BI125" s="3" t="n">
        <v>1</v>
      </c>
    </row>
    <row r="126" customFormat="false" ht="12.75" hidden="false" customHeight="false" outlineLevel="0" collapsed="false">
      <c r="A126" s="2" t="s">
        <v>1762</v>
      </c>
      <c r="B126" s="2" t="s">
        <v>414</v>
      </c>
      <c r="C126" s="2" t="s">
        <v>1763</v>
      </c>
      <c r="D126" s="2" t="n">
        <v>189162</v>
      </c>
      <c r="E126" s="15" t="n">
        <v>43790</v>
      </c>
      <c r="F126" s="15" t="n">
        <v>43797</v>
      </c>
      <c r="G126" s="3" t="n">
        <v>7</v>
      </c>
      <c r="H126" s="3" t="n">
        <v>2</v>
      </c>
      <c r="I126" s="3" t="n">
        <v>52</v>
      </c>
      <c r="J126" s="3" t="n">
        <v>1</v>
      </c>
      <c r="K126" s="3" t="n">
        <v>1</v>
      </c>
      <c r="L126" s="3" t="n">
        <v>2</v>
      </c>
      <c r="M126" s="3" t="n">
        <v>2</v>
      </c>
      <c r="N126" s="3" t="n">
        <v>1</v>
      </c>
      <c r="O126" s="3" t="n">
        <v>2</v>
      </c>
      <c r="P126" s="3" t="n">
        <v>2</v>
      </c>
      <c r="Q126" s="3" t="n">
        <v>2</v>
      </c>
      <c r="R126" s="3" t="n">
        <v>2</v>
      </c>
      <c r="S126" s="4" t="n">
        <v>2</v>
      </c>
      <c r="T126" s="3" t="n">
        <v>2</v>
      </c>
      <c r="U126" s="3" t="n">
        <v>3.72</v>
      </c>
      <c r="V126" s="3" t="n">
        <v>2.25</v>
      </c>
      <c r="W126" s="3" t="n">
        <v>6.46</v>
      </c>
      <c r="X126" s="3" t="n">
        <v>469</v>
      </c>
      <c r="Z126" s="3" t="n">
        <v>0.5</v>
      </c>
      <c r="AA126" s="3" t="n">
        <v>11.2</v>
      </c>
      <c r="AB126" s="3" t="n">
        <v>1</v>
      </c>
      <c r="AC126" s="3" t="n">
        <v>2</v>
      </c>
      <c r="AD126" s="3" t="n">
        <v>1</v>
      </c>
      <c r="AE126" s="3" t="n">
        <v>1</v>
      </c>
      <c r="AF126" s="3" t="n">
        <v>2</v>
      </c>
      <c r="AG126" s="3" t="n">
        <v>2</v>
      </c>
      <c r="AH126" s="3" t="n">
        <v>1</v>
      </c>
      <c r="AI126" s="3" t="n">
        <v>2</v>
      </c>
      <c r="AJ126" s="3" t="n">
        <v>2</v>
      </c>
      <c r="AK126" s="3" t="n">
        <v>2</v>
      </c>
      <c r="AL126" s="3" t="n">
        <v>1</v>
      </c>
      <c r="AM126" s="3" t="n">
        <v>2</v>
      </c>
      <c r="AN126" s="3" t="n">
        <v>2</v>
      </c>
      <c r="AO126" s="3" t="n">
        <v>3</v>
      </c>
      <c r="AP126" s="3" t="n">
        <v>4</v>
      </c>
      <c r="AQ126" s="3" t="n">
        <v>4</v>
      </c>
      <c r="AR126" s="3" t="n">
        <v>6</v>
      </c>
      <c r="AS126" s="3" t="n">
        <v>4</v>
      </c>
      <c r="AT126" s="3" t="n">
        <v>4</v>
      </c>
      <c r="AU126" s="3" t="n">
        <v>6</v>
      </c>
      <c r="AV126" s="3" t="n">
        <v>6</v>
      </c>
      <c r="AW126" s="3" t="n">
        <v>3</v>
      </c>
      <c r="AX126" s="3" t="n">
        <v>3</v>
      </c>
      <c r="AY126" s="3" t="n">
        <v>1</v>
      </c>
      <c r="AZ126" s="5" t="n">
        <v>1</v>
      </c>
      <c r="BA126" s="3" t="n">
        <v>1</v>
      </c>
      <c r="BB126" s="3" t="n">
        <v>1</v>
      </c>
      <c r="BC126" s="3" t="n">
        <v>2</v>
      </c>
      <c r="BD126" s="3" t="n">
        <v>1</v>
      </c>
      <c r="BE126" s="3" t="n">
        <v>2</v>
      </c>
      <c r="BF126" s="3" t="n">
        <v>1</v>
      </c>
      <c r="BG126" s="3" t="n">
        <v>4</v>
      </c>
      <c r="BH126" s="3" t="n">
        <v>1</v>
      </c>
      <c r="BI126" s="3" t="n">
        <v>1</v>
      </c>
    </row>
    <row r="127" customFormat="false" ht="12.75" hidden="false" customHeight="false" outlineLevel="0" collapsed="false">
      <c r="A127" s="2" t="s">
        <v>217</v>
      </c>
      <c r="B127" s="2" t="s">
        <v>1766</v>
      </c>
      <c r="C127" s="2" t="s">
        <v>1767</v>
      </c>
      <c r="D127" s="2" t="n">
        <v>189149</v>
      </c>
      <c r="E127" s="15" t="n">
        <v>43794</v>
      </c>
      <c r="F127" s="15" t="n">
        <v>43801</v>
      </c>
      <c r="G127" s="3" t="n">
        <v>7</v>
      </c>
      <c r="H127" s="3" t="n">
        <v>2</v>
      </c>
      <c r="I127" s="3" t="n">
        <v>52</v>
      </c>
      <c r="J127" s="3" t="n">
        <v>2</v>
      </c>
      <c r="K127" s="3" t="n">
        <v>1</v>
      </c>
      <c r="L127" s="3" t="n">
        <v>1</v>
      </c>
      <c r="M127" s="3" t="n">
        <v>2</v>
      </c>
      <c r="N127" s="3" t="n">
        <v>2</v>
      </c>
      <c r="O127" s="3" t="n">
        <v>2</v>
      </c>
      <c r="P127" s="3" t="n">
        <v>2</v>
      </c>
      <c r="Q127" s="3" t="n">
        <v>2</v>
      </c>
      <c r="R127" s="3" t="n">
        <v>2</v>
      </c>
      <c r="S127" s="4" t="n">
        <v>2</v>
      </c>
      <c r="T127" s="3" t="n">
        <v>2</v>
      </c>
      <c r="U127" s="3" t="n">
        <v>4.2</v>
      </c>
      <c r="V127" s="3" t="n">
        <v>2.02</v>
      </c>
      <c r="W127" s="3" t="n">
        <v>5.31</v>
      </c>
      <c r="X127" s="3" t="n">
        <v>433</v>
      </c>
      <c r="Z127" s="3" t="n">
        <v>0.54</v>
      </c>
      <c r="AA127" s="3" t="n">
        <v>13.6</v>
      </c>
      <c r="AB127" s="3" t="n">
        <v>1</v>
      </c>
      <c r="AC127" s="3" t="n">
        <v>2</v>
      </c>
      <c r="AD127" s="3" t="n">
        <v>1</v>
      </c>
      <c r="AE127" s="3" t="n">
        <v>1</v>
      </c>
      <c r="AF127" s="3" t="n">
        <v>1</v>
      </c>
      <c r="AG127" s="3" t="n">
        <v>1</v>
      </c>
      <c r="AH127" s="3" t="n">
        <v>1</v>
      </c>
      <c r="AI127" s="3" t="n">
        <v>2</v>
      </c>
      <c r="AJ127" s="3" t="n">
        <v>2</v>
      </c>
      <c r="AK127" s="3" t="n">
        <v>2</v>
      </c>
      <c r="AL127" s="3" t="n">
        <v>1</v>
      </c>
      <c r="AM127" s="3" t="n">
        <v>2</v>
      </c>
      <c r="AN127" s="3" t="n">
        <v>2</v>
      </c>
      <c r="AO127" s="3" t="n">
        <v>3</v>
      </c>
      <c r="AP127" s="3" t="n">
        <v>4</v>
      </c>
      <c r="AQ127" s="3" t="n">
        <v>4</v>
      </c>
      <c r="AR127" s="3" t="n">
        <v>6</v>
      </c>
      <c r="AS127" s="3" t="n">
        <v>4</v>
      </c>
      <c r="AT127" s="3" t="n">
        <v>4</v>
      </c>
      <c r="AU127" s="3" t="n">
        <v>6</v>
      </c>
      <c r="AV127" s="3" t="n">
        <v>6</v>
      </c>
      <c r="AW127" s="3" t="n">
        <v>3</v>
      </c>
      <c r="AX127" s="3" t="n">
        <v>3</v>
      </c>
      <c r="AY127" s="3" t="n">
        <v>1</v>
      </c>
      <c r="AZ127" s="5" t="n">
        <v>1</v>
      </c>
      <c r="BA127" s="3" t="n">
        <v>1</v>
      </c>
      <c r="BB127" s="3" t="n">
        <v>1</v>
      </c>
      <c r="BC127" s="3" t="n">
        <v>4</v>
      </c>
      <c r="BD127" s="3" t="n">
        <v>3</v>
      </c>
      <c r="BE127" s="3" t="n">
        <v>5</v>
      </c>
      <c r="BF127" s="3" t="n">
        <v>3</v>
      </c>
      <c r="BG127" s="3" t="n">
        <v>4</v>
      </c>
      <c r="BH127" s="3" t="n">
        <v>1</v>
      </c>
      <c r="BI127" s="3" t="n">
        <v>1</v>
      </c>
    </row>
    <row r="128" customFormat="false" ht="12.75" hidden="false" customHeight="false" outlineLevel="0" collapsed="false">
      <c r="A128" s="2" t="s">
        <v>1772</v>
      </c>
      <c r="B128" s="2" t="s">
        <v>1773</v>
      </c>
      <c r="C128" s="2" t="s">
        <v>577</v>
      </c>
      <c r="D128" s="2" t="n">
        <v>189380</v>
      </c>
      <c r="E128" s="15" t="n">
        <v>43793</v>
      </c>
      <c r="F128" s="15" t="n">
        <v>43801</v>
      </c>
      <c r="G128" s="3" t="n">
        <v>8</v>
      </c>
      <c r="H128" s="3" t="n">
        <v>1</v>
      </c>
      <c r="I128" s="3" t="n">
        <v>54</v>
      </c>
      <c r="J128" s="3" t="n">
        <v>2</v>
      </c>
      <c r="K128" s="3" t="n">
        <v>1</v>
      </c>
      <c r="L128" s="3" t="n">
        <v>1</v>
      </c>
      <c r="M128" s="3" t="n">
        <v>2</v>
      </c>
      <c r="N128" s="3" t="n">
        <v>2</v>
      </c>
      <c r="O128" s="3" t="n">
        <v>2</v>
      </c>
      <c r="P128" s="3" t="n">
        <v>2</v>
      </c>
      <c r="Q128" s="3" t="n">
        <v>2</v>
      </c>
      <c r="R128" s="3" t="n">
        <v>2</v>
      </c>
      <c r="S128" s="4" t="n">
        <v>2</v>
      </c>
      <c r="T128" s="3" t="n">
        <v>2</v>
      </c>
      <c r="U128" s="3" t="n">
        <v>5.94</v>
      </c>
      <c r="V128" s="3" t="n">
        <v>1.36</v>
      </c>
      <c r="W128" s="3" t="n">
        <v>6.2</v>
      </c>
      <c r="X128" s="3" t="n">
        <v>371</v>
      </c>
      <c r="Z128" s="3" t="n">
        <v>0.45</v>
      </c>
      <c r="AA128" s="3" t="n">
        <v>9.2</v>
      </c>
      <c r="AB128" s="3" t="n">
        <v>1</v>
      </c>
      <c r="AC128" s="3" t="n">
        <v>1</v>
      </c>
      <c r="AD128" s="3" t="n">
        <v>1</v>
      </c>
      <c r="AE128" s="3" t="n">
        <v>1</v>
      </c>
      <c r="AF128" s="3" t="n">
        <v>2</v>
      </c>
      <c r="AG128" s="3" t="n">
        <v>1</v>
      </c>
      <c r="AH128" s="3" t="n">
        <v>1</v>
      </c>
      <c r="AI128" s="3" t="n">
        <v>2</v>
      </c>
      <c r="AJ128" s="3" t="n">
        <v>2</v>
      </c>
      <c r="AK128" s="3" t="n">
        <v>2</v>
      </c>
      <c r="AL128" s="3" t="n">
        <v>1</v>
      </c>
      <c r="AM128" s="3" t="n">
        <v>2</v>
      </c>
      <c r="AN128" s="3" t="n">
        <v>2</v>
      </c>
      <c r="AO128" s="3" t="n">
        <v>3</v>
      </c>
      <c r="AP128" s="3" t="n">
        <v>4</v>
      </c>
      <c r="AQ128" s="3" t="n">
        <v>4</v>
      </c>
      <c r="AR128" s="3" t="n">
        <v>6</v>
      </c>
      <c r="AS128" s="3" t="n">
        <v>4</v>
      </c>
      <c r="AT128" s="3" t="n">
        <v>4</v>
      </c>
      <c r="AU128" s="3" t="n">
        <v>6</v>
      </c>
      <c r="AV128" s="3" t="n">
        <v>6</v>
      </c>
      <c r="AW128" s="3" t="n">
        <v>3</v>
      </c>
      <c r="AX128" s="3" t="n">
        <v>3</v>
      </c>
      <c r="AY128" s="3" t="n">
        <v>1</v>
      </c>
      <c r="AZ128" s="5" t="n">
        <v>1</v>
      </c>
      <c r="BA128" s="3" t="n">
        <v>1</v>
      </c>
      <c r="BB128" s="3" t="n">
        <v>1</v>
      </c>
      <c r="BC128" s="3" t="n">
        <v>4</v>
      </c>
      <c r="BD128" s="3" t="n">
        <v>1</v>
      </c>
      <c r="BE128" s="3" t="n">
        <v>2</v>
      </c>
      <c r="BF128" s="3" t="n">
        <v>1</v>
      </c>
      <c r="BG128" s="3" t="n">
        <v>4</v>
      </c>
      <c r="BH128" s="3" t="n">
        <v>1</v>
      </c>
      <c r="BI128" s="3" t="n">
        <v>1</v>
      </c>
    </row>
    <row r="129" customFormat="false" ht="12.75" hidden="false" customHeight="false" outlineLevel="0" collapsed="false">
      <c r="A129" s="2" t="s">
        <v>1783</v>
      </c>
      <c r="B129" s="2" t="s">
        <v>1784</v>
      </c>
      <c r="C129" s="2" t="s">
        <v>1785</v>
      </c>
      <c r="D129" s="2" t="n">
        <v>189358</v>
      </c>
      <c r="E129" s="15" t="n">
        <v>43799</v>
      </c>
      <c r="F129" s="15" t="n">
        <v>43805</v>
      </c>
      <c r="G129" s="3" t="n">
        <v>7</v>
      </c>
      <c r="H129" s="3" t="n">
        <v>1</v>
      </c>
      <c r="I129" s="3" t="n">
        <v>59</v>
      </c>
      <c r="J129" s="3" t="n">
        <v>1</v>
      </c>
      <c r="K129" s="3" t="n">
        <v>1</v>
      </c>
      <c r="L129" s="3" t="n">
        <v>1</v>
      </c>
      <c r="M129" s="3" t="n">
        <v>2</v>
      </c>
      <c r="N129" s="3" t="n">
        <v>2</v>
      </c>
      <c r="O129" s="3" t="n">
        <v>2</v>
      </c>
      <c r="P129" s="3" t="n">
        <v>2</v>
      </c>
      <c r="Q129" s="3" t="n">
        <v>2</v>
      </c>
      <c r="R129" s="3" t="n">
        <v>2</v>
      </c>
      <c r="S129" s="4" t="n">
        <v>2</v>
      </c>
      <c r="T129" s="3" t="n">
        <v>2</v>
      </c>
      <c r="U129" s="3" t="n">
        <v>4.76</v>
      </c>
      <c r="V129" s="3" t="n">
        <v>2.31</v>
      </c>
      <c r="W129" s="3" t="n">
        <v>5.64</v>
      </c>
      <c r="X129" s="3" t="n">
        <v>311</v>
      </c>
      <c r="Z129" s="3" t="n">
        <v>0.49</v>
      </c>
      <c r="AA129" s="3" t="n">
        <v>8.3</v>
      </c>
      <c r="AB129" s="3" t="n">
        <v>1</v>
      </c>
      <c r="AC129" s="3" t="n">
        <v>2</v>
      </c>
      <c r="AD129" s="3" t="n">
        <v>1</v>
      </c>
      <c r="AE129" s="3" t="n">
        <v>1</v>
      </c>
      <c r="AF129" s="3" t="n">
        <v>2</v>
      </c>
      <c r="AG129" s="3" t="n">
        <v>2</v>
      </c>
      <c r="AH129" s="3" t="n">
        <v>1</v>
      </c>
      <c r="AI129" s="3" t="n">
        <v>2</v>
      </c>
      <c r="AJ129" s="3" t="n">
        <v>2</v>
      </c>
      <c r="AK129" s="3" t="n">
        <v>2</v>
      </c>
      <c r="AL129" s="3" t="n">
        <v>2</v>
      </c>
      <c r="AM129" s="3" t="n">
        <v>2</v>
      </c>
      <c r="AN129" s="3" t="n">
        <v>2</v>
      </c>
      <c r="AO129" s="3" t="n">
        <v>3</v>
      </c>
      <c r="AP129" s="3" t="n">
        <v>4</v>
      </c>
      <c r="AQ129" s="3" t="n">
        <v>4</v>
      </c>
      <c r="AR129" s="3" t="n">
        <v>6</v>
      </c>
      <c r="AS129" s="3" t="n">
        <v>4</v>
      </c>
      <c r="AT129" s="3" t="n">
        <v>4</v>
      </c>
      <c r="AU129" s="3" t="n">
        <v>6</v>
      </c>
      <c r="AV129" s="3" t="n">
        <v>6</v>
      </c>
      <c r="AW129" s="3" t="n">
        <v>3</v>
      </c>
      <c r="AX129" s="3" t="n">
        <v>3</v>
      </c>
      <c r="AY129" s="3" t="n">
        <v>1</v>
      </c>
      <c r="AZ129" s="5" t="n">
        <v>1</v>
      </c>
      <c r="BA129" s="3" t="n">
        <v>1</v>
      </c>
      <c r="BB129" s="3" t="n">
        <v>1</v>
      </c>
      <c r="BC129" s="3" t="n">
        <v>2</v>
      </c>
      <c r="BD129" s="3" t="n">
        <v>3</v>
      </c>
      <c r="BE129" s="3" t="n">
        <v>5</v>
      </c>
      <c r="BF129" s="3" t="n">
        <v>3</v>
      </c>
      <c r="BG129" s="3" t="n">
        <v>4</v>
      </c>
      <c r="BH129" s="3" t="n">
        <v>1</v>
      </c>
      <c r="BI129" s="3" t="n">
        <v>1</v>
      </c>
    </row>
    <row r="130" customFormat="false" ht="12.75" hidden="false" customHeight="false" outlineLevel="0" collapsed="false">
      <c r="A130" s="2" t="s">
        <v>1787</v>
      </c>
      <c r="B130" s="2" t="s">
        <v>1788</v>
      </c>
      <c r="C130" s="2" t="s">
        <v>1789</v>
      </c>
      <c r="D130" s="2" t="n">
        <v>189302</v>
      </c>
      <c r="E130" s="15" t="n">
        <v>43798</v>
      </c>
      <c r="F130" s="15" t="n">
        <v>43804</v>
      </c>
      <c r="G130" s="3" t="n">
        <v>6</v>
      </c>
      <c r="H130" s="3" t="n">
        <v>2</v>
      </c>
      <c r="I130" s="3" t="n">
        <v>70</v>
      </c>
      <c r="J130" s="3" t="n">
        <v>1</v>
      </c>
      <c r="K130" s="3" t="n">
        <v>1</v>
      </c>
      <c r="L130" s="3" t="n">
        <v>1</v>
      </c>
      <c r="M130" s="3" t="n">
        <v>2</v>
      </c>
      <c r="N130" s="3" t="n">
        <v>2</v>
      </c>
      <c r="O130" s="3" t="n">
        <v>2</v>
      </c>
      <c r="P130" s="3" t="n">
        <v>2</v>
      </c>
      <c r="Q130" s="3" t="n">
        <v>2</v>
      </c>
      <c r="R130" s="3" t="n">
        <v>2</v>
      </c>
      <c r="S130" s="4" t="n">
        <v>2</v>
      </c>
      <c r="T130" s="3" t="n">
        <v>4</v>
      </c>
      <c r="U130" s="3" t="n">
        <v>4.47</v>
      </c>
      <c r="V130" s="3" t="n">
        <v>1.97</v>
      </c>
      <c r="W130" s="3" t="n">
        <v>8.86</v>
      </c>
      <c r="X130" s="3" t="n">
        <v>630</v>
      </c>
      <c r="Z130" s="3" t="n">
        <v>0.41</v>
      </c>
      <c r="AA130" s="3" t="n">
        <v>12</v>
      </c>
      <c r="AB130" s="3" t="n">
        <v>1</v>
      </c>
      <c r="AC130" s="3" t="n">
        <v>1</v>
      </c>
      <c r="AD130" s="3" t="n">
        <v>1</v>
      </c>
      <c r="AE130" s="3" t="n">
        <v>1</v>
      </c>
      <c r="AF130" s="3" t="n">
        <v>2</v>
      </c>
      <c r="AG130" s="3" t="n">
        <v>2</v>
      </c>
      <c r="AH130" s="3" t="n">
        <v>1</v>
      </c>
      <c r="AI130" s="3" t="n">
        <v>2</v>
      </c>
      <c r="AJ130" s="3" t="n">
        <v>2</v>
      </c>
      <c r="AK130" s="3" t="n">
        <v>2</v>
      </c>
      <c r="AL130" s="3" t="n">
        <v>2</v>
      </c>
      <c r="AM130" s="3" t="n">
        <v>2</v>
      </c>
      <c r="AN130" s="3" t="n">
        <v>2</v>
      </c>
      <c r="AO130" s="3" t="n">
        <v>3</v>
      </c>
      <c r="AP130" s="3" t="n">
        <v>4</v>
      </c>
      <c r="AQ130" s="3" t="n">
        <v>4</v>
      </c>
      <c r="AR130" s="3" t="n">
        <v>6</v>
      </c>
      <c r="AS130" s="3" t="n">
        <v>4</v>
      </c>
      <c r="AT130" s="3" t="n">
        <v>4</v>
      </c>
      <c r="AU130" s="3" t="n">
        <v>6</v>
      </c>
      <c r="AV130" s="3" t="n">
        <v>6</v>
      </c>
      <c r="AW130" s="3" t="n">
        <v>3</v>
      </c>
      <c r="AX130" s="3" t="n">
        <v>3</v>
      </c>
      <c r="AY130" s="3" t="n">
        <v>5</v>
      </c>
      <c r="AZ130" s="5" t="n">
        <v>1</v>
      </c>
      <c r="BA130" s="3" t="n">
        <v>1</v>
      </c>
      <c r="BB130" s="3" t="n">
        <v>1</v>
      </c>
      <c r="BC130" s="3" t="n">
        <v>4</v>
      </c>
      <c r="BD130" s="3" t="n">
        <v>3</v>
      </c>
      <c r="BE130" s="3" t="n">
        <v>5</v>
      </c>
      <c r="BF130" s="3" t="n">
        <v>3</v>
      </c>
      <c r="BG130" s="3" t="n">
        <v>4</v>
      </c>
      <c r="BH130" s="3" t="n">
        <v>1</v>
      </c>
      <c r="BI130" s="3" t="n">
        <v>1</v>
      </c>
    </row>
    <row r="131" customFormat="false" ht="12.75" hidden="false" customHeight="false" outlineLevel="0" collapsed="false">
      <c r="A131" s="2" t="s">
        <v>1804</v>
      </c>
      <c r="B131" s="2" t="s">
        <v>127</v>
      </c>
      <c r="C131" s="2" t="s">
        <v>94</v>
      </c>
      <c r="D131" s="2" t="n">
        <v>189771</v>
      </c>
      <c r="E131" s="15" t="n">
        <v>43805</v>
      </c>
      <c r="F131" s="15" t="n">
        <v>43721</v>
      </c>
      <c r="G131" s="3" t="n">
        <v>7</v>
      </c>
      <c r="H131" s="3" t="n">
        <v>2</v>
      </c>
      <c r="I131" s="3" t="n">
        <v>53</v>
      </c>
      <c r="J131" s="3" t="n">
        <v>1</v>
      </c>
      <c r="K131" s="3" t="n">
        <v>1</v>
      </c>
      <c r="L131" s="3" t="n">
        <v>2</v>
      </c>
      <c r="M131" s="3" t="n">
        <v>2</v>
      </c>
      <c r="N131" s="3" t="n">
        <v>2</v>
      </c>
      <c r="O131" s="3" t="n">
        <v>2</v>
      </c>
      <c r="P131" s="3" t="n">
        <v>2</v>
      </c>
      <c r="Q131" s="3" t="n">
        <v>2</v>
      </c>
      <c r="R131" s="3" t="n">
        <v>2</v>
      </c>
      <c r="S131" s="4" t="n">
        <v>2</v>
      </c>
      <c r="T131" s="3" t="n">
        <v>2</v>
      </c>
      <c r="U131" s="3" t="n">
        <v>5.14</v>
      </c>
      <c r="V131" s="3" t="n">
        <v>2.05</v>
      </c>
      <c r="W131" s="3" t="n">
        <v>6.23</v>
      </c>
      <c r="X131" s="3" t="n">
        <v>353</v>
      </c>
      <c r="Z131" s="3" t="n">
        <v>0.45</v>
      </c>
      <c r="AA131" s="3" t="n">
        <v>7.1</v>
      </c>
      <c r="AB131" s="3" t="n">
        <v>1</v>
      </c>
      <c r="AC131" s="3" t="n">
        <v>1</v>
      </c>
      <c r="AD131" s="3" t="n">
        <v>1</v>
      </c>
      <c r="AE131" s="3" t="n">
        <v>1</v>
      </c>
      <c r="AF131" s="3" t="n">
        <v>2</v>
      </c>
      <c r="AG131" s="3" t="n">
        <v>2</v>
      </c>
      <c r="AH131" s="3" t="n">
        <v>1</v>
      </c>
      <c r="AI131" s="3" t="n">
        <v>2</v>
      </c>
      <c r="AJ131" s="3" t="n">
        <v>2</v>
      </c>
      <c r="AK131" s="3" t="n">
        <v>2</v>
      </c>
      <c r="AL131" s="3" t="n">
        <v>2</v>
      </c>
      <c r="AM131" s="3" t="n">
        <v>2</v>
      </c>
      <c r="AN131" s="3" t="n">
        <v>2</v>
      </c>
      <c r="AO131" s="3" t="n">
        <v>3</v>
      </c>
      <c r="AP131" s="3" t="n">
        <v>4</v>
      </c>
      <c r="AQ131" s="3" t="n">
        <v>4</v>
      </c>
      <c r="AR131" s="3" t="n">
        <v>6</v>
      </c>
      <c r="AS131" s="3" t="n">
        <v>4</v>
      </c>
      <c r="AT131" s="3" t="n">
        <v>4</v>
      </c>
      <c r="AU131" s="3" t="n">
        <v>6</v>
      </c>
      <c r="AV131" s="3" t="n">
        <v>6</v>
      </c>
      <c r="AW131" s="3" t="n">
        <v>3</v>
      </c>
      <c r="AX131" s="3" t="n">
        <v>3</v>
      </c>
      <c r="AY131" s="3" t="n">
        <v>1</v>
      </c>
      <c r="AZ131" s="5" t="n">
        <v>1</v>
      </c>
      <c r="BA131" s="3" t="n">
        <v>1</v>
      </c>
      <c r="BB131" s="3" t="n">
        <v>1</v>
      </c>
      <c r="BC131" s="3" t="n">
        <v>4</v>
      </c>
      <c r="BD131" s="3" t="n">
        <v>1</v>
      </c>
      <c r="BE131" s="3" t="n">
        <v>2</v>
      </c>
      <c r="BF131" s="3" t="n">
        <v>1</v>
      </c>
      <c r="BG131" s="3" t="n">
        <v>4</v>
      </c>
      <c r="BH131" s="3" t="n">
        <v>1</v>
      </c>
      <c r="BI131" s="3" t="n">
        <v>1</v>
      </c>
    </row>
    <row r="132" customFormat="false" ht="12.75" hidden="false" customHeight="false" outlineLevel="0" collapsed="false">
      <c r="A132" s="2" t="s">
        <v>1819</v>
      </c>
      <c r="B132" s="2" t="s">
        <v>275</v>
      </c>
      <c r="C132" s="2" t="s">
        <v>1820</v>
      </c>
      <c r="D132" s="2" t="n">
        <v>180021</v>
      </c>
      <c r="E132" s="15" t="n">
        <v>43807</v>
      </c>
      <c r="F132" s="15" t="n">
        <v>43815</v>
      </c>
      <c r="G132" s="3" t="n">
        <v>8</v>
      </c>
      <c r="H132" s="3" t="n">
        <v>2</v>
      </c>
      <c r="I132" s="3" t="n">
        <v>64</v>
      </c>
      <c r="J132" s="3" t="n">
        <v>1</v>
      </c>
      <c r="K132" s="3" t="n">
        <v>1</v>
      </c>
      <c r="L132" s="3" t="n">
        <v>1</v>
      </c>
      <c r="M132" s="3" t="n">
        <v>2</v>
      </c>
      <c r="N132" s="3" t="n">
        <v>2</v>
      </c>
      <c r="O132" s="3" t="n">
        <v>2</v>
      </c>
      <c r="P132" s="3" t="n">
        <v>1</v>
      </c>
      <c r="Q132" s="3" t="n">
        <v>2</v>
      </c>
      <c r="R132" s="3" t="n">
        <v>1</v>
      </c>
      <c r="S132" s="4" t="n">
        <v>2</v>
      </c>
      <c r="T132" s="3" t="n">
        <v>2</v>
      </c>
      <c r="U132" s="3" t="n">
        <v>2.97</v>
      </c>
      <c r="V132" s="3" t="n">
        <v>0.59</v>
      </c>
      <c r="W132" s="3" t="n">
        <v>5.59</v>
      </c>
      <c r="X132" s="3" t="n">
        <v>435</v>
      </c>
      <c r="Z132" s="3" t="n">
        <v>0.38</v>
      </c>
      <c r="AA132" s="3" t="n">
        <v>8.4</v>
      </c>
      <c r="AB132" s="3" t="n">
        <v>1</v>
      </c>
      <c r="AC132" s="3" t="n">
        <v>2</v>
      </c>
      <c r="AD132" s="3" t="n">
        <v>1</v>
      </c>
      <c r="AE132" s="3" t="n">
        <v>1</v>
      </c>
      <c r="AF132" s="3" t="n">
        <v>2</v>
      </c>
      <c r="AG132" s="3" t="n">
        <v>2</v>
      </c>
      <c r="AH132" s="3" t="n">
        <v>1</v>
      </c>
      <c r="AI132" s="3" t="n">
        <v>1</v>
      </c>
      <c r="AJ132" s="3" t="n">
        <v>2</v>
      </c>
      <c r="AK132" s="3" t="n">
        <v>2</v>
      </c>
      <c r="AL132" s="3" t="n">
        <v>2</v>
      </c>
      <c r="AM132" s="3" t="n">
        <v>2</v>
      </c>
      <c r="AN132" s="3" t="n">
        <v>2</v>
      </c>
      <c r="AO132" s="3" t="n">
        <v>3</v>
      </c>
      <c r="AP132" s="3" t="n">
        <v>4</v>
      </c>
      <c r="AQ132" s="3" t="n">
        <v>4</v>
      </c>
      <c r="AR132" s="3" t="n">
        <v>6</v>
      </c>
      <c r="AS132" s="3" t="n">
        <v>4</v>
      </c>
      <c r="AT132" s="3" t="n">
        <v>4</v>
      </c>
      <c r="AU132" s="3" t="n">
        <v>6</v>
      </c>
      <c r="AV132" s="3" t="n">
        <v>6</v>
      </c>
      <c r="AW132" s="3" t="n">
        <v>3</v>
      </c>
      <c r="AX132" s="3" t="n">
        <v>3</v>
      </c>
      <c r="AY132" s="3" t="n">
        <v>1</v>
      </c>
      <c r="AZ132" s="5" t="n">
        <v>1</v>
      </c>
      <c r="BA132" s="3" t="n">
        <v>1</v>
      </c>
      <c r="BB132" s="3" t="n">
        <v>1</v>
      </c>
      <c r="BC132" s="3" t="n">
        <v>4</v>
      </c>
      <c r="BD132" s="3" t="n">
        <v>1</v>
      </c>
      <c r="BE132" s="3" t="n">
        <v>2</v>
      </c>
      <c r="BF132" s="3" t="n">
        <v>1</v>
      </c>
      <c r="BG132" s="3" t="n">
        <v>4</v>
      </c>
      <c r="BH132" s="3" t="n">
        <v>1</v>
      </c>
      <c r="BI132" s="3" t="n">
        <v>1</v>
      </c>
    </row>
    <row r="133" customFormat="false" ht="12.75" hidden="false" customHeight="false" outlineLevel="0" collapsed="false">
      <c r="A133" s="2" t="s">
        <v>1824</v>
      </c>
      <c r="B133" s="2" t="s">
        <v>168</v>
      </c>
      <c r="C133" s="2" t="s">
        <v>168</v>
      </c>
      <c r="D133" s="2" t="n">
        <v>189954</v>
      </c>
      <c r="E133" s="15" t="n">
        <v>43809</v>
      </c>
      <c r="F133" s="15" t="n">
        <v>43816</v>
      </c>
      <c r="G133" s="3" t="n">
        <v>7</v>
      </c>
      <c r="H133" s="3" t="n">
        <v>2</v>
      </c>
      <c r="I133" s="3" t="n">
        <v>64</v>
      </c>
      <c r="J133" s="3" t="n">
        <v>2</v>
      </c>
      <c r="K133" s="3" t="n">
        <v>2</v>
      </c>
      <c r="L133" s="3" t="n">
        <v>2</v>
      </c>
      <c r="M133" s="3" t="n">
        <v>2</v>
      </c>
      <c r="N133" s="3" t="n">
        <v>2</v>
      </c>
      <c r="O133" s="3" t="n">
        <v>2</v>
      </c>
      <c r="P133" s="3" t="n">
        <v>1</v>
      </c>
      <c r="Q133" s="3" t="n">
        <v>2</v>
      </c>
      <c r="R133" s="3" t="n">
        <v>2</v>
      </c>
      <c r="S133" s="4" t="n">
        <v>2</v>
      </c>
      <c r="T133" s="3" t="n">
        <v>2</v>
      </c>
      <c r="U133" s="3" t="n">
        <v>4.4</v>
      </c>
      <c r="V133" s="3" t="n">
        <v>4.86</v>
      </c>
      <c r="W133" s="3"/>
      <c r="X133" s="3" t="n">
        <v>234</v>
      </c>
      <c r="Z133" s="3" t="n">
        <v>0.51</v>
      </c>
      <c r="AA133" s="3" t="n">
        <v>7</v>
      </c>
      <c r="AB133" s="3" t="n">
        <v>1</v>
      </c>
      <c r="AC133" s="3" t="n">
        <v>2</v>
      </c>
      <c r="AD133" s="3" t="n">
        <v>1</v>
      </c>
      <c r="AE133" s="3" t="n">
        <v>1</v>
      </c>
      <c r="AF133" s="3" t="n">
        <v>2</v>
      </c>
      <c r="AG133" s="3" t="n">
        <v>2</v>
      </c>
      <c r="AH133" s="3" t="n">
        <v>1</v>
      </c>
      <c r="AI133" s="3" t="n">
        <v>2</v>
      </c>
      <c r="AJ133" s="3" t="n">
        <v>2</v>
      </c>
      <c r="AK133" s="3" t="n">
        <v>2</v>
      </c>
      <c r="AL133" s="3" t="n">
        <v>2</v>
      </c>
      <c r="AM133" s="3" t="n">
        <v>2</v>
      </c>
      <c r="AN133" s="3" t="n">
        <v>2</v>
      </c>
      <c r="AO133" s="3" t="n">
        <v>3</v>
      </c>
      <c r="AP133" s="3" t="n">
        <v>4</v>
      </c>
      <c r="AQ133" s="3" t="n">
        <v>4</v>
      </c>
      <c r="AR133" s="3" t="n">
        <v>6</v>
      </c>
      <c r="AS133" s="3" t="n">
        <v>4</v>
      </c>
      <c r="AT133" s="3" t="n">
        <v>4</v>
      </c>
      <c r="AU133" s="3" t="n">
        <v>6</v>
      </c>
      <c r="AV133" s="3" t="n">
        <v>6</v>
      </c>
      <c r="AW133" s="3" t="n">
        <v>3</v>
      </c>
      <c r="AX133" s="3" t="n">
        <v>3</v>
      </c>
      <c r="AY133" s="3" t="n">
        <v>1</v>
      </c>
      <c r="AZ133" s="5" t="n">
        <v>1</v>
      </c>
      <c r="BA133" s="3" t="n">
        <v>1</v>
      </c>
      <c r="BB133" s="3" t="n">
        <v>1</v>
      </c>
      <c r="BC133" s="3" t="n">
        <v>2</v>
      </c>
      <c r="BD133" s="3" t="n">
        <v>1</v>
      </c>
      <c r="BE133" s="3" t="n">
        <v>2</v>
      </c>
      <c r="BF133" s="3" t="n">
        <v>1</v>
      </c>
      <c r="BG133" s="3" t="n">
        <v>4</v>
      </c>
      <c r="BH133" s="3" t="n">
        <v>1</v>
      </c>
      <c r="BI133" s="3" t="n">
        <v>1</v>
      </c>
    </row>
    <row r="134" customFormat="false" ht="12.75" hidden="false" customHeight="false" outlineLevel="0" collapsed="false">
      <c r="A134" s="2" t="s">
        <v>1837</v>
      </c>
      <c r="B134" s="2" t="s">
        <v>1838</v>
      </c>
      <c r="C134" s="2" t="s">
        <v>222</v>
      </c>
      <c r="D134" s="2" t="n">
        <v>190161</v>
      </c>
      <c r="E134" s="15" t="n">
        <v>43815</v>
      </c>
      <c r="F134" s="15" t="n">
        <v>43822</v>
      </c>
      <c r="G134" s="3" t="n">
        <v>7</v>
      </c>
      <c r="H134" s="3" t="n">
        <v>2</v>
      </c>
      <c r="I134" s="3" t="n">
        <v>83</v>
      </c>
      <c r="J134" s="3" t="n">
        <v>1</v>
      </c>
      <c r="K134" s="3" t="n">
        <v>1</v>
      </c>
      <c r="L134" s="3" t="n">
        <v>2</v>
      </c>
      <c r="M134" s="3" t="n">
        <v>2</v>
      </c>
      <c r="N134" s="3" t="n">
        <v>2</v>
      </c>
      <c r="O134" s="3" t="n">
        <v>2</v>
      </c>
      <c r="P134" s="3" t="n">
        <v>2</v>
      </c>
      <c r="Q134" s="3" t="n">
        <v>2</v>
      </c>
      <c r="R134" s="3" t="n">
        <v>2</v>
      </c>
      <c r="S134" s="4" t="n">
        <v>2</v>
      </c>
      <c r="T134" s="3" t="n">
        <v>2</v>
      </c>
      <c r="U134" s="3" t="n">
        <v>3.58</v>
      </c>
      <c r="V134" s="3" t="n">
        <v>0.69</v>
      </c>
      <c r="W134" s="3" t="n">
        <v>6.35</v>
      </c>
      <c r="X134" s="3" t="n">
        <v>316</v>
      </c>
      <c r="Z134" s="3" t="n">
        <v>0.41</v>
      </c>
      <c r="AA134" s="3" t="n">
        <v>11</v>
      </c>
      <c r="AB134" s="3" t="n">
        <v>1</v>
      </c>
      <c r="AC134" s="3" t="n">
        <v>2</v>
      </c>
      <c r="AD134" s="3" t="n">
        <v>1</v>
      </c>
      <c r="AE134" s="3" t="n">
        <v>1</v>
      </c>
      <c r="AF134" s="3" t="n">
        <v>2</v>
      </c>
      <c r="AG134" s="3" t="n">
        <v>2</v>
      </c>
      <c r="AH134" s="3" t="n">
        <v>1</v>
      </c>
      <c r="AI134" s="3" t="n">
        <v>2</v>
      </c>
      <c r="AJ134" s="3" t="n">
        <v>2</v>
      </c>
      <c r="AK134" s="3" t="n">
        <v>2</v>
      </c>
      <c r="AL134" s="3" t="n">
        <v>2</v>
      </c>
      <c r="AM134" s="3" t="n">
        <v>2</v>
      </c>
      <c r="AN134" s="3" t="n">
        <v>2</v>
      </c>
      <c r="AO134" s="3" t="n">
        <v>3</v>
      </c>
      <c r="AP134" s="3" t="n">
        <v>4</v>
      </c>
      <c r="AQ134" s="3" t="n">
        <v>4</v>
      </c>
      <c r="AR134" s="3" t="n">
        <v>6</v>
      </c>
      <c r="AS134" s="3" t="n">
        <v>4</v>
      </c>
      <c r="AT134" s="3" t="n">
        <v>4</v>
      </c>
      <c r="AU134" s="3" t="n">
        <v>6</v>
      </c>
      <c r="AV134" s="3" t="n">
        <v>6</v>
      </c>
      <c r="AW134" s="3" t="n">
        <v>3</v>
      </c>
      <c r="AX134" s="3" t="n">
        <v>3</v>
      </c>
      <c r="AY134" s="3" t="n">
        <v>5</v>
      </c>
      <c r="AZ134" s="5" t="n">
        <v>1</v>
      </c>
      <c r="BA134" s="3" t="n">
        <v>1</v>
      </c>
      <c r="BB134" s="3" t="n">
        <v>1</v>
      </c>
      <c r="BC134" s="3" t="n">
        <v>4</v>
      </c>
      <c r="BD134" s="3" t="n">
        <v>1</v>
      </c>
      <c r="BE134" s="3" t="n">
        <v>2</v>
      </c>
      <c r="BF134" s="3" t="n">
        <v>1</v>
      </c>
      <c r="BG134" s="3" t="n">
        <v>4</v>
      </c>
      <c r="BH134" s="3" t="n">
        <v>1</v>
      </c>
      <c r="BI134" s="3" t="n">
        <v>1</v>
      </c>
    </row>
    <row r="135" customFormat="false" ht="12.75" hidden="false" customHeight="false" outlineLevel="0" collapsed="false">
      <c r="A135" s="2" t="s">
        <v>440</v>
      </c>
      <c r="B135" s="2" t="s">
        <v>153</v>
      </c>
      <c r="C135" s="2" t="s">
        <v>1845</v>
      </c>
      <c r="D135" s="2" t="n">
        <v>190184</v>
      </c>
      <c r="E135" s="15" t="n">
        <v>43816</v>
      </c>
      <c r="F135" s="15" t="n">
        <v>43823</v>
      </c>
      <c r="G135" s="3" t="n">
        <v>7</v>
      </c>
      <c r="H135" s="3" t="n">
        <v>2</v>
      </c>
      <c r="I135" s="3" t="n">
        <v>47</v>
      </c>
      <c r="J135" s="3" t="n">
        <v>2</v>
      </c>
      <c r="K135" s="3" t="n">
        <v>1</v>
      </c>
      <c r="L135" s="3" t="n">
        <v>1</v>
      </c>
      <c r="M135" s="3" t="n">
        <v>2</v>
      </c>
      <c r="N135" s="3" t="n">
        <v>2</v>
      </c>
      <c r="O135" s="3" t="n">
        <v>2</v>
      </c>
      <c r="P135" s="3" t="n">
        <v>2</v>
      </c>
      <c r="Q135" s="3" t="n">
        <v>2</v>
      </c>
      <c r="R135" s="3" t="n">
        <v>2</v>
      </c>
      <c r="S135" s="4" t="n">
        <v>2</v>
      </c>
      <c r="T135" s="3" t="n">
        <v>2</v>
      </c>
      <c r="U135" s="3"/>
      <c r="V135" s="3"/>
      <c r="W135" s="3" t="n">
        <v>6.24</v>
      </c>
      <c r="X135" s="3" t="n">
        <v>508</v>
      </c>
      <c r="Z135" s="3" t="n">
        <v>0.51</v>
      </c>
      <c r="AA135" s="3" t="n">
        <v>9.6</v>
      </c>
      <c r="AB135" s="3" t="n">
        <v>1</v>
      </c>
      <c r="AC135" s="3" t="n">
        <v>2</v>
      </c>
      <c r="AD135" s="3" t="n">
        <v>1</v>
      </c>
      <c r="AE135" s="3" t="n">
        <v>1</v>
      </c>
      <c r="AF135" s="3" t="n">
        <v>2</v>
      </c>
      <c r="AG135" s="3" t="n">
        <v>1</v>
      </c>
      <c r="AH135" s="3" t="n">
        <v>1</v>
      </c>
      <c r="AI135" s="3" t="n">
        <v>2</v>
      </c>
      <c r="AJ135" s="3" t="n">
        <v>2</v>
      </c>
      <c r="AK135" s="3" t="n">
        <v>2</v>
      </c>
      <c r="AL135" s="3" t="n">
        <v>2</v>
      </c>
      <c r="AM135" s="3" t="n">
        <v>2</v>
      </c>
      <c r="AN135" s="3" t="n">
        <v>2</v>
      </c>
      <c r="AO135" s="3" t="n">
        <v>3</v>
      </c>
      <c r="AP135" s="3" t="n">
        <v>4</v>
      </c>
      <c r="AQ135" s="3" t="n">
        <v>4</v>
      </c>
      <c r="AR135" s="3" t="n">
        <v>6</v>
      </c>
      <c r="AS135" s="3" t="n">
        <v>4</v>
      </c>
      <c r="AT135" s="3" t="n">
        <v>4</v>
      </c>
      <c r="AU135" s="3" t="n">
        <v>6</v>
      </c>
      <c r="AV135" s="3" t="n">
        <v>6</v>
      </c>
      <c r="AW135" s="3" t="n">
        <v>3</v>
      </c>
      <c r="AX135" s="3" t="n">
        <v>3</v>
      </c>
      <c r="AY135" s="3" t="n">
        <v>1</v>
      </c>
      <c r="AZ135" s="5" t="n">
        <v>1</v>
      </c>
      <c r="BA135" s="3" t="n">
        <v>1</v>
      </c>
      <c r="BB135" s="3" t="n">
        <v>1</v>
      </c>
      <c r="BC135" s="3" t="n">
        <v>4</v>
      </c>
      <c r="BD135" s="3" t="n">
        <v>1</v>
      </c>
      <c r="BE135" s="3" t="n">
        <v>2</v>
      </c>
      <c r="BF135" s="3" t="n">
        <v>1</v>
      </c>
      <c r="BG135" s="3" t="n">
        <v>4</v>
      </c>
      <c r="BH135" s="3" t="n">
        <v>1</v>
      </c>
      <c r="BI135" s="3" t="n">
        <v>1</v>
      </c>
    </row>
    <row r="136" customFormat="false" ht="12.75" hidden="false" customHeight="false" outlineLevel="0" collapsed="false">
      <c r="A136" s="2" t="s">
        <v>1847</v>
      </c>
      <c r="B136" s="2" t="s">
        <v>1848</v>
      </c>
      <c r="C136" s="2" t="s">
        <v>1849</v>
      </c>
      <c r="D136" s="2" t="n">
        <v>190171</v>
      </c>
      <c r="E136" s="15" t="n">
        <v>43816</v>
      </c>
      <c r="F136" s="15" t="n">
        <v>43823</v>
      </c>
      <c r="G136" s="3" t="n">
        <v>7</v>
      </c>
      <c r="H136" s="3" t="n">
        <v>2</v>
      </c>
      <c r="I136" s="3" t="n">
        <v>82</v>
      </c>
      <c r="J136" s="3" t="n">
        <v>1</v>
      </c>
      <c r="K136" s="3" t="n">
        <v>2</v>
      </c>
      <c r="L136" s="3" t="n">
        <v>1</v>
      </c>
      <c r="M136" s="3" t="n">
        <v>2</v>
      </c>
      <c r="N136" s="3" t="n">
        <v>2</v>
      </c>
      <c r="O136" s="3" t="n">
        <v>2</v>
      </c>
      <c r="P136" s="3" t="n">
        <v>2</v>
      </c>
      <c r="Q136" s="3" t="n">
        <v>2</v>
      </c>
      <c r="R136" s="3" t="n">
        <v>2</v>
      </c>
      <c r="S136" s="4" t="n">
        <v>2</v>
      </c>
      <c r="T136" s="3" t="n">
        <v>4</v>
      </c>
      <c r="U136" s="3" t="n">
        <v>3.66</v>
      </c>
      <c r="V136" s="3" t="n">
        <v>0.55</v>
      </c>
      <c r="W136" s="3" t="n">
        <v>3.81</v>
      </c>
      <c r="X136" s="3" t="n">
        <v>338</v>
      </c>
      <c r="Z136" s="3" t="n">
        <v>0.4</v>
      </c>
      <c r="AA136" s="3" t="n">
        <v>8.6</v>
      </c>
      <c r="AB136" s="3" t="n">
        <v>1</v>
      </c>
      <c r="AC136" s="3" t="n">
        <v>1</v>
      </c>
      <c r="AD136" s="3" t="n">
        <v>1</v>
      </c>
      <c r="AE136" s="3" t="n">
        <v>1</v>
      </c>
      <c r="AF136" s="3" t="n">
        <v>1</v>
      </c>
      <c r="AG136" s="3" t="n">
        <v>2</v>
      </c>
      <c r="AH136" s="3" t="n">
        <v>1</v>
      </c>
      <c r="AI136" s="3" t="n">
        <v>2</v>
      </c>
      <c r="AJ136" s="3" t="n">
        <v>2</v>
      </c>
      <c r="AK136" s="3" t="n">
        <v>2</v>
      </c>
      <c r="AL136" s="3" t="n">
        <v>1</v>
      </c>
      <c r="AM136" s="3" t="n">
        <v>2</v>
      </c>
      <c r="AN136" s="3" t="n">
        <v>2</v>
      </c>
      <c r="AO136" s="3" t="n">
        <v>3</v>
      </c>
      <c r="AP136" s="3" t="n">
        <v>4</v>
      </c>
      <c r="AQ136" s="3" t="n">
        <v>4</v>
      </c>
      <c r="AR136" s="3" t="n">
        <v>6</v>
      </c>
      <c r="AS136" s="3" t="n">
        <v>4</v>
      </c>
      <c r="AT136" s="3" t="n">
        <v>4</v>
      </c>
      <c r="AU136" s="3" t="n">
        <v>6</v>
      </c>
      <c r="AV136" s="3" t="n">
        <v>6</v>
      </c>
      <c r="AW136" s="3" t="n">
        <v>3</v>
      </c>
      <c r="AX136" s="3" t="n">
        <v>3</v>
      </c>
      <c r="AY136" s="3" t="n">
        <v>1</v>
      </c>
      <c r="AZ136" s="5" t="n">
        <v>1</v>
      </c>
      <c r="BA136" s="3" t="n">
        <v>1</v>
      </c>
      <c r="BB136" s="3" t="n">
        <v>1</v>
      </c>
      <c r="BC136" s="3" t="n">
        <v>2</v>
      </c>
      <c r="BD136" s="3" t="n">
        <v>3</v>
      </c>
      <c r="BE136" s="3" t="n">
        <v>5</v>
      </c>
      <c r="BF136" s="3" t="n">
        <v>3</v>
      </c>
      <c r="BG136" s="3" t="n">
        <v>4</v>
      </c>
      <c r="BH136" s="3" t="n">
        <v>1</v>
      </c>
      <c r="BI136" s="3" t="n">
        <v>1</v>
      </c>
    </row>
    <row r="137" customFormat="false" ht="12.75" hidden="false" customHeight="false" outlineLevel="0" collapsed="false">
      <c r="A137" s="2" t="s">
        <v>1858</v>
      </c>
      <c r="B137" s="2" t="s">
        <v>78</v>
      </c>
      <c r="C137" s="2" t="s">
        <v>78</v>
      </c>
      <c r="D137" s="2" t="n">
        <v>190451</v>
      </c>
      <c r="E137" s="15" t="n">
        <v>43823</v>
      </c>
      <c r="F137" s="15" t="n">
        <v>43829</v>
      </c>
      <c r="G137" s="3" t="n">
        <v>6</v>
      </c>
      <c r="H137" s="3" t="n">
        <v>2</v>
      </c>
      <c r="I137" s="3" t="n">
        <v>78</v>
      </c>
      <c r="J137" s="3" t="n">
        <v>1</v>
      </c>
      <c r="K137" s="3" t="n">
        <v>2</v>
      </c>
      <c r="L137" s="3" t="n">
        <v>1</v>
      </c>
      <c r="M137" s="3" t="n">
        <v>2</v>
      </c>
      <c r="N137" s="3" t="n">
        <v>2</v>
      </c>
      <c r="O137" s="3" t="n">
        <v>2</v>
      </c>
      <c r="P137" s="3" t="n">
        <v>2</v>
      </c>
      <c r="Q137" s="3" t="n">
        <v>2</v>
      </c>
      <c r="R137" s="3" t="n">
        <v>1</v>
      </c>
      <c r="S137" s="4" t="n">
        <v>2</v>
      </c>
      <c r="T137" s="3" t="n">
        <v>2</v>
      </c>
      <c r="U137" s="3" t="n">
        <v>3.61</v>
      </c>
      <c r="V137" s="3" t="n">
        <v>1.63</v>
      </c>
      <c r="W137" s="3" t="n">
        <v>5.98</v>
      </c>
      <c r="X137" s="3" t="n">
        <v>437</v>
      </c>
      <c r="Z137" s="3" t="n">
        <v>0.4</v>
      </c>
      <c r="AA137" s="3" t="n">
        <v>6</v>
      </c>
      <c r="AB137" s="3" t="n">
        <v>1</v>
      </c>
      <c r="AC137" s="3" t="n">
        <v>2</v>
      </c>
      <c r="AD137" s="3" t="n">
        <v>1</v>
      </c>
      <c r="AE137" s="3" t="n">
        <v>1</v>
      </c>
      <c r="AF137" s="3" t="n">
        <v>2</v>
      </c>
      <c r="AG137" s="3" t="n">
        <v>2</v>
      </c>
      <c r="AH137" s="3" t="n">
        <v>1</v>
      </c>
      <c r="AI137" s="3" t="n">
        <v>1</v>
      </c>
      <c r="AJ137" s="3" t="n">
        <v>2</v>
      </c>
      <c r="AK137" s="3" t="n">
        <v>2</v>
      </c>
      <c r="AL137" s="3" t="n">
        <v>1</v>
      </c>
      <c r="AM137" s="3" t="n">
        <v>2</v>
      </c>
      <c r="AN137" s="3" t="n">
        <v>2</v>
      </c>
      <c r="AO137" s="3" t="n">
        <v>3</v>
      </c>
      <c r="AP137" s="3" t="n">
        <v>4</v>
      </c>
      <c r="AQ137" s="3" t="n">
        <v>4</v>
      </c>
      <c r="AR137" s="3" t="n">
        <v>6</v>
      </c>
      <c r="AS137" s="3" t="n">
        <v>4</v>
      </c>
      <c r="AT137" s="3" t="n">
        <v>4</v>
      </c>
      <c r="AU137" s="3" t="n">
        <v>6</v>
      </c>
      <c r="AV137" s="3" t="n">
        <v>6</v>
      </c>
      <c r="AW137" s="3" t="n">
        <v>3</v>
      </c>
      <c r="AX137" s="3" t="n">
        <v>3</v>
      </c>
      <c r="AY137" s="3" t="n">
        <v>5</v>
      </c>
      <c r="AZ137" s="5" t="n">
        <v>1</v>
      </c>
      <c r="BA137" s="3" t="n">
        <v>1</v>
      </c>
      <c r="BB137" s="3" t="n">
        <v>1</v>
      </c>
      <c r="BC137" s="3" t="n">
        <v>4</v>
      </c>
      <c r="BD137" s="3" t="n">
        <v>1</v>
      </c>
      <c r="BE137" s="3" t="n">
        <v>2</v>
      </c>
      <c r="BF137" s="3" t="n">
        <v>1</v>
      </c>
      <c r="BG137" s="3" t="n">
        <v>4</v>
      </c>
      <c r="BH137" s="3" t="n">
        <v>1</v>
      </c>
      <c r="BI137" s="3" t="n">
        <v>1</v>
      </c>
    </row>
    <row r="138" customFormat="false" ht="12.75" hidden="false" customHeight="false" outlineLevel="0" collapsed="false">
      <c r="A138" s="2" t="s">
        <v>1868</v>
      </c>
      <c r="B138" s="2" t="s">
        <v>153</v>
      </c>
      <c r="C138" s="2" t="s">
        <v>294</v>
      </c>
      <c r="D138" s="2" t="n">
        <v>190537</v>
      </c>
      <c r="E138" s="15" t="n">
        <v>43828</v>
      </c>
      <c r="F138" s="15" t="n">
        <v>43836</v>
      </c>
      <c r="G138" s="3" t="n">
        <v>8</v>
      </c>
      <c r="H138" s="3" t="n">
        <v>2</v>
      </c>
      <c r="I138" s="3" t="n">
        <v>58</v>
      </c>
      <c r="J138" s="3" t="n">
        <v>1</v>
      </c>
      <c r="K138" s="3" t="n">
        <v>1</v>
      </c>
      <c r="L138" s="3" t="n">
        <v>1</v>
      </c>
      <c r="M138" s="3" t="n">
        <v>2</v>
      </c>
      <c r="N138" s="3" t="n">
        <v>2</v>
      </c>
      <c r="O138" s="3" t="n">
        <v>1</v>
      </c>
      <c r="P138" s="3" t="n">
        <v>1</v>
      </c>
      <c r="Q138" s="3" t="n">
        <v>2</v>
      </c>
      <c r="R138" s="3" t="n">
        <v>1</v>
      </c>
      <c r="S138" s="4" t="n">
        <v>2</v>
      </c>
      <c r="T138" s="3" t="n">
        <v>2</v>
      </c>
      <c r="U138" s="3" t="n">
        <v>5.49</v>
      </c>
      <c r="V138" s="3" t="n">
        <v>2.83</v>
      </c>
      <c r="W138" s="3" t="n">
        <v>21.16</v>
      </c>
      <c r="X138" s="3" t="n">
        <v>427</v>
      </c>
      <c r="Z138" s="3" t="n">
        <v>0.5</v>
      </c>
      <c r="AA138" s="3" t="n">
        <v>13</v>
      </c>
      <c r="AB138" s="3" t="n">
        <v>1</v>
      </c>
      <c r="AC138" s="3" t="n">
        <v>2</v>
      </c>
      <c r="AD138" s="3" t="n">
        <v>1</v>
      </c>
      <c r="AE138" s="3" t="n">
        <v>1</v>
      </c>
      <c r="AF138" s="3" t="n">
        <v>2</v>
      </c>
      <c r="AG138" s="3" t="n">
        <v>2</v>
      </c>
      <c r="AH138" s="3" t="n">
        <v>1</v>
      </c>
      <c r="AI138" s="3" t="n">
        <v>1</v>
      </c>
      <c r="AJ138" s="3" t="n">
        <v>1</v>
      </c>
      <c r="AK138" s="3" t="n">
        <v>2</v>
      </c>
      <c r="AL138" s="3" t="n">
        <v>1</v>
      </c>
      <c r="AM138" s="3" t="n">
        <v>2</v>
      </c>
      <c r="AN138" s="3" t="n">
        <v>2</v>
      </c>
      <c r="AO138" s="3" t="n">
        <v>3</v>
      </c>
      <c r="AP138" s="3" t="n">
        <v>4</v>
      </c>
      <c r="AQ138" s="3" t="n">
        <v>4</v>
      </c>
      <c r="AR138" s="3" t="n">
        <v>6</v>
      </c>
      <c r="AS138" s="3" t="n">
        <v>4</v>
      </c>
      <c r="AT138" s="3" t="n">
        <v>4</v>
      </c>
      <c r="AU138" s="3" t="n">
        <v>6</v>
      </c>
      <c r="AV138" s="3" t="n">
        <v>6</v>
      </c>
      <c r="AW138" s="3" t="n">
        <v>3</v>
      </c>
      <c r="AX138" s="3" t="n">
        <v>3</v>
      </c>
      <c r="AY138" s="3" t="n">
        <v>1</v>
      </c>
      <c r="AZ138" s="5" t="n">
        <v>1</v>
      </c>
      <c r="BA138" s="3" t="n">
        <v>1</v>
      </c>
      <c r="BB138" s="3" t="n">
        <v>1</v>
      </c>
      <c r="BC138" s="3" t="n">
        <v>4</v>
      </c>
      <c r="BD138" s="3" t="n">
        <v>1</v>
      </c>
      <c r="BE138" s="3" t="n">
        <v>2</v>
      </c>
      <c r="BF138" s="3" t="n">
        <v>1</v>
      </c>
      <c r="BG138" s="3" t="n">
        <v>4</v>
      </c>
      <c r="BH138" s="3" t="n">
        <v>1</v>
      </c>
      <c r="BI138" s="3" t="n">
        <v>1</v>
      </c>
    </row>
    <row r="139" customFormat="false" ht="12.75" hidden="false" customHeight="false" outlineLevel="0" collapsed="false">
      <c r="A139" s="2" t="s">
        <v>1885</v>
      </c>
      <c r="B139" s="2" t="s">
        <v>94</v>
      </c>
      <c r="C139" s="2" t="s">
        <v>239</v>
      </c>
      <c r="D139" s="2" t="n">
        <v>191060</v>
      </c>
      <c r="E139" s="15" t="n">
        <v>43833</v>
      </c>
      <c r="F139" s="15" t="n">
        <v>43840</v>
      </c>
      <c r="G139" s="3" t="n">
        <v>7</v>
      </c>
      <c r="H139" s="3" t="n">
        <v>2</v>
      </c>
      <c r="I139" s="3" t="n">
        <v>64</v>
      </c>
      <c r="J139" s="3" t="n">
        <v>1</v>
      </c>
      <c r="K139" s="3" t="n">
        <v>2</v>
      </c>
      <c r="L139" s="3" t="n">
        <v>2</v>
      </c>
      <c r="M139" s="3" t="n">
        <v>2</v>
      </c>
      <c r="N139" s="3" t="n">
        <v>2</v>
      </c>
      <c r="O139" s="3" t="n">
        <v>2</v>
      </c>
      <c r="P139" s="3" t="n">
        <v>2</v>
      </c>
      <c r="Q139" s="3" t="n">
        <v>2</v>
      </c>
      <c r="R139" s="3" t="n">
        <v>2</v>
      </c>
      <c r="S139" s="4" t="n">
        <v>2</v>
      </c>
      <c r="T139" s="3" t="n">
        <v>2</v>
      </c>
      <c r="U139" s="3" t="n">
        <v>4.32</v>
      </c>
      <c r="V139" s="3" t="n">
        <v>1.48</v>
      </c>
      <c r="W139" s="3" t="n">
        <v>19.2</v>
      </c>
      <c r="X139" s="3" t="n">
        <v>341</v>
      </c>
      <c r="Z139" s="3" t="n">
        <v>0.47</v>
      </c>
      <c r="AA139" s="3"/>
      <c r="AB139" s="3" t="n">
        <v>1</v>
      </c>
      <c r="AC139" s="3" t="n">
        <v>2</v>
      </c>
      <c r="AD139" s="3" t="n">
        <v>1</v>
      </c>
      <c r="AE139" s="3" t="n">
        <v>1</v>
      </c>
      <c r="AF139" s="3" t="n">
        <v>1</v>
      </c>
      <c r="AG139" s="3" t="n">
        <v>2</v>
      </c>
      <c r="AH139" s="3" t="n">
        <v>1</v>
      </c>
      <c r="AI139" s="3" t="n">
        <v>2</v>
      </c>
      <c r="AJ139" s="3" t="n">
        <v>1</v>
      </c>
      <c r="AK139" s="3" t="n">
        <v>2</v>
      </c>
      <c r="AL139" s="3" t="n">
        <v>1</v>
      </c>
      <c r="AM139" s="3" t="n">
        <v>2</v>
      </c>
      <c r="AN139" s="3" t="n">
        <v>2</v>
      </c>
      <c r="AO139" s="3" t="n">
        <v>3</v>
      </c>
      <c r="AP139" s="3" t="n">
        <v>4</v>
      </c>
      <c r="AQ139" s="3" t="n">
        <v>4</v>
      </c>
      <c r="AR139" s="3" t="n">
        <v>6</v>
      </c>
      <c r="AS139" s="3" t="n">
        <v>4</v>
      </c>
      <c r="AT139" s="3" t="n">
        <v>4</v>
      </c>
      <c r="AU139" s="3" t="n">
        <v>6</v>
      </c>
      <c r="AV139" s="3" t="n">
        <v>6</v>
      </c>
      <c r="AW139" s="3" t="n">
        <v>3</v>
      </c>
      <c r="AX139" s="3" t="n">
        <v>3</v>
      </c>
      <c r="AY139" s="3" t="n">
        <v>1</v>
      </c>
      <c r="AZ139" s="5" t="n">
        <v>1</v>
      </c>
      <c r="BA139" s="3" t="n">
        <v>1</v>
      </c>
      <c r="BB139" s="3" t="n">
        <v>1</v>
      </c>
      <c r="BC139" s="3" t="n">
        <v>2</v>
      </c>
      <c r="BD139" s="3" t="n">
        <v>1</v>
      </c>
      <c r="BE139" s="3" t="n">
        <v>2</v>
      </c>
      <c r="BF139" s="3" t="n">
        <v>1</v>
      </c>
      <c r="BG139" s="3" t="n">
        <v>4</v>
      </c>
      <c r="BH139" s="3" t="n">
        <v>1</v>
      </c>
      <c r="BI139" s="3" t="n">
        <v>1</v>
      </c>
    </row>
    <row r="140" customFormat="false" ht="12.75" hidden="false" customHeight="false" outlineLevel="0" collapsed="false">
      <c r="A140" s="26" t="s">
        <v>1887</v>
      </c>
      <c r="B140" s="26" t="s">
        <v>1888</v>
      </c>
      <c r="C140" s="26" t="s">
        <v>95</v>
      </c>
      <c r="D140" s="26" t="n">
        <v>191291</v>
      </c>
      <c r="E140" s="27" t="n">
        <v>43840</v>
      </c>
      <c r="F140" s="27" t="n">
        <v>43840</v>
      </c>
      <c r="G140" s="30" t="n">
        <v>0</v>
      </c>
      <c r="H140" s="30" t="n">
        <v>1</v>
      </c>
      <c r="I140" s="30" t="n">
        <v>90</v>
      </c>
      <c r="J140" s="30" t="n">
        <v>1</v>
      </c>
      <c r="K140" s="30" t="n">
        <v>1</v>
      </c>
      <c r="L140" s="30" t="n">
        <v>1</v>
      </c>
      <c r="M140" s="30" t="n">
        <v>2</v>
      </c>
      <c r="N140" s="30" t="n">
        <v>2</v>
      </c>
      <c r="O140" s="30" t="n">
        <v>2</v>
      </c>
      <c r="P140" s="30" t="n">
        <v>2</v>
      </c>
      <c r="Q140" s="30" t="n">
        <v>2</v>
      </c>
      <c r="R140" s="30" t="n">
        <v>2</v>
      </c>
      <c r="S140" s="4" t="n">
        <v>2</v>
      </c>
      <c r="T140" s="30" t="n">
        <v>2</v>
      </c>
      <c r="U140" s="30"/>
      <c r="V140" s="30"/>
      <c r="W140" s="30"/>
      <c r="X140" s="30"/>
      <c r="Z140" s="30"/>
      <c r="AA140" s="30"/>
      <c r="AB140" s="30" t="n">
        <v>3</v>
      </c>
      <c r="AC140" s="30" t="n">
        <v>2</v>
      </c>
      <c r="AD140" s="30" t="n">
        <v>1</v>
      </c>
      <c r="AE140" s="30" t="n">
        <v>1</v>
      </c>
      <c r="AF140" s="30" t="n">
        <v>2</v>
      </c>
      <c r="AG140" s="30" t="n">
        <v>1</v>
      </c>
      <c r="AH140" s="30" t="n">
        <v>1</v>
      </c>
      <c r="AI140" s="30" t="n">
        <v>2</v>
      </c>
      <c r="AJ140" s="30" t="n">
        <v>2</v>
      </c>
      <c r="AK140" s="30" t="n">
        <v>2</v>
      </c>
      <c r="AL140" s="30" t="n">
        <v>2</v>
      </c>
      <c r="AM140" s="30" t="n">
        <v>2</v>
      </c>
      <c r="AN140" s="30" t="n">
        <v>2</v>
      </c>
      <c r="AO140" s="30" t="n">
        <v>3</v>
      </c>
      <c r="AP140" s="30" t="n">
        <v>4</v>
      </c>
      <c r="AQ140" s="30" t="n">
        <v>4</v>
      </c>
      <c r="AR140" s="30" t="n">
        <v>6</v>
      </c>
      <c r="AS140" s="30" t="n">
        <v>4</v>
      </c>
      <c r="AT140" s="30" t="n">
        <v>4</v>
      </c>
      <c r="AU140" s="30" t="n">
        <v>6</v>
      </c>
      <c r="AV140" s="30" t="n">
        <v>6</v>
      </c>
      <c r="AW140" s="30" t="n">
        <v>3</v>
      </c>
      <c r="AX140" s="30" t="n">
        <v>3</v>
      </c>
      <c r="AY140" s="30" t="n">
        <v>6</v>
      </c>
      <c r="AZ140" s="5" t="n">
        <v>1</v>
      </c>
      <c r="BA140" s="30" t="n">
        <v>1</v>
      </c>
      <c r="BB140" s="30" t="n">
        <v>2</v>
      </c>
      <c r="BC140" s="30" t="n">
        <v>4</v>
      </c>
      <c r="BD140" s="30" t="n">
        <v>1</v>
      </c>
      <c r="BE140" s="30" t="n">
        <v>2</v>
      </c>
      <c r="BF140" s="30" t="n">
        <v>1</v>
      </c>
      <c r="BG140" s="30" t="n">
        <v>4</v>
      </c>
      <c r="BH140" s="30" t="n">
        <v>1</v>
      </c>
      <c r="BI140" s="30" t="n">
        <v>1</v>
      </c>
    </row>
    <row r="141" customFormat="false" ht="12.75" hidden="false" customHeight="false" outlineLevel="0" collapsed="false">
      <c r="A141" s="2" t="s">
        <v>1901</v>
      </c>
      <c r="B141" s="2" t="s">
        <v>1478</v>
      </c>
      <c r="C141" s="2" t="s">
        <v>91</v>
      </c>
      <c r="D141" s="2" t="n">
        <v>191255</v>
      </c>
      <c r="E141" s="15" t="n">
        <v>43839</v>
      </c>
      <c r="F141" s="15" t="n">
        <v>43845</v>
      </c>
      <c r="G141" s="3" t="n">
        <v>6</v>
      </c>
      <c r="H141" s="3" t="n">
        <v>1</v>
      </c>
      <c r="I141" s="3" t="n">
        <v>72</v>
      </c>
      <c r="J141" s="3" t="n">
        <v>1</v>
      </c>
      <c r="K141" s="3" t="n">
        <v>2</v>
      </c>
      <c r="L141" s="3" t="n">
        <v>1</v>
      </c>
      <c r="M141" s="3" t="n">
        <v>2</v>
      </c>
      <c r="N141" s="3" t="n">
        <v>1</v>
      </c>
      <c r="O141" s="3" t="n">
        <v>2</v>
      </c>
      <c r="P141" s="3" t="n">
        <v>1</v>
      </c>
      <c r="Q141" s="3" t="n">
        <v>2</v>
      </c>
      <c r="R141" s="3" t="n">
        <v>2</v>
      </c>
      <c r="S141" s="4" t="n">
        <v>2</v>
      </c>
      <c r="T141" s="3" t="n">
        <v>2</v>
      </c>
      <c r="U141" s="3" t="n">
        <v>6.13</v>
      </c>
      <c r="V141" s="3" t="n">
        <v>1.3</v>
      </c>
      <c r="W141" s="3" t="n">
        <v>8.53</v>
      </c>
      <c r="X141" s="3" t="n">
        <v>246</v>
      </c>
      <c r="Z141" s="3" t="n">
        <v>0.45</v>
      </c>
      <c r="AA141" s="3" t="n">
        <v>11.2</v>
      </c>
      <c r="AB141" s="3" t="n">
        <v>1</v>
      </c>
      <c r="AC141" s="3" t="n">
        <v>2</v>
      </c>
      <c r="AD141" s="3" t="n">
        <v>1</v>
      </c>
      <c r="AE141" s="3" t="n">
        <v>1</v>
      </c>
      <c r="AF141" s="3" t="n">
        <v>2</v>
      </c>
      <c r="AG141" s="3" t="n">
        <v>1</v>
      </c>
      <c r="AH141" s="3" t="n">
        <v>2</v>
      </c>
      <c r="AI141" s="3" t="n">
        <v>2</v>
      </c>
      <c r="AJ141" s="3" t="n">
        <v>2</v>
      </c>
      <c r="AK141" s="3" t="n">
        <v>2</v>
      </c>
      <c r="AL141" s="3" t="n">
        <v>2</v>
      </c>
      <c r="AM141" s="3" t="n">
        <v>2</v>
      </c>
      <c r="AN141" s="3" t="n">
        <v>2</v>
      </c>
      <c r="AO141" s="3" t="n">
        <v>2</v>
      </c>
      <c r="AP141" s="3" t="n">
        <v>3</v>
      </c>
      <c r="AQ141" s="3" t="n">
        <v>7</v>
      </c>
      <c r="AR141" s="3" t="n">
        <v>2</v>
      </c>
      <c r="AS141" s="3" t="n">
        <v>2</v>
      </c>
      <c r="AT141" s="3" t="n">
        <v>1</v>
      </c>
      <c r="AU141" s="3" t="n">
        <v>1</v>
      </c>
      <c r="AV141" s="3" t="n">
        <v>1</v>
      </c>
      <c r="AW141" s="3" t="n">
        <v>2</v>
      </c>
      <c r="AX141" s="3" t="n">
        <v>2</v>
      </c>
      <c r="AY141" s="3" t="n">
        <v>1</v>
      </c>
      <c r="AZ141" s="5" t="n">
        <v>1</v>
      </c>
      <c r="BA141" s="3" t="n">
        <v>1</v>
      </c>
      <c r="BB141" s="3" t="n">
        <v>1</v>
      </c>
      <c r="BC141" s="3" t="n">
        <v>2</v>
      </c>
      <c r="BD141" s="3" t="n">
        <v>1</v>
      </c>
      <c r="BE141" s="3" t="n">
        <v>2</v>
      </c>
      <c r="BF141" s="3" t="n">
        <v>1</v>
      </c>
      <c r="BG141" s="3" t="n">
        <v>4</v>
      </c>
      <c r="BH141" s="3" t="n">
        <v>1</v>
      </c>
      <c r="BI141" s="3" t="n">
        <v>1</v>
      </c>
    </row>
    <row r="142" customFormat="false" ht="12.75" hidden="false" customHeight="false" outlineLevel="0" collapsed="false">
      <c r="A142" s="2" t="s">
        <v>1909</v>
      </c>
      <c r="B142" s="2" t="s">
        <v>94</v>
      </c>
      <c r="C142" s="2" t="s">
        <v>1910</v>
      </c>
      <c r="D142" s="2" t="n">
        <v>191210</v>
      </c>
      <c r="E142" s="15" t="n">
        <v>43842</v>
      </c>
      <c r="F142" s="15" t="n">
        <v>43850</v>
      </c>
      <c r="G142" s="3" t="n">
        <v>8</v>
      </c>
      <c r="H142" s="3" t="n">
        <v>1</v>
      </c>
      <c r="I142" s="3" t="n">
        <v>76</v>
      </c>
      <c r="J142" s="3" t="n">
        <v>1</v>
      </c>
      <c r="K142" s="3" t="n">
        <v>2</v>
      </c>
      <c r="L142" s="3" t="n">
        <v>2</v>
      </c>
      <c r="M142" s="3" t="n">
        <v>2</v>
      </c>
      <c r="N142" s="3" t="n">
        <v>2</v>
      </c>
      <c r="O142" s="3" t="n">
        <v>2</v>
      </c>
      <c r="P142" s="3" t="n">
        <v>1</v>
      </c>
      <c r="Q142" s="3" t="n">
        <v>2</v>
      </c>
      <c r="R142" s="3" t="n">
        <v>2</v>
      </c>
      <c r="S142" s="4" t="n">
        <v>2</v>
      </c>
      <c r="T142" s="3" t="n">
        <v>2</v>
      </c>
      <c r="U142" s="3" t="n">
        <v>6.7</v>
      </c>
      <c r="V142" s="3" t="n">
        <v>1.75</v>
      </c>
      <c r="W142" s="3" t="n">
        <v>15.02</v>
      </c>
      <c r="X142" s="3" t="n">
        <v>241</v>
      </c>
      <c r="Z142" s="3" t="n">
        <v>0.4</v>
      </c>
      <c r="AA142" s="3" t="n">
        <v>11.6</v>
      </c>
      <c r="AB142" s="3" t="n">
        <v>1</v>
      </c>
      <c r="AC142" s="3" t="n">
        <v>2</v>
      </c>
      <c r="AD142" s="3" t="n">
        <v>1</v>
      </c>
      <c r="AE142" s="3" t="n">
        <v>1</v>
      </c>
      <c r="AF142" s="3" t="n">
        <v>2</v>
      </c>
      <c r="AG142" s="3" t="n">
        <v>2</v>
      </c>
      <c r="AH142" s="3" t="n">
        <v>1</v>
      </c>
      <c r="AI142" s="3" t="n">
        <v>2</v>
      </c>
      <c r="AJ142" s="3" t="n">
        <v>1</v>
      </c>
      <c r="AK142" s="3" t="n">
        <v>2</v>
      </c>
      <c r="AL142" s="3" t="n">
        <v>1</v>
      </c>
      <c r="AM142" s="3" t="n">
        <v>2</v>
      </c>
      <c r="AN142" s="3" t="n">
        <v>2</v>
      </c>
      <c r="AO142" s="3" t="n">
        <v>3</v>
      </c>
      <c r="AP142" s="3" t="n">
        <v>4</v>
      </c>
      <c r="AQ142" s="3" t="n">
        <v>4</v>
      </c>
      <c r="AR142" s="3" t="n">
        <v>6</v>
      </c>
      <c r="AS142" s="3" t="n">
        <v>4</v>
      </c>
      <c r="AT142" s="3" t="n">
        <v>4</v>
      </c>
      <c r="AU142" s="3" t="n">
        <v>6</v>
      </c>
      <c r="AV142" s="3" t="n">
        <v>6</v>
      </c>
      <c r="AW142" s="3" t="n">
        <v>3</v>
      </c>
      <c r="AX142" s="3" t="n">
        <v>3</v>
      </c>
      <c r="AY142" s="3" t="n">
        <v>1</v>
      </c>
      <c r="AZ142" s="5" t="n">
        <v>1</v>
      </c>
      <c r="BA142" s="3" t="n">
        <v>1</v>
      </c>
      <c r="BB142" s="3" t="n">
        <v>1</v>
      </c>
      <c r="BC142" s="3" t="n">
        <v>4</v>
      </c>
      <c r="BD142" s="3" t="n">
        <v>1</v>
      </c>
      <c r="BE142" s="3" t="n">
        <v>2</v>
      </c>
      <c r="BF142" s="3" t="n">
        <v>1</v>
      </c>
      <c r="BG142" s="3" t="n">
        <v>4</v>
      </c>
      <c r="BH142" s="3" t="n">
        <v>1</v>
      </c>
      <c r="BI142" s="3" t="n">
        <v>1</v>
      </c>
    </row>
    <row r="143" customFormat="false" ht="12.75" hidden="false" customHeight="false" outlineLevel="0" collapsed="false">
      <c r="A143" s="2" t="s">
        <v>1912</v>
      </c>
      <c r="B143" s="2" t="s">
        <v>1913</v>
      </c>
      <c r="C143" s="2" t="s">
        <v>95</v>
      </c>
      <c r="D143" s="2" t="n">
        <v>191220</v>
      </c>
      <c r="E143" s="15" t="n">
        <v>43842</v>
      </c>
      <c r="F143" s="15" t="n">
        <v>43849</v>
      </c>
      <c r="G143" s="3" t="n">
        <v>7</v>
      </c>
      <c r="H143" s="3" t="n">
        <v>1</v>
      </c>
      <c r="I143" s="3" t="n">
        <v>57</v>
      </c>
      <c r="J143" s="3" t="n">
        <v>1</v>
      </c>
      <c r="K143" s="3" t="n">
        <v>1</v>
      </c>
      <c r="L143" s="3" t="n">
        <v>1</v>
      </c>
      <c r="M143" s="3" t="n">
        <v>2</v>
      </c>
      <c r="N143" s="3" t="n">
        <v>2</v>
      </c>
      <c r="O143" s="3" t="n">
        <v>2</v>
      </c>
      <c r="P143" s="3" t="n">
        <v>2</v>
      </c>
      <c r="Q143" s="3" t="n">
        <v>2</v>
      </c>
      <c r="R143" s="3" t="n">
        <v>2</v>
      </c>
      <c r="S143" s="4" t="n">
        <v>2</v>
      </c>
      <c r="T143" s="3" t="n">
        <v>2</v>
      </c>
      <c r="U143" s="3" t="n">
        <v>5.3</v>
      </c>
      <c r="V143" s="3" t="n">
        <v>0.78</v>
      </c>
      <c r="W143" s="3" t="n">
        <v>9.14</v>
      </c>
      <c r="X143" s="3" t="n">
        <v>487</v>
      </c>
      <c r="Z143" s="3" t="n">
        <v>0.46</v>
      </c>
      <c r="AA143" s="3" t="n">
        <v>14.3</v>
      </c>
      <c r="AB143" s="3" t="n">
        <v>1</v>
      </c>
      <c r="AC143" s="3" t="n">
        <v>2</v>
      </c>
      <c r="AD143" s="3" t="n">
        <v>1</v>
      </c>
      <c r="AE143" s="3" t="n">
        <v>1</v>
      </c>
      <c r="AF143" s="3" t="n">
        <v>2</v>
      </c>
      <c r="AG143" s="3" t="n">
        <v>2</v>
      </c>
      <c r="AH143" s="3" t="n">
        <v>1</v>
      </c>
      <c r="AI143" s="3" t="n">
        <v>2</v>
      </c>
      <c r="AJ143" s="3" t="n">
        <v>2</v>
      </c>
      <c r="AK143" s="3" t="n">
        <v>2</v>
      </c>
      <c r="AL143" s="3" t="n">
        <v>2</v>
      </c>
      <c r="AM143" s="3" t="n">
        <v>2</v>
      </c>
      <c r="AN143" s="3" t="n">
        <v>2</v>
      </c>
      <c r="AO143" s="3" t="n">
        <v>3</v>
      </c>
      <c r="AP143" s="3" t="n">
        <v>4</v>
      </c>
      <c r="AQ143" s="3" t="n">
        <v>4</v>
      </c>
      <c r="AR143" s="3" t="n">
        <v>6</v>
      </c>
      <c r="AS143" s="3" t="n">
        <v>4</v>
      </c>
      <c r="AT143" s="3" t="n">
        <v>4</v>
      </c>
      <c r="AU143" s="3" t="n">
        <v>6</v>
      </c>
      <c r="AV143" s="3" t="n">
        <v>6</v>
      </c>
      <c r="AW143" s="3" t="n">
        <v>3</v>
      </c>
      <c r="AX143" s="3" t="n">
        <v>3</v>
      </c>
      <c r="AY143" s="3" t="n">
        <v>1</v>
      </c>
      <c r="AZ143" s="5" t="n">
        <v>1</v>
      </c>
      <c r="BA143" s="3" t="n">
        <v>1</v>
      </c>
      <c r="BB143" s="3" t="n">
        <v>1</v>
      </c>
      <c r="BC143" s="3" t="n">
        <v>4</v>
      </c>
      <c r="BD143" s="3" t="n">
        <v>1</v>
      </c>
      <c r="BE143" s="3" t="n">
        <v>2</v>
      </c>
      <c r="BF143" s="3" t="n">
        <v>1</v>
      </c>
      <c r="BG143" s="3" t="n">
        <v>4</v>
      </c>
      <c r="BH143" s="3" t="n">
        <v>1</v>
      </c>
      <c r="BI143" s="3" t="n">
        <v>1</v>
      </c>
    </row>
    <row r="144" customFormat="false" ht="12.75" hidden="false" customHeight="false" outlineLevel="0" collapsed="false">
      <c r="A144" s="2" t="s">
        <v>1920</v>
      </c>
      <c r="B144" s="2" t="s">
        <v>154</v>
      </c>
      <c r="C144" s="2" t="s">
        <v>222</v>
      </c>
      <c r="D144" s="2" t="n">
        <v>191357</v>
      </c>
      <c r="E144" s="15" t="n">
        <v>43846</v>
      </c>
      <c r="F144" s="15" t="n">
        <v>43852</v>
      </c>
      <c r="G144" s="3" t="n">
        <v>4</v>
      </c>
      <c r="H144" s="3" t="n">
        <v>2</v>
      </c>
      <c r="I144" s="3" t="n">
        <v>50</v>
      </c>
      <c r="J144" s="3" t="n">
        <v>2</v>
      </c>
      <c r="K144" s="3" t="n">
        <v>1</v>
      </c>
      <c r="L144" s="3" t="n">
        <v>1</v>
      </c>
      <c r="M144" s="3" t="n">
        <v>2</v>
      </c>
      <c r="N144" s="3" t="n">
        <v>2</v>
      </c>
      <c r="O144" s="3" t="n">
        <v>2</v>
      </c>
      <c r="P144" s="3" t="n">
        <v>2</v>
      </c>
      <c r="Q144" s="3" t="n">
        <v>2</v>
      </c>
      <c r="R144" s="3" t="n">
        <v>2</v>
      </c>
      <c r="S144" s="4" t="n">
        <v>2</v>
      </c>
      <c r="T144" s="3" t="n">
        <v>2</v>
      </c>
      <c r="U144" s="3" t="n">
        <v>5.76</v>
      </c>
      <c r="V144" s="3" t="n">
        <v>2.39</v>
      </c>
      <c r="W144" s="3" t="n">
        <v>6.58</v>
      </c>
      <c r="X144" s="3" t="n">
        <v>416</v>
      </c>
      <c r="Z144" s="3" t="n">
        <v>0.45</v>
      </c>
      <c r="AA144" s="3" t="n">
        <v>12</v>
      </c>
      <c r="AB144" s="3" t="n">
        <v>1</v>
      </c>
      <c r="AC144" s="3" t="n">
        <v>2</v>
      </c>
      <c r="AD144" s="3" t="n">
        <v>1</v>
      </c>
      <c r="AE144" s="3" t="n">
        <v>1</v>
      </c>
      <c r="AF144" s="3" t="n">
        <v>2</v>
      </c>
      <c r="AG144" s="3" t="n">
        <v>2</v>
      </c>
      <c r="AH144" s="3" t="n">
        <v>1</v>
      </c>
      <c r="AI144" s="3" t="n">
        <v>2</v>
      </c>
      <c r="AJ144" s="3" t="n">
        <v>2</v>
      </c>
      <c r="AK144" s="3" t="n">
        <v>2</v>
      </c>
      <c r="AL144" s="3" t="n">
        <v>2</v>
      </c>
      <c r="AM144" s="3" t="n">
        <v>2</v>
      </c>
      <c r="AN144" s="3" t="n">
        <v>2</v>
      </c>
      <c r="AO144" s="3" t="n">
        <v>3</v>
      </c>
      <c r="AP144" s="3" t="n">
        <v>4</v>
      </c>
      <c r="AQ144" s="3" t="n">
        <v>4</v>
      </c>
      <c r="AR144" s="3" t="n">
        <v>6</v>
      </c>
      <c r="AS144" s="3" t="n">
        <v>4</v>
      </c>
      <c r="AT144" s="3" t="n">
        <v>4</v>
      </c>
      <c r="AU144" s="3" t="n">
        <v>6</v>
      </c>
      <c r="AV144" s="3" t="n">
        <v>6</v>
      </c>
      <c r="AW144" s="3" t="n">
        <v>3</v>
      </c>
      <c r="AX144" s="3" t="n">
        <v>3</v>
      </c>
      <c r="AY144" s="3" t="n">
        <v>1</v>
      </c>
      <c r="AZ144" s="5" t="n">
        <v>1</v>
      </c>
      <c r="BA144" s="3" t="n">
        <v>1</v>
      </c>
      <c r="BB144" s="3" t="n">
        <v>1</v>
      </c>
      <c r="BC144" s="3" t="n">
        <v>4</v>
      </c>
      <c r="BD144" s="3" t="n">
        <v>3</v>
      </c>
      <c r="BE144" s="3" t="n">
        <v>5</v>
      </c>
      <c r="BF144" s="3" t="n">
        <v>3</v>
      </c>
      <c r="BG144" s="3" t="n">
        <v>4</v>
      </c>
      <c r="BH144" s="3" t="n">
        <v>1</v>
      </c>
      <c r="BI144" s="3" t="n">
        <v>1</v>
      </c>
    </row>
    <row r="145" customFormat="false" ht="12.75" hidden="false" customHeight="false" outlineLevel="0" collapsed="false">
      <c r="A145" s="2" t="s">
        <v>1922</v>
      </c>
      <c r="B145" s="2" t="s">
        <v>1923</v>
      </c>
      <c r="C145" s="2" t="s">
        <v>1924</v>
      </c>
      <c r="D145" s="2" t="n">
        <v>191301</v>
      </c>
      <c r="E145" s="15" t="n">
        <v>43845</v>
      </c>
      <c r="F145" s="15" t="n">
        <v>43852</v>
      </c>
      <c r="G145" s="3" t="n">
        <v>7</v>
      </c>
      <c r="H145" s="3" t="n">
        <v>1</v>
      </c>
      <c r="I145" s="3" t="n">
        <v>49</v>
      </c>
      <c r="J145" s="3" t="n">
        <v>1</v>
      </c>
      <c r="K145" s="3" t="n">
        <v>1</v>
      </c>
      <c r="L145" s="3" t="n">
        <v>2</v>
      </c>
      <c r="M145" s="3" t="n">
        <v>2</v>
      </c>
      <c r="N145" s="3" t="n">
        <v>2</v>
      </c>
      <c r="O145" s="3" t="n">
        <v>2</v>
      </c>
      <c r="P145" s="3" t="n">
        <v>2</v>
      </c>
      <c r="Q145" s="3" t="n">
        <v>2</v>
      </c>
      <c r="R145" s="3" t="n">
        <v>2</v>
      </c>
      <c r="S145" s="4" t="n">
        <v>2</v>
      </c>
      <c r="T145" s="3" t="n">
        <v>2</v>
      </c>
      <c r="U145" s="3" t="n">
        <v>4.85</v>
      </c>
      <c r="V145" s="3" t="n">
        <v>1.64</v>
      </c>
      <c r="W145" s="3" t="n">
        <v>5.96</v>
      </c>
      <c r="X145" s="3" t="n">
        <v>228</v>
      </c>
      <c r="Z145" s="3" t="n">
        <v>0.34</v>
      </c>
      <c r="AA145" s="3" t="n">
        <v>12.6</v>
      </c>
      <c r="AB145" s="3" t="n">
        <v>1</v>
      </c>
      <c r="AC145" s="3" t="n">
        <v>2</v>
      </c>
      <c r="AD145" s="3" t="n">
        <v>1</v>
      </c>
      <c r="AE145" s="3" t="n">
        <v>1</v>
      </c>
      <c r="AF145" s="3" t="n">
        <v>2</v>
      </c>
      <c r="AG145" s="3" t="n">
        <v>2</v>
      </c>
      <c r="AH145" s="3" t="n">
        <v>1</v>
      </c>
      <c r="AI145" s="3" t="n">
        <v>2</v>
      </c>
      <c r="AJ145" s="3" t="n">
        <v>2</v>
      </c>
      <c r="AK145" s="3" t="n">
        <v>2</v>
      </c>
      <c r="AL145" s="3" t="n">
        <v>2</v>
      </c>
      <c r="AM145" s="3" t="n">
        <v>2</v>
      </c>
      <c r="AN145" s="3" t="n">
        <v>2</v>
      </c>
      <c r="AO145" s="3" t="n">
        <v>3</v>
      </c>
      <c r="AP145" s="3" t="n">
        <v>4</v>
      </c>
      <c r="AQ145" s="3" t="n">
        <v>4</v>
      </c>
      <c r="AR145" s="3" t="n">
        <v>6</v>
      </c>
      <c r="AS145" s="3" t="n">
        <v>4</v>
      </c>
      <c r="AT145" s="3" t="n">
        <v>4</v>
      </c>
      <c r="AU145" s="3" t="n">
        <v>6</v>
      </c>
      <c r="AV145" s="3" t="n">
        <v>6</v>
      </c>
      <c r="AW145" s="3" t="n">
        <v>3</v>
      </c>
      <c r="AX145" s="3" t="n">
        <v>3</v>
      </c>
      <c r="AY145" s="3" t="n">
        <v>1</v>
      </c>
      <c r="AZ145" s="5" t="n">
        <v>1</v>
      </c>
      <c r="BA145" s="3" t="n">
        <v>1</v>
      </c>
      <c r="BB145" s="3" t="n">
        <v>1</v>
      </c>
      <c r="BC145" s="3" t="n">
        <v>4</v>
      </c>
      <c r="BD145" s="3" t="n">
        <v>3</v>
      </c>
      <c r="BE145" s="3" t="n">
        <v>5</v>
      </c>
      <c r="BF145" s="3" t="n">
        <v>3</v>
      </c>
      <c r="BG145" s="3" t="n">
        <v>4</v>
      </c>
      <c r="BH145" s="3" t="n">
        <v>1</v>
      </c>
      <c r="BI145" s="3" t="n">
        <v>1</v>
      </c>
    </row>
    <row r="146" customFormat="false" ht="12.75" hidden="false" customHeight="false" outlineLevel="0" collapsed="false">
      <c r="A146" s="2" t="s">
        <v>140</v>
      </c>
      <c r="B146" s="2" t="s">
        <v>1405</v>
      </c>
      <c r="C146" s="2" t="s">
        <v>1939</v>
      </c>
      <c r="D146" s="2" t="n">
        <v>192478</v>
      </c>
      <c r="E146" s="15" t="n">
        <v>43854</v>
      </c>
      <c r="F146" s="15" t="n">
        <v>43861</v>
      </c>
      <c r="G146" s="3" t="n">
        <v>7</v>
      </c>
      <c r="H146" s="3" t="n">
        <v>2</v>
      </c>
      <c r="I146" s="3" t="n">
        <v>72</v>
      </c>
      <c r="J146" s="3" t="n">
        <v>1</v>
      </c>
      <c r="K146" s="3" t="n">
        <v>1</v>
      </c>
      <c r="L146" s="3" t="n">
        <v>2</v>
      </c>
      <c r="M146" s="3" t="n">
        <v>2</v>
      </c>
      <c r="N146" s="3" t="n">
        <v>2</v>
      </c>
      <c r="O146" s="3" t="n">
        <v>2</v>
      </c>
      <c r="P146" s="3" t="n">
        <v>2</v>
      </c>
      <c r="Q146" s="3" t="n">
        <v>2</v>
      </c>
      <c r="R146" s="3" t="n">
        <v>2</v>
      </c>
      <c r="S146" s="4" t="n">
        <v>2</v>
      </c>
      <c r="T146" s="3" t="n">
        <v>2</v>
      </c>
      <c r="U146" s="3" t="n">
        <v>5.62</v>
      </c>
      <c r="V146" s="3" t="n">
        <v>1.93</v>
      </c>
      <c r="W146" s="3" t="n">
        <v>6.17</v>
      </c>
      <c r="X146" s="3" t="n">
        <v>240</v>
      </c>
      <c r="Z146" s="3" t="n">
        <v>0.48</v>
      </c>
      <c r="AA146" s="3" t="n">
        <v>10.5</v>
      </c>
      <c r="AB146" s="3"/>
      <c r="AC146" s="3" t="n">
        <v>2</v>
      </c>
      <c r="AD146" s="3" t="n">
        <v>1</v>
      </c>
      <c r="AE146" s="3" t="n">
        <v>1</v>
      </c>
      <c r="AF146" s="3" t="n">
        <v>2</v>
      </c>
      <c r="AG146" s="3" t="n">
        <v>2</v>
      </c>
      <c r="AH146" s="3" t="n">
        <v>1</v>
      </c>
      <c r="AI146" s="3" t="n">
        <v>2</v>
      </c>
      <c r="AJ146" s="3" t="n">
        <v>2</v>
      </c>
      <c r="AK146" s="3" t="n">
        <v>2</v>
      </c>
      <c r="AL146" s="3" t="n">
        <v>2</v>
      </c>
      <c r="AM146" s="3" t="n">
        <v>2</v>
      </c>
      <c r="AN146" s="3" t="n">
        <v>2</v>
      </c>
      <c r="AO146" s="3" t="n">
        <v>3</v>
      </c>
      <c r="AP146" s="3" t="n">
        <v>4</v>
      </c>
      <c r="AQ146" s="3" t="n">
        <v>4</v>
      </c>
      <c r="AR146" s="3" t="n">
        <v>6</v>
      </c>
      <c r="AS146" s="3" t="n">
        <v>4</v>
      </c>
      <c r="AT146" s="3" t="n">
        <v>4</v>
      </c>
      <c r="AU146" s="3" t="n">
        <v>6</v>
      </c>
      <c r="AV146" s="3" t="n">
        <v>6</v>
      </c>
      <c r="AW146" s="3" t="n">
        <v>3</v>
      </c>
      <c r="AX146" s="3" t="n">
        <v>3</v>
      </c>
      <c r="AY146" s="3" t="n">
        <v>1</v>
      </c>
      <c r="AZ146" s="5" t="n">
        <v>1</v>
      </c>
      <c r="BA146" s="3" t="n">
        <v>1</v>
      </c>
      <c r="BB146" s="3" t="n">
        <v>1</v>
      </c>
      <c r="BC146" s="3" t="n">
        <v>4</v>
      </c>
      <c r="BD146" s="3" t="n">
        <v>1</v>
      </c>
      <c r="BE146" s="3" t="n">
        <v>2</v>
      </c>
      <c r="BF146" s="3" t="n">
        <v>1</v>
      </c>
      <c r="BG146" s="3" t="n">
        <v>4</v>
      </c>
      <c r="BH146" s="3" t="n">
        <v>1</v>
      </c>
      <c r="BI146" s="3" t="n">
        <v>1</v>
      </c>
    </row>
    <row r="147" customFormat="false" ht="12.75" hidden="false" customHeight="false" outlineLevel="0" collapsed="false">
      <c r="A147" s="2" t="s">
        <v>580</v>
      </c>
      <c r="B147" s="2" t="s">
        <v>1942</v>
      </c>
      <c r="C147" s="2" t="s">
        <v>1942</v>
      </c>
      <c r="D147" s="2" t="n">
        <v>192490</v>
      </c>
      <c r="E147" s="15" t="n">
        <v>43854</v>
      </c>
      <c r="F147" s="15" t="n">
        <v>43861</v>
      </c>
      <c r="G147" s="3" t="n">
        <v>7</v>
      </c>
      <c r="H147" s="3" t="n">
        <v>1</v>
      </c>
      <c r="I147" s="3" t="n">
        <v>70</v>
      </c>
      <c r="J147" s="3" t="n">
        <v>2</v>
      </c>
      <c r="K147" s="3" t="n">
        <v>2</v>
      </c>
      <c r="L147" s="3" t="n">
        <v>1</v>
      </c>
      <c r="M147" s="3" t="n">
        <v>2</v>
      </c>
      <c r="N147" s="3" t="n">
        <v>2</v>
      </c>
      <c r="O147" s="3" t="n">
        <v>2</v>
      </c>
      <c r="P147" s="3" t="n">
        <v>1</v>
      </c>
      <c r="Q147" s="3" t="n">
        <v>2</v>
      </c>
      <c r="R147" s="3" t="n">
        <v>2</v>
      </c>
      <c r="S147" s="4" t="n">
        <v>2</v>
      </c>
      <c r="T147" s="3" t="n">
        <v>2</v>
      </c>
      <c r="U147" s="3" t="n">
        <v>5.53</v>
      </c>
      <c r="V147" s="3" t="n">
        <v>1.66</v>
      </c>
      <c r="W147" s="3" t="n">
        <v>7.09</v>
      </c>
      <c r="X147" s="3" t="n">
        <v>312</v>
      </c>
      <c r="Z147" s="3" t="n">
        <v>0.42</v>
      </c>
      <c r="AA147" s="3" t="n">
        <v>13.4</v>
      </c>
      <c r="AB147" s="3" t="n">
        <v>1</v>
      </c>
      <c r="AC147" s="3" t="n">
        <v>1</v>
      </c>
      <c r="AD147" s="3" t="n">
        <v>1</v>
      </c>
      <c r="AE147" s="3" t="n">
        <v>1</v>
      </c>
      <c r="AF147" s="3" t="n">
        <v>2</v>
      </c>
      <c r="AG147" s="3" t="n">
        <v>2</v>
      </c>
      <c r="AH147" s="3" t="n">
        <v>1</v>
      </c>
      <c r="AI147" s="3" t="n">
        <v>2</v>
      </c>
      <c r="AJ147" s="3" t="n">
        <v>2</v>
      </c>
      <c r="AK147" s="3" t="n">
        <v>2</v>
      </c>
      <c r="AL147" s="3" t="n">
        <v>2</v>
      </c>
      <c r="AM147" s="3" t="n">
        <v>2</v>
      </c>
      <c r="AN147" s="3" t="n">
        <v>2</v>
      </c>
      <c r="AO147" s="3" t="n">
        <v>2</v>
      </c>
      <c r="AP147" s="3" t="n">
        <v>3</v>
      </c>
      <c r="AQ147" s="3" t="n">
        <v>8</v>
      </c>
      <c r="AR147" s="3" t="n">
        <v>2</v>
      </c>
      <c r="AS147" s="3" t="n">
        <v>3</v>
      </c>
      <c r="AT147" s="3" t="n">
        <v>1</v>
      </c>
      <c r="AU147" s="3" t="n">
        <v>1</v>
      </c>
      <c r="AV147" s="3" t="n">
        <v>1</v>
      </c>
      <c r="AW147" s="3" t="n">
        <v>2</v>
      </c>
      <c r="AX147" s="3" t="n">
        <v>2</v>
      </c>
      <c r="AY147" s="3" t="n">
        <v>2</v>
      </c>
      <c r="AZ147" s="5" t="n">
        <v>1</v>
      </c>
      <c r="BA147" s="3" t="n">
        <v>1</v>
      </c>
      <c r="BB147" s="3" t="n">
        <v>1</v>
      </c>
      <c r="BC147" s="3" t="n">
        <v>2</v>
      </c>
      <c r="BD147" s="3" t="n">
        <v>1</v>
      </c>
      <c r="BE147" s="3" t="n">
        <v>2</v>
      </c>
      <c r="BF147" s="3" t="n">
        <v>1</v>
      </c>
      <c r="BG147" s="3" t="n">
        <v>4</v>
      </c>
      <c r="BH147" s="3" t="n">
        <v>1</v>
      </c>
      <c r="BI147" s="3" t="n">
        <v>1</v>
      </c>
    </row>
    <row r="148" customFormat="false" ht="12.75" hidden="false" customHeight="false" outlineLevel="0" collapsed="false">
      <c r="A148" s="26" t="s">
        <v>1753</v>
      </c>
      <c r="B148" s="26" t="s">
        <v>443</v>
      </c>
      <c r="C148" s="26" t="s">
        <v>153</v>
      </c>
      <c r="D148" s="26" t="n">
        <v>192684</v>
      </c>
      <c r="E148" s="27" t="n">
        <v>43864</v>
      </c>
      <c r="F148" s="27" t="n">
        <v>43868</v>
      </c>
      <c r="G148" s="30" t="n">
        <v>4</v>
      </c>
      <c r="H148" s="30" t="n">
        <v>1</v>
      </c>
      <c r="I148" s="30" t="n">
        <v>77</v>
      </c>
      <c r="J148" s="30" t="n">
        <v>1</v>
      </c>
      <c r="K148" s="30" t="n">
        <v>2</v>
      </c>
      <c r="L148" s="30" t="n">
        <v>1</v>
      </c>
      <c r="M148" s="30" t="n">
        <v>2</v>
      </c>
      <c r="N148" s="30" t="n">
        <v>2</v>
      </c>
      <c r="O148" s="30" t="n">
        <v>2</v>
      </c>
      <c r="P148" s="30" t="n">
        <v>2</v>
      </c>
      <c r="Q148" s="30" t="n">
        <v>2</v>
      </c>
      <c r="R148" s="30" t="n">
        <v>2</v>
      </c>
      <c r="S148" s="4" t="n">
        <v>2</v>
      </c>
      <c r="T148" s="30" t="n">
        <v>2</v>
      </c>
      <c r="U148" s="30" t="n">
        <v>3.36</v>
      </c>
      <c r="V148" s="30" t="n">
        <v>0.68</v>
      </c>
      <c r="W148" s="30" t="n">
        <v>7.84</v>
      </c>
      <c r="X148" s="30" t="n">
        <v>499</v>
      </c>
      <c r="Z148" s="30" t="n">
        <v>0.35</v>
      </c>
      <c r="AA148" s="30"/>
      <c r="AB148" s="30"/>
      <c r="AC148" s="30" t="n">
        <v>2</v>
      </c>
      <c r="AD148" s="30" t="n">
        <v>1</v>
      </c>
      <c r="AE148" s="30" t="n">
        <v>1</v>
      </c>
      <c r="AF148" s="30" t="n">
        <v>2</v>
      </c>
      <c r="AG148" s="30" t="n">
        <v>2</v>
      </c>
      <c r="AH148" s="30" t="n">
        <v>1</v>
      </c>
      <c r="AI148" s="30" t="n">
        <v>2</v>
      </c>
      <c r="AJ148" s="30" t="n">
        <v>2</v>
      </c>
      <c r="AK148" s="30" t="n">
        <v>2</v>
      </c>
      <c r="AL148" s="30" t="n">
        <v>1</v>
      </c>
      <c r="AM148" s="30" t="n">
        <v>2</v>
      </c>
      <c r="AN148" s="30" t="n">
        <v>2</v>
      </c>
      <c r="AO148" s="30" t="n">
        <v>3</v>
      </c>
      <c r="AP148" s="30" t="n">
        <v>4</v>
      </c>
      <c r="AQ148" s="30" t="n">
        <v>4</v>
      </c>
      <c r="AR148" s="30" t="n">
        <v>6</v>
      </c>
      <c r="AS148" s="30" t="n">
        <v>4</v>
      </c>
      <c r="AT148" s="30" t="n">
        <v>4</v>
      </c>
      <c r="AU148" s="30" t="n">
        <v>6</v>
      </c>
      <c r="AV148" s="30" t="n">
        <v>6</v>
      </c>
      <c r="AW148" s="30" t="n">
        <v>3</v>
      </c>
      <c r="AX148" s="30" t="n">
        <v>3</v>
      </c>
      <c r="AY148" s="30" t="n">
        <v>14</v>
      </c>
      <c r="AZ148" s="5" t="n">
        <v>11</v>
      </c>
      <c r="BA148" s="30" t="n">
        <v>1</v>
      </c>
      <c r="BB148" s="30" t="n">
        <v>2</v>
      </c>
      <c r="BC148" s="30" t="n">
        <v>4</v>
      </c>
      <c r="BD148" s="30" t="n">
        <v>3</v>
      </c>
      <c r="BE148" s="30" t="n">
        <v>5</v>
      </c>
      <c r="BF148" s="30" t="n">
        <v>3</v>
      </c>
      <c r="BG148" s="30" t="n">
        <v>4</v>
      </c>
      <c r="BH148" s="30" t="n">
        <v>1</v>
      </c>
      <c r="BI148" s="30" t="n">
        <v>1</v>
      </c>
    </row>
    <row r="149" customFormat="false" ht="12.75" hidden="false" customHeight="false" outlineLevel="0" collapsed="false">
      <c r="A149" s="2" t="s">
        <v>1980</v>
      </c>
      <c r="B149" s="2" t="s">
        <v>94</v>
      </c>
      <c r="C149" s="2" t="s">
        <v>1981</v>
      </c>
      <c r="D149" s="2" t="n">
        <v>193049</v>
      </c>
      <c r="E149" s="15" t="n">
        <v>43867</v>
      </c>
      <c r="F149" s="15" t="n">
        <v>43873</v>
      </c>
      <c r="G149" s="3" t="n">
        <v>6</v>
      </c>
      <c r="H149" s="3" t="n">
        <v>2</v>
      </c>
      <c r="I149" s="3" t="n">
        <v>64</v>
      </c>
      <c r="J149" s="3" t="n">
        <v>2</v>
      </c>
      <c r="K149" s="3" t="n">
        <v>2</v>
      </c>
      <c r="L149" s="3" t="n">
        <v>1</v>
      </c>
      <c r="M149" s="3" t="n">
        <v>2</v>
      </c>
      <c r="N149" s="3" t="n">
        <v>2</v>
      </c>
      <c r="O149" s="3" t="n">
        <v>2</v>
      </c>
      <c r="P149" s="3" t="n">
        <v>2</v>
      </c>
      <c r="Q149" s="3" t="n">
        <v>2</v>
      </c>
      <c r="R149" s="3" t="n">
        <v>2</v>
      </c>
      <c r="S149" s="4" t="n">
        <v>2</v>
      </c>
      <c r="T149" s="3" t="n">
        <v>2</v>
      </c>
      <c r="U149" s="3" t="n">
        <v>5.03</v>
      </c>
      <c r="V149" s="3" t="n">
        <v>0.69</v>
      </c>
      <c r="W149" s="3" t="n">
        <v>6.42</v>
      </c>
      <c r="X149" s="3" t="n">
        <v>403</v>
      </c>
      <c r="Z149" s="3" t="n">
        <v>0.37</v>
      </c>
      <c r="AA149" s="3" t="n">
        <v>9.3</v>
      </c>
      <c r="AB149" s="3" t="n">
        <v>1</v>
      </c>
      <c r="AC149" s="3" t="n">
        <v>1</v>
      </c>
      <c r="AD149" s="3" t="n">
        <v>1</v>
      </c>
      <c r="AE149" s="3" t="n">
        <v>1</v>
      </c>
      <c r="AF149" s="3" t="n">
        <v>2</v>
      </c>
      <c r="AG149" s="3" t="n">
        <v>2</v>
      </c>
      <c r="AH149" s="3" t="n">
        <v>1</v>
      </c>
      <c r="AI149" s="3" t="n">
        <v>2</v>
      </c>
      <c r="AJ149" s="3" t="n">
        <v>2</v>
      </c>
      <c r="AK149" s="3" t="n">
        <v>2</v>
      </c>
      <c r="AL149" s="3" t="n">
        <v>1</v>
      </c>
      <c r="AM149" s="3" t="n">
        <v>2</v>
      </c>
      <c r="AN149" s="3" t="n">
        <v>2</v>
      </c>
      <c r="AO149" s="3" t="n">
        <v>3</v>
      </c>
      <c r="AP149" s="3" t="n">
        <v>4</v>
      </c>
      <c r="AQ149" s="3" t="n">
        <v>4</v>
      </c>
      <c r="AR149" s="3" t="n">
        <v>6</v>
      </c>
      <c r="AS149" s="3" t="n">
        <v>4</v>
      </c>
      <c r="AT149" s="3" t="n">
        <v>4</v>
      </c>
      <c r="AU149" s="3" t="n">
        <v>6</v>
      </c>
      <c r="AV149" s="3" t="n">
        <v>6</v>
      </c>
      <c r="AW149" s="3" t="n">
        <v>3</v>
      </c>
      <c r="AX149" s="3" t="n">
        <v>3</v>
      </c>
      <c r="AY149" s="3" t="n">
        <v>1</v>
      </c>
      <c r="AZ149" s="5" t="n">
        <v>1</v>
      </c>
      <c r="BA149" s="3" t="n">
        <v>1</v>
      </c>
      <c r="BB149" s="3" t="n">
        <v>1</v>
      </c>
      <c r="BC149" s="3" t="n">
        <v>4</v>
      </c>
      <c r="BD149" s="3" t="n">
        <v>1</v>
      </c>
      <c r="BE149" s="3" t="n">
        <v>2</v>
      </c>
      <c r="BF149" s="3" t="n">
        <v>1</v>
      </c>
      <c r="BG149" s="3" t="n">
        <v>4</v>
      </c>
      <c r="BH149" s="3" t="n">
        <v>1</v>
      </c>
      <c r="BI149" s="3" t="n">
        <v>1</v>
      </c>
    </row>
    <row r="150" customFormat="false" ht="12.75" hidden="false" customHeight="false" outlineLevel="0" collapsed="false">
      <c r="A150" s="2" t="s">
        <v>758</v>
      </c>
      <c r="B150" s="2" t="s">
        <v>1986</v>
      </c>
      <c r="C150" s="2" t="s">
        <v>63</v>
      </c>
      <c r="D150" s="2" t="n">
        <v>192696</v>
      </c>
      <c r="E150" s="15" t="n">
        <v>43864</v>
      </c>
      <c r="F150" s="15" t="n">
        <v>43875</v>
      </c>
      <c r="G150" s="3" t="n">
        <v>11</v>
      </c>
      <c r="H150" s="3" t="n">
        <v>2</v>
      </c>
      <c r="I150" s="3" t="n">
        <v>67</v>
      </c>
      <c r="J150" s="3" t="n">
        <v>1</v>
      </c>
      <c r="K150" s="3" t="n">
        <v>1</v>
      </c>
      <c r="L150" s="3" t="n">
        <v>2</v>
      </c>
      <c r="M150" s="3" t="n">
        <v>2</v>
      </c>
      <c r="N150" s="3" t="n">
        <v>2</v>
      </c>
      <c r="O150" s="3" t="n">
        <v>2</v>
      </c>
      <c r="P150" s="3" t="n">
        <v>2</v>
      </c>
      <c r="Q150" s="3" t="n">
        <v>2</v>
      </c>
      <c r="R150" s="3" t="n">
        <v>2</v>
      </c>
      <c r="S150" s="4" t="n">
        <v>2</v>
      </c>
      <c r="T150" s="3" t="n">
        <v>2</v>
      </c>
      <c r="U150" s="3" t="n">
        <v>5.2</v>
      </c>
      <c r="V150" s="3" t="n">
        <v>1.45</v>
      </c>
      <c r="W150" s="3" t="n">
        <v>7.81</v>
      </c>
      <c r="X150" s="3" t="n">
        <v>688</v>
      </c>
      <c r="Z150" s="3" t="n">
        <v>0.46</v>
      </c>
      <c r="AA150" s="3" t="n">
        <v>13.6</v>
      </c>
      <c r="AB150" s="3" t="n">
        <v>2</v>
      </c>
      <c r="AC150" s="3" t="n">
        <v>2</v>
      </c>
      <c r="AD150" s="3" t="n">
        <v>1</v>
      </c>
      <c r="AE150" s="3" t="n">
        <v>1</v>
      </c>
      <c r="AF150" s="3" t="n">
        <v>2</v>
      </c>
      <c r="AG150" s="3" t="n">
        <v>2</v>
      </c>
      <c r="AH150" s="3" t="n">
        <v>1</v>
      </c>
      <c r="AI150" s="3" t="n">
        <v>2</v>
      </c>
      <c r="AJ150" s="3" t="n">
        <v>2</v>
      </c>
      <c r="AK150" s="3" t="n">
        <v>2</v>
      </c>
      <c r="AL150" s="3" t="n">
        <v>1</v>
      </c>
      <c r="AM150" s="3" t="n">
        <v>2</v>
      </c>
      <c r="AN150" s="3" t="n">
        <v>2</v>
      </c>
      <c r="AO150" s="3" t="n">
        <v>3</v>
      </c>
      <c r="AP150" s="3" t="n">
        <v>4</v>
      </c>
      <c r="AQ150" s="3" t="n">
        <v>4</v>
      </c>
      <c r="AR150" s="3" t="n">
        <v>6</v>
      </c>
      <c r="AS150" s="3" t="n">
        <v>4</v>
      </c>
      <c r="AT150" s="3" t="n">
        <v>4</v>
      </c>
      <c r="AU150" s="3" t="n">
        <v>6</v>
      </c>
      <c r="AV150" s="3" t="n">
        <v>6</v>
      </c>
      <c r="AW150" s="3" t="n">
        <v>3</v>
      </c>
      <c r="AX150" s="3" t="n">
        <v>3</v>
      </c>
      <c r="AY150" s="3" t="n">
        <v>10</v>
      </c>
      <c r="AZ150" s="5" t="n">
        <v>1</v>
      </c>
      <c r="BA150" s="3" t="n">
        <v>1</v>
      </c>
      <c r="BB150" s="3" t="n">
        <v>1</v>
      </c>
      <c r="BC150" s="3" t="n">
        <v>2</v>
      </c>
      <c r="BD150" s="3" t="n">
        <v>1</v>
      </c>
      <c r="BE150" s="3" t="n">
        <v>2</v>
      </c>
      <c r="BF150" s="3" t="n">
        <v>1</v>
      </c>
      <c r="BG150" s="3" t="n">
        <v>4</v>
      </c>
      <c r="BH150" s="3" t="n">
        <v>1</v>
      </c>
      <c r="BI150" s="3" t="n">
        <v>1</v>
      </c>
    </row>
    <row r="151" customFormat="false" ht="12.75" hidden="false" customHeight="false" outlineLevel="0" collapsed="false">
      <c r="A151" s="2" t="s">
        <v>1997</v>
      </c>
      <c r="B151" s="2" t="s">
        <v>66</v>
      </c>
      <c r="C151" s="2" t="s">
        <v>528</v>
      </c>
      <c r="D151" s="2" t="n">
        <v>193221</v>
      </c>
      <c r="E151" s="15" t="n">
        <v>43874</v>
      </c>
      <c r="F151" s="15" t="n">
        <v>43881</v>
      </c>
      <c r="G151" s="3" t="n">
        <v>7</v>
      </c>
      <c r="H151" s="3" t="n">
        <v>2</v>
      </c>
      <c r="I151" s="3" t="n">
        <v>50</v>
      </c>
      <c r="J151" s="3" t="n">
        <v>2</v>
      </c>
      <c r="K151" s="3" t="n">
        <v>1</v>
      </c>
      <c r="L151" s="3" t="n">
        <v>2</v>
      </c>
      <c r="M151" s="3" t="n">
        <v>2</v>
      </c>
      <c r="N151" s="3" t="n">
        <v>2</v>
      </c>
      <c r="O151" s="3" t="n">
        <v>2</v>
      </c>
      <c r="P151" s="3" t="n">
        <v>2</v>
      </c>
      <c r="Q151" s="3" t="n">
        <v>2</v>
      </c>
      <c r="R151" s="3" t="n">
        <v>2</v>
      </c>
      <c r="S151" s="4" t="n">
        <v>2</v>
      </c>
      <c r="T151" s="3" t="n">
        <v>2</v>
      </c>
      <c r="U151" s="3" t="n">
        <v>4.03</v>
      </c>
      <c r="V151" s="3" t="n">
        <v>1.21</v>
      </c>
      <c r="W151" s="3" t="n">
        <v>5.22</v>
      </c>
      <c r="X151" s="3" t="n">
        <v>311</v>
      </c>
      <c r="Z151" s="3" t="n">
        <v>0.4</v>
      </c>
      <c r="AA151" s="3" t="n">
        <v>7.7</v>
      </c>
      <c r="AB151" s="3" t="n">
        <v>1</v>
      </c>
      <c r="AC151" s="3" t="n">
        <v>2</v>
      </c>
      <c r="AD151" s="3" t="n">
        <v>1</v>
      </c>
      <c r="AE151" s="3" t="n">
        <v>1</v>
      </c>
      <c r="AF151" s="3" t="n">
        <v>2</v>
      </c>
      <c r="AG151" s="3" t="n">
        <v>2</v>
      </c>
      <c r="AH151" s="3" t="n">
        <v>1</v>
      </c>
      <c r="AI151" s="3" t="n">
        <v>2</v>
      </c>
      <c r="AJ151" s="3" t="n">
        <v>2</v>
      </c>
      <c r="AK151" s="3" t="n">
        <v>2</v>
      </c>
      <c r="AL151" s="3" t="n">
        <v>2</v>
      </c>
      <c r="AM151" s="3" t="n">
        <v>1</v>
      </c>
      <c r="AN151" s="3" t="n">
        <v>2</v>
      </c>
      <c r="AO151" s="3" t="n">
        <v>3</v>
      </c>
      <c r="AP151" s="3" t="n">
        <v>4</v>
      </c>
      <c r="AQ151" s="3" t="n">
        <v>4</v>
      </c>
      <c r="AR151" s="3" t="n">
        <v>6</v>
      </c>
      <c r="AS151" s="3" t="n">
        <v>4</v>
      </c>
      <c r="AT151" s="3" t="n">
        <v>4</v>
      </c>
      <c r="AU151" s="3" t="n">
        <v>6</v>
      </c>
      <c r="AV151" s="3" t="n">
        <v>6</v>
      </c>
      <c r="AW151" s="3" t="n">
        <v>3</v>
      </c>
      <c r="AX151" s="3" t="n">
        <v>3</v>
      </c>
      <c r="AY151" s="3" t="n">
        <v>7</v>
      </c>
      <c r="AZ151" s="5" t="n">
        <v>1</v>
      </c>
      <c r="BA151" s="3" t="n">
        <v>1</v>
      </c>
      <c r="BB151" s="3" t="n">
        <v>1</v>
      </c>
      <c r="BC151" s="3" t="n">
        <v>4</v>
      </c>
      <c r="BD151" s="3" t="n">
        <v>3</v>
      </c>
      <c r="BE151" s="3" t="n">
        <v>5</v>
      </c>
      <c r="BF151" s="3" t="n">
        <v>3</v>
      </c>
      <c r="BG151" s="3" t="n">
        <v>4</v>
      </c>
      <c r="BH151" s="3" t="n">
        <v>1</v>
      </c>
      <c r="BI151" s="3" t="n">
        <v>1</v>
      </c>
    </row>
    <row r="152" customFormat="false" ht="12.75" hidden="false" customHeight="false" outlineLevel="0" collapsed="false">
      <c r="A152" s="2" t="s">
        <v>2005</v>
      </c>
      <c r="B152" s="2" t="s">
        <v>2006</v>
      </c>
      <c r="C152" s="2" t="s">
        <v>438</v>
      </c>
      <c r="D152" s="2" t="n">
        <v>193723</v>
      </c>
      <c r="E152" s="15" t="n">
        <v>43877</v>
      </c>
      <c r="F152" s="15" t="n">
        <v>43884</v>
      </c>
      <c r="G152" s="3" t="n">
        <v>7</v>
      </c>
      <c r="H152" s="3" t="n">
        <v>1</v>
      </c>
      <c r="I152" s="3" t="n">
        <v>71</v>
      </c>
      <c r="J152" s="3" t="n">
        <v>1</v>
      </c>
      <c r="K152" s="3" t="n">
        <v>1</v>
      </c>
      <c r="L152" s="3" t="n">
        <v>2</v>
      </c>
      <c r="M152" s="3" t="n">
        <v>2</v>
      </c>
      <c r="N152" s="3" t="n">
        <v>2</v>
      </c>
      <c r="O152" s="3" t="n">
        <v>2</v>
      </c>
      <c r="P152" s="3" t="n">
        <v>2</v>
      </c>
      <c r="Q152" s="3" t="n">
        <v>2</v>
      </c>
      <c r="R152" s="3" t="n">
        <v>2</v>
      </c>
      <c r="S152" s="4" t="n">
        <v>2</v>
      </c>
      <c r="T152" s="3" t="n">
        <v>2</v>
      </c>
      <c r="U152" s="3" t="n">
        <v>5.83</v>
      </c>
      <c r="V152" s="3" t="n">
        <v>1.52</v>
      </c>
      <c r="W152" s="3" t="n">
        <v>6.85</v>
      </c>
      <c r="X152" s="3" t="n">
        <v>334</v>
      </c>
      <c r="Z152" s="3" t="n">
        <v>0.45</v>
      </c>
      <c r="AA152" s="3" t="n">
        <v>11.3</v>
      </c>
      <c r="AB152" s="3" t="n">
        <v>2</v>
      </c>
      <c r="AC152" s="3" t="n">
        <v>2</v>
      </c>
      <c r="AD152" s="3" t="n">
        <v>1</v>
      </c>
      <c r="AE152" s="3" t="n">
        <v>1</v>
      </c>
      <c r="AF152" s="3" t="n">
        <v>2</v>
      </c>
      <c r="AG152" s="3" t="n">
        <v>2</v>
      </c>
      <c r="AH152" s="3" t="n">
        <v>1</v>
      </c>
      <c r="AI152" s="3" t="n">
        <v>2</v>
      </c>
      <c r="AJ152" s="3" t="n">
        <v>2</v>
      </c>
      <c r="AK152" s="3" t="n">
        <v>2</v>
      </c>
      <c r="AL152" s="3" t="n">
        <v>2</v>
      </c>
      <c r="AM152" s="3" t="n">
        <v>2</v>
      </c>
      <c r="AN152" s="3" t="n">
        <v>2</v>
      </c>
      <c r="AO152" s="3" t="n">
        <v>3</v>
      </c>
      <c r="AP152" s="3" t="n">
        <v>4</v>
      </c>
      <c r="AQ152" s="3" t="n">
        <v>4</v>
      </c>
      <c r="AR152" s="3" t="n">
        <v>6</v>
      </c>
      <c r="AS152" s="3" t="n">
        <v>4</v>
      </c>
      <c r="AT152" s="3" t="n">
        <v>4</v>
      </c>
      <c r="AU152" s="3" t="n">
        <v>6</v>
      </c>
      <c r="AV152" s="3" t="n">
        <v>6</v>
      </c>
      <c r="AW152" s="3" t="n">
        <v>3</v>
      </c>
      <c r="AX152" s="3" t="n">
        <v>3</v>
      </c>
      <c r="AY152" s="3" t="n">
        <v>1</v>
      </c>
      <c r="AZ152" s="5" t="n">
        <v>1</v>
      </c>
      <c r="BA152" s="3" t="n">
        <v>1</v>
      </c>
      <c r="BB152" s="3" t="n">
        <v>1</v>
      </c>
      <c r="BC152" s="3" t="n">
        <v>4</v>
      </c>
      <c r="BD152" s="3" t="n">
        <v>1</v>
      </c>
      <c r="BE152" s="3" t="n">
        <v>2</v>
      </c>
      <c r="BF152" s="3" t="n">
        <v>1</v>
      </c>
      <c r="BG152" s="3" t="n">
        <v>4</v>
      </c>
      <c r="BH152" s="3" t="n">
        <v>1</v>
      </c>
      <c r="BI152" s="3" t="n">
        <v>1</v>
      </c>
    </row>
    <row r="153" customFormat="false" ht="12.75" hidden="false" customHeight="false" outlineLevel="0" collapsed="false">
      <c r="A153" s="2" t="s">
        <v>145</v>
      </c>
      <c r="B153" s="2" t="s">
        <v>94</v>
      </c>
      <c r="C153" s="2" t="s">
        <v>95</v>
      </c>
      <c r="D153" s="2" t="n">
        <v>193489</v>
      </c>
      <c r="E153" s="15" t="n">
        <v>43882</v>
      </c>
      <c r="F153" s="15" t="n">
        <v>43889</v>
      </c>
      <c r="G153" s="3" t="n">
        <v>7</v>
      </c>
      <c r="H153" s="3" t="n">
        <v>2</v>
      </c>
      <c r="I153" s="3" t="n">
        <v>75</v>
      </c>
      <c r="J153" s="3" t="n">
        <v>1</v>
      </c>
      <c r="K153" s="3" t="n">
        <v>1</v>
      </c>
      <c r="L153" s="3" t="n">
        <v>2</v>
      </c>
      <c r="M153" s="3" t="n">
        <v>2</v>
      </c>
      <c r="N153" s="3" t="n">
        <v>2</v>
      </c>
      <c r="O153" s="3" t="n">
        <v>2</v>
      </c>
      <c r="P153" s="3" t="n">
        <v>2</v>
      </c>
      <c r="Q153" s="3" t="n">
        <v>2</v>
      </c>
      <c r="R153" s="3" t="n">
        <v>2</v>
      </c>
      <c r="S153" s="4" t="n">
        <v>2</v>
      </c>
      <c r="T153" s="3" t="n">
        <v>2</v>
      </c>
      <c r="U153" s="3" t="n">
        <v>4.93</v>
      </c>
      <c r="V153" s="3" t="n">
        <v>0.52</v>
      </c>
      <c r="W153" s="3" t="n">
        <v>7.4</v>
      </c>
      <c r="X153" s="3" t="n">
        <v>480</v>
      </c>
      <c r="Z153" s="3" t="n">
        <v>0.52</v>
      </c>
      <c r="AA153" s="3" t="n">
        <v>12.6</v>
      </c>
      <c r="AB153" s="3" t="n">
        <v>1</v>
      </c>
      <c r="AC153" s="3" t="n">
        <v>2</v>
      </c>
      <c r="AD153" s="3" t="n">
        <v>1</v>
      </c>
      <c r="AE153" s="3" t="n">
        <v>1</v>
      </c>
      <c r="AF153" s="3" t="n">
        <v>2</v>
      </c>
      <c r="AG153" s="3" t="n">
        <v>2</v>
      </c>
      <c r="AH153" s="3" t="n">
        <v>1</v>
      </c>
      <c r="AI153" s="3" t="n">
        <v>2</v>
      </c>
      <c r="AJ153" s="3" t="n">
        <v>2</v>
      </c>
      <c r="AK153" s="3" t="n">
        <v>2</v>
      </c>
      <c r="AL153" s="3" t="n">
        <v>2</v>
      </c>
      <c r="AM153" s="3" t="n">
        <v>2</v>
      </c>
      <c r="AN153" s="3" t="n">
        <v>2</v>
      </c>
      <c r="AO153" s="3" t="n">
        <v>3</v>
      </c>
      <c r="AP153" s="3" t="n">
        <v>4</v>
      </c>
      <c r="AQ153" s="3" t="n">
        <v>4</v>
      </c>
      <c r="AR153" s="3" t="n">
        <v>6</v>
      </c>
      <c r="AS153" s="3" t="n">
        <v>4</v>
      </c>
      <c r="AT153" s="3" t="n">
        <v>4</v>
      </c>
      <c r="AU153" s="3" t="n">
        <v>6</v>
      </c>
      <c r="AV153" s="3" t="n">
        <v>6</v>
      </c>
      <c r="AW153" s="3" t="n">
        <v>3</v>
      </c>
      <c r="AX153" s="3" t="n">
        <v>3</v>
      </c>
      <c r="AY153" s="3" t="n">
        <v>1</v>
      </c>
      <c r="AZ153" s="5" t="n">
        <v>1</v>
      </c>
      <c r="BA153" s="3" t="n">
        <v>1</v>
      </c>
      <c r="BB153" s="3" t="n">
        <v>1</v>
      </c>
      <c r="BC153" s="3" t="n">
        <v>4</v>
      </c>
      <c r="BD153" s="3" t="n">
        <v>1</v>
      </c>
      <c r="BE153" s="3" t="n">
        <v>2</v>
      </c>
      <c r="BF153" s="3" t="n">
        <v>1</v>
      </c>
      <c r="BG153" s="3" t="n">
        <v>4</v>
      </c>
      <c r="BH153" s="3" t="n">
        <v>1</v>
      </c>
      <c r="BI153" s="3" t="n">
        <v>1</v>
      </c>
    </row>
    <row r="154" customFormat="false" ht="12.75" hidden="false" customHeight="false" outlineLevel="0" collapsed="false">
      <c r="A154" s="2" t="s">
        <v>2028</v>
      </c>
      <c r="B154" s="2" t="s">
        <v>1113</v>
      </c>
      <c r="C154" s="2" t="s">
        <v>808</v>
      </c>
      <c r="D154" s="2" t="n">
        <v>193185</v>
      </c>
      <c r="E154" s="15" t="n">
        <v>43885</v>
      </c>
      <c r="F154" s="15" t="n">
        <v>43892</v>
      </c>
      <c r="G154" s="3" t="n">
        <v>7</v>
      </c>
      <c r="H154" s="3" t="n">
        <v>2</v>
      </c>
      <c r="I154" s="3" t="n">
        <v>48</v>
      </c>
      <c r="J154" s="3" t="n">
        <v>1</v>
      </c>
      <c r="K154" s="3" t="n">
        <v>1</v>
      </c>
      <c r="L154" s="3" t="n">
        <v>1</v>
      </c>
      <c r="M154" s="3" t="n">
        <v>2</v>
      </c>
      <c r="N154" s="3" t="n">
        <v>2</v>
      </c>
      <c r="O154" s="3" t="n">
        <v>2</v>
      </c>
      <c r="P154" s="3" t="n">
        <v>2</v>
      </c>
      <c r="Q154" s="3" t="n">
        <v>2</v>
      </c>
      <c r="R154" s="3" t="n">
        <v>2</v>
      </c>
      <c r="S154" s="4" t="n">
        <v>2</v>
      </c>
      <c r="T154" s="3" t="n">
        <v>2</v>
      </c>
      <c r="U154" s="3" t="n">
        <v>3.02</v>
      </c>
      <c r="V154" s="3" t="n">
        <v>1.05</v>
      </c>
      <c r="W154" s="3" t="n">
        <v>6</v>
      </c>
      <c r="X154" s="3" t="n">
        <v>313</v>
      </c>
      <c r="Z154" s="3" t="n">
        <v>0.59</v>
      </c>
      <c r="AA154" s="3" t="n">
        <v>12.9</v>
      </c>
      <c r="AB154" s="3" t="n">
        <v>1</v>
      </c>
      <c r="AC154" s="3" t="n">
        <v>2</v>
      </c>
      <c r="AD154" s="3" t="n">
        <v>1</v>
      </c>
      <c r="AE154" s="3" t="n">
        <v>1</v>
      </c>
      <c r="AF154" s="3" t="n">
        <v>2</v>
      </c>
      <c r="AG154" s="3" t="n">
        <v>2</v>
      </c>
      <c r="AH154" s="3" t="n">
        <v>1</v>
      </c>
      <c r="AI154" s="3" t="n">
        <v>2</v>
      </c>
      <c r="AJ154" s="3" t="n">
        <v>2</v>
      </c>
      <c r="AK154" s="3" t="n">
        <v>2</v>
      </c>
      <c r="AL154" s="3" t="n">
        <v>2</v>
      </c>
      <c r="AM154" s="3" t="n">
        <v>2</v>
      </c>
      <c r="AN154" s="3" t="n">
        <v>2</v>
      </c>
      <c r="AO154" s="3" t="n">
        <v>3</v>
      </c>
      <c r="AP154" s="3" t="n">
        <v>4</v>
      </c>
      <c r="AQ154" s="3" t="n">
        <v>4</v>
      </c>
      <c r="AR154" s="3" t="n">
        <v>6</v>
      </c>
      <c r="AS154" s="3" t="n">
        <v>4</v>
      </c>
      <c r="AT154" s="3" t="n">
        <v>4</v>
      </c>
      <c r="AU154" s="3" t="n">
        <v>6</v>
      </c>
      <c r="AV154" s="3" t="n">
        <v>6</v>
      </c>
      <c r="AW154" s="3" t="n">
        <v>3</v>
      </c>
      <c r="AX154" s="3" t="n">
        <v>3</v>
      </c>
      <c r="AY154" s="3" t="n">
        <v>1</v>
      </c>
      <c r="AZ154" s="5" t="n">
        <v>1</v>
      </c>
      <c r="BA154" s="3" t="n">
        <v>1</v>
      </c>
      <c r="BB154" s="3" t="n">
        <v>1</v>
      </c>
      <c r="BC154" s="3" t="n">
        <v>2</v>
      </c>
      <c r="BD154" s="3" t="n">
        <v>1</v>
      </c>
      <c r="BE154" s="3" t="n">
        <v>2</v>
      </c>
      <c r="BF154" s="3" t="n">
        <v>1</v>
      </c>
      <c r="BG154" s="3" t="n">
        <v>4</v>
      </c>
      <c r="BH154" s="3" t="n">
        <v>1</v>
      </c>
      <c r="BI154" s="3" t="n">
        <v>1</v>
      </c>
    </row>
    <row r="155" customFormat="false" ht="12.75" hidden="false" customHeight="false" outlineLevel="0" collapsed="false">
      <c r="A155" s="2" t="s">
        <v>2030</v>
      </c>
      <c r="B155" s="2" t="s">
        <v>95</v>
      </c>
      <c r="C155" s="2" t="s">
        <v>118</v>
      </c>
      <c r="D155" s="2" t="n">
        <v>193944</v>
      </c>
      <c r="E155" s="15" t="n">
        <v>43886</v>
      </c>
      <c r="F155" s="15" t="n">
        <v>43893</v>
      </c>
      <c r="G155" s="3" t="n">
        <v>7</v>
      </c>
      <c r="H155" s="3" t="n">
        <v>1</v>
      </c>
      <c r="I155" s="3" t="n">
        <v>46</v>
      </c>
      <c r="J155" s="3" t="n">
        <v>1</v>
      </c>
      <c r="K155" s="3" t="n">
        <v>1</v>
      </c>
      <c r="L155" s="3" t="n">
        <v>1</v>
      </c>
      <c r="M155" s="3" t="n">
        <v>2</v>
      </c>
      <c r="N155" s="3" t="n">
        <v>2</v>
      </c>
      <c r="O155" s="3" t="n">
        <v>2</v>
      </c>
      <c r="P155" s="3" t="n">
        <v>2</v>
      </c>
      <c r="Q155" s="3" t="n">
        <v>2</v>
      </c>
      <c r="R155" s="3" t="n">
        <v>2</v>
      </c>
      <c r="S155" s="4" t="n">
        <v>2</v>
      </c>
      <c r="T155" s="3" t="n">
        <v>2</v>
      </c>
      <c r="U155" s="3" t="n">
        <v>5.11</v>
      </c>
      <c r="V155" s="3" t="n">
        <v>1.31</v>
      </c>
      <c r="W155" s="3" t="n">
        <v>6.43</v>
      </c>
      <c r="X155" s="3" t="n">
        <v>205</v>
      </c>
      <c r="Z155" s="3" t="n">
        <v>0.51</v>
      </c>
      <c r="AA155" s="3" t="n">
        <v>10.2</v>
      </c>
      <c r="AB155" s="3" t="n">
        <v>1</v>
      </c>
      <c r="AC155" s="3" t="n">
        <v>1</v>
      </c>
      <c r="AD155" s="3" t="n">
        <v>1</v>
      </c>
      <c r="AE155" s="3" t="n">
        <v>1</v>
      </c>
      <c r="AF155" s="3" t="n">
        <v>2</v>
      </c>
      <c r="AG155" s="3" t="n">
        <v>1</v>
      </c>
      <c r="AH155" s="3" t="n">
        <v>1</v>
      </c>
      <c r="AI155" s="3" t="n">
        <v>2</v>
      </c>
      <c r="AJ155" s="3" t="n">
        <v>2</v>
      </c>
      <c r="AK155" s="3" t="n">
        <v>2</v>
      </c>
      <c r="AL155" s="3" t="n">
        <v>1</v>
      </c>
      <c r="AM155" s="3" t="n">
        <v>2</v>
      </c>
      <c r="AN155" s="3" t="n">
        <v>2</v>
      </c>
      <c r="AO155" s="3" t="n">
        <v>3</v>
      </c>
      <c r="AP155" s="3" t="n">
        <v>4</v>
      </c>
      <c r="AQ155" s="3" t="n">
        <v>4</v>
      </c>
      <c r="AR155" s="3" t="n">
        <v>6</v>
      </c>
      <c r="AS155" s="3" t="n">
        <v>4</v>
      </c>
      <c r="AT155" s="3" t="n">
        <v>4</v>
      </c>
      <c r="AU155" s="3" t="n">
        <v>6</v>
      </c>
      <c r="AV155" s="3" t="n">
        <v>6</v>
      </c>
      <c r="AW155" s="3" t="n">
        <v>3</v>
      </c>
      <c r="AX155" s="3" t="n">
        <v>3</v>
      </c>
      <c r="AY155" s="3" t="n">
        <v>1</v>
      </c>
      <c r="AZ155" s="5" t="n">
        <v>1</v>
      </c>
      <c r="BA155" s="3" t="n">
        <v>1</v>
      </c>
      <c r="BB155" s="3" t="n">
        <v>1</v>
      </c>
      <c r="BC155" s="3" t="n">
        <v>2</v>
      </c>
      <c r="BD155" s="3" t="n">
        <v>2</v>
      </c>
      <c r="BE155" s="3" t="n">
        <v>5</v>
      </c>
      <c r="BF155" s="3" t="n">
        <v>3</v>
      </c>
      <c r="BG155" s="3" t="n">
        <v>4</v>
      </c>
      <c r="BH155" s="3" t="n">
        <v>1</v>
      </c>
      <c r="BI155" s="3" t="n">
        <v>1</v>
      </c>
    </row>
    <row r="156" customFormat="false" ht="12.75" hidden="false" customHeight="false" outlineLevel="0" collapsed="false">
      <c r="A156" s="2" t="s">
        <v>2035</v>
      </c>
      <c r="B156" s="2" t="s">
        <v>78</v>
      </c>
      <c r="C156" s="2" t="s">
        <v>2036</v>
      </c>
      <c r="D156" s="2" t="n">
        <v>193953</v>
      </c>
      <c r="E156" s="15" t="n">
        <v>43887</v>
      </c>
      <c r="F156" s="15" t="n">
        <v>43894</v>
      </c>
      <c r="G156" s="3" t="n">
        <v>7</v>
      </c>
      <c r="H156" s="3" t="n">
        <v>2</v>
      </c>
      <c r="I156" s="3" t="n">
        <v>72</v>
      </c>
      <c r="J156" s="3" t="n">
        <v>1</v>
      </c>
      <c r="K156" s="3" t="n">
        <v>1</v>
      </c>
      <c r="L156" s="3" t="n">
        <v>1</v>
      </c>
      <c r="M156" s="3" t="n">
        <v>2</v>
      </c>
      <c r="N156" s="3" t="n">
        <v>2</v>
      </c>
      <c r="O156" s="3" t="n">
        <v>2</v>
      </c>
      <c r="P156" s="3" t="n">
        <v>2</v>
      </c>
      <c r="Q156" s="3" t="n">
        <v>2</v>
      </c>
      <c r="R156" s="3" t="n">
        <v>2</v>
      </c>
      <c r="S156" s="4" t="n">
        <v>2</v>
      </c>
      <c r="T156" s="3" t="n">
        <v>2</v>
      </c>
      <c r="U156" s="3" t="n">
        <v>5.05</v>
      </c>
      <c r="V156" s="3" t="n">
        <v>0.62</v>
      </c>
      <c r="W156" s="3" t="n">
        <v>7.28</v>
      </c>
      <c r="X156" s="3" t="n">
        <v>471</v>
      </c>
      <c r="Z156" s="3" t="n">
        <v>0.46</v>
      </c>
      <c r="AA156" s="3" t="n">
        <v>13.3</v>
      </c>
      <c r="AB156" s="3" t="n">
        <v>2</v>
      </c>
      <c r="AC156" s="3" t="n">
        <v>1</v>
      </c>
      <c r="AD156" s="3" t="n">
        <v>1</v>
      </c>
      <c r="AE156" s="3" t="n">
        <v>1</v>
      </c>
      <c r="AF156" s="3" t="n">
        <v>2</v>
      </c>
      <c r="AG156" s="3" t="n">
        <v>2</v>
      </c>
      <c r="AH156" s="3" t="n">
        <v>1</v>
      </c>
      <c r="AI156" s="3" t="n">
        <v>2</v>
      </c>
      <c r="AJ156" s="3" t="n">
        <v>2</v>
      </c>
      <c r="AK156" s="3" t="n">
        <v>2</v>
      </c>
      <c r="AL156" s="3" t="n">
        <v>2</v>
      </c>
      <c r="AM156" s="3" t="n">
        <v>2</v>
      </c>
      <c r="AN156" s="3" t="n">
        <v>2</v>
      </c>
      <c r="AO156" s="3" t="n">
        <v>3</v>
      </c>
      <c r="AP156" s="3" t="n">
        <v>4</v>
      </c>
      <c r="AQ156" s="3" t="n">
        <v>4</v>
      </c>
      <c r="AR156" s="3" t="n">
        <v>6</v>
      </c>
      <c r="AS156" s="3" t="n">
        <v>4</v>
      </c>
      <c r="AT156" s="3" t="n">
        <v>4</v>
      </c>
      <c r="AU156" s="3" t="n">
        <v>6</v>
      </c>
      <c r="AV156" s="3" t="n">
        <v>6</v>
      </c>
      <c r="AW156" s="3" t="n">
        <v>3</v>
      </c>
      <c r="AX156" s="3" t="n">
        <v>3</v>
      </c>
      <c r="AY156" s="3" t="n">
        <v>1</v>
      </c>
      <c r="AZ156" s="5" t="n">
        <v>1</v>
      </c>
      <c r="BA156" s="3" t="n">
        <v>1</v>
      </c>
      <c r="BB156" s="3" t="n">
        <v>1</v>
      </c>
      <c r="BC156" s="3" t="n">
        <v>2</v>
      </c>
      <c r="BD156" s="3" t="n">
        <v>2</v>
      </c>
      <c r="BE156" s="3" t="n">
        <v>5</v>
      </c>
      <c r="BF156" s="3" t="n">
        <v>3</v>
      </c>
      <c r="BG156" s="3" t="n">
        <v>4</v>
      </c>
      <c r="BH156" s="3" t="n">
        <v>1</v>
      </c>
      <c r="BI156" s="3" t="n">
        <v>1</v>
      </c>
    </row>
    <row r="157" customFormat="false" ht="12.75" hidden="false" customHeight="false" outlineLevel="0" collapsed="false">
      <c r="A157" s="2" t="s">
        <v>2038</v>
      </c>
      <c r="B157" s="2" t="s">
        <v>78</v>
      </c>
      <c r="C157" s="2" t="s">
        <v>1335</v>
      </c>
      <c r="D157" s="2" t="n">
        <v>193873</v>
      </c>
      <c r="E157" s="15" t="n">
        <v>43894</v>
      </c>
      <c r="F157" s="15" t="n">
        <v>43900</v>
      </c>
      <c r="G157" s="3" t="n">
        <v>6</v>
      </c>
      <c r="H157" s="3" t="n">
        <v>2</v>
      </c>
      <c r="I157" s="3" t="n">
        <v>57</v>
      </c>
      <c r="J157" s="3" t="n">
        <v>1</v>
      </c>
      <c r="K157" s="3" t="n">
        <v>2</v>
      </c>
      <c r="L157" s="3" t="n">
        <v>1</v>
      </c>
      <c r="M157" s="3" t="n">
        <v>2</v>
      </c>
      <c r="N157" s="3" t="n">
        <v>1</v>
      </c>
      <c r="O157" s="3" t="n">
        <v>2</v>
      </c>
      <c r="P157" s="3" t="n">
        <v>1</v>
      </c>
      <c r="Q157" s="3" t="n">
        <v>2</v>
      </c>
      <c r="R157" s="3" t="n">
        <v>1</v>
      </c>
      <c r="S157" s="4" t="n">
        <v>2</v>
      </c>
      <c r="T157" s="3" t="n">
        <v>2</v>
      </c>
      <c r="U157" s="3" t="n">
        <v>6.74</v>
      </c>
      <c r="V157" s="3" t="n">
        <v>1.39</v>
      </c>
      <c r="W157" s="3" t="n">
        <v>13.76</v>
      </c>
      <c r="X157" s="3" t="n">
        <v>308</v>
      </c>
      <c r="Z157" s="3" t="n">
        <v>0.47</v>
      </c>
      <c r="AA157" s="3" t="n">
        <v>12.1</v>
      </c>
      <c r="AB157" s="3" t="n">
        <v>2</v>
      </c>
      <c r="AC157" s="3" t="n">
        <v>1</v>
      </c>
      <c r="AD157" s="3" t="n">
        <v>1</v>
      </c>
      <c r="AE157" s="3" t="n">
        <v>1</v>
      </c>
      <c r="AF157" s="3" t="n">
        <v>1</v>
      </c>
      <c r="AG157" s="3" t="n">
        <v>2</v>
      </c>
      <c r="AH157" s="3" t="n">
        <v>1</v>
      </c>
      <c r="AI157" s="3" t="n">
        <v>1</v>
      </c>
      <c r="AJ157" s="3" t="n">
        <v>2</v>
      </c>
      <c r="AK157" s="3" t="n">
        <v>2</v>
      </c>
      <c r="AL157" s="3" t="n">
        <v>2</v>
      </c>
      <c r="AM157" s="3" t="n">
        <v>2</v>
      </c>
      <c r="AN157" s="3" t="n">
        <v>2</v>
      </c>
      <c r="AO157" s="3" t="n">
        <v>3</v>
      </c>
      <c r="AP157" s="3" t="n">
        <v>4</v>
      </c>
      <c r="AQ157" s="3" t="n">
        <v>4</v>
      </c>
      <c r="AR157" s="3" t="n">
        <v>6</v>
      </c>
      <c r="AS157" s="3" t="n">
        <v>4</v>
      </c>
      <c r="AT157" s="3" t="n">
        <v>4</v>
      </c>
      <c r="AU157" s="3" t="n">
        <v>6</v>
      </c>
      <c r="AV157" s="3" t="n">
        <v>6</v>
      </c>
      <c r="AW157" s="3" t="n">
        <v>3</v>
      </c>
      <c r="AX157" s="3" t="n">
        <v>3</v>
      </c>
      <c r="AY157" s="3" t="n">
        <v>1</v>
      </c>
      <c r="AZ157" s="5" t="n">
        <v>1</v>
      </c>
      <c r="BA157" s="3" t="n">
        <v>1</v>
      </c>
      <c r="BB157" s="3" t="n">
        <v>1</v>
      </c>
      <c r="BC157" s="3" t="n">
        <v>2</v>
      </c>
      <c r="BD157" s="3" t="n">
        <v>3</v>
      </c>
      <c r="BE157" s="3" t="n">
        <v>5</v>
      </c>
      <c r="BF157" s="3" t="n">
        <v>3</v>
      </c>
      <c r="BG157" s="3" t="n">
        <v>4</v>
      </c>
      <c r="BH157" s="3" t="n">
        <v>1</v>
      </c>
      <c r="BI157" s="3" t="n">
        <v>1</v>
      </c>
    </row>
    <row r="158" customFormat="false" ht="12.75" hidden="false" customHeight="false" outlineLevel="0" collapsed="false">
      <c r="A158" s="2" t="s">
        <v>2040</v>
      </c>
      <c r="B158" s="2" t="s">
        <v>1482</v>
      </c>
      <c r="C158" s="2" t="s">
        <v>2041</v>
      </c>
      <c r="D158" s="2" t="n">
        <v>193864</v>
      </c>
      <c r="E158" s="15" t="n">
        <v>43893</v>
      </c>
      <c r="F158" s="15" t="n">
        <v>43900</v>
      </c>
      <c r="G158" s="3" t="n">
        <v>7</v>
      </c>
      <c r="H158" s="3" t="n">
        <v>2</v>
      </c>
      <c r="I158" s="3" t="n">
        <v>59</v>
      </c>
      <c r="J158" s="3" t="n">
        <v>1</v>
      </c>
      <c r="K158" s="3" t="n">
        <v>1</v>
      </c>
      <c r="L158" s="3" t="n">
        <v>1</v>
      </c>
      <c r="M158" s="3" t="n">
        <v>2</v>
      </c>
      <c r="N158" s="3" t="n">
        <v>1</v>
      </c>
      <c r="O158" s="3" t="n">
        <v>1</v>
      </c>
      <c r="P158" s="3" t="n">
        <v>1</v>
      </c>
      <c r="Q158" s="3" t="n">
        <v>2</v>
      </c>
      <c r="R158" s="3" t="n">
        <v>1</v>
      </c>
      <c r="S158" s="4" t="n">
        <v>2</v>
      </c>
      <c r="T158" s="3" t="n">
        <v>2</v>
      </c>
      <c r="U158" s="3" t="n">
        <v>5.98</v>
      </c>
      <c r="V158" s="3" t="n">
        <v>5.43</v>
      </c>
      <c r="W158" s="3" t="n">
        <v>18.47</v>
      </c>
      <c r="X158" s="3" t="n">
        <v>282</v>
      </c>
      <c r="Z158" s="3" t="n">
        <v>0.49</v>
      </c>
      <c r="AA158" s="3" t="n">
        <v>13.2</v>
      </c>
      <c r="AB158" s="3" t="n">
        <v>1</v>
      </c>
      <c r="AC158" s="3" t="n">
        <v>1</v>
      </c>
      <c r="AD158" s="3" t="n">
        <v>1</v>
      </c>
      <c r="AE158" s="3" t="n">
        <v>1</v>
      </c>
      <c r="AF158" s="3" t="n">
        <v>1</v>
      </c>
      <c r="AG158" s="3" t="n">
        <v>1</v>
      </c>
      <c r="AH158" s="3" t="n">
        <v>1</v>
      </c>
      <c r="AI158" s="3" t="n">
        <v>1</v>
      </c>
      <c r="AJ158" s="3" t="n">
        <v>1</v>
      </c>
      <c r="AK158" s="3" t="n">
        <v>2</v>
      </c>
      <c r="AL158" s="3" t="n">
        <v>1</v>
      </c>
      <c r="AM158" s="3" t="n">
        <v>2</v>
      </c>
      <c r="AN158" s="3" t="n">
        <v>2</v>
      </c>
      <c r="AO158" s="3" t="n">
        <v>3</v>
      </c>
      <c r="AP158" s="3" t="n">
        <v>4</v>
      </c>
      <c r="AQ158" s="3" t="n">
        <v>4</v>
      </c>
      <c r="AR158" s="3" t="n">
        <v>6</v>
      </c>
      <c r="AS158" s="3" t="n">
        <v>4</v>
      </c>
      <c r="AT158" s="3" t="n">
        <v>4</v>
      </c>
      <c r="AU158" s="3" t="n">
        <v>6</v>
      </c>
      <c r="AV158" s="3" t="n">
        <v>6</v>
      </c>
      <c r="AW158" s="3" t="n">
        <v>3</v>
      </c>
      <c r="AX158" s="3" t="n">
        <v>3</v>
      </c>
      <c r="AY158" s="3" t="n">
        <v>1</v>
      </c>
      <c r="AZ158" s="5" t="n">
        <v>1</v>
      </c>
      <c r="BA158" s="3" t="n">
        <v>1</v>
      </c>
      <c r="BB158" s="3" t="n">
        <v>1</v>
      </c>
      <c r="BC158" s="3" t="n">
        <v>2</v>
      </c>
      <c r="BD158" s="3" t="n">
        <v>3</v>
      </c>
      <c r="BE158" s="3" t="n">
        <v>5</v>
      </c>
      <c r="BF158" s="3" t="n">
        <v>3</v>
      </c>
      <c r="BG158" s="3" t="n">
        <v>4</v>
      </c>
      <c r="BH158" s="3" t="n">
        <v>1</v>
      </c>
      <c r="BI158" s="3" t="n">
        <v>1</v>
      </c>
    </row>
    <row r="159" customFormat="false" ht="12.75" hidden="false" customHeight="false" outlineLevel="0" collapsed="false">
      <c r="A159" s="2" t="s">
        <v>680</v>
      </c>
      <c r="B159" s="2" t="s">
        <v>2043</v>
      </c>
      <c r="C159" s="2" t="s">
        <v>1150</v>
      </c>
      <c r="D159" s="2" t="n">
        <v>193969</v>
      </c>
      <c r="E159" s="15" t="n">
        <v>43891</v>
      </c>
      <c r="F159" s="15" t="n">
        <v>43899</v>
      </c>
      <c r="G159" s="3" t="n">
        <v>8</v>
      </c>
      <c r="H159" s="3" t="n">
        <v>2</v>
      </c>
      <c r="I159" s="3" t="n">
        <v>73</v>
      </c>
      <c r="J159" s="3" t="n">
        <v>1</v>
      </c>
      <c r="K159" s="3" t="n">
        <v>1</v>
      </c>
      <c r="L159" s="3" t="n">
        <v>1</v>
      </c>
      <c r="M159" s="3" t="n">
        <v>2</v>
      </c>
      <c r="N159" s="3" t="n">
        <v>2</v>
      </c>
      <c r="O159" s="3" t="n">
        <v>2</v>
      </c>
      <c r="P159" s="3" t="n">
        <v>2</v>
      </c>
      <c r="Q159" s="3" t="n">
        <v>2</v>
      </c>
      <c r="R159" s="3" t="n">
        <v>2</v>
      </c>
      <c r="S159" s="4" t="n">
        <v>2</v>
      </c>
      <c r="T159" s="3" t="n">
        <v>2</v>
      </c>
      <c r="U159" s="3" t="n">
        <v>3.48</v>
      </c>
      <c r="V159" s="3" t="n">
        <v>1.48</v>
      </c>
      <c r="W159" s="3" t="n">
        <v>6.58</v>
      </c>
      <c r="X159" s="3" t="n">
        <v>475</v>
      </c>
      <c r="Z159" s="3" t="n">
        <v>0.35</v>
      </c>
      <c r="AA159" s="3" t="n">
        <v>12</v>
      </c>
      <c r="AB159" s="3" t="n">
        <v>1</v>
      </c>
      <c r="AC159" s="3" t="n">
        <v>2</v>
      </c>
      <c r="AD159" s="3" t="n">
        <v>1</v>
      </c>
      <c r="AE159" s="3" t="n">
        <v>1</v>
      </c>
      <c r="AF159" s="3" t="n">
        <v>2</v>
      </c>
      <c r="AG159" s="3" t="n">
        <v>2</v>
      </c>
      <c r="AH159" s="3" t="n">
        <v>1</v>
      </c>
      <c r="AI159" s="3" t="n">
        <v>2</v>
      </c>
      <c r="AJ159" s="3" t="n">
        <v>2</v>
      </c>
      <c r="AK159" s="3" t="n">
        <v>2</v>
      </c>
      <c r="AL159" s="3" t="n">
        <v>2</v>
      </c>
      <c r="AM159" s="3" t="n">
        <v>2</v>
      </c>
      <c r="AN159" s="3" t="n">
        <v>2</v>
      </c>
      <c r="AO159" s="3" t="n">
        <v>3</v>
      </c>
      <c r="AP159" s="3" t="n">
        <v>4</v>
      </c>
      <c r="AQ159" s="3" t="n">
        <v>4</v>
      </c>
      <c r="AR159" s="3" t="n">
        <v>6</v>
      </c>
      <c r="AS159" s="3" t="n">
        <v>4</v>
      </c>
      <c r="AT159" s="3" t="n">
        <v>4</v>
      </c>
      <c r="AU159" s="3" t="n">
        <v>6</v>
      </c>
      <c r="AV159" s="3" t="n">
        <v>6</v>
      </c>
      <c r="AW159" s="3" t="n">
        <v>3</v>
      </c>
      <c r="AX159" s="3" t="n">
        <v>3</v>
      </c>
      <c r="AY159" s="3" t="n">
        <v>1</v>
      </c>
      <c r="AZ159" s="5" t="n">
        <v>1</v>
      </c>
      <c r="BA159" s="3" t="n">
        <v>1</v>
      </c>
      <c r="BB159" s="3" t="n">
        <v>1</v>
      </c>
      <c r="BC159" s="3" t="n">
        <v>4</v>
      </c>
      <c r="BD159" s="3" t="n">
        <v>1</v>
      </c>
      <c r="BE159" s="3" t="n">
        <v>2</v>
      </c>
      <c r="BF159" s="3" t="n">
        <v>1</v>
      </c>
      <c r="BG159" s="3" t="n">
        <v>4</v>
      </c>
      <c r="BH159" s="3" t="n">
        <v>1</v>
      </c>
      <c r="BI159" s="3" t="n">
        <v>1</v>
      </c>
    </row>
    <row r="160" customFormat="false" ht="12.75" hidden="false" customHeight="false" outlineLevel="0" collapsed="false">
      <c r="A160" s="2" t="s">
        <v>2045</v>
      </c>
      <c r="B160" s="2" t="s">
        <v>898</v>
      </c>
      <c r="C160" s="2" t="s">
        <v>2046</v>
      </c>
      <c r="D160" s="2" t="n">
        <v>193863</v>
      </c>
      <c r="E160" s="15" t="n">
        <v>43890</v>
      </c>
      <c r="F160" s="15" t="n">
        <v>43897</v>
      </c>
      <c r="G160" s="3" t="n">
        <v>8</v>
      </c>
      <c r="H160" s="3" t="n">
        <v>2</v>
      </c>
      <c r="I160" s="3" t="n">
        <v>31</v>
      </c>
      <c r="J160" s="3" t="n">
        <v>2</v>
      </c>
      <c r="K160" s="3" t="n">
        <v>2</v>
      </c>
      <c r="L160" s="3" t="n">
        <v>2</v>
      </c>
      <c r="M160" s="3" t="n">
        <v>2</v>
      </c>
      <c r="N160" s="3" t="n">
        <v>2</v>
      </c>
      <c r="O160" s="3" t="n">
        <v>2</v>
      </c>
      <c r="P160" s="3" t="n">
        <v>2</v>
      </c>
      <c r="Q160" s="3" t="n">
        <v>2</v>
      </c>
      <c r="R160" s="3" t="n">
        <v>2</v>
      </c>
      <c r="S160" s="4" t="n">
        <v>2</v>
      </c>
      <c r="T160" s="3" t="n">
        <v>2</v>
      </c>
      <c r="U160" s="3" t="n">
        <v>3.99</v>
      </c>
      <c r="V160" s="3" t="n">
        <v>1.47</v>
      </c>
      <c r="W160" s="3" t="n">
        <v>5.18</v>
      </c>
      <c r="X160" s="3" t="n">
        <v>315</v>
      </c>
      <c r="Z160" s="3" t="n">
        <v>0.5</v>
      </c>
      <c r="AA160" s="3" t="n">
        <v>12.3</v>
      </c>
      <c r="AB160" s="3" t="n">
        <v>1</v>
      </c>
      <c r="AC160" s="3" t="n">
        <v>2</v>
      </c>
      <c r="AD160" s="3" t="n">
        <v>1</v>
      </c>
      <c r="AE160" s="3" t="n">
        <v>1</v>
      </c>
      <c r="AF160" s="3" t="n">
        <v>1</v>
      </c>
      <c r="AG160" s="3" t="n">
        <v>2</v>
      </c>
      <c r="AH160" s="3" t="n">
        <v>1</v>
      </c>
      <c r="AI160" s="3" t="n">
        <v>2</v>
      </c>
      <c r="AJ160" s="3" t="n">
        <v>2</v>
      </c>
      <c r="AK160" s="3" t="n">
        <v>2</v>
      </c>
      <c r="AL160" s="3" t="n">
        <v>2</v>
      </c>
      <c r="AM160" s="3" t="n">
        <v>2</v>
      </c>
      <c r="AN160" s="3" t="n">
        <v>2</v>
      </c>
      <c r="AO160" s="3" t="n">
        <v>2</v>
      </c>
      <c r="AP160" s="3" t="n">
        <v>2</v>
      </c>
      <c r="AQ160" s="3" t="n">
        <v>4</v>
      </c>
      <c r="AR160" s="3" t="n">
        <v>6</v>
      </c>
      <c r="AS160" s="3" t="n">
        <v>4</v>
      </c>
      <c r="AT160" s="3" t="n">
        <v>4</v>
      </c>
      <c r="AU160" s="3" t="n">
        <v>1</v>
      </c>
      <c r="AV160" s="3" t="n">
        <v>6</v>
      </c>
      <c r="AW160" s="3" t="n">
        <v>3</v>
      </c>
      <c r="AX160" s="3" t="n">
        <v>3</v>
      </c>
      <c r="AY160" s="3" t="n">
        <v>9</v>
      </c>
      <c r="AZ160" s="5" t="n">
        <v>1</v>
      </c>
      <c r="BA160" s="3" t="n">
        <v>1</v>
      </c>
      <c r="BB160" s="3" t="n">
        <v>1</v>
      </c>
      <c r="BC160" s="3" t="n">
        <v>4</v>
      </c>
      <c r="BD160" s="3" t="n">
        <v>1</v>
      </c>
      <c r="BE160" s="3" t="n">
        <v>2</v>
      </c>
      <c r="BF160" s="3" t="n">
        <v>1</v>
      </c>
      <c r="BG160" s="3" t="n">
        <v>4</v>
      </c>
      <c r="BH160" s="3" t="n">
        <v>1</v>
      </c>
      <c r="BI160" s="3" t="n">
        <v>1</v>
      </c>
    </row>
    <row r="161" customFormat="false" ht="12.75" hidden="false" customHeight="false" outlineLevel="0" collapsed="false">
      <c r="A161" s="2" t="s">
        <v>543</v>
      </c>
      <c r="B161" s="2" t="s">
        <v>386</v>
      </c>
      <c r="C161" s="2" t="s">
        <v>2048</v>
      </c>
      <c r="D161" s="2" t="n">
        <v>193999</v>
      </c>
      <c r="E161" s="15" t="n">
        <v>43893</v>
      </c>
      <c r="F161" s="15" t="n">
        <v>43900</v>
      </c>
      <c r="G161" s="3" t="n">
        <v>7</v>
      </c>
      <c r="H161" s="3" t="n">
        <v>2</v>
      </c>
      <c r="I161" s="3" t="n">
        <v>51</v>
      </c>
      <c r="J161" s="3" t="n">
        <v>2</v>
      </c>
      <c r="K161" s="3" t="n">
        <v>1</v>
      </c>
      <c r="L161" s="3" t="n">
        <v>2</v>
      </c>
      <c r="M161" s="3" t="n">
        <v>2</v>
      </c>
      <c r="N161" s="3" t="n">
        <v>2</v>
      </c>
      <c r="O161" s="3" t="n">
        <v>2</v>
      </c>
      <c r="P161" s="3" t="n">
        <v>2</v>
      </c>
      <c r="Q161" s="3" t="n">
        <v>2</v>
      </c>
      <c r="R161" s="3" t="n">
        <v>2</v>
      </c>
      <c r="S161" s="4" t="n">
        <v>2</v>
      </c>
      <c r="T161" s="3" t="n">
        <v>2</v>
      </c>
      <c r="U161" s="3" t="n">
        <v>5.55</v>
      </c>
      <c r="V161" s="3" t="n">
        <v>1.57</v>
      </c>
      <c r="W161" s="3" t="n">
        <v>7.08</v>
      </c>
      <c r="X161" s="3" t="n">
        <v>482</v>
      </c>
      <c r="Z161" s="3" t="n">
        <v>0.49</v>
      </c>
      <c r="AA161" s="3" t="n">
        <v>9.3</v>
      </c>
      <c r="AB161" s="3" t="n">
        <v>1</v>
      </c>
      <c r="AC161" s="3" t="n">
        <v>2</v>
      </c>
      <c r="AD161" s="3" t="n">
        <v>1</v>
      </c>
      <c r="AE161" s="3" t="n">
        <v>1</v>
      </c>
      <c r="AF161" s="3" t="n">
        <v>2</v>
      </c>
      <c r="AG161" s="3" t="n">
        <v>2</v>
      </c>
      <c r="AH161" s="3" t="n">
        <v>1</v>
      </c>
      <c r="AI161" s="3" t="n">
        <v>2</v>
      </c>
      <c r="AJ161" s="3" t="n">
        <v>2</v>
      </c>
      <c r="AK161" s="3" t="n">
        <v>2</v>
      </c>
      <c r="AL161" s="3" t="n">
        <v>2</v>
      </c>
      <c r="AM161" s="3" t="n">
        <v>2</v>
      </c>
      <c r="AN161" s="3" t="n">
        <v>2</v>
      </c>
      <c r="AO161" s="3" t="n">
        <v>3</v>
      </c>
      <c r="AP161" s="3" t="n">
        <v>4</v>
      </c>
      <c r="AQ161" s="3" t="n">
        <v>4</v>
      </c>
      <c r="AR161" s="3" t="n">
        <v>6</v>
      </c>
      <c r="AS161" s="3" t="n">
        <v>4</v>
      </c>
      <c r="AT161" s="3" t="n">
        <v>4</v>
      </c>
      <c r="AU161" s="3" t="n">
        <v>6</v>
      </c>
      <c r="AV161" s="3" t="n">
        <v>6</v>
      </c>
      <c r="AW161" s="3" t="n">
        <v>3</v>
      </c>
      <c r="AX161" s="3" t="n">
        <v>3</v>
      </c>
      <c r="AY161" s="3" t="n">
        <v>1</v>
      </c>
      <c r="AZ161" s="5" t="n">
        <v>1</v>
      </c>
      <c r="BA161" s="3" t="n">
        <v>1</v>
      </c>
      <c r="BB161" s="3" t="n">
        <v>1</v>
      </c>
      <c r="BC161" s="3" t="n">
        <v>4</v>
      </c>
      <c r="BD161" s="3" t="n">
        <v>1</v>
      </c>
      <c r="BE161" s="3" t="n">
        <v>2</v>
      </c>
      <c r="BF161" s="3" t="n">
        <v>1</v>
      </c>
      <c r="BG161" s="3" t="n">
        <v>4</v>
      </c>
      <c r="BH161" s="3" t="n">
        <v>1</v>
      </c>
      <c r="BI161" s="3" t="n">
        <v>1</v>
      </c>
    </row>
    <row r="162" customFormat="false" ht="12.75" hidden="false" customHeight="false" outlineLevel="0" collapsed="false">
      <c r="A162" s="2" t="s">
        <v>680</v>
      </c>
      <c r="B162" s="2" t="s">
        <v>879</v>
      </c>
      <c r="C162" s="2" t="s">
        <v>2050</v>
      </c>
      <c r="D162" s="2" t="n">
        <v>193985</v>
      </c>
      <c r="E162" s="15" t="n">
        <v>43891</v>
      </c>
      <c r="F162" s="15" t="n">
        <v>43897</v>
      </c>
      <c r="G162" s="3" t="n">
        <v>6</v>
      </c>
      <c r="H162" s="3" t="n">
        <v>2</v>
      </c>
      <c r="I162" s="3" t="n">
        <v>78</v>
      </c>
      <c r="J162" s="3" t="n">
        <v>1</v>
      </c>
      <c r="K162" s="3" t="n">
        <v>2</v>
      </c>
      <c r="L162" s="3" t="n">
        <v>1</v>
      </c>
      <c r="M162" s="3" t="n">
        <v>2</v>
      </c>
      <c r="N162" s="3" t="n">
        <v>2</v>
      </c>
      <c r="O162" s="3" t="n">
        <v>2</v>
      </c>
      <c r="P162" s="3" t="n">
        <v>2</v>
      </c>
      <c r="Q162" s="3" t="n">
        <v>2</v>
      </c>
      <c r="R162" s="3" t="n">
        <v>1</v>
      </c>
      <c r="S162" s="4" t="n">
        <v>2</v>
      </c>
      <c r="T162" s="3" t="n">
        <v>2</v>
      </c>
      <c r="U162" s="3" t="n">
        <v>5.15</v>
      </c>
      <c r="V162" s="3" t="n">
        <v>0.48</v>
      </c>
      <c r="W162" s="3" t="n">
        <v>6.02</v>
      </c>
      <c r="X162" s="3" t="n">
        <v>428</v>
      </c>
      <c r="Z162" s="3" t="n">
        <v>0.42</v>
      </c>
      <c r="AA162" s="3" t="n">
        <v>7.9</v>
      </c>
      <c r="AB162" s="3" t="n">
        <v>1</v>
      </c>
      <c r="AC162" s="3" t="n">
        <v>2</v>
      </c>
      <c r="AD162" s="3" t="n">
        <v>1</v>
      </c>
      <c r="AE162" s="3" t="n">
        <v>1</v>
      </c>
      <c r="AF162" s="3" t="n">
        <v>2</v>
      </c>
      <c r="AG162" s="3" t="n">
        <v>2</v>
      </c>
      <c r="AH162" s="3" t="n">
        <v>1</v>
      </c>
      <c r="AI162" s="3" t="n">
        <v>1</v>
      </c>
      <c r="AJ162" s="3" t="n">
        <v>2</v>
      </c>
      <c r="AK162" s="3" t="n">
        <v>2</v>
      </c>
      <c r="AL162" s="3" t="n">
        <v>1</v>
      </c>
      <c r="AM162" s="3" t="n">
        <v>2</v>
      </c>
      <c r="AN162" s="3" t="n">
        <v>2</v>
      </c>
      <c r="AO162" s="3" t="n">
        <v>3</v>
      </c>
      <c r="AP162" s="3" t="n">
        <v>4</v>
      </c>
      <c r="AQ162" s="3" t="n">
        <v>4</v>
      </c>
      <c r="AR162" s="3" t="n">
        <v>6</v>
      </c>
      <c r="AS162" s="3" t="n">
        <v>4</v>
      </c>
      <c r="AT162" s="3" t="n">
        <v>4</v>
      </c>
      <c r="AU162" s="3" t="n">
        <v>6</v>
      </c>
      <c r="AV162" s="3" t="n">
        <v>6</v>
      </c>
      <c r="AW162" s="3" t="n">
        <v>3</v>
      </c>
      <c r="AX162" s="3" t="n">
        <v>3</v>
      </c>
      <c r="AY162" s="3" t="n">
        <v>1</v>
      </c>
      <c r="AZ162" s="5" t="n">
        <v>1</v>
      </c>
      <c r="BA162" s="3" t="n">
        <v>1</v>
      </c>
      <c r="BB162" s="3" t="n">
        <v>1</v>
      </c>
      <c r="BC162" s="3" t="n">
        <v>2</v>
      </c>
      <c r="BD162" s="3" t="n">
        <v>1</v>
      </c>
      <c r="BE162" s="3" t="n">
        <v>2</v>
      </c>
      <c r="BF162" s="3" t="n">
        <v>1</v>
      </c>
      <c r="BG162" s="3" t="n">
        <v>4</v>
      </c>
      <c r="BH162" s="3" t="n">
        <v>1</v>
      </c>
      <c r="BI162" s="3" t="n">
        <v>1</v>
      </c>
    </row>
    <row r="163" customFormat="false" ht="12.75" hidden="false" customHeight="false" outlineLevel="0" collapsed="false">
      <c r="A163" s="2" t="s">
        <v>1620</v>
      </c>
      <c r="B163" s="2" t="s">
        <v>639</v>
      </c>
      <c r="C163" s="2" t="s">
        <v>349</v>
      </c>
      <c r="D163" s="2" t="n">
        <v>194309</v>
      </c>
      <c r="E163" s="15" t="n">
        <v>43895</v>
      </c>
      <c r="F163" s="15" t="n">
        <v>43900</v>
      </c>
      <c r="G163" s="3" t="n">
        <v>5</v>
      </c>
      <c r="H163" s="3" t="n">
        <v>2</v>
      </c>
      <c r="I163" s="3" t="n">
        <v>55</v>
      </c>
      <c r="J163" s="3" t="n">
        <v>1</v>
      </c>
      <c r="K163" s="3" t="n">
        <v>1</v>
      </c>
      <c r="L163" s="3" t="n">
        <v>1</v>
      </c>
      <c r="M163" s="3" t="n">
        <v>2</v>
      </c>
      <c r="N163" s="3" t="n">
        <v>2</v>
      </c>
      <c r="O163" s="3" t="n">
        <v>2</v>
      </c>
      <c r="P163" s="3" t="n">
        <v>2</v>
      </c>
      <c r="Q163" s="3" t="n">
        <v>2</v>
      </c>
      <c r="R163" s="3" t="n">
        <v>1</v>
      </c>
      <c r="S163" s="4" t="n">
        <v>2</v>
      </c>
      <c r="T163" s="3" t="n">
        <v>2</v>
      </c>
      <c r="U163" s="3" t="n">
        <v>4.44</v>
      </c>
      <c r="V163" s="3" t="n">
        <v>1.66</v>
      </c>
      <c r="W163" s="3" t="n">
        <v>7.44</v>
      </c>
      <c r="X163" s="3" t="n">
        <v>440</v>
      </c>
      <c r="Z163" s="3" t="n">
        <v>0.55</v>
      </c>
      <c r="AA163" s="3" t="n">
        <v>10.3</v>
      </c>
      <c r="AB163" s="3" t="n">
        <v>2</v>
      </c>
      <c r="AC163" s="3" t="n">
        <v>1</v>
      </c>
      <c r="AD163" s="3" t="n">
        <v>1</v>
      </c>
      <c r="AE163" s="3" t="n">
        <v>1</v>
      </c>
      <c r="AF163" s="3" t="n">
        <v>2</v>
      </c>
      <c r="AG163" s="3" t="n">
        <v>2</v>
      </c>
      <c r="AH163" s="3" t="n">
        <v>1</v>
      </c>
      <c r="AI163" s="3" t="n">
        <v>1</v>
      </c>
      <c r="AJ163" s="3" t="n">
        <v>2</v>
      </c>
      <c r="AK163" s="3" t="n">
        <v>2</v>
      </c>
      <c r="AL163" s="3" t="n">
        <v>1</v>
      </c>
      <c r="AM163" s="3" t="n">
        <v>2</v>
      </c>
      <c r="AN163" s="3" t="n">
        <v>2</v>
      </c>
      <c r="AO163" s="3" t="n">
        <v>3</v>
      </c>
      <c r="AP163" s="3" t="n">
        <v>4</v>
      </c>
      <c r="AQ163" s="3" t="n">
        <v>4</v>
      </c>
      <c r="AR163" s="3" t="n">
        <v>6</v>
      </c>
      <c r="AS163" s="3" t="n">
        <v>4</v>
      </c>
      <c r="AT163" s="3" t="n">
        <v>4</v>
      </c>
      <c r="AU163" s="3" t="n">
        <v>6</v>
      </c>
      <c r="AV163" s="3" t="n">
        <v>6</v>
      </c>
      <c r="AW163" s="3" t="n">
        <v>3</v>
      </c>
      <c r="AX163" s="3" t="n">
        <v>3</v>
      </c>
      <c r="AY163" s="3" t="n">
        <v>1</v>
      </c>
      <c r="AZ163" s="5" t="n">
        <v>1</v>
      </c>
      <c r="BA163" s="3" t="n">
        <v>1</v>
      </c>
      <c r="BB163" s="3" t="n">
        <v>1</v>
      </c>
      <c r="BC163" s="3" t="n">
        <v>2</v>
      </c>
      <c r="BD163" s="3" t="n">
        <v>3</v>
      </c>
      <c r="BE163" s="3" t="n">
        <v>5</v>
      </c>
      <c r="BF163" s="3" t="n">
        <v>3</v>
      </c>
      <c r="BG163" s="3" t="n">
        <v>4</v>
      </c>
      <c r="BH163" s="3" t="n">
        <v>1</v>
      </c>
      <c r="BI163" s="3" t="n">
        <v>1</v>
      </c>
    </row>
    <row r="164" customFormat="false" ht="12.75" hidden="false" customHeight="false" outlineLevel="0" collapsed="false">
      <c r="A164" s="2" t="s">
        <v>85</v>
      </c>
      <c r="B164" s="2" t="s">
        <v>94</v>
      </c>
      <c r="C164" s="2" t="s">
        <v>549</v>
      </c>
      <c r="D164" s="2" t="n">
        <v>194359</v>
      </c>
      <c r="E164" s="15" t="n">
        <v>43898</v>
      </c>
      <c r="F164" s="15" t="n">
        <v>43904</v>
      </c>
      <c r="G164" s="3" t="n">
        <v>6</v>
      </c>
      <c r="H164" s="3" t="n">
        <v>1</v>
      </c>
      <c r="I164" s="3" t="n">
        <v>72</v>
      </c>
      <c r="J164" s="3" t="n">
        <v>1</v>
      </c>
      <c r="K164" s="3" t="n">
        <v>1</v>
      </c>
      <c r="L164" s="3" t="n">
        <v>2</v>
      </c>
      <c r="M164" s="3" t="n">
        <v>2</v>
      </c>
      <c r="N164" s="3" t="n">
        <v>2</v>
      </c>
      <c r="O164" s="3" t="n">
        <v>2</v>
      </c>
      <c r="P164" s="3" t="n">
        <v>2</v>
      </c>
      <c r="Q164" s="3" t="n">
        <v>2</v>
      </c>
      <c r="R164" s="3" t="n">
        <v>2</v>
      </c>
      <c r="S164" s="4" t="n">
        <v>2</v>
      </c>
      <c r="T164" s="3" t="n">
        <v>2</v>
      </c>
      <c r="U164" s="3" t="n">
        <v>6.22</v>
      </c>
      <c r="V164" s="3" t="n">
        <v>2.22</v>
      </c>
      <c r="W164" s="3" t="n">
        <v>5.4</v>
      </c>
      <c r="X164" s="3" t="n">
        <v>416</v>
      </c>
      <c r="Z164" s="3" t="n">
        <v>0.39</v>
      </c>
      <c r="AA164" s="3" t="n">
        <v>10.9</v>
      </c>
      <c r="AB164" s="3" t="n">
        <v>1</v>
      </c>
      <c r="AC164" s="3" t="n">
        <v>2</v>
      </c>
      <c r="AD164" s="3" t="n">
        <v>1</v>
      </c>
      <c r="AE164" s="3" t="n">
        <v>1</v>
      </c>
      <c r="AF164" s="3" t="n">
        <v>2</v>
      </c>
      <c r="AG164" s="3" t="n">
        <v>2</v>
      </c>
      <c r="AH164" s="3" t="n">
        <v>1</v>
      </c>
      <c r="AI164" s="3" t="n">
        <v>2</v>
      </c>
      <c r="AJ164" s="3" t="n">
        <v>2</v>
      </c>
      <c r="AK164" s="3" t="n">
        <v>2</v>
      </c>
      <c r="AL164" s="3" t="n">
        <v>2</v>
      </c>
      <c r="AM164" s="3" t="n">
        <v>2</v>
      </c>
      <c r="AN164" s="3" t="n">
        <v>2</v>
      </c>
      <c r="AO164" s="3" t="n">
        <v>3</v>
      </c>
      <c r="AP164" s="3" t="n">
        <v>4</v>
      </c>
      <c r="AQ164" s="3" t="n">
        <v>4</v>
      </c>
      <c r="AR164" s="3" t="n">
        <v>6</v>
      </c>
      <c r="AS164" s="3" t="n">
        <v>4</v>
      </c>
      <c r="AT164" s="3" t="n">
        <v>4</v>
      </c>
      <c r="AU164" s="3" t="n">
        <v>6</v>
      </c>
      <c r="AV164" s="3" t="n">
        <v>6</v>
      </c>
      <c r="AW164" s="3" t="n">
        <v>3</v>
      </c>
      <c r="AX164" s="3" t="n">
        <v>3</v>
      </c>
      <c r="AY164" s="3" t="n">
        <v>1</v>
      </c>
      <c r="AZ164" s="5" t="n">
        <v>1</v>
      </c>
      <c r="BA164" s="3" t="n">
        <v>1</v>
      </c>
      <c r="BB164" s="3" t="n">
        <v>1</v>
      </c>
      <c r="BC164" s="3" t="n">
        <v>4</v>
      </c>
      <c r="BD164" s="3" t="n">
        <v>1</v>
      </c>
      <c r="BE164" s="3" t="n">
        <v>2</v>
      </c>
      <c r="BF164" s="3" t="n">
        <v>1</v>
      </c>
      <c r="BG164" s="3" t="n">
        <v>4</v>
      </c>
      <c r="BH164" s="3" t="n">
        <v>1</v>
      </c>
      <c r="BI164" s="3" t="n">
        <v>1</v>
      </c>
    </row>
    <row r="165" customFormat="false" ht="12.75" hidden="false" customHeight="false" outlineLevel="0" collapsed="false">
      <c r="A165" s="2" t="s">
        <v>2079</v>
      </c>
      <c r="B165" s="2" t="s">
        <v>153</v>
      </c>
      <c r="C165" s="2" t="s">
        <v>382</v>
      </c>
      <c r="D165" s="2" t="n">
        <v>196306</v>
      </c>
      <c r="E165" s="15" t="n">
        <v>43915</v>
      </c>
      <c r="F165" s="15" t="n">
        <v>43922</v>
      </c>
      <c r="G165" s="3" t="n">
        <v>7</v>
      </c>
      <c r="H165" s="3" t="n">
        <v>2</v>
      </c>
      <c r="I165" s="3" t="n">
        <v>50</v>
      </c>
      <c r="J165" s="3" t="n">
        <v>2</v>
      </c>
      <c r="K165" s="3" t="n">
        <v>1</v>
      </c>
      <c r="L165" s="3" t="n">
        <v>1</v>
      </c>
      <c r="M165" s="3" t="n">
        <v>2</v>
      </c>
      <c r="N165" s="3" t="n">
        <v>2</v>
      </c>
      <c r="O165" s="3" t="n">
        <v>2</v>
      </c>
      <c r="P165" s="3" t="n">
        <v>2</v>
      </c>
      <c r="Q165" s="3" t="n">
        <v>2</v>
      </c>
      <c r="R165" s="3" t="n">
        <v>2</v>
      </c>
      <c r="S165" s="4" t="n">
        <v>2</v>
      </c>
      <c r="T165" s="3" t="n">
        <v>2</v>
      </c>
      <c r="U165" s="3" t="n">
        <v>5.51</v>
      </c>
      <c r="V165" s="3" t="s">
        <v>3404</v>
      </c>
      <c r="W165" s="3" t="n">
        <v>8.4</v>
      </c>
      <c r="X165" s="3" t="n">
        <v>377</v>
      </c>
      <c r="Z165" s="3" t="n">
        <v>12.04</v>
      </c>
      <c r="AA165" s="3" t="n">
        <v>12.04</v>
      </c>
      <c r="AB165" s="3" t="n">
        <v>2</v>
      </c>
      <c r="AC165" s="3" t="n">
        <v>2</v>
      </c>
      <c r="AD165" s="3" t="n">
        <v>1</v>
      </c>
      <c r="AE165" s="3" t="n">
        <v>1</v>
      </c>
      <c r="AF165" s="3" t="n">
        <v>1</v>
      </c>
      <c r="AG165" s="3" t="n">
        <v>2</v>
      </c>
      <c r="AH165" s="3" t="n">
        <v>1</v>
      </c>
      <c r="AI165" s="3" t="n">
        <v>2</v>
      </c>
      <c r="AJ165" s="3" t="n">
        <v>2</v>
      </c>
      <c r="AK165" s="3" t="n">
        <v>2</v>
      </c>
      <c r="AL165" s="3" t="n">
        <v>2</v>
      </c>
      <c r="AM165" s="3" t="n">
        <v>2</v>
      </c>
      <c r="AN165" s="3" t="n">
        <v>2</v>
      </c>
      <c r="AO165" s="3" t="n">
        <v>3</v>
      </c>
      <c r="AP165" s="3" t="n">
        <v>4</v>
      </c>
      <c r="AQ165" s="3" t="n">
        <v>4</v>
      </c>
      <c r="AR165" s="3" t="n">
        <v>6</v>
      </c>
      <c r="AS165" s="3" t="n">
        <v>4</v>
      </c>
      <c r="AT165" s="3" t="n">
        <v>4</v>
      </c>
      <c r="AU165" s="3" t="n">
        <v>6</v>
      </c>
      <c r="AV165" s="3" t="n">
        <v>6</v>
      </c>
      <c r="AW165" s="3" t="n">
        <v>3</v>
      </c>
      <c r="AX165" s="3" t="n">
        <v>3</v>
      </c>
      <c r="AY165" s="3" t="n">
        <v>9</v>
      </c>
      <c r="AZ165" s="5" t="n">
        <v>1</v>
      </c>
      <c r="BA165" s="3" t="n">
        <v>1</v>
      </c>
      <c r="BB165" s="3" t="n">
        <v>1</v>
      </c>
      <c r="BC165" s="3" t="n">
        <v>2</v>
      </c>
      <c r="BD165" s="3" t="n">
        <v>1</v>
      </c>
      <c r="BE165" s="3" t="n">
        <v>2</v>
      </c>
      <c r="BF165" s="3" t="n">
        <v>1</v>
      </c>
      <c r="BG165" s="3" t="n">
        <v>4</v>
      </c>
      <c r="BH165" s="3" t="n">
        <v>1</v>
      </c>
      <c r="BI165" s="3" t="n">
        <v>1</v>
      </c>
    </row>
    <row r="166" customFormat="false" ht="12.75" hidden="false" customHeight="false" outlineLevel="0" collapsed="false">
      <c r="A166" s="2" t="s">
        <v>147</v>
      </c>
      <c r="B166" s="2" t="s">
        <v>2081</v>
      </c>
      <c r="C166" s="2" t="s">
        <v>78</v>
      </c>
      <c r="D166" s="2" t="n">
        <v>196345</v>
      </c>
      <c r="E166" s="15" t="n">
        <v>43917</v>
      </c>
      <c r="F166" s="15" t="n">
        <v>43924</v>
      </c>
      <c r="G166" s="3" t="n">
        <v>7</v>
      </c>
      <c r="H166" s="3" t="n">
        <v>2</v>
      </c>
      <c r="I166" s="3" t="n">
        <v>60</v>
      </c>
      <c r="J166" s="3" t="n">
        <v>1</v>
      </c>
      <c r="K166" s="3" t="n">
        <v>1</v>
      </c>
      <c r="L166" s="3" t="n">
        <v>2</v>
      </c>
      <c r="M166" s="3" t="n">
        <v>2</v>
      </c>
      <c r="N166" s="3" t="n">
        <v>2</v>
      </c>
      <c r="O166" s="3" t="n">
        <v>2</v>
      </c>
      <c r="P166" s="3" t="n">
        <v>2</v>
      </c>
      <c r="Q166" s="3" t="n">
        <v>2</v>
      </c>
      <c r="R166" s="3" t="n">
        <v>2</v>
      </c>
      <c r="S166" s="4" t="n">
        <v>2</v>
      </c>
      <c r="T166" s="3" t="n">
        <v>2</v>
      </c>
      <c r="U166" s="3" t="n">
        <v>4.16</v>
      </c>
      <c r="V166" s="3" t="n">
        <v>1.73</v>
      </c>
      <c r="W166" s="3" t="n">
        <v>5.6</v>
      </c>
      <c r="X166" s="3" t="n">
        <v>402</v>
      </c>
      <c r="Z166" s="3" t="n">
        <v>0.48</v>
      </c>
      <c r="AA166" s="3" t="n">
        <v>12</v>
      </c>
      <c r="AB166" s="3" t="n">
        <v>2</v>
      </c>
      <c r="AC166" s="3" t="n">
        <v>2</v>
      </c>
      <c r="AD166" s="3" t="n">
        <v>1</v>
      </c>
      <c r="AE166" s="3" t="n">
        <v>1</v>
      </c>
      <c r="AF166" s="3" t="n">
        <v>2</v>
      </c>
      <c r="AG166" s="3" t="n">
        <v>2</v>
      </c>
      <c r="AH166" s="3" t="n">
        <v>1</v>
      </c>
      <c r="AI166" s="3" t="n">
        <v>2</v>
      </c>
      <c r="AJ166" s="3" t="n">
        <v>2</v>
      </c>
      <c r="AK166" s="3" t="n">
        <v>2</v>
      </c>
      <c r="AL166" s="3" t="n">
        <v>2</v>
      </c>
      <c r="AM166" s="3" t="n">
        <v>2</v>
      </c>
      <c r="AN166" s="3" t="n">
        <v>2</v>
      </c>
      <c r="AO166" s="3" t="n">
        <v>3</v>
      </c>
      <c r="AP166" s="3" t="n">
        <v>4</v>
      </c>
      <c r="AQ166" s="3" t="n">
        <v>4</v>
      </c>
      <c r="AR166" s="3" t="n">
        <v>6</v>
      </c>
      <c r="AS166" s="3" t="n">
        <v>4</v>
      </c>
      <c r="AT166" s="3" t="n">
        <v>4</v>
      </c>
      <c r="AU166" s="3" t="n">
        <v>6</v>
      </c>
      <c r="AV166" s="3" t="n">
        <v>6</v>
      </c>
      <c r="AW166" s="3" t="n">
        <v>3</v>
      </c>
      <c r="AX166" s="3" t="n">
        <v>3</v>
      </c>
      <c r="AY166" s="3" t="n">
        <v>1</v>
      </c>
      <c r="AZ166" s="5" t="n">
        <v>1</v>
      </c>
      <c r="BA166" s="3" t="n">
        <v>1</v>
      </c>
      <c r="BB166" s="3" t="n">
        <v>1</v>
      </c>
      <c r="BC166" s="3" t="n">
        <v>2</v>
      </c>
      <c r="BD166" s="3" t="n">
        <v>1</v>
      </c>
      <c r="BE166" s="3" t="n">
        <v>2</v>
      </c>
      <c r="BF166" s="3" t="n">
        <v>1</v>
      </c>
      <c r="BG166" s="3" t="n">
        <v>4</v>
      </c>
      <c r="BH166" s="3" t="n">
        <v>1</v>
      </c>
      <c r="BI166" s="3" t="n">
        <v>1</v>
      </c>
    </row>
    <row r="167" customFormat="false" ht="12.75" hidden="false" customHeight="false" outlineLevel="0" collapsed="false">
      <c r="A167" s="2" t="s">
        <v>912</v>
      </c>
      <c r="B167" s="2" t="s">
        <v>2083</v>
      </c>
      <c r="C167" s="2" t="s">
        <v>433</v>
      </c>
      <c r="D167" s="2" t="n">
        <v>195963</v>
      </c>
      <c r="E167" s="15" t="n">
        <v>43920</v>
      </c>
      <c r="F167" s="15" t="n">
        <v>43927</v>
      </c>
      <c r="G167" s="3" t="n">
        <v>7</v>
      </c>
      <c r="H167" s="3" t="n">
        <v>2</v>
      </c>
      <c r="I167" s="3" t="n">
        <v>46</v>
      </c>
      <c r="J167" s="3" t="n">
        <v>1</v>
      </c>
      <c r="K167" s="3" t="n">
        <v>1</v>
      </c>
      <c r="L167" s="3" t="n">
        <v>2</v>
      </c>
      <c r="M167" s="3" t="n">
        <v>2</v>
      </c>
      <c r="N167" s="3" t="n">
        <v>2</v>
      </c>
      <c r="O167" s="3" t="n">
        <v>2</v>
      </c>
      <c r="P167" s="3" t="n">
        <v>2</v>
      </c>
      <c r="Q167" s="3" t="n">
        <v>2</v>
      </c>
      <c r="R167" s="3" t="n">
        <v>2</v>
      </c>
      <c r="S167" s="4" t="n">
        <v>2</v>
      </c>
      <c r="T167" s="3" t="n">
        <v>2</v>
      </c>
      <c r="U167" s="3" t="n">
        <v>5.07</v>
      </c>
      <c r="V167" s="3" t="n">
        <v>0.96</v>
      </c>
      <c r="W167" s="3" t="n">
        <v>10.99</v>
      </c>
      <c r="X167" s="3" t="n">
        <v>530</v>
      </c>
      <c r="Z167" s="3" t="n">
        <v>0.42</v>
      </c>
      <c r="AA167" s="3" t="n">
        <v>13.2</v>
      </c>
      <c r="AB167" s="3" t="n">
        <v>2</v>
      </c>
      <c r="AC167" s="3" t="n">
        <v>2</v>
      </c>
      <c r="AD167" s="3" t="n">
        <v>1</v>
      </c>
      <c r="AE167" s="3" t="n">
        <v>1</v>
      </c>
      <c r="AF167" s="3" t="n">
        <v>2</v>
      </c>
      <c r="AG167" s="3" t="n">
        <v>2</v>
      </c>
      <c r="AH167" s="3" t="n">
        <v>1</v>
      </c>
      <c r="AI167" s="3" t="n">
        <v>2</v>
      </c>
      <c r="AJ167" s="3" t="n">
        <v>2</v>
      </c>
      <c r="AK167" s="3" t="n">
        <v>2</v>
      </c>
      <c r="AL167" s="3" t="n">
        <v>1</v>
      </c>
      <c r="AM167" s="3" t="n">
        <v>2</v>
      </c>
      <c r="AN167" s="3" t="n">
        <v>2</v>
      </c>
      <c r="AO167" s="3" t="n">
        <v>3</v>
      </c>
      <c r="AP167" s="3" t="n">
        <v>4</v>
      </c>
      <c r="AQ167" s="3" t="n">
        <v>4</v>
      </c>
      <c r="AR167" s="3" t="n">
        <v>6</v>
      </c>
      <c r="AS167" s="3" t="n">
        <v>4</v>
      </c>
      <c r="AT167" s="3" t="n">
        <v>4</v>
      </c>
      <c r="AU167" s="3" t="n">
        <v>6</v>
      </c>
      <c r="AV167" s="3" t="n">
        <v>6</v>
      </c>
      <c r="AW167" s="3" t="n">
        <v>3</v>
      </c>
      <c r="AX167" s="3" t="n">
        <v>3</v>
      </c>
      <c r="AY167" s="3" t="n">
        <v>16</v>
      </c>
      <c r="AZ167" s="5" t="n">
        <v>1</v>
      </c>
      <c r="BA167" s="3" t="n">
        <v>1</v>
      </c>
      <c r="BB167" s="3" t="n">
        <v>1</v>
      </c>
      <c r="BC167" s="3" t="n">
        <v>4</v>
      </c>
      <c r="BD167" s="3" t="n">
        <v>1</v>
      </c>
      <c r="BE167" s="3" t="n">
        <v>2</v>
      </c>
      <c r="BF167" s="3" t="n">
        <v>1</v>
      </c>
      <c r="BG167" s="3" t="n">
        <v>4</v>
      </c>
      <c r="BH167" s="3" t="n">
        <v>1</v>
      </c>
      <c r="BI167" s="3" t="n">
        <v>1</v>
      </c>
    </row>
    <row r="168" customFormat="false" ht="12.75" hidden="false" customHeight="false" outlineLevel="0" collapsed="false">
      <c r="A168" s="2" t="s">
        <v>2089</v>
      </c>
      <c r="B168" s="2" t="s">
        <v>2090</v>
      </c>
      <c r="C168" s="2" t="s">
        <v>385</v>
      </c>
      <c r="D168" s="2" t="n">
        <v>195968</v>
      </c>
      <c r="E168" s="15" t="n">
        <v>43920</v>
      </c>
      <c r="F168" s="15" t="n">
        <v>43928</v>
      </c>
      <c r="G168" s="3" t="n">
        <v>7</v>
      </c>
      <c r="H168" s="3" t="n">
        <v>2</v>
      </c>
      <c r="I168" s="3" t="n">
        <v>45</v>
      </c>
      <c r="J168" s="3" t="n">
        <v>2</v>
      </c>
      <c r="K168" s="3" t="n">
        <v>1</v>
      </c>
      <c r="L168" s="3" t="n">
        <v>1</v>
      </c>
      <c r="M168" s="3" t="n">
        <v>2</v>
      </c>
      <c r="N168" s="3" t="n">
        <v>2</v>
      </c>
      <c r="O168" s="3" t="n">
        <v>1</v>
      </c>
      <c r="P168" s="3" t="n">
        <v>1</v>
      </c>
      <c r="Q168" s="3" t="n">
        <v>2</v>
      </c>
      <c r="R168" s="3" t="n">
        <v>2</v>
      </c>
      <c r="S168" s="4" t="n">
        <v>2</v>
      </c>
      <c r="T168" s="3" t="n">
        <v>2</v>
      </c>
      <c r="U168" s="3" t="n">
        <v>4.34</v>
      </c>
      <c r="V168" s="3" t="n">
        <v>1.58</v>
      </c>
      <c r="W168" s="3" t="n">
        <v>7.78</v>
      </c>
      <c r="X168" s="3" t="n">
        <v>293</v>
      </c>
      <c r="Z168" s="3" t="n">
        <v>0.32</v>
      </c>
      <c r="AA168" s="3" t="n">
        <v>15.5</v>
      </c>
      <c r="AB168" s="3" t="n">
        <v>1</v>
      </c>
      <c r="AC168" s="3" t="n">
        <v>2</v>
      </c>
      <c r="AD168" s="3" t="n">
        <v>1</v>
      </c>
      <c r="AE168" s="3" t="n">
        <v>1</v>
      </c>
      <c r="AF168" s="3" t="n">
        <v>1</v>
      </c>
      <c r="AG168" s="3" t="n">
        <v>2</v>
      </c>
      <c r="AH168" s="3" t="n">
        <v>1</v>
      </c>
      <c r="AI168" s="3" t="n">
        <v>2</v>
      </c>
      <c r="AJ168" s="3" t="n">
        <v>2</v>
      </c>
      <c r="AK168" s="3" t="n">
        <v>2</v>
      </c>
      <c r="AL168" s="3" t="n">
        <v>1</v>
      </c>
      <c r="AM168" s="3" t="n">
        <v>2</v>
      </c>
      <c r="AN168" s="3" t="n">
        <v>2</v>
      </c>
      <c r="AO168" s="3" t="n">
        <v>3</v>
      </c>
      <c r="AP168" s="3" t="n">
        <v>4</v>
      </c>
      <c r="AQ168" s="3" t="n">
        <v>4</v>
      </c>
      <c r="AR168" s="3" t="n">
        <v>6</v>
      </c>
      <c r="AS168" s="3" t="n">
        <v>4</v>
      </c>
      <c r="AT168" s="3" t="n">
        <v>4</v>
      </c>
      <c r="AU168" s="3" t="n">
        <v>6</v>
      </c>
      <c r="AV168" s="3" t="n">
        <v>6</v>
      </c>
      <c r="AW168" s="3" t="n">
        <v>3</v>
      </c>
      <c r="AX168" s="3" t="n">
        <v>3</v>
      </c>
      <c r="AY168" s="3" t="n">
        <v>1</v>
      </c>
      <c r="AZ168" s="5" t="n">
        <v>1</v>
      </c>
      <c r="BA168" s="3" t="n">
        <v>1</v>
      </c>
      <c r="BB168" s="3" t="n">
        <v>1</v>
      </c>
      <c r="BC168" s="3" t="n">
        <v>4</v>
      </c>
      <c r="BD168" s="3" t="n">
        <v>1</v>
      </c>
      <c r="BE168" s="3" t="n">
        <v>2</v>
      </c>
      <c r="BF168" s="3" t="n">
        <v>1</v>
      </c>
      <c r="BG168" s="3" t="n">
        <v>4</v>
      </c>
      <c r="BH168" s="3" t="n">
        <v>1</v>
      </c>
      <c r="BI168" s="3" t="n">
        <v>1</v>
      </c>
    </row>
    <row r="169" customFormat="false" ht="12.75" hidden="false" customHeight="false" outlineLevel="0" collapsed="false">
      <c r="A169" s="26" t="s">
        <v>2095</v>
      </c>
      <c r="B169" s="26" t="s">
        <v>361</v>
      </c>
      <c r="C169" s="26" t="s">
        <v>301</v>
      </c>
      <c r="D169" s="26" t="n">
        <v>196670</v>
      </c>
      <c r="E169" s="27" t="n">
        <v>43929</v>
      </c>
      <c r="F169" s="27" t="n">
        <v>43931</v>
      </c>
      <c r="G169" s="30" t="n">
        <v>2</v>
      </c>
      <c r="H169" s="30" t="n">
        <v>2</v>
      </c>
      <c r="I169" s="30" t="n">
        <v>92</v>
      </c>
      <c r="J169" s="30" t="n">
        <v>1</v>
      </c>
      <c r="K169" s="30" t="n">
        <v>2</v>
      </c>
      <c r="L169" s="30" t="n">
        <v>1</v>
      </c>
      <c r="M169" s="30" t="n">
        <v>2</v>
      </c>
      <c r="N169" s="30" t="n">
        <v>2</v>
      </c>
      <c r="O169" s="30" t="n">
        <v>2</v>
      </c>
      <c r="P169" s="30" t="n">
        <v>2</v>
      </c>
      <c r="Q169" s="30" t="n">
        <v>2</v>
      </c>
      <c r="R169" s="30" t="n">
        <v>1</v>
      </c>
      <c r="S169" s="4" t="n">
        <v>2</v>
      </c>
      <c r="T169" s="30" t="n">
        <v>2</v>
      </c>
      <c r="U169" s="30"/>
      <c r="V169" s="30"/>
      <c r="W169" s="30"/>
      <c r="X169" s="30"/>
      <c r="Z169" s="30"/>
      <c r="AA169" s="30"/>
      <c r="AB169" s="30" t="n">
        <v>3</v>
      </c>
      <c r="AC169" s="30" t="n">
        <v>2</v>
      </c>
      <c r="AD169" s="30" t="n">
        <v>1</v>
      </c>
      <c r="AE169" s="30" t="n">
        <v>1</v>
      </c>
      <c r="AF169" s="30" t="n">
        <v>2</v>
      </c>
      <c r="AG169" s="30" t="n">
        <v>2</v>
      </c>
      <c r="AH169" s="30" t="n">
        <v>1</v>
      </c>
      <c r="AI169" s="30" t="n">
        <v>1</v>
      </c>
      <c r="AJ169" s="30" t="n">
        <v>1</v>
      </c>
      <c r="AK169" s="30" t="n">
        <v>2</v>
      </c>
      <c r="AL169" s="30" t="n">
        <v>1</v>
      </c>
      <c r="AM169" s="30" t="n">
        <v>2</v>
      </c>
      <c r="AN169" s="30" t="n">
        <v>2</v>
      </c>
      <c r="AO169" s="30" t="n">
        <v>3</v>
      </c>
      <c r="AP169" s="30" t="n">
        <v>4</v>
      </c>
      <c r="AQ169" s="30" t="n">
        <v>4</v>
      </c>
      <c r="AR169" s="30" t="n">
        <v>6</v>
      </c>
      <c r="AS169" s="30" t="n">
        <v>4</v>
      </c>
      <c r="AT169" s="30" t="n">
        <v>4</v>
      </c>
      <c r="AU169" s="30" t="n">
        <v>6</v>
      </c>
      <c r="AV169" s="30" t="n">
        <v>6</v>
      </c>
      <c r="AW169" s="30" t="n">
        <v>3</v>
      </c>
      <c r="AX169" s="30" t="n">
        <v>3</v>
      </c>
      <c r="AY169" s="30" t="n">
        <v>5</v>
      </c>
      <c r="AZ169" s="5" t="n">
        <v>1</v>
      </c>
      <c r="BA169" s="30" t="n">
        <v>1</v>
      </c>
      <c r="BB169" s="30" t="n">
        <v>2</v>
      </c>
      <c r="BC169" s="30" t="n">
        <v>4</v>
      </c>
      <c r="BD169" s="30" t="n">
        <v>3</v>
      </c>
      <c r="BE169" s="30" t="n">
        <v>5</v>
      </c>
      <c r="BF169" s="30" t="n">
        <v>3</v>
      </c>
      <c r="BG169" s="30" t="n">
        <v>4</v>
      </c>
      <c r="BH169" s="30" t="n">
        <v>1</v>
      </c>
      <c r="BI169" s="30" t="n">
        <v>1</v>
      </c>
    </row>
    <row r="170" customFormat="false" ht="12.75" hidden="false" customHeight="false" outlineLevel="0" collapsed="false">
      <c r="A170" s="2" t="s">
        <v>456</v>
      </c>
      <c r="B170" s="2" t="s">
        <v>78</v>
      </c>
      <c r="C170" s="2" t="s">
        <v>410</v>
      </c>
      <c r="D170" s="2" t="n">
        <v>196688</v>
      </c>
      <c r="E170" s="15" t="n">
        <v>43927</v>
      </c>
      <c r="F170" s="15" t="n">
        <v>43934</v>
      </c>
      <c r="G170" s="3" t="n">
        <v>7</v>
      </c>
      <c r="H170" s="3" t="n">
        <v>2</v>
      </c>
      <c r="I170" s="3" t="n">
        <v>61</v>
      </c>
      <c r="J170" s="3" t="n">
        <v>2</v>
      </c>
      <c r="K170" s="3" t="n">
        <v>2</v>
      </c>
      <c r="L170" s="3" t="n">
        <v>1</v>
      </c>
      <c r="M170" s="3" t="n">
        <v>1</v>
      </c>
      <c r="N170" s="3" t="n">
        <v>2</v>
      </c>
      <c r="O170" s="3" t="n">
        <v>2</v>
      </c>
      <c r="P170" s="3" t="n">
        <v>2</v>
      </c>
      <c r="Q170" s="3" t="n">
        <v>2</v>
      </c>
      <c r="R170" s="3" t="n">
        <v>1</v>
      </c>
      <c r="S170" s="4" t="n">
        <v>2</v>
      </c>
      <c r="T170" s="3" t="n">
        <v>2</v>
      </c>
      <c r="U170" s="3" t="n">
        <v>6.77</v>
      </c>
      <c r="V170" s="3" t="n">
        <v>2.76</v>
      </c>
      <c r="W170" s="3" t="n">
        <v>10.91</v>
      </c>
      <c r="X170" s="3" t="n">
        <v>529</v>
      </c>
      <c r="Z170" s="3" t="n">
        <v>0.52</v>
      </c>
      <c r="AA170" s="3" t="n">
        <v>10.2</v>
      </c>
      <c r="AB170" s="3" t="n">
        <v>1</v>
      </c>
      <c r="AC170" s="3" t="n">
        <v>2</v>
      </c>
      <c r="AD170" s="3" t="n">
        <v>1</v>
      </c>
      <c r="AE170" s="3" t="n">
        <v>1</v>
      </c>
      <c r="AF170" s="3" t="n">
        <v>2</v>
      </c>
      <c r="AG170" s="3" t="n">
        <v>2</v>
      </c>
      <c r="AH170" s="3" t="n">
        <v>2</v>
      </c>
      <c r="AI170" s="3" t="n">
        <v>1</v>
      </c>
      <c r="AJ170" s="3" t="n">
        <v>2</v>
      </c>
      <c r="AK170" s="3" t="n">
        <v>2</v>
      </c>
      <c r="AL170" s="3" t="n">
        <v>2</v>
      </c>
      <c r="AM170" s="3" t="n">
        <v>2</v>
      </c>
      <c r="AN170" s="3" t="n">
        <v>2</v>
      </c>
      <c r="AO170" s="3" t="n">
        <v>3</v>
      </c>
      <c r="AP170" s="3" t="n">
        <v>4</v>
      </c>
      <c r="AQ170" s="3" t="n">
        <v>4</v>
      </c>
      <c r="AR170" s="3" t="n">
        <v>6</v>
      </c>
      <c r="AS170" s="3" t="n">
        <v>4</v>
      </c>
      <c r="AT170" s="3" t="n">
        <v>4</v>
      </c>
      <c r="AU170" s="3" t="n">
        <v>6</v>
      </c>
      <c r="AV170" s="3" t="n">
        <v>6</v>
      </c>
      <c r="AW170" s="3" t="n">
        <v>3</v>
      </c>
      <c r="AX170" s="3" t="n">
        <v>3</v>
      </c>
      <c r="AY170" s="3" t="n">
        <v>1</v>
      </c>
      <c r="AZ170" s="5" t="n">
        <v>1</v>
      </c>
      <c r="BA170" s="3" t="n">
        <v>1</v>
      </c>
      <c r="BB170" s="3" t="n">
        <v>1</v>
      </c>
      <c r="BC170" s="3" t="n">
        <v>4</v>
      </c>
      <c r="BD170" s="3" t="n">
        <v>1</v>
      </c>
      <c r="BE170" s="3" t="n">
        <v>2</v>
      </c>
      <c r="BF170" s="3" t="n">
        <v>1</v>
      </c>
      <c r="BG170" s="3" t="n">
        <v>4</v>
      </c>
      <c r="BH170" s="3" t="n">
        <v>3</v>
      </c>
      <c r="BI170" s="3" t="n">
        <v>1</v>
      </c>
    </row>
    <row r="171" customFormat="false" ht="12.75" hidden="false" customHeight="false" outlineLevel="0" collapsed="false">
      <c r="A171" s="2" t="s">
        <v>2100</v>
      </c>
      <c r="B171" s="2" t="s">
        <v>221</v>
      </c>
      <c r="C171" s="2" t="s">
        <v>433</v>
      </c>
      <c r="D171" s="2" t="n">
        <v>196251</v>
      </c>
      <c r="E171" s="15" t="n">
        <v>43933</v>
      </c>
      <c r="F171" s="15" t="n">
        <v>43939</v>
      </c>
      <c r="G171" s="3" t="n">
        <v>6</v>
      </c>
      <c r="H171" s="3" t="n">
        <v>1</v>
      </c>
      <c r="I171" s="3" t="n">
        <v>56</v>
      </c>
      <c r="J171" s="3" t="n">
        <v>1</v>
      </c>
      <c r="K171" s="3" t="n">
        <v>1</v>
      </c>
      <c r="L171" s="3" t="n">
        <v>1</v>
      </c>
      <c r="M171" s="3" t="n">
        <v>2</v>
      </c>
      <c r="N171" s="3" t="n">
        <v>2</v>
      </c>
      <c r="O171" s="3" t="n">
        <v>2</v>
      </c>
      <c r="P171" s="3" t="n">
        <v>2</v>
      </c>
      <c r="Q171" s="3" t="n">
        <v>2</v>
      </c>
      <c r="R171" s="3" t="n">
        <v>1</v>
      </c>
      <c r="S171" s="4" t="n">
        <v>2</v>
      </c>
      <c r="T171" s="3" t="n">
        <v>2</v>
      </c>
      <c r="U171" s="3" t="n">
        <v>4.34</v>
      </c>
      <c r="V171" s="3" t="n">
        <v>1.54</v>
      </c>
      <c r="W171" s="3" t="n">
        <v>6.83</v>
      </c>
      <c r="X171" s="3"/>
      <c r="Z171" s="3" t="n">
        <v>0.5</v>
      </c>
      <c r="AA171" s="3" t="n">
        <v>11.2</v>
      </c>
      <c r="AB171" s="3" t="n">
        <v>2</v>
      </c>
      <c r="AC171" s="3" t="n">
        <v>2</v>
      </c>
      <c r="AD171" s="3" t="n">
        <v>1</v>
      </c>
      <c r="AE171" s="3" t="n">
        <v>1</v>
      </c>
      <c r="AF171" s="3" t="n">
        <v>2</v>
      </c>
      <c r="AG171" s="3" t="n">
        <v>2</v>
      </c>
      <c r="AH171" s="3" t="n">
        <v>1</v>
      </c>
      <c r="AI171" s="3" t="n">
        <v>1</v>
      </c>
      <c r="AJ171" s="3" t="n">
        <v>2</v>
      </c>
      <c r="AK171" s="3" t="n">
        <v>2</v>
      </c>
      <c r="AL171" s="3" t="n">
        <v>1</v>
      </c>
      <c r="AM171" s="3" t="n">
        <v>2</v>
      </c>
      <c r="AN171" s="3" t="n">
        <v>2</v>
      </c>
      <c r="AO171" s="3" t="n">
        <v>3</v>
      </c>
      <c r="AP171" s="3" t="n">
        <v>4</v>
      </c>
      <c r="AQ171" s="3" t="n">
        <v>4</v>
      </c>
      <c r="AR171" s="3" t="n">
        <v>6</v>
      </c>
      <c r="AS171" s="3" t="n">
        <v>4</v>
      </c>
      <c r="AT171" s="3" t="n">
        <v>4</v>
      </c>
      <c r="AU171" s="3" t="n">
        <v>6</v>
      </c>
      <c r="AV171" s="3" t="n">
        <v>6</v>
      </c>
      <c r="AW171" s="3" t="n">
        <v>3</v>
      </c>
      <c r="AX171" s="3" t="n">
        <v>3</v>
      </c>
      <c r="AY171" s="3" t="n">
        <v>4</v>
      </c>
      <c r="AZ171" s="5" t="n">
        <v>1</v>
      </c>
      <c r="BA171" s="3" t="n">
        <v>1</v>
      </c>
      <c r="BB171" s="3" t="n">
        <v>1</v>
      </c>
      <c r="BC171" s="3" t="n">
        <v>4</v>
      </c>
      <c r="BD171" s="3" t="n">
        <v>1</v>
      </c>
      <c r="BE171" s="3" t="n">
        <v>2</v>
      </c>
      <c r="BF171" s="3" t="n">
        <v>1</v>
      </c>
      <c r="BG171" s="3" t="n">
        <v>4</v>
      </c>
      <c r="BH171" s="3" t="n">
        <v>1</v>
      </c>
      <c r="BI171" s="3" t="n">
        <v>1</v>
      </c>
    </row>
    <row r="172" customFormat="false" ht="12.75" hidden="false" customHeight="false" outlineLevel="0" collapsed="false">
      <c r="A172" s="2" t="s">
        <v>2102</v>
      </c>
      <c r="B172" s="2" t="s">
        <v>94</v>
      </c>
      <c r="C172" s="2" t="s">
        <v>608</v>
      </c>
      <c r="D172" s="2" t="n">
        <v>196246</v>
      </c>
      <c r="E172" s="15" t="n">
        <v>43932</v>
      </c>
      <c r="F172" s="15" t="n">
        <v>43938</v>
      </c>
      <c r="G172" s="3" t="n">
        <v>6</v>
      </c>
      <c r="H172" s="3" t="n">
        <v>2</v>
      </c>
      <c r="I172" s="3" t="n">
        <v>49</v>
      </c>
      <c r="J172" s="3" t="n">
        <v>1</v>
      </c>
      <c r="K172" s="3" t="n">
        <v>1</v>
      </c>
      <c r="L172" s="3" t="n">
        <v>1</v>
      </c>
      <c r="M172" s="3" t="n">
        <v>2</v>
      </c>
      <c r="N172" s="3" t="n">
        <v>2</v>
      </c>
      <c r="O172" s="3" t="n">
        <v>2</v>
      </c>
      <c r="P172" s="3" t="n">
        <v>2</v>
      </c>
      <c r="Q172" s="3" t="n">
        <v>2</v>
      </c>
      <c r="R172" s="3" t="n">
        <v>2</v>
      </c>
      <c r="S172" s="4" t="n">
        <v>2</v>
      </c>
      <c r="T172" s="3" t="n">
        <v>2</v>
      </c>
      <c r="U172" s="3" t="n">
        <v>5.76</v>
      </c>
      <c r="V172" s="3" t="n">
        <v>1.66</v>
      </c>
      <c r="W172" s="3" t="n">
        <v>5.41</v>
      </c>
      <c r="X172" s="3" t="n">
        <v>455</v>
      </c>
      <c r="Z172" s="3" t="n">
        <v>0.5</v>
      </c>
      <c r="AA172" s="3" t="n">
        <v>13.1</v>
      </c>
      <c r="AB172" s="3" t="n">
        <v>1</v>
      </c>
      <c r="AC172" s="3" t="n">
        <v>2</v>
      </c>
      <c r="AD172" s="3" t="n">
        <v>1</v>
      </c>
      <c r="AE172" s="3" t="n">
        <v>1</v>
      </c>
      <c r="AF172" s="3" t="n">
        <v>2</v>
      </c>
      <c r="AG172" s="3" t="n">
        <v>2</v>
      </c>
      <c r="AH172" s="3" t="n">
        <v>1</v>
      </c>
      <c r="AI172" s="3" t="n">
        <v>2</v>
      </c>
      <c r="AJ172" s="3" t="n">
        <v>2</v>
      </c>
      <c r="AK172" s="3" t="n">
        <v>2</v>
      </c>
      <c r="AL172" s="3" t="n">
        <v>1</v>
      </c>
      <c r="AM172" s="3" t="n">
        <v>2</v>
      </c>
      <c r="AN172" s="3" t="n">
        <v>2</v>
      </c>
      <c r="AO172" s="3" t="n">
        <v>3</v>
      </c>
      <c r="AP172" s="3" t="n">
        <v>4</v>
      </c>
      <c r="AQ172" s="3" t="n">
        <v>4</v>
      </c>
      <c r="AR172" s="3" t="n">
        <v>6</v>
      </c>
      <c r="AS172" s="3" t="n">
        <v>4</v>
      </c>
      <c r="AT172" s="3" t="n">
        <v>4</v>
      </c>
      <c r="AU172" s="3" t="n">
        <v>6</v>
      </c>
      <c r="AV172" s="3" t="n">
        <v>6</v>
      </c>
      <c r="AW172" s="3" t="n">
        <v>3</v>
      </c>
      <c r="AX172" s="3" t="n">
        <v>3</v>
      </c>
      <c r="AY172" s="3" t="n">
        <v>1</v>
      </c>
      <c r="AZ172" s="5" t="n">
        <v>1</v>
      </c>
      <c r="BA172" s="3" t="n">
        <v>1</v>
      </c>
      <c r="BB172" s="3" t="n">
        <v>1</v>
      </c>
      <c r="BC172" s="3" t="n">
        <v>2</v>
      </c>
      <c r="BD172" s="3" t="n">
        <v>1</v>
      </c>
      <c r="BE172" s="3" t="n">
        <v>2</v>
      </c>
      <c r="BF172" s="3" t="n">
        <v>1</v>
      </c>
      <c r="BG172" s="3" t="n">
        <v>4</v>
      </c>
      <c r="BH172" s="3" t="n">
        <v>1</v>
      </c>
      <c r="BI172" s="3" t="n">
        <v>1</v>
      </c>
    </row>
    <row r="173" customFormat="false" ht="12.75" hidden="false" customHeight="false" outlineLevel="0" collapsed="false">
      <c r="A173" s="2" t="s">
        <v>2104</v>
      </c>
      <c r="B173" s="2" t="s">
        <v>218</v>
      </c>
      <c r="C173" s="2" t="s">
        <v>2105</v>
      </c>
      <c r="D173" s="2" t="n">
        <v>196230</v>
      </c>
      <c r="E173" s="15" t="n">
        <v>43931</v>
      </c>
      <c r="F173" s="15" t="n">
        <v>43938</v>
      </c>
      <c r="G173" s="3" t="n">
        <v>7</v>
      </c>
      <c r="H173" s="3" t="n">
        <v>2</v>
      </c>
      <c r="I173" s="3" t="n">
        <v>48</v>
      </c>
      <c r="J173" s="3" t="n">
        <v>1</v>
      </c>
      <c r="K173" s="3" t="n">
        <v>1</v>
      </c>
      <c r="L173" s="3" t="n">
        <v>1</v>
      </c>
      <c r="M173" s="3" t="n">
        <v>2</v>
      </c>
      <c r="N173" s="3" t="n">
        <v>1</v>
      </c>
      <c r="O173" s="3" t="n">
        <v>1</v>
      </c>
      <c r="P173" s="3" t="n">
        <v>1</v>
      </c>
      <c r="Q173" s="3" t="n">
        <v>2</v>
      </c>
      <c r="R173" s="3" t="n">
        <v>2</v>
      </c>
      <c r="S173" s="4" t="n">
        <v>2</v>
      </c>
      <c r="T173" s="3" t="n">
        <v>2</v>
      </c>
      <c r="U173" s="3" t="n">
        <v>4.41</v>
      </c>
      <c r="V173" s="3" t="n">
        <v>2.25</v>
      </c>
      <c r="W173" s="3" t="n">
        <v>9.82</v>
      </c>
      <c r="X173" s="3" t="n">
        <v>505</v>
      </c>
      <c r="Z173" s="3" t="n">
        <v>0.5</v>
      </c>
      <c r="AA173" s="3" t="n">
        <v>11.4</v>
      </c>
      <c r="AB173" s="3" t="n">
        <v>2</v>
      </c>
      <c r="AC173" s="3" t="n">
        <v>2</v>
      </c>
      <c r="AD173" s="3" t="n">
        <v>1</v>
      </c>
      <c r="AE173" s="3" t="n">
        <v>1</v>
      </c>
      <c r="AF173" s="3" t="n">
        <v>1</v>
      </c>
      <c r="AG173" s="3" t="n">
        <v>2</v>
      </c>
      <c r="AH173" s="3" t="n">
        <v>1</v>
      </c>
      <c r="AI173" s="3" t="n">
        <v>2</v>
      </c>
      <c r="AJ173" s="3" t="n">
        <v>2</v>
      </c>
      <c r="AK173" s="3" t="n">
        <v>2</v>
      </c>
      <c r="AL173" s="3" t="n">
        <v>1</v>
      </c>
      <c r="AM173" s="3" t="n">
        <v>2</v>
      </c>
      <c r="AN173" s="3" t="n">
        <v>2</v>
      </c>
      <c r="AO173" s="3" t="n">
        <v>3</v>
      </c>
      <c r="AP173" s="3" t="n">
        <v>4</v>
      </c>
      <c r="AQ173" s="3" t="n">
        <v>4</v>
      </c>
      <c r="AR173" s="3" t="n">
        <v>6</v>
      </c>
      <c r="AS173" s="3" t="n">
        <v>4</v>
      </c>
      <c r="AT173" s="3" t="n">
        <v>4</v>
      </c>
      <c r="AU173" s="3" t="n">
        <v>6</v>
      </c>
      <c r="AV173" s="3" t="n">
        <v>6</v>
      </c>
      <c r="AW173" s="3" t="n">
        <v>3</v>
      </c>
      <c r="AX173" s="3" t="n">
        <v>3</v>
      </c>
      <c r="AY173" s="3" t="n">
        <v>1</v>
      </c>
      <c r="AZ173" s="5" t="n">
        <v>1</v>
      </c>
      <c r="BA173" s="3" t="n">
        <v>1</v>
      </c>
      <c r="BB173" s="3" t="n">
        <v>1</v>
      </c>
      <c r="BC173" s="3" t="n">
        <v>2</v>
      </c>
      <c r="BD173" s="3" t="n">
        <v>1</v>
      </c>
      <c r="BE173" s="3" t="n">
        <v>2</v>
      </c>
      <c r="BF173" s="3" t="n">
        <v>1</v>
      </c>
      <c r="BG173" s="3" t="n">
        <v>4</v>
      </c>
      <c r="BH173" s="3" t="n">
        <v>1</v>
      </c>
      <c r="BI173" s="3" t="n">
        <v>1</v>
      </c>
    </row>
    <row r="174" customFormat="false" ht="12.75" hidden="false" customHeight="false" outlineLevel="0" collapsed="false">
      <c r="A174" s="2" t="s">
        <v>2107</v>
      </c>
      <c r="B174" s="2" t="s">
        <v>2108</v>
      </c>
      <c r="C174" s="2" t="s">
        <v>115</v>
      </c>
      <c r="D174" s="2" t="n">
        <v>196717</v>
      </c>
      <c r="E174" s="15" t="n">
        <v>43934</v>
      </c>
      <c r="F174" s="15" t="n">
        <v>43941</v>
      </c>
      <c r="G174" s="3" t="n">
        <v>7</v>
      </c>
      <c r="H174" s="3" t="n">
        <v>2</v>
      </c>
      <c r="I174" s="3" t="n">
        <v>54</v>
      </c>
      <c r="J174" s="3" t="n">
        <v>1</v>
      </c>
      <c r="K174" s="3" t="n">
        <v>2</v>
      </c>
      <c r="L174" s="3" t="n">
        <v>1</v>
      </c>
      <c r="M174" s="3" t="n">
        <v>2</v>
      </c>
      <c r="N174" s="3" t="n">
        <v>2</v>
      </c>
      <c r="O174" s="3" t="n">
        <v>2</v>
      </c>
      <c r="P174" s="3" t="n">
        <v>1</v>
      </c>
      <c r="Q174" s="3" t="n">
        <v>2</v>
      </c>
      <c r="R174" s="3" t="n">
        <v>1</v>
      </c>
      <c r="S174" s="4" t="n">
        <v>2</v>
      </c>
      <c r="T174" s="3" t="n">
        <v>2</v>
      </c>
      <c r="U174" s="3" t="n">
        <v>4.33</v>
      </c>
      <c r="V174" s="3" t="n">
        <v>2.16</v>
      </c>
      <c r="W174" s="3" t="n">
        <v>9.4</v>
      </c>
      <c r="X174" s="3" t="n">
        <v>387</v>
      </c>
      <c r="Z174" s="3" t="n">
        <v>0.37</v>
      </c>
      <c r="AA174" s="3" t="n">
        <v>11</v>
      </c>
      <c r="AB174" s="3" t="n">
        <v>1</v>
      </c>
      <c r="AC174" s="3" t="n">
        <v>2</v>
      </c>
      <c r="AD174" s="3" t="n">
        <v>1</v>
      </c>
      <c r="AE174" s="3" t="n">
        <v>1</v>
      </c>
      <c r="AF174" s="3" t="n">
        <v>1</v>
      </c>
      <c r="AG174" s="3" t="n">
        <v>2</v>
      </c>
      <c r="AH174" s="3" t="n">
        <v>1</v>
      </c>
      <c r="AI174" s="3" t="n">
        <v>1</v>
      </c>
      <c r="AJ174" s="3" t="n">
        <v>2</v>
      </c>
      <c r="AK174" s="3" t="n">
        <v>2</v>
      </c>
      <c r="AL174" s="3" t="n">
        <v>2</v>
      </c>
      <c r="AM174" s="3" t="n">
        <v>2</v>
      </c>
      <c r="AN174" s="3" t="n">
        <v>1</v>
      </c>
      <c r="AO174" s="3" t="n">
        <v>3</v>
      </c>
      <c r="AP174" s="3" t="n">
        <v>4</v>
      </c>
      <c r="AQ174" s="3" t="n">
        <v>4</v>
      </c>
      <c r="AR174" s="3" t="n">
        <v>6</v>
      </c>
      <c r="AS174" s="3" t="n">
        <v>4</v>
      </c>
      <c r="AT174" s="3" t="n">
        <v>4</v>
      </c>
      <c r="AU174" s="3" t="n">
        <v>6</v>
      </c>
      <c r="AV174" s="3" t="n">
        <v>6</v>
      </c>
      <c r="AW174" s="3" t="n">
        <v>3</v>
      </c>
      <c r="AX174" s="3" t="n">
        <v>3</v>
      </c>
      <c r="AY174" s="3" t="n">
        <v>10</v>
      </c>
      <c r="AZ174" s="5" t="n">
        <v>1</v>
      </c>
      <c r="BA174" s="3" t="n">
        <v>1</v>
      </c>
      <c r="BB174" s="3" t="n">
        <v>1</v>
      </c>
      <c r="BC174" s="3" t="n">
        <v>4</v>
      </c>
      <c r="BD174" s="3" t="n">
        <v>1</v>
      </c>
      <c r="BE174" s="3" t="n">
        <v>2</v>
      </c>
      <c r="BF174" s="3" t="n">
        <v>1</v>
      </c>
      <c r="BG174" s="3" t="n">
        <v>4</v>
      </c>
      <c r="BH174" s="3" t="n">
        <v>1</v>
      </c>
      <c r="BI174" s="3" t="n">
        <v>1</v>
      </c>
    </row>
    <row r="175" customFormat="false" ht="12.75" hidden="false" customHeight="false" outlineLevel="0" collapsed="false">
      <c r="A175" s="2" t="s">
        <v>2111</v>
      </c>
      <c r="B175" s="2" t="s">
        <v>536</v>
      </c>
      <c r="C175" s="2" t="s">
        <v>608</v>
      </c>
      <c r="D175" s="2" t="n">
        <v>196746</v>
      </c>
      <c r="E175" s="15" t="n">
        <v>43935</v>
      </c>
      <c r="F175" s="15" t="n">
        <v>43941</v>
      </c>
      <c r="G175" s="3" t="n">
        <v>6</v>
      </c>
      <c r="H175" s="3" t="n">
        <v>2</v>
      </c>
      <c r="I175" s="3" t="n">
        <v>75</v>
      </c>
      <c r="J175" s="3" t="n">
        <v>1</v>
      </c>
      <c r="K175" s="3" t="n">
        <v>2</v>
      </c>
      <c r="L175" s="3" t="n">
        <v>2</v>
      </c>
      <c r="M175" s="3" t="n">
        <v>2</v>
      </c>
      <c r="N175" s="3" t="n">
        <v>2</v>
      </c>
      <c r="O175" s="3" t="n">
        <v>2</v>
      </c>
      <c r="P175" s="3" t="n">
        <v>2</v>
      </c>
      <c r="Q175" s="3" t="n">
        <v>2</v>
      </c>
      <c r="R175" s="3" t="n">
        <v>2</v>
      </c>
      <c r="S175" s="4" t="n">
        <v>2</v>
      </c>
      <c r="T175" s="3" t="n">
        <v>2</v>
      </c>
      <c r="U175" s="3" t="n">
        <v>3.67</v>
      </c>
      <c r="V175" s="3" t="n">
        <v>0.39</v>
      </c>
      <c r="W175" s="3" t="n">
        <v>7.06</v>
      </c>
      <c r="X175" s="3" t="n">
        <v>359</v>
      </c>
      <c r="Z175" s="3" t="n">
        <v>0.37</v>
      </c>
      <c r="AA175" s="3" t="n">
        <v>11</v>
      </c>
      <c r="AB175" s="3" t="n">
        <v>1</v>
      </c>
      <c r="AC175" s="3" t="n">
        <v>2</v>
      </c>
      <c r="AD175" s="3" t="n">
        <v>1</v>
      </c>
      <c r="AE175" s="3" t="n">
        <v>1</v>
      </c>
      <c r="AF175" s="3" t="n">
        <v>2</v>
      </c>
      <c r="AG175" s="3" t="n">
        <v>2</v>
      </c>
      <c r="AH175" s="3" t="n">
        <v>1</v>
      </c>
      <c r="AI175" s="3" t="n">
        <v>2</v>
      </c>
      <c r="AJ175" s="3" t="n">
        <v>2</v>
      </c>
      <c r="AK175" s="3" t="n">
        <v>2</v>
      </c>
      <c r="AL175" s="3" t="n">
        <v>2</v>
      </c>
      <c r="AM175" s="3" t="n">
        <v>1</v>
      </c>
      <c r="AN175" s="3" t="n">
        <v>2</v>
      </c>
      <c r="AO175" s="3" t="n">
        <v>3</v>
      </c>
      <c r="AP175" s="3" t="n">
        <v>4</v>
      </c>
      <c r="AQ175" s="3" t="n">
        <v>4</v>
      </c>
      <c r="AR175" s="3" t="n">
        <v>6</v>
      </c>
      <c r="AS175" s="3" t="n">
        <v>4</v>
      </c>
      <c r="AT175" s="3" t="n">
        <v>4</v>
      </c>
      <c r="AU175" s="3" t="n">
        <v>6</v>
      </c>
      <c r="AV175" s="3" t="n">
        <v>6</v>
      </c>
      <c r="AW175" s="3" t="n">
        <v>3</v>
      </c>
      <c r="AX175" s="3" t="n">
        <v>3</v>
      </c>
      <c r="AY175" s="3" t="n">
        <v>6</v>
      </c>
      <c r="AZ175" s="5" t="n">
        <v>1</v>
      </c>
      <c r="BA175" s="3" t="n">
        <v>1</v>
      </c>
      <c r="BB175" s="3" t="n">
        <v>1</v>
      </c>
      <c r="BC175" s="3" t="n">
        <v>4</v>
      </c>
      <c r="BD175" s="3" t="n">
        <v>3</v>
      </c>
      <c r="BE175" s="3" t="n">
        <v>5</v>
      </c>
      <c r="BF175" s="3" t="n">
        <v>3</v>
      </c>
      <c r="BG175" s="3" t="n">
        <v>4</v>
      </c>
      <c r="BH175" s="3" t="n">
        <v>1</v>
      </c>
      <c r="BI175" s="3" t="n">
        <v>1</v>
      </c>
    </row>
    <row r="176" customFormat="false" ht="12.75" hidden="false" customHeight="false" outlineLevel="0" collapsed="false">
      <c r="A176" s="26" t="s">
        <v>140</v>
      </c>
      <c r="B176" s="26" t="s">
        <v>1417</v>
      </c>
      <c r="C176" s="26" t="s">
        <v>2119</v>
      </c>
      <c r="D176" s="26" t="s">
        <v>2120</v>
      </c>
      <c r="E176" s="27" t="n">
        <v>43939</v>
      </c>
      <c r="F176" s="27" t="n">
        <v>43940</v>
      </c>
      <c r="G176" s="30" t="n">
        <v>1</v>
      </c>
      <c r="H176" s="30" t="n">
        <v>2</v>
      </c>
      <c r="I176" s="30" t="n">
        <v>70</v>
      </c>
      <c r="J176" s="30" t="n">
        <v>1</v>
      </c>
      <c r="K176" s="30" t="n">
        <v>2</v>
      </c>
      <c r="L176" s="30" t="n">
        <v>1</v>
      </c>
      <c r="M176" s="30" t="n">
        <v>2</v>
      </c>
      <c r="N176" s="30" t="n">
        <v>2</v>
      </c>
      <c r="O176" s="30" t="n">
        <v>2</v>
      </c>
      <c r="P176" s="30" t="n">
        <v>2</v>
      </c>
      <c r="Q176" s="30" t="n">
        <v>2</v>
      </c>
      <c r="R176" s="30" t="n">
        <v>1</v>
      </c>
      <c r="S176" s="4" t="n">
        <v>2</v>
      </c>
      <c r="T176" s="30" t="n">
        <v>2</v>
      </c>
      <c r="U176" s="30"/>
      <c r="V176" s="30"/>
      <c r="W176" s="30"/>
      <c r="X176" s="30"/>
      <c r="Z176" s="30"/>
      <c r="AA176" s="30"/>
      <c r="AB176" s="30" t="n">
        <v>3</v>
      </c>
      <c r="AC176" s="30" t="n">
        <v>2</v>
      </c>
      <c r="AD176" s="30" t="n">
        <v>1</v>
      </c>
      <c r="AE176" s="30" t="n">
        <v>1</v>
      </c>
      <c r="AF176" s="30" t="n">
        <v>2</v>
      </c>
      <c r="AG176" s="30" t="n">
        <v>2</v>
      </c>
      <c r="AH176" s="30" t="n">
        <v>1</v>
      </c>
      <c r="AI176" s="30" t="n">
        <v>1</v>
      </c>
      <c r="AJ176" s="30" t="n">
        <v>2</v>
      </c>
      <c r="AK176" s="30" t="n">
        <v>2</v>
      </c>
      <c r="AL176" s="30" t="n">
        <v>1</v>
      </c>
      <c r="AM176" s="30" t="n">
        <v>2</v>
      </c>
      <c r="AN176" s="30" t="n">
        <v>2</v>
      </c>
      <c r="AO176" s="30" t="n">
        <v>3</v>
      </c>
      <c r="AP176" s="30" t="n">
        <v>4</v>
      </c>
      <c r="AQ176" s="30" t="n">
        <v>4</v>
      </c>
      <c r="AR176" s="30" t="n">
        <v>6</v>
      </c>
      <c r="AS176" s="30" t="n">
        <v>4</v>
      </c>
      <c r="AT176" s="30" t="n">
        <v>4</v>
      </c>
      <c r="AU176" s="30" t="n">
        <v>6</v>
      </c>
      <c r="AV176" s="30" t="n">
        <v>6</v>
      </c>
      <c r="AW176" s="30" t="n">
        <v>3</v>
      </c>
      <c r="AX176" s="30" t="n">
        <v>3</v>
      </c>
      <c r="AY176" s="30" t="n">
        <v>1</v>
      </c>
      <c r="AZ176" s="5" t="n">
        <v>1</v>
      </c>
      <c r="BA176" s="30" t="n">
        <v>1</v>
      </c>
      <c r="BB176" s="30" t="n">
        <v>1</v>
      </c>
      <c r="BC176" s="30" t="n">
        <v>3</v>
      </c>
      <c r="BD176" s="30" t="n">
        <v>1</v>
      </c>
      <c r="BE176" s="30" t="n">
        <v>2</v>
      </c>
      <c r="BF176" s="30" t="n">
        <v>1</v>
      </c>
      <c r="BG176" s="30" t="n">
        <v>4</v>
      </c>
      <c r="BH176" s="30" t="n">
        <v>1</v>
      </c>
      <c r="BI176" s="30" t="n">
        <v>1</v>
      </c>
    </row>
    <row r="177" customFormat="false" ht="12.75" hidden="false" customHeight="false" outlineLevel="0" collapsed="false">
      <c r="A177" s="2" t="s">
        <v>2123</v>
      </c>
      <c r="B177" s="2" t="s">
        <v>849</v>
      </c>
      <c r="C177" s="2" t="s">
        <v>2124</v>
      </c>
      <c r="D177" s="2" t="n">
        <v>196911</v>
      </c>
      <c r="E177" s="15" t="n">
        <v>43937</v>
      </c>
      <c r="F177" s="15" t="n">
        <v>43944</v>
      </c>
      <c r="G177" s="3" t="n">
        <v>7</v>
      </c>
      <c r="H177" s="3" t="n">
        <v>2</v>
      </c>
      <c r="I177" s="3" t="n">
        <v>51</v>
      </c>
      <c r="J177" s="3" t="n">
        <v>2</v>
      </c>
      <c r="K177" s="3" t="n">
        <v>1</v>
      </c>
      <c r="L177" s="3" t="n">
        <v>1</v>
      </c>
      <c r="M177" s="3" t="n">
        <v>2</v>
      </c>
      <c r="N177" s="3" t="n">
        <v>2</v>
      </c>
      <c r="O177" s="3" t="n">
        <v>2</v>
      </c>
      <c r="P177" s="3" t="n">
        <v>2</v>
      </c>
      <c r="Q177" s="3" t="n">
        <v>2</v>
      </c>
      <c r="R177" s="3" t="n">
        <v>2</v>
      </c>
      <c r="S177" s="4" t="n">
        <v>2</v>
      </c>
      <c r="T177" s="3" t="n">
        <v>2</v>
      </c>
      <c r="U177" s="3" t="n">
        <v>4.69</v>
      </c>
      <c r="V177" s="3" t="n">
        <v>2.16</v>
      </c>
      <c r="W177" s="3" t="n">
        <v>6.41</v>
      </c>
      <c r="X177" s="3" t="n">
        <v>570</v>
      </c>
      <c r="Z177" s="3" t="n">
        <v>0.45</v>
      </c>
      <c r="AA177" s="3" t="n">
        <v>11.3</v>
      </c>
      <c r="AB177" s="3" t="n">
        <v>1</v>
      </c>
      <c r="AC177" s="3" t="n">
        <v>2</v>
      </c>
      <c r="AD177" s="3" t="n">
        <v>1</v>
      </c>
      <c r="AE177" s="3" t="n">
        <v>1</v>
      </c>
      <c r="AF177" s="3" t="n">
        <v>2</v>
      </c>
      <c r="AG177" s="3" t="n">
        <v>2</v>
      </c>
      <c r="AH177" s="3" t="n">
        <v>1</v>
      </c>
      <c r="AI177" s="3" t="n">
        <v>2</v>
      </c>
      <c r="AJ177" s="3" t="n">
        <v>2</v>
      </c>
      <c r="AK177" s="3" t="n">
        <v>2</v>
      </c>
      <c r="AL177" s="3" t="n">
        <v>1</v>
      </c>
      <c r="AM177" s="3" t="n">
        <v>2</v>
      </c>
      <c r="AN177" s="3" t="n">
        <v>2</v>
      </c>
      <c r="AO177" s="3" t="n">
        <v>3</v>
      </c>
      <c r="AP177" s="3" t="n">
        <v>4</v>
      </c>
      <c r="AQ177" s="3" t="n">
        <v>4</v>
      </c>
      <c r="AR177" s="3" t="n">
        <v>6</v>
      </c>
      <c r="AS177" s="3" t="n">
        <v>4</v>
      </c>
      <c r="AT177" s="3" t="n">
        <v>4</v>
      </c>
      <c r="AU177" s="3" t="n">
        <v>6</v>
      </c>
      <c r="AV177" s="3" t="n">
        <v>6</v>
      </c>
      <c r="AW177" s="3" t="n">
        <v>3</v>
      </c>
      <c r="AX177" s="3" t="n">
        <v>3</v>
      </c>
      <c r="AY177" s="3" t="n">
        <v>1</v>
      </c>
      <c r="AZ177" s="5" t="n">
        <v>1</v>
      </c>
      <c r="BA177" s="3" t="n">
        <v>1</v>
      </c>
      <c r="BB177" s="3" t="n">
        <v>1</v>
      </c>
      <c r="BC177" s="3" t="n">
        <v>4</v>
      </c>
      <c r="BD177" s="3" t="n">
        <v>1</v>
      </c>
      <c r="BE177" s="3" t="n">
        <v>2</v>
      </c>
      <c r="BF177" s="3" t="n">
        <v>1</v>
      </c>
      <c r="BG177" s="3" t="n">
        <v>4</v>
      </c>
      <c r="BH177" s="3" t="n">
        <v>1</v>
      </c>
      <c r="BI177" s="3" t="n">
        <v>1</v>
      </c>
    </row>
    <row r="178" customFormat="false" ht="12.75" hidden="false" customHeight="false" outlineLevel="0" collapsed="false">
      <c r="A178" s="2" t="s">
        <v>2107</v>
      </c>
      <c r="B178" s="2" t="s">
        <v>127</v>
      </c>
      <c r="C178" s="2" t="s">
        <v>386</v>
      </c>
      <c r="D178" s="2" t="n">
        <v>169947</v>
      </c>
      <c r="E178" s="15" t="n">
        <v>43944</v>
      </c>
      <c r="F178" s="15" t="n">
        <v>43949</v>
      </c>
      <c r="G178" s="3" t="n">
        <v>5</v>
      </c>
      <c r="H178" s="3" t="n">
        <v>2</v>
      </c>
      <c r="I178" s="3" t="n">
        <v>74</v>
      </c>
      <c r="J178" s="3" t="n">
        <v>1</v>
      </c>
      <c r="K178" s="3" t="n">
        <v>2</v>
      </c>
      <c r="L178" s="3" t="n">
        <v>2</v>
      </c>
      <c r="M178" s="3" t="n">
        <v>2</v>
      </c>
      <c r="N178" s="3" t="n">
        <v>2</v>
      </c>
      <c r="O178" s="3" t="n">
        <v>2</v>
      </c>
      <c r="P178" s="3" t="n">
        <v>2</v>
      </c>
      <c r="Q178" s="3" t="n">
        <v>2</v>
      </c>
      <c r="R178" s="3" t="n">
        <v>2</v>
      </c>
      <c r="S178" s="4" t="n">
        <v>2</v>
      </c>
      <c r="T178" s="3" t="n">
        <v>2</v>
      </c>
      <c r="U178" s="3" t="n">
        <v>4.72</v>
      </c>
      <c r="V178" s="3" t="n">
        <v>1.77</v>
      </c>
      <c r="W178" s="3" t="n">
        <v>7.2</v>
      </c>
      <c r="X178" s="3" t="n">
        <v>502</v>
      </c>
      <c r="Z178" s="3" t="n">
        <v>0.55</v>
      </c>
      <c r="AA178" s="3" t="n">
        <v>15</v>
      </c>
      <c r="AB178" s="3" t="n">
        <v>1</v>
      </c>
      <c r="AC178" s="3" t="n">
        <v>2</v>
      </c>
      <c r="AD178" s="3" t="n">
        <v>1</v>
      </c>
      <c r="AE178" s="3" t="n">
        <v>1</v>
      </c>
      <c r="AF178" s="3" t="n">
        <v>1</v>
      </c>
      <c r="AG178" s="3" t="n">
        <v>1</v>
      </c>
      <c r="AH178" s="3" t="n">
        <v>1</v>
      </c>
      <c r="AI178" s="3" t="n">
        <v>2</v>
      </c>
      <c r="AJ178" s="3" t="n">
        <v>2</v>
      </c>
      <c r="AK178" s="3" t="n">
        <v>2</v>
      </c>
      <c r="AL178" s="3" t="n">
        <v>2</v>
      </c>
      <c r="AM178" s="3" t="n">
        <v>2</v>
      </c>
      <c r="AN178" s="3" t="n">
        <v>1</v>
      </c>
      <c r="AO178" s="3" t="n">
        <v>3</v>
      </c>
      <c r="AP178" s="3" t="n">
        <v>4</v>
      </c>
      <c r="AQ178" s="3" t="n">
        <v>4</v>
      </c>
      <c r="AR178" s="3" t="n">
        <v>6</v>
      </c>
      <c r="AS178" s="3" t="n">
        <v>4</v>
      </c>
      <c r="AT178" s="3" t="n">
        <v>4</v>
      </c>
      <c r="AU178" s="3" t="n">
        <v>6</v>
      </c>
      <c r="AV178" s="3" t="n">
        <v>6</v>
      </c>
      <c r="AW178" s="3" t="n">
        <v>3</v>
      </c>
      <c r="AX178" s="3" t="n">
        <v>3</v>
      </c>
      <c r="AY178" s="3" t="n">
        <v>1</v>
      </c>
      <c r="AZ178" s="5" t="n">
        <v>1</v>
      </c>
      <c r="BA178" s="3" t="n">
        <v>1</v>
      </c>
      <c r="BB178" s="3" t="n">
        <v>1</v>
      </c>
      <c r="BC178" s="3" t="n">
        <v>2</v>
      </c>
      <c r="BD178" s="3" t="n">
        <v>1</v>
      </c>
      <c r="BE178" s="3" t="n">
        <v>2</v>
      </c>
      <c r="BF178" s="3" t="n">
        <v>1</v>
      </c>
      <c r="BG178" s="3" t="n">
        <v>4</v>
      </c>
      <c r="BH178" s="3" t="n">
        <v>1</v>
      </c>
      <c r="BI178" s="3" t="n">
        <v>1</v>
      </c>
    </row>
    <row r="179" customFormat="false" ht="12.75" hidden="false" customHeight="false" outlineLevel="0" collapsed="false">
      <c r="A179" s="2" t="s">
        <v>2127</v>
      </c>
      <c r="B179" s="2" t="s">
        <v>921</v>
      </c>
      <c r="C179" s="2" t="s">
        <v>2128</v>
      </c>
      <c r="D179" s="2" t="n">
        <v>196951</v>
      </c>
      <c r="E179" s="15" t="n">
        <v>43944</v>
      </c>
      <c r="F179" s="15" t="n">
        <v>43949</v>
      </c>
      <c r="G179" s="3" t="n">
        <v>5</v>
      </c>
      <c r="H179" s="3" t="n">
        <v>2</v>
      </c>
      <c r="I179" s="3" t="n">
        <v>50</v>
      </c>
      <c r="J179" s="3" t="n">
        <v>2</v>
      </c>
      <c r="K179" s="3" t="n">
        <v>1</v>
      </c>
      <c r="L179" s="3" t="n">
        <v>1</v>
      </c>
      <c r="M179" s="3" t="n">
        <v>2</v>
      </c>
      <c r="N179" s="3" t="n">
        <v>2</v>
      </c>
      <c r="O179" s="3" t="n">
        <v>2</v>
      </c>
      <c r="P179" s="3" t="n">
        <v>2</v>
      </c>
      <c r="Q179" s="3" t="n">
        <v>2</v>
      </c>
      <c r="R179" s="3" t="n">
        <v>2</v>
      </c>
      <c r="S179" s="4" t="n">
        <v>2</v>
      </c>
      <c r="T179" s="3" t="n">
        <v>2</v>
      </c>
      <c r="U179" s="3" t="n">
        <v>3.47</v>
      </c>
      <c r="V179" s="3" t="n">
        <v>1.24</v>
      </c>
      <c r="W179" s="3" t="n">
        <v>9.87</v>
      </c>
      <c r="X179" s="3" t="n">
        <v>406</v>
      </c>
      <c r="Z179" s="3" t="n">
        <v>0.43</v>
      </c>
      <c r="AA179" s="3" t="n">
        <v>13.8</v>
      </c>
      <c r="AB179" s="3" t="n">
        <v>1</v>
      </c>
      <c r="AC179" s="3" t="n">
        <v>2</v>
      </c>
      <c r="AD179" s="3" t="n">
        <v>1</v>
      </c>
      <c r="AE179" s="3" t="n">
        <v>1</v>
      </c>
      <c r="AF179" s="3" t="n">
        <v>1</v>
      </c>
      <c r="AG179" s="3" t="n">
        <v>2</v>
      </c>
      <c r="AH179" s="3" t="n">
        <v>1</v>
      </c>
      <c r="AI179" s="3" t="n">
        <v>2</v>
      </c>
      <c r="AJ179" s="3" t="n">
        <v>2</v>
      </c>
      <c r="AK179" s="3" t="n">
        <v>2</v>
      </c>
      <c r="AL179" s="3" t="n">
        <v>2</v>
      </c>
      <c r="AM179" s="3" t="n">
        <v>2</v>
      </c>
      <c r="AN179" s="3" t="n">
        <v>2</v>
      </c>
      <c r="AO179" s="3" t="n">
        <v>3</v>
      </c>
      <c r="AP179" s="3" t="n">
        <v>4</v>
      </c>
      <c r="AQ179" s="3" t="n">
        <v>4</v>
      </c>
      <c r="AR179" s="3" t="n">
        <v>6</v>
      </c>
      <c r="AS179" s="3" t="n">
        <v>4</v>
      </c>
      <c r="AT179" s="3" t="n">
        <v>4</v>
      </c>
      <c r="AU179" s="3" t="n">
        <v>6</v>
      </c>
      <c r="AV179" s="3" t="n">
        <v>6</v>
      </c>
      <c r="AW179" s="3" t="n">
        <v>3</v>
      </c>
      <c r="AX179" s="3" t="n">
        <v>3</v>
      </c>
      <c r="AY179" s="3" t="n">
        <v>1</v>
      </c>
      <c r="AZ179" s="5" t="n">
        <v>1</v>
      </c>
      <c r="BA179" s="3" t="n">
        <v>1</v>
      </c>
      <c r="BB179" s="3" t="n">
        <v>1</v>
      </c>
      <c r="BC179" s="3" t="n">
        <v>2</v>
      </c>
      <c r="BD179" s="3" t="n">
        <v>1</v>
      </c>
      <c r="BE179" s="3" t="n">
        <v>2</v>
      </c>
      <c r="BF179" s="3" t="n">
        <v>1</v>
      </c>
      <c r="BG179" s="3" t="n">
        <v>4</v>
      </c>
      <c r="BH179" s="3" t="n">
        <v>1</v>
      </c>
      <c r="BI179" s="3" t="n">
        <v>1</v>
      </c>
    </row>
    <row r="180" customFormat="false" ht="12.75" hidden="false" customHeight="false" outlineLevel="0" collapsed="false">
      <c r="A180" s="2" t="s">
        <v>413</v>
      </c>
      <c r="B180" s="2" t="s">
        <v>94</v>
      </c>
      <c r="C180" s="2" t="s">
        <v>94</v>
      </c>
      <c r="D180" s="2" t="n">
        <v>196826</v>
      </c>
      <c r="E180" s="15" t="n">
        <v>43943</v>
      </c>
      <c r="F180" s="15" t="n">
        <v>43950</v>
      </c>
      <c r="G180" s="3" t="n">
        <v>7</v>
      </c>
      <c r="H180" s="3" t="n">
        <v>2</v>
      </c>
      <c r="I180" s="3" t="n">
        <v>57</v>
      </c>
      <c r="J180" s="3" t="n">
        <v>1</v>
      </c>
      <c r="K180" s="3" t="n">
        <v>2</v>
      </c>
      <c r="L180" s="3" t="n">
        <v>1</v>
      </c>
      <c r="M180" s="3" t="n">
        <v>2</v>
      </c>
      <c r="N180" s="3" t="n">
        <v>2</v>
      </c>
      <c r="O180" s="3" t="n">
        <v>2</v>
      </c>
      <c r="P180" s="3" t="n">
        <v>2</v>
      </c>
      <c r="Q180" s="3" t="n">
        <v>2</v>
      </c>
      <c r="R180" s="3" t="n">
        <v>1</v>
      </c>
      <c r="S180" s="4" t="n">
        <v>2</v>
      </c>
      <c r="T180" s="3" t="n">
        <v>2</v>
      </c>
      <c r="U180" s="3" t="n">
        <v>4.63</v>
      </c>
      <c r="V180" s="3" t="n">
        <v>0.88</v>
      </c>
      <c r="W180" s="3" t="n">
        <v>8.44</v>
      </c>
      <c r="X180" s="3" t="n">
        <v>418</v>
      </c>
      <c r="Z180" s="3" t="n">
        <v>0.5</v>
      </c>
      <c r="AA180" s="3" t="n">
        <v>12</v>
      </c>
      <c r="AB180" s="3" t="n">
        <v>2</v>
      </c>
      <c r="AC180" s="3" t="n">
        <v>1</v>
      </c>
      <c r="AD180" s="3" t="n">
        <v>1</v>
      </c>
      <c r="AE180" s="3" t="n">
        <v>1</v>
      </c>
      <c r="AF180" s="3" t="n">
        <v>2</v>
      </c>
      <c r="AG180" s="3" t="n">
        <v>2</v>
      </c>
      <c r="AH180" s="3" t="n">
        <v>1</v>
      </c>
      <c r="AI180" s="3" t="n">
        <v>1</v>
      </c>
      <c r="AJ180" s="3" t="n">
        <v>2</v>
      </c>
      <c r="AK180" s="3" t="n">
        <v>2</v>
      </c>
      <c r="AL180" s="3" t="n">
        <v>1</v>
      </c>
      <c r="AM180" s="3" t="n">
        <v>2</v>
      </c>
      <c r="AN180" s="3" t="n">
        <v>2</v>
      </c>
      <c r="AO180" s="3" t="n">
        <v>3</v>
      </c>
      <c r="AP180" s="3" t="n">
        <v>4</v>
      </c>
      <c r="AQ180" s="3" t="n">
        <v>4</v>
      </c>
      <c r="AR180" s="3" t="n">
        <v>6</v>
      </c>
      <c r="AS180" s="3" t="n">
        <v>4</v>
      </c>
      <c r="AT180" s="3" t="n">
        <v>4</v>
      </c>
      <c r="AU180" s="3" t="n">
        <v>6</v>
      </c>
      <c r="AV180" s="3" t="n">
        <v>6</v>
      </c>
      <c r="AW180" s="3" t="n">
        <v>3</v>
      </c>
      <c r="AX180" s="3" t="n">
        <v>3</v>
      </c>
      <c r="AY180" s="3" t="n">
        <v>1</v>
      </c>
      <c r="AZ180" s="5" t="n">
        <v>1</v>
      </c>
      <c r="BA180" s="3" t="n">
        <v>1</v>
      </c>
      <c r="BB180" s="3" t="n">
        <v>1</v>
      </c>
      <c r="BC180" s="3" t="n">
        <v>4</v>
      </c>
      <c r="BD180" s="3" t="n">
        <v>1</v>
      </c>
      <c r="BE180" s="3" t="n">
        <v>2</v>
      </c>
      <c r="BF180" s="3" t="n">
        <v>1</v>
      </c>
      <c r="BG180" s="3" t="n">
        <v>4</v>
      </c>
      <c r="BH180" s="3" t="n">
        <v>1</v>
      </c>
      <c r="BI180" s="3" t="n">
        <v>1</v>
      </c>
    </row>
    <row r="181" customFormat="false" ht="12.75" hidden="false" customHeight="false" outlineLevel="0" collapsed="false">
      <c r="A181" s="2" t="s">
        <v>1213</v>
      </c>
      <c r="B181" s="2" t="s">
        <v>95</v>
      </c>
      <c r="C181" s="2" t="s">
        <v>94</v>
      </c>
      <c r="D181" s="2" t="n">
        <v>196975</v>
      </c>
      <c r="E181" s="15" t="n">
        <v>43946</v>
      </c>
      <c r="F181" s="15" t="n">
        <v>43953</v>
      </c>
      <c r="G181" s="3" t="n">
        <v>7</v>
      </c>
      <c r="H181" s="3" t="n">
        <v>1</v>
      </c>
      <c r="I181" s="3" t="n">
        <v>73</v>
      </c>
      <c r="J181" s="3" t="n">
        <v>2</v>
      </c>
      <c r="K181" s="3" t="n">
        <v>2</v>
      </c>
      <c r="L181" s="3" t="n">
        <v>1</v>
      </c>
      <c r="M181" s="3" t="n">
        <v>2</v>
      </c>
      <c r="N181" s="3" t="n">
        <v>2</v>
      </c>
      <c r="O181" s="3" t="n">
        <v>2</v>
      </c>
      <c r="P181" s="3" t="n">
        <v>2</v>
      </c>
      <c r="Q181" s="3" t="n">
        <v>2</v>
      </c>
      <c r="R181" s="3" t="n">
        <v>2</v>
      </c>
      <c r="S181" s="4" t="n">
        <v>2</v>
      </c>
      <c r="T181" s="3" t="n">
        <v>2</v>
      </c>
      <c r="U181" s="3" t="n">
        <v>4.62</v>
      </c>
      <c r="V181" s="3" t="n">
        <v>1.03</v>
      </c>
      <c r="W181" s="3" t="n">
        <v>6.83</v>
      </c>
      <c r="X181" s="3" t="n">
        <v>263</v>
      </c>
      <c r="Z181" s="3" t="n">
        <v>0.4</v>
      </c>
      <c r="AA181" s="3" t="n">
        <v>7</v>
      </c>
      <c r="AB181" s="3" t="n">
        <v>1</v>
      </c>
      <c r="AC181" s="3" t="n">
        <v>1</v>
      </c>
      <c r="AD181" s="3" t="n">
        <v>1</v>
      </c>
      <c r="AE181" s="3" t="n">
        <v>1</v>
      </c>
      <c r="AF181" s="3" t="n">
        <v>2</v>
      </c>
      <c r="AG181" s="3" t="n">
        <v>1</v>
      </c>
      <c r="AH181" s="3" t="n">
        <v>1</v>
      </c>
      <c r="AI181" s="3" t="n">
        <v>2</v>
      </c>
      <c r="AJ181" s="3" t="n">
        <v>2</v>
      </c>
      <c r="AK181" s="3" t="n">
        <v>2</v>
      </c>
      <c r="AL181" s="3" t="n">
        <v>2</v>
      </c>
      <c r="AM181" s="3" t="n">
        <v>2</v>
      </c>
      <c r="AN181" s="3" t="n">
        <v>2</v>
      </c>
      <c r="AO181" s="3" t="n">
        <v>3</v>
      </c>
      <c r="AP181" s="3" t="n">
        <v>4</v>
      </c>
      <c r="AQ181" s="3" t="n">
        <v>4</v>
      </c>
      <c r="AR181" s="3" t="n">
        <v>6</v>
      </c>
      <c r="AS181" s="3" t="n">
        <v>4</v>
      </c>
      <c r="AT181" s="3" t="n">
        <v>4</v>
      </c>
      <c r="AU181" s="3" t="n">
        <v>6</v>
      </c>
      <c r="AV181" s="3" t="n">
        <v>6</v>
      </c>
      <c r="AW181" s="3" t="n">
        <v>3</v>
      </c>
      <c r="AX181" s="3" t="n">
        <v>3</v>
      </c>
      <c r="AY181" s="3" t="n">
        <v>1</v>
      </c>
      <c r="AZ181" s="5" t="n">
        <v>1</v>
      </c>
      <c r="BA181" s="3" t="n">
        <v>1</v>
      </c>
      <c r="BB181" s="3" t="n">
        <v>1</v>
      </c>
      <c r="BC181" s="3" t="n">
        <v>4</v>
      </c>
      <c r="BD181" s="3" t="n">
        <v>3</v>
      </c>
      <c r="BE181" s="3" t="n">
        <v>5</v>
      </c>
      <c r="BF181" s="3" t="n">
        <v>3</v>
      </c>
      <c r="BG181" s="3" t="n">
        <v>4</v>
      </c>
      <c r="BH181" s="3" t="n">
        <v>1</v>
      </c>
      <c r="BI181" s="3" t="n">
        <v>1</v>
      </c>
    </row>
    <row r="182" customFormat="false" ht="12.75" hidden="false" customHeight="false" outlineLevel="0" collapsed="false">
      <c r="A182" s="2" t="s">
        <v>2136</v>
      </c>
      <c r="B182" s="2" t="s">
        <v>2137</v>
      </c>
      <c r="C182" s="2" t="s">
        <v>66</v>
      </c>
      <c r="D182" s="2" t="n">
        <v>196845</v>
      </c>
      <c r="E182" s="15" t="n">
        <v>43947</v>
      </c>
      <c r="F182" s="15" t="n">
        <v>43953</v>
      </c>
      <c r="G182" s="3" t="n">
        <v>7</v>
      </c>
      <c r="H182" s="3" t="n">
        <v>2</v>
      </c>
      <c r="I182" s="3" t="n">
        <v>47</v>
      </c>
      <c r="J182" s="3" t="n">
        <v>1</v>
      </c>
      <c r="K182" s="3" t="n">
        <v>1</v>
      </c>
      <c r="L182" s="3" t="n">
        <v>1</v>
      </c>
      <c r="M182" s="3" t="n">
        <v>2</v>
      </c>
      <c r="N182" s="3" t="n">
        <v>2</v>
      </c>
      <c r="O182" s="3" t="n">
        <v>2</v>
      </c>
      <c r="P182" s="3" t="n">
        <v>2</v>
      </c>
      <c r="Q182" s="3" t="n">
        <v>2</v>
      </c>
      <c r="R182" s="3" t="n">
        <v>2</v>
      </c>
      <c r="S182" s="4" t="n">
        <v>2</v>
      </c>
      <c r="T182" s="3" t="n">
        <v>2</v>
      </c>
      <c r="U182" s="3" t="n">
        <v>5.09</v>
      </c>
      <c r="V182" s="3" t="n">
        <v>2.74</v>
      </c>
      <c r="W182" s="3" t="n">
        <v>6.33</v>
      </c>
      <c r="X182" s="3" t="n">
        <v>479</v>
      </c>
      <c r="Z182" s="3" t="n">
        <v>0.5</v>
      </c>
      <c r="AA182" s="3" t="n">
        <v>15.6</v>
      </c>
      <c r="AB182" s="3" t="n">
        <v>1</v>
      </c>
      <c r="AC182" s="3" t="n">
        <v>2</v>
      </c>
      <c r="AD182" s="3" t="n">
        <v>1</v>
      </c>
      <c r="AE182" s="3" t="n">
        <v>1</v>
      </c>
      <c r="AF182" s="3" t="n">
        <v>2</v>
      </c>
      <c r="AG182" s="3" t="n">
        <v>2</v>
      </c>
      <c r="AH182" s="3" t="n">
        <v>1</v>
      </c>
      <c r="AI182" s="3" t="n">
        <v>2</v>
      </c>
      <c r="AJ182" s="3" t="n">
        <v>2</v>
      </c>
      <c r="AK182" s="3" t="n">
        <v>2</v>
      </c>
      <c r="AL182" s="3" t="n">
        <v>2</v>
      </c>
      <c r="AM182" s="3" t="n">
        <v>2</v>
      </c>
      <c r="AN182" s="3" t="n">
        <v>2</v>
      </c>
      <c r="AO182" s="3" t="n">
        <v>3</v>
      </c>
      <c r="AP182" s="3" t="n">
        <v>4</v>
      </c>
      <c r="AQ182" s="3" t="n">
        <v>4</v>
      </c>
      <c r="AR182" s="3" t="n">
        <v>6</v>
      </c>
      <c r="AS182" s="3" t="n">
        <v>4</v>
      </c>
      <c r="AT182" s="3" t="n">
        <v>4</v>
      </c>
      <c r="AU182" s="3" t="n">
        <v>6</v>
      </c>
      <c r="AV182" s="3" t="n">
        <v>6</v>
      </c>
      <c r="AW182" s="3" t="n">
        <v>3</v>
      </c>
      <c r="AX182" s="3" t="n">
        <v>3</v>
      </c>
      <c r="AY182" s="3" t="n">
        <v>1</v>
      </c>
      <c r="AZ182" s="5" t="n">
        <v>1</v>
      </c>
      <c r="BA182" s="3" t="n">
        <v>1</v>
      </c>
      <c r="BB182" s="3" t="n">
        <v>1</v>
      </c>
      <c r="BC182" s="3" t="n">
        <v>4</v>
      </c>
      <c r="BD182" s="3" t="n">
        <v>3</v>
      </c>
      <c r="BE182" s="3" t="n">
        <v>5</v>
      </c>
      <c r="BF182" s="3" t="n">
        <v>3</v>
      </c>
      <c r="BG182" s="3" t="n">
        <v>4</v>
      </c>
      <c r="BH182" s="3" t="n">
        <v>1</v>
      </c>
      <c r="BI182" s="3" t="n">
        <v>1</v>
      </c>
    </row>
    <row r="183" customFormat="false" ht="12.75" hidden="false" customHeight="false" outlineLevel="0" collapsed="false">
      <c r="A183" s="2" t="s">
        <v>569</v>
      </c>
      <c r="B183" s="2" t="s">
        <v>172</v>
      </c>
      <c r="C183" s="2" t="s">
        <v>2142</v>
      </c>
      <c r="D183" s="2" t="n">
        <v>196872</v>
      </c>
      <c r="E183" s="15" t="n">
        <v>43948</v>
      </c>
      <c r="F183" s="15" t="n">
        <v>43955</v>
      </c>
      <c r="G183" s="3" t="n">
        <v>7</v>
      </c>
      <c r="H183" s="3" t="n">
        <v>2</v>
      </c>
      <c r="I183" s="3" t="n">
        <v>58</v>
      </c>
      <c r="J183" s="3" t="n">
        <v>2</v>
      </c>
      <c r="K183" s="3" t="n">
        <v>1</v>
      </c>
      <c r="L183" s="3" t="n">
        <v>1</v>
      </c>
      <c r="M183" s="3" t="n">
        <v>2</v>
      </c>
      <c r="N183" s="3" t="n">
        <v>2</v>
      </c>
      <c r="O183" s="3" t="n">
        <v>2</v>
      </c>
      <c r="P183" s="3" t="n">
        <v>1</v>
      </c>
      <c r="Q183" s="3" t="n">
        <v>2</v>
      </c>
      <c r="R183" s="3" t="n">
        <v>2</v>
      </c>
      <c r="S183" s="4" t="n">
        <v>2</v>
      </c>
      <c r="T183" s="3" t="n">
        <v>2</v>
      </c>
      <c r="U183" s="3" t="n">
        <v>6.25</v>
      </c>
      <c r="V183" s="3" t="n">
        <v>1.96</v>
      </c>
      <c r="W183" s="3" t="n">
        <v>9.99</v>
      </c>
      <c r="X183" s="3" t="n">
        <v>450</v>
      </c>
      <c r="Z183" s="3" t="n">
        <v>0.5</v>
      </c>
      <c r="AA183" s="3" t="n">
        <v>15.6</v>
      </c>
      <c r="AB183" s="3" t="n">
        <v>2</v>
      </c>
      <c r="AC183" s="3" t="n">
        <v>2</v>
      </c>
      <c r="AD183" s="3" t="n">
        <v>1</v>
      </c>
      <c r="AE183" s="3" t="n">
        <v>1</v>
      </c>
      <c r="AF183" s="3" t="n">
        <v>2</v>
      </c>
      <c r="AG183" s="3" t="n">
        <v>2</v>
      </c>
      <c r="AH183" s="3" t="n">
        <v>1</v>
      </c>
      <c r="AI183" s="3" t="n">
        <v>2</v>
      </c>
      <c r="AJ183" s="3" t="n">
        <v>2</v>
      </c>
      <c r="AK183" s="3" t="n">
        <v>2</v>
      </c>
      <c r="AL183" s="3" t="n">
        <v>2</v>
      </c>
      <c r="AM183" s="3" t="n">
        <v>2</v>
      </c>
      <c r="AN183" s="3" t="n">
        <v>2</v>
      </c>
      <c r="AO183" s="3" t="n">
        <v>3</v>
      </c>
      <c r="AP183" s="3" t="n">
        <v>4</v>
      </c>
      <c r="AQ183" s="3" t="n">
        <v>4</v>
      </c>
      <c r="AR183" s="3" t="n">
        <v>6</v>
      </c>
      <c r="AS183" s="3" t="n">
        <v>4</v>
      </c>
      <c r="AT183" s="3" t="n">
        <v>4</v>
      </c>
      <c r="AU183" s="3" t="n">
        <v>6</v>
      </c>
      <c r="AV183" s="3" t="n">
        <v>6</v>
      </c>
      <c r="AW183" s="3" t="n">
        <v>3</v>
      </c>
      <c r="AX183" s="3" t="n">
        <v>3</v>
      </c>
      <c r="AY183" s="3" t="n">
        <v>1</v>
      </c>
      <c r="AZ183" s="5" t="n">
        <v>1</v>
      </c>
      <c r="BA183" s="3" t="n">
        <v>1</v>
      </c>
      <c r="BB183" s="3" t="n">
        <v>1</v>
      </c>
      <c r="BC183" s="3" t="n">
        <v>2</v>
      </c>
      <c r="BD183" s="3" t="n">
        <v>1</v>
      </c>
      <c r="BE183" s="3" t="n">
        <v>2</v>
      </c>
      <c r="BF183" s="3" t="n">
        <v>1</v>
      </c>
      <c r="BG183" s="3" t="n">
        <v>4</v>
      </c>
      <c r="BH183" s="3" t="n">
        <v>1</v>
      </c>
      <c r="BI183" s="3" t="n">
        <v>1</v>
      </c>
    </row>
    <row r="184" customFormat="false" ht="12.75" hidden="false" customHeight="false" outlineLevel="0" collapsed="false">
      <c r="A184" s="2" t="s">
        <v>2146</v>
      </c>
      <c r="B184" s="2" t="s">
        <v>330</v>
      </c>
      <c r="C184" s="2" t="s">
        <v>382</v>
      </c>
      <c r="D184" s="2" t="n">
        <v>197246</v>
      </c>
      <c r="E184" s="15" t="n">
        <v>43953</v>
      </c>
      <c r="F184" s="15" t="n">
        <v>43957</v>
      </c>
      <c r="G184" s="3" t="n">
        <v>4</v>
      </c>
      <c r="H184" s="3" t="n">
        <v>1</v>
      </c>
      <c r="I184" s="3" t="n">
        <v>66</v>
      </c>
      <c r="J184" s="3" t="n">
        <v>2</v>
      </c>
      <c r="K184" s="3" t="n">
        <v>1</v>
      </c>
      <c r="L184" s="3" t="n">
        <v>2</v>
      </c>
      <c r="M184" s="3" t="n">
        <v>2</v>
      </c>
      <c r="N184" s="3" t="n">
        <v>2</v>
      </c>
      <c r="O184" s="3" t="n">
        <v>2</v>
      </c>
      <c r="P184" s="3" t="n">
        <v>2</v>
      </c>
      <c r="Q184" s="3" t="n">
        <v>2</v>
      </c>
      <c r="R184" s="3" t="n">
        <v>2</v>
      </c>
      <c r="S184" s="4" t="n">
        <v>2</v>
      </c>
      <c r="T184" s="3" t="n">
        <v>2</v>
      </c>
      <c r="U184" s="3" t="n">
        <v>3.39</v>
      </c>
      <c r="V184" s="3" t="n">
        <v>1.67</v>
      </c>
      <c r="W184" s="3" t="n">
        <v>4.5</v>
      </c>
      <c r="X184" s="3" t="n">
        <v>471</v>
      </c>
      <c r="Z184" s="3" t="n">
        <v>0.39</v>
      </c>
      <c r="AA184" s="3" t="n">
        <v>15.1</v>
      </c>
      <c r="AB184" s="3" t="n">
        <v>1</v>
      </c>
      <c r="AC184" s="3" t="n">
        <v>2</v>
      </c>
      <c r="AD184" s="3" t="n">
        <v>1</v>
      </c>
      <c r="AE184" s="3" t="n">
        <v>1</v>
      </c>
      <c r="AF184" s="3" t="n">
        <v>2</v>
      </c>
      <c r="AG184" s="3" t="n">
        <v>2</v>
      </c>
      <c r="AH184" s="3" t="n">
        <v>1</v>
      </c>
      <c r="AI184" s="3" t="n">
        <v>2</v>
      </c>
      <c r="AJ184" s="3" t="n">
        <v>2</v>
      </c>
      <c r="AK184" s="3" t="n">
        <v>2</v>
      </c>
      <c r="AL184" s="3" t="n">
        <v>1</v>
      </c>
      <c r="AM184" s="3" t="n">
        <v>2</v>
      </c>
      <c r="AN184" s="3" t="n">
        <v>2</v>
      </c>
      <c r="AO184" s="3" t="n">
        <v>3</v>
      </c>
      <c r="AP184" s="3" t="n">
        <v>4</v>
      </c>
      <c r="AQ184" s="3" t="n">
        <v>4</v>
      </c>
      <c r="AR184" s="3" t="n">
        <v>6</v>
      </c>
      <c r="AS184" s="3" t="n">
        <v>4</v>
      </c>
      <c r="AT184" s="3" t="n">
        <v>4</v>
      </c>
      <c r="AU184" s="3" t="n">
        <v>6</v>
      </c>
      <c r="AV184" s="3" t="n">
        <v>6</v>
      </c>
      <c r="AW184" s="3" t="n">
        <v>3</v>
      </c>
      <c r="AX184" s="3" t="n">
        <v>3</v>
      </c>
      <c r="AY184" s="3" t="n">
        <v>1</v>
      </c>
      <c r="AZ184" s="5" t="n">
        <v>1</v>
      </c>
      <c r="BA184" s="3" t="n">
        <v>1</v>
      </c>
      <c r="BB184" s="3" t="n">
        <v>1</v>
      </c>
      <c r="BC184" s="3" t="n">
        <v>4</v>
      </c>
      <c r="BD184" s="3" t="n">
        <v>3</v>
      </c>
      <c r="BE184" s="3" t="n">
        <v>5</v>
      </c>
      <c r="BF184" s="3" t="n">
        <v>3</v>
      </c>
      <c r="BG184" s="3" t="n">
        <v>4</v>
      </c>
      <c r="BH184" s="3" t="n">
        <v>1</v>
      </c>
      <c r="BI184" s="3" t="n">
        <v>1</v>
      </c>
    </row>
    <row r="185" customFormat="false" ht="12.75" hidden="false" customHeight="false" outlineLevel="0" collapsed="false">
      <c r="A185" s="2" t="s">
        <v>2148</v>
      </c>
      <c r="B185" s="2" t="s">
        <v>746</v>
      </c>
      <c r="C185" s="2" t="s">
        <v>78</v>
      </c>
      <c r="D185" s="2" t="n">
        <v>197208</v>
      </c>
      <c r="E185" s="15" t="n">
        <v>43951</v>
      </c>
      <c r="F185" s="15" t="n">
        <v>43957</v>
      </c>
      <c r="G185" s="3" t="n">
        <v>7</v>
      </c>
      <c r="H185" s="3" t="n">
        <v>2</v>
      </c>
      <c r="I185" s="3" t="n">
        <v>56</v>
      </c>
      <c r="J185" s="3" t="n">
        <v>1</v>
      </c>
      <c r="K185" s="3" t="n">
        <v>1</v>
      </c>
      <c r="L185" s="3" t="n">
        <v>2</v>
      </c>
      <c r="M185" s="3" t="n">
        <v>2</v>
      </c>
      <c r="N185" s="3" t="n">
        <v>2</v>
      </c>
      <c r="O185" s="3" t="n">
        <v>2</v>
      </c>
      <c r="P185" s="3" t="n">
        <v>2</v>
      </c>
      <c r="Q185" s="3" t="n">
        <v>2</v>
      </c>
      <c r="R185" s="3" t="n">
        <v>2</v>
      </c>
      <c r="S185" s="4" t="n">
        <v>2</v>
      </c>
      <c r="T185" s="3" t="n">
        <v>2</v>
      </c>
      <c r="U185" s="3" t="n">
        <v>5.5</v>
      </c>
      <c r="V185" s="3" t="n">
        <v>1.37</v>
      </c>
      <c r="W185" s="3" t="n">
        <v>8.6</v>
      </c>
      <c r="X185" s="3" t="n">
        <v>341</v>
      </c>
      <c r="Z185" s="3" t="n">
        <v>0.46</v>
      </c>
      <c r="AA185" s="3" t="n">
        <v>13.8</v>
      </c>
      <c r="AB185" s="3" t="n">
        <v>1</v>
      </c>
      <c r="AC185" s="3" t="n">
        <v>2</v>
      </c>
      <c r="AD185" s="3" t="n">
        <v>1</v>
      </c>
      <c r="AE185" s="3" t="n">
        <v>1</v>
      </c>
      <c r="AF185" s="3" t="n">
        <v>2</v>
      </c>
      <c r="AG185" s="3" t="n">
        <v>2</v>
      </c>
      <c r="AH185" s="3" t="n">
        <v>1</v>
      </c>
      <c r="AI185" s="3" t="n">
        <v>2</v>
      </c>
      <c r="AJ185" s="3" t="n">
        <v>2</v>
      </c>
      <c r="AK185" s="3" t="n">
        <v>2</v>
      </c>
      <c r="AL185" s="3" t="n">
        <v>2</v>
      </c>
      <c r="AM185" s="3" t="n">
        <v>2</v>
      </c>
      <c r="AN185" s="3" t="n">
        <v>2</v>
      </c>
      <c r="AO185" s="3" t="n">
        <v>3</v>
      </c>
      <c r="AP185" s="3" t="n">
        <v>4</v>
      </c>
      <c r="AQ185" s="3" t="n">
        <v>4</v>
      </c>
      <c r="AR185" s="3" t="n">
        <v>6</v>
      </c>
      <c r="AS185" s="3" t="n">
        <v>4</v>
      </c>
      <c r="AT185" s="3" t="n">
        <v>4</v>
      </c>
      <c r="AU185" s="3" t="n">
        <v>6</v>
      </c>
      <c r="AV185" s="3" t="n">
        <v>6</v>
      </c>
      <c r="AW185" s="3" t="n">
        <v>3</v>
      </c>
      <c r="AX185" s="3" t="n">
        <v>3</v>
      </c>
      <c r="AY185" s="3" t="n">
        <v>1</v>
      </c>
      <c r="AZ185" s="5" t="n">
        <v>1</v>
      </c>
      <c r="BA185" s="3" t="n">
        <v>1</v>
      </c>
      <c r="BB185" s="3" t="n">
        <v>1</v>
      </c>
      <c r="BC185" s="3" t="n">
        <v>4</v>
      </c>
      <c r="BD185" s="3" t="n">
        <v>1</v>
      </c>
      <c r="BE185" s="3" t="n">
        <v>2</v>
      </c>
      <c r="BF185" s="3" t="n">
        <v>1</v>
      </c>
      <c r="BG185" s="3" t="n">
        <v>4</v>
      </c>
      <c r="BH185" s="3" t="n">
        <v>1</v>
      </c>
      <c r="BI185" s="3" t="n">
        <v>1</v>
      </c>
    </row>
    <row r="186" customFormat="false" ht="12.75" hidden="false" customHeight="false" outlineLevel="0" collapsed="false">
      <c r="A186" s="2" t="s">
        <v>440</v>
      </c>
      <c r="B186" s="2" t="s">
        <v>595</v>
      </c>
      <c r="C186" s="2" t="s">
        <v>197</v>
      </c>
      <c r="D186" s="2" t="n">
        <v>196797</v>
      </c>
      <c r="E186" s="15" t="n">
        <v>43955</v>
      </c>
      <c r="F186" s="15" t="n">
        <v>43961</v>
      </c>
      <c r="G186" s="3" t="n">
        <v>6</v>
      </c>
      <c r="H186" s="3" t="n">
        <v>2</v>
      </c>
      <c r="I186" s="3" t="n">
        <v>56</v>
      </c>
      <c r="J186" s="3" t="n">
        <v>1</v>
      </c>
      <c r="K186" s="3" t="n">
        <v>1</v>
      </c>
      <c r="L186" s="3" t="n">
        <v>2</v>
      </c>
      <c r="M186" s="3" t="n">
        <v>1</v>
      </c>
      <c r="N186" s="3" t="n">
        <v>2</v>
      </c>
      <c r="O186" s="3" t="n">
        <v>2</v>
      </c>
      <c r="P186" s="3" t="n">
        <v>2</v>
      </c>
      <c r="Q186" s="3" t="n">
        <v>2</v>
      </c>
      <c r="R186" s="3" t="n">
        <v>1</v>
      </c>
      <c r="S186" s="4" t="n">
        <v>2</v>
      </c>
      <c r="T186" s="3" t="n">
        <v>2</v>
      </c>
      <c r="U186" s="3" t="n">
        <v>5.28</v>
      </c>
      <c r="V186" s="3" t="n">
        <v>1.42</v>
      </c>
      <c r="W186" s="3" t="n">
        <v>7.68</v>
      </c>
      <c r="X186" s="3" t="n">
        <v>472</v>
      </c>
      <c r="Z186" s="3" t="n">
        <v>0.52</v>
      </c>
      <c r="AA186" s="3" t="n">
        <v>13</v>
      </c>
      <c r="AB186" s="3" t="n">
        <v>1</v>
      </c>
      <c r="AC186" s="3" t="n">
        <v>2</v>
      </c>
      <c r="AD186" s="3" t="n">
        <v>1</v>
      </c>
      <c r="AE186" s="3" t="n">
        <v>1</v>
      </c>
      <c r="AF186" s="3" t="n">
        <v>2</v>
      </c>
      <c r="AG186" s="3" t="n">
        <v>2</v>
      </c>
      <c r="AH186" s="3" t="n">
        <v>1</v>
      </c>
      <c r="AI186" s="3" t="n">
        <v>1</v>
      </c>
      <c r="AJ186" s="3" t="n">
        <v>2</v>
      </c>
      <c r="AK186" s="3" t="n">
        <v>2</v>
      </c>
      <c r="AL186" s="3" t="n">
        <v>2</v>
      </c>
      <c r="AM186" s="3" t="n">
        <v>2</v>
      </c>
      <c r="AN186" s="3" t="n">
        <v>2</v>
      </c>
      <c r="AO186" s="3" t="n">
        <v>3</v>
      </c>
      <c r="AP186" s="3" t="n">
        <v>4</v>
      </c>
      <c r="AQ186" s="3" t="n">
        <v>4</v>
      </c>
      <c r="AR186" s="3" t="n">
        <v>6</v>
      </c>
      <c r="AS186" s="3" t="n">
        <v>4</v>
      </c>
      <c r="AT186" s="3" t="n">
        <v>4</v>
      </c>
      <c r="AU186" s="3" t="n">
        <v>6</v>
      </c>
      <c r="AV186" s="3" t="n">
        <v>6</v>
      </c>
      <c r="AW186" s="3" t="n">
        <v>3</v>
      </c>
      <c r="AX186" s="3" t="n">
        <v>3</v>
      </c>
      <c r="AY186" s="3" t="n">
        <v>1</v>
      </c>
      <c r="AZ186" s="5" t="n">
        <v>1</v>
      </c>
      <c r="BA186" s="3" t="n">
        <v>1</v>
      </c>
      <c r="BB186" s="3" t="n">
        <v>1</v>
      </c>
      <c r="BC186" s="3" t="n">
        <v>4</v>
      </c>
      <c r="BD186" s="3" t="n">
        <v>1</v>
      </c>
      <c r="BE186" s="3" t="n">
        <v>2</v>
      </c>
      <c r="BF186" s="3" t="n">
        <v>1</v>
      </c>
      <c r="BG186" s="3" t="n">
        <v>4</v>
      </c>
      <c r="BH186" s="3" t="n">
        <v>1</v>
      </c>
      <c r="BI186" s="3" t="n">
        <v>1</v>
      </c>
    </row>
    <row r="187" customFormat="false" ht="12.75" hidden="false" customHeight="false" outlineLevel="0" collapsed="false">
      <c r="A187" s="2" t="s">
        <v>258</v>
      </c>
      <c r="B187" s="2" t="s">
        <v>611</v>
      </c>
      <c r="C187" s="2" t="s">
        <v>2151</v>
      </c>
      <c r="D187" s="2" t="n">
        <v>197260</v>
      </c>
      <c r="E187" s="15" t="n">
        <v>43954</v>
      </c>
      <c r="F187" s="15" t="n">
        <v>43961</v>
      </c>
      <c r="G187" s="3" t="n">
        <v>7</v>
      </c>
      <c r="H187" s="3" t="n">
        <v>2</v>
      </c>
      <c r="I187" s="3" t="n">
        <v>47</v>
      </c>
      <c r="J187" s="3" t="n">
        <v>1</v>
      </c>
      <c r="K187" s="3" t="n">
        <v>2</v>
      </c>
      <c r="L187" s="3" t="n">
        <v>1</v>
      </c>
      <c r="M187" s="3" t="n">
        <v>1</v>
      </c>
      <c r="N187" s="3" t="n">
        <v>2</v>
      </c>
      <c r="O187" s="3" t="n">
        <v>2</v>
      </c>
      <c r="P187" s="3" t="n">
        <v>2</v>
      </c>
      <c r="Q187" s="3" t="n">
        <v>2</v>
      </c>
      <c r="R187" s="3" t="n">
        <v>2</v>
      </c>
      <c r="S187" s="4" t="n">
        <v>2</v>
      </c>
      <c r="T187" s="3" t="n">
        <v>2</v>
      </c>
      <c r="U187" s="3" t="n">
        <v>4.72</v>
      </c>
      <c r="V187" s="3" t="n">
        <v>2.72</v>
      </c>
      <c r="W187" s="3" t="n">
        <v>11.3</v>
      </c>
      <c r="X187" s="3" t="n">
        <v>394</v>
      </c>
      <c r="Z187" s="3" t="n">
        <v>0.51</v>
      </c>
      <c r="AA187" s="3" t="n">
        <v>15</v>
      </c>
      <c r="AB187" s="3" t="n">
        <v>1</v>
      </c>
      <c r="AC187" s="3" t="n">
        <v>2</v>
      </c>
      <c r="AD187" s="3" t="n">
        <v>1</v>
      </c>
      <c r="AE187" s="3" t="n">
        <v>1</v>
      </c>
      <c r="AF187" s="3" t="n">
        <v>1</v>
      </c>
      <c r="AG187" s="3" t="n">
        <v>2</v>
      </c>
      <c r="AH187" s="3" t="n">
        <v>1</v>
      </c>
      <c r="AI187" s="3" t="n">
        <v>2</v>
      </c>
      <c r="AJ187" s="3" t="n">
        <v>2</v>
      </c>
      <c r="AK187" s="3" t="n">
        <v>2</v>
      </c>
      <c r="AL187" s="3" t="n">
        <v>2</v>
      </c>
      <c r="AM187" s="3" t="n">
        <v>2</v>
      </c>
      <c r="AN187" s="3" t="n">
        <v>2</v>
      </c>
      <c r="AO187" s="3" t="n">
        <v>3</v>
      </c>
      <c r="AP187" s="3" t="n">
        <v>4</v>
      </c>
      <c r="AQ187" s="3" t="n">
        <v>4</v>
      </c>
      <c r="AR187" s="3" t="n">
        <v>6</v>
      </c>
      <c r="AS187" s="3" t="n">
        <v>4</v>
      </c>
      <c r="AT187" s="3" t="n">
        <v>4</v>
      </c>
      <c r="AU187" s="3" t="n">
        <v>6</v>
      </c>
      <c r="AV187" s="3" t="n">
        <v>6</v>
      </c>
      <c r="AW187" s="3" t="n">
        <v>3</v>
      </c>
      <c r="AX187" s="3" t="n">
        <v>3</v>
      </c>
      <c r="AY187" s="3" t="n">
        <v>16</v>
      </c>
      <c r="AZ187" s="5" t="n">
        <v>1</v>
      </c>
      <c r="BA187" s="3" t="n">
        <v>1</v>
      </c>
      <c r="BB187" s="3" t="n">
        <v>1</v>
      </c>
      <c r="BC187" s="3" t="n">
        <v>2</v>
      </c>
      <c r="BD187" s="3" t="n">
        <v>1</v>
      </c>
      <c r="BE187" s="3" t="n">
        <v>2</v>
      </c>
      <c r="BF187" s="3" t="n">
        <v>1</v>
      </c>
      <c r="BG187" s="3" t="n">
        <v>4</v>
      </c>
      <c r="BH187" s="3" t="n">
        <v>1</v>
      </c>
      <c r="BI187" s="3" t="n">
        <v>1</v>
      </c>
    </row>
    <row r="188" customFormat="false" ht="12.75" hidden="false" customHeight="false" outlineLevel="0" collapsed="false">
      <c r="A188" s="2" t="s">
        <v>2156</v>
      </c>
      <c r="B188" s="2" t="s">
        <v>2124</v>
      </c>
      <c r="C188" s="2" t="s">
        <v>849</v>
      </c>
      <c r="D188" s="2" t="n">
        <v>196793</v>
      </c>
      <c r="E188" s="15" t="n">
        <v>43956</v>
      </c>
      <c r="F188" s="15" t="n">
        <v>43962</v>
      </c>
      <c r="G188" s="3" t="n">
        <v>6</v>
      </c>
      <c r="H188" s="3" t="n">
        <v>2</v>
      </c>
      <c r="I188" s="3" t="n">
        <v>62</v>
      </c>
      <c r="J188" s="3" t="n">
        <v>1</v>
      </c>
      <c r="K188" s="3" t="n">
        <v>1</v>
      </c>
      <c r="L188" s="3" t="n">
        <v>2</v>
      </c>
      <c r="M188" s="3" t="n">
        <v>2</v>
      </c>
      <c r="N188" s="3" t="n">
        <v>2</v>
      </c>
      <c r="O188" s="3" t="n">
        <v>2</v>
      </c>
      <c r="P188" s="3" t="n">
        <v>2</v>
      </c>
      <c r="Q188" s="3" t="n">
        <v>2</v>
      </c>
      <c r="R188" s="3" t="n">
        <v>2</v>
      </c>
      <c r="S188" s="4" t="n">
        <v>2</v>
      </c>
      <c r="T188" s="3" t="n">
        <v>2</v>
      </c>
      <c r="U188" s="3" t="n">
        <v>5.31</v>
      </c>
      <c r="V188" s="3" t="n">
        <v>1.87</v>
      </c>
      <c r="W188" s="3" t="n">
        <v>10.72</v>
      </c>
      <c r="X188" s="3" t="n">
        <v>415</v>
      </c>
      <c r="Z188" s="3" t="n">
        <v>0.48</v>
      </c>
      <c r="AA188" s="3" t="n">
        <v>14.3</v>
      </c>
      <c r="AB188" s="3" t="n">
        <v>1</v>
      </c>
      <c r="AC188" s="3" t="n">
        <v>2</v>
      </c>
      <c r="AD188" s="3" t="n">
        <v>1</v>
      </c>
      <c r="AE188" s="3" t="n">
        <v>1</v>
      </c>
      <c r="AF188" s="3" t="n">
        <v>2</v>
      </c>
      <c r="AG188" s="3" t="n">
        <v>2</v>
      </c>
      <c r="AH188" s="3" t="n">
        <v>1</v>
      </c>
      <c r="AI188" s="3" t="n">
        <v>2</v>
      </c>
      <c r="AJ188" s="3" t="n">
        <v>2</v>
      </c>
      <c r="AK188" s="3" t="n">
        <v>2</v>
      </c>
      <c r="AL188" s="3" t="n">
        <v>2</v>
      </c>
      <c r="AM188" s="3" t="n">
        <v>2</v>
      </c>
      <c r="AN188" s="3" t="n">
        <v>2</v>
      </c>
      <c r="AO188" s="3" t="n">
        <v>3</v>
      </c>
      <c r="AP188" s="3" t="n">
        <v>4</v>
      </c>
      <c r="AQ188" s="3" t="n">
        <v>4</v>
      </c>
      <c r="AR188" s="3" t="n">
        <v>6</v>
      </c>
      <c r="AS188" s="3" t="n">
        <v>4</v>
      </c>
      <c r="AT188" s="3" t="n">
        <v>4</v>
      </c>
      <c r="AU188" s="3" t="n">
        <v>6</v>
      </c>
      <c r="AV188" s="3" t="n">
        <v>6</v>
      </c>
      <c r="AW188" s="3" t="n">
        <v>3</v>
      </c>
      <c r="AX188" s="3" t="n">
        <v>3</v>
      </c>
      <c r="AY188" s="3" t="n">
        <v>1</v>
      </c>
      <c r="AZ188" s="5" t="n">
        <v>1</v>
      </c>
      <c r="BA188" s="3" t="n">
        <v>1</v>
      </c>
      <c r="BB188" s="3" t="n">
        <v>1</v>
      </c>
      <c r="BC188" s="3" t="n">
        <v>4</v>
      </c>
      <c r="BD188" s="3" t="n">
        <v>1</v>
      </c>
      <c r="BE188" s="3" t="n">
        <v>2</v>
      </c>
      <c r="BF188" s="3" t="n">
        <v>1</v>
      </c>
      <c r="BG188" s="3" t="n">
        <v>4</v>
      </c>
      <c r="BH188" s="3" t="n">
        <v>1</v>
      </c>
      <c r="BI188" s="3" t="n">
        <v>1</v>
      </c>
    </row>
    <row r="189" customFormat="false" ht="12.75" hidden="false" customHeight="false" outlineLevel="0" collapsed="false">
      <c r="A189" s="2" t="s">
        <v>2158</v>
      </c>
      <c r="B189" s="2" t="s">
        <v>1197</v>
      </c>
      <c r="C189" s="2" t="s">
        <v>2159</v>
      </c>
      <c r="D189" s="2" t="n">
        <v>197001</v>
      </c>
      <c r="E189" s="15" t="n">
        <v>43955</v>
      </c>
      <c r="F189" s="15" t="n">
        <v>43962</v>
      </c>
      <c r="G189" s="3" t="n">
        <v>7</v>
      </c>
      <c r="H189" s="3" t="n">
        <v>2</v>
      </c>
      <c r="I189" s="3" t="n">
        <v>72</v>
      </c>
      <c r="J189" s="3" t="n">
        <v>2</v>
      </c>
      <c r="K189" s="3" t="n">
        <v>1</v>
      </c>
      <c r="L189" s="3" t="n">
        <v>2</v>
      </c>
      <c r="M189" s="3" t="n">
        <v>2</v>
      </c>
      <c r="N189" s="3" t="n">
        <v>2</v>
      </c>
      <c r="O189" s="3" t="n">
        <v>2</v>
      </c>
      <c r="P189" s="3" t="n">
        <v>2</v>
      </c>
      <c r="Q189" s="3" t="n">
        <v>2</v>
      </c>
      <c r="R189" s="3" t="n">
        <v>2</v>
      </c>
      <c r="S189" s="4" t="n">
        <v>2</v>
      </c>
      <c r="T189" s="3" t="n">
        <v>2</v>
      </c>
      <c r="U189" s="3" t="n">
        <v>2.94</v>
      </c>
      <c r="V189" s="3" t="n">
        <v>1.86</v>
      </c>
      <c r="W189" s="3" t="n">
        <v>6.41</v>
      </c>
      <c r="X189" s="3" t="n">
        <v>469</v>
      </c>
      <c r="Z189" s="3" t="n">
        <v>0.35</v>
      </c>
      <c r="AA189" s="3" t="n">
        <v>7</v>
      </c>
      <c r="AB189" s="3" t="n">
        <v>1</v>
      </c>
      <c r="AC189" s="3" t="n">
        <v>2</v>
      </c>
      <c r="AD189" s="3" t="n">
        <v>1</v>
      </c>
      <c r="AE189" s="3" t="n">
        <v>1</v>
      </c>
      <c r="AF189" s="3" t="n">
        <v>2</v>
      </c>
      <c r="AG189" s="3" t="n">
        <v>2</v>
      </c>
      <c r="AH189" s="3" t="n">
        <v>1</v>
      </c>
      <c r="AI189" s="3" t="n">
        <v>2</v>
      </c>
      <c r="AJ189" s="3" t="n">
        <v>2</v>
      </c>
      <c r="AK189" s="3" t="n">
        <v>2</v>
      </c>
      <c r="AL189" s="3" t="n">
        <v>1</v>
      </c>
      <c r="AM189" s="3" t="n">
        <v>1</v>
      </c>
      <c r="AN189" s="3" t="n">
        <v>2</v>
      </c>
      <c r="AO189" s="3" t="n">
        <v>3</v>
      </c>
      <c r="AP189" s="3" t="n">
        <v>4</v>
      </c>
      <c r="AQ189" s="3" t="n">
        <v>4</v>
      </c>
      <c r="AR189" s="3" t="n">
        <v>6</v>
      </c>
      <c r="AS189" s="3" t="n">
        <v>4</v>
      </c>
      <c r="AT189" s="3" t="n">
        <v>4</v>
      </c>
      <c r="AU189" s="3" t="n">
        <v>6</v>
      </c>
      <c r="AV189" s="3" t="n">
        <v>6</v>
      </c>
      <c r="AW189" s="3" t="n">
        <v>3</v>
      </c>
      <c r="AX189" s="3" t="n">
        <v>3</v>
      </c>
      <c r="AY189" s="3" t="n">
        <v>6</v>
      </c>
      <c r="AZ189" s="5" t="n">
        <v>1</v>
      </c>
      <c r="BA189" s="3" t="n">
        <v>1</v>
      </c>
      <c r="BB189" s="3" t="n">
        <v>1</v>
      </c>
      <c r="BC189" s="3" t="n">
        <v>4</v>
      </c>
      <c r="BD189" s="3" t="n">
        <v>1</v>
      </c>
      <c r="BE189" s="3" t="n">
        <v>2</v>
      </c>
      <c r="BF189" s="3" t="n">
        <v>1</v>
      </c>
      <c r="BG189" s="3" t="n">
        <v>4</v>
      </c>
      <c r="BH189" s="3" t="n">
        <v>1</v>
      </c>
      <c r="BI189" s="3" t="n">
        <v>1</v>
      </c>
    </row>
    <row r="190" customFormat="false" ht="12.75" hidden="false" customHeight="false" outlineLevel="0" collapsed="false">
      <c r="A190" s="2" t="s">
        <v>2162</v>
      </c>
      <c r="B190" s="2" t="s">
        <v>1243</v>
      </c>
      <c r="C190" s="2" t="s">
        <v>304</v>
      </c>
      <c r="D190" s="2" t="n">
        <v>197279</v>
      </c>
      <c r="E190" s="15" t="n">
        <v>43960</v>
      </c>
      <c r="F190" s="15" t="n">
        <v>43965</v>
      </c>
      <c r="G190" s="3" t="n">
        <v>5</v>
      </c>
      <c r="H190" s="3" t="n">
        <v>2</v>
      </c>
      <c r="I190" s="3" t="n">
        <v>56</v>
      </c>
      <c r="J190" s="3" t="n">
        <v>1</v>
      </c>
      <c r="K190" s="3" t="n">
        <v>1</v>
      </c>
      <c r="L190" s="3" t="n">
        <v>2</v>
      </c>
      <c r="M190" s="3" t="n">
        <v>2</v>
      </c>
      <c r="N190" s="3" t="n">
        <v>2</v>
      </c>
      <c r="O190" s="3" t="n">
        <v>2</v>
      </c>
      <c r="P190" s="3" t="n">
        <v>2</v>
      </c>
      <c r="Q190" s="3" t="n">
        <v>2</v>
      </c>
      <c r="R190" s="3" t="n">
        <v>2</v>
      </c>
      <c r="S190" s="4" t="n">
        <v>2</v>
      </c>
      <c r="T190" s="3" t="n">
        <v>2</v>
      </c>
      <c r="U190" s="3" t="n">
        <v>4.49</v>
      </c>
      <c r="V190" s="3"/>
      <c r="W190" s="3" t="n">
        <v>6.02</v>
      </c>
      <c r="X190" s="3" t="n">
        <v>332</v>
      </c>
      <c r="Z190" s="3" t="n">
        <v>0.49</v>
      </c>
      <c r="AA190" s="3" t="n">
        <v>15.9</v>
      </c>
      <c r="AB190" s="3" t="n">
        <v>1</v>
      </c>
      <c r="AC190" s="3" t="n">
        <v>2</v>
      </c>
      <c r="AD190" s="3" t="n">
        <v>1</v>
      </c>
      <c r="AE190" s="3" t="n">
        <v>1</v>
      </c>
      <c r="AF190" s="3" t="n">
        <v>2</v>
      </c>
      <c r="AG190" s="3" t="n">
        <v>2</v>
      </c>
      <c r="AH190" s="3" t="n">
        <v>1</v>
      </c>
      <c r="AI190" s="3" t="n">
        <v>2</v>
      </c>
      <c r="AJ190" s="3" t="n">
        <v>2</v>
      </c>
      <c r="AK190" s="3" t="n">
        <v>2</v>
      </c>
      <c r="AL190" s="3" t="n">
        <v>1</v>
      </c>
      <c r="AM190" s="3" t="n">
        <v>2</v>
      </c>
      <c r="AN190" s="3" t="n">
        <v>2</v>
      </c>
      <c r="AO190" s="3" t="n">
        <v>3</v>
      </c>
      <c r="AP190" s="3" t="n">
        <v>4</v>
      </c>
      <c r="AQ190" s="3" t="n">
        <v>4</v>
      </c>
      <c r="AR190" s="3" t="n">
        <v>6</v>
      </c>
      <c r="AS190" s="3" t="n">
        <v>4</v>
      </c>
      <c r="AT190" s="3" t="n">
        <v>4</v>
      </c>
      <c r="AU190" s="3" t="n">
        <v>6</v>
      </c>
      <c r="AV190" s="3" t="n">
        <v>6</v>
      </c>
      <c r="AW190" s="3" t="n">
        <v>3</v>
      </c>
      <c r="AX190" s="3" t="n">
        <v>3</v>
      </c>
      <c r="AY190" s="3" t="n">
        <v>1</v>
      </c>
      <c r="AZ190" s="5" t="n">
        <v>1</v>
      </c>
      <c r="BA190" s="3" t="n">
        <v>1</v>
      </c>
      <c r="BB190" s="3" t="n">
        <v>1</v>
      </c>
      <c r="BC190" s="3" t="n">
        <v>4</v>
      </c>
      <c r="BD190" s="3" t="n">
        <v>1</v>
      </c>
      <c r="BE190" s="3" t="n">
        <v>2</v>
      </c>
      <c r="BF190" s="3" t="n">
        <v>1</v>
      </c>
      <c r="BG190" s="3" t="n">
        <v>4</v>
      </c>
      <c r="BH190" s="3" t="n">
        <v>1</v>
      </c>
      <c r="BI190" s="3" t="n">
        <v>1</v>
      </c>
    </row>
    <row r="191" customFormat="false" ht="12.75" hidden="false" customHeight="false" outlineLevel="0" collapsed="false">
      <c r="A191" s="2" t="s">
        <v>758</v>
      </c>
      <c r="B191" s="2" t="s">
        <v>301</v>
      </c>
      <c r="C191" s="2" t="s">
        <v>197</v>
      </c>
      <c r="D191" s="2" t="n">
        <v>197105</v>
      </c>
      <c r="E191" s="15" t="n">
        <v>43963</v>
      </c>
      <c r="F191" s="15" t="n">
        <v>43969</v>
      </c>
      <c r="G191" s="3" t="n">
        <v>6</v>
      </c>
      <c r="H191" s="3" t="n">
        <v>2</v>
      </c>
      <c r="I191" s="3" t="n">
        <v>68</v>
      </c>
      <c r="J191" s="3" t="n">
        <v>2</v>
      </c>
      <c r="K191" s="3" t="n">
        <v>2</v>
      </c>
      <c r="L191" s="3" t="n">
        <v>1</v>
      </c>
      <c r="M191" s="3" t="n">
        <v>2</v>
      </c>
      <c r="N191" s="3" t="n">
        <v>2</v>
      </c>
      <c r="O191" s="3" t="n">
        <v>2</v>
      </c>
      <c r="P191" s="3" t="n">
        <v>2</v>
      </c>
      <c r="Q191" s="3" t="n">
        <v>2</v>
      </c>
      <c r="R191" s="3" t="n">
        <v>2</v>
      </c>
      <c r="S191" s="4" t="n">
        <v>2</v>
      </c>
      <c r="T191" s="3" t="n">
        <v>2</v>
      </c>
      <c r="U191" s="3" t="n">
        <v>5.03</v>
      </c>
      <c r="V191" s="3" t="n">
        <v>1.35</v>
      </c>
      <c r="W191" s="3" t="n">
        <v>9.39</v>
      </c>
      <c r="X191" s="3" t="n">
        <v>623</v>
      </c>
      <c r="Z191" s="3" t="n">
        <v>0.5</v>
      </c>
      <c r="AA191" s="3" t="n">
        <v>18.3</v>
      </c>
      <c r="AB191" s="3" t="n">
        <v>1</v>
      </c>
      <c r="AC191" s="3" t="n">
        <v>2</v>
      </c>
      <c r="AD191" s="3" t="n">
        <v>1</v>
      </c>
      <c r="AE191" s="3" t="n">
        <v>1</v>
      </c>
      <c r="AF191" s="3" t="n">
        <v>2</v>
      </c>
      <c r="AG191" s="3" t="n">
        <v>2</v>
      </c>
      <c r="AH191" s="3" t="n">
        <v>1</v>
      </c>
      <c r="AI191" s="3" t="n">
        <v>2</v>
      </c>
      <c r="AJ191" s="3" t="n">
        <v>2</v>
      </c>
      <c r="AK191" s="3" t="n">
        <v>2</v>
      </c>
      <c r="AL191" s="3" t="n">
        <v>1</v>
      </c>
      <c r="AM191" s="3" t="n">
        <v>2</v>
      </c>
      <c r="AN191" s="3" t="n">
        <v>1</v>
      </c>
      <c r="AO191" s="3" t="n">
        <v>3</v>
      </c>
      <c r="AP191" s="3" t="n">
        <v>4</v>
      </c>
      <c r="AQ191" s="3" t="n">
        <v>4</v>
      </c>
      <c r="AR191" s="3" t="n">
        <v>6</v>
      </c>
      <c r="AS191" s="3" t="n">
        <v>4</v>
      </c>
      <c r="AT191" s="3" t="n">
        <v>4</v>
      </c>
      <c r="AU191" s="3" t="n">
        <v>6</v>
      </c>
      <c r="AV191" s="3" t="n">
        <v>6</v>
      </c>
      <c r="AW191" s="3" t="n">
        <v>3</v>
      </c>
      <c r="AX191" s="3" t="n">
        <v>3</v>
      </c>
      <c r="AY191" s="3" t="n">
        <v>1</v>
      </c>
      <c r="AZ191" s="5" t="n">
        <v>1</v>
      </c>
      <c r="BA191" s="3" t="n">
        <v>1</v>
      </c>
      <c r="BB191" s="3" t="n">
        <v>1</v>
      </c>
      <c r="BC191" s="3" t="n">
        <v>2</v>
      </c>
      <c r="BD191" s="3" t="n">
        <v>3</v>
      </c>
      <c r="BE191" s="3" t="n">
        <v>5</v>
      </c>
      <c r="BF191" s="3" t="n">
        <v>3</v>
      </c>
      <c r="BG191" s="3" t="n">
        <v>4</v>
      </c>
      <c r="BH191" s="3" t="n">
        <v>1</v>
      </c>
      <c r="BI191" s="3" t="n">
        <v>1</v>
      </c>
    </row>
    <row r="192" customFormat="false" ht="12.75" hidden="false" customHeight="false" outlineLevel="0" collapsed="false">
      <c r="A192" s="2" t="s">
        <v>2169</v>
      </c>
      <c r="B192" s="2" t="s">
        <v>188</v>
      </c>
      <c r="C192" s="2" t="s">
        <v>2170</v>
      </c>
      <c r="D192" s="2" t="n">
        <v>197355</v>
      </c>
      <c r="E192" s="15" t="n">
        <v>43963</v>
      </c>
      <c r="F192" s="15" t="n">
        <v>43969</v>
      </c>
      <c r="G192" s="3" t="n">
        <v>6</v>
      </c>
      <c r="H192" s="3" t="n">
        <v>2</v>
      </c>
      <c r="I192" s="3" t="n">
        <v>68</v>
      </c>
      <c r="J192" s="3" t="n">
        <v>2</v>
      </c>
      <c r="K192" s="3" t="n">
        <v>1</v>
      </c>
      <c r="L192" s="3" t="n">
        <v>1</v>
      </c>
      <c r="M192" s="3" t="n">
        <v>2</v>
      </c>
      <c r="N192" s="3" t="n">
        <v>2</v>
      </c>
      <c r="O192" s="3" t="n">
        <v>2</v>
      </c>
      <c r="P192" s="3" t="n">
        <v>1</v>
      </c>
      <c r="Q192" s="3" t="n">
        <v>2</v>
      </c>
      <c r="R192" s="3" t="n">
        <v>2</v>
      </c>
      <c r="S192" s="4" t="n">
        <v>2</v>
      </c>
      <c r="T192" s="3" t="n">
        <v>2</v>
      </c>
      <c r="U192" s="3" t="n">
        <v>5.94</v>
      </c>
      <c r="V192" s="3" t="n">
        <v>1.93</v>
      </c>
      <c r="W192" s="3" t="n">
        <v>25.48</v>
      </c>
      <c r="X192" s="3" t="n">
        <v>366</v>
      </c>
      <c r="Z192" s="3" t="n">
        <v>0.46</v>
      </c>
      <c r="AA192" s="3" t="n">
        <v>20.3</v>
      </c>
      <c r="AB192" s="3" t="n">
        <v>1</v>
      </c>
      <c r="AC192" s="3" t="n">
        <v>2</v>
      </c>
      <c r="AD192" s="3" t="n">
        <v>1</v>
      </c>
      <c r="AE192" s="3" t="n">
        <v>1</v>
      </c>
      <c r="AF192" s="3" t="n">
        <v>2</v>
      </c>
      <c r="AG192" s="3" t="n">
        <v>2</v>
      </c>
      <c r="AH192" s="3" t="n">
        <v>1</v>
      </c>
      <c r="AI192" s="3" t="n">
        <v>2</v>
      </c>
      <c r="AJ192" s="3" t="n">
        <v>1</v>
      </c>
      <c r="AK192" s="3" t="n">
        <v>2</v>
      </c>
      <c r="AL192" s="3" t="n">
        <v>1</v>
      </c>
      <c r="AM192" s="3" t="n">
        <v>2</v>
      </c>
      <c r="AN192" s="3" t="n">
        <v>2</v>
      </c>
      <c r="AO192" s="3" t="n">
        <v>3</v>
      </c>
      <c r="AP192" s="3" t="n">
        <v>4</v>
      </c>
      <c r="AQ192" s="3" t="n">
        <v>4</v>
      </c>
      <c r="AR192" s="3" t="n">
        <v>6</v>
      </c>
      <c r="AS192" s="3" t="n">
        <v>4</v>
      </c>
      <c r="AT192" s="3" t="n">
        <v>4</v>
      </c>
      <c r="AU192" s="3" t="n">
        <v>6</v>
      </c>
      <c r="AV192" s="3" t="n">
        <v>6</v>
      </c>
      <c r="AW192" s="3" t="n">
        <v>3</v>
      </c>
      <c r="AX192" s="3" t="n">
        <v>3</v>
      </c>
      <c r="AY192" s="3" t="n">
        <v>15</v>
      </c>
      <c r="AZ192" s="5" t="n">
        <v>1</v>
      </c>
      <c r="BA192" s="3" t="n">
        <v>1</v>
      </c>
      <c r="BB192" s="3" t="n">
        <v>1</v>
      </c>
      <c r="BC192" s="3" t="n">
        <v>2</v>
      </c>
      <c r="BD192" s="3" t="n">
        <v>1</v>
      </c>
      <c r="BE192" s="3" t="n">
        <v>2</v>
      </c>
      <c r="BF192" s="3" t="n">
        <v>1</v>
      </c>
      <c r="BG192" s="3" t="n">
        <v>4</v>
      </c>
      <c r="BH192" s="3" t="n">
        <v>1</v>
      </c>
      <c r="BI192" s="3" t="n">
        <v>1</v>
      </c>
    </row>
    <row r="193" customFormat="false" ht="12.75" hidden="false" customHeight="false" outlineLevel="0" collapsed="false">
      <c r="A193" s="2" t="s">
        <v>394</v>
      </c>
      <c r="B193" s="2" t="s">
        <v>688</v>
      </c>
      <c r="C193" s="2" t="s">
        <v>2172</v>
      </c>
      <c r="D193" s="2" t="n">
        <v>197644</v>
      </c>
      <c r="E193" s="15" t="n">
        <v>43964</v>
      </c>
      <c r="F193" s="15" t="n">
        <v>43969</v>
      </c>
      <c r="G193" s="3" t="n">
        <v>5</v>
      </c>
      <c r="H193" s="3" t="n">
        <v>2</v>
      </c>
      <c r="I193" s="3" t="n">
        <v>66</v>
      </c>
      <c r="J193" s="3" t="n">
        <v>1</v>
      </c>
      <c r="K193" s="3" t="n">
        <v>1</v>
      </c>
      <c r="L193" s="3" t="n">
        <v>1</v>
      </c>
      <c r="M193" s="3" t="n">
        <v>2</v>
      </c>
      <c r="N193" s="3" t="n">
        <v>2</v>
      </c>
      <c r="O193" s="3" t="n">
        <v>2</v>
      </c>
      <c r="P193" s="3" t="n">
        <v>1</v>
      </c>
      <c r="Q193" s="3" t="n">
        <v>2</v>
      </c>
      <c r="R193" s="3" t="n">
        <v>2</v>
      </c>
      <c r="S193" s="4" t="n">
        <v>2</v>
      </c>
      <c r="T193" s="3" t="n">
        <v>2</v>
      </c>
      <c r="U193" s="3" t="n">
        <v>4.94</v>
      </c>
      <c r="V193" s="3" t="n">
        <v>3.36</v>
      </c>
      <c r="W193" s="3" t="n">
        <v>8.6</v>
      </c>
      <c r="X193" s="3" t="n">
        <v>426</v>
      </c>
      <c r="Z193" s="3" t="n">
        <v>0.5</v>
      </c>
      <c r="AA193" s="3" t="n">
        <v>7.5</v>
      </c>
      <c r="AB193" s="3" t="n">
        <v>1</v>
      </c>
      <c r="AC193" s="3" t="n">
        <v>2</v>
      </c>
      <c r="AD193" s="3" t="n">
        <v>1</v>
      </c>
      <c r="AE193" s="3" t="n">
        <v>1</v>
      </c>
      <c r="AF193" s="3" t="n">
        <v>2</v>
      </c>
      <c r="AG193" s="3" t="n">
        <v>1</v>
      </c>
      <c r="AH193" s="3" t="n">
        <v>1</v>
      </c>
      <c r="AI193" s="3" t="n">
        <v>2</v>
      </c>
      <c r="AJ193" s="3" t="n">
        <v>1</v>
      </c>
      <c r="AK193" s="3" t="n">
        <v>2</v>
      </c>
      <c r="AL193" s="3" t="n">
        <v>2</v>
      </c>
      <c r="AM193" s="3" t="n">
        <v>2</v>
      </c>
      <c r="AN193" s="3" t="n">
        <v>2</v>
      </c>
      <c r="AO193" s="3" t="n">
        <v>3</v>
      </c>
      <c r="AP193" s="3" t="n">
        <v>4</v>
      </c>
      <c r="AQ193" s="3" t="n">
        <v>4</v>
      </c>
      <c r="AR193" s="3" t="n">
        <v>6</v>
      </c>
      <c r="AS193" s="3" t="n">
        <v>4</v>
      </c>
      <c r="AT193" s="3" t="n">
        <v>4</v>
      </c>
      <c r="AU193" s="3" t="n">
        <v>6</v>
      </c>
      <c r="AV193" s="3" t="n">
        <v>6</v>
      </c>
      <c r="AW193" s="3" t="n">
        <v>3</v>
      </c>
      <c r="AX193" s="3" t="n">
        <v>3</v>
      </c>
      <c r="AY193" s="3" t="n">
        <v>1</v>
      </c>
      <c r="AZ193" s="5" t="n">
        <v>1</v>
      </c>
      <c r="BA193" s="3" t="n">
        <v>1</v>
      </c>
      <c r="BB193" s="3" t="n">
        <v>1</v>
      </c>
      <c r="BC193" s="3" t="n">
        <v>4</v>
      </c>
      <c r="BD193" s="3" t="n">
        <v>3</v>
      </c>
      <c r="BE193" s="3" t="n">
        <v>5</v>
      </c>
      <c r="BF193" s="3" t="n">
        <v>3</v>
      </c>
      <c r="BG193" s="3" t="n">
        <v>4</v>
      </c>
      <c r="BH193" s="3" t="n">
        <v>1</v>
      </c>
      <c r="BI193" s="3" t="n">
        <v>1</v>
      </c>
    </row>
    <row r="194" customFormat="false" ht="12.75" hidden="false" customHeight="false" outlineLevel="0" collapsed="false">
      <c r="A194" s="2" t="s">
        <v>2174</v>
      </c>
      <c r="B194" s="2" t="s">
        <v>95</v>
      </c>
      <c r="C194" s="2" t="s">
        <v>2036</v>
      </c>
      <c r="D194" s="2" t="n">
        <v>197385</v>
      </c>
      <c r="E194" s="15" t="n">
        <v>43969</v>
      </c>
      <c r="F194" s="15" t="n">
        <v>43970</v>
      </c>
      <c r="G194" s="3" t="n">
        <v>1</v>
      </c>
      <c r="H194" s="3" t="n">
        <v>2</v>
      </c>
      <c r="I194" s="3" t="n">
        <v>49</v>
      </c>
      <c r="J194" s="3" t="n">
        <v>2</v>
      </c>
      <c r="K194" s="3" t="n">
        <v>1</v>
      </c>
      <c r="L194" s="3" t="n">
        <v>1</v>
      </c>
      <c r="M194" s="3" t="n">
        <v>2</v>
      </c>
      <c r="N194" s="3" t="n">
        <v>2</v>
      </c>
      <c r="O194" s="3" t="n">
        <v>2</v>
      </c>
      <c r="P194" s="3" t="n">
        <v>2</v>
      </c>
      <c r="Q194" s="3" t="n">
        <v>2</v>
      </c>
      <c r="R194" s="3" t="n">
        <v>1</v>
      </c>
      <c r="S194" s="4" t="n">
        <v>2</v>
      </c>
      <c r="T194" s="3" t="n">
        <v>2</v>
      </c>
      <c r="U194" s="3"/>
      <c r="V194" s="3"/>
      <c r="W194" s="3"/>
      <c r="X194" s="3"/>
      <c r="Z194" s="3"/>
      <c r="AA194" s="3"/>
      <c r="AB194" s="3"/>
      <c r="AC194" s="3" t="n">
        <v>1</v>
      </c>
      <c r="AD194" s="3" t="n">
        <v>1</v>
      </c>
      <c r="AE194" s="3" t="n">
        <v>1</v>
      </c>
      <c r="AF194" s="3" t="n">
        <v>2</v>
      </c>
      <c r="AG194" s="3" t="n">
        <v>2</v>
      </c>
      <c r="AH194" s="3" t="n">
        <v>1</v>
      </c>
      <c r="AI194" s="3" t="n">
        <v>1</v>
      </c>
      <c r="AJ194" s="3" t="n">
        <v>2</v>
      </c>
      <c r="AK194" s="3" t="n">
        <v>2</v>
      </c>
      <c r="AL194" s="3" t="n">
        <v>1</v>
      </c>
      <c r="AM194" s="3" t="n">
        <v>2</v>
      </c>
      <c r="AN194" s="3" t="n">
        <v>2</v>
      </c>
      <c r="AO194" s="3" t="n">
        <v>3</v>
      </c>
      <c r="AP194" s="3" t="n">
        <v>4</v>
      </c>
      <c r="AQ194" s="3" t="n">
        <v>4</v>
      </c>
      <c r="AR194" s="3" t="n">
        <v>6</v>
      </c>
      <c r="AS194" s="3" t="n">
        <v>4</v>
      </c>
      <c r="AT194" s="3" t="n">
        <v>4</v>
      </c>
      <c r="AU194" s="3" t="n">
        <v>6</v>
      </c>
      <c r="AV194" s="3" t="n">
        <v>6</v>
      </c>
      <c r="AW194" s="3" t="n">
        <v>3</v>
      </c>
      <c r="AX194" s="3" t="n">
        <v>3</v>
      </c>
      <c r="AY194" s="3" t="n">
        <v>1</v>
      </c>
      <c r="AZ194" s="5" t="n">
        <v>1</v>
      </c>
      <c r="BA194" s="3" t="n">
        <v>1</v>
      </c>
      <c r="BB194" s="3" t="n">
        <v>1</v>
      </c>
      <c r="BC194" s="3" t="n">
        <v>4</v>
      </c>
      <c r="BD194" s="3" t="n">
        <v>1</v>
      </c>
      <c r="BE194" s="3" t="n">
        <v>2</v>
      </c>
      <c r="BF194" s="3" t="n">
        <v>1</v>
      </c>
      <c r="BG194" s="3" t="n">
        <v>4</v>
      </c>
      <c r="BH194" s="3" t="n">
        <v>1</v>
      </c>
      <c r="BI194" s="3" t="n">
        <v>1</v>
      </c>
    </row>
    <row r="195" customFormat="false" ht="12.75" hidden="false" customHeight="false" outlineLevel="0" collapsed="false">
      <c r="A195" s="2" t="s">
        <v>2176</v>
      </c>
      <c r="B195" s="2" t="s">
        <v>2177</v>
      </c>
      <c r="C195" s="2" t="s">
        <v>94</v>
      </c>
      <c r="D195" s="2" t="n">
        <v>197384</v>
      </c>
      <c r="E195" s="15" t="n">
        <v>43969</v>
      </c>
      <c r="F195" s="15" t="n">
        <v>43974</v>
      </c>
      <c r="G195" s="3" t="n">
        <v>5</v>
      </c>
      <c r="H195" s="3" t="n">
        <v>2</v>
      </c>
      <c r="I195" s="3" t="n">
        <v>73</v>
      </c>
      <c r="J195" s="3" t="n">
        <v>1</v>
      </c>
      <c r="K195" s="3" t="n">
        <v>2</v>
      </c>
      <c r="L195" s="3" t="n">
        <v>1</v>
      </c>
      <c r="M195" s="3" t="n">
        <v>2</v>
      </c>
      <c r="N195" s="3" t="n">
        <v>2</v>
      </c>
      <c r="O195" s="3" t="n">
        <v>1</v>
      </c>
      <c r="P195" s="3" t="n">
        <v>1</v>
      </c>
      <c r="Q195" s="3" t="n">
        <v>2</v>
      </c>
      <c r="R195" s="3" t="n">
        <v>1</v>
      </c>
      <c r="S195" s="4" t="n">
        <v>2</v>
      </c>
      <c r="T195" s="3" t="n">
        <v>2</v>
      </c>
      <c r="U195" s="3" t="n">
        <v>5.45</v>
      </c>
      <c r="V195" s="3" t="n">
        <v>2.62</v>
      </c>
      <c r="W195" s="3" t="n">
        <v>8.32</v>
      </c>
      <c r="X195" s="3" t="n">
        <v>362</v>
      </c>
      <c r="Z195" s="3" t="n">
        <v>0.41</v>
      </c>
      <c r="AA195" s="3" t="n">
        <v>11.2</v>
      </c>
      <c r="AB195" s="3"/>
      <c r="AC195" s="3" t="n">
        <v>2</v>
      </c>
      <c r="AD195" s="3" t="n">
        <v>1</v>
      </c>
      <c r="AE195" s="3" t="n">
        <v>1</v>
      </c>
      <c r="AF195" s="3" t="n">
        <v>2</v>
      </c>
      <c r="AG195" s="3" t="n">
        <v>2</v>
      </c>
      <c r="AH195" s="3" t="n">
        <v>1</v>
      </c>
      <c r="AI195" s="3" t="n">
        <v>1</v>
      </c>
      <c r="AJ195" s="3" t="n">
        <v>2</v>
      </c>
      <c r="AK195" s="3" t="n">
        <v>2</v>
      </c>
      <c r="AL195" s="3" t="n">
        <v>2</v>
      </c>
      <c r="AM195" s="3" t="n">
        <v>2</v>
      </c>
      <c r="AN195" s="3" t="n">
        <v>2</v>
      </c>
      <c r="AO195" s="3" t="n">
        <v>3</v>
      </c>
      <c r="AP195" s="3" t="n">
        <v>4</v>
      </c>
      <c r="AQ195" s="3" t="n">
        <v>4</v>
      </c>
      <c r="AR195" s="3" t="n">
        <v>6</v>
      </c>
      <c r="AS195" s="3" t="n">
        <v>4</v>
      </c>
      <c r="AT195" s="3" t="n">
        <v>4</v>
      </c>
      <c r="AU195" s="3" t="n">
        <v>6</v>
      </c>
      <c r="AV195" s="3" t="n">
        <v>6</v>
      </c>
      <c r="AW195" s="3" t="n">
        <v>3</v>
      </c>
      <c r="AX195" s="3" t="n">
        <v>3</v>
      </c>
      <c r="AY195" s="3" t="n">
        <v>1</v>
      </c>
      <c r="AZ195" s="5" t="n">
        <v>1</v>
      </c>
      <c r="BA195" s="3" t="n">
        <v>1</v>
      </c>
      <c r="BB195" s="3" t="n">
        <v>1</v>
      </c>
      <c r="BC195" s="3" t="n">
        <v>4</v>
      </c>
      <c r="BD195" s="3" t="n">
        <v>1</v>
      </c>
      <c r="BE195" s="3" t="n">
        <v>2</v>
      </c>
      <c r="BF195" s="3" t="n">
        <v>1</v>
      </c>
      <c r="BG195" s="3" t="n">
        <v>4</v>
      </c>
      <c r="BH195" s="3" t="n">
        <v>1</v>
      </c>
      <c r="BI195" s="3" t="n">
        <v>1</v>
      </c>
    </row>
    <row r="196" customFormat="false" ht="12.75" hidden="false" customHeight="false" outlineLevel="0" collapsed="false">
      <c r="A196" s="2" t="s">
        <v>556</v>
      </c>
      <c r="B196" s="2" t="s">
        <v>2179</v>
      </c>
      <c r="C196" s="2" t="s">
        <v>2180</v>
      </c>
      <c r="D196" s="2" t="n">
        <v>197183</v>
      </c>
      <c r="E196" s="15" t="n">
        <v>43968</v>
      </c>
      <c r="F196" s="15" t="n">
        <v>43974</v>
      </c>
      <c r="G196" s="3" t="n">
        <v>6</v>
      </c>
      <c r="H196" s="3" t="n">
        <v>2</v>
      </c>
      <c r="I196" s="3" t="n">
        <v>69</v>
      </c>
      <c r="J196" s="3" t="n">
        <v>1</v>
      </c>
      <c r="K196" s="3" t="n">
        <v>1</v>
      </c>
      <c r="L196" s="3" t="n">
        <v>1</v>
      </c>
      <c r="M196" s="3" t="n">
        <v>2</v>
      </c>
      <c r="N196" s="3" t="n">
        <v>2</v>
      </c>
      <c r="O196" s="3" t="n">
        <v>2</v>
      </c>
      <c r="P196" s="3" t="n">
        <v>2</v>
      </c>
      <c r="Q196" s="3" t="n">
        <v>2</v>
      </c>
      <c r="R196" s="3" t="n">
        <v>2</v>
      </c>
      <c r="S196" s="4" t="n">
        <v>2</v>
      </c>
      <c r="T196" s="3" t="n">
        <v>2</v>
      </c>
      <c r="U196" s="3" t="n">
        <v>5.45</v>
      </c>
      <c r="V196" s="3" t="n">
        <v>2.62</v>
      </c>
      <c r="W196" s="3" t="n">
        <v>8.32</v>
      </c>
      <c r="X196" s="3" t="n">
        <v>362</v>
      </c>
      <c r="Z196" s="3" t="n">
        <v>0.41</v>
      </c>
      <c r="AA196" s="3" t="n">
        <v>11.2</v>
      </c>
      <c r="AB196" s="3"/>
      <c r="AC196" s="3" t="n">
        <v>2</v>
      </c>
      <c r="AD196" s="3" t="n">
        <v>1</v>
      </c>
      <c r="AE196" s="3" t="n">
        <v>1</v>
      </c>
      <c r="AF196" s="3" t="n">
        <v>2</v>
      </c>
      <c r="AG196" s="3" t="n">
        <v>2</v>
      </c>
      <c r="AH196" s="3" t="n">
        <v>1</v>
      </c>
      <c r="AI196" s="3" t="n">
        <v>2</v>
      </c>
      <c r="AJ196" s="3" t="n">
        <v>2</v>
      </c>
      <c r="AK196" s="3" t="n">
        <v>2</v>
      </c>
      <c r="AL196" s="3" t="n">
        <v>1</v>
      </c>
      <c r="AM196" s="3" t="n">
        <v>2</v>
      </c>
      <c r="AN196" s="3" t="n">
        <v>2</v>
      </c>
      <c r="AO196" s="3" t="n">
        <v>3</v>
      </c>
      <c r="AP196" s="3" t="n">
        <v>4</v>
      </c>
      <c r="AQ196" s="3" t="n">
        <v>4</v>
      </c>
      <c r="AR196" s="3" t="n">
        <v>6</v>
      </c>
      <c r="AS196" s="3" t="n">
        <v>4</v>
      </c>
      <c r="AT196" s="3" t="n">
        <v>4</v>
      </c>
      <c r="AU196" s="3" t="n">
        <v>6</v>
      </c>
      <c r="AV196" s="3" t="n">
        <v>6</v>
      </c>
      <c r="AW196" s="3" t="n">
        <v>3</v>
      </c>
      <c r="AX196" s="3" t="n">
        <v>3</v>
      </c>
      <c r="AY196" s="3" t="n">
        <v>10</v>
      </c>
      <c r="AZ196" s="5" t="n">
        <v>1</v>
      </c>
      <c r="BA196" s="3" t="n">
        <v>1</v>
      </c>
      <c r="BB196" s="3" t="n">
        <v>1</v>
      </c>
      <c r="BC196" s="3" t="n">
        <v>2</v>
      </c>
      <c r="BD196" s="3" t="n">
        <v>1</v>
      </c>
      <c r="BE196" s="3" t="n">
        <v>2</v>
      </c>
      <c r="BF196" s="3" t="n">
        <v>1</v>
      </c>
      <c r="BG196" s="3" t="n">
        <v>4</v>
      </c>
      <c r="BH196" s="3" t="n">
        <v>1</v>
      </c>
      <c r="BI196" s="3" t="n">
        <v>1</v>
      </c>
    </row>
    <row r="197" customFormat="false" ht="12.75" hidden="false" customHeight="false" outlineLevel="0" collapsed="false">
      <c r="A197" s="2" t="s">
        <v>101</v>
      </c>
      <c r="B197" s="2" t="s">
        <v>415</v>
      </c>
      <c r="C197" s="2" t="s">
        <v>468</v>
      </c>
      <c r="D197" s="2" t="n">
        <v>197443</v>
      </c>
      <c r="E197" s="15" t="n">
        <v>43971</v>
      </c>
      <c r="F197" s="15" t="n">
        <v>43977</v>
      </c>
      <c r="G197" s="3" t="n">
        <v>6</v>
      </c>
      <c r="H197" s="3" t="n">
        <v>1</v>
      </c>
      <c r="I197" s="3" t="n">
        <v>72</v>
      </c>
      <c r="J197" s="3" t="n">
        <v>1</v>
      </c>
      <c r="K197" s="3" t="n">
        <v>1</v>
      </c>
      <c r="L197" s="3" t="n">
        <v>1</v>
      </c>
      <c r="M197" s="3" t="n">
        <v>2</v>
      </c>
      <c r="N197" s="3" t="n">
        <v>2</v>
      </c>
      <c r="O197" s="3" t="n">
        <v>2</v>
      </c>
      <c r="P197" s="3" t="n">
        <v>2</v>
      </c>
      <c r="Q197" s="3" t="n">
        <v>2</v>
      </c>
      <c r="R197" s="3" t="n">
        <v>1</v>
      </c>
      <c r="S197" s="4" t="n">
        <v>2</v>
      </c>
      <c r="T197" s="3" t="n">
        <v>2</v>
      </c>
      <c r="U197" s="3" t="n">
        <v>6.63</v>
      </c>
      <c r="V197" s="3" t="n">
        <v>1.86</v>
      </c>
      <c r="W197" s="3" t="n">
        <v>7.06</v>
      </c>
      <c r="X197" s="3" t="n">
        <v>386</v>
      </c>
      <c r="Z197" s="3" t="n">
        <v>0.47</v>
      </c>
      <c r="AA197" s="3" t="n">
        <v>13.2</v>
      </c>
      <c r="AB197" s="3"/>
      <c r="AC197" s="3" t="n">
        <v>2</v>
      </c>
      <c r="AD197" s="3" t="n">
        <v>1</v>
      </c>
      <c r="AE197" s="3" t="n">
        <v>1</v>
      </c>
      <c r="AF197" s="3" t="n">
        <v>2</v>
      </c>
      <c r="AG197" s="3" t="n">
        <v>2</v>
      </c>
      <c r="AH197" s="3" t="n">
        <v>1</v>
      </c>
      <c r="AI197" s="3" t="n">
        <v>1</v>
      </c>
      <c r="AJ197" s="3" t="n">
        <v>2</v>
      </c>
      <c r="AK197" s="3" t="n">
        <v>1</v>
      </c>
      <c r="AL197" s="3" t="n">
        <v>1</v>
      </c>
      <c r="AM197" s="3" t="n">
        <v>2</v>
      </c>
      <c r="AN197" s="3" t="n">
        <v>2</v>
      </c>
      <c r="AO197" s="3" t="n">
        <v>3</v>
      </c>
      <c r="AP197" s="3" t="n">
        <v>4</v>
      </c>
      <c r="AQ197" s="3" t="n">
        <v>4</v>
      </c>
      <c r="AR197" s="3" t="n">
        <v>6</v>
      </c>
      <c r="AS197" s="3" t="n">
        <v>4</v>
      </c>
      <c r="AT197" s="3" t="n">
        <v>4</v>
      </c>
      <c r="AU197" s="3" t="n">
        <v>6</v>
      </c>
      <c r="AV197" s="3" t="n">
        <v>6</v>
      </c>
      <c r="AW197" s="3" t="n">
        <v>3</v>
      </c>
      <c r="AX197" s="3" t="n">
        <v>3</v>
      </c>
      <c r="AY197" s="3" t="n">
        <v>4</v>
      </c>
      <c r="AZ197" s="5" t="n">
        <v>1</v>
      </c>
      <c r="BA197" s="3" t="n">
        <v>1</v>
      </c>
      <c r="BB197" s="3" t="n">
        <v>1</v>
      </c>
      <c r="BC197" s="3" t="n">
        <v>4</v>
      </c>
      <c r="BD197" s="3" t="n">
        <v>1</v>
      </c>
      <c r="BE197" s="3" t="n">
        <v>2</v>
      </c>
      <c r="BF197" s="3" t="n">
        <v>1</v>
      </c>
      <c r="BG197" s="3" t="n">
        <v>4</v>
      </c>
      <c r="BH197" s="3" t="n">
        <v>1</v>
      </c>
      <c r="BI197" s="3" t="n">
        <v>1</v>
      </c>
    </row>
    <row r="198" customFormat="false" ht="12.75" hidden="false" customHeight="false" outlineLevel="0" collapsed="false">
      <c r="A198" s="2" t="s">
        <v>2185</v>
      </c>
      <c r="B198" s="2" t="s">
        <v>74</v>
      </c>
      <c r="C198" s="2" t="s">
        <v>2186</v>
      </c>
      <c r="D198" s="2" t="n">
        <v>197926</v>
      </c>
      <c r="E198" s="15" t="n">
        <v>43979</v>
      </c>
      <c r="F198" s="15" t="n">
        <v>43981</v>
      </c>
      <c r="G198" s="3" t="n">
        <v>2</v>
      </c>
      <c r="H198" s="3" t="n">
        <v>1</v>
      </c>
      <c r="I198" s="3" t="n">
        <v>58</v>
      </c>
      <c r="J198" s="3" t="n">
        <v>2</v>
      </c>
      <c r="K198" s="3" t="n">
        <v>1</v>
      </c>
      <c r="L198" s="3" t="n">
        <v>1</v>
      </c>
      <c r="M198" s="3" t="n">
        <v>2</v>
      </c>
      <c r="N198" s="3" t="n">
        <v>2</v>
      </c>
      <c r="O198" s="3" t="n">
        <v>2</v>
      </c>
      <c r="P198" s="3" t="n">
        <v>2</v>
      </c>
      <c r="Q198" s="3" t="n">
        <v>2</v>
      </c>
      <c r="R198" s="3" t="n">
        <v>2</v>
      </c>
      <c r="S198" s="4" t="n">
        <v>2</v>
      </c>
      <c r="T198" s="3" t="n">
        <v>2</v>
      </c>
      <c r="U198" s="3" t="n">
        <v>6.36</v>
      </c>
      <c r="V198" s="3" t="n">
        <v>3.17</v>
      </c>
      <c r="W198" s="3" t="n">
        <v>5.84</v>
      </c>
      <c r="X198" s="3" t="n">
        <v>262</v>
      </c>
      <c r="Z198" s="3" t="n">
        <v>0.42</v>
      </c>
      <c r="AA198" s="3" t="n">
        <v>20</v>
      </c>
      <c r="AB198" s="3"/>
      <c r="AC198" s="3" t="n">
        <v>2</v>
      </c>
      <c r="AD198" s="3" t="n">
        <v>1</v>
      </c>
      <c r="AE198" s="3" t="n">
        <v>1</v>
      </c>
      <c r="AF198" s="3" t="n">
        <v>2</v>
      </c>
      <c r="AG198" s="3" t="n">
        <v>1</v>
      </c>
      <c r="AH198" s="3" t="n">
        <v>1</v>
      </c>
      <c r="AI198" s="3" t="n">
        <v>2</v>
      </c>
      <c r="AJ198" s="3" t="n">
        <v>2</v>
      </c>
      <c r="AK198" s="3" t="n">
        <v>2</v>
      </c>
      <c r="AL198" s="3" t="n">
        <v>1</v>
      </c>
      <c r="AM198" s="3" t="n">
        <v>2</v>
      </c>
      <c r="AN198" s="3" t="n">
        <v>2</v>
      </c>
      <c r="AO198" s="3" t="n">
        <v>3</v>
      </c>
      <c r="AP198" s="3" t="n">
        <v>4</v>
      </c>
      <c r="AQ198" s="3" t="n">
        <v>4</v>
      </c>
      <c r="AR198" s="3" t="n">
        <v>6</v>
      </c>
      <c r="AS198" s="3" t="n">
        <v>4</v>
      </c>
      <c r="AT198" s="3" t="n">
        <v>4</v>
      </c>
      <c r="AU198" s="3" t="n">
        <v>6</v>
      </c>
      <c r="AV198" s="3" t="n">
        <v>6</v>
      </c>
      <c r="AW198" s="3" t="n">
        <v>3</v>
      </c>
      <c r="AX198" s="3" t="n">
        <v>3</v>
      </c>
      <c r="AY198" s="3" t="n">
        <v>1</v>
      </c>
      <c r="AZ198" s="5" t="n">
        <v>1</v>
      </c>
      <c r="BA198" s="3" t="n">
        <v>1</v>
      </c>
      <c r="BB198" s="3" t="n">
        <v>1</v>
      </c>
      <c r="BC198" s="3" t="n">
        <v>4</v>
      </c>
      <c r="BD198" s="3" t="n">
        <v>1</v>
      </c>
      <c r="BE198" s="3" t="n">
        <v>2</v>
      </c>
      <c r="BF198" s="3" t="n">
        <v>1</v>
      </c>
      <c r="BG198" s="3" t="n">
        <v>4</v>
      </c>
      <c r="BH198" s="3" t="n">
        <v>1</v>
      </c>
      <c r="BI198" s="3" t="n">
        <v>1</v>
      </c>
    </row>
    <row r="199" customFormat="false" ht="12.75" hidden="false" customHeight="false" outlineLevel="0" collapsed="false">
      <c r="A199" s="26" t="s">
        <v>2188</v>
      </c>
      <c r="B199" s="26" t="s">
        <v>2189</v>
      </c>
      <c r="C199" s="26" t="s">
        <v>2190</v>
      </c>
      <c r="D199" s="26" t="n">
        <v>197938</v>
      </c>
      <c r="E199" s="27" t="n">
        <v>43980</v>
      </c>
      <c r="F199" s="27" t="n">
        <v>43980</v>
      </c>
      <c r="G199" s="30" t="n">
        <v>0</v>
      </c>
      <c r="H199" s="30" t="n">
        <v>1</v>
      </c>
      <c r="I199" s="30" t="n">
        <v>71</v>
      </c>
      <c r="J199" s="30" t="n">
        <v>1</v>
      </c>
      <c r="K199" s="30" t="n">
        <v>1</v>
      </c>
      <c r="L199" s="30" t="n">
        <v>1</v>
      </c>
      <c r="M199" s="30" t="n">
        <v>2</v>
      </c>
      <c r="N199" s="30" t="n">
        <v>2</v>
      </c>
      <c r="O199" s="30" t="n">
        <v>2</v>
      </c>
      <c r="P199" s="30" t="n">
        <v>2</v>
      </c>
      <c r="Q199" s="30" t="n">
        <v>2</v>
      </c>
      <c r="R199" s="30" t="n">
        <v>2</v>
      </c>
      <c r="S199" s="4" t="n">
        <v>2</v>
      </c>
      <c r="T199" s="30" t="n">
        <v>2</v>
      </c>
      <c r="U199" s="30"/>
      <c r="V199" s="30"/>
      <c r="W199" s="30"/>
      <c r="X199" s="30"/>
      <c r="Z199" s="30" t="n">
        <v>0.32</v>
      </c>
      <c r="AA199" s="30" t="n">
        <v>15.8</v>
      </c>
      <c r="AB199" s="30"/>
      <c r="AC199" s="30" t="n">
        <v>2</v>
      </c>
      <c r="AD199" s="30" t="n">
        <v>1</v>
      </c>
      <c r="AE199" s="30" t="n">
        <v>1</v>
      </c>
      <c r="AF199" s="30" t="n">
        <v>2</v>
      </c>
      <c r="AG199" s="30" t="n">
        <v>2</v>
      </c>
      <c r="AH199" s="30" t="n">
        <v>1</v>
      </c>
      <c r="AI199" s="30" t="n">
        <v>2</v>
      </c>
      <c r="AJ199" s="30" t="n">
        <v>2</v>
      </c>
      <c r="AK199" s="30" t="n">
        <v>2</v>
      </c>
      <c r="AL199" s="30" t="n">
        <v>2</v>
      </c>
      <c r="AM199" s="30" t="n">
        <v>1</v>
      </c>
      <c r="AN199" s="30" t="n">
        <v>2</v>
      </c>
      <c r="AO199" s="30" t="n">
        <v>3</v>
      </c>
      <c r="AP199" s="30" t="n">
        <v>4</v>
      </c>
      <c r="AQ199" s="30" t="n">
        <v>4</v>
      </c>
      <c r="AR199" s="30" t="n">
        <v>6</v>
      </c>
      <c r="AS199" s="30" t="n">
        <v>4</v>
      </c>
      <c r="AT199" s="30" t="n">
        <v>4</v>
      </c>
      <c r="AU199" s="30" t="n">
        <v>6</v>
      </c>
      <c r="AV199" s="30" t="n">
        <v>6</v>
      </c>
      <c r="AW199" s="30" t="n">
        <v>3</v>
      </c>
      <c r="AX199" s="30" t="n">
        <v>3</v>
      </c>
      <c r="AY199" s="30" t="n">
        <v>6</v>
      </c>
      <c r="AZ199" s="5" t="n">
        <v>1</v>
      </c>
      <c r="BA199" s="30" t="n">
        <v>1</v>
      </c>
      <c r="BB199" s="30" t="n">
        <v>2</v>
      </c>
      <c r="BC199" s="30" t="n">
        <v>2</v>
      </c>
      <c r="BD199" s="30" t="n">
        <v>3</v>
      </c>
      <c r="BE199" s="30" t="n">
        <v>5</v>
      </c>
      <c r="BF199" s="30" t="n">
        <v>3</v>
      </c>
      <c r="BG199" s="30" t="n">
        <v>4</v>
      </c>
      <c r="BH199" s="30" t="n">
        <v>3</v>
      </c>
      <c r="BI199" s="30" t="n">
        <v>3</v>
      </c>
    </row>
    <row r="200" customFormat="false" ht="12.75" hidden="false" customHeight="false" outlineLevel="0" collapsed="false">
      <c r="A200" s="2" t="s">
        <v>2195</v>
      </c>
      <c r="B200" s="2" t="s">
        <v>2196</v>
      </c>
      <c r="C200" s="2" t="s">
        <v>95</v>
      </c>
      <c r="D200" s="2" t="n">
        <v>197967</v>
      </c>
      <c r="E200" s="15" t="n">
        <v>43981</v>
      </c>
      <c r="F200" s="15" t="n">
        <v>43988</v>
      </c>
      <c r="G200" s="3" t="n">
        <v>7</v>
      </c>
      <c r="H200" s="3" t="n">
        <v>2</v>
      </c>
      <c r="I200" s="3" t="n">
        <v>70</v>
      </c>
      <c r="J200" s="3" t="n">
        <v>2</v>
      </c>
      <c r="K200" s="3" t="n">
        <v>1</v>
      </c>
      <c r="L200" s="3" t="n">
        <v>1</v>
      </c>
      <c r="M200" s="3" t="n">
        <v>2</v>
      </c>
      <c r="N200" s="3" t="n">
        <v>2</v>
      </c>
      <c r="O200" s="3" t="n">
        <v>2</v>
      </c>
      <c r="P200" s="3" t="n">
        <v>2</v>
      </c>
      <c r="Q200" s="3" t="n">
        <v>2</v>
      </c>
      <c r="R200" s="3" t="n">
        <v>1</v>
      </c>
      <c r="S200" s="4" t="n">
        <v>2</v>
      </c>
      <c r="T200" s="3" t="n">
        <v>2</v>
      </c>
      <c r="U200" s="3" t="n">
        <v>4.31</v>
      </c>
      <c r="V200" s="3" t="n">
        <v>1.26</v>
      </c>
      <c r="W200" s="3" t="n">
        <v>4.49</v>
      </c>
      <c r="X200" s="3" t="n">
        <v>288</v>
      </c>
      <c r="Z200" s="3" t="n">
        <v>0.43</v>
      </c>
      <c r="AA200" s="3" t="n">
        <v>10</v>
      </c>
      <c r="AB200" s="3" t="n">
        <v>2</v>
      </c>
      <c r="AC200" s="3" t="n">
        <v>2</v>
      </c>
      <c r="AD200" s="3" t="n">
        <v>1</v>
      </c>
      <c r="AE200" s="3" t="n">
        <v>1</v>
      </c>
      <c r="AF200" s="3" t="n">
        <v>1</v>
      </c>
      <c r="AG200" s="3" t="n">
        <v>2</v>
      </c>
      <c r="AH200" s="3" t="n">
        <v>1</v>
      </c>
      <c r="AI200" s="3" t="n">
        <v>1</v>
      </c>
      <c r="AJ200" s="3" t="n">
        <v>2</v>
      </c>
      <c r="AK200" s="3" t="n">
        <v>2</v>
      </c>
      <c r="AL200" s="3" t="n">
        <v>2</v>
      </c>
      <c r="AM200" s="3" t="n">
        <v>2</v>
      </c>
      <c r="AN200" s="3" t="n">
        <v>2</v>
      </c>
      <c r="AO200" s="3" t="n">
        <v>3</v>
      </c>
      <c r="AP200" s="3" t="n">
        <v>4</v>
      </c>
      <c r="AQ200" s="3" t="n">
        <v>4</v>
      </c>
      <c r="AR200" s="3" t="n">
        <v>6</v>
      </c>
      <c r="AS200" s="3" t="n">
        <v>4</v>
      </c>
      <c r="AT200" s="3" t="n">
        <v>4</v>
      </c>
      <c r="AU200" s="3" t="n">
        <v>6</v>
      </c>
      <c r="AV200" s="3" t="n">
        <v>6</v>
      </c>
      <c r="AW200" s="3" t="n">
        <v>3</v>
      </c>
      <c r="AX200" s="3" t="n">
        <v>3</v>
      </c>
      <c r="AY200" s="3" t="n">
        <v>10</v>
      </c>
      <c r="AZ200" s="5" t="n">
        <v>1</v>
      </c>
      <c r="BA200" s="3" t="n">
        <v>1</v>
      </c>
      <c r="BB200" s="3" t="n">
        <v>1</v>
      </c>
      <c r="BC200" s="3" t="n">
        <v>4</v>
      </c>
      <c r="BD200" s="3" t="n">
        <v>1</v>
      </c>
      <c r="BE200" s="3" t="n">
        <v>2</v>
      </c>
      <c r="BF200" s="3" t="n">
        <v>1</v>
      </c>
      <c r="BG200" s="3" t="n">
        <v>4</v>
      </c>
      <c r="BH200" s="3" t="n">
        <v>1</v>
      </c>
      <c r="BI200" s="3" t="n">
        <v>1</v>
      </c>
    </row>
    <row r="201" customFormat="false" ht="12.75" hidden="false" customHeight="false" outlineLevel="0" collapsed="false">
      <c r="A201" s="2" t="s">
        <v>278</v>
      </c>
      <c r="B201" s="2" t="s">
        <v>2208</v>
      </c>
      <c r="C201" s="2" t="s">
        <v>2209</v>
      </c>
      <c r="D201" s="2" t="n">
        <v>198163</v>
      </c>
      <c r="E201" s="15" t="n">
        <v>43989</v>
      </c>
      <c r="F201" s="15" t="n">
        <v>43995</v>
      </c>
      <c r="G201" s="3" t="n">
        <v>6</v>
      </c>
      <c r="H201" s="3" t="n">
        <v>2</v>
      </c>
      <c r="I201" s="3" t="n">
        <v>64</v>
      </c>
      <c r="J201" s="3" t="n">
        <v>2</v>
      </c>
      <c r="K201" s="3" t="n">
        <v>1</v>
      </c>
      <c r="L201" s="3" t="n">
        <v>1</v>
      </c>
      <c r="M201" s="3" t="n">
        <v>1</v>
      </c>
      <c r="N201" s="3" t="n">
        <v>2</v>
      </c>
      <c r="O201" s="3" t="n">
        <v>2</v>
      </c>
      <c r="P201" s="3" t="n">
        <v>1</v>
      </c>
      <c r="Q201" s="3" t="n">
        <v>2</v>
      </c>
      <c r="R201" s="3" t="n">
        <v>2</v>
      </c>
      <c r="S201" s="4" t="n">
        <v>2</v>
      </c>
      <c r="T201" s="3" t="n">
        <v>2</v>
      </c>
      <c r="U201" s="3" t="n">
        <v>4.93</v>
      </c>
      <c r="V201" s="3" t="n">
        <v>1.38</v>
      </c>
      <c r="W201" s="3" t="n">
        <v>6.06</v>
      </c>
      <c r="X201" s="3" t="n">
        <v>325</v>
      </c>
      <c r="Z201" s="3" t="n">
        <v>0.47</v>
      </c>
      <c r="AA201" s="3" t="n">
        <v>22</v>
      </c>
      <c r="AB201" s="3" t="n">
        <v>1</v>
      </c>
      <c r="AC201" s="3" t="n">
        <v>2</v>
      </c>
      <c r="AD201" s="3" t="n">
        <v>1</v>
      </c>
      <c r="AE201" s="3" t="n">
        <v>1</v>
      </c>
      <c r="AF201" s="3" t="n">
        <v>2</v>
      </c>
      <c r="AG201" s="3" t="n">
        <v>2</v>
      </c>
      <c r="AH201" s="3" t="n">
        <v>1</v>
      </c>
      <c r="AI201" s="3" t="n">
        <v>2</v>
      </c>
      <c r="AJ201" s="3" t="n">
        <v>2</v>
      </c>
      <c r="AK201" s="3" t="n">
        <v>2</v>
      </c>
      <c r="AL201" s="3" t="n">
        <v>1</v>
      </c>
      <c r="AM201" s="3" t="n">
        <v>2</v>
      </c>
      <c r="AN201" s="3" t="n">
        <v>2</v>
      </c>
      <c r="AO201" s="3" t="n">
        <v>3</v>
      </c>
      <c r="AP201" s="3" t="n">
        <v>4</v>
      </c>
      <c r="AQ201" s="3" t="n">
        <v>4</v>
      </c>
      <c r="AR201" s="3" t="n">
        <v>6</v>
      </c>
      <c r="AS201" s="3" t="n">
        <v>4</v>
      </c>
      <c r="AT201" s="3" t="n">
        <v>4</v>
      </c>
      <c r="AU201" s="3" t="n">
        <v>6</v>
      </c>
      <c r="AV201" s="3" t="n">
        <v>6</v>
      </c>
      <c r="AW201" s="3" t="n">
        <v>3</v>
      </c>
      <c r="AX201" s="3" t="n">
        <v>3</v>
      </c>
      <c r="AY201" s="3" t="n">
        <v>1</v>
      </c>
      <c r="AZ201" s="5" t="n">
        <v>1</v>
      </c>
      <c r="BA201" s="3" t="n">
        <v>1</v>
      </c>
      <c r="BB201" s="3" t="n">
        <v>1</v>
      </c>
      <c r="BC201" s="3" t="n">
        <v>2</v>
      </c>
      <c r="BD201" s="3" t="n">
        <v>1</v>
      </c>
      <c r="BE201" s="3" t="n">
        <v>2</v>
      </c>
      <c r="BF201" s="3" t="n">
        <v>1</v>
      </c>
      <c r="BG201" s="3" t="n">
        <v>4</v>
      </c>
      <c r="BH201" s="3" t="n">
        <v>1</v>
      </c>
      <c r="BI201" s="3" t="n">
        <v>1</v>
      </c>
    </row>
    <row r="202" customFormat="false" ht="12.75" hidden="false" customHeight="false" outlineLevel="0" collapsed="false">
      <c r="A202" s="2" t="s">
        <v>2220</v>
      </c>
      <c r="B202" s="2" t="s">
        <v>386</v>
      </c>
      <c r="C202" s="2" t="s">
        <v>154</v>
      </c>
      <c r="D202" s="2" t="n">
        <v>198606</v>
      </c>
      <c r="E202" s="15" t="n">
        <v>44000</v>
      </c>
      <c r="F202" s="15" t="n">
        <v>44005</v>
      </c>
      <c r="G202" s="3" t="n">
        <v>5</v>
      </c>
      <c r="H202" s="3" t="n">
        <v>1</v>
      </c>
      <c r="I202" s="3" t="n">
        <v>57</v>
      </c>
      <c r="J202" s="3" t="n">
        <v>1</v>
      </c>
      <c r="K202" s="3" t="n">
        <v>2</v>
      </c>
      <c r="L202" s="3" t="n">
        <v>1</v>
      </c>
      <c r="M202" s="3" t="n">
        <v>2</v>
      </c>
      <c r="N202" s="3" t="n">
        <v>2</v>
      </c>
      <c r="O202" s="3" t="n">
        <v>1</v>
      </c>
      <c r="P202" s="3" t="n">
        <v>1</v>
      </c>
      <c r="Q202" s="3" t="n">
        <v>2</v>
      </c>
      <c r="R202" s="3" t="n">
        <v>2</v>
      </c>
      <c r="S202" s="4" t="n">
        <v>2</v>
      </c>
      <c r="T202" s="3" t="n">
        <v>2</v>
      </c>
      <c r="U202" s="3"/>
      <c r="V202" s="3"/>
      <c r="W202" s="3"/>
      <c r="X202" s="3"/>
      <c r="Z202" s="3"/>
      <c r="AA202" s="3"/>
      <c r="AB202" s="3"/>
      <c r="AC202" s="3" t="n">
        <v>2</v>
      </c>
      <c r="AD202" s="3" t="n">
        <v>1</v>
      </c>
      <c r="AE202" s="3" t="n">
        <v>1</v>
      </c>
      <c r="AF202" s="3" t="n">
        <v>2</v>
      </c>
      <c r="AG202" s="3" t="n">
        <v>1</v>
      </c>
      <c r="AH202" s="3" t="n">
        <v>1</v>
      </c>
      <c r="AI202" s="3" t="n">
        <v>2</v>
      </c>
      <c r="AJ202" s="3" t="n">
        <v>1</v>
      </c>
      <c r="AK202" s="3" t="n">
        <v>2</v>
      </c>
      <c r="AL202" s="3" t="n">
        <v>2</v>
      </c>
      <c r="AM202" s="3" t="n">
        <v>2</v>
      </c>
      <c r="AN202" s="3" t="n">
        <v>2</v>
      </c>
      <c r="AO202" s="3" t="n">
        <v>3</v>
      </c>
      <c r="AP202" s="3" t="n">
        <v>4</v>
      </c>
      <c r="AQ202" s="3" t="n">
        <v>4</v>
      </c>
      <c r="AR202" s="3" t="n">
        <v>6</v>
      </c>
      <c r="AS202" s="3" t="n">
        <v>4</v>
      </c>
      <c r="AT202" s="3" t="n">
        <v>4</v>
      </c>
      <c r="AU202" s="3" t="n">
        <v>6</v>
      </c>
      <c r="AV202" s="3" t="n">
        <v>6</v>
      </c>
      <c r="AW202" s="3" t="n">
        <v>3</v>
      </c>
      <c r="AX202" s="3" t="n">
        <v>3</v>
      </c>
      <c r="AY202" s="3" t="n">
        <v>1</v>
      </c>
      <c r="AZ202" s="5" t="n">
        <v>1</v>
      </c>
      <c r="BA202" s="3" t="n">
        <v>1</v>
      </c>
      <c r="BB202" s="3" t="n">
        <v>1</v>
      </c>
      <c r="BC202" s="3" t="n">
        <v>4</v>
      </c>
      <c r="BD202" s="3" t="n">
        <v>1</v>
      </c>
      <c r="BE202" s="3" t="n">
        <v>2</v>
      </c>
      <c r="BF202" s="3" t="n">
        <v>1</v>
      </c>
      <c r="BG202" s="3" t="n">
        <v>4</v>
      </c>
      <c r="BH202" s="3" t="n">
        <v>1</v>
      </c>
      <c r="BI202" s="3" t="n">
        <v>1</v>
      </c>
    </row>
    <row r="203" customFormat="false" ht="12.75" hidden="false" customHeight="false" outlineLevel="0" collapsed="false">
      <c r="A203" s="2" t="s">
        <v>440</v>
      </c>
      <c r="B203" s="2" t="s">
        <v>172</v>
      </c>
      <c r="C203" s="2" t="s">
        <v>2245</v>
      </c>
      <c r="D203" s="2" t="n">
        <v>198841</v>
      </c>
      <c r="E203" s="15" t="n">
        <v>44006</v>
      </c>
      <c r="F203" s="15" t="n">
        <v>44013</v>
      </c>
      <c r="G203" s="3" t="n">
        <v>7</v>
      </c>
      <c r="H203" s="3" t="n">
        <v>2</v>
      </c>
      <c r="I203" s="3" t="n">
        <v>59</v>
      </c>
      <c r="J203" s="3" t="n">
        <v>2</v>
      </c>
      <c r="K203" s="3" t="n">
        <v>2</v>
      </c>
      <c r="L203" s="3" t="n">
        <v>2</v>
      </c>
      <c r="M203" s="3" t="n">
        <v>2</v>
      </c>
      <c r="N203" s="3" t="n">
        <v>2</v>
      </c>
      <c r="O203" s="3" t="n">
        <v>2</v>
      </c>
      <c r="P203" s="3" t="n">
        <v>2</v>
      </c>
      <c r="Q203" s="3" t="n">
        <v>2</v>
      </c>
      <c r="R203" s="3" t="n">
        <v>2</v>
      </c>
      <c r="S203" s="4" t="n">
        <v>2</v>
      </c>
      <c r="T203" s="3" t="n">
        <v>2</v>
      </c>
      <c r="U203" s="3"/>
      <c r="V203" s="3"/>
      <c r="W203" s="3"/>
      <c r="X203" s="3"/>
      <c r="Z203" s="3" t="n">
        <v>0.45</v>
      </c>
      <c r="AA203" s="3" t="n">
        <v>8.4</v>
      </c>
      <c r="AB203" s="3" t="n">
        <v>1</v>
      </c>
      <c r="AC203" s="3" t="n">
        <v>2</v>
      </c>
      <c r="AD203" s="3" t="n">
        <v>1</v>
      </c>
      <c r="AE203" s="3" t="n">
        <v>1</v>
      </c>
      <c r="AF203" s="3" t="n">
        <v>2</v>
      </c>
      <c r="AG203" s="3" t="n">
        <v>2</v>
      </c>
      <c r="AH203" s="3" t="n">
        <v>1</v>
      </c>
      <c r="AI203" s="3" t="n">
        <v>2</v>
      </c>
      <c r="AJ203" s="3" t="n">
        <v>2</v>
      </c>
      <c r="AK203" s="3" t="n">
        <v>2</v>
      </c>
      <c r="AL203" s="3" t="n">
        <v>2</v>
      </c>
      <c r="AM203" s="3" t="n">
        <v>2</v>
      </c>
      <c r="AN203" s="3" t="n">
        <v>2</v>
      </c>
      <c r="AO203" s="3" t="n">
        <v>3</v>
      </c>
      <c r="AP203" s="3" t="n">
        <v>4</v>
      </c>
      <c r="AQ203" s="3" t="n">
        <v>4</v>
      </c>
      <c r="AR203" s="3" t="n">
        <v>6</v>
      </c>
      <c r="AS203" s="3" t="n">
        <v>4</v>
      </c>
      <c r="AT203" s="3" t="n">
        <v>4</v>
      </c>
      <c r="AU203" s="3" t="n">
        <v>6</v>
      </c>
      <c r="AV203" s="3" t="n">
        <v>6</v>
      </c>
      <c r="AW203" s="3" t="n">
        <v>3</v>
      </c>
      <c r="AX203" s="3" t="n">
        <v>3</v>
      </c>
      <c r="AY203" s="3" t="n">
        <v>1</v>
      </c>
      <c r="AZ203" s="5" t="n">
        <v>1</v>
      </c>
      <c r="BA203" s="3" t="n">
        <v>1</v>
      </c>
      <c r="BB203" s="3" t="n">
        <v>1</v>
      </c>
      <c r="BC203" s="3" t="n">
        <v>2</v>
      </c>
      <c r="BD203" s="3" t="n">
        <v>3</v>
      </c>
      <c r="BE203" s="3" t="n">
        <v>5</v>
      </c>
      <c r="BF203" s="3" t="n">
        <v>3</v>
      </c>
      <c r="BG203" s="3" t="n">
        <v>4</v>
      </c>
      <c r="BH203" s="3" t="n">
        <v>1</v>
      </c>
      <c r="BI203" s="3" t="n">
        <v>1</v>
      </c>
    </row>
    <row r="204" customFormat="false" ht="12.75" hidden="false" customHeight="false" outlineLevel="0" collapsed="false">
      <c r="A204" s="2" t="s">
        <v>445</v>
      </c>
      <c r="B204" s="2" t="s">
        <v>2247</v>
      </c>
      <c r="C204" s="2" t="s">
        <v>2248</v>
      </c>
      <c r="D204" s="2" t="n">
        <v>199123</v>
      </c>
      <c r="E204" s="15" t="n">
        <v>44012</v>
      </c>
      <c r="F204" s="15" t="n">
        <v>44016</v>
      </c>
      <c r="G204" s="3" t="n">
        <v>5</v>
      </c>
      <c r="H204" s="3" t="n">
        <v>1</v>
      </c>
      <c r="I204" s="3" t="n">
        <v>66</v>
      </c>
      <c r="J204" s="3" t="n">
        <v>1</v>
      </c>
      <c r="K204" s="3" t="n">
        <v>2</v>
      </c>
      <c r="L204" s="3" t="n">
        <v>1</v>
      </c>
      <c r="M204" s="3" t="n">
        <v>1</v>
      </c>
      <c r="N204" s="3" t="n">
        <v>2</v>
      </c>
      <c r="O204" s="3" t="n">
        <v>2</v>
      </c>
      <c r="P204" s="3" t="n">
        <v>1</v>
      </c>
      <c r="Q204" s="3" t="n">
        <v>2</v>
      </c>
      <c r="R204" s="3" t="n">
        <v>2</v>
      </c>
      <c r="S204" s="4" t="n">
        <v>2</v>
      </c>
      <c r="T204" s="3" t="n">
        <v>2</v>
      </c>
      <c r="U204" s="3" t="n">
        <v>3.9</v>
      </c>
      <c r="V204" s="3" t="n">
        <v>1.59</v>
      </c>
      <c r="W204" s="3" t="n">
        <v>6</v>
      </c>
      <c r="X204" s="3" t="n">
        <v>653</v>
      </c>
      <c r="Z204" s="3" t="n">
        <v>0.43</v>
      </c>
      <c r="AA204" s="3" t="n">
        <v>10.8</v>
      </c>
      <c r="AB204" s="3" t="n">
        <v>1</v>
      </c>
      <c r="AC204" s="3" t="n">
        <v>1</v>
      </c>
      <c r="AD204" s="3" t="n">
        <v>1</v>
      </c>
      <c r="AE204" s="3" t="n">
        <v>1</v>
      </c>
      <c r="AF204" s="3" t="n">
        <v>2</v>
      </c>
      <c r="AG204" s="3" t="n">
        <v>2</v>
      </c>
      <c r="AH204" s="3" t="n">
        <v>1</v>
      </c>
      <c r="AI204" s="3" t="n">
        <v>2</v>
      </c>
      <c r="AJ204" s="3" t="n">
        <v>2</v>
      </c>
      <c r="AK204" s="3" t="n">
        <v>2</v>
      </c>
      <c r="AL204" s="3" t="n">
        <v>2</v>
      </c>
      <c r="AM204" s="3" t="n">
        <v>1</v>
      </c>
      <c r="AN204" s="3" t="n">
        <v>2</v>
      </c>
      <c r="AO204" s="3" t="n">
        <v>3</v>
      </c>
      <c r="AP204" s="3" t="n">
        <v>4</v>
      </c>
      <c r="AQ204" s="3" t="n">
        <v>4</v>
      </c>
      <c r="AR204" s="3" t="n">
        <v>6</v>
      </c>
      <c r="AS204" s="3" t="n">
        <v>4</v>
      </c>
      <c r="AT204" s="3" t="n">
        <v>4</v>
      </c>
      <c r="AU204" s="3" t="n">
        <v>6</v>
      </c>
      <c r="AV204" s="3" t="n">
        <v>6</v>
      </c>
      <c r="AW204" s="3" t="n">
        <v>3</v>
      </c>
      <c r="AX204" s="3" t="n">
        <v>3</v>
      </c>
      <c r="AY204" s="3" t="n">
        <v>6</v>
      </c>
      <c r="AZ204" s="5" t="n">
        <v>1</v>
      </c>
      <c r="BA204" s="3" t="n">
        <v>1</v>
      </c>
      <c r="BB204" s="3" t="n">
        <v>1</v>
      </c>
      <c r="BC204" s="3" t="n">
        <v>4</v>
      </c>
      <c r="BD204" s="3" t="n">
        <v>1</v>
      </c>
      <c r="BE204" s="3" t="n">
        <v>2</v>
      </c>
      <c r="BF204" s="3" t="n">
        <v>1</v>
      </c>
      <c r="BG204" s="3" t="n">
        <v>4</v>
      </c>
      <c r="BH204" s="3" t="n">
        <v>1</v>
      </c>
      <c r="BI204" s="3" t="n">
        <v>1</v>
      </c>
    </row>
    <row r="205" customFormat="false" ht="12.75" hidden="false" customHeight="false" outlineLevel="0" collapsed="false">
      <c r="A205" s="2" t="s">
        <v>2250</v>
      </c>
      <c r="B205" s="2" t="s">
        <v>510</v>
      </c>
      <c r="C205" s="2" t="s">
        <v>118</v>
      </c>
      <c r="D205" s="2" t="n">
        <v>198902</v>
      </c>
      <c r="E205" s="15" t="n">
        <v>44009</v>
      </c>
      <c r="F205" s="15" t="n">
        <v>44016</v>
      </c>
      <c r="G205" s="3" t="n">
        <v>7</v>
      </c>
      <c r="H205" s="3" t="n">
        <v>1</v>
      </c>
      <c r="I205" s="3" t="n">
        <v>62</v>
      </c>
      <c r="J205" s="3" t="n">
        <v>1</v>
      </c>
      <c r="K205" s="3" t="n">
        <v>1</v>
      </c>
      <c r="L205" s="3" t="n">
        <v>1</v>
      </c>
      <c r="M205" s="3" t="n">
        <v>2</v>
      </c>
      <c r="N205" s="3" t="n">
        <v>2</v>
      </c>
      <c r="O205" s="3" t="n">
        <v>2</v>
      </c>
      <c r="P205" s="3" t="n">
        <v>2</v>
      </c>
      <c r="Q205" s="3" t="n">
        <v>2</v>
      </c>
      <c r="R205" s="3" t="n">
        <v>2</v>
      </c>
      <c r="S205" s="4" t="n">
        <v>2</v>
      </c>
      <c r="T205" s="3" t="n">
        <v>2</v>
      </c>
      <c r="U205" s="3" t="n">
        <v>5.74</v>
      </c>
      <c r="V205" s="3" t="n">
        <v>1.56</v>
      </c>
      <c r="W205" s="3" t="n">
        <v>4.9</v>
      </c>
      <c r="X205" s="3" t="n">
        <v>209</v>
      </c>
      <c r="Z205" s="3" t="n">
        <v>0.44</v>
      </c>
      <c r="AA205" s="3" t="n">
        <v>12.6</v>
      </c>
      <c r="AB205" s="3" t="n">
        <v>1</v>
      </c>
      <c r="AC205" s="3" t="n">
        <v>2</v>
      </c>
      <c r="AD205" s="3" t="n">
        <v>1</v>
      </c>
      <c r="AE205" s="3" t="n">
        <v>1</v>
      </c>
      <c r="AF205" s="3" t="n">
        <v>2</v>
      </c>
      <c r="AG205" s="3" t="n">
        <v>2</v>
      </c>
      <c r="AH205" s="3" t="n">
        <v>1</v>
      </c>
      <c r="AI205" s="3" t="n">
        <v>2</v>
      </c>
      <c r="AJ205" s="3" t="n">
        <v>1</v>
      </c>
      <c r="AK205" s="3" t="n">
        <v>2</v>
      </c>
      <c r="AL205" s="3" t="n">
        <v>1</v>
      </c>
      <c r="AM205" s="3" t="n">
        <v>2</v>
      </c>
      <c r="AN205" s="3" t="n">
        <v>2</v>
      </c>
      <c r="AO205" s="3" t="n">
        <v>3</v>
      </c>
      <c r="AP205" s="3" t="n">
        <v>4</v>
      </c>
      <c r="AQ205" s="3" t="n">
        <v>4</v>
      </c>
      <c r="AR205" s="3" t="n">
        <v>6</v>
      </c>
      <c r="AS205" s="3" t="n">
        <v>4</v>
      </c>
      <c r="AT205" s="3" t="n">
        <v>4</v>
      </c>
      <c r="AU205" s="3" t="n">
        <v>6</v>
      </c>
      <c r="AV205" s="3" t="n">
        <v>6</v>
      </c>
      <c r="AW205" s="3" t="n">
        <v>3</v>
      </c>
      <c r="AX205" s="3" t="n">
        <v>3</v>
      </c>
      <c r="AY205" s="3" t="n">
        <v>1</v>
      </c>
      <c r="AZ205" s="5" t="n">
        <v>1</v>
      </c>
      <c r="BA205" s="3" t="n">
        <v>1</v>
      </c>
      <c r="BB205" s="3" t="n">
        <v>1</v>
      </c>
      <c r="BC205" s="3" t="n">
        <v>4</v>
      </c>
      <c r="BD205" s="3" t="n">
        <v>1</v>
      </c>
      <c r="BE205" s="3" t="n">
        <v>2</v>
      </c>
      <c r="BF205" s="3" t="n">
        <v>1</v>
      </c>
      <c r="BG205" s="3" t="n">
        <v>4</v>
      </c>
      <c r="BH205" s="3" t="n">
        <v>1</v>
      </c>
      <c r="BI205" s="3" t="n">
        <v>1</v>
      </c>
    </row>
    <row r="206" customFormat="false" ht="12.75" hidden="false" customHeight="false" outlineLevel="0" collapsed="false">
      <c r="A206" s="2" t="s">
        <v>2254</v>
      </c>
      <c r="B206" s="2" t="s">
        <v>549</v>
      </c>
      <c r="C206" s="2" t="s">
        <v>118</v>
      </c>
      <c r="D206" s="2" t="n">
        <v>198912</v>
      </c>
      <c r="E206" s="15" t="n">
        <v>47297</v>
      </c>
      <c r="F206" s="15" t="n">
        <v>44017</v>
      </c>
      <c r="G206" s="3" t="n">
        <v>7</v>
      </c>
      <c r="H206" s="3" t="n">
        <v>2</v>
      </c>
      <c r="I206" s="3" t="n">
        <v>68</v>
      </c>
      <c r="J206" s="3" t="n">
        <v>1</v>
      </c>
      <c r="K206" s="3" t="n">
        <v>1</v>
      </c>
      <c r="L206" s="3" t="n">
        <v>1</v>
      </c>
      <c r="M206" s="3" t="n">
        <v>2</v>
      </c>
      <c r="N206" s="3" t="n">
        <v>2</v>
      </c>
      <c r="O206" s="3" t="n">
        <v>2</v>
      </c>
      <c r="P206" s="3" t="n">
        <v>2</v>
      </c>
      <c r="Q206" s="3" t="n">
        <v>2</v>
      </c>
      <c r="R206" s="3" t="n">
        <v>2</v>
      </c>
      <c r="S206" s="4" t="n">
        <v>2</v>
      </c>
      <c r="T206" s="3" t="n">
        <v>2</v>
      </c>
      <c r="U206" s="3" t="n">
        <v>5.02</v>
      </c>
      <c r="V206" s="3" t="n">
        <v>1.26</v>
      </c>
      <c r="W206" s="3" t="n">
        <v>4.6</v>
      </c>
      <c r="X206" s="3" t="n">
        <v>409</v>
      </c>
      <c r="Z206" s="3" t="n">
        <v>0.49</v>
      </c>
      <c r="AA206" s="3"/>
      <c r="AB206" s="3" t="n">
        <v>1</v>
      </c>
      <c r="AC206" s="3" t="n">
        <v>2</v>
      </c>
      <c r="AD206" s="3" t="n">
        <v>1</v>
      </c>
      <c r="AE206" s="3" t="n">
        <v>1</v>
      </c>
      <c r="AF206" s="3" t="n">
        <v>1</v>
      </c>
      <c r="AG206" s="3" t="n">
        <v>2</v>
      </c>
      <c r="AH206" s="3" t="n">
        <v>1</v>
      </c>
      <c r="AI206" s="3" t="n">
        <v>2</v>
      </c>
      <c r="AJ206" s="3" t="n">
        <v>2</v>
      </c>
      <c r="AK206" s="3" t="n">
        <v>2</v>
      </c>
      <c r="AL206" s="3" t="n">
        <v>2</v>
      </c>
      <c r="AM206" s="3" t="n">
        <v>2</v>
      </c>
      <c r="AN206" s="3" t="n">
        <v>2</v>
      </c>
      <c r="AO206" s="3" t="n">
        <v>3</v>
      </c>
      <c r="AP206" s="3" t="n">
        <v>4</v>
      </c>
      <c r="AQ206" s="3" t="n">
        <v>4</v>
      </c>
      <c r="AR206" s="3" t="n">
        <v>6</v>
      </c>
      <c r="AS206" s="3" t="n">
        <v>4</v>
      </c>
      <c r="AT206" s="3" t="n">
        <v>4</v>
      </c>
      <c r="AU206" s="3" t="n">
        <v>6</v>
      </c>
      <c r="AV206" s="3" t="n">
        <v>6</v>
      </c>
      <c r="AW206" s="3" t="n">
        <v>3</v>
      </c>
      <c r="AX206" s="3" t="n">
        <v>3</v>
      </c>
      <c r="AY206" s="3" t="n">
        <v>1</v>
      </c>
      <c r="AZ206" s="5" t="n">
        <v>1</v>
      </c>
      <c r="BA206" s="3" t="n">
        <v>1</v>
      </c>
      <c r="BB206" s="3" t="n">
        <v>1</v>
      </c>
      <c r="BC206" s="3" t="n">
        <v>4</v>
      </c>
      <c r="BD206" s="3" t="n">
        <v>1</v>
      </c>
      <c r="BE206" s="3" t="n">
        <v>2</v>
      </c>
      <c r="BF206" s="3" t="n">
        <v>1</v>
      </c>
      <c r="BG206" s="3" t="n">
        <v>4</v>
      </c>
      <c r="BH206" s="3" t="n">
        <v>1</v>
      </c>
      <c r="BI206" s="3" t="n">
        <v>1</v>
      </c>
    </row>
    <row r="207" customFormat="false" ht="12.75" hidden="false" customHeight="false" outlineLevel="0" collapsed="false">
      <c r="A207" s="26" t="s">
        <v>660</v>
      </c>
      <c r="B207" s="26" t="s">
        <v>2256</v>
      </c>
      <c r="C207" s="26" t="s">
        <v>988</v>
      </c>
      <c r="D207" s="26" t="n">
        <v>198956</v>
      </c>
      <c r="E207" s="27" t="n">
        <v>44015</v>
      </c>
      <c r="F207" s="27" t="n">
        <v>44018</v>
      </c>
      <c r="G207" s="30" t="n">
        <v>3</v>
      </c>
      <c r="H207" s="30" t="n">
        <v>2</v>
      </c>
      <c r="I207" s="30" t="n">
        <v>84</v>
      </c>
      <c r="J207" s="30" t="n">
        <v>1</v>
      </c>
      <c r="K207" s="30" t="n">
        <v>1</v>
      </c>
      <c r="L207" s="30" t="n">
        <v>1</v>
      </c>
      <c r="M207" s="30" t="n">
        <v>2</v>
      </c>
      <c r="N207" s="30" t="n">
        <v>2</v>
      </c>
      <c r="O207" s="30" t="n">
        <v>2</v>
      </c>
      <c r="P207" s="30" t="n">
        <v>2</v>
      </c>
      <c r="Q207" s="30" t="n">
        <v>2</v>
      </c>
      <c r="R207" s="30" t="n">
        <v>2</v>
      </c>
      <c r="S207" s="4" t="n">
        <v>2</v>
      </c>
      <c r="T207" s="30" t="n">
        <v>2</v>
      </c>
      <c r="U207" s="30" t="n">
        <v>2.31</v>
      </c>
      <c r="V207" s="30" t="n">
        <v>1.03</v>
      </c>
      <c r="W207" s="30"/>
      <c r="X207" s="30"/>
      <c r="Z207" s="30" t="n">
        <v>0.2</v>
      </c>
      <c r="AA207" s="30" t="n">
        <v>9.9</v>
      </c>
      <c r="AB207" s="30" t="n">
        <v>1</v>
      </c>
      <c r="AC207" s="30" t="n">
        <v>2</v>
      </c>
      <c r="AD207" s="30" t="n">
        <v>2</v>
      </c>
      <c r="AE207" s="30" t="n">
        <v>2</v>
      </c>
      <c r="AF207" s="30" t="n">
        <v>2</v>
      </c>
      <c r="AG207" s="30" t="n">
        <v>2</v>
      </c>
      <c r="AH207" s="30" t="n">
        <v>2</v>
      </c>
      <c r="AI207" s="30" t="n">
        <v>2</v>
      </c>
      <c r="AJ207" s="30" t="n">
        <v>2</v>
      </c>
      <c r="AK207" s="30" t="n">
        <v>2</v>
      </c>
      <c r="AL207" s="30" t="n">
        <v>2</v>
      </c>
      <c r="AM207" s="30" t="n">
        <v>2</v>
      </c>
      <c r="AN207" s="30" t="n">
        <v>2</v>
      </c>
      <c r="AO207" s="30" t="n">
        <v>3</v>
      </c>
      <c r="AP207" s="30" t="n">
        <v>4</v>
      </c>
      <c r="AQ207" s="30" t="n">
        <v>4</v>
      </c>
      <c r="AR207" s="30" t="n">
        <v>6</v>
      </c>
      <c r="AS207" s="30" t="n">
        <v>4</v>
      </c>
      <c r="AT207" s="30" t="n">
        <v>4</v>
      </c>
      <c r="AU207" s="30" t="n">
        <v>6</v>
      </c>
      <c r="AV207" s="30" t="n">
        <v>6</v>
      </c>
      <c r="AW207" s="30" t="n">
        <v>3</v>
      </c>
      <c r="AX207" s="30" t="n">
        <v>3</v>
      </c>
      <c r="AY207" s="30" t="n">
        <v>1</v>
      </c>
      <c r="AZ207" s="5" t="n">
        <v>1</v>
      </c>
      <c r="BA207" s="30" t="n">
        <v>1</v>
      </c>
      <c r="BB207" s="30" t="n">
        <v>1</v>
      </c>
      <c r="BC207" s="30" t="n">
        <v>2</v>
      </c>
      <c r="BD207" s="30" t="n">
        <v>3</v>
      </c>
      <c r="BE207" s="30" t="n">
        <v>5</v>
      </c>
      <c r="BF207" s="30" t="n">
        <v>3</v>
      </c>
      <c r="BG207" s="30" t="n">
        <v>4</v>
      </c>
      <c r="BH207" s="30" t="n">
        <v>1</v>
      </c>
      <c r="BI207" s="30" t="n">
        <v>1</v>
      </c>
    </row>
    <row r="208" customFormat="false" ht="12.75" hidden="false" customHeight="false" outlineLevel="0" collapsed="false">
      <c r="A208" s="2" t="s">
        <v>239</v>
      </c>
      <c r="B208" s="2" t="s">
        <v>272</v>
      </c>
      <c r="C208" s="2" t="s">
        <v>210</v>
      </c>
      <c r="D208" s="2" t="n">
        <v>199148</v>
      </c>
      <c r="E208" s="15" t="n">
        <v>44013</v>
      </c>
      <c r="F208" s="15" t="n">
        <v>44020</v>
      </c>
      <c r="G208" s="3" t="n">
        <v>7</v>
      </c>
      <c r="H208" s="3" t="n">
        <v>2</v>
      </c>
      <c r="I208" s="3" t="n">
        <v>80</v>
      </c>
      <c r="J208" s="3" t="n">
        <v>1</v>
      </c>
      <c r="K208" s="3" t="n">
        <v>2</v>
      </c>
      <c r="L208" s="3" t="n">
        <v>1</v>
      </c>
      <c r="M208" s="3" t="n">
        <v>2</v>
      </c>
      <c r="N208" s="3" t="n">
        <v>2</v>
      </c>
      <c r="O208" s="3" t="n">
        <v>1</v>
      </c>
      <c r="P208" s="3" t="n">
        <v>1</v>
      </c>
      <c r="Q208" s="3" t="n">
        <v>2</v>
      </c>
      <c r="R208" s="3" t="n">
        <v>2</v>
      </c>
      <c r="S208" s="4" t="n">
        <v>2</v>
      </c>
      <c r="T208" s="3" t="n">
        <v>2</v>
      </c>
      <c r="U208" s="3" t="n">
        <v>2.9</v>
      </c>
      <c r="V208" s="3" t="n">
        <v>2.65</v>
      </c>
      <c r="W208" s="3" t="n">
        <v>9.1</v>
      </c>
      <c r="X208" s="3" t="n">
        <v>315</v>
      </c>
      <c r="Z208" s="3" t="n">
        <v>0.44</v>
      </c>
      <c r="AA208" s="3" t="n">
        <v>7</v>
      </c>
      <c r="AB208" s="3" t="n">
        <v>1</v>
      </c>
      <c r="AC208" s="3" t="n">
        <v>2</v>
      </c>
      <c r="AD208" s="3" t="n">
        <v>1</v>
      </c>
      <c r="AE208" s="3" t="n">
        <v>1</v>
      </c>
      <c r="AF208" s="3" t="n">
        <v>2</v>
      </c>
      <c r="AG208" s="3" t="n">
        <v>2</v>
      </c>
      <c r="AH208" s="3" t="n">
        <v>1</v>
      </c>
      <c r="AI208" s="3" t="n">
        <v>2</v>
      </c>
      <c r="AJ208" s="3" t="n">
        <v>2</v>
      </c>
      <c r="AK208" s="3" t="n">
        <v>2</v>
      </c>
      <c r="AL208" s="3" t="n">
        <v>2</v>
      </c>
      <c r="AM208" s="3" t="n">
        <v>2</v>
      </c>
      <c r="AN208" s="3" t="n">
        <v>2</v>
      </c>
      <c r="AO208" s="3" t="n">
        <v>2</v>
      </c>
      <c r="AP208" s="3" t="n">
        <v>3</v>
      </c>
      <c r="AQ208" s="3" t="n">
        <v>8</v>
      </c>
      <c r="AR208" s="3" t="n">
        <v>2</v>
      </c>
      <c r="AS208" s="3" t="n">
        <v>2</v>
      </c>
      <c r="AT208" s="3" t="n">
        <v>1</v>
      </c>
      <c r="AU208" s="3" t="n">
        <v>1</v>
      </c>
      <c r="AV208" s="3" t="n">
        <v>1</v>
      </c>
      <c r="AW208" s="3" t="n">
        <v>2</v>
      </c>
      <c r="AX208" s="3" t="n">
        <v>2</v>
      </c>
      <c r="AY208" s="3" t="n">
        <v>1</v>
      </c>
      <c r="AZ208" s="5" t="n">
        <v>1</v>
      </c>
      <c r="BA208" s="3" t="n">
        <v>1</v>
      </c>
      <c r="BB208" s="3" t="n">
        <v>1</v>
      </c>
      <c r="BC208" s="3" t="n">
        <v>2</v>
      </c>
      <c r="BD208" s="3" t="n">
        <v>1</v>
      </c>
      <c r="BE208" s="3" t="n">
        <v>2</v>
      </c>
      <c r="BF208" s="3" t="n">
        <v>1</v>
      </c>
      <c r="BG208" s="3" t="n">
        <v>4</v>
      </c>
      <c r="BH208" s="3" t="n">
        <v>1</v>
      </c>
      <c r="BI208" s="3" t="n">
        <v>1</v>
      </c>
    </row>
    <row r="209" customFormat="false" ht="12.75" hidden="false" customHeight="false" outlineLevel="0" collapsed="false">
      <c r="A209" s="2" t="s">
        <v>427</v>
      </c>
      <c r="B209" s="2" t="s">
        <v>252</v>
      </c>
      <c r="C209" s="2" t="s">
        <v>936</v>
      </c>
      <c r="D209" s="2" t="n">
        <v>199340</v>
      </c>
      <c r="E209" s="15" t="n">
        <v>44016</v>
      </c>
      <c r="F209" s="15" t="n">
        <v>44020</v>
      </c>
      <c r="G209" s="3" t="n">
        <v>4</v>
      </c>
      <c r="H209" s="3" t="n">
        <v>2</v>
      </c>
      <c r="I209" s="3" t="n">
        <v>55</v>
      </c>
      <c r="J209" s="3" t="n">
        <v>1</v>
      </c>
      <c r="K209" s="3" t="n">
        <v>1</v>
      </c>
      <c r="L209" s="3" t="n">
        <v>1</v>
      </c>
      <c r="M209" s="3" t="n">
        <v>2</v>
      </c>
      <c r="N209" s="3" t="n">
        <v>1</v>
      </c>
      <c r="O209" s="3" t="n">
        <v>1</v>
      </c>
      <c r="P209" s="3" t="n">
        <v>1</v>
      </c>
      <c r="Q209" s="3" t="n">
        <v>2</v>
      </c>
      <c r="R209" s="3" t="n">
        <v>2</v>
      </c>
      <c r="S209" s="4" t="n">
        <v>2</v>
      </c>
      <c r="T209" s="3" t="n">
        <v>2</v>
      </c>
      <c r="U209" s="3" t="n">
        <v>5.9</v>
      </c>
      <c r="V209" s="3" t="n">
        <v>2.61</v>
      </c>
      <c r="W209" s="3" t="n">
        <v>13.7</v>
      </c>
      <c r="X209" s="3" t="n">
        <v>688</v>
      </c>
      <c r="Z209" s="3" t="n">
        <v>0.46</v>
      </c>
      <c r="AA209" s="3" t="n">
        <v>8.4</v>
      </c>
      <c r="AB209" s="3" t="n">
        <v>3</v>
      </c>
      <c r="AC209" s="3" t="n">
        <v>2</v>
      </c>
      <c r="AD209" s="3" t="n">
        <v>1</v>
      </c>
      <c r="AE209" s="3" t="n">
        <v>1</v>
      </c>
      <c r="AF209" s="3" t="n">
        <v>1</v>
      </c>
      <c r="AG209" s="3" t="n">
        <v>2</v>
      </c>
      <c r="AH209" s="3" t="n">
        <v>1</v>
      </c>
      <c r="AI209" s="3" t="n">
        <v>2</v>
      </c>
      <c r="AJ209" s="3" t="n">
        <v>2</v>
      </c>
      <c r="AK209" s="3" t="n">
        <v>2</v>
      </c>
      <c r="AL209" s="3" t="n">
        <v>1</v>
      </c>
      <c r="AM209" s="3" t="n">
        <v>2</v>
      </c>
      <c r="AN209" s="3" t="n">
        <v>2</v>
      </c>
      <c r="AO209" s="3" t="n">
        <v>3</v>
      </c>
      <c r="AP209" s="3" t="n">
        <v>4</v>
      </c>
      <c r="AQ209" s="3" t="n">
        <v>4</v>
      </c>
      <c r="AR209" s="3" t="n">
        <v>6</v>
      </c>
      <c r="AS209" s="3" t="n">
        <v>4</v>
      </c>
      <c r="AT209" s="3" t="n">
        <v>4</v>
      </c>
      <c r="AU209" s="3" t="n">
        <v>6</v>
      </c>
      <c r="AV209" s="3" t="n">
        <v>6</v>
      </c>
      <c r="AW209" s="3" t="n">
        <v>3</v>
      </c>
      <c r="AX209" s="3" t="n">
        <v>3</v>
      </c>
      <c r="AY209" s="3" t="n">
        <v>1</v>
      </c>
      <c r="AZ209" s="5" t="n">
        <v>1</v>
      </c>
      <c r="BA209" s="3" t="n">
        <v>1</v>
      </c>
      <c r="BB209" s="3" t="n">
        <v>1</v>
      </c>
      <c r="BC209" s="3" t="n">
        <v>4</v>
      </c>
      <c r="BD209" s="3" t="n">
        <v>1</v>
      </c>
      <c r="BE209" s="3" t="n">
        <v>2</v>
      </c>
      <c r="BF209" s="3" t="n">
        <v>1</v>
      </c>
      <c r="BG209" s="3" t="n">
        <v>4</v>
      </c>
      <c r="BH209" s="3" t="n">
        <v>1</v>
      </c>
      <c r="BI209" s="3" t="n">
        <v>1</v>
      </c>
    </row>
    <row r="210" customFormat="false" ht="12.75" hidden="false" customHeight="false" outlineLevel="0" collapsed="false">
      <c r="A210" s="2" t="s">
        <v>758</v>
      </c>
      <c r="B210" s="2" t="s">
        <v>509</v>
      </c>
      <c r="C210" s="2" t="s">
        <v>2263</v>
      </c>
      <c r="D210" s="2" t="n">
        <v>199439</v>
      </c>
      <c r="E210" s="15" t="n">
        <v>44021</v>
      </c>
      <c r="F210" s="15" t="n">
        <v>44027</v>
      </c>
      <c r="G210" s="3" t="n">
        <v>6</v>
      </c>
      <c r="H210" s="3" t="n">
        <v>2</v>
      </c>
      <c r="I210" s="3" t="n">
        <v>63</v>
      </c>
      <c r="J210" s="3" t="n">
        <v>1</v>
      </c>
      <c r="K210" s="3" t="n">
        <v>2</v>
      </c>
      <c r="L210" s="3" t="n">
        <v>1</v>
      </c>
      <c r="M210" s="3" t="n">
        <v>2</v>
      </c>
      <c r="N210" s="3" t="n">
        <v>2</v>
      </c>
      <c r="O210" s="3" t="n">
        <v>2</v>
      </c>
      <c r="P210" s="3" t="n">
        <v>2</v>
      </c>
      <c r="Q210" s="3" t="n">
        <v>2</v>
      </c>
      <c r="R210" s="3" t="n">
        <v>2</v>
      </c>
      <c r="S210" s="4" t="n">
        <v>2</v>
      </c>
      <c r="T210" s="3" t="n">
        <v>2</v>
      </c>
      <c r="U210" s="3" t="n">
        <v>4.47</v>
      </c>
      <c r="V210" s="3" t="n">
        <v>1.49</v>
      </c>
      <c r="W210" s="3" t="n">
        <v>6</v>
      </c>
      <c r="X210" s="3" t="n">
        <v>124</v>
      </c>
      <c r="Z210" s="3" t="n">
        <v>0.42</v>
      </c>
      <c r="AA210" s="3" t="n">
        <v>9.3</v>
      </c>
      <c r="AB210" s="3" t="n">
        <v>1</v>
      </c>
      <c r="AC210" s="3" t="n">
        <v>2</v>
      </c>
      <c r="AD210" s="3" t="n">
        <v>1</v>
      </c>
      <c r="AE210" s="3" t="n">
        <v>1</v>
      </c>
      <c r="AF210" s="3" t="n">
        <v>2</v>
      </c>
      <c r="AG210" s="3" t="n">
        <v>2</v>
      </c>
      <c r="AH210" s="3" t="n">
        <v>1</v>
      </c>
      <c r="AI210" s="3" t="n">
        <v>2</v>
      </c>
      <c r="AJ210" s="3" t="n">
        <v>2</v>
      </c>
      <c r="AK210" s="3" t="n">
        <v>2</v>
      </c>
      <c r="AL210" s="3" t="n">
        <v>2</v>
      </c>
      <c r="AM210" s="3" t="n">
        <v>2</v>
      </c>
      <c r="AN210" s="3" t="n">
        <v>2</v>
      </c>
      <c r="AO210" s="3" t="n">
        <v>3</v>
      </c>
      <c r="AP210" s="3" t="n">
        <v>4</v>
      </c>
      <c r="AQ210" s="3" t="n">
        <v>4</v>
      </c>
      <c r="AR210" s="3" t="n">
        <v>6</v>
      </c>
      <c r="AS210" s="3" t="n">
        <v>4</v>
      </c>
      <c r="AT210" s="3" t="n">
        <v>4</v>
      </c>
      <c r="AU210" s="3" t="n">
        <v>6</v>
      </c>
      <c r="AV210" s="3" t="n">
        <v>6</v>
      </c>
      <c r="AW210" s="3" t="n">
        <v>3</v>
      </c>
      <c r="AX210" s="3" t="n">
        <v>3</v>
      </c>
      <c r="AY210" s="3" t="n">
        <v>1</v>
      </c>
      <c r="AZ210" s="5" t="n">
        <v>1</v>
      </c>
      <c r="BA210" s="3" t="n">
        <v>1</v>
      </c>
      <c r="BB210" s="3" t="n">
        <v>1</v>
      </c>
      <c r="BC210" s="3" t="n">
        <v>4</v>
      </c>
      <c r="BD210" s="3" t="n">
        <v>3</v>
      </c>
      <c r="BE210" s="3" t="n">
        <v>5</v>
      </c>
      <c r="BF210" s="3" t="n">
        <v>3</v>
      </c>
      <c r="BG210" s="3" t="n">
        <v>4</v>
      </c>
      <c r="BH210" s="3" t="n">
        <v>1</v>
      </c>
      <c r="BI210" s="3" t="n">
        <v>1</v>
      </c>
    </row>
    <row r="211" customFormat="false" ht="12.75" hidden="false" customHeight="false" outlineLevel="0" collapsed="false">
      <c r="A211" s="2" t="s">
        <v>156</v>
      </c>
      <c r="B211" s="2" t="s">
        <v>2265</v>
      </c>
      <c r="C211" s="2" t="s">
        <v>160</v>
      </c>
      <c r="D211" s="2" t="n">
        <v>199446</v>
      </c>
      <c r="E211" s="15" t="n">
        <v>44021</v>
      </c>
      <c r="F211" s="15" t="n">
        <v>44028</v>
      </c>
      <c r="G211" s="3" t="n">
        <v>7</v>
      </c>
      <c r="H211" s="3" t="n">
        <v>2</v>
      </c>
      <c r="I211" s="3" t="n">
        <v>56</v>
      </c>
      <c r="J211" s="3" t="n">
        <v>1</v>
      </c>
      <c r="K211" s="3" t="n">
        <v>1</v>
      </c>
      <c r="L211" s="3" t="n">
        <v>1</v>
      </c>
      <c r="M211" s="3" t="n">
        <v>2</v>
      </c>
      <c r="N211" s="3" t="n">
        <v>2</v>
      </c>
      <c r="O211" s="3" t="n">
        <v>2</v>
      </c>
      <c r="P211" s="3" t="n">
        <v>2</v>
      </c>
      <c r="Q211" s="3" t="n">
        <v>2</v>
      </c>
      <c r="R211" s="3" t="n">
        <v>2</v>
      </c>
      <c r="S211" s="4" t="n">
        <v>2</v>
      </c>
      <c r="T211" s="3" t="n">
        <v>2</v>
      </c>
      <c r="U211" s="3" t="n">
        <v>5.45</v>
      </c>
      <c r="V211" s="3" t="n">
        <v>0.77</v>
      </c>
      <c r="W211" s="3" t="n">
        <v>6.5</v>
      </c>
      <c r="X211" s="3" t="n">
        <v>409</v>
      </c>
      <c r="Z211" s="3" t="n">
        <v>0.55</v>
      </c>
      <c r="AA211" s="3" t="n">
        <v>13.9</v>
      </c>
      <c r="AB211" s="3" t="n">
        <v>1</v>
      </c>
      <c r="AC211" s="3" t="n">
        <v>1</v>
      </c>
      <c r="AD211" s="3" t="n">
        <v>1</v>
      </c>
      <c r="AE211" s="3" t="n">
        <v>1</v>
      </c>
      <c r="AF211" s="3" t="n">
        <v>2</v>
      </c>
      <c r="AG211" s="3" t="n">
        <v>2</v>
      </c>
      <c r="AH211" s="3" t="n">
        <v>1</v>
      </c>
      <c r="AI211" s="3" t="n">
        <v>2</v>
      </c>
      <c r="AJ211" s="3" t="n">
        <v>2</v>
      </c>
      <c r="AK211" s="3" t="n">
        <v>2</v>
      </c>
      <c r="AL211" s="3" t="n">
        <v>2</v>
      </c>
      <c r="AM211" s="3" t="n">
        <v>2</v>
      </c>
      <c r="AN211" s="3" t="n">
        <v>1</v>
      </c>
      <c r="AO211" s="3" t="n">
        <v>3</v>
      </c>
      <c r="AP211" s="3" t="n">
        <v>4</v>
      </c>
      <c r="AQ211" s="3" t="n">
        <v>4</v>
      </c>
      <c r="AR211" s="3" t="n">
        <v>6</v>
      </c>
      <c r="AS211" s="3" t="n">
        <v>4</v>
      </c>
      <c r="AT211" s="3" t="n">
        <v>4</v>
      </c>
      <c r="AU211" s="3" t="n">
        <v>6</v>
      </c>
      <c r="AV211" s="3" t="n">
        <v>6</v>
      </c>
      <c r="AW211" s="3" t="n">
        <v>3</v>
      </c>
      <c r="AX211" s="3" t="n">
        <v>3</v>
      </c>
      <c r="AY211" s="3" t="n">
        <v>5</v>
      </c>
      <c r="AZ211" s="5" t="n">
        <v>1</v>
      </c>
      <c r="BA211" s="3" t="n">
        <v>1</v>
      </c>
      <c r="BB211" s="3" t="n">
        <v>1</v>
      </c>
      <c r="BC211" s="3" t="n">
        <v>2</v>
      </c>
      <c r="BD211" s="3" t="n">
        <v>3</v>
      </c>
      <c r="BE211" s="3" t="n">
        <v>5</v>
      </c>
      <c r="BF211" s="3" t="n">
        <v>3</v>
      </c>
      <c r="BG211" s="3" t="n">
        <v>4</v>
      </c>
      <c r="BH211" s="3" t="n">
        <v>1</v>
      </c>
      <c r="BI211" s="3" t="n">
        <v>1</v>
      </c>
    </row>
    <row r="212" customFormat="false" ht="12.75" hidden="false" customHeight="false" outlineLevel="0" collapsed="false">
      <c r="A212" s="2" t="s">
        <v>2267</v>
      </c>
      <c r="B212" s="2" t="s">
        <v>210</v>
      </c>
      <c r="C212" s="2" t="s">
        <v>78</v>
      </c>
      <c r="D212" s="2" t="n">
        <v>199363</v>
      </c>
      <c r="E212" s="15" t="n">
        <v>44017</v>
      </c>
      <c r="F212" s="15" t="n">
        <v>44028</v>
      </c>
      <c r="G212" s="3" t="n">
        <v>11</v>
      </c>
      <c r="H212" s="3" t="n">
        <v>2</v>
      </c>
      <c r="I212" s="3" t="n">
        <v>83</v>
      </c>
      <c r="J212" s="3" t="n">
        <v>1</v>
      </c>
      <c r="K212" s="3" t="n">
        <v>2</v>
      </c>
      <c r="L212" s="3" t="n">
        <v>1</v>
      </c>
      <c r="M212" s="3" t="n">
        <v>1</v>
      </c>
      <c r="N212" s="3" t="n">
        <v>2</v>
      </c>
      <c r="O212" s="3" t="n">
        <v>2</v>
      </c>
      <c r="P212" s="3" t="n">
        <v>1</v>
      </c>
      <c r="Q212" s="3" t="n">
        <v>2</v>
      </c>
      <c r="R212" s="3" t="n">
        <v>2</v>
      </c>
      <c r="S212" s="4" t="n">
        <v>2</v>
      </c>
      <c r="T212" s="3" t="n">
        <v>2</v>
      </c>
      <c r="U212" s="3" t="n">
        <v>3.31</v>
      </c>
      <c r="V212" s="3" t="n">
        <v>0.66</v>
      </c>
      <c r="W212" s="3" t="n">
        <v>5.5</v>
      </c>
      <c r="X212" s="3" t="n">
        <v>382</v>
      </c>
      <c r="Z212" s="3" t="n">
        <v>0.38</v>
      </c>
      <c r="AA212" s="3" t="n">
        <v>8.3</v>
      </c>
      <c r="AB212" s="3" t="n">
        <v>1</v>
      </c>
      <c r="AC212" s="3" t="n">
        <v>1</v>
      </c>
      <c r="AD212" s="3" t="n">
        <v>1</v>
      </c>
      <c r="AE212" s="3" t="n">
        <v>1</v>
      </c>
      <c r="AF212" s="3" t="n">
        <v>1</v>
      </c>
      <c r="AG212" s="3" t="n">
        <v>2</v>
      </c>
      <c r="AH212" s="3" t="n">
        <v>1</v>
      </c>
      <c r="AI212" s="3" t="n">
        <v>2</v>
      </c>
      <c r="AJ212" s="3" t="n">
        <v>2</v>
      </c>
      <c r="AK212" s="3" t="n">
        <v>2</v>
      </c>
      <c r="AL212" s="3" t="n">
        <v>1</v>
      </c>
      <c r="AM212" s="3" t="n">
        <v>2</v>
      </c>
      <c r="AN212" s="3" t="n">
        <v>2</v>
      </c>
      <c r="AO212" s="3" t="n">
        <v>3</v>
      </c>
      <c r="AP212" s="3" t="n">
        <v>4</v>
      </c>
      <c r="AQ212" s="3" t="n">
        <v>4</v>
      </c>
      <c r="AR212" s="3" t="n">
        <v>6</v>
      </c>
      <c r="AS212" s="3" t="n">
        <v>4</v>
      </c>
      <c r="AT212" s="3" t="n">
        <v>4</v>
      </c>
      <c r="AU212" s="3" t="n">
        <v>6</v>
      </c>
      <c r="AV212" s="3" t="n">
        <v>6</v>
      </c>
      <c r="AW212" s="3" t="n">
        <v>3</v>
      </c>
      <c r="AX212" s="3" t="n">
        <v>3</v>
      </c>
      <c r="AY212" s="3" t="n">
        <v>2</v>
      </c>
      <c r="AZ212" s="5" t="n">
        <v>1</v>
      </c>
      <c r="BA212" s="3" t="n">
        <v>1</v>
      </c>
      <c r="BB212" s="3" t="n">
        <v>1</v>
      </c>
      <c r="BC212" s="3" t="n">
        <v>4</v>
      </c>
      <c r="BD212" s="3" t="n">
        <v>3</v>
      </c>
      <c r="BE212" s="3" t="n">
        <v>5</v>
      </c>
      <c r="BF212" s="3" t="n">
        <v>3</v>
      </c>
      <c r="BG212" s="3" t="n">
        <v>4</v>
      </c>
      <c r="BH212" s="3" t="n">
        <v>1</v>
      </c>
      <c r="BI212" s="3" t="n">
        <v>1</v>
      </c>
    </row>
    <row r="213" customFormat="false" ht="12.75" hidden="false" customHeight="false" outlineLevel="0" collapsed="false">
      <c r="A213" s="2" t="s">
        <v>2269</v>
      </c>
      <c r="B213" s="2" t="s">
        <v>222</v>
      </c>
      <c r="C213" s="2" t="s">
        <v>2270</v>
      </c>
      <c r="D213" s="2" t="n">
        <v>199449</v>
      </c>
      <c r="E213" s="15" t="n">
        <v>44022</v>
      </c>
      <c r="F213" s="15" t="n">
        <v>44028</v>
      </c>
      <c r="G213" s="3" t="n">
        <v>6</v>
      </c>
      <c r="H213" s="3" t="n">
        <v>1</v>
      </c>
      <c r="I213" s="3" t="n">
        <v>54</v>
      </c>
      <c r="J213" s="3" t="n">
        <v>1</v>
      </c>
      <c r="K213" s="3" t="n">
        <v>2</v>
      </c>
      <c r="L213" s="3" t="n">
        <v>1</v>
      </c>
      <c r="M213" s="3" t="n">
        <v>2</v>
      </c>
      <c r="N213" s="3" t="n">
        <v>2</v>
      </c>
      <c r="O213" s="3" t="n">
        <v>2</v>
      </c>
      <c r="P213" s="3" t="n">
        <v>2</v>
      </c>
      <c r="Q213" s="3" t="n">
        <v>2</v>
      </c>
      <c r="R213" s="3" t="n">
        <v>2</v>
      </c>
      <c r="S213" s="4" t="n">
        <v>2</v>
      </c>
      <c r="T213" s="3" t="n">
        <v>2</v>
      </c>
      <c r="U213" s="3" t="n">
        <v>6.11</v>
      </c>
      <c r="V213" s="3" t="n">
        <v>1.29</v>
      </c>
      <c r="W213" s="3" t="n">
        <v>6.2</v>
      </c>
      <c r="X213" s="3" t="n">
        <v>609</v>
      </c>
      <c r="Z213" s="3" t="n">
        <v>0.52</v>
      </c>
      <c r="AA213" s="3" t="n">
        <v>9.9</v>
      </c>
      <c r="AB213" s="3" t="n">
        <v>1</v>
      </c>
      <c r="AC213" s="3" t="n">
        <v>2</v>
      </c>
      <c r="AD213" s="3" t="n">
        <v>2</v>
      </c>
      <c r="AE213" s="3" t="n">
        <v>1</v>
      </c>
      <c r="AF213" s="3" t="n">
        <v>2</v>
      </c>
      <c r="AG213" s="3" t="n">
        <v>1</v>
      </c>
      <c r="AH213" s="3" t="n">
        <v>1</v>
      </c>
      <c r="AI213" s="3" t="n">
        <v>2</v>
      </c>
      <c r="AJ213" s="3" t="n">
        <v>2</v>
      </c>
      <c r="AK213" s="3" t="n">
        <v>2</v>
      </c>
      <c r="AL213" s="3" t="n">
        <v>1</v>
      </c>
      <c r="AM213" s="3" t="n">
        <v>2</v>
      </c>
      <c r="AN213" s="3" t="n">
        <v>2</v>
      </c>
      <c r="AO213" s="3" t="n">
        <v>3</v>
      </c>
      <c r="AP213" s="3" t="n">
        <v>4</v>
      </c>
      <c r="AQ213" s="3" t="n">
        <v>4</v>
      </c>
      <c r="AR213" s="3" t="n">
        <v>6</v>
      </c>
      <c r="AS213" s="3" t="n">
        <v>4</v>
      </c>
      <c r="AT213" s="3" t="n">
        <v>4</v>
      </c>
      <c r="AU213" s="3" t="n">
        <v>6</v>
      </c>
      <c r="AV213" s="3" t="n">
        <v>6</v>
      </c>
      <c r="AW213" s="3" t="n">
        <v>3</v>
      </c>
      <c r="AX213" s="3" t="n">
        <v>3</v>
      </c>
      <c r="AY213" s="3" t="n">
        <v>1</v>
      </c>
      <c r="AZ213" s="5" t="n">
        <v>1</v>
      </c>
      <c r="BA213" s="3" t="n">
        <v>1</v>
      </c>
      <c r="BB213" s="3" t="n">
        <v>1</v>
      </c>
      <c r="BC213" s="3" t="n">
        <v>4</v>
      </c>
      <c r="BD213" s="3" t="n">
        <v>1</v>
      </c>
      <c r="BE213" s="3" t="n">
        <v>2</v>
      </c>
      <c r="BF213" s="3" t="n">
        <v>1</v>
      </c>
      <c r="BG213" s="3" t="n">
        <v>4</v>
      </c>
      <c r="BH213" s="3" t="n">
        <v>1</v>
      </c>
      <c r="BI213" s="3" t="n">
        <v>1</v>
      </c>
    </row>
    <row r="214" customFormat="false" ht="12.75" hidden="false" customHeight="false" outlineLevel="0" collapsed="false">
      <c r="A214" s="2" t="s">
        <v>2272</v>
      </c>
      <c r="B214" s="2" t="s">
        <v>153</v>
      </c>
      <c r="C214" s="2" t="s">
        <v>2273</v>
      </c>
      <c r="D214" s="2" t="n">
        <v>199450</v>
      </c>
      <c r="E214" s="15" t="n">
        <v>44022</v>
      </c>
      <c r="F214" s="15" t="n">
        <v>44028</v>
      </c>
      <c r="G214" s="3" t="n">
        <v>6</v>
      </c>
      <c r="H214" s="3" t="n">
        <v>2</v>
      </c>
      <c r="I214" s="3" t="n">
        <v>55</v>
      </c>
      <c r="J214" s="3" t="n">
        <v>1</v>
      </c>
      <c r="K214" s="3" t="n">
        <v>1</v>
      </c>
      <c r="L214" s="3" t="n">
        <v>1</v>
      </c>
      <c r="M214" s="3" t="n">
        <v>2</v>
      </c>
      <c r="N214" s="3" t="n">
        <v>1</v>
      </c>
      <c r="O214" s="3" t="n">
        <v>2</v>
      </c>
      <c r="P214" s="3" t="n">
        <v>1</v>
      </c>
      <c r="Q214" s="3" t="n">
        <v>2</v>
      </c>
      <c r="R214" s="3" t="n">
        <v>2</v>
      </c>
      <c r="S214" s="4" t="n">
        <v>2</v>
      </c>
      <c r="T214" s="3" t="n">
        <v>2</v>
      </c>
      <c r="U214" s="3" t="n">
        <v>6.123</v>
      </c>
      <c r="V214" s="3" t="n">
        <v>1.77</v>
      </c>
      <c r="W214" s="3" t="n">
        <v>7</v>
      </c>
      <c r="X214" s="3" t="n">
        <v>459</v>
      </c>
      <c r="Z214" s="3" t="n">
        <v>0.46</v>
      </c>
      <c r="AA214" s="3" t="n">
        <v>8.3</v>
      </c>
      <c r="AB214" s="3" t="n">
        <v>1</v>
      </c>
      <c r="AC214" s="3" t="n">
        <v>2</v>
      </c>
      <c r="AD214" s="3" t="n">
        <v>1</v>
      </c>
      <c r="AE214" s="3" t="n">
        <v>1</v>
      </c>
      <c r="AF214" s="3" t="n">
        <v>2</v>
      </c>
      <c r="AG214" s="3" t="n">
        <v>2</v>
      </c>
      <c r="AH214" s="3" t="n">
        <v>1</v>
      </c>
      <c r="AI214" s="3" t="n">
        <v>2</v>
      </c>
      <c r="AJ214" s="3" t="n">
        <v>2</v>
      </c>
      <c r="AK214" s="3" t="n">
        <v>2</v>
      </c>
      <c r="AL214" s="3" t="n">
        <v>2</v>
      </c>
      <c r="AM214" s="3" t="n">
        <v>2</v>
      </c>
      <c r="AN214" s="3" t="n">
        <v>2</v>
      </c>
      <c r="AO214" s="3" t="n">
        <v>3</v>
      </c>
      <c r="AP214" s="3" t="n">
        <v>4</v>
      </c>
      <c r="AQ214" s="3" t="n">
        <v>4</v>
      </c>
      <c r="AR214" s="3" t="n">
        <v>6</v>
      </c>
      <c r="AS214" s="3" t="n">
        <v>4</v>
      </c>
      <c r="AT214" s="3" t="n">
        <v>4</v>
      </c>
      <c r="AU214" s="3" t="n">
        <v>6</v>
      </c>
      <c r="AV214" s="3" t="n">
        <v>6</v>
      </c>
      <c r="AW214" s="3" t="n">
        <v>3</v>
      </c>
      <c r="AX214" s="3" t="n">
        <v>3</v>
      </c>
      <c r="AY214" s="3" t="n">
        <v>1</v>
      </c>
      <c r="AZ214" s="5" t="n">
        <v>1</v>
      </c>
      <c r="BA214" s="3" t="n">
        <v>1</v>
      </c>
      <c r="BB214" s="3" t="n">
        <v>1</v>
      </c>
      <c r="BC214" s="3" t="n">
        <v>4</v>
      </c>
      <c r="BD214" s="3" t="n">
        <v>1</v>
      </c>
      <c r="BE214" s="3" t="n">
        <v>2</v>
      </c>
      <c r="BF214" s="3" t="n">
        <v>1</v>
      </c>
      <c r="BG214" s="3" t="n">
        <v>4</v>
      </c>
      <c r="BH214" s="3" t="n">
        <v>1</v>
      </c>
      <c r="BI214" s="3" t="n">
        <v>1</v>
      </c>
    </row>
    <row r="215" customFormat="false" ht="12.75" hidden="false" customHeight="false" outlineLevel="0" collapsed="false">
      <c r="A215" s="2" t="s">
        <v>413</v>
      </c>
      <c r="B215" s="2" t="s">
        <v>2275</v>
      </c>
      <c r="C215" s="2" t="s">
        <v>386</v>
      </c>
      <c r="D215" s="2" t="n">
        <v>199744</v>
      </c>
      <c r="E215" s="15" t="n">
        <v>44024</v>
      </c>
      <c r="F215" s="15" t="n">
        <v>44029</v>
      </c>
      <c r="G215" s="3" t="n">
        <v>7</v>
      </c>
      <c r="H215" s="3" t="n">
        <v>2</v>
      </c>
      <c r="I215" s="3" t="n">
        <v>56</v>
      </c>
      <c r="J215" s="3" t="n">
        <v>2</v>
      </c>
      <c r="K215" s="3" t="n">
        <v>1</v>
      </c>
      <c r="L215" s="3" t="n">
        <v>2</v>
      </c>
      <c r="M215" s="3" t="n">
        <v>2</v>
      </c>
      <c r="N215" s="3" t="n">
        <v>2</v>
      </c>
      <c r="O215" s="3" t="n">
        <v>2</v>
      </c>
      <c r="P215" s="3" t="n">
        <v>2</v>
      </c>
      <c r="Q215" s="3" t="n">
        <v>2</v>
      </c>
      <c r="R215" s="3" t="n">
        <v>2</v>
      </c>
      <c r="S215" s="4" t="n">
        <v>2</v>
      </c>
      <c r="T215" s="3" t="n">
        <v>2</v>
      </c>
      <c r="U215" s="3" t="n">
        <v>4.7</v>
      </c>
      <c r="V215" s="3" t="n">
        <v>0.93</v>
      </c>
      <c r="W215" s="3" t="n">
        <v>4.4</v>
      </c>
      <c r="X215" s="3" t="n">
        <v>614</v>
      </c>
      <c r="Z215" s="3" t="n">
        <v>0.44</v>
      </c>
      <c r="AA215" s="3" t="n">
        <v>11</v>
      </c>
      <c r="AB215" s="3" t="n">
        <v>1</v>
      </c>
      <c r="AC215" s="3" t="n">
        <v>2</v>
      </c>
      <c r="AD215" s="3" t="n">
        <v>1</v>
      </c>
      <c r="AE215" s="3" t="n">
        <v>1</v>
      </c>
      <c r="AF215" s="3" t="n">
        <v>2</v>
      </c>
      <c r="AG215" s="3" t="n">
        <v>1</v>
      </c>
      <c r="AH215" s="3" t="n">
        <v>1</v>
      </c>
      <c r="AI215" s="3" t="n">
        <v>2</v>
      </c>
      <c r="AJ215" s="3" t="n">
        <v>2</v>
      </c>
      <c r="AK215" s="3" t="n">
        <v>2</v>
      </c>
      <c r="AL215" s="3" t="n">
        <v>1</v>
      </c>
      <c r="AM215" s="3" t="n">
        <v>2</v>
      </c>
      <c r="AN215" s="3" t="n">
        <v>2</v>
      </c>
      <c r="AO215" s="3" t="n">
        <v>3</v>
      </c>
      <c r="AP215" s="3" t="n">
        <v>4</v>
      </c>
      <c r="AQ215" s="3" t="n">
        <v>4</v>
      </c>
      <c r="AR215" s="3" t="n">
        <v>6</v>
      </c>
      <c r="AS215" s="3" t="n">
        <v>4</v>
      </c>
      <c r="AT215" s="3" t="n">
        <v>4</v>
      </c>
      <c r="AU215" s="3" t="n">
        <v>6</v>
      </c>
      <c r="AV215" s="3" t="n">
        <v>6</v>
      </c>
      <c r="AW215" s="3" t="n">
        <v>3</v>
      </c>
      <c r="AX215" s="3" t="n">
        <v>3</v>
      </c>
      <c r="AY215" s="3" t="n">
        <v>1</v>
      </c>
      <c r="AZ215" s="5" t="n">
        <v>1</v>
      </c>
      <c r="BA215" s="3" t="n">
        <v>1</v>
      </c>
      <c r="BB215" s="3" t="n">
        <v>1</v>
      </c>
      <c r="BC215" s="3" t="n">
        <v>2</v>
      </c>
      <c r="BD215" s="3" t="n">
        <v>3</v>
      </c>
      <c r="BE215" s="3" t="n">
        <v>5</v>
      </c>
      <c r="BF215" s="3" t="n">
        <v>3</v>
      </c>
      <c r="BG215" s="3" t="n">
        <v>4</v>
      </c>
      <c r="BH215" s="3" t="n">
        <v>1</v>
      </c>
      <c r="BI215" s="3" t="n">
        <v>1</v>
      </c>
    </row>
    <row r="216" customFormat="false" ht="12.75" hidden="false" customHeight="false" outlineLevel="0" collapsed="false">
      <c r="A216" s="2" t="s">
        <v>2277</v>
      </c>
      <c r="B216" s="2" t="s">
        <v>595</v>
      </c>
      <c r="C216" s="2" t="s">
        <v>127</v>
      </c>
      <c r="D216" s="2" t="n">
        <v>199624</v>
      </c>
      <c r="E216" s="15" t="n">
        <v>44025</v>
      </c>
      <c r="F216" s="15" t="n">
        <v>44031</v>
      </c>
      <c r="G216" s="3" t="n">
        <v>6</v>
      </c>
      <c r="H216" s="3" t="n">
        <v>2</v>
      </c>
      <c r="I216" s="3" t="n">
        <v>38</v>
      </c>
      <c r="J216" s="3" t="n">
        <v>2</v>
      </c>
      <c r="K216" s="3" t="n">
        <v>1</v>
      </c>
      <c r="L216" s="3" t="n">
        <v>2</v>
      </c>
      <c r="M216" s="3" t="n">
        <v>2</v>
      </c>
      <c r="N216" s="3" t="n">
        <v>1</v>
      </c>
      <c r="O216" s="3" t="n">
        <v>2</v>
      </c>
      <c r="P216" s="3" t="n">
        <v>2</v>
      </c>
      <c r="Q216" s="3" t="n">
        <v>2</v>
      </c>
      <c r="R216" s="3" t="n">
        <v>2</v>
      </c>
      <c r="S216" s="4" t="n">
        <v>2</v>
      </c>
      <c r="T216" s="3" t="n">
        <v>2</v>
      </c>
      <c r="U216" s="3" t="n">
        <v>4.56</v>
      </c>
      <c r="V216" s="3" t="n">
        <v>2.83</v>
      </c>
      <c r="W216" s="3" t="n">
        <v>5.8</v>
      </c>
      <c r="X216" s="3" t="n">
        <v>491</v>
      </c>
      <c r="Z216" s="3" t="n">
        <v>0.5</v>
      </c>
      <c r="AA216" s="3" t="n">
        <v>13.8</v>
      </c>
      <c r="AB216" s="3" t="n">
        <v>1</v>
      </c>
      <c r="AC216" s="3" t="n">
        <v>2</v>
      </c>
      <c r="AD216" s="3" t="n">
        <v>1</v>
      </c>
      <c r="AE216" s="3" t="n">
        <v>1</v>
      </c>
      <c r="AF216" s="3" t="n">
        <v>2</v>
      </c>
      <c r="AG216" s="3" t="n">
        <v>2</v>
      </c>
      <c r="AH216" s="3" t="n">
        <v>1</v>
      </c>
      <c r="AI216" s="3" t="n">
        <v>2</v>
      </c>
      <c r="AJ216" s="3" t="n">
        <v>2</v>
      </c>
      <c r="AK216" s="3" t="n">
        <v>2</v>
      </c>
      <c r="AL216" s="3" t="n">
        <v>2</v>
      </c>
      <c r="AM216" s="3" t="n">
        <v>2</v>
      </c>
      <c r="AN216" s="3" t="n">
        <v>2</v>
      </c>
      <c r="AO216" s="3" t="n">
        <v>3</v>
      </c>
      <c r="AP216" s="3" t="n">
        <v>4</v>
      </c>
      <c r="AQ216" s="3" t="n">
        <v>4</v>
      </c>
      <c r="AR216" s="3" t="n">
        <v>6</v>
      </c>
      <c r="AS216" s="3" t="n">
        <v>4</v>
      </c>
      <c r="AT216" s="3" t="n">
        <v>4</v>
      </c>
      <c r="AU216" s="3" t="n">
        <v>6</v>
      </c>
      <c r="AV216" s="3" t="n">
        <v>6</v>
      </c>
      <c r="AW216" s="3" t="n">
        <v>3</v>
      </c>
      <c r="AX216" s="3" t="n">
        <v>3</v>
      </c>
      <c r="AY216" s="3" t="n">
        <v>1</v>
      </c>
      <c r="AZ216" s="5" t="n">
        <v>1</v>
      </c>
      <c r="BA216" s="3" t="n">
        <v>1</v>
      </c>
      <c r="BB216" s="3" t="n">
        <v>1</v>
      </c>
      <c r="BC216" s="3" t="n">
        <v>4</v>
      </c>
      <c r="BD216" s="3" t="n">
        <v>1</v>
      </c>
      <c r="BE216" s="3" t="n">
        <v>2</v>
      </c>
      <c r="BF216" s="3" t="n">
        <v>1</v>
      </c>
      <c r="BG216" s="3" t="n">
        <v>4</v>
      </c>
      <c r="BH216" s="3" t="n">
        <v>1</v>
      </c>
      <c r="BI216" s="3" t="n">
        <v>1</v>
      </c>
    </row>
    <row r="217" customFormat="false" ht="12.75" hidden="false" customHeight="false" outlineLevel="0" collapsed="false">
      <c r="A217" s="2" t="s">
        <v>2279</v>
      </c>
      <c r="B217" s="2" t="s">
        <v>2236</v>
      </c>
      <c r="C217" s="2" t="s">
        <v>252</v>
      </c>
      <c r="D217" s="2" t="n">
        <v>199625</v>
      </c>
      <c r="E217" s="15" t="n">
        <v>44025</v>
      </c>
      <c r="F217" s="15" t="n">
        <v>44032</v>
      </c>
      <c r="G217" s="3" t="n">
        <v>7</v>
      </c>
      <c r="H217" s="3" t="n">
        <v>1</v>
      </c>
      <c r="I217" s="3" t="n">
        <v>80</v>
      </c>
      <c r="J217" s="3" t="n">
        <v>2</v>
      </c>
      <c r="K217" s="3" t="n">
        <v>2</v>
      </c>
      <c r="L217" s="3" t="n">
        <v>1</v>
      </c>
      <c r="M217" s="3" t="n">
        <v>2</v>
      </c>
      <c r="N217" s="3" t="n">
        <v>2</v>
      </c>
      <c r="O217" s="3" t="n">
        <v>2</v>
      </c>
      <c r="P217" s="3" t="n">
        <v>1</v>
      </c>
      <c r="Q217" s="3" t="n">
        <v>2</v>
      </c>
      <c r="R217" s="3" t="n">
        <v>2</v>
      </c>
      <c r="S217" s="4" t="n">
        <v>2</v>
      </c>
      <c r="T217" s="3" t="n">
        <v>2</v>
      </c>
      <c r="U217" s="3" t="n">
        <v>5.83</v>
      </c>
      <c r="V217" s="3" t="n">
        <v>1.96</v>
      </c>
      <c r="W217" s="3" t="n">
        <v>11.2</v>
      </c>
      <c r="X217" s="3" t="n">
        <v>754</v>
      </c>
      <c r="Z217" s="3" t="n">
        <v>0.2</v>
      </c>
      <c r="AA217" s="3" t="n">
        <v>14.7</v>
      </c>
      <c r="AB217" s="3" t="n">
        <v>2</v>
      </c>
      <c r="AC217" s="3" t="n">
        <v>1</v>
      </c>
      <c r="AD217" s="3" t="n">
        <v>1</v>
      </c>
      <c r="AE217" s="3" t="n">
        <v>2</v>
      </c>
      <c r="AF217" s="3" t="n">
        <v>1</v>
      </c>
      <c r="AG217" s="3" t="n">
        <v>1</v>
      </c>
      <c r="AH217" s="3" t="n">
        <v>2</v>
      </c>
      <c r="AI217" s="3" t="n">
        <v>2</v>
      </c>
      <c r="AJ217" s="3" t="n">
        <v>2</v>
      </c>
      <c r="AK217" s="3" t="n">
        <v>2</v>
      </c>
      <c r="AL217" s="3" t="n">
        <v>1</v>
      </c>
      <c r="AM217" s="3" t="n">
        <v>2</v>
      </c>
      <c r="AN217" s="3" t="n">
        <v>2</v>
      </c>
      <c r="AO217" s="3" t="n">
        <v>3</v>
      </c>
      <c r="AP217" s="3" t="n">
        <v>4</v>
      </c>
      <c r="AQ217" s="3" t="n">
        <v>4</v>
      </c>
      <c r="AR217" s="3" t="n">
        <v>6</v>
      </c>
      <c r="AS217" s="3" t="n">
        <v>4</v>
      </c>
      <c r="AT217" s="3" t="n">
        <v>4</v>
      </c>
      <c r="AU217" s="3" t="n">
        <v>6</v>
      </c>
      <c r="AV217" s="3" t="n">
        <v>6</v>
      </c>
      <c r="AW217" s="3" t="n">
        <v>3</v>
      </c>
      <c r="AX217" s="3" t="n">
        <v>3</v>
      </c>
      <c r="AY217" s="3" t="n">
        <v>1</v>
      </c>
      <c r="AZ217" s="5" t="n">
        <v>1</v>
      </c>
      <c r="BA217" s="3" t="n">
        <v>1</v>
      </c>
      <c r="BB217" s="3" t="n">
        <v>1</v>
      </c>
      <c r="BC217" s="3" t="n">
        <v>2</v>
      </c>
      <c r="BD217" s="3" t="n">
        <v>3</v>
      </c>
      <c r="BE217" s="3" t="n">
        <v>5</v>
      </c>
      <c r="BF217" s="3" t="n">
        <v>3</v>
      </c>
      <c r="BG217" s="3" t="n">
        <v>4</v>
      </c>
      <c r="BH217" s="3" t="n">
        <v>1</v>
      </c>
      <c r="BI217" s="3" t="n">
        <v>1</v>
      </c>
    </row>
    <row r="218" customFormat="false" ht="12.75" hidden="false" customHeight="false" outlineLevel="0" collapsed="false">
      <c r="A218" s="2" t="s">
        <v>1138</v>
      </c>
      <c r="B218" s="2" t="s">
        <v>2281</v>
      </c>
      <c r="C218" s="2" t="s">
        <v>2282</v>
      </c>
      <c r="D218" s="2" t="n">
        <v>199640</v>
      </c>
      <c r="E218" s="15" t="n">
        <v>44025</v>
      </c>
      <c r="F218" s="15" t="n">
        <v>44033</v>
      </c>
      <c r="G218" s="3" t="n">
        <v>8</v>
      </c>
      <c r="H218" s="3" t="n">
        <v>2</v>
      </c>
      <c r="I218" s="3" t="n">
        <v>55</v>
      </c>
      <c r="J218" s="3" t="n">
        <v>2</v>
      </c>
      <c r="K218" s="3" t="n">
        <v>1</v>
      </c>
      <c r="L218" s="3" t="n">
        <v>1</v>
      </c>
      <c r="M218" s="3" t="n">
        <v>2</v>
      </c>
      <c r="N218" s="3" t="n">
        <v>2</v>
      </c>
      <c r="O218" s="3" t="n">
        <v>2</v>
      </c>
      <c r="P218" s="3" t="n">
        <v>2</v>
      </c>
      <c r="Q218" s="3" t="n">
        <v>2</v>
      </c>
      <c r="R218" s="3" t="n">
        <v>2</v>
      </c>
      <c r="S218" s="4" t="n">
        <v>2</v>
      </c>
      <c r="T218" s="3" t="n">
        <v>2</v>
      </c>
      <c r="U218" s="3" t="n">
        <v>4.12</v>
      </c>
      <c r="V218" s="3" t="n">
        <v>1.11</v>
      </c>
      <c r="W218" s="3" t="n">
        <v>9.5</v>
      </c>
      <c r="X218" s="3" t="n">
        <v>585</v>
      </c>
      <c r="Z218" s="3" t="n">
        <v>0.55</v>
      </c>
      <c r="AA218" s="3" t="n">
        <v>14.9</v>
      </c>
      <c r="AB218" s="3" t="n">
        <v>2</v>
      </c>
      <c r="AC218" s="3" t="n">
        <v>1</v>
      </c>
      <c r="AD218" s="3" t="n">
        <v>1</v>
      </c>
      <c r="AE218" s="3" t="n">
        <v>1</v>
      </c>
      <c r="AF218" s="3" t="n">
        <v>1</v>
      </c>
      <c r="AG218" s="3" t="n">
        <v>2</v>
      </c>
      <c r="AH218" s="3" t="n">
        <v>1</v>
      </c>
      <c r="AI218" s="3" t="n">
        <v>2</v>
      </c>
      <c r="AJ218" s="3" t="n">
        <v>2</v>
      </c>
      <c r="AK218" s="3" t="n">
        <v>2</v>
      </c>
      <c r="AL218" s="3" t="n">
        <v>2</v>
      </c>
      <c r="AM218" s="3" t="n">
        <v>1</v>
      </c>
      <c r="AN218" s="3" t="n">
        <v>2</v>
      </c>
      <c r="AO218" s="3" t="n">
        <v>2</v>
      </c>
      <c r="AP218" s="3" t="n">
        <v>3</v>
      </c>
      <c r="AQ218" s="3" t="n">
        <v>3</v>
      </c>
      <c r="AR218" s="3" t="n">
        <v>2</v>
      </c>
      <c r="AS218" s="3" t="n">
        <v>1</v>
      </c>
      <c r="AT218" s="3" t="n">
        <v>1</v>
      </c>
      <c r="AU218" s="3" t="n">
        <v>1</v>
      </c>
      <c r="AV218" s="3" t="n">
        <v>8</v>
      </c>
      <c r="AW218" s="3" t="n">
        <v>2</v>
      </c>
      <c r="AX218" s="3" t="n">
        <v>2</v>
      </c>
      <c r="AY218" s="3" t="n">
        <v>6</v>
      </c>
      <c r="AZ218" s="5" t="n">
        <v>1</v>
      </c>
      <c r="BA218" s="3" t="n">
        <v>1</v>
      </c>
      <c r="BB218" s="3" t="n">
        <v>1</v>
      </c>
      <c r="BC218" s="3" t="n">
        <v>2</v>
      </c>
      <c r="BD218" s="3" t="n">
        <v>3</v>
      </c>
      <c r="BE218" s="3" t="n">
        <v>5</v>
      </c>
      <c r="BF218" s="3" t="n">
        <v>3</v>
      </c>
      <c r="BG218" s="3" t="n">
        <v>4</v>
      </c>
      <c r="BH218" s="3" t="n">
        <v>1</v>
      </c>
      <c r="BI218" s="3" t="n">
        <v>1</v>
      </c>
    </row>
    <row r="219" customFormat="false" ht="12.75" hidden="false" customHeight="false" outlineLevel="0" collapsed="false">
      <c r="A219" s="2" t="s">
        <v>2284</v>
      </c>
      <c r="B219" s="2" t="s">
        <v>2285</v>
      </c>
      <c r="C219" s="2" t="s">
        <v>2006</v>
      </c>
      <c r="D219" s="2" t="n">
        <v>199833</v>
      </c>
      <c r="E219" s="15" t="n">
        <v>44027</v>
      </c>
      <c r="F219" s="15" t="n">
        <v>44033</v>
      </c>
      <c r="G219" s="3" t="n">
        <v>6</v>
      </c>
      <c r="H219" s="3" t="n">
        <v>1</v>
      </c>
      <c r="I219" s="3" t="n">
        <v>56</v>
      </c>
      <c r="J219" s="3" t="n">
        <v>2</v>
      </c>
      <c r="K219" s="3" t="n">
        <v>1</v>
      </c>
      <c r="L219" s="3" t="n">
        <v>1</v>
      </c>
      <c r="M219" s="3" t="n">
        <v>2</v>
      </c>
      <c r="N219" s="3" t="n">
        <v>1</v>
      </c>
      <c r="O219" s="3" t="n">
        <v>1</v>
      </c>
      <c r="P219" s="3" t="n">
        <v>1</v>
      </c>
      <c r="Q219" s="3" t="n">
        <v>2</v>
      </c>
      <c r="R219" s="3" t="n">
        <v>2</v>
      </c>
      <c r="S219" s="4" t="n">
        <v>2</v>
      </c>
      <c r="T219" s="3" t="n">
        <v>2</v>
      </c>
      <c r="U219" s="3" t="n">
        <v>5.59</v>
      </c>
      <c r="V219" s="3" t="n">
        <v>2.29</v>
      </c>
      <c r="W219" s="3" t="n">
        <v>7.6</v>
      </c>
      <c r="X219" s="3" t="n">
        <v>550</v>
      </c>
      <c r="Z219" s="3" t="n">
        <v>0.5</v>
      </c>
      <c r="AA219" s="3" t="n">
        <v>12.2</v>
      </c>
      <c r="AB219" s="3" t="n">
        <v>1</v>
      </c>
      <c r="AC219" s="3" t="n">
        <v>1</v>
      </c>
      <c r="AD219" s="3" t="n">
        <v>1</v>
      </c>
      <c r="AE219" s="3" t="n">
        <v>1</v>
      </c>
      <c r="AF219" s="3" t="n">
        <v>2</v>
      </c>
      <c r="AG219" s="3" t="n">
        <v>1</v>
      </c>
      <c r="AH219" s="3" t="n">
        <v>1</v>
      </c>
      <c r="AI219" s="3" t="n">
        <v>2</v>
      </c>
      <c r="AJ219" s="3" t="n">
        <v>2</v>
      </c>
      <c r="AK219" s="3" t="n">
        <v>2</v>
      </c>
      <c r="AL219" s="3" t="n">
        <v>1</v>
      </c>
      <c r="AM219" s="3" t="n">
        <v>2</v>
      </c>
      <c r="AN219" s="3" t="n">
        <v>2</v>
      </c>
      <c r="AO219" s="3" t="n">
        <v>3</v>
      </c>
      <c r="AP219" s="3" t="n">
        <v>4</v>
      </c>
      <c r="AQ219" s="3" t="n">
        <v>4</v>
      </c>
      <c r="AR219" s="3" t="n">
        <v>6</v>
      </c>
      <c r="AS219" s="3" t="n">
        <v>4</v>
      </c>
      <c r="AT219" s="3" t="n">
        <v>4</v>
      </c>
      <c r="AU219" s="3" t="n">
        <v>6</v>
      </c>
      <c r="AV219" s="3" t="n">
        <v>6</v>
      </c>
      <c r="AW219" s="3" t="n">
        <v>3</v>
      </c>
      <c r="AX219" s="3" t="n">
        <v>3</v>
      </c>
      <c r="AY219" s="3" t="n">
        <v>1</v>
      </c>
      <c r="AZ219" s="5" t="n">
        <v>1</v>
      </c>
      <c r="BA219" s="3" t="n">
        <v>1</v>
      </c>
      <c r="BB219" s="3" t="n">
        <v>1</v>
      </c>
      <c r="BC219" s="3" t="n">
        <v>4</v>
      </c>
      <c r="BD219" s="3" t="n">
        <v>1</v>
      </c>
      <c r="BE219" s="3" t="n">
        <v>2</v>
      </c>
      <c r="BF219" s="3" t="n">
        <v>1</v>
      </c>
      <c r="BG219" s="3" t="n">
        <v>4</v>
      </c>
      <c r="BH219" s="3" t="n">
        <v>1</v>
      </c>
      <c r="BI219" s="3" t="n">
        <v>1</v>
      </c>
    </row>
    <row r="220" customFormat="false" ht="12.75" hidden="false" customHeight="false" outlineLevel="0" collapsed="false">
      <c r="A220" s="2" t="s">
        <v>2287</v>
      </c>
      <c r="B220" s="2" t="s">
        <v>414</v>
      </c>
      <c r="C220" s="2" t="s">
        <v>443</v>
      </c>
      <c r="D220" s="2" t="n">
        <v>199743</v>
      </c>
      <c r="E220" s="15" t="n">
        <v>44024</v>
      </c>
      <c r="F220" s="15" t="n">
        <v>44030</v>
      </c>
      <c r="G220" s="3" t="n">
        <v>6</v>
      </c>
      <c r="H220" s="3" t="n">
        <v>1</v>
      </c>
      <c r="I220" s="3" t="n">
        <v>77</v>
      </c>
      <c r="J220" s="3" t="n">
        <v>1</v>
      </c>
      <c r="K220" s="3" t="n">
        <v>2</v>
      </c>
      <c r="L220" s="3" t="n">
        <v>1</v>
      </c>
      <c r="M220" s="3" t="n">
        <v>2</v>
      </c>
      <c r="N220" s="3" t="n">
        <v>2</v>
      </c>
      <c r="O220" s="3" t="n">
        <v>2</v>
      </c>
      <c r="P220" s="3" t="n">
        <v>2</v>
      </c>
      <c r="Q220" s="3" t="n">
        <v>2</v>
      </c>
      <c r="R220" s="3" t="n">
        <v>2</v>
      </c>
      <c r="S220" s="4" t="n">
        <v>2</v>
      </c>
      <c r="T220" s="3" t="n">
        <v>2</v>
      </c>
      <c r="U220" s="3" t="n">
        <v>4.24</v>
      </c>
      <c r="V220" s="3" t="n">
        <v>0.93</v>
      </c>
      <c r="W220" s="3" t="n">
        <v>5.5</v>
      </c>
      <c r="X220" s="3" t="n">
        <v>124</v>
      </c>
      <c r="Z220" s="3" t="n">
        <v>0.39</v>
      </c>
      <c r="AA220" s="3" t="n">
        <v>13</v>
      </c>
      <c r="AB220" s="3" t="n">
        <v>1</v>
      </c>
      <c r="AC220" s="3" t="n">
        <v>2</v>
      </c>
      <c r="AD220" s="3" t="n">
        <v>1</v>
      </c>
      <c r="AE220" s="3" t="n">
        <v>1</v>
      </c>
      <c r="AF220" s="3" t="n">
        <v>2</v>
      </c>
      <c r="AG220" s="3" t="n">
        <v>2</v>
      </c>
      <c r="AH220" s="3" t="n">
        <v>1</v>
      </c>
      <c r="AI220" s="3" t="n">
        <v>2</v>
      </c>
      <c r="AJ220" s="3" t="n">
        <v>2</v>
      </c>
      <c r="AK220" s="3" t="n">
        <v>2</v>
      </c>
      <c r="AL220" s="3" t="n">
        <v>1</v>
      </c>
      <c r="AM220" s="3" t="n">
        <v>2</v>
      </c>
      <c r="AN220" s="3" t="n">
        <v>2</v>
      </c>
      <c r="AO220" s="3" t="n">
        <v>3</v>
      </c>
      <c r="AP220" s="3" t="n">
        <v>4</v>
      </c>
      <c r="AQ220" s="3" t="n">
        <v>4</v>
      </c>
      <c r="AR220" s="3" t="n">
        <v>6</v>
      </c>
      <c r="AS220" s="3" t="n">
        <v>4</v>
      </c>
      <c r="AT220" s="3" t="n">
        <v>4</v>
      </c>
      <c r="AU220" s="3" t="n">
        <v>6</v>
      </c>
      <c r="AV220" s="3" t="n">
        <v>6</v>
      </c>
      <c r="AW220" s="3" t="n">
        <v>3</v>
      </c>
      <c r="AX220" s="3" t="n">
        <v>3</v>
      </c>
      <c r="AY220" s="3" t="n">
        <v>4</v>
      </c>
      <c r="AZ220" s="5" t="n">
        <v>1</v>
      </c>
      <c r="BA220" s="3" t="n">
        <v>1</v>
      </c>
      <c r="BB220" s="3" t="n">
        <v>1</v>
      </c>
      <c r="BC220" s="3" t="n">
        <v>2</v>
      </c>
      <c r="BD220" s="3" t="n">
        <v>1</v>
      </c>
      <c r="BE220" s="3" t="n">
        <v>2</v>
      </c>
      <c r="BF220" s="3" t="n">
        <v>1</v>
      </c>
      <c r="BG220" s="3" t="n">
        <v>4</v>
      </c>
      <c r="BH220" s="3" t="n">
        <v>1</v>
      </c>
      <c r="BI220" s="3" t="n">
        <v>1</v>
      </c>
    </row>
    <row r="221" customFormat="false" ht="12.75" hidden="false" customHeight="false" outlineLevel="0" collapsed="false">
      <c r="A221" s="2" t="s">
        <v>1143</v>
      </c>
      <c r="B221" s="2" t="s">
        <v>2291</v>
      </c>
      <c r="C221" s="2" t="s">
        <v>2292</v>
      </c>
      <c r="D221" s="2" t="n">
        <v>199663</v>
      </c>
      <c r="E221" s="15" t="n">
        <v>44029</v>
      </c>
      <c r="F221" s="15" t="n">
        <v>44036</v>
      </c>
      <c r="G221" s="3" t="n">
        <v>7</v>
      </c>
      <c r="H221" s="3" t="n">
        <v>2</v>
      </c>
      <c r="I221" s="3" t="n">
        <v>57</v>
      </c>
      <c r="J221" s="3" t="n">
        <v>1</v>
      </c>
      <c r="K221" s="3" t="n">
        <v>1</v>
      </c>
      <c r="L221" s="3" t="n">
        <v>1</v>
      </c>
      <c r="M221" s="3" t="n">
        <v>1</v>
      </c>
      <c r="N221" s="3" t="n">
        <v>2</v>
      </c>
      <c r="O221" s="3" t="n">
        <v>2</v>
      </c>
      <c r="P221" s="3" t="n">
        <v>2</v>
      </c>
      <c r="Q221" s="3" t="n">
        <v>2</v>
      </c>
      <c r="R221" s="3" t="n">
        <v>2</v>
      </c>
      <c r="S221" s="4" t="n">
        <v>2</v>
      </c>
      <c r="T221" s="3" t="n">
        <v>2</v>
      </c>
      <c r="U221" s="3"/>
      <c r="V221" s="3"/>
      <c r="W221" s="3" t="n">
        <v>6.4</v>
      </c>
      <c r="X221" s="3" t="n">
        <v>399</v>
      </c>
      <c r="Z221" s="3" t="n">
        <v>0.45</v>
      </c>
      <c r="AA221" s="3" t="n">
        <v>7.7</v>
      </c>
      <c r="AB221" s="3" t="n">
        <v>2</v>
      </c>
      <c r="AC221" s="3" t="n">
        <v>2</v>
      </c>
      <c r="AD221" s="3" t="n">
        <v>1</v>
      </c>
      <c r="AE221" s="3" t="n">
        <v>1</v>
      </c>
      <c r="AF221" s="3" t="n">
        <v>2</v>
      </c>
      <c r="AG221" s="3" t="n">
        <v>2</v>
      </c>
      <c r="AH221" s="3" t="n">
        <v>1</v>
      </c>
      <c r="AI221" s="3" t="n">
        <v>2</v>
      </c>
      <c r="AJ221" s="3" t="n">
        <v>2</v>
      </c>
      <c r="AK221" s="3" t="n">
        <v>2</v>
      </c>
      <c r="AL221" s="3" t="n">
        <v>2</v>
      </c>
      <c r="AM221" s="3" t="n">
        <v>1</v>
      </c>
      <c r="AN221" s="3" t="n">
        <v>2</v>
      </c>
      <c r="AO221" s="3" t="n">
        <v>3</v>
      </c>
      <c r="AP221" s="3" t="n">
        <v>4</v>
      </c>
      <c r="AQ221" s="3" t="n">
        <v>4</v>
      </c>
      <c r="AR221" s="3" t="n">
        <v>6</v>
      </c>
      <c r="AS221" s="3" t="n">
        <v>4</v>
      </c>
      <c r="AT221" s="3" t="n">
        <v>4</v>
      </c>
      <c r="AU221" s="3" t="n">
        <v>6</v>
      </c>
      <c r="AV221" s="3" t="n">
        <v>6</v>
      </c>
      <c r="AW221" s="3" t="n">
        <v>3</v>
      </c>
      <c r="AX221" s="3" t="n">
        <v>3</v>
      </c>
      <c r="AY221" s="3" t="n">
        <v>6</v>
      </c>
      <c r="AZ221" s="5" t="n">
        <v>1</v>
      </c>
      <c r="BA221" s="3" t="n">
        <v>1</v>
      </c>
      <c r="BB221" s="3" t="n">
        <v>1</v>
      </c>
      <c r="BC221" s="3" t="n">
        <v>2</v>
      </c>
      <c r="BD221" s="3" t="n">
        <v>1</v>
      </c>
      <c r="BE221" s="3" t="n">
        <v>3</v>
      </c>
      <c r="BF221" s="3" t="n">
        <v>1</v>
      </c>
      <c r="BG221" s="3" t="n">
        <v>4</v>
      </c>
      <c r="BH221" s="3" t="n">
        <v>1</v>
      </c>
      <c r="BI221" s="3" t="n">
        <v>1</v>
      </c>
    </row>
    <row r="222" customFormat="false" ht="12.75" hidden="false" customHeight="false" outlineLevel="0" collapsed="false">
      <c r="A222" s="2" t="s">
        <v>2295</v>
      </c>
      <c r="B222" s="2" t="s">
        <v>239</v>
      </c>
      <c r="C222" s="2" t="s">
        <v>102</v>
      </c>
      <c r="D222" s="2" t="n">
        <v>199847</v>
      </c>
      <c r="E222" s="15" t="n">
        <v>44028</v>
      </c>
      <c r="F222" s="15" t="n">
        <v>44034</v>
      </c>
      <c r="G222" s="3" t="n">
        <v>6</v>
      </c>
      <c r="H222" s="3" t="n">
        <v>2</v>
      </c>
      <c r="I222" s="3" t="n">
        <v>56</v>
      </c>
      <c r="J222" s="3" t="n">
        <v>1</v>
      </c>
      <c r="K222" s="3" t="n">
        <v>1</v>
      </c>
      <c r="L222" s="3" t="n">
        <v>2</v>
      </c>
      <c r="M222" s="3" t="n">
        <v>2</v>
      </c>
      <c r="N222" s="3" t="n">
        <v>2</v>
      </c>
      <c r="O222" s="3" t="n">
        <v>2</v>
      </c>
      <c r="P222" s="3" t="n">
        <v>2</v>
      </c>
      <c r="Q222" s="3" t="n">
        <v>2</v>
      </c>
      <c r="R222" s="3" t="n">
        <v>2</v>
      </c>
      <c r="S222" s="4" t="n">
        <v>2</v>
      </c>
      <c r="T222" s="3" t="n">
        <v>2</v>
      </c>
      <c r="U222" s="3" t="n">
        <v>4.67</v>
      </c>
      <c r="V222" s="3" t="n">
        <v>1.29</v>
      </c>
      <c r="W222" s="3" t="n">
        <v>5.7</v>
      </c>
      <c r="X222" s="3" t="n">
        <v>288</v>
      </c>
      <c r="Z222" s="3" t="n">
        <v>0.47</v>
      </c>
      <c r="AA222" s="3" t="n">
        <v>10.9</v>
      </c>
      <c r="AB222" s="3" t="n">
        <v>1</v>
      </c>
      <c r="AC222" s="3" t="n">
        <v>2</v>
      </c>
      <c r="AD222" s="3" t="n">
        <v>1</v>
      </c>
      <c r="AE222" s="3" t="n">
        <v>1</v>
      </c>
      <c r="AF222" s="3" t="n">
        <v>2</v>
      </c>
      <c r="AG222" s="3" t="n">
        <v>2</v>
      </c>
      <c r="AH222" s="3" t="n">
        <v>1</v>
      </c>
      <c r="AI222" s="3" t="n">
        <v>2</v>
      </c>
      <c r="AJ222" s="3" t="n">
        <v>2</v>
      </c>
      <c r="AK222" s="3" t="n">
        <v>2</v>
      </c>
      <c r="AL222" s="3" t="n">
        <v>2</v>
      </c>
      <c r="AM222" s="3" t="n">
        <v>2</v>
      </c>
      <c r="AN222" s="3" t="n">
        <v>2</v>
      </c>
      <c r="AO222" s="3" t="n">
        <v>3</v>
      </c>
      <c r="AP222" s="3" t="n">
        <v>4</v>
      </c>
      <c r="AQ222" s="3" t="n">
        <v>4</v>
      </c>
      <c r="AR222" s="3" t="n">
        <v>6</v>
      </c>
      <c r="AS222" s="3" t="n">
        <v>4</v>
      </c>
      <c r="AT222" s="3" t="n">
        <v>4</v>
      </c>
      <c r="AU222" s="3" t="n">
        <v>6</v>
      </c>
      <c r="AV222" s="3" t="n">
        <v>6</v>
      </c>
      <c r="AW222" s="3" t="n">
        <v>3</v>
      </c>
      <c r="AX222" s="3" t="n">
        <v>3</v>
      </c>
      <c r="AY222" s="3" t="n">
        <v>1</v>
      </c>
      <c r="AZ222" s="5" t="n">
        <v>1</v>
      </c>
      <c r="BA222" s="3" t="n">
        <v>1</v>
      </c>
      <c r="BB222" s="3" t="n">
        <v>1</v>
      </c>
      <c r="BC222" s="3" t="n">
        <v>4</v>
      </c>
      <c r="BD222" s="3" t="n">
        <v>1</v>
      </c>
      <c r="BE222" s="3" t="n">
        <v>2</v>
      </c>
      <c r="BF222" s="3" t="n">
        <v>1</v>
      </c>
      <c r="BG222" s="3" t="n">
        <v>4</v>
      </c>
      <c r="BH222" s="3" t="n">
        <v>1</v>
      </c>
      <c r="BI222" s="3" t="n">
        <v>1</v>
      </c>
    </row>
    <row r="223" customFormat="false" ht="12.75" hidden="false" customHeight="false" outlineLevel="0" collapsed="false">
      <c r="A223" s="2" t="s">
        <v>653</v>
      </c>
      <c r="B223" s="2" t="s">
        <v>2296</v>
      </c>
      <c r="C223" s="2" t="s">
        <v>767</v>
      </c>
      <c r="D223" s="2" t="n">
        <v>199869</v>
      </c>
      <c r="E223" s="15" t="n">
        <v>44029</v>
      </c>
      <c r="F223" s="15" t="n">
        <v>44037</v>
      </c>
      <c r="G223" s="3" t="n">
        <v>8</v>
      </c>
      <c r="H223" s="3" t="n">
        <v>2</v>
      </c>
      <c r="I223" s="3" t="n">
        <v>58</v>
      </c>
      <c r="J223" s="3" t="n">
        <v>1</v>
      </c>
      <c r="K223" s="3" t="n">
        <v>1</v>
      </c>
      <c r="L223" s="3" t="n">
        <v>2</v>
      </c>
      <c r="M223" s="3" t="n">
        <v>2</v>
      </c>
      <c r="N223" s="3" t="n">
        <v>2</v>
      </c>
      <c r="O223" s="3" t="n">
        <v>2</v>
      </c>
      <c r="P223" s="3" t="n">
        <v>1</v>
      </c>
      <c r="Q223" s="3" t="n">
        <v>2</v>
      </c>
      <c r="R223" s="3" t="n">
        <v>2</v>
      </c>
      <c r="S223" s="4" t="n">
        <v>2</v>
      </c>
      <c r="T223" s="3" t="n">
        <v>2</v>
      </c>
      <c r="U223" s="3" t="n">
        <v>4.67</v>
      </c>
      <c r="V223" s="3" t="n">
        <v>2.92</v>
      </c>
      <c r="W223" s="3" t="n">
        <v>12.4</v>
      </c>
      <c r="X223" s="3" t="n">
        <v>323</v>
      </c>
      <c r="Z223" s="3" t="n">
        <v>0.55</v>
      </c>
      <c r="AA223" s="3" t="n">
        <v>14.2</v>
      </c>
      <c r="AB223" s="3" t="n">
        <v>1</v>
      </c>
      <c r="AC223" s="3" t="n">
        <v>2</v>
      </c>
      <c r="AD223" s="3" t="n">
        <v>1</v>
      </c>
      <c r="AE223" s="3" t="n">
        <v>1</v>
      </c>
      <c r="AF223" s="3" t="n">
        <v>2</v>
      </c>
      <c r="AG223" s="3" t="n">
        <v>2</v>
      </c>
      <c r="AH223" s="3" t="n">
        <v>1</v>
      </c>
      <c r="AI223" s="3" t="n">
        <v>2</v>
      </c>
      <c r="AJ223" s="3" t="n">
        <v>2</v>
      </c>
      <c r="AK223" s="3" t="n">
        <v>2</v>
      </c>
      <c r="AL223" s="3" t="n">
        <v>2</v>
      </c>
      <c r="AM223" s="3" t="n">
        <v>2</v>
      </c>
      <c r="AN223" s="3" t="n">
        <v>2</v>
      </c>
      <c r="AO223" s="3" t="n">
        <v>3</v>
      </c>
      <c r="AP223" s="3" t="n">
        <v>4</v>
      </c>
      <c r="AQ223" s="3" t="n">
        <v>4</v>
      </c>
      <c r="AR223" s="3" t="n">
        <v>6</v>
      </c>
      <c r="AS223" s="3" t="n">
        <v>4</v>
      </c>
      <c r="AT223" s="3" t="n">
        <v>4</v>
      </c>
      <c r="AU223" s="3" t="n">
        <v>6</v>
      </c>
      <c r="AV223" s="3" t="n">
        <v>6</v>
      </c>
      <c r="AW223" s="3" t="n">
        <v>3</v>
      </c>
      <c r="AX223" s="3" t="n">
        <v>3</v>
      </c>
      <c r="AY223" s="3" t="n">
        <v>1</v>
      </c>
      <c r="AZ223" s="5" t="n">
        <v>1</v>
      </c>
      <c r="BA223" s="3" t="n">
        <v>1</v>
      </c>
      <c r="BB223" s="3" t="n">
        <v>1</v>
      </c>
      <c r="BC223" s="3" t="n">
        <v>4</v>
      </c>
      <c r="BD223" s="3" t="n">
        <v>1</v>
      </c>
      <c r="BE223" s="3" t="n">
        <v>2</v>
      </c>
      <c r="BF223" s="3" t="n">
        <v>1</v>
      </c>
      <c r="BG223" s="3" t="n">
        <v>4</v>
      </c>
      <c r="BH223" s="3" t="n">
        <v>1</v>
      </c>
      <c r="BI223" s="3" t="n">
        <v>1</v>
      </c>
    </row>
    <row r="224" customFormat="false" ht="12.75" hidden="false" customHeight="false" outlineLevel="0" collapsed="false">
      <c r="A224" s="2" t="s">
        <v>1116</v>
      </c>
      <c r="B224" s="2" t="s">
        <v>169</v>
      </c>
      <c r="C224" s="2" t="s">
        <v>307</v>
      </c>
      <c r="D224" s="2" t="n">
        <v>199794</v>
      </c>
      <c r="E224" s="15" t="n">
        <v>44034</v>
      </c>
      <c r="F224" s="15" t="n">
        <v>44040</v>
      </c>
      <c r="G224" s="3" t="n">
        <v>6</v>
      </c>
      <c r="H224" s="3" t="n">
        <v>2</v>
      </c>
      <c r="I224" s="3" t="n">
        <v>81</v>
      </c>
      <c r="J224" s="3" t="n">
        <v>1</v>
      </c>
      <c r="K224" s="3" t="n">
        <v>1</v>
      </c>
      <c r="L224" s="3" t="n">
        <v>1</v>
      </c>
      <c r="M224" s="3" t="n">
        <v>2</v>
      </c>
      <c r="N224" s="3" t="n">
        <v>2</v>
      </c>
      <c r="O224" s="3" t="n">
        <v>2</v>
      </c>
      <c r="P224" s="3" t="n">
        <v>2</v>
      </c>
      <c r="Q224" s="3" t="n">
        <v>2</v>
      </c>
      <c r="R224" s="3" t="n">
        <v>2</v>
      </c>
      <c r="S224" s="4" t="n">
        <v>2</v>
      </c>
      <c r="T224" s="3" t="n">
        <v>2</v>
      </c>
      <c r="U224" s="3"/>
      <c r="V224" s="3"/>
      <c r="W224" s="3"/>
      <c r="X224" s="3"/>
      <c r="Z224" s="3"/>
      <c r="AA224" s="3"/>
      <c r="AB224" s="3" t="n">
        <v>1</v>
      </c>
      <c r="AC224" s="3" t="n">
        <v>1</v>
      </c>
      <c r="AD224" s="3" t="n">
        <v>1</v>
      </c>
      <c r="AE224" s="3" t="n">
        <v>1</v>
      </c>
      <c r="AF224" s="3" t="n">
        <v>2</v>
      </c>
      <c r="AG224" s="3" t="n">
        <v>2</v>
      </c>
      <c r="AH224" s="3" t="n">
        <v>1</v>
      </c>
      <c r="AI224" s="3" t="n">
        <v>2</v>
      </c>
      <c r="AJ224" s="3" t="n">
        <v>2</v>
      </c>
      <c r="AK224" s="3" t="n">
        <v>2</v>
      </c>
      <c r="AL224" s="3" t="n">
        <v>2</v>
      </c>
      <c r="AM224" s="3" t="n">
        <v>2</v>
      </c>
      <c r="AN224" s="3" t="n">
        <v>2</v>
      </c>
      <c r="AO224" s="3" t="n">
        <v>3</v>
      </c>
      <c r="AP224" s="3" t="n">
        <v>4</v>
      </c>
      <c r="AQ224" s="3" t="n">
        <v>4</v>
      </c>
      <c r="AR224" s="3" t="n">
        <v>6</v>
      </c>
      <c r="AS224" s="3" t="n">
        <v>4</v>
      </c>
      <c r="AT224" s="3" t="n">
        <v>4</v>
      </c>
      <c r="AU224" s="3" t="n">
        <v>6</v>
      </c>
      <c r="AV224" s="3" t="n">
        <v>6</v>
      </c>
      <c r="AW224" s="3" t="n">
        <v>3</v>
      </c>
      <c r="AX224" s="3" t="n">
        <v>3</v>
      </c>
      <c r="AY224" s="3" t="n">
        <v>1</v>
      </c>
      <c r="AZ224" s="5" t="n">
        <v>1</v>
      </c>
      <c r="BA224" s="3" t="n">
        <v>1</v>
      </c>
      <c r="BB224" s="3" t="n">
        <v>1</v>
      </c>
      <c r="BC224" s="3" t="n">
        <v>2</v>
      </c>
      <c r="BD224" s="3" t="n">
        <v>3</v>
      </c>
      <c r="BE224" s="3" t="n">
        <v>5</v>
      </c>
      <c r="BF224" s="3" t="n">
        <v>3</v>
      </c>
      <c r="BG224" s="3" t="n">
        <v>4</v>
      </c>
      <c r="BH224" s="3" t="n">
        <v>1</v>
      </c>
      <c r="BI224" s="3" t="n">
        <v>1</v>
      </c>
    </row>
    <row r="225" customFormat="false" ht="12.75" hidden="false" customHeight="false" outlineLevel="0" collapsed="false">
      <c r="A225" s="2" t="s">
        <v>2309</v>
      </c>
      <c r="B225" s="2" t="s">
        <v>95</v>
      </c>
      <c r="C225" s="2" t="s">
        <v>118</v>
      </c>
      <c r="D225" s="2" t="n">
        <v>200502</v>
      </c>
      <c r="E225" s="15" t="n">
        <v>44037</v>
      </c>
      <c r="F225" s="15" t="n">
        <v>44043</v>
      </c>
      <c r="G225" s="3" t="n">
        <v>6</v>
      </c>
      <c r="H225" s="3" t="n">
        <v>1</v>
      </c>
      <c r="I225" s="3" t="n">
        <v>66</v>
      </c>
      <c r="J225" s="3" t="n">
        <v>2</v>
      </c>
      <c r="K225" s="3" t="n">
        <v>1</v>
      </c>
      <c r="L225" s="3" t="n">
        <v>2</v>
      </c>
      <c r="M225" s="3" t="n">
        <v>2</v>
      </c>
      <c r="N225" s="3" t="n">
        <v>2</v>
      </c>
      <c r="O225" s="3" t="n">
        <v>2</v>
      </c>
      <c r="P225" s="3" t="n">
        <v>2</v>
      </c>
      <c r="Q225" s="3" t="n">
        <v>2</v>
      </c>
      <c r="R225" s="3" t="n">
        <v>2</v>
      </c>
      <c r="S225" s="4" t="n">
        <v>2</v>
      </c>
      <c r="T225" s="3" t="n">
        <v>2</v>
      </c>
      <c r="U225" s="3" t="n">
        <v>5.28</v>
      </c>
      <c r="V225" s="3" t="n">
        <v>1.96</v>
      </c>
      <c r="W225" s="3" t="n">
        <v>9.2</v>
      </c>
      <c r="X225" s="3" t="n">
        <v>87</v>
      </c>
      <c r="Z225" s="3" t="n">
        <v>0.48</v>
      </c>
      <c r="AA225" s="3" t="n">
        <v>8.4</v>
      </c>
      <c r="AB225" s="3" t="n">
        <v>1</v>
      </c>
      <c r="AC225" s="3" t="n">
        <v>2</v>
      </c>
      <c r="AD225" s="3" t="n">
        <v>1</v>
      </c>
      <c r="AE225" s="3" t="n">
        <v>1</v>
      </c>
      <c r="AF225" s="3" t="n">
        <v>2</v>
      </c>
      <c r="AG225" s="3" t="n">
        <v>2</v>
      </c>
      <c r="AH225" s="3" t="n">
        <v>1</v>
      </c>
      <c r="AI225" s="3" t="n">
        <v>2</v>
      </c>
      <c r="AJ225" s="3" t="n">
        <v>2</v>
      </c>
      <c r="AK225" s="3" t="n">
        <v>2</v>
      </c>
      <c r="AL225" s="3" t="n">
        <v>1</v>
      </c>
      <c r="AM225" s="3" t="n">
        <v>2</v>
      </c>
      <c r="AN225" s="3" t="n">
        <v>2</v>
      </c>
      <c r="AO225" s="3" t="n">
        <v>3</v>
      </c>
      <c r="AP225" s="3" t="n">
        <v>4</v>
      </c>
      <c r="AQ225" s="3" t="n">
        <v>4</v>
      </c>
      <c r="AR225" s="3" t="n">
        <v>6</v>
      </c>
      <c r="AS225" s="3" t="n">
        <v>4</v>
      </c>
      <c r="AT225" s="3" t="n">
        <v>4</v>
      </c>
      <c r="AU225" s="3" t="n">
        <v>6</v>
      </c>
      <c r="AV225" s="3" t="n">
        <v>6</v>
      </c>
      <c r="AW225" s="3" t="n">
        <v>3</v>
      </c>
      <c r="AX225" s="3" t="n">
        <v>3</v>
      </c>
      <c r="AY225" s="3" t="n">
        <v>1</v>
      </c>
      <c r="AZ225" s="5" t="n">
        <v>1</v>
      </c>
      <c r="BA225" s="3" t="n">
        <v>1</v>
      </c>
      <c r="BB225" s="3" t="n">
        <v>1</v>
      </c>
      <c r="BC225" s="3" t="n">
        <v>4</v>
      </c>
      <c r="BD225" s="3" t="n">
        <v>1</v>
      </c>
      <c r="BE225" s="3" t="n">
        <v>2</v>
      </c>
      <c r="BF225" s="3" t="n">
        <v>1</v>
      </c>
      <c r="BG225" s="3" t="n">
        <v>4</v>
      </c>
      <c r="BH225" s="3" t="n">
        <v>1</v>
      </c>
      <c r="BI225" s="3" t="n">
        <v>1</v>
      </c>
    </row>
    <row r="226" customFormat="false" ht="12.75" hidden="false" customHeight="false" outlineLevel="0" collapsed="false">
      <c r="A226" s="2" t="s">
        <v>413</v>
      </c>
      <c r="B226" s="2" t="s">
        <v>2310</v>
      </c>
      <c r="C226" s="2" t="s">
        <v>172</v>
      </c>
      <c r="D226" s="2" t="n">
        <v>200242</v>
      </c>
      <c r="E226" s="15" t="n">
        <v>44038</v>
      </c>
      <c r="F226" s="15" t="n">
        <v>44044</v>
      </c>
      <c r="G226" s="3" t="n">
        <v>6</v>
      </c>
      <c r="H226" s="3" t="n">
        <v>2</v>
      </c>
      <c r="I226" s="3" t="n">
        <v>49</v>
      </c>
      <c r="J226" s="3" t="n">
        <v>2</v>
      </c>
      <c r="K226" s="3" t="n">
        <v>2</v>
      </c>
      <c r="L226" s="3" t="n">
        <v>1</v>
      </c>
      <c r="M226" s="3" t="n">
        <v>2</v>
      </c>
      <c r="N226" s="3" t="n">
        <v>2</v>
      </c>
      <c r="O226" s="3" t="n">
        <v>2</v>
      </c>
      <c r="P226" s="3" t="n">
        <v>2</v>
      </c>
      <c r="Q226" s="3" t="n">
        <v>2</v>
      </c>
      <c r="R226" s="3" t="n">
        <v>2</v>
      </c>
      <c r="S226" s="4" t="n">
        <v>2</v>
      </c>
      <c r="T226" s="3" t="n">
        <v>2</v>
      </c>
      <c r="U226" s="3" t="n">
        <v>3.77</v>
      </c>
      <c r="V226" s="3" t="n">
        <v>0.96</v>
      </c>
      <c r="W226" s="3" t="n">
        <v>8.2</v>
      </c>
      <c r="X226" s="3" t="n">
        <v>166</v>
      </c>
      <c r="Z226" s="3" t="n">
        <v>0.47</v>
      </c>
      <c r="AA226" s="3" t="n">
        <v>9</v>
      </c>
      <c r="AB226" s="3" t="n">
        <v>1</v>
      </c>
      <c r="AC226" s="3" t="n">
        <v>2</v>
      </c>
      <c r="AD226" s="3" t="n">
        <v>1</v>
      </c>
      <c r="AE226" s="3" t="n">
        <v>1</v>
      </c>
      <c r="AF226" s="3" t="n">
        <v>2</v>
      </c>
      <c r="AG226" s="3" t="n">
        <v>2</v>
      </c>
      <c r="AH226" s="3" t="n">
        <v>1</v>
      </c>
      <c r="AI226" s="3" t="n">
        <v>2</v>
      </c>
      <c r="AJ226" s="3" t="n">
        <v>2</v>
      </c>
      <c r="AK226" s="3" t="n">
        <v>2</v>
      </c>
      <c r="AL226" s="3" t="n">
        <v>2</v>
      </c>
      <c r="AM226" s="3" t="n">
        <v>2</v>
      </c>
      <c r="AN226" s="3" t="n">
        <v>2</v>
      </c>
      <c r="AO226" s="3" t="n">
        <v>3</v>
      </c>
      <c r="AP226" s="3" t="n">
        <v>4</v>
      </c>
      <c r="AQ226" s="3" t="n">
        <v>4</v>
      </c>
      <c r="AR226" s="3" t="n">
        <v>6</v>
      </c>
      <c r="AS226" s="3" t="n">
        <v>4</v>
      </c>
      <c r="AT226" s="3" t="n">
        <v>4</v>
      </c>
      <c r="AU226" s="3" t="n">
        <v>6</v>
      </c>
      <c r="AV226" s="3" t="n">
        <v>6</v>
      </c>
      <c r="AW226" s="3" t="n">
        <v>3</v>
      </c>
      <c r="AX226" s="3" t="n">
        <v>3</v>
      </c>
      <c r="AY226" s="3" t="n">
        <v>1</v>
      </c>
      <c r="AZ226" s="5" t="n">
        <v>1</v>
      </c>
      <c r="BA226" s="3" t="n">
        <v>1</v>
      </c>
      <c r="BB226" s="3" t="n">
        <v>1</v>
      </c>
      <c r="BC226" s="3" t="n">
        <v>4</v>
      </c>
      <c r="BD226" s="3" t="n">
        <v>1</v>
      </c>
      <c r="BE226" s="3" t="n">
        <v>2</v>
      </c>
      <c r="BF226" s="3" t="n">
        <v>1</v>
      </c>
      <c r="BG226" s="3" t="n">
        <v>4</v>
      </c>
      <c r="BH226" s="3" t="n">
        <v>1</v>
      </c>
      <c r="BI226" s="3" t="n">
        <v>1</v>
      </c>
    </row>
    <row r="227" customFormat="false" ht="12.75" hidden="false" customHeight="false" outlineLevel="0" collapsed="false">
      <c r="A227" s="2" t="s">
        <v>2313</v>
      </c>
      <c r="B227" s="2" t="s">
        <v>886</v>
      </c>
      <c r="C227" s="2" t="s">
        <v>519</v>
      </c>
      <c r="D227" s="2" t="n">
        <v>200992</v>
      </c>
      <c r="E227" s="15" t="n">
        <v>44046</v>
      </c>
      <c r="F227" s="15" t="n">
        <v>44049</v>
      </c>
      <c r="G227" s="3" t="n">
        <v>3</v>
      </c>
      <c r="H227" s="3" t="n">
        <v>2</v>
      </c>
      <c r="I227" s="3" t="n">
        <v>65</v>
      </c>
      <c r="J227" s="3" t="n">
        <v>2</v>
      </c>
      <c r="K227" s="3" t="n">
        <v>2</v>
      </c>
      <c r="L227" s="3" t="n">
        <v>1</v>
      </c>
      <c r="M227" s="3" t="n">
        <v>2</v>
      </c>
      <c r="N227" s="3" t="n">
        <v>2</v>
      </c>
      <c r="O227" s="3" t="n">
        <v>2</v>
      </c>
      <c r="P227" s="3" t="n">
        <v>2</v>
      </c>
      <c r="Q227" s="3" t="n">
        <v>2</v>
      </c>
      <c r="R227" s="3" t="n">
        <v>2</v>
      </c>
      <c r="S227" s="4" t="n">
        <v>2</v>
      </c>
      <c r="T227" s="3" t="n">
        <v>2</v>
      </c>
      <c r="U227" s="3" t="n">
        <v>5.4</v>
      </c>
      <c r="V227" s="3" t="n">
        <v>2.9</v>
      </c>
      <c r="W227" s="3" t="n">
        <v>7.1</v>
      </c>
      <c r="X227" s="3" t="n">
        <v>396</v>
      </c>
      <c r="Z227" s="3" t="n">
        <v>0.48</v>
      </c>
      <c r="AA227" s="3" t="n">
        <v>7</v>
      </c>
      <c r="AB227" s="3" t="n">
        <v>1</v>
      </c>
      <c r="AC227" s="3" t="n">
        <v>2</v>
      </c>
      <c r="AD227" s="3" t="n">
        <v>1</v>
      </c>
      <c r="AE227" s="3" t="n">
        <v>1</v>
      </c>
      <c r="AF227" s="3" t="n">
        <v>1</v>
      </c>
      <c r="AG227" s="3" t="n">
        <v>1</v>
      </c>
      <c r="AH227" s="3" t="n">
        <v>1</v>
      </c>
      <c r="AI227" s="3" t="n">
        <v>2</v>
      </c>
      <c r="AJ227" s="3" t="n">
        <v>2</v>
      </c>
      <c r="AK227" s="3" t="n">
        <v>2</v>
      </c>
      <c r="AL227" s="3" t="n">
        <v>2</v>
      </c>
      <c r="AM227" s="3" t="n">
        <v>2</v>
      </c>
      <c r="AN227" s="3" t="n">
        <v>2</v>
      </c>
      <c r="AO227" s="3" t="n">
        <v>3</v>
      </c>
      <c r="AP227" s="3" t="n">
        <v>4</v>
      </c>
      <c r="AQ227" s="3" t="n">
        <v>4</v>
      </c>
      <c r="AR227" s="3" t="n">
        <v>6</v>
      </c>
      <c r="AS227" s="3" t="n">
        <v>4</v>
      </c>
      <c r="AT227" s="3" t="n">
        <v>4</v>
      </c>
      <c r="AU227" s="3" t="n">
        <v>6</v>
      </c>
      <c r="AV227" s="3" t="n">
        <v>6</v>
      </c>
      <c r="AW227" s="3" t="n">
        <v>3</v>
      </c>
      <c r="AX227" s="3" t="n">
        <v>3</v>
      </c>
      <c r="AY227" s="3" t="n">
        <v>1</v>
      </c>
      <c r="AZ227" s="5" t="n">
        <v>1</v>
      </c>
      <c r="BA227" s="3" t="n">
        <v>1</v>
      </c>
      <c r="BB227" s="3" t="n">
        <v>1</v>
      </c>
      <c r="BC227" s="3" t="n">
        <v>4</v>
      </c>
      <c r="BD227" s="3" t="n">
        <v>1</v>
      </c>
      <c r="BE227" s="3" t="n">
        <v>2</v>
      </c>
      <c r="BF227" s="3" t="n">
        <v>1</v>
      </c>
      <c r="BG227" s="3" t="n">
        <v>4</v>
      </c>
      <c r="BH227" s="3" t="n">
        <v>1</v>
      </c>
      <c r="BI227" s="3" t="n">
        <v>1</v>
      </c>
    </row>
    <row r="228" customFormat="false" ht="12.75" hidden="false" customHeight="false" outlineLevel="0" collapsed="false">
      <c r="A228" s="2" t="s">
        <v>2325</v>
      </c>
      <c r="B228" s="2" t="s">
        <v>153</v>
      </c>
      <c r="C228" s="2" t="s">
        <v>2326</v>
      </c>
      <c r="D228" s="2" t="n">
        <v>200430</v>
      </c>
      <c r="E228" s="15" t="n">
        <v>44043</v>
      </c>
      <c r="F228" s="15" t="n">
        <v>44050</v>
      </c>
      <c r="G228" s="3" t="n">
        <v>8</v>
      </c>
      <c r="H228" s="3" t="n">
        <v>1</v>
      </c>
      <c r="I228" s="3" t="n">
        <v>62</v>
      </c>
      <c r="J228" s="3" t="n">
        <v>1</v>
      </c>
      <c r="K228" s="3" t="n">
        <v>1</v>
      </c>
      <c r="L228" s="3" t="n">
        <v>1</v>
      </c>
      <c r="M228" s="3" t="n">
        <v>2</v>
      </c>
      <c r="N228" s="3" t="n">
        <v>1</v>
      </c>
      <c r="O228" s="3" t="n">
        <v>1</v>
      </c>
      <c r="P228" s="3" t="n">
        <v>1</v>
      </c>
      <c r="Q228" s="3" t="n">
        <v>2</v>
      </c>
      <c r="R228" s="3" t="n">
        <v>2</v>
      </c>
      <c r="S228" s="4" t="n">
        <v>2</v>
      </c>
      <c r="T228" s="3" t="n">
        <v>2</v>
      </c>
      <c r="U228" s="3" t="n">
        <v>6.1</v>
      </c>
      <c r="V228" s="3"/>
      <c r="W228" s="3" t="n">
        <v>9.2</v>
      </c>
      <c r="X228" s="3" t="n">
        <v>493</v>
      </c>
      <c r="Z228" s="3" t="n">
        <v>0.43</v>
      </c>
      <c r="AA228" s="3" t="n">
        <v>15.2</v>
      </c>
      <c r="AB228" s="3" t="n">
        <v>1</v>
      </c>
      <c r="AC228" s="3" t="n">
        <v>1</v>
      </c>
      <c r="AD228" s="3" t="n">
        <v>1</v>
      </c>
      <c r="AE228" s="3" t="n">
        <v>1</v>
      </c>
      <c r="AF228" s="3" t="n">
        <v>1</v>
      </c>
      <c r="AG228" s="3" t="n">
        <v>1</v>
      </c>
      <c r="AH228" s="3" t="n">
        <v>1</v>
      </c>
      <c r="AI228" s="3" t="n">
        <v>2</v>
      </c>
      <c r="AJ228" s="3" t="n">
        <v>1</v>
      </c>
      <c r="AK228" s="3" t="n">
        <v>2</v>
      </c>
      <c r="AL228" s="3" t="n">
        <v>2</v>
      </c>
      <c r="AM228" s="3" t="n">
        <v>2</v>
      </c>
      <c r="AN228" s="3" t="n">
        <v>2</v>
      </c>
      <c r="AO228" s="3" t="n">
        <v>3</v>
      </c>
      <c r="AP228" s="3" t="n">
        <v>4</v>
      </c>
      <c r="AQ228" s="3" t="n">
        <v>4</v>
      </c>
      <c r="AR228" s="3" t="n">
        <v>6</v>
      </c>
      <c r="AS228" s="3" t="n">
        <v>4</v>
      </c>
      <c r="AT228" s="3" t="n">
        <v>4</v>
      </c>
      <c r="AU228" s="3" t="n">
        <v>6</v>
      </c>
      <c r="AV228" s="3" t="n">
        <v>6</v>
      </c>
      <c r="AW228" s="3" t="n">
        <v>3</v>
      </c>
      <c r="AX228" s="3" t="n">
        <v>3</v>
      </c>
      <c r="AY228" s="3" t="n">
        <v>5</v>
      </c>
      <c r="AZ228" s="5" t="n">
        <v>1</v>
      </c>
      <c r="BA228" s="3" t="n">
        <v>1</v>
      </c>
      <c r="BB228" s="3" t="n">
        <v>1</v>
      </c>
      <c r="BC228" s="3" t="n">
        <v>4</v>
      </c>
      <c r="BD228" s="3" t="n">
        <v>3</v>
      </c>
      <c r="BE228" s="3" t="n">
        <v>5</v>
      </c>
      <c r="BF228" s="3" t="n">
        <v>3</v>
      </c>
      <c r="BG228" s="3" t="n">
        <v>4</v>
      </c>
      <c r="BH228" s="3" t="n">
        <v>1</v>
      </c>
      <c r="BI228" s="3" t="n">
        <v>1</v>
      </c>
    </row>
    <row r="229" customFormat="false" ht="12.75" hidden="false" customHeight="false" outlineLevel="0" collapsed="false">
      <c r="A229" s="2" t="s">
        <v>2328</v>
      </c>
      <c r="B229" s="2" t="s">
        <v>2329</v>
      </c>
      <c r="C229" s="2" t="s">
        <v>1929</v>
      </c>
      <c r="D229" s="2" t="n">
        <v>200962</v>
      </c>
      <c r="E229" s="15" t="n">
        <v>44047</v>
      </c>
      <c r="F229" s="15" t="n">
        <v>44053</v>
      </c>
      <c r="G229" s="3" t="n">
        <v>7</v>
      </c>
      <c r="H229" s="3" t="n">
        <v>2</v>
      </c>
      <c r="I229" s="3" t="n">
        <v>60</v>
      </c>
      <c r="J229" s="3" t="n">
        <v>2</v>
      </c>
      <c r="K229" s="3" t="n">
        <v>2</v>
      </c>
      <c r="L229" s="3" t="n">
        <v>1</v>
      </c>
      <c r="M229" s="3" t="n">
        <v>2</v>
      </c>
      <c r="N229" s="3" t="n">
        <v>2</v>
      </c>
      <c r="O229" s="3" t="n">
        <v>2</v>
      </c>
      <c r="P229" s="3" t="n">
        <v>2</v>
      </c>
      <c r="Q229" s="3" t="n">
        <v>2</v>
      </c>
      <c r="R229" s="3" t="n">
        <v>2</v>
      </c>
      <c r="S229" s="4" t="n">
        <v>2</v>
      </c>
      <c r="T229" s="3" t="n">
        <v>2</v>
      </c>
      <c r="U229" s="3" t="n">
        <v>4.85</v>
      </c>
      <c r="V229" s="3" t="n">
        <v>0.64</v>
      </c>
      <c r="W229" s="3" t="n">
        <v>6</v>
      </c>
      <c r="X229" s="3" t="n">
        <v>616</v>
      </c>
      <c r="Z229" s="3" t="n">
        <v>0.35</v>
      </c>
      <c r="AA229" s="3" t="n">
        <v>11.8</v>
      </c>
      <c r="AB229" s="3" t="n">
        <v>1</v>
      </c>
      <c r="AC229" s="3" t="n">
        <v>2</v>
      </c>
      <c r="AD229" s="3" t="n">
        <v>1</v>
      </c>
      <c r="AE229" s="3" t="n">
        <v>1</v>
      </c>
      <c r="AF229" s="3" t="n">
        <v>1</v>
      </c>
      <c r="AG229" s="3" t="n">
        <v>1</v>
      </c>
      <c r="AH229" s="3" t="n">
        <v>1</v>
      </c>
      <c r="AI229" s="3" t="n">
        <v>2</v>
      </c>
      <c r="AJ229" s="3" t="n">
        <v>2</v>
      </c>
      <c r="AK229" s="3" t="n">
        <v>2</v>
      </c>
      <c r="AL229" s="3" t="n">
        <v>2</v>
      </c>
      <c r="AM229" s="3" t="n">
        <v>2</v>
      </c>
      <c r="AN229" s="3" t="n">
        <v>2</v>
      </c>
      <c r="AO229" s="3" t="n">
        <v>3</v>
      </c>
      <c r="AP229" s="3" t="n">
        <v>4</v>
      </c>
      <c r="AQ229" s="3" t="n">
        <v>4</v>
      </c>
      <c r="AR229" s="3" t="n">
        <v>6</v>
      </c>
      <c r="AS229" s="3" t="n">
        <v>4</v>
      </c>
      <c r="AT229" s="3" t="n">
        <v>4</v>
      </c>
      <c r="AU229" s="3" t="n">
        <v>6</v>
      </c>
      <c r="AV229" s="3" t="n">
        <v>6</v>
      </c>
      <c r="AW229" s="3" t="n">
        <v>3</v>
      </c>
      <c r="AX229" s="3" t="n">
        <v>3</v>
      </c>
      <c r="AY229" s="3" t="n">
        <v>1</v>
      </c>
      <c r="AZ229" s="5" t="n">
        <v>1</v>
      </c>
      <c r="BA229" s="3" t="n">
        <v>1</v>
      </c>
      <c r="BB229" s="3" t="n">
        <v>1</v>
      </c>
      <c r="BC229" s="3" t="n">
        <v>4</v>
      </c>
      <c r="BD229" s="3" t="n">
        <v>3</v>
      </c>
      <c r="BE229" s="3" t="n">
        <v>3</v>
      </c>
      <c r="BF229" s="3" t="n">
        <v>3</v>
      </c>
      <c r="BG229" s="3" t="n">
        <v>4</v>
      </c>
      <c r="BH229" s="3" t="n">
        <v>1</v>
      </c>
      <c r="BI229" s="3" t="n">
        <v>1</v>
      </c>
    </row>
    <row r="230" customFormat="false" ht="12.75" hidden="false" customHeight="false" outlineLevel="0" collapsed="false">
      <c r="A230" s="2" t="s">
        <v>2331</v>
      </c>
      <c r="B230" s="2" t="s">
        <v>2332</v>
      </c>
      <c r="C230" s="2" t="s">
        <v>1098</v>
      </c>
      <c r="D230" s="2" t="n">
        <v>200488</v>
      </c>
      <c r="E230" s="15" t="n">
        <v>44049</v>
      </c>
      <c r="F230" s="15" t="n">
        <v>44054</v>
      </c>
      <c r="G230" s="3" t="n">
        <v>7</v>
      </c>
      <c r="H230" s="3" t="n">
        <v>2</v>
      </c>
      <c r="I230" s="3" t="n">
        <v>81</v>
      </c>
      <c r="J230" s="3" t="n">
        <v>1</v>
      </c>
      <c r="K230" s="3" t="n">
        <v>2</v>
      </c>
      <c r="L230" s="3" t="n">
        <v>1</v>
      </c>
      <c r="M230" s="3" t="n">
        <v>2</v>
      </c>
      <c r="N230" s="3" t="n">
        <v>2</v>
      </c>
      <c r="O230" s="3" t="n">
        <v>2</v>
      </c>
      <c r="P230" s="3" t="n">
        <v>2</v>
      </c>
      <c r="Q230" s="3" t="n">
        <v>2</v>
      </c>
      <c r="R230" s="3" t="n">
        <v>2</v>
      </c>
      <c r="S230" s="4" t="n">
        <v>2</v>
      </c>
      <c r="T230" s="3" t="n">
        <v>2</v>
      </c>
      <c r="U230" s="3" t="n">
        <v>5.76</v>
      </c>
      <c r="V230" s="3" t="n">
        <v>1.41</v>
      </c>
      <c r="W230" s="3" t="n">
        <v>6.2</v>
      </c>
      <c r="X230" s="3" t="n">
        <v>423</v>
      </c>
      <c r="Z230" s="3" t="n">
        <v>0.42</v>
      </c>
      <c r="AA230" s="3" t="n">
        <v>5.1</v>
      </c>
      <c r="AB230" s="3" t="n">
        <v>1</v>
      </c>
      <c r="AC230" s="3" t="n">
        <v>2</v>
      </c>
      <c r="AD230" s="3" t="n">
        <v>1</v>
      </c>
      <c r="AE230" s="3" t="n">
        <v>1</v>
      </c>
      <c r="AF230" s="3" t="n">
        <v>2</v>
      </c>
      <c r="AG230" s="3" t="n">
        <v>2</v>
      </c>
      <c r="AH230" s="3" t="n">
        <v>1</v>
      </c>
      <c r="AI230" s="3" t="n">
        <v>2</v>
      </c>
      <c r="AJ230" s="3" t="n">
        <v>2</v>
      </c>
      <c r="AK230" s="3" t="n">
        <v>2</v>
      </c>
      <c r="AL230" s="3" t="n">
        <v>2</v>
      </c>
      <c r="AM230" s="3" t="n">
        <v>2</v>
      </c>
      <c r="AN230" s="3" t="n">
        <v>2</v>
      </c>
      <c r="AO230" s="3" t="n">
        <v>3</v>
      </c>
      <c r="AP230" s="3" t="n">
        <v>4</v>
      </c>
      <c r="AQ230" s="3" t="n">
        <v>4</v>
      </c>
      <c r="AR230" s="3" t="n">
        <v>6</v>
      </c>
      <c r="AS230" s="3" t="n">
        <v>4</v>
      </c>
      <c r="AT230" s="3" t="n">
        <v>4</v>
      </c>
      <c r="AU230" s="3" t="n">
        <v>6</v>
      </c>
      <c r="AV230" s="3" t="n">
        <v>6</v>
      </c>
      <c r="AW230" s="3" t="n">
        <v>3</v>
      </c>
      <c r="AX230" s="3" t="n">
        <v>3</v>
      </c>
      <c r="AY230" s="3" t="n">
        <v>1</v>
      </c>
      <c r="AZ230" s="5" t="n">
        <v>1</v>
      </c>
      <c r="BA230" s="3" t="n">
        <v>1</v>
      </c>
      <c r="BB230" s="3" t="n">
        <v>1</v>
      </c>
      <c r="BC230" s="3" t="n">
        <v>2</v>
      </c>
      <c r="BD230" s="3" t="n">
        <v>2</v>
      </c>
      <c r="BE230" s="3" t="n">
        <v>4</v>
      </c>
      <c r="BF230" s="3" t="n">
        <v>3</v>
      </c>
      <c r="BG230" s="3" t="n">
        <v>4</v>
      </c>
      <c r="BH230" s="3" t="n">
        <v>1</v>
      </c>
      <c r="BI230" s="3" t="n">
        <v>1</v>
      </c>
    </row>
    <row r="231" customFormat="false" ht="12.75" hidden="false" customHeight="false" outlineLevel="0" collapsed="false">
      <c r="A231" s="17" t="s">
        <v>2334</v>
      </c>
      <c r="B231" s="17" t="s">
        <v>2335</v>
      </c>
      <c r="C231" s="17" t="s">
        <v>2336</v>
      </c>
      <c r="D231" s="2" t="n">
        <v>197520</v>
      </c>
      <c r="E231" s="15" t="n">
        <v>44048</v>
      </c>
      <c r="F231" s="15" t="n">
        <v>44055</v>
      </c>
      <c r="G231" s="3" t="n">
        <v>7</v>
      </c>
      <c r="H231" s="3" t="n">
        <v>1</v>
      </c>
      <c r="I231" s="3" t="n">
        <v>66</v>
      </c>
      <c r="J231" s="3" t="n">
        <v>2</v>
      </c>
      <c r="K231" s="3" t="n">
        <v>2</v>
      </c>
      <c r="L231" s="3" t="n">
        <v>2</v>
      </c>
      <c r="M231" s="3" t="n">
        <v>2</v>
      </c>
      <c r="N231" s="3" t="n">
        <v>2</v>
      </c>
      <c r="O231" s="3" t="n">
        <v>2</v>
      </c>
      <c r="P231" s="3" t="n">
        <v>2</v>
      </c>
      <c r="Q231" s="3" t="n">
        <v>2</v>
      </c>
      <c r="R231" s="3" t="n">
        <v>1</v>
      </c>
      <c r="S231" s="4" t="n">
        <v>2</v>
      </c>
      <c r="T231" s="3" t="n">
        <v>2</v>
      </c>
      <c r="U231" s="3" t="n">
        <v>4.23</v>
      </c>
      <c r="V231" s="3" t="n">
        <v>1.98</v>
      </c>
      <c r="W231" s="3" t="n">
        <v>4.7</v>
      </c>
      <c r="X231" s="3" t="n">
        <v>288</v>
      </c>
      <c r="Z231" s="3" t="n">
        <v>0.25</v>
      </c>
      <c r="AA231" s="3" t="n">
        <v>15</v>
      </c>
      <c r="AB231" s="3" t="n">
        <v>1</v>
      </c>
      <c r="AC231" s="3" t="n">
        <v>2</v>
      </c>
      <c r="AD231" s="3" t="n">
        <v>1</v>
      </c>
      <c r="AE231" s="3" t="n">
        <v>1</v>
      </c>
      <c r="AF231" s="3" t="n">
        <v>1</v>
      </c>
      <c r="AG231" s="3" t="n">
        <v>1</v>
      </c>
      <c r="AH231" s="3" t="n">
        <v>1</v>
      </c>
      <c r="AI231" s="3" t="n">
        <v>1</v>
      </c>
      <c r="AJ231" s="3" t="n">
        <v>2</v>
      </c>
      <c r="AK231" s="3" t="n">
        <v>2</v>
      </c>
      <c r="AL231" s="3" t="n">
        <v>2</v>
      </c>
      <c r="AM231" s="3" t="n">
        <v>2</v>
      </c>
      <c r="AN231" s="3" t="n">
        <v>2</v>
      </c>
      <c r="AO231" s="3" t="n">
        <v>3</v>
      </c>
      <c r="AP231" s="3" t="n">
        <v>4</v>
      </c>
      <c r="AQ231" s="3" t="n">
        <v>4</v>
      </c>
      <c r="AR231" s="3" t="n">
        <v>6</v>
      </c>
      <c r="AS231" s="3" t="n">
        <v>4</v>
      </c>
      <c r="AT231" s="3" t="n">
        <v>4</v>
      </c>
      <c r="AU231" s="3" t="n">
        <v>6</v>
      </c>
      <c r="AV231" s="3" t="n">
        <v>6</v>
      </c>
      <c r="AW231" s="3" t="n">
        <v>3</v>
      </c>
      <c r="AX231" s="3" t="n">
        <v>3</v>
      </c>
      <c r="AY231" s="3" t="n">
        <v>1</v>
      </c>
      <c r="AZ231" s="5" t="n">
        <v>3</v>
      </c>
      <c r="BA231" s="3" t="n">
        <v>2</v>
      </c>
      <c r="BB231" s="3" t="n">
        <v>1</v>
      </c>
      <c r="BC231" s="3" t="n">
        <v>4</v>
      </c>
      <c r="BD231" s="3" t="n">
        <v>3</v>
      </c>
      <c r="BE231" s="3" t="n">
        <v>5</v>
      </c>
      <c r="BF231" s="3" t="n">
        <v>3</v>
      </c>
      <c r="BG231" s="3" t="n">
        <v>4</v>
      </c>
      <c r="BH231" s="3" t="n">
        <v>3</v>
      </c>
      <c r="BI231" s="3" t="n">
        <v>4</v>
      </c>
    </row>
    <row r="232" customFormat="false" ht="12.75" hidden="false" customHeight="false" outlineLevel="0" collapsed="false">
      <c r="A232" s="2" t="s">
        <v>1601</v>
      </c>
      <c r="B232" s="2" t="s">
        <v>94</v>
      </c>
      <c r="C232" s="2" t="s">
        <v>2352</v>
      </c>
      <c r="D232" s="2" t="n">
        <v>200940</v>
      </c>
      <c r="E232" s="15" t="n">
        <v>44051</v>
      </c>
      <c r="F232" s="15" t="n">
        <v>44058</v>
      </c>
      <c r="G232" s="3" t="n">
        <v>7</v>
      </c>
      <c r="H232" s="3" t="n">
        <v>2</v>
      </c>
      <c r="I232" s="3" t="n">
        <v>72</v>
      </c>
      <c r="J232" s="3" t="n">
        <v>1</v>
      </c>
      <c r="K232" s="3" t="n">
        <v>1</v>
      </c>
      <c r="L232" s="3" t="n">
        <v>2</v>
      </c>
      <c r="M232" s="3" t="n">
        <v>2</v>
      </c>
      <c r="N232" s="3" t="n">
        <v>2</v>
      </c>
      <c r="O232" s="3" t="n">
        <v>2</v>
      </c>
      <c r="P232" s="3" t="n">
        <v>2</v>
      </c>
      <c r="Q232" s="3" t="n">
        <v>2</v>
      </c>
      <c r="R232" s="3" t="n">
        <v>2</v>
      </c>
      <c r="S232" s="4" t="n">
        <v>2</v>
      </c>
      <c r="T232" s="3" t="n">
        <v>2</v>
      </c>
      <c r="U232" s="3" t="n">
        <v>4.89</v>
      </c>
      <c r="V232" s="3" t="n">
        <v>1.61</v>
      </c>
      <c r="W232" s="3" t="n">
        <v>4.32</v>
      </c>
      <c r="X232" s="3" t="n">
        <v>437</v>
      </c>
      <c r="Z232" s="3" t="n">
        <v>0.39</v>
      </c>
      <c r="AA232" s="3" t="n">
        <v>10</v>
      </c>
      <c r="AB232" s="3" t="n">
        <v>2</v>
      </c>
      <c r="AC232" s="3" t="n">
        <v>2</v>
      </c>
      <c r="AD232" s="3" t="n">
        <v>1</v>
      </c>
      <c r="AE232" s="3" t="n">
        <v>1</v>
      </c>
      <c r="AF232" s="3" t="n">
        <v>2</v>
      </c>
      <c r="AG232" s="3" t="n">
        <v>2</v>
      </c>
      <c r="AH232" s="3" t="n">
        <v>1</v>
      </c>
      <c r="AI232" s="3" t="n">
        <v>2</v>
      </c>
      <c r="AJ232" s="3" t="n">
        <v>2</v>
      </c>
      <c r="AK232" s="3" t="n">
        <v>2</v>
      </c>
      <c r="AL232" s="3" t="n">
        <v>2</v>
      </c>
      <c r="AM232" s="3" t="n">
        <v>2</v>
      </c>
      <c r="AN232" s="3" t="n">
        <v>2</v>
      </c>
      <c r="AO232" s="3" t="n">
        <v>3</v>
      </c>
      <c r="AP232" s="3" t="n">
        <v>4</v>
      </c>
      <c r="AQ232" s="3" t="n">
        <v>4</v>
      </c>
      <c r="AR232" s="3" t="n">
        <v>6</v>
      </c>
      <c r="AS232" s="3" t="n">
        <v>4</v>
      </c>
      <c r="AT232" s="3" t="n">
        <v>4</v>
      </c>
      <c r="AU232" s="3" t="n">
        <v>6</v>
      </c>
      <c r="AV232" s="3" t="n">
        <v>6</v>
      </c>
      <c r="AW232" s="3" t="n">
        <v>3</v>
      </c>
      <c r="AX232" s="3" t="n">
        <v>3</v>
      </c>
      <c r="AY232" s="3" t="n">
        <v>5</v>
      </c>
      <c r="AZ232" s="5" t="n">
        <v>1</v>
      </c>
      <c r="BA232" s="3" t="n">
        <v>1</v>
      </c>
      <c r="BB232" s="3" t="n">
        <v>1</v>
      </c>
      <c r="BC232" s="3" t="n">
        <v>4</v>
      </c>
      <c r="BD232" s="3" t="n">
        <v>1</v>
      </c>
      <c r="BE232" s="3" t="n">
        <v>1</v>
      </c>
      <c r="BF232" s="3" t="n">
        <v>1</v>
      </c>
      <c r="BG232" s="3" t="n">
        <v>4</v>
      </c>
      <c r="BH232" s="3" t="n">
        <v>1</v>
      </c>
      <c r="BI232" s="3" t="n">
        <v>1</v>
      </c>
    </row>
    <row r="233" customFormat="false" ht="12.75" hidden="false" customHeight="false" outlineLevel="0" collapsed="false">
      <c r="A233" s="2" t="s">
        <v>2357</v>
      </c>
      <c r="B233" s="2" t="s">
        <v>544</v>
      </c>
      <c r="C233" s="2" t="s">
        <v>1417</v>
      </c>
      <c r="D233" s="2" t="n">
        <v>201145</v>
      </c>
      <c r="E233" s="15" t="n">
        <v>44056</v>
      </c>
      <c r="F233" s="15" t="n">
        <v>44062</v>
      </c>
      <c r="G233" s="3" t="n">
        <v>6</v>
      </c>
      <c r="H233" s="3" t="n">
        <v>2</v>
      </c>
      <c r="I233" s="3" t="n">
        <v>71</v>
      </c>
      <c r="J233" s="3" t="n">
        <v>2</v>
      </c>
      <c r="K233" s="3" t="n">
        <v>1</v>
      </c>
      <c r="L233" s="3" t="n">
        <v>1</v>
      </c>
      <c r="M233" s="3" t="n">
        <v>2</v>
      </c>
      <c r="N233" s="3" t="n">
        <v>2</v>
      </c>
      <c r="O233" s="3" t="n">
        <v>2</v>
      </c>
      <c r="P233" s="3" t="n">
        <v>1</v>
      </c>
      <c r="Q233" s="3" t="n">
        <v>2</v>
      </c>
      <c r="R233" s="3" t="n">
        <v>1</v>
      </c>
      <c r="S233" s="4" t="n">
        <v>2</v>
      </c>
      <c r="T233" s="3" t="n">
        <v>2</v>
      </c>
      <c r="U233" s="3"/>
      <c r="V233" s="3"/>
      <c r="W233" s="3"/>
      <c r="X233" s="3"/>
      <c r="Z233" s="3"/>
      <c r="AA233" s="3"/>
      <c r="AB233" s="3"/>
      <c r="AC233" s="3" t="n">
        <v>2</v>
      </c>
      <c r="AD233" s="3" t="n">
        <v>1</v>
      </c>
      <c r="AE233" s="3" t="n">
        <v>1</v>
      </c>
      <c r="AF233" s="3" t="n">
        <v>2</v>
      </c>
      <c r="AG233" s="3" t="n">
        <v>2</v>
      </c>
      <c r="AH233" s="3" t="n">
        <v>1</v>
      </c>
      <c r="AI233" s="3" t="n">
        <v>1</v>
      </c>
      <c r="AJ233" s="3" t="n">
        <v>1</v>
      </c>
      <c r="AK233" s="3" t="n">
        <v>2</v>
      </c>
      <c r="AL233" s="3" t="n">
        <v>1</v>
      </c>
      <c r="AM233" s="3" t="n">
        <v>2</v>
      </c>
      <c r="AN233" s="3" t="n">
        <v>2</v>
      </c>
      <c r="AO233" s="3" t="n">
        <v>3</v>
      </c>
      <c r="AP233" s="3" t="n">
        <v>4</v>
      </c>
      <c r="AQ233" s="3" t="n">
        <v>4</v>
      </c>
      <c r="AR233" s="3" t="n">
        <v>6</v>
      </c>
      <c r="AS233" s="3" t="n">
        <v>4</v>
      </c>
      <c r="AT233" s="3" t="n">
        <v>4</v>
      </c>
      <c r="AU233" s="3" t="n">
        <v>6</v>
      </c>
      <c r="AV233" s="3" t="n">
        <v>6</v>
      </c>
      <c r="AW233" s="3" t="n">
        <v>3</v>
      </c>
      <c r="AX233" s="3" t="n">
        <v>3</v>
      </c>
      <c r="AY233" s="3" t="n">
        <v>1</v>
      </c>
      <c r="AZ233" s="5" t="n">
        <v>1</v>
      </c>
      <c r="BA233" s="3" t="n">
        <v>1</v>
      </c>
      <c r="BB233" s="3" t="n">
        <v>1</v>
      </c>
      <c r="BC233" s="3" t="n">
        <v>4</v>
      </c>
      <c r="BD233" s="3" t="n">
        <v>3</v>
      </c>
      <c r="BE233" s="3" t="n">
        <v>5</v>
      </c>
      <c r="BF233" s="3" t="n">
        <v>3</v>
      </c>
      <c r="BG233" s="3" t="n">
        <v>4</v>
      </c>
      <c r="BH233" s="3" t="n">
        <v>1</v>
      </c>
      <c r="BI233" s="3" t="n">
        <v>1</v>
      </c>
    </row>
    <row r="234" customFormat="false" ht="12.75" hidden="false" customHeight="false" outlineLevel="0" collapsed="false">
      <c r="A234" s="2" t="s">
        <v>323</v>
      </c>
      <c r="B234" s="2" t="s">
        <v>1512</v>
      </c>
      <c r="C234" s="2" t="s">
        <v>2361</v>
      </c>
      <c r="D234" s="2" t="n">
        <v>201127</v>
      </c>
      <c r="E234" s="15" t="n">
        <v>44057</v>
      </c>
      <c r="F234" s="15" t="n">
        <v>44064</v>
      </c>
      <c r="G234" s="3" t="n">
        <v>7</v>
      </c>
      <c r="H234" s="3" t="n">
        <v>2</v>
      </c>
      <c r="I234" s="3" t="n">
        <v>57</v>
      </c>
      <c r="J234" s="3" t="n">
        <v>1</v>
      </c>
      <c r="K234" s="3" t="n">
        <v>1</v>
      </c>
      <c r="L234" s="3" t="n">
        <v>1</v>
      </c>
      <c r="M234" s="3" t="n">
        <v>1</v>
      </c>
      <c r="N234" s="3" t="n">
        <v>1</v>
      </c>
      <c r="O234" s="3" t="n">
        <v>1</v>
      </c>
      <c r="P234" s="3" t="n">
        <v>2</v>
      </c>
      <c r="Q234" s="3" t="n">
        <v>2</v>
      </c>
      <c r="R234" s="3" t="n">
        <v>1</v>
      </c>
      <c r="S234" s="4" t="n">
        <v>2</v>
      </c>
      <c r="T234" s="3" t="n">
        <v>2</v>
      </c>
      <c r="U234" s="3" t="n">
        <v>3.29</v>
      </c>
      <c r="V234" s="3" t="n">
        <v>1.07</v>
      </c>
      <c r="W234" s="3" t="n">
        <v>4.74</v>
      </c>
      <c r="X234" s="3" t="n">
        <v>404</v>
      </c>
      <c r="Z234" s="3" t="n">
        <v>0.5</v>
      </c>
      <c r="AA234" s="3" t="n">
        <v>7.2</v>
      </c>
      <c r="AB234" s="3" t="n">
        <v>2</v>
      </c>
      <c r="AC234" s="3" t="n">
        <v>2</v>
      </c>
      <c r="AD234" s="3" t="n">
        <v>1</v>
      </c>
      <c r="AE234" s="3" t="n">
        <v>1</v>
      </c>
      <c r="AF234" s="3" t="n">
        <v>2</v>
      </c>
      <c r="AG234" s="3" t="n">
        <v>1</v>
      </c>
      <c r="AH234" s="3" t="n">
        <v>1</v>
      </c>
      <c r="AI234" s="3" t="n">
        <v>1</v>
      </c>
      <c r="AJ234" s="3" t="n">
        <v>2</v>
      </c>
      <c r="AK234" s="3" t="n">
        <v>2</v>
      </c>
      <c r="AL234" s="3" t="n">
        <v>1</v>
      </c>
      <c r="AM234" s="3" t="n">
        <v>2</v>
      </c>
      <c r="AN234" s="3" t="n">
        <v>2</v>
      </c>
      <c r="AO234" s="3" t="n">
        <v>3</v>
      </c>
      <c r="AP234" s="3" t="n">
        <v>4</v>
      </c>
      <c r="AQ234" s="3" t="n">
        <v>4</v>
      </c>
      <c r="AR234" s="3" t="n">
        <v>6</v>
      </c>
      <c r="AS234" s="3" t="n">
        <v>4</v>
      </c>
      <c r="AT234" s="3" t="n">
        <v>4</v>
      </c>
      <c r="AU234" s="3" t="n">
        <v>6</v>
      </c>
      <c r="AV234" s="3" t="n">
        <v>6</v>
      </c>
      <c r="AW234" s="3" t="n">
        <v>3</v>
      </c>
      <c r="AX234" s="3" t="n">
        <v>3</v>
      </c>
      <c r="AY234" s="3" t="n">
        <v>1</v>
      </c>
      <c r="AZ234" s="5" t="n">
        <v>1</v>
      </c>
      <c r="BA234" s="3" t="n">
        <v>1</v>
      </c>
      <c r="BB234" s="3" t="n">
        <v>1</v>
      </c>
      <c r="BC234" s="3" t="n">
        <v>2</v>
      </c>
      <c r="BD234" s="3" t="n">
        <v>1</v>
      </c>
      <c r="BE234" s="3" t="n">
        <v>2</v>
      </c>
      <c r="BF234" s="3" t="n">
        <v>1</v>
      </c>
      <c r="BG234" s="3" t="n">
        <v>4</v>
      </c>
      <c r="BH234" s="3" t="n">
        <v>1</v>
      </c>
      <c r="BI234" s="3" t="n">
        <v>1</v>
      </c>
    </row>
    <row r="235" customFormat="false" ht="12.75" hidden="false" customHeight="false" outlineLevel="0" collapsed="false">
      <c r="A235" s="26" t="s">
        <v>2364</v>
      </c>
      <c r="B235" s="26" t="s">
        <v>127</v>
      </c>
      <c r="C235" s="26" t="s">
        <v>153</v>
      </c>
      <c r="D235" s="26" t="n">
        <v>152741</v>
      </c>
      <c r="E235" s="27" t="n">
        <v>44064</v>
      </c>
      <c r="F235" s="27" t="n">
        <v>44065</v>
      </c>
      <c r="G235" s="30" t="n">
        <v>1</v>
      </c>
      <c r="H235" s="30" t="n">
        <v>1</v>
      </c>
      <c r="I235" s="30" t="n">
        <v>65</v>
      </c>
      <c r="J235" s="30" t="n">
        <v>1</v>
      </c>
      <c r="K235" s="30"/>
      <c r="L235" s="30"/>
      <c r="M235" s="30"/>
      <c r="N235" s="30"/>
      <c r="O235" s="30"/>
      <c r="P235" s="30"/>
      <c r="Q235" s="30"/>
      <c r="R235" s="30"/>
      <c r="S235" s="4" t="n">
        <v>2</v>
      </c>
      <c r="T235" s="30" t="n">
        <v>2</v>
      </c>
      <c r="U235" s="30"/>
      <c r="V235" s="30"/>
      <c r="W235" s="30"/>
      <c r="X235" s="30"/>
      <c r="Z235" s="30"/>
      <c r="AA235" s="30"/>
      <c r="AB235" s="30"/>
      <c r="AC235" s="30"/>
      <c r="AD235" s="30"/>
      <c r="AE235" s="30"/>
      <c r="AF235" s="30"/>
      <c r="AG235" s="30"/>
      <c r="AH235" s="30"/>
      <c r="AI235" s="30"/>
      <c r="AJ235" s="30"/>
      <c r="AK235" s="30"/>
      <c r="AL235" s="30"/>
      <c r="AM235" s="30"/>
      <c r="AN235" s="30"/>
      <c r="AO235" s="30" t="n">
        <v>3</v>
      </c>
      <c r="AP235" s="30" t="n">
        <v>4</v>
      </c>
      <c r="AQ235" s="30" t="n">
        <v>4</v>
      </c>
      <c r="AR235" s="30" t="n">
        <v>6</v>
      </c>
      <c r="AS235" s="30" t="n">
        <v>4</v>
      </c>
      <c r="AT235" s="30" t="n">
        <v>4</v>
      </c>
      <c r="AU235" s="30" t="n">
        <v>6</v>
      </c>
      <c r="AV235" s="30" t="n">
        <v>6</v>
      </c>
      <c r="AW235" s="30" t="n">
        <v>3</v>
      </c>
      <c r="AX235" s="30" t="n">
        <v>3</v>
      </c>
      <c r="AY235" s="30" t="n">
        <v>14</v>
      </c>
      <c r="AZ235" s="5" t="n">
        <v>1</v>
      </c>
      <c r="BA235" s="30" t="n">
        <v>1</v>
      </c>
      <c r="BB235" s="30" t="n">
        <v>1</v>
      </c>
      <c r="BC235" s="30" t="n">
        <v>4</v>
      </c>
      <c r="BD235" s="30" t="n">
        <v>1</v>
      </c>
      <c r="BE235" s="30" t="n">
        <v>2</v>
      </c>
      <c r="BF235" s="30" t="n">
        <v>1</v>
      </c>
      <c r="BG235" s="30" t="n">
        <v>4</v>
      </c>
      <c r="BH235" s="30" t="n">
        <v>3</v>
      </c>
      <c r="BI235" s="30" t="n">
        <v>3</v>
      </c>
    </row>
    <row r="236" customFormat="false" ht="12.75" hidden="false" customHeight="false" outlineLevel="0" collapsed="false">
      <c r="A236" s="17" t="s">
        <v>2366</v>
      </c>
      <c r="B236" s="17" t="s">
        <v>2367</v>
      </c>
      <c r="C236" s="17" t="s">
        <v>2368</v>
      </c>
      <c r="D236" s="2" t="n">
        <v>200632</v>
      </c>
      <c r="E236" s="15" t="n">
        <v>44062</v>
      </c>
      <c r="F236" s="15" t="n">
        <v>44068</v>
      </c>
      <c r="G236" s="3" t="n">
        <v>6</v>
      </c>
      <c r="H236" s="3" t="n">
        <v>1</v>
      </c>
      <c r="I236" s="3" t="n">
        <v>69</v>
      </c>
      <c r="J236" s="3" t="n">
        <v>3</v>
      </c>
      <c r="K236" s="3" t="n">
        <v>1</v>
      </c>
      <c r="L236" s="3" t="n">
        <v>2</v>
      </c>
      <c r="M236" s="3" t="n">
        <v>2</v>
      </c>
      <c r="N236" s="3" t="n">
        <v>2</v>
      </c>
      <c r="O236" s="3" t="n">
        <v>2</v>
      </c>
      <c r="P236" s="3" t="n">
        <v>2</v>
      </c>
      <c r="Q236" s="3" t="n">
        <v>2</v>
      </c>
      <c r="R236" s="3" t="n">
        <v>2</v>
      </c>
      <c r="S236" s="4" t="n">
        <v>2</v>
      </c>
      <c r="T236" s="3" t="n">
        <v>2</v>
      </c>
      <c r="U236" s="3" t="n">
        <v>5.32</v>
      </c>
      <c r="V236" s="3" t="n">
        <v>2.01</v>
      </c>
      <c r="W236" s="3" t="n">
        <v>6.12</v>
      </c>
      <c r="X236" s="3" t="n">
        <v>447</v>
      </c>
      <c r="Z236" s="3" t="n">
        <v>0.41</v>
      </c>
      <c r="AA236" s="3" t="n">
        <v>12.8</v>
      </c>
      <c r="AB236" s="3" t="n">
        <v>1</v>
      </c>
      <c r="AC236" s="3" t="n">
        <v>2</v>
      </c>
      <c r="AD236" s="3" t="n">
        <v>1</v>
      </c>
      <c r="AE236" s="3" t="n">
        <v>1</v>
      </c>
      <c r="AF236" s="3" t="n">
        <v>2</v>
      </c>
      <c r="AG236" s="3" t="n">
        <v>2</v>
      </c>
      <c r="AH236" s="3" t="n">
        <v>1</v>
      </c>
      <c r="AI236" s="3" t="n">
        <v>2</v>
      </c>
      <c r="AJ236" s="3" t="n">
        <v>2</v>
      </c>
      <c r="AK236" s="3" t="n">
        <v>2</v>
      </c>
      <c r="AL236" s="3" t="n">
        <v>2</v>
      </c>
      <c r="AM236" s="3" t="n">
        <v>2</v>
      </c>
      <c r="AN236" s="3" t="n">
        <v>2</v>
      </c>
      <c r="AO236" s="3" t="n">
        <v>3</v>
      </c>
      <c r="AP236" s="3" t="n">
        <v>4</v>
      </c>
      <c r="AQ236" s="3" t="n">
        <v>4</v>
      </c>
      <c r="AR236" s="3" t="n">
        <v>6</v>
      </c>
      <c r="AS236" s="3" t="n">
        <v>4</v>
      </c>
      <c r="AT236" s="3" t="n">
        <v>4</v>
      </c>
      <c r="AU236" s="3" t="n">
        <v>6</v>
      </c>
      <c r="AV236" s="3" t="n">
        <v>6</v>
      </c>
      <c r="AW236" s="3" t="n">
        <v>3</v>
      </c>
      <c r="AX236" s="3" t="n">
        <v>3</v>
      </c>
      <c r="AY236" s="3" t="n">
        <v>1</v>
      </c>
      <c r="AZ236" s="5" t="n">
        <v>1</v>
      </c>
      <c r="BA236" s="3" t="n">
        <v>1</v>
      </c>
      <c r="BB236" s="3" t="n">
        <v>1</v>
      </c>
      <c r="BC236" s="3" t="n">
        <v>4</v>
      </c>
      <c r="BD236" s="3" t="n">
        <v>1</v>
      </c>
      <c r="BE236" s="3" t="n">
        <v>2</v>
      </c>
      <c r="BF236" s="3" t="n">
        <v>1</v>
      </c>
      <c r="BG236" s="3" t="n">
        <v>4</v>
      </c>
      <c r="BH236" s="3" t="n">
        <v>1</v>
      </c>
      <c r="BI236" s="3" t="n">
        <v>1</v>
      </c>
    </row>
    <row r="237" customFormat="false" ht="12.75" hidden="false" customHeight="false" outlineLevel="0" collapsed="false">
      <c r="A237" s="17" t="s">
        <v>801</v>
      </c>
      <c r="B237" s="17" t="s">
        <v>386</v>
      </c>
      <c r="C237" s="17" t="s">
        <v>330</v>
      </c>
      <c r="D237" s="2" t="n">
        <v>200654</v>
      </c>
      <c r="E237" s="15" t="n">
        <v>44061</v>
      </c>
      <c r="F237" s="15" t="n">
        <v>44069</v>
      </c>
      <c r="G237" s="3" t="n">
        <v>8</v>
      </c>
      <c r="H237" s="3" t="n">
        <v>2</v>
      </c>
      <c r="I237" s="3" t="n">
        <v>57</v>
      </c>
      <c r="J237" s="3" t="n">
        <v>1</v>
      </c>
      <c r="K237" s="3" t="n">
        <v>1</v>
      </c>
      <c r="L237" s="3" t="n">
        <v>1</v>
      </c>
      <c r="M237" s="3" t="n">
        <v>2</v>
      </c>
      <c r="N237" s="3" t="n">
        <v>2</v>
      </c>
      <c r="O237" s="3" t="n">
        <v>1</v>
      </c>
      <c r="P237" s="3" t="n">
        <v>1</v>
      </c>
      <c r="Q237" s="3" t="n">
        <v>2</v>
      </c>
      <c r="R237" s="3" t="n">
        <v>2</v>
      </c>
      <c r="S237" s="4" t="n">
        <v>2</v>
      </c>
      <c r="T237" s="3" t="n">
        <v>2</v>
      </c>
      <c r="U237" s="3" t="n">
        <v>4.92</v>
      </c>
      <c r="V237" s="3" t="n">
        <v>1.09</v>
      </c>
      <c r="W237" s="3" t="n">
        <v>8.1</v>
      </c>
      <c r="X237" s="3" t="n">
        <v>525</v>
      </c>
      <c r="Z237" s="3" t="n">
        <v>0.54</v>
      </c>
      <c r="AA237" s="3" t="n">
        <v>15.9</v>
      </c>
      <c r="AB237" s="3" t="n">
        <v>2</v>
      </c>
      <c r="AC237" s="3" t="n">
        <v>2</v>
      </c>
      <c r="AD237" s="3" t="n">
        <v>1</v>
      </c>
      <c r="AE237" s="3" t="n">
        <v>1</v>
      </c>
      <c r="AF237" s="3" t="n">
        <v>1</v>
      </c>
      <c r="AG237" s="3" t="n">
        <v>2</v>
      </c>
      <c r="AH237" s="3" t="n">
        <v>1</v>
      </c>
      <c r="AI237" s="3" t="n">
        <v>2</v>
      </c>
      <c r="AJ237" s="3" t="n">
        <v>2</v>
      </c>
      <c r="AK237" s="3" t="n">
        <v>2</v>
      </c>
      <c r="AL237" s="3" t="n">
        <v>1</v>
      </c>
      <c r="AM237" s="3" t="n">
        <v>1</v>
      </c>
      <c r="AN237" s="3" t="n">
        <v>2</v>
      </c>
      <c r="AO237" s="3" t="n">
        <v>3</v>
      </c>
      <c r="AP237" s="3" t="n">
        <v>4</v>
      </c>
      <c r="AQ237" s="3" t="n">
        <v>4</v>
      </c>
      <c r="AR237" s="3" t="n">
        <v>6</v>
      </c>
      <c r="AS237" s="3" t="n">
        <v>4</v>
      </c>
      <c r="AT237" s="3" t="n">
        <v>4</v>
      </c>
      <c r="AU237" s="3" t="n">
        <v>6</v>
      </c>
      <c r="AV237" s="3" t="n">
        <v>6</v>
      </c>
      <c r="AW237" s="3" t="n">
        <v>3</v>
      </c>
      <c r="AX237" s="3" t="n">
        <v>3</v>
      </c>
      <c r="AY237" s="3" t="n">
        <v>4</v>
      </c>
      <c r="AZ237" s="5" t="n">
        <v>1</v>
      </c>
      <c r="BA237" s="3" t="n">
        <v>1</v>
      </c>
      <c r="BB237" s="3" t="n">
        <v>1</v>
      </c>
      <c r="BC237" s="3" t="n">
        <v>2</v>
      </c>
      <c r="BD237" s="3" t="n">
        <v>1</v>
      </c>
      <c r="BE237" s="3" t="n">
        <v>2</v>
      </c>
      <c r="BF237" s="3" t="n">
        <v>2</v>
      </c>
      <c r="BG237" s="3" t="n">
        <v>4</v>
      </c>
      <c r="BH237" s="3" t="n">
        <v>1</v>
      </c>
      <c r="BI237" s="3" t="n">
        <v>1</v>
      </c>
    </row>
    <row r="238" customFormat="false" ht="12.75" hidden="false" customHeight="false" outlineLevel="0" collapsed="false">
      <c r="A238" s="2" t="s">
        <v>2373</v>
      </c>
      <c r="B238" s="2" t="s">
        <v>102</v>
      </c>
      <c r="C238" s="2" t="s">
        <v>2374</v>
      </c>
      <c r="D238" s="2" t="n">
        <v>201340</v>
      </c>
      <c r="E238" s="15" t="n">
        <v>44066</v>
      </c>
      <c r="F238" s="15" t="n">
        <v>44072</v>
      </c>
      <c r="G238" s="3" t="n">
        <v>6</v>
      </c>
      <c r="H238" s="3" t="n">
        <v>1</v>
      </c>
      <c r="I238" s="3" t="n">
        <v>59</v>
      </c>
      <c r="J238" s="3" t="n">
        <v>2</v>
      </c>
      <c r="K238" s="3" t="n">
        <v>1</v>
      </c>
      <c r="L238" s="3" t="n">
        <v>1</v>
      </c>
      <c r="M238" s="3" t="n">
        <v>2</v>
      </c>
      <c r="N238" s="3" t="n">
        <v>1</v>
      </c>
      <c r="O238" s="3" t="n">
        <v>2</v>
      </c>
      <c r="P238" s="3" t="n">
        <v>1</v>
      </c>
      <c r="Q238" s="3" t="n">
        <v>2</v>
      </c>
      <c r="R238" s="3" t="n">
        <v>2</v>
      </c>
      <c r="S238" s="4" t="n">
        <v>2</v>
      </c>
      <c r="T238" s="3" t="n">
        <v>2</v>
      </c>
      <c r="U238" s="3" t="n">
        <v>6.13</v>
      </c>
      <c r="V238" s="3" t="n">
        <v>2.42</v>
      </c>
      <c r="W238" s="3" t="n">
        <v>7.83</v>
      </c>
      <c r="X238" s="3" t="n">
        <v>415</v>
      </c>
      <c r="Z238" s="3" t="n">
        <v>0.45</v>
      </c>
      <c r="AA238" s="3" t="n">
        <v>12.8</v>
      </c>
      <c r="AB238" s="3" t="n">
        <v>1</v>
      </c>
      <c r="AC238" s="3" t="n">
        <v>2</v>
      </c>
      <c r="AD238" s="3" t="n">
        <v>1</v>
      </c>
      <c r="AE238" s="3" t="n">
        <v>1</v>
      </c>
      <c r="AF238" s="3" t="n">
        <v>2</v>
      </c>
      <c r="AG238" s="3" t="n">
        <v>2</v>
      </c>
      <c r="AH238" s="3" t="n">
        <v>1</v>
      </c>
      <c r="AI238" s="3" t="n">
        <v>2</v>
      </c>
      <c r="AJ238" s="3" t="n">
        <v>2</v>
      </c>
      <c r="AK238" s="3" t="n">
        <v>2</v>
      </c>
      <c r="AL238" s="3" t="n">
        <v>2</v>
      </c>
      <c r="AM238" s="3" t="n">
        <v>2</v>
      </c>
      <c r="AN238" s="3" t="n">
        <v>2</v>
      </c>
      <c r="AO238" s="3" t="n">
        <v>3</v>
      </c>
      <c r="AP238" s="3" t="n">
        <v>4</v>
      </c>
      <c r="AQ238" s="3" t="n">
        <v>4</v>
      </c>
      <c r="AR238" s="3" t="n">
        <v>6</v>
      </c>
      <c r="AS238" s="3" t="n">
        <v>4</v>
      </c>
      <c r="AT238" s="3" t="n">
        <v>4</v>
      </c>
      <c r="AU238" s="3" t="n">
        <v>6</v>
      </c>
      <c r="AV238" s="3" t="n">
        <v>6</v>
      </c>
      <c r="AW238" s="3" t="n">
        <v>3</v>
      </c>
      <c r="AX238" s="3" t="n">
        <v>3</v>
      </c>
      <c r="AY238" s="3" t="n">
        <v>1</v>
      </c>
      <c r="AZ238" s="5" t="n">
        <v>1</v>
      </c>
      <c r="BA238" s="3" t="n">
        <v>1</v>
      </c>
      <c r="BB238" s="3" t="n">
        <v>1</v>
      </c>
      <c r="BC238" s="3" t="n">
        <v>4</v>
      </c>
      <c r="BD238" s="3" t="n">
        <v>1</v>
      </c>
      <c r="BE238" s="3" t="n">
        <v>2</v>
      </c>
      <c r="BF238" s="3" t="n">
        <v>1</v>
      </c>
      <c r="BG238" s="3" t="n">
        <v>4</v>
      </c>
      <c r="BH238" s="3" t="n">
        <v>1</v>
      </c>
      <c r="BI238" s="3" t="n">
        <v>1</v>
      </c>
    </row>
    <row r="239" customFormat="false" ht="12.75" hidden="false" customHeight="false" outlineLevel="0" collapsed="false">
      <c r="A239" s="2" t="s">
        <v>2387</v>
      </c>
      <c r="B239" s="2" t="s">
        <v>2388</v>
      </c>
      <c r="C239" s="2" t="s">
        <v>611</v>
      </c>
      <c r="D239" s="2" t="n">
        <v>201789</v>
      </c>
      <c r="E239" s="15" t="n">
        <v>44075</v>
      </c>
      <c r="F239" s="15" t="n">
        <v>44081</v>
      </c>
      <c r="G239" s="3" t="n">
        <v>6</v>
      </c>
      <c r="H239" s="3" t="n">
        <v>2</v>
      </c>
      <c r="I239" s="3" t="n">
        <v>62</v>
      </c>
      <c r="J239" s="3" t="n">
        <v>1</v>
      </c>
      <c r="K239" s="3" t="n">
        <v>1</v>
      </c>
      <c r="L239" s="3" t="n">
        <v>1</v>
      </c>
      <c r="M239" s="3" t="n">
        <v>2</v>
      </c>
      <c r="N239" s="3" t="n">
        <v>2</v>
      </c>
      <c r="O239" s="3" t="n">
        <v>2</v>
      </c>
      <c r="P239" s="3" t="n">
        <v>1</v>
      </c>
      <c r="Q239" s="3" t="n">
        <v>2</v>
      </c>
      <c r="R239" s="3" t="n">
        <v>2</v>
      </c>
      <c r="S239" s="4" t="n">
        <v>2</v>
      </c>
      <c r="T239" s="3" t="n">
        <v>2</v>
      </c>
      <c r="U239" s="3" t="n">
        <v>4.06</v>
      </c>
      <c r="V239" s="3" t="n">
        <v>1.97</v>
      </c>
      <c r="W239" s="3" t="n">
        <v>6.67</v>
      </c>
      <c r="X239" s="3" t="n">
        <v>370</v>
      </c>
      <c r="Z239" s="3" t="n">
        <v>0.43</v>
      </c>
      <c r="AA239" s="3" t="n">
        <v>10.1</v>
      </c>
      <c r="AB239" s="3" t="n">
        <v>1</v>
      </c>
      <c r="AC239" s="3" t="n">
        <v>1</v>
      </c>
      <c r="AD239" s="3" t="n">
        <v>1</v>
      </c>
      <c r="AE239" s="3" t="n">
        <v>1</v>
      </c>
      <c r="AF239" s="3" t="n">
        <v>1</v>
      </c>
      <c r="AG239" s="3" t="n">
        <v>2</v>
      </c>
      <c r="AH239" s="3" t="n">
        <v>1</v>
      </c>
      <c r="AI239" s="3" t="n">
        <v>2</v>
      </c>
      <c r="AJ239" s="3" t="n">
        <v>2</v>
      </c>
      <c r="AK239" s="3" t="n">
        <v>2</v>
      </c>
      <c r="AL239" s="3" t="n">
        <v>2</v>
      </c>
      <c r="AM239" s="3" t="n">
        <v>2</v>
      </c>
      <c r="AN239" s="3" t="n">
        <v>2</v>
      </c>
      <c r="AO239" s="3" t="n">
        <v>3</v>
      </c>
      <c r="AP239" s="3" t="n">
        <v>4</v>
      </c>
      <c r="AQ239" s="3" t="n">
        <v>4</v>
      </c>
      <c r="AR239" s="3" t="n">
        <v>6</v>
      </c>
      <c r="AS239" s="3" t="n">
        <v>4</v>
      </c>
      <c r="AT239" s="3" t="n">
        <v>4</v>
      </c>
      <c r="AU239" s="3" t="n">
        <v>6</v>
      </c>
      <c r="AV239" s="3" t="n">
        <v>6</v>
      </c>
      <c r="AW239" s="3" t="n">
        <v>3</v>
      </c>
      <c r="AX239" s="3" t="n">
        <v>3</v>
      </c>
      <c r="AY239" s="3" t="n">
        <v>1</v>
      </c>
      <c r="AZ239" s="5" t="n">
        <v>5</v>
      </c>
      <c r="BA239" s="3" t="n">
        <v>2</v>
      </c>
      <c r="BB239" s="3" t="n">
        <v>1</v>
      </c>
      <c r="BC239" s="3" t="n">
        <v>6</v>
      </c>
      <c r="BD239" s="3" t="n">
        <v>3</v>
      </c>
      <c r="BE239" s="3" t="n">
        <v>5</v>
      </c>
      <c r="BF239" s="3" t="n">
        <v>3</v>
      </c>
      <c r="BG239" s="3" t="n">
        <v>4</v>
      </c>
      <c r="BH239" s="3" t="n">
        <v>1</v>
      </c>
      <c r="BI239" s="3" t="n">
        <v>1</v>
      </c>
    </row>
    <row r="240" customFormat="false" ht="12.75" hidden="false" customHeight="false" outlineLevel="0" collapsed="false">
      <c r="A240" s="2" t="s">
        <v>2390</v>
      </c>
      <c r="B240" s="2" t="s">
        <v>560</v>
      </c>
      <c r="C240" s="2" t="s">
        <v>2391</v>
      </c>
      <c r="D240" s="2" t="n">
        <v>201778</v>
      </c>
      <c r="E240" s="15" t="n">
        <v>44075</v>
      </c>
      <c r="F240" s="15" t="n">
        <v>44081</v>
      </c>
      <c r="G240" s="3" t="n">
        <v>6</v>
      </c>
      <c r="H240" s="3" t="n">
        <v>1</v>
      </c>
      <c r="I240" s="3" t="n">
        <v>64</v>
      </c>
      <c r="J240" s="3" t="n">
        <v>2</v>
      </c>
      <c r="K240" s="3" t="n">
        <v>2</v>
      </c>
      <c r="L240" s="3" t="n">
        <v>1</v>
      </c>
      <c r="M240" s="3" t="n">
        <v>2</v>
      </c>
      <c r="N240" s="3" t="n">
        <v>2</v>
      </c>
      <c r="O240" s="3" t="n">
        <v>2</v>
      </c>
      <c r="P240" s="3" t="n">
        <v>1</v>
      </c>
      <c r="Q240" s="3" t="n">
        <v>2</v>
      </c>
      <c r="R240" s="3" t="n">
        <v>2</v>
      </c>
      <c r="S240" s="4" t="n">
        <v>2</v>
      </c>
      <c r="T240" s="3" t="n">
        <v>2</v>
      </c>
      <c r="U240" s="3" t="n">
        <v>5.51</v>
      </c>
      <c r="V240" s="3" t="n">
        <v>1.35</v>
      </c>
      <c r="W240" s="3" t="n">
        <v>10.42</v>
      </c>
      <c r="X240" s="3" t="n">
        <v>247</v>
      </c>
      <c r="Z240" s="3" t="n">
        <v>0.36</v>
      </c>
      <c r="AA240" s="3" t="n">
        <v>11</v>
      </c>
      <c r="AB240" s="3" t="n">
        <v>2</v>
      </c>
      <c r="AC240" s="3" t="n">
        <v>2</v>
      </c>
      <c r="AD240" s="3" t="n">
        <v>1</v>
      </c>
      <c r="AE240" s="3" t="n">
        <v>1</v>
      </c>
      <c r="AF240" s="3" t="n">
        <v>2</v>
      </c>
      <c r="AG240" s="3" t="n">
        <v>1</v>
      </c>
      <c r="AH240" s="3" t="n">
        <v>1</v>
      </c>
      <c r="AI240" s="3" t="n">
        <v>2</v>
      </c>
      <c r="AJ240" s="3" t="n">
        <v>1</v>
      </c>
      <c r="AK240" s="3" t="n">
        <v>2</v>
      </c>
      <c r="AL240" s="3" t="n">
        <v>1</v>
      </c>
      <c r="AM240" s="3" t="n">
        <v>2</v>
      </c>
      <c r="AN240" s="3" t="n">
        <v>2</v>
      </c>
      <c r="AO240" s="3" t="n">
        <v>3</v>
      </c>
      <c r="AP240" s="3" t="n">
        <v>4</v>
      </c>
      <c r="AQ240" s="3" t="n">
        <v>4</v>
      </c>
      <c r="AR240" s="3" t="n">
        <v>6</v>
      </c>
      <c r="AS240" s="3" t="n">
        <v>4</v>
      </c>
      <c r="AT240" s="3" t="n">
        <v>4</v>
      </c>
      <c r="AU240" s="3" t="n">
        <v>6</v>
      </c>
      <c r="AV240" s="3" t="n">
        <v>6</v>
      </c>
      <c r="AW240" s="3" t="n">
        <v>3</v>
      </c>
      <c r="AX240" s="3" t="n">
        <v>3</v>
      </c>
      <c r="AY240" s="3" t="n">
        <v>1</v>
      </c>
      <c r="AZ240" s="5" t="n">
        <v>1</v>
      </c>
      <c r="BA240" s="3" t="n">
        <v>1</v>
      </c>
      <c r="BB240" s="3" t="n">
        <v>1</v>
      </c>
      <c r="BC240" s="3" t="n">
        <v>2</v>
      </c>
      <c r="BD240" s="3" t="n">
        <v>1</v>
      </c>
      <c r="BE240" s="3" t="n">
        <v>2</v>
      </c>
      <c r="BF240" s="3" t="n">
        <v>1</v>
      </c>
      <c r="BG240" s="3" t="n">
        <v>4</v>
      </c>
      <c r="BH240" s="3" t="n">
        <v>1</v>
      </c>
      <c r="BI240" s="3" t="n">
        <v>1</v>
      </c>
    </row>
    <row r="241" customFormat="false" ht="12.75" hidden="false" customHeight="false" outlineLevel="0" collapsed="false">
      <c r="A241" s="2" t="s">
        <v>348</v>
      </c>
      <c r="B241" s="2" t="s">
        <v>2397</v>
      </c>
      <c r="C241" s="2" t="s">
        <v>2398</v>
      </c>
      <c r="D241" s="2" t="n">
        <v>201853</v>
      </c>
      <c r="E241" s="15" t="n">
        <v>44077</v>
      </c>
      <c r="F241" s="15" t="n">
        <v>44083</v>
      </c>
      <c r="G241" s="3" t="n">
        <v>6</v>
      </c>
      <c r="H241" s="3" t="n">
        <v>1</v>
      </c>
      <c r="I241" s="3" t="n">
        <v>69</v>
      </c>
      <c r="J241" s="3" t="n">
        <v>2</v>
      </c>
      <c r="K241" s="3" t="n">
        <v>1</v>
      </c>
      <c r="L241" s="3" t="n">
        <v>1</v>
      </c>
      <c r="M241" s="3" t="n">
        <v>2</v>
      </c>
      <c r="N241" s="3" t="n">
        <v>2</v>
      </c>
      <c r="O241" s="3" t="n">
        <v>2</v>
      </c>
      <c r="P241" s="3" t="n">
        <v>2</v>
      </c>
      <c r="Q241" s="3" t="n">
        <v>2</v>
      </c>
      <c r="R241" s="3" t="n">
        <v>2</v>
      </c>
      <c r="S241" s="4" t="n">
        <v>2</v>
      </c>
      <c r="T241" s="3" t="n">
        <v>2</v>
      </c>
      <c r="U241" s="3" t="n">
        <v>5.81</v>
      </c>
      <c r="V241" s="3" t="n">
        <v>1.03</v>
      </c>
      <c r="W241" s="3" t="n">
        <v>5.84</v>
      </c>
      <c r="X241" s="3" t="n">
        <v>227</v>
      </c>
      <c r="Z241" s="3" t="n">
        <v>0.44</v>
      </c>
      <c r="AA241" s="3" t="n">
        <v>11.9</v>
      </c>
      <c r="AB241" s="3" t="n">
        <v>1</v>
      </c>
      <c r="AC241" s="3" t="n">
        <v>2</v>
      </c>
      <c r="AD241" s="3" t="n">
        <v>1</v>
      </c>
      <c r="AE241" s="3" t="n">
        <v>1</v>
      </c>
      <c r="AF241" s="3" t="n">
        <v>1</v>
      </c>
      <c r="AG241" s="3" t="n">
        <v>2</v>
      </c>
      <c r="AH241" s="3" t="n">
        <v>1</v>
      </c>
      <c r="AI241" s="3" t="n">
        <v>2</v>
      </c>
      <c r="AJ241" s="3" t="n">
        <v>2</v>
      </c>
      <c r="AK241" s="3" t="n">
        <v>2</v>
      </c>
      <c r="AL241" s="3" t="n">
        <v>1</v>
      </c>
      <c r="AM241" s="3" t="n">
        <v>2</v>
      </c>
      <c r="AN241" s="3" t="n">
        <v>2</v>
      </c>
      <c r="AO241" s="3" t="n">
        <v>3</v>
      </c>
      <c r="AP241" s="3" t="n">
        <v>4</v>
      </c>
      <c r="AQ241" s="3" t="n">
        <v>4</v>
      </c>
      <c r="AR241" s="3" t="n">
        <v>6</v>
      </c>
      <c r="AS241" s="3" t="n">
        <v>4</v>
      </c>
      <c r="AT241" s="3" t="n">
        <v>4</v>
      </c>
      <c r="AU241" s="3" t="n">
        <v>6</v>
      </c>
      <c r="AV241" s="3" t="n">
        <v>6</v>
      </c>
      <c r="AW241" s="3" t="n">
        <v>3</v>
      </c>
      <c r="AX241" s="3" t="n">
        <v>3</v>
      </c>
      <c r="AY241" s="3" t="n">
        <v>1</v>
      </c>
      <c r="AZ241" s="5" t="n">
        <v>1</v>
      </c>
      <c r="BA241" s="3" t="n">
        <v>1</v>
      </c>
      <c r="BB241" s="3" t="n">
        <v>1</v>
      </c>
      <c r="BC241" s="3" t="n">
        <v>4</v>
      </c>
      <c r="BD241" s="3" t="n">
        <v>1</v>
      </c>
      <c r="BE241" s="3" t="n">
        <v>2</v>
      </c>
      <c r="BF241" s="3" t="n">
        <v>1</v>
      </c>
      <c r="BG241" s="3" t="n">
        <v>4</v>
      </c>
      <c r="BH241" s="3" t="n">
        <v>1</v>
      </c>
      <c r="BI241" s="3" t="n">
        <v>1</v>
      </c>
    </row>
    <row r="242" customFormat="false" ht="12.75" hidden="false" customHeight="false" outlineLevel="0" collapsed="false">
      <c r="A242" s="2" t="s">
        <v>2402</v>
      </c>
      <c r="B242" s="2" t="s">
        <v>95</v>
      </c>
      <c r="C242" s="2" t="s">
        <v>109</v>
      </c>
      <c r="D242" s="2" t="n">
        <v>201901</v>
      </c>
      <c r="E242" s="15" t="n">
        <v>44079</v>
      </c>
      <c r="F242" s="15" t="n">
        <v>44085</v>
      </c>
      <c r="G242" s="3" t="n">
        <v>6</v>
      </c>
      <c r="H242" s="3" t="n">
        <v>1</v>
      </c>
      <c r="I242" s="3" t="n">
        <v>51</v>
      </c>
      <c r="J242" s="3" t="n">
        <v>1</v>
      </c>
      <c r="K242" s="3" t="n">
        <v>1</v>
      </c>
      <c r="L242" s="3" t="n">
        <v>1</v>
      </c>
      <c r="M242" s="3" t="n">
        <v>2</v>
      </c>
      <c r="N242" s="3" t="n">
        <v>2</v>
      </c>
      <c r="O242" s="3" t="n">
        <v>2</v>
      </c>
      <c r="P242" s="3" t="n">
        <v>2</v>
      </c>
      <c r="Q242" s="3" t="n">
        <v>2</v>
      </c>
      <c r="R242" s="3" t="n">
        <v>2</v>
      </c>
      <c r="S242" s="4" t="n">
        <v>2</v>
      </c>
      <c r="T242" s="3" t="n">
        <v>2</v>
      </c>
      <c r="U242" s="3" t="n">
        <v>5.11</v>
      </c>
      <c r="V242" s="3" t="n">
        <v>1.8</v>
      </c>
      <c r="W242" s="3" t="n">
        <v>6.43</v>
      </c>
      <c r="X242" s="3" t="n">
        <v>378</v>
      </c>
      <c r="Z242" s="3" t="n">
        <v>0.4</v>
      </c>
      <c r="AA242" s="3" t="n">
        <v>13</v>
      </c>
      <c r="AB242" s="3" t="n">
        <v>2</v>
      </c>
      <c r="AC242" s="3" t="n">
        <v>1</v>
      </c>
      <c r="AD242" s="3" t="n">
        <v>1</v>
      </c>
      <c r="AE242" s="3" t="n">
        <v>1</v>
      </c>
      <c r="AF242" s="3" t="n">
        <v>1</v>
      </c>
      <c r="AG242" s="3" t="n">
        <v>1</v>
      </c>
      <c r="AH242" s="3" t="n">
        <v>1</v>
      </c>
      <c r="AI242" s="3" t="n">
        <v>2</v>
      </c>
      <c r="AJ242" s="3" t="n">
        <v>2</v>
      </c>
      <c r="AK242" s="3" t="n">
        <v>2</v>
      </c>
      <c r="AL242" s="3" t="n">
        <v>1</v>
      </c>
      <c r="AM242" s="3" t="n">
        <v>2</v>
      </c>
      <c r="AN242" s="3" t="n">
        <v>2</v>
      </c>
      <c r="AO242" s="3" t="n">
        <v>3</v>
      </c>
      <c r="AP242" s="3" t="n">
        <v>4</v>
      </c>
      <c r="AQ242" s="3" t="n">
        <v>4</v>
      </c>
      <c r="AR242" s="3" t="n">
        <v>6</v>
      </c>
      <c r="AS242" s="3" t="n">
        <v>4</v>
      </c>
      <c r="AT242" s="3" t="n">
        <v>4</v>
      </c>
      <c r="AU242" s="3" t="n">
        <v>6</v>
      </c>
      <c r="AV242" s="3" t="n">
        <v>6</v>
      </c>
      <c r="AW242" s="3" t="n">
        <v>3</v>
      </c>
      <c r="AX242" s="3" t="n">
        <v>3</v>
      </c>
      <c r="AY242" s="3" t="n">
        <v>1</v>
      </c>
      <c r="AZ242" s="5" t="n">
        <v>1</v>
      </c>
      <c r="BA242" s="3" t="n">
        <v>1</v>
      </c>
      <c r="BB242" s="3" t="n">
        <v>1</v>
      </c>
      <c r="BC242" s="3" t="n">
        <v>2</v>
      </c>
      <c r="BD242" s="3" t="n">
        <v>3</v>
      </c>
      <c r="BE242" s="3" t="n">
        <v>5</v>
      </c>
      <c r="BF242" s="3" t="n">
        <v>3</v>
      </c>
      <c r="BG242" s="3" t="n">
        <v>4</v>
      </c>
      <c r="BH242" s="3" t="n">
        <v>1</v>
      </c>
      <c r="BI242" s="3" t="n">
        <v>1</v>
      </c>
    </row>
    <row r="243" customFormat="false" ht="12.75" hidden="false" customHeight="false" outlineLevel="0" collapsed="false">
      <c r="A243" s="2" t="s">
        <v>1917</v>
      </c>
      <c r="B243" s="2" t="s">
        <v>2406</v>
      </c>
      <c r="C243" s="2" t="s">
        <v>898</v>
      </c>
      <c r="D243" s="2" t="n">
        <v>201942</v>
      </c>
      <c r="E243" s="15" t="n">
        <v>44081</v>
      </c>
      <c r="F243" s="15" t="n">
        <v>44088</v>
      </c>
      <c r="G243" s="3" t="n">
        <v>7</v>
      </c>
      <c r="H243" s="3" t="n">
        <v>1</v>
      </c>
      <c r="I243" s="3" t="n">
        <v>65</v>
      </c>
      <c r="J243" s="3" t="n">
        <v>1</v>
      </c>
      <c r="K243" s="3" t="n">
        <v>1</v>
      </c>
      <c r="L243" s="3" t="n">
        <v>1</v>
      </c>
      <c r="M243" s="3" t="n">
        <v>2</v>
      </c>
      <c r="N243" s="3" t="n">
        <v>2</v>
      </c>
      <c r="O243" s="3" t="n">
        <v>2</v>
      </c>
      <c r="P243" s="3" t="n">
        <v>2</v>
      </c>
      <c r="Q243" s="3" t="n">
        <v>2</v>
      </c>
      <c r="R243" s="3" t="n">
        <v>2</v>
      </c>
      <c r="S243" s="4" t="n">
        <v>2</v>
      </c>
      <c r="T243" s="3" t="n">
        <v>2</v>
      </c>
      <c r="U243" s="3" t="n">
        <v>6.2</v>
      </c>
      <c r="V243" s="3" t="n">
        <v>4.91</v>
      </c>
      <c r="W243" s="3" t="n">
        <v>6.03</v>
      </c>
      <c r="X243" s="3" t="n">
        <v>456</v>
      </c>
      <c r="Z243" s="3" t="n">
        <v>0.45</v>
      </c>
      <c r="AA243" s="3" t="n">
        <v>11.6</v>
      </c>
      <c r="AB243" s="3" t="n">
        <v>1</v>
      </c>
      <c r="AC243" s="3" t="n">
        <v>2</v>
      </c>
      <c r="AD243" s="3" t="n">
        <v>1</v>
      </c>
      <c r="AE243" s="3" t="n">
        <v>1</v>
      </c>
      <c r="AF243" s="3" t="n">
        <v>2</v>
      </c>
      <c r="AG243" s="3" t="n">
        <v>2</v>
      </c>
      <c r="AH243" s="3" t="n">
        <v>1</v>
      </c>
      <c r="AI243" s="3" t="n">
        <v>2</v>
      </c>
      <c r="AJ243" s="3" t="n">
        <v>2</v>
      </c>
      <c r="AK243" s="3" t="n">
        <v>2</v>
      </c>
      <c r="AL243" s="3" t="n">
        <v>1</v>
      </c>
      <c r="AM243" s="3" t="n">
        <v>2</v>
      </c>
      <c r="AN243" s="3" t="n">
        <v>2</v>
      </c>
      <c r="AO243" s="3" t="n">
        <v>3</v>
      </c>
      <c r="AP243" s="3" t="n">
        <v>4</v>
      </c>
      <c r="AQ243" s="3" t="n">
        <v>4</v>
      </c>
      <c r="AR243" s="3" t="n">
        <v>6</v>
      </c>
      <c r="AS243" s="3" t="n">
        <v>4</v>
      </c>
      <c r="AT243" s="3" t="n">
        <v>4</v>
      </c>
      <c r="AU243" s="3" t="n">
        <v>6</v>
      </c>
      <c r="AV243" s="3" t="n">
        <v>6</v>
      </c>
      <c r="AW243" s="3" t="n">
        <v>3</v>
      </c>
      <c r="AX243" s="3" t="n">
        <v>3</v>
      </c>
      <c r="AY243" s="3" t="n">
        <v>1</v>
      </c>
      <c r="AZ243" s="5" t="n">
        <v>1</v>
      </c>
      <c r="BA243" s="3" t="n">
        <v>1</v>
      </c>
      <c r="BB243" s="3" t="n">
        <v>1</v>
      </c>
      <c r="BC243" s="3" t="n">
        <v>4</v>
      </c>
      <c r="BD243" s="3" t="n">
        <v>1</v>
      </c>
      <c r="BE243" s="3" t="n">
        <v>2</v>
      </c>
      <c r="BF243" s="3" t="n">
        <v>1</v>
      </c>
      <c r="BG243" s="3" t="n">
        <v>4</v>
      </c>
      <c r="BH243" s="3" t="n">
        <v>1</v>
      </c>
      <c r="BI243" s="3" t="n">
        <v>1</v>
      </c>
    </row>
    <row r="244" customFormat="false" ht="12.75" hidden="false" customHeight="false" outlineLevel="0" collapsed="false">
      <c r="A244" s="2" t="s">
        <v>2417</v>
      </c>
      <c r="B244" s="2" t="s">
        <v>2133</v>
      </c>
      <c r="C244" s="2" t="s">
        <v>588</v>
      </c>
      <c r="D244" s="2" t="n">
        <v>202241</v>
      </c>
      <c r="E244" s="15" t="n">
        <v>44089</v>
      </c>
      <c r="F244" s="15" t="n">
        <v>44092</v>
      </c>
      <c r="G244" s="3" t="n">
        <v>3</v>
      </c>
      <c r="H244" s="3" t="n">
        <v>2</v>
      </c>
      <c r="I244" s="3" t="n">
        <v>57</v>
      </c>
      <c r="J244" s="3" t="n">
        <v>1</v>
      </c>
      <c r="K244" s="3" t="n">
        <v>2</v>
      </c>
      <c r="L244" s="3" t="n">
        <v>1</v>
      </c>
      <c r="M244" s="3" t="n">
        <v>2</v>
      </c>
      <c r="N244" s="3" t="n">
        <v>1</v>
      </c>
      <c r="O244" s="3" t="n">
        <v>2</v>
      </c>
      <c r="P244" s="3" t="n">
        <v>2</v>
      </c>
      <c r="Q244" s="3" t="n">
        <v>2</v>
      </c>
      <c r="R244" s="3" t="n">
        <v>2</v>
      </c>
      <c r="S244" s="4" t="n">
        <v>2</v>
      </c>
      <c r="T244" s="3" t="n">
        <v>2</v>
      </c>
      <c r="U244" s="3" t="n">
        <v>4.5</v>
      </c>
      <c r="V244" s="3" t="n">
        <v>1.3</v>
      </c>
      <c r="W244" s="3" t="n">
        <v>5.4</v>
      </c>
      <c r="X244" s="3" t="n">
        <v>410</v>
      </c>
      <c r="Z244" s="3" t="n">
        <v>0.49</v>
      </c>
      <c r="AA244" s="3" t="n">
        <v>11.8</v>
      </c>
      <c r="AB244" s="3" t="n">
        <v>1</v>
      </c>
      <c r="AC244" s="3" t="n">
        <v>2</v>
      </c>
      <c r="AD244" s="3" t="n">
        <v>1</v>
      </c>
      <c r="AE244" s="3" t="n">
        <v>1</v>
      </c>
      <c r="AF244" s="3" t="n">
        <v>1</v>
      </c>
      <c r="AG244" s="3" t="n">
        <v>2</v>
      </c>
      <c r="AH244" s="3" t="n">
        <v>1</v>
      </c>
      <c r="AI244" s="3" t="n">
        <v>2</v>
      </c>
      <c r="AJ244" s="3" t="n">
        <v>2</v>
      </c>
      <c r="AK244" s="3" t="n">
        <v>2</v>
      </c>
      <c r="AL244" s="3" t="n">
        <v>2</v>
      </c>
      <c r="AM244" s="3" t="n">
        <v>2</v>
      </c>
      <c r="AN244" s="3" t="n">
        <v>2</v>
      </c>
      <c r="AO244" s="3" t="n">
        <v>2</v>
      </c>
      <c r="AP244" s="3" t="n">
        <v>3</v>
      </c>
      <c r="AQ244" s="3" t="n">
        <v>7</v>
      </c>
      <c r="AR244" s="3" t="n">
        <v>2</v>
      </c>
      <c r="AS244" s="3" t="n">
        <v>2</v>
      </c>
      <c r="AT244" s="3" t="n">
        <v>1</v>
      </c>
      <c r="AU244" s="3" t="n">
        <v>1</v>
      </c>
      <c r="AV244" s="3" t="n">
        <v>1</v>
      </c>
      <c r="AW244" s="3" t="n">
        <v>2</v>
      </c>
      <c r="AX244" s="3" t="n">
        <v>2</v>
      </c>
      <c r="AY244" s="3" t="n">
        <v>1</v>
      </c>
      <c r="AZ244" s="5" t="n">
        <v>1</v>
      </c>
      <c r="BA244" s="3" t="n">
        <v>1</v>
      </c>
      <c r="BB244" s="3" t="n">
        <v>1</v>
      </c>
      <c r="BC244" s="3" t="n">
        <v>4</v>
      </c>
      <c r="BD244" s="3" t="n">
        <v>1</v>
      </c>
      <c r="BE244" s="3" t="n">
        <v>2</v>
      </c>
      <c r="BF244" s="3" t="n">
        <v>1</v>
      </c>
      <c r="BG244" s="3" t="n">
        <v>4</v>
      </c>
      <c r="BH244" s="3" t="n">
        <v>1</v>
      </c>
      <c r="BI244" s="3" t="n">
        <v>1</v>
      </c>
    </row>
    <row r="245" customFormat="false" ht="12.75" hidden="false" customHeight="false" outlineLevel="0" collapsed="false">
      <c r="A245" s="2" t="s">
        <v>2419</v>
      </c>
      <c r="B245" s="2" t="s">
        <v>1643</v>
      </c>
      <c r="C245" s="2" t="s">
        <v>197</v>
      </c>
      <c r="D245" s="2" t="n">
        <v>202274</v>
      </c>
      <c r="E245" s="15" t="n">
        <v>44089</v>
      </c>
      <c r="F245" s="15" t="n">
        <v>44096</v>
      </c>
      <c r="G245" s="3" t="n">
        <v>7</v>
      </c>
      <c r="H245" s="3" t="n">
        <v>2</v>
      </c>
      <c r="I245" s="3" t="n">
        <v>51</v>
      </c>
      <c r="J245" s="3" t="n">
        <v>2</v>
      </c>
      <c r="K245" s="3" t="n">
        <v>2</v>
      </c>
      <c r="L245" s="3" t="n">
        <v>1</v>
      </c>
      <c r="M245" s="3" t="n">
        <v>2</v>
      </c>
      <c r="N245" s="3" t="n">
        <v>2</v>
      </c>
      <c r="O245" s="3" t="n">
        <v>1</v>
      </c>
      <c r="P245" s="3" t="n">
        <v>1</v>
      </c>
      <c r="Q245" s="3" t="n">
        <v>2</v>
      </c>
      <c r="R245" s="3" t="n">
        <v>2</v>
      </c>
      <c r="S245" s="4" t="n">
        <v>2</v>
      </c>
      <c r="T245" s="3" t="n">
        <v>2</v>
      </c>
      <c r="U245" s="3" t="n">
        <v>5.13</v>
      </c>
      <c r="V245" s="3" t="n">
        <v>2.37</v>
      </c>
      <c r="W245" s="3" t="n">
        <v>11.56</v>
      </c>
      <c r="X245" s="3" t="n">
        <v>407</v>
      </c>
      <c r="Z245" s="3" t="n">
        <v>0.5</v>
      </c>
      <c r="AA245" s="3" t="n">
        <v>12</v>
      </c>
      <c r="AB245" s="3" t="n">
        <v>1</v>
      </c>
      <c r="AC245" s="3" t="n">
        <v>2</v>
      </c>
      <c r="AD245" s="3" t="n">
        <v>1</v>
      </c>
      <c r="AE245" s="3" t="n">
        <v>1</v>
      </c>
      <c r="AF245" s="3" t="n">
        <v>1</v>
      </c>
      <c r="AG245" s="3" t="n">
        <v>2</v>
      </c>
      <c r="AH245" s="3" t="n">
        <v>1</v>
      </c>
      <c r="AI245" s="3" t="n">
        <v>2</v>
      </c>
      <c r="AJ245" s="3" t="n">
        <v>2</v>
      </c>
      <c r="AK245" s="3" t="n">
        <v>2</v>
      </c>
      <c r="AL245" s="3" t="n">
        <v>1</v>
      </c>
      <c r="AM245" s="3" t="n">
        <v>2</v>
      </c>
      <c r="AN245" s="3" t="n">
        <v>2</v>
      </c>
      <c r="AO245" s="3" t="n">
        <v>3</v>
      </c>
      <c r="AP245" s="3" t="n">
        <v>4</v>
      </c>
      <c r="AQ245" s="3" t="n">
        <v>4</v>
      </c>
      <c r="AR245" s="3" t="n">
        <v>6</v>
      </c>
      <c r="AS245" s="3" t="n">
        <v>4</v>
      </c>
      <c r="AT245" s="3" t="n">
        <v>4</v>
      </c>
      <c r="AU245" s="3" t="n">
        <v>6</v>
      </c>
      <c r="AV245" s="3" t="n">
        <v>6</v>
      </c>
      <c r="AW245" s="3" t="n">
        <v>3</v>
      </c>
      <c r="AX245" s="3" t="n">
        <v>3</v>
      </c>
      <c r="AY245" s="3" t="n">
        <v>1</v>
      </c>
      <c r="AZ245" s="5" t="n">
        <v>1</v>
      </c>
      <c r="BA245" s="3" t="n">
        <v>1</v>
      </c>
      <c r="BB245" s="3" t="n">
        <v>1</v>
      </c>
      <c r="BC245" s="3" t="n">
        <v>2</v>
      </c>
      <c r="BD245" s="3" t="n">
        <v>1</v>
      </c>
      <c r="BE245" s="3" t="n">
        <v>3</v>
      </c>
      <c r="BF245" s="3" t="n">
        <v>1</v>
      </c>
      <c r="BG245" s="3" t="n">
        <v>4</v>
      </c>
      <c r="BH245" s="3" t="n">
        <v>1</v>
      </c>
      <c r="BI245" s="3" t="n">
        <v>1</v>
      </c>
    </row>
    <row r="246" customFormat="false" ht="12.75" hidden="false" customHeight="false" outlineLevel="0" collapsed="false">
      <c r="A246" s="2" t="s">
        <v>2430</v>
      </c>
      <c r="B246" s="2" t="s">
        <v>144</v>
      </c>
      <c r="C246" s="2" t="s">
        <v>2431</v>
      </c>
      <c r="D246" s="2" t="n">
        <v>202119</v>
      </c>
      <c r="E246" s="15" t="n">
        <v>44090</v>
      </c>
      <c r="F246" s="15" t="n">
        <v>44097</v>
      </c>
      <c r="G246" s="3" t="n">
        <v>7</v>
      </c>
      <c r="H246" s="3" t="n">
        <v>1</v>
      </c>
      <c r="I246" s="3" t="n">
        <v>65</v>
      </c>
      <c r="J246" s="3" t="n">
        <v>2</v>
      </c>
      <c r="K246" s="3" t="n">
        <v>1</v>
      </c>
      <c r="L246" s="3" t="n">
        <v>1</v>
      </c>
      <c r="M246" s="3" t="n">
        <v>1</v>
      </c>
      <c r="N246" s="3" t="n">
        <v>2</v>
      </c>
      <c r="O246" s="3" t="n">
        <v>2</v>
      </c>
      <c r="P246" s="3" t="n">
        <v>2</v>
      </c>
      <c r="Q246" s="3" t="n">
        <v>2</v>
      </c>
      <c r="R246" s="3" t="n">
        <v>2</v>
      </c>
      <c r="S246" s="4" t="n">
        <v>2</v>
      </c>
      <c r="T246" s="3" t="n">
        <v>2</v>
      </c>
      <c r="U246" s="3" t="n">
        <v>4.57</v>
      </c>
      <c r="V246" s="3" t="n">
        <v>1.22</v>
      </c>
      <c r="W246" s="3" t="n">
        <v>5.45</v>
      </c>
      <c r="X246" s="3" t="n">
        <v>471</v>
      </c>
      <c r="Z246" s="3" t="n">
        <v>0.37</v>
      </c>
      <c r="AA246" s="3" t="n">
        <v>6.6</v>
      </c>
      <c r="AB246" s="3" t="n">
        <v>1</v>
      </c>
      <c r="AC246" s="3" t="n">
        <v>2</v>
      </c>
      <c r="AD246" s="3" t="n">
        <v>1</v>
      </c>
      <c r="AE246" s="3" t="n">
        <v>1</v>
      </c>
      <c r="AF246" s="3" t="n">
        <v>2</v>
      </c>
      <c r="AG246" s="3" t="n">
        <v>2</v>
      </c>
      <c r="AH246" s="3" t="n">
        <v>1</v>
      </c>
      <c r="AI246" s="3" t="n">
        <v>2</v>
      </c>
      <c r="AJ246" s="3" t="n">
        <v>2</v>
      </c>
      <c r="AK246" s="3" t="n">
        <v>2</v>
      </c>
      <c r="AL246" s="3" t="n">
        <v>2</v>
      </c>
      <c r="AM246" s="3" t="n">
        <v>2</v>
      </c>
      <c r="AN246" s="3" t="n">
        <v>2</v>
      </c>
      <c r="AO246" s="3" t="n">
        <v>3</v>
      </c>
      <c r="AP246" s="3" t="n">
        <v>4</v>
      </c>
      <c r="AQ246" s="3" t="n">
        <v>4</v>
      </c>
      <c r="AR246" s="3" t="n">
        <v>6</v>
      </c>
      <c r="AS246" s="3" t="n">
        <v>4</v>
      </c>
      <c r="AT246" s="3" t="n">
        <v>4</v>
      </c>
      <c r="AU246" s="3" t="n">
        <v>6</v>
      </c>
      <c r="AV246" s="3" t="n">
        <v>6</v>
      </c>
      <c r="AW246" s="3" t="n">
        <v>3</v>
      </c>
      <c r="AX246" s="3" t="n">
        <v>3</v>
      </c>
      <c r="AY246" s="3" t="n">
        <v>1</v>
      </c>
      <c r="AZ246" s="5" t="n">
        <v>1</v>
      </c>
      <c r="BA246" s="3" t="n">
        <v>1</v>
      </c>
      <c r="BB246" s="3" t="n">
        <v>1</v>
      </c>
      <c r="BC246" s="3" t="n">
        <v>4</v>
      </c>
      <c r="BD246" s="3" t="n">
        <v>1</v>
      </c>
      <c r="BE246" s="3" t="n">
        <v>2</v>
      </c>
      <c r="BF246" s="3" t="n">
        <v>1</v>
      </c>
      <c r="BG246" s="3" t="n">
        <v>4</v>
      </c>
      <c r="BH246" s="3" t="n">
        <v>1</v>
      </c>
      <c r="BI246" s="3" t="n">
        <v>1</v>
      </c>
    </row>
    <row r="247" customFormat="false" ht="12.75" hidden="false" customHeight="false" outlineLevel="0" collapsed="false">
      <c r="A247" s="2" t="s">
        <v>1832</v>
      </c>
      <c r="B247" s="2" t="s">
        <v>808</v>
      </c>
      <c r="C247" s="2" t="s">
        <v>780</v>
      </c>
      <c r="D247" s="2" t="n">
        <v>202507</v>
      </c>
      <c r="E247" s="15" t="n">
        <v>44098</v>
      </c>
      <c r="F247" s="15" t="n">
        <v>44105</v>
      </c>
      <c r="G247" s="3" t="n">
        <v>6</v>
      </c>
      <c r="H247" s="3" t="n">
        <v>2</v>
      </c>
      <c r="I247" s="3" t="n">
        <v>68</v>
      </c>
      <c r="J247" s="3" t="n">
        <v>1</v>
      </c>
      <c r="K247" s="3" t="n">
        <v>1</v>
      </c>
      <c r="L247" s="3" t="n">
        <v>1</v>
      </c>
      <c r="M247" s="3" t="n">
        <v>2</v>
      </c>
      <c r="N247" s="3" t="n">
        <v>2</v>
      </c>
      <c r="O247" s="3" t="n">
        <v>2</v>
      </c>
      <c r="P247" s="3" t="n">
        <v>2</v>
      </c>
      <c r="Q247" s="3" t="n">
        <v>2</v>
      </c>
      <c r="R247" s="3" t="n">
        <v>1</v>
      </c>
      <c r="S247" s="4" t="n">
        <v>2</v>
      </c>
      <c r="T247" s="3" t="n">
        <v>2</v>
      </c>
      <c r="U247" s="3" t="n">
        <v>4.46</v>
      </c>
      <c r="V247" s="3" t="n">
        <v>1.82</v>
      </c>
      <c r="W247" s="3" t="n">
        <v>5.3</v>
      </c>
      <c r="X247" s="3" t="n">
        <v>398</v>
      </c>
      <c r="Z247" s="3" t="n">
        <v>0.47</v>
      </c>
      <c r="AA247" s="3" t="n">
        <v>13</v>
      </c>
      <c r="AB247" s="3" t="n">
        <v>1</v>
      </c>
      <c r="AC247" s="3" t="n">
        <v>2</v>
      </c>
      <c r="AD247" s="3" t="n">
        <v>1</v>
      </c>
      <c r="AE247" s="3" t="n">
        <v>1</v>
      </c>
      <c r="AF247" s="3" t="n">
        <v>2</v>
      </c>
      <c r="AG247" s="3" t="n">
        <v>2</v>
      </c>
      <c r="AH247" s="3" t="n">
        <v>1</v>
      </c>
      <c r="AI247" s="3" t="n">
        <v>1</v>
      </c>
      <c r="AJ247" s="3" t="n">
        <v>2</v>
      </c>
      <c r="AK247" s="3" t="n">
        <v>2</v>
      </c>
      <c r="AL247" s="3" t="n">
        <v>2</v>
      </c>
      <c r="AM247" s="3" t="n">
        <v>2</v>
      </c>
      <c r="AN247" s="3" t="n">
        <v>2</v>
      </c>
      <c r="AO247" s="3" t="n">
        <v>3</v>
      </c>
      <c r="AP247" s="3" t="n">
        <v>4</v>
      </c>
      <c r="AQ247" s="3" t="n">
        <v>4</v>
      </c>
      <c r="AR247" s="3" t="n">
        <v>6</v>
      </c>
      <c r="AS247" s="3" t="n">
        <v>4</v>
      </c>
      <c r="AT247" s="3" t="n">
        <v>4</v>
      </c>
      <c r="AU247" s="3" t="n">
        <v>6</v>
      </c>
      <c r="AV247" s="3" t="n">
        <v>6</v>
      </c>
      <c r="AW247" s="3" t="n">
        <v>3</v>
      </c>
      <c r="AX247" s="3" t="n">
        <v>3</v>
      </c>
      <c r="AY247" s="3" t="n">
        <v>1</v>
      </c>
      <c r="AZ247" s="5" t="n">
        <v>1</v>
      </c>
      <c r="BA247" s="3" t="n">
        <v>1</v>
      </c>
      <c r="BB247" s="3" t="n">
        <v>1</v>
      </c>
      <c r="BC247" s="3" t="n">
        <v>2</v>
      </c>
      <c r="BD247" s="3" t="n">
        <v>3</v>
      </c>
      <c r="BE247" s="3" t="n">
        <v>5</v>
      </c>
      <c r="BF247" s="3" t="n">
        <v>3</v>
      </c>
      <c r="BG247" s="3" t="n">
        <v>4</v>
      </c>
      <c r="BH247" s="3" t="n">
        <v>1</v>
      </c>
      <c r="BI247" s="3" t="n">
        <v>1</v>
      </c>
    </row>
    <row r="248" customFormat="false" ht="12.75" hidden="false" customHeight="false" outlineLevel="0" collapsed="false">
      <c r="A248" s="2" t="s">
        <v>2448</v>
      </c>
      <c r="B248" s="2" t="s">
        <v>2449</v>
      </c>
      <c r="C248" s="2" t="s">
        <v>78</v>
      </c>
      <c r="D248" s="2" t="n">
        <v>202530</v>
      </c>
      <c r="E248" s="15" t="n">
        <v>44098</v>
      </c>
      <c r="F248" s="15" t="n">
        <v>44105</v>
      </c>
      <c r="G248" s="3" t="n">
        <v>6</v>
      </c>
      <c r="H248" s="3" t="n">
        <v>1</v>
      </c>
      <c r="I248" s="3" t="n">
        <v>58</v>
      </c>
      <c r="J248" s="3" t="n">
        <v>1</v>
      </c>
      <c r="K248" s="3" t="n">
        <v>1</v>
      </c>
      <c r="L248" s="3" t="n">
        <v>1</v>
      </c>
      <c r="M248" s="3" t="n">
        <v>2</v>
      </c>
      <c r="N248" s="3" t="n">
        <v>1</v>
      </c>
      <c r="O248" s="3" t="n">
        <v>2</v>
      </c>
      <c r="P248" s="3" t="n">
        <v>1</v>
      </c>
      <c r="Q248" s="3" t="n">
        <v>2</v>
      </c>
      <c r="R248" s="3" t="n">
        <v>2</v>
      </c>
      <c r="S248" s="4" t="n">
        <v>2</v>
      </c>
      <c r="T248" s="3" t="n">
        <v>2</v>
      </c>
      <c r="U248" s="3" t="n">
        <v>5.73</v>
      </c>
      <c r="V248" s="3" t="n">
        <v>1.48</v>
      </c>
      <c r="W248" s="3" t="n">
        <v>7.15</v>
      </c>
      <c r="X248" s="3" t="n">
        <v>356</v>
      </c>
      <c r="Z248" s="3" t="n">
        <v>0.42</v>
      </c>
      <c r="AA248" s="3" t="n">
        <v>18</v>
      </c>
      <c r="AB248" s="3" t="n">
        <v>1</v>
      </c>
      <c r="AC248" s="3" t="n">
        <v>2</v>
      </c>
      <c r="AD248" s="3" t="n">
        <v>1</v>
      </c>
      <c r="AE248" s="3" t="n">
        <v>1</v>
      </c>
      <c r="AF248" s="3" t="n">
        <v>2</v>
      </c>
      <c r="AG248" s="3" t="n">
        <v>1</v>
      </c>
      <c r="AH248" s="3" t="n">
        <v>1</v>
      </c>
      <c r="AI248" s="3" t="n">
        <v>2</v>
      </c>
      <c r="AJ248" s="3" t="n">
        <v>2</v>
      </c>
      <c r="AK248" s="3" t="n">
        <v>2</v>
      </c>
      <c r="AL248" s="3" t="n">
        <v>2</v>
      </c>
      <c r="AM248" s="3" t="n">
        <v>2</v>
      </c>
      <c r="AN248" s="3" t="n">
        <v>2</v>
      </c>
      <c r="AO248" s="3" t="n">
        <v>3</v>
      </c>
      <c r="AP248" s="3" t="n">
        <v>4</v>
      </c>
      <c r="AQ248" s="3" t="n">
        <v>4</v>
      </c>
      <c r="AR248" s="3" t="n">
        <v>6</v>
      </c>
      <c r="AS248" s="3" t="n">
        <v>4</v>
      </c>
      <c r="AT248" s="3" t="n">
        <v>4</v>
      </c>
      <c r="AU248" s="3" t="n">
        <v>6</v>
      </c>
      <c r="AV248" s="3" t="n">
        <v>6</v>
      </c>
      <c r="AW248" s="3" t="n">
        <v>3</v>
      </c>
      <c r="AX248" s="3" t="n">
        <v>3</v>
      </c>
      <c r="AY248" s="3" t="n">
        <v>1</v>
      </c>
      <c r="AZ248" s="5" t="n">
        <v>1</v>
      </c>
      <c r="BA248" s="3" t="n">
        <v>1</v>
      </c>
      <c r="BB248" s="3" t="n">
        <v>1</v>
      </c>
      <c r="BC248" s="3" t="n">
        <v>4</v>
      </c>
      <c r="BD248" s="3" t="n">
        <v>1</v>
      </c>
      <c r="BE248" s="3" t="n">
        <v>2</v>
      </c>
      <c r="BF248" s="3" t="n">
        <v>1</v>
      </c>
      <c r="BG248" s="3" t="n">
        <v>4</v>
      </c>
      <c r="BH248" s="3" t="n">
        <v>1</v>
      </c>
      <c r="BI248" s="3" t="n">
        <v>1</v>
      </c>
    </row>
    <row r="249" customFormat="false" ht="12.75" hidden="false" customHeight="false" outlineLevel="0" collapsed="false">
      <c r="A249" s="2" t="s">
        <v>912</v>
      </c>
      <c r="B249" s="2" t="s">
        <v>1984</v>
      </c>
      <c r="C249" s="2" t="s">
        <v>414</v>
      </c>
      <c r="D249" s="2" t="n">
        <v>202718</v>
      </c>
      <c r="E249" s="15" t="n">
        <v>44104</v>
      </c>
      <c r="F249" s="15" t="n">
        <v>44110</v>
      </c>
      <c r="G249" s="3" t="n">
        <v>7</v>
      </c>
      <c r="H249" s="3" t="n">
        <v>2</v>
      </c>
      <c r="I249" s="3" t="n">
        <v>49</v>
      </c>
      <c r="J249" s="3" t="n">
        <v>1</v>
      </c>
      <c r="K249" s="3" t="n">
        <v>1</v>
      </c>
      <c r="L249" s="3" t="n">
        <v>1</v>
      </c>
      <c r="M249" s="3" t="n">
        <v>2</v>
      </c>
      <c r="N249" s="3" t="n">
        <v>2</v>
      </c>
      <c r="O249" s="3" t="n">
        <v>2</v>
      </c>
      <c r="P249" s="3" t="n">
        <v>2</v>
      </c>
      <c r="Q249" s="3" t="n">
        <v>2</v>
      </c>
      <c r="R249" s="3" t="n">
        <v>2</v>
      </c>
      <c r="S249" s="4" t="n">
        <v>2</v>
      </c>
      <c r="T249" s="3" t="n">
        <v>2</v>
      </c>
      <c r="U249" s="3" t="n">
        <v>4.97</v>
      </c>
      <c r="V249" s="3" t="n">
        <v>2.03</v>
      </c>
      <c r="W249" s="3" t="n">
        <v>3.34</v>
      </c>
      <c r="X249" s="3" t="n">
        <v>346</v>
      </c>
      <c r="Z249" s="3" t="n">
        <v>0.5</v>
      </c>
      <c r="AA249" s="3" t="n">
        <v>8.1</v>
      </c>
      <c r="AB249" s="3" t="n">
        <v>1</v>
      </c>
      <c r="AC249" s="3" t="n">
        <v>2</v>
      </c>
      <c r="AD249" s="3" t="n">
        <v>1</v>
      </c>
      <c r="AE249" s="3" t="n">
        <v>1</v>
      </c>
      <c r="AF249" s="3" t="n">
        <v>1</v>
      </c>
      <c r="AG249" s="3" t="n">
        <v>2</v>
      </c>
      <c r="AH249" s="3" t="n">
        <v>1</v>
      </c>
      <c r="AI249" s="3" t="n">
        <v>2</v>
      </c>
      <c r="AJ249" s="3" t="n">
        <v>2</v>
      </c>
      <c r="AK249" s="3" t="n">
        <v>2</v>
      </c>
      <c r="AL249" s="3" t="n">
        <v>2</v>
      </c>
      <c r="AM249" s="3" t="n">
        <v>2</v>
      </c>
      <c r="AN249" s="3" t="n">
        <v>2</v>
      </c>
      <c r="AO249" s="3" t="n">
        <v>3</v>
      </c>
      <c r="AP249" s="3" t="n">
        <v>4</v>
      </c>
      <c r="AQ249" s="3" t="n">
        <v>4</v>
      </c>
      <c r="AR249" s="3" t="n">
        <v>6</v>
      </c>
      <c r="AS249" s="3" t="n">
        <v>4</v>
      </c>
      <c r="AT249" s="3" t="n">
        <v>4</v>
      </c>
      <c r="AU249" s="3" t="n">
        <v>6</v>
      </c>
      <c r="AV249" s="3" t="n">
        <v>6</v>
      </c>
      <c r="AW249" s="3" t="n">
        <v>3</v>
      </c>
      <c r="AX249" s="3" t="n">
        <v>3</v>
      </c>
      <c r="AY249" s="3" t="n">
        <v>1</v>
      </c>
      <c r="AZ249" s="5" t="n">
        <v>1</v>
      </c>
      <c r="BA249" s="3" t="n">
        <v>1</v>
      </c>
      <c r="BB249" s="3" t="n">
        <v>1</v>
      </c>
      <c r="BC249" s="3" t="n">
        <v>4</v>
      </c>
      <c r="BD249" s="3" t="n">
        <v>1</v>
      </c>
      <c r="BE249" s="3" t="n">
        <v>1</v>
      </c>
      <c r="BF249" s="3" t="n">
        <v>1</v>
      </c>
      <c r="BG249" s="3" t="n">
        <v>4</v>
      </c>
      <c r="BH249" s="3" t="n">
        <v>1</v>
      </c>
      <c r="BI249" s="3" t="n">
        <v>1</v>
      </c>
    </row>
    <row r="250" customFormat="false" ht="12.75" hidden="false" customHeight="false" outlineLevel="0" collapsed="false">
      <c r="A250" s="2" t="s">
        <v>2457</v>
      </c>
      <c r="B250" s="2" t="s">
        <v>826</v>
      </c>
      <c r="C250" s="2" t="s">
        <v>118</v>
      </c>
      <c r="D250" s="2" t="n">
        <v>202667</v>
      </c>
      <c r="E250" s="15" t="n">
        <v>44104</v>
      </c>
      <c r="F250" s="15" t="n">
        <v>44111</v>
      </c>
      <c r="G250" s="3" t="n">
        <v>7</v>
      </c>
      <c r="H250" s="3" t="n">
        <v>2</v>
      </c>
      <c r="I250" s="3" t="n">
        <v>71</v>
      </c>
      <c r="J250" s="3" t="n">
        <v>2</v>
      </c>
      <c r="K250" s="3" t="n">
        <v>1</v>
      </c>
      <c r="L250" s="3" t="n">
        <v>2</v>
      </c>
      <c r="M250" s="3" t="n">
        <v>2</v>
      </c>
      <c r="N250" s="3" t="n">
        <v>2</v>
      </c>
      <c r="O250" s="3" t="n">
        <v>2</v>
      </c>
      <c r="P250" s="3" t="n">
        <v>2</v>
      </c>
      <c r="Q250" s="3" t="n">
        <v>2</v>
      </c>
      <c r="R250" s="3" t="n">
        <v>2</v>
      </c>
      <c r="S250" s="4" t="n">
        <v>2</v>
      </c>
      <c r="T250" s="3" t="n">
        <v>2</v>
      </c>
      <c r="U250" s="3" t="n">
        <v>3.8</v>
      </c>
      <c r="V250" s="3" t="n">
        <v>2.12</v>
      </c>
      <c r="W250" s="3" t="n">
        <v>11.8</v>
      </c>
      <c r="X250" s="3" t="n">
        <v>482</v>
      </c>
      <c r="Z250" s="3" t="n">
        <v>0.41</v>
      </c>
      <c r="AA250" s="3" t="n">
        <v>18.3</v>
      </c>
      <c r="AB250" s="3" t="n">
        <v>1</v>
      </c>
      <c r="AC250" s="3" t="n">
        <v>1</v>
      </c>
      <c r="AD250" s="3" t="n">
        <v>1</v>
      </c>
      <c r="AE250" s="3" t="n">
        <v>1</v>
      </c>
      <c r="AF250" s="3" t="n">
        <v>1</v>
      </c>
      <c r="AG250" s="3" t="n">
        <v>2</v>
      </c>
      <c r="AH250" s="3" t="n">
        <v>1</v>
      </c>
      <c r="AI250" s="3" t="n">
        <v>2</v>
      </c>
      <c r="AJ250" s="3" t="n">
        <v>2</v>
      </c>
      <c r="AK250" s="3" t="n">
        <v>2</v>
      </c>
      <c r="AL250" s="3" t="n">
        <v>2</v>
      </c>
      <c r="AM250" s="3" t="n">
        <v>2</v>
      </c>
      <c r="AN250" s="3" t="n">
        <v>2</v>
      </c>
      <c r="AO250" s="3" t="n">
        <v>3</v>
      </c>
      <c r="AP250" s="3" t="n">
        <v>4</v>
      </c>
      <c r="AQ250" s="3" t="n">
        <v>4</v>
      </c>
      <c r="AR250" s="3" t="n">
        <v>6</v>
      </c>
      <c r="AS250" s="3" t="n">
        <v>4</v>
      </c>
      <c r="AT250" s="3" t="n">
        <v>4</v>
      </c>
      <c r="AU250" s="3" t="n">
        <v>6</v>
      </c>
      <c r="AV250" s="3" t="n">
        <v>6</v>
      </c>
      <c r="AW250" s="3" t="n">
        <v>3</v>
      </c>
      <c r="AX250" s="3" t="n">
        <v>3</v>
      </c>
      <c r="AY250" s="3" t="n">
        <v>1</v>
      </c>
      <c r="AZ250" s="5" t="n">
        <v>1</v>
      </c>
      <c r="BA250" s="3" t="n">
        <v>1</v>
      </c>
      <c r="BB250" s="3" t="n">
        <v>1</v>
      </c>
      <c r="BC250" s="3" t="n">
        <v>4</v>
      </c>
      <c r="BD250" s="3" t="n">
        <v>1</v>
      </c>
      <c r="BE250" s="3" t="n">
        <v>2</v>
      </c>
      <c r="BF250" s="3" t="n">
        <v>1</v>
      </c>
      <c r="BG250" s="3" t="n">
        <v>4</v>
      </c>
      <c r="BH250" s="3" t="n">
        <v>1</v>
      </c>
      <c r="BI250" s="3" t="n">
        <v>1</v>
      </c>
    </row>
    <row r="251" customFormat="false" ht="12.75" hidden="false" customHeight="false" outlineLevel="0" collapsed="false">
      <c r="A251" s="2" t="s">
        <v>2460</v>
      </c>
      <c r="B251" s="2" t="s">
        <v>2461</v>
      </c>
      <c r="C251" s="2" t="s">
        <v>898</v>
      </c>
      <c r="D251" s="2" t="n">
        <v>202757</v>
      </c>
      <c r="E251" s="15" t="n">
        <v>44106</v>
      </c>
      <c r="F251" s="15" t="n">
        <v>44112</v>
      </c>
      <c r="G251" s="3" t="n">
        <v>6</v>
      </c>
      <c r="H251" s="3" t="n">
        <v>2</v>
      </c>
      <c r="I251" s="3" t="n">
        <v>71</v>
      </c>
      <c r="J251" s="3" t="n">
        <v>1</v>
      </c>
      <c r="K251" s="3" t="n">
        <v>1</v>
      </c>
      <c r="L251" s="3" t="n">
        <v>2</v>
      </c>
      <c r="M251" s="3" t="n">
        <v>2</v>
      </c>
      <c r="N251" s="3" t="n">
        <v>2</v>
      </c>
      <c r="O251" s="3" t="n">
        <v>2</v>
      </c>
      <c r="P251" s="3" t="n">
        <v>2</v>
      </c>
      <c r="Q251" s="3" t="n">
        <v>2</v>
      </c>
      <c r="R251" s="3" t="n">
        <v>2</v>
      </c>
      <c r="S251" s="4" t="n">
        <v>2</v>
      </c>
      <c r="T251" s="3" t="n">
        <v>2</v>
      </c>
      <c r="U251" s="3" t="n">
        <v>3.88</v>
      </c>
      <c r="V251" s="3" t="n">
        <v>0.68</v>
      </c>
      <c r="W251" s="3" t="n">
        <v>5.86</v>
      </c>
      <c r="X251" s="3" t="n">
        <v>359</v>
      </c>
      <c r="Z251" s="3" t="n">
        <v>0.44</v>
      </c>
      <c r="AA251" s="3" t="n">
        <v>12.4</v>
      </c>
      <c r="AB251" s="3" t="n">
        <v>1</v>
      </c>
      <c r="AC251" s="3" t="n">
        <v>2</v>
      </c>
      <c r="AD251" s="3" t="n">
        <v>1</v>
      </c>
      <c r="AE251" s="3" t="n">
        <v>1</v>
      </c>
      <c r="AF251" s="3" t="n">
        <v>1</v>
      </c>
      <c r="AG251" s="3" t="n">
        <v>2</v>
      </c>
      <c r="AH251" s="3" t="n">
        <v>1</v>
      </c>
      <c r="AI251" s="3" t="n">
        <v>2</v>
      </c>
      <c r="AJ251" s="3" t="n">
        <v>2</v>
      </c>
      <c r="AK251" s="3" t="n">
        <v>2</v>
      </c>
      <c r="AL251" s="3" t="n">
        <v>2</v>
      </c>
      <c r="AM251" s="3" t="n">
        <v>2</v>
      </c>
      <c r="AN251" s="3" t="n">
        <v>2</v>
      </c>
      <c r="AO251" s="3" t="n">
        <v>3</v>
      </c>
      <c r="AP251" s="3" t="n">
        <v>4</v>
      </c>
      <c r="AQ251" s="3" t="n">
        <v>4</v>
      </c>
      <c r="AR251" s="3" t="n">
        <v>6</v>
      </c>
      <c r="AS251" s="3" t="n">
        <v>4</v>
      </c>
      <c r="AT251" s="3" t="n">
        <v>4</v>
      </c>
      <c r="AU251" s="3" t="n">
        <v>6</v>
      </c>
      <c r="AV251" s="3" t="n">
        <v>6</v>
      </c>
      <c r="AW251" s="3" t="n">
        <v>3</v>
      </c>
      <c r="AX251" s="3" t="n">
        <v>3</v>
      </c>
      <c r="AY251" s="3" t="n">
        <v>1</v>
      </c>
      <c r="AZ251" s="5" t="n">
        <v>1</v>
      </c>
      <c r="BA251" s="3" t="n">
        <v>1</v>
      </c>
      <c r="BB251" s="3" t="n">
        <v>1</v>
      </c>
      <c r="BC251" s="3" t="n">
        <v>4</v>
      </c>
      <c r="BD251" s="3" t="n">
        <v>2</v>
      </c>
      <c r="BE251" s="3" t="n">
        <v>5</v>
      </c>
      <c r="BF251" s="3" t="n">
        <v>3</v>
      </c>
      <c r="BG251" s="3" t="n">
        <v>4</v>
      </c>
      <c r="BH251" s="3" t="n">
        <v>1</v>
      </c>
      <c r="BI251" s="3" t="n">
        <v>1</v>
      </c>
    </row>
    <row r="252" customFormat="false" ht="12.75" hidden="false" customHeight="false" outlineLevel="0" collapsed="false">
      <c r="A252" s="2" t="s">
        <v>394</v>
      </c>
      <c r="B252" s="2" t="s">
        <v>2463</v>
      </c>
      <c r="C252" s="2" t="s">
        <v>2464</v>
      </c>
      <c r="D252" s="2" t="n">
        <v>202721</v>
      </c>
      <c r="E252" s="15" t="n">
        <v>44105</v>
      </c>
      <c r="F252" s="15" t="n">
        <v>44112</v>
      </c>
      <c r="G252" s="3" t="n">
        <v>7</v>
      </c>
      <c r="H252" s="3" t="n">
        <v>2</v>
      </c>
      <c r="I252" s="3" t="n">
        <v>63</v>
      </c>
      <c r="J252" s="3" t="n">
        <v>1</v>
      </c>
      <c r="K252" s="3" t="n">
        <v>2</v>
      </c>
      <c r="L252" s="3" t="n">
        <v>2</v>
      </c>
      <c r="M252" s="3" t="n">
        <v>2</v>
      </c>
      <c r="N252" s="3" t="n">
        <v>2</v>
      </c>
      <c r="O252" s="3" t="n">
        <v>2</v>
      </c>
      <c r="P252" s="3" t="n">
        <v>2</v>
      </c>
      <c r="Q252" s="3" t="n">
        <v>2</v>
      </c>
      <c r="R252" s="3" t="n">
        <v>2</v>
      </c>
      <c r="S252" s="4" t="n">
        <v>2</v>
      </c>
      <c r="T252" s="3" t="n">
        <v>2</v>
      </c>
      <c r="U252" s="3" t="n">
        <v>3.21</v>
      </c>
      <c r="V252" s="3" t="n">
        <v>1.76</v>
      </c>
      <c r="W252" s="3" t="n">
        <v>5.11</v>
      </c>
      <c r="X252" s="3" t="n">
        <v>363</v>
      </c>
      <c r="Z252" s="3" t="n">
        <v>0.45</v>
      </c>
      <c r="AA252" s="3" t="n">
        <v>6.8</v>
      </c>
      <c r="AB252" s="3" t="n">
        <v>1</v>
      </c>
      <c r="AC252" s="3" t="n">
        <v>2</v>
      </c>
      <c r="AD252" s="3" t="n">
        <v>1</v>
      </c>
      <c r="AE252" s="3" t="n">
        <v>1</v>
      </c>
      <c r="AF252" s="3" t="n">
        <v>2</v>
      </c>
      <c r="AG252" s="3" t="n">
        <v>2</v>
      </c>
      <c r="AH252" s="3" t="n">
        <v>1</v>
      </c>
      <c r="AI252" s="3" t="n">
        <v>2</v>
      </c>
      <c r="AJ252" s="3" t="n">
        <v>2</v>
      </c>
      <c r="AK252" s="3" t="n">
        <v>2</v>
      </c>
      <c r="AL252" s="3" t="n">
        <v>2</v>
      </c>
      <c r="AM252" s="3" t="n">
        <v>1</v>
      </c>
      <c r="AN252" s="3" t="n">
        <v>2</v>
      </c>
      <c r="AO252" s="3" t="n">
        <v>3</v>
      </c>
      <c r="AP252" s="3" t="n">
        <v>4</v>
      </c>
      <c r="AQ252" s="3" t="n">
        <v>4</v>
      </c>
      <c r="AR252" s="3" t="n">
        <v>6</v>
      </c>
      <c r="AS252" s="3" t="n">
        <v>4</v>
      </c>
      <c r="AT252" s="3" t="n">
        <v>4</v>
      </c>
      <c r="AU252" s="3" t="n">
        <v>6</v>
      </c>
      <c r="AV252" s="3" t="n">
        <v>6</v>
      </c>
      <c r="AW252" s="3" t="n">
        <v>3</v>
      </c>
      <c r="AX252" s="3" t="n">
        <v>3</v>
      </c>
      <c r="AY252" s="3" t="n">
        <v>1</v>
      </c>
      <c r="AZ252" s="5" t="n">
        <v>1</v>
      </c>
      <c r="BA252" s="3" t="n">
        <v>1</v>
      </c>
      <c r="BB252" s="3" t="n">
        <v>1</v>
      </c>
      <c r="BC252" s="3" t="n">
        <v>2</v>
      </c>
      <c r="BD252" s="3" t="n">
        <v>1</v>
      </c>
      <c r="BE252" s="3" t="n">
        <v>1</v>
      </c>
      <c r="BF252" s="3" t="n">
        <v>1</v>
      </c>
      <c r="BG252" s="3" t="n">
        <v>4</v>
      </c>
      <c r="BH252" s="3" t="n">
        <v>1</v>
      </c>
      <c r="BI252" s="3" t="n">
        <v>1</v>
      </c>
    </row>
    <row r="253" customFormat="false" ht="12.75" hidden="false" customHeight="false" outlineLevel="0" collapsed="false">
      <c r="A253" s="2" t="s">
        <v>2473</v>
      </c>
      <c r="B253" s="2" t="s">
        <v>846</v>
      </c>
      <c r="C253" s="2" t="s">
        <v>458</v>
      </c>
      <c r="D253" s="2" t="n">
        <v>202700</v>
      </c>
      <c r="E253" s="15" t="n">
        <v>44109</v>
      </c>
      <c r="F253" s="15" t="n">
        <v>44116</v>
      </c>
      <c r="G253" s="3" t="n">
        <v>7</v>
      </c>
      <c r="H253" s="3" t="n">
        <v>2</v>
      </c>
      <c r="I253" s="3" t="n">
        <v>79</v>
      </c>
      <c r="J253" s="3" t="n">
        <v>1</v>
      </c>
      <c r="K253" s="3" t="n">
        <v>1</v>
      </c>
      <c r="L253" s="3" t="n">
        <v>1</v>
      </c>
      <c r="M253" s="3" t="n">
        <v>2</v>
      </c>
      <c r="N253" s="3" t="n">
        <v>2</v>
      </c>
      <c r="O253" s="3" t="n">
        <v>2</v>
      </c>
      <c r="P253" s="3" t="n">
        <v>2</v>
      </c>
      <c r="Q253" s="3" t="n">
        <v>2</v>
      </c>
      <c r="R253" s="3" t="n">
        <v>2</v>
      </c>
      <c r="S253" s="4" t="n">
        <v>2</v>
      </c>
      <c r="T253" s="3" t="n">
        <v>2</v>
      </c>
      <c r="U253" s="3" t="n">
        <v>5.81</v>
      </c>
      <c r="V253" s="3" t="n">
        <v>0.64</v>
      </c>
      <c r="W253" s="3" t="n">
        <v>6.9</v>
      </c>
      <c r="X253" s="3" t="n">
        <v>443</v>
      </c>
      <c r="Z253" s="3" t="n">
        <v>0.52</v>
      </c>
      <c r="AA253" s="3" t="n">
        <v>15.6</v>
      </c>
      <c r="AB253" s="3" t="n">
        <v>1</v>
      </c>
      <c r="AC253" s="3" t="n">
        <v>2</v>
      </c>
      <c r="AD253" s="3" t="n">
        <v>1</v>
      </c>
      <c r="AE253" s="3" t="n">
        <v>1</v>
      </c>
      <c r="AF253" s="3" t="n">
        <v>1</v>
      </c>
      <c r="AG253" s="3" t="n">
        <v>2</v>
      </c>
      <c r="AH253" s="3" t="n">
        <v>1</v>
      </c>
      <c r="AI253" s="3" t="n">
        <v>2</v>
      </c>
      <c r="AJ253" s="3" t="n">
        <v>2</v>
      </c>
      <c r="AK253" s="3" t="n">
        <v>2</v>
      </c>
      <c r="AL253" s="3" t="n">
        <v>1</v>
      </c>
      <c r="AM253" s="3" t="n">
        <v>2</v>
      </c>
      <c r="AN253" s="3" t="n">
        <v>2</v>
      </c>
      <c r="AO253" s="3" t="n">
        <v>3</v>
      </c>
      <c r="AP253" s="3" t="n">
        <v>4</v>
      </c>
      <c r="AQ253" s="3" t="n">
        <v>4</v>
      </c>
      <c r="AR253" s="3" t="n">
        <v>6</v>
      </c>
      <c r="AS253" s="3" t="n">
        <v>4</v>
      </c>
      <c r="AT253" s="3" t="n">
        <v>4</v>
      </c>
      <c r="AU253" s="3" t="n">
        <v>6</v>
      </c>
      <c r="AV253" s="3" t="n">
        <v>6</v>
      </c>
      <c r="AW253" s="3" t="n">
        <v>3</v>
      </c>
      <c r="AX253" s="3" t="n">
        <v>3</v>
      </c>
      <c r="AY253" s="3" t="n">
        <v>1</v>
      </c>
      <c r="AZ253" s="5" t="n">
        <v>1</v>
      </c>
      <c r="BA253" s="3" t="n">
        <v>1</v>
      </c>
      <c r="BB253" s="3" t="n">
        <v>1</v>
      </c>
      <c r="BC253" s="3" t="n">
        <v>2</v>
      </c>
      <c r="BD253" s="3" t="n">
        <v>3</v>
      </c>
      <c r="BE253" s="3" t="n">
        <v>5</v>
      </c>
      <c r="BF253" s="3" t="n">
        <v>3</v>
      </c>
      <c r="BG253" s="3" t="n">
        <v>4</v>
      </c>
      <c r="BH253" s="3" t="n">
        <v>1</v>
      </c>
      <c r="BI253" s="3" t="n">
        <v>1</v>
      </c>
    </row>
    <row r="254" customFormat="false" ht="12.75" hidden="false" customHeight="false" outlineLevel="0" collapsed="false">
      <c r="A254" s="2" t="s">
        <v>2475</v>
      </c>
      <c r="B254" s="2" t="s">
        <v>2476</v>
      </c>
      <c r="C254" s="2" t="s">
        <v>197</v>
      </c>
      <c r="D254" s="2" t="n">
        <v>202735</v>
      </c>
      <c r="E254" s="15" t="n">
        <v>44110</v>
      </c>
      <c r="F254" s="15" t="n">
        <v>44116</v>
      </c>
      <c r="G254" s="3" t="n">
        <v>6</v>
      </c>
      <c r="H254" s="3" t="n">
        <v>2</v>
      </c>
      <c r="I254" s="3" t="n">
        <v>66</v>
      </c>
      <c r="J254" s="3" t="n">
        <v>1</v>
      </c>
      <c r="K254" s="3" t="n">
        <v>1</v>
      </c>
      <c r="L254" s="3" t="n">
        <v>1</v>
      </c>
      <c r="M254" s="3" t="n">
        <v>2</v>
      </c>
      <c r="N254" s="3" t="n">
        <v>2</v>
      </c>
      <c r="O254" s="3" t="n">
        <v>2</v>
      </c>
      <c r="P254" s="3" t="n">
        <v>2</v>
      </c>
      <c r="Q254" s="3" t="n">
        <v>2</v>
      </c>
      <c r="R254" s="3" t="n">
        <v>2</v>
      </c>
      <c r="S254" s="4" t="n">
        <v>2</v>
      </c>
      <c r="T254" s="3" t="n">
        <v>2</v>
      </c>
      <c r="U254" s="3" t="n">
        <v>5.4</v>
      </c>
      <c r="V254" s="3" t="n">
        <v>1.19</v>
      </c>
      <c r="W254" s="3" t="n">
        <v>5.58</v>
      </c>
      <c r="X254" s="3" t="n">
        <v>353</v>
      </c>
      <c r="Z254" s="3" t="n">
        <v>0.5</v>
      </c>
      <c r="AA254" s="3" t="n">
        <v>12</v>
      </c>
      <c r="AB254" s="3" t="n">
        <v>1</v>
      </c>
      <c r="AC254" s="3" t="n">
        <v>2</v>
      </c>
      <c r="AD254" s="3" t="n">
        <v>1</v>
      </c>
      <c r="AE254" s="3" t="n">
        <v>1</v>
      </c>
      <c r="AF254" s="3" t="n">
        <v>1</v>
      </c>
      <c r="AG254" s="3" t="n">
        <v>2</v>
      </c>
      <c r="AH254" s="3" t="n">
        <v>1</v>
      </c>
      <c r="AI254" s="3" t="n">
        <v>2</v>
      </c>
      <c r="AJ254" s="3" t="n">
        <v>2</v>
      </c>
      <c r="AK254" s="3" t="n">
        <v>2</v>
      </c>
      <c r="AL254" s="3" t="n">
        <v>1</v>
      </c>
      <c r="AM254" s="3" t="n">
        <v>2</v>
      </c>
      <c r="AN254" s="3" t="n">
        <v>2</v>
      </c>
      <c r="AO254" s="3" t="n">
        <v>3</v>
      </c>
      <c r="AP254" s="3" t="n">
        <v>4</v>
      </c>
      <c r="AQ254" s="3" t="n">
        <v>4</v>
      </c>
      <c r="AR254" s="3" t="n">
        <v>6</v>
      </c>
      <c r="AS254" s="3" t="n">
        <v>4</v>
      </c>
      <c r="AT254" s="3" t="n">
        <v>4</v>
      </c>
      <c r="AU254" s="3" t="n">
        <v>6</v>
      </c>
      <c r="AV254" s="3" t="n">
        <v>6</v>
      </c>
      <c r="AW254" s="3" t="n">
        <v>3</v>
      </c>
      <c r="AX254" s="3" t="n">
        <v>3</v>
      </c>
      <c r="AY254" s="3" t="n">
        <v>1</v>
      </c>
      <c r="AZ254" s="5" t="n">
        <v>1</v>
      </c>
      <c r="BA254" s="3" t="n">
        <v>1</v>
      </c>
      <c r="BB254" s="3" t="n">
        <v>1</v>
      </c>
      <c r="BC254" s="3" t="n">
        <v>6</v>
      </c>
      <c r="BD254" s="3" t="n">
        <v>3</v>
      </c>
      <c r="BE254" s="3" t="n">
        <v>5</v>
      </c>
      <c r="BF254" s="3" t="n">
        <v>3</v>
      </c>
      <c r="BG254" s="3" t="n">
        <v>4</v>
      </c>
      <c r="BH254" s="3" t="n">
        <v>1</v>
      </c>
      <c r="BI254" s="3" t="n">
        <v>1</v>
      </c>
    </row>
    <row r="255" customFormat="false" ht="12.75" hidden="false" customHeight="false" outlineLevel="0" collapsed="false">
      <c r="A255" s="2" t="s">
        <v>180</v>
      </c>
      <c r="B255" s="2" t="s">
        <v>2484</v>
      </c>
      <c r="C255" s="2" t="s">
        <v>244</v>
      </c>
      <c r="D255" s="2" t="n">
        <v>202991</v>
      </c>
      <c r="E255" s="15" t="n">
        <v>44113</v>
      </c>
      <c r="F255" s="15" t="n">
        <v>44120</v>
      </c>
      <c r="G255" s="3" t="n">
        <v>7</v>
      </c>
      <c r="H255" s="3" t="n">
        <v>2</v>
      </c>
      <c r="I255" s="3" t="n">
        <v>43</v>
      </c>
      <c r="J255" s="3" t="n">
        <v>2</v>
      </c>
      <c r="K255" s="3" t="n">
        <v>1</v>
      </c>
      <c r="L255" s="3" t="n">
        <v>1</v>
      </c>
      <c r="M255" s="3" t="n">
        <v>2</v>
      </c>
      <c r="N255" s="3" t="n">
        <v>2</v>
      </c>
      <c r="O255" s="3" t="n">
        <v>2</v>
      </c>
      <c r="P255" s="3" t="n">
        <v>2</v>
      </c>
      <c r="Q255" s="3" t="n">
        <v>2</v>
      </c>
      <c r="R255" s="3" t="n">
        <v>2</v>
      </c>
      <c r="S255" s="4" t="n">
        <v>2</v>
      </c>
      <c r="T255" s="3" t="n">
        <v>2</v>
      </c>
      <c r="U255" s="3" t="n">
        <v>4.83</v>
      </c>
      <c r="V255" s="3" t="n">
        <v>1.56</v>
      </c>
      <c r="W255" s="3" t="n">
        <v>4.9</v>
      </c>
      <c r="X255" s="3" t="n">
        <v>422</v>
      </c>
      <c r="Z255" s="3" t="n">
        <v>0.53</v>
      </c>
      <c r="AA255" s="3" t="n">
        <v>9.6</v>
      </c>
      <c r="AB255" s="3" t="n">
        <v>1</v>
      </c>
      <c r="AC255" s="3" t="n">
        <v>2</v>
      </c>
      <c r="AD255" s="3" t="n">
        <v>1</v>
      </c>
      <c r="AE255" s="3" t="n">
        <v>1</v>
      </c>
      <c r="AF255" s="3" t="n">
        <v>2</v>
      </c>
      <c r="AG255" s="3" t="n">
        <v>2</v>
      </c>
      <c r="AH255" s="3" t="n">
        <v>1</v>
      </c>
      <c r="AI255" s="3" t="n">
        <v>2</v>
      </c>
      <c r="AJ255" s="3" t="n">
        <v>2</v>
      </c>
      <c r="AK255" s="3" t="n">
        <v>2</v>
      </c>
      <c r="AL255" s="3" t="n">
        <v>2</v>
      </c>
      <c r="AM255" s="3" t="n">
        <v>2</v>
      </c>
      <c r="AN255" s="3" t="n">
        <v>2</v>
      </c>
      <c r="AO255" s="3" t="n">
        <v>3</v>
      </c>
      <c r="AP255" s="3" t="n">
        <v>4</v>
      </c>
      <c r="AQ255" s="3" t="n">
        <v>4</v>
      </c>
      <c r="AR255" s="3" t="n">
        <v>6</v>
      </c>
      <c r="AS255" s="3" t="n">
        <v>4</v>
      </c>
      <c r="AT255" s="3" t="n">
        <v>4</v>
      </c>
      <c r="AU255" s="3" t="n">
        <v>6</v>
      </c>
      <c r="AV255" s="3" t="n">
        <v>6</v>
      </c>
      <c r="AW255" s="3" t="n">
        <v>3</v>
      </c>
      <c r="AX255" s="3" t="n">
        <v>3</v>
      </c>
      <c r="AY255" s="3" t="n">
        <v>5</v>
      </c>
      <c r="AZ255" s="5" t="n">
        <v>1</v>
      </c>
      <c r="BA255" s="3" t="n">
        <v>1</v>
      </c>
      <c r="BB255" s="3" t="n">
        <v>1</v>
      </c>
      <c r="BC255" s="3" t="n">
        <v>2</v>
      </c>
      <c r="BD255" s="3" t="n">
        <v>3</v>
      </c>
      <c r="BE255" s="3" t="n">
        <v>5</v>
      </c>
      <c r="BF255" s="3" t="n">
        <v>3</v>
      </c>
      <c r="BG255" s="3" t="n">
        <v>4</v>
      </c>
      <c r="BH255" s="3" t="n">
        <v>1</v>
      </c>
      <c r="BI255" s="3" t="n">
        <v>1</v>
      </c>
    </row>
    <row r="256" customFormat="false" ht="12.75" hidden="false" customHeight="false" outlineLevel="0" collapsed="false">
      <c r="A256" s="2" t="s">
        <v>339</v>
      </c>
      <c r="B256" s="2" t="s">
        <v>244</v>
      </c>
      <c r="C256" s="2" t="s">
        <v>2486</v>
      </c>
      <c r="D256" s="2" t="n">
        <v>203040</v>
      </c>
      <c r="E256" s="15" t="n">
        <v>44114</v>
      </c>
      <c r="F256" s="15" t="n">
        <v>44121</v>
      </c>
      <c r="G256" s="3" t="n">
        <v>7</v>
      </c>
      <c r="H256" s="3" t="n">
        <v>1</v>
      </c>
      <c r="I256" s="3" t="n">
        <v>72</v>
      </c>
      <c r="J256" s="3" t="n">
        <v>1</v>
      </c>
      <c r="K256" s="3" t="n">
        <v>2</v>
      </c>
      <c r="L256" s="3" t="n">
        <v>1</v>
      </c>
      <c r="M256" s="3" t="n">
        <v>2</v>
      </c>
      <c r="N256" s="3" t="n">
        <v>2</v>
      </c>
      <c r="O256" s="3" t="n">
        <v>2</v>
      </c>
      <c r="P256" s="3" t="n">
        <v>2</v>
      </c>
      <c r="Q256" s="3" t="n">
        <v>2</v>
      </c>
      <c r="R256" s="3" t="n">
        <v>2</v>
      </c>
      <c r="S256" s="4" t="n">
        <v>2</v>
      </c>
      <c r="T256" s="3" t="n">
        <v>2</v>
      </c>
      <c r="U256" s="3" t="n">
        <v>5.89</v>
      </c>
      <c r="V256" s="3" t="n">
        <v>3.45</v>
      </c>
      <c r="W256" s="3" t="n">
        <v>5.24</v>
      </c>
      <c r="X256" s="3" t="n">
        <v>318</v>
      </c>
      <c r="Z256" s="3" t="n">
        <v>0.41</v>
      </c>
      <c r="AA256" s="3" t="n">
        <v>12.4</v>
      </c>
      <c r="AB256" s="3" t="n">
        <v>1</v>
      </c>
      <c r="AC256" s="3" t="n">
        <v>2</v>
      </c>
      <c r="AD256" s="3" t="n">
        <v>1</v>
      </c>
      <c r="AE256" s="3" t="n">
        <v>1</v>
      </c>
      <c r="AF256" s="3" t="n">
        <v>1</v>
      </c>
      <c r="AG256" s="3" t="n">
        <v>2</v>
      </c>
      <c r="AH256" s="3" t="n">
        <v>1</v>
      </c>
      <c r="AI256" s="3" t="n">
        <v>2</v>
      </c>
      <c r="AJ256" s="3" t="n">
        <v>2</v>
      </c>
      <c r="AK256" s="3" t="n">
        <v>2</v>
      </c>
      <c r="AL256" s="3" t="n">
        <v>1</v>
      </c>
      <c r="AM256" s="3" t="n">
        <v>2</v>
      </c>
      <c r="AN256" s="3" t="n">
        <v>2</v>
      </c>
      <c r="AO256" s="3" t="n">
        <v>3</v>
      </c>
      <c r="AP256" s="3" t="n">
        <v>4</v>
      </c>
      <c r="AQ256" s="3" t="n">
        <v>4</v>
      </c>
      <c r="AR256" s="3" t="n">
        <v>6</v>
      </c>
      <c r="AS256" s="3" t="n">
        <v>4</v>
      </c>
      <c r="AT256" s="3" t="n">
        <v>4</v>
      </c>
      <c r="AU256" s="3" t="n">
        <v>6</v>
      </c>
      <c r="AV256" s="3" t="n">
        <v>6</v>
      </c>
      <c r="AW256" s="3" t="n">
        <v>3</v>
      </c>
      <c r="AX256" s="3" t="n">
        <v>3</v>
      </c>
      <c r="AY256" s="3" t="n">
        <v>1</v>
      </c>
      <c r="AZ256" s="5" t="n">
        <v>1</v>
      </c>
      <c r="BA256" s="3" t="n">
        <v>1</v>
      </c>
      <c r="BB256" s="3" t="n">
        <v>1</v>
      </c>
      <c r="BC256" s="3" t="n">
        <v>4</v>
      </c>
      <c r="BD256" s="3" t="n">
        <v>1</v>
      </c>
      <c r="BE256" s="3" t="n">
        <v>2</v>
      </c>
      <c r="BF256" s="3" t="n">
        <v>1</v>
      </c>
      <c r="BG256" s="3" t="n">
        <v>4</v>
      </c>
      <c r="BH256" s="3" t="n">
        <v>1</v>
      </c>
      <c r="BI256" s="3" t="n">
        <v>1</v>
      </c>
    </row>
    <row r="257" customFormat="false" ht="12.75" hidden="false" customHeight="false" outlineLevel="0" collapsed="false">
      <c r="A257" s="2" t="s">
        <v>2490</v>
      </c>
      <c r="B257" s="2" t="s">
        <v>1591</v>
      </c>
      <c r="C257" s="2" t="s">
        <v>2491</v>
      </c>
      <c r="D257" s="2" t="n">
        <v>203032</v>
      </c>
      <c r="E257" s="15" t="n">
        <v>44114</v>
      </c>
      <c r="F257" s="15" t="n">
        <v>44121</v>
      </c>
      <c r="G257" s="3" t="n">
        <v>7</v>
      </c>
      <c r="H257" s="3" t="n">
        <v>2</v>
      </c>
      <c r="I257" s="3" t="n">
        <v>67</v>
      </c>
      <c r="J257" s="3" t="n">
        <v>3</v>
      </c>
      <c r="K257" s="3" t="n">
        <v>1</v>
      </c>
      <c r="L257" s="3" t="n">
        <v>2</v>
      </c>
      <c r="M257" s="3" t="n">
        <v>2</v>
      </c>
      <c r="N257" s="3" t="n">
        <v>2</v>
      </c>
      <c r="O257" s="3" t="n">
        <v>2</v>
      </c>
      <c r="P257" s="3" t="n">
        <v>2</v>
      </c>
      <c r="Q257" s="3" t="n">
        <v>2</v>
      </c>
      <c r="R257" s="3" t="n">
        <v>2</v>
      </c>
      <c r="S257" s="4" t="n">
        <v>2</v>
      </c>
      <c r="T257" s="3" t="n">
        <v>2</v>
      </c>
      <c r="U257" s="3" t="n">
        <v>5.12</v>
      </c>
      <c r="V257" s="3" t="n">
        <v>1.12</v>
      </c>
      <c r="W257" s="3" t="n">
        <v>5.29</v>
      </c>
      <c r="X257" s="3" t="n">
        <v>367</v>
      </c>
      <c r="Z257" s="3" t="n">
        <v>0.42</v>
      </c>
      <c r="AA257" s="3" t="n">
        <v>5.26</v>
      </c>
      <c r="AB257" s="3" t="n">
        <v>1</v>
      </c>
      <c r="AC257" s="3" t="n">
        <v>2</v>
      </c>
      <c r="AD257" s="3" t="n">
        <v>1</v>
      </c>
      <c r="AE257" s="3" t="n">
        <v>1</v>
      </c>
      <c r="AF257" s="3" t="n">
        <v>2</v>
      </c>
      <c r="AG257" s="3" t="n">
        <v>2</v>
      </c>
      <c r="AH257" s="3" t="n">
        <v>1</v>
      </c>
      <c r="AI257" s="3" t="n">
        <v>2</v>
      </c>
      <c r="AJ257" s="3" t="n">
        <v>2</v>
      </c>
      <c r="AK257" s="3" t="n">
        <v>2</v>
      </c>
      <c r="AL257" s="3" t="n">
        <v>2</v>
      </c>
      <c r="AM257" s="3" t="n">
        <v>2</v>
      </c>
      <c r="AN257" s="3" t="n">
        <v>2</v>
      </c>
      <c r="AO257" s="3" t="n">
        <v>3</v>
      </c>
      <c r="AP257" s="3" t="n">
        <v>4</v>
      </c>
      <c r="AQ257" s="3" t="n">
        <v>4</v>
      </c>
      <c r="AR257" s="3" t="n">
        <v>6</v>
      </c>
      <c r="AS257" s="3" t="n">
        <v>4</v>
      </c>
      <c r="AT257" s="3" t="n">
        <v>4</v>
      </c>
      <c r="AU257" s="3" t="n">
        <v>6</v>
      </c>
      <c r="AV257" s="3" t="n">
        <v>6</v>
      </c>
      <c r="AW257" s="3" t="n">
        <v>3</v>
      </c>
      <c r="AX257" s="3" t="n">
        <v>3</v>
      </c>
      <c r="AY257" s="3" t="n">
        <v>1</v>
      </c>
      <c r="AZ257" s="5" t="n">
        <v>1</v>
      </c>
      <c r="BA257" s="3" t="n">
        <v>1</v>
      </c>
      <c r="BB257" s="3" t="n">
        <v>1</v>
      </c>
      <c r="BC257" s="3" t="n">
        <v>2</v>
      </c>
      <c r="BD257" s="3" t="n">
        <v>1</v>
      </c>
      <c r="BE257" s="3" t="n">
        <v>2</v>
      </c>
      <c r="BF257" s="3" t="n">
        <v>1</v>
      </c>
      <c r="BG257" s="3" t="n">
        <v>4</v>
      </c>
      <c r="BH257" s="3" t="n">
        <v>1</v>
      </c>
      <c r="BI257" s="3" t="n">
        <v>1</v>
      </c>
    </row>
    <row r="258" customFormat="false" ht="12.75" hidden="false" customHeight="false" outlineLevel="0" collapsed="false">
      <c r="A258" s="26" t="s">
        <v>2496</v>
      </c>
      <c r="B258" s="26" t="s">
        <v>2497</v>
      </c>
      <c r="C258" s="26" t="s">
        <v>536</v>
      </c>
      <c r="D258" s="26" t="n">
        <v>202933</v>
      </c>
      <c r="E258" s="27" t="n">
        <v>44111</v>
      </c>
      <c r="F258" s="27" t="n">
        <v>44120</v>
      </c>
      <c r="G258" s="30" t="n">
        <v>9</v>
      </c>
      <c r="H258" s="30" t="n">
        <v>1</v>
      </c>
      <c r="I258" s="30" t="n">
        <v>79</v>
      </c>
      <c r="J258" s="30" t="n">
        <v>1</v>
      </c>
      <c r="K258" s="30" t="n">
        <v>2</v>
      </c>
      <c r="L258" s="30" t="n">
        <v>1</v>
      </c>
      <c r="M258" s="30" t="n">
        <v>2</v>
      </c>
      <c r="N258" s="30" t="n">
        <v>2</v>
      </c>
      <c r="O258" s="30" t="n">
        <v>2</v>
      </c>
      <c r="P258" s="30" t="n">
        <v>2</v>
      </c>
      <c r="Q258" s="30" t="n">
        <v>2</v>
      </c>
      <c r="R258" s="30" t="n">
        <v>2</v>
      </c>
      <c r="S258" s="4" t="n">
        <v>2</v>
      </c>
      <c r="T258" s="30" t="n">
        <v>4</v>
      </c>
      <c r="U258" s="30" t="n">
        <v>4.46</v>
      </c>
      <c r="V258" s="30" t="n">
        <v>1.23</v>
      </c>
      <c r="W258" s="30" t="n">
        <v>10.19</v>
      </c>
      <c r="X258" s="30" t="n">
        <v>456</v>
      </c>
      <c r="Z258" s="30" t="n">
        <v>0.41</v>
      </c>
      <c r="AA258" s="30" t="n">
        <v>11.8</v>
      </c>
      <c r="AB258" s="30" t="n">
        <v>3</v>
      </c>
      <c r="AC258" s="30" t="n">
        <v>2</v>
      </c>
      <c r="AD258" s="30" t="n">
        <v>1</v>
      </c>
      <c r="AE258" s="30" t="n">
        <v>1</v>
      </c>
      <c r="AF258" s="30" t="n">
        <v>2</v>
      </c>
      <c r="AG258" s="30" t="n">
        <v>2</v>
      </c>
      <c r="AH258" s="30" t="n">
        <v>1</v>
      </c>
      <c r="AI258" s="30" t="n">
        <v>2</v>
      </c>
      <c r="AJ258" s="30" t="n">
        <v>2</v>
      </c>
      <c r="AK258" s="30" t="n">
        <v>2</v>
      </c>
      <c r="AL258" s="30" t="n">
        <v>2</v>
      </c>
      <c r="AM258" s="30" t="n">
        <v>1</v>
      </c>
      <c r="AN258" s="30" t="n">
        <v>2</v>
      </c>
      <c r="AO258" s="30" t="n">
        <v>3</v>
      </c>
      <c r="AP258" s="30" t="n">
        <v>4</v>
      </c>
      <c r="AQ258" s="30" t="n">
        <v>4</v>
      </c>
      <c r="AR258" s="30" t="n">
        <v>6</v>
      </c>
      <c r="AS258" s="30" t="n">
        <v>4</v>
      </c>
      <c r="AT258" s="30" t="n">
        <v>4</v>
      </c>
      <c r="AU258" s="30" t="n">
        <v>6</v>
      </c>
      <c r="AV258" s="30" t="n">
        <v>6</v>
      </c>
      <c r="AW258" s="30" t="n">
        <v>3</v>
      </c>
      <c r="AX258" s="30" t="n">
        <v>3</v>
      </c>
      <c r="AY258" s="30" t="n">
        <v>5</v>
      </c>
      <c r="AZ258" s="5" t="n">
        <v>1</v>
      </c>
      <c r="BA258" s="30" t="n">
        <v>1</v>
      </c>
      <c r="BB258" s="30" t="n">
        <v>2</v>
      </c>
      <c r="BC258" s="30" t="n">
        <v>4</v>
      </c>
      <c r="BD258" s="30" t="n">
        <v>3</v>
      </c>
      <c r="BE258" s="30" t="n">
        <v>5</v>
      </c>
      <c r="BF258" s="30" t="n">
        <v>3</v>
      </c>
      <c r="BG258" s="30" t="n">
        <v>4</v>
      </c>
      <c r="BH258" s="30" t="n">
        <v>2</v>
      </c>
      <c r="BI258" s="30" t="n">
        <v>2</v>
      </c>
    </row>
    <row r="259" customFormat="false" ht="12.75" hidden="false" customHeight="false" outlineLevel="0" collapsed="false">
      <c r="A259" s="26" t="s">
        <v>2507</v>
      </c>
      <c r="B259" s="26" t="s">
        <v>2508</v>
      </c>
      <c r="C259" s="26" t="s">
        <v>304</v>
      </c>
      <c r="D259" s="26" t="n">
        <v>203427</v>
      </c>
      <c r="E259" s="27" t="n">
        <v>44127</v>
      </c>
      <c r="F259" s="27" t="n">
        <v>44127</v>
      </c>
      <c r="G259" s="30" t="n">
        <v>0</v>
      </c>
      <c r="H259" s="30" t="n">
        <v>1</v>
      </c>
      <c r="I259" s="30" t="n">
        <v>86</v>
      </c>
      <c r="J259" s="30" t="n">
        <v>1</v>
      </c>
      <c r="K259" s="30" t="n">
        <v>2</v>
      </c>
      <c r="L259" s="30" t="n">
        <v>1</v>
      </c>
      <c r="M259" s="30" t="n">
        <v>2</v>
      </c>
      <c r="N259" s="30" t="n">
        <v>2</v>
      </c>
      <c r="O259" s="30" t="n">
        <v>2</v>
      </c>
      <c r="P259" s="30" t="n">
        <v>1</v>
      </c>
      <c r="Q259" s="30" t="n">
        <v>2</v>
      </c>
      <c r="R259" s="30" t="n">
        <v>2</v>
      </c>
      <c r="S259" s="4" t="n">
        <v>2</v>
      </c>
      <c r="T259" s="30" t="n">
        <v>2</v>
      </c>
      <c r="U259" s="30"/>
      <c r="V259" s="30"/>
      <c r="W259" s="30"/>
      <c r="X259" s="30"/>
      <c r="Z259" s="30"/>
      <c r="AA259" s="30"/>
      <c r="AB259" s="30"/>
      <c r="AC259" s="30" t="n">
        <v>2</v>
      </c>
      <c r="AD259" s="30" t="n">
        <v>1</v>
      </c>
      <c r="AE259" s="30" t="n">
        <v>1</v>
      </c>
      <c r="AF259" s="30" t="n">
        <v>2</v>
      </c>
      <c r="AG259" s="30" t="n">
        <v>2</v>
      </c>
      <c r="AH259" s="30" t="n">
        <v>1</v>
      </c>
      <c r="AI259" s="30" t="n">
        <v>2</v>
      </c>
      <c r="AJ259" s="30" t="n">
        <v>1</v>
      </c>
      <c r="AK259" s="30" t="n">
        <v>1</v>
      </c>
      <c r="AL259" s="30" t="n">
        <v>1</v>
      </c>
      <c r="AM259" s="30" t="n">
        <v>1</v>
      </c>
      <c r="AN259" s="30" t="n">
        <v>1</v>
      </c>
      <c r="AO259" s="30" t="n">
        <v>3</v>
      </c>
      <c r="AP259" s="30" t="n">
        <v>4</v>
      </c>
      <c r="AQ259" s="30" t="n">
        <v>4</v>
      </c>
      <c r="AR259" s="30" t="n">
        <v>6</v>
      </c>
      <c r="AS259" s="30" t="n">
        <v>4</v>
      </c>
      <c r="AT259" s="30" t="n">
        <v>4</v>
      </c>
      <c r="AU259" s="30" t="n">
        <v>6</v>
      </c>
      <c r="AV259" s="30" t="n">
        <v>6</v>
      </c>
      <c r="AW259" s="30" t="n">
        <v>3</v>
      </c>
      <c r="AX259" s="30" t="n">
        <v>3</v>
      </c>
      <c r="AY259" s="30" t="n">
        <v>6</v>
      </c>
      <c r="AZ259" s="5" t="n">
        <v>1</v>
      </c>
      <c r="BA259" s="30" t="n">
        <v>1</v>
      </c>
      <c r="BB259" s="30" t="n">
        <v>2</v>
      </c>
      <c r="BC259" s="30" t="n">
        <v>2</v>
      </c>
      <c r="BD259" s="30" t="n">
        <v>1</v>
      </c>
      <c r="BE259" s="30" t="n">
        <v>2</v>
      </c>
      <c r="BF259" s="30" t="n">
        <v>1</v>
      </c>
      <c r="BG259" s="30" t="n">
        <v>4</v>
      </c>
      <c r="BH259" s="30" t="n">
        <v>1</v>
      </c>
      <c r="BI259" s="30" t="n">
        <v>1</v>
      </c>
    </row>
    <row r="260" customFormat="false" ht="12.75" hidden="false" customHeight="false" outlineLevel="0" collapsed="false">
      <c r="A260" s="2" t="s">
        <v>2510</v>
      </c>
      <c r="B260" s="2" t="s">
        <v>2511</v>
      </c>
      <c r="C260" s="2" t="s">
        <v>2512</v>
      </c>
      <c r="D260" s="2" t="n">
        <v>203466</v>
      </c>
      <c r="E260" s="15" t="n">
        <v>44126</v>
      </c>
      <c r="F260" s="15" t="n">
        <v>44131</v>
      </c>
      <c r="G260" s="3" t="n">
        <v>5</v>
      </c>
      <c r="H260" s="3" t="n">
        <v>2</v>
      </c>
      <c r="I260" s="3" t="n">
        <v>61</v>
      </c>
      <c r="J260" s="3" t="n">
        <v>2</v>
      </c>
      <c r="K260" s="3" t="n">
        <v>2</v>
      </c>
      <c r="L260" s="3" t="n">
        <v>1</v>
      </c>
      <c r="M260" s="3" t="n">
        <v>2</v>
      </c>
      <c r="N260" s="3" t="n">
        <v>2</v>
      </c>
      <c r="O260" s="3" t="n">
        <v>1</v>
      </c>
      <c r="P260" s="3" t="n">
        <v>1</v>
      </c>
      <c r="Q260" s="3" t="n">
        <v>2</v>
      </c>
      <c r="R260" s="3" t="n">
        <v>2</v>
      </c>
      <c r="S260" s="4" t="n">
        <v>2</v>
      </c>
      <c r="T260" s="3" t="n">
        <v>2</v>
      </c>
      <c r="U260" s="3" t="n">
        <v>6.63</v>
      </c>
      <c r="V260" s="3" t="n">
        <v>6.33</v>
      </c>
      <c r="W260" s="3" t="n">
        <v>13.42</v>
      </c>
      <c r="X260" s="3" t="n">
        <v>453</v>
      </c>
      <c r="Z260" s="3" t="n">
        <v>0.5</v>
      </c>
      <c r="AA260" s="3" t="n">
        <v>9.3</v>
      </c>
      <c r="AB260" s="3" t="n">
        <v>2</v>
      </c>
      <c r="AC260" s="3" t="n">
        <v>1</v>
      </c>
      <c r="AD260" s="3" t="n">
        <v>1</v>
      </c>
      <c r="AE260" s="3" t="n">
        <v>1</v>
      </c>
      <c r="AF260" s="3" t="n">
        <v>1</v>
      </c>
      <c r="AG260" s="3" t="n">
        <v>2</v>
      </c>
      <c r="AH260" s="3" t="n">
        <v>1</v>
      </c>
      <c r="AI260" s="3" t="n">
        <v>2</v>
      </c>
      <c r="AJ260" s="3" t="n">
        <v>2</v>
      </c>
      <c r="AK260" s="3" t="n">
        <v>2</v>
      </c>
      <c r="AL260" s="3" t="n">
        <v>2</v>
      </c>
      <c r="AM260" s="3" t="n">
        <v>2</v>
      </c>
      <c r="AN260" s="3" t="n">
        <v>2</v>
      </c>
      <c r="AO260" s="3" t="n">
        <v>3</v>
      </c>
      <c r="AP260" s="3" t="n">
        <v>4</v>
      </c>
      <c r="AQ260" s="3" t="n">
        <v>4</v>
      </c>
      <c r="AR260" s="3" t="n">
        <v>6</v>
      </c>
      <c r="AS260" s="3" t="n">
        <v>4</v>
      </c>
      <c r="AT260" s="3" t="n">
        <v>4</v>
      </c>
      <c r="AU260" s="3" t="n">
        <v>6</v>
      </c>
      <c r="AV260" s="3" t="n">
        <v>6</v>
      </c>
      <c r="AW260" s="3" t="n">
        <v>3</v>
      </c>
      <c r="AX260" s="3" t="n">
        <v>3</v>
      </c>
      <c r="AY260" s="3" t="n">
        <v>1</v>
      </c>
      <c r="AZ260" s="5" t="n">
        <v>1</v>
      </c>
      <c r="BA260" s="3" t="n">
        <v>1</v>
      </c>
      <c r="BB260" s="3" t="n">
        <v>1</v>
      </c>
      <c r="BC260" s="3" t="n">
        <v>2</v>
      </c>
      <c r="BD260" s="3" t="n">
        <v>3</v>
      </c>
      <c r="BE260" s="3" t="n">
        <v>5</v>
      </c>
      <c r="BF260" s="3" t="n">
        <v>3</v>
      </c>
      <c r="BG260" s="3" t="n">
        <v>4</v>
      </c>
      <c r="BH260" s="3" t="n">
        <v>1</v>
      </c>
      <c r="BI260" s="3" t="n">
        <v>1</v>
      </c>
    </row>
    <row r="261" customFormat="false" ht="12.75" hidden="false" customHeight="false" outlineLevel="0" collapsed="false">
      <c r="A261" s="2" t="s">
        <v>2514</v>
      </c>
      <c r="B261" s="2" t="s">
        <v>2515</v>
      </c>
      <c r="C261" s="2" t="s">
        <v>2516</v>
      </c>
      <c r="D261" s="2" t="n">
        <v>203562</v>
      </c>
      <c r="E261" s="15" t="n">
        <v>44123</v>
      </c>
      <c r="F261" s="15" t="n">
        <v>44130</v>
      </c>
      <c r="G261" s="3" t="n">
        <v>7</v>
      </c>
      <c r="H261" s="3" t="n">
        <v>1</v>
      </c>
      <c r="I261" s="3" t="n">
        <v>56</v>
      </c>
      <c r="J261" s="3" t="n">
        <v>1</v>
      </c>
      <c r="K261" s="3" t="n">
        <v>2</v>
      </c>
      <c r="L261" s="3" t="n">
        <v>1</v>
      </c>
      <c r="M261" s="3" t="n">
        <v>2</v>
      </c>
      <c r="N261" s="3" t="n">
        <v>2</v>
      </c>
      <c r="O261" s="3" t="n">
        <v>2</v>
      </c>
      <c r="P261" s="3" t="n">
        <v>1</v>
      </c>
      <c r="Q261" s="3" t="n">
        <v>2</v>
      </c>
      <c r="R261" s="3" t="n">
        <v>2</v>
      </c>
      <c r="S261" s="4" t="n">
        <v>2</v>
      </c>
      <c r="T261" s="3" t="n">
        <v>2</v>
      </c>
      <c r="U261" s="3" t="n">
        <v>3.73</v>
      </c>
      <c r="V261" s="3" t="n">
        <v>1.32</v>
      </c>
      <c r="W261" s="3" t="n">
        <v>18.58</v>
      </c>
      <c r="X261" s="3" t="n">
        <v>678</v>
      </c>
      <c r="Z261" s="3" t="n">
        <v>0.25</v>
      </c>
      <c r="AA261" s="3" t="n">
        <v>14.8</v>
      </c>
      <c r="AB261" s="3" t="n">
        <v>2</v>
      </c>
      <c r="AC261" s="3" t="n">
        <v>2</v>
      </c>
      <c r="AD261" s="3" t="n">
        <v>1</v>
      </c>
      <c r="AE261" s="3" t="n">
        <v>1</v>
      </c>
      <c r="AF261" s="3" t="n">
        <v>2</v>
      </c>
      <c r="AG261" s="3" t="n">
        <v>2</v>
      </c>
      <c r="AH261" s="3" t="n">
        <v>1</v>
      </c>
      <c r="AI261" s="3" t="n">
        <v>2</v>
      </c>
      <c r="AJ261" s="3" t="n">
        <v>2</v>
      </c>
      <c r="AK261" s="3" t="n">
        <v>2</v>
      </c>
      <c r="AL261" s="3" t="n">
        <v>2</v>
      </c>
      <c r="AM261" s="3" t="n">
        <v>2</v>
      </c>
      <c r="AN261" s="3" t="n">
        <v>2</v>
      </c>
      <c r="AO261" s="3" t="n">
        <v>3</v>
      </c>
      <c r="AP261" s="3" t="n">
        <v>4</v>
      </c>
      <c r="AQ261" s="3" t="n">
        <v>4</v>
      </c>
      <c r="AR261" s="3" t="n">
        <v>6</v>
      </c>
      <c r="AS261" s="3" t="n">
        <v>4</v>
      </c>
      <c r="AT261" s="3" t="n">
        <v>4</v>
      </c>
      <c r="AU261" s="3" t="n">
        <v>6</v>
      </c>
      <c r="AV261" s="3" t="n">
        <v>6</v>
      </c>
      <c r="AW261" s="3" t="n">
        <v>3</v>
      </c>
      <c r="AX261" s="3" t="n">
        <v>3</v>
      </c>
      <c r="AY261" s="3" t="n">
        <v>1</v>
      </c>
      <c r="AZ261" s="5" t="n">
        <v>1</v>
      </c>
      <c r="BA261" s="3" t="n">
        <v>1</v>
      </c>
      <c r="BB261" s="3" t="n">
        <v>1</v>
      </c>
      <c r="BC261" s="3" t="n">
        <v>2</v>
      </c>
      <c r="BD261" s="3" t="n">
        <v>1</v>
      </c>
      <c r="BE261" s="3" t="n">
        <v>2</v>
      </c>
      <c r="BF261" s="3" t="n">
        <v>1</v>
      </c>
      <c r="BG261" s="3" t="n">
        <v>4</v>
      </c>
      <c r="BH261" s="3" t="n">
        <v>1</v>
      </c>
      <c r="BI261" s="3" t="n">
        <v>1</v>
      </c>
    </row>
    <row r="262" customFormat="false" ht="12.75" hidden="false" customHeight="false" outlineLevel="0" collapsed="false">
      <c r="A262" s="2" t="s">
        <v>254</v>
      </c>
      <c r="B262" s="2" t="s">
        <v>898</v>
      </c>
      <c r="C262" s="2" t="s">
        <v>2518</v>
      </c>
      <c r="D262" s="2" t="n">
        <v>202948</v>
      </c>
      <c r="E262" s="15" t="n">
        <v>44124</v>
      </c>
      <c r="F262" s="15" t="n">
        <v>44130</v>
      </c>
      <c r="G262" s="3" t="n">
        <v>6</v>
      </c>
      <c r="H262" s="3" t="n">
        <v>2</v>
      </c>
      <c r="I262" s="3" t="n">
        <v>68</v>
      </c>
      <c r="J262" s="3" t="n">
        <v>2</v>
      </c>
      <c r="K262" s="3" t="n">
        <v>2</v>
      </c>
      <c r="L262" s="3" t="n">
        <v>1</v>
      </c>
      <c r="M262" s="3" t="n">
        <v>1</v>
      </c>
      <c r="N262" s="3" t="n">
        <v>2</v>
      </c>
      <c r="O262" s="3" t="n">
        <v>2</v>
      </c>
      <c r="P262" s="3" t="n">
        <v>2</v>
      </c>
      <c r="Q262" s="3" t="n">
        <v>2</v>
      </c>
      <c r="R262" s="3" t="n">
        <v>1</v>
      </c>
      <c r="S262" s="4" t="n">
        <v>2</v>
      </c>
      <c r="T262" s="3" t="n">
        <v>2</v>
      </c>
      <c r="U262" s="3" t="n">
        <v>2.71</v>
      </c>
      <c r="V262" s="3" t="n">
        <v>0.69</v>
      </c>
      <c r="W262" s="3"/>
      <c r="X262" s="3" t="n">
        <v>416</v>
      </c>
      <c r="Z262" s="3" t="n">
        <v>0.37</v>
      </c>
      <c r="AA262" s="3" t="n">
        <v>6</v>
      </c>
      <c r="AB262" s="3" t="n">
        <v>1</v>
      </c>
      <c r="AC262" s="3" t="n">
        <v>1</v>
      </c>
      <c r="AD262" s="3" t="n">
        <v>1</v>
      </c>
      <c r="AE262" s="3" t="n">
        <v>1</v>
      </c>
      <c r="AF262" s="3" t="n">
        <v>2</v>
      </c>
      <c r="AG262" s="3" t="n">
        <v>1</v>
      </c>
      <c r="AH262" s="3" t="n">
        <v>1</v>
      </c>
      <c r="AI262" s="3" t="n">
        <v>1</v>
      </c>
      <c r="AJ262" s="3" t="n">
        <v>2</v>
      </c>
      <c r="AK262" s="3" t="n">
        <v>2</v>
      </c>
      <c r="AL262" s="3" t="n">
        <v>1</v>
      </c>
      <c r="AM262" s="3" t="n">
        <v>2</v>
      </c>
      <c r="AN262" s="3" t="n">
        <v>2</v>
      </c>
      <c r="AO262" s="3" t="n">
        <v>3</v>
      </c>
      <c r="AP262" s="3" t="n">
        <v>4</v>
      </c>
      <c r="AQ262" s="3" t="n">
        <v>4</v>
      </c>
      <c r="AR262" s="3" t="n">
        <v>6</v>
      </c>
      <c r="AS262" s="3" t="n">
        <v>4</v>
      </c>
      <c r="AT262" s="3" t="n">
        <v>4</v>
      </c>
      <c r="AU262" s="3" t="n">
        <v>6</v>
      </c>
      <c r="AV262" s="3" t="n">
        <v>6</v>
      </c>
      <c r="AW262" s="3" t="n">
        <v>3</v>
      </c>
      <c r="AX262" s="3" t="n">
        <v>3</v>
      </c>
      <c r="AY262" s="3" t="n">
        <v>1</v>
      </c>
      <c r="AZ262" s="5" t="n">
        <v>5</v>
      </c>
      <c r="BA262" s="3" t="n">
        <v>2</v>
      </c>
      <c r="BB262" s="3" t="n">
        <v>1</v>
      </c>
      <c r="BC262" s="3" t="n">
        <v>6</v>
      </c>
      <c r="BD262" s="3" t="n">
        <v>3</v>
      </c>
      <c r="BE262" s="3" t="n">
        <v>5</v>
      </c>
      <c r="BF262" s="3" t="n">
        <v>3</v>
      </c>
      <c r="BG262" s="3" t="n">
        <v>4</v>
      </c>
      <c r="BH262" s="3" t="n">
        <v>1</v>
      </c>
      <c r="BI262" s="3" t="n">
        <v>1</v>
      </c>
    </row>
    <row r="263" customFormat="false" ht="12.75" hidden="false" customHeight="false" outlineLevel="0" collapsed="false">
      <c r="A263" s="2" t="s">
        <v>140</v>
      </c>
      <c r="B263" s="2" t="s">
        <v>66</v>
      </c>
      <c r="C263" s="2" t="s">
        <v>95</v>
      </c>
      <c r="D263" s="2" t="n">
        <v>203582</v>
      </c>
      <c r="E263" s="15" t="n">
        <v>44124</v>
      </c>
      <c r="F263" s="15" t="n">
        <v>44131</v>
      </c>
      <c r="G263" s="3" t="n">
        <v>7</v>
      </c>
      <c r="H263" s="3" t="n">
        <v>2</v>
      </c>
      <c r="I263" s="3" t="n">
        <v>74</v>
      </c>
      <c r="J263" s="3" t="n">
        <v>1</v>
      </c>
      <c r="K263" s="3" t="n">
        <v>2</v>
      </c>
      <c r="L263" s="3" t="n">
        <v>1</v>
      </c>
      <c r="M263" s="3" t="n">
        <v>2</v>
      </c>
      <c r="N263" s="3" t="n">
        <v>2</v>
      </c>
      <c r="O263" s="3" t="n">
        <v>2</v>
      </c>
      <c r="P263" s="3" t="n">
        <v>2</v>
      </c>
      <c r="Q263" s="3" t="n">
        <v>2</v>
      </c>
      <c r="R263" s="3" t="n">
        <v>2</v>
      </c>
      <c r="S263" s="4" t="n">
        <v>2</v>
      </c>
      <c r="T263" s="3" t="n">
        <v>2</v>
      </c>
      <c r="U263" s="3" t="n">
        <v>3.44</v>
      </c>
      <c r="V263" s="3" t="n">
        <v>1.26</v>
      </c>
      <c r="W263" s="3" t="n">
        <v>7.28</v>
      </c>
      <c r="X263" s="3" t="n">
        <v>474</v>
      </c>
      <c r="Z263" s="3"/>
      <c r="AA263" s="3"/>
      <c r="AB263" s="3" t="n">
        <v>2</v>
      </c>
      <c r="AC263" s="3" t="n">
        <v>2</v>
      </c>
      <c r="AD263" s="3" t="n">
        <v>1</v>
      </c>
      <c r="AE263" s="3" t="n">
        <v>1</v>
      </c>
      <c r="AF263" s="3" t="n">
        <v>2</v>
      </c>
      <c r="AG263" s="3" t="n">
        <v>2</v>
      </c>
      <c r="AH263" s="3" t="n">
        <v>1</v>
      </c>
      <c r="AI263" s="3" t="n">
        <v>2</v>
      </c>
      <c r="AJ263" s="3" t="n">
        <v>2</v>
      </c>
      <c r="AK263" s="3" t="n">
        <v>2</v>
      </c>
      <c r="AL263" s="3" t="n">
        <v>1</v>
      </c>
      <c r="AM263" s="3" t="n">
        <v>2</v>
      </c>
      <c r="AN263" s="3" t="n">
        <v>2</v>
      </c>
      <c r="AO263" s="3" t="n">
        <v>3</v>
      </c>
      <c r="AP263" s="3" t="n">
        <v>4</v>
      </c>
      <c r="AQ263" s="3" t="n">
        <v>4</v>
      </c>
      <c r="AR263" s="3" t="n">
        <v>6</v>
      </c>
      <c r="AS263" s="3" t="n">
        <v>4</v>
      </c>
      <c r="AT263" s="3" t="n">
        <v>4</v>
      </c>
      <c r="AU263" s="3" t="n">
        <v>6</v>
      </c>
      <c r="AV263" s="3" t="n">
        <v>4</v>
      </c>
      <c r="AW263" s="3" t="n">
        <v>3</v>
      </c>
      <c r="AX263" s="3" t="n">
        <v>3</v>
      </c>
      <c r="AY263" s="3" t="n">
        <v>1</v>
      </c>
      <c r="AZ263" s="5" t="n">
        <v>1</v>
      </c>
      <c r="BA263" s="3" t="n">
        <v>1</v>
      </c>
      <c r="BB263" s="3" t="n">
        <v>1</v>
      </c>
      <c r="BC263" s="3" t="n">
        <v>2</v>
      </c>
      <c r="BD263" s="3" t="n">
        <v>1</v>
      </c>
      <c r="BE263" s="3" t="n">
        <v>2</v>
      </c>
      <c r="BF263" s="3" t="n">
        <v>1</v>
      </c>
      <c r="BG263" s="3" t="n">
        <v>4</v>
      </c>
      <c r="BH263" s="3" t="n">
        <v>1</v>
      </c>
      <c r="BI263" s="3" t="n">
        <v>1</v>
      </c>
    </row>
    <row r="264" customFormat="false" ht="12.75" hidden="false" customHeight="false" outlineLevel="0" collapsed="false">
      <c r="A264" s="2" t="s">
        <v>2520</v>
      </c>
      <c r="B264" s="2" t="s">
        <v>324</v>
      </c>
      <c r="C264" s="2" t="s">
        <v>153</v>
      </c>
      <c r="D264" s="2" t="n">
        <v>203462</v>
      </c>
      <c r="E264" s="15" t="n">
        <v>44126</v>
      </c>
      <c r="F264" s="15" t="n">
        <v>44132</v>
      </c>
      <c r="G264" s="3" t="n">
        <v>6</v>
      </c>
      <c r="H264" s="3" t="n">
        <v>2</v>
      </c>
      <c r="I264" s="3" t="n">
        <v>56</v>
      </c>
      <c r="J264" s="3" t="n">
        <v>1</v>
      </c>
      <c r="K264" s="3" t="n">
        <v>2</v>
      </c>
      <c r="L264" s="3" t="n">
        <v>1</v>
      </c>
      <c r="M264" s="3" t="n">
        <v>2</v>
      </c>
      <c r="N264" s="3" t="n">
        <v>2</v>
      </c>
      <c r="O264" s="3" t="n">
        <v>2</v>
      </c>
      <c r="P264" s="3" t="n">
        <v>2</v>
      </c>
      <c r="Q264" s="3" t="n">
        <v>2</v>
      </c>
      <c r="R264" s="3" t="n">
        <v>1</v>
      </c>
      <c r="S264" s="4" t="n">
        <v>2</v>
      </c>
      <c r="T264" s="3" t="n">
        <v>2</v>
      </c>
      <c r="U264" s="3" t="n">
        <v>4.32</v>
      </c>
      <c r="V264" s="3" t="n">
        <v>1.54</v>
      </c>
      <c r="W264" s="3" t="n">
        <v>5.49</v>
      </c>
      <c r="X264" s="3" t="n">
        <v>340</v>
      </c>
      <c r="Z264" s="3" t="n">
        <v>0.48</v>
      </c>
      <c r="AA264" s="3" t="n">
        <v>10.9</v>
      </c>
      <c r="AB264" s="3" t="n">
        <v>1</v>
      </c>
      <c r="AC264" s="3" t="n">
        <v>2</v>
      </c>
      <c r="AD264" s="3" t="n">
        <v>1</v>
      </c>
      <c r="AE264" s="3" t="n">
        <v>1</v>
      </c>
      <c r="AF264" s="3" t="n">
        <v>1</v>
      </c>
      <c r="AG264" s="3" t="n">
        <v>2</v>
      </c>
      <c r="AH264" s="3" t="n">
        <v>1</v>
      </c>
      <c r="AI264" s="3" t="n">
        <v>1</v>
      </c>
      <c r="AJ264" s="3" t="n">
        <v>2</v>
      </c>
      <c r="AK264" s="3" t="n">
        <v>2</v>
      </c>
      <c r="AL264" s="3" t="n">
        <v>2</v>
      </c>
      <c r="AM264" s="3" t="n">
        <v>2</v>
      </c>
      <c r="AN264" s="3" t="n">
        <v>2</v>
      </c>
      <c r="AO264" s="3" t="n">
        <v>3</v>
      </c>
      <c r="AP264" s="3" t="n">
        <v>4</v>
      </c>
      <c r="AQ264" s="3" t="n">
        <v>4</v>
      </c>
      <c r="AR264" s="3" t="n">
        <v>6</v>
      </c>
      <c r="AS264" s="3" t="n">
        <v>4</v>
      </c>
      <c r="AT264" s="3" t="n">
        <v>4</v>
      </c>
      <c r="AU264" s="3" t="n">
        <v>6</v>
      </c>
      <c r="AV264" s="3" t="n">
        <v>6</v>
      </c>
      <c r="AW264" s="3" t="n">
        <v>3</v>
      </c>
      <c r="AX264" s="3" t="n">
        <v>3</v>
      </c>
      <c r="AY264" s="3" t="n">
        <v>1</v>
      </c>
      <c r="AZ264" s="5" t="n">
        <v>1</v>
      </c>
      <c r="BA264" s="3" t="n">
        <v>1</v>
      </c>
      <c r="BB264" s="3" t="n">
        <v>1</v>
      </c>
      <c r="BC264" s="3" t="n">
        <v>4</v>
      </c>
      <c r="BD264" s="3" t="n">
        <v>1</v>
      </c>
      <c r="BE264" s="3" t="n">
        <v>2</v>
      </c>
      <c r="BF264" s="3" t="n">
        <v>1</v>
      </c>
      <c r="BG264" s="3" t="n">
        <v>4</v>
      </c>
      <c r="BH264" s="3" t="n">
        <v>1</v>
      </c>
      <c r="BI264" s="3" t="n">
        <v>1</v>
      </c>
    </row>
    <row r="265" customFormat="false" ht="12.75" hidden="false" customHeight="false" outlineLevel="0" collapsed="false">
      <c r="A265" s="2" t="s">
        <v>2534</v>
      </c>
      <c r="B265" s="2" t="s">
        <v>1432</v>
      </c>
      <c r="C265" s="2" t="s">
        <v>2535</v>
      </c>
      <c r="D265" s="2" t="n">
        <v>203918</v>
      </c>
      <c r="E265" s="15" t="n">
        <v>44132</v>
      </c>
      <c r="F265" s="15" t="n">
        <v>44138</v>
      </c>
      <c r="G265" s="3" t="n">
        <v>6</v>
      </c>
      <c r="H265" s="3" t="n">
        <v>1</v>
      </c>
      <c r="I265" s="3" t="n">
        <v>54</v>
      </c>
      <c r="J265" s="3" t="n">
        <v>3</v>
      </c>
      <c r="K265" s="3" t="n">
        <v>1</v>
      </c>
      <c r="L265" s="3" t="n">
        <v>1</v>
      </c>
      <c r="M265" s="3" t="n">
        <v>2</v>
      </c>
      <c r="N265" s="3" t="n">
        <v>1</v>
      </c>
      <c r="O265" s="3" t="n">
        <v>1</v>
      </c>
      <c r="P265" s="3" t="n">
        <v>1</v>
      </c>
      <c r="Q265" s="3" t="n">
        <v>2</v>
      </c>
      <c r="R265" s="3" t="n">
        <v>2</v>
      </c>
      <c r="S265" s="4" t="n">
        <v>2</v>
      </c>
      <c r="T265" s="3" t="n">
        <v>2</v>
      </c>
      <c r="U265" s="3" t="n">
        <v>4.23</v>
      </c>
      <c r="V265" s="3" t="n">
        <v>6.29</v>
      </c>
      <c r="W265" s="3" t="n">
        <v>9.63</v>
      </c>
      <c r="X265" s="3" t="n">
        <v>207</v>
      </c>
      <c r="Z265" s="3" t="n">
        <v>0.41</v>
      </c>
      <c r="AA265" s="3" t="n">
        <v>8.3</v>
      </c>
      <c r="AB265" s="3" t="n">
        <v>1</v>
      </c>
      <c r="AC265" s="3" t="n">
        <v>2</v>
      </c>
      <c r="AD265" s="3" t="n">
        <v>1</v>
      </c>
      <c r="AE265" s="3" t="n">
        <v>1</v>
      </c>
      <c r="AF265" s="3" t="n">
        <v>2</v>
      </c>
      <c r="AG265" s="3" t="n">
        <v>1</v>
      </c>
      <c r="AH265" s="3" t="n">
        <v>1</v>
      </c>
      <c r="AI265" s="3" t="n">
        <v>2</v>
      </c>
      <c r="AJ265" s="3" t="n">
        <v>1</v>
      </c>
      <c r="AK265" s="3" t="n">
        <v>2</v>
      </c>
      <c r="AL265" s="3" t="n">
        <v>2</v>
      </c>
      <c r="AM265" s="3" t="n">
        <v>2</v>
      </c>
      <c r="AN265" s="3" t="n">
        <v>2</v>
      </c>
      <c r="AO265" s="3" t="n">
        <v>3</v>
      </c>
      <c r="AP265" s="3" t="n">
        <v>4</v>
      </c>
      <c r="AQ265" s="3" t="n">
        <v>4</v>
      </c>
      <c r="AR265" s="3" t="n">
        <v>6</v>
      </c>
      <c r="AS265" s="3" t="n">
        <v>4</v>
      </c>
      <c r="AT265" s="3" t="n">
        <v>4</v>
      </c>
      <c r="AU265" s="3" t="n">
        <v>6</v>
      </c>
      <c r="AV265" s="3" t="n">
        <v>6</v>
      </c>
      <c r="AW265" s="3" t="n">
        <v>3</v>
      </c>
      <c r="AX265" s="3" t="n">
        <v>3</v>
      </c>
      <c r="AY265" s="3" t="n">
        <v>1</v>
      </c>
      <c r="AZ265" s="5" t="n">
        <v>1</v>
      </c>
      <c r="BA265" s="3" t="n">
        <v>1</v>
      </c>
      <c r="BB265" s="3" t="n">
        <v>1</v>
      </c>
      <c r="BC265" s="3" t="n">
        <v>4</v>
      </c>
      <c r="BD265" s="3" t="n">
        <v>1</v>
      </c>
      <c r="BE265" s="3" t="n">
        <v>2</v>
      </c>
      <c r="BF265" s="3" t="n">
        <v>1</v>
      </c>
      <c r="BG265" s="3" t="n">
        <v>4</v>
      </c>
      <c r="BH265" s="3" t="n">
        <v>1</v>
      </c>
      <c r="BI265" s="3" t="n">
        <v>1</v>
      </c>
    </row>
    <row r="266" customFormat="false" ht="12.75" hidden="false" customHeight="false" outlineLevel="0" collapsed="false">
      <c r="A266" s="25" t="s">
        <v>2540</v>
      </c>
      <c r="B266" s="25" t="s">
        <v>608</v>
      </c>
      <c r="C266" s="25" t="s">
        <v>528</v>
      </c>
      <c r="D266" s="26" t="n">
        <v>204005</v>
      </c>
      <c r="E266" s="27" t="n">
        <v>44136</v>
      </c>
      <c r="F266" s="27" t="n">
        <v>44139</v>
      </c>
      <c r="G266" s="30" t="n">
        <v>3</v>
      </c>
      <c r="H266" s="30" t="n">
        <v>1</v>
      </c>
      <c r="I266" s="30" t="n">
        <v>78</v>
      </c>
      <c r="J266" s="30" t="n">
        <v>1</v>
      </c>
      <c r="K266" s="30" t="n">
        <v>2</v>
      </c>
      <c r="L266" s="30" t="n">
        <v>1</v>
      </c>
      <c r="M266" s="30" t="n">
        <v>1</v>
      </c>
      <c r="N266" s="30" t="n">
        <v>2</v>
      </c>
      <c r="O266" s="30" t="n">
        <v>2</v>
      </c>
      <c r="P266" s="30" t="n">
        <v>2</v>
      </c>
      <c r="Q266" s="30" t="n">
        <v>2</v>
      </c>
      <c r="R266" s="30" t="n">
        <v>2</v>
      </c>
      <c r="S266" s="4" t="n">
        <v>2</v>
      </c>
      <c r="T266" s="30" t="n">
        <v>2</v>
      </c>
      <c r="U266" s="30" t="n">
        <v>3.58</v>
      </c>
      <c r="V266" s="30" t="n">
        <v>4.74</v>
      </c>
      <c r="W266" s="30" t="n">
        <v>15.16</v>
      </c>
      <c r="X266" s="30" t="n">
        <v>489</v>
      </c>
      <c r="Z266" s="30" t="n">
        <v>0.32</v>
      </c>
      <c r="AA266" s="30" t="n">
        <v>12.6</v>
      </c>
      <c r="AB266" s="30" t="n">
        <v>2</v>
      </c>
      <c r="AC266" s="30" t="n">
        <v>2</v>
      </c>
      <c r="AD266" s="30" t="n">
        <v>1</v>
      </c>
      <c r="AE266" s="30" t="n">
        <v>1</v>
      </c>
      <c r="AF266" s="30" t="n">
        <v>2</v>
      </c>
      <c r="AG266" s="30" t="n">
        <v>2</v>
      </c>
      <c r="AH266" s="30" t="n">
        <v>1</v>
      </c>
      <c r="AI266" s="30" t="n">
        <v>2</v>
      </c>
      <c r="AJ266" s="30" t="n">
        <v>2</v>
      </c>
      <c r="AK266" s="30" t="n">
        <v>2</v>
      </c>
      <c r="AL266" s="30" t="n">
        <v>1</v>
      </c>
      <c r="AM266" s="30" t="n">
        <v>1</v>
      </c>
      <c r="AN266" s="30" t="n">
        <v>2</v>
      </c>
      <c r="AO266" s="30" t="n">
        <v>3</v>
      </c>
      <c r="AP266" s="30" t="n">
        <v>4</v>
      </c>
      <c r="AQ266" s="30" t="n">
        <v>4</v>
      </c>
      <c r="AR266" s="30" t="n">
        <v>6</v>
      </c>
      <c r="AS266" s="30" t="n">
        <v>4</v>
      </c>
      <c r="AT266" s="30" t="n">
        <v>4</v>
      </c>
      <c r="AU266" s="30" t="n">
        <v>6</v>
      </c>
      <c r="AV266" s="30" t="n">
        <v>6</v>
      </c>
      <c r="AW266" s="30" t="n">
        <v>3</v>
      </c>
      <c r="AX266" s="30" t="n">
        <v>3</v>
      </c>
      <c r="AY266" s="30" t="n">
        <v>6</v>
      </c>
      <c r="AZ266" s="5" t="n">
        <v>1</v>
      </c>
      <c r="BA266" s="30" t="n">
        <v>1</v>
      </c>
      <c r="BB266" s="30" t="n">
        <v>2</v>
      </c>
      <c r="BC266" s="30" t="n">
        <v>2</v>
      </c>
      <c r="BD266" s="30" t="n">
        <v>3</v>
      </c>
      <c r="BE266" s="30" t="n">
        <v>5</v>
      </c>
      <c r="BF266" s="30" t="n">
        <v>3</v>
      </c>
      <c r="BG266" s="30" t="n">
        <v>4</v>
      </c>
      <c r="BH266" s="30" t="n">
        <v>1</v>
      </c>
      <c r="BI266" s="30" t="n">
        <v>1</v>
      </c>
    </row>
    <row r="267" customFormat="false" ht="12.75" hidden="false" customHeight="false" outlineLevel="0" collapsed="false">
      <c r="A267" s="17" t="s">
        <v>415</v>
      </c>
      <c r="B267" s="17" t="s">
        <v>419</v>
      </c>
      <c r="C267" s="17" t="s">
        <v>898</v>
      </c>
      <c r="D267" s="2" t="n">
        <v>204038</v>
      </c>
      <c r="E267" s="15" t="n">
        <v>44136</v>
      </c>
      <c r="F267" s="15" t="n">
        <v>44141</v>
      </c>
      <c r="G267" s="3" t="n">
        <v>5</v>
      </c>
      <c r="H267" s="3" t="n">
        <v>2</v>
      </c>
      <c r="I267" s="3" t="n">
        <v>51</v>
      </c>
      <c r="J267" s="3" t="n">
        <v>2</v>
      </c>
      <c r="K267" s="3" t="n">
        <v>1</v>
      </c>
      <c r="L267" s="3" t="n">
        <v>1</v>
      </c>
      <c r="M267" s="3" t="n">
        <v>2</v>
      </c>
      <c r="N267" s="3" t="n">
        <v>2</v>
      </c>
      <c r="O267" s="3" t="n">
        <v>2</v>
      </c>
      <c r="P267" s="3" t="n">
        <v>2</v>
      </c>
      <c r="Q267" s="3" t="n">
        <v>2</v>
      </c>
      <c r="R267" s="3" t="n">
        <v>2</v>
      </c>
      <c r="S267" s="4" t="n">
        <v>2</v>
      </c>
      <c r="T267" s="3" t="n">
        <v>2</v>
      </c>
      <c r="U267" s="3" t="n">
        <v>4.29</v>
      </c>
      <c r="V267" s="3" t="n">
        <v>1.38</v>
      </c>
      <c r="W267" s="3" t="n">
        <v>7</v>
      </c>
      <c r="X267" s="3" t="n">
        <v>430</v>
      </c>
      <c r="Z267" s="3" t="n">
        <v>0.49</v>
      </c>
      <c r="AA267" s="3" t="n">
        <v>8.2</v>
      </c>
      <c r="AB267" s="3" t="n">
        <v>1</v>
      </c>
      <c r="AC267" s="3" t="n">
        <v>2</v>
      </c>
      <c r="AD267" s="3" t="n">
        <v>1</v>
      </c>
      <c r="AE267" s="3" t="n">
        <v>1</v>
      </c>
      <c r="AF267" s="3" t="n">
        <v>2</v>
      </c>
      <c r="AG267" s="3" t="n">
        <v>2</v>
      </c>
      <c r="AH267" s="3" t="n">
        <v>1</v>
      </c>
      <c r="AI267" s="3" t="n">
        <v>2</v>
      </c>
      <c r="AJ267" s="3" t="n">
        <v>2</v>
      </c>
      <c r="AK267" s="3" t="n">
        <v>1</v>
      </c>
      <c r="AL267" s="3" t="n">
        <v>2</v>
      </c>
      <c r="AM267" s="3" t="n">
        <v>2</v>
      </c>
      <c r="AN267" s="3" t="n">
        <v>2</v>
      </c>
      <c r="AO267" s="3" t="n">
        <v>3</v>
      </c>
      <c r="AP267" s="3" t="n">
        <v>4</v>
      </c>
      <c r="AQ267" s="3" t="n">
        <v>4</v>
      </c>
      <c r="AR267" s="3" t="n">
        <v>6</v>
      </c>
      <c r="AS267" s="3" t="n">
        <v>4</v>
      </c>
      <c r="AT267" s="3" t="n">
        <v>4</v>
      </c>
      <c r="AU267" s="3" t="n">
        <v>6</v>
      </c>
      <c r="AV267" s="3" t="n">
        <v>6</v>
      </c>
      <c r="AW267" s="3" t="n">
        <v>3</v>
      </c>
      <c r="AX267" s="3" t="n">
        <v>3</v>
      </c>
      <c r="AY267" s="3" t="n">
        <v>1</v>
      </c>
      <c r="AZ267" s="5" t="n">
        <v>1</v>
      </c>
      <c r="BA267" s="3" t="n">
        <v>1</v>
      </c>
      <c r="BB267" s="3" t="n">
        <v>1</v>
      </c>
      <c r="BC267" s="3" t="n">
        <v>2</v>
      </c>
      <c r="BD267" s="3" t="n">
        <v>3</v>
      </c>
      <c r="BE267" s="3" t="n">
        <v>5</v>
      </c>
      <c r="BF267" s="3" t="n">
        <v>3</v>
      </c>
      <c r="BG267" s="3" t="n">
        <v>4</v>
      </c>
      <c r="BH267" s="3" t="n">
        <v>1</v>
      </c>
      <c r="BI267" s="3" t="n">
        <v>1</v>
      </c>
    </row>
    <row r="268" customFormat="false" ht="12.75" hidden="false" customHeight="false" outlineLevel="0" collapsed="false">
      <c r="A268" s="2" t="s">
        <v>2550</v>
      </c>
      <c r="B268" s="2" t="s">
        <v>210</v>
      </c>
      <c r="C268" s="2" t="s">
        <v>665</v>
      </c>
      <c r="D268" s="2" t="n">
        <v>204048</v>
      </c>
      <c r="E268" s="15" t="n">
        <v>44137</v>
      </c>
      <c r="F268" s="15" t="n">
        <v>44142</v>
      </c>
      <c r="G268" s="3" t="n">
        <v>5</v>
      </c>
      <c r="H268" s="3" t="n">
        <v>2</v>
      </c>
      <c r="I268" s="3" t="n">
        <v>47</v>
      </c>
      <c r="J268" s="3" t="n">
        <v>1</v>
      </c>
      <c r="K268" s="3" t="n">
        <v>1</v>
      </c>
      <c r="L268" s="3" t="n">
        <v>1</v>
      </c>
      <c r="M268" s="3" t="n">
        <v>2</v>
      </c>
      <c r="N268" s="3" t="n">
        <v>2</v>
      </c>
      <c r="O268" s="3" t="n">
        <v>2</v>
      </c>
      <c r="P268" s="3" t="n">
        <v>2</v>
      </c>
      <c r="Q268" s="3" t="n">
        <v>2</v>
      </c>
      <c r="R268" s="3" t="n">
        <v>2</v>
      </c>
      <c r="S268" s="4" t="n">
        <v>2</v>
      </c>
      <c r="T268" s="3" t="n">
        <v>2</v>
      </c>
      <c r="U268" s="3" t="n">
        <v>5.42</v>
      </c>
      <c r="V268" s="3" t="n">
        <v>0.99</v>
      </c>
      <c r="W268" s="3" t="n">
        <v>5.85</v>
      </c>
      <c r="X268" s="3" t="n">
        <v>356</v>
      </c>
      <c r="Z268" s="3" t="n">
        <v>0.55</v>
      </c>
      <c r="AA268" s="3" t="n">
        <v>13</v>
      </c>
      <c r="AB268" s="3" t="n">
        <v>1</v>
      </c>
      <c r="AC268" s="3" t="n">
        <v>2</v>
      </c>
      <c r="AD268" s="3" t="n">
        <v>1</v>
      </c>
      <c r="AE268" s="3" t="n">
        <v>1</v>
      </c>
      <c r="AF268" s="3" t="n">
        <v>1</v>
      </c>
      <c r="AG268" s="3" t="n">
        <v>2</v>
      </c>
      <c r="AH268" s="3" t="n">
        <v>1</v>
      </c>
      <c r="AI268" s="3" t="n">
        <v>2</v>
      </c>
      <c r="AJ268" s="3" t="n">
        <v>2</v>
      </c>
      <c r="AK268" s="3" t="n">
        <v>2</v>
      </c>
      <c r="AL268" s="3" t="n">
        <v>1</v>
      </c>
      <c r="AM268" s="3" t="n">
        <v>2</v>
      </c>
      <c r="AN268" s="3" t="n">
        <v>2</v>
      </c>
      <c r="AO268" s="3" t="n">
        <v>3</v>
      </c>
      <c r="AP268" s="3" t="n">
        <v>4</v>
      </c>
      <c r="AQ268" s="3" t="n">
        <v>4</v>
      </c>
      <c r="AR268" s="3" t="n">
        <v>6</v>
      </c>
      <c r="AS268" s="3" t="n">
        <v>4</v>
      </c>
      <c r="AT268" s="3" t="n">
        <v>4</v>
      </c>
      <c r="AU268" s="3" t="n">
        <v>6</v>
      </c>
      <c r="AV268" s="3" t="n">
        <v>6</v>
      </c>
      <c r="AW268" s="3" t="n">
        <v>3</v>
      </c>
      <c r="AX268" s="3" t="n">
        <v>3</v>
      </c>
      <c r="AY268" s="3" t="n">
        <v>1</v>
      </c>
      <c r="AZ268" s="5" t="n">
        <v>1</v>
      </c>
      <c r="BA268" s="3" t="n">
        <v>1</v>
      </c>
      <c r="BB268" s="3" t="n">
        <v>1</v>
      </c>
      <c r="BC268" s="3" t="n">
        <v>2</v>
      </c>
      <c r="BD268" s="3" t="n">
        <v>3</v>
      </c>
      <c r="BE268" s="3" t="n">
        <v>5</v>
      </c>
      <c r="BF268" s="3" t="n">
        <v>3</v>
      </c>
      <c r="BG268" s="3" t="n">
        <v>4</v>
      </c>
      <c r="BH268" s="3" t="n">
        <v>1</v>
      </c>
      <c r="BI268" s="3" t="n">
        <v>1</v>
      </c>
    </row>
    <row r="269" customFormat="false" ht="12.75" hidden="false" customHeight="false" outlineLevel="0" collapsed="false">
      <c r="A269" s="2" t="s">
        <v>2562</v>
      </c>
      <c r="B269" s="2" t="s">
        <v>118</v>
      </c>
      <c r="C269" s="2" t="s">
        <v>2563</v>
      </c>
      <c r="D269" s="2" t="n">
        <v>204586</v>
      </c>
      <c r="E269" s="15" t="n">
        <v>44139</v>
      </c>
      <c r="F269" s="15" t="n">
        <v>44146</v>
      </c>
      <c r="G269" s="3" t="n">
        <v>7</v>
      </c>
      <c r="H269" s="3" t="n">
        <v>2</v>
      </c>
      <c r="I269" s="3" t="n">
        <v>83</v>
      </c>
      <c r="J269" s="3" t="n">
        <v>1</v>
      </c>
      <c r="K269" s="3" t="n">
        <v>1</v>
      </c>
      <c r="L269" s="3" t="n">
        <v>1</v>
      </c>
      <c r="M269" s="3" t="n">
        <v>2</v>
      </c>
      <c r="N269" s="3" t="n">
        <v>2</v>
      </c>
      <c r="O269" s="3" t="n">
        <v>2</v>
      </c>
      <c r="P269" s="3" t="n">
        <v>1</v>
      </c>
      <c r="Q269" s="3" t="n">
        <v>2</v>
      </c>
      <c r="R269" s="3" t="n">
        <v>2</v>
      </c>
      <c r="S269" s="4" t="n">
        <v>2</v>
      </c>
      <c r="T269" s="3" t="n">
        <v>2</v>
      </c>
      <c r="U269" s="3" t="n">
        <v>3.4</v>
      </c>
      <c r="V269" s="3" t="n">
        <v>0.54</v>
      </c>
      <c r="W269" s="3" t="n">
        <v>6.08</v>
      </c>
      <c r="X269" s="3" t="n">
        <v>267</v>
      </c>
      <c r="Z269" s="3" t="n">
        <v>0.32</v>
      </c>
      <c r="AA269" s="3" t="n">
        <v>11.7</v>
      </c>
      <c r="AB269" s="3" t="n">
        <v>1</v>
      </c>
      <c r="AC269" s="3" t="n">
        <v>2</v>
      </c>
      <c r="AD269" s="3" t="n">
        <v>1</v>
      </c>
      <c r="AE269" s="3" t="n">
        <v>1</v>
      </c>
      <c r="AF269" s="3" t="n">
        <v>2</v>
      </c>
      <c r="AG269" s="3" t="n">
        <v>2</v>
      </c>
      <c r="AH269" s="3" t="n">
        <v>1</v>
      </c>
      <c r="AI269" s="3" t="n">
        <v>2</v>
      </c>
      <c r="AJ269" s="3" t="n">
        <v>2</v>
      </c>
      <c r="AK269" s="3" t="n">
        <v>2</v>
      </c>
      <c r="AL269" s="3" t="n">
        <v>2</v>
      </c>
      <c r="AM269" s="3" t="n">
        <v>2</v>
      </c>
      <c r="AN269" s="3" t="n">
        <v>2</v>
      </c>
      <c r="AO269" s="3" t="n">
        <v>3</v>
      </c>
      <c r="AP269" s="3" t="n">
        <v>4</v>
      </c>
      <c r="AQ269" s="3" t="n">
        <v>4</v>
      </c>
      <c r="AR269" s="3" t="n">
        <v>6</v>
      </c>
      <c r="AS269" s="3" t="n">
        <v>4</v>
      </c>
      <c r="AT269" s="3" t="n">
        <v>4</v>
      </c>
      <c r="AU269" s="3" t="n">
        <v>6</v>
      </c>
      <c r="AV269" s="3" t="n">
        <v>6</v>
      </c>
      <c r="AW269" s="3" t="n">
        <v>3</v>
      </c>
      <c r="AX269" s="3" t="n">
        <v>3</v>
      </c>
      <c r="AY269" s="3" t="n">
        <v>1</v>
      </c>
      <c r="AZ269" s="5" t="n">
        <v>1</v>
      </c>
      <c r="BA269" s="3" t="n">
        <v>1</v>
      </c>
      <c r="BB269" s="3" t="n">
        <v>1</v>
      </c>
      <c r="BC269" s="3" t="n">
        <v>4</v>
      </c>
      <c r="BD269" s="3" t="n">
        <v>3</v>
      </c>
      <c r="BE269" s="3" t="n">
        <v>5</v>
      </c>
      <c r="BF269" s="3" t="n">
        <v>3</v>
      </c>
      <c r="BG269" s="3" t="n">
        <v>4</v>
      </c>
      <c r="BH269" s="3" t="n">
        <v>1</v>
      </c>
      <c r="BI269" s="3" t="n">
        <v>1</v>
      </c>
    </row>
    <row r="270" customFormat="false" ht="12.75" hidden="false" customHeight="false" outlineLevel="0" collapsed="false">
      <c r="A270" s="2" t="s">
        <v>335</v>
      </c>
      <c r="B270" s="2" t="s">
        <v>2572</v>
      </c>
      <c r="C270" s="2" t="s">
        <v>595</v>
      </c>
      <c r="D270" s="2" t="n">
        <v>204666</v>
      </c>
      <c r="E270" s="15" t="n">
        <v>44142</v>
      </c>
      <c r="F270" s="15" t="n">
        <v>44149</v>
      </c>
      <c r="G270" s="3" t="n">
        <v>7</v>
      </c>
      <c r="H270" s="3" t="n">
        <v>1</v>
      </c>
      <c r="I270" s="3" t="n">
        <v>80</v>
      </c>
      <c r="J270" s="3" t="n">
        <v>1</v>
      </c>
      <c r="K270" s="3" t="n">
        <v>2</v>
      </c>
      <c r="L270" s="3" t="n">
        <v>1</v>
      </c>
      <c r="M270" s="3" t="n">
        <v>2</v>
      </c>
      <c r="N270" s="3" t="n">
        <v>2</v>
      </c>
      <c r="O270" s="3" t="n">
        <v>2</v>
      </c>
      <c r="P270" s="3" t="n">
        <v>2</v>
      </c>
      <c r="Q270" s="3" t="n">
        <v>2</v>
      </c>
      <c r="R270" s="3" t="n">
        <v>2</v>
      </c>
      <c r="S270" s="4" t="n">
        <v>2</v>
      </c>
      <c r="T270" s="3" t="n">
        <v>2</v>
      </c>
      <c r="U270" s="3" t="n">
        <v>4.28</v>
      </c>
      <c r="V270" s="3" t="n">
        <v>1.82</v>
      </c>
      <c r="W270" s="3" t="n">
        <v>6</v>
      </c>
      <c r="X270" s="3" t="n">
        <v>199</v>
      </c>
      <c r="Z270" s="3" t="n">
        <v>0.43</v>
      </c>
      <c r="AA270" s="3" t="n">
        <v>9.6</v>
      </c>
      <c r="AB270" s="3" t="n">
        <v>2</v>
      </c>
      <c r="AC270" s="3" t="n">
        <v>2</v>
      </c>
      <c r="AD270" s="3" t="n">
        <v>1</v>
      </c>
      <c r="AE270" s="3" t="n">
        <v>1</v>
      </c>
      <c r="AF270" s="3" t="n">
        <v>2</v>
      </c>
      <c r="AG270" s="3" t="n">
        <v>2</v>
      </c>
      <c r="AH270" s="3" t="n">
        <v>1</v>
      </c>
      <c r="AI270" s="3" t="n">
        <v>2</v>
      </c>
      <c r="AJ270" s="3" t="n">
        <v>2</v>
      </c>
      <c r="AK270" s="3" t="n">
        <v>2</v>
      </c>
      <c r="AL270" s="3" t="n">
        <v>1</v>
      </c>
      <c r="AM270" s="3" t="n">
        <v>2</v>
      </c>
      <c r="AN270" s="3" t="n">
        <v>2</v>
      </c>
      <c r="AO270" s="3" t="n">
        <v>3</v>
      </c>
      <c r="AP270" s="3" t="n">
        <v>4</v>
      </c>
      <c r="AQ270" s="3" t="n">
        <v>4</v>
      </c>
      <c r="AR270" s="3" t="n">
        <v>6</v>
      </c>
      <c r="AS270" s="3" t="n">
        <v>4</v>
      </c>
      <c r="AT270" s="3" t="n">
        <v>4</v>
      </c>
      <c r="AU270" s="3" t="n">
        <v>6</v>
      </c>
      <c r="AV270" s="3" t="n">
        <v>6</v>
      </c>
      <c r="AW270" s="3" t="n">
        <v>3</v>
      </c>
      <c r="AX270" s="3" t="n">
        <v>3</v>
      </c>
      <c r="AY270" s="3" t="n">
        <v>1</v>
      </c>
      <c r="AZ270" s="5" t="n">
        <v>1</v>
      </c>
      <c r="BA270" s="3" t="n">
        <v>1</v>
      </c>
      <c r="BB270" s="3" t="n">
        <v>1</v>
      </c>
      <c r="BC270" s="3" t="n">
        <v>2</v>
      </c>
      <c r="BD270" s="3" t="n">
        <v>3</v>
      </c>
      <c r="BE270" s="3" t="n">
        <v>5</v>
      </c>
      <c r="BF270" s="3" t="n">
        <v>3</v>
      </c>
      <c r="BG270" s="3" t="n">
        <v>4</v>
      </c>
      <c r="BH270" s="3" t="n">
        <v>1</v>
      </c>
      <c r="BI270" s="3" t="n">
        <v>1</v>
      </c>
    </row>
    <row r="271" customFormat="false" ht="12.75" hidden="false" customHeight="false" outlineLevel="0" collapsed="false">
      <c r="A271" s="2" t="s">
        <v>1017</v>
      </c>
      <c r="B271" s="2" t="s">
        <v>118</v>
      </c>
      <c r="C271" s="2" t="s">
        <v>2578</v>
      </c>
      <c r="D271" s="2" t="n">
        <v>205199</v>
      </c>
      <c r="E271" s="15" t="n">
        <v>44146</v>
      </c>
      <c r="F271" s="15" t="n">
        <v>44151</v>
      </c>
      <c r="G271" s="3" t="n">
        <v>5</v>
      </c>
      <c r="H271" s="3" t="n">
        <v>1</v>
      </c>
      <c r="I271" s="3" t="n">
        <v>81</v>
      </c>
      <c r="J271" s="3" t="n">
        <v>1</v>
      </c>
      <c r="K271" s="3" t="n">
        <v>1</v>
      </c>
      <c r="L271" s="3" t="n">
        <v>1</v>
      </c>
      <c r="M271" s="3" t="n">
        <v>2</v>
      </c>
      <c r="N271" s="3" t="n">
        <v>2</v>
      </c>
      <c r="O271" s="3" t="n">
        <v>2</v>
      </c>
      <c r="P271" s="3" t="n">
        <v>2</v>
      </c>
      <c r="Q271" s="3" t="n">
        <v>2</v>
      </c>
      <c r="R271" s="3" t="n">
        <v>2</v>
      </c>
      <c r="S271" s="4" t="n">
        <v>2</v>
      </c>
      <c r="T271" s="3" t="n">
        <v>2</v>
      </c>
      <c r="U271" s="3" t="n">
        <v>6.99</v>
      </c>
      <c r="V271" s="3" t="n">
        <v>2.03</v>
      </c>
      <c r="W271" s="3" t="n">
        <v>8.43</v>
      </c>
      <c r="X271" s="3" t="n">
        <v>377</v>
      </c>
      <c r="Z271" s="3" t="n">
        <v>0.5</v>
      </c>
      <c r="AA271" s="3" t="n">
        <v>19.9</v>
      </c>
      <c r="AB271" s="3" t="n">
        <v>2</v>
      </c>
      <c r="AC271" s="3" t="n">
        <v>2</v>
      </c>
      <c r="AD271" s="3" t="n">
        <v>1</v>
      </c>
      <c r="AE271" s="3" t="n">
        <v>1</v>
      </c>
      <c r="AF271" s="3" t="n">
        <v>2</v>
      </c>
      <c r="AG271" s="3" t="n">
        <v>2</v>
      </c>
      <c r="AH271" s="3" t="n">
        <v>1</v>
      </c>
      <c r="AI271" s="3" t="n">
        <v>2</v>
      </c>
      <c r="AJ271" s="3" t="n">
        <v>2</v>
      </c>
      <c r="AK271" s="3" t="n">
        <v>2</v>
      </c>
      <c r="AL271" s="3" t="n">
        <v>1</v>
      </c>
      <c r="AM271" s="3" t="n">
        <v>2</v>
      </c>
      <c r="AN271" s="3" t="n">
        <v>2</v>
      </c>
      <c r="AO271" s="3" t="n">
        <v>3</v>
      </c>
      <c r="AP271" s="3" t="n">
        <v>4</v>
      </c>
      <c r="AQ271" s="3" t="n">
        <v>4</v>
      </c>
      <c r="AR271" s="3" t="n">
        <v>6</v>
      </c>
      <c r="AS271" s="3" t="n">
        <v>4</v>
      </c>
      <c r="AT271" s="3" t="n">
        <v>4</v>
      </c>
      <c r="AU271" s="3" t="n">
        <v>6</v>
      </c>
      <c r="AV271" s="3" t="n">
        <v>6</v>
      </c>
      <c r="AW271" s="3" t="n">
        <v>3</v>
      </c>
      <c r="AX271" s="3" t="n">
        <v>3</v>
      </c>
      <c r="AY271" s="3" t="n">
        <v>14</v>
      </c>
      <c r="AZ271" s="5" t="n">
        <v>1</v>
      </c>
      <c r="BA271" s="3" t="n">
        <v>1</v>
      </c>
      <c r="BB271" s="3" t="n">
        <v>2</v>
      </c>
      <c r="BC271" s="3" t="n">
        <v>2</v>
      </c>
      <c r="BD271" s="3" t="n">
        <v>1</v>
      </c>
      <c r="BE271" s="3" t="n">
        <v>2</v>
      </c>
      <c r="BF271" s="3" t="n">
        <v>1</v>
      </c>
      <c r="BG271" s="3" t="n">
        <v>4</v>
      </c>
      <c r="BH271" s="3" t="n">
        <v>1</v>
      </c>
      <c r="BI271" s="3" t="n">
        <v>1</v>
      </c>
    </row>
    <row r="272" customFormat="false" ht="12.75" hidden="false" customHeight="false" outlineLevel="0" collapsed="false">
      <c r="A272" s="2" t="s">
        <v>2595</v>
      </c>
      <c r="B272" s="2" t="s">
        <v>414</v>
      </c>
      <c r="C272" s="2" t="s">
        <v>118</v>
      </c>
      <c r="D272" s="2" t="n">
        <v>205108</v>
      </c>
      <c r="E272" s="15" t="n">
        <v>44153</v>
      </c>
      <c r="F272" s="15" t="n">
        <v>44160</v>
      </c>
      <c r="G272" s="3" t="n">
        <v>7</v>
      </c>
      <c r="H272" s="3" t="n">
        <v>1</v>
      </c>
      <c r="I272" s="3" t="n">
        <v>69</v>
      </c>
      <c r="J272" s="3" t="n">
        <v>1</v>
      </c>
      <c r="K272" s="3" t="n">
        <v>2</v>
      </c>
      <c r="L272" s="3" t="n">
        <v>1</v>
      </c>
      <c r="M272" s="3" t="n">
        <v>2</v>
      </c>
      <c r="N272" s="3" t="n">
        <v>2</v>
      </c>
      <c r="O272" s="3" t="n">
        <v>2</v>
      </c>
      <c r="P272" s="3" t="n">
        <v>1</v>
      </c>
      <c r="Q272" s="3" t="n">
        <v>2</v>
      </c>
      <c r="R272" s="3" t="n">
        <v>1</v>
      </c>
      <c r="S272" s="4" t="n">
        <v>2</v>
      </c>
      <c r="T272" s="3" t="n">
        <v>2</v>
      </c>
      <c r="U272" s="3" t="n">
        <v>6.6</v>
      </c>
      <c r="V272" s="3" t="n">
        <v>3.08</v>
      </c>
      <c r="W272" s="3" t="n">
        <v>24.39</v>
      </c>
      <c r="X272" s="3" t="n">
        <v>460</v>
      </c>
      <c r="Z272" s="3" t="n">
        <v>0.32</v>
      </c>
      <c r="AA272" s="3" t="n">
        <v>11.9</v>
      </c>
      <c r="AB272" s="3" t="n">
        <v>2</v>
      </c>
      <c r="AC272" s="3" t="n">
        <v>2</v>
      </c>
      <c r="AD272" s="3" t="n">
        <v>1</v>
      </c>
      <c r="AE272" s="3" t="n">
        <v>1</v>
      </c>
      <c r="AF272" s="3" t="n">
        <v>2</v>
      </c>
      <c r="AG272" s="3" t="n">
        <v>2</v>
      </c>
      <c r="AH272" s="3" t="n">
        <v>1</v>
      </c>
      <c r="AI272" s="3" t="n">
        <v>1</v>
      </c>
      <c r="AJ272" s="3" t="n">
        <v>1</v>
      </c>
      <c r="AK272" s="3" t="n">
        <v>2</v>
      </c>
      <c r="AL272" s="3" t="n">
        <v>1</v>
      </c>
      <c r="AM272" s="3" t="n">
        <v>2</v>
      </c>
      <c r="AN272" s="3" t="n">
        <v>2</v>
      </c>
      <c r="AO272" s="3" t="n">
        <v>3</v>
      </c>
      <c r="AP272" s="3" t="n">
        <v>4</v>
      </c>
      <c r="AQ272" s="3" t="n">
        <v>4</v>
      </c>
      <c r="AR272" s="3" t="n">
        <v>6</v>
      </c>
      <c r="AS272" s="3" t="n">
        <v>4</v>
      </c>
      <c r="AT272" s="3" t="n">
        <v>4</v>
      </c>
      <c r="AU272" s="3" t="n">
        <v>6</v>
      </c>
      <c r="AV272" s="3" t="n">
        <v>6</v>
      </c>
      <c r="AW272" s="3" t="n">
        <v>3</v>
      </c>
      <c r="AX272" s="3" t="n">
        <v>3</v>
      </c>
      <c r="AY272" s="3" t="n">
        <v>1</v>
      </c>
      <c r="AZ272" s="5" t="n">
        <v>1</v>
      </c>
      <c r="BA272" s="3" t="n">
        <v>1</v>
      </c>
      <c r="BB272" s="3" t="n">
        <v>1</v>
      </c>
      <c r="BC272" s="3" t="n">
        <v>4</v>
      </c>
      <c r="BD272" s="3" t="n">
        <v>1</v>
      </c>
      <c r="BE272" s="3" t="n">
        <v>2</v>
      </c>
      <c r="BF272" s="3" t="n">
        <v>1</v>
      </c>
      <c r="BG272" s="3" t="n">
        <v>4</v>
      </c>
      <c r="BH272" s="3" t="n">
        <v>1</v>
      </c>
      <c r="BI272" s="3" t="n">
        <v>1</v>
      </c>
    </row>
    <row r="273" customFormat="false" ht="12.75" hidden="false" customHeight="false" outlineLevel="0" collapsed="false">
      <c r="A273" s="2" t="s">
        <v>569</v>
      </c>
      <c r="B273" s="2" t="s">
        <v>2601</v>
      </c>
      <c r="C273" s="2" t="s">
        <v>108</v>
      </c>
      <c r="D273" s="2" t="n">
        <v>204853</v>
      </c>
      <c r="E273" s="15" t="n">
        <v>44155</v>
      </c>
      <c r="F273" s="15" t="n">
        <v>44161</v>
      </c>
      <c r="G273" s="3" t="n">
        <v>6</v>
      </c>
      <c r="H273" s="3" t="n">
        <v>2</v>
      </c>
      <c r="I273" s="3" t="n">
        <v>58</v>
      </c>
      <c r="J273" s="3" t="n">
        <v>1</v>
      </c>
      <c r="K273" s="3" t="n">
        <v>1</v>
      </c>
      <c r="L273" s="3" t="n">
        <v>1</v>
      </c>
      <c r="M273" s="3" t="n">
        <v>2</v>
      </c>
      <c r="N273" s="3" t="n">
        <v>2</v>
      </c>
      <c r="O273" s="3" t="n">
        <v>2</v>
      </c>
      <c r="P273" s="3" t="n">
        <v>2</v>
      </c>
      <c r="Q273" s="3" t="n">
        <v>2</v>
      </c>
      <c r="R273" s="3" t="n">
        <v>2</v>
      </c>
      <c r="S273" s="4" t="n">
        <v>2</v>
      </c>
      <c r="T273" s="3" t="n">
        <v>2</v>
      </c>
      <c r="U273" s="3" t="n">
        <v>4.61</v>
      </c>
      <c r="V273" s="3" t="n">
        <v>1.59</v>
      </c>
      <c r="W273" s="3" t="n">
        <v>7.81</v>
      </c>
      <c r="X273" s="3" t="n">
        <v>532</v>
      </c>
      <c r="Z273" s="3" t="n">
        <v>0.51</v>
      </c>
      <c r="AA273" s="3" t="n">
        <v>11.9</v>
      </c>
      <c r="AB273" s="3" t="n">
        <v>1</v>
      </c>
      <c r="AC273" s="3" t="n">
        <v>2</v>
      </c>
      <c r="AD273" s="3" t="n">
        <v>1</v>
      </c>
      <c r="AE273" s="3" t="n">
        <v>1</v>
      </c>
      <c r="AF273" s="3" t="n">
        <v>2</v>
      </c>
      <c r="AG273" s="3" t="n">
        <v>2</v>
      </c>
      <c r="AH273" s="3" t="n">
        <v>1</v>
      </c>
      <c r="AI273" s="3" t="n">
        <v>2</v>
      </c>
      <c r="AJ273" s="3" t="n">
        <v>2</v>
      </c>
      <c r="AK273" s="3" t="n">
        <v>2</v>
      </c>
      <c r="AL273" s="3" t="n">
        <v>2</v>
      </c>
      <c r="AM273" s="3" t="n">
        <v>2</v>
      </c>
      <c r="AN273" s="3" t="n">
        <v>2</v>
      </c>
      <c r="AO273" s="3" t="n">
        <v>3</v>
      </c>
      <c r="AP273" s="3" t="n">
        <v>4</v>
      </c>
      <c r="AQ273" s="3" t="n">
        <v>4</v>
      </c>
      <c r="AR273" s="3" t="n">
        <v>6</v>
      </c>
      <c r="AS273" s="3" t="n">
        <v>4</v>
      </c>
      <c r="AT273" s="3" t="n">
        <v>4</v>
      </c>
      <c r="AU273" s="3" t="n">
        <v>6</v>
      </c>
      <c r="AV273" s="3" t="n">
        <v>6</v>
      </c>
      <c r="AW273" s="3" t="n">
        <v>3</v>
      </c>
      <c r="AX273" s="3" t="n">
        <v>3</v>
      </c>
      <c r="AY273" s="3" t="n">
        <v>1</v>
      </c>
      <c r="AZ273" s="5" t="n">
        <v>1</v>
      </c>
      <c r="BA273" s="3" t="n">
        <v>1</v>
      </c>
      <c r="BB273" s="3" t="n">
        <v>1</v>
      </c>
      <c r="BC273" s="3" t="n">
        <v>2</v>
      </c>
      <c r="BD273" s="3" t="n">
        <v>1</v>
      </c>
      <c r="BE273" s="3" t="n">
        <v>2</v>
      </c>
      <c r="BF273" s="3" t="n">
        <v>1</v>
      </c>
      <c r="BG273" s="3" t="n">
        <v>4</v>
      </c>
      <c r="BH273" s="3" t="n">
        <v>1</v>
      </c>
      <c r="BI273" s="3" t="n">
        <v>1</v>
      </c>
    </row>
    <row r="274" customFormat="false" ht="12.75" hidden="false" customHeight="false" outlineLevel="0" collapsed="false">
      <c r="A274" s="2" t="s">
        <v>286</v>
      </c>
      <c r="B274" s="2" t="s">
        <v>2606</v>
      </c>
      <c r="C274" s="2" t="s">
        <v>78</v>
      </c>
      <c r="D274" s="2" t="n">
        <v>205309</v>
      </c>
      <c r="E274" s="15" t="n">
        <v>44157</v>
      </c>
      <c r="F274" s="15" t="n">
        <v>44164</v>
      </c>
      <c r="G274" s="3" t="n">
        <v>7</v>
      </c>
      <c r="H274" s="3" t="n">
        <v>2</v>
      </c>
      <c r="I274" s="3" t="n">
        <v>67</v>
      </c>
      <c r="J274" s="3" t="n">
        <v>1</v>
      </c>
      <c r="K274" s="3" t="n">
        <v>1</v>
      </c>
      <c r="L274" s="3" t="n">
        <v>2</v>
      </c>
      <c r="M274" s="3" t="n">
        <v>2</v>
      </c>
      <c r="N274" s="3" t="n">
        <v>2</v>
      </c>
      <c r="O274" s="3" t="n">
        <v>2</v>
      </c>
      <c r="P274" s="3" t="n">
        <v>2</v>
      </c>
      <c r="Q274" s="3" t="n">
        <v>2</v>
      </c>
      <c r="R274" s="3" t="n">
        <v>2</v>
      </c>
      <c r="S274" s="4" t="n">
        <v>2</v>
      </c>
      <c r="T274" s="3" t="n">
        <v>2</v>
      </c>
      <c r="U274" s="3" t="n">
        <v>3.74</v>
      </c>
      <c r="V274" s="3" t="n">
        <v>1.56</v>
      </c>
      <c r="W274" s="3" t="n">
        <v>5.74</v>
      </c>
      <c r="X274" s="3" t="n">
        <v>254</v>
      </c>
      <c r="Z274" s="3" t="n">
        <v>0.42</v>
      </c>
      <c r="AA274" s="3" t="n">
        <v>19.9</v>
      </c>
      <c r="AB274" s="3" t="n">
        <v>2</v>
      </c>
      <c r="AC274" s="3" t="n">
        <v>2</v>
      </c>
      <c r="AD274" s="3" t="n">
        <v>1</v>
      </c>
      <c r="AE274" s="3" t="n">
        <v>1</v>
      </c>
      <c r="AF274" s="3" t="n">
        <v>2</v>
      </c>
      <c r="AG274" s="3" t="n">
        <v>2</v>
      </c>
      <c r="AH274" s="3" t="n">
        <v>1</v>
      </c>
      <c r="AI274" s="3" t="n">
        <v>2</v>
      </c>
      <c r="AJ274" s="3" t="n">
        <v>2</v>
      </c>
      <c r="AK274" s="3" t="n">
        <v>2</v>
      </c>
      <c r="AL274" s="3" t="n">
        <v>2</v>
      </c>
      <c r="AM274" s="3" t="n">
        <v>2</v>
      </c>
      <c r="AN274" s="3" t="n">
        <v>2</v>
      </c>
      <c r="AO274" s="3" t="n">
        <v>3</v>
      </c>
      <c r="AP274" s="3" t="n">
        <v>4</v>
      </c>
      <c r="AQ274" s="3" t="n">
        <v>4</v>
      </c>
      <c r="AR274" s="3" t="n">
        <v>6</v>
      </c>
      <c r="AS274" s="3" t="n">
        <v>4</v>
      </c>
      <c r="AT274" s="3" t="n">
        <v>4</v>
      </c>
      <c r="AU274" s="3" t="n">
        <v>6</v>
      </c>
      <c r="AV274" s="3" t="n">
        <v>6</v>
      </c>
      <c r="AW274" s="3" t="n">
        <v>3</v>
      </c>
      <c r="AX274" s="3" t="n">
        <v>3</v>
      </c>
      <c r="AY274" s="3" t="n">
        <v>1</v>
      </c>
      <c r="AZ274" s="5" t="n">
        <v>1</v>
      </c>
      <c r="BA274" s="3" t="n">
        <v>1</v>
      </c>
      <c r="BB274" s="3" t="n">
        <v>1</v>
      </c>
      <c r="BC274" s="3" t="n">
        <v>2</v>
      </c>
      <c r="BD274" s="3" t="n">
        <v>1</v>
      </c>
      <c r="BE274" s="3" t="n">
        <v>2</v>
      </c>
      <c r="BF274" s="3" t="n">
        <v>1</v>
      </c>
      <c r="BG274" s="3" t="n">
        <v>4</v>
      </c>
      <c r="BH274" s="3" t="n">
        <v>1</v>
      </c>
      <c r="BI274" s="3" t="n">
        <v>1</v>
      </c>
    </row>
    <row r="275" customFormat="false" ht="12.75" hidden="false" customHeight="false" outlineLevel="0" collapsed="false">
      <c r="A275" s="2" t="s">
        <v>2608</v>
      </c>
      <c r="B275" s="2" t="s">
        <v>2609</v>
      </c>
      <c r="C275" s="2" t="s">
        <v>2610</v>
      </c>
      <c r="D275" s="2" t="n">
        <v>205352</v>
      </c>
      <c r="E275" s="15" t="n">
        <v>44158</v>
      </c>
      <c r="F275" s="15" t="n">
        <v>44165</v>
      </c>
      <c r="G275" s="3" t="n">
        <v>7</v>
      </c>
      <c r="H275" s="3" t="n">
        <v>1</v>
      </c>
      <c r="I275" s="3" t="n">
        <v>86</v>
      </c>
      <c r="J275" s="3" t="n">
        <v>1</v>
      </c>
      <c r="K275" s="3" t="n">
        <v>2</v>
      </c>
      <c r="L275" s="3" t="n">
        <v>1</v>
      </c>
      <c r="M275" s="3" t="n">
        <v>2</v>
      </c>
      <c r="N275" s="3" t="n">
        <v>2</v>
      </c>
      <c r="O275" s="3" t="n">
        <v>2</v>
      </c>
      <c r="P275" s="3" t="n">
        <v>2</v>
      </c>
      <c r="Q275" s="3" t="n">
        <v>2</v>
      </c>
      <c r="R275" s="3" t="n">
        <v>1</v>
      </c>
      <c r="S275" s="4" t="n">
        <v>2</v>
      </c>
      <c r="T275" s="3" t="n">
        <v>2</v>
      </c>
      <c r="U275" s="3" t="n">
        <v>3.19</v>
      </c>
      <c r="V275" s="3" t="n">
        <v>1.97</v>
      </c>
      <c r="W275" s="3" t="n">
        <v>5.59</v>
      </c>
      <c r="X275" s="3" t="n">
        <v>354</v>
      </c>
      <c r="Z275" s="3" t="n">
        <v>0.45</v>
      </c>
      <c r="AA275" s="3" t="n">
        <v>12.9</v>
      </c>
      <c r="AB275" s="3"/>
      <c r="AC275" s="3" t="n">
        <v>2</v>
      </c>
      <c r="AD275" s="3" t="n">
        <v>1</v>
      </c>
      <c r="AE275" s="3" t="n">
        <v>1</v>
      </c>
      <c r="AF275" s="3" t="n">
        <v>2</v>
      </c>
      <c r="AG275" s="3" t="n">
        <v>2</v>
      </c>
      <c r="AH275" s="3" t="n">
        <v>1</v>
      </c>
      <c r="AI275" s="3" t="n">
        <v>1</v>
      </c>
      <c r="AJ275" s="3" t="n">
        <v>2</v>
      </c>
      <c r="AK275" s="3" t="n">
        <v>2</v>
      </c>
      <c r="AL275" s="3" t="n">
        <v>2</v>
      </c>
      <c r="AM275" s="3" t="n">
        <v>2</v>
      </c>
      <c r="AN275" s="3" t="n">
        <v>2</v>
      </c>
      <c r="AO275" s="3" t="n">
        <v>3</v>
      </c>
      <c r="AP275" s="3" t="n">
        <v>4</v>
      </c>
      <c r="AQ275" s="3" t="n">
        <v>4</v>
      </c>
      <c r="AR275" s="3" t="n">
        <v>6</v>
      </c>
      <c r="AS275" s="3" t="n">
        <v>4</v>
      </c>
      <c r="AT275" s="3" t="n">
        <v>4</v>
      </c>
      <c r="AU275" s="3" t="n">
        <v>6</v>
      </c>
      <c r="AV275" s="3" t="n">
        <v>6</v>
      </c>
      <c r="AW275" s="3" t="n">
        <v>3</v>
      </c>
      <c r="AX275" s="3" t="n">
        <v>3</v>
      </c>
      <c r="AY275" s="3" t="n">
        <v>1</v>
      </c>
      <c r="AZ275" s="5" t="n">
        <v>1</v>
      </c>
      <c r="BA275" s="3" t="n">
        <v>1</v>
      </c>
      <c r="BB275" s="3" t="n">
        <v>1</v>
      </c>
      <c r="BC275" s="3" t="n">
        <v>4</v>
      </c>
      <c r="BD275" s="3" t="n">
        <v>3</v>
      </c>
      <c r="BE275" s="3" t="n">
        <v>5</v>
      </c>
      <c r="BF275" s="3" t="n">
        <v>3</v>
      </c>
      <c r="BG275" s="3" t="n">
        <v>4</v>
      </c>
      <c r="BH275" s="3" t="n">
        <v>1</v>
      </c>
      <c r="BI275" s="3" t="n">
        <v>1</v>
      </c>
    </row>
    <row r="276" customFormat="false" ht="12.75" hidden="false" customHeight="false" outlineLevel="0" collapsed="false">
      <c r="A276" s="2" t="s">
        <v>2613</v>
      </c>
      <c r="B276" s="2" t="s">
        <v>2614</v>
      </c>
      <c r="C276" s="2" t="s">
        <v>2615</v>
      </c>
      <c r="D276" s="2" t="n">
        <v>205347</v>
      </c>
      <c r="E276" s="15" t="n">
        <v>44158</v>
      </c>
      <c r="F276" s="15" t="n">
        <v>44164</v>
      </c>
      <c r="G276" s="3" t="n">
        <v>6</v>
      </c>
      <c r="H276" s="3" t="n">
        <v>1</v>
      </c>
      <c r="I276" s="3" t="n">
        <v>40</v>
      </c>
      <c r="J276" s="3" t="n">
        <v>1</v>
      </c>
      <c r="K276" s="3" t="n">
        <v>1</v>
      </c>
      <c r="L276" s="3" t="n">
        <v>2</v>
      </c>
      <c r="M276" s="3" t="n">
        <v>2</v>
      </c>
      <c r="N276" s="3" t="n">
        <v>2</v>
      </c>
      <c r="O276" s="3" t="n">
        <v>2</v>
      </c>
      <c r="P276" s="3" t="n">
        <v>2</v>
      </c>
      <c r="Q276" s="3" t="n">
        <v>2</v>
      </c>
      <c r="R276" s="3" t="n">
        <v>2</v>
      </c>
      <c r="S276" s="4" t="n">
        <v>2</v>
      </c>
      <c r="T276" s="3" t="n">
        <v>2</v>
      </c>
      <c r="U276" s="3" t="n">
        <v>4.97</v>
      </c>
      <c r="V276" s="3" t="n">
        <v>2.64</v>
      </c>
      <c r="W276" s="3" t="n">
        <v>4.29</v>
      </c>
      <c r="X276" s="3" t="n">
        <v>208</v>
      </c>
      <c r="Z276" s="3" t="n">
        <v>0.44</v>
      </c>
      <c r="AA276" s="3" t="n">
        <v>10.8</v>
      </c>
      <c r="AB276" s="3" t="n">
        <v>1</v>
      </c>
      <c r="AC276" s="3" t="n">
        <v>1</v>
      </c>
      <c r="AD276" s="3" t="n">
        <v>1</v>
      </c>
      <c r="AE276" s="3" t="n">
        <v>1</v>
      </c>
      <c r="AF276" s="3" t="n">
        <v>2</v>
      </c>
      <c r="AG276" s="3" t="n">
        <v>2</v>
      </c>
      <c r="AH276" s="3" t="n">
        <v>1</v>
      </c>
      <c r="AI276" s="3" t="n">
        <v>2</v>
      </c>
      <c r="AJ276" s="3" t="n">
        <v>2</v>
      </c>
      <c r="AK276" s="3" t="n">
        <v>2</v>
      </c>
      <c r="AL276" s="3" t="n">
        <v>1</v>
      </c>
      <c r="AM276" s="3" t="n">
        <v>2</v>
      </c>
      <c r="AN276" s="3" t="n">
        <v>2</v>
      </c>
      <c r="AO276" s="3" t="n">
        <v>3</v>
      </c>
      <c r="AP276" s="3" t="n">
        <v>4</v>
      </c>
      <c r="AQ276" s="3" t="n">
        <v>4</v>
      </c>
      <c r="AR276" s="3" t="n">
        <v>6</v>
      </c>
      <c r="AS276" s="3" t="n">
        <v>4</v>
      </c>
      <c r="AT276" s="3" t="n">
        <v>4</v>
      </c>
      <c r="AU276" s="3" t="n">
        <v>6</v>
      </c>
      <c r="AV276" s="3" t="n">
        <v>6</v>
      </c>
      <c r="AW276" s="3" t="n">
        <v>3</v>
      </c>
      <c r="AX276" s="3" t="n">
        <v>3</v>
      </c>
      <c r="AY276" s="3" t="n">
        <v>1</v>
      </c>
      <c r="AZ276" s="5" t="n">
        <v>1</v>
      </c>
      <c r="BA276" s="3" t="n">
        <v>1</v>
      </c>
      <c r="BB276" s="3" t="n">
        <v>1</v>
      </c>
      <c r="BC276" s="3" t="n">
        <v>2</v>
      </c>
      <c r="BD276" s="3" t="n">
        <v>3</v>
      </c>
      <c r="BE276" s="3" t="n">
        <v>5</v>
      </c>
      <c r="BF276" s="3" t="n">
        <v>3</v>
      </c>
      <c r="BG276" s="3" t="n">
        <v>4</v>
      </c>
      <c r="BH276" s="3" t="n">
        <v>1</v>
      </c>
      <c r="BI276" s="3" t="n">
        <v>1</v>
      </c>
    </row>
    <row r="277" customFormat="false" ht="12.75" hidden="false" customHeight="false" outlineLevel="0" collapsed="false">
      <c r="A277" s="2" t="s">
        <v>2623</v>
      </c>
      <c r="B277" s="2" t="s">
        <v>78</v>
      </c>
      <c r="C277" s="2" t="s">
        <v>78</v>
      </c>
      <c r="D277" s="2" t="n">
        <v>205773</v>
      </c>
      <c r="E277" s="15" t="n">
        <v>44166</v>
      </c>
      <c r="F277" s="15" t="n">
        <v>44172</v>
      </c>
      <c r="G277" s="3" t="n">
        <v>6</v>
      </c>
      <c r="H277" s="3" t="n">
        <v>2</v>
      </c>
      <c r="I277" s="3" t="n">
        <v>69</v>
      </c>
      <c r="J277" s="3" t="n">
        <v>1</v>
      </c>
      <c r="K277" s="3" t="n">
        <v>2</v>
      </c>
      <c r="L277" s="3" t="n">
        <v>1</v>
      </c>
      <c r="M277" s="3" t="n">
        <v>2</v>
      </c>
      <c r="N277" s="3" t="n">
        <v>2</v>
      </c>
      <c r="O277" s="3" t="n">
        <v>2</v>
      </c>
      <c r="P277" s="3" t="n">
        <v>2</v>
      </c>
      <c r="Q277" s="3" t="n">
        <v>2</v>
      </c>
      <c r="R277" s="3" t="n">
        <v>2</v>
      </c>
      <c r="S277" s="4" t="n">
        <v>2</v>
      </c>
      <c r="T277" s="3" t="n">
        <v>2</v>
      </c>
      <c r="U277" s="3" t="n">
        <v>4.36</v>
      </c>
      <c r="V277" s="3" t="n">
        <v>1.48</v>
      </c>
      <c r="W277" s="3" t="n">
        <v>5.87</v>
      </c>
      <c r="X277" s="3" t="n">
        <v>259</v>
      </c>
      <c r="Z277" s="3" t="n">
        <v>0.48</v>
      </c>
      <c r="AA277" s="3" t="n">
        <v>13</v>
      </c>
      <c r="AB277" s="3" t="n">
        <v>1</v>
      </c>
      <c r="AC277" s="3" t="n">
        <v>2</v>
      </c>
      <c r="AD277" s="3" t="n">
        <v>1</v>
      </c>
      <c r="AE277" s="3" t="n">
        <v>1</v>
      </c>
      <c r="AF277" s="3" t="n">
        <v>1</v>
      </c>
      <c r="AG277" s="3" t="n">
        <v>2</v>
      </c>
      <c r="AH277" s="3" t="n">
        <v>1</v>
      </c>
      <c r="AI277" s="3" t="n">
        <v>2</v>
      </c>
      <c r="AJ277" s="3" t="n">
        <v>2</v>
      </c>
      <c r="AK277" s="3" t="n">
        <v>2</v>
      </c>
      <c r="AL277" s="3" t="n">
        <v>2</v>
      </c>
      <c r="AM277" s="3" t="n">
        <v>2</v>
      </c>
      <c r="AN277" s="3" t="n">
        <v>2</v>
      </c>
      <c r="AO277" s="3" t="n">
        <v>3</v>
      </c>
      <c r="AP277" s="3" t="n">
        <v>4</v>
      </c>
      <c r="AQ277" s="3" t="n">
        <v>4</v>
      </c>
      <c r="AR277" s="3" t="n">
        <v>6</v>
      </c>
      <c r="AS277" s="3" t="n">
        <v>4</v>
      </c>
      <c r="AT277" s="3" t="n">
        <v>4</v>
      </c>
      <c r="AU277" s="3" t="n">
        <v>6</v>
      </c>
      <c r="AV277" s="3" t="n">
        <v>6</v>
      </c>
      <c r="AW277" s="3" t="n">
        <v>3</v>
      </c>
      <c r="AX277" s="3" t="n">
        <v>3</v>
      </c>
      <c r="AY277" s="3" t="n">
        <v>1</v>
      </c>
      <c r="AZ277" s="5" t="n">
        <v>1</v>
      </c>
      <c r="BA277" s="3" t="n">
        <v>1</v>
      </c>
      <c r="BB277" s="3" t="n">
        <v>1</v>
      </c>
      <c r="BC277" s="3" t="n">
        <v>2</v>
      </c>
      <c r="BD277" s="3" t="n">
        <v>3</v>
      </c>
      <c r="BE277" s="3" t="n">
        <v>5</v>
      </c>
      <c r="BF277" s="3" t="n">
        <v>3</v>
      </c>
      <c r="BG277" s="3" t="n">
        <v>4</v>
      </c>
      <c r="BH277" s="3" t="n">
        <v>1</v>
      </c>
      <c r="BI277" s="3" t="n">
        <v>1</v>
      </c>
    </row>
    <row r="278" customFormat="false" ht="12.75" hidden="false" customHeight="false" outlineLevel="0" collapsed="false">
      <c r="A278" s="26" t="s">
        <v>2625</v>
      </c>
      <c r="B278" s="26" t="s">
        <v>2626</v>
      </c>
      <c r="C278" s="26" t="s">
        <v>2627</v>
      </c>
      <c r="D278" s="26" t="n">
        <v>206177</v>
      </c>
      <c r="E278" s="27" t="n">
        <v>44173</v>
      </c>
      <c r="F278" s="27" t="n">
        <v>44174</v>
      </c>
      <c r="G278" s="30" t="n">
        <v>1</v>
      </c>
      <c r="H278" s="30" t="n">
        <v>1</v>
      </c>
      <c r="I278" s="30" t="n">
        <v>90</v>
      </c>
      <c r="J278" s="30" t="n">
        <v>2</v>
      </c>
      <c r="K278" s="30" t="n">
        <v>2</v>
      </c>
      <c r="L278" s="30" t="n">
        <v>1</v>
      </c>
      <c r="M278" s="30" t="n">
        <v>2</v>
      </c>
      <c r="N278" s="30" t="n">
        <v>2</v>
      </c>
      <c r="O278" s="30" t="n">
        <v>2</v>
      </c>
      <c r="P278" s="30" t="n">
        <v>2</v>
      </c>
      <c r="Q278" s="30" t="n">
        <v>2</v>
      </c>
      <c r="R278" s="30" t="n">
        <v>2</v>
      </c>
      <c r="S278" s="4" t="n">
        <v>2</v>
      </c>
      <c r="T278" s="30" t="n">
        <v>2</v>
      </c>
      <c r="U278" s="30"/>
      <c r="V278" s="30"/>
      <c r="W278" s="30"/>
      <c r="X278" s="30"/>
      <c r="Z278" s="30"/>
      <c r="AA278" s="30"/>
      <c r="AB278" s="30" t="n">
        <v>3</v>
      </c>
      <c r="AC278" s="30" t="n">
        <v>2</v>
      </c>
      <c r="AD278" s="30" t="n">
        <v>1</v>
      </c>
      <c r="AE278" s="30" t="n">
        <v>1</v>
      </c>
      <c r="AF278" s="30" t="n">
        <v>1</v>
      </c>
      <c r="AG278" s="30" t="n">
        <v>2</v>
      </c>
      <c r="AH278" s="30" t="n">
        <v>1</v>
      </c>
      <c r="AI278" s="30" t="n">
        <v>2</v>
      </c>
      <c r="AJ278" s="30" t="n">
        <v>2</v>
      </c>
      <c r="AK278" s="30" t="n">
        <v>1</v>
      </c>
      <c r="AL278" s="30" t="n">
        <v>2</v>
      </c>
      <c r="AM278" s="30" t="n">
        <v>2</v>
      </c>
      <c r="AN278" s="30" t="n">
        <v>2</v>
      </c>
      <c r="AO278" s="30" t="n">
        <v>3</v>
      </c>
      <c r="AP278" s="30" t="n">
        <v>4</v>
      </c>
      <c r="AQ278" s="30" t="n">
        <v>4</v>
      </c>
      <c r="AR278" s="30" t="n">
        <v>6</v>
      </c>
      <c r="AS278" s="30" t="n">
        <v>4</v>
      </c>
      <c r="AT278" s="30" t="n">
        <v>4</v>
      </c>
      <c r="AU278" s="30" t="n">
        <v>6</v>
      </c>
      <c r="AV278" s="30" t="n">
        <v>6</v>
      </c>
      <c r="AW278" s="30" t="n">
        <v>3</v>
      </c>
      <c r="AX278" s="30" t="n">
        <v>3</v>
      </c>
      <c r="AY278" s="30" t="n">
        <v>5</v>
      </c>
      <c r="AZ278" s="5" t="n">
        <v>2</v>
      </c>
      <c r="BA278" s="30" t="n">
        <v>1</v>
      </c>
      <c r="BB278" s="30" t="n">
        <v>2</v>
      </c>
      <c r="BC278" s="30" t="n">
        <v>2</v>
      </c>
      <c r="BD278" s="30" t="n">
        <v>3</v>
      </c>
      <c r="BE278" s="30" t="n">
        <v>5</v>
      </c>
      <c r="BF278" s="30" t="n">
        <v>3</v>
      </c>
      <c r="BG278" s="30" t="n">
        <v>4</v>
      </c>
      <c r="BH278" s="30" t="n">
        <v>1</v>
      </c>
      <c r="BI278" s="30" t="n">
        <v>1</v>
      </c>
    </row>
    <row r="279" customFormat="false" ht="12.75" hidden="false" customHeight="false" outlineLevel="0" collapsed="false">
      <c r="A279" s="2" t="s">
        <v>497</v>
      </c>
      <c r="B279" s="2" t="s">
        <v>2629</v>
      </c>
      <c r="C279" s="2" t="s">
        <v>611</v>
      </c>
      <c r="D279" s="2" t="n">
        <v>205321</v>
      </c>
      <c r="E279" s="15" t="n">
        <v>44163</v>
      </c>
      <c r="F279" s="15" t="n">
        <v>44170</v>
      </c>
      <c r="G279" s="3" t="n">
        <v>7</v>
      </c>
      <c r="H279" s="3" t="n">
        <v>2</v>
      </c>
      <c r="I279" s="3" t="n">
        <v>78</v>
      </c>
      <c r="J279" s="3" t="n">
        <v>1</v>
      </c>
      <c r="K279" s="3" t="n">
        <v>2</v>
      </c>
      <c r="L279" s="3" t="n">
        <v>1</v>
      </c>
      <c r="M279" s="3" t="n">
        <v>2</v>
      </c>
      <c r="N279" s="3" t="n">
        <v>2</v>
      </c>
      <c r="O279" s="3" t="n">
        <v>2</v>
      </c>
      <c r="P279" s="3" t="n">
        <v>2</v>
      </c>
      <c r="Q279" s="3" t="n">
        <v>2</v>
      </c>
      <c r="R279" s="3" t="n">
        <v>2</v>
      </c>
      <c r="S279" s="4" t="n">
        <v>2</v>
      </c>
      <c r="T279" s="3" t="n">
        <v>2</v>
      </c>
      <c r="U279" s="3" t="n">
        <v>4.74</v>
      </c>
      <c r="V279" s="3" t="n">
        <v>1.61</v>
      </c>
      <c r="W279" s="3" t="n">
        <v>5.83</v>
      </c>
      <c r="X279" s="3" t="n">
        <v>459</v>
      </c>
      <c r="Z279" s="3" t="n">
        <v>0.54</v>
      </c>
      <c r="AA279" s="3" t="n">
        <v>12.5</v>
      </c>
      <c r="AB279" s="3" t="n">
        <v>2</v>
      </c>
      <c r="AC279" s="3" t="n">
        <v>2</v>
      </c>
      <c r="AD279" s="3" t="n">
        <v>1</v>
      </c>
      <c r="AE279" s="3" t="n">
        <v>1</v>
      </c>
      <c r="AF279" s="3" t="n">
        <v>1</v>
      </c>
      <c r="AG279" s="3" t="n">
        <v>2</v>
      </c>
      <c r="AH279" s="3" t="n">
        <v>1</v>
      </c>
      <c r="AI279" s="3" t="n">
        <v>2</v>
      </c>
      <c r="AJ279" s="3" t="n">
        <v>2</v>
      </c>
      <c r="AK279" s="3" t="n">
        <v>2</v>
      </c>
      <c r="AL279" s="3" t="n">
        <v>1</v>
      </c>
      <c r="AM279" s="3" t="n">
        <v>2</v>
      </c>
      <c r="AN279" s="3" t="n">
        <v>2</v>
      </c>
      <c r="AO279" s="3" t="n">
        <v>3</v>
      </c>
      <c r="AP279" s="3" t="n">
        <v>4</v>
      </c>
      <c r="AQ279" s="3" t="n">
        <v>4</v>
      </c>
      <c r="AR279" s="3" t="n">
        <v>6</v>
      </c>
      <c r="AS279" s="3" t="n">
        <v>4</v>
      </c>
      <c r="AT279" s="3" t="n">
        <v>4</v>
      </c>
      <c r="AU279" s="3" t="n">
        <v>6</v>
      </c>
      <c r="AV279" s="3" t="n">
        <v>6</v>
      </c>
      <c r="AW279" s="3" t="n">
        <v>3</v>
      </c>
      <c r="AX279" s="3" t="n">
        <v>3</v>
      </c>
      <c r="AY279" s="3" t="n">
        <v>1</v>
      </c>
      <c r="AZ279" s="5" t="n">
        <v>1</v>
      </c>
      <c r="BA279" s="3" t="n">
        <v>1</v>
      </c>
      <c r="BB279" s="3" t="n">
        <v>1</v>
      </c>
      <c r="BC279" s="3" t="n">
        <v>2</v>
      </c>
      <c r="BD279" s="3" t="n">
        <v>1</v>
      </c>
      <c r="BE279" s="3" t="n">
        <v>2</v>
      </c>
      <c r="BF279" s="3" t="n">
        <v>1</v>
      </c>
      <c r="BG279" s="3" t="n">
        <v>4</v>
      </c>
      <c r="BH279" s="3" t="n">
        <v>1</v>
      </c>
      <c r="BI279" s="3" t="n">
        <v>1</v>
      </c>
    </row>
    <row r="280" customFormat="false" ht="12.75" hidden="false" customHeight="false" outlineLevel="0" collapsed="false">
      <c r="A280" s="2" t="s">
        <v>556</v>
      </c>
      <c r="B280" s="2" t="s">
        <v>802</v>
      </c>
      <c r="C280" s="2" t="s">
        <v>433</v>
      </c>
      <c r="D280" s="2" t="n">
        <v>205734</v>
      </c>
      <c r="E280" s="15" t="n">
        <v>44165</v>
      </c>
      <c r="F280" s="15" t="n">
        <v>44172</v>
      </c>
      <c r="G280" s="3" t="n">
        <v>7</v>
      </c>
      <c r="H280" s="3" t="n">
        <v>2</v>
      </c>
      <c r="I280" s="3" t="n">
        <v>78</v>
      </c>
      <c r="J280" s="3" t="n">
        <v>1</v>
      </c>
      <c r="K280" s="3" t="n">
        <v>1</v>
      </c>
      <c r="L280" s="3" t="n">
        <v>1</v>
      </c>
      <c r="M280" s="3" t="n">
        <v>2</v>
      </c>
      <c r="N280" s="3" t="n">
        <v>2</v>
      </c>
      <c r="O280" s="3" t="n">
        <v>2</v>
      </c>
      <c r="P280" s="3" t="n">
        <v>2</v>
      </c>
      <c r="Q280" s="3" t="n">
        <v>2</v>
      </c>
      <c r="R280" s="3" t="n">
        <v>2</v>
      </c>
      <c r="S280" s="4" t="n">
        <v>2</v>
      </c>
      <c r="T280" s="3" t="n">
        <v>2</v>
      </c>
      <c r="U280" s="3" t="n">
        <v>4.79</v>
      </c>
      <c r="V280" s="3" t="n">
        <v>0.69</v>
      </c>
      <c r="W280" s="3" t="n">
        <v>5.16</v>
      </c>
      <c r="X280" s="3" t="n">
        <v>313</v>
      </c>
      <c r="Z280" s="3" t="n">
        <v>0.45</v>
      </c>
      <c r="AA280" s="3" t="n">
        <v>11.9</v>
      </c>
      <c r="AB280" s="3" t="n">
        <v>1</v>
      </c>
      <c r="AC280" s="3" t="n">
        <v>2</v>
      </c>
      <c r="AD280" s="3" t="n">
        <v>1</v>
      </c>
      <c r="AE280" s="3" t="n">
        <v>1</v>
      </c>
      <c r="AF280" s="3" t="n">
        <v>1</v>
      </c>
      <c r="AG280" s="3" t="n">
        <v>2</v>
      </c>
      <c r="AH280" s="3" t="n">
        <v>1</v>
      </c>
      <c r="AI280" s="3" t="n">
        <v>2</v>
      </c>
      <c r="AJ280" s="3" t="n">
        <v>2</v>
      </c>
      <c r="AK280" s="3" t="n">
        <v>2</v>
      </c>
      <c r="AL280" s="3" t="n">
        <v>1</v>
      </c>
      <c r="AM280" s="3" t="n">
        <v>2</v>
      </c>
      <c r="AN280" s="3" t="n">
        <v>2</v>
      </c>
      <c r="AO280" s="3" t="n">
        <v>3</v>
      </c>
      <c r="AP280" s="3" t="n">
        <v>4</v>
      </c>
      <c r="AQ280" s="3" t="n">
        <v>4</v>
      </c>
      <c r="AR280" s="3" t="n">
        <v>6</v>
      </c>
      <c r="AS280" s="3" t="n">
        <v>4</v>
      </c>
      <c r="AT280" s="3" t="n">
        <v>4</v>
      </c>
      <c r="AU280" s="3" t="n">
        <v>6</v>
      </c>
      <c r="AV280" s="3" t="n">
        <v>6</v>
      </c>
      <c r="AW280" s="3" t="n">
        <v>3</v>
      </c>
      <c r="AX280" s="3" t="n">
        <v>3</v>
      </c>
      <c r="AY280" s="3" t="n">
        <v>1</v>
      </c>
      <c r="AZ280" s="5" t="n">
        <v>1</v>
      </c>
      <c r="BA280" s="3" t="n">
        <v>1</v>
      </c>
      <c r="BB280" s="3" t="n">
        <v>1</v>
      </c>
      <c r="BC280" s="3" t="n">
        <v>2</v>
      </c>
      <c r="BD280" s="3" t="n">
        <v>3</v>
      </c>
      <c r="BE280" s="3" t="n">
        <v>5</v>
      </c>
      <c r="BF280" s="3" t="n">
        <v>3</v>
      </c>
      <c r="BG280" s="3" t="n">
        <v>4</v>
      </c>
      <c r="BH280" s="3" t="n">
        <v>1</v>
      </c>
      <c r="BI280" s="3" t="n">
        <v>1</v>
      </c>
    </row>
    <row r="281" customFormat="false" ht="12.75" hidden="false" customHeight="false" outlineLevel="0" collapsed="false">
      <c r="A281" s="2" t="s">
        <v>2635</v>
      </c>
      <c r="B281" s="2" t="s">
        <v>2636</v>
      </c>
      <c r="C281" s="2" t="s">
        <v>1462</v>
      </c>
      <c r="D281" s="2" t="n">
        <v>205739</v>
      </c>
      <c r="E281" s="15" t="n">
        <v>44165</v>
      </c>
      <c r="F281" s="15" t="n">
        <v>44172</v>
      </c>
      <c r="G281" s="3" t="n">
        <v>7</v>
      </c>
      <c r="H281" s="3" t="n">
        <v>2</v>
      </c>
      <c r="I281" s="3" t="n">
        <v>76</v>
      </c>
      <c r="J281" s="3" t="n">
        <v>1</v>
      </c>
      <c r="K281" s="3" t="n">
        <v>1</v>
      </c>
      <c r="L281" s="3" t="n">
        <v>2</v>
      </c>
      <c r="M281" s="3" t="n">
        <v>2</v>
      </c>
      <c r="N281" s="3" t="n">
        <v>2</v>
      </c>
      <c r="O281" s="3" t="n">
        <v>2</v>
      </c>
      <c r="P281" s="3" t="n">
        <v>2</v>
      </c>
      <c r="Q281" s="3" t="n">
        <v>2</v>
      </c>
      <c r="R281" s="3" t="n">
        <v>2</v>
      </c>
      <c r="S281" s="4" t="n">
        <v>2</v>
      </c>
      <c r="T281" s="3" t="n">
        <v>2</v>
      </c>
      <c r="U281" s="3" t="n">
        <v>4.25</v>
      </c>
      <c r="V281" s="3" t="n">
        <v>1.15</v>
      </c>
      <c r="W281" s="3" t="n">
        <v>7.68</v>
      </c>
      <c r="X281" s="3" t="n">
        <v>231</v>
      </c>
      <c r="Z281" s="3" t="n">
        <v>0.49</v>
      </c>
      <c r="AA281" s="3" t="n">
        <v>10.1</v>
      </c>
      <c r="AB281" s="3" t="n">
        <v>1</v>
      </c>
      <c r="AC281" s="3" t="n">
        <v>2</v>
      </c>
      <c r="AD281" s="3" t="n">
        <v>1</v>
      </c>
      <c r="AE281" s="3" t="n">
        <v>1</v>
      </c>
      <c r="AF281" s="3" t="n">
        <v>2</v>
      </c>
      <c r="AG281" s="3" t="n">
        <v>2</v>
      </c>
      <c r="AH281" s="3" t="n">
        <v>1</v>
      </c>
      <c r="AI281" s="3" t="n">
        <v>2</v>
      </c>
      <c r="AJ281" s="3" t="n">
        <v>2</v>
      </c>
      <c r="AK281" s="3" t="n">
        <v>2</v>
      </c>
      <c r="AL281" s="3" t="n">
        <v>1</v>
      </c>
      <c r="AM281" s="3" t="n">
        <v>2</v>
      </c>
      <c r="AN281" s="3" t="n">
        <v>2</v>
      </c>
      <c r="AO281" s="3" t="n">
        <v>3</v>
      </c>
      <c r="AP281" s="3" t="n">
        <v>4</v>
      </c>
      <c r="AQ281" s="3" t="n">
        <v>4</v>
      </c>
      <c r="AR281" s="3" t="n">
        <v>6</v>
      </c>
      <c r="AS281" s="3" t="n">
        <v>4</v>
      </c>
      <c r="AT281" s="3" t="n">
        <v>4</v>
      </c>
      <c r="AU281" s="3" t="n">
        <v>6</v>
      </c>
      <c r="AV281" s="3" t="n">
        <v>6</v>
      </c>
      <c r="AW281" s="3" t="n">
        <v>3</v>
      </c>
      <c r="AX281" s="3" t="n">
        <v>3</v>
      </c>
      <c r="AY281" s="3" t="n">
        <v>1</v>
      </c>
      <c r="AZ281" s="5" t="n">
        <v>1</v>
      </c>
      <c r="BA281" s="3" t="n">
        <v>1</v>
      </c>
      <c r="BB281" s="3" t="n">
        <v>1</v>
      </c>
      <c r="BC281" s="3" t="n">
        <v>4</v>
      </c>
      <c r="BD281" s="3" t="n">
        <v>1</v>
      </c>
      <c r="BE281" s="3" t="n">
        <v>2</v>
      </c>
      <c r="BF281" s="3" t="n">
        <v>1</v>
      </c>
      <c r="BG281" s="3" t="n">
        <v>4</v>
      </c>
      <c r="BH281" s="3" t="n">
        <v>1</v>
      </c>
      <c r="BI281" s="3" t="n">
        <v>1</v>
      </c>
    </row>
    <row r="282" customFormat="false" ht="12.75" hidden="false" customHeight="false" outlineLevel="0" collapsed="false">
      <c r="A282" s="2" t="s">
        <v>1075</v>
      </c>
      <c r="B282" s="2" t="s">
        <v>2643</v>
      </c>
      <c r="C282" s="2" t="s">
        <v>608</v>
      </c>
      <c r="D282" s="2" t="n">
        <v>205801</v>
      </c>
      <c r="E282" s="15" t="n">
        <v>44172</v>
      </c>
      <c r="F282" s="15" t="n">
        <v>44179</v>
      </c>
      <c r="G282" s="3" t="n">
        <v>7</v>
      </c>
      <c r="H282" s="3" t="n">
        <v>2</v>
      </c>
      <c r="I282" s="3" t="n">
        <v>57</v>
      </c>
      <c r="J282" s="3" t="n">
        <v>2</v>
      </c>
      <c r="K282" s="3" t="n">
        <v>1</v>
      </c>
      <c r="L282" s="3" t="n">
        <v>2</v>
      </c>
      <c r="M282" s="3" t="n">
        <v>2</v>
      </c>
      <c r="N282" s="3" t="n">
        <v>2</v>
      </c>
      <c r="O282" s="3" t="n">
        <v>2</v>
      </c>
      <c r="P282" s="3" t="n">
        <v>2</v>
      </c>
      <c r="Q282" s="3" t="n">
        <v>2</v>
      </c>
      <c r="R282" s="3" t="n">
        <v>2</v>
      </c>
      <c r="S282" s="4" t="n">
        <v>2</v>
      </c>
      <c r="T282" s="3" t="n">
        <v>2</v>
      </c>
      <c r="U282" s="3" t="n">
        <v>4.4</v>
      </c>
      <c r="V282" s="3" t="n">
        <v>1.35</v>
      </c>
      <c r="W282" s="3" t="n">
        <v>5.76</v>
      </c>
      <c r="X282" s="3" t="n">
        <v>351</v>
      </c>
      <c r="Z282" s="3" t="n">
        <v>0.48</v>
      </c>
      <c r="AA282" s="3" t="n">
        <v>9.3</v>
      </c>
      <c r="AB282" s="3" t="n">
        <v>1</v>
      </c>
      <c r="AC282" s="3" t="n">
        <v>2</v>
      </c>
      <c r="AD282" s="3" t="n">
        <v>2</v>
      </c>
      <c r="AE282" s="3" t="n">
        <v>1</v>
      </c>
      <c r="AF282" s="3" t="n">
        <v>2</v>
      </c>
      <c r="AG282" s="3" t="n">
        <v>2</v>
      </c>
      <c r="AH282" s="3" t="n">
        <v>1</v>
      </c>
      <c r="AI282" s="3" t="n">
        <v>2</v>
      </c>
      <c r="AJ282" s="3" t="n">
        <v>2</v>
      </c>
      <c r="AK282" s="3" t="n">
        <v>2</v>
      </c>
      <c r="AL282" s="3" t="n">
        <v>2</v>
      </c>
      <c r="AM282" s="3" t="n">
        <v>2</v>
      </c>
      <c r="AN282" s="3" t="n">
        <v>2</v>
      </c>
      <c r="AO282" s="3" t="n">
        <v>3</v>
      </c>
      <c r="AP282" s="3" t="n">
        <v>4</v>
      </c>
      <c r="AQ282" s="3" t="n">
        <v>4</v>
      </c>
      <c r="AR282" s="3" t="n">
        <v>6</v>
      </c>
      <c r="AS282" s="3" t="n">
        <v>4</v>
      </c>
      <c r="AT282" s="3" t="n">
        <v>4</v>
      </c>
      <c r="AU282" s="3" t="n">
        <v>6</v>
      </c>
      <c r="AV282" s="3" t="n">
        <v>6</v>
      </c>
      <c r="AW282" s="3" t="n">
        <v>3</v>
      </c>
      <c r="AX282" s="3" t="n">
        <v>3</v>
      </c>
      <c r="AY282" s="3" t="n">
        <v>1</v>
      </c>
      <c r="AZ282" s="5" t="n">
        <v>1</v>
      </c>
      <c r="BA282" s="3" t="n">
        <v>1</v>
      </c>
      <c r="BB282" s="3" t="n">
        <v>1</v>
      </c>
      <c r="BC282" s="3" t="n">
        <v>4</v>
      </c>
      <c r="BD282" s="3" t="n">
        <v>1</v>
      </c>
      <c r="BE282" s="3" t="n">
        <v>2</v>
      </c>
      <c r="BF282" s="3" t="n">
        <v>1</v>
      </c>
      <c r="BG282" s="3" t="n">
        <v>4</v>
      </c>
      <c r="BH282" s="3" t="n">
        <v>1</v>
      </c>
      <c r="BI282" s="3" t="n">
        <v>1</v>
      </c>
    </row>
    <row r="283" customFormat="false" ht="12.75" hidden="false" customHeight="false" outlineLevel="0" collapsed="false">
      <c r="A283" s="2" t="s">
        <v>1917</v>
      </c>
      <c r="B283" s="2" t="s">
        <v>1838</v>
      </c>
      <c r="C283" s="2" t="s">
        <v>66</v>
      </c>
      <c r="D283" s="2" t="n">
        <v>205657</v>
      </c>
      <c r="E283" s="15" t="n">
        <v>44167</v>
      </c>
      <c r="F283" s="15" t="n">
        <v>44180</v>
      </c>
      <c r="G283" s="3" t="n">
        <v>13</v>
      </c>
      <c r="H283" s="3" t="n">
        <v>1</v>
      </c>
      <c r="I283" s="3" t="n">
        <v>59</v>
      </c>
      <c r="J283" s="3" t="n">
        <v>1</v>
      </c>
      <c r="K283" s="3" t="n">
        <v>1</v>
      </c>
      <c r="L283" s="3" t="n">
        <v>1</v>
      </c>
      <c r="M283" s="3" t="n">
        <v>2</v>
      </c>
      <c r="N283" s="3" t="n">
        <v>2</v>
      </c>
      <c r="O283" s="3" t="n">
        <v>2</v>
      </c>
      <c r="P283" s="3" t="n">
        <v>1</v>
      </c>
      <c r="Q283" s="3" t="n">
        <v>2</v>
      </c>
      <c r="R283" s="3" t="n">
        <v>2</v>
      </c>
      <c r="S283" s="4" t="n">
        <v>2</v>
      </c>
      <c r="T283" s="3" t="n">
        <v>4</v>
      </c>
      <c r="U283" s="3" t="n">
        <v>4.37</v>
      </c>
      <c r="V283" s="3" t="n">
        <v>3.16</v>
      </c>
      <c r="W283" s="3" t="n">
        <v>7.93</v>
      </c>
      <c r="X283" s="3" t="n">
        <v>143</v>
      </c>
      <c r="Z283" s="3" t="n">
        <v>0.32</v>
      </c>
      <c r="AA283" s="3" t="n">
        <v>12.3</v>
      </c>
      <c r="AB283" s="3" t="n">
        <v>2</v>
      </c>
      <c r="AC283" s="3" t="n">
        <v>2</v>
      </c>
      <c r="AD283" s="3" t="n">
        <v>1</v>
      </c>
      <c r="AE283" s="3" t="n">
        <v>1</v>
      </c>
      <c r="AF283" s="3" t="n">
        <v>1</v>
      </c>
      <c r="AG283" s="3" t="n">
        <v>2</v>
      </c>
      <c r="AH283" s="3" t="n">
        <v>1</v>
      </c>
      <c r="AI283" s="3" t="n">
        <v>2</v>
      </c>
      <c r="AJ283" s="3" t="n">
        <v>1</v>
      </c>
      <c r="AK283" s="3" t="n">
        <v>2</v>
      </c>
      <c r="AL283" s="3" t="n">
        <v>2</v>
      </c>
      <c r="AM283" s="3" t="n">
        <v>1</v>
      </c>
      <c r="AN283" s="3" t="n">
        <v>2</v>
      </c>
      <c r="AO283" s="3" t="n">
        <v>3</v>
      </c>
      <c r="AP283" s="3" t="n">
        <v>4</v>
      </c>
      <c r="AQ283" s="3" t="n">
        <v>4</v>
      </c>
      <c r="AR283" s="3" t="n">
        <v>6</v>
      </c>
      <c r="AS283" s="3" t="n">
        <v>4</v>
      </c>
      <c r="AT283" s="3" t="n">
        <v>4</v>
      </c>
      <c r="AU283" s="3" t="n">
        <v>6</v>
      </c>
      <c r="AV283" s="3" t="n">
        <v>6</v>
      </c>
      <c r="AW283" s="3" t="n">
        <v>3</v>
      </c>
      <c r="AX283" s="3" t="n">
        <v>3</v>
      </c>
      <c r="AY283" s="3" t="n">
        <v>7</v>
      </c>
      <c r="AZ283" s="5" t="n">
        <v>1</v>
      </c>
      <c r="BA283" s="3" t="n">
        <v>1</v>
      </c>
      <c r="BB283" s="3" t="n">
        <v>1</v>
      </c>
      <c r="BC283" s="3" t="n">
        <v>4</v>
      </c>
      <c r="BD283" s="3" t="n">
        <v>3</v>
      </c>
      <c r="BE283" s="3" t="n">
        <v>5</v>
      </c>
      <c r="BF283" s="3" t="n">
        <v>3</v>
      </c>
      <c r="BG283" s="3" t="n">
        <v>4</v>
      </c>
      <c r="BH283" s="3" t="n">
        <v>1</v>
      </c>
      <c r="BI283" s="3" t="n">
        <v>1</v>
      </c>
    </row>
    <row r="284" customFormat="false" ht="12.75" hidden="false" customHeight="false" outlineLevel="0" collapsed="false">
      <c r="A284" s="25" t="s">
        <v>2648</v>
      </c>
      <c r="B284" s="25" t="s">
        <v>2649</v>
      </c>
      <c r="C284" s="25" t="s">
        <v>194</v>
      </c>
      <c r="D284" s="26" t="n">
        <v>206197</v>
      </c>
      <c r="E284" s="27" t="n">
        <v>44170</v>
      </c>
      <c r="F284" s="27" t="n">
        <v>44171</v>
      </c>
      <c r="G284" s="30" t="n">
        <v>1</v>
      </c>
      <c r="H284" s="30" t="n">
        <v>2</v>
      </c>
      <c r="I284" s="30" t="n">
        <v>68</v>
      </c>
      <c r="J284" s="30" t="n">
        <v>2</v>
      </c>
      <c r="K284" s="30" t="n">
        <v>1</v>
      </c>
      <c r="L284" s="30" t="n">
        <v>1</v>
      </c>
      <c r="M284" s="30" t="n">
        <v>2</v>
      </c>
      <c r="N284" s="30" t="n">
        <v>2</v>
      </c>
      <c r="O284" s="30" t="n">
        <v>2</v>
      </c>
      <c r="P284" s="30" t="n">
        <v>2</v>
      </c>
      <c r="Q284" s="30" t="n">
        <v>2</v>
      </c>
      <c r="R284" s="30" t="n">
        <v>2</v>
      </c>
      <c r="S284" s="4" t="n">
        <v>2</v>
      </c>
      <c r="T284" s="30" t="n">
        <v>2</v>
      </c>
      <c r="U284" s="30"/>
      <c r="V284" s="30"/>
      <c r="W284" s="30"/>
      <c r="X284" s="30"/>
      <c r="Z284" s="30"/>
      <c r="AA284" s="30"/>
      <c r="AB284" s="30"/>
      <c r="AC284" s="30"/>
      <c r="AD284" s="30"/>
      <c r="AE284" s="30"/>
      <c r="AF284" s="30"/>
      <c r="AG284" s="30"/>
      <c r="AH284" s="30"/>
      <c r="AI284" s="30" t="n">
        <v>2</v>
      </c>
      <c r="AJ284" s="30"/>
      <c r="AK284" s="30"/>
      <c r="AL284" s="30"/>
      <c r="AM284" s="30"/>
      <c r="AN284" s="30"/>
      <c r="AO284" s="30" t="n">
        <v>3</v>
      </c>
      <c r="AP284" s="30" t="n">
        <v>4</v>
      </c>
      <c r="AQ284" s="30" t="n">
        <v>4</v>
      </c>
      <c r="AR284" s="30" t="n">
        <v>6</v>
      </c>
      <c r="AS284" s="30" t="n">
        <v>4</v>
      </c>
      <c r="AT284" s="30" t="n">
        <v>4</v>
      </c>
      <c r="AU284" s="30" t="n">
        <v>6</v>
      </c>
      <c r="AV284" s="30" t="n">
        <v>6</v>
      </c>
      <c r="AW284" s="30" t="n">
        <v>3</v>
      </c>
      <c r="AX284" s="30" t="n">
        <v>3</v>
      </c>
      <c r="AY284" s="30" t="n">
        <v>5</v>
      </c>
      <c r="AZ284" s="5" t="n">
        <v>1</v>
      </c>
      <c r="BA284" s="30" t="n">
        <v>1</v>
      </c>
      <c r="BB284" s="30" t="n">
        <v>2</v>
      </c>
      <c r="BC284" s="30" t="n">
        <v>2</v>
      </c>
      <c r="BD284" s="30" t="n">
        <v>1</v>
      </c>
      <c r="BE284" s="30" t="n">
        <v>2</v>
      </c>
      <c r="BF284" s="30" t="n">
        <v>1</v>
      </c>
      <c r="BG284" s="30" t="n">
        <v>4</v>
      </c>
      <c r="BH284" s="30" t="n">
        <v>1</v>
      </c>
      <c r="BI284" s="30" t="n">
        <v>1</v>
      </c>
    </row>
    <row r="285" customFormat="false" ht="12.75" hidden="false" customHeight="false" outlineLevel="0" collapsed="false">
      <c r="A285" s="26" t="s">
        <v>442</v>
      </c>
      <c r="B285" s="26" t="s">
        <v>595</v>
      </c>
      <c r="C285" s="26" t="s">
        <v>2658</v>
      </c>
      <c r="D285" s="26" t="n">
        <v>206448</v>
      </c>
      <c r="E285" s="27" t="n">
        <v>44179</v>
      </c>
      <c r="F285" s="27" t="n">
        <v>44180</v>
      </c>
      <c r="G285" s="30" t="n">
        <v>1</v>
      </c>
      <c r="H285" s="30" t="n">
        <v>2</v>
      </c>
      <c r="I285" s="30" t="n">
        <v>58</v>
      </c>
      <c r="J285" s="30" t="n">
        <v>1</v>
      </c>
      <c r="K285" s="30" t="n">
        <v>1</v>
      </c>
      <c r="L285" s="30" t="n">
        <v>1</v>
      </c>
      <c r="M285" s="30" t="n">
        <v>2</v>
      </c>
      <c r="N285" s="30" t="n">
        <v>2</v>
      </c>
      <c r="O285" s="30" t="n">
        <v>2</v>
      </c>
      <c r="P285" s="30" t="n">
        <v>2</v>
      </c>
      <c r="Q285" s="30" t="n">
        <v>2</v>
      </c>
      <c r="R285" s="30" t="n">
        <v>2</v>
      </c>
      <c r="S285" s="4" t="n">
        <v>2</v>
      </c>
      <c r="T285" s="30" t="n">
        <v>2</v>
      </c>
      <c r="U285" s="30"/>
      <c r="V285" s="30"/>
      <c r="W285" s="30"/>
      <c r="X285" s="30"/>
      <c r="Z285" s="30"/>
      <c r="AA285" s="30"/>
      <c r="AB285" s="30" t="n">
        <v>3</v>
      </c>
      <c r="AC285" s="30" t="n">
        <v>2</v>
      </c>
      <c r="AD285" s="30" t="n">
        <v>1</v>
      </c>
      <c r="AE285" s="30" t="n">
        <v>1</v>
      </c>
      <c r="AF285" s="30" t="n">
        <v>1</v>
      </c>
      <c r="AG285" s="30" t="n">
        <v>2</v>
      </c>
      <c r="AH285" s="30" t="n">
        <v>1</v>
      </c>
      <c r="AI285" s="30" t="n">
        <v>2</v>
      </c>
      <c r="AJ285" s="30" t="n">
        <v>2</v>
      </c>
      <c r="AK285" s="30" t="n">
        <v>2</v>
      </c>
      <c r="AL285" s="30" t="n">
        <v>1</v>
      </c>
      <c r="AM285" s="30" t="n">
        <v>2</v>
      </c>
      <c r="AN285" s="30" t="n">
        <v>2</v>
      </c>
      <c r="AO285" s="30" t="n">
        <v>3</v>
      </c>
      <c r="AP285" s="30" t="n">
        <v>4</v>
      </c>
      <c r="AQ285" s="30" t="n">
        <v>4</v>
      </c>
      <c r="AR285" s="30" t="n">
        <v>6</v>
      </c>
      <c r="AS285" s="30" t="n">
        <v>4</v>
      </c>
      <c r="AT285" s="30" t="n">
        <v>4</v>
      </c>
      <c r="AU285" s="30" t="n">
        <v>6</v>
      </c>
      <c r="AV285" s="30" t="n">
        <v>6</v>
      </c>
      <c r="AW285" s="30" t="n">
        <v>3</v>
      </c>
      <c r="AX285" s="30" t="n">
        <v>3</v>
      </c>
      <c r="AY285" s="30" t="n">
        <v>5</v>
      </c>
      <c r="AZ285" s="5" t="n">
        <v>1</v>
      </c>
      <c r="BA285" s="30" t="n">
        <v>1</v>
      </c>
      <c r="BB285" s="30" t="n">
        <v>2</v>
      </c>
      <c r="BC285" s="30" t="n">
        <v>2</v>
      </c>
      <c r="BD285" s="30" t="n">
        <v>3</v>
      </c>
      <c r="BE285" s="30" t="n">
        <v>5</v>
      </c>
      <c r="BF285" s="30" t="n">
        <v>3</v>
      </c>
      <c r="BG285" s="30" t="n">
        <v>4</v>
      </c>
      <c r="BH285" s="30" t="n">
        <v>1</v>
      </c>
      <c r="BI285" s="30" t="n">
        <v>1</v>
      </c>
    </row>
    <row r="286" customFormat="false" ht="12.75" hidden="false" customHeight="false" outlineLevel="0" collapsed="false">
      <c r="A286" s="2" t="s">
        <v>2660</v>
      </c>
      <c r="B286" s="2" t="s">
        <v>2661</v>
      </c>
      <c r="C286" s="2" t="s">
        <v>877</v>
      </c>
      <c r="D286" s="2" t="n">
        <v>206482</v>
      </c>
      <c r="E286" s="15" t="n">
        <v>44178</v>
      </c>
      <c r="F286" s="15" t="n">
        <v>44180</v>
      </c>
      <c r="G286" s="3" t="n">
        <v>2</v>
      </c>
      <c r="H286" s="3" t="n">
        <v>2</v>
      </c>
      <c r="I286" s="3" t="n">
        <v>35</v>
      </c>
      <c r="J286" s="3" t="n">
        <v>1</v>
      </c>
      <c r="K286" s="3" t="n">
        <v>1</v>
      </c>
      <c r="L286" s="3" t="n">
        <v>2</v>
      </c>
      <c r="M286" s="3" t="n">
        <v>2</v>
      </c>
      <c r="N286" s="3" t="n">
        <v>2</v>
      </c>
      <c r="O286" s="3" t="n">
        <v>2</v>
      </c>
      <c r="P286" s="3" t="n">
        <v>2</v>
      </c>
      <c r="Q286" s="3" t="n">
        <v>2</v>
      </c>
      <c r="R286" s="3" t="n">
        <v>2</v>
      </c>
      <c r="S286" s="4" t="n">
        <v>2</v>
      </c>
      <c r="T286" s="3" t="n">
        <v>2</v>
      </c>
      <c r="U286" s="3" t="n">
        <v>5.63</v>
      </c>
      <c r="V286" s="3" t="n">
        <v>1.75</v>
      </c>
      <c r="W286" s="3" t="n">
        <v>6.06</v>
      </c>
      <c r="X286" s="3" t="n">
        <v>556</v>
      </c>
      <c r="Z286" s="3" t="n">
        <v>0.52</v>
      </c>
      <c r="AA286" s="3" t="n">
        <v>16.6</v>
      </c>
      <c r="AB286" s="3" t="n">
        <v>3</v>
      </c>
      <c r="AC286" s="3" t="n">
        <v>2</v>
      </c>
      <c r="AD286" s="3" t="n">
        <v>1</v>
      </c>
      <c r="AE286" s="3" t="n">
        <v>1</v>
      </c>
      <c r="AF286" s="3" t="n">
        <v>1</v>
      </c>
      <c r="AG286" s="3" t="n">
        <v>2</v>
      </c>
      <c r="AH286" s="3" t="n">
        <v>1</v>
      </c>
      <c r="AI286" s="3" t="n">
        <v>2</v>
      </c>
      <c r="AJ286" s="3" t="n">
        <v>2</v>
      </c>
      <c r="AK286" s="3" t="n">
        <v>2</v>
      </c>
      <c r="AL286" s="3" t="n">
        <v>1</v>
      </c>
      <c r="AM286" s="3" t="n">
        <v>2</v>
      </c>
      <c r="AN286" s="3" t="n">
        <v>2</v>
      </c>
      <c r="AO286" s="3" t="n">
        <v>3</v>
      </c>
      <c r="AP286" s="3" t="n">
        <v>4</v>
      </c>
      <c r="AQ286" s="3" t="n">
        <v>4</v>
      </c>
      <c r="AR286" s="3" t="n">
        <v>6</v>
      </c>
      <c r="AS286" s="3" t="n">
        <v>4</v>
      </c>
      <c r="AT286" s="3" t="n">
        <v>4</v>
      </c>
      <c r="AU286" s="3" t="n">
        <v>6</v>
      </c>
      <c r="AV286" s="3" t="n">
        <v>6</v>
      </c>
      <c r="AW286" s="3" t="n">
        <v>3</v>
      </c>
      <c r="AX286" s="3" t="n">
        <v>3</v>
      </c>
      <c r="AY286" s="3" t="n">
        <v>1</v>
      </c>
      <c r="AZ286" s="5" t="n">
        <v>1</v>
      </c>
      <c r="BA286" s="3" t="n">
        <v>1</v>
      </c>
      <c r="BB286" s="3" t="n">
        <v>1</v>
      </c>
      <c r="BC286" s="3" t="n">
        <v>4</v>
      </c>
      <c r="BD286" s="3" t="n">
        <v>1</v>
      </c>
      <c r="BE286" s="3" t="n">
        <v>2</v>
      </c>
      <c r="BF286" s="3" t="n">
        <v>1</v>
      </c>
      <c r="BG286" s="3" t="n">
        <v>4</v>
      </c>
      <c r="BH286" s="3" t="n">
        <v>1</v>
      </c>
      <c r="BI286" s="3" t="n">
        <v>1</v>
      </c>
    </row>
    <row r="287" customFormat="false" ht="12.75" hidden="false" customHeight="false" outlineLevel="0" collapsed="false">
      <c r="A287" s="2" t="s">
        <v>2663</v>
      </c>
      <c r="B287" s="2" t="s">
        <v>66</v>
      </c>
      <c r="C287" s="2" t="s">
        <v>2664</v>
      </c>
      <c r="D287" s="2" t="n">
        <v>153444</v>
      </c>
      <c r="E287" s="15" t="n">
        <v>44173</v>
      </c>
      <c r="F287" s="15" t="n">
        <v>44182</v>
      </c>
      <c r="G287" s="3" t="n">
        <v>9</v>
      </c>
      <c r="H287" s="3" t="n">
        <v>2</v>
      </c>
      <c r="I287" s="3" t="n">
        <v>53</v>
      </c>
      <c r="J287" s="3" t="n">
        <v>2</v>
      </c>
      <c r="K287" s="3" t="n">
        <v>2</v>
      </c>
      <c r="L287" s="3" t="n">
        <v>1</v>
      </c>
      <c r="M287" s="3" t="n">
        <v>2</v>
      </c>
      <c r="N287" s="3" t="n">
        <v>2</v>
      </c>
      <c r="O287" s="3" t="n">
        <v>2</v>
      </c>
      <c r="P287" s="3" t="n">
        <v>2</v>
      </c>
      <c r="Q287" s="3" t="n">
        <v>2</v>
      </c>
      <c r="R287" s="3" t="n">
        <v>2</v>
      </c>
      <c r="S287" s="4" t="n">
        <v>2</v>
      </c>
      <c r="T287" s="3" t="n">
        <v>2</v>
      </c>
      <c r="U287" s="3" t="n">
        <v>4.17</v>
      </c>
      <c r="V287" s="3" t="n">
        <v>0.79</v>
      </c>
      <c r="W287" s="3" t="n">
        <v>5.78</v>
      </c>
      <c r="X287" s="3" t="n">
        <v>472</v>
      </c>
      <c r="Z287" s="3" t="n">
        <v>0.41</v>
      </c>
      <c r="AA287" s="3" t="n">
        <v>8.6</v>
      </c>
      <c r="AB287" s="3" t="n">
        <v>1</v>
      </c>
      <c r="AC287" s="3" t="n">
        <v>1</v>
      </c>
      <c r="AD287" s="3" t="n">
        <v>1</v>
      </c>
      <c r="AE287" s="3" t="n">
        <v>1</v>
      </c>
      <c r="AF287" s="3" t="n">
        <v>2</v>
      </c>
      <c r="AG287" s="3" t="n">
        <v>1</v>
      </c>
      <c r="AH287" s="3" t="n">
        <v>1</v>
      </c>
      <c r="AI287" s="3" t="n">
        <v>2</v>
      </c>
      <c r="AJ287" s="3" t="n">
        <v>2</v>
      </c>
      <c r="AK287" s="3" t="n">
        <v>2</v>
      </c>
      <c r="AL287" s="3" t="n">
        <v>1</v>
      </c>
      <c r="AM287" s="3" t="n">
        <v>2</v>
      </c>
      <c r="AN287" s="3" t="n">
        <v>2</v>
      </c>
      <c r="AO287" s="3" t="n">
        <v>3</v>
      </c>
      <c r="AP287" s="3" t="n">
        <v>4</v>
      </c>
      <c r="AQ287" s="3" t="n">
        <v>4</v>
      </c>
      <c r="AR287" s="3" t="n">
        <v>6</v>
      </c>
      <c r="AS287" s="3" t="n">
        <v>4</v>
      </c>
      <c r="AT287" s="3" t="n">
        <v>4</v>
      </c>
      <c r="AU287" s="3" t="n">
        <v>6</v>
      </c>
      <c r="AV287" s="3" t="n">
        <v>6</v>
      </c>
      <c r="AW287" s="3" t="n">
        <v>3</v>
      </c>
      <c r="AX287" s="3" t="n">
        <v>3</v>
      </c>
      <c r="AY287" s="3" t="n">
        <v>1</v>
      </c>
      <c r="AZ287" s="5" t="n">
        <v>1</v>
      </c>
      <c r="BA287" s="3" t="n">
        <v>1</v>
      </c>
      <c r="BB287" s="3" t="n">
        <v>1</v>
      </c>
      <c r="BC287" s="3" t="n">
        <v>2</v>
      </c>
      <c r="BD287" s="3" t="n">
        <v>1</v>
      </c>
      <c r="BE287" s="3" t="n">
        <v>2</v>
      </c>
      <c r="BF287" s="3" t="n">
        <v>2</v>
      </c>
      <c r="BG287" s="3" t="n">
        <v>4</v>
      </c>
      <c r="BH287" s="3" t="n">
        <v>1</v>
      </c>
      <c r="BI287" s="3" t="n">
        <v>1</v>
      </c>
    </row>
    <row r="288" customFormat="false" ht="12.75" hidden="false" customHeight="false" outlineLevel="0" collapsed="false">
      <c r="A288" s="2" t="s">
        <v>2666</v>
      </c>
      <c r="B288" s="2" t="s">
        <v>2667</v>
      </c>
      <c r="C288" s="2" t="s">
        <v>2668</v>
      </c>
      <c r="D288" s="2" t="n">
        <v>206449</v>
      </c>
      <c r="E288" s="15" t="n">
        <v>44179</v>
      </c>
      <c r="F288" s="15" t="n">
        <v>44185</v>
      </c>
      <c r="G288" s="3" t="n">
        <v>6</v>
      </c>
      <c r="H288" s="3" t="n">
        <v>1</v>
      </c>
      <c r="I288" s="3" t="n">
        <v>53</v>
      </c>
      <c r="J288" s="3" t="n">
        <v>2</v>
      </c>
      <c r="K288" s="3" t="n">
        <v>1</v>
      </c>
      <c r="L288" s="3" t="n">
        <v>1</v>
      </c>
      <c r="M288" s="3" t="n">
        <v>2</v>
      </c>
      <c r="N288" s="3" t="n">
        <v>2</v>
      </c>
      <c r="O288" s="3" t="n">
        <v>2</v>
      </c>
      <c r="P288" s="3" t="n">
        <v>2</v>
      </c>
      <c r="Q288" s="3" t="n">
        <v>2</v>
      </c>
      <c r="R288" s="3" t="n">
        <v>2</v>
      </c>
      <c r="S288" s="4" t="n">
        <v>2</v>
      </c>
      <c r="T288" s="3" t="n">
        <v>2</v>
      </c>
      <c r="U288" s="3" t="n">
        <v>4.57</v>
      </c>
      <c r="V288" s="3" t="n">
        <v>1.74</v>
      </c>
      <c r="W288" s="3" t="n">
        <v>18.16</v>
      </c>
      <c r="X288" s="3" t="n">
        <v>298</v>
      </c>
      <c r="Z288" s="3" t="n">
        <v>0.41</v>
      </c>
      <c r="AA288" s="3" t="n">
        <v>10.9</v>
      </c>
      <c r="AB288" s="3" t="n">
        <v>1</v>
      </c>
      <c r="AC288" s="3" t="n">
        <v>1</v>
      </c>
      <c r="AD288" s="3" t="n">
        <v>2</v>
      </c>
      <c r="AE288" s="3" t="n">
        <v>1</v>
      </c>
      <c r="AF288" s="3" t="n">
        <v>1</v>
      </c>
      <c r="AG288" s="3" t="n">
        <v>2</v>
      </c>
      <c r="AH288" s="3" t="n">
        <v>1</v>
      </c>
      <c r="AI288" s="3" t="n">
        <v>2</v>
      </c>
      <c r="AJ288" s="3" t="n">
        <v>2</v>
      </c>
      <c r="AK288" s="3" t="n">
        <v>2</v>
      </c>
      <c r="AL288" s="3" t="n">
        <v>1</v>
      </c>
      <c r="AM288" s="3" t="n">
        <v>2</v>
      </c>
      <c r="AN288" s="3" t="n">
        <v>2</v>
      </c>
      <c r="AO288" s="3" t="n">
        <v>3</v>
      </c>
      <c r="AP288" s="3" t="n">
        <v>4</v>
      </c>
      <c r="AQ288" s="3" t="n">
        <v>4</v>
      </c>
      <c r="AR288" s="3" t="n">
        <v>6</v>
      </c>
      <c r="AS288" s="3" t="n">
        <v>4</v>
      </c>
      <c r="AT288" s="3" t="n">
        <v>4</v>
      </c>
      <c r="AU288" s="3" t="n">
        <v>6</v>
      </c>
      <c r="AV288" s="3" t="n">
        <v>6</v>
      </c>
      <c r="AW288" s="3" t="n">
        <v>3</v>
      </c>
      <c r="AX288" s="3" t="n">
        <v>3</v>
      </c>
      <c r="AY288" s="3" t="n">
        <v>1</v>
      </c>
      <c r="AZ288" s="5" t="n">
        <v>1</v>
      </c>
      <c r="BA288" s="3" t="n">
        <v>1</v>
      </c>
      <c r="BB288" s="3" t="n">
        <v>1</v>
      </c>
      <c r="BC288" s="3" t="n">
        <v>2</v>
      </c>
      <c r="BD288" s="3" t="n">
        <v>1</v>
      </c>
      <c r="BE288" s="3" t="n">
        <v>2</v>
      </c>
      <c r="BF288" s="3" t="n">
        <v>1</v>
      </c>
      <c r="BG288" s="3" t="n">
        <v>4</v>
      </c>
      <c r="BH288" s="3" t="n">
        <v>1</v>
      </c>
      <c r="BI288" s="3" t="n">
        <v>1</v>
      </c>
    </row>
    <row r="289" customFormat="false" ht="12.75" hidden="false" customHeight="false" outlineLevel="0" collapsed="false">
      <c r="A289" s="26" t="s">
        <v>2674</v>
      </c>
      <c r="B289" s="26" t="s">
        <v>386</v>
      </c>
      <c r="C289" s="26" t="s">
        <v>541</v>
      </c>
      <c r="D289" s="26" t="n">
        <v>206670</v>
      </c>
      <c r="E289" s="27" t="n">
        <v>44184</v>
      </c>
      <c r="F289" s="27" t="n">
        <v>44186</v>
      </c>
      <c r="G289" s="30" t="n">
        <v>2</v>
      </c>
      <c r="H289" s="30" t="n">
        <v>2</v>
      </c>
      <c r="I289" s="30" t="n">
        <v>59</v>
      </c>
      <c r="J289" s="30" t="n">
        <v>2</v>
      </c>
      <c r="K289" s="30" t="n">
        <v>1</v>
      </c>
      <c r="L289" s="30" t="n">
        <v>1</v>
      </c>
      <c r="M289" s="30" t="n">
        <v>2</v>
      </c>
      <c r="N289" s="30" t="n">
        <v>2</v>
      </c>
      <c r="O289" s="30" t="n">
        <v>2</v>
      </c>
      <c r="P289" s="30" t="n">
        <v>1</v>
      </c>
      <c r="Q289" s="30" t="n">
        <v>2</v>
      </c>
      <c r="R289" s="30" t="n">
        <v>2</v>
      </c>
      <c r="S289" s="4" t="n">
        <v>2</v>
      </c>
      <c r="T289" s="30" t="n">
        <v>2</v>
      </c>
      <c r="U289" s="30"/>
      <c r="V289" s="30" t="n">
        <v>0.63</v>
      </c>
      <c r="W289" s="30" t="n">
        <v>10.25</v>
      </c>
      <c r="X289" s="30" t="n">
        <v>448</v>
      </c>
      <c r="Z289" s="30" t="n">
        <v>0.44</v>
      </c>
      <c r="AA289" s="30" t="n">
        <v>19.6</v>
      </c>
      <c r="AB289" s="30" t="n">
        <v>3</v>
      </c>
      <c r="AC289" s="30" t="n">
        <v>2</v>
      </c>
      <c r="AD289" s="30" t="n">
        <v>1</v>
      </c>
      <c r="AE289" s="30" t="n">
        <v>1</v>
      </c>
      <c r="AF289" s="30" t="n">
        <v>2</v>
      </c>
      <c r="AG289" s="30" t="n">
        <v>2</v>
      </c>
      <c r="AH289" s="30" t="n">
        <v>1</v>
      </c>
      <c r="AI289" s="30" t="n">
        <v>2</v>
      </c>
      <c r="AJ289" s="30" t="n">
        <v>1</v>
      </c>
      <c r="AK289" s="30" t="n">
        <v>1</v>
      </c>
      <c r="AL289" s="30" t="n">
        <v>2</v>
      </c>
      <c r="AM289" s="30" t="n">
        <v>2</v>
      </c>
      <c r="AN289" s="30" t="n">
        <v>2</v>
      </c>
      <c r="AO289" s="30" t="n">
        <v>3</v>
      </c>
      <c r="AP289" s="30" t="n">
        <v>4</v>
      </c>
      <c r="AQ289" s="30" t="n">
        <v>4</v>
      </c>
      <c r="AR289" s="30" t="n">
        <v>6</v>
      </c>
      <c r="AS289" s="30" t="n">
        <v>4</v>
      </c>
      <c r="AT289" s="30" t="n">
        <v>4</v>
      </c>
      <c r="AU289" s="30" t="n">
        <v>6</v>
      </c>
      <c r="AV289" s="30" t="n">
        <v>6</v>
      </c>
      <c r="AW289" s="30" t="n">
        <v>3</v>
      </c>
      <c r="AX289" s="30" t="n">
        <v>3</v>
      </c>
      <c r="AY289" s="30" t="n">
        <v>5</v>
      </c>
      <c r="AZ289" s="5" t="n">
        <v>1</v>
      </c>
      <c r="BA289" s="30" t="n">
        <v>1</v>
      </c>
      <c r="BB289" s="30" t="n">
        <v>2</v>
      </c>
      <c r="BC289" s="30" t="n">
        <v>2</v>
      </c>
      <c r="BD289" s="30" t="n">
        <v>3</v>
      </c>
      <c r="BE289" s="30" t="n">
        <v>5</v>
      </c>
      <c r="BF289" s="30" t="n">
        <v>3</v>
      </c>
      <c r="BG289" s="30" t="n">
        <v>4</v>
      </c>
      <c r="BH289" s="30" t="n">
        <v>1</v>
      </c>
      <c r="BI289" s="30" t="n">
        <v>1</v>
      </c>
    </row>
    <row r="290" customFormat="false" ht="12.75" hidden="false" customHeight="false" outlineLevel="0" collapsed="false">
      <c r="A290" s="2" t="s">
        <v>672</v>
      </c>
      <c r="B290" s="2" t="s">
        <v>2682</v>
      </c>
      <c r="C290" s="2" t="s">
        <v>78</v>
      </c>
      <c r="D290" s="2" t="n">
        <v>206690</v>
      </c>
      <c r="E290" s="15" t="n">
        <v>44185</v>
      </c>
      <c r="F290" s="15" t="n">
        <v>44191</v>
      </c>
      <c r="G290" s="3" t="n">
        <v>6</v>
      </c>
      <c r="H290" s="3" t="n">
        <v>2</v>
      </c>
      <c r="I290" s="3" t="n">
        <v>55</v>
      </c>
      <c r="J290" s="3" t="n">
        <v>1</v>
      </c>
      <c r="K290" s="3" t="n">
        <v>2</v>
      </c>
      <c r="L290" s="3" t="n">
        <v>1</v>
      </c>
      <c r="M290" s="3" t="n">
        <v>2</v>
      </c>
      <c r="N290" s="3" t="n">
        <v>2</v>
      </c>
      <c r="O290" s="3" t="n">
        <v>2</v>
      </c>
      <c r="P290" s="3" t="n">
        <v>2</v>
      </c>
      <c r="Q290" s="3" t="n">
        <v>2</v>
      </c>
      <c r="R290" s="3" t="n">
        <v>2</v>
      </c>
      <c r="S290" s="4" t="n">
        <v>2</v>
      </c>
      <c r="T290" s="3" t="n">
        <v>2</v>
      </c>
      <c r="U290" s="3" t="n">
        <v>4.4</v>
      </c>
      <c r="V290" s="3" t="n">
        <v>1.3</v>
      </c>
      <c r="W290" s="3" t="n">
        <v>6.18</v>
      </c>
      <c r="X290" s="3" t="n">
        <v>274</v>
      </c>
      <c r="Z290" s="3" t="n">
        <v>0.49</v>
      </c>
      <c r="AA290" s="3" t="n">
        <v>12</v>
      </c>
      <c r="AB290" s="3"/>
      <c r="AC290" s="3" t="n">
        <v>1</v>
      </c>
      <c r="AD290" s="3" t="n">
        <v>1</v>
      </c>
      <c r="AE290" s="3" t="n">
        <v>1</v>
      </c>
      <c r="AF290" s="3" t="n">
        <v>1</v>
      </c>
      <c r="AG290" s="3" t="n">
        <v>2</v>
      </c>
      <c r="AH290" s="3" t="n">
        <v>1</v>
      </c>
      <c r="AI290" s="3" t="n">
        <v>2</v>
      </c>
      <c r="AJ290" s="3" t="n">
        <v>2</v>
      </c>
      <c r="AK290" s="3" t="n">
        <v>2</v>
      </c>
      <c r="AL290" s="3" t="n">
        <v>1</v>
      </c>
      <c r="AM290" s="3" t="n">
        <v>2</v>
      </c>
      <c r="AN290" s="3" t="n">
        <v>2</v>
      </c>
      <c r="AO290" s="3" t="n">
        <v>3</v>
      </c>
      <c r="AP290" s="3" t="n">
        <v>4</v>
      </c>
      <c r="AQ290" s="3" t="n">
        <v>4</v>
      </c>
      <c r="AR290" s="3" t="n">
        <v>6</v>
      </c>
      <c r="AS290" s="3" t="n">
        <v>4</v>
      </c>
      <c r="AT290" s="3" t="n">
        <v>4</v>
      </c>
      <c r="AU290" s="3" t="n">
        <v>6</v>
      </c>
      <c r="AV290" s="3" t="n">
        <v>6</v>
      </c>
      <c r="AW290" s="3" t="n">
        <v>3</v>
      </c>
      <c r="AX290" s="3" t="n">
        <v>3</v>
      </c>
      <c r="AY290" s="3" t="n">
        <v>1</v>
      </c>
      <c r="AZ290" s="5" t="n">
        <v>1</v>
      </c>
      <c r="BA290" s="3" t="n">
        <v>1</v>
      </c>
      <c r="BB290" s="3" t="n">
        <v>1</v>
      </c>
      <c r="BC290" s="3" t="n">
        <v>4</v>
      </c>
      <c r="BD290" s="3" t="n">
        <v>1</v>
      </c>
      <c r="BE290" s="3" t="n">
        <v>2</v>
      </c>
      <c r="BF290" s="3" t="n">
        <v>1</v>
      </c>
      <c r="BG290" s="3" t="n">
        <v>4</v>
      </c>
      <c r="BH290" s="3" t="n">
        <v>1</v>
      </c>
      <c r="BI290" s="3" t="n">
        <v>1</v>
      </c>
    </row>
    <row r="291" customFormat="false" ht="12.75" hidden="false" customHeight="false" outlineLevel="0" collapsed="false">
      <c r="A291" s="2" t="s">
        <v>2686</v>
      </c>
      <c r="B291" s="2" t="s">
        <v>919</v>
      </c>
      <c r="C291" s="2" t="s">
        <v>1797</v>
      </c>
      <c r="D291" s="2" t="n">
        <v>206688</v>
      </c>
      <c r="E291" s="15" t="n">
        <v>44185</v>
      </c>
      <c r="F291" s="15" t="n">
        <v>44192</v>
      </c>
      <c r="G291" s="3" t="n">
        <v>7</v>
      </c>
      <c r="H291" s="3" t="n">
        <v>2</v>
      </c>
      <c r="I291" s="3" t="n">
        <v>70</v>
      </c>
      <c r="J291" s="3" t="n">
        <v>1</v>
      </c>
      <c r="K291" s="3" t="n">
        <v>2</v>
      </c>
      <c r="L291" s="3" t="n">
        <v>1</v>
      </c>
      <c r="M291" s="3" t="n">
        <v>2</v>
      </c>
      <c r="N291" s="3" t="n">
        <v>2</v>
      </c>
      <c r="O291" s="3" t="n">
        <v>2</v>
      </c>
      <c r="P291" s="3" t="n">
        <v>1</v>
      </c>
      <c r="Q291" s="3" t="n">
        <v>2</v>
      </c>
      <c r="R291" s="3" t="n">
        <v>2</v>
      </c>
      <c r="S291" s="4" t="n">
        <v>2</v>
      </c>
      <c r="T291" s="3" t="n">
        <v>2</v>
      </c>
      <c r="U291" s="3" t="n">
        <v>4.43</v>
      </c>
      <c r="V291" s="3" t="n">
        <v>1.55</v>
      </c>
      <c r="W291" s="3" t="n">
        <v>8.73</v>
      </c>
      <c r="X291" s="3" t="n">
        <v>415</v>
      </c>
      <c r="Z291" s="3" t="n">
        <v>0.49</v>
      </c>
      <c r="AA291" s="3" t="n">
        <v>6.6</v>
      </c>
      <c r="AB291" s="3"/>
      <c r="AC291" s="3" t="n">
        <v>2</v>
      </c>
      <c r="AD291" s="3" t="n">
        <v>1</v>
      </c>
      <c r="AE291" s="3" t="n">
        <v>1</v>
      </c>
      <c r="AF291" s="3" t="n">
        <v>2</v>
      </c>
      <c r="AG291" s="3" t="n">
        <v>2</v>
      </c>
      <c r="AH291" s="3" t="n">
        <v>1</v>
      </c>
      <c r="AI291" s="3" t="n">
        <v>2</v>
      </c>
      <c r="AJ291" s="3" t="n">
        <v>2</v>
      </c>
      <c r="AK291" s="3" t="n">
        <v>2</v>
      </c>
      <c r="AL291" s="3" t="n">
        <v>1</v>
      </c>
      <c r="AM291" s="3" t="n">
        <v>2</v>
      </c>
      <c r="AN291" s="3" t="n">
        <v>2</v>
      </c>
      <c r="AO291" s="3" t="n">
        <v>3</v>
      </c>
      <c r="AP291" s="3" t="n">
        <v>4</v>
      </c>
      <c r="AQ291" s="3" t="n">
        <v>4</v>
      </c>
      <c r="AR291" s="3" t="n">
        <v>6</v>
      </c>
      <c r="AS291" s="3" t="n">
        <v>4</v>
      </c>
      <c r="AT291" s="3" t="n">
        <v>4</v>
      </c>
      <c r="AU291" s="3" t="n">
        <v>6</v>
      </c>
      <c r="AV291" s="3" t="n">
        <v>6</v>
      </c>
      <c r="AW291" s="3" t="n">
        <v>3</v>
      </c>
      <c r="AX291" s="3" t="n">
        <v>3</v>
      </c>
      <c r="AY291" s="3" t="n">
        <v>1</v>
      </c>
      <c r="AZ291" s="5" t="n">
        <v>1</v>
      </c>
      <c r="BA291" s="3" t="n">
        <v>1</v>
      </c>
      <c r="BB291" s="3" t="n">
        <v>1</v>
      </c>
      <c r="BC291" s="3" t="n">
        <v>4</v>
      </c>
      <c r="BD291" s="3" t="n">
        <v>3</v>
      </c>
      <c r="BE291" s="3" t="n">
        <v>5</v>
      </c>
      <c r="BF291" s="3" t="n">
        <v>3</v>
      </c>
      <c r="BG291" s="3" t="n">
        <v>4</v>
      </c>
      <c r="BH291" s="3" t="n">
        <v>1</v>
      </c>
      <c r="BI291" s="3" t="n">
        <v>1</v>
      </c>
    </row>
    <row r="292" customFormat="false" ht="12.75" hidden="false" customHeight="false" outlineLevel="0" collapsed="false">
      <c r="A292" s="2" t="s">
        <v>2693</v>
      </c>
      <c r="B292" s="2" t="s">
        <v>2694</v>
      </c>
      <c r="C292" s="2" t="s">
        <v>127</v>
      </c>
      <c r="D292" s="2" t="n">
        <v>206687</v>
      </c>
      <c r="E292" s="15" t="n">
        <v>44185</v>
      </c>
      <c r="F292" s="15" t="n">
        <v>44192</v>
      </c>
      <c r="G292" s="3" t="n">
        <v>7</v>
      </c>
      <c r="H292" s="3" t="n">
        <v>1</v>
      </c>
      <c r="I292" s="3" t="n">
        <v>74</v>
      </c>
      <c r="J292" s="3" t="n">
        <v>2</v>
      </c>
      <c r="K292" s="3" t="n">
        <v>2</v>
      </c>
      <c r="L292" s="3" t="n">
        <v>1</v>
      </c>
      <c r="M292" s="3" t="n">
        <v>2</v>
      </c>
      <c r="N292" s="3" t="n">
        <v>2</v>
      </c>
      <c r="O292" s="3" t="n">
        <v>2</v>
      </c>
      <c r="P292" s="3" t="n">
        <v>1</v>
      </c>
      <c r="Q292" s="3" t="n">
        <v>2</v>
      </c>
      <c r="R292" s="3" t="n">
        <v>2</v>
      </c>
      <c r="S292" s="4" t="n">
        <v>2</v>
      </c>
      <c r="T292" s="3" t="n">
        <v>2</v>
      </c>
      <c r="U292" s="3" t="n">
        <v>5.03</v>
      </c>
      <c r="V292" s="3" t="n">
        <v>1.3</v>
      </c>
      <c r="W292" s="3" t="n">
        <v>4.62</v>
      </c>
      <c r="X292" s="3" t="n">
        <v>250</v>
      </c>
      <c r="Z292" s="3" t="n">
        <v>0.44</v>
      </c>
      <c r="AA292" s="3" t="n">
        <v>7.6</v>
      </c>
      <c r="AB292" s="3"/>
      <c r="AC292" s="3" t="n">
        <v>1</v>
      </c>
      <c r="AD292" s="3" t="n">
        <v>1</v>
      </c>
      <c r="AE292" s="3" t="n">
        <v>1</v>
      </c>
      <c r="AF292" s="3" t="n">
        <v>1</v>
      </c>
      <c r="AG292" s="3" t="n">
        <v>1</v>
      </c>
      <c r="AH292" s="3" t="n">
        <v>1</v>
      </c>
      <c r="AI292" s="3" t="n">
        <v>2</v>
      </c>
      <c r="AJ292" s="3" t="n">
        <v>1</v>
      </c>
      <c r="AK292" s="3" t="n">
        <v>2</v>
      </c>
      <c r="AL292" s="3" t="n">
        <v>2</v>
      </c>
      <c r="AM292" s="3" t="n">
        <v>2</v>
      </c>
      <c r="AN292" s="3" t="n">
        <v>2</v>
      </c>
      <c r="AO292" s="3" t="n">
        <v>3</v>
      </c>
      <c r="AP292" s="3" t="n">
        <v>4</v>
      </c>
      <c r="AQ292" s="3" t="n">
        <v>4</v>
      </c>
      <c r="AR292" s="3" t="n">
        <v>6</v>
      </c>
      <c r="AS292" s="3" t="n">
        <v>4</v>
      </c>
      <c r="AT292" s="3" t="n">
        <v>4</v>
      </c>
      <c r="AU292" s="3" t="n">
        <v>6</v>
      </c>
      <c r="AV292" s="3" t="n">
        <v>6</v>
      </c>
      <c r="AW292" s="3" t="n">
        <v>3</v>
      </c>
      <c r="AX292" s="3" t="n">
        <v>3</v>
      </c>
      <c r="AY292" s="3" t="n">
        <v>1</v>
      </c>
      <c r="AZ292" s="5" t="n">
        <v>1</v>
      </c>
      <c r="BA292" s="3" t="n">
        <v>1</v>
      </c>
      <c r="BB292" s="3" t="n">
        <v>1</v>
      </c>
      <c r="BC292" s="3" t="n">
        <v>2</v>
      </c>
      <c r="BD292" s="3" t="n">
        <v>3</v>
      </c>
      <c r="BE292" s="3" t="n">
        <v>5</v>
      </c>
      <c r="BF292" s="3" t="n">
        <v>3</v>
      </c>
      <c r="BG292" s="3" t="n">
        <v>4</v>
      </c>
      <c r="BH292" s="3" t="n">
        <v>1</v>
      </c>
      <c r="BI292" s="3" t="n">
        <v>1</v>
      </c>
    </row>
    <row r="293" customFormat="false" ht="12.75" hidden="false" customHeight="false" outlineLevel="0" collapsed="false">
      <c r="A293" s="26" t="s">
        <v>2343</v>
      </c>
      <c r="B293" s="26" t="s">
        <v>869</v>
      </c>
      <c r="C293" s="26" t="s">
        <v>2704</v>
      </c>
      <c r="D293" s="26" t="n">
        <v>501931</v>
      </c>
      <c r="E293" s="27" t="n">
        <v>44187</v>
      </c>
      <c r="F293" s="27" t="n">
        <v>44188</v>
      </c>
      <c r="G293" s="30" t="n">
        <v>1</v>
      </c>
      <c r="H293" s="30" t="n">
        <v>1</v>
      </c>
      <c r="I293" s="30" t="n">
        <v>53</v>
      </c>
      <c r="J293" s="30" t="n">
        <v>2</v>
      </c>
      <c r="K293" s="30" t="n">
        <v>1</v>
      </c>
      <c r="L293" s="30" t="n">
        <v>1</v>
      </c>
      <c r="M293" s="30" t="n">
        <v>2</v>
      </c>
      <c r="N293" s="30" t="n">
        <v>2</v>
      </c>
      <c r="O293" s="30" t="n">
        <v>1</v>
      </c>
      <c r="P293" s="30" t="n">
        <v>1</v>
      </c>
      <c r="Q293" s="30" t="n">
        <v>2</v>
      </c>
      <c r="R293" s="30" t="n">
        <v>2</v>
      </c>
      <c r="S293" s="4" t="n">
        <v>2</v>
      </c>
      <c r="T293" s="30" t="n">
        <v>2</v>
      </c>
      <c r="U293" s="30"/>
      <c r="V293" s="30"/>
      <c r="W293" s="30"/>
      <c r="X293" s="30"/>
      <c r="Z293" s="30"/>
      <c r="AA293" s="30"/>
      <c r="AB293" s="30"/>
      <c r="AC293" s="30" t="n">
        <v>1</v>
      </c>
      <c r="AD293" s="30" t="n">
        <v>1</v>
      </c>
      <c r="AE293" s="30" t="n">
        <v>1</v>
      </c>
      <c r="AF293" s="30" t="n">
        <v>2</v>
      </c>
      <c r="AG293" s="30" t="n">
        <v>2</v>
      </c>
      <c r="AH293" s="30" t="n">
        <v>1</v>
      </c>
      <c r="AI293" s="30" t="n">
        <v>2</v>
      </c>
      <c r="AJ293" s="30" t="n">
        <v>2</v>
      </c>
      <c r="AK293" s="30" t="n">
        <v>2</v>
      </c>
      <c r="AL293" s="30" t="n">
        <v>1</v>
      </c>
      <c r="AM293" s="30" t="n">
        <v>2</v>
      </c>
      <c r="AN293" s="30" t="n">
        <v>2</v>
      </c>
      <c r="AO293" s="30" t="n">
        <v>3</v>
      </c>
      <c r="AP293" s="30" t="n">
        <v>4</v>
      </c>
      <c r="AQ293" s="30" t="n">
        <v>4</v>
      </c>
      <c r="AR293" s="30" t="n">
        <v>6</v>
      </c>
      <c r="AS293" s="30" t="n">
        <v>4</v>
      </c>
      <c r="AT293" s="30" t="n">
        <v>4</v>
      </c>
      <c r="AU293" s="30" t="n">
        <v>6</v>
      </c>
      <c r="AV293" s="30" t="n">
        <v>6</v>
      </c>
      <c r="AW293" s="30" t="n">
        <v>3</v>
      </c>
      <c r="AX293" s="30" t="n">
        <v>3</v>
      </c>
      <c r="AY293" s="30" t="n">
        <v>10</v>
      </c>
      <c r="AZ293" s="5" t="n">
        <v>1</v>
      </c>
      <c r="BA293" s="30" t="n">
        <v>1</v>
      </c>
      <c r="BB293" s="30" t="n">
        <v>2</v>
      </c>
      <c r="BC293" s="30" t="n">
        <v>2</v>
      </c>
      <c r="BD293" s="30" t="n">
        <v>1</v>
      </c>
      <c r="BE293" s="30" t="n">
        <v>2</v>
      </c>
      <c r="BF293" s="30" t="n">
        <v>1</v>
      </c>
      <c r="BG293" s="30" t="n">
        <v>4</v>
      </c>
      <c r="BH293" s="30" t="n">
        <v>1</v>
      </c>
      <c r="BI293" s="30" t="n">
        <v>1</v>
      </c>
    </row>
    <row r="294" customFormat="false" ht="12.75" hidden="false" customHeight="false" outlineLevel="0" collapsed="false">
      <c r="A294" s="2" t="s">
        <v>2421</v>
      </c>
      <c r="B294" s="2" t="s">
        <v>2668</v>
      </c>
      <c r="C294" s="2" t="s">
        <v>2706</v>
      </c>
      <c r="D294" s="2" t="n">
        <v>206779</v>
      </c>
      <c r="E294" s="15" t="n">
        <v>44187</v>
      </c>
      <c r="F294" s="15" t="n">
        <v>44193</v>
      </c>
      <c r="G294" s="3" t="n">
        <v>6</v>
      </c>
      <c r="H294" s="3" t="n">
        <v>2</v>
      </c>
      <c r="I294" s="3" t="n">
        <v>67</v>
      </c>
      <c r="J294" s="3" t="n">
        <v>1</v>
      </c>
      <c r="K294" s="3" t="n">
        <v>1</v>
      </c>
      <c r="L294" s="3" t="n">
        <v>1</v>
      </c>
      <c r="M294" s="3" t="n">
        <v>2</v>
      </c>
      <c r="N294" s="3" t="n">
        <v>2</v>
      </c>
      <c r="O294" s="3" t="n">
        <v>2</v>
      </c>
      <c r="P294" s="3" t="n">
        <v>2</v>
      </c>
      <c r="Q294" s="3" t="n">
        <v>2</v>
      </c>
      <c r="R294" s="3" t="n">
        <v>2</v>
      </c>
      <c r="S294" s="4" t="n">
        <v>2</v>
      </c>
      <c r="T294" s="3" t="n">
        <v>2</v>
      </c>
      <c r="U294" s="3" t="n">
        <v>3.85</v>
      </c>
      <c r="V294" s="3" t="n">
        <v>0.77</v>
      </c>
      <c r="W294" s="3" t="n">
        <v>5.63</v>
      </c>
      <c r="X294" s="3" t="n">
        <v>721</v>
      </c>
      <c r="Z294" s="3" t="n">
        <v>0.45</v>
      </c>
      <c r="AA294" s="3" t="n">
        <v>8.6</v>
      </c>
      <c r="AB294" s="3" t="n">
        <v>2</v>
      </c>
      <c r="AC294" s="3" t="n">
        <v>2</v>
      </c>
      <c r="AD294" s="3" t="n">
        <v>2</v>
      </c>
      <c r="AE294" s="3" t="n">
        <v>1</v>
      </c>
      <c r="AF294" s="3" t="n">
        <v>2</v>
      </c>
      <c r="AG294" s="3" t="n">
        <v>1</v>
      </c>
      <c r="AH294" s="3" t="n">
        <v>1</v>
      </c>
      <c r="AI294" s="3" t="n">
        <v>2</v>
      </c>
      <c r="AJ294" s="3" t="n">
        <v>2</v>
      </c>
      <c r="AK294" s="3" t="n">
        <v>2</v>
      </c>
      <c r="AL294" s="3" t="n">
        <v>1</v>
      </c>
      <c r="AM294" s="3" t="n">
        <v>2</v>
      </c>
      <c r="AN294" s="3" t="n">
        <v>2</v>
      </c>
      <c r="AO294" s="3" t="n">
        <v>3</v>
      </c>
      <c r="AP294" s="3" t="n">
        <v>4</v>
      </c>
      <c r="AQ294" s="3" t="n">
        <v>4</v>
      </c>
      <c r="AR294" s="3" t="n">
        <v>6</v>
      </c>
      <c r="AS294" s="3" t="n">
        <v>4</v>
      </c>
      <c r="AT294" s="3" t="n">
        <v>4</v>
      </c>
      <c r="AU294" s="3" t="n">
        <v>6</v>
      </c>
      <c r="AV294" s="3" t="n">
        <v>6</v>
      </c>
      <c r="AW294" s="3" t="n">
        <v>3</v>
      </c>
      <c r="AX294" s="3" t="n">
        <v>3</v>
      </c>
      <c r="AY294" s="3" t="n">
        <v>1</v>
      </c>
      <c r="AZ294" s="5" t="n">
        <v>5</v>
      </c>
      <c r="BA294" s="3" t="n">
        <v>2</v>
      </c>
      <c r="BB294" s="3" t="n">
        <v>1</v>
      </c>
      <c r="BC294" s="3" t="n">
        <v>6</v>
      </c>
      <c r="BD294" s="3" t="n">
        <v>3</v>
      </c>
      <c r="BE294" s="3" t="n">
        <v>5</v>
      </c>
      <c r="BF294" s="3" t="n">
        <v>3</v>
      </c>
      <c r="BG294" s="3" t="n">
        <v>4</v>
      </c>
      <c r="BH294" s="3" t="n">
        <v>1</v>
      </c>
      <c r="BI294" s="3" t="n">
        <v>1</v>
      </c>
    </row>
    <row r="295" customFormat="false" ht="12.75" hidden="false" customHeight="false" outlineLevel="0" collapsed="false">
      <c r="A295" s="2" t="s">
        <v>2714</v>
      </c>
      <c r="B295" s="2" t="s">
        <v>410</v>
      </c>
      <c r="C295" s="2" t="s">
        <v>528</v>
      </c>
      <c r="D295" s="2" t="n">
        <v>206706</v>
      </c>
      <c r="E295" s="15" t="n">
        <v>44190</v>
      </c>
      <c r="F295" s="15" t="n">
        <v>44197</v>
      </c>
      <c r="G295" s="3" t="n">
        <v>7</v>
      </c>
      <c r="H295" s="3" t="n">
        <v>1</v>
      </c>
      <c r="I295" s="3" t="n">
        <v>63</v>
      </c>
      <c r="J295" s="3" t="n">
        <v>3</v>
      </c>
      <c r="K295" s="3" t="n">
        <v>2</v>
      </c>
      <c r="L295" s="3" t="n">
        <v>1</v>
      </c>
      <c r="M295" s="3" t="n">
        <v>2</v>
      </c>
      <c r="N295" s="3" t="n">
        <v>2</v>
      </c>
      <c r="O295" s="3" t="n">
        <v>2</v>
      </c>
      <c r="P295" s="3" t="n">
        <v>2</v>
      </c>
      <c r="Q295" s="3" t="n">
        <v>2</v>
      </c>
      <c r="R295" s="3" t="n">
        <v>2</v>
      </c>
      <c r="S295" s="4" t="n">
        <v>2</v>
      </c>
      <c r="T295" s="3" t="n">
        <v>2</v>
      </c>
      <c r="U295" s="3" t="n">
        <v>5.38</v>
      </c>
      <c r="V295" s="3" t="n">
        <v>0.88</v>
      </c>
      <c r="W295" s="3" t="n">
        <v>1.11</v>
      </c>
      <c r="X295" s="3" t="n">
        <v>135</v>
      </c>
      <c r="Z295" s="3" t="n">
        <v>0.34</v>
      </c>
      <c r="AA295" s="3" t="n">
        <v>12.8</v>
      </c>
      <c r="AB295" s="3" t="n">
        <v>1</v>
      </c>
      <c r="AC295" s="3" t="n">
        <v>1</v>
      </c>
      <c r="AD295" s="3" t="n">
        <v>1</v>
      </c>
      <c r="AE295" s="3" t="n">
        <v>1</v>
      </c>
      <c r="AF295" s="3" t="n">
        <v>1</v>
      </c>
      <c r="AG295" s="3" t="n">
        <v>2</v>
      </c>
      <c r="AH295" s="3" t="n">
        <v>1</v>
      </c>
      <c r="AI295" s="3" t="n">
        <v>2</v>
      </c>
      <c r="AJ295" s="3" t="n">
        <v>2</v>
      </c>
      <c r="AK295" s="3" t="n">
        <v>2</v>
      </c>
      <c r="AL295" s="3" t="n">
        <v>1</v>
      </c>
      <c r="AM295" s="3" t="n">
        <v>2</v>
      </c>
      <c r="AN295" s="3" t="n">
        <v>2</v>
      </c>
      <c r="AO295" s="3" t="n">
        <v>3</v>
      </c>
      <c r="AP295" s="3" t="n">
        <v>4</v>
      </c>
      <c r="AQ295" s="3" t="n">
        <v>4</v>
      </c>
      <c r="AR295" s="3" t="n">
        <v>6</v>
      </c>
      <c r="AS295" s="3" t="n">
        <v>4</v>
      </c>
      <c r="AT295" s="3" t="n">
        <v>4</v>
      </c>
      <c r="AU295" s="3" t="n">
        <v>6</v>
      </c>
      <c r="AV295" s="3" t="n">
        <v>6</v>
      </c>
      <c r="AW295" s="3" t="n">
        <v>3</v>
      </c>
      <c r="AX295" s="3" t="n">
        <v>3</v>
      </c>
      <c r="AY295" s="3" t="n">
        <v>1</v>
      </c>
      <c r="AZ295" s="5" t="n">
        <v>1</v>
      </c>
      <c r="BA295" s="3" t="n">
        <v>1</v>
      </c>
      <c r="BB295" s="3" t="n">
        <v>1</v>
      </c>
      <c r="BC295" s="3" t="n">
        <v>4</v>
      </c>
      <c r="BD295" s="3" t="n">
        <v>1</v>
      </c>
      <c r="BE295" s="3" t="n">
        <v>2</v>
      </c>
      <c r="BF295" s="3" t="n">
        <v>1</v>
      </c>
      <c r="BG295" s="3" t="n">
        <v>4</v>
      </c>
      <c r="BH295" s="3" t="n">
        <v>1</v>
      </c>
      <c r="BI295" s="3" t="n">
        <v>1</v>
      </c>
    </row>
    <row r="296" customFormat="false" ht="12.75" hidden="false" customHeight="false" outlineLevel="0" collapsed="false">
      <c r="A296" s="2" t="s">
        <v>912</v>
      </c>
      <c r="B296" s="2" t="s">
        <v>78</v>
      </c>
      <c r="C296" s="2" t="s">
        <v>808</v>
      </c>
      <c r="D296" s="2" t="n">
        <v>206730</v>
      </c>
      <c r="E296" s="15" t="n">
        <v>44186</v>
      </c>
      <c r="F296" s="15" t="n">
        <v>44197</v>
      </c>
      <c r="G296" s="3" t="n">
        <v>12</v>
      </c>
      <c r="H296" s="3" t="n">
        <v>2</v>
      </c>
      <c r="I296" s="3" t="n">
        <v>78</v>
      </c>
      <c r="J296" s="3" t="n">
        <v>1</v>
      </c>
      <c r="K296" s="3" t="n">
        <v>2</v>
      </c>
      <c r="L296" s="3" t="n">
        <v>1</v>
      </c>
      <c r="M296" s="3" t="n">
        <v>2</v>
      </c>
      <c r="N296" s="3" t="n">
        <v>2</v>
      </c>
      <c r="O296" s="3" t="n">
        <v>2</v>
      </c>
      <c r="P296" s="3" t="n">
        <v>2</v>
      </c>
      <c r="Q296" s="3" t="n">
        <v>2</v>
      </c>
      <c r="R296" s="3" t="n">
        <v>2</v>
      </c>
      <c r="S296" s="4" t="n">
        <v>2</v>
      </c>
      <c r="T296" s="3" t="n">
        <v>2</v>
      </c>
      <c r="U296" s="3" t="n">
        <v>5.69</v>
      </c>
      <c r="V296" s="3" t="n">
        <v>1.57</v>
      </c>
      <c r="W296" s="3" t="n">
        <v>6.06</v>
      </c>
      <c r="X296" s="3" t="n">
        <v>373</v>
      </c>
      <c r="Z296" s="3" t="n">
        <v>0.41</v>
      </c>
      <c r="AA296" s="3" t="n">
        <v>14.6</v>
      </c>
      <c r="AB296" s="3" t="n">
        <v>1</v>
      </c>
      <c r="AC296" s="3" t="n">
        <v>1</v>
      </c>
      <c r="AD296" s="3" t="n">
        <v>1</v>
      </c>
      <c r="AE296" s="3" t="n">
        <v>1</v>
      </c>
      <c r="AF296" s="3" t="n">
        <v>2</v>
      </c>
      <c r="AG296" s="3" t="n">
        <v>2</v>
      </c>
      <c r="AH296" s="3" t="n">
        <v>1</v>
      </c>
      <c r="AI296" s="3" t="n">
        <v>2</v>
      </c>
      <c r="AJ296" s="3" t="n">
        <v>2</v>
      </c>
      <c r="AK296" s="3" t="n">
        <v>2</v>
      </c>
      <c r="AL296" s="3" t="n">
        <v>2</v>
      </c>
      <c r="AM296" s="3" t="n">
        <v>2</v>
      </c>
      <c r="AN296" s="3" t="n">
        <v>2</v>
      </c>
      <c r="AO296" s="3" t="n">
        <v>3</v>
      </c>
      <c r="AP296" s="3" t="n">
        <v>4</v>
      </c>
      <c r="AQ296" s="3" t="n">
        <v>4</v>
      </c>
      <c r="AR296" s="3" t="n">
        <v>6</v>
      </c>
      <c r="AS296" s="3" t="n">
        <v>4</v>
      </c>
      <c r="AT296" s="3" t="n">
        <v>4</v>
      </c>
      <c r="AU296" s="3" t="n">
        <v>6</v>
      </c>
      <c r="AV296" s="3" t="n">
        <v>6</v>
      </c>
      <c r="AW296" s="3" t="n">
        <v>3</v>
      </c>
      <c r="AX296" s="3" t="n">
        <v>3</v>
      </c>
      <c r="AY296" s="3" t="n">
        <v>1</v>
      </c>
      <c r="AZ296" s="5" t="n">
        <v>1</v>
      </c>
      <c r="BA296" s="3" t="n">
        <v>1</v>
      </c>
      <c r="BB296" s="3" t="n">
        <v>1</v>
      </c>
      <c r="BC296" s="3" t="n">
        <v>4</v>
      </c>
      <c r="BD296" s="3" t="n">
        <v>3</v>
      </c>
      <c r="BE296" s="3" t="n">
        <v>5</v>
      </c>
      <c r="BF296" s="3" t="n">
        <v>3</v>
      </c>
      <c r="BG296" s="3" t="n">
        <v>4</v>
      </c>
      <c r="BH296" s="3" t="n">
        <v>1</v>
      </c>
      <c r="BI296" s="3" t="n">
        <v>1</v>
      </c>
    </row>
    <row r="297" customFormat="false" ht="12.75" hidden="false" customHeight="false" outlineLevel="0" collapsed="false">
      <c r="A297" s="2" t="s">
        <v>2717</v>
      </c>
      <c r="B297" s="2" t="s">
        <v>2718</v>
      </c>
      <c r="C297" s="2" t="s">
        <v>665</v>
      </c>
      <c r="D297" s="2" t="n">
        <v>207312</v>
      </c>
      <c r="E297" s="15" t="n">
        <v>44195</v>
      </c>
      <c r="F297" s="15" t="n">
        <v>44201</v>
      </c>
      <c r="G297" s="3" t="n">
        <v>6</v>
      </c>
      <c r="H297" s="3" t="n">
        <v>2</v>
      </c>
      <c r="I297" s="3" t="n">
        <v>77</v>
      </c>
      <c r="J297" s="3" t="n">
        <v>1</v>
      </c>
      <c r="K297" s="3" t="n">
        <v>2</v>
      </c>
      <c r="L297" s="3" t="n">
        <v>1</v>
      </c>
      <c r="M297" s="3" t="n">
        <v>2</v>
      </c>
      <c r="N297" s="3" t="n">
        <v>2</v>
      </c>
      <c r="O297" s="3" t="n">
        <v>2</v>
      </c>
      <c r="P297" s="3" t="n">
        <v>2</v>
      </c>
      <c r="Q297" s="3" t="n">
        <v>2</v>
      </c>
      <c r="R297" s="3" t="n">
        <v>2</v>
      </c>
      <c r="S297" s="4" t="n">
        <v>2</v>
      </c>
      <c r="T297" s="3" t="n">
        <v>2</v>
      </c>
      <c r="U297" s="3" t="n">
        <v>5.46</v>
      </c>
      <c r="V297" s="3" t="n">
        <v>1.87</v>
      </c>
      <c r="W297" s="3" t="n">
        <v>9.03</v>
      </c>
      <c r="X297" s="3" t="n">
        <v>409</v>
      </c>
      <c r="Z297" s="3" t="n">
        <v>0.45</v>
      </c>
      <c r="AA297" s="3" t="n">
        <v>9</v>
      </c>
      <c r="AB297" s="3" t="n">
        <v>1</v>
      </c>
      <c r="AC297" s="3" t="n">
        <v>2</v>
      </c>
      <c r="AD297" s="3" t="n">
        <v>1</v>
      </c>
      <c r="AE297" s="3" t="n">
        <v>1</v>
      </c>
      <c r="AF297" s="3" t="n">
        <v>2</v>
      </c>
      <c r="AG297" s="3" t="n">
        <v>2</v>
      </c>
      <c r="AH297" s="3" t="n">
        <v>1</v>
      </c>
      <c r="AI297" s="3" t="n">
        <v>2</v>
      </c>
      <c r="AJ297" s="3" t="n">
        <v>2</v>
      </c>
      <c r="AK297" s="3" t="n">
        <v>2</v>
      </c>
      <c r="AL297" s="3" t="n">
        <v>2</v>
      </c>
      <c r="AM297" s="3" t="n">
        <v>2</v>
      </c>
      <c r="AN297" s="3" t="n">
        <v>2</v>
      </c>
      <c r="AO297" s="3" t="n">
        <v>3</v>
      </c>
      <c r="AP297" s="3" t="n">
        <v>4</v>
      </c>
      <c r="AQ297" s="3" t="n">
        <v>4</v>
      </c>
      <c r="AR297" s="3" t="n">
        <v>6</v>
      </c>
      <c r="AS297" s="3" t="n">
        <v>4</v>
      </c>
      <c r="AT297" s="3" t="n">
        <v>4</v>
      </c>
      <c r="AU297" s="3" t="n">
        <v>6</v>
      </c>
      <c r="AV297" s="3" t="n">
        <v>6</v>
      </c>
      <c r="AW297" s="3" t="n">
        <v>3</v>
      </c>
      <c r="AX297" s="3" t="n">
        <v>3</v>
      </c>
      <c r="AY297" s="3" t="n">
        <v>1</v>
      </c>
      <c r="AZ297" s="5" t="n">
        <v>1</v>
      </c>
      <c r="BA297" s="3" t="n">
        <v>1</v>
      </c>
      <c r="BB297" s="3" t="n">
        <v>1</v>
      </c>
      <c r="BC297" s="3" t="n">
        <v>4</v>
      </c>
      <c r="BD297" s="3" t="n">
        <v>1</v>
      </c>
      <c r="BE297" s="3" t="n">
        <v>2</v>
      </c>
      <c r="BF297" s="3" t="n">
        <v>1</v>
      </c>
      <c r="BG297" s="3" t="n">
        <v>4</v>
      </c>
      <c r="BH297" s="3" t="n">
        <v>1</v>
      </c>
      <c r="BI297" s="3" t="n">
        <v>1</v>
      </c>
    </row>
    <row r="298" customFormat="false" ht="12.75" hidden="false" customHeight="false" outlineLevel="0" collapsed="false">
      <c r="A298" s="2" t="s">
        <v>2723</v>
      </c>
      <c r="B298" s="2" t="s">
        <v>684</v>
      </c>
      <c r="C298" s="2" t="s">
        <v>685</v>
      </c>
      <c r="D298" s="2" t="n">
        <v>139933</v>
      </c>
      <c r="E298" s="15" t="n">
        <v>44193</v>
      </c>
      <c r="F298" s="15" t="n">
        <v>44202</v>
      </c>
      <c r="G298" s="3" t="n">
        <v>9</v>
      </c>
      <c r="H298" s="3" t="n">
        <v>2</v>
      </c>
      <c r="I298" s="3" t="n">
        <v>57</v>
      </c>
      <c r="J298" s="3" t="n">
        <v>1</v>
      </c>
      <c r="K298" s="3" t="n">
        <v>1</v>
      </c>
      <c r="L298" s="3" t="n">
        <v>1</v>
      </c>
      <c r="M298" s="3" t="n">
        <v>1</v>
      </c>
      <c r="N298" s="3" t="n">
        <v>2</v>
      </c>
      <c r="O298" s="3" t="n">
        <v>2</v>
      </c>
      <c r="P298" s="3" t="n">
        <v>2</v>
      </c>
      <c r="Q298" s="3" t="n">
        <v>2</v>
      </c>
      <c r="R298" s="3" t="n">
        <v>1</v>
      </c>
      <c r="S298" s="4" t="n">
        <v>2</v>
      </c>
      <c r="T298" s="3" t="n">
        <v>2</v>
      </c>
      <c r="U298" s="3" t="n">
        <v>3.87</v>
      </c>
      <c r="V298" s="3" t="n">
        <v>5.3</v>
      </c>
      <c r="W298" s="3" t="n">
        <v>5.18</v>
      </c>
      <c r="X298" s="3" t="n">
        <v>326</v>
      </c>
      <c r="Z298" s="3" t="n">
        <v>0.46</v>
      </c>
      <c r="AA298" s="3" t="n">
        <v>13.6</v>
      </c>
      <c r="AB298" s="3" t="n">
        <v>1</v>
      </c>
      <c r="AC298" s="3" t="n">
        <v>2</v>
      </c>
      <c r="AD298" s="3" t="n">
        <v>1</v>
      </c>
      <c r="AE298" s="3" t="n">
        <v>1</v>
      </c>
      <c r="AF298" s="3" t="n">
        <v>2</v>
      </c>
      <c r="AG298" s="3" t="n">
        <v>2</v>
      </c>
      <c r="AH298" s="3" t="n">
        <v>1</v>
      </c>
      <c r="AI298" s="3" t="n">
        <v>1</v>
      </c>
      <c r="AJ298" s="3" t="n">
        <v>2</v>
      </c>
      <c r="AK298" s="3" t="n">
        <v>2</v>
      </c>
      <c r="AL298" s="3" t="n">
        <v>2</v>
      </c>
      <c r="AM298" s="3" t="n">
        <v>1</v>
      </c>
      <c r="AN298" s="3" t="n">
        <v>2</v>
      </c>
      <c r="AO298" s="3" t="n">
        <v>2</v>
      </c>
      <c r="AP298" s="3" t="n">
        <v>1</v>
      </c>
      <c r="AQ298" s="3" t="n">
        <v>4</v>
      </c>
      <c r="AR298" s="3" t="n">
        <v>6</v>
      </c>
      <c r="AS298" s="3" t="n">
        <v>4</v>
      </c>
      <c r="AT298" s="3" t="n">
        <v>4</v>
      </c>
      <c r="AU298" s="3" t="n">
        <v>1</v>
      </c>
      <c r="AV298" s="3" t="n">
        <v>6</v>
      </c>
      <c r="AW298" s="3" t="n">
        <v>2</v>
      </c>
      <c r="AX298" s="3" t="n">
        <v>1</v>
      </c>
      <c r="AY298" s="3" t="n">
        <v>6</v>
      </c>
      <c r="AZ298" s="5" t="n">
        <v>1</v>
      </c>
      <c r="BA298" s="3" t="n">
        <v>1</v>
      </c>
      <c r="BB298" s="3" t="n">
        <v>1</v>
      </c>
      <c r="BC298" s="3" t="n">
        <v>4</v>
      </c>
      <c r="BD298" s="3" t="n">
        <v>1</v>
      </c>
      <c r="BE298" s="3" t="n">
        <v>2</v>
      </c>
      <c r="BF298" s="3" t="n">
        <v>1</v>
      </c>
      <c r="BG298" s="3" t="n">
        <v>4</v>
      </c>
      <c r="BH298" s="3" t="n">
        <v>1</v>
      </c>
      <c r="BI298" s="3" t="n">
        <v>1</v>
      </c>
    </row>
    <row r="299" customFormat="false" ht="12.75" hidden="false" customHeight="false" outlineLevel="0" collapsed="false">
      <c r="A299" s="2" t="s">
        <v>228</v>
      </c>
      <c r="B299" s="2" t="s">
        <v>1883</v>
      </c>
      <c r="C299" s="2" t="s">
        <v>1335</v>
      </c>
      <c r="D299" s="2" t="n">
        <v>207204</v>
      </c>
      <c r="E299" s="15" t="n">
        <v>44197</v>
      </c>
      <c r="F299" s="15" t="n">
        <v>44203</v>
      </c>
      <c r="G299" s="3" t="n">
        <v>6</v>
      </c>
      <c r="H299" s="3" t="n">
        <v>2</v>
      </c>
      <c r="I299" s="3" t="n">
        <v>43</v>
      </c>
      <c r="J299" s="3" t="n">
        <v>2</v>
      </c>
      <c r="K299" s="3" t="n">
        <v>1</v>
      </c>
      <c r="L299" s="3" t="n">
        <v>2</v>
      </c>
      <c r="M299" s="3" t="n">
        <v>2</v>
      </c>
      <c r="N299" s="3" t="n">
        <v>2</v>
      </c>
      <c r="O299" s="3" t="n">
        <v>2</v>
      </c>
      <c r="P299" s="3" t="n">
        <v>2</v>
      </c>
      <c r="Q299" s="3" t="n">
        <v>2</v>
      </c>
      <c r="R299" s="3" t="n">
        <v>2</v>
      </c>
      <c r="S299" s="4" t="n">
        <v>2</v>
      </c>
      <c r="T299" s="3" t="n">
        <v>2</v>
      </c>
      <c r="U299" s="3" t="n">
        <v>3.95</v>
      </c>
      <c r="V299" s="3" t="n">
        <v>0.48</v>
      </c>
      <c r="W299" s="3" t="n">
        <v>4.34</v>
      </c>
      <c r="X299" s="3" t="n">
        <v>349</v>
      </c>
      <c r="Z299" s="3" t="n">
        <v>0.43</v>
      </c>
      <c r="AA299" s="3" t="n">
        <v>7.1</v>
      </c>
      <c r="AB299" s="3" t="n">
        <v>1</v>
      </c>
      <c r="AC299" s="3" t="n">
        <v>2</v>
      </c>
      <c r="AD299" s="3" t="n">
        <v>1</v>
      </c>
      <c r="AE299" s="3" t="n">
        <v>1</v>
      </c>
      <c r="AF299" s="3" t="n">
        <v>2</v>
      </c>
      <c r="AG299" s="3" t="n">
        <v>2</v>
      </c>
      <c r="AH299" s="3" t="n">
        <v>1</v>
      </c>
      <c r="AI299" s="3" t="n">
        <v>2</v>
      </c>
      <c r="AJ299" s="3" t="n">
        <v>2</v>
      </c>
      <c r="AK299" s="3" t="n">
        <v>2</v>
      </c>
      <c r="AL299" s="3" t="n">
        <v>1</v>
      </c>
      <c r="AM299" s="3" t="n">
        <v>2</v>
      </c>
      <c r="AN299" s="3" t="n">
        <v>2</v>
      </c>
      <c r="AO299" s="3" t="n">
        <v>3</v>
      </c>
      <c r="AP299" s="3" t="n">
        <v>4</v>
      </c>
      <c r="AQ299" s="3" t="n">
        <v>4</v>
      </c>
      <c r="AR299" s="3" t="n">
        <v>6</v>
      </c>
      <c r="AS299" s="3" t="n">
        <v>4</v>
      </c>
      <c r="AT299" s="3" t="n">
        <v>4</v>
      </c>
      <c r="AU299" s="3" t="n">
        <v>6</v>
      </c>
      <c r="AV299" s="3" t="n">
        <v>6</v>
      </c>
      <c r="AW299" s="3" t="n">
        <v>3</v>
      </c>
      <c r="AX299" s="3" t="n">
        <v>3</v>
      </c>
      <c r="AY299" s="3" t="n">
        <v>1</v>
      </c>
      <c r="AZ299" s="5" t="n">
        <v>1</v>
      </c>
      <c r="BA299" s="3" t="n">
        <v>1</v>
      </c>
      <c r="BB299" s="3" t="n">
        <v>1</v>
      </c>
      <c r="BC299" s="3" t="n">
        <v>4</v>
      </c>
      <c r="BD299" s="3" t="n">
        <v>1</v>
      </c>
      <c r="BE299" s="3" t="n">
        <v>2</v>
      </c>
      <c r="BF299" s="3" t="n">
        <v>1</v>
      </c>
      <c r="BG299" s="3" t="n">
        <v>4</v>
      </c>
      <c r="BH299" s="3" t="n">
        <v>1</v>
      </c>
      <c r="BI299" s="3" t="n">
        <v>1</v>
      </c>
    </row>
    <row r="300" customFormat="false" ht="12.75" hidden="false" customHeight="false" outlineLevel="0" collapsed="false">
      <c r="A300" s="2" t="s">
        <v>915</v>
      </c>
      <c r="B300" s="2" t="s">
        <v>873</v>
      </c>
      <c r="C300" s="2" t="s">
        <v>873</v>
      </c>
      <c r="D300" s="2" t="n">
        <v>207300</v>
      </c>
      <c r="E300" s="15" t="n">
        <v>44195</v>
      </c>
      <c r="F300" s="15" t="n">
        <v>44204</v>
      </c>
      <c r="G300" s="3" t="n">
        <v>9</v>
      </c>
      <c r="H300" s="3" t="n">
        <v>2</v>
      </c>
      <c r="I300" s="3" t="n">
        <v>75</v>
      </c>
      <c r="J300" s="3" t="n">
        <v>1</v>
      </c>
      <c r="K300" s="3" t="n">
        <v>2</v>
      </c>
      <c r="L300" s="3" t="n">
        <v>1</v>
      </c>
      <c r="M300" s="3" t="n">
        <v>2</v>
      </c>
      <c r="N300" s="3" t="n">
        <v>2</v>
      </c>
      <c r="O300" s="3" t="n">
        <v>2</v>
      </c>
      <c r="P300" s="3" t="n">
        <v>1</v>
      </c>
      <c r="Q300" s="3" t="n">
        <v>2</v>
      </c>
      <c r="R300" s="3" t="n">
        <v>2</v>
      </c>
      <c r="S300" s="4" t="n">
        <v>2</v>
      </c>
      <c r="T300" s="3" t="n">
        <v>2</v>
      </c>
      <c r="U300" s="3" t="n">
        <v>2.24</v>
      </c>
      <c r="V300" s="3" t="n">
        <v>0.75</v>
      </c>
      <c r="W300" s="3" t="n">
        <v>24.24</v>
      </c>
      <c r="X300" s="3" t="n">
        <v>431</v>
      </c>
      <c r="Z300" s="3" t="n">
        <v>0.63</v>
      </c>
      <c r="AA300" s="3" t="n">
        <v>16.1</v>
      </c>
      <c r="AB300" s="3" t="n">
        <v>1</v>
      </c>
      <c r="AC300" s="3" t="n">
        <v>2</v>
      </c>
      <c r="AD300" s="3" t="n">
        <v>1</v>
      </c>
      <c r="AE300" s="3" t="n">
        <v>1</v>
      </c>
      <c r="AF300" s="3" t="n">
        <v>2</v>
      </c>
      <c r="AG300" s="3" t="n">
        <v>2</v>
      </c>
      <c r="AH300" s="3" t="n">
        <v>1</v>
      </c>
      <c r="AI300" s="3" t="n">
        <v>2</v>
      </c>
      <c r="AJ300" s="3" t="n">
        <v>1</v>
      </c>
      <c r="AK300" s="3" t="n">
        <v>2</v>
      </c>
      <c r="AL300" s="3" t="n">
        <v>2</v>
      </c>
      <c r="AM300" s="3" t="n">
        <v>2</v>
      </c>
      <c r="AN300" s="3" t="n">
        <v>2</v>
      </c>
      <c r="AO300" s="3" t="n">
        <v>3</v>
      </c>
      <c r="AP300" s="3" t="n">
        <v>4</v>
      </c>
      <c r="AQ300" s="3" t="n">
        <v>4</v>
      </c>
      <c r="AR300" s="3" t="n">
        <v>6</v>
      </c>
      <c r="AS300" s="3" t="n">
        <v>4</v>
      </c>
      <c r="AT300" s="3" t="n">
        <v>4</v>
      </c>
      <c r="AU300" s="3" t="n">
        <v>6</v>
      </c>
      <c r="AV300" s="3" t="n">
        <v>6</v>
      </c>
      <c r="AW300" s="3" t="n">
        <v>3</v>
      </c>
      <c r="AX300" s="3" t="n">
        <v>3</v>
      </c>
      <c r="AY300" s="3" t="n">
        <v>1</v>
      </c>
      <c r="AZ300" s="5" t="n">
        <v>1</v>
      </c>
      <c r="BA300" s="3" t="n">
        <v>1</v>
      </c>
      <c r="BB300" s="3" t="n">
        <v>1</v>
      </c>
      <c r="BC300" s="3" t="n">
        <v>4</v>
      </c>
      <c r="BD300" s="3" t="n">
        <v>1</v>
      </c>
      <c r="BE300" s="3" t="n">
        <v>2</v>
      </c>
      <c r="BF300" s="3" t="n">
        <v>1</v>
      </c>
      <c r="BG300" s="3" t="n">
        <v>4</v>
      </c>
      <c r="BH300" s="3" t="n">
        <v>1</v>
      </c>
      <c r="BI300" s="3" t="n">
        <v>1</v>
      </c>
    </row>
    <row r="301" customFormat="false" ht="12.75" hidden="false" customHeight="false" outlineLevel="0" collapsed="false">
      <c r="A301" s="2" t="s">
        <v>2730</v>
      </c>
      <c r="B301" s="2" t="s">
        <v>78</v>
      </c>
      <c r="C301" s="2" t="s">
        <v>2731</v>
      </c>
      <c r="D301" s="2" t="n">
        <v>207201</v>
      </c>
      <c r="E301" s="15" t="n">
        <v>44197</v>
      </c>
      <c r="F301" s="15" t="n">
        <v>44204</v>
      </c>
      <c r="G301" s="3" t="n">
        <v>7</v>
      </c>
      <c r="H301" s="3" t="n">
        <v>2</v>
      </c>
      <c r="I301" s="3" t="n">
        <v>41</v>
      </c>
      <c r="J301" s="3" t="n">
        <v>1</v>
      </c>
      <c r="K301" s="3" t="n">
        <v>2</v>
      </c>
      <c r="L301" s="3" t="n">
        <v>2</v>
      </c>
      <c r="M301" s="3" t="n">
        <v>2</v>
      </c>
      <c r="N301" s="3" t="n">
        <v>2</v>
      </c>
      <c r="O301" s="3" t="n">
        <v>2</v>
      </c>
      <c r="P301" s="3" t="n">
        <v>2</v>
      </c>
      <c r="Q301" s="3" t="n">
        <v>2</v>
      </c>
      <c r="R301" s="3" t="n">
        <v>2</v>
      </c>
      <c r="S301" s="4" t="n">
        <v>2</v>
      </c>
      <c r="T301" s="3" t="n">
        <v>2</v>
      </c>
      <c r="U301" s="3" t="n">
        <v>3.94</v>
      </c>
      <c r="V301" s="3" t="n">
        <v>0.62</v>
      </c>
      <c r="W301" s="3" t="n">
        <v>5.15</v>
      </c>
      <c r="X301" s="3" t="n">
        <v>254</v>
      </c>
      <c r="Z301" s="3" t="n">
        <v>0.46</v>
      </c>
      <c r="AA301" s="3" t="n">
        <v>9</v>
      </c>
      <c r="AB301" s="3" t="n">
        <v>1</v>
      </c>
      <c r="AC301" s="3" t="n">
        <v>2</v>
      </c>
      <c r="AD301" s="3" t="n">
        <v>1</v>
      </c>
      <c r="AE301" s="3" t="n">
        <v>1</v>
      </c>
      <c r="AF301" s="3" t="n">
        <v>2</v>
      </c>
      <c r="AG301" s="3" t="n">
        <v>2</v>
      </c>
      <c r="AH301" s="3" t="n">
        <v>1</v>
      </c>
      <c r="AI301" s="3" t="n">
        <v>2</v>
      </c>
      <c r="AJ301" s="3" t="n">
        <v>2</v>
      </c>
      <c r="AK301" s="3" t="n">
        <v>2</v>
      </c>
      <c r="AL301" s="3" t="n">
        <v>1</v>
      </c>
      <c r="AM301" s="3" t="n">
        <v>2</v>
      </c>
      <c r="AN301" s="3" t="n">
        <v>2</v>
      </c>
      <c r="AO301" s="3" t="n">
        <v>3</v>
      </c>
      <c r="AP301" s="3" t="n">
        <v>4</v>
      </c>
      <c r="AQ301" s="3" t="n">
        <v>4</v>
      </c>
      <c r="AR301" s="3" t="n">
        <v>6</v>
      </c>
      <c r="AS301" s="3" t="n">
        <v>4</v>
      </c>
      <c r="AT301" s="3" t="n">
        <v>4</v>
      </c>
      <c r="AU301" s="3" t="n">
        <v>6</v>
      </c>
      <c r="AV301" s="3" t="n">
        <v>6</v>
      </c>
      <c r="AW301" s="3" t="n">
        <v>3</v>
      </c>
      <c r="AX301" s="3" t="n">
        <v>3</v>
      </c>
      <c r="AY301" s="3" t="n">
        <v>1</v>
      </c>
      <c r="AZ301" s="5" t="n">
        <v>1</v>
      </c>
      <c r="BA301" s="3" t="n">
        <v>1</v>
      </c>
      <c r="BB301" s="3" t="n">
        <v>1</v>
      </c>
      <c r="BC301" s="3" t="n">
        <v>3</v>
      </c>
      <c r="BD301" s="3" t="n">
        <v>1</v>
      </c>
      <c r="BE301" s="3" t="n">
        <v>2</v>
      </c>
      <c r="BF301" s="3" t="n">
        <v>1</v>
      </c>
      <c r="BG301" s="3" t="n">
        <v>4</v>
      </c>
      <c r="BH301" s="3" t="n">
        <v>1</v>
      </c>
      <c r="BI301" s="3" t="n">
        <v>1</v>
      </c>
    </row>
    <row r="302" customFormat="false" ht="12.75" hidden="false" customHeight="false" outlineLevel="0" collapsed="false">
      <c r="A302" s="2" t="s">
        <v>2733</v>
      </c>
      <c r="B302" s="2" t="s">
        <v>153</v>
      </c>
      <c r="C302" s="2" t="s">
        <v>91</v>
      </c>
      <c r="D302" s="2" t="n">
        <v>207239</v>
      </c>
      <c r="E302" s="15" t="n">
        <v>44198</v>
      </c>
      <c r="F302" s="15" t="n">
        <v>44205</v>
      </c>
      <c r="G302" s="3" t="n">
        <v>7</v>
      </c>
      <c r="H302" s="3" t="n">
        <v>2</v>
      </c>
      <c r="I302" s="3" t="n">
        <v>59</v>
      </c>
      <c r="J302" s="3" t="n">
        <v>2</v>
      </c>
      <c r="K302" s="3" t="n">
        <v>1</v>
      </c>
      <c r="L302" s="3" t="n">
        <v>1</v>
      </c>
      <c r="M302" s="3" t="n">
        <v>2</v>
      </c>
      <c r="N302" s="3" t="n">
        <v>2</v>
      </c>
      <c r="O302" s="3" t="n">
        <v>2</v>
      </c>
      <c r="P302" s="3" t="n">
        <v>2</v>
      </c>
      <c r="Q302" s="3" t="n">
        <v>2</v>
      </c>
      <c r="R302" s="3" t="n">
        <v>2</v>
      </c>
      <c r="S302" s="4" t="n">
        <v>2</v>
      </c>
      <c r="T302" s="3" t="n">
        <v>2</v>
      </c>
      <c r="U302" s="3" t="n">
        <v>5.19</v>
      </c>
      <c r="V302" s="3" t="n">
        <v>1.35</v>
      </c>
      <c r="W302" s="3" t="n">
        <v>5.02</v>
      </c>
      <c r="X302" s="3" t="n">
        <v>382</v>
      </c>
      <c r="Z302" s="3" t="n">
        <v>0.47</v>
      </c>
      <c r="AA302" s="3" t="n">
        <v>9</v>
      </c>
      <c r="AB302" s="3" t="n">
        <v>1</v>
      </c>
      <c r="AC302" s="3" t="n">
        <v>2</v>
      </c>
      <c r="AD302" s="3" t="n">
        <v>1</v>
      </c>
      <c r="AE302" s="3" t="n">
        <v>1</v>
      </c>
      <c r="AF302" s="3" t="n">
        <v>1</v>
      </c>
      <c r="AG302" s="3" t="n">
        <v>2</v>
      </c>
      <c r="AH302" s="3" t="n">
        <v>1</v>
      </c>
      <c r="AI302" s="3" t="n">
        <v>2</v>
      </c>
      <c r="AJ302" s="3" t="n">
        <v>2</v>
      </c>
      <c r="AK302" s="3" t="n">
        <v>2</v>
      </c>
      <c r="AL302" s="3" t="n">
        <v>1</v>
      </c>
      <c r="AM302" s="3" t="n">
        <v>2</v>
      </c>
      <c r="AN302" s="3" t="n">
        <v>2</v>
      </c>
      <c r="AO302" s="3" t="n">
        <v>3</v>
      </c>
      <c r="AP302" s="3" t="n">
        <v>4</v>
      </c>
      <c r="AQ302" s="3" t="n">
        <v>4</v>
      </c>
      <c r="AR302" s="3" t="n">
        <v>6</v>
      </c>
      <c r="AS302" s="3" t="n">
        <v>4</v>
      </c>
      <c r="AT302" s="3" t="n">
        <v>4</v>
      </c>
      <c r="AU302" s="3" t="n">
        <v>6</v>
      </c>
      <c r="AV302" s="3" t="n">
        <v>6</v>
      </c>
      <c r="AW302" s="3" t="n">
        <v>3</v>
      </c>
      <c r="AX302" s="3" t="n">
        <v>3</v>
      </c>
      <c r="AY302" s="3" t="n">
        <v>1</v>
      </c>
      <c r="AZ302" s="5" t="n">
        <v>1</v>
      </c>
      <c r="BA302" s="3" t="n">
        <v>1</v>
      </c>
      <c r="BB302" s="3" t="n">
        <v>1</v>
      </c>
      <c r="BC302" s="3" t="n">
        <v>4</v>
      </c>
      <c r="BD302" s="3" t="n">
        <v>3</v>
      </c>
      <c r="BE302" s="3" t="n">
        <v>5</v>
      </c>
      <c r="BF302" s="3" t="n">
        <v>3</v>
      </c>
      <c r="BG302" s="3" t="n">
        <v>4</v>
      </c>
      <c r="BH302" s="3" t="n">
        <v>1</v>
      </c>
      <c r="BI302" s="3" t="n">
        <v>1</v>
      </c>
    </row>
    <row r="303" customFormat="false" ht="12.75" hidden="false" customHeight="false" outlineLevel="0" collapsed="false">
      <c r="A303" s="2" t="s">
        <v>258</v>
      </c>
      <c r="B303" s="2" t="s">
        <v>2189</v>
      </c>
      <c r="C303" s="2" t="s">
        <v>153</v>
      </c>
      <c r="D303" s="2" t="n">
        <v>207382</v>
      </c>
      <c r="E303" s="15" t="n">
        <v>44201</v>
      </c>
      <c r="F303" s="15" t="n">
        <v>44207</v>
      </c>
      <c r="G303" s="3" t="n">
        <v>6</v>
      </c>
      <c r="H303" s="3" t="n">
        <v>2</v>
      </c>
      <c r="I303" s="3" t="n">
        <v>78</v>
      </c>
      <c r="J303" s="3" t="n">
        <v>2</v>
      </c>
      <c r="K303" s="3" t="n">
        <v>1</v>
      </c>
      <c r="L303" s="3" t="n">
        <v>1</v>
      </c>
      <c r="M303" s="3" t="n">
        <v>2</v>
      </c>
      <c r="N303" s="3" t="n">
        <v>2</v>
      </c>
      <c r="O303" s="3" t="n">
        <v>2</v>
      </c>
      <c r="P303" s="3" t="n">
        <v>2</v>
      </c>
      <c r="Q303" s="3" t="n">
        <v>2</v>
      </c>
      <c r="R303" s="3" t="n">
        <v>2</v>
      </c>
      <c r="S303" s="4" t="n">
        <v>2</v>
      </c>
      <c r="T303" s="3" t="n">
        <v>2</v>
      </c>
      <c r="U303" s="3" t="n">
        <v>4.17</v>
      </c>
      <c r="V303" s="3" t="n">
        <v>0.7</v>
      </c>
      <c r="W303" s="3" t="n">
        <v>5.39</v>
      </c>
      <c r="X303" s="3" t="n">
        <v>324</v>
      </c>
      <c r="Z303" s="3" t="n">
        <v>0.44</v>
      </c>
      <c r="AA303" s="3" t="n">
        <v>9.6</v>
      </c>
      <c r="AB303" s="3" t="n">
        <v>1</v>
      </c>
      <c r="AC303" s="3" t="n">
        <v>1</v>
      </c>
      <c r="AD303" s="3" t="n">
        <v>1</v>
      </c>
      <c r="AE303" s="3" t="n">
        <v>1</v>
      </c>
      <c r="AF303" s="3" t="n">
        <v>2</v>
      </c>
      <c r="AG303" s="3" t="n">
        <v>1</v>
      </c>
      <c r="AH303" s="3" t="n">
        <v>1</v>
      </c>
      <c r="AI303" s="3" t="n">
        <v>2</v>
      </c>
      <c r="AJ303" s="3" t="n">
        <v>2</v>
      </c>
      <c r="AK303" s="3" t="n">
        <v>2</v>
      </c>
      <c r="AL303" s="3" t="n">
        <v>1</v>
      </c>
      <c r="AM303" s="3" t="n">
        <v>2</v>
      </c>
      <c r="AN303" s="3" t="n">
        <v>2</v>
      </c>
      <c r="AO303" s="3" t="n">
        <v>3</v>
      </c>
      <c r="AP303" s="3" t="n">
        <v>4</v>
      </c>
      <c r="AQ303" s="3" t="n">
        <v>4</v>
      </c>
      <c r="AR303" s="3" t="n">
        <v>6</v>
      </c>
      <c r="AS303" s="3" t="n">
        <v>4</v>
      </c>
      <c r="AT303" s="3" t="n">
        <v>4</v>
      </c>
      <c r="AU303" s="3" t="n">
        <v>6</v>
      </c>
      <c r="AV303" s="3" t="n">
        <v>6</v>
      </c>
      <c r="AW303" s="3" t="n">
        <v>3</v>
      </c>
      <c r="AX303" s="3" t="n">
        <v>3</v>
      </c>
      <c r="AY303" s="3" t="n">
        <v>1</v>
      </c>
      <c r="AZ303" s="5" t="n">
        <v>1</v>
      </c>
      <c r="BA303" s="3" t="n">
        <v>1</v>
      </c>
      <c r="BB303" s="3" t="n">
        <v>1</v>
      </c>
      <c r="BC303" s="3" t="n">
        <v>2</v>
      </c>
      <c r="BD303" s="3" t="n">
        <v>3</v>
      </c>
      <c r="BE303" s="3" t="n">
        <v>5</v>
      </c>
      <c r="BF303" s="3" t="n">
        <v>3</v>
      </c>
      <c r="BG303" s="3" t="n">
        <v>4</v>
      </c>
      <c r="BH303" s="3" t="n">
        <v>1</v>
      </c>
      <c r="BI303" s="3" t="n">
        <v>1</v>
      </c>
    </row>
    <row r="304" customFormat="false" ht="12.75" hidden="false" customHeight="false" outlineLevel="0" collapsed="false">
      <c r="A304" s="2" t="s">
        <v>1729</v>
      </c>
      <c r="B304" s="2" t="s">
        <v>2736</v>
      </c>
      <c r="C304" s="2" t="s">
        <v>2491</v>
      </c>
      <c r="D304" s="2" t="n">
        <v>207254</v>
      </c>
      <c r="E304" s="15" t="n">
        <v>44199</v>
      </c>
      <c r="F304" s="15" t="n">
        <v>44207</v>
      </c>
      <c r="G304" s="3" t="n">
        <v>6</v>
      </c>
      <c r="H304" s="3" t="n">
        <v>1</v>
      </c>
      <c r="I304" s="3" t="n">
        <v>72</v>
      </c>
      <c r="J304" s="3" t="n">
        <v>1</v>
      </c>
      <c r="K304" s="3" t="n">
        <v>1</v>
      </c>
      <c r="L304" s="3" t="n">
        <v>1</v>
      </c>
      <c r="M304" s="3" t="n">
        <v>2</v>
      </c>
      <c r="N304" s="3" t="n">
        <v>2</v>
      </c>
      <c r="O304" s="3" t="n">
        <v>2</v>
      </c>
      <c r="P304" s="3" t="n">
        <v>2</v>
      </c>
      <c r="Q304" s="3" t="n">
        <v>2</v>
      </c>
      <c r="R304" s="3" t="n">
        <v>2</v>
      </c>
      <c r="S304" s="4" t="n">
        <v>2</v>
      </c>
      <c r="T304" s="3" t="n">
        <v>2</v>
      </c>
      <c r="U304" s="3" t="n">
        <v>4.08</v>
      </c>
      <c r="V304" s="3" t="n">
        <v>1.06</v>
      </c>
      <c r="W304" s="3" t="n">
        <v>8.94</v>
      </c>
      <c r="X304" s="3" t="n">
        <v>548</v>
      </c>
      <c r="Z304" s="3" t="n">
        <v>0.46</v>
      </c>
      <c r="AA304" s="3" t="n">
        <v>16.1</v>
      </c>
      <c r="AB304" s="3" t="n">
        <v>2</v>
      </c>
      <c r="AC304" s="3" t="n">
        <v>1</v>
      </c>
      <c r="AD304" s="3" t="n">
        <v>1</v>
      </c>
      <c r="AE304" s="3" t="n">
        <v>1</v>
      </c>
      <c r="AF304" s="3" t="n">
        <v>1</v>
      </c>
      <c r="AG304" s="3" t="n">
        <v>2</v>
      </c>
      <c r="AH304" s="3" t="n">
        <v>1</v>
      </c>
      <c r="AI304" s="3" t="n">
        <v>2</v>
      </c>
      <c r="AJ304" s="3" t="n">
        <v>2</v>
      </c>
      <c r="AK304" s="3" t="n">
        <v>2</v>
      </c>
      <c r="AL304" s="3" t="n">
        <v>1</v>
      </c>
      <c r="AM304" s="3" t="n">
        <v>2</v>
      </c>
      <c r="AN304" s="3" t="n">
        <v>2</v>
      </c>
      <c r="AO304" s="3" t="n">
        <v>3</v>
      </c>
      <c r="AP304" s="3" t="n">
        <v>4</v>
      </c>
      <c r="AQ304" s="3" t="n">
        <v>4</v>
      </c>
      <c r="AR304" s="3" t="n">
        <v>6</v>
      </c>
      <c r="AS304" s="3" t="n">
        <v>4</v>
      </c>
      <c r="AT304" s="3" t="n">
        <v>4</v>
      </c>
      <c r="AU304" s="3" t="n">
        <v>6</v>
      </c>
      <c r="AV304" s="3" t="n">
        <v>6</v>
      </c>
      <c r="AW304" s="3" t="n">
        <v>3</v>
      </c>
      <c r="AX304" s="3" t="n">
        <v>3</v>
      </c>
      <c r="AY304" s="3" t="n">
        <v>1</v>
      </c>
      <c r="AZ304" s="5" t="n">
        <v>1</v>
      </c>
      <c r="BA304" s="3" t="n">
        <v>1</v>
      </c>
      <c r="BB304" s="3" t="n">
        <v>1</v>
      </c>
      <c r="BC304" s="3" t="n">
        <v>2</v>
      </c>
      <c r="BD304" s="3" t="n">
        <v>1</v>
      </c>
      <c r="BE304" s="3" t="n">
        <v>2</v>
      </c>
      <c r="BF304" s="3" t="n">
        <v>1</v>
      </c>
      <c r="BG304" s="3" t="n">
        <v>4</v>
      </c>
      <c r="BH304" s="3" t="n">
        <v>1</v>
      </c>
      <c r="BI304" s="3" t="n">
        <v>1</v>
      </c>
    </row>
    <row r="305" customFormat="false" ht="12.75" hidden="false" customHeight="false" outlineLevel="0" collapsed="false">
      <c r="A305" s="2" t="s">
        <v>573</v>
      </c>
      <c r="B305" s="2" t="s">
        <v>2081</v>
      </c>
      <c r="C305" s="2" t="s">
        <v>2739</v>
      </c>
      <c r="D305" s="2" t="n">
        <v>207494</v>
      </c>
      <c r="E305" s="15" t="n">
        <v>44202</v>
      </c>
      <c r="F305" s="15" t="n">
        <v>44208</v>
      </c>
      <c r="G305" s="3" t="n">
        <v>6</v>
      </c>
      <c r="H305" s="3" t="n">
        <v>2</v>
      </c>
      <c r="I305" s="3" t="n">
        <v>53</v>
      </c>
      <c r="J305" s="3" t="n">
        <v>2</v>
      </c>
      <c r="K305" s="3" t="n">
        <v>2</v>
      </c>
      <c r="L305" s="3" t="n">
        <v>1</v>
      </c>
      <c r="M305" s="3" t="n">
        <v>1</v>
      </c>
      <c r="N305" s="3" t="n">
        <v>2</v>
      </c>
      <c r="O305" s="3" t="n">
        <v>2</v>
      </c>
      <c r="P305" s="3" t="n">
        <v>2</v>
      </c>
      <c r="Q305" s="3" t="n">
        <v>2</v>
      </c>
      <c r="R305" s="3" t="n">
        <v>2</v>
      </c>
      <c r="S305" s="4" t="n">
        <v>2</v>
      </c>
      <c r="T305" s="3" t="n">
        <v>2</v>
      </c>
      <c r="U305" s="3" t="n">
        <v>4.39</v>
      </c>
      <c r="V305" s="3" t="n">
        <v>1.14</v>
      </c>
      <c r="W305" s="3" t="n">
        <v>4.67</v>
      </c>
      <c r="X305" s="3" t="n">
        <v>305</v>
      </c>
      <c r="Z305" s="3" t="n">
        <v>0.45</v>
      </c>
      <c r="AA305" s="3" t="n">
        <v>12</v>
      </c>
      <c r="AB305" s="3" t="n">
        <v>2</v>
      </c>
      <c r="AC305" s="3" t="n">
        <v>1</v>
      </c>
      <c r="AD305" s="3" t="n">
        <v>1</v>
      </c>
      <c r="AE305" s="3" t="n">
        <v>1</v>
      </c>
      <c r="AF305" s="3" t="n">
        <v>2</v>
      </c>
      <c r="AG305" s="3" t="n">
        <v>2</v>
      </c>
      <c r="AH305" s="3" t="n">
        <v>1</v>
      </c>
      <c r="AI305" s="3" t="n">
        <v>2</v>
      </c>
      <c r="AJ305" s="3" t="n">
        <v>2</v>
      </c>
      <c r="AK305" s="3" t="n">
        <v>2</v>
      </c>
      <c r="AL305" s="3" t="n">
        <v>1</v>
      </c>
      <c r="AM305" s="3" t="n">
        <v>2</v>
      </c>
      <c r="AN305" s="3" t="n">
        <v>2</v>
      </c>
      <c r="AO305" s="3" t="n">
        <v>3</v>
      </c>
      <c r="AP305" s="3" t="n">
        <v>4</v>
      </c>
      <c r="AQ305" s="3" t="n">
        <v>4</v>
      </c>
      <c r="AR305" s="3" t="n">
        <v>6</v>
      </c>
      <c r="AS305" s="3" t="n">
        <v>4</v>
      </c>
      <c r="AT305" s="3" t="n">
        <v>4</v>
      </c>
      <c r="AU305" s="3" t="n">
        <v>6</v>
      </c>
      <c r="AV305" s="3" t="n">
        <v>6</v>
      </c>
      <c r="AW305" s="3" t="n">
        <v>3</v>
      </c>
      <c r="AX305" s="3" t="n">
        <v>3</v>
      </c>
      <c r="AY305" s="3" t="n">
        <v>1</v>
      </c>
      <c r="AZ305" s="5" t="n">
        <v>1</v>
      </c>
      <c r="BA305" s="3" t="n">
        <v>1</v>
      </c>
      <c r="BB305" s="3" t="n">
        <v>1</v>
      </c>
      <c r="BC305" s="3" t="n">
        <v>2</v>
      </c>
      <c r="BD305" s="3" t="n">
        <v>3</v>
      </c>
      <c r="BE305" s="3" t="n">
        <v>5</v>
      </c>
      <c r="BF305" s="3" t="n">
        <v>3</v>
      </c>
      <c r="BG305" s="3" t="n">
        <v>4</v>
      </c>
      <c r="BH305" s="3" t="n">
        <v>1</v>
      </c>
      <c r="BI305" s="3" t="n">
        <v>1</v>
      </c>
    </row>
    <row r="306" customFormat="false" ht="12.75" hidden="false" customHeight="false" outlineLevel="0" collapsed="false">
      <c r="A306" s="2" t="s">
        <v>1801</v>
      </c>
      <c r="B306" s="2" t="s">
        <v>967</v>
      </c>
      <c r="C306" s="2" t="s">
        <v>2744</v>
      </c>
      <c r="D306" s="2" t="n">
        <v>207430</v>
      </c>
      <c r="E306" s="15" t="n">
        <v>44204</v>
      </c>
      <c r="F306" s="15" t="n">
        <v>44211</v>
      </c>
      <c r="G306" s="3" t="n">
        <v>7</v>
      </c>
      <c r="H306" s="3" t="n">
        <v>1</v>
      </c>
      <c r="I306" s="3" t="n">
        <v>59</v>
      </c>
      <c r="J306" s="3" t="n">
        <v>1</v>
      </c>
      <c r="K306" s="3" t="n">
        <v>1</v>
      </c>
      <c r="L306" s="3" t="n">
        <v>1</v>
      </c>
      <c r="M306" s="3" t="n">
        <v>2</v>
      </c>
      <c r="N306" s="3" t="n">
        <v>2</v>
      </c>
      <c r="O306" s="3" t="n">
        <v>2</v>
      </c>
      <c r="P306" s="3" t="n">
        <v>2</v>
      </c>
      <c r="Q306" s="3" t="n">
        <v>2</v>
      </c>
      <c r="R306" s="3" t="n">
        <v>2</v>
      </c>
      <c r="S306" s="4" t="n">
        <v>2</v>
      </c>
      <c r="T306" s="3" t="n">
        <v>2</v>
      </c>
      <c r="U306" s="3" t="n">
        <v>5.09</v>
      </c>
      <c r="V306" s="3" t="n">
        <v>1.69</v>
      </c>
      <c r="W306" s="3" t="n">
        <v>6.89</v>
      </c>
      <c r="X306" s="3" t="n">
        <v>140</v>
      </c>
      <c r="Z306" s="3" t="n">
        <v>0.34</v>
      </c>
      <c r="AA306" s="3" t="n">
        <v>13.8</v>
      </c>
      <c r="AB306" s="3" t="n">
        <v>1</v>
      </c>
      <c r="AC306" s="3" t="n">
        <v>2</v>
      </c>
      <c r="AD306" s="3" t="n">
        <v>1</v>
      </c>
      <c r="AE306" s="3" t="n">
        <v>1</v>
      </c>
      <c r="AF306" s="3" t="n">
        <v>2</v>
      </c>
      <c r="AG306" s="3" t="n">
        <v>2</v>
      </c>
      <c r="AH306" s="3" t="n">
        <v>1</v>
      </c>
      <c r="AI306" s="3" t="n">
        <v>2</v>
      </c>
      <c r="AJ306" s="3" t="n">
        <v>2</v>
      </c>
      <c r="AK306" s="3" t="n">
        <v>2</v>
      </c>
      <c r="AL306" s="3" t="n">
        <v>2</v>
      </c>
      <c r="AM306" s="3" t="n">
        <v>2</v>
      </c>
      <c r="AN306" s="3" t="n">
        <v>2</v>
      </c>
      <c r="AO306" s="3" t="n">
        <v>3</v>
      </c>
      <c r="AP306" s="3" t="n">
        <v>4</v>
      </c>
      <c r="AQ306" s="3" t="n">
        <v>4</v>
      </c>
      <c r="AR306" s="3" t="n">
        <v>6</v>
      </c>
      <c r="AS306" s="3" t="n">
        <v>4</v>
      </c>
      <c r="AT306" s="3" t="n">
        <v>4</v>
      </c>
      <c r="AU306" s="3" t="n">
        <v>6</v>
      </c>
      <c r="AV306" s="3" t="n">
        <v>6</v>
      </c>
      <c r="AW306" s="3" t="n">
        <v>3</v>
      </c>
      <c r="AX306" s="3" t="n">
        <v>3</v>
      </c>
      <c r="AY306" s="3" t="n">
        <v>1</v>
      </c>
      <c r="AZ306" s="5" t="n">
        <v>1</v>
      </c>
      <c r="BA306" s="3" t="n">
        <v>1</v>
      </c>
      <c r="BB306" s="3" t="n">
        <v>1</v>
      </c>
      <c r="BC306" s="3" t="n">
        <v>4</v>
      </c>
      <c r="BD306" s="3" t="n">
        <v>1</v>
      </c>
      <c r="BE306" s="3" t="n">
        <v>2</v>
      </c>
      <c r="BF306" s="3" t="n">
        <v>1</v>
      </c>
      <c r="BG306" s="3" t="n">
        <v>4</v>
      </c>
      <c r="BH306" s="3" t="n">
        <v>1</v>
      </c>
      <c r="BI306" s="3" t="n">
        <v>1</v>
      </c>
    </row>
    <row r="307" customFormat="false" ht="12.75" hidden="false" customHeight="false" outlineLevel="0" collapsed="false">
      <c r="A307" s="2" t="s">
        <v>1933</v>
      </c>
      <c r="B307" s="2" t="s">
        <v>1122</v>
      </c>
      <c r="C307" s="2" t="s">
        <v>95</v>
      </c>
      <c r="D307" s="2" t="n">
        <v>177764</v>
      </c>
      <c r="E307" s="15" t="n">
        <v>44197</v>
      </c>
      <c r="F307" s="15" t="n">
        <v>43846</v>
      </c>
      <c r="G307" s="3" t="n">
        <v>15</v>
      </c>
      <c r="H307" s="3" t="n">
        <v>2</v>
      </c>
      <c r="I307" s="3" t="n">
        <v>72</v>
      </c>
      <c r="J307" s="3" t="n">
        <v>1</v>
      </c>
      <c r="K307" s="3" t="n">
        <v>2</v>
      </c>
      <c r="L307" s="3" t="n">
        <v>1</v>
      </c>
      <c r="M307" s="3" t="n">
        <v>1</v>
      </c>
      <c r="N307" s="3" t="n">
        <v>2</v>
      </c>
      <c r="O307" s="3" t="n">
        <v>2</v>
      </c>
      <c r="P307" s="3" t="n">
        <v>1</v>
      </c>
      <c r="Q307" s="3" t="n">
        <v>1</v>
      </c>
      <c r="R307" s="3" t="n">
        <v>2</v>
      </c>
      <c r="S307" s="4" t="n">
        <v>2</v>
      </c>
      <c r="T307" s="3" t="n">
        <v>2</v>
      </c>
      <c r="U307" s="3" t="n">
        <v>3.35</v>
      </c>
      <c r="V307" s="3" t="n">
        <v>1.11</v>
      </c>
      <c r="W307" s="3" t="n">
        <v>7.57</v>
      </c>
      <c r="X307" s="3" t="n">
        <v>744</v>
      </c>
      <c r="Z307" s="3" t="n">
        <v>0.36</v>
      </c>
      <c r="AA307" s="3" t="n">
        <v>11.4</v>
      </c>
      <c r="AB307" s="3" t="n">
        <v>2</v>
      </c>
      <c r="AC307" s="3" t="n">
        <v>1</v>
      </c>
      <c r="AD307" s="3" t="n">
        <v>1</v>
      </c>
      <c r="AE307" s="3" t="n">
        <v>1</v>
      </c>
      <c r="AF307" s="3" t="n">
        <v>2</v>
      </c>
      <c r="AG307" s="3" t="n">
        <v>2</v>
      </c>
      <c r="AH307" s="3" t="n">
        <v>1</v>
      </c>
      <c r="AI307" s="3" t="n">
        <v>2</v>
      </c>
      <c r="AJ307" s="3" t="n">
        <v>1</v>
      </c>
      <c r="AK307" s="3" t="n">
        <v>1</v>
      </c>
      <c r="AL307" s="3" t="n">
        <v>1</v>
      </c>
      <c r="AM307" s="3" t="n">
        <v>2</v>
      </c>
      <c r="AN307" s="3" t="n">
        <v>2</v>
      </c>
      <c r="AO307" s="3" t="n">
        <v>2</v>
      </c>
      <c r="AP307" s="3" t="n">
        <v>2</v>
      </c>
      <c r="AQ307" s="3" t="n">
        <v>4</v>
      </c>
      <c r="AR307" s="3" t="n">
        <v>6</v>
      </c>
      <c r="AS307" s="3" t="n">
        <v>4</v>
      </c>
      <c r="AT307" s="3" t="n">
        <v>4</v>
      </c>
      <c r="AU307" s="3" t="n">
        <v>1</v>
      </c>
      <c r="AV307" s="3" t="n">
        <v>6</v>
      </c>
      <c r="AW307" s="3" t="n">
        <v>2</v>
      </c>
      <c r="AX307" s="3" t="n">
        <v>1</v>
      </c>
      <c r="AY307" s="3" t="n">
        <v>1</v>
      </c>
      <c r="AZ307" s="5" t="n">
        <v>1</v>
      </c>
      <c r="BA307" s="3" t="n">
        <v>1</v>
      </c>
      <c r="BB307" s="3" t="n">
        <v>1</v>
      </c>
      <c r="BC307" s="3" t="n">
        <v>2</v>
      </c>
      <c r="BD307" s="3" t="n">
        <v>1</v>
      </c>
      <c r="BE307" s="3" t="n">
        <v>2</v>
      </c>
      <c r="BF307" s="3" t="n">
        <v>1</v>
      </c>
      <c r="BG307" s="3" t="n">
        <v>4</v>
      </c>
      <c r="BH307" s="3" t="n">
        <v>1</v>
      </c>
      <c r="BI307" s="3" t="n">
        <v>1</v>
      </c>
    </row>
    <row r="308" customFormat="false" ht="12.75" hidden="false" customHeight="false" outlineLevel="0" collapsed="false">
      <c r="A308" s="2" t="s">
        <v>1360</v>
      </c>
      <c r="B308" s="2" t="s">
        <v>608</v>
      </c>
      <c r="C308" s="2" t="s">
        <v>2749</v>
      </c>
      <c r="D308" s="2" t="n">
        <v>207635</v>
      </c>
      <c r="E308" s="15" t="n">
        <v>44208</v>
      </c>
      <c r="F308" s="15" t="n">
        <v>44214</v>
      </c>
      <c r="G308" s="3" t="n">
        <v>6</v>
      </c>
      <c r="H308" s="3" t="n">
        <v>1</v>
      </c>
      <c r="I308" s="3" t="n">
        <v>59</v>
      </c>
      <c r="J308" s="3" t="n">
        <v>1</v>
      </c>
      <c r="K308" s="3" t="n">
        <v>1</v>
      </c>
      <c r="L308" s="3" t="n">
        <v>1</v>
      </c>
      <c r="M308" s="3" t="n">
        <v>2</v>
      </c>
      <c r="N308" s="3" t="n">
        <v>2</v>
      </c>
      <c r="O308" s="3" t="n">
        <v>2</v>
      </c>
      <c r="P308" s="3" t="n">
        <v>2</v>
      </c>
      <c r="Q308" s="3" t="n">
        <v>2</v>
      </c>
      <c r="R308" s="3" t="n">
        <v>2</v>
      </c>
      <c r="S308" s="4" t="n">
        <v>2</v>
      </c>
      <c r="T308" s="3" t="n">
        <v>2</v>
      </c>
      <c r="U308" s="3" t="n">
        <v>4.45</v>
      </c>
      <c r="V308" s="3" t="n">
        <v>2.2</v>
      </c>
      <c r="W308" s="3" t="n">
        <v>4.71</v>
      </c>
      <c r="X308" s="3" t="n">
        <v>387</v>
      </c>
      <c r="Z308" s="3" t="n">
        <v>0.39</v>
      </c>
      <c r="AA308" s="3" t="n">
        <v>11.8</v>
      </c>
      <c r="AB308" s="3" t="n">
        <v>2</v>
      </c>
      <c r="AC308" s="3" t="n">
        <v>2</v>
      </c>
      <c r="AD308" s="3" t="n">
        <v>1</v>
      </c>
      <c r="AE308" s="3" t="n">
        <v>1</v>
      </c>
      <c r="AF308" s="3" t="n">
        <v>1</v>
      </c>
      <c r="AG308" s="3" t="n">
        <v>2</v>
      </c>
      <c r="AH308" s="3" t="n">
        <v>1</v>
      </c>
      <c r="AI308" s="3" t="n">
        <v>2</v>
      </c>
      <c r="AJ308" s="3" t="n">
        <v>2</v>
      </c>
      <c r="AK308" s="3" t="n">
        <v>2</v>
      </c>
      <c r="AL308" s="3" t="n">
        <v>1</v>
      </c>
      <c r="AM308" s="3" t="n">
        <v>2</v>
      </c>
      <c r="AN308" s="3" t="n">
        <v>2</v>
      </c>
      <c r="AO308" s="3" t="n">
        <v>3</v>
      </c>
      <c r="AP308" s="3" t="n">
        <v>4</v>
      </c>
      <c r="AQ308" s="3" t="n">
        <v>4</v>
      </c>
      <c r="AR308" s="3" t="n">
        <v>6</v>
      </c>
      <c r="AS308" s="3" t="n">
        <v>4</v>
      </c>
      <c r="AT308" s="3" t="n">
        <v>4</v>
      </c>
      <c r="AU308" s="3" t="n">
        <v>6</v>
      </c>
      <c r="AV308" s="3" t="n">
        <v>6</v>
      </c>
      <c r="AW308" s="3" t="n">
        <v>3</v>
      </c>
      <c r="AX308" s="3" t="n">
        <v>3</v>
      </c>
      <c r="AY308" s="3" t="n">
        <v>1</v>
      </c>
      <c r="AZ308" s="5" t="n">
        <v>1</v>
      </c>
      <c r="BA308" s="3" t="n">
        <v>1</v>
      </c>
      <c r="BB308" s="3" t="n">
        <v>1</v>
      </c>
      <c r="BC308" s="3" t="n">
        <v>4</v>
      </c>
      <c r="BD308" s="3" t="n">
        <v>1</v>
      </c>
      <c r="BE308" s="3" t="n">
        <v>2</v>
      </c>
      <c r="BF308" s="3" t="n">
        <v>1</v>
      </c>
      <c r="BG308" s="3" t="n">
        <v>4</v>
      </c>
      <c r="BH308" s="3" t="n">
        <v>1</v>
      </c>
      <c r="BI308" s="3" t="n">
        <v>1</v>
      </c>
    </row>
    <row r="309" customFormat="false" ht="12.75" hidden="false" customHeight="false" outlineLevel="0" collapsed="false">
      <c r="A309" s="2" t="s">
        <v>2755</v>
      </c>
      <c r="B309" s="2" t="s">
        <v>115</v>
      </c>
      <c r="C309" s="2" t="s">
        <v>2756</v>
      </c>
      <c r="D309" s="2" t="n">
        <v>203040</v>
      </c>
      <c r="E309" s="15" t="n">
        <v>44205</v>
      </c>
      <c r="F309" s="15" t="n">
        <v>44212</v>
      </c>
      <c r="G309" s="3" t="n">
        <v>7</v>
      </c>
      <c r="H309" s="3" t="n">
        <v>1</v>
      </c>
      <c r="I309" s="3" t="n">
        <v>70</v>
      </c>
      <c r="J309" s="3" t="n">
        <v>1</v>
      </c>
      <c r="K309" s="3" t="n">
        <v>2</v>
      </c>
      <c r="L309" s="3" t="n">
        <v>1</v>
      </c>
      <c r="M309" s="3" t="n">
        <v>1</v>
      </c>
      <c r="N309" s="3" t="n">
        <v>2</v>
      </c>
      <c r="O309" s="3" t="n">
        <v>2</v>
      </c>
      <c r="P309" s="3" t="n">
        <v>2</v>
      </c>
      <c r="Q309" s="3" t="n">
        <v>2</v>
      </c>
      <c r="R309" s="3" t="n">
        <v>2</v>
      </c>
      <c r="S309" s="4" t="n">
        <v>2</v>
      </c>
      <c r="T309" s="3" t="n">
        <v>2</v>
      </c>
      <c r="U309" s="3" t="n">
        <v>3.94</v>
      </c>
      <c r="V309" s="3" t="n">
        <v>2.24</v>
      </c>
      <c r="W309" s="3" t="n">
        <v>5.69</v>
      </c>
      <c r="X309" s="3" t="n">
        <v>268</v>
      </c>
      <c r="Z309" s="3"/>
      <c r="AA309" s="3"/>
      <c r="AB309" s="3" t="n">
        <v>1</v>
      </c>
      <c r="AC309" s="3" t="n">
        <v>1</v>
      </c>
      <c r="AD309" s="3" t="n">
        <v>1</v>
      </c>
      <c r="AE309" s="3" t="n">
        <v>1</v>
      </c>
      <c r="AF309" s="3" t="n">
        <v>2</v>
      </c>
      <c r="AG309" s="3" t="n">
        <v>1</v>
      </c>
      <c r="AH309" s="3" t="n">
        <v>1</v>
      </c>
      <c r="AI309" s="3" t="n">
        <v>2</v>
      </c>
      <c r="AJ309" s="3" t="n">
        <v>2</v>
      </c>
      <c r="AK309" s="3" t="n">
        <v>2</v>
      </c>
      <c r="AL309" s="3" t="n">
        <v>2</v>
      </c>
      <c r="AM309" s="3" t="n">
        <v>2</v>
      </c>
      <c r="AN309" s="3" t="n">
        <v>2</v>
      </c>
      <c r="AO309" s="3" t="n">
        <v>1</v>
      </c>
      <c r="AP309" s="3" t="n">
        <v>3</v>
      </c>
      <c r="AQ309" s="3" t="n">
        <v>5</v>
      </c>
      <c r="AR309" s="3" t="n">
        <v>4</v>
      </c>
      <c r="AS309" s="3" t="n">
        <v>3</v>
      </c>
      <c r="AT309" s="3" t="n">
        <v>1</v>
      </c>
      <c r="AU309" s="3" t="n">
        <v>1</v>
      </c>
      <c r="AV309" s="3" t="n">
        <v>1</v>
      </c>
      <c r="AW309" s="3" t="n">
        <v>2</v>
      </c>
      <c r="AX309" s="3" t="n">
        <v>2</v>
      </c>
      <c r="AY309" s="3" t="n">
        <v>1</v>
      </c>
      <c r="AZ309" s="5" t="n">
        <v>5</v>
      </c>
      <c r="BA309" s="3" t="n">
        <v>2</v>
      </c>
      <c r="BB309" s="3" t="n">
        <v>1</v>
      </c>
      <c r="BC309" s="3" t="n">
        <v>6</v>
      </c>
      <c r="BD309" s="3" t="n">
        <v>3</v>
      </c>
      <c r="BE309" s="3" t="n">
        <v>5</v>
      </c>
      <c r="BF309" s="3" t="n">
        <v>3</v>
      </c>
      <c r="BG309" s="3" t="n">
        <v>4</v>
      </c>
      <c r="BH309" s="3" t="n">
        <v>1</v>
      </c>
      <c r="BI309" s="3" t="n">
        <v>1</v>
      </c>
    </row>
    <row r="310" customFormat="false" ht="12.75" hidden="false" customHeight="false" outlineLevel="0" collapsed="false">
      <c r="A310" s="2" t="s">
        <v>2758</v>
      </c>
      <c r="B310" s="2" t="s">
        <v>109</v>
      </c>
      <c r="C310" s="2" t="s">
        <v>780</v>
      </c>
      <c r="D310" s="2" t="n">
        <v>207455</v>
      </c>
      <c r="E310" s="15" t="n">
        <v>44208</v>
      </c>
      <c r="F310" s="15" t="n">
        <v>44215</v>
      </c>
      <c r="G310" s="3" t="n">
        <v>7</v>
      </c>
      <c r="H310" s="3" t="n">
        <v>1</v>
      </c>
      <c r="I310" s="3" t="n">
        <v>43</v>
      </c>
      <c r="J310" s="3" t="n">
        <v>1</v>
      </c>
      <c r="K310" s="3" t="n">
        <v>1</v>
      </c>
      <c r="L310" s="3" t="n">
        <v>2</v>
      </c>
      <c r="M310" s="3" t="n">
        <v>2</v>
      </c>
      <c r="N310" s="3" t="n">
        <v>2</v>
      </c>
      <c r="O310" s="3" t="n">
        <v>2</v>
      </c>
      <c r="P310" s="3" t="n">
        <v>2</v>
      </c>
      <c r="Q310" s="3" t="n">
        <v>2</v>
      </c>
      <c r="R310" s="3" t="n">
        <v>2</v>
      </c>
      <c r="S310" s="4" t="n">
        <v>2</v>
      </c>
      <c r="T310" s="3" t="n">
        <v>2</v>
      </c>
      <c r="U310" s="3" t="n">
        <v>4.08</v>
      </c>
      <c r="V310" s="3" t="n">
        <v>1.44</v>
      </c>
      <c r="W310" s="3" t="n">
        <v>5</v>
      </c>
      <c r="X310" s="3" t="n">
        <v>218</v>
      </c>
      <c r="Z310" s="3" t="n">
        <v>0.38</v>
      </c>
      <c r="AA310" s="3" t="n">
        <v>7.8</v>
      </c>
      <c r="AB310" s="3"/>
      <c r="AC310" s="3" t="n">
        <v>1</v>
      </c>
      <c r="AD310" s="3" t="n">
        <v>1</v>
      </c>
      <c r="AE310" s="3" t="n">
        <v>1</v>
      </c>
      <c r="AF310" s="3" t="n">
        <v>2</v>
      </c>
      <c r="AG310" s="3" t="n">
        <v>2</v>
      </c>
      <c r="AH310" s="3" t="n">
        <v>1</v>
      </c>
      <c r="AI310" s="3" t="n">
        <v>2</v>
      </c>
      <c r="AJ310" s="3" t="n">
        <v>2</v>
      </c>
      <c r="AK310" s="3" t="n">
        <v>2</v>
      </c>
      <c r="AL310" s="3" t="n">
        <v>2</v>
      </c>
      <c r="AM310" s="3" t="n">
        <v>2</v>
      </c>
      <c r="AN310" s="3" t="n">
        <v>2</v>
      </c>
      <c r="AO310" s="3" t="n">
        <v>3</v>
      </c>
      <c r="AP310" s="3" t="n">
        <v>4</v>
      </c>
      <c r="AQ310" s="3" t="n">
        <v>4</v>
      </c>
      <c r="AR310" s="3" t="n">
        <v>6</v>
      </c>
      <c r="AS310" s="3" t="n">
        <v>4</v>
      </c>
      <c r="AT310" s="3" t="n">
        <v>4</v>
      </c>
      <c r="AU310" s="3" t="n">
        <v>6</v>
      </c>
      <c r="AV310" s="3" t="n">
        <v>6</v>
      </c>
      <c r="AW310" s="3" t="n">
        <v>3</v>
      </c>
      <c r="AX310" s="3" t="n">
        <v>3</v>
      </c>
      <c r="AY310" s="3" t="n">
        <v>1</v>
      </c>
      <c r="AZ310" s="5" t="n">
        <v>1</v>
      </c>
      <c r="BA310" s="3" t="n">
        <v>1</v>
      </c>
      <c r="BB310" s="3" t="n">
        <v>1</v>
      </c>
      <c r="BC310" s="3" t="n">
        <v>2</v>
      </c>
      <c r="BD310" s="3" t="n">
        <v>1</v>
      </c>
      <c r="BE310" s="3" t="n">
        <v>2</v>
      </c>
      <c r="BF310" s="3" t="n">
        <v>1</v>
      </c>
      <c r="BG310" s="3" t="n">
        <v>4</v>
      </c>
      <c r="BH310" s="3" t="n">
        <v>1</v>
      </c>
      <c r="BI310" s="3" t="n">
        <v>1</v>
      </c>
    </row>
    <row r="311" customFormat="false" ht="12.75" hidden="false" customHeight="false" outlineLevel="0" collapsed="false">
      <c r="A311" s="2" t="s">
        <v>2763</v>
      </c>
      <c r="B311" s="2" t="s">
        <v>1830</v>
      </c>
      <c r="C311" s="2" t="s">
        <v>588</v>
      </c>
      <c r="D311" s="2" t="n">
        <v>207661</v>
      </c>
      <c r="E311" s="15" t="n">
        <v>44209</v>
      </c>
      <c r="F311" s="15" t="n">
        <v>44215</v>
      </c>
      <c r="G311" s="3" t="n">
        <v>6</v>
      </c>
      <c r="H311" s="3" t="n">
        <v>1</v>
      </c>
      <c r="I311" s="3" t="n">
        <v>71</v>
      </c>
      <c r="J311" s="3" t="n">
        <v>1</v>
      </c>
      <c r="K311" s="3" t="n">
        <v>1</v>
      </c>
      <c r="L311" s="3" t="n">
        <v>1</v>
      </c>
      <c r="M311" s="3" t="n">
        <v>2</v>
      </c>
      <c r="N311" s="3" t="n">
        <v>2</v>
      </c>
      <c r="O311" s="3" t="n">
        <v>2</v>
      </c>
      <c r="P311" s="3" t="n">
        <v>2</v>
      </c>
      <c r="Q311" s="3" t="n">
        <v>2</v>
      </c>
      <c r="R311" s="3" t="n">
        <v>2</v>
      </c>
      <c r="S311" s="4" t="n">
        <v>2</v>
      </c>
      <c r="T311" s="3" t="n">
        <v>2</v>
      </c>
      <c r="U311" s="3" t="n">
        <v>3.46</v>
      </c>
      <c r="V311" s="3" t="n">
        <v>1.11</v>
      </c>
      <c r="W311" s="3" t="n">
        <v>8.67</v>
      </c>
      <c r="X311" s="3" t="n">
        <v>257</v>
      </c>
      <c r="Z311" s="3" t="n">
        <v>0.5</v>
      </c>
      <c r="AA311" s="3" t="n">
        <v>15</v>
      </c>
      <c r="AB311" s="3" t="n">
        <v>1</v>
      </c>
      <c r="AC311" s="3" t="n">
        <v>2</v>
      </c>
      <c r="AD311" s="3" t="n">
        <v>1</v>
      </c>
      <c r="AE311" s="3" t="n">
        <v>1</v>
      </c>
      <c r="AF311" s="3" t="n">
        <v>2</v>
      </c>
      <c r="AG311" s="3" t="n">
        <v>2</v>
      </c>
      <c r="AH311" s="3" t="n">
        <v>1</v>
      </c>
      <c r="AI311" s="3" t="n">
        <v>2</v>
      </c>
      <c r="AJ311" s="3" t="n">
        <v>2</v>
      </c>
      <c r="AK311" s="3" t="n">
        <v>2</v>
      </c>
      <c r="AL311" s="3" t="n">
        <v>2</v>
      </c>
      <c r="AM311" s="3" t="n">
        <v>2</v>
      </c>
      <c r="AN311" s="3" t="n">
        <v>2</v>
      </c>
      <c r="AO311" s="3" t="n">
        <v>3</v>
      </c>
      <c r="AP311" s="3" t="n">
        <v>4</v>
      </c>
      <c r="AQ311" s="3" t="n">
        <v>4</v>
      </c>
      <c r="AR311" s="3" t="n">
        <v>6</v>
      </c>
      <c r="AS311" s="3" t="n">
        <v>4</v>
      </c>
      <c r="AT311" s="3" t="n">
        <v>4</v>
      </c>
      <c r="AU311" s="3" t="n">
        <v>6</v>
      </c>
      <c r="AV311" s="3" t="n">
        <v>6</v>
      </c>
      <c r="AW311" s="3" t="n">
        <v>3</v>
      </c>
      <c r="AX311" s="3" t="n">
        <v>3</v>
      </c>
      <c r="AY311" s="3" t="n">
        <v>1</v>
      </c>
      <c r="AZ311" s="5" t="n">
        <v>1</v>
      </c>
      <c r="BA311" s="3" t="n">
        <v>1</v>
      </c>
      <c r="BB311" s="3" t="n">
        <v>1</v>
      </c>
      <c r="BC311" s="3" t="n">
        <v>4</v>
      </c>
      <c r="BD311" s="3" t="n">
        <v>1</v>
      </c>
      <c r="BE311" s="3" t="n">
        <v>2</v>
      </c>
      <c r="BF311" s="3" t="n">
        <v>1</v>
      </c>
      <c r="BG311" s="3" t="n">
        <v>4</v>
      </c>
      <c r="BH311" s="3" t="n">
        <v>1</v>
      </c>
      <c r="BI311" s="3" t="n">
        <v>1</v>
      </c>
    </row>
    <row r="312" customFormat="false" ht="12.75" hidden="false" customHeight="false" outlineLevel="0" collapsed="false">
      <c r="A312" s="2" t="s">
        <v>187</v>
      </c>
      <c r="B312" s="2" t="s">
        <v>127</v>
      </c>
      <c r="C312" s="2" t="s">
        <v>198</v>
      </c>
      <c r="D312" s="2" t="n">
        <v>207854</v>
      </c>
      <c r="E312" s="15" t="n">
        <v>44212</v>
      </c>
      <c r="F312" s="15" t="n">
        <v>44218</v>
      </c>
      <c r="G312" s="3" t="n">
        <v>6</v>
      </c>
      <c r="H312" s="3" t="n">
        <v>2</v>
      </c>
      <c r="I312" s="3" t="n">
        <v>80</v>
      </c>
      <c r="J312" s="3" t="n">
        <v>1</v>
      </c>
      <c r="K312" s="3" t="n">
        <v>1</v>
      </c>
      <c r="L312" s="3" t="n">
        <v>1</v>
      </c>
      <c r="M312" s="3" t="n">
        <v>2</v>
      </c>
      <c r="N312" s="3" t="n">
        <v>2</v>
      </c>
      <c r="O312" s="3" t="n">
        <v>2</v>
      </c>
      <c r="P312" s="3" t="n">
        <v>2</v>
      </c>
      <c r="Q312" s="3" t="n">
        <v>2</v>
      </c>
      <c r="R312" s="3" t="n">
        <v>2</v>
      </c>
      <c r="S312" s="4" t="n">
        <v>2</v>
      </c>
      <c r="T312" s="3" t="n">
        <v>2</v>
      </c>
      <c r="U312" s="3" t="n">
        <v>5.17</v>
      </c>
      <c r="V312" s="3" t="n">
        <v>1.73</v>
      </c>
      <c r="W312" s="3" t="n">
        <v>5.07</v>
      </c>
      <c r="X312" s="3" t="n">
        <v>511</v>
      </c>
      <c r="Z312" s="3" t="n">
        <v>0.43</v>
      </c>
      <c r="AA312" s="3" t="n">
        <v>12</v>
      </c>
      <c r="AB312" s="3" t="n">
        <v>2</v>
      </c>
      <c r="AC312" s="3" t="n">
        <v>2</v>
      </c>
      <c r="AD312" s="3" t="n">
        <v>1</v>
      </c>
      <c r="AE312" s="3" t="n">
        <v>1</v>
      </c>
      <c r="AF312" s="3" t="n">
        <v>2</v>
      </c>
      <c r="AG312" s="3" t="n">
        <v>2</v>
      </c>
      <c r="AH312" s="3" t="n">
        <v>1</v>
      </c>
      <c r="AI312" s="3" t="n">
        <v>2</v>
      </c>
      <c r="AJ312" s="3" t="n">
        <v>2</v>
      </c>
      <c r="AK312" s="3" t="n">
        <v>2</v>
      </c>
      <c r="AL312" s="3" t="n">
        <v>1</v>
      </c>
      <c r="AM312" s="3" t="n">
        <v>2</v>
      </c>
      <c r="AN312" s="3" t="n">
        <v>2</v>
      </c>
      <c r="AO312" s="3" t="n">
        <v>3</v>
      </c>
      <c r="AP312" s="3" t="n">
        <v>4</v>
      </c>
      <c r="AQ312" s="3" t="n">
        <v>4</v>
      </c>
      <c r="AR312" s="3" t="n">
        <v>6</v>
      </c>
      <c r="AS312" s="3" t="n">
        <v>4</v>
      </c>
      <c r="AT312" s="3" t="n">
        <v>4</v>
      </c>
      <c r="AU312" s="3" t="n">
        <v>6</v>
      </c>
      <c r="AV312" s="3" t="n">
        <v>6</v>
      </c>
      <c r="AW312" s="3" t="n">
        <v>3</v>
      </c>
      <c r="AX312" s="3" t="n">
        <v>3</v>
      </c>
      <c r="AY312" s="3" t="n">
        <v>5</v>
      </c>
      <c r="AZ312" s="5" t="n">
        <v>1</v>
      </c>
      <c r="BA312" s="3" t="n">
        <v>1</v>
      </c>
      <c r="BB312" s="3" t="n">
        <v>1</v>
      </c>
      <c r="BC312" s="3" t="n">
        <v>4</v>
      </c>
      <c r="BD312" s="3" t="n">
        <v>1</v>
      </c>
      <c r="BE312" s="3" t="n">
        <v>2</v>
      </c>
      <c r="BF312" s="3" t="n">
        <v>1</v>
      </c>
      <c r="BG312" s="3" t="n">
        <v>4</v>
      </c>
      <c r="BH312" s="3" t="n">
        <v>1</v>
      </c>
      <c r="BI312" s="3" t="n">
        <v>1</v>
      </c>
    </row>
    <row r="313" customFormat="false" ht="12.75" hidden="false" customHeight="false" outlineLevel="0" collapsed="false">
      <c r="A313" s="2" t="s">
        <v>2766</v>
      </c>
      <c r="B313" s="2" t="s">
        <v>898</v>
      </c>
      <c r="C313" s="2" t="s">
        <v>172</v>
      </c>
      <c r="D313" s="2" t="n">
        <v>989995</v>
      </c>
      <c r="E313" s="15" t="n">
        <v>44217</v>
      </c>
      <c r="F313" s="15" t="n">
        <v>44219</v>
      </c>
      <c r="G313" s="3" t="n">
        <v>2</v>
      </c>
      <c r="H313" s="3" t="n">
        <v>1</v>
      </c>
      <c r="I313" s="3" t="n">
        <v>69</v>
      </c>
      <c r="J313" s="3" t="n">
        <v>1</v>
      </c>
      <c r="K313" s="3" t="n">
        <v>2</v>
      </c>
      <c r="L313" s="3" t="n">
        <v>2</v>
      </c>
      <c r="M313" s="3" t="n">
        <v>2</v>
      </c>
      <c r="N313" s="3" t="n">
        <v>2</v>
      </c>
      <c r="O313" s="3" t="n">
        <v>2</v>
      </c>
      <c r="P313" s="3" t="n">
        <v>2</v>
      </c>
      <c r="Q313" s="3" t="n">
        <v>2</v>
      </c>
      <c r="R313" s="3" t="n">
        <v>2</v>
      </c>
      <c r="S313" s="4" t="n">
        <v>2</v>
      </c>
      <c r="T313" s="3" t="n">
        <v>2</v>
      </c>
      <c r="U313" s="3" t="n">
        <v>5.14</v>
      </c>
      <c r="V313" s="3" t="n">
        <v>0.75</v>
      </c>
      <c r="W313" s="3" t="n">
        <v>5.16</v>
      </c>
      <c r="X313" s="3" t="n">
        <v>141</v>
      </c>
      <c r="Z313" s="3" t="n">
        <v>0.4</v>
      </c>
      <c r="AA313" s="3" t="n">
        <v>8.9</v>
      </c>
      <c r="AB313" s="3" t="n">
        <v>3</v>
      </c>
      <c r="AC313" s="3" t="n">
        <v>1</v>
      </c>
      <c r="AD313" s="3" t="n">
        <v>1</v>
      </c>
      <c r="AE313" s="3" t="n">
        <v>1</v>
      </c>
      <c r="AF313" s="3" t="n">
        <v>2</v>
      </c>
      <c r="AG313" s="3" t="n">
        <v>2</v>
      </c>
      <c r="AH313" s="3" t="n">
        <v>1</v>
      </c>
      <c r="AI313" s="3" t="n">
        <v>2</v>
      </c>
      <c r="AJ313" s="3" t="n">
        <v>2</v>
      </c>
      <c r="AK313" s="3" t="n">
        <v>2</v>
      </c>
      <c r="AL313" s="3" t="n">
        <v>2</v>
      </c>
      <c r="AM313" s="3" t="n">
        <v>2</v>
      </c>
      <c r="AN313" s="3" t="n">
        <v>2</v>
      </c>
      <c r="AO313" s="3" t="n">
        <v>3</v>
      </c>
      <c r="AP313" s="3" t="n">
        <v>4</v>
      </c>
      <c r="AQ313" s="3" t="n">
        <v>4</v>
      </c>
      <c r="AR313" s="3" t="n">
        <v>6</v>
      </c>
      <c r="AS313" s="3" t="n">
        <v>4</v>
      </c>
      <c r="AT313" s="3" t="n">
        <v>4</v>
      </c>
      <c r="AU313" s="3" t="n">
        <v>6</v>
      </c>
      <c r="AV313" s="3" t="n">
        <v>6</v>
      </c>
      <c r="AW313" s="3" t="n">
        <v>3</v>
      </c>
      <c r="AX313" s="3" t="n">
        <v>3</v>
      </c>
      <c r="AY313" s="3" t="n">
        <v>1</v>
      </c>
      <c r="AZ313" s="5" t="n">
        <v>5</v>
      </c>
      <c r="BA313" s="3" t="n">
        <v>2</v>
      </c>
      <c r="BB313" s="3" t="n">
        <v>1</v>
      </c>
      <c r="BC313" s="3" t="n">
        <v>6</v>
      </c>
      <c r="BD313" s="3" t="n">
        <v>3</v>
      </c>
      <c r="BE313" s="3" t="n">
        <v>5</v>
      </c>
      <c r="BF313" s="3" t="n">
        <v>3</v>
      </c>
      <c r="BG313" s="3" t="n">
        <v>4</v>
      </c>
      <c r="BH313" s="3" t="n">
        <v>1</v>
      </c>
      <c r="BI313" s="3" t="n">
        <v>1</v>
      </c>
    </row>
    <row r="314" customFormat="false" ht="12.75" hidden="false" customHeight="false" outlineLevel="0" collapsed="false">
      <c r="A314" s="2" t="s">
        <v>1138</v>
      </c>
      <c r="B314" s="2" t="s">
        <v>561</v>
      </c>
      <c r="C314" s="2" t="s">
        <v>2332</v>
      </c>
      <c r="D314" s="2" t="n">
        <v>207826</v>
      </c>
      <c r="E314" s="15" t="n">
        <v>44211</v>
      </c>
      <c r="F314" s="15" t="n">
        <v>44217</v>
      </c>
      <c r="G314" s="3" t="n">
        <v>6</v>
      </c>
      <c r="H314" s="3" t="n">
        <v>2</v>
      </c>
      <c r="I314" s="3" t="n">
        <v>60</v>
      </c>
      <c r="J314" s="3" t="n">
        <v>2</v>
      </c>
      <c r="K314" s="3" t="n">
        <v>1</v>
      </c>
      <c r="L314" s="3" t="n">
        <v>1</v>
      </c>
      <c r="M314" s="3" t="n">
        <v>1</v>
      </c>
      <c r="N314" s="3" t="n">
        <v>2</v>
      </c>
      <c r="O314" s="3" t="n">
        <v>2</v>
      </c>
      <c r="P314" s="3" t="n">
        <v>2</v>
      </c>
      <c r="Q314" s="3" t="n">
        <v>2</v>
      </c>
      <c r="R314" s="3" t="n">
        <v>2</v>
      </c>
      <c r="S314" s="4" t="n">
        <v>2</v>
      </c>
      <c r="T314" s="3" t="n">
        <v>2</v>
      </c>
      <c r="U314" s="3" t="n">
        <v>5.98</v>
      </c>
      <c r="V314" s="3" t="n">
        <v>1.11</v>
      </c>
      <c r="W314" s="3" t="n">
        <v>6.46</v>
      </c>
      <c r="X314" s="3" t="n">
        <v>715</v>
      </c>
      <c r="Z314" s="3" t="n">
        <v>0.45</v>
      </c>
      <c r="AA314" s="3" t="n">
        <v>12.2</v>
      </c>
      <c r="AB314" s="3" t="n">
        <v>1</v>
      </c>
      <c r="AC314" s="3" t="n">
        <v>1</v>
      </c>
      <c r="AD314" s="3" t="n">
        <v>1</v>
      </c>
      <c r="AE314" s="3" t="n">
        <v>1</v>
      </c>
      <c r="AF314" s="3" t="n">
        <v>1</v>
      </c>
      <c r="AG314" s="3" t="n">
        <v>1</v>
      </c>
      <c r="AH314" s="3" t="n">
        <v>1</v>
      </c>
      <c r="AI314" s="3" t="n">
        <v>2</v>
      </c>
      <c r="AJ314" s="3" t="n">
        <v>2</v>
      </c>
      <c r="AK314" s="3" t="n">
        <v>2</v>
      </c>
      <c r="AL314" s="3" t="n">
        <v>1</v>
      </c>
      <c r="AM314" s="3" t="n">
        <v>2</v>
      </c>
      <c r="AN314" s="3" t="n">
        <v>2</v>
      </c>
      <c r="AO314" s="3" t="n">
        <v>3</v>
      </c>
      <c r="AP314" s="3" t="n">
        <v>4</v>
      </c>
      <c r="AQ314" s="3" t="n">
        <v>4</v>
      </c>
      <c r="AR314" s="3" t="n">
        <v>6</v>
      </c>
      <c r="AS314" s="3" t="n">
        <v>4</v>
      </c>
      <c r="AT314" s="3" t="n">
        <v>4</v>
      </c>
      <c r="AU314" s="3" t="n">
        <v>6</v>
      </c>
      <c r="AV314" s="3" t="n">
        <v>6</v>
      </c>
      <c r="AW314" s="3" t="n">
        <v>3</v>
      </c>
      <c r="AX314" s="3" t="n">
        <v>3</v>
      </c>
      <c r="AY314" s="3" t="n">
        <v>1</v>
      </c>
      <c r="AZ314" s="5" t="n">
        <v>1</v>
      </c>
      <c r="BA314" s="3" t="n">
        <v>1</v>
      </c>
      <c r="BB314" s="3" t="n">
        <v>1</v>
      </c>
      <c r="BC314" s="3" t="n">
        <v>4</v>
      </c>
      <c r="BD314" s="3" t="n">
        <v>3</v>
      </c>
      <c r="BE314" s="3" t="n">
        <v>5</v>
      </c>
      <c r="BF314" s="3" t="n">
        <v>3</v>
      </c>
      <c r="BG314" s="3" t="n">
        <v>4</v>
      </c>
      <c r="BH314" s="3" t="n">
        <v>1</v>
      </c>
      <c r="BI314" s="3" t="n">
        <v>1</v>
      </c>
    </row>
    <row r="315" customFormat="false" ht="12.75" hidden="false" customHeight="false" outlineLevel="0" collapsed="false">
      <c r="A315" s="2" t="s">
        <v>2769</v>
      </c>
      <c r="B315" s="2" t="s">
        <v>168</v>
      </c>
      <c r="C315" s="2" t="s">
        <v>522</v>
      </c>
      <c r="D315" s="2" t="n">
        <v>207811</v>
      </c>
      <c r="E315" s="15" t="n">
        <v>44213</v>
      </c>
      <c r="F315" s="15" t="n">
        <v>44218</v>
      </c>
      <c r="G315" s="3" t="n">
        <v>5</v>
      </c>
      <c r="H315" s="3" t="n">
        <v>2</v>
      </c>
      <c r="I315" s="3" t="n">
        <v>68</v>
      </c>
      <c r="J315" s="3" t="n">
        <v>1</v>
      </c>
      <c r="K315" s="3" t="n">
        <v>1</v>
      </c>
      <c r="L315" s="3" t="n">
        <v>1</v>
      </c>
      <c r="M315" s="3" t="n">
        <v>2</v>
      </c>
      <c r="N315" s="3" t="n">
        <v>2</v>
      </c>
      <c r="O315" s="3" t="n">
        <v>2</v>
      </c>
      <c r="P315" s="3" t="n">
        <v>2</v>
      </c>
      <c r="Q315" s="3" t="n">
        <v>2</v>
      </c>
      <c r="R315" s="3" t="n">
        <v>2</v>
      </c>
      <c r="S315" s="4" t="n">
        <v>2</v>
      </c>
      <c r="T315" s="3" t="n">
        <v>2</v>
      </c>
      <c r="U315" s="3" t="n">
        <v>5.36</v>
      </c>
      <c r="V315" s="3" t="n">
        <v>1.51</v>
      </c>
      <c r="W315" s="3" t="n">
        <v>4.87</v>
      </c>
      <c r="X315" s="3" t="n">
        <v>239</v>
      </c>
      <c r="Z315" s="3" t="n">
        <v>0.45</v>
      </c>
      <c r="AA315" s="3" t="n">
        <v>12</v>
      </c>
      <c r="AB315" s="3" t="n">
        <v>3</v>
      </c>
      <c r="AC315" s="3" t="n">
        <v>2</v>
      </c>
      <c r="AD315" s="3" t="n">
        <v>1</v>
      </c>
      <c r="AE315" s="3" t="n">
        <v>1</v>
      </c>
      <c r="AF315" s="3" t="n">
        <v>2</v>
      </c>
      <c r="AG315" s="3" t="n">
        <v>2</v>
      </c>
      <c r="AH315" s="3" t="n">
        <v>1</v>
      </c>
      <c r="AI315" s="3" t="n">
        <v>2</v>
      </c>
      <c r="AJ315" s="3" t="n">
        <v>2</v>
      </c>
      <c r="AK315" s="3" t="n">
        <v>2</v>
      </c>
      <c r="AL315" s="3" t="n">
        <v>1</v>
      </c>
      <c r="AM315" s="3" t="n">
        <v>2</v>
      </c>
      <c r="AN315" s="3" t="n">
        <v>2</v>
      </c>
      <c r="AO315" s="3" t="n">
        <v>3</v>
      </c>
      <c r="AP315" s="3" t="n">
        <v>4</v>
      </c>
      <c r="AQ315" s="3" t="n">
        <v>4</v>
      </c>
      <c r="AR315" s="3" t="n">
        <v>6</v>
      </c>
      <c r="AS315" s="3" t="n">
        <v>4</v>
      </c>
      <c r="AT315" s="3" t="n">
        <v>4</v>
      </c>
      <c r="AU315" s="3" t="n">
        <v>6</v>
      </c>
      <c r="AV315" s="3" t="n">
        <v>6</v>
      </c>
      <c r="AW315" s="3" t="n">
        <v>3</v>
      </c>
      <c r="AX315" s="3" t="n">
        <v>3</v>
      </c>
      <c r="AY315" s="3" t="n">
        <v>1</v>
      </c>
      <c r="AZ315" s="5" t="n">
        <v>1</v>
      </c>
      <c r="BA315" s="3" t="n">
        <v>1</v>
      </c>
      <c r="BB315" s="3" t="n">
        <v>1</v>
      </c>
      <c r="BC315" s="3" t="n">
        <v>2</v>
      </c>
      <c r="BD315" s="3" t="n">
        <v>1</v>
      </c>
      <c r="BE315" s="3" t="n">
        <v>2</v>
      </c>
      <c r="BF315" s="3" t="n">
        <v>1</v>
      </c>
      <c r="BG315" s="3" t="n">
        <v>4</v>
      </c>
      <c r="BH315" s="3" t="n">
        <v>1</v>
      </c>
      <c r="BI315" s="3" t="n">
        <v>1</v>
      </c>
    </row>
    <row r="316" customFormat="false" ht="12.75" hidden="false" customHeight="false" outlineLevel="0" collapsed="false">
      <c r="A316" s="26" t="s">
        <v>137</v>
      </c>
      <c r="B316" s="26" t="s">
        <v>2771</v>
      </c>
      <c r="C316" s="26" t="s">
        <v>2772</v>
      </c>
      <c r="D316" s="26" t="n">
        <v>208224</v>
      </c>
      <c r="E316" s="27" t="n">
        <v>44214</v>
      </c>
      <c r="F316" s="27" t="n">
        <v>44218</v>
      </c>
      <c r="G316" s="30" t="n">
        <v>4</v>
      </c>
      <c r="H316" s="30" t="n">
        <v>1</v>
      </c>
      <c r="I316" s="30" t="n">
        <v>69</v>
      </c>
      <c r="J316" s="30" t="n">
        <v>2</v>
      </c>
      <c r="K316" s="30" t="n">
        <v>2</v>
      </c>
      <c r="L316" s="30" t="n">
        <v>1</v>
      </c>
      <c r="M316" s="30" t="n">
        <v>2</v>
      </c>
      <c r="N316" s="30" t="n">
        <v>2</v>
      </c>
      <c r="O316" s="30" t="n">
        <v>2</v>
      </c>
      <c r="P316" s="30" t="n">
        <v>2</v>
      </c>
      <c r="Q316" s="30" t="n">
        <v>2</v>
      </c>
      <c r="R316" s="30" t="n">
        <v>2</v>
      </c>
      <c r="S316" s="4" t="n">
        <v>2</v>
      </c>
      <c r="T316" s="30" t="n">
        <v>2</v>
      </c>
      <c r="U316" s="30"/>
      <c r="V316" s="30"/>
      <c r="W316" s="30"/>
      <c r="X316" s="30"/>
      <c r="Z316" s="30"/>
      <c r="AA316" s="30"/>
      <c r="AB316" s="30" t="n">
        <v>1</v>
      </c>
      <c r="AC316" s="30" t="n">
        <v>2</v>
      </c>
      <c r="AD316" s="30" t="n">
        <v>1</v>
      </c>
      <c r="AE316" s="30" t="n">
        <v>1</v>
      </c>
      <c r="AF316" s="30" t="n">
        <v>2</v>
      </c>
      <c r="AG316" s="30" t="n">
        <v>2</v>
      </c>
      <c r="AH316" s="30" t="n">
        <v>1</v>
      </c>
      <c r="AI316" s="30" t="n">
        <v>2</v>
      </c>
      <c r="AJ316" s="30" t="n">
        <v>2</v>
      </c>
      <c r="AK316" s="30" t="n">
        <v>2</v>
      </c>
      <c r="AL316" s="30" t="n">
        <v>1</v>
      </c>
      <c r="AM316" s="30" t="n">
        <v>2</v>
      </c>
      <c r="AN316" s="30" t="n">
        <v>2</v>
      </c>
      <c r="AO316" s="30" t="n">
        <v>3</v>
      </c>
      <c r="AP316" s="30" t="n">
        <v>4</v>
      </c>
      <c r="AQ316" s="30" t="n">
        <v>4</v>
      </c>
      <c r="AR316" s="30" t="n">
        <v>6</v>
      </c>
      <c r="AS316" s="30" t="n">
        <v>4</v>
      </c>
      <c r="AT316" s="30" t="n">
        <v>4</v>
      </c>
      <c r="AU316" s="30" t="n">
        <v>6</v>
      </c>
      <c r="AV316" s="30" t="n">
        <v>6</v>
      </c>
      <c r="AW316" s="30" t="n">
        <v>3</v>
      </c>
      <c r="AX316" s="30" t="n">
        <v>3</v>
      </c>
      <c r="AY316" s="30" t="n">
        <v>4</v>
      </c>
      <c r="AZ316" s="5" t="n">
        <v>1</v>
      </c>
      <c r="BA316" s="30" t="n">
        <v>1</v>
      </c>
      <c r="BB316" s="30" t="n">
        <v>2</v>
      </c>
      <c r="BC316" s="30" t="n">
        <v>4</v>
      </c>
      <c r="BD316" s="30" t="n">
        <v>3</v>
      </c>
      <c r="BE316" s="30" t="n">
        <v>5</v>
      </c>
      <c r="BF316" s="30" t="n">
        <v>3</v>
      </c>
      <c r="BG316" s="30" t="n">
        <v>4</v>
      </c>
      <c r="BH316" s="30" t="n">
        <v>1</v>
      </c>
      <c r="BI316" s="30" t="n">
        <v>1</v>
      </c>
    </row>
    <row r="317" customFormat="false" ht="12.75" hidden="false" customHeight="false" outlineLevel="0" collapsed="false">
      <c r="A317" s="2" t="s">
        <v>1078</v>
      </c>
      <c r="B317" s="2" t="s">
        <v>221</v>
      </c>
      <c r="C317" s="2" t="s">
        <v>611</v>
      </c>
      <c r="D317" s="2" t="n">
        <v>207869</v>
      </c>
      <c r="E317" s="15" t="n">
        <v>44213</v>
      </c>
      <c r="F317" s="15" t="n">
        <v>44220</v>
      </c>
      <c r="G317" s="3" t="n">
        <v>7</v>
      </c>
      <c r="H317" s="3" t="n">
        <v>2</v>
      </c>
      <c r="I317" s="3" t="n">
        <v>52</v>
      </c>
      <c r="J317" s="3" t="n">
        <v>2</v>
      </c>
      <c r="K317" s="3" t="n">
        <v>2</v>
      </c>
      <c r="L317" s="3" t="n">
        <v>1</v>
      </c>
      <c r="M317" s="3" t="n">
        <v>2</v>
      </c>
      <c r="N317" s="3" t="n">
        <v>2</v>
      </c>
      <c r="O317" s="3" t="n">
        <v>2</v>
      </c>
      <c r="P317" s="3" t="n">
        <v>2</v>
      </c>
      <c r="Q317" s="3" t="n">
        <v>2</v>
      </c>
      <c r="R317" s="3" t="n">
        <v>2</v>
      </c>
      <c r="S317" s="4" t="n">
        <v>2</v>
      </c>
      <c r="T317" s="3" t="n">
        <v>2</v>
      </c>
      <c r="U317" s="3" t="n">
        <v>5.93</v>
      </c>
      <c r="V317" s="3" t="n">
        <v>1.35</v>
      </c>
      <c r="W317" s="3" t="n">
        <v>6.73</v>
      </c>
      <c r="X317" s="3" t="n">
        <v>292</v>
      </c>
      <c r="Z317" s="3" t="n">
        <v>0.5</v>
      </c>
      <c r="AA317" s="3" t="n">
        <v>13.1</v>
      </c>
      <c r="AB317" s="3" t="n">
        <v>1</v>
      </c>
      <c r="AC317" s="3" t="n">
        <v>1</v>
      </c>
      <c r="AD317" s="3" t="n">
        <v>1</v>
      </c>
      <c r="AE317" s="3" t="n">
        <v>1</v>
      </c>
      <c r="AF317" s="3" t="n">
        <v>2</v>
      </c>
      <c r="AG317" s="3" t="n">
        <v>1</v>
      </c>
      <c r="AH317" s="3" t="n">
        <v>1</v>
      </c>
      <c r="AI317" s="3" t="n">
        <v>2</v>
      </c>
      <c r="AJ317" s="3" t="n">
        <v>2</v>
      </c>
      <c r="AK317" s="3" t="n">
        <v>2</v>
      </c>
      <c r="AL317" s="3" t="n">
        <v>1</v>
      </c>
      <c r="AM317" s="3" t="n">
        <v>2</v>
      </c>
      <c r="AN317" s="3" t="n">
        <v>2</v>
      </c>
      <c r="AO317" s="3" t="n">
        <v>3</v>
      </c>
      <c r="AP317" s="3" t="n">
        <v>4</v>
      </c>
      <c r="AQ317" s="3" t="n">
        <v>4</v>
      </c>
      <c r="AR317" s="3" t="n">
        <v>6</v>
      </c>
      <c r="AS317" s="3" t="n">
        <v>4</v>
      </c>
      <c r="AT317" s="3" t="n">
        <v>4</v>
      </c>
      <c r="AU317" s="3" t="n">
        <v>6</v>
      </c>
      <c r="AV317" s="3" t="n">
        <v>6</v>
      </c>
      <c r="AW317" s="3" t="n">
        <v>3</v>
      </c>
      <c r="AX317" s="3" t="n">
        <v>3</v>
      </c>
      <c r="AY317" s="3" t="n">
        <v>1</v>
      </c>
      <c r="AZ317" s="5" t="n">
        <v>1</v>
      </c>
      <c r="BA317" s="3" t="n">
        <v>1</v>
      </c>
      <c r="BB317" s="3" t="n">
        <v>1</v>
      </c>
      <c r="BC317" s="3" t="n">
        <v>4</v>
      </c>
      <c r="BD317" s="3" t="n">
        <v>3</v>
      </c>
      <c r="BE317" s="3" t="n">
        <v>5</v>
      </c>
      <c r="BF317" s="3" t="n">
        <v>3</v>
      </c>
      <c r="BG317" s="3" t="n">
        <v>4</v>
      </c>
      <c r="BH317" s="3" t="n">
        <v>1</v>
      </c>
      <c r="BI317" s="3" t="n">
        <v>1</v>
      </c>
    </row>
    <row r="318" customFormat="false" ht="12.75" hidden="false" customHeight="false" outlineLevel="0" collapsed="false">
      <c r="A318" s="2" t="s">
        <v>2778</v>
      </c>
      <c r="B318" s="2" t="s">
        <v>2779</v>
      </c>
      <c r="C318" s="2" t="s">
        <v>232</v>
      </c>
      <c r="D318" s="2" t="n">
        <v>207892</v>
      </c>
      <c r="E318" s="15" t="n">
        <v>44214</v>
      </c>
      <c r="F318" s="15" t="n">
        <v>44221</v>
      </c>
      <c r="G318" s="3" t="n">
        <v>7</v>
      </c>
      <c r="H318" s="3" t="n">
        <v>2</v>
      </c>
      <c r="I318" s="3" t="n">
        <v>70</v>
      </c>
      <c r="J318" s="3" t="n">
        <v>1</v>
      </c>
      <c r="K318" s="3" t="n">
        <v>1</v>
      </c>
      <c r="L318" s="3" t="n">
        <v>1</v>
      </c>
      <c r="M318" s="3" t="n">
        <v>1</v>
      </c>
      <c r="N318" s="3" t="n">
        <v>2</v>
      </c>
      <c r="O318" s="3" t="n">
        <v>2</v>
      </c>
      <c r="P318" s="3" t="n">
        <v>1</v>
      </c>
      <c r="Q318" s="3" t="n">
        <v>2</v>
      </c>
      <c r="R318" s="3" t="n">
        <v>2</v>
      </c>
      <c r="S318" s="4" t="n">
        <v>2</v>
      </c>
      <c r="T318" s="3" t="n">
        <v>2</v>
      </c>
      <c r="U318" s="3" t="n">
        <v>4.92</v>
      </c>
      <c r="V318" s="3" t="n">
        <v>1.78</v>
      </c>
      <c r="W318" s="3" t="n">
        <v>6.35</v>
      </c>
      <c r="X318" s="3" t="n">
        <v>417</v>
      </c>
      <c r="Z318" s="3" t="n">
        <v>0.44</v>
      </c>
      <c r="AA318" s="3" t="n">
        <v>10.4</v>
      </c>
      <c r="AB318" s="3" t="n">
        <v>1</v>
      </c>
      <c r="AC318" s="3" t="n">
        <v>2</v>
      </c>
      <c r="AD318" s="3" t="n">
        <v>1</v>
      </c>
      <c r="AE318" s="3" t="n">
        <v>1</v>
      </c>
      <c r="AF318" s="3" t="n">
        <v>2</v>
      </c>
      <c r="AG318" s="3" t="n">
        <v>1</v>
      </c>
      <c r="AH318" s="3" t="n">
        <v>1</v>
      </c>
      <c r="AI318" s="3" t="n">
        <v>2</v>
      </c>
      <c r="AJ318" s="3" t="n">
        <v>2</v>
      </c>
      <c r="AK318" s="3" t="n">
        <v>2</v>
      </c>
      <c r="AL318" s="3" t="n">
        <v>2</v>
      </c>
      <c r="AM318" s="3" t="n">
        <v>2</v>
      </c>
      <c r="AN318" s="3" t="n">
        <v>2</v>
      </c>
      <c r="AO318" s="3" t="n">
        <v>3</v>
      </c>
      <c r="AP318" s="3" t="n">
        <v>4</v>
      </c>
      <c r="AQ318" s="3" t="n">
        <v>4</v>
      </c>
      <c r="AR318" s="3" t="n">
        <v>6</v>
      </c>
      <c r="AS318" s="3" t="n">
        <v>4</v>
      </c>
      <c r="AT318" s="3" t="n">
        <v>4</v>
      </c>
      <c r="AU318" s="3" t="n">
        <v>6</v>
      </c>
      <c r="AV318" s="3" t="n">
        <v>6</v>
      </c>
      <c r="AW318" s="3" t="n">
        <v>3</v>
      </c>
      <c r="AX318" s="3" t="n">
        <v>3</v>
      </c>
      <c r="AY318" s="3" t="n">
        <v>1</v>
      </c>
      <c r="AZ318" s="5" t="n">
        <v>1</v>
      </c>
      <c r="BA318" s="3" t="n">
        <v>1</v>
      </c>
      <c r="BB318" s="3" t="n">
        <v>1</v>
      </c>
      <c r="BC318" s="3" t="n">
        <v>4</v>
      </c>
      <c r="BD318" s="3" t="n">
        <v>1</v>
      </c>
      <c r="BE318" s="3" t="n">
        <v>2</v>
      </c>
      <c r="BF318" s="3" t="n">
        <v>1</v>
      </c>
      <c r="BG318" s="3" t="n">
        <v>4</v>
      </c>
      <c r="BH318" s="3" t="n">
        <v>1</v>
      </c>
      <c r="BI318" s="3" t="n">
        <v>1</v>
      </c>
    </row>
    <row r="319" customFormat="false" ht="12.75" hidden="false" customHeight="false" outlineLevel="0" collapsed="false">
      <c r="A319" s="2" t="s">
        <v>2784</v>
      </c>
      <c r="B319" s="2" t="s">
        <v>2785</v>
      </c>
      <c r="C319" s="2" t="s">
        <v>2592</v>
      </c>
      <c r="D319" s="2" t="n">
        <v>208255</v>
      </c>
      <c r="E319" s="15" t="n">
        <v>44216</v>
      </c>
      <c r="F319" s="15" t="n">
        <v>44223</v>
      </c>
      <c r="G319" s="3" t="n">
        <v>7</v>
      </c>
      <c r="H319" s="3" t="n">
        <v>2</v>
      </c>
      <c r="I319" s="3" t="n">
        <v>63</v>
      </c>
      <c r="J319" s="3" t="n">
        <v>1</v>
      </c>
      <c r="K319" s="3" t="n">
        <v>2</v>
      </c>
      <c r="L319" s="3" t="n">
        <v>1</v>
      </c>
      <c r="M319" s="3" t="n">
        <v>2</v>
      </c>
      <c r="N319" s="3" t="n">
        <v>2</v>
      </c>
      <c r="O319" s="3" t="n">
        <v>2</v>
      </c>
      <c r="P319" s="3" t="n">
        <v>2</v>
      </c>
      <c r="Q319" s="3" t="n">
        <v>2</v>
      </c>
      <c r="R319" s="3" t="n">
        <v>2</v>
      </c>
      <c r="S319" s="4" t="n">
        <v>2</v>
      </c>
      <c r="T319" s="3" t="n">
        <v>2</v>
      </c>
      <c r="U319" s="3" t="n">
        <v>6.27</v>
      </c>
      <c r="V319" s="3" t="n">
        <v>2.35</v>
      </c>
      <c r="W319" s="3" t="n">
        <v>10.73</v>
      </c>
      <c r="X319" s="3" t="n">
        <v>663</v>
      </c>
      <c r="Z319" s="3" t="n">
        <v>0.52</v>
      </c>
      <c r="AA319" s="3" t="n">
        <v>10</v>
      </c>
      <c r="AB319" s="3" t="n">
        <v>1</v>
      </c>
      <c r="AC319" s="3" t="n">
        <v>2</v>
      </c>
      <c r="AD319" s="3" t="n">
        <v>1</v>
      </c>
      <c r="AE319" s="3" t="n">
        <v>1</v>
      </c>
      <c r="AF319" s="3" t="n">
        <v>1</v>
      </c>
      <c r="AG319" s="3" t="n">
        <v>2</v>
      </c>
      <c r="AH319" s="3" t="n">
        <v>1</v>
      </c>
      <c r="AI319" s="3" t="n">
        <v>2</v>
      </c>
      <c r="AJ319" s="3" t="n">
        <v>2</v>
      </c>
      <c r="AK319" s="3" t="n">
        <v>2</v>
      </c>
      <c r="AL319" s="3" t="n">
        <v>2</v>
      </c>
      <c r="AM319" s="3" t="n">
        <v>2</v>
      </c>
      <c r="AN319" s="3" t="n">
        <v>2</v>
      </c>
      <c r="AO319" s="3" t="n">
        <v>3</v>
      </c>
      <c r="AP319" s="3" t="n">
        <v>4</v>
      </c>
      <c r="AQ319" s="3" t="n">
        <v>4</v>
      </c>
      <c r="AR319" s="3" t="n">
        <v>6</v>
      </c>
      <c r="AS319" s="3" t="n">
        <v>4</v>
      </c>
      <c r="AT319" s="3" t="n">
        <v>4</v>
      </c>
      <c r="AU319" s="3" t="n">
        <v>6</v>
      </c>
      <c r="AV319" s="3" t="n">
        <v>6</v>
      </c>
      <c r="AW319" s="3" t="n">
        <v>3</v>
      </c>
      <c r="AX319" s="3" t="n">
        <v>3</v>
      </c>
      <c r="AY319" s="3" t="n">
        <v>1</v>
      </c>
      <c r="AZ319" s="5" t="n">
        <v>1</v>
      </c>
      <c r="BA319" s="3" t="n">
        <v>1</v>
      </c>
      <c r="BB319" s="3" t="n">
        <v>1</v>
      </c>
      <c r="BC319" s="3" t="n">
        <v>2</v>
      </c>
      <c r="BD319" s="3" t="n">
        <v>3</v>
      </c>
      <c r="BE319" s="3" t="n">
        <v>5</v>
      </c>
      <c r="BF319" s="3" t="n">
        <v>3</v>
      </c>
      <c r="BG319" s="3" t="n">
        <v>4</v>
      </c>
      <c r="BH319" s="3" t="n">
        <v>1</v>
      </c>
      <c r="BI319" s="3" t="n">
        <v>1</v>
      </c>
    </row>
    <row r="320" customFormat="false" ht="12.75" hidden="false" customHeight="false" outlineLevel="0" collapsed="false">
      <c r="A320" s="2" t="s">
        <v>2760</v>
      </c>
      <c r="B320" s="2" t="s">
        <v>2236</v>
      </c>
      <c r="C320" s="2" t="s">
        <v>2761</v>
      </c>
      <c r="D320" s="2" t="n">
        <v>208207</v>
      </c>
      <c r="E320" s="15" t="n">
        <v>44221</v>
      </c>
      <c r="F320" s="15" t="n">
        <v>44224</v>
      </c>
      <c r="G320" s="3" t="n">
        <v>3</v>
      </c>
      <c r="H320" s="3" t="n">
        <v>2</v>
      </c>
      <c r="I320" s="3" t="n">
        <v>65</v>
      </c>
      <c r="J320" s="3" t="n">
        <v>2</v>
      </c>
      <c r="K320" s="3" t="n">
        <v>1</v>
      </c>
      <c r="L320" s="3" t="n">
        <v>1</v>
      </c>
      <c r="M320" s="3" t="n">
        <v>2</v>
      </c>
      <c r="N320" s="3" t="n">
        <v>2</v>
      </c>
      <c r="O320" s="3" t="n">
        <v>2</v>
      </c>
      <c r="P320" s="3" t="n">
        <v>2</v>
      </c>
      <c r="Q320" s="3" t="n">
        <v>2</v>
      </c>
      <c r="R320" s="3" t="n">
        <v>2</v>
      </c>
      <c r="S320" s="4" t="n">
        <v>2</v>
      </c>
      <c r="T320" s="3" t="n">
        <v>2</v>
      </c>
      <c r="U320" s="3" t="n">
        <v>3.41</v>
      </c>
      <c r="V320" s="3" t="n">
        <v>1.46</v>
      </c>
      <c r="W320" s="3" t="n">
        <v>4.13</v>
      </c>
      <c r="X320" s="3" t="n">
        <v>464</v>
      </c>
      <c r="Z320" s="3" t="n">
        <v>0.44</v>
      </c>
      <c r="AA320" s="3" t="n">
        <v>9.4</v>
      </c>
      <c r="AB320" s="3" t="n">
        <v>3</v>
      </c>
      <c r="AC320" s="3" t="n">
        <v>1</v>
      </c>
      <c r="AD320" s="3" t="n">
        <v>1</v>
      </c>
      <c r="AE320" s="3" t="n">
        <v>1</v>
      </c>
      <c r="AF320" s="3" t="n">
        <v>2</v>
      </c>
      <c r="AG320" s="3" t="n">
        <v>2</v>
      </c>
      <c r="AH320" s="3" t="n">
        <v>1</v>
      </c>
      <c r="AI320" s="3" t="n">
        <v>2</v>
      </c>
      <c r="AJ320" s="3" t="n">
        <v>2</v>
      </c>
      <c r="AK320" s="3" t="n">
        <v>2</v>
      </c>
      <c r="AL320" s="3" t="n">
        <v>2</v>
      </c>
      <c r="AM320" s="3" t="n">
        <v>2</v>
      </c>
      <c r="AN320" s="3" t="n">
        <v>2</v>
      </c>
      <c r="AO320" s="3" t="n">
        <v>2</v>
      </c>
      <c r="AP320" s="3" t="n">
        <v>2</v>
      </c>
      <c r="AQ320" s="3" t="n">
        <v>2</v>
      </c>
      <c r="AR320" s="3" t="n">
        <v>4</v>
      </c>
      <c r="AS320" s="3" t="n">
        <v>1</v>
      </c>
      <c r="AT320" s="3" t="n">
        <v>1</v>
      </c>
      <c r="AU320" s="3" t="n">
        <v>1</v>
      </c>
      <c r="AV320" s="3" t="n">
        <v>1</v>
      </c>
      <c r="AW320" s="3" t="n">
        <v>2</v>
      </c>
      <c r="AX320" s="3" t="n">
        <v>2</v>
      </c>
      <c r="AY320" s="3" t="n">
        <v>1</v>
      </c>
      <c r="AZ320" s="5" t="n">
        <v>1</v>
      </c>
      <c r="BA320" s="3" t="n">
        <v>1</v>
      </c>
      <c r="BB320" s="3" t="n">
        <v>1</v>
      </c>
      <c r="BC320" s="3" t="n">
        <v>4</v>
      </c>
      <c r="BD320" s="3" t="n">
        <v>3</v>
      </c>
      <c r="BE320" s="3" t="n">
        <v>5</v>
      </c>
      <c r="BF320" s="3" t="n">
        <v>3</v>
      </c>
      <c r="BG320" s="3" t="n">
        <v>4</v>
      </c>
      <c r="BH320" s="3" t="n">
        <v>1</v>
      </c>
      <c r="BI320" s="3" t="n">
        <v>1</v>
      </c>
    </row>
    <row r="321" customFormat="false" ht="12.75" hidden="false" customHeight="false" outlineLevel="0" collapsed="false">
      <c r="A321" s="2" t="s">
        <v>2790</v>
      </c>
      <c r="B321" s="2" t="s">
        <v>197</v>
      </c>
      <c r="C321" s="2" t="s">
        <v>94</v>
      </c>
      <c r="D321" s="2" t="n">
        <v>208284</v>
      </c>
      <c r="E321" s="15" t="n">
        <v>44217</v>
      </c>
      <c r="F321" s="15" t="n">
        <v>44224</v>
      </c>
      <c r="G321" s="3" t="n">
        <v>7</v>
      </c>
      <c r="H321" s="3" t="n">
        <v>1</v>
      </c>
      <c r="I321" s="3" t="n">
        <v>65</v>
      </c>
      <c r="J321" s="3" t="n">
        <v>1</v>
      </c>
      <c r="K321" s="3" t="n">
        <v>1</v>
      </c>
      <c r="L321" s="3" t="n">
        <v>1</v>
      </c>
      <c r="M321" s="3" t="n">
        <v>2</v>
      </c>
      <c r="N321" s="3" t="n">
        <v>2</v>
      </c>
      <c r="O321" s="3" t="n">
        <v>2</v>
      </c>
      <c r="P321" s="3" t="n">
        <v>2</v>
      </c>
      <c r="Q321" s="3" t="n">
        <v>2</v>
      </c>
      <c r="R321" s="3" t="n">
        <v>2</v>
      </c>
      <c r="S321" s="4" t="n">
        <v>2</v>
      </c>
      <c r="T321" s="3" t="n">
        <v>2</v>
      </c>
      <c r="U321" s="3" t="n">
        <v>4.83</v>
      </c>
      <c r="V321" s="3" t="n">
        <v>2.17</v>
      </c>
      <c r="W321" s="3" t="n">
        <v>5.41</v>
      </c>
      <c r="X321" s="3" t="n">
        <v>394</v>
      </c>
      <c r="Z321" s="3" t="n">
        <v>0.41</v>
      </c>
      <c r="AA321" s="3" t="n">
        <v>7.9</v>
      </c>
      <c r="AB321" s="3" t="n">
        <v>1</v>
      </c>
      <c r="AC321" s="3" t="n">
        <v>2</v>
      </c>
      <c r="AD321" s="3" t="n">
        <v>1</v>
      </c>
      <c r="AE321" s="3" t="n">
        <v>1</v>
      </c>
      <c r="AF321" s="3" t="n">
        <v>2</v>
      </c>
      <c r="AG321" s="3" t="n">
        <v>2</v>
      </c>
      <c r="AH321" s="3" t="n">
        <v>1</v>
      </c>
      <c r="AI321" s="3" t="n">
        <v>2</v>
      </c>
      <c r="AJ321" s="3" t="n">
        <v>2</v>
      </c>
      <c r="AK321" s="3" t="n">
        <v>2</v>
      </c>
      <c r="AL321" s="3" t="n">
        <v>2</v>
      </c>
      <c r="AM321" s="3" t="n">
        <v>2</v>
      </c>
      <c r="AN321" s="3" t="n">
        <v>2</v>
      </c>
      <c r="AO321" s="3" t="n">
        <v>3</v>
      </c>
      <c r="AP321" s="3" t="n">
        <v>4</v>
      </c>
      <c r="AQ321" s="3" t="n">
        <v>4</v>
      </c>
      <c r="AR321" s="3" t="n">
        <v>6</v>
      </c>
      <c r="AS321" s="3" t="n">
        <v>4</v>
      </c>
      <c r="AT321" s="3" t="n">
        <v>4</v>
      </c>
      <c r="AU321" s="3" t="n">
        <v>6</v>
      </c>
      <c r="AV321" s="3" t="n">
        <v>6</v>
      </c>
      <c r="AW321" s="3" t="n">
        <v>3</v>
      </c>
      <c r="AX321" s="3" t="n">
        <v>3</v>
      </c>
      <c r="AY321" s="3" t="n">
        <v>1</v>
      </c>
      <c r="AZ321" s="5" t="n">
        <v>1</v>
      </c>
      <c r="BA321" s="3" t="n">
        <v>1</v>
      </c>
      <c r="BB321" s="3" t="n">
        <v>1</v>
      </c>
      <c r="BC321" s="3" t="n">
        <v>2</v>
      </c>
      <c r="BD321" s="3" t="n">
        <v>3</v>
      </c>
      <c r="BE321" s="3" t="n">
        <v>5</v>
      </c>
      <c r="BF321" s="3" t="n">
        <v>3</v>
      </c>
      <c r="BG321" s="3" t="n">
        <v>4</v>
      </c>
      <c r="BH321" s="3" t="n">
        <v>1</v>
      </c>
      <c r="BI321" s="3" t="n">
        <v>1</v>
      </c>
    </row>
    <row r="322" customFormat="false" ht="12.75" hidden="false" customHeight="false" outlineLevel="0" collapsed="false">
      <c r="A322" s="2" t="s">
        <v>2798</v>
      </c>
      <c r="B322" s="2" t="s">
        <v>95</v>
      </c>
      <c r="C322" s="2" t="s">
        <v>95</v>
      </c>
      <c r="D322" s="2" t="n">
        <v>208631</v>
      </c>
      <c r="E322" s="15" t="n">
        <v>44220</v>
      </c>
      <c r="F322" s="15" t="n">
        <v>44228</v>
      </c>
      <c r="G322" s="3" t="n">
        <v>8</v>
      </c>
      <c r="H322" s="3" t="n">
        <v>2</v>
      </c>
      <c r="I322" s="3" t="n">
        <v>65</v>
      </c>
      <c r="J322" s="3" t="n">
        <v>2</v>
      </c>
      <c r="K322" s="3" t="n">
        <v>1</v>
      </c>
      <c r="L322" s="3" t="n">
        <v>1</v>
      </c>
      <c r="M322" s="3" t="n">
        <v>2</v>
      </c>
      <c r="N322" s="3" t="n">
        <v>2</v>
      </c>
      <c r="O322" s="3" t="n">
        <v>2</v>
      </c>
      <c r="P322" s="3" t="n">
        <v>2</v>
      </c>
      <c r="Q322" s="3" t="n">
        <v>2</v>
      </c>
      <c r="R322" s="3" t="n">
        <v>2</v>
      </c>
      <c r="S322" s="4" t="n">
        <v>2</v>
      </c>
      <c r="T322" s="3" t="n">
        <v>2</v>
      </c>
      <c r="U322" s="3" t="n">
        <v>3.39</v>
      </c>
      <c r="V322" s="3" t="n">
        <v>0.62</v>
      </c>
      <c r="W322" s="3" t="n">
        <v>4.52</v>
      </c>
      <c r="X322" s="3" t="n">
        <v>375</v>
      </c>
      <c r="Z322" s="3" t="n">
        <v>0.45</v>
      </c>
      <c r="AA322" s="3" t="n">
        <v>6.9</v>
      </c>
      <c r="AB322" s="3"/>
      <c r="AC322" s="3" t="n">
        <v>2</v>
      </c>
      <c r="AD322" s="3" t="n">
        <v>1</v>
      </c>
      <c r="AE322" s="3" t="n">
        <v>1</v>
      </c>
      <c r="AF322" s="3" t="n">
        <v>2</v>
      </c>
      <c r="AG322" s="3" t="n">
        <v>1</v>
      </c>
      <c r="AH322" s="3" t="n">
        <v>1</v>
      </c>
      <c r="AI322" s="3" t="n">
        <v>2</v>
      </c>
      <c r="AJ322" s="3" t="n">
        <v>2</v>
      </c>
      <c r="AK322" s="3" t="n">
        <v>2</v>
      </c>
      <c r="AL322" s="3" t="n">
        <v>2</v>
      </c>
      <c r="AM322" s="3" t="n">
        <v>2</v>
      </c>
      <c r="AN322" s="3" t="n">
        <v>2</v>
      </c>
      <c r="AO322" s="3" t="n">
        <v>3</v>
      </c>
      <c r="AP322" s="3" t="n">
        <v>4</v>
      </c>
      <c r="AQ322" s="3" t="n">
        <v>4</v>
      </c>
      <c r="AR322" s="3" t="n">
        <v>6</v>
      </c>
      <c r="AS322" s="3" t="n">
        <v>4</v>
      </c>
      <c r="AT322" s="3" t="n">
        <v>4</v>
      </c>
      <c r="AU322" s="3" t="n">
        <v>6</v>
      </c>
      <c r="AV322" s="3" t="n">
        <v>6</v>
      </c>
      <c r="AW322" s="3" t="n">
        <v>3</v>
      </c>
      <c r="AX322" s="3" t="n">
        <v>3</v>
      </c>
      <c r="AY322" s="3" t="n">
        <v>1</v>
      </c>
      <c r="AZ322" s="5" t="n">
        <v>1</v>
      </c>
      <c r="BA322" s="3" t="n">
        <v>1</v>
      </c>
      <c r="BB322" s="3" t="n">
        <v>1</v>
      </c>
      <c r="BC322" s="3" t="n">
        <v>2</v>
      </c>
      <c r="BD322" s="3" t="n">
        <v>3</v>
      </c>
      <c r="BE322" s="3" t="n">
        <v>5</v>
      </c>
      <c r="BF322" s="3" t="n">
        <v>3</v>
      </c>
      <c r="BG322" s="3" t="n">
        <v>4</v>
      </c>
      <c r="BH322" s="3" t="n">
        <v>1</v>
      </c>
      <c r="BI322" s="3" t="n">
        <v>1</v>
      </c>
    </row>
    <row r="323" customFormat="false" ht="12.75" hidden="false" customHeight="false" outlineLevel="0" collapsed="false">
      <c r="A323" s="2" t="s">
        <v>2812</v>
      </c>
      <c r="B323" s="2" t="s">
        <v>2234</v>
      </c>
      <c r="C323" s="2" t="s">
        <v>2813</v>
      </c>
      <c r="D323" s="2" t="n">
        <v>208753</v>
      </c>
      <c r="E323" s="15" t="n">
        <v>44225</v>
      </c>
      <c r="F323" s="15" t="n">
        <v>44231</v>
      </c>
      <c r="G323" s="3" t="n">
        <v>6</v>
      </c>
      <c r="H323" s="3" t="n">
        <v>1</v>
      </c>
      <c r="I323" s="3" t="n">
        <v>54</v>
      </c>
      <c r="J323" s="3" t="n">
        <v>1</v>
      </c>
      <c r="K323" s="3" t="n">
        <v>2</v>
      </c>
      <c r="L323" s="3" t="n">
        <v>1</v>
      </c>
      <c r="M323" s="3" t="n">
        <v>2</v>
      </c>
      <c r="N323" s="3" t="n">
        <v>2</v>
      </c>
      <c r="O323" s="3" t="n">
        <v>2</v>
      </c>
      <c r="P323" s="3" t="n">
        <v>2</v>
      </c>
      <c r="Q323" s="3" t="n">
        <v>2</v>
      </c>
      <c r="R323" s="3" t="n">
        <v>1</v>
      </c>
      <c r="S323" s="4" t="n">
        <v>2</v>
      </c>
      <c r="T323" s="3" t="n">
        <v>2</v>
      </c>
      <c r="U323" s="3" t="n">
        <v>4.3</v>
      </c>
      <c r="V323" s="3" t="n">
        <v>2.21</v>
      </c>
      <c r="W323" s="3" t="n">
        <v>4.62</v>
      </c>
      <c r="X323" s="3" t="n">
        <v>323</v>
      </c>
      <c r="Z323" s="3" t="s">
        <v>1402</v>
      </c>
      <c r="AA323" s="3" t="n">
        <v>10</v>
      </c>
      <c r="AB323" s="3" t="n">
        <v>1</v>
      </c>
      <c r="AC323" s="3" t="n">
        <v>2</v>
      </c>
      <c r="AD323" s="3" t="n">
        <v>1</v>
      </c>
      <c r="AE323" s="3" t="n">
        <v>1</v>
      </c>
      <c r="AF323" s="3" t="n">
        <v>2</v>
      </c>
      <c r="AG323" s="3" t="n">
        <v>2</v>
      </c>
      <c r="AH323" s="3" t="n">
        <v>1</v>
      </c>
      <c r="AI323" s="3" t="n">
        <v>1</v>
      </c>
      <c r="AJ323" s="3" t="n">
        <v>2</v>
      </c>
      <c r="AK323" s="3" t="n">
        <v>2</v>
      </c>
      <c r="AL323" s="3" t="n">
        <v>1</v>
      </c>
      <c r="AM323" s="3" t="n">
        <v>2</v>
      </c>
      <c r="AN323" s="3" t="n">
        <v>2</v>
      </c>
      <c r="AO323" s="3" t="n">
        <v>3</v>
      </c>
      <c r="AP323" s="3" t="n">
        <v>4</v>
      </c>
      <c r="AQ323" s="3" t="n">
        <v>4</v>
      </c>
      <c r="AR323" s="3" t="n">
        <v>6</v>
      </c>
      <c r="AS323" s="3" t="n">
        <v>4</v>
      </c>
      <c r="AT323" s="3" t="n">
        <v>4</v>
      </c>
      <c r="AU323" s="3" t="n">
        <v>6</v>
      </c>
      <c r="AV323" s="3" t="n">
        <v>6</v>
      </c>
      <c r="AW323" s="3" t="n">
        <v>3</v>
      </c>
      <c r="AX323" s="3" t="n">
        <v>3</v>
      </c>
      <c r="AY323" s="3" t="n">
        <v>1</v>
      </c>
      <c r="AZ323" s="5" t="n">
        <v>5</v>
      </c>
      <c r="BA323" s="3" t="n">
        <v>2</v>
      </c>
      <c r="BB323" s="3" t="n">
        <v>1</v>
      </c>
      <c r="BC323" s="3" t="n">
        <v>5</v>
      </c>
      <c r="BD323" s="3" t="n">
        <v>1</v>
      </c>
      <c r="BE323" s="3" t="n">
        <v>2</v>
      </c>
      <c r="BF323" s="3" t="n">
        <v>4</v>
      </c>
      <c r="BG323" s="3" t="n">
        <v>4</v>
      </c>
      <c r="BH323" s="3" t="n">
        <v>1</v>
      </c>
      <c r="BI323" s="3" t="n">
        <v>1</v>
      </c>
    </row>
    <row r="324" customFormat="false" ht="12.75" hidden="false" customHeight="false" outlineLevel="0" collapsed="false">
      <c r="A324" s="2" t="s">
        <v>1890</v>
      </c>
      <c r="B324" s="2" t="s">
        <v>127</v>
      </c>
      <c r="C324" s="2" t="s">
        <v>386</v>
      </c>
      <c r="D324" s="2" t="n">
        <v>208774</v>
      </c>
      <c r="E324" s="15" t="n">
        <v>44226</v>
      </c>
      <c r="F324" s="15" t="n">
        <v>44232</v>
      </c>
      <c r="G324" s="3" t="n">
        <v>7</v>
      </c>
      <c r="H324" s="3" t="n">
        <v>2</v>
      </c>
      <c r="I324" s="3" t="n">
        <v>49</v>
      </c>
      <c r="J324" s="3" t="n">
        <v>1</v>
      </c>
      <c r="K324" s="3" t="n">
        <v>1</v>
      </c>
      <c r="L324" s="3" t="n">
        <v>2</v>
      </c>
      <c r="M324" s="3" t="n">
        <v>2</v>
      </c>
      <c r="N324" s="3" t="n">
        <v>2</v>
      </c>
      <c r="O324" s="3" t="n">
        <v>2</v>
      </c>
      <c r="P324" s="3" t="n">
        <v>2</v>
      </c>
      <c r="Q324" s="3" t="n">
        <v>2</v>
      </c>
      <c r="R324" s="3" t="n">
        <v>2</v>
      </c>
      <c r="S324" s="4" t="n">
        <v>2</v>
      </c>
      <c r="T324" s="3" t="n">
        <v>2</v>
      </c>
      <c r="U324" s="3" t="n">
        <v>4.8</v>
      </c>
      <c r="V324" s="3" t="n">
        <v>2.59</v>
      </c>
      <c r="W324" s="3" t="n">
        <v>3.72</v>
      </c>
      <c r="X324" s="3" t="n">
        <v>413</v>
      </c>
      <c r="Z324" s="3" t="n">
        <v>0.52</v>
      </c>
      <c r="AA324" s="3" t="n">
        <v>12.9</v>
      </c>
      <c r="AB324" s="3" t="n">
        <v>2</v>
      </c>
      <c r="AC324" s="3" t="n">
        <v>2</v>
      </c>
      <c r="AD324" s="3" t="n">
        <v>2</v>
      </c>
      <c r="AE324" s="3" t="n">
        <v>1</v>
      </c>
      <c r="AF324" s="3" t="n">
        <v>1</v>
      </c>
      <c r="AG324" s="3" t="n">
        <v>2</v>
      </c>
      <c r="AH324" s="3" t="n">
        <v>1</v>
      </c>
      <c r="AI324" s="3" t="n">
        <v>2</v>
      </c>
      <c r="AJ324" s="3" t="n">
        <v>2</v>
      </c>
      <c r="AK324" s="3" t="n">
        <v>2</v>
      </c>
      <c r="AL324" s="3" t="n">
        <v>1</v>
      </c>
      <c r="AM324" s="3" t="n">
        <v>2</v>
      </c>
      <c r="AN324" s="3" t="n">
        <v>2</v>
      </c>
      <c r="AO324" s="3" t="n">
        <v>3</v>
      </c>
      <c r="AP324" s="3" t="n">
        <v>4</v>
      </c>
      <c r="AQ324" s="3" t="n">
        <v>4</v>
      </c>
      <c r="AR324" s="3" t="n">
        <v>6</v>
      </c>
      <c r="AS324" s="3" t="n">
        <v>4</v>
      </c>
      <c r="AT324" s="3" t="n">
        <v>4</v>
      </c>
      <c r="AU324" s="3" t="n">
        <v>6</v>
      </c>
      <c r="AV324" s="3" t="n">
        <v>6</v>
      </c>
      <c r="AW324" s="3" t="n">
        <v>3</v>
      </c>
      <c r="AX324" s="3" t="n">
        <v>3</v>
      </c>
      <c r="AY324" s="3" t="n">
        <v>1</v>
      </c>
      <c r="AZ324" s="5" t="n">
        <v>1</v>
      </c>
      <c r="BA324" s="3" t="n">
        <v>1</v>
      </c>
      <c r="BB324" s="3" t="n">
        <v>1</v>
      </c>
      <c r="BC324" s="3" t="n">
        <v>2</v>
      </c>
      <c r="BD324" s="3" t="n">
        <v>1</v>
      </c>
      <c r="BE324" s="3" t="n">
        <v>2</v>
      </c>
      <c r="BF324" s="3" t="n">
        <v>1</v>
      </c>
      <c r="BG324" s="3" t="n">
        <v>4</v>
      </c>
      <c r="BH324" s="3" t="n">
        <v>1</v>
      </c>
      <c r="BI324" s="3" t="n">
        <v>1</v>
      </c>
    </row>
    <row r="325" customFormat="false" ht="12.75" hidden="false" customHeight="false" outlineLevel="0" collapsed="false">
      <c r="A325" s="17" t="s">
        <v>2818</v>
      </c>
      <c r="B325" s="17" t="s">
        <v>127</v>
      </c>
      <c r="C325" s="17" t="s">
        <v>386</v>
      </c>
      <c r="D325" s="2" t="n">
        <v>208820</v>
      </c>
      <c r="E325" s="15" t="n">
        <v>44228</v>
      </c>
      <c r="F325" s="15" t="n">
        <v>44234</v>
      </c>
      <c r="G325" s="3" t="n">
        <v>7</v>
      </c>
      <c r="H325" s="3" t="n">
        <v>1</v>
      </c>
      <c r="I325" s="3" t="n">
        <v>69</v>
      </c>
      <c r="J325" s="3" t="n">
        <v>1</v>
      </c>
      <c r="K325" s="3" t="n">
        <v>1</v>
      </c>
      <c r="L325" s="3" t="n">
        <v>1</v>
      </c>
      <c r="M325" s="3" t="n">
        <v>2</v>
      </c>
      <c r="N325" s="3" t="n">
        <v>1</v>
      </c>
      <c r="O325" s="3" t="n">
        <v>2</v>
      </c>
      <c r="P325" s="3" t="n">
        <v>2</v>
      </c>
      <c r="Q325" s="3" t="n">
        <v>2</v>
      </c>
      <c r="R325" s="3" t="n">
        <v>2</v>
      </c>
      <c r="S325" s="4" t="n">
        <v>2</v>
      </c>
      <c r="T325" s="3" t="n">
        <v>2</v>
      </c>
      <c r="U325" s="3" t="n">
        <v>5.28</v>
      </c>
      <c r="V325" s="3" t="n">
        <v>2.45</v>
      </c>
      <c r="W325" s="3" t="n">
        <v>6.66</v>
      </c>
      <c r="X325" s="3" t="n">
        <v>481</v>
      </c>
      <c r="Z325" s="3" t="n">
        <v>0.45</v>
      </c>
      <c r="AA325" s="3" t="n">
        <v>10</v>
      </c>
      <c r="AB325" s="3" t="n">
        <v>1</v>
      </c>
      <c r="AC325" s="3" t="n">
        <v>2</v>
      </c>
      <c r="AD325" s="3" t="n">
        <v>1</v>
      </c>
      <c r="AE325" s="3" t="n">
        <v>1</v>
      </c>
      <c r="AF325" s="3" t="n">
        <v>2</v>
      </c>
      <c r="AG325" s="3" t="n">
        <v>2</v>
      </c>
      <c r="AH325" s="3" t="n">
        <v>1</v>
      </c>
      <c r="AI325" s="3" t="n">
        <v>2</v>
      </c>
      <c r="AJ325" s="3" t="n">
        <v>2</v>
      </c>
      <c r="AK325" s="3" t="n">
        <v>2</v>
      </c>
      <c r="AL325" s="3" t="n">
        <v>1</v>
      </c>
      <c r="AM325" s="3" t="n">
        <v>2</v>
      </c>
      <c r="AN325" s="3" t="n">
        <v>2</v>
      </c>
      <c r="AO325" s="3" t="n">
        <v>3</v>
      </c>
      <c r="AP325" s="3" t="n">
        <v>4</v>
      </c>
      <c r="AQ325" s="3" t="n">
        <v>4</v>
      </c>
      <c r="AR325" s="3" t="n">
        <v>6</v>
      </c>
      <c r="AS325" s="3" t="n">
        <v>4</v>
      </c>
      <c r="AT325" s="3" t="n">
        <v>4</v>
      </c>
      <c r="AU325" s="3" t="n">
        <v>6</v>
      </c>
      <c r="AV325" s="3" t="n">
        <v>6</v>
      </c>
      <c r="AW325" s="3" t="n">
        <v>3</v>
      </c>
      <c r="AX325" s="3" t="n">
        <v>3</v>
      </c>
      <c r="AY325" s="3" t="n">
        <v>1</v>
      </c>
      <c r="AZ325" s="5" t="n">
        <v>1</v>
      </c>
      <c r="BA325" s="3" t="n">
        <v>1</v>
      </c>
      <c r="BB325" s="3" t="n">
        <v>1</v>
      </c>
      <c r="BC325" s="3" t="n">
        <v>4</v>
      </c>
      <c r="BD325" s="3" t="n">
        <v>3</v>
      </c>
      <c r="BE325" s="3" t="n">
        <v>5</v>
      </c>
      <c r="BF325" s="3" t="n">
        <v>3</v>
      </c>
      <c r="BG325" s="3" t="n">
        <v>4</v>
      </c>
      <c r="BH325" s="3" t="n">
        <v>1</v>
      </c>
      <c r="BI325" s="3" t="n">
        <v>1</v>
      </c>
    </row>
    <row r="326" customFormat="false" ht="12.75" hidden="false" customHeight="false" outlineLevel="0" collapsed="false">
      <c r="A326" s="17" t="s">
        <v>2820</v>
      </c>
      <c r="B326" s="17" t="s">
        <v>1042</v>
      </c>
      <c r="C326" s="17" t="s">
        <v>2821</v>
      </c>
      <c r="D326" s="2" t="n">
        <v>208818</v>
      </c>
      <c r="E326" s="15" t="n">
        <v>44228</v>
      </c>
      <c r="F326" s="15" t="n">
        <v>44234</v>
      </c>
      <c r="G326" s="3" t="n">
        <v>7</v>
      </c>
      <c r="H326" s="3" t="n">
        <v>1</v>
      </c>
      <c r="I326" s="3" t="n">
        <v>65</v>
      </c>
      <c r="J326" s="3" t="n">
        <v>1</v>
      </c>
      <c r="K326" s="3" t="n">
        <v>1</v>
      </c>
      <c r="L326" s="3" t="n">
        <v>1</v>
      </c>
      <c r="M326" s="3" t="n">
        <v>2</v>
      </c>
      <c r="N326" s="3" t="n">
        <v>2</v>
      </c>
      <c r="O326" s="3" t="n">
        <v>2</v>
      </c>
      <c r="P326" s="3" t="n">
        <v>2</v>
      </c>
      <c r="Q326" s="3" t="n">
        <v>2</v>
      </c>
      <c r="R326" s="3" t="n">
        <v>2</v>
      </c>
      <c r="S326" s="4" t="n">
        <v>2</v>
      </c>
      <c r="T326" s="3" t="n">
        <v>2</v>
      </c>
      <c r="U326" s="3" t="n">
        <v>4.44</v>
      </c>
      <c r="V326" s="3" t="n">
        <v>1.25</v>
      </c>
      <c r="W326" s="3" t="n">
        <v>5.12</v>
      </c>
      <c r="X326" s="3" t="n">
        <v>355</v>
      </c>
      <c r="Z326" s="3" t="n">
        <v>0.42</v>
      </c>
      <c r="AA326" s="3" t="n">
        <v>12.3</v>
      </c>
      <c r="AB326" s="3" t="n">
        <v>1</v>
      </c>
      <c r="AC326" s="3" t="n">
        <v>2</v>
      </c>
      <c r="AD326" s="3" t="n">
        <v>1</v>
      </c>
      <c r="AE326" s="3" t="n">
        <v>1</v>
      </c>
      <c r="AF326" s="3" t="n">
        <v>2</v>
      </c>
      <c r="AG326" s="3" t="n">
        <v>2</v>
      </c>
      <c r="AH326" s="3" t="n">
        <v>1</v>
      </c>
      <c r="AI326" s="3" t="n">
        <v>2</v>
      </c>
      <c r="AJ326" s="3" t="n">
        <v>2</v>
      </c>
      <c r="AK326" s="3" t="n">
        <v>2</v>
      </c>
      <c r="AL326" s="3" t="n">
        <v>1</v>
      </c>
      <c r="AM326" s="3" t="n">
        <v>2</v>
      </c>
      <c r="AN326" s="3" t="n">
        <v>2</v>
      </c>
      <c r="AO326" s="3" t="n">
        <v>3</v>
      </c>
      <c r="AP326" s="3" t="n">
        <v>4</v>
      </c>
      <c r="AQ326" s="3" t="n">
        <v>4</v>
      </c>
      <c r="AR326" s="3" t="n">
        <v>6</v>
      </c>
      <c r="AS326" s="3" t="n">
        <v>4</v>
      </c>
      <c r="AT326" s="3" t="n">
        <v>4</v>
      </c>
      <c r="AU326" s="3" t="n">
        <v>6</v>
      </c>
      <c r="AV326" s="3" t="n">
        <v>6</v>
      </c>
      <c r="AW326" s="3" t="n">
        <v>3</v>
      </c>
      <c r="AX326" s="3" t="n">
        <v>3</v>
      </c>
      <c r="AY326" s="3" t="n">
        <v>4</v>
      </c>
      <c r="AZ326" s="5" t="n">
        <v>1</v>
      </c>
      <c r="BA326" s="3" t="n">
        <v>1</v>
      </c>
      <c r="BB326" s="3" t="n">
        <v>1</v>
      </c>
      <c r="BC326" s="3" t="n">
        <v>4</v>
      </c>
      <c r="BD326" s="3" t="n">
        <v>1</v>
      </c>
      <c r="BE326" s="3" t="n">
        <v>2</v>
      </c>
      <c r="BF326" s="3" t="n">
        <v>1</v>
      </c>
      <c r="BG326" s="3" t="n">
        <v>4</v>
      </c>
      <c r="BH326" s="3" t="n">
        <v>1</v>
      </c>
      <c r="BI326" s="3" t="n">
        <v>1</v>
      </c>
    </row>
    <row r="327" customFormat="false" ht="12.75" hidden="false" customHeight="false" outlineLevel="0" collapsed="false">
      <c r="A327" s="2" t="s">
        <v>2829</v>
      </c>
      <c r="B327" s="2" t="s">
        <v>446</v>
      </c>
      <c r="C327" s="2" t="s">
        <v>522</v>
      </c>
      <c r="D327" s="2" t="n">
        <v>208993</v>
      </c>
      <c r="E327" s="15" t="n">
        <v>44230</v>
      </c>
      <c r="F327" s="15" t="n">
        <v>44237</v>
      </c>
      <c r="G327" s="3" t="n">
        <v>7</v>
      </c>
      <c r="H327" s="3" t="n">
        <v>2</v>
      </c>
      <c r="I327" s="3" t="n">
        <v>32</v>
      </c>
      <c r="J327" s="3" t="n">
        <v>2</v>
      </c>
      <c r="K327" s="3" t="n">
        <v>1</v>
      </c>
      <c r="L327" s="3" t="n">
        <v>1</v>
      </c>
      <c r="M327" s="3" t="n">
        <v>2</v>
      </c>
      <c r="N327" s="3" t="n">
        <v>2</v>
      </c>
      <c r="O327" s="3" t="n">
        <v>2</v>
      </c>
      <c r="P327" s="3" t="n">
        <v>2</v>
      </c>
      <c r="Q327" s="3" t="n">
        <v>2</v>
      </c>
      <c r="R327" s="3" t="n">
        <v>2</v>
      </c>
      <c r="S327" s="4" t="n">
        <v>2</v>
      </c>
      <c r="T327" s="3" t="n">
        <v>2</v>
      </c>
      <c r="U327" s="3" t="n">
        <v>4.91</v>
      </c>
      <c r="V327" s="3" t="n">
        <v>0.55</v>
      </c>
      <c r="W327" s="3" t="n">
        <v>5.9</v>
      </c>
      <c r="X327" s="3" t="n">
        <v>248</v>
      </c>
      <c r="Z327" s="3" t="n">
        <v>0.43</v>
      </c>
      <c r="AA327" s="3" t="n">
        <v>12.8</v>
      </c>
      <c r="AB327" s="3" t="n">
        <v>1</v>
      </c>
      <c r="AC327" s="3" t="n">
        <v>2</v>
      </c>
      <c r="AD327" s="3" t="n">
        <v>2</v>
      </c>
      <c r="AE327" s="3" t="n">
        <v>1</v>
      </c>
      <c r="AF327" s="3" t="n">
        <v>2</v>
      </c>
      <c r="AG327" s="3" t="n">
        <v>2</v>
      </c>
      <c r="AH327" s="3" t="n">
        <v>1</v>
      </c>
      <c r="AI327" s="3" t="n">
        <v>2</v>
      </c>
      <c r="AJ327" s="3" t="n">
        <v>2</v>
      </c>
      <c r="AK327" s="3" t="n">
        <v>2</v>
      </c>
      <c r="AL327" s="3" t="n">
        <v>2</v>
      </c>
      <c r="AM327" s="3" t="n">
        <v>2</v>
      </c>
      <c r="AN327" s="3" t="n">
        <v>2</v>
      </c>
      <c r="AO327" s="3" t="n">
        <v>3</v>
      </c>
      <c r="AP327" s="3" t="n">
        <v>4</v>
      </c>
      <c r="AQ327" s="3" t="n">
        <v>4</v>
      </c>
      <c r="AR327" s="3" t="n">
        <v>6</v>
      </c>
      <c r="AS327" s="3" t="n">
        <v>4</v>
      </c>
      <c r="AT327" s="3" t="n">
        <v>4</v>
      </c>
      <c r="AU327" s="3" t="n">
        <v>6</v>
      </c>
      <c r="AV327" s="3" t="n">
        <v>6</v>
      </c>
      <c r="AW327" s="3" t="n">
        <v>3</v>
      </c>
      <c r="AX327" s="3" t="n">
        <v>3</v>
      </c>
      <c r="AY327" s="3" t="n">
        <v>1</v>
      </c>
      <c r="AZ327" s="5" t="n">
        <v>1</v>
      </c>
      <c r="BA327" s="3" t="n">
        <v>1</v>
      </c>
      <c r="BB327" s="3" t="n">
        <v>1</v>
      </c>
      <c r="BC327" s="3" t="n">
        <v>4</v>
      </c>
      <c r="BD327" s="3" t="n">
        <v>1</v>
      </c>
      <c r="BE327" s="3" t="n">
        <v>2</v>
      </c>
      <c r="BF327" s="3" t="n">
        <v>1</v>
      </c>
      <c r="BG327" s="3" t="n">
        <v>4</v>
      </c>
      <c r="BH327" s="3" t="n">
        <v>1</v>
      </c>
      <c r="BI327" s="3" t="n">
        <v>1</v>
      </c>
    </row>
    <row r="328" customFormat="false" ht="12.75" hidden="false" customHeight="false" outlineLevel="0" collapsed="false">
      <c r="A328" s="2" t="s">
        <v>2838</v>
      </c>
      <c r="B328" s="2" t="s">
        <v>118</v>
      </c>
      <c r="C328" s="2" t="s">
        <v>1481</v>
      </c>
      <c r="D328" s="2" t="n">
        <v>208883</v>
      </c>
      <c r="E328" s="15" t="n">
        <v>44236</v>
      </c>
      <c r="F328" s="15" t="n">
        <v>44240</v>
      </c>
      <c r="G328" s="3" t="n">
        <v>4</v>
      </c>
      <c r="H328" s="3" t="n">
        <v>2</v>
      </c>
      <c r="I328" s="3" t="n">
        <v>25</v>
      </c>
      <c r="J328" s="3" t="n">
        <v>1</v>
      </c>
      <c r="K328" s="3" t="n">
        <v>1</v>
      </c>
      <c r="L328" s="3" t="n">
        <v>2</v>
      </c>
      <c r="M328" s="3" t="n">
        <v>2</v>
      </c>
      <c r="N328" s="3" t="n">
        <v>2</v>
      </c>
      <c r="O328" s="3" t="n">
        <v>2</v>
      </c>
      <c r="P328" s="3" t="n">
        <v>2</v>
      </c>
      <c r="Q328" s="3" t="n">
        <v>2</v>
      </c>
      <c r="R328" s="3" t="n">
        <v>2</v>
      </c>
      <c r="S328" s="4" t="n">
        <v>2</v>
      </c>
      <c r="T328" s="3" t="n">
        <v>2</v>
      </c>
      <c r="U328" s="3" t="n">
        <v>2.7</v>
      </c>
      <c r="V328" s="3" t="n">
        <v>0.76</v>
      </c>
      <c r="W328" s="3" t="n">
        <v>5.7</v>
      </c>
      <c r="X328" s="3" t="n">
        <v>271</v>
      </c>
      <c r="Z328" s="3" t="n">
        <v>0.45</v>
      </c>
      <c r="AA328" s="3" t="n">
        <v>8.9</v>
      </c>
      <c r="AB328" s="3" t="n">
        <v>1</v>
      </c>
      <c r="AC328" s="3" t="n">
        <v>2</v>
      </c>
      <c r="AD328" s="3" t="n">
        <v>1</v>
      </c>
      <c r="AE328" s="3" t="n">
        <v>1</v>
      </c>
      <c r="AF328" s="3" t="n">
        <v>1</v>
      </c>
      <c r="AG328" s="3" t="n">
        <v>2</v>
      </c>
      <c r="AH328" s="3" t="n">
        <v>1</v>
      </c>
      <c r="AI328" s="3" t="n">
        <v>2</v>
      </c>
      <c r="AJ328" s="3" t="n">
        <v>2</v>
      </c>
      <c r="AK328" s="3" t="n">
        <v>2</v>
      </c>
      <c r="AL328" s="3" t="n">
        <v>2</v>
      </c>
      <c r="AM328" s="3" t="n">
        <v>2</v>
      </c>
      <c r="AN328" s="3" t="n">
        <v>2</v>
      </c>
      <c r="AO328" s="3" t="n">
        <v>3</v>
      </c>
      <c r="AP328" s="3" t="n">
        <v>4</v>
      </c>
      <c r="AQ328" s="3" t="n">
        <v>4</v>
      </c>
      <c r="AR328" s="3" t="n">
        <v>6</v>
      </c>
      <c r="AS328" s="3" t="n">
        <v>4</v>
      </c>
      <c r="AT328" s="3" t="n">
        <v>4</v>
      </c>
      <c r="AU328" s="3" t="n">
        <v>6</v>
      </c>
      <c r="AV328" s="3" t="n">
        <v>6</v>
      </c>
      <c r="AW328" s="3" t="n">
        <v>3</v>
      </c>
      <c r="AX328" s="3" t="n">
        <v>3</v>
      </c>
      <c r="AY328" s="3" t="n">
        <v>1</v>
      </c>
      <c r="AZ328" s="5" t="n">
        <v>12</v>
      </c>
      <c r="BA328" s="3" t="n">
        <v>2</v>
      </c>
      <c r="BB328" s="3" t="n">
        <v>1</v>
      </c>
      <c r="BC328" s="3" t="n">
        <v>6</v>
      </c>
      <c r="BD328" s="3" t="n">
        <v>3</v>
      </c>
      <c r="BE328" s="3" t="n">
        <v>5</v>
      </c>
      <c r="BF328" s="3" t="n">
        <v>3</v>
      </c>
      <c r="BG328" s="3" t="n">
        <v>4</v>
      </c>
      <c r="BH328" s="3" t="n">
        <v>1</v>
      </c>
      <c r="BI328" s="3" t="n">
        <v>1</v>
      </c>
    </row>
    <row r="329" customFormat="false" ht="12.75" hidden="false" customHeight="false" outlineLevel="0" collapsed="false">
      <c r="A329" s="2" t="s">
        <v>2841</v>
      </c>
      <c r="B329" s="2" t="s">
        <v>95</v>
      </c>
      <c r="C329" s="2" t="s">
        <v>94</v>
      </c>
      <c r="D329" s="2" t="n">
        <v>208893</v>
      </c>
      <c r="E329" s="15" t="n">
        <v>44237</v>
      </c>
      <c r="F329" s="15" t="n">
        <v>44242</v>
      </c>
      <c r="G329" s="3" t="n">
        <v>5</v>
      </c>
      <c r="H329" s="3" t="n">
        <v>2</v>
      </c>
      <c r="I329" s="3" t="n">
        <v>51</v>
      </c>
      <c r="J329" s="3" t="n">
        <v>2</v>
      </c>
      <c r="K329" s="3" t="n">
        <v>2</v>
      </c>
      <c r="L329" s="3" t="n">
        <v>1</v>
      </c>
      <c r="M329" s="3" t="n">
        <v>2</v>
      </c>
      <c r="N329" s="3" t="n">
        <v>2</v>
      </c>
      <c r="O329" s="3" t="n">
        <v>2</v>
      </c>
      <c r="P329" s="3" t="n">
        <v>2</v>
      </c>
      <c r="Q329" s="3" t="n">
        <v>2</v>
      </c>
      <c r="R329" s="3" t="n">
        <v>2</v>
      </c>
      <c r="S329" s="4" t="n">
        <v>2</v>
      </c>
      <c r="T329" s="3" t="n">
        <v>2</v>
      </c>
      <c r="U329" s="3" t="n">
        <v>5.12</v>
      </c>
      <c r="V329" s="3" t="n">
        <v>1.22</v>
      </c>
      <c r="W329" s="3" t="n">
        <v>5.44</v>
      </c>
      <c r="X329" s="3" t="n">
        <v>478</v>
      </c>
      <c r="Z329" s="3" t="n">
        <v>0.51</v>
      </c>
      <c r="AA329" s="3" t="n">
        <v>9</v>
      </c>
      <c r="AB329" s="3" t="n">
        <v>1</v>
      </c>
      <c r="AC329" s="3" t="n">
        <v>1</v>
      </c>
      <c r="AD329" s="3" t="n">
        <v>1</v>
      </c>
      <c r="AE329" s="3" t="n">
        <v>1</v>
      </c>
      <c r="AF329" s="3" t="n">
        <v>2</v>
      </c>
      <c r="AG329" s="3" t="n">
        <v>2</v>
      </c>
      <c r="AH329" s="3" t="n">
        <v>1</v>
      </c>
      <c r="AI329" s="3" t="n">
        <v>2</v>
      </c>
      <c r="AJ329" s="3" t="n">
        <v>2</v>
      </c>
      <c r="AK329" s="3" t="n">
        <v>2</v>
      </c>
      <c r="AL329" s="3" t="n">
        <v>2</v>
      </c>
      <c r="AM329" s="3" t="n">
        <v>2</v>
      </c>
      <c r="AN329" s="3" t="n">
        <v>2</v>
      </c>
      <c r="AO329" s="3" t="n">
        <v>3</v>
      </c>
      <c r="AP329" s="3" t="n">
        <v>4</v>
      </c>
      <c r="AQ329" s="3" t="n">
        <v>4</v>
      </c>
      <c r="AR329" s="3" t="n">
        <v>6</v>
      </c>
      <c r="AS329" s="3" t="n">
        <v>4</v>
      </c>
      <c r="AT329" s="3" t="n">
        <v>4</v>
      </c>
      <c r="AU329" s="3" t="n">
        <v>6</v>
      </c>
      <c r="AV329" s="3" t="n">
        <v>6</v>
      </c>
      <c r="AW329" s="3" t="n">
        <v>3</v>
      </c>
      <c r="AX329" s="3" t="n">
        <v>3</v>
      </c>
      <c r="AY329" s="3" t="n">
        <v>1</v>
      </c>
      <c r="AZ329" s="5" t="n">
        <v>1</v>
      </c>
      <c r="BA329" s="3" t="n">
        <v>1</v>
      </c>
      <c r="BB329" s="3" t="n">
        <v>1</v>
      </c>
      <c r="BC329" s="3" t="n">
        <v>5</v>
      </c>
      <c r="BD329" s="3" t="n">
        <v>1</v>
      </c>
      <c r="BE329" s="3" t="n">
        <v>2</v>
      </c>
      <c r="BF329" s="3" t="n">
        <v>1</v>
      </c>
      <c r="BG329" s="3" t="n">
        <v>4</v>
      </c>
      <c r="BH329" s="3" t="n">
        <v>1</v>
      </c>
      <c r="BI329" s="3" t="n">
        <v>1</v>
      </c>
    </row>
    <row r="330" customFormat="false" ht="12.75" hidden="false" customHeight="false" outlineLevel="0" collapsed="false">
      <c r="A330" s="2" t="s">
        <v>2843</v>
      </c>
      <c r="B330" s="2" t="s">
        <v>611</v>
      </c>
      <c r="C330" s="2" t="s">
        <v>2844</v>
      </c>
      <c r="D330" s="2" t="n">
        <v>208869</v>
      </c>
      <c r="E330" s="15" t="n">
        <v>44236</v>
      </c>
      <c r="F330" s="15" t="n">
        <v>44243</v>
      </c>
      <c r="G330" s="3" t="n">
        <v>7</v>
      </c>
      <c r="H330" s="3" t="n">
        <v>2</v>
      </c>
      <c r="I330" s="3" t="n">
        <v>61</v>
      </c>
      <c r="J330" s="3" t="n">
        <v>1</v>
      </c>
      <c r="K330" s="3" t="n">
        <v>1</v>
      </c>
      <c r="L330" s="3" t="n">
        <v>1</v>
      </c>
      <c r="M330" s="3" t="n">
        <v>2</v>
      </c>
      <c r="N330" s="3" t="n">
        <v>2</v>
      </c>
      <c r="O330" s="3" t="n">
        <v>2</v>
      </c>
      <c r="P330" s="3" t="n">
        <v>2</v>
      </c>
      <c r="Q330" s="3" t="n">
        <v>2</v>
      </c>
      <c r="R330" s="3" t="n">
        <v>2</v>
      </c>
      <c r="S330" s="4" t="n">
        <v>2</v>
      </c>
      <c r="T330" s="3" t="n">
        <v>2</v>
      </c>
      <c r="U330" s="3" t="s">
        <v>1413</v>
      </c>
      <c r="V330" s="3" t="n">
        <v>1.85</v>
      </c>
      <c r="W330" s="3" t="n">
        <v>5.54</v>
      </c>
      <c r="X330" s="3" t="n">
        <v>273</v>
      </c>
      <c r="Z330" s="3" t="n">
        <v>0.45</v>
      </c>
      <c r="AA330" s="3" t="n">
        <v>9.1</v>
      </c>
      <c r="AB330" s="3" t="n">
        <v>2</v>
      </c>
      <c r="AC330" s="3" t="n">
        <v>2</v>
      </c>
      <c r="AD330" s="3" t="n">
        <v>1</v>
      </c>
      <c r="AE330" s="3" t="n">
        <v>1</v>
      </c>
      <c r="AF330" s="3" t="n">
        <v>2</v>
      </c>
      <c r="AG330" s="3" t="n">
        <v>2</v>
      </c>
      <c r="AH330" s="3" t="n">
        <v>1</v>
      </c>
      <c r="AI330" s="3" t="n">
        <v>2</v>
      </c>
      <c r="AJ330" s="3" t="n">
        <v>2</v>
      </c>
      <c r="AK330" s="3" t="n">
        <v>2</v>
      </c>
      <c r="AL330" s="3" t="n">
        <v>2</v>
      </c>
      <c r="AM330" s="3" t="n">
        <v>2</v>
      </c>
      <c r="AN330" s="3" t="n">
        <v>2</v>
      </c>
      <c r="AO330" s="3" t="n">
        <v>3</v>
      </c>
      <c r="AP330" s="3" t="n">
        <v>4</v>
      </c>
      <c r="AQ330" s="3" t="n">
        <v>4</v>
      </c>
      <c r="AR330" s="3" t="n">
        <v>6</v>
      </c>
      <c r="AS330" s="3" t="n">
        <v>4</v>
      </c>
      <c r="AT330" s="3" t="n">
        <v>4</v>
      </c>
      <c r="AU330" s="3" t="n">
        <v>6</v>
      </c>
      <c r="AV330" s="3" t="n">
        <v>6</v>
      </c>
      <c r="AW330" s="3" t="n">
        <v>3</v>
      </c>
      <c r="AX330" s="3" t="n">
        <v>3</v>
      </c>
      <c r="AY330" s="3" t="n">
        <v>1</v>
      </c>
      <c r="AZ330" s="5" t="n">
        <v>1</v>
      </c>
      <c r="BA330" s="3" t="n">
        <v>1</v>
      </c>
      <c r="BB330" s="3" t="n">
        <v>1</v>
      </c>
      <c r="BC330" s="3" t="n">
        <v>5</v>
      </c>
      <c r="BD330" s="3" t="n">
        <v>1</v>
      </c>
      <c r="BE330" s="3" t="n">
        <v>2</v>
      </c>
      <c r="BF330" s="3" t="n">
        <v>1</v>
      </c>
      <c r="BG330" s="3" t="n">
        <v>4</v>
      </c>
      <c r="BH330" s="3" t="n">
        <v>1</v>
      </c>
      <c r="BI330" s="3" t="n">
        <v>1</v>
      </c>
    </row>
    <row r="331" customFormat="false" ht="12.75" hidden="false" customHeight="false" outlineLevel="0" collapsed="false">
      <c r="A331" s="2" t="s">
        <v>2856</v>
      </c>
      <c r="B331" s="2" t="s">
        <v>2857</v>
      </c>
      <c r="C331" s="2" t="s">
        <v>898</v>
      </c>
      <c r="D331" s="2" t="n">
        <v>209176</v>
      </c>
      <c r="E331" s="15" t="n">
        <v>44241</v>
      </c>
      <c r="F331" s="15" t="n">
        <v>44248</v>
      </c>
      <c r="G331" s="3" t="n">
        <v>7</v>
      </c>
      <c r="H331" s="3" t="n">
        <v>2</v>
      </c>
      <c r="I331" s="3" t="n">
        <v>62</v>
      </c>
      <c r="J331" s="3" t="n">
        <v>2</v>
      </c>
      <c r="K331" s="3" t="n">
        <v>2</v>
      </c>
      <c r="L331" s="3" t="n">
        <v>1</v>
      </c>
      <c r="M331" s="3" t="n">
        <v>2</v>
      </c>
      <c r="N331" s="3" t="n">
        <v>2</v>
      </c>
      <c r="O331" s="3" t="n">
        <v>2</v>
      </c>
      <c r="P331" s="3" t="n">
        <v>2</v>
      </c>
      <c r="Q331" s="3" t="n">
        <v>2</v>
      </c>
      <c r="R331" s="3" t="n">
        <v>2</v>
      </c>
      <c r="S331" s="4" t="n">
        <v>2</v>
      </c>
      <c r="T331" s="3" t="n">
        <v>2</v>
      </c>
      <c r="U331" s="3" t="n">
        <v>5.05</v>
      </c>
      <c r="V331" s="3" t="n">
        <v>2.62</v>
      </c>
      <c r="W331" s="3" t="n">
        <v>11.03</v>
      </c>
      <c r="X331" s="3" t="n">
        <v>273</v>
      </c>
      <c r="Z331" s="3" t="n">
        <v>0.41</v>
      </c>
      <c r="AA331" s="3" t="n">
        <v>9.9</v>
      </c>
      <c r="AB331" s="3" t="n">
        <v>1</v>
      </c>
      <c r="AC331" s="3" t="n">
        <v>2</v>
      </c>
      <c r="AD331" s="3" t="n">
        <v>2</v>
      </c>
      <c r="AE331" s="3" t="n">
        <v>1</v>
      </c>
      <c r="AF331" s="3" t="n">
        <v>2</v>
      </c>
      <c r="AG331" s="3" t="n">
        <v>2</v>
      </c>
      <c r="AH331" s="3" t="n">
        <v>1</v>
      </c>
      <c r="AI331" s="3" t="n">
        <v>2</v>
      </c>
      <c r="AJ331" s="3" t="n">
        <v>2</v>
      </c>
      <c r="AK331" s="3" t="n">
        <v>2</v>
      </c>
      <c r="AL331" s="3" t="n">
        <v>2</v>
      </c>
      <c r="AM331" s="3" t="n">
        <v>2</v>
      </c>
      <c r="AN331" s="3" t="n">
        <v>2</v>
      </c>
      <c r="AO331" s="3" t="n">
        <v>3</v>
      </c>
      <c r="AP331" s="3" t="n">
        <v>4</v>
      </c>
      <c r="AQ331" s="3" t="n">
        <v>4</v>
      </c>
      <c r="AR331" s="3" t="n">
        <v>6</v>
      </c>
      <c r="AS331" s="3" t="n">
        <v>4</v>
      </c>
      <c r="AT331" s="3" t="n">
        <v>4</v>
      </c>
      <c r="AU331" s="3" t="n">
        <v>6</v>
      </c>
      <c r="AV331" s="3" t="n">
        <v>6</v>
      </c>
      <c r="AW331" s="3" t="n">
        <v>3</v>
      </c>
      <c r="AX331" s="3" t="n">
        <v>3</v>
      </c>
      <c r="AY331" s="3" t="n">
        <v>1</v>
      </c>
      <c r="AZ331" s="5" t="n">
        <v>1</v>
      </c>
      <c r="BA331" s="3" t="n">
        <v>1</v>
      </c>
      <c r="BB331" s="3" t="n">
        <v>1</v>
      </c>
      <c r="BC331" s="3" t="n">
        <v>4</v>
      </c>
      <c r="BD331" s="3" t="n">
        <v>1</v>
      </c>
      <c r="BE331" s="3" t="n">
        <v>2</v>
      </c>
      <c r="BF331" s="3" t="n">
        <v>1</v>
      </c>
      <c r="BG331" s="3" t="n">
        <v>4</v>
      </c>
      <c r="BH331" s="3" t="n">
        <v>1</v>
      </c>
      <c r="BI331" s="3" t="n">
        <v>1</v>
      </c>
    </row>
    <row r="332" customFormat="false" ht="12.75" hidden="false" customHeight="false" outlineLevel="0" collapsed="false">
      <c r="A332" s="2" t="s">
        <v>2859</v>
      </c>
      <c r="B332" s="2" t="s">
        <v>2224</v>
      </c>
      <c r="C332" s="2" t="s">
        <v>127</v>
      </c>
      <c r="D332" s="2" t="n">
        <v>209173</v>
      </c>
      <c r="E332" s="15" t="n">
        <v>44241</v>
      </c>
      <c r="F332" s="15" t="n">
        <v>44248</v>
      </c>
      <c r="G332" s="3" t="n">
        <v>7</v>
      </c>
      <c r="H332" s="3" t="n">
        <v>2</v>
      </c>
      <c r="I332" s="3" t="n">
        <v>55</v>
      </c>
      <c r="J332" s="3" t="n">
        <v>3</v>
      </c>
      <c r="K332" s="3" t="n">
        <v>1</v>
      </c>
      <c r="L332" s="3" t="n">
        <v>1</v>
      </c>
      <c r="M332" s="3" t="n">
        <v>2</v>
      </c>
      <c r="N332" s="3" t="n">
        <v>2</v>
      </c>
      <c r="O332" s="3" t="n">
        <v>2</v>
      </c>
      <c r="P332" s="3" t="n">
        <v>2</v>
      </c>
      <c r="Q332" s="3" t="n">
        <v>2</v>
      </c>
      <c r="R332" s="3" t="n">
        <v>2</v>
      </c>
      <c r="S332" s="4" t="n">
        <v>2</v>
      </c>
      <c r="T332" s="3" t="n">
        <v>2</v>
      </c>
      <c r="U332" s="19" t="s">
        <v>2860</v>
      </c>
      <c r="V332" s="19" t="s">
        <v>2861</v>
      </c>
      <c r="W332" s="19" t="s">
        <v>2862</v>
      </c>
      <c r="X332" s="3" t="n">
        <v>369</v>
      </c>
      <c r="Z332" s="3" t="n">
        <v>0.49</v>
      </c>
      <c r="AA332" s="3"/>
      <c r="AB332" s="3" t="n">
        <v>2</v>
      </c>
      <c r="AC332" s="3" t="n">
        <v>1</v>
      </c>
      <c r="AD332" s="3" t="n">
        <v>2</v>
      </c>
      <c r="AE332" s="3" t="n">
        <v>1</v>
      </c>
      <c r="AF332" s="3" t="n">
        <v>2</v>
      </c>
      <c r="AG332" s="3" t="n">
        <v>2</v>
      </c>
      <c r="AH332" s="3" t="n">
        <v>1</v>
      </c>
      <c r="AI332" s="3" t="n">
        <v>2</v>
      </c>
      <c r="AJ332" s="3" t="n">
        <v>2</v>
      </c>
      <c r="AK332" s="3" t="n">
        <v>2</v>
      </c>
      <c r="AL332" s="3" t="n">
        <v>2</v>
      </c>
      <c r="AM332" s="3" t="n">
        <v>2</v>
      </c>
      <c r="AN332" s="3" t="n">
        <v>2</v>
      </c>
      <c r="AO332" s="3" t="n">
        <v>3</v>
      </c>
      <c r="AP332" s="3" t="n">
        <v>4</v>
      </c>
      <c r="AQ332" s="3" t="n">
        <v>4</v>
      </c>
      <c r="AR332" s="3" t="n">
        <v>6</v>
      </c>
      <c r="AS332" s="3" t="n">
        <v>4</v>
      </c>
      <c r="AT332" s="3" t="n">
        <v>4</v>
      </c>
      <c r="AU332" s="3" t="n">
        <v>6</v>
      </c>
      <c r="AV332" s="3" t="n">
        <v>6</v>
      </c>
      <c r="AW332" s="3" t="n">
        <v>3</v>
      </c>
      <c r="AX332" s="3" t="n">
        <v>3</v>
      </c>
      <c r="AY332" s="3" t="n">
        <v>1</v>
      </c>
      <c r="AZ332" s="5" t="n">
        <v>1</v>
      </c>
      <c r="BA332" s="3" t="n">
        <v>1</v>
      </c>
      <c r="BB332" s="3" t="n">
        <v>1</v>
      </c>
      <c r="BC332" s="3" t="n">
        <v>2</v>
      </c>
      <c r="BD332" s="3" t="n">
        <v>1</v>
      </c>
      <c r="BE332" s="3" t="n">
        <v>2</v>
      </c>
      <c r="BF332" s="3" t="n">
        <v>1</v>
      </c>
      <c r="BG332" s="3" t="n">
        <v>4</v>
      </c>
      <c r="BH332" s="3" t="n">
        <v>1</v>
      </c>
      <c r="BI332" s="3" t="n">
        <v>1</v>
      </c>
    </row>
    <row r="333" customFormat="false" ht="12.75" hidden="false" customHeight="false" outlineLevel="0" collapsed="false">
      <c r="A333" s="2" t="s">
        <v>2843</v>
      </c>
      <c r="B333" s="2" t="s">
        <v>611</v>
      </c>
      <c r="C333" s="2" t="s">
        <v>2844</v>
      </c>
      <c r="D333" s="2" t="n">
        <v>208869</v>
      </c>
      <c r="E333" s="15" t="n">
        <v>44236</v>
      </c>
      <c r="F333" s="15" t="n">
        <v>44243</v>
      </c>
      <c r="G333" s="3" t="n">
        <v>7</v>
      </c>
      <c r="H333" s="3" t="n">
        <v>2</v>
      </c>
      <c r="I333" s="3" t="n">
        <v>61</v>
      </c>
      <c r="J333" s="3" t="n">
        <v>1</v>
      </c>
      <c r="K333" s="3" t="n">
        <v>1</v>
      </c>
      <c r="L333" s="3" t="n">
        <v>1</v>
      </c>
      <c r="M333" s="3" t="n">
        <v>2</v>
      </c>
      <c r="N333" s="3" t="n">
        <v>2</v>
      </c>
      <c r="O333" s="3" t="n">
        <v>2</v>
      </c>
      <c r="P333" s="3" t="n">
        <v>2</v>
      </c>
      <c r="Q333" s="3" t="n">
        <v>2</v>
      </c>
      <c r="R333" s="3" t="n">
        <v>2</v>
      </c>
      <c r="S333" s="4" t="n">
        <v>2</v>
      </c>
      <c r="T333" s="3" t="n">
        <v>2</v>
      </c>
      <c r="U333" s="3" t="n">
        <v>5.3</v>
      </c>
      <c r="V333" s="3"/>
      <c r="W333" s="3"/>
      <c r="X333" s="3"/>
      <c r="Z333" s="3"/>
      <c r="AA333" s="3"/>
      <c r="AB333" s="3"/>
      <c r="AC333" s="3" t="n">
        <v>2</v>
      </c>
      <c r="AD333" s="3" t="n">
        <v>1</v>
      </c>
      <c r="AE333" s="3" t="n">
        <v>1</v>
      </c>
      <c r="AF333" s="3" t="n">
        <v>1</v>
      </c>
      <c r="AG333" s="3" t="n">
        <v>2</v>
      </c>
      <c r="AH333" s="3" t="n">
        <v>2</v>
      </c>
      <c r="AI333" s="3" t="n">
        <v>2</v>
      </c>
      <c r="AJ333" s="3" t="n">
        <v>2</v>
      </c>
      <c r="AK333" s="3" t="n">
        <v>2</v>
      </c>
      <c r="AL333" s="3" t="n">
        <v>2</v>
      </c>
      <c r="AM333" s="3" t="n">
        <v>2</v>
      </c>
      <c r="AN333" s="3" t="n">
        <v>2</v>
      </c>
      <c r="AO333" s="3" t="n">
        <v>3</v>
      </c>
      <c r="AP333" s="3" t="n">
        <v>4</v>
      </c>
      <c r="AQ333" s="3" t="n">
        <v>4</v>
      </c>
      <c r="AR333" s="3" t="n">
        <v>6</v>
      </c>
      <c r="AS333" s="3" t="n">
        <v>4</v>
      </c>
      <c r="AT333" s="3" t="n">
        <v>4</v>
      </c>
      <c r="AU333" s="3" t="n">
        <v>6</v>
      </c>
      <c r="AV333" s="3" t="n">
        <v>6</v>
      </c>
      <c r="AW333" s="3" t="n">
        <v>3</v>
      </c>
      <c r="AX333" s="3" t="n">
        <v>3</v>
      </c>
      <c r="AY333" s="3" t="n">
        <v>1</v>
      </c>
      <c r="AZ333" s="5" t="n">
        <v>1</v>
      </c>
      <c r="BA333" s="3" t="n">
        <v>1</v>
      </c>
      <c r="BB333" s="3" t="n">
        <v>1</v>
      </c>
      <c r="BC333" s="3" t="n">
        <v>5</v>
      </c>
      <c r="BD333" s="3" t="n">
        <v>1</v>
      </c>
      <c r="BE333" s="3" t="n">
        <v>2</v>
      </c>
      <c r="BF333" s="3" t="n">
        <v>1</v>
      </c>
      <c r="BG333" s="3" t="n">
        <v>4</v>
      </c>
      <c r="BH333" s="3" t="n">
        <v>1</v>
      </c>
      <c r="BI333" s="3" t="n">
        <v>1</v>
      </c>
    </row>
    <row r="334" customFormat="false" ht="12.75" hidden="false" customHeight="false" outlineLevel="0" collapsed="false">
      <c r="A334" s="17" t="s">
        <v>2868</v>
      </c>
      <c r="B334" s="17" t="s">
        <v>2869</v>
      </c>
      <c r="C334" s="17" t="s">
        <v>519</v>
      </c>
      <c r="D334" s="2" t="n">
        <v>209308</v>
      </c>
      <c r="E334" s="15" t="n">
        <v>44242</v>
      </c>
      <c r="F334" s="15" t="n">
        <v>44218</v>
      </c>
      <c r="G334" s="3" t="n">
        <v>8</v>
      </c>
      <c r="H334" s="3" t="n">
        <v>1</v>
      </c>
      <c r="I334" s="3" t="n">
        <v>71</v>
      </c>
      <c r="J334" s="3" t="n">
        <v>2</v>
      </c>
      <c r="K334" s="3" t="n">
        <v>1</v>
      </c>
      <c r="L334" s="3" t="n">
        <v>1</v>
      </c>
      <c r="M334" s="3" t="n">
        <v>2</v>
      </c>
      <c r="N334" s="3" t="n">
        <v>2</v>
      </c>
      <c r="O334" s="3" t="n">
        <v>2</v>
      </c>
      <c r="P334" s="3" t="n">
        <v>1</v>
      </c>
      <c r="Q334" s="3" t="n">
        <v>2</v>
      </c>
      <c r="R334" s="3" t="n">
        <v>1</v>
      </c>
      <c r="S334" s="4" t="n">
        <v>2</v>
      </c>
      <c r="T334" s="3" t="n">
        <v>2</v>
      </c>
      <c r="U334" s="19" t="s">
        <v>2870</v>
      </c>
      <c r="V334" s="19" t="s">
        <v>1391</v>
      </c>
      <c r="W334" s="19" t="s">
        <v>2871</v>
      </c>
      <c r="X334" s="3" t="n">
        <v>457</v>
      </c>
      <c r="Z334" s="19" t="s">
        <v>2872</v>
      </c>
      <c r="AA334" s="19" t="s">
        <v>2873</v>
      </c>
      <c r="AB334" s="3" t="n">
        <v>1</v>
      </c>
      <c r="AC334" s="3" t="n">
        <v>2</v>
      </c>
      <c r="AD334" s="3" t="n">
        <v>2</v>
      </c>
      <c r="AE334" s="3" t="n">
        <v>1</v>
      </c>
      <c r="AF334" s="3" t="n">
        <v>2</v>
      </c>
      <c r="AG334" s="3" t="n">
        <v>2</v>
      </c>
      <c r="AH334" s="3" t="n">
        <v>1</v>
      </c>
      <c r="AI334" s="3" t="n">
        <v>1</v>
      </c>
      <c r="AJ334" s="3" t="n">
        <v>2</v>
      </c>
      <c r="AK334" s="3" t="n">
        <v>2</v>
      </c>
      <c r="AL334" s="3" t="n">
        <v>2</v>
      </c>
      <c r="AM334" s="3" t="n">
        <v>2</v>
      </c>
      <c r="AN334" s="3" t="n">
        <v>2</v>
      </c>
      <c r="AO334" s="3" t="n">
        <v>3</v>
      </c>
      <c r="AP334" s="3" t="n">
        <v>4</v>
      </c>
      <c r="AQ334" s="3" t="n">
        <v>4</v>
      </c>
      <c r="AR334" s="3" t="n">
        <v>6</v>
      </c>
      <c r="AS334" s="3" t="n">
        <v>4</v>
      </c>
      <c r="AT334" s="3" t="n">
        <v>4</v>
      </c>
      <c r="AU334" s="3" t="n">
        <v>6</v>
      </c>
      <c r="AV334" s="3" t="n">
        <v>6</v>
      </c>
      <c r="AW334" s="3" t="n">
        <v>3</v>
      </c>
      <c r="AX334" s="3" t="n">
        <v>3</v>
      </c>
      <c r="AY334" s="3" t="n">
        <v>1</v>
      </c>
      <c r="AZ334" s="5" t="n">
        <v>1</v>
      </c>
      <c r="BA334" s="3" t="n">
        <v>1</v>
      </c>
      <c r="BB334" s="3" t="n">
        <v>1</v>
      </c>
      <c r="BC334" s="3" t="n">
        <v>4</v>
      </c>
      <c r="BD334" s="3" t="n">
        <v>2</v>
      </c>
      <c r="BE334" s="3" t="n">
        <v>1</v>
      </c>
      <c r="BF334" s="3" t="n">
        <v>2</v>
      </c>
      <c r="BG334" s="3" t="n">
        <v>4</v>
      </c>
      <c r="BH334" s="3" t="n">
        <v>1</v>
      </c>
      <c r="BI334" s="3" t="n">
        <v>1</v>
      </c>
    </row>
    <row r="335" customFormat="false" ht="12.75" hidden="false" customHeight="false" outlineLevel="0" collapsed="false">
      <c r="A335" s="17" t="s">
        <v>2882</v>
      </c>
      <c r="B335" s="17" t="s">
        <v>2563</v>
      </c>
      <c r="C335" s="17" t="s">
        <v>2883</v>
      </c>
      <c r="D335" s="2" t="n">
        <v>209471</v>
      </c>
      <c r="E335" s="15" t="n">
        <v>44248</v>
      </c>
      <c r="F335" s="15" t="n">
        <v>44255</v>
      </c>
      <c r="G335" s="3" t="n">
        <v>7</v>
      </c>
      <c r="H335" s="3" t="n">
        <v>2</v>
      </c>
      <c r="I335" s="3" t="n">
        <v>67</v>
      </c>
      <c r="J335" s="3" t="n">
        <v>1</v>
      </c>
      <c r="K335" s="3" t="n">
        <v>1</v>
      </c>
      <c r="L335" s="3" t="n">
        <v>1</v>
      </c>
      <c r="M335" s="3" t="n">
        <v>1</v>
      </c>
      <c r="N335" s="3" t="n">
        <v>2</v>
      </c>
      <c r="O335" s="3" t="n">
        <v>2</v>
      </c>
      <c r="P335" s="3" t="n">
        <v>1</v>
      </c>
      <c r="Q335" s="3" t="n">
        <v>2</v>
      </c>
      <c r="R335" s="3" t="n">
        <v>2</v>
      </c>
      <c r="S335" s="4" t="n">
        <v>2</v>
      </c>
      <c r="T335" s="3" t="n">
        <v>2</v>
      </c>
      <c r="U335" s="3"/>
      <c r="V335" s="3"/>
      <c r="W335" s="3"/>
      <c r="X335" s="3"/>
      <c r="Z335" s="3"/>
      <c r="AA335" s="3"/>
      <c r="AB335" s="3"/>
      <c r="AC335" s="3" t="n">
        <v>2</v>
      </c>
      <c r="AD335" s="3" t="n">
        <v>1</v>
      </c>
      <c r="AE335" s="3" t="n">
        <v>1</v>
      </c>
      <c r="AF335" s="3" t="n">
        <v>2</v>
      </c>
      <c r="AG335" s="3" t="n">
        <v>2</v>
      </c>
      <c r="AH335" s="3" t="n">
        <v>1</v>
      </c>
      <c r="AI335" s="3" t="n">
        <v>2</v>
      </c>
      <c r="AJ335" s="3" t="n">
        <v>2</v>
      </c>
      <c r="AK335" s="3" t="n">
        <v>2</v>
      </c>
      <c r="AL335" s="3" t="n">
        <v>2</v>
      </c>
      <c r="AM335" s="3" t="n">
        <v>2</v>
      </c>
      <c r="AN335" s="3" t="n">
        <v>2</v>
      </c>
      <c r="AO335" s="3" t="n">
        <v>3</v>
      </c>
      <c r="AP335" s="3" t="n">
        <v>4</v>
      </c>
      <c r="AQ335" s="3" t="n">
        <v>4</v>
      </c>
      <c r="AR335" s="3" t="n">
        <v>6</v>
      </c>
      <c r="AS335" s="3" t="n">
        <v>4</v>
      </c>
      <c r="AT335" s="3" t="n">
        <v>4</v>
      </c>
      <c r="AU335" s="3" t="n">
        <v>6</v>
      </c>
      <c r="AV335" s="3" t="n">
        <v>6</v>
      </c>
      <c r="AW335" s="3" t="n">
        <v>3</v>
      </c>
      <c r="AX335" s="3" t="n">
        <v>3</v>
      </c>
      <c r="AY335" s="3" t="n">
        <v>1</v>
      </c>
      <c r="AZ335" s="5" t="n">
        <v>1</v>
      </c>
      <c r="BA335" s="3" t="n">
        <v>1</v>
      </c>
      <c r="BB335" s="3" t="n">
        <v>1</v>
      </c>
      <c r="BC335" s="3" t="n">
        <v>4</v>
      </c>
      <c r="BD335" s="3" t="n">
        <v>1</v>
      </c>
      <c r="BE335" s="3" t="n">
        <v>2</v>
      </c>
      <c r="BF335" s="3" t="n">
        <v>1</v>
      </c>
      <c r="BG335" s="3" t="n">
        <v>4</v>
      </c>
      <c r="BH335" s="3" t="n">
        <v>1</v>
      </c>
      <c r="BI335" s="3" t="n">
        <v>1</v>
      </c>
    </row>
    <row r="336" customFormat="false" ht="12.75" hidden="false" customHeight="false" outlineLevel="0" collapsed="false">
      <c r="A336" s="17" t="s">
        <v>2888</v>
      </c>
      <c r="B336" s="17" t="s">
        <v>898</v>
      </c>
      <c r="C336" s="17" t="s">
        <v>2332</v>
      </c>
      <c r="D336" s="2" t="n">
        <v>209347</v>
      </c>
      <c r="E336" s="15" t="n">
        <v>44244</v>
      </c>
      <c r="F336" s="15" t="n">
        <v>44251</v>
      </c>
      <c r="G336" s="3" t="n">
        <v>7</v>
      </c>
      <c r="H336" s="3" t="n">
        <v>1</v>
      </c>
      <c r="I336" s="3" t="n">
        <v>61</v>
      </c>
      <c r="J336" s="3" t="n">
        <v>2</v>
      </c>
      <c r="K336" s="3" t="n">
        <v>1</v>
      </c>
      <c r="L336" s="3" t="n">
        <v>1</v>
      </c>
      <c r="M336" s="3" t="n">
        <v>2</v>
      </c>
      <c r="N336" s="3" t="n">
        <v>2</v>
      </c>
      <c r="O336" s="3" t="n">
        <v>2</v>
      </c>
      <c r="P336" s="3" t="n">
        <v>2</v>
      </c>
      <c r="Q336" s="3" t="n">
        <v>2</v>
      </c>
      <c r="R336" s="3" t="n">
        <v>2</v>
      </c>
      <c r="S336" s="4" t="n">
        <v>2</v>
      </c>
      <c r="T336" s="3" t="n">
        <v>2</v>
      </c>
      <c r="U336" s="19" t="s">
        <v>2889</v>
      </c>
      <c r="V336" s="19" t="s">
        <v>2890</v>
      </c>
      <c r="W336" s="19" t="s">
        <v>2891</v>
      </c>
      <c r="X336" s="3" t="n">
        <v>268</v>
      </c>
      <c r="Z336" s="19" t="s">
        <v>1427</v>
      </c>
      <c r="AA336" s="19" t="s">
        <v>2892</v>
      </c>
      <c r="AB336" s="3"/>
      <c r="AC336" s="3" t="n">
        <v>2</v>
      </c>
      <c r="AD336" s="3" t="n">
        <v>1</v>
      </c>
      <c r="AE336" s="3" t="n">
        <v>1</v>
      </c>
      <c r="AF336" s="3" t="n">
        <v>2</v>
      </c>
      <c r="AG336" s="3" t="n">
        <v>1</v>
      </c>
      <c r="AH336" s="3" t="n">
        <v>1</v>
      </c>
      <c r="AI336" s="3" t="n">
        <v>2</v>
      </c>
      <c r="AJ336" s="3" t="n">
        <v>2</v>
      </c>
      <c r="AK336" s="3" t="n">
        <v>2</v>
      </c>
      <c r="AL336" s="3" t="n">
        <v>1</v>
      </c>
      <c r="AM336" s="3" t="n">
        <v>2</v>
      </c>
      <c r="AN336" s="3" t="n">
        <v>2</v>
      </c>
      <c r="AO336" s="3" t="n">
        <v>3</v>
      </c>
      <c r="AP336" s="3" t="n">
        <v>4</v>
      </c>
      <c r="AQ336" s="3" t="n">
        <v>4</v>
      </c>
      <c r="AR336" s="3" t="n">
        <v>6</v>
      </c>
      <c r="AS336" s="3" t="n">
        <v>4</v>
      </c>
      <c r="AT336" s="3" t="n">
        <v>4</v>
      </c>
      <c r="AU336" s="3" t="n">
        <v>6</v>
      </c>
      <c r="AV336" s="3" t="n">
        <v>6</v>
      </c>
      <c r="AW336" s="3" t="n">
        <v>3</v>
      </c>
      <c r="AX336" s="3" t="n">
        <v>3</v>
      </c>
      <c r="AY336" s="3" t="n">
        <v>1</v>
      </c>
      <c r="AZ336" s="5" t="n">
        <v>1</v>
      </c>
      <c r="BA336" s="19" t="n">
        <v>1</v>
      </c>
      <c r="BB336" s="19" t="n">
        <v>1</v>
      </c>
      <c r="BC336" s="19" t="n">
        <v>2</v>
      </c>
      <c r="BD336" s="19" t="n">
        <v>1</v>
      </c>
      <c r="BE336" s="19" t="n">
        <v>2</v>
      </c>
      <c r="BF336" s="19" t="n">
        <v>1</v>
      </c>
      <c r="BG336" s="19" t="n">
        <v>4</v>
      </c>
      <c r="BH336" s="19" t="n">
        <v>1</v>
      </c>
      <c r="BI336" s="19" t="n">
        <v>1</v>
      </c>
    </row>
    <row r="337" customFormat="false" ht="12.75" hidden="false" customHeight="false" outlineLevel="0" collapsed="false">
      <c r="A337" s="17" t="s">
        <v>2894</v>
      </c>
      <c r="B337" s="17" t="s">
        <v>2895</v>
      </c>
      <c r="C337" s="17" t="s">
        <v>2896</v>
      </c>
      <c r="D337" s="2" t="n">
        <v>209336</v>
      </c>
      <c r="E337" s="15" t="n">
        <v>44243</v>
      </c>
      <c r="F337" s="15" t="n">
        <v>44250</v>
      </c>
      <c r="G337" s="3" t="n">
        <v>7</v>
      </c>
      <c r="H337" s="3" t="n">
        <v>2</v>
      </c>
      <c r="I337" s="3" t="n">
        <v>65</v>
      </c>
      <c r="J337" s="3" t="n">
        <v>2</v>
      </c>
      <c r="K337" s="3" t="n">
        <v>2</v>
      </c>
      <c r="L337" s="3" t="n">
        <v>1</v>
      </c>
      <c r="M337" s="3" t="n">
        <v>1</v>
      </c>
      <c r="N337" s="3" t="n">
        <v>2</v>
      </c>
      <c r="O337" s="3" t="n">
        <v>2</v>
      </c>
      <c r="P337" s="3" t="n">
        <v>1</v>
      </c>
      <c r="Q337" s="3" t="n">
        <v>2</v>
      </c>
      <c r="R337" s="3" t="n">
        <v>1</v>
      </c>
      <c r="S337" s="4" t="n">
        <v>2</v>
      </c>
      <c r="T337" s="3" t="n">
        <v>2</v>
      </c>
      <c r="U337" s="19" t="s">
        <v>2897</v>
      </c>
      <c r="V337" s="19" t="s">
        <v>1407</v>
      </c>
      <c r="W337" s="19" t="s">
        <v>2898</v>
      </c>
      <c r="X337" s="3" t="n">
        <v>239</v>
      </c>
      <c r="Z337" s="19" t="s">
        <v>1262</v>
      </c>
      <c r="AA337" s="19" t="s">
        <v>2899</v>
      </c>
      <c r="AB337" s="3" t="n">
        <v>1</v>
      </c>
      <c r="AC337" s="3" t="n">
        <v>2</v>
      </c>
      <c r="AD337" s="3" t="n">
        <v>1</v>
      </c>
      <c r="AE337" s="3" t="n">
        <v>1</v>
      </c>
      <c r="AF337" s="3" t="n">
        <v>2</v>
      </c>
      <c r="AG337" s="3" t="n">
        <v>1</v>
      </c>
      <c r="AH337" s="3" t="n">
        <v>2</v>
      </c>
      <c r="AI337" s="3" t="n">
        <v>1</v>
      </c>
      <c r="AJ337" s="3" t="n">
        <v>2</v>
      </c>
      <c r="AK337" s="3" t="n">
        <v>2</v>
      </c>
      <c r="AL337" s="3" t="n">
        <v>2</v>
      </c>
      <c r="AM337" s="3" t="n">
        <v>2</v>
      </c>
      <c r="AN337" s="3" t="n">
        <v>2</v>
      </c>
      <c r="AO337" s="3" t="n">
        <v>3</v>
      </c>
      <c r="AP337" s="3" t="n">
        <v>4</v>
      </c>
      <c r="AQ337" s="3" t="n">
        <v>4</v>
      </c>
      <c r="AR337" s="3" t="n">
        <v>6</v>
      </c>
      <c r="AS337" s="3" t="n">
        <v>4</v>
      </c>
      <c r="AT337" s="3" t="n">
        <v>4</v>
      </c>
      <c r="AU337" s="3" t="n">
        <v>6</v>
      </c>
      <c r="AV337" s="3" t="n">
        <v>6</v>
      </c>
      <c r="AW337" s="3" t="n">
        <v>3</v>
      </c>
      <c r="AX337" s="3" t="n">
        <v>3</v>
      </c>
      <c r="AY337" s="3" t="n">
        <v>1</v>
      </c>
      <c r="AZ337" s="5" t="n">
        <v>1</v>
      </c>
      <c r="BA337" s="3" t="n">
        <v>1</v>
      </c>
      <c r="BB337" s="3" t="n">
        <v>1</v>
      </c>
      <c r="BC337" s="3" t="n">
        <v>2</v>
      </c>
      <c r="BD337" s="3" t="n">
        <v>3</v>
      </c>
      <c r="BE337" s="3" t="n">
        <v>5</v>
      </c>
      <c r="BF337" s="3" t="n">
        <v>3</v>
      </c>
      <c r="BG337" s="3" t="n">
        <v>4</v>
      </c>
      <c r="BH337" s="3" t="n">
        <v>1</v>
      </c>
      <c r="BI337" s="3" t="n">
        <v>1</v>
      </c>
    </row>
    <row r="338" customFormat="false" ht="12.75" hidden="false" customHeight="false" outlineLevel="0" collapsed="false">
      <c r="A338" s="17" t="s">
        <v>2900</v>
      </c>
      <c r="B338" s="17" t="s">
        <v>1830</v>
      </c>
      <c r="C338" s="17" t="s">
        <v>433</v>
      </c>
      <c r="D338" s="2" t="n">
        <v>208435</v>
      </c>
      <c r="E338" s="15" t="n">
        <v>44238</v>
      </c>
      <c r="F338" s="15" t="n">
        <v>44249</v>
      </c>
      <c r="G338" s="3" t="n">
        <v>11</v>
      </c>
      <c r="H338" s="3" t="n">
        <v>1</v>
      </c>
      <c r="I338" s="3" t="n">
        <v>77</v>
      </c>
      <c r="J338" s="3" t="n">
        <v>1</v>
      </c>
      <c r="K338" s="3" t="n">
        <v>2</v>
      </c>
      <c r="L338" s="3" t="n">
        <v>1</v>
      </c>
      <c r="M338" s="3" t="n">
        <v>2</v>
      </c>
      <c r="N338" s="3" t="n">
        <v>2</v>
      </c>
      <c r="O338" s="3" t="n">
        <v>1</v>
      </c>
      <c r="P338" s="3" t="n">
        <v>2</v>
      </c>
      <c r="Q338" s="3" t="n">
        <v>2</v>
      </c>
      <c r="R338" s="3" t="n">
        <v>2</v>
      </c>
      <c r="S338" s="4" t="n">
        <v>2</v>
      </c>
      <c r="T338" s="3" t="n">
        <v>2</v>
      </c>
      <c r="U338" s="19" t="n">
        <v>4.38</v>
      </c>
      <c r="V338" s="19" t="n">
        <v>0.86</v>
      </c>
      <c r="W338" s="19" t="n">
        <v>20.82</v>
      </c>
      <c r="X338" s="3"/>
      <c r="Z338" s="19" t="n">
        <v>0.46</v>
      </c>
      <c r="AA338" s="19"/>
      <c r="AB338" s="3" t="n">
        <v>1</v>
      </c>
      <c r="AC338" s="3" t="n">
        <v>2</v>
      </c>
      <c r="AD338" s="3" t="n">
        <v>1</v>
      </c>
      <c r="AE338" s="3" t="n">
        <v>1</v>
      </c>
      <c r="AF338" s="3" t="n">
        <v>1</v>
      </c>
      <c r="AG338" s="3" t="n">
        <v>2</v>
      </c>
      <c r="AH338" s="3" t="n">
        <v>1</v>
      </c>
      <c r="AI338" s="3" t="n">
        <v>2</v>
      </c>
      <c r="AJ338" s="3" t="n">
        <v>2</v>
      </c>
      <c r="AK338" s="3" t="n">
        <v>2</v>
      </c>
      <c r="AL338" s="3" t="n">
        <v>2</v>
      </c>
      <c r="AM338" s="3" t="n">
        <v>2</v>
      </c>
      <c r="AN338" s="3" t="n">
        <v>2</v>
      </c>
      <c r="AO338" s="3" t="n">
        <v>3</v>
      </c>
      <c r="AP338" s="3" t="n">
        <v>4</v>
      </c>
      <c r="AQ338" s="3" t="n">
        <v>4</v>
      </c>
      <c r="AR338" s="3" t="n">
        <v>6</v>
      </c>
      <c r="AS338" s="3" t="n">
        <v>4</v>
      </c>
      <c r="AT338" s="3" t="n">
        <v>4</v>
      </c>
      <c r="AU338" s="3" t="n">
        <v>6</v>
      </c>
      <c r="AV338" s="3" t="n">
        <v>6</v>
      </c>
      <c r="AW338" s="3" t="n">
        <v>3</v>
      </c>
      <c r="AX338" s="3" t="n">
        <v>3</v>
      </c>
      <c r="AY338" s="3" t="n">
        <v>1</v>
      </c>
      <c r="AZ338" s="5" t="n">
        <v>1</v>
      </c>
      <c r="BA338" s="3" t="n">
        <v>1</v>
      </c>
      <c r="BB338" s="3" t="n">
        <v>1</v>
      </c>
      <c r="BC338" s="3" t="n">
        <v>2</v>
      </c>
      <c r="BD338" s="3" t="n">
        <v>1</v>
      </c>
      <c r="BE338" s="3" t="n">
        <v>2</v>
      </c>
      <c r="BF338" s="3" t="n">
        <v>1</v>
      </c>
      <c r="BG338" s="3" t="n">
        <v>4</v>
      </c>
      <c r="BH338" s="3" t="n">
        <v>1</v>
      </c>
      <c r="BI338" s="3" t="n">
        <v>1</v>
      </c>
    </row>
    <row r="339" customFormat="false" ht="12.75" hidden="false" customHeight="false" outlineLevel="0" collapsed="false">
      <c r="A339" s="17" t="s">
        <v>2904</v>
      </c>
      <c r="B339" s="17" t="s">
        <v>2905</v>
      </c>
      <c r="C339" s="17" t="s">
        <v>293</v>
      </c>
      <c r="D339" s="2" t="n">
        <v>209433</v>
      </c>
      <c r="E339" s="15" t="n">
        <v>44247</v>
      </c>
      <c r="F339" s="15" t="n">
        <v>44253</v>
      </c>
      <c r="G339" s="3" t="n">
        <v>6</v>
      </c>
      <c r="H339" s="3" t="n">
        <v>2</v>
      </c>
      <c r="I339" s="3" t="n">
        <v>59</v>
      </c>
      <c r="J339" s="3" t="n">
        <v>1</v>
      </c>
      <c r="K339" s="3" t="n">
        <v>1</v>
      </c>
      <c r="L339" s="3" t="n">
        <v>1</v>
      </c>
      <c r="M339" s="3" t="n">
        <v>2</v>
      </c>
      <c r="N339" s="3" t="n">
        <v>2</v>
      </c>
      <c r="O339" s="3" t="n">
        <v>2</v>
      </c>
      <c r="P339" s="3" t="n">
        <v>2</v>
      </c>
      <c r="Q339" s="3" t="n">
        <v>2</v>
      </c>
      <c r="R339" s="3" t="n">
        <v>2</v>
      </c>
      <c r="S339" s="4" t="n">
        <v>2</v>
      </c>
      <c r="T339" s="3" t="n">
        <v>2</v>
      </c>
      <c r="U339" s="3"/>
      <c r="V339" s="3"/>
      <c r="W339" s="3"/>
      <c r="X339" s="3"/>
      <c r="Z339" s="3"/>
      <c r="AA339" s="3"/>
      <c r="AB339" s="3"/>
      <c r="AC339" s="3" t="n">
        <v>2</v>
      </c>
      <c r="AD339" s="3" t="n">
        <v>1</v>
      </c>
      <c r="AE339" s="3" t="n">
        <v>1</v>
      </c>
      <c r="AF339" s="3" t="n">
        <v>2</v>
      </c>
      <c r="AG339" s="3" t="n">
        <v>1</v>
      </c>
      <c r="AH339" s="3" t="n">
        <v>1</v>
      </c>
      <c r="AI339" s="3" t="n">
        <v>2</v>
      </c>
      <c r="AJ339" s="3" t="n">
        <v>2</v>
      </c>
      <c r="AK339" s="3" t="n">
        <v>2</v>
      </c>
      <c r="AL339" s="3" t="n">
        <v>1</v>
      </c>
      <c r="AM339" s="3" t="n">
        <v>2</v>
      </c>
      <c r="AN339" s="3" t="n">
        <v>2</v>
      </c>
      <c r="AO339" s="3" t="n">
        <v>3</v>
      </c>
      <c r="AP339" s="3" t="n">
        <v>4</v>
      </c>
      <c r="AQ339" s="3" t="n">
        <v>4</v>
      </c>
      <c r="AR339" s="3" t="n">
        <v>6</v>
      </c>
      <c r="AS339" s="3" t="n">
        <v>4</v>
      </c>
      <c r="AT339" s="3" t="n">
        <v>4</v>
      </c>
      <c r="AU339" s="3" t="n">
        <v>6</v>
      </c>
      <c r="AV339" s="3" t="n">
        <v>6</v>
      </c>
      <c r="AW339" s="3" t="n">
        <v>3</v>
      </c>
      <c r="AX339" s="3" t="n">
        <v>3</v>
      </c>
      <c r="AY339" s="3" t="n">
        <v>4</v>
      </c>
      <c r="AZ339" s="5" t="n">
        <v>1</v>
      </c>
      <c r="BA339" s="3" t="n">
        <v>1</v>
      </c>
      <c r="BB339" s="3" t="n">
        <v>1</v>
      </c>
      <c r="BC339" s="3" t="n">
        <v>2</v>
      </c>
      <c r="BD339" s="3" t="n">
        <v>1</v>
      </c>
      <c r="BE339" s="3" t="n">
        <v>2</v>
      </c>
      <c r="BF339" s="3" t="n">
        <v>2</v>
      </c>
      <c r="BG339" s="3" t="n">
        <v>4</v>
      </c>
      <c r="BH339" s="3" t="n">
        <v>1</v>
      </c>
      <c r="BI339" s="3" t="n">
        <v>1</v>
      </c>
    </row>
    <row r="340" customFormat="false" ht="12.75" hidden="false" customHeight="false" outlineLevel="0" collapsed="false">
      <c r="A340" s="17" t="s">
        <v>1477</v>
      </c>
      <c r="B340" s="17" t="s">
        <v>109</v>
      </c>
      <c r="C340" s="17" t="s">
        <v>2907</v>
      </c>
      <c r="D340" s="2" t="n">
        <v>209416</v>
      </c>
      <c r="E340" s="15" t="n">
        <v>44246</v>
      </c>
      <c r="F340" s="15" t="n">
        <v>44253</v>
      </c>
      <c r="G340" s="3" t="n">
        <v>7</v>
      </c>
      <c r="H340" s="3" t="n">
        <v>2</v>
      </c>
      <c r="I340" s="3" t="n">
        <v>62</v>
      </c>
      <c r="J340" s="3" t="n">
        <v>1</v>
      </c>
      <c r="K340" s="3" t="n">
        <v>1</v>
      </c>
      <c r="L340" s="3" t="n">
        <v>2</v>
      </c>
      <c r="M340" s="3" t="n">
        <v>2</v>
      </c>
      <c r="N340" s="3" t="n">
        <v>2</v>
      </c>
      <c r="O340" s="3" t="n">
        <v>2</v>
      </c>
      <c r="P340" s="3" t="n">
        <v>2</v>
      </c>
      <c r="Q340" s="3" t="n">
        <v>2</v>
      </c>
      <c r="R340" s="3" t="n">
        <v>2</v>
      </c>
      <c r="S340" s="4" t="n">
        <v>2</v>
      </c>
      <c r="T340" s="3" t="n">
        <v>2</v>
      </c>
      <c r="U340" s="3" t="n">
        <v>5.5</v>
      </c>
      <c r="V340" s="3" t="n">
        <v>0.51</v>
      </c>
      <c r="W340" s="3" t="n">
        <v>3.69</v>
      </c>
      <c r="X340" s="3" t="n">
        <v>332</v>
      </c>
      <c r="Z340" s="3" t="n">
        <v>0.4</v>
      </c>
      <c r="AA340" s="3" t="n">
        <v>15</v>
      </c>
      <c r="AB340" s="3" t="n">
        <v>1</v>
      </c>
      <c r="AC340" s="3" t="n">
        <v>2</v>
      </c>
      <c r="AD340" s="3" t="n">
        <v>1</v>
      </c>
      <c r="AE340" s="3" t="n">
        <v>1</v>
      </c>
      <c r="AF340" s="3" t="n">
        <v>1</v>
      </c>
      <c r="AG340" s="3" t="n">
        <v>2</v>
      </c>
      <c r="AH340" s="3" t="n">
        <v>1</v>
      </c>
      <c r="AI340" s="3" t="n">
        <v>2</v>
      </c>
      <c r="AJ340" s="3" t="n">
        <v>2</v>
      </c>
      <c r="AK340" s="3" t="n">
        <v>2</v>
      </c>
      <c r="AL340" s="3" t="n">
        <v>2</v>
      </c>
      <c r="AM340" s="3" t="n">
        <v>2</v>
      </c>
      <c r="AN340" s="3" t="n">
        <v>2</v>
      </c>
      <c r="AO340" s="3" t="n">
        <v>3</v>
      </c>
      <c r="AP340" s="3" t="n">
        <v>4</v>
      </c>
      <c r="AQ340" s="3" t="n">
        <v>4</v>
      </c>
      <c r="AR340" s="3" t="n">
        <v>6</v>
      </c>
      <c r="AS340" s="3" t="n">
        <v>4</v>
      </c>
      <c r="AT340" s="3" t="n">
        <v>4</v>
      </c>
      <c r="AU340" s="3" t="n">
        <v>6</v>
      </c>
      <c r="AV340" s="3" t="n">
        <v>6</v>
      </c>
      <c r="AW340" s="3" t="n">
        <v>3</v>
      </c>
      <c r="AX340" s="3" t="n">
        <v>3</v>
      </c>
      <c r="AY340" s="3" t="n">
        <v>1</v>
      </c>
      <c r="AZ340" s="5" t="n">
        <v>1</v>
      </c>
      <c r="BA340" s="3" t="n">
        <v>1</v>
      </c>
      <c r="BB340" s="3" t="n">
        <v>1</v>
      </c>
      <c r="BC340" s="3" t="n">
        <v>2</v>
      </c>
      <c r="BD340" s="3" t="n">
        <v>1</v>
      </c>
      <c r="BE340" s="3" t="n">
        <v>2</v>
      </c>
      <c r="BF340" s="3" t="n">
        <v>1</v>
      </c>
      <c r="BG340" s="3" t="n">
        <v>4</v>
      </c>
      <c r="BH340" s="3" t="n">
        <v>1</v>
      </c>
      <c r="BI340" s="3" t="n">
        <v>1</v>
      </c>
    </row>
    <row r="341" customFormat="false" ht="12.75" hidden="false" customHeight="false" outlineLevel="0" collapsed="false">
      <c r="A341" s="17" t="s">
        <v>2915</v>
      </c>
      <c r="B341" s="17" t="s">
        <v>2916</v>
      </c>
      <c r="C341" s="17" t="s">
        <v>2917</v>
      </c>
      <c r="D341" s="2" t="n">
        <v>209409</v>
      </c>
      <c r="E341" s="15" t="n">
        <v>44246</v>
      </c>
      <c r="F341" s="15" t="n">
        <v>44256</v>
      </c>
      <c r="G341" s="3" t="n">
        <v>10</v>
      </c>
      <c r="H341" s="3" t="n">
        <v>2</v>
      </c>
      <c r="I341" s="3" t="n">
        <v>71</v>
      </c>
      <c r="J341" s="3" t="n">
        <v>1</v>
      </c>
      <c r="K341" s="3" t="n">
        <v>2</v>
      </c>
      <c r="L341" s="3" t="n">
        <v>2</v>
      </c>
      <c r="M341" s="3" t="n">
        <v>2</v>
      </c>
      <c r="N341" s="3" t="n">
        <v>2</v>
      </c>
      <c r="O341" s="3" t="n">
        <v>2</v>
      </c>
      <c r="P341" s="3" t="n">
        <v>2</v>
      </c>
      <c r="Q341" s="3" t="n">
        <v>2</v>
      </c>
      <c r="R341" s="3" t="n">
        <v>2</v>
      </c>
      <c r="S341" s="4" t="n">
        <v>2</v>
      </c>
      <c r="T341" s="3" t="n">
        <v>2</v>
      </c>
      <c r="U341" s="3" t="n">
        <v>5.47</v>
      </c>
      <c r="V341" s="3" t="n">
        <v>1.52</v>
      </c>
      <c r="W341" s="3" t="n">
        <v>9.72</v>
      </c>
      <c r="X341" s="3" t="n">
        <v>404</v>
      </c>
      <c r="Z341" s="3" t="n">
        <v>0.45</v>
      </c>
      <c r="AA341" s="3" t="n">
        <v>11</v>
      </c>
      <c r="AB341" s="3" t="n">
        <v>1</v>
      </c>
      <c r="AC341" s="3" t="n">
        <v>2</v>
      </c>
      <c r="AD341" s="3" t="n">
        <v>1</v>
      </c>
      <c r="AE341" s="3" t="n">
        <v>1</v>
      </c>
      <c r="AF341" s="3" t="n">
        <v>1</v>
      </c>
      <c r="AG341" s="3" t="n">
        <v>2</v>
      </c>
      <c r="AH341" s="3" t="n">
        <v>1</v>
      </c>
      <c r="AI341" s="3" t="n">
        <v>2</v>
      </c>
      <c r="AJ341" s="3" t="n">
        <v>2</v>
      </c>
      <c r="AK341" s="3" t="n">
        <v>1</v>
      </c>
      <c r="AL341" s="3" t="n">
        <v>1</v>
      </c>
      <c r="AM341" s="3" t="n">
        <v>2</v>
      </c>
      <c r="AN341" s="3" t="n">
        <v>2</v>
      </c>
      <c r="AO341" s="3" t="n">
        <v>2</v>
      </c>
      <c r="AP341" s="3" t="n">
        <v>2</v>
      </c>
      <c r="AQ341" s="3" t="n">
        <v>2</v>
      </c>
      <c r="AR341" s="3" t="n">
        <v>2</v>
      </c>
      <c r="AS341" s="3" t="n">
        <v>1</v>
      </c>
      <c r="AT341" s="3" t="n">
        <v>1</v>
      </c>
      <c r="AU341" s="3" t="n">
        <v>1</v>
      </c>
      <c r="AV341" s="3" t="n">
        <v>1</v>
      </c>
      <c r="AW341" s="3" t="n">
        <v>2</v>
      </c>
      <c r="AX341" s="3" t="n">
        <v>2</v>
      </c>
      <c r="AY341" s="3" t="n">
        <v>4</v>
      </c>
      <c r="AZ341" s="5" t="n">
        <v>1</v>
      </c>
      <c r="BA341" s="3" t="n">
        <v>1</v>
      </c>
      <c r="BB341" s="3" t="n">
        <v>1</v>
      </c>
      <c r="BC341" s="3" t="n">
        <v>2</v>
      </c>
      <c r="BD341" s="3" t="n">
        <v>1</v>
      </c>
      <c r="BE341" s="3" t="n">
        <v>2</v>
      </c>
      <c r="BF341" s="3" t="n">
        <v>1</v>
      </c>
      <c r="BG341" s="3" t="n">
        <v>4</v>
      </c>
      <c r="BH341" s="3" t="n">
        <v>1</v>
      </c>
      <c r="BI341" s="3" t="n">
        <v>1</v>
      </c>
    </row>
    <row r="342" customFormat="false" ht="12.75" hidden="false" customHeight="false" outlineLevel="0" collapsed="false">
      <c r="A342" s="17" t="s">
        <v>2921</v>
      </c>
      <c r="B342" s="17" t="s">
        <v>304</v>
      </c>
      <c r="C342" s="17" t="s">
        <v>783</v>
      </c>
      <c r="D342" s="2" t="n">
        <v>101827</v>
      </c>
      <c r="E342" s="15" t="n">
        <v>44249</v>
      </c>
      <c r="F342" s="15" t="n">
        <v>44256</v>
      </c>
      <c r="G342" s="3" t="n">
        <v>7</v>
      </c>
      <c r="H342" s="3" t="n">
        <v>2</v>
      </c>
      <c r="I342" s="3" t="n">
        <v>56</v>
      </c>
      <c r="J342" s="3" t="n">
        <v>1</v>
      </c>
      <c r="K342" s="3" t="n">
        <v>1</v>
      </c>
      <c r="L342" s="3" t="n">
        <v>1</v>
      </c>
      <c r="M342" s="3" t="n">
        <v>2</v>
      </c>
      <c r="N342" s="3" t="n">
        <v>2</v>
      </c>
      <c r="O342" s="3" t="n">
        <v>2</v>
      </c>
      <c r="P342" s="3" t="n">
        <v>1</v>
      </c>
      <c r="Q342" s="3" t="n">
        <v>2</v>
      </c>
      <c r="R342" s="3" t="n">
        <v>2</v>
      </c>
      <c r="S342" s="4" t="n">
        <v>2</v>
      </c>
      <c r="T342" s="3" t="n">
        <v>2</v>
      </c>
      <c r="U342" s="19" t="s">
        <v>2922</v>
      </c>
      <c r="V342" s="3" t="n">
        <v>0.74</v>
      </c>
      <c r="W342" s="3" t="n">
        <v>4.87</v>
      </c>
      <c r="X342" s="3" t="n">
        <v>323</v>
      </c>
      <c r="Z342" s="3" t="n">
        <v>0.27</v>
      </c>
      <c r="AA342" s="3" t="n">
        <v>8.6</v>
      </c>
      <c r="AB342" s="3" t="n">
        <v>1</v>
      </c>
      <c r="AC342" s="3" t="n">
        <v>1</v>
      </c>
      <c r="AD342" s="3" t="n">
        <v>1</v>
      </c>
      <c r="AE342" s="3" t="n">
        <v>1</v>
      </c>
      <c r="AF342" s="3" t="n">
        <v>2</v>
      </c>
      <c r="AG342" s="3" t="n">
        <v>1</v>
      </c>
      <c r="AH342" s="3" t="n">
        <v>1</v>
      </c>
      <c r="AI342" s="3" t="n">
        <v>2</v>
      </c>
      <c r="AJ342" s="3" t="n">
        <v>2</v>
      </c>
      <c r="AK342" s="3" t="n">
        <v>2</v>
      </c>
      <c r="AL342" s="3" t="n">
        <v>2</v>
      </c>
      <c r="AM342" s="3" t="n">
        <v>2</v>
      </c>
      <c r="AN342" s="3" t="n">
        <v>2</v>
      </c>
      <c r="AO342" s="3" t="n">
        <v>3</v>
      </c>
      <c r="AP342" s="3" t="n">
        <v>4</v>
      </c>
      <c r="AQ342" s="3" t="n">
        <v>4</v>
      </c>
      <c r="AR342" s="3" t="n">
        <v>6</v>
      </c>
      <c r="AS342" s="3" t="n">
        <v>4</v>
      </c>
      <c r="AT342" s="3" t="n">
        <v>4</v>
      </c>
      <c r="AU342" s="3" t="n">
        <v>6</v>
      </c>
      <c r="AV342" s="3" t="n">
        <v>6</v>
      </c>
      <c r="AW342" s="3" t="n">
        <v>3</v>
      </c>
      <c r="AX342" s="3" t="n">
        <v>3</v>
      </c>
      <c r="AY342" s="3" t="n">
        <v>1</v>
      </c>
      <c r="AZ342" s="5" t="n">
        <v>5</v>
      </c>
      <c r="BA342" s="3" t="n">
        <v>2</v>
      </c>
      <c r="BB342" s="3" t="n">
        <v>1</v>
      </c>
      <c r="BC342" s="3" t="n">
        <v>6</v>
      </c>
      <c r="BD342" s="3" t="n">
        <v>3</v>
      </c>
      <c r="BE342" s="3" t="n">
        <v>5</v>
      </c>
      <c r="BF342" s="3" t="n">
        <v>3</v>
      </c>
      <c r="BG342" s="3" t="n">
        <v>4</v>
      </c>
      <c r="BH342" s="3" t="n">
        <v>1</v>
      </c>
      <c r="BI342" s="3" t="n">
        <v>1</v>
      </c>
    </row>
    <row r="343" customFormat="false" ht="12.75" hidden="false" customHeight="false" outlineLevel="0" collapsed="false">
      <c r="A343" s="17" t="s">
        <v>2929</v>
      </c>
      <c r="B343" s="17" t="s">
        <v>2930</v>
      </c>
      <c r="C343" s="17" t="s">
        <v>94</v>
      </c>
      <c r="D343" s="2" t="n">
        <v>209649</v>
      </c>
      <c r="E343" s="15" t="n">
        <v>44253</v>
      </c>
      <c r="F343" s="15" t="n">
        <v>44259</v>
      </c>
      <c r="G343" s="3" t="n">
        <v>6</v>
      </c>
      <c r="H343" s="3" t="n">
        <v>1</v>
      </c>
      <c r="I343" s="3" t="n">
        <v>62</v>
      </c>
      <c r="J343" s="3" t="n">
        <v>1</v>
      </c>
      <c r="K343" s="3" t="n">
        <v>1</v>
      </c>
      <c r="L343" s="3" t="n">
        <v>1</v>
      </c>
      <c r="M343" s="3" t="n">
        <v>2</v>
      </c>
      <c r="N343" s="3" t="n">
        <v>2</v>
      </c>
      <c r="O343" s="3" t="n">
        <v>2</v>
      </c>
      <c r="P343" s="3" t="n">
        <v>2</v>
      </c>
      <c r="Q343" s="3" t="n">
        <v>2</v>
      </c>
      <c r="R343" s="3" t="n">
        <v>2</v>
      </c>
      <c r="S343" s="4" t="n">
        <v>2</v>
      </c>
      <c r="T343" s="3" t="n">
        <v>2</v>
      </c>
      <c r="U343" s="3" t="n">
        <v>3.94</v>
      </c>
      <c r="V343" s="3" t="n">
        <v>0.79</v>
      </c>
      <c r="W343" s="3" t="n">
        <v>6.02</v>
      </c>
      <c r="X343" s="3" t="n">
        <v>385</v>
      </c>
      <c r="Z343" s="3" t="n">
        <v>0.53</v>
      </c>
      <c r="AA343" s="3" t="n">
        <v>9.9</v>
      </c>
      <c r="AB343" s="3" t="n">
        <v>1</v>
      </c>
      <c r="AC343" s="3" t="n">
        <v>2</v>
      </c>
      <c r="AD343" s="3" t="n">
        <v>2</v>
      </c>
      <c r="AE343" s="3" t="n">
        <v>1</v>
      </c>
      <c r="AF343" s="3" t="n">
        <v>2</v>
      </c>
      <c r="AG343" s="3" t="n">
        <v>2</v>
      </c>
      <c r="AH343" s="3" t="n">
        <v>1</v>
      </c>
      <c r="AI343" s="3" t="n">
        <v>2</v>
      </c>
      <c r="AJ343" s="3" t="n">
        <v>2</v>
      </c>
      <c r="AK343" s="3" t="n">
        <v>2</v>
      </c>
      <c r="AL343" s="3" t="n">
        <v>2</v>
      </c>
      <c r="AM343" s="3" t="n">
        <v>2</v>
      </c>
      <c r="AN343" s="3" t="n">
        <v>2</v>
      </c>
      <c r="AO343" s="3" t="n">
        <v>3</v>
      </c>
      <c r="AP343" s="3" t="n">
        <v>4</v>
      </c>
      <c r="AQ343" s="3" t="n">
        <v>4</v>
      </c>
      <c r="AR343" s="3" t="n">
        <v>6</v>
      </c>
      <c r="AS343" s="3" t="n">
        <v>4</v>
      </c>
      <c r="AT343" s="3" t="n">
        <v>4</v>
      </c>
      <c r="AU343" s="3" t="n">
        <v>6</v>
      </c>
      <c r="AV343" s="3" t="n">
        <v>6</v>
      </c>
      <c r="AW343" s="3" t="n">
        <v>3</v>
      </c>
      <c r="AX343" s="3" t="n">
        <v>3</v>
      </c>
      <c r="AY343" s="3" t="n">
        <v>1</v>
      </c>
      <c r="AZ343" s="5" t="n">
        <v>1</v>
      </c>
      <c r="BA343" s="3" t="n">
        <v>1</v>
      </c>
      <c r="BB343" s="3" t="n">
        <v>2</v>
      </c>
      <c r="BC343" s="3" t="n">
        <v>4</v>
      </c>
      <c r="BD343" s="3" t="n">
        <v>1</v>
      </c>
      <c r="BE343" s="3" t="n">
        <v>2</v>
      </c>
      <c r="BF343" s="3" t="n">
        <v>1</v>
      </c>
      <c r="BG343" s="3" t="n">
        <v>4</v>
      </c>
      <c r="BH343" s="3" t="n">
        <v>1</v>
      </c>
      <c r="BI343" s="3" t="n">
        <v>1</v>
      </c>
    </row>
    <row r="344" customFormat="false" ht="12.75" hidden="false" customHeight="false" outlineLevel="0" collapsed="false">
      <c r="A344" s="2" t="s">
        <v>228</v>
      </c>
      <c r="B344" s="2" t="s">
        <v>423</v>
      </c>
      <c r="C344" s="2" t="s">
        <v>2955</v>
      </c>
      <c r="D344" s="2" t="n">
        <v>210017</v>
      </c>
      <c r="E344" s="15" t="n">
        <v>44260</v>
      </c>
      <c r="F344" s="15" t="n">
        <v>44266</v>
      </c>
      <c r="G344" s="3"/>
      <c r="H344" s="3" t="n">
        <v>2</v>
      </c>
      <c r="I344" s="3" t="n">
        <v>74</v>
      </c>
      <c r="J344" s="3" t="n">
        <v>1</v>
      </c>
      <c r="K344" s="3" t="n">
        <v>2</v>
      </c>
      <c r="L344" s="3" t="n">
        <v>2</v>
      </c>
      <c r="M344" s="3" t="n">
        <v>2</v>
      </c>
      <c r="N344" s="3" t="n">
        <v>2</v>
      </c>
      <c r="O344" s="3" t="n">
        <v>2</v>
      </c>
      <c r="P344" s="3" t="n">
        <v>2</v>
      </c>
      <c r="Q344" s="3" t="n">
        <v>2</v>
      </c>
      <c r="R344" s="3" t="n">
        <v>2</v>
      </c>
      <c r="S344" s="4" t="n">
        <v>2</v>
      </c>
      <c r="T344" s="3" t="n">
        <v>2</v>
      </c>
      <c r="U344" s="3" t="n">
        <v>4.88</v>
      </c>
      <c r="V344" s="3" t="n">
        <v>1.19</v>
      </c>
      <c r="W344" s="3" t="n">
        <v>3.42</v>
      </c>
      <c r="X344" s="3" t="n">
        <v>468</v>
      </c>
      <c r="Z344" s="3" t="n">
        <v>0.42</v>
      </c>
      <c r="AA344" s="3" t="n">
        <v>7.6</v>
      </c>
      <c r="AB344" s="3" t="n">
        <v>1</v>
      </c>
      <c r="AC344" s="3" t="n">
        <v>2</v>
      </c>
      <c r="AD344" s="3" t="n">
        <v>1</v>
      </c>
      <c r="AE344" s="3" t="n">
        <v>1</v>
      </c>
      <c r="AF344" s="3" t="n">
        <v>2</v>
      </c>
      <c r="AG344" s="3" t="n">
        <v>2</v>
      </c>
      <c r="AH344" s="3" t="n">
        <v>1</v>
      </c>
      <c r="AI344" s="3" t="n">
        <v>2</v>
      </c>
      <c r="AJ344" s="3" t="n">
        <v>2</v>
      </c>
      <c r="AK344" s="3" t="n">
        <v>2</v>
      </c>
      <c r="AL344" s="3" t="n">
        <v>2</v>
      </c>
      <c r="AM344" s="3" t="n">
        <v>2</v>
      </c>
      <c r="AN344" s="3" t="n">
        <v>2</v>
      </c>
      <c r="AO344" s="3" t="n">
        <v>3</v>
      </c>
      <c r="AP344" s="3" t="n">
        <v>4</v>
      </c>
      <c r="AQ344" s="3" t="n">
        <v>4</v>
      </c>
      <c r="AR344" s="3" t="n">
        <v>6</v>
      </c>
      <c r="AS344" s="3" t="n">
        <v>4</v>
      </c>
      <c r="AT344" s="3" t="n">
        <v>4</v>
      </c>
      <c r="AU344" s="3" t="n">
        <v>6</v>
      </c>
      <c r="AV344" s="3" t="n">
        <v>6</v>
      </c>
      <c r="AW344" s="3" t="n">
        <v>3</v>
      </c>
      <c r="AX344" s="3" t="n">
        <v>3</v>
      </c>
      <c r="AY344" s="3" t="n">
        <v>1</v>
      </c>
      <c r="AZ344" s="5" t="n">
        <v>1</v>
      </c>
      <c r="BA344" s="3" t="n">
        <v>1</v>
      </c>
      <c r="BB344" s="3" t="n">
        <v>1</v>
      </c>
      <c r="BC344" s="3" t="n">
        <v>4</v>
      </c>
      <c r="BD344" s="3" t="n">
        <v>3</v>
      </c>
      <c r="BE344" s="3" t="n">
        <v>5</v>
      </c>
      <c r="BF344" s="3" t="n">
        <v>3</v>
      </c>
      <c r="BG344" s="3" t="n">
        <v>4</v>
      </c>
      <c r="BH344" s="3" t="n">
        <v>1</v>
      </c>
      <c r="BI344" s="3" t="n">
        <v>1</v>
      </c>
    </row>
    <row r="345" customFormat="false" ht="12.75" hidden="false" customHeight="false" outlineLevel="0" collapsed="false">
      <c r="A345" s="2" t="s">
        <v>2958</v>
      </c>
      <c r="B345" s="2" t="s">
        <v>78</v>
      </c>
      <c r="C345" s="2" t="s">
        <v>66</v>
      </c>
      <c r="D345" s="2" t="n">
        <v>210020</v>
      </c>
      <c r="E345" s="15" t="n">
        <v>44260</v>
      </c>
      <c r="F345" s="15" t="n">
        <v>44267</v>
      </c>
      <c r="G345" s="3" t="n">
        <v>7</v>
      </c>
      <c r="H345" s="3" t="n">
        <v>2</v>
      </c>
      <c r="I345" s="3" t="n">
        <v>46</v>
      </c>
      <c r="J345" s="3" t="n">
        <v>1</v>
      </c>
      <c r="K345" s="3" t="n">
        <v>2</v>
      </c>
      <c r="L345" s="3" t="n">
        <v>1</v>
      </c>
      <c r="M345" s="3" t="n">
        <v>2</v>
      </c>
      <c r="N345" s="3" t="n">
        <v>2</v>
      </c>
      <c r="O345" s="3" t="n">
        <v>2</v>
      </c>
      <c r="P345" s="3" t="n">
        <v>1</v>
      </c>
      <c r="Q345" s="3" t="n">
        <v>2</v>
      </c>
      <c r="R345" s="3" t="n">
        <v>2</v>
      </c>
      <c r="S345" s="4" t="n">
        <v>2</v>
      </c>
      <c r="T345" s="3" t="n">
        <v>2</v>
      </c>
      <c r="U345" s="3" t="n">
        <v>5.55</v>
      </c>
      <c r="V345" s="3" t="n">
        <v>2.83</v>
      </c>
      <c r="W345" s="3" t="n">
        <v>7.17</v>
      </c>
      <c r="X345" s="3" t="n">
        <v>544</v>
      </c>
      <c r="Z345" s="3" t="n">
        <v>0.46</v>
      </c>
      <c r="AA345" s="3" t="n">
        <v>11.1</v>
      </c>
      <c r="AB345" s="3" t="n">
        <v>1</v>
      </c>
      <c r="AC345" s="3" t="n">
        <v>2</v>
      </c>
      <c r="AD345" s="3" t="n">
        <v>1</v>
      </c>
      <c r="AE345" s="3" t="n">
        <v>1</v>
      </c>
      <c r="AF345" s="3" t="n">
        <v>1</v>
      </c>
      <c r="AG345" s="3" t="n">
        <v>2</v>
      </c>
      <c r="AH345" s="3" t="n">
        <v>1</v>
      </c>
      <c r="AI345" s="3" t="n">
        <v>2</v>
      </c>
      <c r="AJ345" s="3" t="n">
        <v>1</v>
      </c>
      <c r="AK345" s="3" t="n">
        <v>2</v>
      </c>
      <c r="AL345" s="3" t="n">
        <v>1</v>
      </c>
      <c r="AM345" s="3" t="n">
        <v>2</v>
      </c>
      <c r="AN345" s="3" t="n">
        <v>2</v>
      </c>
      <c r="AO345" s="3" t="n">
        <v>3</v>
      </c>
      <c r="AP345" s="3" t="n">
        <v>4</v>
      </c>
      <c r="AQ345" s="3" t="n">
        <v>4</v>
      </c>
      <c r="AR345" s="3" t="n">
        <v>6</v>
      </c>
      <c r="AS345" s="3" t="n">
        <v>4</v>
      </c>
      <c r="AT345" s="3" t="n">
        <v>4</v>
      </c>
      <c r="AU345" s="3" t="n">
        <v>6</v>
      </c>
      <c r="AV345" s="3" t="n">
        <v>6</v>
      </c>
      <c r="AW345" s="3" t="n">
        <v>3</v>
      </c>
      <c r="AX345" s="3" t="n">
        <v>3</v>
      </c>
      <c r="AY345" s="3" t="n">
        <v>1</v>
      </c>
      <c r="AZ345" s="5" t="n">
        <v>1</v>
      </c>
      <c r="BA345" s="3" t="n">
        <v>1</v>
      </c>
      <c r="BB345" s="3" t="n">
        <v>1</v>
      </c>
      <c r="BC345" s="3" t="n">
        <v>4</v>
      </c>
      <c r="BD345" s="3" t="n">
        <v>3</v>
      </c>
      <c r="BE345" s="3" t="n">
        <v>5</v>
      </c>
      <c r="BF345" s="3" t="n">
        <v>3</v>
      </c>
      <c r="BG345" s="3" t="n">
        <v>4</v>
      </c>
      <c r="BH345" s="3" t="n">
        <v>1</v>
      </c>
      <c r="BI345" s="3" t="n">
        <v>1</v>
      </c>
    </row>
    <row r="346" customFormat="false" ht="12.75" hidden="false" customHeight="false" outlineLevel="0" collapsed="false">
      <c r="A346" s="2" t="s">
        <v>2960</v>
      </c>
      <c r="B346" s="2" t="s">
        <v>1237</v>
      </c>
      <c r="C346" s="2" t="s">
        <v>2955</v>
      </c>
      <c r="D346" s="2" t="n">
        <v>210342</v>
      </c>
      <c r="E346" s="15" t="n">
        <v>44261</v>
      </c>
      <c r="F346" s="15" t="n">
        <v>44268</v>
      </c>
      <c r="G346" s="3" t="n">
        <v>7</v>
      </c>
      <c r="H346" s="3" t="n">
        <v>1</v>
      </c>
      <c r="I346" s="3" t="n">
        <v>69</v>
      </c>
      <c r="J346" s="3" t="n">
        <v>1</v>
      </c>
      <c r="K346" s="3" t="n">
        <v>1</v>
      </c>
      <c r="L346" s="3" t="n">
        <v>1</v>
      </c>
      <c r="M346" s="3" t="n">
        <v>2</v>
      </c>
      <c r="N346" s="3" t="n">
        <v>2</v>
      </c>
      <c r="O346" s="3" t="n">
        <v>2</v>
      </c>
      <c r="P346" s="3" t="n">
        <v>2</v>
      </c>
      <c r="Q346" s="3" t="n">
        <v>2</v>
      </c>
      <c r="R346" s="3" t="n">
        <v>2</v>
      </c>
      <c r="S346" s="4" t="n">
        <v>2</v>
      </c>
      <c r="T346" s="3" t="n">
        <v>2</v>
      </c>
      <c r="U346" s="3" t="n">
        <v>5.86</v>
      </c>
      <c r="V346" s="3" t="n">
        <v>2.11</v>
      </c>
      <c r="W346" s="3" t="n">
        <v>4.31</v>
      </c>
      <c r="X346" s="3" t="n">
        <v>673</v>
      </c>
      <c r="Z346" s="3" t="n">
        <v>0.38</v>
      </c>
      <c r="AA346" s="3" t="n">
        <v>8.8</v>
      </c>
      <c r="AB346" s="3" t="n">
        <v>1</v>
      </c>
      <c r="AC346" s="3" t="n">
        <v>2</v>
      </c>
      <c r="AD346" s="3" t="n">
        <v>1</v>
      </c>
      <c r="AE346" s="3" t="n">
        <v>1</v>
      </c>
      <c r="AF346" s="3" t="n">
        <v>2</v>
      </c>
      <c r="AG346" s="3" t="n">
        <v>2</v>
      </c>
      <c r="AH346" s="3" t="n">
        <v>1</v>
      </c>
      <c r="AI346" s="3" t="n">
        <v>2</v>
      </c>
      <c r="AJ346" s="3" t="n">
        <v>2</v>
      </c>
      <c r="AK346" s="3" t="n">
        <v>2</v>
      </c>
      <c r="AL346" s="3" t="n">
        <v>2</v>
      </c>
      <c r="AM346" s="3" t="n">
        <v>2</v>
      </c>
      <c r="AN346" s="3" t="n">
        <v>2</v>
      </c>
      <c r="AO346" s="3" t="n">
        <v>3</v>
      </c>
      <c r="AP346" s="3" t="n">
        <v>4</v>
      </c>
      <c r="AQ346" s="3" t="n">
        <v>4</v>
      </c>
      <c r="AR346" s="3" t="n">
        <v>6</v>
      </c>
      <c r="AS346" s="3" t="n">
        <v>4</v>
      </c>
      <c r="AT346" s="3" t="n">
        <v>4</v>
      </c>
      <c r="AU346" s="3" t="n">
        <v>6</v>
      </c>
      <c r="AV346" s="3" t="n">
        <v>6</v>
      </c>
      <c r="AW346" s="3" t="n">
        <v>3</v>
      </c>
      <c r="AX346" s="3" t="n">
        <v>3</v>
      </c>
      <c r="AY346" s="3" t="n">
        <v>1</v>
      </c>
      <c r="AZ346" s="5" t="n">
        <v>1</v>
      </c>
      <c r="BA346" s="3" t="n">
        <v>1</v>
      </c>
      <c r="BB346" s="3" t="n">
        <v>1</v>
      </c>
      <c r="BC346" s="3" t="n">
        <v>4</v>
      </c>
      <c r="BD346" s="3" t="n">
        <v>1</v>
      </c>
      <c r="BE346" s="3" t="n">
        <v>2</v>
      </c>
      <c r="BF346" s="3" t="n">
        <v>1</v>
      </c>
      <c r="BG346" s="3" t="n">
        <v>4</v>
      </c>
      <c r="BH346" s="3" t="n">
        <v>1</v>
      </c>
      <c r="BI346" s="3" t="n">
        <v>1</v>
      </c>
    </row>
    <row r="347" customFormat="false" ht="12.75" hidden="false" customHeight="false" outlineLevel="0" collapsed="false">
      <c r="A347" s="2" t="s">
        <v>2964</v>
      </c>
      <c r="B347" s="2" t="s">
        <v>127</v>
      </c>
      <c r="C347" s="2" t="s">
        <v>1322</v>
      </c>
      <c r="D347" s="2" t="n">
        <v>210374</v>
      </c>
      <c r="E347" s="15" t="n">
        <v>44262</v>
      </c>
      <c r="F347" s="15" t="n">
        <v>44269</v>
      </c>
      <c r="G347" s="3" t="n">
        <v>7</v>
      </c>
      <c r="H347" s="3" t="n">
        <v>2</v>
      </c>
      <c r="I347" s="3" t="n">
        <v>79</v>
      </c>
      <c r="J347" s="3" t="n">
        <v>1</v>
      </c>
      <c r="K347" s="3" t="n">
        <v>2</v>
      </c>
      <c r="L347" s="3" t="n">
        <v>1</v>
      </c>
      <c r="M347" s="3" t="n">
        <v>2</v>
      </c>
      <c r="N347" s="3" t="n">
        <v>2</v>
      </c>
      <c r="O347" s="3" t="n">
        <v>2</v>
      </c>
      <c r="P347" s="3" t="n">
        <v>2</v>
      </c>
      <c r="Q347" s="3" t="n">
        <v>2</v>
      </c>
      <c r="R347" s="3" t="n">
        <v>2</v>
      </c>
      <c r="S347" s="4" t="n">
        <v>2</v>
      </c>
      <c r="T347" s="3" t="n">
        <v>2</v>
      </c>
      <c r="U347" s="3" t="n">
        <v>3.2</v>
      </c>
      <c r="V347" s="3" t="n">
        <v>1.02</v>
      </c>
      <c r="W347" s="3" t="n">
        <v>6.78</v>
      </c>
      <c r="X347" s="3" t="n">
        <v>438</v>
      </c>
      <c r="Z347" s="3" t="n">
        <v>0.41</v>
      </c>
      <c r="AA347" s="3" t="n">
        <v>11</v>
      </c>
      <c r="AB347" s="3" t="n">
        <v>1</v>
      </c>
      <c r="AC347" s="3" t="n">
        <v>2</v>
      </c>
      <c r="AD347" s="3" t="n">
        <v>1</v>
      </c>
      <c r="AE347" s="3" t="n">
        <v>1</v>
      </c>
      <c r="AF347" s="3" t="n">
        <v>2</v>
      </c>
      <c r="AG347" s="3" t="n">
        <v>2</v>
      </c>
      <c r="AH347" s="3" t="n">
        <v>1</v>
      </c>
      <c r="AI347" s="3" t="n">
        <v>2</v>
      </c>
      <c r="AJ347" s="3" t="n">
        <v>2</v>
      </c>
      <c r="AK347" s="3" t="n">
        <v>2</v>
      </c>
      <c r="AL347" s="3" t="n">
        <v>2</v>
      </c>
      <c r="AM347" s="3" t="n">
        <v>2</v>
      </c>
      <c r="AN347" s="3" t="n">
        <v>2</v>
      </c>
      <c r="AO347" s="3" t="n">
        <v>3</v>
      </c>
      <c r="AP347" s="3" t="n">
        <v>4</v>
      </c>
      <c r="AQ347" s="3" t="n">
        <v>4</v>
      </c>
      <c r="AR347" s="3" t="n">
        <v>6</v>
      </c>
      <c r="AS347" s="3" t="n">
        <v>4</v>
      </c>
      <c r="AT347" s="3" t="n">
        <v>4</v>
      </c>
      <c r="AU347" s="3" t="n">
        <v>6</v>
      </c>
      <c r="AV347" s="3" t="n">
        <v>6</v>
      </c>
      <c r="AW347" s="3" t="n">
        <v>3</v>
      </c>
      <c r="AX347" s="3" t="n">
        <v>3</v>
      </c>
      <c r="AY347" s="3" t="n">
        <v>1</v>
      </c>
      <c r="AZ347" s="5" t="n">
        <v>1</v>
      </c>
      <c r="BA347" s="3" t="n">
        <v>1</v>
      </c>
      <c r="BB347" s="3" t="n">
        <v>1</v>
      </c>
      <c r="BC347" s="3" t="n">
        <v>4</v>
      </c>
      <c r="BD347" s="3" t="n">
        <v>1</v>
      </c>
      <c r="BE347" s="3" t="n">
        <v>2</v>
      </c>
      <c r="BF347" s="3" t="n">
        <v>1</v>
      </c>
      <c r="BG347" s="3" t="n">
        <v>4</v>
      </c>
      <c r="BH347" s="3" t="n">
        <v>1</v>
      </c>
      <c r="BI347" s="3" t="n">
        <v>1</v>
      </c>
    </row>
    <row r="348" customFormat="false" ht="12.75" hidden="false" customHeight="false" outlineLevel="0" collapsed="false">
      <c r="A348" s="2" t="s">
        <v>2966</v>
      </c>
      <c r="B348" s="2" t="s">
        <v>118</v>
      </c>
      <c r="C348" s="2" t="s">
        <v>2967</v>
      </c>
      <c r="D348" s="2" t="n">
        <v>210480</v>
      </c>
      <c r="E348" s="15" t="n">
        <v>44263</v>
      </c>
      <c r="F348" s="15" t="n">
        <v>44270</v>
      </c>
      <c r="G348" s="3" t="n">
        <v>7</v>
      </c>
      <c r="H348" s="3" t="n">
        <v>2</v>
      </c>
      <c r="I348" s="3" t="n">
        <v>75</v>
      </c>
      <c r="J348" s="3" t="n">
        <v>1</v>
      </c>
      <c r="K348" s="3" t="n">
        <v>2</v>
      </c>
      <c r="L348" s="3" t="n">
        <v>1</v>
      </c>
      <c r="M348" s="3" t="n">
        <v>2</v>
      </c>
      <c r="N348" s="3" t="n">
        <v>2</v>
      </c>
      <c r="O348" s="3" t="n">
        <v>2</v>
      </c>
      <c r="P348" s="3" t="n">
        <v>2</v>
      </c>
      <c r="Q348" s="3" t="n">
        <v>2</v>
      </c>
      <c r="R348" s="3" t="n">
        <v>2</v>
      </c>
      <c r="S348" s="4" t="n">
        <v>2</v>
      </c>
      <c r="T348" s="3" t="n">
        <v>2</v>
      </c>
      <c r="U348" s="3" t="n">
        <v>5.03</v>
      </c>
      <c r="V348" s="3" t="n">
        <v>1.1</v>
      </c>
      <c r="W348" s="3" t="n">
        <v>6.69</v>
      </c>
      <c r="X348" s="3" t="n">
        <v>441</v>
      </c>
      <c r="Z348" s="3" t="n">
        <v>0.46</v>
      </c>
      <c r="AA348" s="3" t="n">
        <v>14.5</v>
      </c>
      <c r="AB348" s="3" t="n">
        <v>2</v>
      </c>
      <c r="AC348" s="3" t="n">
        <v>2</v>
      </c>
      <c r="AD348" s="3" t="n">
        <v>1</v>
      </c>
      <c r="AE348" s="3" t="n">
        <v>2</v>
      </c>
      <c r="AF348" s="3" t="n">
        <v>2</v>
      </c>
      <c r="AG348" s="3" t="n">
        <v>2</v>
      </c>
      <c r="AH348" s="3" t="n">
        <v>1</v>
      </c>
      <c r="AI348" s="3" t="n">
        <v>2</v>
      </c>
      <c r="AJ348" s="3" t="n">
        <v>2</v>
      </c>
      <c r="AK348" s="3" t="n">
        <v>2</v>
      </c>
      <c r="AL348" s="3" t="n">
        <v>2</v>
      </c>
      <c r="AM348" s="3" t="n">
        <v>2</v>
      </c>
      <c r="AN348" s="3" t="n">
        <v>2</v>
      </c>
      <c r="AO348" s="3" t="n">
        <v>3</v>
      </c>
      <c r="AP348" s="3" t="n">
        <v>4</v>
      </c>
      <c r="AQ348" s="3" t="n">
        <v>4</v>
      </c>
      <c r="AR348" s="3" t="n">
        <v>6</v>
      </c>
      <c r="AS348" s="3" t="n">
        <v>4</v>
      </c>
      <c r="AT348" s="3" t="n">
        <v>4</v>
      </c>
      <c r="AU348" s="3" t="n">
        <v>6</v>
      </c>
      <c r="AV348" s="3" t="n">
        <v>6</v>
      </c>
      <c r="AW348" s="3" t="n">
        <v>3</v>
      </c>
      <c r="AX348" s="3" t="n">
        <v>3</v>
      </c>
      <c r="AY348" s="3" t="n">
        <v>1</v>
      </c>
      <c r="AZ348" s="5" t="n">
        <v>1</v>
      </c>
      <c r="BA348" s="3" t="n">
        <v>1</v>
      </c>
      <c r="BB348" s="3" t="n">
        <v>1</v>
      </c>
      <c r="BC348" s="3" t="n">
        <v>2</v>
      </c>
      <c r="BD348" s="3" t="n">
        <v>1</v>
      </c>
      <c r="BE348" s="3" t="n">
        <v>2</v>
      </c>
      <c r="BF348" s="3" t="n">
        <v>1</v>
      </c>
      <c r="BG348" s="3" t="n">
        <v>4</v>
      </c>
      <c r="BH348" s="3" t="n">
        <v>1</v>
      </c>
      <c r="BI348" s="3" t="n">
        <v>1</v>
      </c>
    </row>
    <row r="349" customFormat="false" ht="12.75" hidden="false" customHeight="false" outlineLevel="0" collapsed="false">
      <c r="A349" s="2" t="s">
        <v>2970</v>
      </c>
      <c r="B349" s="2" t="s">
        <v>172</v>
      </c>
      <c r="C349" s="2" t="s">
        <v>415</v>
      </c>
      <c r="D349" s="2" t="n">
        <v>210439</v>
      </c>
      <c r="E349" s="15" t="n">
        <v>44264</v>
      </c>
      <c r="F349" s="15" t="n">
        <v>44271</v>
      </c>
      <c r="G349" s="3" t="n">
        <v>7</v>
      </c>
      <c r="H349" s="3" t="n">
        <v>2</v>
      </c>
      <c r="I349" s="3" t="n">
        <v>48</v>
      </c>
      <c r="J349" s="3" t="n">
        <v>1</v>
      </c>
      <c r="K349" s="3" t="n">
        <v>1</v>
      </c>
      <c r="L349" s="3" t="n">
        <v>1</v>
      </c>
      <c r="M349" s="3" t="n">
        <v>1</v>
      </c>
      <c r="N349" s="3" t="n">
        <v>2</v>
      </c>
      <c r="O349" s="3" t="n">
        <v>2</v>
      </c>
      <c r="P349" s="3" t="n">
        <v>2</v>
      </c>
      <c r="Q349" s="3" t="n">
        <v>2</v>
      </c>
      <c r="R349" s="3" t="n">
        <v>2</v>
      </c>
      <c r="S349" s="4" t="n">
        <v>2</v>
      </c>
      <c r="T349" s="3" t="n">
        <v>2</v>
      </c>
      <c r="U349" s="3" t="n">
        <v>6.48</v>
      </c>
      <c r="V349" s="3" t="n">
        <v>1.44</v>
      </c>
      <c r="W349" s="3" t="n">
        <v>5.51</v>
      </c>
      <c r="X349" s="3" t="n">
        <v>359</v>
      </c>
      <c r="Z349" s="3" t="n">
        <v>0.45</v>
      </c>
      <c r="AA349" s="3" t="n">
        <v>17.1</v>
      </c>
      <c r="AB349" s="3" t="n">
        <v>1</v>
      </c>
      <c r="AC349" s="3" t="n">
        <v>2</v>
      </c>
      <c r="AD349" s="3" t="n">
        <v>1</v>
      </c>
      <c r="AE349" s="3" t="n">
        <v>1</v>
      </c>
      <c r="AF349" s="3" t="n">
        <v>2</v>
      </c>
      <c r="AG349" s="3" t="n">
        <v>2</v>
      </c>
      <c r="AH349" s="3" t="n">
        <v>1</v>
      </c>
      <c r="AI349" s="3" t="n">
        <v>2</v>
      </c>
      <c r="AJ349" s="3" t="n">
        <v>2</v>
      </c>
      <c r="AK349" s="3" t="n">
        <v>2</v>
      </c>
      <c r="AL349" s="3" t="n">
        <v>2</v>
      </c>
      <c r="AM349" s="3" t="n">
        <v>2</v>
      </c>
      <c r="AN349" s="3" t="n">
        <v>2</v>
      </c>
      <c r="AO349" s="3" t="n">
        <v>3</v>
      </c>
      <c r="AP349" s="3" t="n">
        <v>4</v>
      </c>
      <c r="AQ349" s="3" t="n">
        <v>4</v>
      </c>
      <c r="AR349" s="3" t="n">
        <v>6</v>
      </c>
      <c r="AS349" s="3" t="n">
        <v>4</v>
      </c>
      <c r="AT349" s="3" t="n">
        <v>4</v>
      </c>
      <c r="AU349" s="3" t="n">
        <v>6</v>
      </c>
      <c r="AV349" s="3" t="n">
        <v>6</v>
      </c>
      <c r="AW349" s="3" t="n">
        <v>3</v>
      </c>
      <c r="AX349" s="3" t="n">
        <v>3</v>
      </c>
      <c r="AY349" s="3" t="n">
        <v>1</v>
      </c>
      <c r="AZ349" s="5" t="n">
        <v>1</v>
      </c>
      <c r="BA349" s="3" t="n">
        <v>1</v>
      </c>
      <c r="BB349" s="3" t="n">
        <v>1</v>
      </c>
      <c r="BC349" s="3" t="n">
        <v>4</v>
      </c>
      <c r="BD349" s="3" t="n">
        <v>1</v>
      </c>
      <c r="BE349" s="3" t="n">
        <v>2</v>
      </c>
      <c r="BF349" s="3" t="n">
        <v>2</v>
      </c>
      <c r="BG349" s="3" t="n">
        <v>4</v>
      </c>
      <c r="BH349" s="3" t="n">
        <v>1</v>
      </c>
      <c r="BI349" s="3" t="n">
        <v>1</v>
      </c>
    </row>
    <row r="350" customFormat="false" ht="12.75" hidden="false" customHeight="false" outlineLevel="0" collapsed="false">
      <c r="A350" s="2" t="s">
        <v>2823</v>
      </c>
      <c r="B350" s="2" t="s">
        <v>2972</v>
      </c>
      <c r="C350" s="2" t="s">
        <v>2068</v>
      </c>
      <c r="D350" s="2" t="n">
        <v>210469</v>
      </c>
      <c r="E350" s="15" t="n">
        <v>44264</v>
      </c>
      <c r="F350" s="2" t="s">
        <v>2973</v>
      </c>
      <c r="G350" s="3" t="n">
        <v>7</v>
      </c>
      <c r="H350" s="3" t="n">
        <v>2</v>
      </c>
      <c r="I350" s="3" t="n">
        <v>56</v>
      </c>
      <c r="J350" s="3" t="n">
        <v>1</v>
      </c>
      <c r="K350" s="3" t="n">
        <v>1</v>
      </c>
      <c r="L350" s="3" t="n">
        <v>1</v>
      </c>
      <c r="M350" s="3" t="n">
        <v>2</v>
      </c>
      <c r="N350" s="3" t="n">
        <v>1</v>
      </c>
      <c r="O350" s="3" t="n">
        <v>2</v>
      </c>
      <c r="P350" s="3" t="n">
        <v>1</v>
      </c>
      <c r="Q350" s="3" t="n">
        <v>2</v>
      </c>
      <c r="R350" s="3" t="n">
        <v>2</v>
      </c>
      <c r="S350" s="4" t="n">
        <v>2</v>
      </c>
      <c r="T350" s="3" t="n">
        <v>2</v>
      </c>
      <c r="U350" s="3" t="n">
        <v>6.31</v>
      </c>
      <c r="V350" s="3" t="n">
        <v>1.77</v>
      </c>
      <c r="W350" s="3" t="n">
        <v>8.16</v>
      </c>
      <c r="X350" s="3" t="n">
        <v>440</v>
      </c>
      <c r="Z350" s="3" t="n">
        <v>0.48</v>
      </c>
      <c r="AA350" s="3" t="n">
        <v>16.8</v>
      </c>
      <c r="AB350" s="3" t="n">
        <v>2</v>
      </c>
      <c r="AC350" s="3" t="n">
        <v>2</v>
      </c>
      <c r="AD350" s="3" t="n">
        <v>2</v>
      </c>
      <c r="AE350" s="3" t="n">
        <v>1</v>
      </c>
      <c r="AF350" s="3" t="n">
        <v>2</v>
      </c>
      <c r="AG350" s="3" t="n">
        <v>1</v>
      </c>
      <c r="AH350" s="3" t="n">
        <v>1</v>
      </c>
      <c r="AI350" s="3" t="n">
        <v>2</v>
      </c>
      <c r="AJ350" s="3" t="n">
        <v>2</v>
      </c>
      <c r="AK350" s="3" t="n">
        <v>2</v>
      </c>
      <c r="AL350" s="3" t="n">
        <v>1</v>
      </c>
      <c r="AM350" s="3" t="n">
        <v>2</v>
      </c>
      <c r="AN350" s="3" t="n">
        <v>2</v>
      </c>
      <c r="AO350" s="3" t="n">
        <v>3</v>
      </c>
      <c r="AP350" s="3" t="n">
        <v>4</v>
      </c>
      <c r="AQ350" s="3" t="n">
        <v>4</v>
      </c>
      <c r="AR350" s="3" t="n">
        <v>6</v>
      </c>
      <c r="AS350" s="3" t="n">
        <v>4</v>
      </c>
      <c r="AT350" s="3" t="n">
        <v>4</v>
      </c>
      <c r="AU350" s="3" t="n">
        <v>6</v>
      </c>
      <c r="AV350" s="3" t="n">
        <v>6</v>
      </c>
      <c r="AW350" s="3" t="n">
        <v>3</v>
      </c>
      <c r="AX350" s="3" t="n">
        <v>3</v>
      </c>
      <c r="AY350" s="3" t="n">
        <v>1</v>
      </c>
      <c r="AZ350" s="5" t="n">
        <v>1</v>
      </c>
      <c r="BA350" s="3" t="n">
        <v>1</v>
      </c>
      <c r="BB350" s="3" t="n">
        <v>1</v>
      </c>
      <c r="BC350" s="3" t="n">
        <v>4</v>
      </c>
      <c r="BD350" s="3" t="n">
        <v>1</v>
      </c>
      <c r="BE350" s="3" t="n">
        <v>2</v>
      </c>
      <c r="BF350" s="3" t="n">
        <v>1</v>
      </c>
      <c r="BG350" s="3" t="n">
        <v>4</v>
      </c>
      <c r="BH350" s="3" t="n">
        <v>1</v>
      </c>
      <c r="BI350" s="3" t="n">
        <v>1</v>
      </c>
    </row>
    <row r="351" customFormat="false" ht="12.75" hidden="false" customHeight="false" outlineLevel="0" collapsed="false">
      <c r="A351" s="2" t="s">
        <v>2427</v>
      </c>
      <c r="B351" s="2" t="s">
        <v>419</v>
      </c>
      <c r="C351" s="2" t="s">
        <v>2515</v>
      </c>
      <c r="D351" s="2" t="n">
        <v>210612</v>
      </c>
      <c r="E351" s="15" t="n">
        <v>44268</v>
      </c>
      <c r="F351" s="15" t="n">
        <v>44274</v>
      </c>
      <c r="G351" s="3" t="n">
        <v>6</v>
      </c>
      <c r="H351" s="3" t="n">
        <v>2</v>
      </c>
      <c r="I351" s="3" t="n">
        <v>59</v>
      </c>
      <c r="J351" s="3" t="n">
        <v>3</v>
      </c>
      <c r="K351" s="3" t="n">
        <v>1</v>
      </c>
      <c r="L351" s="3" t="n">
        <v>1</v>
      </c>
      <c r="M351" s="3" t="n">
        <v>2</v>
      </c>
      <c r="N351" s="3" t="n">
        <v>2</v>
      </c>
      <c r="O351" s="3" t="n">
        <v>2</v>
      </c>
      <c r="P351" s="3" t="n">
        <v>2</v>
      </c>
      <c r="Q351" s="3" t="n">
        <v>2</v>
      </c>
      <c r="R351" s="3" t="n">
        <v>2</v>
      </c>
      <c r="S351" s="4" t="n">
        <v>2</v>
      </c>
      <c r="T351" s="3" t="n">
        <v>2</v>
      </c>
      <c r="U351" s="3" t="n">
        <v>4.28</v>
      </c>
      <c r="V351" s="3" t="n">
        <v>1.82</v>
      </c>
      <c r="W351" s="3" t="n">
        <v>8.77</v>
      </c>
      <c r="X351" s="3" t="n">
        <v>279</v>
      </c>
      <c r="Z351" s="3" t="n">
        <v>0.47</v>
      </c>
      <c r="AA351" s="3" t="n">
        <v>11</v>
      </c>
      <c r="AB351" s="3" t="n">
        <v>1</v>
      </c>
      <c r="AC351" s="3" t="n">
        <v>2</v>
      </c>
      <c r="AD351" s="3" t="n">
        <v>2</v>
      </c>
      <c r="AE351" s="3" t="n">
        <v>1</v>
      </c>
      <c r="AF351" s="3" t="n">
        <v>2</v>
      </c>
      <c r="AG351" s="3" t="n">
        <v>2</v>
      </c>
      <c r="AH351" s="3" t="n">
        <v>1</v>
      </c>
      <c r="AI351" s="3" t="n">
        <v>2</v>
      </c>
      <c r="AJ351" s="3" t="n">
        <v>2</v>
      </c>
      <c r="AK351" s="3" t="n">
        <v>2</v>
      </c>
      <c r="AL351" s="3" t="n">
        <v>2</v>
      </c>
      <c r="AM351" s="3" t="n">
        <v>2</v>
      </c>
      <c r="AN351" s="3" t="n">
        <v>2</v>
      </c>
      <c r="AO351" s="3" t="n">
        <v>3</v>
      </c>
      <c r="AP351" s="3" t="n">
        <v>4</v>
      </c>
      <c r="AQ351" s="3" t="n">
        <v>4</v>
      </c>
      <c r="AR351" s="3" t="n">
        <v>6</v>
      </c>
      <c r="AS351" s="3" t="n">
        <v>4</v>
      </c>
      <c r="AT351" s="3" t="n">
        <v>4</v>
      </c>
      <c r="AU351" s="3" t="n">
        <v>6</v>
      </c>
      <c r="AV351" s="3" t="n">
        <v>6</v>
      </c>
      <c r="AW351" s="3" t="n">
        <v>3</v>
      </c>
      <c r="AX351" s="3" t="n">
        <v>3</v>
      </c>
      <c r="AY351" s="3" t="n">
        <v>1</v>
      </c>
      <c r="AZ351" s="5" t="n">
        <v>1</v>
      </c>
      <c r="BA351" s="3" t="n">
        <v>1</v>
      </c>
      <c r="BB351" s="3" t="n">
        <v>1</v>
      </c>
      <c r="BC351" s="3" t="n">
        <v>4</v>
      </c>
      <c r="BD351" s="3" t="n">
        <v>1</v>
      </c>
      <c r="BE351" s="3" t="n">
        <v>2</v>
      </c>
      <c r="BF351" s="3" t="n">
        <v>1</v>
      </c>
      <c r="BG351" s="3" t="n">
        <v>4</v>
      </c>
      <c r="BH351" s="3" t="n">
        <v>1</v>
      </c>
      <c r="BI351" s="3" t="n">
        <v>1</v>
      </c>
    </row>
    <row r="352" customFormat="false" ht="12.75" hidden="false" customHeight="false" outlineLevel="0" collapsed="false">
      <c r="A352" s="26" t="s">
        <v>2979</v>
      </c>
      <c r="B352" s="26" t="s">
        <v>71</v>
      </c>
      <c r="C352" s="26" t="s">
        <v>462</v>
      </c>
      <c r="D352" s="26" t="n">
        <v>211051</v>
      </c>
      <c r="E352" s="27" t="n">
        <v>44274</v>
      </c>
      <c r="F352" s="27" t="n">
        <v>44274</v>
      </c>
      <c r="G352" s="30" t="n">
        <v>0</v>
      </c>
      <c r="H352" s="30" t="n">
        <v>1</v>
      </c>
      <c r="I352" s="30" t="n">
        <v>82</v>
      </c>
      <c r="J352" s="30" t="n">
        <v>1</v>
      </c>
      <c r="K352" s="30" t="n">
        <v>2</v>
      </c>
      <c r="L352" s="30" t="n">
        <v>1</v>
      </c>
      <c r="M352" s="30" t="n">
        <v>2</v>
      </c>
      <c r="N352" s="30" t="n">
        <v>2</v>
      </c>
      <c r="O352" s="30" t="n">
        <v>2</v>
      </c>
      <c r="P352" s="30" t="n">
        <v>1</v>
      </c>
      <c r="Q352" s="30" t="n">
        <v>2</v>
      </c>
      <c r="R352" s="30" t="n">
        <v>2</v>
      </c>
      <c r="S352" s="4" t="n">
        <v>2</v>
      </c>
      <c r="T352" s="30" t="n">
        <v>2</v>
      </c>
      <c r="U352" s="30"/>
      <c r="V352" s="30"/>
      <c r="W352" s="30"/>
      <c r="X352" s="30"/>
      <c r="Z352" s="30"/>
      <c r="AA352" s="30"/>
      <c r="AB352" s="30"/>
      <c r="AC352" s="30" t="n">
        <v>2</v>
      </c>
      <c r="AD352" s="30" t="n">
        <v>2</v>
      </c>
      <c r="AE352" s="30" t="n">
        <v>1</v>
      </c>
      <c r="AF352" s="30" t="n">
        <v>2</v>
      </c>
      <c r="AG352" s="30" t="n">
        <v>2</v>
      </c>
      <c r="AH352" s="30" t="n">
        <v>1</v>
      </c>
      <c r="AI352" s="30" t="n">
        <v>2</v>
      </c>
      <c r="AJ352" s="30" t="n">
        <v>2</v>
      </c>
      <c r="AK352" s="30" t="n">
        <v>2</v>
      </c>
      <c r="AL352" s="30" t="n">
        <v>2</v>
      </c>
      <c r="AM352" s="30" t="n">
        <v>2</v>
      </c>
      <c r="AN352" s="30" t="n">
        <v>2</v>
      </c>
      <c r="AO352" s="30" t="n">
        <v>3</v>
      </c>
      <c r="AP352" s="30" t="n">
        <v>4</v>
      </c>
      <c r="AQ352" s="30" t="n">
        <v>4</v>
      </c>
      <c r="AR352" s="30" t="n">
        <v>6</v>
      </c>
      <c r="AS352" s="30" t="n">
        <v>4</v>
      </c>
      <c r="AT352" s="30" t="n">
        <v>4</v>
      </c>
      <c r="AU352" s="30" t="n">
        <v>6</v>
      </c>
      <c r="AV352" s="30" t="n">
        <v>6</v>
      </c>
      <c r="AW352" s="30" t="n">
        <v>3</v>
      </c>
      <c r="AX352" s="30" t="n">
        <v>3</v>
      </c>
      <c r="AY352" s="30" t="n">
        <v>10</v>
      </c>
      <c r="AZ352" s="5" t="n">
        <v>1</v>
      </c>
      <c r="BA352" s="30" t="n">
        <v>1</v>
      </c>
      <c r="BB352" s="30" t="n">
        <v>2</v>
      </c>
      <c r="BC352" s="30" t="n">
        <v>2</v>
      </c>
      <c r="BD352" s="30" t="n">
        <v>1</v>
      </c>
      <c r="BE352" s="30" t="n">
        <v>2</v>
      </c>
      <c r="BF352" s="30" t="n">
        <v>1</v>
      </c>
      <c r="BG352" s="30" t="n">
        <v>4</v>
      </c>
      <c r="BH352" s="30" t="n">
        <v>1</v>
      </c>
      <c r="BI352" s="30" t="n">
        <v>1</v>
      </c>
    </row>
    <row r="353" customFormat="false" ht="12.75" hidden="false" customHeight="false" outlineLevel="0" collapsed="false">
      <c r="A353" s="2" t="s">
        <v>2994</v>
      </c>
      <c r="B353" s="2" t="s">
        <v>1828</v>
      </c>
      <c r="C353" s="2" t="s">
        <v>2995</v>
      </c>
      <c r="D353" s="2" t="n">
        <v>210707</v>
      </c>
      <c r="E353" s="15" t="n">
        <v>44272</v>
      </c>
      <c r="F353" s="15" t="n">
        <v>44279</v>
      </c>
      <c r="G353" s="3" t="n">
        <v>7</v>
      </c>
      <c r="H353" s="3" t="n">
        <v>2</v>
      </c>
      <c r="I353" s="3" t="n">
        <v>73</v>
      </c>
      <c r="J353" s="3" t="n">
        <v>1</v>
      </c>
      <c r="K353" s="3" t="n">
        <v>1</v>
      </c>
      <c r="L353" s="3" t="n">
        <v>1</v>
      </c>
      <c r="M353" s="3" t="n">
        <v>2</v>
      </c>
      <c r="N353" s="3" t="n">
        <v>2</v>
      </c>
      <c r="O353" s="3" t="n">
        <v>2</v>
      </c>
      <c r="P353" s="3" t="n">
        <v>2</v>
      </c>
      <c r="Q353" s="3" t="n">
        <v>2</v>
      </c>
      <c r="R353" s="3" t="n">
        <v>2</v>
      </c>
      <c r="S353" s="4" t="n">
        <v>2</v>
      </c>
      <c r="T353" s="3" t="n">
        <v>2</v>
      </c>
      <c r="U353" s="3" t="n">
        <v>5.51</v>
      </c>
      <c r="V353" s="3" t="n">
        <v>0.77</v>
      </c>
      <c r="W353" s="3" t="n">
        <v>7.68</v>
      </c>
      <c r="X353" s="3" t="n">
        <v>218</v>
      </c>
      <c r="Z353" s="3" t="n">
        <v>0.46</v>
      </c>
      <c r="AA353" s="3" t="n">
        <v>11.9</v>
      </c>
      <c r="AB353" s="3" t="n">
        <v>2</v>
      </c>
      <c r="AC353" s="3" t="n">
        <v>2</v>
      </c>
      <c r="AD353" s="3" t="n">
        <v>2</v>
      </c>
      <c r="AE353" s="3" t="n">
        <v>1</v>
      </c>
      <c r="AF353" s="3" t="n">
        <v>2</v>
      </c>
      <c r="AG353" s="3" t="n">
        <v>1</v>
      </c>
      <c r="AH353" s="3" t="n">
        <v>1</v>
      </c>
      <c r="AI353" s="3" t="n">
        <v>2</v>
      </c>
      <c r="AJ353" s="3" t="n">
        <v>2</v>
      </c>
      <c r="AK353" s="3" t="n">
        <v>2</v>
      </c>
      <c r="AL353" s="3" t="n">
        <v>2</v>
      </c>
      <c r="AM353" s="3" t="n">
        <v>2</v>
      </c>
      <c r="AN353" s="3" t="n">
        <v>2</v>
      </c>
      <c r="AO353" s="3" t="n">
        <v>3</v>
      </c>
      <c r="AP353" s="3" t="n">
        <v>4</v>
      </c>
      <c r="AQ353" s="3" t="n">
        <v>4</v>
      </c>
      <c r="AR353" s="3" t="n">
        <v>6</v>
      </c>
      <c r="AS353" s="3" t="n">
        <v>4</v>
      </c>
      <c r="AT353" s="3" t="n">
        <v>4</v>
      </c>
      <c r="AU353" s="3" t="n">
        <v>6</v>
      </c>
      <c r="AV353" s="3" t="n">
        <v>6</v>
      </c>
      <c r="AW353" s="3" t="n">
        <v>3</v>
      </c>
      <c r="AX353" s="3" t="n">
        <v>3</v>
      </c>
      <c r="AY353" s="3" t="n">
        <v>1</v>
      </c>
      <c r="AZ353" s="5" t="n">
        <v>1</v>
      </c>
      <c r="BA353" s="3" t="n">
        <v>1</v>
      </c>
      <c r="BB353" s="3" t="n">
        <v>1</v>
      </c>
      <c r="BC353" s="3" t="n">
        <v>2</v>
      </c>
      <c r="BD353" s="3" t="n">
        <v>1</v>
      </c>
      <c r="BE353" s="3" t="n">
        <v>2</v>
      </c>
      <c r="BF353" s="3" t="n">
        <v>1</v>
      </c>
      <c r="BG353" s="3" t="n">
        <v>4</v>
      </c>
      <c r="BH353" s="3" t="n">
        <v>1</v>
      </c>
      <c r="BI353" s="3" t="n">
        <v>1</v>
      </c>
    </row>
    <row r="354" customFormat="false" ht="12.75" hidden="false" customHeight="false" outlineLevel="0" collapsed="false">
      <c r="A354" s="2" t="s">
        <v>3004</v>
      </c>
      <c r="B354" s="2" t="s">
        <v>94</v>
      </c>
      <c r="C354" s="2" t="s">
        <v>386</v>
      </c>
      <c r="D354" s="2" t="n">
        <v>211074</v>
      </c>
      <c r="E354" s="15" t="n">
        <v>44275</v>
      </c>
      <c r="F354" s="15" t="n">
        <v>44281</v>
      </c>
      <c r="G354" s="3" t="n">
        <v>6</v>
      </c>
      <c r="H354" s="3" t="n">
        <v>1</v>
      </c>
      <c r="I354" s="3" t="n">
        <v>71</v>
      </c>
      <c r="J354" s="3" t="n">
        <v>1</v>
      </c>
      <c r="K354" s="3" t="n">
        <v>1</v>
      </c>
      <c r="L354" s="3" t="n">
        <v>1</v>
      </c>
      <c r="M354" s="3" t="n">
        <v>2</v>
      </c>
      <c r="N354" s="3" t="n">
        <v>2</v>
      </c>
      <c r="O354" s="3" t="n">
        <v>1</v>
      </c>
      <c r="P354" s="3" t="n">
        <v>1</v>
      </c>
      <c r="Q354" s="3" t="n">
        <v>2</v>
      </c>
      <c r="R354" s="3" t="n">
        <v>2</v>
      </c>
      <c r="S354" s="4" t="n">
        <v>2</v>
      </c>
      <c r="T354" s="3" t="n">
        <v>2</v>
      </c>
      <c r="U354" s="3" t="n">
        <v>6.51</v>
      </c>
      <c r="V354" s="3" t="n">
        <v>1.42</v>
      </c>
      <c r="W354" s="3" t="n">
        <v>14.78</v>
      </c>
      <c r="X354" s="3"/>
      <c r="Z354" s="3" t="n">
        <v>0.4</v>
      </c>
      <c r="AA354" s="3" t="n">
        <v>13.6</v>
      </c>
      <c r="AB354" s="3" t="n">
        <v>1</v>
      </c>
      <c r="AC354" s="3" t="n">
        <v>2</v>
      </c>
      <c r="AD354" s="3" t="n">
        <v>2</v>
      </c>
      <c r="AE354" s="3" t="n">
        <v>1</v>
      </c>
      <c r="AF354" s="3" t="n">
        <v>2</v>
      </c>
      <c r="AG354" s="3" t="n">
        <v>2</v>
      </c>
      <c r="AH354" s="3" t="n">
        <v>1</v>
      </c>
      <c r="AI354" s="3" t="n">
        <v>2</v>
      </c>
      <c r="AJ354" s="3" t="n">
        <v>2</v>
      </c>
      <c r="AK354" s="3" t="n">
        <v>2</v>
      </c>
      <c r="AL354" s="3" t="n">
        <v>2</v>
      </c>
      <c r="AM354" s="3" t="n">
        <v>2</v>
      </c>
      <c r="AN354" s="3" t="n">
        <v>2</v>
      </c>
      <c r="AO354" s="3" t="n">
        <v>3</v>
      </c>
      <c r="AP354" s="3" t="n">
        <v>4</v>
      </c>
      <c r="AQ354" s="3" t="n">
        <v>4</v>
      </c>
      <c r="AR354" s="3" t="n">
        <v>6</v>
      </c>
      <c r="AS354" s="3" t="n">
        <v>4</v>
      </c>
      <c r="AT354" s="3" t="n">
        <v>4</v>
      </c>
      <c r="AU354" s="3" t="n">
        <v>6</v>
      </c>
      <c r="AV354" s="3" t="n">
        <v>6</v>
      </c>
      <c r="AW354" s="3" t="n">
        <v>3</v>
      </c>
      <c r="AX354" s="3" t="n">
        <v>3</v>
      </c>
      <c r="AY354" s="3" t="n">
        <v>1</v>
      </c>
      <c r="AZ354" s="5" t="n">
        <v>1</v>
      </c>
      <c r="BA354" s="3" t="n">
        <v>1</v>
      </c>
      <c r="BB354" s="3" t="n">
        <v>1</v>
      </c>
      <c r="BC354" s="3" t="n">
        <v>4</v>
      </c>
      <c r="BD354" s="3" t="n">
        <v>1</v>
      </c>
      <c r="BE354" s="3" t="n">
        <v>2</v>
      </c>
      <c r="BF354" s="3" t="n">
        <v>1</v>
      </c>
      <c r="BG354" s="3" t="n">
        <v>4</v>
      </c>
      <c r="BH354" s="3" t="n">
        <v>1</v>
      </c>
      <c r="BI354" s="3" t="n">
        <v>1</v>
      </c>
    </row>
    <row r="355" customFormat="false" ht="12.75" hidden="false" customHeight="false" outlineLevel="0" collapsed="false">
      <c r="A355" s="2" t="s">
        <v>177</v>
      </c>
      <c r="B355" s="2" t="s">
        <v>66</v>
      </c>
      <c r="C355" s="2" t="s">
        <v>131</v>
      </c>
      <c r="D355" s="2" t="n">
        <v>210885</v>
      </c>
      <c r="E355" s="15" t="n">
        <v>44278</v>
      </c>
      <c r="F355" s="15" t="n">
        <v>44284</v>
      </c>
      <c r="G355" s="3" t="n">
        <v>6</v>
      </c>
      <c r="H355" s="3" t="n">
        <v>2</v>
      </c>
      <c r="I355" s="3" t="n">
        <v>58</v>
      </c>
      <c r="J355" s="3" t="n">
        <v>1</v>
      </c>
      <c r="K355" s="3" t="n">
        <v>1</v>
      </c>
      <c r="L355" s="3" t="n">
        <v>2</v>
      </c>
      <c r="M355" s="3" t="n">
        <v>2</v>
      </c>
      <c r="N355" s="3" t="n">
        <v>2</v>
      </c>
      <c r="O355" s="3" t="n">
        <v>2</v>
      </c>
      <c r="P355" s="3" t="n">
        <v>2</v>
      </c>
      <c r="Q355" s="3" t="n">
        <v>2</v>
      </c>
      <c r="R355" s="3" t="n">
        <v>2</v>
      </c>
      <c r="S355" s="4" t="n">
        <v>2</v>
      </c>
      <c r="T355" s="3" t="n">
        <v>2</v>
      </c>
      <c r="U355" s="3" t="n">
        <v>5.23</v>
      </c>
      <c r="V355" s="3" t="n">
        <v>1.55</v>
      </c>
      <c r="W355" s="3" t="n">
        <v>7.39</v>
      </c>
      <c r="X355" s="3" t="n">
        <v>345</v>
      </c>
      <c r="Z355" s="3" t="n">
        <v>0.46</v>
      </c>
      <c r="AA355" s="3" t="n">
        <v>10.8</v>
      </c>
      <c r="AB355" s="3" t="n">
        <v>1</v>
      </c>
      <c r="AC355" s="3" t="n">
        <v>1</v>
      </c>
      <c r="AD355" s="3" t="n">
        <v>2</v>
      </c>
      <c r="AE355" s="3" t="n">
        <v>1</v>
      </c>
      <c r="AF355" s="3" t="n">
        <v>2</v>
      </c>
      <c r="AG355" s="3" t="n">
        <v>2</v>
      </c>
      <c r="AH355" s="3" t="n">
        <v>1</v>
      </c>
      <c r="AI355" s="3" t="n">
        <v>2</v>
      </c>
      <c r="AJ355" s="3" t="n">
        <v>2</v>
      </c>
      <c r="AK355" s="3" t="n">
        <v>2</v>
      </c>
      <c r="AL355" s="3" t="n">
        <v>2</v>
      </c>
      <c r="AM355" s="3" t="n">
        <v>2</v>
      </c>
      <c r="AN355" s="3" t="n">
        <v>2</v>
      </c>
      <c r="AO355" s="3" t="n">
        <v>3</v>
      </c>
      <c r="AP355" s="3" t="n">
        <v>4</v>
      </c>
      <c r="AQ355" s="3" t="n">
        <v>4</v>
      </c>
      <c r="AR355" s="3" t="n">
        <v>6</v>
      </c>
      <c r="AS355" s="3" t="n">
        <v>4</v>
      </c>
      <c r="AT355" s="3" t="n">
        <v>4</v>
      </c>
      <c r="AU355" s="3" t="n">
        <v>6</v>
      </c>
      <c r="AV355" s="3" t="n">
        <v>6</v>
      </c>
      <c r="AW355" s="3" t="n">
        <v>3</v>
      </c>
      <c r="AX355" s="3" t="n">
        <v>3</v>
      </c>
      <c r="AY355" s="3" t="n">
        <v>1</v>
      </c>
      <c r="AZ355" s="5" t="n">
        <v>1</v>
      </c>
      <c r="BA355" s="3" t="n">
        <v>1</v>
      </c>
      <c r="BB355" s="3" t="n">
        <v>1</v>
      </c>
      <c r="BC355" s="3" t="n">
        <v>2</v>
      </c>
      <c r="BD355" s="3" t="n">
        <v>1</v>
      </c>
      <c r="BE355" s="3" t="n">
        <v>2</v>
      </c>
      <c r="BF355" s="3" t="n">
        <v>1</v>
      </c>
      <c r="BG355" s="3" t="n">
        <v>4</v>
      </c>
      <c r="BH355" s="3" t="n">
        <v>1</v>
      </c>
      <c r="BI355" s="3" t="n">
        <v>1</v>
      </c>
    </row>
    <row r="356" customFormat="false" ht="12.75" hidden="false" customHeight="false" outlineLevel="0" collapsed="false">
      <c r="A356" s="2" t="s">
        <v>3012</v>
      </c>
      <c r="B356" s="2" t="s">
        <v>3013</v>
      </c>
      <c r="C356" s="2" t="s">
        <v>3014</v>
      </c>
      <c r="D356" s="2" t="n">
        <v>211149</v>
      </c>
      <c r="E356" s="15" t="n">
        <v>44280</v>
      </c>
      <c r="F356" s="15" t="n">
        <v>44285</v>
      </c>
      <c r="G356" s="3" t="n">
        <v>5</v>
      </c>
      <c r="H356" s="3" t="n">
        <v>1</v>
      </c>
      <c r="I356" s="3" t="n">
        <v>68</v>
      </c>
      <c r="J356" s="3" t="n">
        <v>2</v>
      </c>
      <c r="K356" s="3" t="n">
        <v>2</v>
      </c>
      <c r="L356" s="3" t="n">
        <v>1</v>
      </c>
      <c r="M356" s="3" t="n">
        <v>2</v>
      </c>
      <c r="N356" s="3" t="n">
        <v>2</v>
      </c>
      <c r="O356" s="3" t="n">
        <v>2</v>
      </c>
      <c r="P356" s="3" t="n">
        <v>2</v>
      </c>
      <c r="Q356" s="3" t="n">
        <v>2</v>
      </c>
      <c r="R356" s="3" t="n">
        <v>2</v>
      </c>
      <c r="S356" s="4" t="n">
        <v>2</v>
      </c>
      <c r="T356" s="3" t="n">
        <v>2</v>
      </c>
      <c r="U356" s="3" t="n">
        <v>5.34</v>
      </c>
      <c r="V356" s="3" t="n">
        <v>1.38</v>
      </c>
      <c r="W356" s="3" t="n">
        <v>4.54</v>
      </c>
      <c r="X356" s="3" t="n">
        <v>344</v>
      </c>
      <c r="Z356" s="3" t="n">
        <v>0.43</v>
      </c>
      <c r="AA356" s="3" t="n">
        <v>10.9</v>
      </c>
      <c r="AB356" s="3" t="n">
        <v>3</v>
      </c>
      <c r="AC356" s="3" t="n">
        <v>2</v>
      </c>
      <c r="AD356" s="3" t="n">
        <v>1</v>
      </c>
      <c r="AE356" s="3" t="n">
        <v>1</v>
      </c>
      <c r="AF356" s="3" t="n">
        <v>2</v>
      </c>
      <c r="AG356" s="3" t="n">
        <v>1</v>
      </c>
      <c r="AH356" s="3" t="n">
        <v>1</v>
      </c>
      <c r="AI356" s="3" t="n">
        <v>2</v>
      </c>
      <c r="AJ356" s="3" t="n">
        <v>2</v>
      </c>
      <c r="AK356" s="3" t="n">
        <v>2</v>
      </c>
      <c r="AL356" s="3" t="n">
        <v>2</v>
      </c>
      <c r="AM356" s="3" t="n">
        <v>2</v>
      </c>
      <c r="AN356" s="3" t="n">
        <v>2</v>
      </c>
      <c r="AO356" s="3" t="n">
        <v>3</v>
      </c>
      <c r="AP356" s="3" t="n">
        <v>4</v>
      </c>
      <c r="AQ356" s="3" t="n">
        <v>4</v>
      </c>
      <c r="AR356" s="3" t="n">
        <v>6</v>
      </c>
      <c r="AS356" s="3" t="n">
        <v>4</v>
      </c>
      <c r="AT356" s="3" t="n">
        <v>4</v>
      </c>
      <c r="AU356" s="3" t="n">
        <v>6</v>
      </c>
      <c r="AV356" s="3" t="n">
        <v>6</v>
      </c>
      <c r="AW356" s="3" t="n">
        <v>3</v>
      </c>
      <c r="AX356" s="3" t="n">
        <v>3</v>
      </c>
      <c r="AY356" s="3" t="n">
        <v>1</v>
      </c>
      <c r="AZ356" s="5" t="n">
        <v>1</v>
      </c>
      <c r="BA356" s="3" t="n">
        <v>1</v>
      </c>
      <c r="BB356" s="3" t="n">
        <v>1</v>
      </c>
      <c r="BC356" s="3" t="n">
        <v>4</v>
      </c>
      <c r="BD356" s="3" t="n">
        <v>3</v>
      </c>
      <c r="BE356" s="3" t="n">
        <v>5</v>
      </c>
      <c r="BF356" s="3" t="n">
        <v>3</v>
      </c>
      <c r="BG356" s="3" t="n">
        <v>4</v>
      </c>
      <c r="BH356" s="3" t="n">
        <v>1</v>
      </c>
      <c r="BI356" s="3" t="n">
        <v>1</v>
      </c>
    </row>
    <row r="357" customFormat="false" ht="12.75" hidden="false" customHeight="false" outlineLevel="0" collapsed="false">
      <c r="A357" s="2" t="s">
        <v>3017</v>
      </c>
      <c r="B357" s="2" t="s">
        <v>898</v>
      </c>
      <c r="C357" s="2" t="s">
        <v>3018</v>
      </c>
      <c r="D357" s="2" t="n">
        <v>211139</v>
      </c>
      <c r="E357" s="15" t="n">
        <v>44279</v>
      </c>
      <c r="F357" s="15" t="n">
        <v>44286</v>
      </c>
      <c r="G357" s="3" t="n">
        <v>7</v>
      </c>
      <c r="H357" s="3" t="n">
        <v>2</v>
      </c>
      <c r="I357" s="3" t="n">
        <v>35</v>
      </c>
      <c r="J357" s="3" t="n">
        <v>2</v>
      </c>
      <c r="K357" s="3" t="n">
        <v>1</v>
      </c>
      <c r="L357" s="3" t="n">
        <v>1</v>
      </c>
      <c r="M357" s="3" t="n">
        <v>2</v>
      </c>
      <c r="N357" s="3" t="n">
        <v>2</v>
      </c>
      <c r="O357" s="3" t="n">
        <v>2</v>
      </c>
      <c r="P357" s="3" t="n">
        <v>2</v>
      </c>
      <c r="Q357" s="3" t="n">
        <v>2</v>
      </c>
      <c r="R357" s="3" t="n">
        <v>2</v>
      </c>
      <c r="S357" s="4" t="n">
        <v>2</v>
      </c>
      <c r="T357" s="3" t="n">
        <v>2</v>
      </c>
      <c r="U357" s="3" t="n">
        <v>4.71</v>
      </c>
      <c r="V357" s="3" t="n">
        <v>2.02</v>
      </c>
      <c r="W357" s="3" t="n">
        <v>4.32</v>
      </c>
      <c r="X357" s="3" t="n">
        <v>374</v>
      </c>
      <c r="Z357" s="3" t="n">
        <v>0.51</v>
      </c>
      <c r="AA357" s="3" t="n">
        <v>9.8</v>
      </c>
      <c r="AB357" s="3" t="n">
        <v>1</v>
      </c>
      <c r="AC357" s="3" t="n">
        <v>2</v>
      </c>
      <c r="AD357" s="3" t="n">
        <v>1</v>
      </c>
      <c r="AE357" s="3" t="n">
        <v>1</v>
      </c>
      <c r="AF357" s="3" t="n">
        <v>2</v>
      </c>
      <c r="AG357" s="3" t="n">
        <v>2</v>
      </c>
      <c r="AH357" s="3" t="n">
        <v>1</v>
      </c>
      <c r="AI357" s="3" t="n">
        <v>2</v>
      </c>
      <c r="AJ357" s="3" t="n">
        <v>2</v>
      </c>
      <c r="AK357" s="3" t="n">
        <v>2</v>
      </c>
      <c r="AL357" s="3" t="n">
        <v>2</v>
      </c>
      <c r="AM357" s="3" t="n">
        <v>2</v>
      </c>
      <c r="AN357" s="3" t="n">
        <v>2</v>
      </c>
      <c r="AO357" s="3" t="n">
        <v>3</v>
      </c>
      <c r="AP357" s="3" t="n">
        <v>4</v>
      </c>
      <c r="AQ357" s="3" t="n">
        <v>4</v>
      </c>
      <c r="AR357" s="3" t="n">
        <v>6</v>
      </c>
      <c r="AS357" s="3" t="n">
        <v>4</v>
      </c>
      <c r="AT357" s="3" t="n">
        <v>4</v>
      </c>
      <c r="AU357" s="3" t="n">
        <v>6</v>
      </c>
      <c r="AV357" s="3" t="n">
        <v>6</v>
      </c>
      <c r="AW357" s="3" t="n">
        <v>3</v>
      </c>
      <c r="AX357" s="3" t="n">
        <v>3</v>
      </c>
      <c r="AY357" s="3" t="n">
        <v>1</v>
      </c>
      <c r="AZ357" s="5" t="n">
        <v>1</v>
      </c>
      <c r="BA357" s="3" t="n">
        <v>1</v>
      </c>
      <c r="BB357" s="3" t="n">
        <v>1</v>
      </c>
      <c r="BC357" s="3" t="n">
        <v>2</v>
      </c>
      <c r="BD357" s="3" t="n">
        <v>3</v>
      </c>
      <c r="BE357" s="3" t="n">
        <v>5</v>
      </c>
      <c r="BF357" s="3" t="n">
        <v>3</v>
      </c>
      <c r="BG357" s="3" t="n">
        <v>4</v>
      </c>
      <c r="BH357" s="3" t="n">
        <v>1</v>
      </c>
      <c r="BI357" s="3" t="n">
        <v>1</v>
      </c>
    </row>
    <row r="358" customFormat="false" ht="12.75" hidden="false" customHeight="false" outlineLevel="0" collapsed="false">
      <c r="A358" s="2" t="s">
        <v>3030</v>
      </c>
      <c r="B358" s="2" t="s">
        <v>3031</v>
      </c>
      <c r="C358" s="2" t="s">
        <v>1734</v>
      </c>
      <c r="D358" s="2" t="n">
        <v>211290</v>
      </c>
      <c r="E358" s="15" t="n">
        <v>44282</v>
      </c>
      <c r="F358" s="15" t="n">
        <v>44288</v>
      </c>
      <c r="G358" s="3" t="n">
        <v>6</v>
      </c>
      <c r="H358" s="3" t="n">
        <v>2</v>
      </c>
      <c r="I358" s="3" t="n">
        <v>67</v>
      </c>
      <c r="J358" s="3" t="n">
        <v>1</v>
      </c>
      <c r="K358" s="3" t="n">
        <v>2</v>
      </c>
      <c r="L358" s="3" t="n">
        <v>1</v>
      </c>
      <c r="M358" s="3" t="n">
        <v>1</v>
      </c>
      <c r="N358" s="3" t="n">
        <v>2</v>
      </c>
      <c r="O358" s="3" t="n">
        <v>2</v>
      </c>
      <c r="P358" s="3" t="n">
        <v>2</v>
      </c>
      <c r="Q358" s="3" t="n">
        <v>2</v>
      </c>
      <c r="R358" s="3" t="n">
        <v>2</v>
      </c>
      <c r="S358" s="4" t="n">
        <v>2</v>
      </c>
      <c r="T358" s="3" t="n">
        <v>2</v>
      </c>
      <c r="U358" s="3" t="n">
        <v>4.51</v>
      </c>
      <c r="V358" s="3" t="n">
        <v>1.11</v>
      </c>
      <c r="W358" s="3" t="n">
        <v>5.44</v>
      </c>
      <c r="X358" s="3" t="n">
        <v>336</v>
      </c>
      <c r="Z358" s="3" t="n">
        <v>0.45</v>
      </c>
      <c r="AA358" s="3" t="n">
        <v>11.7</v>
      </c>
      <c r="AB358" s="3" t="n">
        <v>1</v>
      </c>
      <c r="AC358" s="3" t="n">
        <v>1</v>
      </c>
      <c r="AD358" s="3" t="n">
        <v>1</v>
      </c>
      <c r="AE358" s="3" t="n">
        <v>1</v>
      </c>
      <c r="AF358" s="3" t="n">
        <v>2</v>
      </c>
      <c r="AG358" s="3" t="n">
        <v>2</v>
      </c>
      <c r="AH358" s="3" t="n">
        <v>1</v>
      </c>
      <c r="AI358" s="3" t="n">
        <v>2</v>
      </c>
      <c r="AJ358" s="3" t="n">
        <v>2</v>
      </c>
      <c r="AK358" s="3" t="n">
        <v>2</v>
      </c>
      <c r="AL358" s="3" t="n">
        <v>2</v>
      </c>
      <c r="AM358" s="3" t="n">
        <v>2</v>
      </c>
      <c r="AN358" s="3" t="n">
        <v>2</v>
      </c>
      <c r="AO358" s="3" t="n">
        <v>3</v>
      </c>
      <c r="AP358" s="3" t="n">
        <v>4</v>
      </c>
      <c r="AQ358" s="3" t="n">
        <v>4</v>
      </c>
      <c r="AR358" s="3" t="n">
        <v>6</v>
      </c>
      <c r="AS358" s="3" t="n">
        <v>4</v>
      </c>
      <c r="AT358" s="3" t="n">
        <v>4</v>
      </c>
      <c r="AU358" s="3" t="n">
        <v>6</v>
      </c>
      <c r="AV358" s="3" t="n">
        <v>6</v>
      </c>
      <c r="AW358" s="3" t="n">
        <v>3</v>
      </c>
      <c r="AX358" s="3" t="n">
        <v>3</v>
      </c>
      <c r="AY358" s="3" t="n">
        <v>1</v>
      </c>
      <c r="AZ358" s="5" t="n">
        <v>1</v>
      </c>
      <c r="BA358" s="3" t="n">
        <v>1</v>
      </c>
      <c r="BB358" s="3" t="n">
        <v>1</v>
      </c>
      <c r="BC358" s="3" t="n">
        <v>4</v>
      </c>
      <c r="BD358" s="3" t="n">
        <v>1</v>
      </c>
      <c r="BE358" s="3" t="n">
        <v>2</v>
      </c>
      <c r="BF358" s="3" t="n">
        <v>1</v>
      </c>
      <c r="BG358" s="3" t="n">
        <v>4</v>
      </c>
      <c r="BH358" s="3" t="n">
        <v>1</v>
      </c>
      <c r="BI358" s="3" t="n">
        <v>1</v>
      </c>
    </row>
    <row r="359" customFormat="false" ht="12.75" hidden="false" customHeight="false" outlineLevel="0" collapsed="false">
      <c r="A359" s="2" t="s">
        <v>3038</v>
      </c>
      <c r="B359" s="2" t="s">
        <v>3039</v>
      </c>
      <c r="C359" s="2" t="s">
        <v>70</v>
      </c>
      <c r="D359" s="2" t="n">
        <v>211233</v>
      </c>
      <c r="E359" s="15" t="n">
        <v>44284</v>
      </c>
      <c r="F359" s="15" t="n">
        <v>44291</v>
      </c>
      <c r="G359" s="3" t="n">
        <v>7</v>
      </c>
      <c r="H359" s="3" t="n">
        <v>2</v>
      </c>
      <c r="I359" s="3" t="n">
        <v>56</v>
      </c>
      <c r="J359" s="3" t="n">
        <v>1</v>
      </c>
      <c r="K359" s="3" t="n">
        <v>1</v>
      </c>
      <c r="L359" s="3" t="n">
        <v>1</v>
      </c>
      <c r="M359" s="3" t="n">
        <v>1</v>
      </c>
      <c r="N359" s="3" t="n">
        <v>2</v>
      </c>
      <c r="O359" s="3" t="n">
        <v>2</v>
      </c>
      <c r="P359" s="3" t="n">
        <v>2</v>
      </c>
      <c r="Q359" s="3" t="n">
        <v>2</v>
      </c>
      <c r="R359" s="3" t="n">
        <v>2</v>
      </c>
      <c r="S359" s="4" t="n">
        <v>2</v>
      </c>
      <c r="T359" s="3" t="n">
        <v>2</v>
      </c>
      <c r="U359" s="3" t="n">
        <v>4.47</v>
      </c>
      <c r="V359" s="3" t="n">
        <v>1.1</v>
      </c>
      <c r="W359" s="3" t="n">
        <v>4.89</v>
      </c>
      <c r="X359" s="3" t="n">
        <v>346</v>
      </c>
      <c r="Z359" s="3" t="n">
        <v>0.38</v>
      </c>
      <c r="AA359" s="3" t="n">
        <v>6</v>
      </c>
      <c r="AB359" s="3" t="n">
        <v>1</v>
      </c>
      <c r="AC359" s="3" t="n">
        <v>1</v>
      </c>
      <c r="AD359" s="3" t="n">
        <v>1</v>
      </c>
      <c r="AE359" s="3" t="n">
        <v>1</v>
      </c>
      <c r="AF359" s="3" t="n">
        <v>2</v>
      </c>
      <c r="AG359" s="3" t="n">
        <v>2</v>
      </c>
      <c r="AH359" s="3" t="n">
        <v>1</v>
      </c>
      <c r="AI359" s="3" t="n">
        <v>2</v>
      </c>
      <c r="AJ359" s="3" t="n">
        <v>2</v>
      </c>
      <c r="AK359" s="3" t="n">
        <v>2</v>
      </c>
      <c r="AL359" s="3" t="n">
        <v>2</v>
      </c>
      <c r="AM359" s="3" t="n">
        <v>2</v>
      </c>
      <c r="AN359" s="3" t="n">
        <v>2</v>
      </c>
      <c r="AO359" s="3" t="n">
        <v>3</v>
      </c>
      <c r="AP359" s="3" t="n">
        <v>4</v>
      </c>
      <c r="AQ359" s="3" t="n">
        <v>4</v>
      </c>
      <c r="AR359" s="3" t="n">
        <v>6</v>
      </c>
      <c r="AS359" s="3" t="n">
        <v>4</v>
      </c>
      <c r="AT359" s="3" t="n">
        <v>4</v>
      </c>
      <c r="AU359" s="3" t="n">
        <v>6</v>
      </c>
      <c r="AV359" s="3" t="n">
        <v>6</v>
      </c>
      <c r="AW359" s="3" t="n">
        <v>3</v>
      </c>
      <c r="AX359" s="3" t="n">
        <v>3</v>
      </c>
      <c r="AY359" s="3" t="n">
        <v>1</v>
      </c>
      <c r="AZ359" s="5" t="n">
        <v>2</v>
      </c>
      <c r="BA359" s="3" t="n">
        <v>1</v>
      </c>
      <c r="BB359" s="3" t="n">
        <v>1</v>
      </c>
      <c r="BC359" s="3" t="n">
        <v>4</v>
      </c>
      <c r="BD359" s="3" t="n">
        <v>3</v>
      </c>
      <c r="BE359" s="3" t="n">
        <v>5</v>
      </c>
      <c r="BF359" s="3" t="n">
        <v>3</v>
      </c>
      <c r="BG359" s="3" t="n">
        <v>4</v>
      </c>
      <c r="BH359" s="3" t="n">
        <v>1</v>
      </c>
      <c r="BI359" s="3" t="n">
        <v>1</v>
      </c>
    </row>
    <row r="360" customFormat="false" ht="12.75" hidden="false" customHeight="false" outlineLevel="0" collapsed="false">
      <c r="A360" s="26" t="s">
        <v>3042</v>
      </c>
      <c r="B360" s="26" t="s">
        <v>66</v>
      </c>
      <c r="C360" s="26" t="s">
        <v>118</v>
      </c>
      <c r="D360" s="26" t="n">
        <v>210804</v>
      </c>
      <c r="E360" s="27" t="n">
        <v>44276</v>
      </c>
      <c r="F360" s="27" t="n">
        <v>44293</v>
      </c>
      <c r="G360" s="30" t="n">
        <v>17</v>
      </c>
      <c r="H360" s="30" t="n">
        <v>2</v>
      </c>
      <c r="I360" s="30" t="n">
        <v>59</v>
      </c>
      <c r="J360" s="30" t="n">
        <v>1</v>
      </c>
      <c r="K360" s="30" t="n">
        <v>1</v>
      </c>
      <c r="L360" s="30" t="n">
        <v>1</v>
      </c>
      <c r="M360" s="30" t="n">
        <v>2</v>
      </c>
      <c r="N360" s="30" t="n">
        <v>2</v>
      </c>
      <c r="O360" s="30" t="n">
        <v>2</v>
      </c>
      <c r="P360" s="30" t="n">
        <v>1</v>
      </c>
      <c r="Q360" s="30" t="n">
        <v>2</v>
      </c>
      <c r="R360" s="30" t="n">
        <v>2</v>
      </c>
      <c r="S360" s="4" t="n">
        <v>2</v>
      </c>
      <c r="T360" s="30" t="n">
        <v>2</v>
      </c>
      <c r="U360" s="30" t="n">
        <v>3.12</v>
      </c>
      <c r="V360" s="30" t="n">
        <v>0.88</v>
      </c>
      <c r="W360" s="30" t="n">
        <v>18.85</v>
      </c>
      <c r="X360" s="30" t="n">
        <v>564</v>
      </c>
      <c r="Z360" s="30" t="n">
        <v>0.42</v>
      </c>
      <c r="AA360" s="30" t="n">
        <v>12</v>
      </c>
      <c r="AB360" s="30" t="n">
        <v>2</v>
      </c>
      <c r="AC360" s="30" t="n">
        <v>2</v>
      </c>
      <c r="AD360" s="30" t="n">
        <v>1</v>
      </c>
      <c r="AE360" s="30" t="n">
        <v>1</v>
      </c>
      <c r="AF360" s="30" t="n">
        <v>2</v>
      </c>
      <c r="AG360" s="30" t="n">
        <v>2</v>
      </c>
      <c r="AH360" s="30" t="n">
        <v>1</v>
      </c>
      <c r="AI360" s="30" t="n">
        <v>2</v>
      </c>
      <c r="AJ360" s="30" t="n">
        <v>2</v>
      </c>
      <c r="AK360" s="30" t="n">
        <v>2</v>
      </c>
      <c r="AL360" s="30" t="n">
        <v>1</v>
      </c>
      <c r="AM360" s="30" t="n">
        <v>1</v>
      </c>
      <c r="AN360" s="30" t="n">
        <v>2</v>
      </c>
      <c r="AO360" s="30" t="n">
        <v>3</v>
      </c>
      <c r="AP360" s="30" t="n">
        <v>4</v>
      </c>
      <c r="AQ360" s="30" t="n">
        <v>4</v>
      </c>
      <c r="AR360" s="30" t="n">
        <v>6</v>
      </c>
      <c r="AS360" s="30" t="n">
        <v>4</v>
      </c>
      <c r="AT360" s="30" t="n">
        <v>4</v>
      </c>
      <c r="AU360" s="30" t="n">
        <v>6</v>
      </c>
      <c r="AV360" s="30" t="n">
        <v>6</v>
      </c>
      <c r="AW360" s="30" t="n">
        <v>3</v>
      </c>
      <c r="AX360" s="30" t="n">
        <v>3</v>
      </c>
      <c r="AY360" s="30" t="n">
        <v>7</v>
      </c>
      <c r="AZ360" s="5" t="n">
        <v>1</v>
      </c>
      <c r="BA360" s="30" t="n">
        <v>1</v>
      </c>
      <c r="BB360" s="30" t="n">
        <v>1</v>
      </c>
      <c r="BC360" s="30" t="n">
        <v>2</v>
      </c>
      <c r="BD360" s="30" t="n">
        <v>3</v>
      </c>
      <c r="BE360" s="30" t="n">
        <v>5</v>
      </c>
      <c r="BF360" s="30" t="n">
        <v>3</v>
      </c>
      <c r="BG360" s="30" t="n">
        <v>4</v>
      </c>
      <c r="BH360" s="30" t="n">
        <v>1</v>
      </c>
      <c r="BI360" s="30" t="n">
        <v>1</v>
      </c>
    </row>
    <row r="361" customFormat="false" ht="12.75" hidden="false" customHeight="false" outlineLevel="0" collapsed="false">
      <c r="A361" s="2" t="s">
        <v>497</v>
      </c>
      <c r="B361" s="2" t="s">
        <v>3044</v>
      </c>
      <c r="C361" s="2" t="s">
        <v>66</v>
      </c>
      <c r="D361" s="2" t="n">
        <v>211444</v>
      </c>
      <c r="E361" s="15" t="n">
        <v>44287</v>
      </c>
      <c r="F361" s="15" t="n">
        <v>44293</v>
      </c>
      <c r="G361" s="3" t="n">
        <v>6</v>
      </c>
      <c r="H361" s="3" t="n">
        <v>2</v>
      </c>
      <c r="I361" s="3" t="n">
        <v>44</v>
      </c>
      <c r="J361" s="3" t="n">
        <v>1</v>
      </c>
      <c r="K361" s="3" t="n">
        <v>1</v>
      </c>
      <c r="L361" s="3" t="n">
        <v>1</v>
      </c>
      <c r="M361" s="3" t="n">
        <v>2</v>
      </c>
      <c r="N361" s="3" t="n">
        <v>2</v>
      </c>
      <c r="O361" s="3" t="n">
        <v>2</v>
      </c>
      <c r="P361" s="3" t="n">
        <v>2</v>
      </c>
      <c r="Q361" s="3" t="n">
        <v>2</v>
      </c>
      <c r="R361" s="3" t="n">
        <v>2</v>
      </c>
      <c r="S361" s="4" t="n">
        <v>2</v>
      </c>
      <c r="T361" s="3" t="n">
        <v>2</v>
      </c>
      <c r="U361" s="3" t="n">
        <v>5.08</v>
      </c>
      <c r="V361" s="3" t="n">
        <v>1.4</v>
      </c>
      <c r="W361" s="3" t="n">
        <v>5.68</v>
      </c>
      <c r="X361" s="3" t="n">
        <v>384</v>
      </c>
      <c r="Z361" s="3" t="n">
        <v>0.48</v>
      </c>
      <c r="AA361" s="3" t="n">
        <v>9.6</v>
      </c>
      <c r="AB361" s="3" t="n">
        <v>1</v>
      </c>
      <c r="AC361" s="3" t="n">
        <v>2</v>
      </c>
      <c r="AD361" s="3" t="n">
        <v>2</v>
      </c>
      <c r="AE361" s="3" t="n">
        <v>1</v>
      </c>
      <c r="AF361" s="3" t="n">
        <v>2</v>
      </c>
      <c r="AG361" s="3" t="n">
        <v>2</v>
      </c>
      <c r="AH361" s="3" t="n">
        <v>1</v>
      </c>
      <c r="AI361" s="3" t="n">
        <v>2</v>
      </c>
      <c r="AJ361" s="3" t="n">
        <v>2</v>
      </c>
      <c r="AK361" s="3" t="n">
        <v>2</v>
      </c>
      <c r="AL361" s="3" t="n">
        <v>2</v>
      </c>
      <c r="AM361" s="3" t="n">
        <v>2</v>
      </c>
      <c r="AN361" s="3" t="n">
        <v>2</v>
      </c>
      <c r="AO361" s="3" t="n">
        <v>3</v>
      </c>
      <c r="AP361" s="3" t="n">
        <v>4</v>
      </c>
      <c r="AQ361" s="3" t="n">
        <v>4</v>
      </c>
      <c r="AR361" s="3" t="n">
        <v>6</v>
      </c>
      <c r="AS361" s="3" t="n">
        <v>4</v>
      </c>
      <c r="AT361" s="3" t="n">
        <v>4</v>
      </c>
      <c r="AU361" s="3" t="n">
        <v>6</v>
      </c>
      <c r="AV361" s="3" t="n">
        <v>6</v>
      </c>
      <c r="AW361" s="3" t="n">
        <v>3</v>
      </c>
      <c r="AX361" s="3" t="n">
        <v>3</v>
      </c>
      <c r="AY361" s="3" t="n">
        <v>1</v>
      </c>
      <c r="AZ361" s="5" t="n">
        <v>1</v>
      </c>
      <c r="BA361" s="3" t="n">
        <v>1</v>
      </c>
      <c r="BB361" s="3" t="n">
        <v>1</v>
      </c>
      <c r="BC361" s="3" t="n">
        <v>4</v>
      </c>
      <c r="BD361" s="3" t="n">
        <v>1</v>
      </c>
      <c r="BE361" s="3" t="n">
        <v>2</v>
      </c>
      <c r="BF361" s="3" t="n">
        <v>1</v>
      </c>
      <c r="BG361" s="3" t="n">
        <v>4</v>
      </c>
      <c r="BH361" s="3" t="n">
        <v>1</v>
      </c>
      <c r="BI361" s="3" t="n">
        <v>1</v>
      </c>
    </row>
    <row r="362" customFormat="false" ht="12.75" hidden="false" customHeight="false" outlineLevel="0" collapsed="false">
      <c r="A362" s="2" t="s">
        <v>3046</v>
      </c>
      <c r="B362" s="2" t="s">
        <v>2236</v>
      </c>
      <c r="C362" s="2" t="s">
        <v>78</v>
      </c>
      <c r="D362" s="2" t="n">
        <v>211786</v>
      </c>
      <c r="E362" s="15" t="n">
        <v>44288</v>
      </c>
      <c r="F362" s="15" t="n">
        <v>44294</v>
      </c>
      <c r="G362" s="3" t="n">
        <v>6</v>
      </c>
      <c r="H362" s="3" t="n">
        <v>1</v>
      </c>
      <c r="I362" s="3" t="n">
        <v>101</v>
      </c>
      <c r="J362" s="3" t="n">
        <v>1</v>
      </c>
      <c r="K362" s="3" t="n">
        <v>2</v>
      </c>
      <c r="L362" s="3" t="n">
        <v>1</v>
      </c>
      <c r="M362" s="3" t="n">
        <v>2</v>
      </c>
      <c r="N362" s="3" t="n">
        <v>2</v>
      </c>
      <c r="O362" s="3" t="n">
        <v>2</v>
      </c>
      <c r="P362" s="3" t="n">
        <v>2</v>
      </c>
      <c r="Q362" s="3" t="n">
        <v>2</v>
      </c>
      <c r="R362" s="3" t="n">
        <v>2</v>
      </c>
      <c r="S362" s="4" t="n">
        <v>2</v>
      </c>
      <c r="T362" s="3" t="n">
        <v>2</v>
      </c>
      <c r="U362" s="3" t="n">
        <v>4.83</v>
      </c>
      <c r="V362" s="3" t="n">
        <v>1.06</v>
      </c>
      <c r="W362" s="3" t="n">
        <v>6.17</v>
      </c>
      <c r="X362" s="3" t="n">
        <v>339</v>
      </c>
      <c r="Z362" s="3" t="n">
        <v>0.38</v>
      </c>
      <c r="AA362" s="3" t="n">
        <v>7.2</v>
      </c>
      <c r="AB362" s="3" t="n">
        <v>1</v>
      </c>
      <c r="AC362" s="3" t="n">
        <v>2</v>
      </c>
      <c r="AD362" s="3" t="n">
        <v>2</v>
      </c>
      <c r="AE362" s="3" t="n">
        <v>1</v>
      </c>
      <c r="AF362" s="3" t="n">
        <v>2</v>
      </c>
      <c r="AG362" s="3" t="n">
        <v>2</v>
      </c>
      <c r="AH362" s="3" t="n">
        <v>1</v>
      </c>
      <c r="AI362" s="3" t="n">
        <v>2</v>
      </c>
      <c r="AJ362" s="3" t="n">
        <v>2</v>
      </c>
      <c r="AK362" s="3" t="n">
        <v>2</v>
      </c>
      <c r="AL362" s="3" t="n">
        <v>1</v>
      </c>
      <c r="AM362" s="3" t="n">
        <v>2</v>
      </c>
      <c r="AN362" s="3" t="n">
        <v>1</v>
      </c>
      <c r="AO362" s="3" t="n">
        <v>3</v>
      </c>
      <c r="AP362" s="3" t="n">
        <v>4</v>
      </c>
      <c r="AQ362" s="3" t="n">
        <v>4</v>
      </c>
      <c r="AR362" s="3" t="n">
        <v>6</v>
      </c>
      <c r="AS362" s="3" t="n">
        <v>4</v>
      </c>
      <c r="AT362" s="3" t="n">
        <v>4</v>
      </c>
      <c r="AU362" s="3" t="n">
        <v>6</v>
      </c>
      <c r="AV362" s="3" t="n">
        <v>6</v>
      </c>
      <c r="AW362" s="3" t="n">
        <v>3</v>
      </c>
      <c r="AX362" s="3" t="n">
        <v>3</v>
      </c>
      <c r="AY362" s="3" t="n">
        <v>1</v>
      </c>
      <c r="AZ362" s="5" t="n">
        <v>1</v>
      </c>
      <c r="BA362" s="3" t="n">
        <v>1</v>
      </c>
      <c r="BB362" s="3" t="n">
        <v>1</v>
      </c>
      <c r="BC362" s="3" t="n">
        <v>2</v>
      </c>
      <c r="BD362" s="3" t="n">
        <v>1</v>
      </c>
      <c r="BE362" s="3" t="n">
        <v>2</v>
      </c>
      <c r="BF362" s="3" t="n">
        <v>1</v>
      </c>
      <c r="BG362" s="3" t="n">
        <v>4</v>
      </c>
      <c r="BH362" s="3" t="n">
        <v>1</v>
      </c>
      <c r="BI362" s="3" t="n">
        <v>1</v>
      </c>
    </row>
    <row r="363" customFormat="false" ht="12.75" hidden="false" customHeight="false" outlineLevel="0" collapsed="false">
      <c r="A363" s="2" t="s">
        <v>3048</v>
      </c>
      <c r="B363" s="2" t="s">
        <v>3049</v>
      </c>
      <c r="C363" s="2" t="s">
        <v>3050</v>
      </c>
      <c r="D363" s="2" t="n">
        <v>211724</v>
      </c>
      <c r="E363" s="15" t="n">
        <v>44291</v>
      </c>
      <c r="F363" s="15" t="n">
        <v>44295</v>
      </c>
      <c r="G363" s="3" t="n">
        <v>4</v>
      </c>
      <c r="H363" s="3" t="n">
        <v>1</v>
      </c>
      <c r="I363" s="3" t="n">
        <v>79</v>
      </c>
      <c r="J363" s="3" t="n">
        <v>1</v>
      </c>
      <c r="K363" s="3" t="n">
        <v>2</v>
      </c>
      <c r="L363" s="3" t="n">
        <v>1</v>
      </c>
      <c r="M363" s="3" t="n">
        <v>2</v>
      </c>
      <c r="N363" s="3" t="n">
        <v>2</v>
      </c>
      <c r="O363" s="3" t="n">
        <v>2</v>
      </c>
      <c r="P363" s="3" t="n">
        <v>2</v>
      </c>
      <c r="Q363" s="3" t="n">
        <v>2</v>
      </c>
      <c r="R363" s="3" t="n">
        <v>2</v>
      </c>
      <c r="S363" s="4" t="n">
        <v>2</v>
      </c>
      <c r="T363" s="3" t="n">
        <v>2</v>
      </c>
      <c r="U363" s="3" t="n">
        <v>6.06</v>
      </c>
      <c r="V363" s="3" t="n">
        <v>1.19</v>
      </c>
      <c r="W363" s="3" t="n">
        <v>4.93</v>
      </c>
      <c r="X363" s="3" t="n">
        <v>197</v>
      </c>
      <c r="Z363" s="3" t="n">
        <v>0.4</v>
      </c>
      <c r="AA363" s="3" t="n">
        <v>10</v>
      </c>
      <c r="AB363" s="3" t="n">
        <v>3</v>
      </c>
      <c r="AC363" s="3" t="n">
        <v>2</v>
      </c>
      <c r="AD363" s="3" t="n">
        <v>2</v>
      </c>
      <c r="AE363" s="3" t="n">
        <v>1</v>
      </c>
      <c r="AF363" s="3" t="n">
        <v>2</v>
      </c>
      <c r="AG363" s="3" t="n">
        <v>2</v>
      </c>
      <c r="AH363" s="3" t="n">
        <v>1</v>
      </c>
      <c r="AI363" s="3" t="n">
        <v>2</v>
      </c>
      <c r="AJ363" s="3" t="n">
        <v>2</v>
      </c>
      <c r="AK363" s="3" t="n">
        <v>2</v>
      </c>
      <c r="AL363" s="3" t="n">
        <v>2</v>
      </c>
      <c r="AM363" s="3" t="n">
        <v>1</v>
      </c>
      <c r="AN363" s="3" t="n">
        <v>2</v>
      </c>
      <c r="AO363" s="3" t="n">
        <v>3</v>
      </c>
      <c r="AP363" s="3" t="n">
        <v>4</v>
      </c>
      <c r="AQ363" s="3" t="n">
        <v>4</v>
      </c>
      <c r="AR363" s="3" t="n">
        <v>6</v>
      </c>
      <c r="AS363" s="3" t="n">
        <v>4</v>
      </c>
      <c r="AT363" s="3" t="n">
        <v>4</v>
      </c>
      <c r="AU363" s="3" t="n">
        <v>6</v>
      </c>
      <c r="AV363" s="3" t="n">
        <v>6</v>
      </c>
      <c r="AW363" s="3" t="n">
        <v>3</v>
      </c>
      <c r="AX363" s="3" t="n">
        <v>3</v>
      </c>
      <c r="AY363" s="3" t="n">
        <v>6</v>
      </c>
      <c r="AZ363" s="5" t="n">
        <v>1</v>
      </c>
      <c r="BA363" s="3" t="n">
        <v>1</v>
      </c>
      <c r="BB363" s="3" t="n">
        <v>1</v>
      </c>
      <c r="BC363" s="3" t="n">
        <v>4</v>
      </c>
      <c r="BD363" s="3" t="n">
        <v>1</v>
      </c>
      <c r="BE363" s="3" t="n">
        <v>2</v>
      </c>
      <c r="BF363" s="3" t="n">
        <v>1</v>
      </c>
      <c r="BG363" s="3" t="n">
        <v>4</v>
      </c>
      <c r="BH363" s="3" t="n">
        <v>1</v>
      </c>
      <c r="BI363" s="3" t="n">
        <v>1</v>
      </c>
    </row>
    <row r="364" customFormat="false" ht="12.75" hidden="false" customHeight="false" outlineLevel="0" collapsed="false">
      <c r="A364" s="2" t="s">
        <v>3059</v>
      </c>
      <c r="B364" s="2" t="s">
        <v>3060</v>
      </c>
      <c r="C364" s="2" t="s">
        <v>172</v>
      </c>
      <c r="D364" s="2" t="n">
        <v>211280</v>
      </c>
      <c r="E364" s="15" t="n">
        <v>44281</v>
      </c>
      <c r="F364" s="15" t="n">
        <v>44295</v>
      </c>
      <c r="G364" s="3" t="n">
        <v>14</v>
      </c>
      <c r="H364" s="3" t="n">
        <v>1</v>
      </c>
      <c r="I364" s="3" t="n">
        <v>59</v>
      </c>
      <c r="J364" s="3" t="n">
        <v>1</v>
      </c>
      <c r="K364" s="3" t="n">
        <v>1</v>
      </c>
      <c r="L364" s="3" t="n">
        <v>1</v>
      </c>
      <c r="M364" s="3" t="n">
        <v>2</v>
      </c>
      <c r="N364" s="3" t="n">
        <v>2</v>
      </c>
      <c r="O364" s="3" t="n">
        <v>2</v>
      </c>
      <c r="P364" s="3" t="n">
        <v>2</v>
      </c>
      <c r="Q364" s="3" t="n">
        <v>2</v>
      </c>
      <c r="R364" s="3" t="n">
        <v>2</v>
      </c>
      <c r="S364" s="4" t="n">
        <v>2</v>
      </c>
      <c r="T364" s="3" t="n">
        <v>2</v>
      </c>
      <c r="U364" s="3" t="n">
        <v>4.34</v>
      </c>
      <c r="V364" s="3" t="n">
        <v>1.19</v>
      </c>
      <c r="W364" s="3" t="n">
        <v>5.82</v>
      </c>
      <c r="X364" s="3" t="n">
        <v>408</v>
      </c>
      <c r="Z364" s="3" t="n">
        <v>0.25</v>
      </c>
      <c r="AA364" s="3" t="n">
        <v>9</v>
      </c>
      <c r="AB364" s="3" t="n">
        <v>1</v>
      </c>
      <c r="AC364" s="3" t="n">
        <v>2</v>
      </c>
      <c r="AD364" s="3" t="n">
        <v>1</v>
      </c>
      <c r="AE364" s="3" t="n">
        <v>1</v>
      </c>
      <c r="AF364" s="3" t="n">
        <v>2</v>
      </c>
      <c r="AG364" s="3" t="n">
        <v>2</v>
      </c>
      <c r="AH364" s="3" t="n">
        <v>1</v>
      </c>
      <c r="AI364" s="3" t="n">
        <v>2</v>
      </c>
      <c r="AJ364" s="3" t="n">
        <v>2</v>
      </c>
      <c r="AK364" s="3" t="n">
        <v>2</v>
      </c>
      <c r="AL364" s="3" t="n">
        <v>2</v>
      </c>
      <c r="AM364" s="3" t="n">
        <v>2</v>
      </c>
      <c r="AN364" s="3" t="n">
        <v>2</v>
      </c>
      <c r="AO364" s="3" t="n">
        <v>3</v>
      </c>
      <c r="AP364" s="3" t="n">
        <v>4</v>
      </c>
      <c r="AQ364" s="3" t="n">
        <v>4</v>
      </c>
      <c r="AR364" s="3" t="n">
        <v>6</v>
      </c>
      <c r="AS364" s="3" t="n">
        <v>4</v>
      </c>
      <c r="AT364" s="3" t="n">
        <v>4</v>
      </c>
      <c r="AU364" s="3" t="n">
        <v>6</v>
      </c>
      <c r="AV364" s="3" t="n">
        <v>6</v>
      </c>
      <c r="AW364" s="3" t="n">
        <v>3</v>
      </c>
      <c r="AX364" s="3" t="n">
        <v>3</v>
      </c>
      <c r="AY364" s="3" t="n">
        <v>4</v>
      </c>
      <c r="AZ364" s="5" t="n">
        <v>1</v>
      </c>
      <c r="BA364" s="3" t="n">
        <v>1</v>
      </c>
      <c r="BB364" s="3" t="n">
        <v>1</v>
      </c>
      <c r="BC364" s="3" t="n">
        <v>4</v>
      </c>
      <c r="BD364" s="3" t="n">
        <v>3</v>
      </c>
      <c r="BE364" s="3" t="n">
        <v>5</v>
      </c>
      <c r="BF364" s="3" t="n">
        <v>3</v>
      </c>
      <c r="BG364" s="3" t="n">
        <v>4</v>
      </c>
      <c r="BH364" s="3" t="n">
        <v>1</v>
      </c>
      <c r="BI364" s="3" t="n">
        <v>1</v>
      </c>
    </row>
    <row r="365" customFormat="false" ht="12.75" hidden="false" customHeight="false" outlineLevel="0" collapsed="false">
      <c r="A365" s="26" t="s">
        <v>563</v>
      </c>
      <c r="B365" s="26" t="s">
        <v>432</v>
      </c>
      <c r="C365" s="26" t="s">
        <v>3062</v>
      </c>
      <c r="D365" s="26" t="n">
        <v>211781</v>
      </c>
      <c r="E365" s="27" t="n">
        <v>44289</v>
      </c>
      <c r="F365" s="27" t="n">
        <v>44298</v>
      </c>
      <c r="G365" s="30" t="n">
        <v>9</v>
      </c>
      <c r="H365" s="30" t="n">
        <v>2</v>
      </c>
      <c r="I365" s="30" t="n">
        <v>81</v>
      </c>
      <c r="J365" s="30" t="n">
        <v>1</v>
      </c>
      <c r="K365" s="30" t="n">
        <v>2</v>
      </c>
      <c r="L365" s="30" t="n">
        <v>1</v>
      </c>
      <c r="M365" s="30" t="n">
        <v>2</v>
      </c>
      <c r="N365" s="30" t="n">
        <v>2</v>
      </c>
      <c r="O365" s="30" t="n">
        <v>2</v>
      </c>
      <c r="P365" s="30" t="n">
        <v>2</v>
      </c>
      <c r="Q365" s="30" t="n">
        <v>2</v>
      </c>
      <c r="R365" s="30" t="n">
        <v>2</v>
      </c>
      <c r="S365" s="4" t="n">
        <v>2</v>
      </c>
      <c r="T365" s="30" t="n">
        <v>2</v>
      </c>
      <c r="U365" s="30" t="n">
        <v>3.02</v>
      </c>
      <c r="V365" s="30" t="n">
        <v>0.49</v>
      </c>
      <c r="W365" s="30" t="n">
        <v>13.71</v>
      </c>
      <c r="X365" s="30" t="n">
        <v>253</v>
      </c>
      <c r="Z365" s="30" t="n">
        <v>0.48</v>
      </c>
      <c r="AA365" s="30" t="n">
        <v>18.9</v>
      </c>
      <c r="AB365" s="30" t="n">
        <v>2</v>
      </c>
      <c r="AC365" s="30" t="n">
        <v>2</v>
      </c>
      <c r="AD365" s="30" t="n">
        <v>2</v>
      </c>
      <c r="AE365" s="30" t="n">
        <v>1</v>
      </c>
      <c r="AF365" s="30" t="n">
        <v>2</v>
      </c>
      <c r="AG365" s="30" t="n">
        <v>2</v>
      </c>
      <c r="AH365" s="30" t="n">
        <v>1</v>
      </c>
      <c r="AI365" s="30" t="n">
        <v>2</v>
      </c>
      <c r="AJ365" s="30" t="n">
        <v>2</v>
      </c>
      <c r="AK365" s="30" t="n">
        <v>2</v>
      </c>
      <c r="AL365" s="30" t="n">
        <v>1</v>
      </c>
      <c r="AM365" s="30" t="n">
        <v>2</v>
      </c>
      <c r="AN365" s="30" t="n">
        <v>2</v>
      </c>
      <c r="AO365" s="30" t="n">
        <v>3</v>
      </c>
      <c r="AP365" s="30" t="n">
        <v>4</v>
      </c>
      <c r="AQ365" s="30" t="n">
        <v>4</v>
      </c>
      <c r="AR365" s="30" t="n">
        <v>6</v>
      </c>
      <c r="AS365" s="30" t="n">
        <v>4</v>
      </c>
      <c r="AT365" s="30" t="n">
        <v>4</v>
      </c>
      <c r="AU365" s="30" t="n">
        <v>6</v>
      </c>
      <c r="AV365" s="30" t="n">
        <v>6</v>
      </c>
      <c r="AW365" s="30" t="n">
        <v>3</v>
      </c>
      <c r="AX365" s="30" t="n">
        <v>3</v>
      </c>
      <c r="AY365" s="30" t="n">
        <v>1</v>
      </c>
      <c r="AZ365" s="5" t="n">
        <v>1</v>
      </c>
      <c r="BA365" s="30" t="n">
        <v>1</v>
      </c>
      <c r="BB365" s="30" t="n">
        <v>1</v>
      </c>
      <c r="BC365" s="30" t="n">
        <v>2</v>
      </c>
      <c r="BD365" s="30" t="n">
        <v>1</v>
      </c>
      <c r="BE365" s="30" t="n">
        <v>2</v>
      </c>
      <c r="BF365" s="30" t="n">
        <v>1</v>
      </c>
      <c r="BG365" s="30" t="n">
        <v>4</v>
      </c>
      <c r="BH365" s="30" t="n">
        <v>1</v>
      </c>
      <c r="BI365" s="30" t="n">
        <v>1</v>
      </c>
    </row>
    <row r="366" customFormat="false" ht="12.75" hidden="false" customHeight="false" outlineLevel="0" collapsed="false">
      <c r="A366" s="2" t="s">
        <v>217</v>
      </c>
      <c r="B366" s="2" t="s">
        <v>3064</v>
      </c>
      <c r="C366" s="2" t="s">
        <v>197</v>
      </c>
      <c r="D366" s="2" t="n">
        <v>211723</v>
      </c>
      <c r="E366" s="15" t="n">
        <v>44291</v>
      </c>
      <c r="F366" s="15" t="n">
        <v>44298</v>
      </c>
      <c r="G366" s="3" t="n">
        <v>7</v>
      </c>
      <c r="H366" s="3" t="n">
        <v>2</v>
      </c>
      <c r="I366" s="3" t="n">
        <v>61</v>
      </c>
      <c r="J366" s="3" t="n">
        <v>1</v>
      </c>
      <c r="K366" s="3" t="n">
        <v>1</v>
      </c>
      <c r="L366" s="3" t="n">
        <v>2</v>
      </c>
      <c r="M366" s="3" t="n">
        <v>2</v>
      </c>
      <c r="N366" s="3" t="n">
        <v>2</v>
      </c>
      <c r="O366" s="3" t="n">
        <v>2</v>
      </c>
      <c r="P366" s="3" t="n">
        <v>2</v>
      </c>
      <c r="Q366" s="3" t="n">
        <v>2</v>
      </c>
      <c r="R366" s="3" t="n">
        <v>2</v>
      </c>
      <c r="S366" s="4" t="n">
        <v>2</v>
      </c>
      <c r="T366" s="3" t="n">
        <v>2</v>
      </c>
      <c r="U366" s="3" t="n">
        <v>5.48</v>
      </c>
      <c r="V366" s="3" t="n">
        <v>2.44</v>
      </c>
      <c r="W366" s="3" t="n">
        <v>7.81</v>
      </c>
      <c r="X366" s="3" t="n">
        <v>314</v>
      </c>
      <c r="Z366" s="3" t="n">
        <v>0.46</v>
      </c>
      <c r="AA366" s="3" t="n">
        <v>17</v>
      </c>
      <c r="AB366" s="3" t="n">
        <v>1</v>
      </c>
      <c r="AC366" s="3" t="n">
        <v>2</v>
      </c>
      <c r="AD366" s="3" t="n">
        <v>1</v>
      </c>
      <c r="AE366" s="3" t="n">
        <v>1</v>
      </c>
      <c r="AF366" s="3" t="n">
        <v>2</v>
      </c>
      <c r="AG366" s="3" t="n">
        <v>2</v>
      </c>
      <c r="AH366" s="3" t="n">
        <v>1</v>
      </c>
      <c r="AI366" s="3" t="n">
        <v>2</v>
      </c>
      <c r="AJ366" s="3" t="n">
        <v>2</v>
      </c>
      <c r="AK366" s="3" t="n">
        <v>2</v>
      </c>
      <c r="AL366" s="3" t="n">
        <v>2</v>
      </c>
      <c r="AM366" s="3" t="n">
        <v>2</v>
      </c>
      <c r="AN366" s="3" t="n">
        <v>2</v>
      </c>
      <c r="AO366" s="3" t="n">
        <v>3</v>
      </c>
      <c r="AP366" s="3" t="n">
        <v>4</v>
      </c>
      <c r="AQ366" s="3" t="n">
        <v>4</v>
      </c>
      <c r="AR366" s="3" t="n">
        <v>6</v>
      </c>
      <c r="AS366" s="3" t="n">
        <v>4</v>
      </c>
      <c r="AT366" s="3" t="n">
        <v>4</v>
      </c>
      <c r="AU366" s="3" t="n">
        <v>6</v>
      </c>
      <c r="AV366" s="3" t="n">
        <v>6</v>
      </c>
      <c r="AW366" s="3" t="n">
        <v>3</v>
      </c>
      <c r="AX366" s="3" t="n">
        <v>3</v>
      </c>
      <c r="AY366" s="3" t="n">
        <v>1</v>
      </c>
      <c r="AZ366" s="5" t="n">
        <v>1</v>
      </c>
      <c r="BA366" s="3" t="n">
        <v>1</v>
      </c>
      <c r="BB366" s="3" t="n">
        <v>1</v>
      </c>
      <c r="BC366" s="3" t="n">
        <v>4</v>
      </c>
      <c r="BD366" s="3" t="n">
        <v>1</v>
      </c>
      <c r="BE366" s="3" t="n">
        <v>2</v>
      </c>
      <c r="BF366" s="3" t="n">
        <v>1</v>
      </c>
      <c r="BG366" s="3" t="n">
        <v>4</v>
      </c>
      <c r="BH366" s="3" t="n">
        <v>1</v>
      </c>
      <c r="BI366" s="3" t="n">
        <v>1</v>
      </c>
    </row>
    <row r="367" customFormat="false" ht="12.75" hidden="false" customHeight="false" outlineLevel="0" collapsed="false">
      <c r="A367" s="2" t="s">
        <v>912</v>
      </c>
      <c r="B367" s="2" t="s">
        <v>595</v>
      </c>
      <c r="C367" s="2" t="s">
        <v>1776</v>
      </c>
      <c r="D367" s="2" t="n">
        <v>211717</v>
      </c>
      <c r="E367" s="15" t="n">
        <v>44291</v>
      </c>
      <c r="F367" s="15" t="n">
        <v>44298</v>
      </c>
      <c r="G367" s="3" t="n">
        <v>9</v>
      </c>
      <c r="H367" s="3" t="n">
        <v>2</v>
      </c>
      <c r="I367" s="3" t="n">
        <v>48</v>
      </c>
      <c r="J367" s="3" t="n">
        <v>1</v>
      </c>
      <c r="K367" s="3" t="n">
        <v>1</v>
      </c>
      <c r="L367" s="3" t="n">
        <v>2</v>
      </c>
      <c r="M367" s="3" t="n">
        <v>2</v>
      </c>
      <c r="N367" s="3" t="n">
        <v>2</v>
      </c>
      <c r="O367" s="3" t="n">
        <v>2</v>
      </c>
      <c r="P367" s="3" t="n">
        <v>2</v>
      </c>
      <c r="Q367" s="3" t="n">
        <v>2</v>
      </c>
      <c r="R367" s="3" t="n">
        <v>2</v>
      </c>
      <c r="S367" s="4" t="n">
        <v>2</v>
      </c>
      <c r="T367" s="3" t="n">
        <v>2</v>
      </c>
      <c r="U367" s="3" t="n">
        <v>4.79</v>
      </c>
      <c r="V367" s="3" t="n">
        <v>1.4</v>
      </c>
      <c r="W367" s="3" t="n">
        <v>4.36</v>
      </c>
      <c r="X367" s="3" t="n">
        <v>354</v>
      </c>
      <c r="Z367" s="3" t="n">
        <v>0.4</v>
      </c>
      <c r="AA367" s="3" t="n">
        <v>8</v>
      </c>
      <c r="AB367" s="3" t="n">
        <v>1</v>
      </c>
      <c r="AC367" s="3" t="n">
        <v>2</v>
      </c>
      <c r="AD367" s="3" t="n">
        <v>1</v>
      </c>
      <c r="AE367" s="3" t="n">
        <v>1</v>
      </c>
      <c r="AF367" s="3" t="n">
        <v>1</v>
      </c>
      <c r="AG367" s="3" t="n">
        <v>2</v>
      </c>
      <c r="AH367" s="3" t="n">
        <v>1</v>
      </c>
      <c r="AI367" s="3" t="n">
        <v>2</v>
      </c>
      <c r="AJ367" s="3" t="n">
        <v>2</v>
      </c>
      <c r="AK367" s="3" t="n">
        <v>2</v>
      </c>
      <c r="AL367" s="3" t="n">
        <v>2</v>
      </c>
      <c r="AM367" s="3" t="n">
        <v>2</v>
      </c>
      <c r="AN367" s="3" t="n">
        <v>2</v>
      </c>
      <c r="AO367" s="3" t="n">
        <v>3</v>
      </c>
      <c r="AP367" s="3" t="n">
        <v>4</v>
      </c>
      <c r="AQ367" s="3" t="n">
        <v>4</v>
      </c>
      <c r="AR367" s="3" t="n">
        <v>6</v>
      </c>
      <c r="AS367" s="3" t="n">
        <v>4</v>
      </c>
      <c r="AT367" s="3" t="n">
        <v>4</v>
      </c>
      <c r="AU367" s="3" t="n">
        <v>6</v>
      </c>
      <c r="AV367" s="3" t="n">
        <v>6</v>
      </c>
      <c r="AW367" s="3" t="n">
        <v>3</v>
      </c>
      <c r="AX367" s="3" t="n">
        <v>3</v>
      </c>
      <c r="AY367" s="3" t="n">
        <v>1</v>
      </c>
      <c r="AZ367" s="5" t="n">
        <v>1</v>
      </c>
      <c r="BA367" s="3" t="n">
        <v>1</v>
      </c>
      <c r="BB367" s="3" t="n">
        <v>1</v>
      </c>
      <c r="BC367" s="3" t="n">
        <v>4</v>
      </c>
      <c r="BD367" s="3" t="n">
        <v>3</v>
      </c>
      <c r="BE367" s="3" t="n">
        <v>5</v>
      </c>
      <c r="BF367" s="3" t="n">
        <v>3</v>
      </c>
      <c r="BG367" s="3" t="n">
        <v>4</v>
      </c>
      <c r="BH367" s="3" t="n">
        <v>1</v>
      </c>
      <c r="BI367" s="3" t="n">
        <v>1</v>
      </c>
    </row>
    <row r="368" customFormat="false" ht="12.75" hidden="false" customHeight="false" outlineLevel="0" collapsed="false">
      <c r="A368" s="2" t="s">
        <v>3074</v>
      </c>
      <c r="B368" s="2" t="s">
        <v>66</v>
      </c>
      <c r="C368" s="2" t="s">
        <v>423</v>
      </c>
      <c r="D368" s="2" t="n">
        <v>211574</v>
      </c>
      <c r="E368" s="15" t="n">
        <v>44296</v>
      </c>
      <c r="F368" s="15" t="n">
        <v>44302</v>
      </c>
      <c r="G368" s="3" t="n">
        <v>6</v>
      </c>
      <c r="H368" s="3" t="n">
        <v>2</v>
      </c>
      <c r="I368" s="3" t="n">
        <v>62</v>
      </c>
      <c r="J368" s="3" t="n">
        <v>1</v>
      </c>
      <c r="K368" s="3" t="n">
        <v>2</v>
      </c>
      <c r="L368" s="3" t="n">
        <v>2</v>
      </c>
      <c r="M368" s="3" t="n">
        <v>2</v>
      </c>
      <c r="N368" s="3" t="n">
        <v>2</v>
      </c>
      <c r="O368" s="3" t="n">
        <v>2</v>
      </c>
      <c r="P368" s="3" t="n">
        <v>2</v>
      </c>
      <c r="Q368" s="3" t="n">
        <v>2</v>
      </c>
      <c r="R368" s="3" t="n">
        <v>2</v>
      </c>
      <c r="S368" s="4" t="n">
        <v>2</v>
      </c>
      <c r="T368" s="3" t="n">
        <v>2</v>
      </c>
      <c r="U368" s="3" t="n">
        <v>4.16</v>
      </c>
      <c r="V368" s="3" t="n">
        <v>1.19</v>
      </c>
      <c r="W368" s="3" t="n">
        <v>4.42</v>
      </c>
      <c r="X368" s="3" t="n">
        <v>423</v>
      </c>
      <c r="Z368" s="3" t="n">
        <v>0.45</v>
      </c>
      <c r="AA368" s="3" t="n">
        <v>7.7</v>
      </c>
      <c r="AB368" s="3" t="n">
        <v>1</v>
      </c>
      <c r="AC368" s="3" t="n">
        <v>1</v>
      </c>
      <c r="AD368" s="3" t="n">
        <v>2</v>
      </c>
      <c r="AE368" s="3" t="n">
        <v>1</v>
      </c>
      <c r="AF368" s="3" t="n">
        <v>2</v>
      </c>
      <c r="AG368" s="3" t="n">
        <v>2</v>
      </c>
      <c r="AH368" s="3" t="n">
        <v>1</v>
      </c>
      <c r="AI368" s="3" t="n">
        <v>2</v>
      </c>
      <c r="AJ368" s="3" t="n">
        <v>2</v>
      </c>
      <c r="AK368" s="3" t="n">
        <v>2</v>
      </c>
      <c r="AL368" s="3" t="n">
        <v>2</v>
      </c>
      <c r="AM368" s="3" t="n">
        <v>2</v>
      </c>
      <c r="AN368" s="3" t="n">
        <v>2</v>
      </c>
      <c r="AO368" s="3" t="n">
        <v>3</v>
      </c>
      <c r="AP368" s="3" t="n">
        <v>4</v>
      </c>
      <c r="AQ368" s="3" t="n">
        <v>4</v>
      </c>
      <c r="AR368" s="3" t="n">
        <v>6</v>
      </c>
      <c r="AS368" s="3" t="n">
        <v>4</v>
      </c>
      <c r="AT368" s="3" t="n">
        <v>4</v>
      </c>
      <c r="AU368" s="3" t="n">
        <v>6</v>
      </c>
      <c r="AV368" s="3" t="n">
        <v>6</v>
      </c>
      <c r="AW368" s="3" t="n">
        <v>3</v>
      </c>
      <c r="AX368" s="3" t="n">
        <v>3</v>
      </c>
      <c r="AY368" s="3" t="n">
        <v>1</v>
      </c>
      <c r="AZ368" s="5" t="n">
        <v>1</v>
      </c>
      <c r="BA368" s="3" t="n">
        <v>1</v>
      </c>
      <c r="BB368" s="3" t="n">
        <v>1</v>
      </c>
      <c r="BC368" s="3" t="n">
        <v>4</v>
      </c>
      <c r="BD368" s="3" t="n">
        <v>1</v>
      </c>
      <c r="BE368" s="3" t="n">
        <v>2</v>
      </c>
      <c r="BF368" s="3" t="n">
        <v>1</v>
      </c>
      <c r="BG368" s="3" t="n">
        <v>4</v>
      </c>
      <c r="BH368" s="3" t="n">
        <v>1</v>
      </c>
      <c r="BI368" s="3" t="n">
        <v>1</v>
      </c>
    </row>
    <row r="369" customFormat="false" ht="12.75" hidden="false" customHeight="false" outlineLevel="0" collapsed="false">
      <c r="A369" s="2" t="s">
        <v>345</v>
      </c>
      <c r="B369" s="2" t="s">
        <v>3079</v>
      </c>
      <c r="C369" s="2" t="s">
        <v>260</v>
      </c>
      <c r="D369" s="2" t="n">
        <v>211552</v>
      </c>
      <c r="E369" s="15" t="n">
        <v>44295</v>
      </c>
      <c r="F369" s="15" t="n">
        <v>44302</v>
      </c>
      <c r="G369" s="3" t="n">
        <v>7</v>
      </c>
      <c r="H369" s="3" t="n">
        <v>2</v>
      </c>
      <c r="I369" s="3" t="n">
        <v>51</v>
      </c>
      <c r="J369" s="3" t="n">
        <v>3</v>
      </c>
      <c r="K369" s="3" t="n">
        <v>1</v>
      </c>
      <c r="L369" s="3" t="n">
        <v>2</v>
      </c>
      <c r="M369" s="3" t="n">
        <v>2</v>
      </c>
      <c r="N369" s="3" t="n">
        <v>2</v>
      </c>
      <c r="O369" s="3" t="n">
        <v>2</v>
      </c>
      <c r="P369" s="3" t="n">
        <v>2</v>
      </c>
      <c r="Q369" s="3" t="n">
        <v>2</v>
      </c>
      <c r="R369" s="3" t="n">
        <v>2</v>
      </c>
      <c r="S369" s="4" t="n">
        <v>2</v>
      </c>
      <c r="T369" s="3" t="n">
        <v>2</v>
      </c>
      <c r="U369" s="3" t="n">
        <v>4.21</v>
      </c>
      <c r="V369" s="3" t="n">
        <v>0.87</v>
      </c>
      <c r="W369" s="3" t="n">
        <v>5.66</v>
      </c>
      <c r="X369" s="3" t="n">
        <v>319</v>
      </c>
      <c r="Z369" s="3" t="n">
        <v>0.45</v>
      </c>
      <c r="AA369" s="3" t="n">
        <v>8.4</v>
      </c>
      <c r="AB369" s="3" t="n">
        <v>1</v>
      </c>
      <c r="AC369" s="3" t="n">
        <v>2</v>
      </c>
      <c r="AD369" s="3" t="n">
        <v>1</v>
      </c>
      <c r="AE369" s="3" t="n">
        <v>1</v>
      </c>
      <c r="AF369" s="3" t="n">
        <v>2</v>
      </c>
      <c r="AG369" s="3" t="n">
        <v>2</v>
      </c>
      <c r="AH369" s="3" t="n">
        <v>1</v>
      </c>
      <c r="AI369" s="3" t="n">
        <v>2</v>
      </c>
      <c r="AJ369" s="3" t="n">
        <v>2</v>
      </c>
      <c r="AK369" s="3" t="n">
        <v>2</v>
      </c>
      <c r="AL369" s="3" t="n">
        <v>2</v>
      </c>
      <c r="AM369" s="3" t="n">
        <v>2</v>
      </c>
      <c r="AN369" s="3" t="n">
        <v>2</v>
      </c>
      <c r="AO369" s="3" t="n">
        <v>3</v>
      </c>
      <c r="AP369" s="3" t="n">
        <v>4</v>
      </c>
      <c r="AQ369" s="3" t="n">
        <v>4</v>
      </c>
      <c r="AR369" s="3" t="n">
        <v>6</v>
      </c>
      <c r="AS369" s="3" t="n">
        <v>4</v>
      </c>
      <c r="AT369" s="3" t="n">
        <v>4</v>
      </c>
      <c r="AU369" s="3" t="n">
        <v>6</v>
      </c>
      <c r="AV369" s="3" t="n">
        <v>6</v>
      </c>
      <c r="AW369" s="3" t="n">
        <v>3</v>
      </c>
      <c r="AX369" s="3" t="n">
        <v>3</v>
      </c>
      <c r="AY369" s="3" t="n">
        <v>1</v>
      </c>
      <c r="AZ369" s="5" t="n">
        <v>1</v>
      </c>
      <c r="BA369" s="3" t="n">
        <v>1</v>
      </c>
      <c r="BB369" s="3" t="n">
        <v>1</v>
      </c>
      <c r="BC369" s="3" t="n">
        <v>2</v>
      </c>
      <c r="BD369" s="3" t="n">
        <v>1</v>
      </c>
      <c r="BE369" s="3" t="n">
        <v>2</v>
      </c>
      <c r="BF369" s="3" t="n">
        <v>2</v>
      </c>
      <c r="BG369" s="3" t="n">
        <v>4</v>
      </c>
      <c r="BH369" s="3" t="n">
        <v>1</v>
      </c>
      <c r="BI369" s="3" t="n">
        <v>1</v>
      </c>
    </row>
    <row r="370" customFormat="false" ht="12.75" hidden="false" customHeight="false" outlineLevel="0" collapsed="false">
      <c r="A370" s="17" t="s">
        <v>3081</v>
      </c>
      <c r="B370" s="17" t="s">
        <v>3082</v>
      </c>
      <c r="C370" s="17" t="s">
        <v>95</v>
      </c>
      <c r="D370" s="2" t="n">
        <v>211928</v>
      </c>
      <c r="E370" s="15" t="n">
        <v>44299</v>
      </c>
      <c r="F370" s="15" t="n">
        <v>44304</v>
      </c>
      <c r="G370" s="3" t="n">
        <v>5</v>
      </c>
      <c r="H370" s="3" t="n">
        <v>2</v>
      </c>
      <c r="I370" s="3" t="n">
        <v>49</v>
      </c>
      <c r="J370" s="3" t="n">
        <v>2</v>
      </c>
      <c r="K370" s="3" t="n">
        <v>1</v>
      </c>
      <c r="L370" s="3" t="n">
        <v>2</v>
      </c>
      <c r="M370" s="3" t="n">
        <v>2</v>
      </c>
      <c r="N370" s="3" t="n">
        <v>2</v>
      </c>
      <c r="O370" s="3" t="n">
        <v>2</v>
      </c>
      <c r="P370" s="3" t="n">
        <v>2</v>
      </c>
      <c r="Q370" s="3" t="n">
        <v>2</v>
      </c>
      <c r="R370" s="3" t="n">
        <v>2</v>
      </c>
      <c r="S370" s="4" t="n">
        <v>2</v>
      </c>
      <c r="T370" s="3" t="n">
        <v>2</v>
      </c>
      <c r="U370" s="3" t="n">
        <v>4.84</v>
      </c>
      <c r="V370" s="3" t="n">
        <v>1.09</v>
      </c>
      <c r="W370" s="3" t="n">
        <v>3.76</v>
      </c>
      <c r="X370" s="3" t="n">
        <v>361</v>
      </c>
      <c r="Z370" s="3" t="n">
        <v>0.5</v>
      </c>
      <c r="AA370" s="3" t="n">
        <v>11.7</v>
      </c>
      <c r="AB370" s="3" t="n">
        <v>1</v>
      </c>
      <c r="AC370" s="3" t="n">
        <v>2</v>
      </c>
      <c r="AD370" s="3" t="n">
        <v>1</v>
      </c>
      <c r="AE370" s="3" t="n">
        <v>1</v>
      </c>
      <c r="AF370" s="3" t="n">
        <v>1</v>
      </c>
      <c r="AG370" s="3" t="n">
        <v>2</v>
      </c>
      <c r="AH370" s="3" t="n">
        <v>1</v>
      </c>
      <c r="AI370" s="3" t="n">
        <v>2</v>
      </c>
      <c r="AJ370" s="3" t="n">
        <v>2</v>
      </c>
      <c r="AK370" s="3" t="n">
        <v>2</v>
      </c>
      <c r="AL370" s="3" t="n">
        <v>2</v>
      </c>
      <c r="AM370" s="3" t="n">
        <v>2</v>
      </c>
      <c r="AN370" s="3" t="n">
        <v>2</v>
      </c>
      <c r="AO370" s="3" t="n">
        <v>3</v>
      </c>
      <c r="AP370" s="3" t="n">
        <v>4</v>
      </c>
      <c r="AQ370" s="3" t="n">
        <v>4</v>
      </c>
      <c r="AR370" s="3" t="n">
        <v>6</v>
      </c>
      <c r="AS370" s="3" t="n">
        <v>4</v>
      </c>
      <c r="AT370" s="3" t="n">
        <v>4</v>
      </c>
      <c r="AU370" s="3" t="n">
        <v>6</v>
      </c>
      <c r="AV370" s="3" t="n">
        <v>6</v>
      </c>
      <c r="AW370" s="3" t="n">
        <v>3</v>
      </c>
      <c r="AX370" s="3" t="n">
        <v>3</v>
      </c>
      <c r="AY370" s="3" t="n">
        <v>1</v>
      </c>
      <c r="AZ370" s="5" t="n">
        <v>1</v>
      </c>
      <c r="BA370" s="3" t="n">
        <v>1</v>
      </c>
      <c r="BB370" s="3" t="n">
        <v>1</v>
      </c>
      <c r="BC370" s="3" t="n">
        <v>2</v>
      </c>
      <c r="BD370" s="3" t="n">
        <v>3</v>
      </c>
      <c r="BE370" s="3" t="n">
        <v>5</v>
      </c>
      <c r="BF370" s="3" t="n">
        <v>3</v>
      </c>
      <c r="BG370" s="3" t="n">
        <v>4</v>
      </c>
      <c r="BH370" s="3" t="n">
        <v>1</v>
      </c>
      <c r="BI370" s="3" t="n">
        <v>1</v>
      </c>
    </row>
    <row r="371" customFormat="false" ht="12.75" hidden="false" customHeight="false" outlineLevel="0" collapsed="false">
      <c r="A371" s="2" t="s">
        <v>2958</v>
      </c>
      <c r="B371" s="2" t="s">
        <v>161</v>
      </c>
      <c r="C371" s="2" t="s">
        <v>839</v>
      </c>
      <c r="D371" s="2" t="n">
        <v>211822</v>
      </c>
      <c r="E371" s="15" t="n">
        <v>44302</v>
      </c>
      <c r="F371" s="15" t="n">
        <v>44215</v>
      </c>
      <c r="G371" s="3" t="n">
        <v>3</v>
      </c>
      <c r="H371" s="3" t="n">
        <v>2</v>
      </c>
      <c r="I371" s="3" t="n">
        <v>56</v>
      </c>
      <c r="J371" s="3" t="n">
        <v>1</v>
      </c>
      <c r="K371" s="3" t="n">
        <v>1</v>
      </c>
      <c r="L371" s="3" t="n">
        <v>2</v>
      </c>
      <c r="M371" s="3" t="n">
        <v>2</v>
      </c>
      <c r="N371" s="3" t="n">
        <v>2</v>
      </c>
      <c r="O371" s="3" t="n">
        <v>2</v>
      </c>
      <c r="P371" s="3" t="n">
        <v>2</v>
      </c>
      <c r="Q371" s="3" t="n">
        <v>2</v>
      </c>
      <c r="R371" s="3" t="n">
        <v>2</v>
      </c>
      <c r="S371" s="4" t="n">
        <v>2</v>
      </c>
      <c r="T371" s="3" t="n">
        <v>2</v>
      </c>
      <c r="U371" s="3" t="n">
        <v>6</v>
      </c>
      <c r="V371" s="3" t="n">
        <v>2.17</v>
      </c>
      <c r="W371" s="3" t="n">
        <v>6.41</v>
      </c>
      <c r="X371" s="3" t="n">
        <v>585</v>
      </c>
      <c r="Z371" s="3" t="n">
        <v>0.48</v>
      </c>
      <c r="AA371" s="3" t="n">
        <v>16.4</v>
      </c>
      <c r="AB371" s="3" t="n">
        <v>3</v>
      </c>
      <c r="AC371" s="3" t="n">
        <v>2</v>
      </c>
      <c r="AD371" s="3" t="n">
        <v>1</v>
      </c>
      <c r="AE371" s="3" t="n">
        <v>1</v>
      </c>
      <c r="AF371" s="3" t="n">
        <v>2</v>
      </c>
      <c r="AG371" s="3" t="n">
        <v>2</v>
      </c>
      <c r="AH371" s="3" t="n">
        <v>1</v>
      </c>
      <c r="AI371" s="3" t="n">
        <v>2</v>
      </c>
      <c r="AJ371" s="3" t="n">
        <v>2</v>
      </c>
      <c r="AK371" s="3" t="n">
        <v>2</v>
      </c>
      <c r="AL371" s="3" t="n">
        <v>1</v>
      </c>
      <c r="AM371" s="3" t="n">
        <v>1</v>
      </c>
      <c r="AN371" s="3" t="n">
        <v>2</v>
      </c>
      <c r="AO371" s="3" t="n">
        <v>3</v>
      </c>
      <c r="AP371" s="3" t="n">
        <v>4</v>
      </c>
      <c r="AQ371" s="3" t="n">
        <v>4</v>
      </c>
      <c r="AR371" s="3" t="n">
        <v>6</v>
      </c>
      <c r="AS371" s="3" t="n">
        <v>4</v>
      </c>
      <c r="AT371" s="3" t="n">
        <v>4</v>
      </c>
      <c r="AU371" s="3" t="n">
        <v>6</v>
      </c>
      <c r="AV371" s="3" t="n">
        <v>6</v>
      </c>
      <c r="AW371" s="3" t="n">
        <v>3</v>
      </c>
      <c r="AX371" s="3" t="n">
        <v>3</v>
      </c>
      <c r="AY371" s="3" t="n">
        <v>6</v>
      </c>
      <c r="AZ371" s="5" t="n">
        <v>1</v>
      </c>
      <c r="BA371" s="3" t="n">
        <v>1</v>
      </c>
      <c r="BB371" s="3" t="n">
        <v>1</v>
      </c>
      <c r="BC371" s="3" t="n">
        <v>2</v>
      </c>
      <c r="BD371" s="3" t="n">
        <v>1</v>
      </c>
      <c r="BE371" s="3" t="n">
        <v>2</v>
      </c>
      <c r="BF371" s="3" t="n">
        <v>1</v>
      </c>
      <c r="BG371" s="3" t="n">
        <v>4</v>
      </c>
      <c r="BH371" s="3" t="n">
        <v>1</v>
      </c>
      <c r="BI371" s="3" t="n">
        <v>1</v>
      </c>
    </row>
    <row r="372" customFormat="false" ht="12.75" hidden="false" customHeight="false" outlineLevel="0" collapsed="false">
      <c r="A372" s="17" t="s">
        <v>3085</v>
      </c>
      <c r="B372" s="17" t="s">
        <v>2694</v>
      </c>
      <c r="C372" s="17" t="s">
        <v>1591</v>
      </c>
      <c r="D372" s="2" t="n">
        <v>211905</v>
      </c>
      <c r="E372" s="15" t="n">
        <v>44298</v>
      </c>
      <c r="F372" s="15" t="n">
        <v>44215</v>
      </c>
      <c r="G372" s="3" t="n">
        <v>7</v>
      </c>
      <c r="H372" s="3" t="n">
        <v>1</v>
      </c>
      <c r="I372" s="3" t="n">
        <v>42</v>
      </c>
      <c r="J372" s="3" t="n">
        <v>1</v>
      </c>
      <c r="K372" s="3" t="n">
        <v>1</v>
      </c>
      <c r="L372" s="3" t="n">
        <v>1</v>
      </c>
      <c r="M372" s="3" t="n">
        <v>2</v>
      </c>
      <c r="N372" s="3" t="n">
        <v>1</v>
      </c>
      <c r="O372" s="3" t="n">
        <v>1</v>
      </c>
      <c r="P372" s="3" t="n">
        <v>1</v>
      </c>
      <c r="Q372" s="3" t="n">
        <v>2</v>
      </c>
      <c r="R372" s="3" t="n">
        <v>1</v>
      </c>
      <c r="S372" s="4" t="n">
        <v>2</v>
      </c>
      <c r="T372" s="3" t="n">
        <v>2</v>
      </c>
      <c r="U372" s="3" t="n">
        <v>4</v>
      </c>
      <c r="V372" s="3" t="n">
        <v>1.17</v>
      </c>
      <c r="W372" s="3" t="n">
        <v>4.9</v>
      </c>
      <c r="X372" s="3" t="n">
        <v>252</v>
      </c>
      <c r="Z372" s="3" t="n">
        <v>0.4</v>
      </c>
      <c r="AA372" s="3" t="n">
        <v>8</v>
      </c>
      <c r="AB372" s="3" t="n">
        <v>1</v>
      </c>
      <c r="AC372" s="3" t="n">
        <v>2</v>
      </c>
      <c r="AD372" s="3" t="n">
        <v>2</v>
      </c>
      <c r="AE372" s="3" t="n">
        <v>1</v>
      </c>
      <c r="AF372" s="3" t="n">
        <v>2</v>
      </c>
      <c r="AG372" s="3" t="n">
        <v>1</v>
      </c>
      <c r="AH372" s="3" t="n">
        <v>1</v>
      </c>
      <c r="AI372" s="3" t="n">
        <v>1</v>
      </c>
      <c r="AJ372" s="3" t="n">
        <v>2</v>
      </c>
      <c r="AK372" s="3" t="n">
        <v>2</v>
      </c>
      <c r="AL372" s="3" t="n">
        <v>1</v>
      </c>
      <c r="AM372" s="3" t="n">
        <v>2</v>
      </c>
      <c r="AN372" s="3" t="n">
        <v>2</v>
      </c>
      <c r="AO372" s="3" t="n">
        <v>3</v>
      </c>
      <c r="AP372" s="3" t="n">
        <v>4</v>
      </c>
      <c r="AQ372" s="3" t="n">
        <v>4</v>
      </c>
      <c r="AR372" s="3" t="n">
        <v>6</v>
      </c>
      <c r="AS372" s="3" t="n">
        <v>4</v>
      </c>
      <c r="AT372" s="3" t="n">
        <v>4</v>
      </c>
      <c r="AU372" s="3" t="n">
        <v>6</v>
      </c>
      <c r="AV372" s="3" t="n">
        <v>6</v>
      </c>
      <c r="AW372" s="3" t="n">
        <v>3</v>
      </c>
      <c r="AX372" s="3" t="n">
        <v>3</v>
      </c>
      <c r="AY372" s="3" t="n">
        <v>1</v>
      </c>
      <c r="AZ372" s="5" t="n">
        <v>1</v>
      </c>
      <c r="BA372" s="3" t="n">
        <v>1</v>
      </c>
      <c r="BB372" s="3" t="n">
        <v>1</v>
      </c>
      <c r="BC372" s="3" t="n">
        <v>4</v>
      </c>
      <c r="BD372" s="3" t="n">
        <v>1</v>
      </c>
      <c r="BE372" s="3" t="n">
        <v>2</v>
      </c>
      <c r="BF372" s="3" t="n">
        <v>1</v>
      </c>
      <c r="BG372" s="3" t="n">
        <v>4</v>
      </c>
      <c r="BH372" s="3" t="n">
        <v>1</v>
      </c>
      <c r="BI372" s="3" t="n">
        <v>1</v>
      </c>
    </row>
    <row r="373" customFormat="false" ht="12.75" hidden="false" customHeight="false" outlineLevel="0" collapsed="false">
      <c r="A373" s="17" t="s">
        <v>3087</v>
      </c>
      <c r="B373" s="17" t="s">
        <v>1552</v>
      </c>
      <c r="C373" s="17" t="s">
        <v>198</v>
      </c>
      <c r="D373" s="2" t="n">
        <v>211961</v>
      </c>
      <c r="E373" s="15" t="n">
        <v>44299</v>
      </c>
      <c r="F373" s="15" t="n">
        <v>44215</v>
      </c>
      <c r="G373" s="3" t="n">
        <v>6</v>
      </c>
      <c r="H373" s="3" t="n">
        <v>2</v>
      </c>
      <c r="I373" s="3" t="n">
        <v>55</v>
      </c>
      <c r="J373" s="3" t="n">
        <v>1</v>
      </c>
      <c r="K373" s="3" t="n">
        <v>1</v>
      </c>
      <c r="L373" s="3" t="n">
        <v>2</v>
      </c>
      <c r="M373" s="3" t="n">
        <v>2</v>
      </c>
      <c r="N373" s="3" t="n">
        <v>2</v>
      </c>
      <c r="O373" s="3" t="n">
        <v>2</v>
      </c>
      <c r="P373" s="3" t="n">
        <v>2</v>
      </c>
      <c r="Q373" s="3" t="n">
        <v>2</v>
      </c>
      <c r="R373" s="3" t="n">
        <v>2</v>
      </c>
      <c r="S373" s="4" t="n">
        <v>2</v>
      </c>
      <c r="T373" s="3" t="n">
        <v>2</v>
      </c>
      <c r="U373" s="3" t="n">
        <v>4.62</v>
      </c>
      <c r="V373" s="3" t="n">
        <v>1.08</v>
      </c>
      <c r="W373" s="3" t="n">
        <v>5.45</v>
      </c>
      <c r="X373" s="3" t="n">
        <v>421</v>
      </c>
      <c r="Z373" s="3" t="n">
        <v>0.45</v>
      </c>
      <c r="AA373" s="3" t="n">
        <v>12.6</v>
      </c>
      <c r="AB373" s="3" t="n">
        <v>1</v>
      </c>
      <c r="AC373" s="3" t="n">
        <v>2</v>
      </c>
      <c r="AD373" s="3" t="n">
        <v>1</v>
      </c>
      <c r="AE373" s="3" t="n">
        <v>1</v>
      </c>
      <c r="AF373" s="3" t="n">
        <v>2</v>
      </c>
      <c r="AG373" s="3" t="n">
        <v>2</v>
      </c>
      <c r="AH373" s="3" t="n">
        <v>1</v>
      </c>
      <c r="AI373" s="3" t="n">
        <v>2</v>
      </c>
      <c r="AJ373" s="3" t="n">
        <v>2</v>
      </c>
      <c r="AK373" s="3" t="n">
        <v>2</v>
      </c>
      <c r="AL373" s="3" t="n">
        <v>2</v>
      </c>
      <c r="AM373" s="3" t="n">
        <v>2</v>
      </c>
      <c r="AN373" s="3" t="n">
        <v>2</v>
      </c>
      <c r="AO373" s="3" t="n">
        <v>3</v>
      </c>
      <c r="AP373" s="3" t="n">
        <v>4</v>
      </c>
      <c r="AQ373" s="3" t="n">
        <v>4</v>
      </c>
      <c r="AR373" s="3" t="n">
        <v>6</v>
      </c>
      <c r="AS373" s="3" t="n">
        <v>4</v>
      </c>
      <c r="AT373" s="3" t="n">
        <v>4</v>
      </c>
      <c r="AU373" s="3" t="n">
        <v>6</v>
      </c>
      <c r="AV373" s="3" t="n">
        <v>6</v>
      </c>
      <c r="AW373" s="3" t="n">
        <v>3</v>
      </c>
      <c r="AX373" s="3" t="n">
        <v>3</v>
      </c>
      <c r="AY373" s="3" t="n">
        <v>1</v>
      </c>
      <c r="AZ373" s="5" t="n">
        <v>1</v>
      </c>
      <c r="BA373" s="3" t="n">
        <v>1</v>
      </c>
      <c r="BB373" s="3" t="n">
        <v>1</v>
      </c>
      <c r="BC373" s="3" t="n">
        <v>4</v>
      </c>
      <c r="BD373" s="3" t="n">
        <v>1</v>
      </c>
      <c r="BE373" s="3" t="n">
        <v>2</v>
      </c>
      <c r="BF373" s="3" t="n">
        <v>2</v>
      </c>
      <c r="BG373" s="3" t="n">
        <v>4</v>
      </c>
      <c r="BH373" s="3" t="n">
        <v>1</v>
      </c>
      <c r="BI373" s="3" t="n">
        <v>1</v>
      </c>
    </row>
    <row r="374" customFormat="false" ht="12.75" hidden="false" customHeight="false" outlineLevel="0" collapsed="false">
      <c r="A374" s="17" t="s">
        <v>3090</v>
      </c>
      <c r="B374" s="17" t="s">
        <v>75</v>
      </c>
      <c r="C374" s="17" t="s">
        <v>3091</v>
      </c>
      <c r="D374" s="2" t="n">
        <v>211988</v>
      </c>
      <c r="E374" s="15" t="n">
        <v>44300</v>
      </c>
      <c r="F374" s="15" t="n">
        <v>44307</v>
      </c>
      <c r="G374" s="3" t="n">
        <v>7</v>
      </c>
      <c r="H374" s="3" t="n">
        <v>1</v>
      </c>
      <c r="I374" s="3" t="n">
        <v>72</v>
      </c>
      <c r="J374" s="3" t="n">
        <v>1</v>
      </c>
      <c r="K374" s="3" t="n">
        <v>2</v>
      </c>
      <c r="L374" s="3" t="n">
        <v>1</v>
      </c>
      <c r="M374" s="3" t="n">
        <v>1</v>
      </c>
      <c r="N374" s="3" t="n">
        <v>2</v>
      </c>
      <c r="O374" s="3" t="n">
        <v>1</v>
      </c>
      <c r="P374" s="3" t="n">
        <v>1</v>
      </c>
      <c r="Q374" s="3" t="n">
        <v>2</v>
      </c>
      <c r="R374" s="3" t="n">
        <v>1</v>
      </c>
      <c r="S374" s="4" t="n">
        <v>2</v>
      </c>
      <c r="T374" s="3" t="n">
        <v>2</v>
      </c>
      <c r="U374" s="3" t="n">
        <v>4.33</v>
      </c>
      <c r="V374" s="3" t="n">
        <v>0.55</v>
      </c>
      <c r="W374" s="3" t="n">
        <v>9.59</v>
      </c>
      <c r="X374" s="3" t="n">
        <v>167</v>
      </c>
      <c r="Z374" s="3" t="n">
        <v>0.42</v>
      </c>
      <c r="AA374" s="3" t="n">
        <v>10.9</v>
      </c>
      <c r="AB374" s="3" t="n">
        <v>1</v>
      </c>
      <c r="AC374" s="3" t="n">
        <v>1</v>
      </c>
      <c r="AD374" s="3" t="n">
        <v>2</v>
      </c>
      <c r="AE374" s="3" t="n">
        <v>2</v>
      </c>
      <c r="AF374" s="3" t="n">
        <v>2</v>
      </c>
      <c r="AG374" s="3" t="n">
        <v>1</v>
      </c>
      <c r="AH374" s="3" t="n">
        <v>1</v>
      </c>
      <c r="AI374" s="3" t="n">
        <v>1</v>
      </c>
      <c r="AJ374" s="3" t="n">
        <v>2</v>
      </c>
      <c r="AK374" s="3" t="n">
        <v>2</v>
      </c>
      <c r="AL374" s="3" t="n">
        <v>1</v>
      </c>
      <c r="AM374" s="3" t="n">
        <v>2</v>
      </c>
      <c r="AN374" s="3" t="n">
        <v>2</v>
      </c>
      <c r="AO374" s="3" t="n">
        <v>3</v>
      </c>
      <c r="AP374" s="3" t="n">
        <v>4</v>
      </c>
      <c r="AQ374" s="3" t="n">
        <v>4</v>
      </c>
      <c r="AR374" s="3" t="n">
        <v>6</v>
      </c>
      <c r="AS374" s="3" t="n">
        <v>4</v>
      </c>
      <c r="AT374" s="3" t="n">
        <v>4</v>
      </c>
      <c r="AU374" s="3" t="n">
        <v>6</v>
      </c>
      <c r="AV374" s="3" t="n">
        <v>6</v>
      </c>
      <c r="AW374" s="3" t="n">
        <v>3</v>
      </c>
      <c r="AX374" s="3" t="n">
        <v>3</v>
      </c>
      <c r="AY374" s="3" t="n">
        <v>1</v>
      </c>
      <c r="AZ374" s="5" t="n">
        <v>1</v>
      </c>
      <c r="BA374" s="3" t="n">
        <v>1</v>
      </c>
      <c r="BB374" s="3" t="n">
        <v>1</v>
      </c>
      <c r="BC374" s="3" t="n">
        <v>4</v>
      </c>
      <c r="BD374" s="3" t="n">
        <v>1</v>
      </c>
      <c r="BE374" s="3" t="n">
        <v>2</v>
      </c>
      <c r="BF374" s="3" t="n">
        <v>1</v>
      </c>
      <c r="BG374" s="3" t="n">
        <v>4</v>
      </c>
      <c r="BH374" s="3" t="n">
        <v>1</v>
      </c>
      <c r="BI374" s="3" t="n">
        <v>1</v>
      </c>
    </row>
    <row r="375" customFormat="false" ht="12.75" hidden="false" customHeight="false" outlineLevel="0" collapsed="false">
      <c r="A375" s="2" t="s">
        <v>3095</v>
      </c>
      <c r="B375" s="2" t="s">
        <v>308</v>
      </c>
      <c r="C375" s="2" t="s">
        <v>127</v>
      </c>
      <c r="D375" s="2" t="n">
        <v>211825</v>
      </c>
      <c r="E375" s="15" t="n">
        <v>44302</v>
      </c>
      <c r="F375" s="15" t="n">
        <v>44309</v>
      </c>
      <c r="G375" s="3" t="n">
        <v>7</v>
      </c>
      <c r="H375" s="3" t="n">
        <v>2</v>
      </c>
      <c r="I375" s="3" t="n">
        <v>63</v>
      </c>
      <c r="J375" s="3" t="n">
        <v>1</v>
      </c>
      <c r="K375" s="3" t="n">
        <v>2</v>
      </c>
      <c r="L375" s="3" t="n">
        <v>1</v>
      </c>
      <c r="M375" s="3" t="n">
        <v>2</v>
      </c>
      <c r="N375" s="3" t="n">
        <v>1</v>
      </c>
      <c r="O375" s="3" t="n">
        <v>1</v>
      </c>
      <c r="P375" s="3" t="n">
        <v>1</v>
      </c>
      <c r="Q375" s="3" t="n">
        <v>2</v>
      </c>
      <c r="R375" s="3" t="n">
        <v>2</v>
      </c>
      <c r="S375" s="4" t="n">
        <v>2</v>
      </c>
      <c r="T375" s="3" t="n">
        <v>2</v>
      </c>
      <c r="U375" s="3" t="n">
        <v>6</v>
      </c>
      <c r="V375" s="3" t="n">
        <v>3.16</v>
      </c>
      <c r="W375" s="3" t="n">
        <v>24.02</v>
      </c>
      <c r="X375" s="3" t="n">
        <v>516</v>
      </c>
      <c r="Z375" s="3" t="n">
        <v>0.53</v>
      </c>
      <c r="AA375" s="3" t="n">
        <v>13.2</v>
      </c>
      <c r="AB375" s="3" t="n">
        <v>2</v>
      </c>
      <c r="AC375" s="3" t="n">
        <v>2</v>
      </c>
      <c r="AD375" s="3" t="n">
        <v>1</v>
      </c>
      <c r="AE375" s="3" t="n">
        <v>1</v>
      </c>
      <c r="AF375" s="3" t="n">
        <v>2</v>
      </c>
      <c r="AG375" s="3" t="n">
        <v>2</v>
      </c>
      <c r="AH375" s="3" t="n">
        <v>1</v>
      </c>
      <c r="AI375" s="3" t="n">
        <v>2</v>
      </c>
      <c r="AJ375" s="3" t="n">
        <v>1</v>
      </c>
      <c r="AK375" s="3" t="n">
        <v>2</v>
      </c>
      <c r="AL375" s="3" t="n">
        <v>1</v>
      </c>
      <c r="AM375" s="3" t="n">
        <v>1</v>
      </c>
      <c r="AN375" s="3" t="n">
        <v>2</v>
      </c>
      <c r="AO375" s="3" t="n">
        <v>3</v>
      </c>
      <c r="AP375" s="3" t="n">
        <v>4</v>
      </c>
      <c r="AQ375" s="3" t="n">
        <v>4</v>
      </c>
      <c r="AR375" s="3" t="n">
        <v>6</v>
      </c>
      <c r="AS375" s="3" t="n">
        <v>4</v>
      </c>
      <c r="AT375" s="3" t="n">
        <v>4</v>
      </c>
      <c r="AU375" s="3" t="n">
        <v>6</v>
      </c>
      <c r="AV375" s="3" t="n">
        <v>6</v>
      </c>
      <c r="AW375" s="3" t="n">
        <v>3</v>
      </c>
      <c r="AX375" s="3" t="n">
        <v>3</v>
      </c>
      <c r="AY375" s="3" t="n">
        <v>6</v>
      </c>
      <c r="AZ375" s="5" t="n">
        <v>1</v>
      </c>
      <c r="BA375" s="3" t="n">
        <v>1</v>
      </c>
      <c r="BB375" s="3" t="n">
        <v>1</v>
      </c>
      <c r="BC375" s="3" t="n">
        <v>2</v>
      </c>
      <c r="BD375" s="3" t="n">
        <v>1</v>
      </c>
      <c r="BE375" s="3" t="n">
        <v>2</v>
      </c>
      <c r="BF375" s="3" t="n">
        <v>1</v>
      </c>
      <c r="BG375" s="3" t="n">
        <v>4</v>
      </c>
      <c r="BH375" s="3" t="n">
        <v>1</v>
      </c>
      <c r="BI375" s="3" t="n">
        <v>1</v>
      </c>
    </row>
    <row r="376" customFormat="false" ht="12.75" hidden="false" customHeight="false" outlineLevel="0" collapsed="false">
      <c r="A376" s="2" t="s">
        <v>323</v>
      </c>
      <c r="B376" s="2" t="s">
        <v>94</v>
      </c>
      <c r="C376" s="2" t="s">
        <v>3097</v>
      </c>
      <c r="D376" s="2" t="n">
        <v>211847</v>
      </c>
      <c r="E376" s="15" t="n">
        <v>44302</v>
      </c>
      <c r="F376" s="15" t="n">
        <v>44309</v>
      </c>
      <c r="G376" s="3" t="n">
        <v>7</v>
      </c>
      <c r="H376" s="3" t="n">
        <v>2</v>
      </c>
      <c r="I376" s="3" t="n">
        <v>59</v>
      </c>
      <c r="J376" s="3" t="n">
        <v>1</v>
      </c>
      <c r="K376" s="3" t="n">
        <v>1</v>
      </c>
      <c r="L376" s="3" t="n">
        <v>1</v>
      </c>
      <c r="M376" s="3" t="n">
        <v>2</v>
      </c>
      <c r="N376" s="3" t="n">
        <v>2</v>
      </c>
      <c r="O376" s="3" t="n">
        <v>2</v>
      </c>
      <c r="P376" s="3" t="n">
        <v>2</v>
      </c>
      <c r="Q376" s="3" t="n">
        <v>2</v>
      </c>
      <c r="R376" s="3" t="n">
        <v>2</v>
      </c>
      <c r="S376" s="4" t="n">
        <v>2</v>
      </c>
      <c r="T376" s="3" t="n">
        <v>2</v>
      </c>
      <c r="U376" s="3" t="n">
        <v>3.39</v>
      </c>
      <c r="V376" s="3" t="n">
        <v>0.92</v>
      </c>
      <c r="W376" s="3" t="n">
        <v>6.59</v>
      </c>
      <c r="X376" s="3" t="n">
        <v>439</v>
      </c>
      <c r="Z376" s="3" t="n">
        <v>0.45</v>
      </c>
      <c r="AA376" s="3" t="n">
        <v>11.4</v>
      </c>
      <c r="AB376" s="3" t="n">
        <v>1</v>
      </c>
      <c r="AC376" s="3" t="n">
        <v>2</v>
      </c>
      <c r="AD376" s="3" t="n">
        <v>2</v>
      </c>
      <c r="AE376" s="3" t="n">
        <v>1</v>
      </c>
      <c r="AF376" s="3" t="n">
        <v>2</v>
      </c>
      <c r="AG376" s="3" t="n">
        <v>2</v>
      </c>
      <c r="AH376" s="3" t="n">
        <v>1</v>
      </c>
      <c r="AI376" s="3" t="n">
        <v>2</v>
      </c>
      <c r="AJ376" s="3" t="n">
        <v>2</v>
      </c>
      <c r="AK376" s="3" t="n">
        <v>2</v>
      </c>
      <c r="AL376" s="3" t="n">
        <v>2</v>
      </c>
      <c r="AM376" s="3" t="n">
        <v>2</v>
      </c>
      <c r="AN376" s="3" t="n">
        <v>2</v>
      </c>
      <c r="AO376" s="3" t="n">
        <v>3</v>
      </c>
      <c r="AP376" s="3" t="n">
        <v>4</v>
      </c>
      <c r="AQ376" s="3" t="n">
        <v>4</v>
      </c>
      <c r="AR376" s="3" t="n">
        <v>6</v>
      </c>
      <c r="AS376" s="3" t="n">
        <v>4</v>
      </c>
      <c r="AT376" s="3" t="n">
        <v>4</v>
      </c>
      <c r="AU376" s="3" t="n">
        <v>6</v>
      </c>
      <c r="AV376" s="3" t="n">
        <v>6</v>
      </c>
      <c r="AW376" s="3" t="n">
        <v>3</v>
      </c>
      <c r="AX376" s="3" t="n">
        <v>3</v>
      </c>
      <c r="AY376" s="3" t="n">
        <v>1</v>
      </c>
      <c r="AZ376" s="5" t="n">
        <v>1</v>
      </c>
      <c r="BA376" s="3" t="n">
        <v>1</v>
      </c>
      <c r="BB376" s="3" t="n">
        <v>1</v>
      </c>
      <c r="BC376" s="3" t="n">
        <v>4</v>
      </c>
      <c r="BD376" s="3" t="n">
        <v>1</v>
      </c>
      <c r="BE376" s="3" t="n">
        <v>2</v>
      </c>
      <c r="BF376" s="3" t="n">
        <v>1</v>
      </c>
      <c r="BG376" s="3" t="n">
        <v>4</v>
      </c>
      <c r="BH376" s="3" t="n">
        <v>1</v>
      </c>
      <c r="BI376" s="3" t="n">
        <v>1</v>
      </c>
    </row>
    <row r="377" customFormat="false" ht="12.75" hidden="false" customHeight="false" outlineLevel="0" collapsed="false">
      <c r="A377" s="2" t="s">
        <v>339</v>
      </c>
      <c r="B377" s="2" t="s">
        <v>3100</v>
      </c>
      <c r="C377" s="2" t="s">
        <v>1494</v>
      </c>
      <c r="D377" s="2" t="n">
        <v>212355</v>
      </c>
      <c r="E377" s="15" t="n">
        <v>44306</v>
      </c>
      <c r="F377" s="15" t="n">
        <v>44312</v>
      </c>
      <c r="G377" s="3" t="n">
        <v>6</v>
      </c>
      <c r="H377" s="3" t="n">
        <v>1</v>
      </c>
      <c r="I377" s="3" t="n">
        <v>65</v>
      </c>
      <c r="J377" s="3" t="n">
        <v>2</v>
      </c>
      <c r="K377" s="3" t="n">
        <v>1</v>
      </c>
      <c r="L377" s="3" t="n">
        <v>1</v>
      </c>
      <c r="M377" s="3" t="n">
        <v>2</v>
      </c>
      <c r="N377" s="3" t="n">
        <v>2</v>
      </c>
      <c r="O377" s="3" t="n">
        <v>2</v>
      </c>
      <c r="P377" s="3" t="n">
        <v>2</v>
      </c>
      <c r="Q377" s="3" t="n">
        <v>2</v>
      </c>
      <c r="R377" s="3" t="n">
        <v>2</v>
      </c>
      <c r="S377" s="4" t="n">
        <v>2</v>
      </c>
      <c r="T377" s="3" t="n">
        <v>2</v>
      </c>
      <c r="U377" s="3" t="n">
        <v>3.75</v>
      </c>
      <c r="V377" s="3" t="n">
        <v>0.65</v>
      </c>
      <c r="W377" s="3" t="n">
        <v>4.24</v>
      </c>
      <c r="X377" s="3" t="n">
        <v>305</v>
      </c>
      <c r="Z377" s="3" t="n">
        <v>0.42</v>
      </c>
      <c r="AA377" s="3" t="n">
        <v>16.8</v>
      </c>
      <c r="AB377" s="3" t="n">
        <v>1</v>
      </c>
      <c r="AC377" s="3" t="n">
        <v>2</v>
      </c>
      <c r="AD377" s="3" t="n">
        <v>2</v>
      </c>
      <c r="AE377" s="3" t="n">
        <v>2</v>
      </c>
      <c r="AF377" s="3" t="n">
        <v>2</v>
      </c>
      <c r="AG377" s="3" t="n">
        <v>2</v>
      </c>
      <c r="AH377" s="3" t="n">
        <v>1</v>
      </c>
      <c r="AI377" s="3" t="n">
        <v>2</v>
      </c>
      <c r="AJ377" s="3" t="n">
        <v>2</v>
      </c>
      <c r="AK377" s="3" t="n">
        <v>2</v>
      </c>
      <c r="AL377" s="3" t="n">
        <v>2</v>
      </c>
      <c r="AM377" s="3" t="n">
        <v>2</v>
      </c>
      <c r="AN377" s="3" t="n">
        <v>2</v>
      </c>
      <c r="AO377" s="3" t="n">
        <v>3</v>
      </c>
      <c r="AP377" s="3" t="n">
        <v>4</v>
      </c>
      <c r="AQ377" s="3" t="n">
        <v>4</v>
      </c>
      <c r="AR377" s="3" t="n">
        <v>6</v>
      </c>
      <c r="AS377" s="3" t="n">
        <v>4</v>
      </c>
      <c r="AT377" s="3" t="n">
        <v>4</v>
      </c>
      <c r="AU377" s="3" t="n">
        <v>6</v>
      </c>
      <c r="AV377" s="3" t="n">
        <v>6</v>
      </c>
      <c r="AW377" s="3" t="n">
        <v>3</v>
      </c>
      <c r="AX377" s="3" t="n">
        <v>3</v>
      </c>
      <c r="AY377" s="3" t="n">
        <v>5</v>
      </c>
      <c r="AZ377" s="5" t="n">
        <v>1</v>
      </c>
      <c r="BA377" s="3" t="n">
        <v>1</v>
      </c>
      <c r="BB377" s="3" t="n">
        <v>1</v>
      </c>
      <c r="BC377" s="3" t="n">
        <v>4</v>
      </c>
      <c r="BD377" s="3" t="n">
        <v>1</v>
      </c>
      <c r="BE377" s="3" t="n">
        <v>2</v>
      </c>
      <c r="BF377" s="3" t="n">
        <v>1</v>
      </c>
      <c r="BG377" s="3" t="n">
        <v>4</v>
      </c>
      <c r="BH377" s="3" t="n">
        <v>1</v>
      </c>
      <c r="BI377" s="3" t="n">
        <v>1</v>
      </c>
    </row>
    <row r="378" customFormat="false" ht="12.75" hidden="false" customHeight="false" outlineLevel="0" collapsed="false">
      <c r="A378" s="2" t="s">
        <v>274</v>
      </c>
      <c r="B378" s="2" t="s">
        <v>78</v>
      </c>
      <c r="C378" s="2" t="s">
        <v>95</v>
      </c>
      <c r="D378" s="2" t="n">
        <v>212695</v>
      </c>
      <c r="E378" s="15" t="n">
        <v>44311</v>
      </c>
      <c r="F378" s="15" t="n">
        <v>44314</v>
      </c>
      <c r="G378" s="3" t="n">
        <v>3</v>
      </c>
      <c r="H378" s="3" t="n">
        <v>1</v>
      </c>
      <c r="I378" s="3" t="n">
        <v>32</v>
      </c>
      <c r="J378" s="3" t="n">
        <v>2</v>
      </c>
      <c r="K378" s="3" t="n">
        <v>1</v>
      </c>
      <c r="L378" s="3" t="n">
        <v>2</v>
      </c>
      <c r="M378" s="3" t="n">
        <v>2</v>
      </c>
      <c r="N378" s="3" t="n">
        <v>2</v>
      </c>
      <c r="O378" s="3" t="n">
        <v>2</v>
      </c>
      <c r="P378" s="3" t="n">
        <v>2</v>
      </c>
      <c r="Q378" s="3" t="n">
        <v>2</v>
      </c>
      <c r="R378" s="3" t="n">
        <v>2</v>
      </c>
      <c r="S378" s="4" t="n">
        <v>2</v>
      </c>
      <c r="T378" s="3" t="n">
        <v>2</v>
      </c>
      <c r="U378" s="3"/>
      <c r="V378" s="3"/>
      <c r="W378" s="3"/>
      <c r="X378" s="3"/>
      <c r="Z378" s="3"/>
      <c r="AA378" s="3"/>
      <c r="AB378" s="3" t="n">
        <v>1</v>
      </c>
      <c r="AC378" s="3" t="n">
        <v>2</v>
      </c>
      <c r="AD378" s="3" t="n">
        <v>2</v>
      </c>
      <c r="AE378" s="3" t="n">
        <v>1</v>
      </c>
      <c r="AF378" s="3" t="n">
        <v>2</v>
      </c>
      <c r="AG378" s="3" t="n">
        <v>2</v>
      </c>
      <c r="AH378" s="3" t="n">
        <v>1</v>
      </c>
      <c r="AI378" s="3" t="n">
        <v>2</v>
      </c>
      <c r="AJ378" s="3" t="n">
        <v>2</v>
      </c>
      <c r="AK378" s="3" t="n">
        <v>2</v>
      </c>
      <c r="AL378" s="3" t="n">
        <v>2</v>
      </c>
      <c r="AM378" s="3" t="n">
        <v>2</v>
      </c>
      <c r="AN378" s="3" t="n">
        <v>2</v>
      </c>
      <c r="AO378" s="3" t="n">
        <v>3</v>
      </c>
      <c r="AP378" s="3" t="n">
        <v>4</v>
      </c>
      <c r="AQ378" s="3" t="n">
        <v>4</v>
      </c>
      <c r="AR378" s="3" t="n">
        <v>6</v>
      </c>
      <c r="AS378" s="3" t="n">
        <v>4</v>
      </c>
      <c r="AT378" s="3" t="n">
        <v>4</v>
      </c>
      <c r="AU378" s="3" t="n">
        <v>6</v>
      </c>
      <c r="AV378" s="3" t="n">
        <v>6</v>
      </c>
      <c r="AW378" s="3" t="n">
        <v>3</v>
      </c>
      <c r="AX378" s="3" t="n">
        <v>3</v>
      </c>
      <c r="AY378" s="3" t="n">
        <v>1</v>
      </c>
      <c r="AZ378" s="5" t="n">
        <v>12</v>
      </c>
      <c r="BA378" s="3" t="n">
        <v>2</v>
      </c>
      <c r="BB378" s="3" t="n">
        <v>1</v>
      </c>
      <c r="BC378" s="3" t="n">
        <v>6</v>
      </c>
      <c r="BD378" s="3" t="n">
        <v>3</v>
      </c>
      <c r="BE378" s="3" t="n">
        <v>5</v>
      </c>
      <c r="BF378" s="3" t="n">
        <v>3</v>
      </c>
      <c r="BG378" s="3" t="n">
        <v>4</v>
      </c>
      <c r="BH378" s="3" t="n">
        <v>1</v>
      </c>
      <c r="BI378" s="3" t="n">
        <v>1</v>
      </c>
    </row>
    <row r="379" customFormat="false" ht="12.75" hidden="false" customHeight="false" outlineLevel="0" collapsed="false">
      <c r="A379" s="2" t="s">
        <v>3111</v>
      </c>
      <c r="B379" s="2" t="s">
        <v>3112</v>
      </c>
      <c r="C379" s="2" t="s">
        <v>118</v>
      </c>
      <c r="D379" s="2" t="n">
        <v>212648</v>
      </c>
      <c r="E379" s="15" t="n">
        <v>44310</v>
      </c>
      <c r="F379" s="15" t="n">
        <v>44316</v>
      </c>
      <c r="G379" s="3" t="n">
        <v>6</v>
      </c>
      <c r="H379" s="3" t="n">
        <v>2</v>
      </c>
      <c r="I379" s="3" t="n">
        <v>45</v>
      </c>
      <c r="J379" s="3" t="n">
        <v>1</v>
      </c>
      <c r="K379" s="3" t="n">
        <v>1</v>
      </c>
      <c r="L379" s="3" t="n">
        <v>2</v>
      </c>
      <c r="M379" s="3" t="n">
        <v>2</v>
      </c>
      <c r="N379" s="3" t="n">
        <v>2</v>
      </c>
      <c r="O379" s="3" t="n">
        <v>2</v>
      </c>
      <c r="P379" s="3" t="n">
        <v>2</v>
      </c>
      <c r="Q379" s="3" t="n">
        <v>2</v>
      </c>
      <c r="R379" s="3" t="n">
        <v>2</v>
      </c>
      <c r="S379" s="4" t="n">
        <v>2</v>
      </c>
      <c r="T379" s="3" t="n">
        <v>2</v>
      </c>
      <c r="U379" s="3" t="n">
        <v>4.84</v>
      </c>
      <c r="V379" s="3" t="n">
        <v>1.33</v>
      </c>
      <c r="W379" s="3" t="n">
        <v>7.25</v>
      </c>
      <c r="X379" s="3" t="n">
        <v>325</v>
      </c>
      <c r="Z379" s="3" t="n">
        <v>0.41</v>
      </c>
      <c r="AA379" s="3" t="n">
        <v>18.4</v>
      </c>
      <c r="AB379" s="3" t="n">
        <v>1</v>
      </c>
      <c r="AC379" s="3" t="n">
        <v>2</v>
      </c>
      <c r="AD379" s="3" t="n">
        <v>2</v>
      </c>
      <c r="AE379" s="3" t="n">
        <v>1</v>
      </c>
      <c r="AF379" s="3" t="n">
        <v>2</v>
      </c>
      <c r="AG379" s="3" t="n">
        <v>2</v>
      </c>
      <c r="AH379" s="3" t="n">
        <v>1</v>
      </c>
      <c r="AI379" s="3" t="n">
        <v>2</v>
      </c>
      <c r="AJ379" s="3" t="n">
        <v>2</v>
      </c>
      <c r="AK379" s="3" t="n">
        <v>2</v>
      </c>
      <c r="AL379" s="3" t="n">
        <v>2</v>
      </c>
      <c r="AM379" s="3" t="n">
        <v>2</v>
      </c>
      <c r="AN379" s="3" t="n">
        <v>2</v>
      </c>
      <c r="AO379" s="3" t="n">
        <v>3</v>
      </c>
      <c r="AP379" s="3" t="n">
        <v>4</v>
      </c>
      <c r="AQ379" s="3" t="n">
        <v>4</v>
      </c>
      <c r="AR379" s="3" t="n">
        <v>6</v>
      </c>
      <c r="AS379" s="3" t="n">
        <v>4</v>
      </c>
      <c r="AT379" s="3" t="n">
        <v>4</v>
      </c>
      <c r="AU379" s="3" t="n">
        <v>6</v>
      </c>
      <c r="AV379" s="3" t="n">
        <v>6</v>
      </c>
      <c r="AW379" s="3" t="n">
        <v>3</v>
      </c>
      <c r="AX379" s="3" t="n">
        <v>3</v>
      </c>
      <c r="AY379" s="3" t="n">
        <v>1</v>
      </c>
      <c r="AZ379" s="5" t="n">
        <v>1</v>
      </c>
      <c r="BA379" s="3" t="n">
        <v>1</v>
      </c>
      <c r="BB379" s="3" t="n">
        <v>1</v>
      </c>
      <c r="BC379" s="3" t="n">
        <v>4</v>
      </c>
      <c r="BD379" s="3" t="n">
        <v>1</v>
      </c>
      <c r="BE379" s="3" t="n">
        <v>2</v>
      </c>
      <c r="BF379" s="3" t="n">
        <v>1</v>
      </c>
      <c r="BG379" s="3" t="n">
        <v>4</v>
      </c>
      <c r="BH379" s="3" t="n">
        <v>1</v>
      </c>
      <c r="BI379" s="3" t="n">
        <v>1</v>
      </c>
    </row>
    <row r="380" customFormat="false" ht="12.75" hidden="false" customHeight="false" outlineLevel="0" collapsed="false">
      <c r="A380" s="2" t="s">
        <v>3114</v>
      </c>
      <c r="B380" s="2" t="s">
        <v>248</v>
      </c>
      <c r="C380" s="2" t="s">
        <v>826</v>
      </c>
      <c r="D380" s="2" t="n">
        <v>212675</v>
      </c>
      <c r="E380" s="15" t="n">
        <v>44310</v>
      </c>
      <c r="F380" s="15" t="n">
        <v>44317</v>
      </c>
      <c r="G380" s="3" t="n">
        <v>7</v>
      </c>
      <c r="H380" s="3" t="n">
        <v>1</v>
      </c>
      <c r="I380" s="3" t="n">
        <v>69</v>
      </c>
      <c r="J380" s="3" t="n">
        <v>1</v>
      </c>
      <c r="K380" s="3" t="n">
        <v>1</v>
      </c>
      <c r="L380" s="3" t="n">
        <v>1</v>
      </c>
      <c r="M380" s="3" t="n">
        <v>2</v>
      </c>
      <c r="N380" s="3" t="n">
        <v>2</v>
      </c>
      <c r="O380" s="3" t="n">
        <v>2</v>
      </c>
      <c r="P380" s="3" t="n">
        <v>2</v>
      </c>
      <c r="Q380" s="3" t="n">
        <v>2</v>
      </c>
      <c r="R380" s="3" t="n">
        <v>2</v>
      </c>
      <c r="S380" s="4" t="n">
        <v>2</v>
      </c>
      <c r="T380" s="3" t="n">
        <v>2</v>
      </c>
      <c r="U380" s="3" t="n">
        <v>5.88</v>
      </c>
      <c r="V380" s="3" t="n">
        <v>1.44</v>
      </c>
      <c r="W380" s="3" t="n">
        <v>6.68</v>
      </c>
      <c r="X380" s="3" t="n">
        <v>246</v>
      </c>
      <c r="Z380" s="3" t="n">
        <v>0.42</v>
      </c>
      <c r="AA380" s="3" t="n">
        <v>18.2</v>
      </c>
      <c r="AB380" s="3" t="n">
        <v>1</v>
      </c>
      <c r="AC380" s="3" t="n">
        <v>2</v>
      </c>
      <c r="AD380" s="3" t="n">
        <v>2</v>
      </c>
      <c r="AE380" s="3" t="n">
        <v>1</v>
      </c>
      <c r="AF380" s="3" t="n">
        <v>1</v>
      </c>
      <c r="AG380" s="3" t="n">
        <v>1</v>
      </c>
      <c r="AH380" s="3" t="n">
        <v>1</v>
      </c>
      <c r="AI380" s="3" t="n">
        <v>2</v>
      </c>
      <c r="AJ380" s="3" t="n">
        <v>2</v>
      </c>
      <c r="AK380" s="3" t="n">
        <v>2</v>
      </c>
      <c r="AL380" s="3" t="n">
        <v>2</v>
      </c>
      <c r="AM380" s="3" t="n">
        <v>2</v>
      </c>
      <c r="AN380" s="3" t="n">
        <v>2</v>
      </c>
      <c r="AO380" s="3" t="n">
        <v>3</v>
      </c>
      <c r="AP380" s="3" t="n">
        <v>4</v>
      </c>
      <c r="AQ380" s="3" t="n">
        <v>4</v>
      </c>
      <c r="AR380" s="3" t="n">
        <v>6</v>
      </c>
      <c r="AS380" s="3" t="n">
        <v>4</v>
      </c>
      <c r="AT380" s="3" t="n">
        <v>4</v>
      </c>
      <c r="AU380" s="3" t="n">
        <v>6</v>
      </c>
      <c r="AV380" s="3" t="n">
        <v>6</v>
      </c>
      <c r="AW380" s="3" t="n">
        <v>3</v>
      </c>
      <c r="AX380" s="3" t="n">
        <v>3</v>
      </c>
      <c r="AY380" s="3" t="n">
        <v>1</v>
      </c>
      <c r="AZ380" s="5" t="n">
        <v>1</v>
      </c>
      <c r="BA380" s="3" t="n">
        <v>1</v>
      </c>
      <c r="BB380" s="3" t="n">
        <v>1</v>
      </c>
      <c r="BC380" s="3" t="n">
        <v>2</v>
      </c>
      <c r="BD380" s="3" t="n">
        <v>1</v>
      </c>
      <c r="BE380" s="3" t="n">
        <v>2</v>
      </c>
      <c r="BF380" s="3" t="n">
        <v>1</v>
      </c>
      <c r="BG380" s="3" t="n">
        <v>4</v>
      </c>
      <c r="BH380" s="3" t="n">
        <v>1</v>
      </c>
      <c r="BI380" s="3" t="n">
        <v>1</v>
      </c>
    </row>
    <row r="381" customFormat="false" ht="12.75" hidden="false" customHeight="false" outlineLevel="0" collapsed="false">
      <c r="A381" s="2" t="s">
        <v>3117</v>
      </c>
      <c r="B381" s="2" t="s">
        <v>3100</v>
      </c>
      <c r="C381" s="2" t="s">
        <v>3118</v>
      </c>
      <c r="D381" s="2" t="n">
        <v>212789</v>
      </c>
      <c r="E381" s="15" t="n">
        <v>44314</v>
      </c>
      <c r="F381" s="15" t="n">
        <v>44319</v>
      </c>
      <c r="G381" s="3" t="n">
        <v>5</v>
      </c>
      <c r="H381" s="3" t="n">
        <v>2</v>
      </c>
      <c r="I381" s="3" t="n">
        <v>69</v>
      </c>
      <c r="J381" s="3" t="n">
        <v>1</v>
      </c>
      <c r="K381" s="3" t="n">
        <v>1</v>
      </c>
      <c r="L381" s="3" t="n">
        <v>1</v>
      </c>
      <c r="M381" s="3" t="n">
        <v>2</v>
      </c>
      <c r="N381" s="3" t="n">
        <v>2</v>
      </c>
      <c r="O381" s="3" t="n">
        <v>2</v>
      </c>
      <c r="P381" s="3" t="n">
        <v>2</v>
      </c>
      <c r="Q381" s="3" t="n">
        <v>2</v>
      </c>
      <c r="R381" s="3" t="n">
        <v>2</v>
      </c>
      <c r="S381" s="4" t="n">
        <v>2</v>
      </c>
      <c r="T381" s="3" t="n">
        <v>2</v>
      </c>
      <c r="U381" s="3" t="n">
        <v>4.03</v>
      </c>
      <c r="V381" s="3" t="n">
        <v>1.55</v>
      </c>
      <c r="W381" s="3" t="n">
        <v>4.98</v>
      </c>
      <c r="X381" s="3" t="n">
        <v>339</v>
      </c>
      <c r="Z381" s="3" t="n">
        <v>0.44</v>
      </c>
      <c r="AA381" s="3" t="n">
        <v>11.3</v>
      </c>
      <c r="AB381" s="3" t="n">
        <v>1</v>
      </c>
      <c r="AC381" s="3" t="n">
        <v>2</v>
      </c>
      <c r="AD381" s="3" t="n">
        <v>1</v>
      </c>
      <c r="AE381" s="3" t="n">
        <v>1</v>
      </c>
      <c r="AF381" s="3" t="n">
        <v>2</v>
      </c>
      <c r="AG381" s="3" t="n">
        <v>1</v>
      </c>
      <c r="AH381" s="3" t="n">
        <v>1</v>
      </c>
      <c r="AI381" s="3" t="n">
        <v>2</v>
      </c>
      <c r="AJ381" s="3" t="n">
        <v>2</v>
      </c>
      <c r="AK381" s="3" t="n">
        <v>2</v>
      </c>
      <c r="AL381" s="3" t="n">
        <v>1</v>
      </c>
      <c r="AM381" s="3" t="n">
        <v>2</v>
      </c>
      <c r="AN381" s="3" t="n">
        <v>2</v>
      </c>
      <c r="AO381" s="3" t="n">
        <v>3</v>
      </c>
      <c r="AP381" s="3" t="n">
        <v>4</v>
      </c>
      <c r="AQ381" s="3" t="n">
        <v>4</v>
      </c>
      <c r="AR381" s="3" t="n">
        <v>6</v>
      </c>
      <c r="AS381" s="3" t="n">
        <v>4</v>
      </c>
      <c r="AT381" s="3" t="n">
        <v>4</v>
      </c>
      <c r="AU381" s="3" t="n">
        <v>6</v>
      </c>
      <c r="AV381" s="3" t="n">
        <v>6</v>
      </c>
      <c r="AW381" s="3" t="n">
        <v>3</v>
      </c>
      <c r="AX381" s="3" t="n">
        <v>3</v>
      </c>
      <c r="AY381" s="3" t="n">
        <v>1</v>
      </c>
      <c r="AZ381" s="5" t="n">
        <v>1</v>
      </c>
      <c r="BA381" s="3" t="n">
        <v>1</v>
      </c>
      <c r="BB381" s="3" t="n">
        <v>1</v>
      </c>
      <c r="BC381" s="3" t="n">
        <v>4</v>
      </c>
      <c r="BD381" s="3" t="n">
        <v>1</v>
      </c>
      <c r="BE381" s="3" t="n">
        <v>2</v>
      </c>
      <c r="BF381" s="3" t="n">
        <v>1</v>
      </c>
      <c r="BG381" s="3" t="n">
        <v>4</v>
      </c>
      <c r="BH381" s="3" t="n">
        <v>1</v>
      </c>
      <c r="BI381" s="3" t="n">
        <v>1</v>
      </c>
    </row>
    <row r="382" customFormat="false" ht="12.75" hidden="false" customHeight="false" outlineLevel="0" collapsed="false">
      <c r="A382" s="2" t="s">
        <v>3120</v>
      </c>
      <c r="B382" s="2" t="s">
        <v>3121</v>
      </c>
      <c r="C382" s="2" t="s">
        <v>3122</v>
      </c>
      <c r="D382" s="2" t="n">
        <v>213039</v>
      </c>
      <c r="E382" s="15" t="n">
        <v>44316</v>
      </c>
      <c r="F382" s="15" t="n">
        <v>44321</v>
      </c>
      <c r="G382" s="3" t="n">
        <v>7</v>
      </c>
      <c r="H382" s="3" t="n">
        <v>2</v>
      </c>
      <c r="I382" s="3" t="n">
        <v>40</v>
      </c>
      <c r="J382" s="3" t="n">
        <v>2</v>
      </c>
      <c r="K382" s="3" t="n">
        <v>1</v>
      </c>
      <c r="L382" s="3" t="n">
        <v>1</v>
      </c>
      <c r="M382" s="3" t="n">
        <v>2</v>
      </c>
      <c r="N382" s="3" t="n">
        <v>2</v>
      </c>
      <c r="O382" s="3" t="n">
        <v>2</v>
      </c>
      <c r="P382" s="3" t="n">
        <v>2</v>
      </c>
      <c r="Q382" s="3" t="n">
        <v>2</v>
      </c>
      <c r="R382" s="3" t="n">
        <v>2</v>
      </c>
      <c r="S382" s="4" t="n">
        <v>2</v>
      </c>
      <c r="T382" s="3" t="n">
        <v>2</v>
      </c>
      <c r="U382" s="3" t="n">
        <v>3.86</v>
      </c>
      <c r="V382" s="3" t="n">
        <v>1.45</v>
      </c>
      <c r="W382" s="3" t="n">
        <v>4.64</v>
      </c>
      <c r="X382" s="3" t="n">
        <v>452</v>
      </c>
      <c r="Z382" s="3" t="n">
        <v>0.47</v>
      </c>
      <c r="AA382" s="3" t="n">
        <v>13.2</v>
      </c>
      <c r="AB382" s="3" t="n">
        <v>1</v>
      </c>
      <c r="AC382" s="3" t="n">
        <v>2</v>
      </c>
      <c r="AD382" s="3" t="n">
        <v>1</v>
      </c>
      <c r="AE382" s="3" t="n">
        <v>1</v>
      </c>
      <c r="AF382" s="3" t="n">
        <v>1</v>
      </c>
      <c r="AG382" s="3" t="n">
        <v>1</v>
      </c>
      <c r="AH382" s="3" t="n">
        <v>1</v>
      </c>
      <c r="AI382" s="3" t="n">
        <v>2</v>
      </c>
      <c r="AJ382" s="3" t="n">
        <v>2</v>
      </c>
      <c r="AK382" s="3" t="n">
        <v>2</v>
      </c>
      <c r="AL382" s="3" t="n">
        <v>1</v>
      </c>
      <c r="AM382" s="3" t="n">
        <v>2</v>
      </c>
      <c r="AN382" s="3" t="n">
        <v>2</v>
      </c>
      <c r="AO382" s="3" t="n">
        <v>3</v>
      </c>
      <c r="AP382" s="3" t="n">
        <v>4</v>
      </c>
      <c r="AQ382" s="3" t="n">
        <v>4</v>
      </c>
      <c r="AR382" s="3" t="n">
        <v>6</v>
      </c>
      <c r="AS382" s="3" t="n">
        <v>4</v>
      </c>
      <c r="AT382" s="3" t="n">
        <v>4</v>
      </c>
      <c r="AU382" s="3" t="n">
        <v>6</v>
      </c>
      <c r="AV382" s="3" t="n">
        <v>6</v>
      </c>
      <c r="AW382" s="3" t="n">
        <v>3</v>
      </c>
      <c r="AX382" s="3" t="n">
        <v>3</v>
      </c>
      <c r="AY382" s="3" t="n">
        <v>1</v>
      </c>
      <c r="AZ382" s="5" t="n">
        <v>5</v>
      </c>
      <c r="BA382" s="3" t="n">
        <v>2</v>
      </c>
      <c r="BB382" s="3" t="n">
        <v>1</v>
      </c>
      <c r="BC382" s="3" t="n">
        <v>6</v>
      </c>
      <c r="BD382" s="3" t="n">
        <v>3</v>
      </c>
      <c r="BE382" s="3" t="n">
        <v>5</v>
      </c>
      <c r="BF382" s="3" t="n">
        <v>3</v>
      </c>
      <c r="BG382" s="3" t="n">
        <v>4</v>
      </c>
      <c r="BH382" s="3" t="n">
        <v>1</v>
      </c>
      <c r="BI382" s="3" t="n">
        <v>1</v>
      </c>
    </row>
    <row r="383" customFormat="false" ht="12.75" hidden="false" customHeight="false" outlineLevel="0" collapsed="false">
      <c r="A383" s="2" t="s">
        <v>1620</v>
      </c>
      <c r="B383" s="2" t="s">
        <v>3125</v>
      </c>
      <c r="C383" s="2" t="s">
        <v>3126</v>
      </c>
      <c r="D383" s="2" t="n">
        <v>213027</v>
      </c>
      <c r="E383" s="15" t="n">
        <v>44316</v>
      </c>
      <c r="F383" s="15" t="n">
        <v>44322</v>
      </c>
      <c r="G383" s="3" t="n">
        <v>6</v>
      </c>
      <c r="H383" s="3" t="n">
        <v>2</v>
      </c>
      <c r="I383" s="3" t="n">
        <v>51</v>
      </c>
      <c r="J383" s="3" t="n">
        <v>1</v>
      </c>
      <c r="K383" s="3" t="n">
        <v>1</v>
      </c>
      <c r="L383" s="3" t="n">
        <v>2</v>
      </c>
      <c r="M383" s="3" t="n">
        <v>2</v>
      </c>
      <c r="N383" s="3" t="n">
        <v>1</v>
      </c>
      <c r="O383" s="3" t="n">
        <v>2</v>
      </c>
      <c r="P383" s="3" t="n">
        <v>1</v>
      </c>
      <c r="Q383" s="3" t="n">
        <v>2</v>
      </c>
      <c r="R383" s="3" t="n">
        <v>2</v>
      </c>
      <c r="S383" s="4" t="n">
        <v>2</v>
      </c>
      <c r="T383" s="3" t="n">
        <v>2</v>
      </c>
      <c r="U383" s="3" t="n">
        <v>4.4</v>
      </c>
      <c r="V383" s="3" t="n">
        <v>1.87</v>
      </c>
      <c r="W383" s="3" t="n">
        <v>5.94</v>
      </c>
      <c r="X383" s="3" t="n">
        <v>401</v>
      </c>
      <c r="Z383" s="3" t="n">
        <v>0.42</v>
      </c>
      <c r="AA383" s="3" t="n">
        <v>12</v>
      </c>
      <c r="AB383" s="3" t="n">
        <v>1</v>
      </c>
      <c r="AC383" s="3" t="n">
        <v>2</v>
      </c>
      <c r="AD383" s="3" t="n">
        <v>2</v>
      </c>
      <c r="AE383" s="3" t="n">
        <v>1</v>
      </c>
      <c r="AF383" s="3" t="n">
        <v>2</v>
      </c>
      <c r="AG383" s="3" t="n">
        <v>2</v>
      </c>
      <c r="AH383" s="3" t="n">
        <v>1</v>
      </c>
      <c r="AI383" s="3" t="n">
        <v>2</v>
      </c>
      <c r="AJ383" s="3" t="n">
        <v>2</v>
      </c>
      <c r="AK383" s="3" t="n">
        <v>2</v>
      </c>
      <c r="AL383" s="3" t="n">
        <v>2</v>
      </c>
      <c r="AM383" s="3" t="n">
        <v>2</v>
      </c>
      <c r="AN383" s="3" t="n">
        <v>2</v>
      </c>
      <c r="AO383" s="3" t="n">
        <v>3</v>
      </c>
      <c r="AP383" s="3" t="n">
        <v>4</v>
      </c>
      <c r="AQ383" s="3" t="n">
        <v>4</v>
      </c>
      <c r="AR383" s="3" t="n">
        <v>6</v>
      </c>
      <c r="AS383" s="3" t="n">
        <v>4</v>
      </c>
      <c r="AT383" s="3" t="n">
        <v>4</v>
      </c>
      <c r="AU383" s="3" t="n">
        <v>6</v>
      </c>
      <c r="AV383" s="3" t="n">
        <v>6</v>
      </c>
      <c r="AW383" s="3" t="n">
        <v>3</v>
      </c>
      <c r="AX383" s="3" t="n">
        <v>3</v>
      </c>
      <c r="AY383" s="3" t="n">
        <v>16</v>
      </c>
      <c r="AZ383" s="5" t="n">
        <v>1</v>
      </c>
      <c r="BA383" s="3" t="n">
        <v>1</v>
      </c>
      <c r="BB383" s="3" t="n">
        <v>1</v>
      </c>
      <c r="BC383" s="3" t="n">
        <v>4</v>
      </c>
      <c r="BD383" s="3" t="n">
        <v>1</v>
      </c>
      <c r="BE383" s="3" t="n">
        <v>2</v>
      </c>
      <c r="BF383" s="3" t="n">
        <v>1</v>
      </c>
      <c r="BG383" s="3" t="n">
        <v>4</v>
      </c>
      <c r="BH383" s="3" t="n">
        <v>1</v>
      </c>
      <c r="BI383" s="3" t="n">
        <v>1</v>
      </c>
    </row>
    <row r="384" customFormat="false" ht="12.75" hidden="false" customHeight="false" outlineLevel="0" collapsed="false">
      <c r="A384" s="2" t="s">
        <v>3128</v>
      </c>
      <c r="B384" s="2" t="s">
        <v>197</v>
      </c>
      <c r="C384" s="2" t="s">
        <v>178</v>
      </c>
      <c r="D384" s="2" t="n">
        <v>212522</v>
      </c>
      <c r="E384" s="15" t="n">
        <v>44318</v>
      </c>
      <c r="F384" s="15" t="n">
        <v>44324</v>
      </c>
      <c r="G384" s="3" t="n">
        <v>6</v>
      </c>
      <c r="H384" s="3" t="n">
        <v>2</v>
      </c>
      <c r="I384" s="3" t="n">
        <v>59</v>
      </c>
      <c r="J384" s="3" t="n">
        <v>1</v>
      </c>
      <c r="K384" s="3" t="n">
        <v>1</v>
      </c>
      <c r="L384" s="3" t="n">
        <v>1</v>
      </c>
      <c r="M384" s="3" t="n">
        <v>2</v>
      </c>
      <c r="N384" s="3" t="n">
        <v>2</v>
      </c>
      <c r="O384" s="3" t="n">
        <v>2</v>
      </c>
      <c r="P384" s="3" t="n">
        <v>2</v>
      </c>
      <c r="Q384" s="3" t="n">
        <v>2</v>
      </c>
      <c r="R384" s="3" t="n">
        <v>2</v>
      </c>
      <c r="S384" s="4" t="n">
        <v>2</v>
      </c>
      <c r="T384" s="3" t="n">
        <v>2</v>
      </c>
      <c r="U384" s="3" t="n">
        <v>3.59</v>
      </c>
      <c r="V384" s="3" t="n">
        <v>0.67</v>
      </c>
      <c r="W384" s="3" t="n">
        <v>4.59</v>
      </c>
      <c r="X384" s="3" t="n">
        <v>333</v>
      </c>
      <c r="Z384" s="3" t="n">
        <v>0.52</v>
      </c>
      <c r="AA384" s="3" t="n">
        <v>11.4</v>
      </c>
      <c r="AB384" s="3" t="n">
        <v>1</v>
      </c>
      <c r="AC384" s="3" t="n">
        <v>2</v>
      </c>
      <c r="AD384" s="3" t="n">
        <v>1</v>
      </c>
      <c r="AE384" s="3" t="n">
        <v>1</v>
      </c>
      <c r="AF384" s="3" t="n">
        <v>2</v>
      </c>
      <c r="AG384" s="3" t="n">
        <v>2</v>
      </c>
      <c r="AH384" s="3" t="n">
        <v>1</v>
      </c>
      <c r="AI384" s="3" t="n">
        <v>2</v>
      </c>
      <c r="AJ384" s="3" t="n">
        <v>2</v>
      </c>
      <c r="AK384" s="3" t="n">
        <v>2</v>
      </c>
      <c r="AL384" s="3" t="n">
        <v>2</v>
      </c>
      <c r="AM384" s="3" t="n">
        <v>2</v>
      </c>
      <c r="AN384" s="3" t="n">
        <v>2</v>
      </c>
      <c r="AO384" s="3" t="n">
        <v>3</v>
      </c>
      <c r="AP384" s="3" t="n">
        <v>4</v>
      </c>
      <c r="AQ384" s="3" t="n">
        <v>4</v>
      </c>
      <c r="AR384" s="3" t="n">
        <v>6</v>
      </c>
      <c r="AS384" s="3" t="n">
        <v>4</v>
      </c>
      <c r="AT384" s="3" t="n">
        <v>4</v>
      </c>
      <c r="AU384" s="3" t="n">
        <v>6</v>
      </c>
      <c r="AV384" s="3" t="n">
        <v>6</v>
      </c>
      <c r="AW384" s="3" t="n">
        <v>3</v>
      </c>
      <c r="AX384" s="3" t="n">
        <v>3</v>
      </c>
      <c r="AY384" s="3" t="n">
        <v>1</v>
      </c>
      <c r="AZ384" s="5" t="n">
        <v>1</v>
      </c>
      <c r="BA384" s="3" t="n">
        <v>1</v>
      </c>
      <c r="BB384" s="3" t="n">
        <v>1</v>
      </c>
      <c r="BC384" s="3" t="n">
        <v>2</v>
      </c>
      <c r="BD384" s="3" t="n">
        <v>3</v>
      </c>
      <c r="BE384" s="3" t="n">
        <v>5</v>
      </c>
      <c r="BF384" s="3" t="n">
        <v>3</v>
      </c>
      <c r="BG384" s="3" t="n">
        <v>4</v>
      </c>
      <c r="BH384" s="3" t="n">
        <v>1</v>
      </c>
      <c r="BI384" s="3" t="n">
        <v>1</v>
      </c>
    </row>
    <row r="385" customFormat="false" ht="12.75" hidden="false" customHeight="false" outlineLevel="0" collapsed="false">
      <c r="A385" s="2" t="s">
        <v>1338</v>
      </c>
      <c r="B385" s="2" t="s">
        <v>979</v>
      </c>
      <c r="C385" s="2" t="s">
        <v>402</v>
      </c>
      <c r="D385" s="2" t="n">
        <v>212598</v>
      </c>
      <c r="E385" s="15" t="n">
        <v>44320</v>
      </c>
      <c r="F385" s="15" t="n">
        <v>44327</v>
      </c>
      <c r="G385" s="3" t="n">
        <v>7</v>
      </c>
      <c r="H385" s="3" t="n">
        <v>1</v>
      </c>
      <c r="I385" s="3" t="n">
        <v>61</v>
      </c>
      <c r="J385" s="3" t="n">
        <v>1</v>
      </c>
      <c r="K385" s="3" t="n">
        <v>1</v>
      </c>
      <c r="L385" s="3" t="n">
        <v>1</v>
      </c>
      <c r="M385" s="3" t="n">
        <v>2</v>
      </c>
      <c r="N385" s="3" t="n">
        <v>1</v>
      </c>
      <c r="O385" s="3" t="n">
        <v>1</v>
      </c>
      <c r="P385" s="3" t="n">
        <v>1</v>
      </c>
      <c r="Q385" s="3" t="n">
        <v>2</v>
      </c>
      <c r="R385" s="3" t="n">
        <v>2</v>
      </c>
      <c r="S385" s="4" t="n">
        <v>2</v>
      </c>
      <c r="T385" s="3" t="n">
        <v>2</v>
      </c>
      <c r="U385" s="3" t="n">
        <v>4.52</v>
      </c>
      <c r="V385" s="3" t="n">
        <v>1.59</v>
      </c>
      <c r="W385" s="3" t="n">
        <v>18.19</v>
      </c>
      <c r="X385" s="3" t="n">
        <v>336</v>
      </c>
      <c r="Z385" s="3" t="n">
        <v>0.45</v>
      </c>
      <c r="AA385" s="3" t="n">
        <v>15.6</v>
      </c>
      <c r="AB385" s="3"/>
      <c r="AC385" s="3" t="n">
        <v>2</v>
      </c>
      <c r="AD385" s="3" t="n">
        <v>1</v>
      </c>
      <c r="AE385" s="3" t="n">
        <v>1</v>
      </c>
      <c r="AF385" s="3" t="n">
        <v>1</v>
      </c>
      <c r="AG385" s="3" t="n">
        <v>2</v>
      </c>
      <c r="AH385" s="3" t="n">
        <v>1</v>
      </c>
      <c r="AI385" s="3" t="n">
        <v>2</v>
      </c>
      <c r="AJ385" s="3" t="n">
        <v>1</v>
      </c>
      <c r="AK385" s="3" t="n">
        <v>2</v>
      </c>
      <c r="AL385" s="3" t="n">
        <v>1</v>
      </c>
      <c r="AM385" s="3" t="n">
        <v>1</v>
      </c>
      <c r="AN385" s="3" t="n">
        <v>1</v>
      </c>
      <c r="AO385" s="3" t="n">
        <v>3</v>
      </c>
      <c r="AP385" s="3" t="n">
        <v>4</v>
      </c>
      <c r="AQ385" s="3" t="n">
        <v>4</v>
      </c>
      <c r="AR385" s="3" t="n">
        <v>6</v>
      </c>
      <c r="AS385" s="3" t="n">
        <v>4</v>
      </c>
      <c r="AT385" s="3" t="n">
        <v>4</v>
      </c>
      <c r="AU385" s="3" t="n">
        <v>6</v>
      </c>
      <c r="AV385" s="3" t="n">
        <v>6</v>
      </c>
      <c r="AW385" s="3" t="n">
        <v>3</v>
      </c>
      <c r="AX385" s="3" t="n">
        <v>3</v>
      </c>
      <c r="AY385" s="3" t="n">
        <v>3</v>
      </c>
      <c r="AZ385" s="5" t="n">
        <v>2</v>
      </c>
      <c r="BA385" s="3" t="n">
        <v>1</v>
      </c>
      <c r="BB385" s="3" t="n">
        <v>1</v>
      </c>
      <c r="BC385" s="3" t="n">
        <v>4</v>
      </c>
      <c r="BD385" s="3" t="n">
        <v>1</v>
      </c>
      <c r="BE385" s="3" t="n">
        <v>2</v>
      </c>
      <c r="BF385" s="3" t="n">
        <v>1</v>
      </c>
      <c r="BG385" s="3" t="n">
        <v>4</v>
      </c>
      <c r="BH385" s="3" t="n">
        <v>1</v>
      </c>
      <c r="BI385" s="3" t="n">
        <v>1</v>
      </c>
    </row>
    <row r="386" customFormat="false" ht="12.75" hidden="false" customHeight="false" outlineLevel="0" collapsed="false">
      <c r="A386" s="2" t="s">
        <v>3131</v>
      </c>
      <c r="B386" s="2" t="s">
        <v>3132</v>
      </c>
      <c r="C386" s="2" t="s">
        <v>3133</v>
      </c>
      <c r="D386" s="2" t="n">
        <v>212521</v>
      </c>
      <c r="E386" s="15" t="n">
        <v>44318</v>
      </c>
      <c r="F386" s="15" t="n">
        <v>44325</v>
      </c>
      <c r="G386" s="3" t="n">
        <v>7</v>
      </c>
      <c r="H386" s="3" t="n">
        <v>1</v>
      </c>
      <c r="I386" s="3" t="n">
        <v>65</v>
      </c>
      <c r="J386" s="3" t="n">
        <v>1</v>
      </c>
      <c r="K386" s="3" t="n">
        <v>2</v>
      </c>
      <c r="L386" s="3" t="n">
        <v>1</v>
      </c>
      <c r="M386" s="3" t="n">
        <v>2</v>
      </c>
      <c r="N386" s="3" t="n">
        <v>2</v>
      </c>
      <c r="O386" s="3" t="n">
        <v>2</v>
      </c>
      <c r="P386" s="3" t="n">
        <v>2</v>
      </c>
      <c r="Q386" s="3" t="n">
        <v>2</v>
      </c>
      <c r="R386" s="3" t="n">
        <v>2</v>
      </c>
      <c r="S386" s="4" t="n">
        <v>2</v>
      </c>
      <c r="T386" s="3" t="n">
        <v>2</v>
      </c>
      <c r="U386" s="3" t="n">
        <v>4.72</v>
      </c>
      <c r="V386" s="3" t="n">
        <v>146</v>
      </c>
      <c r="W386" s="3" t="n">
        <v>5.88</v>
      </c>
      <c r="X386" s="3" t="n">
        <v>238</v>
      </c>
      <c r="Z386" s="3" t="n">
        <v>0.41</v>
      </c>
      <c r="AA386" s="3" t="n">
        <v>12.1</v>
      </c>
      <c r="AB386" s="3" t="n">
        <v>1</v>
      </c>
      <c r="AC386" s="3" t="n">
        <v>2</v>
      </c>
      <c r="AD386" s="3" t="n">
        <v>1</v>
      </c>
      <c r="AE386" s="3" t="n">
        <v>1</v>
      </c>
      <c r="AF386" s="3" t="n">
        <v>1</v>
      </c>
      <c r="AG386" s="3" t="n">
        <v>2</v>
      </c>
      <c r="AH386" s="3" t="n">
        <v>1</v>
      </c>
      <c r="AI386" s="3" t="n">
        <v>2</v>
      </c>
      <c r="AJ386" s="3" t="n">
        <v>2</v>
      </c>
      <c r="AK386" s="3" t="n">
        <v>2</v>
      </c>
      <c r="AL386" s="3" t="n">
        <v>2</v>
      </c>
      <c r="AM386" s="3" t="n">
        <v>2</v>
      </c>
      <c r="AN386" s="3" t="n">
        <v>2</v>
      </c>
      <c r="AO386" s="3" t="n">
        <v>3</v>
      </c>
      <c r="AP386" s="3" t="n">
        <v>4</v>
      </c>
      <c r="AQ386" s="3" t="n">
        <v>4</v>
      </c>
      <c r="AR386" s="3" t="n">
        <v>6</v>
      </c>
      <c r="AS386" s="3" t="n">
        <v>4</v>
      </c>
      <c r="AT386" s="3" t="n">
        <v>4</v>
      </c>
      <c r="AU386" s="3" t="n">
        <v>6</v>
      </c>
      <c r="AV386" s="3" t="n">
        <v>6</v>
      </c>
      <c r="AW386" s="3" t="n">
        <v>3</v>
      </c>
      <c r="AX386" s="3" t="n">
        <v>3</v>
      </c>
      <c r="AY386" s="3" t="n">
        <v>1</v>
      </c>
      <c r="AZ386" s="5" t="n">
        <v>1</v>
      </c>
      <c r="BA386" s="3" t="n">
        <v>1</v>
      </c>
      <c r="BB386" s="3" t="n">
        <v>1</v>
      </c>
      <c r="BC386" s="3" t="n">
        <v>4</v>
      </c>
      <c r="BD386" s="3" t="n">
        <v>1</v>
      </c>
      <c r="BE386" s="3" t="n">
        <v>2</v>
      </c>
      <c r="BF386" s="3" t="n">
        <v>1</v>
      </c>
      <c r="BG386" s="3" t="n">
        <v>4</v>
      </c>
      <c r="BH386" s="3" t="n">
        <v>1</v>
      </c>
      <c r="BI386" s="3" t="n">
        <v>1</v>
      </c>
    </row>
    <row r="387" customFormat="false" ht="12.75" hidden="false" customHeight="false" outlineLevel="0" collapsed="false">
      <c r="A387" s="2" t="s">
        <v>140</v>
      </c>
      <c r="B387" s="2" t="s">
        <v>94</v>
      </c>
      <c r="C387" s="2" t="s">
        <v>161</v>
      </c>
      <c r="D387" s="2" t="n">
        <v>212597</v>
      </c>
      <c r="E387" s="15" t="n">
        <v>44320</v>
      </c>
      <c r="F387" s="15" t="n">
        <v>44327</v>
      </c>
      <c r="G387" s="3" t="n">
        <v>7</v>
      </c>
      <c r="H387" s="3" t="n">
        <v>2</v>
      </c>
      <c r="I387" s="3" t="n">
        <v>61</v>
      </c>
      <c r="J387" s="3" t="n">
        <v>3</v>
      </c>
      <c r="K387" s="3" t="n">
        <v>2</v>
      </c>
      <c r="L387" s="3" t="n">
        <v>1</v>
      </c>
      <c r="M387" s="3" t="n">
        <v>1</v>
      </c>
      <c r="N387" s="3" t="n">
        <v>2</v>
      </c>
      <c r="O387" s="3" t="n">
        <v>2</v>
      </c>
      <c r="P387" s="3" t="n">
        <v>2</v>
      </c>
      <c r="Q387" s="3" t="n">
        <v>2</v>
      </c>
      <c r="R387" s="3" t="n">
        <v>1</v>
      </c>
      <c r="S387" s="4" t="n">
        <v>2</v>
      </c>
      <c r="T387" s="3" t="n">
        <v>2</v>
      </c>
      <c r="U387" s="3" t="n">
        <v>5.33</v>
      </c>
      <c r="V387" s="3" t="n">
        <v>3.03</v>
      </c>
      <c r="W387" s="3" t="n">
        <v>4.94</v>
      </c>
      <c r="X387" s="3" t="n">
        <v>525</v>
      </c>
      <c r="Z387" s="3" t="n">
        <v>0.58</v>
      </c>
      <c r="AA387" s="3" t="n">
        <v>12.3</v>
      </c>
      <c r="AB387" s="3"/>
      <c r="AC387" s="3" t="n">
        <v>2</v>
      </c>
      <c r="AD387" s="3" t="n">
        <v>1</v>
      </c>
      <c r="AE387" s="3" t="n">
        <v>1</v>
      </c>
      <c r="AF387" s="3" t="n">
        <v>2</v>
      </c>
      <c r="AG387" s="3" t="n">
        <v>1</v>
      </c>
      <c r="AH387" s="3" t="n">
        <v>1</v>
      </c>
      <c r="AI387" s="3" t="n">
        <v>1</v>
      </c>
      <c r="AJ387" s="3" t="n">
        <v>2</v>
      </c>
      <c r="AK387" s="3" t="n">
        <v>2</v>
      </c>
      <c r="AL387" s="3" t="n">
        <v>1</v>
      </c>
      <c r="AM387" s="3" t="n">
        <v>2</v>
      </c>
      <c r="AN387" s="3" t="n">
        <v>2</v>
      </c>
      <c r="AO387" s="3" t="n">
        <v>3</v>
      </c>
      <c r="AP387" s="3" t="n">
        <v>4</v>
      </c>
      <c r="AQ387" s="3" t="n">
        <v>4</v>
      </c>
      <c r="AR387" s="3" t="n">
        <v>6</v>
      </c>
      <c r="AS387" s="3" t="n">
        <v>4</v>
      </c>
      <c r="AT387" s="3" t="n">
        <v>4</v>
      </c>
      <c r="AU387" s="3" t="n">
        <v>6</v>
      </c>
      <c r="AV387" s="3" t="n">
        <v>6</v>
      </c>
      <c r="AW387" s="3" t="n">
        <v>3</v>
      </c>
      <c r="AX387" s="3" t="n">
        <v>3</v>
      </c>
      <c r="AY387" s="3" t="n">
        <v>1</v>
      </c>
      <c r="AZ387" s="5" t="n">
        <v>1</v>
      </c>
      <c r="BA387" s="3" t="n">
        <v>1</v>
      </c>
      <c r="BB387" s="3" t="n">
        <v>1</v>
      </c>
      <c r="BC387" s="3" t="n">
        <v>4</v>
      </c>
      <c r="BD387" s="3" t="n">
        <v>3</v>
      </c>
      <c r="BE387" s="3" t="n">
        <v>5</v>
      </c>
      <c r="BF387" s="3" t="n">
        <v>3</v>
      </c>
      <c r="BG387" s="3" t="n">
        <v>4</v>
      </c>
      <c r="BH387" s="3" t="n">
        <v>1</v>
      </c>
      <c r="BI387" s="3" t="n">
        <v>1</v>
      </c>
    </row>
    <row r="388" customFormat="false" ht="12.75" hidden="false" customHeight="false" outlineLevel="0" collapsed="false">
      <c r="A388" s="2" t="s">
        <v>1816</v>
      </c>
      <c r="B388" s="2" t="s">
        <v>178</v>
      </c>
      <c r="C388" s="2" t="s">
        <v>692</v>
      </c>
      <c r="D388" s="2" t="n">
        <v>186098</v>
      </c>
      <c r="E388" s="15" t="n">
        <v>44320</v>
      </c>
      <c r="F388" s="15" t="n">
        <v>44328</v>
      </c>
      <c r="G388" s="3" t="n">
        <v>8</v>
      </c>
      <c r="H388" s="3" t="n">
        <v>2</v>
      </c>
      <c r="I388" s="3" t="n">
        <v>56</v>
      </c>
      <c r="J388" s="3" t="n">
        <v>1</v>
      </c>
      <c r="K388" s="3" t="n">
        <v>2</v>
      </c>
      <c r="L388" s="3" t="n">
        <v>1</v>
      </c>
      <c r="M388" s="3" t="n">
        <v>2</v>
      </c>
      <c r="N388" s="3" t="n">
        <v>2</v>
      </c>
      <c r="O388" s="3" t="n">
        <v>1</v>
      </c>
      <c r="P388" s="3" t="n">
        <v>1</v>
      </c>
      <c r="Q388" s="3" t="n">
        <v>2</v>
      </c>
      <c r="R388" s="3" t="n">
        <v>2</v>
      </c>
      <c r="S388" s="4" t="n">
        <v>2</v>
      </c>
      <c r="T388" s="3" t="n">
        <v>2</v>
      </c>
      <c r="U388" s="3" t="n">
        <v>3.92</v>
      </c>
      <c r="V388" s="3" t="n">
        <v>1.03</v>
      </c>
      <c r="W388" s="3" t="n">
        <v>14.68</v>
      </c>
      <c r="X388" s="3" t="n">
        <v>387</v>
      </c>
      <c r="Z388" s="3" t="n">
        <v>0.36</v>
      </c>
      <c r="AA388" s="3" t="n">
        <v>14.4</v>
      </c>
      <c r="AB388" s="3"/>
      <c r="AC388" s="3" t="n">
        <v>2</v>
      </c>
      <c r="AD388" s="3" t="n">
        <v>1</v>
      </c>
      <c r="AE388" s="3" t="n">
        <v>1</v>
      </c>
      <c r="AF388" s="3" t="n">
        <v>1</v>
      </c>
      <c r="AG388" s="3" t="n">
        <v>1</v>
      </c>
      <c r="AH388" s="3" t="n">
        <v>1</v>
      </c>
      <c r="AI388" s="3" t="n">
        <v>2</v>
      </c>
      <c r="AJ388" s="3" t="n">
        <v>1</v>
      </c>
      <c r="AK388" s="3" t="n">
        <v>2</v>
      </c>
      <c r="AL388" s="3" t="n">
        <v>2</v>
      </c>
      <c r="AM388" s="3" t="n">
        <v>2</v>
      </c>
      <c r="AN388" s="3" t="n">
        <v>2</v>
      </c>
      <c r="AO388" s="3" t="n">
        <v>3</v>
      </c>
      <c r="AP388" s="3" t="n">
        <v>4</v>
      </c>
      <c r="AQ388" s="3" t="n">
        <v>4</v>
      </c>
      <c r="AR388" s="3" t="n">
        <v>6</v>
      </c>
      <c r="AS388" s="3" t="n">
        <v>4</v>
      </c>
      <c r="AT388" s="3" t="n">
        <v>4</v>
      </c>
      <c r="AU388" s="3" t="n">
        <v>6</v>
      </c>
      <c r="AV388" s="3" t="n">
        <v>6</v>
      </c>
      <c r="AW388" s="3" t="n">
        <v>3</v>
      </c>
      <c r="AX388" s="3" t="n">
        <v>3</v>
      </c>
      <c r="AY388" s="3" t="n">
        <v>1</v>
      </c>
      <c r="AZ388" s="5" t="n">
        <v>2</v>
      </c>
      <c r="BA388" s="3" t="n">
        <v>1</v>
      </c>
      <c r="BB388" s="3" t="n">
        <v>1</v>
      </c>
      <c r="BC388" s="3" t="n">
        <v>6</v>
      </c>
      <c r="BD388" s="3" t="n">
        <v>3</v>
      </c>
      <c r="BE388" s="3" t="n">
        <v>5</v>
      </c>
      <c r="BF388" s="3" t="n">
        <v>3</v>
      </c>
      <c r="BG388" s="3" t="n">
        <v>4</v>
      </c>
      <c r="BH388" s="3" t="n">
        <v>1</v>
      </c>
      <c r="BI388" s="3" t="n">
        <v>1</v>
      </c>
    </row>
    <row r="389" customFormat="false" ht="12.75" hidden="false" customHeight="false" outlineLevel="0" collapsed="false">
      <c r="A389" s="2" t="s">
        <v>3147</v>
      </c>
      <c r="B389" s="2" t="s">
        <v>115</v>
      </c>
      <c r="C389" s="2" t="s">
        <v>846</v>
      </c>
      <c r="D389" s="2" t="n">
        <v>213223</v>
      </c>
      <c r="E389" s="15" t="n">
        <v>44325</v>
      </c>
      <c r="F389" s="15" t="n">
        <v>44332</v>
      </c>
      <c r="G389" s="3" t="n">
        <v>7</v>
      </c>
      <c r="H389" s="3" t="n">
        <v>2</v>
      </c>
      <c r="I389" s="3" t="n">
        <v>58</v>
      </c>
      <c r="J389" s="3" t="n">
        <v>1</v>
      </c>
      <c r="K389" s="3" t="n">
        <v>1</v>
      </c>
      <c r="L389" s="3" t="n">
        <v>2</v>
      </c>
      <c r="M389" s="3" t="n">
        <v>2</v>
      </c>
      <c r="N389" s="3" t="n">
        <v>2</v>
      </c>
      <c r="O389" s="3" t="n">
        <v>2</v>
      </c>
      <c r="P389" s="3" t="n">
        <v>2</v>
      </c>
      <c r="Q389" s="3" t="n">
        <v>2</v>
      </c>
      <c r="R389" s="3" t="n">
        <v>2</v>
      </c>
      <c r="S389" s="4" t="n">
        <v>2</v>
      </c>
      <c r="T389" s="3" t="n">
        <v>2</v>
      </c>
      <c r="U389" s="3" t="n">
        <v>4.02</v>
      </c>
      <c r="V389" s="3" t="n">
        <v>1.03</v>
      </c>
      <c r="W389" s="3" t="n">
        <v>3.82</v>
      </c>
      <c r="X389" s="3" t="n">
        <v>353</v>
      </c>
      <c r="Z389" s="3" t="n">
        <v>0.5</v>
      </c>
      <c r="AA389" s="3" t="n">
        <v>13.7</v>
      </c>
      <c r="AB389" s="3" t="n">
        <v>1</v>
      </c>
      <c r="AC389" s="3" t="n">
        <v>2</v>
      </c>
      <c r="AD389" s="3" t="n">
        <v>2</v>
      </c>
      <c r="AE389" s="3" t="n">
        <v>1</v>
      </c>
      <c r="AF389" s="3" t="n">
        <v>1</v>
      </c>
      <c r="AG389" s="3" t="n">
        <v>1</v>
      </c>
      <c r="AH389" s="3" t="n">
        <v>1</v>
      </c>
      <c r="AI389" s="3" t="n">
        <v>2</v>
      </c>
      <c r="AJ389" s="3" t="n">
        <v>2</v>
      </c>
      <c r="AK389" s="3" t="n">
        <v>2</v>
      </c>
      <c r="AL389" s="3" t="n">
        <v>2</v>
      </c>
      <c r="AM389" s="3" t="n">
        <v>2</v>
      </c>
      <c r="AN389" s="3" t="n">
        <v>2</v>
      </c>
      <c r="AO389" s="3" t="n">
        <v>3</v>
      </c>
      <c r="AP389" s="3" t="n">
        <v>4</v>
      </c>
      <c r="AQ389" s="3" t="n">
        <v>4</v>
      </c>
      <c r="AR389" s="3" t="n">
        <v>6</v>
      </c>
      <c r="AS389" s="3" t="n">
        <v>4</v>
      </c>
      <c r="AT389" s="3" t="n">
        <v>4</v>
      </c>
      <c r="AU389" s="3" t="n">
        <v>6</v>
      </c>
      <c r="AV389" s="3" t="n">
        <v>6</v>
      </c>
      <c r="AW389" s="3" t="n">
        <v>3</v>
      </c>
      <c r="AX389" s="3" t="n">
        <v>3</v>
      </c>
      <c r="AY389" s="3" t="n">
        <v>1</v>
      </c>
      <c r="AZ389" s="5" t="n">
        <v>1</v>
      </c>
      <c r="BA389" s="3" t="n">
        <v>1</v>
      </c>
      <c r="BB389" s="3" t="n">
        <v>1</v>
      </c>
      <c r="BC389" s="3" t="n">
        <v>4</v>
      </c>
      <c r="BD389" s="3" t="n">
        <v>1</v>
      </c>
      <c r="BE389" s="3" t="n">
        <v>2</v>
      </c>
      <c r="BF389" s="3" t="n">
        <v>1</v>
      </c>
      <c r="BG389" s="3" t="n">
        <v>4</v>
      </c>
      <c r="BH389" s="3" t="n">
        <v>1</v>
      </c>
      <c r="BI389" s="3" t="n">
        <v>1</v>
      </c>
    </row>
    <row r="390" customFormat="false" ht="12.75" hidden="false" customHeight="false" outlineLevel="0" collapsed="false">
      <c r="A390" s="2" t="s">
        <v>2320</v>
      </c>
      <c r="B390" s="2" t="s">
        <v>127</v>
      </c>
      <c r="C390" s="2" t="s">
        <v>210</v>
      </c>
      <c r="D390" s="2" t="n">
        <v>213401</v>
      </c>
      <c r="E390" s="15" t="n">
        <v>44327</v>
      </c>
      <c r="F390" s="15" t="n">
        <v>44337</v>
      </c>
      <c r="G390" s="3" t="n">
        <v>10</v>
      </c>
      <c r="H390" s="3" t="n">
        <v>2</v>
      </c>
      <c r="I390" s="3" t="n">
        <v>70</v>
      </c>
      <c r="J390" s="3" t="n">
        <v>1</v>
      </c>
      <c r="K390" s="3" t="n">
        <v>1</v>
      </c>
      <c r="L390" s="3" t="n">
        <v>1</v>
      </c>
      <c r="M390" s="3" t="n">
        <v>2</v>
      </c>
      <c r="N390" s="3" t="n">
        <v>2</v>
      </c>
      <c r="O390" s="3" t="n">
        <v>2</v>
      </c>
      <c r="P390" s="3" t="n">
        <v>2</v>
      </c>
      <c r="Q390" s="3" t="n">
        <v>2</v>
      </c>
      <c r="R390" s="3" t="n">
        <v>2</v>
      </c>
      <c r="S390" s="4" t="n">
        <v>2</v>
      </c>
      <c r="T390" s="3" t="n">
        <v>2</v>
      </c>
      <c r="U390" s="3" t="n">
        <v>4.8</v>
      </c>
      <c r="V390" s="3"/>
      <c r="W390" s="3" t="n">
        <v>6.4</v>
      </c>
      <c r="X390" s="3"/>
      <c r="Z390" s="3" t="n">
        <v>0.52</v>
      </c>
      <c r="AA390" s="3" t="n">
        <v>12.6</v>
      </c>
      <c r="AB390" s="3" t="n">
        <v>1</v>
      </c>
      <c r="AC390" s="3" t="n">
        <v>2</v>
      </c>
      <c r="AD390" s="3" t="n">
        <v>2</v>
      </c>
      <c r="AE390" s="3" t="n">
        <v>1</v>
      </c>
      <c r="AF390" s="3" t="n">
        <v>1</v>
      </c>
      <c r="AG390" s="3" t="n">
        <v>2</v>
      </c>
      <c r="AH390" s="3" t="n">
        <v>1</v>
      </c>
      <c r="AI390" s="3" t="n">
        <v>2</v>
      </c>
      <c r="AJ390" s="3" t="n">
        <v>2</v>
      </c>
      <c r="AK390" s="3" t="n">
        <v>2</v>
      </c>
      <c r="AL390" s="3" t="n">
        <v>1</v>
      </c>
      <c r="AM390" s="3" t="n">
        <v>2</v>
      </c>
      <c r="AN390" s="3" t="n">
        <v>2</v>
      </c>
      <c r="AO390" s="3" t="n">
        <v>3</v>
      </c>
      <c r="AP390" s="3" t="n">
        <v>4</v>
      </c>
      <c r="AQ390" s="3" t="n">
        <v>4</v>
      </c>
      <c r="AR390" s="3" t="n">
        <v>6</v>
      </c>
      <c r="AS390" s="3" t="n">
        <v>4</v>
      </c>
      <c r="AT390" s="3" t="n">
        <v>4</v>
      </c>
      <c r="AU390" s="3" t="n">
        <v>6</v>
      </c>
      <c r="AV390" s="3" t="n">
        <v>6</v>
      </c>
      <c r="AW390" s="3" t="n">
        <v>3</v>
      </c>
      <c r="AX390" s="3" t="n">
        <v>3</v>
      </c>
      <c r="AY390" s="3" t="n">
        <v>1</v>
      </c>
      <c r="AZ390" s="5" t="n">
        <v>1</v>
      </c>
      <c r="BA390" s="3" t="n">
        <v>1</v>
      </c>
      <c r="BB390" s="3" t="n">
        <v>1</v>
      </c>
      <c r="BC390" s="3" t="n">
        <v>2</v>
      </c>
      <c r="BD390" s="3" t="n">
        <v>1</v>
      </c>
      <c r="BE390" s="3" t="n">
        <v>2</v>
      </c>
      <c r="BF390" s="3" t="n">
        <v>1</v>
      </c>
      <c r="BG390" s="3" t="n">
        <v>4</v>
      </c>
      <c r="BH390" s="3" t="n">
        <v>1</v>
      </c>
      <c r="BI390" s="3" t="n">
        <v>1</v>
      </c>
    </row>
    <row r="391" customFormat="false" ht="12.75" hidden="false" customHeight="false" outlineLevel="0" collapsed="false">
      <c r="A391" s="26" t="s">
        <v>3168</v>
      </c>
      <c r="B391" s="26" t="s">
        <v>3169</v>
      </c>
      <c r="C391" s="26" t="s">
        <v>78</v>
      </c>
      <c r="D391" s="26" t="n">
        <v>213289</v>
      </c>
      <c r="E391" s="28" t="n">
        <v>44329</v>
      </c>
      <c r="F391" s="28" t="n">
        <v>44345</v>
      </c>
      <c r="G391" s="30" t="n">
        <v>16</v>
      </c>
      <c r="H391" s="30" t="n">
        <v>2</v>
      </c>
      <c r="I391" s="30" t="n">
        <v>70</v>
      </c>
      <c r="J391" s="30" t="n">
        <v>1</v>
      </c>
      <c r="K391" s="30" t="n">
        <v>1</v>
      </c>
      <c r="L391" s="30" t="n">
        <v>1</v>
      </c>
      <c r="M391" s="30" t="n">
        <v>2</v>
      </c>
      <c r="N391" s="30" t="n">
        <v>1</v>
      </c>
      <c r="O391" s="30" t="n">
        <v>2</v>
      </c>
      <c r="P391" s="30" t="n">
        <v>1</v>
      </c>
      <c r="Q391" s="30" t="n">
        <v>2</v>
      </c>
      <c r="R391" s="30" t="n">
        <v>1</v>
      </c>
      <c r="S391" s="4" t="n">
        <v>2</v>
      </c>
      <c r="T391" s="30" t="n">
        <v>2</v>
      </c>
      <c r="U391" s="30" t="s">
        <v>3170</v>
      </c>
      <c r="V391" s="30" t="s">
        <v>2890</v>
      </c>
      <c r="W391" s="30" t="s">
        <v>3171</v>
      </c>
      <c r="X391" s="30" t="n">
        <v>368</v>
      </c>
      <c r="Z391" s="30" t="s">
        <v>1267</v>
      </c>
      <c r="AA391" s="30" t="n">
        <v>15</v>
      </c>
      <c r="AB391" s="30" t="n">
        <v>2</v>
      </c>
      <c r="AC391" s="30" t="n">
        <v>2</v>
      </c>
      <c r="AD391" s="30" t="n">
        <v>1</v>
      </c>
      <c r="AE391" s="30" t="n">
        <v>1</v>
      </c>
      <c r="AF391" s="30" t="n">
        <v>2</v>
      </c>
      <c r="AG391" s="30" t="n">
        <v>2</v>
      </c>
      <c r="AH391" s="30" t="n">
        <v>1</v>
      </c>
      <c r="AI391" s="30" t="n">
        <v>1</v>
      </c>
      <c r="AJ391" s="30" t="n">
        <v>1</v>
      </c>
      <c r="AK391" s="30" t="n">
        <v>2</v>
      </c>
      <c r="AL391" s="30" t="n">
        <v>1</v>
      </c>
      <c r="AM391" s="30" t="n">
        <v>1</v>
      </c>
      <c r="AN391" s="30" t="n">
        <v>2</v>
      </c>
      <c r="AO391" s="30" t="n">
        <v>3</v>
      </c>
      <c r="AP391" s="30" t="n">
        <v>4</v>
      </c>
      <c r="AQ391" s="30" t="n">
        <v>4</v>
      </c>
      <c r="AR391" s="30" t="n">
        <v>6</v>
      </c>
      <c r="AS391" s="30" t="n">
        <v>4</v>
      </c>
      <c r="AT391" s="30" t="n">
        <v>4</v>
      </c>
      <c r="AU391" s="30" t="n">
        <v>6</v>
      </c>
      <c r="AV391" s="30" t="n">
        <v>6</v>
      </c>
      <c r="AW391" s="30" t="n">
        <v>3</v>
      </c>
      <c r="AX391" s="30" t="n">
        <v>3</v>
      </c>
      <c r="AY391" s="30" t="n">
        <v>6</v>
      </c>
      <c r="AZ391" s="5" t="n">
        <v>1</v>
      </c>
      <c r="BA391" s="30" t="n">
        <v>2</v>
      </c>
      <c r="BB391" s="30" t="n">
        <v>1</v>
      </c>
      <c r="BC391" s="30" t="n">
        <v>2</v>
      </c>
      <c r="BD391" s="30" t="n">
        <v>3</v>
      </c>
      <c r="BE391" s="30" t="n">
        <v>5</v>
      </c>
      <c r="BF391" s="30" t="n">
        <v>3</v>
      </c>
      <c r="BG391" s="30" t="n">
        <v>4</v>
      </c>
      <c r="BH391" s="30" t="n">
        <v>1</v>
      </c>
      <c r="BI391" s="30" t="n">
        <v>1</v>
      </c>
    </row>
    <row r="392" customFormat="false" ht="12.75" hidden="false" customHeight="false" outlineLevel="0" collapsed="false">
      <c r="A392" s="2" t="s">
        <v>413</v>
      </c>
      <c r="B392" s="2" t="s">
        <v>294</v>
      </c>
      <c r="C392" s="2" t="s">
        <v>3175</v>
      </c>
      <c r="D392" s="2" t="n">
        <v>213987</v>
      </c>
      <c r="E392" s="15" t="n">
        <v>44341</v>
      </c>
      <c r="F392" s="15" t="n">
        <v>44348</v>
      </c>
      <c r="G392" s="3" t="n">
        <v>7</v>
      </c>
      <c r="H392" s="3" t="n">
        <v>2</v>
      </c>
      <c r="I392" s="3" t="n">
        <v>73</v>
      </c>
      <c r="J392" s="3" t="n">
        <v>3</v>
      </c>
      <c r="K392" s="3" t="n">
        <v>2</v>
      </c>
      <c r="L392" s="3" t="n">
        <v>2</v>
      </c>
      <c r="M392" s="3" t="n">
        <v>2</v>
      </c>
      <c r="N392" s="3" t="n">
        <v>2</v>
      </c>
      <c r="O392" s="3" t="n">
        <v>2</v>
      </c>
      <c r="P392" s="3" t="n">
        <v>2</v>
      </c>
      <c r="Q392" s="3" t="n">
        <v>2</v>
      </c>
      <c r="R392" s="3" t="n">
        <v>2</v>
      </c>
      <c r="S392" s="4" t="n">
        <v>2</v>
      </c>
      <c r="T392" s="3" t="n">
        <v>2</v>
      </c>
      <c r="U392" s="3" t="n">
        <v>6.08</v>
      </c>
      <c r="V392" s="3" t="n">
        <v>1.31</v>
      </c>
      <c r="W392" s="3" t="n">
        <v>6.85</v>
      </c>
      <c r="X392" s="3" t="n">
        <v>560</v>
      </c>
      <c r="Z392" s="3" t="n">
        <v>0.56</v>
      </c>
      <c r="AA392" s="3" t="n">
        <v>13</v>
      </c>
      <c r="AB392" s="3" t="n">
        <v>1</v>
      </c>
      <c r="AC392" s="3" t="n">
        <v>2</v>
      </c>
      <c r="AD392" s="3" t="n">
        <v>1</v>
      </c>
      <c r="AE392" s="3" t="n">
        <v>1</v>
      </c>
      <c r="AF392" s="3" t="n">
        <v>2</v>
      </c>
      <c r="AG392" s="3" t="n">
        <v>2</v>
      </c>
      <c r="AH392" s="3" t="n">
        <v>1</v>
      </c>
      <c r="AI392" s="3" t="n">
        <v>2</v>
      </c>
      <c r="AJ392" s="3" t="n">
        <v>2</v>
      </c>
      <c r="AK392" s="3" t="n">
        <v>2</v>
      </c>
      <c r="AL392" s="3" t="n">
        <v>1</v>
      </c>
      <c r="AM392" s="3" t="n">
        <v>2</v>
      </c>
      <c r="AN392" s="3" t="n">
        <v>2</v>
      </c>
      <c r="AO392" s="3" t="n">
        <v>3</v>
      </c>
      <c r="AP392" s="3" t="n">
        <v>4</v>
      </c>
      <c r="AQ392" s="3" t="n">
        <v>4</v>
      </c>
      <c r="AR392" s="3" t="n">
        <v>6</v>
      </c>
      <c r="AS392" s="3" t="n">
        <v>4</v>
      </c>
      <c r="AT392" s="3" t="n">
        <v>4</v>
      </c>
      <c r="AU392" s="3" t="n">
        <v>6</v>
      </c>
      <c r="AV392" s="3" t="n">
        <v>6</v>
      </c>
      <c r="AW392" s="3" t="n">
        <v>3</v>
      </c>
      <c r="AX392" s="3" t="n">
        <v>3</v>
      </c>
      <c r="AY392" s="3" t="n">
        <v>1</v>
      </c>
      <c r="AZ392" s="5" t="n">
        <v>1</v>
      </c>
      <c r="BA392" s="3" t="n">
        <v>1</v>
      </c>
      <c r="BB392" s="3" t="n">
        <v>1</v>
      </c>
      <c r="BC392" s="3" t="n">
        <v>4</v>
      </c>
      <c r="BD392" s="3" t="n">
        <v>1</v>
      </c>
      <c r="BE392" s="3" t="n">
        <v>2</v>
      </c>
      <c r="BF392" s="3" t="n">
        <v>1</v>
      </c>
      <c r="BG392" s="3" t="n">
        <v>4</v>
      </c>
      <c r="BH392" s="3" t="n">
        <v>1</v>
      </c>
      <c r="BI392" s="3" t="n">
        <v>1</v>
      </c>
    </row>
    <row r="393" customFormat="false" ht="12.75" hidden="false" customHeight="false" outlineLevel="0" collapsed="false">
      <c r="A393" s="2" t="s">
        <v>140</v>
      </c>
      <c r="B393" s="2" t="s">
        <v>3177</v>
      </c>
      <c r="C393" s="2" t="s">
        <v>414</v>
      </c>
      <c r="D393" s="2" t="n">
        <v>214034</v>
      </c>
      <c r="E393" s="15" t="n">
        <v>44343</v>
      </c>
      <c r="F393" s="15" t="n">
        <v>44349</v>
      </c>
      <c r="G393" s="3" t="n">
        <v>6</v>
      </c>
      <c r="H393" s="3" t="n">
        <v>2</v>
      </c>
      <c r="I393" s="3" t="n">
        <v>78</v>
      </c>
      <c r="J393" s="3" t="n">
        <v>1</v>
      </c>
      <c r="K393" s="3" t="n">
        <v>1</v>
      </c>
      <c r="L393" s="3" t="n">
        <v>2</v>
      </c>
      <c r="M393" s="3" t="n">
        <v>2</v>
      </c>
      <c r="N393" s="3" t="n">
        <v>2</v>
      </c>
      <c r="O393" s="3" t="n">
        <v>2</v>
      </c>
      <c r="P393" s="3" t="n">
        <v>2</v>
      </c>
      <c r="Q393" s="3" t="n">
        <v>2</v>
      </c>
      <c r="R393" s="3" t="n">
        <v>2</v>
      </c>
      <c r="S393" s="4" t="n">
        <v>2</v>
      </c>
      <c r="T393" s="3" t="n">
        <v>2</v>
      </c>
      <c r="U393" s="3" t="n">
        <v>4.66</v>
      </c>
      <c r="V393" s="3" t="n">
        <v>0.9</v>
      </c>
      <c r="W393" s="3" t="n">
        <v>4.11</v>
      </c>
      <c r="X393" s="3" t="n">
        <v>292</v>
      </c>
      <c r="Z393" s="3" t="n">
        <v>11.6</v>
      </c>
      <c r="AA393" s="3" t="n">
        <v>0.43</v>
      </c>
      <c r="AB393" s="3" t="n">
        <v>1</v>
      </c>
      <c r="AC393" s="3" t="n">
        <v>2</v>
      </c>
      <c r="AD393" s="3" t="n">
        <v>2</v>
      </c>
      <c r="AE393" s="3" t="n">
        <v>1</v>
      </c>
      <c r="AF393" s="3" t="n">
        <v>2</v>
      </c>
      <c r="AG393" s="3" t="n">
        <v>2</v>
      </c>
      <c r="AH393" s="3" t="n">
        <v>1</v>
      </c>
      <c r="AI393" s="3" t="n">
        <v>2</v>
      </c>
      <c r="AJ393" s="3" t="n">
        <v>2</v>
      </c>
      <c r="AK393" s="3" t="n">
        <v>2</v>
      </c>
      <c r="AL393" s="3" t="n">
        <v>2</v>
      </c>
      <c r="AM393" s="3" t="n">
        <v>2</v>
      </c>
      <c r="AN393" s="3" t="n">
        <v>2</v>
      </c>
      <c r="AO393" s="3" t="n">
        <v>3</v>
      </c>
      <c r="AP393" s="3" t="n">
        <v>4</v>
      </c>
      <c r="AQ393" s="3" t="n">
        <v>4</v>
      </c>
      <c r="AR393" s="3" t="n">
        <v>6</v>
      </c>
      <c r="AS393" s="3" t="n">
        <v>4</v>
      </c>
      <c r="AT393" s="3" t="n">
        <v>4</v>
      </c>
      <c r="AU393" s="3" t="n">
        <v>6</v>
      </c>
      <c r="AV393" s="3" t="n">
        <v>6</v>
      </c>
      <c r="AW393" s="3" t="n">
        <v>3</v>
      </c>
      <c r="AX393" s="3" t="n">
        <v>3</v>
      </c>
      <c r="AY393" s="3" t="n">
        <v>1</v>
      </c>
      <c r="AZ393" s="5" t="n">
        <v>1</v>
      </c>
      <c r="BA393" s="3" t="n">
        <v>1</v>
      </c>
      <c r="BB393" s="3" t="n">
        <v>1</v>
      </c>
      <c r="BC393" s="3" t="n">
        <v>4</v>
      </c>
      <c r="BD393" s="3" t="n">
        <v>1</v>
      </c>
      <c r="BE393" s="3" t="n">
        <v>2</v>
      </c>
      <c r="BF393" s="3" t="n">
        <v>1</v>
      </c>
      <c r="BG393" s="3" t="n">
        <v>4</v>
      </c>
      <c r="BH393" s="3" t="n">
        <v>1</v>
      </c>
      <c r="BI393" s="3" t="n">
        <v>1</v>
      </c>
    </row>
    <row r="394" customFormat="false" ht="12.75" hidden="false" customHeight="false" outlineLevel="0" collapsed="false">
      <c r="A394" s="14" t="s">
        <v>2929</v>
      </c>
      <c r="B394" s="14" t="s">
        <v>522</v>
      </c>
      <c r="C394" s="14" t="s">
        <v>194</v>
      </c>
      <c r="D394" s="14" t="n">
        <v>214069</v>
      </c>
      <c r="E394" s="22" t="n">
        <v>44344</v>
      </c>
      <c r="F394" s="22" t="n">
        <v>44350</v>
      </c>
      <c r="G394" s="3" t="n">
        <v>6</v>
      </c>
      <c r="H394" s="3" t="n">
        <v>2</v>
      </c>
      <c r="I394" s="3" t="n">
        <v>64</v>
      </c>
      <c r="J394" s="3" t="n">
        <v>1</v>
      </c>
      <c r="K394" s="3" t="n">
        <v>1</v>
      </c>
      <c r="L394" s="3" t="n">
        <v>2</v>
      </c>
      <c r="M394" s="3" t="n">
        <v>2</v>
      </c>
      <c r="N394" s="3" t="n">
        <v>2</v>
      </c>
      <c r="O394" s="3" t="n">
        <v>2</v>
      </c>
      <c r="P394" s="3" t="n">
        <v>2</v>
      </c>
      <c r="Q394" s="3" t="n">
        <v>2</v>
      </c>
      <c r="R394" s="3" t="n">
        <v>2</v>
      </c>
      <c r="S394" s="4" t="n">
        <v>2</v>
      </c>
      <c r="T394" s="3" t="n">
        <v>2</v>
      </c>
      <c r="U394" s="3" t="n">
        <v>4.6</v>
      </c>
      <c r="V394" s="3" t="n">
        <v>3.53</v>
      </c>
      <c r="W394" s="3" t="n">
        <v>10.85</v>
      </c>
      <c r="X394" s="3" t="n">
        <v>384</v>
      </c>
      <c r="Z394" s="3" t="n">
        <v>0.41</v>
      </c>
      <c r="AA394" s="3" t="n">
        <v>14.6</v>
      </c>
      <c r="AB394" s="3" t="n">
        <v>1</v>
      </c>
      <c r="AC394" s="3" t="n">
        <v>2</v>
      </c>
      <c r="AD394" s="3" t="n">
        <v>2</v>
      </c>
      <c r="AE394" s="3" t="n">
        <v>1</v>
      </c>
      <c r="AF394" s="3" t="n">
        <v>2</v>
      </c>
      <c r="AG394" s="3" t="n">
        <v>2</v>
      </c>
      <c r="AH394" s="3" t="n">
        <v>1</v>
      </c>
      <c r="AI394" s="3" t="n">
        <v>2</v>
      </c>
      <c r="AJ394" s="3" t="n">
        <v>2</v>
      </c>
      <c r="AK394" s="3" t="n">
        <v>2</v>
      </c>
      <c r="AL394" s="3" t="n">
        <v>2</v>
      </c>
      <c r="AM394" s="3" t="n">
        <v>2</v>
      </c>
      <c r="AN394" s="3" t="n">
        <v>2</v>
      </c>
      <c r="AO394" s="3" t="n">
        <v>3</v>
      </c>
      <c r="AP394" s="3" t="n">
        <v>4</v>
      </c>
      <c r="AQ394" s="3" t="n">
        <v>4</v>
      </c>
      <c r="AR394" s="3" t="n">
        <v>6</v>
      </c>
      <c r="AS394" s="3" t="n">
        <v>4</v>
      </c>
      <c r="AT394" s="3" t="n">
        <v>4</v>
      </c>
      <c r="AU394" s="3" t="n">
        <v>6</v>
      </c>
      <c r="AV394" s="3" t="n">
        <v>6</v>
      </c>
      <c r="AW394" s="3" t="n">
        <v>3</v>
      </c>
      <c r="AX394" s="3" t="n">
        <v>3</v>
      </c>
      <c r="AY394" s="3" t="n">
        <v>1</v>
      </c>
      <c r="AZ394" s="5" t="n">
        <v>1</v>
      </c>
      <c r="BA394" s="3" t="n">
        <v>1</v>
      </c>
      <c r="BB394" s="3" t="n">
        <v>1</v>
      </c>
      <c r="BC394" s="3" t="n">
        <v>4</v>
      </c>
      <c r="BD394" s="3" t="n">
        <v>1</v>
      </c>
      <c r="BE394" s="3" t="n">
        <v>2</v>
      </c>
      <c r="BF394" s="3" t="n">
        <v>1</v>
      </c>
      <c r="BG394" s="3" t="n">
        <v>4</v>
      </c>
      <c r="BH394" s="3" t="n">
        <v>1</v>
      </c>
      <c r="BI394" s="3" t="n">
        <v>1</v>
      </c>
    </row>
    <row r="395" customFormat="false" ht="12.75" hidden="false" customHeight="false" outlineLevel="0" collapsed="false">
      <c r="A395" s="2" t="s">
        <v>3196</v>
      </c>
      <c r="B395" s="2" t="s">
        <v>3197</v>
      </c>
      <c r="C395" s="2" t="s">
        <v>304</v>
      </c>
      <c r="D395" s="2" t="n">
        <v>214342</v>
      </c>
      <c r="E395" s="15" t="n">
        <v>44347</v>
      </c>
      <c r="F395" s="15" t="n">
        <v>44357</v>
      </c>
      <c r="G395" s="3" t="n">
        <v>10</v>
      </c>
      <c r="H395" s="3" t="n">
        <v>2</v>
      </c>
      <c r="I395" s="3" t="n">
        <v>59</v>
      </c>
      <c r="J395" s="3" t="n">
        <v>1</v>
      </c>
      <c r="K395" s="3" t="n">
        <v>1</v>
      </c>
      <c r="L395" s="3" t="n">
        <v>1</v>
      </c>
      <c r="M395" s="3" t="n">
        <v>2</v>
      </c>
      <c r="N395" s="3" t="n">
        <v>2</v>
      </c>
      <c r="O395" s="3" t="n">
        <v>2</v>
      </c>
      <c r="P395" s="3" t="n">
        <v>2</v>
      </c>
      <c r="Q395" s="3" t="n">
        <v>2</v>
      </c>
      <c r="R395" s="3" t="n">
        <v>2</v>
      </c>
      <c r="S395" s="4" t="n">
        <v>2</v>
      </c>
      <c r="T395" s="3" t="n">
        <v>2</v>
      </c>
      <c r="U395" s="3" t="n">
        <v>4.83</v>
      </c>
      <c r="V395" s="3" t="n">
        <v>1.84</v>
      </c>
      <c r="W395" s="3" t="n">
        <v>7.47</v>
      </c>
      <c r="X395" s="3" t="n">
        <v>185</v>
      </c>
      <c r="Z395" s="3" t="n">
        <v>0.45</v>
      </c>
      <c r="AA395" s="3" t="n">
        <v>12.8</v>
      </c>
      <c r="AB395" s="3" t="n">
        <v>2</v>
      </c>
      <c r="AC395" s="3" t="n">
        <v>2</v>
      </c>
      <c r="AD395" s="3" t="n">
        <v>1</v>
      </c>
      <c r="AE395" s="3" t="n">
        <v>1</v>
      </c>
      <c r="AF395" s="3" t="n">
        <v>2</v>
      </c>
      <c r="AG395" s="3" t="n">
        <v>1</v>
      </c>
      <c r="AH395" s="3" t="n">
        <v>1</v>
      </c>
      <c r="AI395" s="3" t="n">
        <v>2</v>
      </c>
      <c r="AJ395" s="3" t="n">
        <v>2</v>
      </c>
      <c r="AK395" s="3" t="n">
        <v>2</v>
      </c>
      <c r="AL395" s="3" t="n">
        <v>2</v>
      </c>
      <c r="AM395" s="3" t="n">
        <v>2</v>
      </c>
      <c r="AN395" s="3" t="n">
        <v>1</v>
      </c>
      <c r="AO395" s="3" t="n">
        <v>3</v>
      </c>
      <c r="AP395" s="3" t="n">
        <v>4</v>
      </c>
      <c r="AQ395" s="3" t="n">
        <v>4</v>
      </c>
      <c r="AR395" s="3" t="n">
        <v>6</v>
      </c>
      <c r="AS395" s="3" t="n">
        <v>4</v>
      </c>
      <c r="AT395" s="3" t="n">
        <v>4</v>
      </c>
      <c r="AU395" s="3" t="n">
        <v>6</v>
      </c>
      <c r="AV395" s="3" t="n">
        <v>6</v>
      </c>
      <c r="AW395" s="3" t="n">
        <v>3</v>
      </c>
      <c r="AX395" s="3" t="n">
        <v>3</v>
      </c>
      <c r="AY395" s="3" t="n">
        <v>10</v>
      </c>
      <c r="AZ395" s="5" t="n">
        <v>1</v>
      </c>
      <c r="BA395" s="3" t="n">
        <v>1</v>
      </c>
      <c r="BB395" s="3" t="n">
        <v>1</v>
      </c>
      <c r="BC395" s="3" t="n">
        <v>2</v>
      </c>
      <c r="BD395" s="3" t="n">
        <v>1</v>
      </c>
      <c r="BE395" s="3" t="n">
        <v>2</v>
      </c>
      <c r="BF395" s="3" t="n">
        <v>1</v>
      </c>
      <c r="BG395" s="3" t="n">
        <v>4</v>
      </c>
      <c r="BH395" s="3" t="n">
        <v>1</v>
      </c>
      <c r="BI395" s="3" t="n">
        <v>1</v>
      </c>
    </row>
    <row r="396" customFormat="false" ht="12.75" hidden="false" customHeight="false" outlineLevel="0" collapsed="false">
      <c r="A396" s="2" t="s">
        <v>3204</v>
      </c>
      <c r="B396" s="2" t="s">
        <v>153</v>
      </c>
      <c r="C396" s="2" t="s">
        <v>3205</v>
      </c>
      <c r="D396" s="2" t="n">
        <v>214404</v>
      </c>
      <c r="E396" s="15" t="n">
        <v>44351</v>
      </c>
      <c r="F396" s="15" t="n">
        <v>44361</v>
      </c>
      <c r="G396" s="3" t="n">
        <v>10</v>
      </c>
      <c r="H396" s="3" t="n">
        <v>2</v>
      </c>
      <c r="I396" s="3" t="n">
        <v>59</v>
      </c>
      <c r="J396" s="3" t="n">
        <v>1</v>
      </c>
      <c r="K396" s="3" t="n">
        <v>1</v>
      </c>
      <c r="L396" s="3" t="n">
        <v>1</v>
      </c>
      <c r="M396" s="3" t="n">
        <v>2</v>
      </c>
      <c r="N396" s="3" t="n">
        <v>1</v>
      </c>
      <c r="O396" s="3" t="n">
        <v>1</v>
      </c>
      <c r="P396" s="3" t="n">
        <v>1</v>
      </c>
      <c r="Q396" s="3" t="n">
        <v>2</v>
      </c>
      <c r="R396" s="3" t="n">
        <v>2</v>
      </c>
      <c r="S396" s="4" t="n">
        <v>2</v>
      </c>
      <c r="T396" s="3" t="n">
        <v>2</v>
      </c>
      <c r="U396" s="3" t="n">
        <v>6.88</v>
      </c>
      <c r="V396" s="3" t="n">
        <v>2.79</v>
      </c>
      <c r="W396" s="3" t="n">
        <v>16.86</v>
      </c>
      <c r="X396" s="3" t="n">
        <v>364</v>
      </c>
      <c r="Z396" s="3" t="n">
        <v>0.5</v>
      </c>
      <c r="AA396" s="3" t="n">
        <v>12.4</v>
      </c>
      <c r="AB396" s="3" t="n">
        <v>1</v>
      </c>
      <c r="AC396" s="3" t="n">
        <v>2</v>
      </c>
      <c r="AD396" s="3" t="n">
        <v>2</v>
      </c>
      <c r="AE396" s="3" t="n">
        <v>1</v>
      </c>
      <c r="AF396" s="3" t="n">
        <v>2</v>
      </c>
      <c r="AG396" s="3" t="n">
        <v>2</v>
      </c>
      <c r="AH396" s="3" t="n">
        <v>1</v>
      </c>
      <c r="AI396" s="3" t="n">
        <v>2</v>
      </c>
      <c r="AJ396" s="3" t="n">
        <v>1</v>
      </c>
      <c r="AK396" s="3" t="n">
        <v>2</v>
      </c>
      <c r="AL396" s="3" t="n">
        <v>1</v>
      </c>
      <c r="AM396" s="3" t="n">
        <v>2</v>
      </c>
      <c r="AN396" s="3" t="n">
        <v>2</v>
      </c>
      <c r="AO396" s="3" t="n">
        <v>3</v>
      </c>
      <c r="AP396" s="3" t="n">
        <v>4</v>
      </c>
      <c r="AQ396" s="3" t="n">
        <v>4</v>
      </c>
      <c r="AR396" s="3" t="n">
        <v>6</v>
      </c>
      <c r="AS396" s="3" t="n">
        <v>4</v>
      </c>
      <c r="AT396" s="3" t="n">
        <v>4</v>
      </c>
      <c r="AU396" s="3" t="n">
        <v>6</v>
      </c>
      <c r="AV396" s="3" t="n">
        <v>6</v>
      </c>
      <c r="AW396" s="3" t="n">
        <v>3</v>
      </c>
      <c r="AX396" s="3" t="n">
        <v>3</v>
      </c>
      <c r="AY396" s="3" t="n">
        <v>1</v>
      </c>
      <c r="AZ396" s="5" t="n">
        <v>1</v>
      </c>
      <c r="BA396" s="3" t="n">
        <v>1</v>
      </c>
      <c r="BB396" s="3" t="n">
        <v>1</v>
      </c>
      <c r="BC396" s="3" t="n">
        <v>4</v>
      </c>
      <c r="BD396" s="3" t="n">
        <v>1</v>
      </c>
      <c r="BE396" s="3" t="n">
        <v>2</v>
      </c>
      <c r="BF396" s="3" t="n">
        <v>1</v>
      </c>
      <c r="BG396" s="3" t="n">
        <v>4</v>
      </c>
      <c r="BH396" s="3" t="n">
        <v>1</v>
      </c>
      <c r="BI396" s="3" t="n">
        <v>1</v>
      </c>
    </row>
    <row r="397" customFormat="false" ht="12.75" hidden="false" customHeight="false" outlineLevel="0" collapsed="false">
      <c r="A397" s="2" t="s">
        <v>3211</v>
      </c>
      <c r="B397" s="2" t="s">
        <v>2133</v>
      </c>
      <c r="C397" s="2" t="s">
        <v>462</v>
      </c>
      <c r="D397" s="2" t="n">
        <v>214746</v>
      </c>
      <c r="E397" s="15" t="n">
        <v>44359</v>
      </c>
      <c r="F397" s="15" t="n">
        <v>44366</v>
      </c>
      <c r="G397" s="3" t="n">
        <v>7</v>
      </c>
      <c r="H397" s="3" t="n">
        <v>2</v>
      </c>
      <c r="I397" s="3" t="n">
        <v>61</v>
      </c>
      <c r="J397" s="3" t="n">
        <v>1</v>
      </c>
      <c r="K397" s="3" t="n">
        <v>1</v>
      </c>
      <c r="L397" s="3" t="n">
        <v>2</v>
      </c>
      <c r="M397" s="3" t="n">
        <v>2</v>
      </c>
      <c r="N397" s="3" t="n">
        <v>2</v>
      </c>
      <c r="O397" s="3" t="n">
        <v>1</v>
      </c>
      <c r="P397" s="3" t="n">
        <v>1</v>
      </c>
      <c r="Q397" s="3" t="n">
        <v>2</v>
      </c>
      <c r="R397" s="3" t="n">
        <v>2</v>
      </c>
      <c r="S397" s="4" t="n">
        <v>2</v>
      </c>
      <c r="T397" s="3" t="n">
        <v>2</v>
      </c>
      <c r="U397" s="3" t="n">
        <v>3.83</v>
      </c>
      <c r="V397" s="3" t="n">
        <v>1.07</v>
      </c>
      <c r="W397" s="3" t="n">
        <v>4.78</v>
      </c>
      <c r="X397" s="3" t="n">
        <v>318</v>
      </c>
      <c r="Z397" s="3" t="n">
        <v>0.4</v>
      </c>
      <c r="AA397" s="3" t="n">
        <v>14.8</v>
      </c>
      <c r="AB397" s="3" t="n">
        <v>1</v>
      </c>
      <c r="AC397" s="3" t="n">
        <v>2</v>
      </c>
      <c r="AD397" s="3" t="n">
        <v>1</v>
      </c>
      <c r="AE397" s="3" t="n">
        <v>1</v>
      </c>
      <c r="AF397" s="3" t="n">
        <v>2</v>
      </c>
      <c r="AG397" s="3" t="n">
        <v>2</v>
      </c>
      <c r="AH397" s="3" t="n">
        <v>1</v>
      </c>
      <c r="AI397" s="3" t="n">
        <v>2</v>
      </c>
      <c r="AJ397" s="3" t="n">
        <v>2</v>
      </c>
      <c r="AK397" s="3" t="n">
        <v>2</v>
      </c>
      <c r="AL397" s="3" t="n">
        <v>2</v>
      </c>
      <c r="AM397" s="3" t="n">
        <v>2</v>
      </c>
      <c r="AN397" s="3" t="n">
        <v>2</v>
      </c>
      <c r="AO397" s="3" t="n">
        <v>3</v>
      </c>
      <c r="AP397" s="3" t="n">
        <v>4</v>
      </c>
      <c r="AQ397" s="3" t="n">
        <v>4</v>
      </c>
      <c r="AR397" s="3" t="n">
        <v>6</v>
      </c>
      <c r="AS397" s="3" t="n">
        <v>4</v>
      </c>
      <c r="AT397" s="3" t="n">
        <v>4</v>
      </c>
      <c r="AU397" s="3" t="n">
        <v>6</v>
      </c>
      <c r="AV397" s="3" t="n">
        <v>6</v>
      </c>
      <c r="AW397" s="3" t="n">
        <v>3</v>
      </c>
      <c r="AX397" s="3" t="n">
        <v>3</v>
      </c>
      <c r="AY397" s="3" t="n">
        <v>1</v>
      </c>
      <c r="AZ397" s="5" t="n">
        <v>1</v>
      </c>
      <c r="BA397" s="3" t="n">
        <v>1</v>
      </c>
      <c r="BB397" s="3" t="n">
        <v>1</v>
      </c>
      <c r="BC397" s="3" t="n">
        <v>4</v>
      </c>
      <c r="BD397" s="3" t="n">
        <v>1</v>
      </c>
      <c r="BE397" s="3" t="n">
        <v>2</v>
      </c>
      <c r="BF397" s="3" t="n">
        <v>1</v>
      </c>
      <c r="BG397" s="3" t="n">
        <v>4</v>
      </c>
      <c r="BH397" s="3" t="n">
        <v>1</v>
      </c>
      <c r="BI397" s="3" t="n">
        <v>1</v>
      </c>
    </row>
    <row r="398" customFormat="false" ht="12.75" hidden="false" customHeight="false" outlineLevel="0" collapsed="false">
      <c r="A398" s="2" t="s">
        <v>415</v>
      </c>
      <c r="B398" s="2" t="s">
        <v>3213</v>
      </c>
      <c r="C398" s="2" t="s">
        <v>898</v>
      </c>
      <c r="D398" s="2" t="n">
        <v>214777</v>
      </c>
      <c r="E398" s="15" t="n">
        <v>44360</v>
      </c>
      <c r="F398" s="15" t="n">
        <v>44367</v>
      </c>
      <c r="G398" s="3" t="n">
        <v>7</v>
      </c>
      <c r="H398" s="3" t="n">
        <v>2</v>
      </c>
      <c r="I398" s="3" t="n">
        <v>52</v>
      </c>
      <c r="J398" s="3" t="n">
        <v>2</v>
      </c>
      <c r="K398" s="3" t="n">
        <v>1</v>
      </c>
      <c r="L398" s="3" t="n">
        <v>1</v>
      </c>
      <c r="M398" s="3" t="n">
        <v>2</v>
      </c>
      <c r="N398" s="3" t="n">
        <v>2</v>
      </c>
      <c r="O398" s="3" t="n">
        <v>2</v>
      </c>
      <c r="P398" s="3" t="n">
        <v>2</v>
      </c>
      <c r="Q398" s="3" t="n">
        <v>2</v>
      </c>
      <c r="R398" s="3" t="n">
        <v>2</v>
      </c>
      <c r="S398" s="4" t="n">
        <v>2</v>
      </c>
      <c r="T398" s="3" t="n">
        <v>2</v>
      </c>
      <c r="U398" s="3" t="n">
        <v>4.59</v>
      </c>
      <c r="V398" s="3" t="n">
        <v>0.99</v>
      </c>
      <c r="W398" s="3" t="n">
        <v>6.74</v>
      </c>
      <c r="X398" s="3" t="n">
        <v>320</v>
      </c>
      <c r="Z398" s="3" t="n">
        <v>0.46</v>
      </c>
      <c r="AA398" s="3" t="n">
        <v>12.1</v>
      </c>
      <c r="AB398" s="3" t="n">
        <v>1</v>
      </c>
      <c r="AC398" s="3" t="n">
        <v>1</v>
      </c>
      <c r="AD398" s="3" t="n">
        <v>1</v>
      </c>
      <c r="AE398" s="3" t="n">
        <v>1</v>
      </c>
      <c r="AF398" s="3" t="n">
        <v>2</v>
      </c>
      <c r="AG398" s="3" t="n">
        <v>1</v>
      </c>
      <c r="AH398" s="3" t="n">
        <v>1</v>
      </c>
      <c r="AI398" s="3" t="n">
        <v>2</v>
      </c>
      <c r="AJ398" s="3" t="n">
        <v>2</v>
      </c>
      <c r="AK398" s="3" t="n">
        <v>2</v>
      </c>
      <c r="AL398" s="3" t="n">
        <v>2</v>
      </c>
      <c r="AM398" s="3" t="n">
        <v>2</v>
      </c>
      <c r="AN398" s="3" t="n">
        <v>2</v>
      </c>
      <c r="AO398" s="3" t="n">
        <v>3</v>
      </c>
      <c r="AP398" s="3" t="n">
        <v>4</v>
      </c>
      <c r="AQ398" s="3" t="n">
        <v>4</v>
      </c>
      <c r="AR398" s="3" t="n">
        <v>6</v>
      </c>
      <c r="AS398" s="3" t="n">
        <v>4</v>
      </c>
      <c r="AT398" s="3" t="n">
        <v>4</v>
      </c>
      <c r="AU398" s="3" t="n">
        <v>6</v>
      </c>
      <c r="AV398" s="3" t="n">
        <v>6</v>
      </c>
      <c r="AW398" s="3" t="n">
        <v>3</v>
      </c>
      <c r="AX398" s="3" t="n">
        <v>3</v>
      </c>
      <c r="AY398" s="3" t="n">
        <v>1</v>
      </c>
      <c r="AZ398" s="5" t="n">
        <v>1</v>
      </c>
      <c r="BA398" s="3" t="n">
        <v>1</v>
      </c>
      <c r="BB398" s="3" t="n">
        <v>1</v>
      </c>
      <c r="BC398" s="3" t="n">
        <v>2</v>
      </c>
      <c r="BD398" s="3" t="n">
        <v>3</v>
      </c>
      <c r="BE398" s="3" t="n">
        <v>5</v>
      </c>
      <c r="BF398" s="3" t="n">
        <v>3</v>
      </c>
      <c r="BG398" s="3" t="n">
        <v>4</v>
      </c>
      <c r="BH398" s="3" t="n">
        <v>1</v>
      </c>
      <c r="BI398" s="3" t="n">
        <v>1</v>
      </c>
    </row>
    <row r="399" customFormat="false" ht="12.75" hidden="false" customHeight="false" outlineLevel="0" collapsed="false">
      <c r="A399" s="2" t="s">
        <v>3215</v>
      </c>
      <c r="B399" s="2" t="s">
        <v>3216</v>
      </c>
      <c r="C399" s="2" t="s">
        <v>454</v>
      </c>
      <c r="D399" s="2" t="n">
        <v>215109</v>
      </c>
      <c r="E399" s="15" t="n">
        <v>44363</v>
      </c>
      <c r="F399" s="15" t="n">
        <v>44369</v>
      </c>
      <c r="G399" s="3" t="n">
        <v>6</v>
      </c>
      <c r="H399" s="3" t="n">
        <v>1</v>
      </c>
      <c r="I399" s="3" t="n">
        <v>58</v>
      </c>
      <c r="J399" s="3" t="n">
        <v>3</v>
      </c>
      <c r="K399" s="3" t="n">
        <v>1</v>
      </c>
      <c r="L399" s="3" t="n">
        <v>1</v>
      </c>
      <c r="M399" s="3" t="n">
        <v>2</v>
      </c>
      <c r="N399" s="3" t="n">
        <v>2</v>
      </c>
      <c r="O399" s="3" t="n">
        <v>2</v>
      </c>
      <c r="P399" s="3" t="n">
        <v>2</v>
      </c>
      <c r="Q399" s="3" t="n">
        <v>2</v>
      </c>
      <c r="R399" s="3" t="n">
        <v>2</v>
      </c>
      <c r="S399" s="4" t="n">
        <v>2</v>
      </c>
      <c r="T399" s="3" t="n">
        <v>2</v>
      </c>
      <c r="U399" s="3" t="s">
        <v>125</v>
      </c>
      <c r="V399" s="3" t="s">
        <v>125</v>
      </c>
      <c r="W399" s="3" t="s">
        <v>125</v>
      </c>
      <c r="X399" s="3" t="s">
        <v>125</v>
      </c>
      <c r="Z399" s="3" t="s">
        <v>125</v>
      </c>
      <c r="AA399" s="3" t="s">
        <v>125</v>
      </c>
      <c r="AB399" s="3" t="n">
        <v>1</v>
      </c>
      <c r="AC399" s="3" t="n">
        <v>2</v>
      </c>
      <c r="AD399" s="3" t="n">
        <v>1</v>
      </c>
      <c r="AE399" s="3" t="n">
        <v>1</v>
      </c>
      <c r="AF399" s="3" t="n">
        <v>2</v>
      </c>
      <c r="AG399" s="3" t="n">
        <v>2</v>
      </c>
      <c r="AH399" s="3" t="n">
        <v>1</v>
      </c>
      <c r="AI399" s="3" t="n">
        <v>2</v>
      </c>
      <c r="AJ399" s="3" t="n">
        <v>2</v>
      </c>
      <c r="AK399" s="3" t="n">
        <v>2</v>
      </c>
      <c r="AL399" s="3" t="n">
        <v>2</v>
      </c>
      <c r="AM399" s="3" t="n">
        <v>2</v>
      </c>
      <c r="AN399" s="3" t="n">
        <v>2</v>
      </c>
      <c r="AO399" s="3" t="n">
        <v>3</v>
      </c>
      <c r="AP399" s="3" t="n">
        <v>4</v>
      </c>
      <c r="AQ399" s="3" t="n">
        <v>4</v>
      </c>
      <c r="AR399" s="3" t="n">
        <v>6</v>
      </c>
      <c r="AS399" s="3" t="n">
        <v>4</v>
      </c>
      <c r="AT399" s="3" t="n">
        <v>4</v>
      </c>
      <c r="AU399" s="3" t="n">
        <v>6</v>
      </c>
      <c r="AV399" s="3" t="n">
        <v>6</v>
      </c>
      <c r="AW399" s="3" t="n">
        <v>3</v>
      </c>
      <c r="AX399" s="3" t="n">
        <v>3</v>
      </c>
      <c r="AY399" s="3" t="n">
        <v>1</v>
      </c>
      <c r="AZ399" s="5" t="n">
        <v>1</v>
      </c>
      <c r="BA399" s="3" t="n">
        <v>1</v>
      </c>
      <c r="BB399" s="3" t="n">
        <v>1</v>
      </c>
      <c r="BC399" s="3" t="n">
        <v>3</v>
      </c>
      <c r="BD399" s="3" t="n">
        <v>3</v>
      </c>
      <c r="BE399" s="3" t="n">
        <v>5</v>
      </c>
      <c r="BF399" s="3" t="n">
        <v>3</v>
      </c>
      <c r="BG399" s="3" t="n">
        <v>4</v>
      </c>
      <c r="BH399" s="3" t="n">
        <v>1</v>
      </c>
      <c r="BI399" s="3" t="n">
        <v>1</v>
      </c>
    </row>
    <row r="400" customFormat="false" ht="12.75" hidden="false" customHeight="false" outlineLevel="0" collapsed="false">
      <c r="A400" s="2" t="s">
        <v>3189</v>
      </c>
      <c r="B400" s="2" t="s">
        <v>438</v>
      </c>
      <c r="C400" s="2" t="s">
        <v>95</v>
      </c>
      <c r="D400" s="2" t="n">
        <v>214279</v>
      </c>
      <c r="E400" s="15" t="n">
        <v>44362</v>
      </c>
      <c r="F400" s="15" t="n">
        <v>44369</v>
      </c>
      <c r="G400" s="3" t="n">
        <v>7</v>
      </c>
      <c r="H400" s="3" t="n">
        <v>1</v>
      </c>
      <c r="I400" s="3" t="n">
        <v>90</v>
      </c>
      <c r="J400" s="3" t="n">
        <v>1</v>
      </c>
      <c r="K400" s="3" t="n">
        <v>2</v>
      </c>
      <c r="L400" s="3" t="n">
        <v>1</v>
      </c>
      <c r="M400" s="3" t="n">
        <v>2</v>
      </c>
      <c r="N400" s="3" t="n">
        <v>2</v>
      </c>
      <c r="O400" s="3" t="n">
        <v>2</v>
      </c>
      <c r="P400" s="3" t="n">
        <v>1</v>
      </c>
      <c r="Q400" s="3" t="n">
        <v>2</v>
      </c>
      <c r="R400" s="3" t="n">
        <v>1</v>
      </c>
      <c r="S400" s="4" t="n">
        <v>2</v>
      </c>
      <c r="T400" s="3" t="n">
        <v>2</v>
      </c>
      <c r="U400" s="3" t="n">
        <v>2.7</v>
      </c>
      <c r="V400" s="3" t="n">
        <v>1.11</v>
      </c>
      <c r="W400" s="3" t="n">
        <v>12.48</v>
      </c>
      <c r="X400" s="3" t="n">
        <v>521</v>
      </c>
      <c r="Z400" s="3" t="n">
        <v>0.31</v>
      </c>
      <c r="AA400" s="3" t="n">
        <v>16.2</v>
      </c>
      <c r="AB400" s="3" t="n">
        <v>1</v>
      </c>
      <c r="AC400" s="3" t="n">
        <v>2</v>
      </c>
      <c r="AD400" s="3" t="n">
        <v>2</v>
      </c>
      <c r="AE400" s="3" t="n">
        <v>1</v>
      </c>
      <c r="AF400" s="3" t="n">
        <v>2</v>
      </c>
      <c r="AG400" s="3" t="n">
        <v>1</v>
      </c>
      <c r="AH400" s="3" t="n">
        <v>1</v>
      </c>
      <c r="AI400" s="3" t="n">
        <v>1</v>
      </c>
      <c r="AJ400" s="3" t="n">
        <v>1</v>
      </c>
      <c r="AK400" s="3" t="n">
        <v>2</v>
      </c>
      <c r="AL400" s="3" t="n">
        <v>2</v>
      </c>
      <c r="AM400" s="3" t="n">
        <v>2</v>
      </c>
      <c r="AN400" s="3" t="n">
        <v>2</v>
      </c>
      <c r="AO400" s="3" t="n">
        <v>3</v>
      </c>
      <c r="AP400" s="3" t="n">
        <v>4</v>
      </c>
      <c r="AQ400" s="3" t="n">
        <v>4</v>
      </c>
      <c r="AR400" s="3" t="n">
        <v>6</v>
      </c>
      <c r="AS400" s="3" t="n">
        <v>4</v>
      </c>
      <c r="AT400" s="3" t="n">
        <v>4</v>
      </c>
      <c r="AU400" s="3" t="n">
        <v>6</v>
      </c>
      <c r="AV400" s="3" t="n">
        <v>6</v>
      </c>
      <c r="AW400" s="3" t="n">
        <v>3</v>
      </c>
      <c r="AX400" s="3" t="n">
        <v>3</v>
      </c>
      <c r="AY400" s="3" t="n">
        <v>1</v>
      </c>
      <c r="AZ400" s="5" t="n">
        <v>1</v>
      </c>
      <c r="BA400" s="3" t="n">
        <v>1</v>
      </c>
      <c r="BB400" s="3" t="n">
        <v>1</v>
      </c>
      <c r="BC400" s="3" t="n">
        <v>2</v>
      </c>
      <c r="BD400" s="3" t="n">
        <v>1</v>
      </c>
      <c r="BE400" s="3" t="n">
        <v>2</v>
      </c>
      <c r="BF400" s="3" t="n">
        <v>1</v>
      </c>
      <c r="BG400" s="3" t="n">
        <v>4</v>
      </c>
      <c r="BH400" s="3" t="n">
        <v>1</v>
      </c>
      <c r="BI400" s="3" t="n">
        <v>1</v>
      </c>
    </row>
    <row r="401" customFormat="false" ht="12.75" hidden="false" customHeight="false" outlineLevel="0" collapsed="false">
      <c r="A401" s="2" t="s">
        <v>3225</v>
      </c>
      <c r="B401" s="2" t="s">
        <v>3226</v>
      </c>
      <c r="C401" s="2" t="s">
        <v>1384</v>
      </c>
      <c r="D401" s="2" t="n">
        <v>214763</v>
      </c>
      <c r="E401" s="15" t="n">
        <v>44359</v>
      </c>
      <c r="F401" s="15" t="n">
        <v>44368</v>
      </c>
      <c r="G401" s="3" t="n">
        <v>9</v>
      </c>
      <c r="H401" s="3" t="n">
        <v>2</v>
      </c>
      <c r="I401" s="3" t="n">
        <v>87</v>
      </c>
      <c r="J401" s="3" t="n">
        <v>1</v>
      </c>
      <c r="K401" s="3" t="n">
        <v>1</v>
      </c>
      <c r="L401" s="3" t="n">
        <v>2</v>
      </c>
      <c r="M401" s="3" t="n">
        <v>2</v>
      </c>
      <c r="N401" s="3" t="n">
        <v>2</v>
      </c>
      <c r="O401" s="3" t="n">
        <v>2</v>
      </c>
      <c r="P401" s="3" t="n">
        <v>2</v>
      </c>
      <c r="Q401" s="3" t="n">
        <v>2</v>
      </c>
      <c r="R401" s="3" t="n">
        <v>1</v>
      </c>
      <c r="S401" s="4" t="n">
        <v>2</v>
      </c>
      <c r="T401" s="3" t="n">
        <v>2</v>
      </c>
      <c r="U401" s="3" t="n">
        <v>3.3</v>
      </c>
      <c r="V401" s="3" t="n">
        <v>1.13</v>
      </c>
      <c r="W401" s="3" t="n">
        <v>6.92</v>
      </c>
      <c r="X401" s="3" t="n">
        <v>243</v>
      </c>
      <c r="Z401" s="3" t="n">
        <v>0.5</v>
      </c>
      <c r="AA401" s="3" t="n">
        <v>11.4</v>
      </c>
      <c r="AB401" s="3" t="n">
        <v>2</v>
      </c>
      <c r="AC401" s="3" t="n">
        <v>2</v>
      </c>
      <c r="AD401" s="3" t="n">
        <v>1</v>
      </c>
      <c r="AE401" s="3" t="n">
        <v>1</v>
      </c>
      <c r="AF401" s="3" t="n">
        <v>2</v>
      </c>
      <c r="AG401" s="3" t="n">
        <v>2</v>
      </c>
      <c r="AH401" s="3" t="n">
        <v>2</v>
      </c>
      <c r="AI401" s="3" t="n">
        <v>1</v>
      </c>
      <c r="AJ401" s="3" t="n">
        <v>2</v>
      </c>
      <c r="AK401" s="3" t="n">
        <v>2</v>
      </c>
      <c r="AL401" s="3" t="n">
        <v>2</v>
      </c>
      <c r="AM401" s="3" t="n">
        <v>2</v>
      </c>
      <c r="AN401" s="3" t="n">
        <v>2</v>
      </c>
      <c r="AO401" s="3" t="n">
        <v>3</v>
      </c>
      <c r="AP401" s="3" t="n">
        <v>4</v>
      </c>
      <c r="AQ401" s="3" t="n">
        <v>4</v>
      </c>
      <c r="AR401" s="3" t="n">
        <v>6</v>
      </c>
      <c r="AS401" s="3" t="n">
        <v>4</v>
      </c>
      <c r="AT401" s="3" t="n">
        <v>4</v>
      </c>
      <c r="AU401" s="3" t="n">
        <v>6</v>
      </c>
      <c r="AV401" s="3" t="n">
        <v>6</v>
      </c>
      <c r="AW401" s="3" t="n">
        <v>3</v>
      </c>
      <c r="AX401" s="3" t="n">
        <v>3</v>
      </c>
      <c r="AY401" s="3" t="n">
        <v>1</v>
      </c>
      <c r="AZ401" s="5" t="n">
        <v>1</v>
      </c>
      <c r="BA401" s="3" t="n">
        <v>1</v>
      </c>
      <c r="BB401" s="3" t="n">
        <v>1</v>
      </c>
      <c r="BC401" s="3" t="n">
        <v>2</v>
      </c>
      <c r="BD401" s="3" t="n">
        <v>3</v>
      </c>
      <c r="BE401" s="3" t="n">
        <v>5</v>
      </c>
      <c r="BF401" s="3" t="n">
        <v>3</v>
      </c>
      <c r="BG401" s="3" t="n">
        <v>4</v>
      </c>
      <c r="BH401" s="3" t="n">
        <v>1</v>
      </c>
      <c r="BI401" s="3" t="n">
        <v>1</v>
      </c>
    </row>
    <row r="402" customFormat="false" ht="12.75" hidden="false" customHeight="false" outlineLevel="0" collapsed="false">
      <c r="A402" s="2" t="s">
        <v>3238</v>
      </c>
      <c r="B402" s="2" t="s">
        <v>3239</v>
      </c>
      <c r="C402" s="2" t="s">
        <v>3240</v>
      </c>
      <c r="D402" s="2" t="n">
        <v>215490</v>
      </c>
      <c r="E402" s="15" t="n">
        <v>44368</v>
      </c>
      <c r="F402" s="15" t="n">
        <v>44375</v>
      </c>
      <c r="G402" s="3" t="n">
        <v>7</v>
      </c>
      <c r="H402" s="3" t="n">
        <v>2</v>
      </c>
      <c r="I402" s="3" t="n">
        <v>34</v>
      </c>
      <c r="J402" s="3" t="n">
        <v>3</v>
      </c>
      <c r="K402" s="3" t="n">
        <v>1</v>
      </c>
      <c r="L402" s="3" t="n">
        <v>2</v>
      </c>
      <c r="M402" s="3" t="n">
        <v>2</v>
      </c>
      <c r="N402" s="3" t="n">
        <v>2</v>
      </c>
      <c r="O402" s="3" t="n">
        <v>2</v>
      </c>
      <c r="P402" s="3" t="n">
        <v>2</v>
      </c>
      <c r="Q402" s="3" t="n">
        <v>2</v>
      </c>
      <c r="R402" s="3" t="n">
        <v>2</v>
      </c>
      <c r="S402" s="4" t="n">
        <v>2</v>
      </c>
      <c r="T402" s="3" t="n">
        <v>2</v>
      </c>
      <c r="U402" s="3" t="n">
        <v>6.83</v>
      </c>
      <c r="V402" s="3" t="n">
        <v>2.38</v>
      </c>
      <c r="W402" s="3" t="n">
        <v>7.11</v>
      </c>
      <c r="X402" s="3" t="n">
        <v>564</v>
      </c>
      <c r="Z402" s="3" t="n">
        <v>0.44</v>
      </c>
      <c r="AA402" s="3" t="n">
        <v>18.9</v>
      </c>
      <c r="AB402" s="3" t="n">
        <v>1</v>
      </c>
      <c r="AC402" s="3" t="n">
        <v>2</v>
      </c>
      <c r="AD402" s="3" t="n">
        <v>2</v>
      </c>
      <c r="AE402" s="3" t="n">
        <v>1</v>
      </c>
      <c r="AF402" s="3" t="n">
        <v>2</v>
      </c>
      <c r="AG402" s="3" t="n">
        <v>2</v>
      </c>
      <c r="AH402" s="3" t="n">
        <v>1</v>
      </c>
      <c r="AI402" s="3" t="n">
        <v>2</v>
      </c>
      <c r="AJ402" s="3" t="n">
        <v>2</v>
      </c>
      <c r="AK402" s="3" t="n">
        <v>2</v>
      </c>
      <c r="AL402" s="3" t="n">
        <v>2</v>
      </c>
      <c r="AM402" s="3" t="n">
        <v>2</v>
      </c>
      <c r="AN402" s="3" t="n">
        <v>2</v>
      </c>
      <c r="AO402" s="3" t="n">
        <v>3</v>
      </c>
      <c r="AP402" s="3" t="n">
        <v>4</v>
      </c>
      <c r="AQ402" s="3" t="n">
        <v>4</v>
      </c>
      <c r="AR402" s="3" t="n">
        <v>6</v>
      </c>
      <c r="AS402" s="3" t="n">
        <v>4</v>
      </c>
      <c r="AT402" s="3" t="n">
        <v>4</v>
      </c>
      <c r="AU402" s="3" t="n">
        <v>6</v>
      </c>
      <c r="AV402" s="3" t="n">
        <v>6</v>
      </c>
      <c r="AW402" s="3" t="n">
        <v>3</v>
      </c>
      <c r="AX402" s="3" t="n">
        <v>3</v>
      </c>
      <c r="AY402" s="3" t="n">
        <v>1</v>
      </c>
      <c r="AZ402" s="5" t="n">
        <v>1</v>
      </c>
      <c r="BA402" s="3" t="n">
        <v>1</v>
      </c>
      <c r="BB402" s="3" t="n">
        <v>1</v>
      </c>
      <c r="BC402" s="3" t="n">
        <v>3</v>
      </c>
      <c r="BD402" s="3" t="n">
        <v>1</v>
      </c>
      <c r="BE402" s="3" t="n">
        <v>2</v>
      </c>
      <c r="BF402" s="3" t="n">
        <v>1</v>
      </c>
      <c r="BG402" s="3" t="n">
        <v>4</v>
      </c>
      <c r="BH402" s="3" t="n">
        <v>1</v>
      </c>
      <c r="BI402" s="3" t="n">
        <v>1</v>
      </c>
    </row>
    <row r="403" customFormat="false" ht="12.75" hidden="false" customHeight="false" outlineLevel="0" collapsed="false">
      <c r="A403" s="2" t="s">
        <v>3242</v>
      </c>
      <c r="B403" s="2" t="s">
        <v>1207</v>
      </c>
      <c r="C403" s="2" t="s">
        <v>3243</v>
      </c>
      <c r="D403" s="2" t="n">
        <v>215456</v>
      </c>
      <c r="E403" s="15" t="n">
        <v>44368</v>
      </c>
      <c r="F403" s="15" t="n">
        <v>44375</v>
      </c>
      <c r="G403" s="3" t="n">
        <v>7</v>
      </c>
      <c r="H403" s="3" t="n">
        <v>1</v>
      </c>
      <c r="I403" s="3" t="n">
        <v>72</v>
      </c>
      <c r="J403" s="3" t="n">
        <v>1</v>
      </c>
      <c r="K403" s="3" t="n">
        <v>1</v>
      </c>
      <c r="L403" s="3" t="n">
        <v>1</v>
      </c>
      <c r="M403" s="3" t="n">
        <v>1</v>
      </c>
      <c r="N403" s="3" t="n">
        <v>2</v>
      </c>
      <c r="O403" s="3" t="n">
        <v>2</v>
      </c>
      <c r="P403" s="3" t="n">
        <v>2</v>
      </c>
      <c r="Q403" s="3" t="n">
        <v>2</v>
      </c>
      <c r="R403" s="3" t="n">
        <v>2</v>
      </c>
      <c r="S403" s="4" t="n">
        <v>2</v>
      </c>
      <c r="T403" s="3" t="n">
        <v>2</v>
      </c>
      <c r="U403" s="3" t="n">
        <v>5.97</v>
      </c>
      <c r="V403" s="3" t="n">
        <v>2.35</v>
      </c>
      <c r="W403" s="3" t="n">
        <v>6.06</v>
      </c>
      <c r="X403" s="3" t="n">
        <v>261</v>
      </c>
      <c r="Z403" s="3" t="n">
        <v>0.39</v>
      </c>
      <c r="AA403" s="3" t="n">
        <v>6.3</v>
      </c>
      <c r="AB403" s="3" t="n">
        <v>1</v>
      </c>
      <c r="AC403" s="3" t="n">
        <v>1</v>
      </c>
      <c r="AD403" s="3" t="n">
        <v>2</v>
      </c>
      <c r="AE403" s="3" t="n">
        <v>1</v>
      </c>
      <c r="AF403" s="3" t="n">
        <v>2</v>
      </c>
      <c r="AG403" s="3" t="n">
        <v>1</v>
      </c>
      <c r="AH403" s="3" t="n">
        <v>1</v>
      </c>
      <c r="AI403" s="3" t="n">
        <v>2</v>
      </c>
      <c r="AJ403" s="3" t="n">
        <v>2</v>
      </c>
      <c r="AK403" s="3" t="n">
        <v>2</v>
      </c>
      <c r="AL403" s="3" t="n">
        <v>2</v>
      </c>
      <c r="AM403" s="3" t="n">
        <v>2</v>
      </c>
      <c r="AN403" s="3" t="n">
        <v>2</v>
      </c>
      <c r="AO403" s="3" t="n">
        <v>3</v>
      </c>
      <c r="AP403" s="3" t="n">
        <v>4</v>
      </c>
      <c r="AQ403" s="3" t="n">
        <v>4</v>
      </c>
      <c r="AR403" s="3" t="n">
        <v>6</v>
      </c>
      <c r="AS403" s="3" t="n">
        <v>4</v>
      </c>
      <c r="AT403" s="3" t="n">
        <v>4</v>
      </c>
      <c r="AU403" s="3" t="n">
        <v>6</v>
      </c>
      <c r="AV403" s="3" t="n">
        <v>6</v>
      </c>
      <c r="AW403" s="3" t="n">
        <v>3</v>
      </c>
      <c r="AX403" s="3" t="n">
        <v>3</v>
      </c>
      <c r="AY403" s="3" t="n">
        <v>1</v>
      </c>
      <c r="AZ403" s="5" t="n">
        <v>1</v>
      </c>
      <c r="BA403" s="3" t="n">
        <v>1</v>
      </c>
      <c r="BB403" s="3" t="n">
        <v>1</v>
      </c>
      <c r="BC403" s="3" t="n">
        <v>2</v>
      </c>
      <c r="BD403" s="3" t="n">
        <v>1</v>
      </c>
      <c r="BE403" s="3" t="n">
        <v>2</v>
      </c>
      <c r="BF403" s="3" t="n">
        <v>1</v>
      </c>
      <c r="BG403" s="3" t="n">
        <v>4</v>
      </c>
      <c r="BH403" s="3" t="n">
        <v>1</v>
      </c>
      <c r="BI403" s="3" t="n">
        <v>1</v>
      </c>
    </row>
    <row r="404" customFormat="false" ht="12.75" hidden="false" customHeight="false" outlineLevel="0" collapsed="false">
      <c r="A404" s="2" t="s">
        <v>3248</v>
      </c>
      <c r="B404" s="2" t="s">
        <v>3249</v>
      </c>
      <c r="C404" s="2" t="s">
        <v>78</v>
      </c>
      <c r="D404" s="2" t="n">
        <v>215547</v>
      </c>
      <c r="E404" s="15" t="n">
        <v>44372</v>
      </c>
      <c r="F404" s="15" t="n">
        <v>44378</v>
      </c>
      <c r="G404" s="3" t="n">
        <v>6</v>
      </c>
      <c r="H404" s="3" t="n">
        <v>1</v>
      </c>
      <c r="I404" s="3" t="n">
        <v>25</v>
      </c>
      <c r="J404" s="3" t="n">
        <v>1</v>
      </c>
      <c r="K404" s="3" t="n">
        <v>1</v>
      </c>
      <c r="L404" s="3" t="n">
        <v>1</v>
      </c>
      <c r="M404" s="3" t="n">
        <v>2</v>
      </c>
      <c r="N404" s="3" t="n">
        <v>2</v>
      </c>
      <c r="O404" s="3" t="n">
        <v>1</v>
      </c>
      <c r="P404" s="3" t="n">
        <v>1</v>
      </c>
      <c r="Q404" s="3" t="n">
        <v>2</v>
      </c>
      <c r="R404" s="3" t="n">
        <v>2</v>
      </c>
      <c r="S404" s="4" t="n">
        <v>2</v>
      </c>
      <c r="T404" s="3" t="n">
        <v>2</v>
      </c>
      <c r="U404" s="3" t="n">
        <v>4.63</v>
      </c>
      <c r="V404" s="3" t="n">
        <v>2.02</v>
      </c>
      <c r="W404" s="3" t="n">
        <v>7.65</v>
      </c>
      <c r="X404" s="3" t="n">
        <v>426</v>
      </c>
      <c r="Z404" s="3" t="n">
        <v>0.5</v>
      </c>
      <c r="AA404" s="3" t="n">
        <v>15.2</v>
      </c>
      <c r="AB404" s="3" t="n">
        <v>1</v>
      </c>
      <c r="AC404" s="3" t="n">
        <v>2</v>
      </c>
      <c r="AD404" s="3" t="n">
        <v>2</v>
      </c>
      <c r="AE404" s="3" t="n">
        <v>1</v>
      </c>
      <c r="AF404" s="3" t="n">
        <v>2</v>
      </c>
      <c r="AG404" s="3" t="n">
        <v>2</v>
      </c>
      <c r="AH404" s="3" t="n">
        <v>1</v>
      </c>
      <c r="AI404" s="3" t="n">
        <v>2</v>
      </c>
      <c r="AJ404" s="3" t="n">
        <v>2</v>
      </c>
      <c r="AK404" s="3" t="n">
        <v>2</v>
      </c>
      <c r="AL404" s="3" t="n">
        <v>1</v>
      </c>
      <c r="AM404" s="3" t="n">
        <v>2</v>
      </c>
      <c r="AN404" s="3" t="n">
        <v>2</v>
      </c>
      <c r="AO404" s="3" t="n">
        <v>3</v>
      </c>
      <c r="AP404" s="3" t="n">
        <v>4</v>
      </c>
      <c r="AQ404" s="3" t="n">
        <v>4</v>
      </c>
      <c r="AR404" s="3" t="n">
        <v>6</v>
      </c>
      <c r="AS404" s="3" t="n">
        <v>4</v>
      </c>
      <c r="AT404" s="3" t="n">
        <v>4</v>
      </c>
      <c r="AU404" s="3" t="n">
        <v>6</v>
      </c>
      <c r="AV404" s="3" t="n">
        <v>6</v>
      </c>
      <c r="AW404" s="3" t="n">
        <v>3</v>
      </c>
      <c r="AX404" s="3" t="n">
        <v>3</v>
      </c>
      <c r="AY404" s="3" t="n">
        <v>1</v>
      </c>
      <c r="AZ404" s="5" t="n">
        <v>1</v>
      </c>
      <c r="BA404" s="3" t="n">
        <v>1</v>
      </c>
      <c r="BB404" s="3" t="n">
        <v>1</v>
      </c>
      <c r="BC404" s="3" t="n">
        <v>4</v>
      </c>
      <c r="BD404" s="3" t="n">
        <v>1</v>
      </c>
      <c r="BE404" s="3" t="n">
        <v>2</v>
      </c>
      <c r="BF404" s="3" t="n">
        <v>1</v>
      </c>
      <c r="BG404" s="3" t="n">
        <v>4</v>
      </c>
      <c r="BH404" s="3" t="n">
        <v>1</v>
      </c>
      <c r="BI404" s="3" t="n">
        <v>1</v>
      </c>
    </row>
    <row r="405" customFormat="false" ht="12.75" hidden="false" customHeight="false" outlineLevel="0" collapsed="false">
      <c r="A405" s="2" t="s">
        <v>1890</v>
      </c>
      <c r="B405" s="2" t="s">
        <v>127</v>
      </c>
      <c r="C405" s="2" t="s">
        <v>2584</v>
      </c>
      <c r="D405" s="2" t="n">
        <v>215518</v>
      </c>
      <c r="E405" s="15" t="n">
        <v>44373</v>
      </c>
      <c r="F405" s="15" t="n">
        <v>44379</v>
      </c>
      <c r="G405" s="3" t="n">
        <v>6</v>
      </c>
      <c r="H405" s="3" t="n">
        <v>2</v>
      </c>
      <c r="I405" s="3" t="n">
        <v>65</v>
      </c>
      <c r="J405" s="3" t="n">
        <v>3</v>
      </c>
      <c r="K405" s="3" t="n">
        <v>1</v>
      </c>
      <c r="L405" s="3" t="n">
        <v>2</v>
      </c>
      <c r="M405" s="3" t="n">
        <v>2</v>
      </c>
      <c r="N405" s="3" t="n">
        <v>2</v>
      </c>
      <c r="O405" s="3" t="n">
        <v>2</v>
      </c>
      <c r="P405" s="3" t="n">
        <v>2</v>
      </c>
      <c r="Q405" s="3" t="n">
        <v>2</v>
      </c>
      <c r="R405" s="3" t="n">
        <v>2</v>
      </c>
      <c r="S405" s="4" t="n">
        <v>2</v>
      </c>
      <c r="T405" s="3" t="n">
        <v>2</v>
      </c>
      <c r="U405" s="3" t="n">
        <v>4.5</v>
      </c>
      <c r="V405" s="3" t="n">
        <v>1.34</v>
      </c>
      <c r="W405" s="3" t="n">
        <v>4.08</v>
      </c>
      <c r="X405" s="3" t="n">
        <v>338</v>
      </c>
      <c r="Z405" s="3" t="n">
        <v>0.44</v>
      </c>
      <c r="AA405" s="3" t="n">
        <v>12.1</v>
      </c>
      <c r="AB405" s="3" t="n">
        <v>1</v>
      </c>
      <c r="AC405" s="3" t="n">
        <v>2</v>
      </c>
      <c r="AD405" s="3" t="n">
        <v>1</v>
      </c>
      <c r="AE405" s="3" t="n">
        <v>1</v>
      </c>
      <c r="AF405" s="3" t="n">
        <v>2</v>
      </c>
      <c r="AG405" s="3" t="n">
        <v>2</v>
      </c>
      <c r="AH405" s="3" t="n">
        <v>1</v>
      </c>
      <c r="AI405" s="3" t="n">
        <v>2</v>
      </c>
      <c r="AJ405" s="3" t="n">
        <v>2</v>
      </c>
      <c r="AK405" s="3" t="n">
        <v>2</v>
      </c>
      <c r="AL405" s="3" t="n">
        <v>2</v>
      </c>
      <c r="AM405" s="3" t="n">
        <v>2</v>
      </c>
      <c r="AN405" s="3" t="n">
        <v>2</v>
      </c>
      <c r="AO405" s="3" t="n">
        <v>3</v>
      </c>
      <c r="AP405" s="3" t="n">
        <v>4</v>
      </c>
      <c r="AQ405" s="3" t="n">
        <v>4</v>
      </c>
      <c r="AR405" s="3" t="n">
        <v>6</v>
      </c>
      <c r="AS405" s="3" t="n">
        <v>4</v>
      </c>
      <c r="AT405" s="3" t="n">
        <v>4</v>
      </c>
      <c r="AU405" s="3" t="n">
        <v>6</v>
      </c>
      <c r="AV405" s="3" t="n">
        <v>6</v>
      </c>
      <c r="AW405" s="3" t="n">
        <v>3</v>
      </c>
      <c r="AX405" s="3" t="n">
        <v>3</v>
      </c>
      <c r="AY405" s="3" t="n">
        <v>6</v>
      </c>
      <c r="AZ405" s="5" t="n">
        <v>1</v>
      </c>
      <c r="BA405" s="3" t="n">
        <v>1</v>
      </c>
      <c r="BB405" s="3" t="n">
        <v>1</v>
      </c>
      <c r="BC405" s="3" t="n">
        <v>4</v>
      </c>
      <c r="BD405" s="3" t="n">
        <v>1</v>
      </c>
      <c r="BE405" s="3" t="n">
        <v>2</v>
      </c>
      <c r="BF405" s="3" t="n">
        <v>1</v>
      </c>
      <c r="BG405" s="3" t="n">
        <v>4</v>
      </c>
      <c r="BH405" s="3" t="n">
        <v>1</v>
      </c>
      <c r="BI405" s="3" t="n">
        <v>1</v>
      </c>
    </row>
    <row r="406" customFormat="false" ht="12.75" hidden="false" customHeight="false" outlineLevel="0" collapsed="false">
      <c r="A406" s="2" t="s">
        <v>1901</v>
      </c>
      <c r="B406" s="2" t="s">
        <v>78</v>
      </c>
      <c r="C406" s="2" t="s">
        <v>153</v>
      </c>
      <c r="D406" s="2" t="n">
        <v>215621</v>
      </c>
      <c r="E406" s="15" t="n">
        <v>44376</v>
      </c>
      <c r="F406" s="15" t="n">
        <v>44383</v>
      </c>
      <c r="G406" s="3" t="n">
        <v>7</v>
      </c>
      <c r="H406" s="3" t="n">
        <v>1</v>
      </c>
      <c r="I406" s="3" t="n">
        <v>58</v>
      </c>
      <c r="J406" s="3" t="n">
        <v>1</v>
      </c>
      <c r="K406" s="3" t="n">
        <v>1</v>
      </c>
      <c r="L406" s="3" t="n">
        <v>1</v>
      </c>
      <c r="M406" s="3" t="n">
        <v>2</v>
      </c>
      <c r="N406" s="3" t="n">
        <v>1</v>
      </c>
      <c r="O406" s="3" t="n">
        <v>1</v>
      </c>
      <c r="P406" s="3" t="n">
        <v>1</v>
      </c>
      <c r="Q406" s="3" t="n">
        <v>1</v>
      </c>
      <c r="R406" s="3" t="n">
        <v>2</v>
      </c>
      <c r="S406" s="4" t="n">
        <v>2</v>
      </c>
      <c r="T406" s="3" t="n">
        <v>2</v>
      </c>
      <c r="U406" s="3" t="n">
        <v>5.36</v>
      </c>
      <c r="V406" s="3" t="n">
        <v>1.61</v>
      </c>
      <c r="W406" s="3" t="n">
        <v>14.71</v>
      </c>
      <c r="X406" s="3" t="n">
        <v>521</v>
      </c>
      <c r="Z406" s="3" t="n">
        <v>0.45</v>
      </c>
      <c r="AA406" s="3" t="n">
        <v>15</v>
      </c>
      <c r="AB406" s="3" t="n">
        <v>2</v>
      </c>
      <c r="AC406" s="3" t="n">
        <v>2</v>
      </c>
      <c r="AD406" s="3" t="n">
        <v>2</v>
      </c>
      <c r="AE406" s="3" t="n">
        <v>1</v>
      </c>
      <c r="AF406" s="3" t="n">
        <v>2</v>
      </c>
      <c r="AG406" s="3" t="n">
        <v>2</v>
      </c>
      <c r="AH406" s="3" t="n">
        <v>1</v>
      </c>
      <c r="AI406" s="3" t="n">
        <v>2</v>
      </c>
      <c r="AJ406" s="3" t="n">
        <v>1</v>
      </c>
      <c r="AK406" s="3" t="n">
        <v>2</v>
      </c>
      <c r="AL406" s="3" t="n">
        <v>1</v>
      </c>
      <c r="AM406" s="3" t="n">
        <v>2</v>
      </c>
      <c r="AN406" s="3" t="n">
        <v>2</v>
      </c>
      <c r="AO406" s="3" t="n">
        <v>3</v>
      </c>
      <c r="AP406" s="3" t="n">
        <v>4</v>
      </c>
      <c r="AQ406" s="3" t="n">
        <v>4</v>
      </c>
      <c r="AR406" s="3" t="n">
        <v>6</v>
      </c>
      <c r="AS406" s="3" t="n">
        <v>4</v>
      </c>
      <c r="AT406" s="3" t="n">
        <v>4</v>
      </c>
      <c r="AU406" s="3" t="n">
        <v>6</v>
      </c>
      <c r="AV406" s="3" t="n">
        <v>6</v>
      </c>
      <c r="AW406" s="3" t="n">
        <v>3</v>
      </c>
      <c r="AX406" s="3" t="n">
        <v>3</v>
      </c>
      <c r="AY406" s="3" t="n">
        <v>4</v>
      </c>
      <c r="AZ406" s="5" t="n">
        <v>1</v>
      </c>
      <c r="BA406" s="3" t="n">
        <v>1</v>
      </c>
      <c r="BB406" s="3" t="n">
        <v>1</v>
      </c>
      <c r="BC406" s="3" t="n">
        <v>2</v>
      </c>
      <c r="BD406" s="3" t="n">
        <v>1</v>
      </c>
      <c r="BE406" s="3" t="n">
        <v>2</v>
      </c>
      <c r="BF406" s="3" t="n">
        <v>1</v>
      </c>
      <c r="BG406" s="3" t="n">
        <v>4</v>
      </c>
      <c r="BH406" s="3" t="n">
        <v>1</v>
      </c>
      <c r="BI406" s="3" t="n">
        <v>1</v>
      </c>
    </row>
    <row r="407" customFormat="false" ht="12.75" hidden="false" customHeight="false" outlineLevel="0" collapsed="false">
      <c r="A407" s="2" t="s">
        <v>3266</v>
      </c>
      <c r="B407" s="2" t="s">
        <v>325</v>
      </c>
      <c r="C407" s="2" t="s">
        <v>2068</v>
      </c>
      <c r="D407" s="2" t="n">
        <v>216048</v>
      </c>
      <c r="E407" s="15" t="n">
        <v>44384</v>
      </c>
      <c r="F407" s="15" t="n">
        <v>44391</v>
      </c>
      <c r="G407" s="3" t="n">
        <v>7</v>
      </c>
      <c r="H407" s="3" t="n">
        <v>2</v>
      </c>
      <c r="I407" s="3" t="n">
        <v>37</v>
      </c>
      <c r="J407" s="3" t="n">
        <v>3</v>
      </c>
      <c r="K407" s="3" t="n">
        <v>1</v>
      </c>
      <c r="L407" s="3" t="n">
        <v>2</v>
      </c>
      <c r="M407" s="3" t="n">
        <v>2</v>
      </c>
      <c r="N407" s="3" t="n">
        <v>2</v>
      </c>
      <c r="O407" s="3" t="n">
        <v>2</v>
      </c>
      <c r="P407" s="3" t="n">
        <v>2</v>
      </c>
      <c r="Q407" s="3" t="n">
        <v>2</v>
      </c>
      <c r="R407" s="3" t="n">
        <v>2</v>
      </c>
      <c r="S407" s="4" t="n">
        <v>2</v>
      </c>
      <c r="T407" s="3" t="n">
        <v>2</v>
      </c>
      <c r="U407" s="3" t="n">
        <v>5.04</v>
      </c>
      <c r="V407" s="3" t="n">
        <v>1.13</v>
      </c>
      <c r="W407" s="3" t="n">
        <v>6.44</v>
      </c>
      <c r="X407" s="3"/>
      <c r="Z407" s="3" t="n">
        <v>0.46</v>
      </c>
      <c r="AA407" s="3" t="n">
        <v>6.6</v>
      </c>
      <c r="AB407" s="3" t="n">
        <v>1</v>
      </c>
      <c r="AC407" s="3" t="n">
        <v>2</v>
      </c>
      <c r="AD407" s="3" t="n">
        <v>2</v>
      </c>
      <c r="AE407" s="3" t="n">
        <v>1</v>
      </c>
      <c r="AF407" s="3" t="n">
        <v>2</v>
      </c>
      <c r="AG407" s="3" t="n">
        <v>2</v>
      </c>
      <c r="AH407" s="3" t="n">
        <v>1</v>
      </c>
      <c r="AI407" s="3" t="n">
        <v>2</v>
      </c>
      <c r="AJ407" s="3" t="n">
        <v>2</v>
      </c>
      <c r="AK407" s="3" t="n">
        <v>2</v>
      </c>
      <c r="AL407" s="3" t="n">
        <v>1</v>
      </c>
      <c r="AM407" s="3" t="n">
        <v>2</v>
      </c>
      <c r="AN407" s="3" t="n">
        <v>2</v>
      </c>
      <c r="AO407" s="3" t="n">
        <v>3</v>
      </c>
      <c r="AP407" s="3" t="n">
        <v>4</v>
      </c>
      <c r="AQ407" s="3" t="n">
        <v>4</v>
      </c>
      <c r="AR407" s="3" t="n">
        <v>6</v>
      </c>
      <c r="AS407" s="3" t="n">
        <v>4</v>
      </c>
      <c r="AT407" s="3" t="n">
        <v>4</v>
      </c>
      <c r="AU407" s="3" t="n">
        <v>6</v>
      </c>
      <c r="AV407" s="3" t="n">
        <v>6</v>
      </c>
      <c r="AW407" s="3" t="n">
        <v>3</v>
      </c>
      <c r="AX407" s="3" t="n">
        <v>3</v>
      </c>
      <c r="AY407" s="3" t="n">
        <v>1</v>
      </c>
      <c r="AZ407" s="5" t="n">
        <v>1</v>
      </c>
      <c r="BA407" s="3" t="n">
        <v>1</v>
      </c>
      <c r="BB407" s="3" t="n">
        <v>1</v>
      </c>
      <c r="BC407" s="3" t="n">
        <v>2</v>
      </c>
      <c r="BD407" s="3" t="n">
        <v>1</v>
      </c>
      <c r="BE407" s="3" t="n">
        <v>2</v>
      </c>
      <c r="BF407" s="3" t="n">
        <v>1</v>
      </c>
      <c r="BG407" s="3" t="n">
        <v>4</v>
      </c>
      <c r="BH407" s="3" t="n">
        <v>1</v>
      </c>
      <c r="BI407" s="3" t="n">
        <v>1</v>
      </c>
    </row>
    <row r="408" customFormat="false" ht="12.75" hidden="false" customHeight="false" outlineLevel="0" collapsed="false">
      <c r="A408" s="2" t="s">
        <v>1138</v>
      </c>
      <c r="B408" s="2" t="s">
        <v>2224</v>
      </c>
      <c r="C408" s="2" t="s">
        <v>3271</v>
      </c>
      <c r="D408" s="2" t="n">
        <v>216219</v>
      </c>
      <c r="E408" s="15" t="n">
        <v>44386</v>
      </c>
      <c r="F408" s="15" t="n">
        <v>44395</v>
      </c>
      <c r="G408" s="3" t="n">
        <v>9</v>
      </c>
      <c r="H408" s="3" t="n">
        <v>2</v>
      </c>
      <c r="I408" s="3" t="n">
        <v>51</v>
      </c>
      <c r="J408" s="3" t="n">
        <v>1</v>
      </c>
      <c r="K408" s="3" t="n">
        <v>1</v>
      </c>
      <c r="L408" s="3" t="n">
        <v>2</v>
      </c>
      <c r="M408" s="3" t="n">
        <v>2</v>
      </c>
      <c r="N408" s="3" t="n">
        <v>2</v>
      </c>
      <c r="O408" s="3" t="n">
        <v>2</v>
      </c>
      <c r="P408" s="3" t="n">
        <v>1</v>
      </c>
      <c r="Q408" s="3" t="n">
        <v>2</v>
      </c>
      <c r="R408" s="3" t="n">
        <v>2</v>
      </c>
      <c r="S408" s="4" t="n">
        <v>2</v>
      </c>
      <c r="T408" s="3" t="n">
        <v>2</v>
      </c>
      <c r="U408" s="3" t="n">
        <v>4.65</v>
      </c>
      <c r="V408" s="3" t="n">
        <v>2.18</v>
      </c>
      <c r="W408" s="3" t="n">
        <v>7.86</v>
      </c>
      <c r="X408" s="3" t="n">
        <v>236</v>
      </c>
      <c r="Z408" s="3" t="n">
        <v>0.46</v>
      </c>
      <c r="AA408" s="3" t="n">
        <v>13.8</v>
      </c>
      <c r="AB408" s="3" t="n">
        <v>1</v>
      </c>
      <c r="AC408" s="3" t="n">
        <v>2</v>
      </c>
      <c r="AD408" s="3" t="n">
        <v>2</v>
      </c>
      <c r="AE408" s="3" t="n">
        <v>1</v>
      </c>
      <c r="AF408" s="3" t="n">
        <v>2</v>
      </c>
      <c r="AG408" s="3" t="n">
        <v>2</v>
      </c>
      <c r="AH408" s="3" t="n">
        <v>1</v>
      </c>
      <c r="AI408" s="3" t="n">
        <v>2</v>
      </c>
      <c r="AJ408" s="3" t="n">
        <v>2</v>
      </c>
      <c r="AK408" s="3" t="n">
        <v>2</v>
      </c>
      <c r="AL408" s="3" t="n">
        <v>1</v>
      </c>
      <c r="AM408" s="3" t="n">
        <v>2</v>
      </c>
      <c r="AN408" s="3" t="n">
        <v>2</v>
      </c>
      <c r="AO408" s="3" t="n">
        <v>3</v>
      </c>
      <c r="AP408" s="3" t="n">
        <v>4</v>
      </c>
      <c r="AQ408" s="3" t="n">
        <v>4</v>
      </c>
      <c r="AR408" s="3" t="n">
        <v>6</v>
      </c>
      <c r="AS408" s="3" t="n">
        <v>4</v>
      </c>
      <c r="AT408" s="3" t="n">
        <v>4</v>
      </c>
      <c r="AU408" s="3" t="n">
        <v>6</v>
      </c>
      <c r="AV408" s="3" t="n">
        <v>6</v>
      </c>
      <c r="AW408" s="3" t="n">
        <v>3</v>
      </c>
      <c r="AX408" s="3" t="n">
        <v>3</v>
      </c>
      <c r="AY408" s="3" t="n">
        <v>10</v>
      </c>
      <c r="AZ408" s="5" t="n">
        <v>1</v>
      </c>
      <c r="BA408" s="3" t="n">
        <v>1</v>
      </c>
      <c r="BB408" s="3" t="n">
        <v>1</v>
      </c>
      <c r="BC408" s="3" t="n">
        <v>2</v>
      </c>
      <c r="BD408" s="3" t="n">
        <v>1</v>
      </c>
      <c r="BE408" s="3" t="n">
        <v>2</v>
      </c>
      <c r="BF408" s="3" t="n">
        <v>1</v>
      </c>
      <c r="BG408" s="3" t="n">
        <v>4</v>
      </c>
      <c r="BH408" s="3" t="n">
        <v>1</v>
      </c>
      <c r="BI408" s="3" t="n">
        <v>1</v>
      </c>
    </row>
    <row r="409" customFormat="false" ht="12.75" hidden="false" customHeight="false" outlineLevel="0" collapsed="false">
      <c r="A409" s="2" t="s">
        <v>3275</v>
      </c>
      <c r="B409" s="2" t="s">
        <v>127</v>
      </c>
      <c r="C409" s="2" t="s">
        <v>109</v>
      </c>
      <c r="D409" s="2" t="n">
        <v>216297</v>
      </c>
      <c r="E409" s="15" t="n">
        <v>44388</v>
      </c>
      <c r="F409" s="15" t="n">
        <v>44395</v>
      </c>
      <c r="G409" s="3" t="n">
        <v>7</v>
      </c>
      <c r="H409" s="3" t="n">
        <v>2</v>
      </c>
      <c r="I409" s="3" t="n">
        <v>58</v>
      </c>
      <c r="J409" s="3" t="n">
        <v>1</v>
      </c>
      <c r="K409" s="3" t="n">
        <v>2</v>
      </c>
      <c r="L409" s="3" t="n">
        <v>1</v>
      </c>
      <c r="M409" s="3" t="n">
        <v>2</v>
      </c>
      <c r="N409" s="3" t="n">
        <v>1</v>
      </c>
      <c r="O409" s="3" t="n">
        <v>2</v>
      </c>
      <c r="P409" s="3" t="n">
        <v>1</v>
      </c>
      <c r="Q409" s="3" t="n">
        <v>2</v>
      </c>
      <c r="R409" s="3" t="n">
        <v>2</v>
      </c>
      <c r="S409" s="4" t="n">
        <v>2</v>
      </c>
      <c r="T409" s="3" t="n">
        <v>2</v>
      </c>
      <c r="U409" s="3" t="n">
        <v>6.41</v>
      </c>
      <c r="V409" s="3" t="n">
        <v>2.42</v>
      </c>
      <c r="W409" s="3" t="n">
        <v>9.39</v>
      </c>
      <c r="X409" s="3"/>
      <c r="Z409" s="3" t="n">
        <v>0.45</v>
      </c>
      <c r="AA409" s="3" t="n">
        <v>6</v>
      </c>
      <c r="AB409" s="3" t="n">
        <v>1</v>
      </c>
      <c r="AC409" s="3" t="n">
        <v>1</v>
      </c>
      <c r="AD409" s="3" t="n">
        <v>2</v>
      </c>
      <c r="AE409" s="3" t="n">
        <v>1</v>
      </c>
      <c r="AF409" s="3" t="n">
        <v>2</v>
      </c>
      <c r="AG409" s="3" t="n">
        <v>2</v>
      </c>
      <c r="AH409" s="3" t="n">
        <v>1</v>
      </c>
      <c r="AI409" s="3" t="n">
        <v>2</v>
      </c>
      <c r="AJ409" s="3" t="n">
        <v>2</v>
      </c>
      <c r="AK409" s="3" t="n">
        <v>2</v>
      </c>
      <c r="AL409" s="3" t="n">
        <v>2</v>
      </c>
      <c r="AM409" s="3" t="n">
        <v>2</v>
      </c>
      <c r="AN409" s="3" t="n">
        <v>2</v>
      </c>
      <c r="AO409" s="3" t="n">
        <v>3</v>
      </c>
      <c r="AP409" s="3" t="n">
        <v>4</v>
      </c>
      <c r="AQ409" s="3" t="n">
        <v>4</v>
      </c>
      <c r="AR409" s="3" t="n">
        <v>6</v>
      </c>
      <c r="AS409" s="3" t="n">
        <v>4</v>
      </c>
      <c r="AT409" s="3" t="n">
        <v>4</v>
      </c>
      <c r="AU409" s="3" t="n">
        <v>6</v>
      </c>
      <c r="AV409" s="3" t="n">
        <v>6</v>
      </c>
      <c r="AW409" s="3" t="n">
        <v>3</v>
      </c>
      <c r="AX409" s="3" t="n">
        <v>3</v>
      </c>
      <c r="AY409" s="3" t="n">
        <v>1</v>
      </c>
      <c r="AZ409" s="5" t="n">
        <v>1</v>
      </c>
      <c r="BA409" s="3" t="n">
        <v>1</v>
      </c>
      <c r="BB409" s="3" t="n">
        <v>1</v>
      </c>
      <c r="BC409" s="3" t="n">
        <v>2</v>
      </c>
      <c r="BD409" s="3" t="n">
        <v>3</v>
      </c>
      <c r="BE409" s="3" t="n">
        <v>5</v>
      </c>
      <c r="BF409" s="3" t="n">
        <v>3</v>
      </c>
      <c r="BG409" s="3" t="n">
        <v>4</v>
      </c>
      <c r="BH409" s="3" t="n">
        <v>1</v>
      </c>
      <c r="BI409" s="3" t="n">
        <v>1</v>
      </c>
    </row>
    <row r="410" customFormat="false" ht="12.75" hidden="false" customHeight="false" outlineLevel="0" collapsed="false">
      <c r="A410" s="26" t="s">
        <v>3277</v>
      </c>
      <c r="B410" s="26" t="s">
        <v>127</v>
      </c>
      <c r="C410" s="26" t="s">
        <v>2306</v>
      </c>
      <c r="D410" s="26" t="n">
        <v>216695</v>
      </c>
      <c r="E410" s="27" t="n">
        <v>44394</v>
      </c>
      <c r="F410" s="27" t="n">
        <v>44394</v>
      </c>
      <c r="G410" s="30" t="n">
        <v>0</v>
      </c>
      <c r="H410" s="30" t="n">
        <v>1</v>
      </c>
      <c r="I410" s="30" t="n">
        <v>78</v>
      </c>
      <c r="J410" s="30" t="n">
        <v>1</v>
      </c>
      <c r="K410" s="30"/>
      <c r="L410" s="30"/>
      <c r="M410" s="30"/>
      <c r="N410" s="30"/>
      <c r="O410" s="30"/>
      <c r="P410" s="30"/>
      <c r="Q410" s="30"/>
      <c r="R410" s="30"/>
      <c r="S410" s="4" t="n">
        <v>2</v>
      </c>
      <c r="T410" s="30" t="n">
        <v>2</v>
      </c>
      <c r="U410" s="30"/>
      <c r="V410" s="30"/>
      <c r="W410" s="30"/>
      <c r="X410" s="30"/>
      <c r="Z410" s="30"/>
      <c r="AA410" s="30"/>
      <c r="AB410" s="30" t="n">
        <v>1</v>
      </c>
      <c r="AC410" s="30"/>
      <c r="AD410" s="30"/>
      <c r="AE410" s="30"/>
      <c r="AF410" s="30"/>
      <c r="AG410" s="30"/>
      <c r="AH410" s="30"/>
      <c r="AI410" s="30"/>
      <c r="AJ410" s="30"/>
      <c r="AK410" s="30"/>
      <c r="AL410" s="30"/>
      <c r="AM410" s="30"/>
      <c r="AN410" s="30"/>
      <c r="AO410" s="30" t="n">
        <v>3</v>
      </c>
      <c r="AP410" s="30" t="n">
        <v>4</v>
      </c>
      <c r="AQ410" s="30" t="n">
        <v>4</v>
      </c>
      <c r="AR410" s="30" t="n">
        <v>6</v>
      </c>
      <c r="AS410" s="30" t="n">
        <v>4</v>
      </c>
      <c r="AT410" s="30" t="n">
        <v>4</v>
      </c>
      <c r="AU410" s="30" t="n">
        <v>6</v>
      </c>
      <c r="AV410" s="30" t="n">
        <v>6</v>
      </c>
      <c r="AW410" s="30" t="n">
        <v>3</v>
      </c>
      <c r="AX410" s="30" t="n">
        <v>3</v>
      </c>
      <c r="AY410" s="30" t="n">
        <v>1</v>
      </c>
      <c r="AZ410" s="5" t="n">
        <v>1</v>
      </c>
      <c r="BA410" s="30" t="n">
        <v>1</v>
      </c>
      <c r="BB410" s="30" t="n">
        <v>1</v>
      </c>
      <c r="BC410" s="30" t="n">
        <v>4</v>
      </c>
      <c r="BD410" s="30" t="n">
        <v>3</v>
      </c>
      <c r="BE410" s="30" t="n">
        <v>5</v>
      </c>
      <c r="BF410" s="30" t="n">
        <v>3</v>
      </c>
      <c r="BG410" s="30" t="n">
        <v>4</v>
      </c>
      <c r="BH410" s="30" t="n">
        <v>1</v>
      </c>
      <c r="BI410" s="30" t="n">
        <v>1</v>
      </c>
    </row>
    <row r="411" customFormat="false" ht="12.75" hidden="false" customHeight="false" outlineLevel="0" collapsed="false">
      <c r="A411" s="2" t="s">
        <v>239</v>
      </c>
      <c r="B411" s="2" t="s">
        <v>197</v>
      </c>
      <c r="C411" s="2" t="s">
        <v>94</v>
      </c>
      <c r="D411" s="2" t="n">
        <v>216797</v>
      </c>
      <c r="E411" s="15" t="n">
        <v>44394</v>
      </c>
      <c r="F411" s="15" t="n">
        <v>44401</v>
      </c>
      <c r="G411" s="3" t="n">
        <v>7</v>
      </c>
      <c r="H411" s="3" t="n">
        <v>2</v>
      </c>
      <c r="I411" s="3" t="n">
        <v>64</v>
      </c>
      <c r="J411" s="3" t="n">
        <v>1</v>
      </c>
      <c r="K411" s="3" t="n">
        <v>1</v>
      </c>
      <c r="L411" s="3" t="n">
        <v>2</v>
      </c>
      <c r="M411" s="3" t="n">
        <v>2</v>
      </c>
      <c r="N411" s="3" t="n">
        <v>2</v>
      </c>
      <c r="O411" s="3" t="n">
        <v>2</v>
      </c>
      <c r="P411" s="3" t="n">
        <v>2</v>
      </c>
      <c r="Q411" s="3" t="n">
        <v>2</v>
      </c>
      <c r="R411" s="3" t="n">
        <v>2</v>
      </c>
      <c r="S411" s="4" t="n">
        <v>2</v>
      </c>
      <c r="T411" s="3" t="n">
        <v>2</v>
      </c>
      <c r="U411" s="3" t="n">
        <v>5.75</v>
      </c>
      <c r="V411" s="3" t="n">
        <v>1.57</v>
      </c>
      <c r="W411" s="3" t="n">
        <v>5.58</v>
      </c>
      <c r="X411" s="3" t="n">
        <v>351</v>
      </c>
      <c r="Z411" s="3" t="n">
        <v>0.41</v>
      </c>
      <c r="AA411" s="3" t="n">
        <v>9</v>
      </c>
      <c r="AB411" s="3" t="n">
        <v>1</v>
      </c>
      <c r="AC411" s="3" t="n">
        <v>2</v>
      </c>
      <c r="AD411" s="3" t="n">
        <v>2</v>
      </c>
      <c r="AE411" s="3" t="n">
        <v>1</v>
      </c>
      <c r="AF411" s="3" t="n">
        <v>2</v>
      </c>
      <c r="AG411" s="3" t="n">
        <v>2</v>
      </c>
      <c r="AH411" s="3" t="n">
        <v>1</v>
      </c>
      <c r="AI411" s="3" t="n">
        <v>2</v>
      </c>
      <c r="AJ411" s="3" t="n">
        <v>2</v>
      </c>
      <c r="AK411" s="3" t="n">
        <v>2</v>
      </c>
      <c r="AL411" s="3" t="n">
        <v>2</v>
      </c>
      <c r="AM411" s="3" t="n">
        <v>2</v>
      </c>
      <c r="AN411" s="3" t="n">
        <v>1</v>
      </c>
      <c r="AO411" s="3" t="n">
        <v>3</v>
      </c>
      <c r="AP411" s="3" t="n">
        <v>4</v>
      </c>
      <c r="AQ411" s="3" t="n">
        <v>4</v>
      </c>
      <c r="AR411" s="3" t="n">
        <v>6</v>
      </c>
      <c r="AS411" s="3" t="n">
        <v>4</v>
      </c>
      <c r="AT411" s="3" t="n">
        <v>4</v>
      </c>
      <c r="AU411" s="3" t="n">
        <v>6</v>
      </c>
      <c r="AV411" s="3" t="n">
        <v>6</v>
      </c>
      <c r="AW411" s="3" t="n">
        <v>3</v>
      </c>
      <c r="AX411" s="3" t="n">
        <v>3</v>
      </c>
      <c r="AY411" s="3" t="n">
        <v>5</v>
      </c>
      <c r="AZ411" s="5" t="n">
        <v>1</v>
      </c>
      <c r="BA411" s="3" t="n">
        <v>1</v>
      </c>
      <c r="BB411" s="3" t="n">
        <v>1</v>
      </c>
      <c r="BC411" s="3" t="n">
        <v>4</v>
      </c>
      <c r="BD411" s="3" t="n">
        <v>1</v>
      </c>
      <c r="BE411" s="3" t="n">
        <v>2</v>
      </c>
      <c r="BF411" s="3" t="n">
        <v>1</v>
      </c>
      <c r="BG411" s="3" t="n">
        <v>4</v>
      </c>
      <c r="BH411" s="3" t="n">
        <v>1</v>
      </c>
      <c r="BI411" s="3" t="n">
        <v>1</v>
      </c>
    </row>
    <row r="412" customFormat="false" ht="12.75" hidden="false" customHeight="false" outlineLevel="0" collapsed="false">
      <c r="A412" s="2" t="s">
        <v>3282</v>
      </c>
      <c r="B412" s="2" t="s">
        <v>122</v>
      </c>
      <c r="C412" s="2" t="s">
        <v>127</v>
      </c>
      <c r="D412" s="2" t="n">
        <v>217232</v>
      </c>
      <c r="E412" s="15" t="n">
        <v>44399</v>
      </c>
      <c r="F412" s="15" t="n">
        <v>44406</v>
      </c>
      <c r="G412" s="3" t="n">
        <v>7</v>
      </c>
      <c r="H412" s="3" t="n">
        <v>2</v>
      </c>
      <c r="I412" s="3" t="n">
        <v>79</v>
      </c>
      <c r="J412" s="3" t="n">
        <v>1</v>
      </c>
      <c r="K412" s="3" t="n">
        <v>2</v>
      </c>
      <c r="L412" s="3" t="n">
        <v>1</v>
      </c>
      <c r="M412" s="3" t="n">
        <v>2</v>
      </c>
      <c r="N412" s="3" t="n">
        <v>2</v>
      </c>
      <c r="O412" s="3" t="n">
        <v>2</v>
      </c>
      <c r="P412" s="3" t="n">
        <v>1</v>
      </c>
      <c r="Q412" s="3" t="n">
        <v>2</v>
      </c>
      <c r="R412" s="3" t="n">
        <v>2</v>
      </c>
      <c r="S412" s="4" t="n">
        <v>2</v>
      </c>
      <c r="T412" s="3" t="n">
        <v>2</v>
      </c>
      <c r="U412" s="3" t="n">
        <v>5.52</v>
      </c>
      <c r="V412" s="3" t="n">
        <v>2.47</v>
      </c>
      <c r="W412" s="3" t="n">
        <v>10.47</v>
      </c>
      <c r="X412" s="3" t="n">
        <v>268</v>
      </c>
      <c r="Z412" s="3" t="n">
        <v>0.45</v>
      </c>
      <c r="AA412" s="3" t="n">
        <v>9.5</v>
      </c>
      <c r="AB412" s="3" t="n">
        <v>1</v>
      </c>
      <c r="AC412" s="3" t="n">
        <v>2</v>
      </c>
      <c r="AD412" s="3" t="n">
        <v>2</v>
      </c>
      <c r="AE412" s="3" t="n">
        <v>1</v>
      </c>
      <c r="AF412" s="3" t="n">
        <v>2</v>
      </c>
      <c r="AG412" s="3" t="n">
        <v>2</v>
      </c>
      <c r="AH412" s="3" t="n">
        <v>1</v>
      </c>
      <c r="AI412" s="3" t="n">
        <v>2</v>
      </c>
      <c r="AJ412" s="3" t="n">
        <v>1</v>
      </c>
      <c r="AK412" s="3" t="n">
        <v>2</v>
      </c>
      <c r="AL412" s="3" t="n">
        <v>1</v>
      </c>
      <c r="AM412" s="3" t="n">
        <v>2</v>
      </c>
      <c r="AN412" s="3" t="n">
        <v>2</v>
      </c>
      <c r="AO412" s="3" t="n">
        <v>3</v>
      </c>
      <c r="AP412" s="3" t="n">
        <v>4</v>
      </c>
      <c r="AQ412" s="3" t="n">
        <v>4</v>
      </c>
      <c r="AR412" s="3" t="n">
        <v>6</v>
      </c>
      <c r="AS412" s="3" t="n">
        <v>4</v>
      </c>
      <c r="AT412" s="3" t="n">
        <v>4</v>
      </c>
      <c r="AU412" s="3" t="n">
        <v>6</v>
      </c>
      <c r="AV412" s="3" t="n">
        <v>6</v>
      </c>
      <c r="AW412" s="3" t="n">
        <v>3</v>
      </c>
      <c r="AX412" s="3" t="n">
        <v>3</v>
      </c>
      <c r="AY412" s="3" t="n">
        <v>1</v>
      </c>
      <c r="AZ412" s="5" t="n">
        <v>1</v>
      </c>
      <c r="BA412" s="3" t="n">
        <v>1</v>
      </c>
      <c r="BB412" s="3" t="n">
        <v>1</v>
      </c>
      <c r="BC412" s="3" t="n">
        <v>4</v>
      </c>
      <c r="BD412" s="3" t="n">
        <v>1</v>
      </c>
      <c r="BE412" s="3" t="n">
        <v>2</v>
      </c>
      <c r="BF412" s="3" t="n">
        <v>1</v>
      </c>
      <c r="BG412" s="3" t="n">
        <v>4</v>
      </c>
      <c r="BH412" s="3" t="n">
        <v>1</v>
      </c>
      <c r="BI412" s="3" t="n">
        <v>1</v>
      </c>
    </row>
    <row r="413" customFormat="false" ht="12.75" hidden="false" customHeight="false" outlineLevel="0" collapsed="false">
      <c r="A413" s="2" t="s">
        <v>3284</v>
      </c>
      <c r="B413" s="2" t="s">
        <v>3285</v>
      </c>
      <c r="C413" s="2" t="s">
        <v>3286</v>
      </c>
      <c r="D413" s="2" t="n">
        <v>211738</v>
      </c>
      <c r="E413" s="15" t="n">
        <v>44398</v>
      </c>
      <c r="F413" s="15" t="n">
        <v>44405</v>
      </c>
      <c r="G413" s="3" t="n">
        <v>7</v>
      </c>
      <c r="H413" s="3" t="n">
        <v>1</v>
      </c>
      <c r="I413" s="3" t="n">
        <v>59</v>
      </c>
      <c r="J413" s="3" t="n">
        <v>2</v>
      </c>
      <c r="K413" s="3" t="n">
        <v>1</v>
      </c>
      <c r="L413" s="3" t="n">
        <v>1</v>
      </c>
      <c r="M413" s="3" t="n">
        <v>2</v>
      </c>
      <c r="N413" s="3" t="n">
        <v>2</v>
      </c>
      <c r="O413" s="3" t="n">
        <v>2</v>
      </c>
      <c r="P413" s="3" t="n">
        <v>2</v>
      </c>
      <c r="Q413" s="3" t="n">
        <v>2</v>
      </c>
      <c r="R413" s="3" t="n">
        <v>2</v>
      </c>
      <c r="S413" s="4" t="n">
        <v>2</v>
      </c>
      <c r="T413" s="3" t="n">
        <v>2</v>
      </c>
      <c r="U413" s="3" t="n">
        <v>3.74</v>
      </c>
      <c r="V413" s="3" t="n">
        <v>3.2</v>
      </c>
      <c r="W413" s="3" t="n">
        <v>3.73</v>
      </c>
      <c r="X413" s="3" t="n">
        <v>396</v>
      </c>
      <c r="Z413" s="3" t="n">
        <v>0.38</v>
      </c>
      <c r="AA413" s="3" t="n">
        <v>7.6</v>
      </c>
      <c r="AB413" s="3" t="n">
        <v>1</v>
      </c>
      <c r="AC413" s="3" t="n">
        <v>2</v>
      </c>
      <c r="AD413" s="3" t="n">
        <v>2</v>
      </c>
      <c r="AE413" s="3" t="n">
        <v>1</v>
      </c>
      <c r="AF413" s="3" t="n">
        <v>2</v>
      </c>
      <c r="AG413" s="3" t="n">
        <v>2</v>
      </c>
      <c r="AH413" s="3" t="n">
        <v>1</v>
      </c>
      <c r="AI413" s="3" t="n">
        <v>2</v>
      </c>
      <c r="AJ413" s="3" t="n">
        <v>2</v>
      </c>
      <c r="AK413" s="3" t="n">
        <v>2</v>
      </c>
      <c r="AL413" s="3" t="n">
        <v>1</v>
      </c>
      <c r="AM413" s="3" t="n">
        <v>2</v>
      </c>
      <c r="AN413" s="3" t="n">
        <v>2</v>
      </c>
      <c r="AO413" s="3" t="n">
        <v>3</v>
      </c>
      <c r="AP413" s="3" t="n">
        <v>4</v>
      </c>
      <c r="AQ413" s="3" t="n">
        <v>4</v>
      </c>
      <c r="AR413" s="3" t="n">
        <v>6</v>
      </c>
      <c r="AS413" s="3" t="n">
        <v>4</v>
      </c>
      <c r="AT413" s="3" t="n">
        <v>4</v>
      </c>
      <c r="AU413" s="3" t="n">
        <v>6</v>
      </c>
      <c r="AV413" s="3" t="n">
        <v>6</v>
      </c>
      <c r="AW413" s="3" t="n">
        <v>3</v>
      </c>
      <c r="AX413" s="3" t="n">
        <v>3</v>
      </c>
      <c r="AY413" s="3" t="n">
        <v>1</v>
      </c>
      <c r="AZ413" s="5" t="n">
        <v>1</v>
      </c>
      <c r="BA413" s="3" t="n">
        <v>1</v>
      </c>
      <c r="BB413" s="3" t="n">
        <v>1</v>
      </c>
      <c r="BC413" s="3" t="n">
        <v>4</v>
      </c>
      <c r="BD413" s="3" t="n">
        <v>1</v>
      </c>
      <c r="BE413" s="3" t="n">
        <v>2</v>
      </c>
      <c r="BF413" s="3" t="n">
        <v>1</v>
      </c>
      <c r="BG413" s="3" t="n">
        <v>4</v>
      </c>
      <c r="BH413" s="3" t="n">
        <v>1</v>
      </c>
      <c r="BI413" s="3" t="n">
        <v>1</v>
      </c>
    </row>
    <row r="414" customFormat="false" ht="12.75" hidden="false" customHeight="false" outlineLevel="0" collapsed="false">
      <c r="A414" s="2" t="s">
        <v>1586</v>
      </c>
      <c r="B414" s="2" t="s">
        <v>66</v>
      </c>
      <c r="C414" s="2" t="s">
        <v>2335</v>
      </c>
      <c r="D414" s="2" t="n">
        <v>217178</v>
      </c>
      <c r="E414" s="15" t="n">
        <v>44399</v>
      </c>
      <c r="F414" s="15" t="n">
        <v>44406</v>
      </c>
      <c r="G414" s="3" t="n">
        <v>7</v>
      </c>
      <c r="H414" s="3" t="n">
        <v>2</v>
      </c>
      <c r="I414" s="3" t="n">
        <v>79</v>
      </c>
      <c r="J414" s="3" t="n">
        <v>3</v>
      </c>
      <c r="K414" s="3" t="n">
        <v>2</v>
      </c>
      <c r="L414" s="3" t="n">
        <v>1</v>
      </c>
      <c r="M414" s="3" t="n">
        <v>2</v>
      </c>
      <c r="N414" s="3" t="n">
        <v>2</v>
      </c>
      <c r="O414" s="3" t="n">
        <v>2</v>
      </c>
      <c r="P414" s="3" t="n">
        <v>2</v>
      </c>
      <c r="Q414" s="3" t="n">
        <v>2</v>
      </c>
      <c r="R414" s="3" t="n">
        <v>2</v>
      </c>
      <c r="S414" s="4" t="n">
        <v>2</v>
      </c>
      <c r="T414" s="3" t="n">
        <v>2</v>
      </c>
      <c r="U414" s="3" t="n">
        <v>4.57</v>
      </c>
      <c r="V414" s="3" t="n">
        <v>1.48</v>
      </c>
      <c r="W414" s="3" t="n">
        <v>5.89</v>
      </c>
      <c r="X414" s="3" t="n">
        <v>463</v>
      </c>
      <c r="Z414" s="3" t="n">
        <v>0.4</v>
      </c>
      <c r="AA414" s="3" t="n">
        <v>5</v>
      </c>
      <c r="AB414" s="3" t="n">
        <v>1</v>
      </c>
      <c r="AC414" s="3" t="n">
        <v>2</v>
      </c>
      <c r="AD414" s="3" t="n">
        <v>2</v>
      </c>
      <c r="AE414" s="3" t="n">
        <v>1</v>
      </c>
      <c r="AF414" s="3" t="n">
        <v>2</v>
      </c>
      <c r="AG414" s="3" t="n">
        <v>2</v>
      </c>
      <c r="AH414" s="3" t="n">
        <v>1</v>
      </c>
      <c r="AI414" s="3" t="n">
        <v>2</v>
      </c>
      <c r="AJ414" s="3" t="n">
        <v>2</v>
      </c>
      <c r="AK414" s="3" t="n">
        <v>2</v>
      </c>
      <c r="AL414" s="3" t="n">
        <v>2</v>
      </c>
      <c r="AM414" s="3" t="n">
        <v>2</v>
      </c>
      <c r="AN414" s="3" t="n">
        <v>2</v>
      </c>
      <c r="AO414" s="3" t="n">
        <v>3</v>
      </c>
      <c r="AP414" s="3" t="n">
        <v>4</v>
      </c>
      <c r="AQ414" s="3" t="n">
        <v>4</v>
      </c>
      <c r="AR414" s="3" t="n">
        <v>6</v>
      </c>
      <c r="AS414" s="3" t="n">
        <v>4</v>
      </c>
      <c r="AT414" s="3" t="n">
        <v>4</v>
      </c>
      <c r="AU414" s="3" t="n">
        <v>6</v>
      </c>
      <c r="AV414" s="3" t="n">
        <v>6</v>
      </c>
      <c r="AW414" s="3" t="n">
        <v>3</v>
      </c>
      <c r="AX414" s="3" t="n">
        <v>3</v>
      </c>
      <c r="AY414" s="3" t="n">
        <v>1</v>
      </c>
      <c r="AZ414" s="5" t="n">
        <v>1</v>
      </c>
      <c r="BA414" s="3" t="n">
        <v>1</v>
      </c>
      <c r="BB414" s="3" t="n">
        <v>1</v>
      </c>
      <c r="BC414" s="3" t="n">
        <v>4</v>
      </c>
      <c r="BD414" s="3" t="n">
        <v>1</v>
      </c>
      <c r="BE414" s="3" t="n">
        <v>2</v>
      </c>
      <c r="BF414" s="3" t="n">
        <v>1</v>
      </c>
      <c r="BG414" s="3" t="n">
        <v>4</v>
      </c>
      <c r="BH414" s="3" t="n">
        <v>1</v>
      </c>
      <c r="BI414" s="3" t="n">
        <v>1</v>
      </c>
    </row>
    <row r="415" customFormat="false" ht="12.75" hidden="false" customHeight="false" outlineLevel="0" collapsed="false">
      <c r="A415" s="2" t="s">
        <v>3291</v>
      </c>
      <c r="B415" s="2" t="s">
        <v>462</v>
      </c>
      <c r="C415" s="2" t="s">
        <v>3292</v>
      </c>
      <c r="D415" s="2" t="n">
        <v>217488</v>
      </c>
      <c r="E415" s="15" t="n">
        <v>44401</v>
      </c>
      <c r="F415" s="15" t="n">
        <v>44408</v>
      </c>
      <c r="G415" s="3" t="n">
        <v>7</v>
      </c>
      <c r="H415" s="3" t="n">
        <v>2</v>
      </c>
      <c r="I415" s="3" t="n">
        <v>54</v>
      </c>
      <c r="J415" s="3" t="n">
        <v>2</v>
      </c>
      <c r="K415" s="3" t="n">
        <v>1</v>
      </c>
      <c r="L415" s="3" t="n">
        <v>1</v>
      </c>
      <c r="M415" s="3" t="n">
        <v>2</v>
      </c>
      <c r="N415" s="3" t="n">
        <v>2</v>
      </c>
      <c r="O415" s="3" t="n">
        <v>2</v>
      </c>
      <c r="P415" s="3" t="n">
        <v>1</v>
      </c>
      <c r="Q415" s="3" t="n">
        <v>2</v>
      </c>
      <c r="R415" s="3" t="n">
        <v>2</v>
      </c>
      <c r="S415" s="4" t="n">
        <v>2</v>
      </c>
      <c r="T415" s="3" t="n">
        <v>2</v>
      </c>
      <c r="U415" s="3" t="s">
        <v>3293</v>
      </c>
      <c r="V415" s="3" t="s">
        <v>1504</v>
      </c>
      <c r="W415" s="3" t="s">
        <v>3294</v>
      </c>
      <c r="X415" s="3" t="n">
        <v>478</v>
      </c>
      <c r="Z415" s="3" t="s">
        <v>2872</v>
      </c>
      <c r="AA415" s="3" t="s">
        <v>3295</v>
      </c>
      <c r="AB415" s="3" t="n">
        <v>1</v>
      </c>
      <c r="AC415" s="3" t="n">
        <v>2</v>
      </c>
      <c r="AD415" s="3" t="n">
        <v>1</v>
      </c>
      <c r="AE415" s="3" t="n">
        <v>1</v>
      </c>
      <c r="AF415" s="3" t="n">
        <v>2</v>
      </c>
      <c r="AG415" s="3" t="n">
        <v>1</v>
      </c>
      <c r="AH415" s="3" t="n">
        <v>1</v>
      </c>
      <c r="AI415" s="3" t="n">
        <v>2</v>
      </c>
      <c r="AJ415" s="3" t="n">
        <v>1</v>
      </c>
      <c r="AK415" s="3" t="n">
        <v>2</v>
      </c>
      <c r="AL415" s="3" t="n">
        <v>2</v>
      </c>
      <c r="AM415" s="3" t="n">
        <v>2</v>
      </c>
      <c r="AN415" s="3" t="n">
        <v>2</v>
      </c>
      <c r="AO415" s="3" t="n">
        <v>3</v>
      </c>
      <c r="AP415" s="3" t="n">
        <v>4</v>
      </c>
      <c r="AQ415" s="3" t="n">
        <v>4</v>
      </c>
      <c r="AR415" s="3" t="n">
        <v>6</v>
      </c>
      <c r="AS415" s="3" t="n">
        <v>4</v>
      </c>
      <c r="AT415" s="3" t="n">
        <v>4</v>
      </c>
      <c r="AU415" s="3" t="n">
        <v>6</v>
      </c>
      <c r="AV415" s="3" t="n">
        <v>6</v>
      </c>
      <c r="AW415" s="3" t="n">
        <v>3</v>
      </c>
      <c r="AX415" s="3" t="n">
        <v>3</v>
      </c>
      <c r="AY415" s="3" t="n">
        <v>5</v>
      </c>
      <c r="AZ415" s="5" t="n">
        <v>1</v>
      </c>
      <c r="BA415" s="3" t="n">
        <v>1</v>
      </c>
      <c r="BB415" s="3" t="n">
        <v>1</v>
      </c>
      <c r="BC415" s="3" t="n">
        <v>4</v>
      </c>
      <c r="BD415" s="3" t="n">
        <v>3</v>
      </c>
      <c r="BE415" s="3" t="n">
        <v>5</v>
      </c>
      <c r="BF415" s="3" t="n">
        <v>3</v>
      </c>
      <c r="BG415" s="3" t="n">
        <v>4</v>
      </c>
      <c r="BH415" s="3" t="n">
        <v>1</v>
      </c>
      <c r="BI415" s="3" t="n">
        <v>1</v>
      </c>
    </row>
    <row r="416" customFormat="false" ht="12.75" hidden="false" customHeight="false" outlineLevel="0" collapsed="false">
      <c r="A416" s="2" t="s">
        <v>3297</v>
      </c>
      <c r="B416" s="2" t="s">
        <v>3298</v>
      </c>
      <c r="C416" s="2" t="s">
        <v>913</v>
      </c>
      <c r="D416" s="2" t="n">
        <v>217302</v>
      </c>
      <c r="E416" s="15" t="n">
        <v>44405</v>
      </c>
      <c r="F416" s="15" t="n">
        <v>44411</v>
      </c>
      <c r="G416" s="3" t="n">
        <v>6</v>
      </c>
      <c r="H416" s="3" t="n">
        <v>2</v>
      </c>
      <c r="I416" s="3" t="n">
        <v>72</v>
      </c>
      <c r="J416" s="3" t="n">
        <v>2</v>
      </c>
      <c r="K416" s="3" t="n">
        <v>2</v>
      </c>
      <c r="L416" s="3" t="n">
        <v>1</v>
      </c>
      <c r="M416" s="3" t="n">
        <v>2</v>
      </c>
      <c r="N416" s="3" t="n">
        <v>2</v>
      </c>
      <c r="O416" s="3" t="n">
        <v>2</v>
      </c>
      <c r="P416" s="3" t="n">
        <v>2</v>
      </c>
      <c r="Q416" s="3" t="n">
        <v>2</v>
      </c>
      <c r="R416" s="3" t="n">
        <v>2</v>
      </c>
      <c r="S416" s="4" t="n">
        <v>2</v>
      </c>
      <c r="T416" s="3" t="n">
        <v>2</v>
      </c>
      <c r="U416" s="3" t="n">
        <v>4.81</v>
      </c>
      <c r="V416" s="3" t="n">
        <v>0.88</v>
      </c>
      <c r="W416" s="3" t="n">
        <v>5.48</v>
      </c>
      <c r="X416" s="3" t="n">
        <v>399</v>
      </c>
      <c r="Z416" s="3" t="n">
        <v>0.47</v>
      </c>
      <c r="AA416" s="3" t="n">
        <v>7.3</v>
      </c>
      <c r="AB416" s="3" t="n">
        <v>2</v>
      </c>
      <c r="AC416" s="3" t="n">
        <v>2</v>
      </c>
      <c r="AD416" s="3" t="n">
        <v>2</v>
      </c>
      <c r="AE416" s="3" t="n">
        <v>1</v>
      </c>
      <c r="AF416" s="3" t="n">
        <v>2</v>
      </c>
      <c r="AG416" s="3" t="n">
        <v>2</v>
      </c>
      <c r="AH416" s="3" t="n">
        <v>1</v>
      </c>
      <c r="AI416" s="3" t="n">
        <v>2</v>
      </c>
      <c r="AJ416" s="3" t="n">
        <v>2</v>
      </c>
      <c r="AK416" s="3" t="n">
        <v>2</v>
      </c>
      <c r="AL416" s="3" t="n">
        <v>1</v>
      </c>
      <c r="AM416" s="3" t="n">
        <v>2</v>
      </c>
      <c r="AN416" s="3" t="n">
        <v>2</v>
      </c>
      <c r="AO416" s="3" t="n">
        <v>3</v>
      </c>
      <c r="AP416" s="3" t="n">
        <v>4</v>
      </c>
      <c r="AQ416" s="3" t="n">
        <v>4</v>
      </c>
      <c r="AR416" s="3" t="n">
        <v>6</v>
      </c>
      <c r="AS416" s="3" t="n">
        <v>4</v>
      </c>
      <c r="AT416" s="3" t="n">
        <v>4</v>
      </c>
      <c r="AU416" s="3" t="n">
        <v>6</v>
      </c>
      <c r="AV416" s="3" t="n">
        <v>6</v>
      </c>
      <c r="AW416" s="3" t="n">
        <v>3</v>
      </c>
      <c r="AX416" s="3" t="n">
        <v>3</v>
      </c>
      <c r="AY416" s="3" t="n">
        <v>1</v>
      </c>
      <c r="AZ416" s="5" t="n">
        <v>1</v>
      </c>
      <c r="BA416" s="3" t="n">
        <v>1</v>
      </c>
      <c r="BB416" s="3" t="n">
        <v>1</v>
      </c>
      <c r="BC416" s="3" t="n">
        <v>4</v>
      </c>
      <c r="BD416" s="3" t="n">
        <v>1</v>
      </c>
      <c r="BE416" s="3" t="n">
        <v>2</v>
      </c>
      <c r="BF416" s="3" t="n">
        <v>1</v>
      </c>
      <c r="BG416" s="3" t="n">
        <v>4</v>
      </c>
      <c r="BH416" s="3" t="n">
        <v>1</v>
      </c>
      <c r="BI416" s="3" t="n">
        <v>1</v>
      </c>
    </row>
    <row r="417" customFormat="false" ht="12.75" hidden="false" customHeight="false" outlineLevel="0" collapsed="false">
      <c r="A417" s="2" t="s">
        <v>966</v>
      </c>
      <c r="B417" s="2" t="s">
        <v>2247</v>
      </c>
      <c r="C417" s="2" t="s">
        <v>1157</v>
      </c>
      <c r="D417" s="2" t="n">
        <v>217475</v>
      </c>
      <c r="E417" s="15" t="n">
        <v>44402</v>
      </c>
      <c r="F417" s="15" t="n">
        <v>44411</v>
      </c>
      <c r="G417" s="3" t="n">
        <v>8</v>
      </c>
      <c r="H417" s="3" t="n">
        <v>2</v>
      </c>
      <c r="I417" s="3" t="n">
        <v>49</v>
      </c>
      <c r="J417" s="3" t="n">
        <v>1</v>
      </c>
      <c r="K417" s="3" t="n">
        <v>2</v>
      </c>
      <c r="L417" s="3" t="n">
        <v>1</v>
      </c>
      <c r="M417" s="3" t="n">
        <v>2</v>
      </c>
      <c r="N417" s="3" t="n">
        <v>2</v>
      </c>
      <c r="O417" s="3" t="n">
        <v>2</v>
      </c>
      <c r="P417" s="3" t="n">
        <v>1</v>
      </c>
      <c r="Q417" s="3" t="n">
        <v>2</v>
      </c>
      <c r="R417" s="3" t="n">
        <v>1</v>
      </c>
      <c r="S417" s="4" t="n">
        <v>2</v>
      </c>
      <c r="T417" s="3" t="n">
        <v>2</v>
      </c>
      <c r="U417" s="3" t="s">
        <v>3300</v>
      </c>
      <c r="V417" s="3" t="s">
        <v>3301</v>
      </c>
      <c r="W417" s="3" t="s">
        <v>1297</v>
      </c>
      <c r="X417" s="3" t="n">
        <v>552</v>
      </c>
      <c r="Z417" s="3" t="s">
        <v>3302</v>
      </c>
      <c r="AA417" s="3" t="s">
        <v>3303</v>
      </c>
      <c r="AB417" s="3" t="n">
        <v>2</v>
      </c>
      <c r="AC417" s="3" t="n">
        <v>1</v>
      </c>
      <c r="AD417" s="3" t="n">
        <v>1</v>
      </c>
      <c r="AE417" s="3" t="n">
        <v>1</v>
      </c>
      <c r="AF417" s="3" t="n">
        <v>2</v>
      </c>
      <c r="AG417" s="3" t="n">
        <v>2</v>
      </c>
      <c r="AH417" s="3" t="n">
        <v>1</v>
      </c>
      <c r="AI417" s="3" t="n">
        <v>1</v>
      </c>
      <c r="AJ417" s="3" t="n">
        <v>1</v>
      </c>
      <c r="AK417" s="3" t="n">
        <v>2</v>
      </c>
      <c r="AL417" s="3" t="n">
        <v>2</v>
      </c>
      <c r="AM417" s="3" t="n">
        <v>2</v>
      </c>
      <c r="AN417" s="3" t="n">
        <v>2</v>
      </c>
      <c r="AO417" s="3" t="n">
        <v>3</v>
      </c>
      <c r="AP417" s="3" t="n">
        <v>4</v>
      </c>
      <c r="AQ417" s="3" t="n">
        <v>4</v>
      </c>
      <c r="AR417" s="3" t="n">
        <v>6</v>
      </c>
      <c r="AS417" s="3" t="n">
        <v>4</v>
      </c>
      <c r="AT417" s="3" t="n">
        <v>4</v>
      </c>
      <c r="AU417" s="3" t="n">
        <v>6</v>
      </c>
      <c r="AV417" s="3" t="n">
        <v>6</v>
      </c>
      <c r="AW417" s="3" t="n">
        <v>3</v>
      </c>
      <c r="AX417" s="3" t="n">
        <v>3</v>
      </c>
      <c r="AY417" s="3" t="n">
        <v>4</v>
      </c>
      <c r="AZ417" s="5" t="n">
        <v>1</v>
      </c>
      <c r="BA417" s="3" t="n">
        <v>1</v>
      </c>
      <c r="BB417" s="3" t="n">
        <v>1</v>
      </c>
      <c r="BC417" s="3" t="n">
        <v>2</v>
      </c>
      <c r="BD417" s="3" t="n">
        <v>1</v>
      </c>
      <c r="BE417" s="3" t="n">
        <v>2</v>
      </c>
      <c r="BF417" s="3" t="n">
        <v>1</v>
      </c>
      <c r="BG417" s="3" t="n">
        <v>4</v>
      </c>
      <c r="BH417" s="3" t="n">
        <v>1</v>
      </c>
      <c r="BI417" s="3" t="n">
        <v>1</v>
      </c>
    </row>
    <row r="418" customFormat="false" ht="12.75" hidden="false" customHeight="false" outlineLevel="0" collapsed="false">
      <c r="A418" s="2" t="s">
        <v>1359</v>
      </c>
      <c r="B418" s="2" t="s">
        <v>1482</v>
      </c>
      <c r="C418" s="2" t="s">
        <v>1877</v>
      </c>
      <c r="D418" s="2" t="n">
        <v>217520</v>
      </c>
      <c r="E418" s="15" t="n">
        <v>44408</v>
      </c>
      <c r="F418" s="15" t="n">
        <v>44415</v>
      </c>
      <c r="G418" s="3" t="n">
        <v>7</v>
      </c>
      <c r="H418" s="3" t="n">
        <v>2</v>
      </c>
      <c r="I418" s="3" t="n">
        <v>65</v>
      </c>
      <c r="J418" s="3" t="n">
        <v>3</v>
      </c>
      <c r="K418" s="3" t="n">
        <v>1</v>
      </c>
      <c r="L418" s="3" t="n">
        <v>1</v>
      </c>
      <c r="M418" s="3" t="n">
        <v>2</v>
      </c>
      <c r="N418" s="3" t="n">
        <v>2</v>
      </c>
      <c r="O418" s="3" t="n">
        <v>2</v>
      </c>
      <c r="P418" s="3" t="n">
        <v>2</v>
      </c>
      <c r="Q418" s="3" t="n">
        <v>2</v>
      </c>
      <c r="R418" s="3" t="n">
        <v>2</v>
      </c>
      <c r="S418" s="4" t="n">
        <v>2</v>
      </c>
      <c r="T418" s="3" t="n">
        <v>2</v>
      </c>
      <c r="U418" s="3" t="n">
        <v>5.92</v>
      </c>
      <c r="V418" s="3" t="n">
        <v>1.64</v>
      </c>
      <c r="W418" s="3" t="n">
        <v>4.93</v>
      </c>
      <c r="X418" s="3" t="n">
        <v>337</v>
      </c>
      <c r="Z418" s="3" t="n">
        <v>0.43</v>
      </c>
      <c r="AA418" s="3" t="n">
        <v>12.3</v>
      </c>
      <c r="AB418" s="3" t="n">
        <v>1</v>
      </c>
      <c r="AC418" s="3" t="n">
        <v>2</v>
      </c>
      <c r="AD418" s="3" t="n">
        <v>2</v>
      </c>
      <c r="AE418" s="3" t="n">
        <v>1</v>
      </c>
      <c r="AF418" s="3" t="n">
        <v>2</v>
      </c>
      <c r="AG418" s="3" t="n">
        <v>2</v>
      </c>
      <c r="AH418" s="3" t="n">
        <v>1</v>
      </c>
      <c r="AI418" s="3" t="n">
        <v>2</v>
      </c>
      <c r="AJ418" s="3" t="n">
        <v>2</v>
      </c>
      <c r="AK418" s="3" t="n">
        <v>2</v>
      </c>
      <c r="AL418" s="3" t="n">
        <v>2</v>
      </c>
      <c r="AM418" s="3" t="n">
        <v>2</v>
      </c>
      <c r="AN418" s="3" t="n">
        <v>2</v>
      </c>
      <c r="AO418" s="3" t="n">
        <v>3</v>
      </c>
      <c r="AP418" s="3" t="n">
        <v>4</v>
      </c>
      <c r="AQ418" s="3" t="n">
        <v>4</v>
      </c>
      <c r="AR418" s="3" t="n">
        <v>6</v>
      </c>
      <c r="AS418" s="3" t="n">
        <v>4</v>
      </c>
      <c r="AT418" s="3" t="n">
        <v>4</v>
      </c>
      <c r="AU418" s="3" t="n">
        <v>6</v>
      </c>
      <c r="AV418" s="3" t="n">
        <v>6</v>
      </c>
      <c r="AW418" s="3" t="n">
        <v>3</v>
      </c>
      <c r="AX418" s="3" t="n">
        <v>3</v>
      </c>
      <c r="AY418" s="3" t="n">
        <v>1</v>
      </c>
      <c r="AZ418" s="5" t="n">
        <v>1</v>
      </c>
      <c r="BA418" s="3" t="n">
        <v>1</v>
      </c>
      <c r="BB418" s="3" t="n">
        <v>1</v>
      </c>
      <c r="BC418" s="3" t="n">
        <v>4</v>
      </c>
      <c r="BD418" s="3" t="n">
        <v>1</v>
      </c>
      <c r="BE418" s="3" t="n">
        <v>2</v>
      </c>
      <c r="BF418" s="3" t="n">
        <v>1</v>
      </c>
      <c r="BG418" s="3" t="n">
        <v>4</v>
      </c>
      <c r="BH418" s="3" t="n">
        <v>1</v>
      </c>
      <c r="BI418" s="3" t="n">
        <v>1</v>
      </c>
    </row>
    <row r="419" customFormat="false" ht="12.75" hidden="false" customHeight="false" outlineLevel="0" collapsed="false">
      <c r="A419" s="2" t="s">
        <v>3312</v>
      </c>
      <c r="B419" s="2" t="s">
        <v>194</v>
      </c>
      <c r="C419" s="2" t="s">
        <v>66</v>
      </c>
      <c r="D419" s="2" t="n">
        <v>217731</v>
      </c>
      <c r="E419" s="15" t="n">
        <v>44413</v>
      </c>
      <c r="F419" s="15" t="n">
        <v>44419</v>
      </c>
      <c r="G419" s="3" t="n">
        <v>6</v>
      </c>
      <c r="H419" s="3" t="n">
        <v>2</v>
      </c>
      <c r="I419" s="3" t="n">
        <v>33</v>
      </c>
      <c r="J419" s="3" t="n">
        <v>2</v>
      </c>
      <c r="K419" s="3" t="n">
        <v>1</v>
      </c>
      <c r="L419" s="3" t="n">
        <v>1</v>
      </c>
      <c r="M419" s="3" t="n">
        <v>2</v>
      </c>
      <c r="N419" s="3" t="n">
        <v>2</v>
      </c>
      <c r="O419" s="3" t="n">
        <v>2</v>
      </c>
      <c r="P419" s="3" t="n">
        <v>2</v>
      </c>
      <c r="Q419" s="3" t="n">
        <v>2</v>
      </c>
      <c r="R419" s="3" t="n">
        <v>2</v>
      </c>
      <c r="S419" s="4" t="n">
        <v>2</v>
      </c>
      <c r="T419" s="3" t="n">
        <v>2</v>
      </c>
      <c r="U419" s="3" t="n">
        <v>2.44</v>
      </c>
      <c r="V419" s="3" t="n">
        <v>1.37</v>
      </c>
      <c r="W419" s="3" t="n">
        <v>4.82</v>
      </c>
      <c r="X419" s="3" t="n">
        <v>343</v>
      </c>
      <c r="Z419" s="3" t="n">
        <v>0.48</v>
      </c>
      <c r="AA419" s="3" t="n">
        <v>14.6</v>
      </c>
      <c r="AB419" s="3" t="n">
        <v>1</v>
      </c>
      <c r="AC419" s="3" t="n">
        <v>1</v>
      </c>
      <c r="AD419" s="3" t="n">
        <v>1</v>
      </c>
      <c r="AE419" s="3" t="n">
        <v>1</v>
      </c>
      <c r="AF419" s="3" t="n">
        <v>1</v>
      </c>
      <c r="AG419" s="3" t="n">
        <v>2</v>
      </c>
      <c r="AH419" s="3" t="n">
        <v>1</v>
      </c>
      <c r="AI419" s="3" t="n">
        <v>2</v>
      </c>
      <c r="AJ419" s="3" t="n">
        <v>2</v>
      </c>
      <c r="AK419" s="3" t="n">
        <v>2</v>
      </c>
      <c r="AL419" s="3" t="n">
        <v>1</v>
      </c>
      <c r="AM419" s="3" t="n">
        <v>1</v>
      </c>
      <c r="AN419" s="3" t="n">
        <v>2</v>
      </c>
      <c r="AO419" s="3" t="n">
        <v>3</v>
      </c>
      <c r="AP419" s="3" t="n">
        <v>4</v>
      </c>
      <c r="AQ419" s="3" t="n">
        <v>4</v>
      </c>
      <c r="AR419" s="3" t="n">
        <v>6</v>
      </c>
      <c r="AS419" s="3" t="n">
        <v>4</v>
      </c>
      <c r="AT419" s="3" t="n">
        <v>4</v>
      </c>
      <c r="AU419" s="3" t="n">
        <v>6</v>
      </c>
      <c r="AV419" s="3" t="n">
        <v>6</v>
      </c>
      <c r="AW419" s="3" t="n">
        <v>3</v>
      </c>
      <c r="AX419" s="3" t="n">
        <v>3</v>
      </c>
      <c r="AY419" s="3" t="s">
        <v>3405</v>
      </c>
      <c r="AZ419" s="5" t="n">
        <v>1</v>
      </c>
      <c r="BA419" s="3" t="n">
        <v>1</v>
      </c>
      <c r="BB419" s="3" t="n">
        <v>1</v>
      </c>
      <c r="BC419" s="3" t="n">
        <v>2</v>
      </c>
      <c r="BD419" s="3" t="n">
        <v>1</v>
      </c>
      <c r="BE419" s="3" t="n">
        <v>2</v>
      </c>
      <c r="BF419" s="3" t="n">
        <v>1</v>
      </c>
      <c r="BG419" s="3" t="n">
        <v>4</v>
      </c>
      <c r="BH419" s="3" t="n">
        <v>1</v>
      </c>
      <c r="BI419" s="3" t="n">
        <v>1</v>
      </c>
    </row>
    <row r="420" customFormat="false" ht="12.75" hidden="false" customHeight="false" outlineLevel="0" collapsed="false">
      <c r="A420" s="2" t="s">
        <v>1443</v>
      </c>
      <c r="B420" s="2" t="s">
        <v>478</v>
      </c>
      <c r="C420" s="2" t="s">
        <v>118</v>
      </c>
      <c r="D420" s="2" t="n">
        <v>217620</v>
      </c>
      <c r="E420" s="15" t="n">
        <v>44418</v>
      </c>
      <c r="F420" s="15" t="n">
        <v>44425</v>
      </c>
      <c r="G420" s="3" t="n">
        <v>7</v>
      </c>
      <c r="H420" s="3" t="n">
        <v>1</v>
      </c>
      <c r="I420" s="3" t="n">
        <v>72</v>
      </c>
      <c r="J420" s="3" t="n">
        <v>2</v>
      </c>
      <c r="K420" s="3" t="n">
        <v>1</v>
      </c>
      <c r="L420" s="3" t="n">
        <v>2</v>
      </c>
      <c r="M420" s="3" t="n">
        <v>2</v>
      </c>
      <c r="N420" s="3" t="n">
        <v>2</v>
      </c>
      <c r="O420" s="3" t="n">
        <v>2</v>
      </c>
      <c r="P420" s="3" t="n">
        <v>2</v>
      </c>
      <c r="Q420" s="3" t="n">
        <v>2</v>
      </c>
      <c r="R420" s="3" t="n">
        <v>2</v>
      </c>
      <c r="S420" s="4" t="n">
        <v>2</v>
      </c>
      <c r="T420" s="3" t="n">
        <v>2</v>
      </c>
      <c r="U420" s="3" t="n">
        <v>3.3</v>
      </c>
      <c r="V420" s="3" t="n">
        <v>0.3</v>
      </c>
      <c r="W420" s="3" t="n">
        <v>7.2</v>
      </c>
      <c r="X420" s="3" t="n">
        <v>721</v>
      </c>
      <c r="Z420" s="3" t="n">
        <v>0.41</v>
      </c>
      <c r="AA420" s="3" t="n">
        <v>27.3</v>
      </c>
      <c r="AB420" s="3" t="n">
        <v>2</v>
      </c>
      <c r="AC420" s="3" t="n">
        <v>2</v>
      </c>
      <c r="AD420" s="3" t="n">
        <v>1</v>
      </c>
      <c r="AE420" s="3" t="n">
        <v>1</v>
      </c>
      <c r="AF420" s="3" t="n">
        <v>2</v>
      </c>
      <c r="AG420" s="3" t="n">
        <v>2</v>
      </c>
      <c r="AH420" s="3" t="n">
        <v>1</v>
      </c>
      <c r="AI420" s="3" t="n">
        <v>2</v>
      </c>
      <c r="AJ420" s="3" t="n">
        <v>2</v>
      </c>
      <c r="AK420" s="3" t="n">
        <v>1</v>
      </c>
      <c r="AL420" s="3" t="n">
        <v>1</v>
      </c>
      <c r="AM420" s="3" t="n">
        <v>2</v>
      </c>
      <c r="AN420" s="3" t="n">
        <v>2</v>
      </c>
      <c r="AO420" s="3" t="n">
        <v>3</v>
      </c>
      <c r="AP420" s="3" t="n">
        <v>4</v>
      </c>
      <c r="AQ420" s="3" t="n">
        <v>4</v>
      </c>
      <c r="AR420" s="3" t="n">
        <v>6</v>
      </c>
      <c r="AS420" s="3" t="n">
        <v>4</v>
      </c>
      <c r="AT420" s="3" t="n">
        <v>4</v>
      </c>
      <c r="AU420" s="3" t="n">
        <v>6</v>
      </c>
      <c r="AV420" s="3" t="n">
        <v>6</v>
      </c>
      <c r="AW420" s="3" t="n">
        <v>3</v>
      </c>
      <c r="AX420" s="3" t="n">
        <v>3</v>
      </c>
      <c r="AY420" s="3" t="n">
        <v>4</v>
      </c>
      <c r="AZ420" s="5" t="n">
        <v>1</v>
      </c>
      <c r="BA420" s="3" t="n">
        <v>1</v>
      </c>
      <c r="BB420" s="3" t="n">
        <v>1</v>
      </c>
      <c r="BC420" s="3" t="n">
        <v>2</v>
      </c>
      <c r="BD420" s="3" t="n">
        <v>1</v>
      </c>
      <c r="BE420" s="3" t="n">
        <v>2</v>
      </c>
      <c r="BF420" s="3" t="n">
        <v>1</v>
      </c>
      <c r="BG420" s="3" t="n">
        <v>4</v>
      </c>
      <c r="BH420" s="3" t="n">
        <v>1</v>
      </c>
      <c r="BI420" s="3" t="n">
        <v>1</v>
      </c>
    </row>
    <row r="421" customFormat="false" ht="12.75" hidden="false" customHeight="false" outlineLevel="0" collapsed="false">
      <c r="A421" s="2" t="s">
        <v>3323</v>
      </c>
      <c r="B421" s="2" t="s">
        <v>386</v>
      </c>
      <c r="C421" s="2" t="s">
        <v>153</v>
      </c>
      <c r="D421" s="2" t="n">
        <v>218373</v>
      </c>
      <c r="E421" s="15" t="n">
        <v>44425</v>
      </c>
      <c r="F421" s="15" t="n">
        <v>44428</v>
      </c>
      <c r="G421" s="3" t="n">
        <v>3</v>
      </c>
      <c r="H421" s="3" t="n">
        <v>2</v>
      </c>
      <c r="I421" s="3" t="n">
        <v>25</v>
      </c>
      <c r="J421" s="3" t="n">
        <v>2</v>
      </c>
      <c r="K421" s="3" t="n">
        <v>2</v>
      </c>
      <c r="L421" s="3" t="n">
        <v>1</v>
      </c>
      <c r="M421" s="3" t="n">
        <v>2</v>
      </c>
      <c r="N421" s="3" t="n">
        <v>2</v>
      </c>
      <c r="O421" s="3" t="n">
        <v>2</v>
      </c>
      <c r="P421" s="3" t="n">
        <v>2</v>
      </c>
      <c r="Q421" s="3" t="n">
        <v>2</v>
      </c>
      <c r="R421" s="3" t="n">
        <v>2</v>
      </c>
      <c r="S421" s="4" t="n">
        <v>2</v>
      </c>
      <c r="T421" s="3" t="n">
        <v>2</v>
      </c>
      <c r="U421" s="3" t="n">
        <v>2.3</v>
      </c>
      <c r="V421" s="3" t="n">
        <v>0.89</v>
      </c>
      <c r="W421" s="3" t="n">
        <v>5.02</v>
      </c>
      <c r="X421" s="3" t="n">
        <v>490</v>
      </c>
      <c r="Z421" s="3" t="n">
        <v>0.5</v>
      </c>
      <c r="AA421" s="3" t="n">
        <v>9.6</v>
      </c>
      <c r="AB421" s="3" t="n">
        <v>1</v>
      </c>
      <c r="AC421" s="3" t="n">
        <v>2</v>
      </c>
      <c r="AD421" s="3" t="n">
        <v>2</v>
      </c>
      <c r="AE421" s="3" t="n">
        <v>1</v>
      </c>
      <c r="AF421" s="3" t="n">
        <v>2</v>
      </c>
      <c r="AG421" s="3" t="n">
        <v>2</v>
      </c>
      <c r="AH421" s="3" t="n">
        <v>1</v>
      </c>
      <c r="AI421" s="3" t="n">
        <v>2</v>
      </c>
      <c r="AJ421" s="3" t="n">
        <v>2</v>
      </c>
      <c r="AK421" s="3" t="n">
        <v>2</v>
      </c>
      <c r="AL421" s="3" t="n">
        <v>2</v>
      </c>
      <c r="AM421" s="3" t="n">
        <v>2</v>
      </c>
      <c r="AN421" s="3" t="n">
        <v>2</v>
      </c>
      <c r="AO421" s="3" t="n">
        <v>3</v>
      </c>
      <c r="AP421" s="3" t="n">
        <v>4</v>
      </c>
      <c r="AQ421" s="3" t="n">
        <v>4</v>
      </c>
      <c r="AR421" s="3" t="n">
        <v>6</v>
      </c>
      <c r="AS421" s="3" t="n">
        <v>4</v>
      </c>
      <c r="AT421" s="3" t="n">
        <v>4</v>
      </c>
      <c r="AU421" s="3" t="n">
        <v>6</v>
      </c>
      <c r="AV421" s="3" t="n">
        <v>6</v>
      </c>
      <c r="AW421" s="3" t="n">
        <v>3</v>
      </c>
      <c r="AX421" s="3" t="n">
        <v>3</v>
      </c>
      <c r="AY421" s="3" t="n">
        <v>1</v>
      </c>
      <c r="AZ421" s="5" t="n">
        <v>12</v>
      </c>
      <c r="BA421" s="3" t="n">
        <v>2</v>
      </c>
      <c r="BB421" s="3" t="n">
        <v>1</v>
      </c>
      <c r="BC421" s="3" t="n">
        <v>6</v>
      </c>
      <c r="BD421" s="3" t="n">
        <v>1</v>
      </c>
      <c r="BE421" s="3" t="n">
        <v>2</v>
      </c>
      <c r="BF421" s="3" t="n">
        <v>1</v>
      </c>
      <c r="BG421" s="3" t="n">
        <v>4</v>
      </c>
      <c r="BH421" s="3" t="n">
        <v>1</v>
      </c>
      <c r="BI421" s="3" t="n">
        <v>1</v>
      </c>
    </row>
    <row r="422" customFormat="false" ht="12.75" hidden="false" customHeight="false" outlineLevel="0" collapsed="false">
      <c r="A422" s="2" t="s">
        <v>3327</v>
      </c>
      <c r="B422" s="2" t="s">
        <v>3328</v>
      </c>
      <c r="C422" s="2" t="s">
        <v>95</v>
      </c>
      <c r="D422" s="2" t="n">
        <v>218054</v>
      </c>
      <c r="E422" s="15" t="n">
        <v>44422</v>
      </c>
      <c r="F422" s="15" t="n">
        <v>44433</v>
      </c>
      <c r="G422" s="3" t="n">
        <v>7</v>
      </c>
      <c r="H422" s="3" t="n">
        <v>2</v>
      </c>
      <c r="I422" s="3" t="n">
        <v>56</v>
      </c>
      <c r="J422" s="3" t="n">
        <v>1</v>
      </c>
      <c r="K422" s="3" t="n">
        <v>2</v>
      </c>
      <c r="L422" s="3" t="n">
        <v>1</v>
      </c>
      <c r="M422" s="3" t="n">
        <v>2</v>
      </c>
      <c r="N422" s="3" t="n">
        <v>1</v>
      </c>
      <c r="O422" s="3" t="n">
        <v>2</v>
      </c>
      <c r="P422" s="3" t="n">
        <v>2</v>
      </c>
      <c r="Q422" s="3" t="n">
        <v>2</v>
      </c>
      <c r="R422" s="3" t="n">
        <v>2</v>
      </c>
      <c r="S422" s="4" t="n">
        <v>2</v>
      </c>
      <c r="T422" s="3" t="n">
        <v>2</v>
      </c>
      <c r="U422" s="3" t="n">
        <v>5.78</v>
      </c>
      <c r="V422" s="3" t="n">
        <v>2.87</v>
      </c>
      <c r="W422" s="3" t="n">
        <v>5.37</v>
      </c>
      <c r="X422" s="3" t="n">
        <v>339</v>
      </c>
      <c r="Z422" s="3" t="n">
        <v>0.48</v>
      </c>
      <c r="AA422" s="3" t="n">
        <v>14.1</v>
      </c>
      <c r="AB422" s="3"/>
      <c r="AC422" s="3" t="n">
        <v>2</v>
      </c>
      <c r="AD422" s="3" t="n">
        <v>1</v>
      </c>
      <c r="AE422" s="3" t="n">
        <v>1</v>
      </c>
      <c r="AF422" s="3" t="n">
        <v>1</v>
      </c>
      <c r="AG422" s="3" t="n">
        <v>1</v>
      </c>
      <c r="AH422" s="3" t="n">
        <v>1</v>
      </c>
      <c r="AI422" s="3" t="n">
        <v>2</v>
      </c>
      <c r="AJ422" s="3" t="n">
        <v>2</v>
      </c>
      <c r="AK422" s="3" t="n">
        <v>2</v>
      </c>
      <c r="AL422" s="3" t="n">
        <v>2</v>
      </c>
      <c r="AM422" s="3" t="n">
        <v>2</v>
      </c>
      <c r="AN422" s="3" t="n">
        <v>2</v>
      </c>
      <c r="AO422" s="3" t="n">
        <v>3</v>
      </c>
      <c r="AP422" s="3" t="n">
        <v>4</v>
      </c>
      <c r="AQ422" s="3" t="n">
        <v>4</v>
      </c>
      <c r="AR422" s="3" t="n">
        <v>6</v>
      </c>
      <c r="AS422" s="3" t="n">
        <v>4</v>
      </c>
      <c r="AT422" s="3" t="n">
        <v>4</v>
      </c>
      <c r="AU422" s="3" t="n">
        <v>6</v>
      </c>
      <c r="AV422" s="3" t="n">
        <v>6</v>
      </c>
      <c r="AW422" s="3" t="n">
        <v>3</v>
      </c>
      <c r="AX422" s="3" t="n">
        <v>3</v>
      </c>
      <c r="AY422" s="3" t="n">
        <v>1</v>
      </c>
      <c r="AZ422" s="5" t="n">
        <v>1</v>
      </c>
      <c r="BA422" s="3" t="n">
        <v>1</v>
      </c>
      <c r="BB422" s="3" t="n">
        <v>1</v>
      </c>
      <c r="BC422" s="3" t="n">
        <v>2</v>
      </c>
      <c r="BD422" s="3" t="n">
        <v>1</v>
      </c>
      <c r="BE422" s="3" t="n">
        <v>2</v>
      </c>
      <c r="BF422" s="3" t="n">
        <v>2</v>
      </c>
      <c r="BG422" s="3" t="n">
        <v>4</v>
      </c>
      <c r="BH422" s="3" t="n">
        <v>1</v>
      </c>
      <c r="BI422" s="3" t="n">
        <v>1</v>
      </c>
    </row>
    <row r="423" customFormat="false" ht="12.75" hidden="false" customHeight="false" outlineLevel="0" collapsed="false">
      <c r="A423" s="2" t="s">
        <v>2958</v>
      </c>
      <c r="B423" s="2" t="s">
        <v>3330</v>
      </c>
      <c r="C423" s="2" t="s">
        <v>2449</v>
      </c>
      <c r="D423" s="2" t="n">
        <v>218312</v>
      </c>
      <c r="E423" s="15" t="n">
        <v>44425</v>
      </c>
      <c r="F423" s="15" t="n">
        <v>44433</v>
      </c>
      <c r="G423" s="3" t="n">
        <v>5</v>
      </c>
      <c r="H423" s="3" t="n">
        <v>2</v>
      </c>
      <c r="I423" s="3" t="n">
        <v>58</v>
      </c>
      <c r="J423" s="3" t="n">
        <v>1</v>
      </c>
      <c r="K423" s="3" t="n">
        <v>1</v>
      </c>
      <c r="L423" s="3" t="n">
        <v>1</v>
      </c>
      <c r="M423" s="3" t="n">
        <v>2</v>
      </c>
      <c r="N423" s="3" t="n">
        <v>1</v>
      </c>
      <c r="O423" s="3" t="n">
        <v>2</v>
      </c>
      <c r="P423" s="3" t="n">
        <v>1</v>
      </c>
      <c r="Q423" s="3" t="n">
        <v>2</v>
      </c>
      <c r="R423" s="3" t="n">
        <v>2</v>
      </c>
      <c r="S423" s="4" t="n">
        <v>2</v>
      </c>
      <c r="T423" s="3" t="n">
        <v>2</v>
      </c>
      <c r="U423" s="3" t="n">
        <v>4.85</v>
      </c>
      <c r="V423" s="3" t="n">
        <v>2.09</v>
      </c>
      <c r="W423" s="3" t="n">
        <v>20.53</v>
      </c>
      <c r="X423" s="3" t="n">
        <v>277</v>
      </c>
      <c r="Z423" s="3" t="n">
        <v>0.46</v>
      </c>
      <c r="AA423" s="3" t="n">
        <v>14.2</v>
      </c>
      <c r="AB423" s="3"/>
      <c r="AC423" s="3" t="n">
        <v>2</v>
      </c>
      <c r="AD423" s="3" t="n">
        <v>2</v>
      </c>
      <c r="AE423" s="3" t="n">
        <v>1</v>
      </c>
      <c r="AF423" s="3" t="n">
        <v>2</v>
      </c>
      <c r="AG423" s="3" t="n">
        <v>1</v>
      </c>
      <c r="AH423" s="3" t="n">
        <v>1</v>
      </c>
      <c r="AI423" s="3" t="n">
        <v>2</v>
      </c>
      <c r="AJ423" s="3" t="n">
        <v>2</v>
      </c>
      <c r="AK423" s="3" t="n">
        <v>2</v>
      </c>
      <c r="AL423" s="3" t="n">
        <v>1</v>
      </c>
      <c r="AM423" s="3" t="n">
        <v>2</v>
      </c>
      <c r="AN423" s="3" t="n">
        <v>2</v>
      </c>
      <c r="AO423" s="3" t="n">
        <v>3</v>
      </c>
      <c r="AP423" s="3" t="n">
        <v>4</v>
      </c>
      <c r="AQ423" s="3" t="n">
        <v>4</v>
      </c>
      <c r="AR423" s="3" t="n">
        <v>6</v>
      </c>
      <c r="AS423" s="3" t="n">
        <v>4</v>
      </c>
      <c r="AT423" s="3" t="n">
        <v>4</v>
      </c>
      <c r="AU423" s="3" t="n">
        <v>6</v>
      </c>
      <c r="AV423" s="3" t="n">
        <v>6</v>
      </c>
      <c r="AW423" s="3" t="n">
        <v>3</v>
      </c>
      <c r="AX423" s="3" t="n">
        <v>3</v>
      </c>
      <c r="AY423" s="3" t="n">
        <v>1</v>
      </c>
      <c r="AZ423" s="5" t="n">
        <v>1</v>
      </c>
      <c r="BA423" s="3" t="n">
        <v>1</v>
      </c>
      <c r="BB423" s="3" t="n">
        <v>1</v>
      </c>
      <c r="BC423" s="3" t="n">
        <v>2</v>
      </c>
      <c r="BD423" s="3" t="n">
        <v>1</v>
      </c>
      <c r="BE423" s="3" t="n">
        <v>2</v>
      </c>
      <c r="BF423" s="3" t="n">
        <v>1</v>
      </c>
      <c r="BG423" s="3" t="n">
        <v>4</v>
      </c>
      <c r="BH423" s="3" t="n">
        <v>1</v>
      </c>
      <c r="BI423" s="3" t="n">
        <v>1</v>
      </c>
    </row>
    <row r="424" customFormat="false" ht="12.75" hidden="false" customHeight="false" outlineLevel="0" collapsed="false">
      <c r="A424" s="2" t="s">
        <v>2790</v>
      </c>
      <c r="B424" s="2" t="s">
        <v>3332</v>
      </c>
      <c r="C424" s="2"/>
      <c r="D424" s="2" t="n">
        <v>218421</v>
      </c>
      <c r="E424" s="15" t="n">
        <v>44431</v>
      </c>
      <c r="F424" s="15" t="n">
        <v>44433</v>
      </c>
      <c r="G424" s="3" t="n">
        <v>3</v>
      </c>
      <c r="H424" s="3" t="n">
        <v>1</v>
      </c>
      <c r="I424" s="3" t="n">
        <v>60</v>
      </c>
      <c r="J424" s="3" t="n">
        <v>1</v>
      </c>
      <c r="K424" s="3" t="n">
        <v>1</v>
      </c>
      <c r="L424" s="3" t="n">
        <v>1</v>
      </c>
      <c r="M424" s="3" t="n">
        <v>2</v>
      </c>
      <c r="N424" s="3" t="n">
        <v>1</v>
      </c>
      <c r="O424" s="3" t="n">
        <v>1</v>
      </c>
      <c r="P424" s="3" t="n">
        <v>1</v>
      </c>
      <c r="Q424" s="3" t="n">
        <v>2</v>
      </c>
      <c r="R424" s="3" t="n">
        <v>1</v>
      </c>
      <c r="S424" s="4" t="n">
        <v>2</v>
      </c>
      <c r="T424" s="3" t="n">
        <v>2</v>
      </c>
      <c r="U424" s="3" t="n">
        <v>5.1</v>
      </c>
      <c r="V424" s="3" t="n">
        <v>1.4</v>
      </c>
      <c r="W424" s="3" t="n">
        <v>5.69</v>
      </c>
      <c r="X424" s="3" t="n">
        <v>388</v>
      </c>
      <c r="Z424" s="3" t="n">
        <v>0.45</v>
      </c>
      <c r="AA424" s="3" t="n">
        <v>14</v>
      </c>
      <c r="AB424" s="3"/>
      <c r="AC424" s="3" t="n">
        <v>2</v>
      </c>
      <c r="AD424" s="3" t="n">
        <v>1</v>
      </c>
      <c r="AE424" s="3" t="n">
        <v>1</v>
      </c>
      <c r="AF424" s="3" t="n">
        <v>2</v>
      </c>
      <c r="AG424" s="3" t="n">
        <v>2</v>
      </c>
      <c r="AH424" s="3" t="n">
        <v>1</v>
      </c>
      <c r="AI424" s="3" t="n">
        <v>1</v>
      </c>
      <c r="AJ424" s="3" t="n">
        <v>1</v>
      </c>
      <c r="AK424" s="3" t="n">
        <v>2</v>
      </c>
      <c r="AL424" s="3" t="n">
        <v>2</v>
      </c>
      <c r="AM424" s="3" t="n">
        <v>2</v>
      </c>
      <c r="AN424" s="3" t="n">
        <v>2</v>
      </c>
      <c r="AO424" s="3" t="n">
        <v>3</v>
      </c>
      <c r="AP424" s="3" t="n">
        <v>4</v>
      </c>
      <c r="AQ424" s="3" t="n">
        <v>4</v>
      </c>
      <c r="AR424" s="3" t="n">
        <v>6</v>
      </c>
      <c r="AS424" s="3" t="n">
        <v>4</v>
      </c>
      <c r="AT424" s="3" t="n">
        <v>4</v>
      </c>
      <c r="AU424" s="3" t="n">
        <v>6</v>
      </c>
      <c r="AV424" s="3" t="n">
        <v>6</v>
      </c>
      <c r="AW424" s="3" t="n">
        <v>3</v>
      </c>
      <c r="AX424" s="3" t="n">
        <v>3</v>
      </c>
      <c r="AY424" s="3" t="n">
        <v>1</v>
      </c>
      <c r="AZ424" s="5" t="n">
        <v>14</v>
      </c>
      <c r="BA424" s="3" t="n">
        <v>1</v>
      </c>
      <c r="BB424" s="3" t="n">
        <v>2</v>
      </c>
      <c r="BC424" s="3" t="n">
        <v>4</v>
      </c>
      <c r="BD424" s="3" t="n">
        <v>1</v>
      </c>
      <c r="BE424" s="3" t="n">
        <v>2</v>
      </c>
      <c r="BF424" s="3" t="n">
        <v>1</v>
      </c>
      <c r="BG424" s="3" t="n">
        <v>4</v>
      </c>
      <c r="BH424" s="3" t="n">
        <v>3</v>
      </c>
      <c r="BI424" s="3"/>
    </row>
    <row r="425" customFormat="false" ht="12.75" hidden="false" customHeight="false" outlineLevel="0" collapsed="false">
      <c r="A425" s="2" t="s">
        <v>3334</v>
      </c>
      <c r="B425" s="2" t="s">
        <v>3335</v>
      </c>
      <c r="C425" s="2" t="s">
        <v>3336</v>
      </c>
      <c r="D425" s="2" t="n">
        <v>218436</v>
      </c>
      <c r="E425" s="15" t="n">
        <v>44431</v>
      </c>
      <c r="F425" s="2"/>
      <c r="G425" s="3"/>
      <c r="H425" s="3" t="n">
        <v>2</v>
      </c>
      <c r="I425" s="3" t="n">
        <v>47</v>
      </c>
      <c r="J425" s="3" t="n">
        <v>1</v>
      </c>
      <c r="K425" s="3" t="n">
        <v>2</v>
      </c>
      <c r="L425" s="3" t="n">
        <v>1</v>
      </c>
      <c r="M425" s="3" t="n">
        <v>2</v>
      </c>
      <c r="N425" s="3" t="n">
        <v>1</v>
      </c>
      <c r="O425" s="3" t="n">
        <v>1</v>
      </c>
      <c r="P425" s="3" t="n">
        <v>2</v>
      </c>
      <c r="Q425" s="3" t="n">
        <v>2</v>
      </c>
      <c r="R425" s="3" t="n">
        <v>2</v>
      </c>
      <c r="S425" s="4" t="n">
        <v>2</v>
      </c>
      <c r="T425" s="3" t="n">
        <v>2</v>
      </c>
      <c r="U425" s="3" t="n">
        <v>2.71</v>
      </c>
      <c r="V425" s="3" t="n">
        <v>1.28</v>
      </c>
      <c r="W425" s="3" t="n">
        <v>6.73</v>
      </c>
      <c r="X425" s="3" t="n">
        <v>322</v>
      </c>
      <c r="Z425" s="3" t="n">
        <v>0.42</v>
      </c>
      <c r="AA425" s="3" t="n">
        <v>11.8</v>
      </c>
      <c r="AB425" s="3"/>
      <c r="AC425" s="3" t="n">
        <v>2</v>
      </c>
      <c r="AD425" s="3" t="n">
        <v>1</v>
      </c>
      <c r="AE425" s="3" t="n">
        <v>1</v>
      </c>
      <c r="AF425" s="3" t="n">
        <v>1</v>
      </c>
      <c r="AG425" s="3" t="n">
        <v>2</v>
      </c>
      <c r="AH425" s="3" t="n">
        <v>1</v>
      </c>
      <c r="AI425" s="3" t="n">
        <v>2</v>
      </c>
      <c r="AJ425" s="3" t="n">
        <v>2</v>
      </c>
      <c r="AK425" s="3" t="n">
        <v>2</v>
      </c>
      <c r="AL425" s="3" t="n">
        <v>2</v>
      </c>
      <c r="AM425" s="3" t="n">
        <v>2</v>
      </c>
      <c r="AN425" s="3" t="n">
        <v>2</v>
      </c>
      <c r="AO425" s="3" t="n">
        <v>3</v>
      </c>
      <c r="AP425" s="3" t="n">
        <v>4</v>
      </c>
      <c r="AQ425" s="3" t="n">
        <v>4</v>
      </c>
      <c r="AR425" s="3" t="n">
        <v>6</v>
      </c>
      <c r="AS425" s="3" t="n">
        <v>6</v>
      </c>
      <c r="AT425" s="3" t="n">
        <v>4</v>
      </c>
      <c r="AU425" s="3" t="n">
        <v>6</v>
      </c>
      <c r="AV425" s="3" t="n">
        <v>6</v>
      </c>
      <c r="AW425" s="3" t="n">
        <v>3</v>
      </c>
      <c r="AX425" s="3" t="n">
        <v>3</v>
      </c>
      <c r="AY425" s="3" t="n">
        <v>1</v>
      </c>
      <c r="AZ425" s="5" t="n">
        <v>1</v>
      </c>
      <c r="BA425" s="3" t="n">
        <v>1</v>
      </c>
      <c r="BB425" s="3" t="n">
        <v>1</v>
      </c>
      <c r="BC425" s="3" t="n">
        <v>4</v>
      </c>
      <c r="BD425" s="3" t="n">
        <v>3</v>
      </c>
      <c r="BE425" s="3" t="n">
        <v>5</v>
      </c>
      <c r="BF425" s="3"/>
      <c r="BG425" s="3"/>
      <c r="BH425" s="3"/>
      <c r="BI425" s="3"/>
    </row>
    <row r="426" customFormat="false" ht="12.75" hidden="false" customHeight="false" outlineLevel="0" collapsed="false">
      <c r="A426" s="2" t="s">
        <v>258</v>
      </c>
      <c r="B426" s="2" t="s">
        <v>446</v>
      </c>
      <c r="C426" s="2" t="s">
        <v>835</v>
      </c>
      <c r="D426" s="2" t="n">
        <v>218226</v>
      </c>
      <c r="E426" s="15" t="n">
        <v>44428</v>
      </c>
      <c r="F426" s="2"/>
      <c r="G426" s="3"/>
      <c r="H426" s="3" t="n">
        <v>2</v>
      </c>
      <c r="I426" s="3" t="n">
        <v>51</v>
      </c>
      <c r="J426" s="3" t="n">
        <v>1</v>
      </c>
      <c r="K426" s="3" t="n">
        <v>1</v>
      </c>
      <c r="L426" s="3" t="n">
        <v>2</v>
      </c>
      <c r="M426" s="3" t="n">
        <v>2</v>
      </c>
      <c r="N426" s="3" t="n">
        <v>2</v>
      </c>
      <c r="O426" s="3" t="n">
        <v>2</v>
      </c>
      <c r="P426" s="3" t="n">
        <v>2</v>
      </c>
      <c r="Q426" s="3" t="n">
        <v>2</v>
      </c>
      <c r="R426" s="3" t="n">
        <v>2</v>
      </c>
      <c r="S426" s="4" t="n">
        <v>2</v>
      </c>
      <c r="T426" s="3" t="n">
        <v>2</v>
      </c>
      <c r="U426" s="3" t="n">
        <v>4.13</v>
      </c>
      <c r="V426" s="3" t="n">
        <v>1.43</v>
      </c>
      <c r="W426" s="3" t="n">
        <v>4.64</v>
      </c>
      <c r="X426" s="3" t="n">
        <v>176</v>
      </c>
      <c r="Z426" s="3" t="n">
        <v>0.42</v>
      </c>
      <c r="AA426" s="3" t="n">
        <v>15.2</v>
      </c>
      <c r="AB426" s="3"/>
      <c r="AC426" s="3" t="n">
        <v>2</v>
      </c>
      <c r="AD426" s="3" t="n">
        <v>1</v>
      </c>
      <c r="AE426" s="3" t="n">
        <v>1</v>
      </c>
      <c r="AF426" s="3" t="n">
        <v>2</v>
      </c>
      <c r="AG426" s="3" t="n">
        <v>2</v>
      </c>
      <c r="AH426" s="3" t="n">
        <v>1</v>
      </c>
      <c r="AI426" s="3" t="n">
        <v>2</v>
      </c>
      <c r="AJ426" s="3" t="n">
        <v>2</v>
      </c>
      <c r="AK426" s="3" t="n">
        <v>2</v>
      </c>
      <c r="AL426" s="3" t="n">
        <v>2</v>
      </c>
      <c r="AM426" s="3" t="n">
        <v>2</v>
      </c>
      <c r="AN426" s="3" t="n">
        <v>2</v>
      </c>
      <c r="AO426" s="3" t="n">
        <v>3</v>
      </c>
      <c r="AP426" s="3" t="n">
        <v>4</v>
      </c>
      <c r="AQ426" s="3" t="n">
        <v>4</v>
      </c>
      <c r="AR426" s="3" t="n">
        <v>6</v>
      </c>
      <c r="AS426" s="3" t="n">
        <v>4</v>
      </c>
      <c r="AT426" s="3" t="n">
        <v>4</v>
      </c>
      <c r="AU426" s="3" t="n">
        <v>6</v>
      </c>
      <c r="AV426" s="3" t="n">
        <v>6</v>
      </c>
      <c r="AW426" s="3" t="n">
        <v>3</v>
      </c>
      <c r="AX426" s="3" t="n">
        <v>3</v>
      </c>
      <c r="AY426" s="3" t="n">
        <v>1</v>
      </c>
      <c r="AZ426" s="5" t="n">
        <v>1</v>
      </c>
      <c r="BA426" s="3" t="n">
        <v>1</v>
      </c>
      <c r="BB426" s="3" t="n">
        <v>1</v>
      </c>
      <c r="BC426" s="3" t="n">
        <v>4</v>
      </c>
      <c r="BD426" s="3" t="n">
        <v>3</v>
      </c>
      <c r="BE426" s="3" t="n">
        <v>5</v>
      </c>
      <c r="BF426" s="3" t="n">
        <v>3</v>
      </c>
      <c r="BG426" s="3" t="n">
        <v>4</v>
      </c>
      <c r="BH426" s="3" t="n">
        <v>1</v>
      </c>
      <c r="BI426" s="3" t="n">
        <v>1</v>
      </c>
    </row>
    <row r="427" customFormat="false" ht="12.75" hidden="false" customHeight="false" outlineLevel="0" collapsed="false">
      <c r="A427" s="2" t="s">
        <v>3340</v>
      </c>
      <c r="B427" s="2" t="s">
        <v>3341</v>
      </c>
      <c r="C427" s="2" t="s">
        <v>581</v>
      </c>
      <c r="D427" s="2" t="n">
        <v>218512</v>
      </c>
      <c r="E427" s="15" t="n">
        <v>44432</v>
      </c>
      <c r="F427" s="2"/>
      <c r="G427" s="3"/>
      <c r="H427" s="3" t="n">
        <v>2</v>
      </c>
      <c r="I427" s="3" t="n">
        <v>67</v>
      </c>
      <c r="J427" s="3" t="n">
        <v>1</v>
      </c>
      <c r="K427" s="3" t="n">
        <v>2</v>
      </c>
      <c r="L427" s="3" t="n">
        <v>1</v>
      </c>
      <c r="M427" s="3" t="n">
        <v>2</v>
      </c>
      <c r="N427" s="3" t="n">
        <v>2</v>
      </c>
      <c r="O427" s="3" t="n">
        <v>2</v>
      </c>
      <c r="P427" s="3" t="n">
        <v>2</v>
      </c>
      <c r="Q427" s="3" t="n">
        <v>2</v>
      </c>
      <c r="R427" s="3" t="n">
        <v>2</v>
      </c>
      <c r="S427" s="4" t="n">
        <v>2</v>
      </c>
      <c r="T427" s="3" t="n">
        <v>2</v>
      </c>
      <c r="U427" s="3" t="n">
        <v>4.88</v>
      </c>
      <c r="V427" s="3" t="n">
        <v>1.33</v>
      </c>
      <c r="W427" s="3" t="n">
        <v>8.99</v>
      </c>
      <c r="X427" s="3" t="n">
        <v>4.18</v>
      </c>
      <c r="Z427" s="3" t="n">
        <v>0.5</v>
      </c>
      <c r="AA427" s="3" t="n">
        <v>20</v>
      </c>
      <c r="AB427" s="3"/>
      <c r="AC427" s="3" t="n">
        <v>1</v>
      </c>
      <c r="AD427" s="3" t="n">
        <v>1</v>
      </c>
      <c r="AE427" s="3" t="n">
        <v>1</v>
      </c>
      <c r="AF427" s="3" t="n">
        <v>2</v>
      </c>
      <c r="AG427" s="3" t="n">
        <v>2</v>
      </c>
      <c r="AH427" s="3" t="n">
        <v>1</v>
      </c>
      <c r="AI427" s="3" t="n">
        <v>2</v>
      </c>
      <c r="AJ427" s="3" t="n">
        <v>2</v>
      </c>
      <c r="AK427" s="3" t="n">
        <v>2</v>
      </c>
      <c r="AL427" s="3" t="n">
        <v>1</v>
      </c>
      <c r="AM427" s="3" t="n">
        <v>2</v>
      </c>
      <c r="AN427" s="3" t="n">
        <v>2</v>
      </c>
      <c r="AO427" s="3" t="n">
        <v>3</v>
      </c>
      <c r="AP427" s="3" t="n">
        <v>4</v>
      </c>
      <c r="AQ427" s="3" t="n">
        <v>4</v>
      </c>
      <c r="AR427" s="3" t="n">
        <v>6</v>
      </c>
      <c r="AS427" s="3" t="n">
        <v>4</v>
      </c>
      <c r="AT427" s="3" t="n">
        <v>4</v>
      </c>
      <c r="AU427" s="3" t="n">
        <v>6</v>
      </c>
      <c r="AV427" s="3" t="n">
        <v>6</v>
      </c>
      <c r="AW427" s="3" t="n">
        <v>3</v>
      </c>
      <c r="AX427" s="3" t="n">
        <v>3</v>
      </c>
      <c r="AY427" s="3" t="n">
        <v>1</v>
      </c>
      <c r="AZ427" s="5" t="n">
        <v>1</v>
      </c>
      <c r="BA427" s="3" t="n">
        <v>1</v>
      </c>
      <c r="BB427" s="3" t="n">
        <v>1</v>
      </c>
      <c r="BC427" s="3" t="n">
        <v>4</v>
      </c>
      <c r="BD427" s="3" t="n">
        <v>3</v>
      </c>
      <c r="BE427" s="3" t="n">
        <v>5</v>
      </c>
      <c r="BF427" s="3" t="n">
        <v>3</v>
      </c>
      <c r="BG427" s="3" t="n">
        <v>4</v>
      </c>
      <c r="BH427" s="3" t="n">
        <v>1</v>
      </c>
      <c r="BI427" s="3" t="n">
        <v>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E194"/>
  <sheetViews>
    <sheetView showFormulas="false" showGridLines="true" showRowColHeaders="true" showZeros="true" rightToLeft="false" tabSelected="false" showOutlineSymbols="true" defaultGridColor="true" view="normal" topLeftCell="A169" colorId="64" zoomScale="100" zoomScaleNormal="100" zoomScalePageLayoutView="100" workbookViewId="0">
      <selection pane="topLeft" activeCell="G189" activeCellId="0" sqref="G189"/>
    </sheetView>
  </sheetViews>
  <sheetFormatPr defaultColWidth="11.43359375" defaultRowHeight="12.75" customHeight="true" zeroHeight="false" outlineLevelRow="0" outlineLevelCol="0"/>
  <sheetData>
    <row r="2" customFormat="false" ht="12.75" hidden="false" customHeight="false" outlineLevel="0" collapsed="false">
      <c r="A2" s="62" t="s">
        <v>3346</v>
      </c>
      <c r="B2" s="62" t="s">
        <v>3343</v>
      </c>
      <c r="C2" s="62" t="n">
        <f aca="false">COUNTIFS('Tabla general'!I:I,1,'Tabla general'!BA:BA,1)</f>
        <v>126</v>
      </c>
    </row>
    <row r="3" customFormat="false" ht="12.75" hidden="false" customHeight="false" outlineLevel="0" collapsed="false">
      <c r="B3" s="62" t="s">
        <v>3345</v>
      </c>
      <c r="C3" s="62" t="n">
        <f aca="false">COUNTIFS('Tabla general'!I:I,2,'Tabla general'!BA:BA,1)</f>
        <v>312</v>
      </c>
    </row>
    <row r="24" customFormat="false" ht="12.75" hidden="false" customHeight="false" outlineLevel="0" collapsed="false">
      <c r="A24" s="62" t="s">
        <v>3347</v>
      </c>
      <c r="C24" s="62" t="s">
        <v>3348</v>
      </c>
      <c r="D24" s="62" t="s">
        <v>3343</v>
      </c>
      <c r="E24" s="62" t="s">
        <v>3345</v>
      </c>
    </row>
    <row r="25" customFormat="false" ht="12.75" hidden="false" customHeight="false" outlineLevel="0" collapsed="false">
      <c r="B25" s="62" t="s">
        <v>3349</v>
      </c>
      <c r="C25" s="62" t="n">
        <f aca="false">COUNTIFS('Tabla general'!BA:BA,1,'Tabla general'!J:J,"&lt;="&amp;40)</f>
        <v>10</v>
      </c>
      <c r="D25" s="62" t="n">
        <f aca="false">COUNTIFS('Tabla general'!I:I,1,'Tabla general'!BA:BA,1,'Tabla general'!J:J,"&lt;="&amp;40)</f>
        <v>2</v>
      </c>
      <c r="E25" s="62" t="n">
        <f aca="false">COUNTIFS('Tabla general'!I:I,2,'Tabla general'!BA:BA,1,'Tabla general'!J:J,"&lt;="&amp;40)</f>
        <v>8</v>
      </c>
    </row>
    <row r="26" customFormat="false" ht="12.75" hidden="false" customHeight="false" outlineLevel="0" collapsed="false">
      <c r="B26" s="62" t="s">
        <v>3350</v>
      </c>
      <c r="C26" s="62" t="n">
        <f aca="false">COUNTIFS('Tabla general'!BA:BA,1,'Tabla general'!J:J,"&gt;="&amp;41,'Tabla general'!J:J,"&lt;="&amp;50)</f>
        <v>48</v>
      </c>
      <c r="D26" s="62" t="n">
        <f aca="false">COUNTIFS('Tabla general'!I:I,1,'Tabla general'!BA:BA,1,'Tabla general'!J:J,"&gt;="&amp;41,'Tabla general'!J:J,"&lt;="&amp;50)</f>
        <v>8</v>
      </c>
      <c r="E26" s="62" t="n">
        <f aca="false">COUNTIFS('Tabla general'!I:I,2,'Tabla general'!BA:BA,1,'Tabla general'!J:J,"&gt;="&amp;41,'Tabla general'!J:J,"&lt;="&amp;50)</f>
        <v>40</v>
      </c>
    </row>
    <row r="27" customFormat="false" ht="12.75" hidden="false" customHeight="false" outlineLevel="0" collapsed="false">
      <c r="B27" s="62" t="s">
        <v>3351</v>
      </c>
      <c r="C27" s="62" t="n">
        <f aca="false">COUNTIFS('Tabla general'!BA:BA,1,'Tabla general'!J:J,"&gt;="&amp;51,'Tabla general'!J:J,"&lt;="&amp;60)</f>
        <v>142</v>
      </c>
      <c r="D27" s="62" t="n">
        <f aca="false">COUNTIFS('Tabla general'!I:I,1,'Tabla general'!BA:BA,1,'Tabla general'!J:J,"&gt;="&amp;51,'Tabla general'!J:J,"&lt;="&amp;60)</f>
        <v>35</v>
      </c>
      <c r="E27" s="62" t="n">
        <f aca="false">COUNTIFS('Tabla general'!I:I,2,'Tabla general'!BA:BA,1,'Tabla general'!J:J,"&gt;="&amp;51,'Tabla general'!J:J,"&lt;="&amp;60)</f>
        <v>107</v>
      </c>
    </row>
    <row r="28" customFormat="false" ht="12.75" hidden="false" customHeight="false" outlineLevel="0" collapsed="false">
      <c r="B28" s="62" t="s">
        <v>3352</v>
      </c>
      <c r="C28" s="62" t="n">
        <f aca="false">COUNTIFS('Tabla general'!BA:BA,1,'Tabla general'!J:J,"&gt;="&amp;61,'Tabla general'!J:J,"&lt;="&amp;70)</f>
        <v>122</v>
      </c>
      <c r="D28" s="62" t="n">
        <f aca="false">COUNTIFS('Tabla general'!I:I,1,'Tabla general'!BA:BA,1,'Tabla general'!J:J,"&gt;="&amp;61,'Tabla general'!J:J,"&lt;="&amp;70)</f>
        <v>36</v>
      </c>
      <c r="E28" s="62" t="n">
        <f aca="false">COUNTIFS('Tabla general'!I:I,2,'Tabla general'!BA:BA,1,'Tabla general'!J:J,"&gt;="&amp;61,'Tabla general'!J:J,"&lt;="&amp;70)</f>
        <v>86</v>
      </c>
    </row>
    <row r="29" customFormat="false" ht="12.75" hidden="false" customHeight="false" outlineLevel="0" collapsed="false">
      <c r="B29" s="62" t="s">
        <v>3353</v>
      </c>
      <c r="C29" s="62" t="n">
        <f aca="false">COUNTIFS('Tabla general'!BA:BA,1,'Tabla general'!J:J,"&gt;="&amp;71,'Tabla general'!J:J,"&lt;="&amp;80)</f>
        <v>89</v>
      </c>
      <c r="D29" s="62" t="n">
        <f aca="false">COUNTIFS('Tabla general'!I:I,1,'Tabla general'!BA:BA,1,'Tabla general'!J:J,"&gt;="&amp;71,'Tabla general'!J:J,"&lt;="&amp;80)</f>
        <v>36</v>
      </c>
      <c r="E29" s="62" t="n">
        <f aca="false">COUNTIFS('Tabla general'!I:I,2,'Tabla general'!BA:BA,1,'Tabla general'!J:J,"&gt;="&amp;71,'Tabla general'!J:J,"&lt;="&amp;80)</f>
        <v>53</v>
      </c>
    </row>
    <row r="30" customFormat="false" ht="12.75" hidden="false" customHeight="false" outlineLevel="0" collapsed="false">
      <c r="B30" s="62" t="s">
        <v>3354</v>
      </c>
      <c r="C30" s="62" t="n">
        <f aca="false">COUNTIFS('Tabla general'!BA:BA,1,'Tabla general'!J:J,"&gt;"&amp;80)</f>
        <v>27</v>
      </c>
      <c r="D30" s="62" t="n">
        <f aca="false">COUNTIFS('Tabla general'!I:I,1,'Tabla general'!BA:BA,1,'Tabla general'!J:J,"&gt;"&amp;80)</f>
        <v>9</v>
      </c>
      <c r="E30" s="62" t="n">
        <f aca="false">COUNTIFS('Tabla general'!I:I,2,'Tabla general'!BA:BA,1,'Tabla general'!J:J,"&gt;"&amp;80)</f>
        <v>18</v>
      </c>
    </row>
    <row r="43" customFormat="false" ht="12.75" hidden="false" customHeight="false" outlineLevel="0" collapsed="false">
      <c r="A43" s="62" t="s">
        <v>3355</v>
      </c>
    </row>
    <row r="44" customFormat="false" ht="12.75" hidden="false" customHeight="false" outlineLevel="0" collapsed="false">
      <c r="B44" s="62" t="s">
        <v>3356</v>
      </c>
      <c r="C44" s="62" t="n">
        <f aca="false">COUNTIFS('Tabla general'!K:K,1,'Tabla general'!BA:BA,1)</f>
        <v>305</v>
      </c>
    </row>
    <row r="45" customFormat="false" ht="12.75" hidden="false" customHeight="false" outlineLevel="0" collapsed="false">
      <c r="B45" s="62" t="s">
        <v>3357</v>
      </c>
      <c r="C45" s="62" t="n">
        <f aca="false">COUNTIFS('Tabla general'!K:K,2,'Tabla general'!BA:BA,1)</f>
        <v>133</v>
      </c>
    </row>
    <row r="46" customFormat="false" ht="12.75" hidden="false" customHeight="false" outlineLevel="0" collapsed="false">
      <c r="B46" s="62" t="s">
        <v>3358</v>
      </c>
      <c r="C46" s="62" t="n">
        <f aca="false">COUNTIFS('Tabla general'!K:K,3,'Tabla general'!BA:BA,1)</f>
        <v>0</v>
      </c>
    </row>
    <row r="63" customFormat="false" ht="12.75" hidden="false" customHeight="false" outlineLevel="0" collapsed="false">
      <c r="A63" s="62" t="s">
        <v>3359</v>
      </c>
    </row>
    <row r="64" customFormat="false" ht="12.75" hidden="false" customHeight="false" outlineLevel="0" collapsed="false">
      <c r="B64" s="62" t="s">
        <v>10</v>
      </c>
      <c r="C64" s="62" t="n">
        <f aca="false">COUNTIFS('Tabla general'!BA:BA,1,'Tabla general'!L:L,1)</f>
        <v>274</v>
      </c>
    </row>
    <row r="65" customFormat="false" ht="12.75" hidden="false" customHeight="false" outlineLevel="0" collapsed="false">
      <c r="B65" s="62" t="s">
        <v>11</v>
      </c>
      <c r="C65" s="62" t="n">
        <f aca="false">COUNTIFS('Tabla general'!BA:BA,1,'Tabla general'!M:M,1)</f>
        <v>325</v>
      </c>
    </row>
    <row r="66" customFormat="false" ht="12.75" hidden="false" customHeight="false" outlineLevel="0" collapsed="false">
      <c r="B66" s="62" t="s">
        <v>12</v>
      </c>
      <c r="C66" s="62" t="n">
        <f aca="false">COUNTIFS('Tabla general'!BA:BA,1,'Tabla general'!N:N,1)</f>
        <v>34</v>
      </c>
    </row>
    <row r="67" customFormat="false" ht="12.75" hidden="false" customHeight="false" outlineLevel="0" collapsed="false">
      <c r="B67" s="62" t="s">
        <v>13</v>
      </c>
      <c r="C67" s="62" t="n">
        <f aca="false">COUNTIFS('Tabla general'!BA:BA,1,'Tabla general'!O:O,1)</f>
        <v>47</v>
      </c>
    </row>
    <row r="68" customFormat="false" ht="12.75" hidden="false" customHeight="false" outlineLevel="0" collapsed="false">
      <c r="B68" s="62" t="s">
        <v>14</v>
      </c>
      <c r="C68" s="62" t="n">
        <f aca="false">COUNTIFS('Tabla general'!BA:BA,1,'Tabla general'!P:P,1)</f>
        <v>39</v>
      </c>
    </row>
    <row r="69" customFormat="false" ht="12.75" hidden="false" customHeight="false" outlineLevel="0" collapsed="false">
      <c r="B69" s="62" t="s">
        <v>15</v>
      </c>
      <c r="C69" s="62" t="n">
        <f aca="false">COUNTIFS('Tabla general'!BA:BA,1,'Tabla general'!Q:Q,1)</f>
        <v>110</v>
      </c>
    </row>
    <row r="70" customFormat="false" ht="12.75" hidden="false" customHeight="false" outlineLevel="0" collapsed="false">
      <c r="B70" s="62" t="s">
        <v>16</v>
      </c>
      <c r="C70" s="62" t="n">
        <f aca="false">COUNTIFS('Tabla general'!BA:BA,1,'Tabla general'!R:R,1)</f>
        <v>4</v>
      </c>
    </row>
    <row r="83" customFormat="false" ht="12.75" hidden="false" customHeight="false" outlineLevel="0" collapsed="false">
      <c r="A83" s="62" t="s">
        <v>3360</v>
      </c>
    </row>
    <row r="84" customFormat="false" ht="12.75" hidden="false" customHeight="false" outlineLevel="0" collapsed="false">
      <c r="B84" s="62" t="s">
        <v>3361</v>
      </c>
      <c r="C84" s="62" t="n">
        <f aca="false">COUNTIFS('Tabla general'!BA:BA,2,'Tabla general'!AZ:AZ,1)</f>
        <v>11</v>
      </c>
    </row>
    <row r="85" customFormat="false" ht="12.75" hidden="false" customHeight="false" outlineLevel="0" collapsed="false">
      <c r="B85" s="62" t="s">
        <v>3362</v>
      </c>
      <c r="C85" s="62" t="n">
        <f aca="false">COUNTIFS('Tabla general'!BA:BA,1,'Tabla general'!AZ:AZ,2)</f>
        <v>6</v>
      </c>
    </row>
    <row r="86" customFormat="false" ht="12.75" hidden="false" customHeight="false" outlineLevel="0" collapsed="false">
      <c r="B86" s="62" t="s">
        <v>3363</v>
      </c>
      <c r="C86" s="62" t="n">
        <f aca="false">COUNTIFS('Tabla general'!BA:BA,1,'Tabla general'!AZ:AZ,3)</f>
        <v>1</v>
      </c>
    </row>
    <row r="87" customFormat="false" ht="12.75" hidden="false" customHeight="false" outlineLevel="0" collapsed="false">
      <c r="B87" s="62" t="s">
        <v>3364</v>
      </c>
      <c r="C87" s="62" t="n">
        <f aca="false">COUNTIFS('Tabla general'!BA:BA,1,'Tabla general'!AZ:AZ,4)</f>
        <v>22</v>
      </c>
    </row>
    <row r="88" customFormat="false" ht="12.75" hidden="false" customHeight="false" outlineLevel="0" collapsed="false">
      <c r="B88" s="62" t="s">
        <v>3365</v>
      </c>
      <c r="C88" s="62" t="n">
        <f aca="false">COUNTIFS('Tabla general'!BA:BA,1,'Tabla general'!AZ:AZ,5)</f>
        <v>20</v>
      </c>
    </row>
    <row r="89" customFormat="false" ht="12.75" hidden="false" customHeight="false" outlineLevel="0" collapsed="false">
      <c r="B89" s="62" t="s">
        <v>3366</v>
      </c>
      <c r="C89" s="62" t="n">
        <f aca="false">COUNTIFS('Tabla general'!BA:BA,1,'Tabla general'!AZ:AZ,6)</f>
        <v>22</v>
      </c>
    </row>
    <row r="90" customFormat="false" ht="12.75" hidden="false" customHeight="false" outlineLevel="0" collapsed="false">
      <c r="B90" s="62" t="s">
        <v>3367</v>
      </c>
      <c r="C90" s="62" t="n">
        <f aca="false">COUNTIFS('Tabla general'!BA:BA,1,'Tabla general'!AZ:AZ,7)</f>
        <v>4</v>
      </c>
    </row>
    <row r="91" customFormat="false" ht="12.75" hidden="false" customHeight="false" outlineLevel="0" collapsed="false">
      <c r="B91" s="62" t="s">
        <v>3368</v>
      </c>
      <c r="C91" s="62" t="n">
        <f aca="false">COUNTIFS('Tabla general'!BA:BA,1,'Tabla general'!AZ:AZ,8)</f>
        <v>0</v>
      </c>
    </row>
    <row r="92" customFormat="false" ht="12.75" hidden="false" customHeight="false" outlineLevel="0" collapsed="false">
      <c r="B92" s="62" t="s">
        <v>3369</v>
      </c>
      <c r="C92" s="62" t="n">
        <f aca="false">COUNTIFS('Tabla general'!BA:BA,1,'Tabla general'!AZ:AZ,9)</f>
        <v>3</v>
      </c>
    </row>
    <row r="93" customFormat="false" ht="12.75" hidden="false" customHeight="false" outlineLevel="0" collapsed="false">
      <c r="B93" s="62" t="s">
        <v>3370</v>
      </c>
      <c r="C93" s="62" t="n">
        <f aca="false">COUNTIFS('Tabla general'!BA:BA,1,'Tabla general'!AZ:AZ,10)</f>
        <v>12</v>
      </c>
    </row>
    <row r="94" customFormat="false" ht="12.75" hidden="false" customHeight="false" outlineLevel="0" collapsed="false">
      <c r="B94" s="62" t="s">
        <v>3371</v>
      </c>
      <c r="C94" s="62" t="n">
        <f aca="false">COUNTIFS('Tabla general'!BA:BA,1,'Tabla general'!AZ:AZ,11)</f>
        <v>0</v>
      </c>
    </row>
    <row r="95" customFormat="false" ht="12.75" hidden="false" customHeight="false" outlineLevel="0" collapsed="false">
      <c r="B95" s="62" t="n">
        <v>12</v>
      </c>
      <c r="C95" s="62" t="n">
        <f aca="false">COUNTIFS('Tabla general'!BA:BA,1,'Tabla general'!AZ:AZ,12)</f>
        <v>0</v>
      </c>
    </row>
    <row r="96" customFormat="false" ht="12.75" hidden="false" customHeight="false" outlineLevel="0" collapsed="false">
      <c r="B96" s="62" t="n">
        <v>13</v>
      </c>
      <c r="C96" s="62" t="n">
        <f aca="false">COUNTIFS('Tabla general'!BA:BA,1,'Tabla general'!AZ:AZ,13)</f>
        <v>3</v>
      </c>
    </row>
    <row r="97" customFormat="false" ht="12.75" hidden="false" customHeight="false" outlineLevel="0" collapsed="false">
      <c r="B97" s="62" t="s">
        <v>3372</v>
      </c>
      <c r="C97" s="62" t="n">
        <f aca="false">COUNTIFS('Tabla general'!BA:BA,1,'Tabla general'!AZ:AZ,14)</f>
        <v>2</v>
      </c>
    </row>
    <row r="98" customFormat="false" ht="12.75" hidden="false" customHeight="false" outlineLevel="0" collapsed="false">
      <c r="B98" s="62" t="s">
        <v>3373</v>
      </c>
      <c r="C98" s="62" t="n">
        <f aca="false">COUNTIFS('Tabla general'!BA:BA,1,'Tabla general'!AZ:AZ,15)</f>
        <v>1</v>
      </c>
    </row>
    <row r="99" customFormat="false" ht="12.75" hidden="false" customHeight="false" outlineLevel="0" collapsed="false">
      <c r="B99" s="62" t="s">
        <v>3374</v>
      </c>
      <c r="C99" s="62" t="n">
        <f aca="false">COUNTIFS('Tabla general'!BA:BA,1,'Tabla general'!AZ:AZ,16)</f>
        <v>5</v>
      </c>
    </row>
    <row r="103" customFormat="false" ht="12.75" hidden="false" customHeight="false" outlineLevel="0" collapsed="false">
      <c r="A103" s="62" t="s">
        <v>3375</v>
      </c>
      <c r="B103" s="62" t="s">
        <v>3376</v>
      </c>
      <c r="C103" s="62" t="n">
        <f aca="false">COUNTIFS('Tabla general'!T:T,2,'Tabla general'!BD:BD,1)</f>
        <v>0</v>
      </c>
    </row>
    <row r="104" customFormat="false" ht="12.75" hidden="false" customHeight="false" outlineLevel="0" collapsed="false">
      <c r="B104" s="62" t="s">
        <v>3377</v>
      </c>
      <c r="C104" s="62" t="n">
        <f aca="false">COUNTIFS('Tabla general'!T:T,2,'Tabla general'!BD:BD,2)</f>
        <v>169</v>
      </c>
    </row>
    <row r="105" customFormat="false" ht="12.75" hidden="false" customHeight="false" outlineLevel="0" collapsed="false">
      <c r="B105" s="62" t="s">
        <v>3378</v>
      </c>
      <c r="C105" s="62" t="n">
        <f aca="false">COUNTIFS('Tabla general'!T:T,2,'Tabla general'!BD:BD,3)</f>
        <v>9</v>
      </c>
    </row>
    <row r="106" customFormat="false" ht="12.75" hidden="false" customHeight="false" outlineLevel="0" collapsed="false">
      <c r="B106" s="62" t="s">
        <v>3379</v>
      </c>
      <c r="C106" s="62" t="n">
        <f aca="false">COUNTIFS('Tabla general'!T:T,2,'Tabla general'!BD:BD,4)</f>
        <v>220</v>
      </c>
    </row>
    <row r="107" customFormat="false" ht="12.75" hidden="false" customHeight="false" outlineLevel="0" collapsed="false">
      <c r="B107" s="62" t="s">
        <v>3380</v>
      </c>
      <c r="C107" s="62" t="n">
        <f aca="false">COUNTIFS('Tabla general'!T:T,2,'Tabla general'!BD:BD,5)</f>
        <v>6</v>
      </c>
    </row>
    <row r="108" customFormat="false" ht="12.75" hidden="false" customHeight="false" outlineLevel="0" collapsed="false">
      <c r="B108" s="62" t="s">
        <v>3381</v>
      </c>
      <c r="C108" s="62" t="n">
        <f aca="false">COUNTIFS('Tabla general'!T:T,2,'Tabla general'!BD:BD,6)</f>
        <v>19</v>
      </c>
    </row>
    <row r="121" customFormat="false" ht="12.75" hidden="false" customHeight="false" outlineLevel="0" collapsed="false">
      <c r="A121" s="62" t="s">
        <v>3382</v>
      </c>
    </row>
    <row r="122" customFormat="false" ht="12.75" hidden="false" customHeight="false" outlineLevel="0" collapsed="false">
      <c r="B122" s="62" t="s">
        <v>3383</v>
      </c>
      <c r="C122" s="62" t="n">
        <f aca="false">COUNTIFS('Tabla general'!BA:BA,1,'Tabla general'!BE:BE,1)</f>
        <v>279</v>
      </c>
    </row>
    <row r="123" customFormat="false" ht="12.75" hidden="false" customHeight="false" outlineLevel="0" collapsed="false">
      <c r="B123" s="62" t="s">
        <v>3384</v>
      </c>
      <c r="C123" s="62" t="n">
        <f aca="false">COUNTIFS('Tabla general'!BA:BA,1,'Tabla general'!BE:BE,2)</f>
        <v>6</v>
      </c>
    </row>
    <row r="124" customFormat="false" ht="12.75" hidden="false" customHeight="false" outlineLevel="0" collapsed="false">
      <c r="B124" s="62" t="s">
        <v>3385</v>
      </c>
      <c r="C124" s="62" t="n">
        <f aca="false">COUNTIFS('Tabla general'!BA:BA,1,'Tabla general'!BE:BE,3)</f>
        <v>152</v>
      </c>
    </row>
    <row r="125" customFormat="false" ht="12.75" hidden="false" customHeight="false" outlineLevel="0" collapsed="false">
      <c r="B125" s="62" t="s">
        <v>3386</v>
      </c>
      <c r="C125" s="62" t="n">
        <f aca="false">COUNTIFS('Tabla general'!BA:BA,1,'Tabla general'!BE:BE,4)</f>
        <v>1</v>
      </c>
    </row>
    <row r="140" customFormat="false" ht="12.75" hidden="false" customHeight="false" outlineLevel="0" collapsed="false">
      <c r="A140" s="62" t="s">
        <v>3387</v>
      </c>
    </row>
    <row r="141" customFormat="false" ht="12.75" hidden="false" customHeight="false" outlineLevel="0" collapsed="false">
      <c r="B141" s="62" t="s">
        <v>3388</v>
      </c>
      <c r="C141" s="62" t="n">
        <f aca="false">COUNTIFS('Tabla general'!BA:BA,1,'Tabla general'!BC:BC,1)</f>
        <v>414</v>
      </c>
    </row>
    <row r="142" customFormat="false" ht="12.75" hidden="false" customHeight="false" outlineLevel="0" collapsed="false">
      <c r="B142" s="62" t="s">
        <v>3389</v>
      </c>
      <c r="C142" s="62" t="n">
        <f aca="false">COUNTIFS('Tabla general'!BA:BA,1,'Tabla general'!BC:BC,2)</f>
        <v>24</v>
      </c>
    </row>
    <row r="160" customFormat="false" ht="12.75" hidden="false" customHeight="false" outlineLevel="0" collapsed="false">
      <c r="A160" s="62" t="s">
        <v>3390</v>
      </c>
    </row>
    <row r="161" customFormat="false" ht="12.75" hidden="false" customHeight="false" outlineLevel="0" collapsed="false">
      <c r="B161" s="62" t="s">
        <v>3391</v>
      </c>
      <c r="C161" s="62" t="n">
        <f aca="false">COUNTIFS('Tabla general'!BA:BA,1,'Tabla general'!AR:AR,1)</f>
        <v>1</v>
      </c>
    </row>
    <row r="162" customFormat="false" ht="12.75" hidden="false" customHeight="false" outlineLevel="0" collapsed="false">
      <c r="B162" s="62" t="s">
        <v>3392</v>
      </c>
      <c r="C162" s="62" t="n">
        <f aca="false">COUNTIFS('Tabla general'!BA:BA,1,'Tabla general'!AR:AR,2)</f>
        <v>5</v>
      </c>
    </row>
    <row r="163" customFormat="false" ht="12.75" hidden="false" customHeight="false" outlineLevel="0" collapsed="false">
      <c r="B163" s="62" t="s">
        <v>3366</v>
      </c>
      <c r="C163" s="62" t="n">
        <f aca="false">COUNTIFS('Tabla general'!BA:BA,1,'Tabla general'!AR:AR,3)</f>
        <v>2</v>
      </c>
    </row>
    <row r="164" customFormat="false" ht="12.75" hidden="false" customHeight="false" outlineLevel="0" collapsed="false">
      <c r="B164" s="62" t="s">
        <v>3393</v>
      </c>
      <c r="C164" s="62" t="n">
        <f aca="false">COUNTIFS('Tabla general'!BA:BA,1,'Tabla general'!AR:AR,4)</f>
        <v>417</v>
      </c>
    </row>
    <row r="165" customFormat="false" ht="12.75" hidden="false" customHeight="false" outlineLevel="0" collapsed="false">
      <c r="B165" s="62" t="s">
        <v>3394</v>
      </c>
      <c r="C165" s="62" t="n">
        <f aca="false">COUNTIFS('Tabla general'!BA:BA,1,'Tabla general'!AR:AR,11)</f>
        <v>0</v>
      </c>
    </row>
    <row r="166" customFormat="false" ht="12.75" hidden="false" customHeight="false" outlineLevel="0" collapsed="false">
      <c r="B166" s="62" t="n">
        <v>5</v>
      </c>
      <c r="C166" s="62" t="n">
        <f aca="false">COUNTIFS('Tabla general'!BA:BA,1,'Tabla general'!AR:AR,5)</f>
        <v>0</v>
      </c>
    </row>
    <row r="167" customFormat="false" ht="12.75" hidden="false" customHeight="false" outlineLevel="0" collapsed="false">
      <c r="B167" s="62" t="n">
        <v>6</v>
      </c>
      <c r="C167" s="62" t="n">
        <f aca="false">COUNTIFS('Tabla general'!BA:BA,1,'Tabla general'!AR:AR,6)</f>
        <v>0</v>
      </c>
    </row>
    <row r="168" customFormat="false" ht="12.75" hidden="false" customHeight="false" outlineLevel="0" collapsed="false">
      <c r="B168" s="62" t="n">
        <v>7</v>
      </c>
      <c r="C168" s="62" t="n">
        <f aca="false">COUNTIFS('Tabla general'!BA:BA,1,'Tabla general'!AR:AR,7)</f>
        <v>7</v>
      </c>
    </row>
    <row r="169" customFormat="false" ht="12.75" hidden="false" customHeight="false" outlineLevel="0" collapsed="false">
      <c r="B169" s="62" t="n">
        <v>8</v>
      </c>
      <c r="C169" s="62" t="n">
        <f aca="false">COUNTIFS('Tabla general'!BA:BA,1,'Tabla general'!AR:AR,8)</f>
        <v>4</v>
      </c>
    </row>
    <row r="170" customFormat="false" ht="12.75" hidden="false" customHeight="false" outlineLevel="0" collapsed="false">
      <c r="B170" s="62" t="n">
        <v>9</v>
      </c>
      <c r="C170" s="62" t="n">
        <f aca="false">COUNTIFS('Tabla general'!BA:BA,1,'Tabla general'!AR:AR,9)</f>
        <v>2</v>
      </c>
    </row>
    <row r="171" customFormat="false" ht="12.75" hidden="false" customHeight="false" outlineLevel="0" collapsed="false">
      <c r="B171" s="62" t="n">
        <v>10</v>
      </c>
      <c r="C171" s="62" t="n">
        <f aca="false">COUNTIFS('Tabla general'!BA:BA,1,'Tabla general'!AR:AR,10)</f>
        <v>0</v>
      </c>
    </row>
    <row r="179" customFormat="false" ht="12.75" hidden="false" customHeight="false" outlineLevel="0" collapsed="false">
      <c r="A179" s="62" t="s">
        <v>3395</v>
      </c>
      <c r="C179" s="62" t="n">
        <f aca="false">COUNTIFS('Tabla general'!BA:BA,1,'Tabla general'!BE:BE,1,'Tabla general'!BC:BC,2)</f>
        <v>12</v>
      </c>
    </row>
    <row r="180" customFormat="false" ht="12.75" hidden="false" customHeight="false" outlineLevel="0" collapsed="false">
      <c r="A180" s="62" t="s">
        <v>3396</v>
      </c>
      <c r="C180" s="62" t="n">
        <f aca="false">COUNTIFS('Tabla general'!BA:BA,1,'Tabla general'!BE:BE,2,'Tabla general'!BC:BC,2)</f>
        <v>0</v>
      </c>
    </row>
    <row r="181" customFormat="false" ht="12.75" hidden="false" customHeight="false" outlineLevel="0" collapsed="false">
      <c r="A181" s="62" t="s">
        <v>3397</v>
      </c>
      <c r="C181" s="62" t="n">
        <f aca="false">COUNTIFS('Tabla general'!BA:BA,1,'Tabla general'!BE:BE,3,'Tabla general'!BC:BC,2)</f>
        <v>12</v>
      </c>
    </row>
    <row r="182" customFormat="false" ht="12.75" hidden="false" customHeight="false" outlineLevel="0" collapsed="false">
      <c r="A182" s="62" t="s">
        <v>3398</v>
      </c>
      <c r="C182" s="62" t="n">
        <f aca="false">COUNTIFS('Tabla general'!BA:BA,1,'Tabla general'!BE:BE,4,'Tabla general'!BC:BC,2)</f>
        <v>0</v>
      </c>
    </row>
    <row r="184" customFormat="false" ht="12.75" hidden="false" customHeight="false" outlineLevel="0" collapsed="false">
      <c r="A184" s="62" t="s">
        <v>3399</v>
      </c>
      <c r="C184" s="62" t="n">
        <f aca="false">COUNTIFS('Tabla general'!BA:BA,1,'Tabla general'!AR:AR,1,'Tabla general'!BC:BC,2)</f>
        <v>1</v>
      </c>
    </row>
    <row r="185" customFormat="false" ht="12.75" hidden="false" customHeight="false" outlineLevel="0" collapsed="false">
      <c r="A185" s="62" t="s">
        <v>3400</v>
      </c>
      <c r="C185" s="62" t="n">
        <f aca="false">COUNTIFS('Tabla general'!BA:BA,1,'Tabla general'!AR:AR,2,'Tabla general'!BC:BC,2)</f>
        <v>0</v>
      </c>
    </row>
    <row r="186" customFormat="false" ht="12.75" hidden="false" customHeight="false" outlineLevel="0" collapsed="false">
      <c r="A186" s="62" t="s">
        <v>3401</v>
      </c>
      <c r="C186" s="62" t="n">
        <f aca="false">COUNTIFS('Tabla general'!BA:BA,1,'Tabla general'!AR:AR,3,'Tabla general'!BC:BC,2)</f>
        <v>0</v>
      </c>
    </row>
    <row r="187" customFormat="false" ht="12.75" hidden="false" customHeight="false" outlineLevel="0" collapsed="false">
      <c r="A187" s="62" t="s">
        <v>3402</v>
      </c>
      <c r="C187" s="62" t="n">
        <f aca="false">COUNTIFS('Tabla general'!BA:BA,1,'Tabla general'!AR:AR,4,'Tabla general'!BC:BC,2)</f>
        <v>22</v>
      </c>
    </row>
    <row r="188" customFormat="false" ht="12.75" hidden="false" customHeight="false" outlineLevel="0" collapsed="false">
      <c r="A188" s="62" t="s">
        <v>3403</v>
      </c>
      <c r="C188" s="62" t="n">
        <f aca="false">COUNTIFS('Tabla general'!BA:BA,1,'Tabla general'!AR:AR,11,'Tabla general'!BC:BC,2)</f>
        <v>0</v>
      </c>
    </row>
    <row r="189" customFormat="false" ht="12.75" hidden="false" customHeight="false" outlineLevel="0" collapsed="false">
      <c r="B189" s="62" t="n">
        <v>5</v>
      </c>
      <c r="C189" s="62" t="n">
        <f aca="false">COUNTIFS('Tabla general'!BA:BA,1,'Tabla general'!AR:AR,5,'Tabla general'!BC:BC,2)</f>
        <v>0</v>
      </c>
    </row>
    <row r="190" customFormat="false" ht="12.75" hidden="false" customHeight="false" outlineLevel="0" collapsed="false">
      <c r="B190" s="62" t="n">
        <v>6</v>
      </c>
      <c r="C190" s="62" t="n">
        <f aca="false">COUNTIFS('Tabla general'!BA:BA,1,'Tabla general'!AR:AR,6,'Tabla general'!BC:BC,2)</f>
        <v>0</v>
      </c>
    </row>
    <row r="191" customFormat="false" ht="12.75" hidden="false" customHeight="false" outlineLevel="0" collapsed="false">
      <c r="B191" s="62" t="n">
        <v>7</v>
      </c>
      <c r="C191" s="62" t="n">
        <f aca="false">COUNTIFS('Tabla general'!BA:BA,1,'Tabla general'!AR:AR,7,'Tabla general'!BC:BC,2)</f>
        <v>0</v>
      </c>
    </row>
    <row r="192" customFormat="false" ht="12.75" hidden="false" customHeight="false" outlineLevel="0" collapsed="false">
      <c r="B192" s="62" t="n">
        <v>8</v>
      </c>
      <c r="C192" s="62" t="n">
        <f aca="false">COUNTIFS('Tabla general'!BA:BA,1,'Tabla general'!AR:AR,8,'Tabla general'!BC:BC,2)</f>
        <v>0</v>
      </c>
    </row>
    <row r="193" customFormat="false" ht="12.75" hidden="false" customHeight="false" outlineLevel="0" collapsed="false">
      <c r="B193" s="62" t="n">
        <v>9</v>
      </c>
      <c r="C193" s="62" t="n">
        <f aca="false">COUNTIFS('Tabla general'!BA:BA,1,'Tabla general'!AR:AR,9,'Tabla general'!BC:BC,2)</f>
        <v>1</v>
      </c>
    </row>
    <row r="194" customFormat="false" ht="12.75" hidden="false" customHeight="false" outlineLevel="0" collapsed="false">
      <c r="B194" s="62" t="n">
        <v>10</v>
      </c>
      <c r="C194" s="62" t="n">
        <f aca="false">COUNTIFS('Tabla general'!BA:BA,1,'Tabla general'!AR:AR,10,'Tabla general'!BC:BC,2)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4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B1" activeCellId="0" sqref="AB1"/>
    </sheetView>
  </sheetViews>
  <sheetFormatPr defaultColWidth="11.43359375" defaultRowHeight="12.75" customHeight="true" zeroHeight="false" outlineLevelRow="0" outlineLevelCol="0"/>
  <sheetData>
    <row r="1" customFormat="false" ht="12.75" hidden="false" customHeight="false" outlineLevel="0" collapsed="false">
      <c r="A1" s="5" t="s">
        <v>50</v>
      </c>
    </row>
    <row r="2" customFormat="false" ht="12.75" hidden="false" customHeight="false" outlineLevel="0" collapsed="false">
      <c r="A2" s="5" t="n">
        <v>1</v>
      </c>
    </row>
    <row r="4" customFormat="false" ht="12.75" hidden="false" customHeight="false" outlineLevel="0" collapsed="false">
      <c r="B4" s="8" t="s">
        <v>0</v>
      </c>
      <c r="C4" s="9" t="s">
        <v>1</v>
      </c>
      <c r="D4" s="9" t="s">
        <v>2</v>
      </c>
      <c r="E4" s="9" t="s">
        <v>3</v>
      </c>
      <c r="F4" s="9" t="s">
        <v>4</v>
      </c>
      <c r="G4" s="9" t="s">
        <v>5</v>
      </c>
      <c r="H4" s="10" t="s">
        <v>6</v>
      </c>
      <c r="I4" s="11" t="s">
        <v>7</v>
      </c>
      <c r="J4" s="11" t="s">
        <v>8</v>
      </c>
      <c r="K4" s="11" t="s">
        <v>9</v>
      </c>
      <c r="L4" s="11" t="s">
        <v>10</v>
      </c>
      <c r="M4" s="11" t="s">
        <v>11</v>
      </c>
      <c r="N4" s="11" t="s">
        <v>12</v>
      </c>
      <c r="O4" s="11" t="s">
        <v>13</v>
      </c>
      <c r="P4" s="11" t="s">
        <v>14</v>
      </c>
      <c r="Q4" s="11" t="s">
        <v>15</v>
      </c>
      <c r="R4" s="11" t="s">
        <v>16</v>
      </c>
      <c r="S4" s="11" t="s">
        <v>17</v>
      </c>
      <c r="T4" s="12" t="s">
        <v>18</v>
      </c>
      <c r="U4" s="11" t="s">
        <v>19</v>
      </c>
      <c r="V4" s="11" t="s">
        <v>20</v>
      </c>
      <c r="W4" s="11" t="s">
        <v>21</v>
      </c>
      <c r="X4" s="11" t="s">
        <v>22</v>
      </c>
      <c r="Y4" s="11" t="s">
        <v>23</v>
      </c>
      <c r="AA4" s="11" t="s">
        <v>25</v>
      </c>
      <c r="AB4" s="11" t="s">
        <v>26</v>
      </c>
      <c r="AC4" s="11" t="s">
        <v>27</v>
      </c>
      <c r="AD4" s="11" t="s">
        <v>28</v>
      </c>
      <c r="AE4" s="11" t="s">
        <v>29</v>
      </c>
      <c r="AF4" s="11" t="s">
        <v>30</v>
      </c>
      <c r="AG4" s="11" t="s">
        <v>31</v>
      </c>
      <c r="AH4" s="11" t="s">
        <v>32</v>
      </c>
      <c r="AI4" s="11" t="s">
        <v>33</v>
      </c>
      <c r="AJ4" s="11" t="s">
        <v>17</v>
      </c>
      <c r="AK4" s="11" t="s">
        <v>34</v>
      </c>
      <c r="AL4" s="11" t="s">
        <v>35</v>
      </c>
      <c r="AM4" s="11" t="s">
        <v>36</v>
      </c>
      <c r="AN4" s="11" t="s">
        <v>37</v>
      </c>
      <c r="AO4" s="11" t="s">
        <v>38</v>
      </c>
      <c r="AP4" s="11" t="s">
        <v>39</v>
      </c>
      <c r="AQ4" s="11" t="s">
        <v>40</v>
      </c>
      <c r="AR4" s="11" t="s">
        <v>41</v>
      </c>
      <c r="AS4" s="11" t="s">
        <v>42</v>
      </c>
      <c r="AT4" s="11" t="s">
        <v>43</v>
      </c>
      <c r="AU4" s="11" t="s">
        <v>44</v>
      </c>
      <c r="AV4" s="11" t="s">
        <v>45</v>
      </c>
      <c r="AW4" s="11" t="s">
        <v>46</v>
      </c>
      <c r="AX4" s="11" t="s">
        <v>47</v>
      </c>
      <c r="AY4" s="11" t="s">
        <v>48</v>
      </c>
      <c r="AZ4" s="11" t="s">
        <v>49</v>
      </c>
      <c r="BA4" s="5" t="s">
        <v>50</v>
      </c>
      <c r="BB4" s="11" t="s">
        <v>51</v>
      </c>
      <c r="BC4" s="11" t="s">
        <v>52</v>
      </c>
      <c r="BD4" s="11" t="s">
        <v>53</v>
      </c>
      <c r="BE4" s="11" t="s">
        <v>54</v>
      </c>
      <c r="BF4" s="11" t="s">
        <v>55</v>
      </c>
      <c r="BG4" s="11" t="s">
        <v>56</v>
      </c>
      <c r="BH4" s="11" t="s">
        <v>57</v>
      </c>
      <c r="BI4" s="11" t="s">
        <v>58</v>
      </c>
      <c r="BJ4" s="11" t="s">
        <v>59</v>
      </c>
    </row>
    <row r="5" customFormat="false" ht="12.75" hidden="false" customHeight="false" outlineLevel="0" collapsed="false">
      <c r="B5" s="14" t="s">
        <v>65</v>
      </c>
      <c r="C5" s="14" t="s">
        <v>66</v>
      </c>
      <c r="D5" s="14" t="s">
        <v>67</v>
      </c>
      <c r="E5" s="14" t="n">
        <v>160305</v>
      </c>
      <c r="F5" s="15" t="n">
        <v>43355</v>
      </c>
      <c r="G5" s="15" t="n">
        <v>43361</v>
      </c>
      <c r="H5" s="3" t="n">
        <v>6</v>
      </c>
      <c r="I5" s="3" t="n">
        <v>2</v>
      </c>
      <c r="J5" s="3" t="n">
        <v>41</v>
      </c>
      <c r="K5" s="3" t="n">
        <v>1</v>
      </c>
      <c r="L5" s="3" t="n">
        <v>2</v>
      </c>
      <c r="M5" s="3" t="n">
        <v>2</v>
      </c>
      <c r="N5" s="3" t="n">
        <v>2</v>
      </c>
      <c r="O5" s="3" t="n">
        <v>2</v>
      </c>
      <c r="P5" s="3" t="n">
        <v>2</v>
      </c>
      <c r="Q5" s="3" t="n">
        <v>2</v>
      </c>
      <c r="R5" s="3" t="n">
        <v>2</v>
      </c>
      <c r="S5" s="3" t="n">
        <v>2</v>
      </c>
      <c r="T5" s="4" t="n">
        <v>2</v>
      </c>
      <c r="U5" s="3" t="n">
        <v>2</v>
      </c>
      <c r="V5" s="3" t="n">
        <v>4.48</v>
      </c>
      <c r="W5" s="3" t="n">
        <v>1.84</v>
      </c>
      <c r="X5" s="3" t="n">
        <v>5.8</v>
      </c>
      <c r="Y5" s="3" t="n">
        <v>480</v>
      </c>
      <c r="AA5" s="3" t="n">
        <v>0.45</v>
      </c>
      <c r="AB5" s="3" t="n">
        <v>12</v>
      </c>
      <c r="AC5" s="3" t="n">
        <v>2</v>
      </c>
      <c r="AD5" s="3" t="n">
        <v>2</v>
      </c>
      <c r="AE5" s="3" t="n">
        <v>2</v>
      </c>
      <c r="AF5" s="3" t="n">
        <v>1</v>
      </c>
      <c r="AG5" s="3" t="n">
        <v>1</v>
      </c>
      <c r="AH5" s="3" t="n">
        <v>2</v>
      </c>
      <c r="AI5" s="3" t="n">
        <v>2</v>
      </c>
      <c r="AJ5" s="3" t="n">
        <v>2</v>
      </c>
      <c r="AK5" s="3" t="n">
        <v>2</v>
      </c>
      <c r="AL5" s="3" t="n">
        <v>2</v>
      </c>
      <c r="AM5" s="3" t="n">
        <v>2</v>
      </c>
      <c r="AN5" s="3" t="n">
        <v>2</v>
      </c>
      <c r="AO5" s="3" t="n">
        <v>2</v>
      </c>
      <c r="AP5" s="3" t="n">
        <v>3</v>
      </c>
      <c r="AQ5" s="3" t="n">
        <v>4</v>
      </c>
      <c r="AR5" s="3" t="n">
        <v>4</v>
      </c>
      <c r="AS5" s="3" t="n">
        <v>6</v>
      </c>
      <c r="AT5" s="3" t="n">
        <v>4</v>
      </c>
      <c r="AU5" s="3" t="n">
        <v>4</v>
      </c>
      <c r="AV5" s="3" t="n">
        <v>6</v>
      </c>
      <c r="AW5" s="3" t="n">
        <v>6</v>
      </c>
      <c r="AX5" s="3" t="n">
        <v>3</v>
      </c>
      <c r="AY5" s="3" t="n">
        <v>3</v>
      </c>
      <c r="AZ5" s="3" t="n">
        <v>1</v>
      </c>
      <c r="BA5" s="5" t="n">
        <v>1</v>
      </c>
      <c r="BB5" s="3" t="n">
        <v>1</v>
      </c>
      <c r="BC5" s="3" t="n">
        <v>1</v>
      </c>
      <c r="BD5" s="3" t="n">
        <v>2</v>
      </c>
      <c r="BE5" s="3" t="n">
        <v>1</v>
      </c>
      <c r="BF5" s="3" t="n">
        <v>2</v>
      </c>
      <c r="BG5" s="3" t="n">
        <v>1</v>
      </c>
      <c r="BH5" s="3" t="n">
        <v>4</v>
      </c>
      <c r="BI5" s="3" t="n">
        <v>1</v>
      </c>
      <c r="BJ5" s="3" t="n">
        <v>1</v>
      </c>
    </row>
    <row r="6" customFormat="false" ht="12.75" hidden="false" customHeight="false" outlineLevel="0" collapsed="false">
      <c r="B6" s="25" t="s">
        <v>89</v>
      </c>
      <c r="C6" s="25" t="s">
        <v>90</v>
      </c>
      <c r="D6" s="25" t="s">
        <v>91</v>
      </c>
      <c r="E6" s="26" t="n">
        <v>160898</v>
      </c>
      <c r="F6" s="27" t="n">
        <v>43361</v>
      </c>
      <c r="G6" s="28" t="n">
        <v>43364</v>
      </c>
      <c r="H6" s="29" t="n">
        <v>3</v>
      </c>
      <c r="I6" s="30" t="n">
        <v>2</v>
      </c>
      <c r="J6" s="30" t="n">
        <v>77</v>
      </c>
      <c r="K6" s="30" t="n">
        <v>2</v>
      </c>
      <c r="L6" s="30" t="n">
        <v>2</v>
      </c>
      <c r="M6" s="30" t="n">
        <v>1</v>
      </c>
      <c r="N6" s="30" t="n">
        <v>2</v>
      </c>
      <c r="O6" s="30" t="n">
        <v>2</v>
      </c>
      <c r="P6" s="30" t="n">
        <v>2</v>
      </c>
      <c r="Q6" s="30" t="n">
        <v>2</v>
      </c>
      <c r="R6" s="30" t="n">
        <v>2</v>
      </c>
      <c r="S6" s="30" t="n">
        <v>1</v>
      </c>
      <c r="T6" s="4" t="n">
        <v>2</v>
      </c>
      <c r="U6" s="30" t="n">
        <v>2</v>
      </c>
      <c r="V6" s="30"/>
      <c r="W6" s="30"/>
      <c r="X6" s="30"/>
      <c r="Y6" s="30"/>
      <c r="AA6" s="30"/>
      <c r="AB6" s="30"/>
      <c r="AC6" s="29" t="n">
        <v>3</v>
      </c>
      <c r="AD6" s="30" t="n">
        <v>2</v>
      </c>
      <c r="AE6" s="30" t="n">
        <v>2</v>
      </c>
      <c r="AF6" s="30" t="n">
        <v>1</v>
      </c>
      <c r="AG6" s="30" t="n">
        <v>2</v>
      </c>
      <c r="AH6" s="30" t="n">
        <v>2</v>
      </c>
      <c r="AI6" s="30" t="n">
        <v>1</v>
      </c>
      <c r="AJ6" s="30" t="n">
        <v>1</v>
      </c>
      <c r="AK6" s="30" t="n">
        <v>2</v>
      </c>
      <c r="AL6" s="30" t="n">
        <v>2</v>
      </c>
      <c r="AM6" s="30" t="n">
        <v>2</v>
      </c>
      <c r="AN6" s="30" t="n">
        <v>2</v>
      </c>
      <c r="AO6" s="30" t="n">
        <v>2</v>
      </c>
      <c r="AP6" s="30" t="n">
        <v>3</v>
      </c>
      <c r="AQ6" s="30" t="n">
        <v>4</v>
      </c>
      <c r="AR6" s="30" t="n">
        <v>4</v>
      </c>
      <c r="AS6" s="30" t="n">
        <v>6</v>
      </c>
      <c r="AT6" s="30" t="n">
        <v>4</v>
      </c>
      <c r="AU6" s="30" t="n">
        <v>4</v>
      </c>
      <c r="AV6" s="30" t="n">
        <v>6</v>
      </c>
      <c r="AW6" s="30" t="n">
        <v>6</v>
      </c>
      <c r="AX6" s="30" t="n">
        <v>3</v>
      </c>
      <c r="AY6" s="30" t="n">
        <v>3</v>
      </c>
      <c r="AZ6" s="30" t="n">
        <v>3</v>
      </c>
      <c r="BA6" s="5" t="n">
        <v>1</v>
      </c>
      <c r="BB6" s="30" t="n">
        <v>1</v>
      </c>
      <c r="BC6" s="30" t="n">
        <v>2</v>
      </c>
      <c r="BD6" s="30" t="n">
        <v>2</v>
      </c>
      <c r="BE6" s="30" t="n">
        <v>1</v>
      </c>
      <c r="BF6" s="30" t="n">
        <v>2</v>
      </c>
      <c r="BG6" s="30" t="n">
        <v>1</v>
      </c>
      <c r="BH6" s="30" t="n">
        <v>4</v>
      </c>
      <c r="BI6" s="30" t="n">
        <v>1</v>
      </c>
      <c r="BJ6" s="30" t="n">
        <v>1</v>
      </c>
    </row>
    <row r="7" customFormat="false" ht="12.75" hidden="false" customHeight="false" outlineLevel="0" collapsed="false">
      <c r="B7" s="17" t="s">
        <v>97</v>
      </c>
      <c r="C7" s="17" t="s">
        <v>98</v>
      </c>
      <c r="D7" s="17" t="s">
        <v>99</v>
      </c>
      <c r="E7" s="14" t="n">
        <v>160679</v>
      </c>
      <c r="F7" s="15" t="n">
        <v>43359</v>
      </c>
      <c r="G7" s="22" t="n">
        <v>43365</v>
      </c>
      <c r="H7" s="23" t="n">
        <v>6</v>
      </c>
      <c r="I7" s="3" t="n">
        <v>2</v>
      </c>
      <c r="J7" s="3" t="n">
        <v>68</v>
      </c>
      <c r="K7" s="3" t="n">
        <v>1</v>
      </c>
      <c r="L7" s="3" t="n">
        <v>1</v>
      </c>
      <c r="M7" s="3" t="n">
        <v>1</v>
      </c>
      <c r="N7" s="3" t="n">
        <v>2</v>
      </c>
      <c r="O7" s="3" t="n">
        <v>2</v>
      </c>
      <c r="P7" s="3" t="n">
        <v>2</v>
      </c>
      <c r="Q7" s="3" t="n">
        <v>1</v>
      </c>
      <c r="R7" s="3" t="n">
        <v>2</v>
      </c>
      <c r="S7" s="3" t="n">
        <v>2</v>
      </c>
      <c r="T7" s="4" t="n">
        <v>2</v>
      </c>
      <c r="U7" s="3" t="n">
        <v>1</v>
      </c>
      <c r="V7" s="23" t="n">
        <v>5.76</v>
      </c>
      <c r="W7" s="23" t="n">
        <v>1.65</v>
      </c>
      <c r="X7" s="23" t="n">
        <v>11</v>
      </c>
      <c r="Y7" s="23" t="n">
        <v>395</v>
      </c>
      <c r="AA7" s="23" t="n">
        <v>0.4</v>
      </c>
      <c r="AB7" s="23" t="n">
        <v>9</v>
      </c>
      <c r="AC7" s="3" t="n">
        <v>1</v>
      </c>
      <c r="AD7" s="23" t="n">
        <v>1</v>
      </c>
      <c r="AE7" s="23" t="n">
        <v>1</v>
      </c>
      <c r="AF7" s="23" t="n">
        <v>1</v>
      </c>
      <c r="AG7" s="23" t="n">
        <v>2</v>
      </c>
      <c r="AH7" s="23" t="n">
        <v>2</v>
      </c>
      <c r="AI7" s="23" t="n">
        <v>1</v>
      </c>
      <c r="AJ7" s="3" t="n">
        <v>2</v>
      </c>
      <c r="AK7" s="23" t="n">
        <v>1</v>
      </c>
      <c r="AL7" s="23" t="n">
        <v>2</v>
      </c>
      <c r="AM7" s="23" t="n">
        <v>1</v>
      </c>
      <c r="AN7" s="23" t="n">
        <v>2</v>
      </c>
      <c r="AO7" s="23" t="n">
        <v>2</v>
      </c>
      <c r="AP7" s="23" t="n">
        <v>3</v>
      </c>
      <c r="AQ7" s="23" t="n">
        <v>4</v>
      </c>
      <c r="AR7" s="23" t="n">
        <v>4</v>
      </c>
      <c r="AS7" s="23" t="n">
        <v>6</v>
      </c>
      <c r="AT7" s="23" t="n">
        <v>4</v>
      </c>
      <c r="AU7" s="23" t="n">
        <v>4</v>
      </c>
      <c r="AV7" s="23" t="n">
        <v>6</v>
      </c>
      <c r="AW7" s="23" t="n">
        <v>6</v>
      </c>
      <c r="AX7" s="23" t="n">
        <v>3</v>
      </c>
      <c r="AY7" s="23" t="n">
        <v>3</v>
      </c>
      <c r="AZ7" s="23" t="n">
        <v>1</v>
      </c>
      <c r="BA7" s="5" t="n">
        <v>1</v>
      </c>
      <c r="BB7" s="23" t="n">
        <v>1</v>
      </c>
      <c r="BC7" s="23" t="n">
        <v>1</v>
      </c>
      <c r="BD7" s="23" t="n">
        <v>4</v>
      </c>
      <c r="BE7" s="23" t="n">
        <v>3</v>
      </c>
      <c r="BF7" s="23" t="n">
        <v>5</v>
      </c>
      <c r="BG7" s="23" t="n">
        <v>3</v>
      </c>
      <c r="BH7" s="23" t="n">
        <v>4</v>
      </c>
      <c r="BI7" s="23" t="n">
        <v>1</v>
      </c>
      <c r="BJ7" s="23" t="n">
        <v>1</v>
      </c>
    </row>
    <row r="8" customFormat="false" ht="12.75" hidden="false" customHeight="false" outlineLevel="0" collapsed="false">
      <c r="B8" s="17" t="s">
        <v>101</v>
      </c>
      <c r="C8" s="17" t="s">
        <v>94</v>
      </c>
      <c r="D8" s="17" t="s">
        <v>102</v>
      </c>
      <c r="E8" s="14" t="n">
        <v>160828</v>
      </c>
      <c r="F8" s="18" t="n">
        <v>43360</v>
      </c>
      <c r="G8" s="22" t="n">
        <v>43367</v>
      </c>
      <c r="H8" s="23" t="n">
        <v>7</v>
      </c>
      <c r="I8" s="3" t="n">
        <v>1</v>
      </c>
      <c r="J8" s="3" t="n">
        <v>69</v>
      </c>
      <c r="K8" s="3" t="n">
        <v>1</v>
      </c>
      <c r="L8" s="3" t="n">
        <v>2</v>
      </c>
      <c r="M8" s="3" t="n">
        <v>1</v>
      </c>
      <c r="N8" s="3" t="n">
        <v>2</v>
      </c>
      <c r="O8" s="3" t="n">
        <v>1</v>
      </c>
      <c r="P8" s="3" t="n">
        <v>2</v>
      </c>
      <c r="Q8" s="3" t="n">
        <v>1</v>
      </c>
      <c r="R8" s="3" t="n">
        <v>2</v>
      </c>
      <c r="S8" s="3" t="n">
        <v>2</v>
      </c>
      <c r="T8" s="4" t="n">
        <v>1</v>
      </c>
      <c r="U8" s="3" t="n">
        <v>1</v>
      </c>
      <c r="V8" s="23" t="n">
        <v>5.43</v>
      </c>
      <c r="W8" s="23" t="n">
        <v>1.69</v>
      </c>
      <c r="X8" s="23" t="n">
        <v>10.4</v>
      </c>
      <c r="Y8" s="23" t="n">
        <v>311</v>
      </c>
      <c r="AA8" s="23" t="n">
        <v>0.42</v>
      </c>
      <c r="AB8" s="23" t="n">
        <v>13</v>
      </c>
      <c r="AC8" s="23" t="n">
        <v>1</v>
      </c>
      <c r="AD8" s="23" t="n">
        <v>1</v>
      </c>
      <c r="AE8" s="23" t="n">
        <v>1</v>
      </c>
      <c r="AF8" s="23" t="n">
        <v>1</v>
      </c>
      <c r="AG8" s="23" t="n">
        <v>2</v>
      </c>
      <c r="AH8" s="23" t="n">
        <v>2</v>
      </c>
      <c r="AI8" s="23" t="n">
        <v>1</v>
      </c>
      <c r="AJ8" s="3" t="n">
        <v>2</v>
      </c>
      <c r="AK8" s="23" t="n">
        <v>1</v>
      </c>
      <c r="AL8" s="23" t="n">
        <v>2</v>
      </c>
      <c r="AM8" s="23" t="n">
        <v>1</v>
      </c>
      <c r="AN8" s="23" t="n">
        <v>2</v>
      </c>
      <c r="AO8" s="23" t="n">
        <v>2</v>
      </c>
      <c r="AP8" s="23" t="n">
        <v>3</v>
      </c>
      <c r="AQ8" s="23" t="n">
        <v>4</v>
      </c>
      <c r="AR8" s="23" t="n">
        <v>4</v>
      </c>
      <c r="AS8" s="23" t="n">
        <v>6</v>
      </c>
      <c r="AT8" s="23" t="n">
        <v>4</v>
      </c>
      <c r="AU8" s="23" t="n">
        <v>4</v>
      </c>
      <c r="AV8" s="23" t="n">
        <v>6</v>
      </c>
      <c r="AW8" s="23" t="n">
        <v>6</v>
      </c>
      <c r="AX8" s="23" t="n">
        <v>3</v>
      </c>
      <c r="AY8" s="23" t="n">
        <v>3</v>
      </c>
      <c r="AZ8" s="23" t="n">
        <v>1</v>
      </c>
      <c r="BA8" s="5" t="n">
        <v>1</v>
      </c>
      <c r="BB8" s="23" t="n">
        <v>1</v>
      </c>
      <c r="BC8" s="23" t="n">
        <v>1</v>
      </c>
      <c r="BD8" s="23" t="n">
        <v>2</v>
      </c>
      <c r="BE8" s="23" t="n">
        <v>3</v>
      </c>
      <c r="BF8" s="23" t="n">
        <v>5</v>
      </c>
      <c r="BG8" s="23" t="n">
        <v>3</v>
      </c>
      <c r="BH8" s="23" t="n">
        <v>4</v>
      </c>
      <c r="BI8" s="23" t="n">
        <v>1</v>
      </c>
      <c r="BJ8" s="23" t="n">
        <v>1</v>
      </c>
    </row>
    <row r="9" customFormat="false" ht="12.75" hidden="false" customHeight="false" outlineLevel="0" collapsed="false">
      <c r="B9" s="14" t="s">
        <v>126</v>
      </c>
      <c r="C9" s="14" t="s">
        <v>127</v>
      </c>
      <c r="D9" s="14" t="s">
        <v>128</v>
      </c>
      <c r="E9" s="14" t="n">
        <v>161238</v>
      </c>
      <c r="F9" s="22" t="n">
        <v>43364</v>
      </c>
      <c r="G9" s="22" t="n">
        <v>43370</v>
      </c>
      <c r="H9" s="23" t="n">
        <v>6</v>
      </c>
      <c r="I9" s="3" t="n">
        <v>2</v>
      </c>
      <c r="J9" s="3" t="n">
        <v>57</v>
      </c>
      <c r="K9" s="3" t="n">
        <v>2</v>
      </c>
      <c r="L9" s="3" t="n">
        <v>2</v>
      </c>
      <c r="M9" s="3" t="n">
        <v>1</v>
      </c>
      <c r="N9" s="3" t="n">
        <v>2</v>
      </c>
      <c r="O9" s="3" t="n">
        <v>2</v>
      </c>
      <c r="P9" s="3" t="n">
        <v>2</v>
      </c>
      <c r="Q9" s="3" t="n">
        <v>1</v>
      </c>
      <c r="R9" s="3" t="n">
        <v>2</v>
      </c>
      <c r="S9" s="3" t="n">
        <v>1</v>
      </c>
      <c r="T9" s="4" t="n">
        <v>2</v>
      </c>
      <c r="U9" s="3" t="n">
        <v>2</v>
      </c>
      <c r="V9" s="3" t="n">
        <v>5.6</v>
      </c>
      <c r="W9" s="3" t="n">
        <v>1.52</v>
      </c>
      <c r="X9" s="3" t="n">
        <v>14.1</v>
      </c>
      <c r="Y9" s="3" t="n">
        <v>341</v>
      </c>
      <c r="AA9" s="3" t="n">
        <v>0.49</v>
      </c>
      <c r="AB9" s="3" t="n">
        <v>17.6</v>
      </c>
      <c r="AC9" s="23" t="n">
        <v>1</v>
      </c>
      <c r="AD9" s="23" t="n">
        <v>1</v>
      </c>
      <c r="AE9" s="23" t="n">
        <v>1</v>
      </c>
      <c r="AF9" s="23" t="n">
        <v>1</v>
      </c>
      <c r="AG9" s="23" t="n">
        <v>2</v>
      </c>
      <c r="AH9" s="23" t="n">
        <v>2</v>
      </c>
      <c r="AI9" s="23" t="n">
        <v>1</v>
      </c>
      <c r="AJ9" s="3" t="n">
        <v>1</v>
      </c>
      <c r="AK9" s="23" t="n">
        <v>1</v>
      </c>
      <c r="AL9" s="23" t="n">
        <v>2</v>
      </c>
      <c r="AM9" s="23" t="n">
        <v>2</v>
      </c>
      <c r="AN9" s="23" t="n">
        <v>2</v>
      </c>
      <c r="AO9" s="23" t="n">
        <v>2</v>
      </c>
      <c r="AP9" s="23" t="n">
        <v>2</v>
      </c>
      <c r="AQ9" s="23" t="n">
        <v>2</v>
      </c>
      <c r="AR9" s="23" t="n">
        <v>7</v>
      </c>
      <c r="AS9" s="23" t="n">
        <v>4</v>
      </c>
      <c r="AT9" s="23" t="n">
        <v>2</v>
      </c>
      <c r="AU9" s="23" t="n">
        <v>1</v>
      </c>
      <c r="AV9" s="23" t="n">
        <v>1</v>
      </c>
      <c r="AW9" s="23" t="n">
        <v>1</v>
      </c>
      <c r="AX9" s="23" t="n">
        <v>2</v>
      </c>
      <c r="AY9" s="23" t="n">
        <v>2</v>
      </c>
      <c r="AZ9" s="23" t="n">
        <v>1</v>
      </c>
      <c r="BA9" s="5" t="n">
        <v>1</v>
      </c>
      <c r="BB9" s="23" t="n">
        <v>1</v>
      </c>
      <c r="BC9" s="23" t="n">
        <v>1</v>
      </c>
      <c r="BD9" s="23" t="n">
        <v>4</v>
      </c>
      <c r="BE9" s="23" t="n">
        <v>3</v>
      </c>
      <c r="BF9" s="23" t="n">
        <v>5</v>
      </c>
      <c r="BG9" s="23" t="n">
        <v>3</v>
      </c>
      <c r="BH9" s="23" t="n">
        <v>4</v>
      </c>
      <c r="BI9" s="23" t="n">
        <v>1</v>
      </c>
      <c r="BJ9" s="23" t="n">
        <v>1</v>
      </c>
    </row>
    <row r="10" customFormat="false" ht="12.75" hidden="false" customHeight="false" outlineLevel="0" collapsed="false">
      <c r="B10" s="2" t="s">
        <v>130</v>
      </c>
      <c r="C10" s="2" t="s">
        <v>131</v>
      </c>
      <c r="D10" s="2" t="s">
        <v>94</v>
      </c>
      <c r="E10" s="32" t="s">
        <v>132</v>
      </c>
      <c r="F10" s="15" t="n">
        <v>43363</v>
      </c>
      <c r="G10" s="15" t="n">
        <v>43370</v>
      </c>
      <c r="H10" s="3" t="n">
        <v>7</v>
      </c>
      <c r="I10" s="3" t="n">
        <v>2</v>
      </c>
      <c r="J10" s="3" t="n">
        <v>56</v>
      </c>
      <c r="K10" s="3" t="n">
        <v>1</v>
      </c>
      <c r="L10" s="3" t="n">
        <v>1</v>
      </c>
      <c r="M10" s="3" t="n">
        <v>2</v>
      </c>
      <c r="N10" s="3" t="n">
        <v>2</v>
      </c>
      <c r="O10" s="3" t="n">
        <v>2</v>
      </c>
      <c r="P10" s="3" t="n">
        <v>2</v>
      </c>
      <c r="Q10" s="3" t="n">
        <v>2</v>
      </c>
      <c r="R10" s="3" t="n">
        <v>2</v>
      </c>
      <c r="S10" s="3" t="n">
        <v>2</v>
      </c>
      <c r="T10" s="4" t="n">
        <v>2</v>
      </c>
      <c r="U10" s="3" t="n">
        <v>1</v>
      </c>
      <c r="V10" s="3" t="n">
        <v>5.4</v>
      </c>
      <c r="W10" s="3" t="n">
        <v>0.83</v>
      </c>
      <c r="X10" s="3" t="n">
        <v>3.8</v>
      </c>
      <c r="Y10" s="3" t="n">
        <v>367</v>
      </c>
      <c r="AA10" s="3" t="n">
        <v>0.42</v>
      </c>
      <c r="AB10" s="3" t="n">
        <v>10.4</v>
      </c>
      <c r="AC10" s="3" t="n">
        <v>1</v>
      </c>
      <c r="AD10" s="3" t="n">
        <v>1</v>
      </c>
      <c r="AE10" s="3" t="n">
        <v>1</v>
      </c>
      <c r="AF10" s="3" t="n">
        <v>1</v>
      </c>
      <c r="AG10" s="3" t="n">
        <v>2</v>
      </c>
      <c r="AH10" s="3" t="n">
        <v>2</v>
      </c>
      <c r="AI10" s="3" t="n">
        <v>1</v>
      </c>
      <c r="AJ10" s="3" t="n">
        <v>2</v>
      </c>
      <c r="AK10" s="3" t="n">
        <v>2</v>
      </c>
      <c r="AL10" s="3" t="n">
        <v>2</v>
      </c>
      <c r="AM10" s="3" t="n">
        <v>2</v>
      </c>
      <c r="AN10" s="3" t="n">
        <v>2</v>
      </c>
      <c r="AO10" s="3" t="n">
        <v>2</v>
      </c>
      <c r="AP10" s="3" t="n">
        <v>3</v>
      </c>
      <c r="AQ10" s="3" t="n">
        <v>4</v>
      </c>
      <c r="AR10" s="3" t="n">
        <v>4</v>
      </c>
      <c r="AS10" s="3" t="n">
        <v>6</v>
      </c>
      <c r="AT10" s="3" t="n">
        <v>4</v>
      </c>
      <c r="AU10" s="3" t="n">
        <v>4</v>
      </c>
      <c r="AV10" s="3" t="n">
        <v>6</v>
      </c>
      <c r="AW10" s="3" t="n">
        <v>6</v>
      </c>
      <c r="AX10" s="3" t="n">
        <v>3</v>
      </c>
      <c r="AY10" s="3" t="n">
        <v>3</v>
      </c>
      <c r="AZ10" s="3" t="n">
        <v>1</v>
      </c>
      <c r="BA10" s="5" t="n">
        <v>1</v>
      </c>
      <c r="BB10" s="3" t="n">
        <v>1</v>
      </c>
      <c r="BC10" s="3" t="n">
        <v>1</v>
      </c>
      <c r="BD10" s="3" t="n">
        <v>4</v>
      </c>
      <c r="BE10" s="3" t="n">
        <v>1</v>
      </c>
      <c r="BF10" s="3" t="n">
        <v>2</v>
      </c>
      <c r="BG10" s="3" t="n">
        <v>1</v>
      </c>
      <c r="BH10" s="3" t="n">
        <v>4</v>
      </c>
      <c r="BI10" s="3" t="n">
        <v>1</v>
      </c>
      <c r="BJ10" s="3" t="n">
        <v>1</v>
      </c>
    </row>
    <row r="11" customFormat="false" ht="12.75" hidden="false" customHeight="false" outlineLevel="0" collapsed="false">
      <c r="B11" s="2" t="s">
        <v>137</v>
      </c>
      <c r="C11" s="2" t="s">
        <v>66</v>
      </c>
      <c r="D11" s="2" t="s">
        <v>138</v>
      </c>
      <c r="E11" s="2" t="n">
        <v>161234</v>
      </c>
      <c r="F11" s="15" t="n">
        <v>43364</v>
      </c>
      <c r="G11" s="15" t="n">
        <v>43370</v>
      </c>
      <c r="H11" s="3" t="n">
        <v>6</v>
      </c>
      <c r="I11" s="3" t="n">
        <v>1</v>
      </c>
      <c r="J11" s="3" t="n">
        <v>62</v>
      </c>
      <c r="K11" s="3" t="n">
        <v>1</v>
      </c>
      <c r="L11" s="3" t="n">
        <v>1</v>
      </c>
      <c r="M11" s="3" t="n">
        <v>1</v>
      </c>
      <c r="N11" s="3" t="n">
        <v>2</v>
      </c>
      <c r="O11" s="3" t="n">
        <v>1</v>
      </c>
      <c r="P11" s="3" t="n">
        <v>2</v>
      </c>
      <c r="Q11" s="3" t="n">
        <v>2</v>
      </c>
      <c r="R11" s="3" t="n">
        <v>2</v>
      </c>
      <c r="S11" s="3" t="n">
        <v>2</v>
      </c>
      <c r="T11" s="4" t="n">
        <v>2</v>
      </c>
      <c r="U11" s="3" t="n">
        <v>2</v>
      </c>
      <c r="V11" s="3"/>
      <c r="W11" s="3" t="n">
        <v>1.97</v>
      </c>
      <c r="X11" s="3" t="n">
        <v>6.8</v>
      </c>
      <c r="Y11" s="3" t="n">
        <v>571</v>
      </c>
      <c r="AA11" s="3"/>
      <c r="AB11" s="3"/>
      <c r="AC11" s="3" t="n">
        <v>1</v>
      </c>
      <c r="AD11" s="3" t="n">
        <v>2</v>
      </c>
      <c r="AE11" s="3" t="n">
        <v>1</v>
      </c>
      <c r="AF11" s="3" t="n">
        <v>1</v>
      </c>
      <c r="AG11" s="3" t="n">
        <v>2</v>
      </c>
      <c r="AH11" s="3" t="n">
        <v>2</v>
      </c>
      <c r="AI11" s="3" t="n">
        <v>1</v>
      </c>
      <c r="AJ11" s="3" t="n">
        <v>2</v>
      </c>
      <c r="AK11" s="3" t="n">
        <v>2</v>
      </c>
      <c r="AL11" s="3" t="n">
        <v>2</v>
      </c>
      <c r="AM11" s="3" t="n">
        <v>1</v>
      </c>
      <c r="AN11" s="3" t="n">
        <v>2</v>
      </c>
      <c r="AO11" s="3" t="n">
        <v>2</v>
      </c>
      <c r="AP11" s="3" t="n">
        <v>3</v>
      </c>
      <c r="AQ11" s="3" t="n">
        <v>4</v>
      </c>
      <c r="AR11" s="3" t="n">
        <v>4</v>
      </c>
      <c r="AS11" s="3" t="n">
        <v>6</v>
      </c>
      <c r="AT11" s="3" t="n">
        <v>4</v>
      </c>
      <c r="AU11" s="3" t="n">
        <v>4</v>
      </c>
      <c r="AV11" s="3" t="n">
        <v>6</v>
      </c>
      <c r="AW11" s="3" t="n">
        <v>6</v>
      </c>
      <c r="AX11" s="3" t="n">
        <v>3</v>
      </c>
      <c r="AY11" s="3" t="n">
        <v>3</v>
      </c>
      <c r="AZ11" s="3" t="n">
        <v>1</v>
      </c>
      <c r="BA11" s="5" t="n">
        <v>1</v>
      </c>
      <c r="BB11" s="3" t="n">
        <v>1</v>
      </c>
      <c r="BC11" s="3" t="n">
        <v>1</v>
      </c>
      <c r="BD11" s="3" t="n">
        <v>4</v>
      </c>
      <c r="BE11" s="3" t="n">
        <v>3</v>
      </c>
      <c r="BF11" s="3" t="n">
        <v>5</v>
      </c>
      <c r="BG11" s="3" t="n">
        <v>3</v>
      </c>
      <c r="BH11" s="3" t="n">
        <v>4</v>
      </c>
      <c r="BI11" s="3" t="n">
        <v>1</v>
      </c>
      <c r="BJ11" s="3" t="n">
        <v>1</v>
      </c>
    </row>
    <row r="12" customFormat="false" ht="12.75" hidden="false" customHeight="false" outlineLevel="0" collapsed="false">
      <c r="B12" s="2" t="s">
        <v>163</v>
      </c>
      <c r="C12" s="2" t="s">
        <v>164</v>
      </c>
      <c r="D12" s="2" t="s">
        <v>165</v>
      </c>
      <c r="E12" s="2" t="n">
        <v>161536</v>
      </c>
      <c r="F12" s="15" t="n">
        <v>43371</v>
      </c>
      <c r="G12" s="15" t="n">
        <v>43376</v>
      </c>
      <c r="H12" s="3" t="n">
        <v>5</v>
      </c>
      <c r="I12" s="3" t="n">
        <v>2</v>
      </c>
      <c r="J12" s="3" t="n">
        <v>64</v>
      </c>
      <c r="K12" s="3" t="n">
        <v>1</v>
      </c>
      <c r="L12" s="3" t="n">
        <v>2</v>
      </c>
      <c r="M12" s="3" t="n">
        <v>1</v>
      </c>
      <c r="N12" s="3" t="n">
        <v>1</v>
      </c>
      <c r="O12" s="3" t="n">
        <v>2</v>
      </c>
      <c r="P12" s="3" t="n">
        <v>2</v>
      </c>
      <c r="Q12" s="3" t="n">
        <v>2</v>
      </c>
      <c r="R12" s="3" t="n">
        <v>2</v>
      </c>
      <c r="S12" s="3" t="n">
        <v>2</v>
      </c>
      <c r="T12" s="4" t="n">
        <v>2</v>
      </c>
      <c r="U12" s="3" t="n">
        <v>2</v>
      </c>
      <c r="V12" s="3" t="n">
        <v>6.19</v>
      </c>
      <c r="W12" s="3" t="n">
        <v>1.98</v>
      </c>
      <c r="X12" s="3" t="n">
        <v>7.2</v>
      </c>
      <c r="Y12" s="3" t="n">
        <v>388</v>
      </c>
      <c r="AA12" s="3" t="n">
        <v>0.41</v>
      </c>
      <c r="AB12" s="3" t="n">
        <v>13.4</v>
      </c>
      <c r="AC12" s="3" t="n">
        <v>1</v>
      </c>
      <c r="AD12" s="3" t="n">
        <v>2</v>
      </c>
      <c r="AE12" s="3" t="n">
        <v>1</v>
      </c>
      <c r="AF12" s="3" t="n">
        <v>1</v>
      </c>
      <c r="AG12" s="3" t="n">
        <v>2</v>
      </c>
      <c r="AH12" s="3" t="n">
        <v>1</v>
      </c>
      <c r="AI12" s="3" t="n">
        <v>1</v>
      </c>
      <c r="AJ12" s="3" t="n">
        <v>2</v>
      </c>
      <c r="AK12" s="3" t="n">
        <v>2</v>
      </c>
      <c r="AL12" s="3" t="n">
        <v>2</v>
      </c>
      <c r="AM12" s="3" t="n">
        <v>2</v>
      </c>
      <c r="AN12" s="3" t="n">
        <v>2</v>
      </c>
      <c r="AO12" s="3" t="n">
        <v>2</v>
      </c>
      <c r="AP12" s="3" t="n">
        <v>2</v>
      </c>
      <c r="AQ12" s="3" t="n">
        <v>3</v>
      </c>
      <c r="AR12" s="3" t="n">
        <v>3</v>
      </c>
      <c r="AS12" s="3" t="n">
        <v>4</v>
      </c>
      <c r="AT12" s="3" t="n">
        <v>2</v>
      </c>
      <c r="AU12" s="3" t="n">
        <v>1</v>
      </c>
      <c r="AV12" s="3" t="n">
        <v>1</v>
      </c>
      <c r="AW12" s="3" t="n">
        <v>1</v>
      </c>
      <c r="AX12" s="3" t="n">
        <v>2</v>
      </c>
      <c r="AY12" s="3" t="n">
        <v>2</v>
      </c>
      <c r="AZ12" s="3" t="n">
        <v>1</v>
      </c>
      <c r="BA12" s="5" t="n">
        <v>1</v>
      </c>
      <c r="BB12" s="3" t="n">
        <v>1</v>
      </c>
      <c r="BC12" s="3" t="n">
        <v>1</v>
      </c>
      <c r="BD12" s="3" t="n">
        <v>4</v>
      </c>
      <c r="BE12" s="3" t="n">
        <v>4</v>
      </c>
      <c r="BF12" s="3" t="n">
        <v>5</v>
      </c>
      <c r="BG12" s="3" t="n">
        <v>3</v>
      </c>
      <c r="BH12" s="3" t="n">
        <v>4</v>
      </c>
      <c r="BI12" s="3" t="n">
        <v>1</v>
      </c>
      <c r="BJ12" s="3" t="n">
        <v>1</v>
      </c>
    </row>
    <row r="13" customFormat="false" ht="12.75" hidden="false" customHeight="false" outlineLevel="0" collapsed="false">
      <c r="B13" s="2" t="s">
        <v>174</v>
      </c>
      <c r="C13" s="2" t="s">
        <v>127</v>
      </c>
      <c r="D13" s="2" t="s">
        <v>175</v>
      </c>
      <c r="E13" s="2" t="n">
        <v>161437</v>
      </c>
      <c r="F13" s="15" t="n">
        <v>43368</v>
      </c>
      <c r="G13" s="15" t="n">
        <v>43377</v>
      </c>
      <c r="H13" s="3" t="n">
        <v>9</v>
      </c>
      <c r="I13" s="3" t="n">
        <v>2</v>
      </c>
      <c r="J13" s="3" t="n">
        <v>54</v>
      </c>
      <c r="K13" s="3" t="n">
        <v>1</v>
      </c>
      <c r="L13" s="3" t="n">
        <v>1</v>
      </c>
      <c r="M13" s="3" t="n">
        <v>1</v>
      </c>
      <c r="N13" s="3" t="n">
        <v>2</v>
      </c>
      <c r="O13" s="3" t="n">
        <v>2</v>
      </c>
      <c r="P13" s="3" t="n">
        <v>2</v>
      </c>
      <c r="Q13" s="3" t="n">
        <v>2</v>
      </c>
      <c r="R13" s="3" t="n">
        <v>2</v>
      </c>
      <c r="S13" s="3" t="n">
        <v>2</v>
      </c>
      <c r="T13" s="4" t="n">
        <v>2</v>
      </c>
      <c r="U13" s="3" t="n">
        <v>2</v>
      </c>
      <c r="V13" s="3" t="n">
        <v>6.23</v>
      </c>
      <c r="W13" s="3" t="n">
        <v>1.87</v>
      </c>
      <c r="X13" s="3" t="n">
        <v>4.5</v>
      </c>
      <c r="Y13" s="3" t="n">
        <v>296</v>
      </c>
      <c r="AA13" s="3" t="n">
        <v>0.33</v>
      </c>
      <c r="AB13" s="3" t="n">
        <v>6.6</v>
      </c>
      <c r="AC13" s="3" t="n">
        <v>1</v>
      </c>
      <c r="AD13" s="3" t="n">
        <v>2</v>
      </c>
      <c r="AE13" s="3" t="n">
        <v>1</v>
      </c>
      <c r="AF13" s="3" t="n">
        <v>1</v>
      </c>
      <c r="AG13" s="3" t="n">
        <v>1</v>
      </c>
      <c r="AH13" s="3" t="n">
        <v>2</v>
      </c>
      <c r="AI13" s="3" t="n">
        <v>1</v>
      </c>
      <c r="AJ13" s="3" t="n">
        <v>2</v>
      </c>
      <c r="AK13" s="3" t="n">
        <v>2</v>
      </c>
      <c r="AL13" s="3" t="n">
        <v>2</v>
      </c>
      <c r="AM13" s="3" t="n">
        <v>1</v>
      </c>
      <c r="AN13" s="3" t="n">
        <v>2</v>
      </c>
      <c r="AO13" s="3" t="n">
        <v>2</v>
      </c>
      <c r="AP13" s="3" t="n">
        <v>2</v>
      </c>
      <c r="AQ13" s="3" t="n">
        <v>2</v>
      </c>
      <c r="AR13" s="3" t="n">
        <v>7</v>
      </c>
      <c r="AS13" s="3" t="n">
        <v>2</v>
      </c>
      <c r="AT13" s="3" t="n">
        <v>5</v>
      </c>
      <c r="AU13" s="3" t="n">
        <v>1</v>
      </c>
      <c r="AV13" s="3" t="n">
        <v>1</v>
      </c>
      <c r="AW13" s="3" t="n">
        <v>1</v>
      </c>
      <c r="AX13" s="3" t="n">
        <v>2</v>
      </c>
      <c r="AY13" s="3" t="n">
        <v>2</v>
      </c>
      <c r="AZ13" s="3" t="n">
        <v>1</v>
      </c>
      <c r="BA13" s="5" t="n">
        <v>1</v>
      </c>
      <c r="BB13" s="3" t="n">
        <v>1</v>
      </c>
      <c r="BC13" s="3" t="n">
        <v>1</v>
      </c>
      <c r="BD13" s="3" t="n">
        <v>2</v>
      </c>
      <c r="BE13" s="3" t="n">
        <v>3</v>
      </c>
      <c r="BF13" s="3" t="n">
        <v>5</v>
      </c>
      <c r="BG13" s="3" t="n">
        <v>3</v>
      </c>
      <c r="BH13" s="3" t="n">
        <v>4</v>
      </c>
      <c r="BI13" s="3" t="n">
        <v>1</v>
      </c>
      <c r="BJ13" s="3" t="n">
        <v>1</v>
      </c>
    </row>
    <row r="14" customFormat="false" ht="12.75" hidden="false" customHeight="false" outlineLevel="0" collapsed="false">
      <c r="B14" s="2" t="s">
        <v>200</v>
      </c>
      <c r="C14" s="2" t="s">
        <v>201</v>
      </c>
      <c r="D14" s="2" t="s">
        <v>154</v>
      </c>
      <c r="E14" s="2" t="n">
        <v>161590</v>
      </c>
      <c r="F14" s="15" t="n">
        <v>43374</v>
      </c>
      <c r="G14" s="15" t="n">
        <v>43382</v>
      </c>
      <c r="H14" s="3" t="n">
        <v>8</v>
      </c>
      <c r="I14" s="3" t="n">
        <v>2</v>
      </c>
      <c r="J14" s="3" t="n">
        <v>55</v>
      </c>
      <c r="K14" s="3" t="n">
        <v>1</v>
      </c>
      <c r="L14" s="3" t="n">
        <v>1</v>
      </c>
      <c r="M14" s="3" t="n">
        <v>2</v>
      </c>
      <c r="N14" s="3" t="n">
        <v>2</v>
      </c>
      <c r="O14" s="3" t="n">
        <v>2</v>
      </c>
      <c r="P14" s="3" t="n">
        <v>2</v>
      </c>
      <c r="Q14" s="3" t="n">
        <v>2</v>
      </c>
      <c r="R14" s="3" t="n">
        <v>2</v>
      </c>
      <c r="S14" s="3" t="n">
        <v>2</v>
      </c>
      <c r="T14" s="4" t="n">
        <v>2</v>
      </c>
      <c r="U14" s="3" t="n">
        <v>2</v>
      </c>
      <c r="V14" s="3" t="n">
        <v>3.59</v>
      </c>
      <c r="W14" s="3" t="n">
        <v>0.95</v>
      </c>
      <c r="X14" s="3" t="n">
        <v>5.7</v>
      </c>
      <c r="Y14" s="3" t="n">
        <v>313</v>
      </c>
      <c r="AA14" s="3" t="n">
        <v>0.43</v>
      </c>
      <c r="AB14" s="3" t="n">
        <v>8.6</v>
      </c>
      <c r="AC14" s="3" t="n">
        <v>2</v>
      </c>
      <c r="AD14" s="3" t="n">
        <v>1</v>
      </c>
      <c r="AE14" s="3" t="n">
        <v>1</v>
      </c>
      <c r="AF14" s="3" t="n">
        <v>1</v>
      </c>
      <c r="AG14" s="3" t="n">
        <v>1</v>
      </c>
      <c r="AH14" s="3" t="n">
        <v>2</v>
      </c>
      <c r="AI14" s="3" t="n">
        <v>1</v>
      </c>
      <c r="AJ14" s="3" t="n">
        <v>2</v>
      </c>
      <c r="AK14" s="3" t="n">
        <v>2</v>
      </c>
      <c r="AL14" s="3" t="n">
        <v>2</v>
      </c>
      <c r="AM14" s="3" t="n">
        <v>2</v>
      </c>
      <c r="AN14" s="3" t="n">
        <v>2</v>
      </c>
      <c r="AO14" s="3" t="n">
        <v>2</v>
      </c>
      <c r="AP14" s="3" t="n">
        <v>3</v>
      </c>
      <c r="AQ14" s="3" t="n">
        <v>4</v>
      </c>
      <c r="AR14" s="3" t="n">
        <v>4</v>
      </c>
      <c r="AS14" s="3" t="n">
        <v>6</v>
      </c>
      <c r="AT14" s="3" t="n">
        <v>4</v>
      </c>
      <c r="AU14" s="3" t="n">
        <v>4</v>
      </c>
      <c r="AV14" s="3" t="n">
        <v>6</v>
      </c>
      <c r="AW14" s="3" t="n">
        <v>6</v>
      </c>
      <c r="AX14" s="3" t="n">
        <v>3</v>
      </c>
      <c r="AY14" s="3" t="n">
        <v>3</v>
      </c>
      <c r="AZ14" s="3" t="n">
        <v>1</v>
      </c>
      <c r="BA14" s="5" t="n">
        <v>1</v>
      </c>
      <c r="BB14" s="3" t="n">
        <v>1</v>
      </c>
      <c r="BC14" s="3" t="n">
        <v>1</v>
      </c>
      <c r="BD14" s="3" t="n">
        <v>2</v>
      </c>
      <c r="BE14" s="3" t="n">
        <v>1</v>
      </c>
      <c r="BF14" s="3" t="n">
        <v>3</v>
      </c>
      <c r="BG14" s="3" t="n">
        <v>1</v>
      </c>
      <c r="BH14" s="3" t="n">
        <v>4</v>
      </c>
      <c r="BI14" s="3" t="n">
        <v>1</v>
      </c>
      <c r="BJ14" s="3" t="n">
        <v>1</v>
      </c>
    </row>
    <row r="15" customFormat="false" ht="12.75" hidden="false" customHeight="false" outlineLevel="0" collapsed="false">
      <c r="B15" s="2" t="s">
        <v>213</v>
      </c>
      <c r="C15" s="2" t="s">
        <v>214</v>
      </c>
      <c r="D15" s="2" t="s">
        <v>75</v>
      </c>
      <c r="E15" s="2" t="n">
        <v>162269</v>
      </c>
      <c r="F15" s="15" t="n">
        <v>43377</v>
      </c>
      <c r="G15" s="15" t="n">
        <v>43384</v>
      </c>
      <c r="H15" s="3" t="n">
        <v>7</v>
      </c>
      <c r="I15" s="3" t="n">
        <v>2</v>
      </c>
      <c r="J15" s="3" t="n">
        <v>71</v>
      </c>
      <c r="K15" s="3" t="n">
        <v>2</v>
      </c>
      <c r="L15" s="3" t="n">
        <v>1</v>
      </c>
      <c r="M15" s="3" t="n">
        <v>2</v>
      </c>
      <c r="N15" s="3" t="n">
        <v>2</v>
      </c>
      <c r="O15" s="3" t="n">
        <v>2</v>
      </c>
      <c r="P15" s="3" t="n">
        <v>2</v>
      </c>
      <c r="Q15" s="3" t="n">
        <v>2</v>
      </c>
      <c r="R15" s="3" t="n">
        <v>2</v>
      </c>
      <c r="S15" s="3" t="n">
        <v>2</v>
      </c>
      <c r="T15" s="4" t="n">
        <v>2</v>
      </c>
      <c r="U15" s="3" t="n">
        <v>2</v>
      </c>
      <c r="V15" s="3" t="n">
        <v>4.72</v>
      </c>
      <c r="W15" s="3" t="n">
        <v>0.95</v>
      </c>
      <c r="X15" s="3" t="n">
        <v>6.4</v>
      </c>
      <c r="Y15" s="3" t="n">
        <v>337</v>
      </c>
      <c r="AA15" s="3" t="n">
        <v>0.4</v>
      </c>
      <c r="AB15" s="3" t="n">
        <v>8.2</v>
      </c>
      <c r="AC15" s="3" t="n">
        <v>1</v>
      </c>
      <c r="AD15" s="3" t="n">
        <v>2</v>
      </c>
      <c r="AE15" s="3" t="n">
        <v>1</v>
      </c>
      <c r="AF15" s="3" t="n">
        <v>1</v>
      </c>
      <c r="AG15" s="3" t="n">
        <v>2</v>
      </c>
      <c r="AH15" s="3" t="n">
        <v>2</v>
      </c>
      <c r="AI15" s="3" t="n">
        <v>1</v>
      </c>
      <c r="AJ15" s="3" t="n">
        <v>2</v>
      </c>
      <c r="AK15" s="3" t="n">
        <v>2</v>
      </c>
      <c r="AL15" s="3" t="n">
        <v>2</v>
      </c>
      <c r="AM15" s="3" t="n">
        <v>2</v>
      </c>
      <c r="AN15" s="3" t="n">
        <v>2</v>
      </c>
      <c r="AO15" s="3" t="n">
        <v>2</v>
      </c>
      <c r="AP15" s="3" t="n">
        <v>3</v>
      </c>
      <c r="AQ15" s="3" t="n">
        <v>4</v>
      </c>
      <c r="AR15" s="3" t="n">
        <v>4</v>
      </c>
      <c r="AS15" s="3" t="n">
        <v>6</v>
      </c>
      <c r="AT15" s="3" t="n">
        <v>4</v>
      </c>
      <c r="AU15" s="3" t="n">
        <v>4</v>
      </c>
      <c r="AV15" s="3" t="n">
        <v>6</v>
      </c>
      <c r="AW15" s="3" t="n">
        <v>6</v>
      </c>
      <c r="AX15" s="3" t="n">
        <v>3</v>
      </c>
      <c r="AY15" s="3" t="n">
        <v>3</v>
      </c>
      <c r="AZ15" s="3" t="n">
        <v>1</v>
      </c>
      <c r="BA15" s="5" t="n">
        <v>1</v>
      </c>
      <c r="BB15" s="3" t="n">
        <v>1</v>
      </c>
      <c r="BC15" s="3" t="n">
        <v>1</v>
      </c>
      <c r="BD15" s="3" t="n">
        <v>4</v>
      </c>
      <c r="BE15" s="3" t="n">
        <v>1</v>
      </c>
      <c r="BF15" s="3" t="n">
        <v>2</v>
      </c>
      <c r="BG15" s="3" t="n">
        <v>4</v>
      </c>
      <c r="BH15" s="3" t="n">
        <v>4</v>
      </c>
      <c r="BI15" s="3" t="n">
        <v>1</v>
      </c>
      <c r="BJ15" s="3" t="n">
        <v>1</v>
      </c>
    </row>
    <row r="16" customFormat="false" ht="12.75" hidden="false" customHeight="false" outlineLevel="0" collapsed="false">
      <c r="B16" s="2" t="s">
        <v>225</v>
      </c>
      <c r="C16" s="2" t="s">
        <v>226</v>
      </c>
      <c r="D16" s="2" t="s">
        <v>181</v>
      </c>
      <c r="E16" s="2" t="n">
        <v>162402</v>
      </c>
      <c r="F16" s="15" t="n">
        <v>43379</v>
      </c>
      <c r="G16" s="15" t="n">
        <v>43385</v>
      </c>
      <c r="H16" s="3" t="n">
        <v>6</v>
      </c>
      <c r="I16" s="3" t="n">
        <v>2</v>
      </c>
      <c r="J16" s="3" t="n">
        <v>71</v>
      </c>
      <c r="K16" s="3" t="n">
        <v>1</v>
      </c>
      <c r="L16" s="3" t="n">
        <v>1</v>
      </c>
      <c r="M16" s="3" t="n">
        <v>2</v>
      </c>
      <c r="N16" s="3" t="n">
        <v>2</v>
      </c>
      <c r="O16" s="3" t="n">
        <v>2</v>
      </c>
      <c r="P16" s="3" t="n">
        <v>2</v>
      </c>
      <c r="Q16" s="3" t="n">
        <v>2</v>
      </c>
      <c r="R16" s="3" t="n">
        <v>2</v>
      </c>
      <c r="S16" s="3" t="n">
        <v>2</v>
      </c>
      <c r="T16" s="4" t="n">
        <v>2</v>
      </c>
      <c r="U16" s="3" t="n">
        <v>2</v>
      </c>
      <c r="V16" s="3" t="n">
        <v>4.62</v>
      </c>
      <c r="W16" s="3" t="n">
        <v>0.71</v>
      </c>
      <c r="X16" s="3" t="n">
        <v>7.5</v>
      </c>
      <c r="Y16" s="3" t="n">
        <v>471</v>
      </c>
      <c r="AA16" s="3" t="n">
        <v>0.38</v>
      </c>
      <c r="AB16" s="3" t="n">
        <v>6</v>
      </c>
      <c r="AC16" s="3" t="n">
        <v>1</v>
      </c>
      <c r="AD16" s="3" t="n">
        <v>1</v>
      </c>
      <c r="AE16" s="3" t="n">
        <v>1</v>
      </c>
      <c r="AF16" s="3" t="n">
        <v>1</v>
      </c>
      <c r="AG16" s="3" t="n">
        <v>2</v>
      </c>
      <c r="AH16" s="3" t="n">
        <v>2</v>
      </c>
      <c r="AI16" s="3" t="n">
        <v>1</v>
      </c>
      <c r="AJ16" s="3" t="n">
        <v>2</v>
      </c>
      <c r="AK16" s="3" t="n">
        <v>2</v>
      </c>
      <c r="AL16" s="3" t="n">
        <v>2</v>
      </c>
      <c r="AM16" s="3" t="n">
        <v>1</v>
      </c>
      <c r="AN16" s="3" t="n">
        <v>2</v>
      </c>
      <c r="AO16" s="3" t="n">
        <v>2</v>
      </c>
      <c r="AP16" s="3" t="n">
        <v>3</v>
      </c>
      <c r="AQ16" s="3" t="n">
        <v>4</v>
      </c>
      <c r="AR16" s="3" t="n">
        <v>4</v>
      </c>
      <c r="AS16" s="3" t="n">
        <v>6</v>
      </c>
      <c r="AT16" s="3" t="n">
        <v>4</v>
      </c>
      <c r="AU16" s="3" t="n">
        <v>4</v>
      </c>
      <c r="AV16" s="3" t="n">
        <v>6</v>
      </c>
      <c r="AW16" s="3" t="n">
        <v>6</v>
      </c>
      <c r="AX16" s="3" t="n">
        <v>3</v>
      </c>
      <c r="AY16" s="3" t="n">
        <v>3</v>
      </c>
      <c r="AZ16" s="3" t="n">
        <v>1</v>
      </c>
      <c r="BA16" s="5" t="n">
        <v>1</v>
      </c>
      <c r="BB16" s="3" t="n">
        <v>1</v>
      </c>
      <c r="BC16" s="3" t="n">
        <v>1</v>
      </c>
      <c r="BD16" s="3" t="n">
        <v>2</v>
      </c>
      <c r="BE16" s="3" t="n">
        <v>3</v>
      </c>
      <c r="BF16" s="3" t="n">
        <v>5</v>
      </c>
      <c r="BG16" s="3" t="n">
        <v>3</v>
      </c>
      <c r="BH16" s="3" t="n">
        <v>4</v>
      </c>
      <c r="BI16" s="3" t="n">
        <v>1</v>
      </c>
      <c r="BJ16" s="3" t="n">
        <v>1</v>
      </c>
    </row>
    <row r="17" customFormat="false" ht="12.75" hidden="false" customHeight="false" outlineLevel="0" collapsed="false">
      <c r="B17" s="2" t="s">
        <v>228</v>
      </c>
      <c r="C17" s="2" t="s">
        <v>229</v>
      </c>
      <c r="D17" s="2" t="s">
        <v>128</v>
      </c>
      <c r="E17" s="2" t="n">
        <v>161446</v>
      </c>
      <c r="F17" s="15" t="n">
        <v>43368</v>
      </c>
      <c r="G17" s="15" t="n">
        <v>43385</v>
      </c>
      <c r="H17" s="3" t="n">
        <v>17</v>
      </c>
      <c r="I17" s="3" t="n">
        <v>2</v>
      </c>
      <c r="J17" s="3" t="n">
        <v>68</v>
      </c>
      <c r="K17" s="3" t="n">
        <v>1</v>
      </c>
      <c r="L17" s="3" t="n">
        <v>1</v>
      </c>
      <c r="M17" s="3" t="n">
        <v>1</v>
      </c>
      <c r="N17" s="3" t="n">
        <v>2</v>
      </c>
      <c r="O17" s="3" t="n">
        <v>2</v>
      </c>
      <c r="P17" s="3" t="n">
        <v>2</v>
      </c>
      <c r="Q17" s="3" t="n">
        <v>2</v>
      </c>
      <c r="R17" s="3" t="n">
        <v>2</v>
      </c>
      <c r="S17" s="3" t="n">
        <v>2</v>
      </c>
      <c r="T17" s="4" t="n">
        <v>2</v>
      </c>
      <c r="U17" s="3" t="n">
        <v>1</v>
      </c>
      <c r="V17" s="3" t="n">
        <v>3.74</v>
      </c>
      <c r="W17" s="3" t="n">
        <v>1.11</v>
      </c>
      <c r="X17" s="3" t="n">
        <v>5</v>
      </c>
      <c r="Y17" s="3" t="n">
        <v>224</v>
      </c>
      <c r="AA17" s="3" t="n">
        <v>0.36</v>
      </c>
      <c r="AB17" s="3" t="n">
        <v>7.8</v>
      </c>
      <c r="AC17" s="3" t="n">
        <v>1</v>
      </c>
      <c r="AD17" s="3" t="n">
        <v>2</v>
      </c>
      <c r="AE17" s="3" t="n">
        <v>1</v>
      </c>
      <c r="AF17" s="3" t="n">
        <v>1</v>
      </c>
      <c r="AG17" s="3" t="n">
        <v>2</v>
      </c>
      <c r="AH17" s="3" t="n">
        <v>2</v>
      </c>
      <c r="AI17" s="3" t="n">
        <v>1</v>
      </c>
      <c r="AJ17" s="3" t="n">
        <v>2</v>
      </c>
      <c r="AK17" s="3" t="n">
        <v>2</v>
      </c>
      <c r="AL17" s="3" t="n">
        <v>2</v>
      </c>
      <c r="AM17" s="3" t="n">
        <v>2</v>
      </c>
      <c r="AN17" s="3" t="n">
        <v>2</v>
      </c>
      <c r="AO17" s="3" t="n">
        <v>2</v>
      </c>
      <c r="AP17" s="3" t="n">
        <v>2</v>
      </c>
      <c r="AQ17" s="3" t="n">
        <v>3</v>
      </c>
      <c r="AR17" s="3" t="n">
        <v>4</v>
      </c>
      <c r="AS17" s="3" t="n">
        <v>6</v>
      </c>
      <c r="AT17" s="3" t="n">
        <v>4</v>
      </c>
      <c r="AU17" s="3" t="n">
        <v>4</v>
      </c>
      <c r="AV17" s="3" t="n">
        <v>3</v>
      </c>
      <c r="AW17" s="3" t="n">
        <v>6</v>
      </c>
      <c r="AX17" s="3" t="n">
        <v>3</v>
      </c>
      <c r="AY17" s="3" t="n">
        <v>3</v>
      </c>
      <c r="AZ17" s="3" t="n">
        <v>1</v>
      </c>
      <c r="BA17" s="5" t="n">
        <v>1</v>
      </c>
      <c r="BB17" s="3" t="n">
        <v>1</v>
      </c>
      <c r="BC17" s="3" t="n">
        <v>1</v>
      </c>
      <c r="BD17" s="3" t="n">
        <v>2</v>
      </c>
      <c r="BE17" s="3" t="n">
        <v>3</v>
      </c>
      <c r="BF17" s="3" t="n">
        <v>5</v>
      </c>
      <c r="BG17" s="3" t="n">
        <v>3</v>
      </c>
      <c r="BH17" s="3" t="n">
        <v>4</v>
      </c>
      <c r="BI17" s="3" t="n">
        <v>1</v>
      </c>
      <c r="BJ17" s="3" t="n">
        <v>1</v>
      </c>
    </row>
    <row r="18" customFormat="false" ht="12.75" hidden="false" customHeight="false" outlineLevel="0" collapsed="false">
      <c r="B18" s="2" t="s">
        <v>234</v>
      </c>
      <c r="C18" s="2" t="s">
        <v>235</v>
      </c>
      <c r="D18" s="2" t="s">
        <v>236</v>
      </c>
      <c r="E18" s="2" t="n">
        <v>162422</v>
      </c>
      <c r="F18" s="15" t="n">
        <v>43380</v>
      </c>
      <c r="G18" s="15" t="n">
        <v>43388</v>
      </c>
      <c r="H18" s="3" t="n">
        <v>8</v>
      </c>
      <c r="I18" s="3" t="n">
        <v>1</v>
      </c>
      <c r="J18" s="3" t="n">
        <v>64</v>
      </c>
      <c r="K18" s="3" t="n">
        <v>1</v>
      </c>
      <c r="L18" s="3" t="n">
        <v>1</v>
      </c>
      <c r="M18" s="3" t="n">
        <v>1</v>
      </c>
      <c r="N18" s="3" t="n">
        <v>2</v>
      </c>
      <c r="O18" s="3" t="n">
        <v>2</v>
      </c>
      <c r="P18" s="3" t="n">
        <v>2</v>
      </c>
      <c r="Q18" s="3" t="n">
        <v>2</v>
      </c>
      <c r="R18" s="3" t="n">
        <v>2</v>
      </c>
      <c r="S18" s="3" t="n">
        <v>2</v>
      </c>
      <c r="T18" s="4" t="n">
        <v>2</v>
      </c>
      <c r="U18" s="3" t="n">
        <v>2</v>
      </c>
      <c r="V18" s="3" t="n">
        <v>4.78</v>
      </c>
      <c r="W18" s="3" t="n">
        <v>1</v>
      </c>
      <c r="X18" s="3" t="n">
        <v>4.6</v>
      </c>
      <c r="Y18" s="3" t="n">
        <v>549</v>
      </c>
      <c r="AA18" s="3" t="n">
        <v>0.42</v>
      </c>
      <c r="AB18" s="3" t="n">
        <v>6.9</v>
      </c>
      <c r="AC18" s="3" t="n">
        <v>2</v>
      </c>
      <c r="AD18" s="3" t="n">
        <v>2</v>
      </c>
      <c r="AE18" s="3" t="n">
        <v>1</v>
      </c>
      <c r="AF18" s="3" t="n">
        <v>1</v>
      </c>
      <c r="AG18" s="3" t="n">
        <v>2</v>
      </c>
      <c r="AH18" s="3" t="n">
        <v>2</v>
      </c>
      <c r="AI18" s="3" t="n">
        <v>1</v>
      </c>
      <c r="AJ18" s="3" t="n">
        <v>2</v>
      </c>
      <c r="AK18" s="3" t="n">
        <v>2</v>
      </c>
      <c r="AL18" s="3" t="n">
        <v>2</v>
      </c>
      <c r="AM18" s="3" t="n">
        <v>2</v>
      </c>
      <c r="AN18" s="3" t="n">
        <v>2</v>
      </c>
      <c r="AO18" s="3" t="n">
        <v>2</v>
      </c>
      <c r="AP18" s="3" t="n">
        <v>3</v>
      </c>
      <c r="AQ18" s="3" t="n">
        <v>4</v>
      </c>
      <c r="AR18" s="3" t="n">
        <v>4</v>
      </c>
      <c r="AS18" s="3" t="n">
        <v>6</v>
      </c>
      <c r="AT18" s="3" t="n">
        <v>4</v>
      </c>
      <c r="AU18" s="3" t="n">
        <v>4</v>
      </c>
      <c r="AV18" s="3" t="n">
        <v>6</v>
      </c>
      <c r="AW18" s="3" t="n">
        <v>6</v>
      </c>
      <c r="AX18" s="3" t="n">
        <v>3</v>
      </c>
      <c r="AY18" s="3" t="n">
        <v>3</v>
      </c>
      <c r="AZ18" s="3" t="n">
        <v>1</v>
      </c>
      <c r="BA18" s="5" t="n">
        <v>1</v>
      </c>
      <c r="BB18" s="3" t="n">
        <v>1</v>
      </c>
      <c r="BC18" s="3" t="n">
        <v>1</v>
      </c>
      <c r="BD18" s="3" t="n">
        <v>2</v>
      </c>
      <c r="BE18" s="3" t="n">
        <v>1</v>
      </c>
      <c r="BF18" s="3" t="n">
        <v>2</v>
      </c>
      <c r="BG18" s="3" t="n">
        <v>1</v>
      </c>
      <c r="BH18" s="3" t="n">
        <v>4</v>
      </c>
      <c r="BI18" s="3" t="n">
        <v>1</v>
      </c>
      <c r="BJ18" s="3" t="n">
        <v>1</v>
      </c>
    </row>
    <row r="19" customFormat="false" ht="12.75" hidden="false" customHeight="false" outlineLevel="0" collapsed="false">
      <c r="B19" s="2" t="s">
        <v>262</v>
      </c>
      <c r="C19" s="2" t="s">
        <v>263</v>
      </c>
      <c r="D19" s="2" t="s">
        <v>78</v>
      </c>
      <c r="E19" s="2" t="n">
        <v>162446</v>
      </c>
      <c r="F19" s="15" t="n">
        <v>43381</v>
      </c>
      <c r="G19" s="15" t="n">
        <v>43391</v>
      </c>
      <c r="H19" s="3" t="n">
        <v>10</v>
      </c>
      <c r="I19" s="3" t="n">
        <v>2</v>
      </c>
      <c r="J19" s="3" t="n">
        <v>57</v>
      </c>
      <c r="K19" s="3" t="n">
        <v>1</v>
      </c>
      <c r="L19" s="3" t="n">
        <v>1</v>
      </c>
      <c r="M19" s="3" t="n">
        <v>1</v>
      </c>
      <c r="N19" s="3" t="n">
        <v>2</v>
      </c>
      <c r="O19" s="3" t="n">
        <v>1</v>
      </c>
      <c r="P19" s="3" t="n">
        <v>2</v>
      </c>
      <c r="Q19" s="3" t="n">
        <v>1</v>
      </c>
      <c r="R19" s="3" t="n">
        <v>2</v>
      </c>
      <c r="S19" s="3" t="n">
        <v>2</v>
      </c>
      <c r="T19" s="4" t="n">
        <v>2</v>
      </c>
      <c r="U19" s="3" t="n">
        <v>2</v>
      </c>
      <c r="V19" s="3" t="n">
        <v>6.34</v>
      </c>
      <c r="W19" s="3" t="n">
        <v>2.36</v>
      </c>
      <c r="X19" s="3" t="n">
        <v>13.6</v>
      </c>
      <c r="Y19" s="3" t="n">
        <v>271</v>
      </c>
      <c r="AA19" s="3" t="n">
        <v>0.58</v>
      </c>
      <c r="AB19" s="3" t="n">
        <v>9.2</v>
      </c>
      <c r="AC19" s="3" t="n">
        <v>2</v>
      </c>
      <c r="AD19" s="3" t="n">
        <v>2</v>
      </c>
      <c r="AE19" s="3" t="n">
        <v>1</v>
      </c>
      <c r="AF19" s="3" t="n">
        <v>1</v>
      </c>
      <c r="AG19" s="3" t="n">
        <v>1</v>
      </c>
      <c r="AH19" s="3" t="n">
        <v>2</v>
      </c>
      <c r="AI19" s="3" t="n">
        <v>1</v>
      </c>
      <c r="AJ19" s="3" t="n">
        <v>2</v>
      </c>
      <c r="AK19" s="3" t="n">
        <v>1</v>
      </c>
      <c r="AL19" s="3" t="n">
        <v>2</v>
      </c>
      <c r="AM19" s="3" t="n">
        <v>2</v>
      </c>
      <c r="AN19" s="3" t="n">
        <v>2</v>
      </c>
      <c r="AO19" s="3" t="n">
        <v>2</v>
      </c>
      <c r="AP19" s="3" t="n">
        <v>2</v>
      </c>
      <c r="AQ19" s="3" t="n">
        <v>3</v>
      </c>
      <c r="AR19" s="3" t="n">
        <v>8</v>
      </c>
      <c r="AS19" s="3" t="n">
        <v>5</v>
      </c>
      <c r="AT19" s="3" t="n">
        <v>2</v>
      </c>
      <c r="AU19" s="3" t="n">
        <v>1</v>
      </c>
      <c r="AV19" s="3" t="n">
        <v>1</v>
      </c>
      <c r="AW19" s="3" t="n">
        <v>1</v>
      </c>
      <c r="AX19" s="3" t="n">
        <v>2</v>
      </c>
      <c r="AY19" s="3" t="n">
        <v>2</v>
      </c>
      <c r="AZ19" s="3" t="n">
        <v>1</v>
      </c>
      <c r="BA19" s="5" t="n">
        <v>1</v>
      </c>
      <c r="BB19" s="3" t="n">
        <v>1</v>
      </c>
      <c r="BC19" s="3" t="n">
        <v>1</v>
      </c>
      <c r="BD19" s="3" t="n">
        <v>2</v>
      </c>
      <c r="BE19" s="3" t="n">
        <v>1</v>
      </c>
      <c r="BF19" s="3" t="n">
        <v>2</v>
      </c>
      <c r="BG19" s="3" t="n">
        <v>1</v>
      </c>
      <c r="BH19" s="3" t="n">
        <v>4</v>
      </c>
      <c r="BI19" s="3" t="n">
        <v>1</v>
      </c>
      <c r="BJ19" s="3" t="n">
        <v>1</v>
      </c>
    </row>
    <row r="20" customFormat="false" ht="12.75" hidden="false" customHeight="false" outlineLevel="0" collapsed="false">
      <c r="B20" s="2" t="s">
        <v>267</v>
      </c>
      <c r="C20" s="2" t="s">
        <v>268</v>
      </c>
      <c r="D20" s="2" t="s">
        <v>269</v>
      </c>
      <c r="E20" s="2" t="n">
        <v>162556</v>
      </c>
      <c r="F20" s="15" t="n">
        <v>43386</v>
      </c>
      <c r="G20" s="15" t="n">
        <v>43393</v>
      </c>
      <c r="H20" s="3" t="n">
        <v>7</v>
      </c>
      <c r="I20" s="3" t="n">
        <v>2</v>
      </c>
      <c r="J20" s="3" t="n">
        <v>66</v>
      </c>
      <c r="K20" s="3" t="n">
        <v>1</v>
      </c>
      <c r="L20" s="3" t="n">
        <v>1</v>
      </c>
      <c r="M20" s="3" t="n">
        <v>1</v>
      </c>
      <c r="N20" s="3" t="n">
        <v>2</v>
      </c>
      <c r="O20" s="3" t="n">
        <v>2</v>
      </c>
      <c r="P20" s="3" t="n">
        <v>2</v>
      </c>
      <c r="Q20" s="3" t="n">
        <v>2</v>
      </c>
      <c r="R20" s="3" t="n">
        <v>2</v>
      </c>
      <c r="S20" s="3" t="n">
        <v>2</v>
      </c>
      <c r="T20" s="4" t="n">
        <v>2</v>
      </c>
      <c r="U20" s="3" t="n">
        <v>2</v>
      </c>
      <c r="V20" s="3" t="n">
        <v>5.58</v>
      </c>
      <c r="W20" s="3" t="n">
        <v>2.23</v>
      </c>
      <c r="X20" s="3" t="n">
        <v>8.4</v>
      </c>
      <c r="Y20" s="3" t="n">
        <v>337</v>
      </c>
      <c r="AA20" s="3" t="n">
        <v>0.44</v>
      </c>
      <c r="AB20" s="3" t="n">
        <v>10.8</v>
      </c>
      <c r="AC20" s="3" t="n">
        <v>1</v>
      </c>
      <c r="AD20" s="3" t="n">
        <v>1</v>
      </c>
      <c r="AE20" s="3" t="n">
        <v>1</v>
      </c>
      <c r="AF20" s="3" t="n">
        <v>1</v>
      </c>
      <c r="AG20" s="3" t="n">
        <v>2</v>
      </c>
      <c r="AH20" s="3" t="n">
        <v>2</v>
      </c>
      <c r="AI20" s="3" t="n">
        <v>1</v>
      </c>
      <c r="AJ20" s="3" t="n">
        <v>2</v>
      </c>
      <c r="AK20" s="3" t="n">
        <v>2</v>
      </c>
      <c r="AL20" s="3" t="n">
        <v>2</v>
      </c>
      <c r="AM20" s="3" t="n">
        <v>2</v>
      </c>
      <c r="AN20" s="3" t="n">
        <v>2</v>
      </c>
      <c r="AO20" s="3" t="n">
        <v>2</v>
      </c>
      <c r="AP20" s="3" t="n">
        <v>3</v>
      </c>
      <c r="AQ20" s="3" t="n">
        <v>4</v>
      </c>
      <c r="AR20" s="3" t="n">
        <v>4</v>
      </c>
      <c r="AS20" s="3" t="n">
        <v>6</v>
      </c>
      <c r="AT20" s="3" t="n">
        <v>4</v>
      </c>
      <c r="AU20" s="3" t="n">
        <v>4</v>
      </c>
      <c r="AV20" s="3" t="n">
        <v>6</v>
      </c>
      <c r="AW20" s="3" t="n">
        <v>6</v>
      </c>
      <c r="AX20" s="3" t="n">
        <v>3</v>
      </c>
      <c r="AY20" s="3" t="n">
        <v>3</v>
      </c>
      <c r="AZ20" s="3" t="n">
        <v>1</v>
      </c>
      <c r="BA20" s="5" t="n">
        <v>1</v>
      </c>
      <c r="BB20" s="3" t="n">
        <v>1</v>
      </c>
      <c r="BC20" s="3" t="n">
        <v>1</v>
      </c>
      <c r="BD20" s="3" t="n">
        <v>4</v>
      </c>
      <c r="BE20" s="3" t="n">
        <v>1</v>
      </c>
      <c r="BF20" s="3" t="n">
        <v>2</v>
      </c>
      <c r="BG20" s="3" t="n">
        <v>1</v>
      </c>
      <c r="BH20" s="3" t="n">
        <v>4</v>
      </c>
      <c r="BI20" s="3" t="n">
        <v>1</v>
      </c>
      <c r="BJ20" s="3" t="n">
        <v>1</v>
      </c>
    </row>
    <row r="21" customFormat="false" ht="12.75" hidden="false" customHeight="false" outlineLevel="0" collapsed="false">
      <c r="B21" s="2" t="s">
        <v>258</v>
      </c>
      <c r="C21" s="2" t="s">
        <v>303</v>
      </c>
      <c r="D21" s="2" t="s">
        <v>304</v>
      </c>
      <c r="E21" s="2" t="n">
        <v>163068</v>
      </c>
      <c r="F21" s="15" t="n">
        <v>43391</v>
      </c>
      <c r="G21" s="15" t="n">
        <v>43398</v>
      </c>
      <c r="H21" s="3" t="n">
        <v>7</v>
      </c>
      <c r="I21" s="3" t="n">
        <v>2</v>
      </c>
      <c r="J21" s="3" t="n">
        <v>59</v>
      </c>
      <c r="K21" s="3" t="n">
        <v>1</v>
      </c>
      <c r="L21" s="3" t="n">
        <v>1</v>
      </c>
      <c r="M21" s="3" t="n">
        <v>1</v>
      </c>
      <c r="N21" s="3" t="n">
        <v>2</v>
      </c>
      <c r="O21" s="3" t="n">
        <v>2</v>
      </c>
      <c r="P21" s="3" t="n">
        <v>2</v>
      </c>
      <c r="Q21" s="3" t="n">
        <v>2</v>
      </c>
      <c r="R21" s="3" t="n">
        <v>2</v>
      </c>
      <c r="S21" s="3" t="n">
        <v>1</v>
      </c>
      <c r="T21" s="4" t="n">
        <v>2</v>
      </c>
      <c r="U21" s="3" t="n">
        <v>2</v>
      </c>
      <c r="V21" s="3" t="n">
        <v>5.73</v>
      </c>
      <c r="W21" s="3" t="n">
        <v>2</v>
      </c>
      <c r="X21" s="3" t="n">
        <v>5.2</v>
      </c>
      <c r="Y21" s="3" t="n">
        <v>341</v>
      </c>
      <c r="AA21" s="3" t="n">
        <v>0.4</v>
      </c>
      <c r="AB21" s="3" t="n">
        <v>7</v>
      </c>
      <c r="AC21" s="3" t="n">
        <v>1</v>
      </c>
      <c r="AD21" s="3" t="n">
        <v>2</v>
      </c>
      <c r="AE21" s="3" t="n">
        <v>1</v>
      </c>
      <c r="AF21" s="3" t="n">
        <v>1</v>
      </c>
      <c r="AG21" s="3" t="n">
        <v>2</v>
      </c>
      <c r="AH21" s="3" t="n">
        <v>2</v>
      </c>
      <c r="AI21" s="3" t="n">
        <v>1</v>
      </c>
      <c r="AJ21" s="3" t="n">
        <v>1</v>
      </c>
      <c r="AK21" s="3" t="n">
        <v>2</v>
      </c>
      <c r="AL21" s="3" t="n">
        <v>2</v>
      </c>
      <c r="AM21" s="3" t="n">
        <v>2</v>
      </c>
      <c r="AN21" s="3" t="n">
        <v>2</v>
      </c>
      <c r="AO21" s="3" t="n">
        <v>2</v>
      </c>
      <c r="AP21" s="3" t="n">
        <v>3</v>
      </c>
      <c r="AQ21" s="3" t="n">
        <v>4</v>
      </c>
      <c r="AR21" s="3" t="n">
        <v>4</v>
      </c>
      <c r="AS21" s="3" t="n">
        <v>6</v>
      </c>
      <c r="AT21" s="3" t="n">
        <v>4</v>
      </c>
      <c r="AU21" s="3" t="n">
        <v>4</v>
      </c>
      <c r="AV21" s="3" t="n">
        <v>6</v>
      </c>
      <c r="AW21" s="3" t="n">
        <v>6</v>
      </c>
      <c r="AX21" s="3" t="n">
        <v>3</v>
      </c>
      <c r="AY21" s="3" t="n">
        <v>3</v>
      </c>
      <c r="AZ21" s="3" t="n">
        <v>1</v>
      </c>
      <c r="BA21" s="5" t="n">
        <v>1</v>
      </c>
      <c r="BB21" s="3" t="n">
        <v>1</v>
      </c>
      <c r="BC21" s="3" t="n">
        <v>1</v>
      </c>
      <c r="BD21" s="3" t="n">
        <v>3</v>
      </c>
      <c r="BE21" s="3" t="n">
        <v>1</v>
      </c>
      <c r="BF21" s="3" t="n">
        <v>2</v>
      </c>
      <c r="BG21" s="3" t="n">
        <v>1</v>
      </c>
      <c r="BH21" s="3" t="n">
        <v>4</v>
      </c>
      <c r="BI21" s="3" t="n">
        <v>1</v>
      </c>
      <c r="BJ21" s="3" t="n">
        <v>1</v>
      </c>
    </row>
    <row r="22" customFormat="false" ht="12.75" hidden="false" customHeight="false" outlineLevel="0" collapsed="false">
      <c r="B22" s="2" t="s">
        <v>339</v>
      </c>
      <c r="C22" s="2" t="s">
        <v>340</v>
      </c>
      <c r="D22" s="2" t="s">
        <v>66</v>
      </c>
      <c r="E22" s="2" t="n">
        <v>163381</v>
      </c>
      <c r="F22" s="15" t="n">
        <v>43395</v>
      </c>
      <c r="G22" s="15" t="n">
        <v>43402</v>
      </c>
      <c r="H22" s="3" t="n">
        <v>7</v>
      </c>
      <c r="I22" s="3" t="n">
        <v>1</v>
      </c>
      <c r="J22" s="3" t="n">
        <v>58</v>
      </c>
      <c r="K22" s="3" t="n">
        <v>1</v>
      </c>
      <c r="L22" s="3" t="n">
        <v>2</v>
      </c>
      <c r="M22" s="3" t="n">
        <v>1</v>
      </c>
      <c r="N22" s="3" t="n">
        <v>2</v>
      </c>
      <c r="O22" s="3" t="n">
        <v>1</v>
      </c>
      <c r="P22" s="3" t="n">
        <v>2</v>
      </c>
      <c r="Q22" s="3" t="n">
        <v>1</v>
      </c>
      <c r="R22" s="3" t="n">
        <v>2</v>
      </c>
      <c r="S22" s="3" t="n">
        <v>1</v>
      </c>
      <c r="T22" s="4" t="n">
        <v>2</v>
      </c>
      <c r="U22" s="3" t="n">
        <v>2</v>
      </c>
      <c r="V22" s="3" t="n">
        <v>4.59</v>
      </c>
      <c r="W22" s="3" t="n">
        <v>2.44</v>
      </c>
      <c r="X22" s="3" t="n">
        <v>14.7</v>
      </c>
      <c r="Y22" s="3" t="n">
        <v>269</v>
      </c>
      <c r="AA22" s="3" t="n">
        <v>0.4</v>
      </c>
      <c r="AB22" s="3" t="n">
        <v>10.3</v>
      </c>
      <c r="AC22" s="3" t="n">
        <v>2</v>
      </c>
      <c r="AD22" s="3" t="n">
        <v>2</v>
      </c>
      <c r="AE22" s="3" t="n">
        <v>1</v>
      </c>
      <c r="AF22" s="3" t="n">
        <v>1</v>
      </c>
      <c r="AG22" s="3" t="n">
        <v>2</v>
      </c>
      <c r="AH22" s="3" t="n">
        <v>2</v>
      </c>
      <c r="AI22" s="3" t="n">
        <v>1</v>
      </c>
      <c r="AJ22" s="3" t="n">
        <v>1</v>
      </c>
      <c r="AK22" s="3" t="n">
        <v>2</v>
      </c>
      <c r="AL22" s="3" t="n">
        <v>2</v>
      </c>
      <c r="AM22" s="3" t="n">
        <v>1</v>
      </c>
      <c r="AN22" s="3" t="n">
        <v>2</v>
      </c>
      <c r="AO22" s="3" t="n">
        <v>2</v>
      </c>
      <c r="AP22" s="3" t="n">
        <v>3</v>
      </c>
      <c r="AQ22" s="3" t="n">
        <v>4</v>
      </c>
      <c r="AR22" s="3" t="n">
        <v>4</v>
      </c>
      <c r="AS22" s="3" t="n">
        <v>6</v>
      </c>
      <c r="AT22" s="3" t="n">
        <v>4</v>
      </c>
      <c r="AU22" s="3" t="n">
        <v>4</v>
      </c>
      <c r="AV22" s="3" t="n">
        <v>6</v>
      </c>
      <c r="AW22" s="3" t="n">
        <v>6</v>
      </c>
      <c r="AX22" s="3" t="n">
        <v>3</v>
      </c>
      <c r="AY22" s="3" t="n">
        <v>3</v>
      </c>
      <c r="AZ22" s="3" t="n">
        <v>9</v>
      </c>
      <c r="BA22" s="5" t="n">
        <v>1</v>
      </c>
      <c r="BB22" s="3" t="n">
        <v>1</v>
      </c>
      <c r="BC22" s="3" t="n">
        <v>1</v>
      </c>
      <c r="BD22" s="3" t="n">
        <v>2</v>
      </c>
      <c r="BE22" s="3" t="n">
        <v>3</v>
      </c>
      <c r="BF22" s="3" t="n">
        <v>5</v>
      </c>
      <c r="BG22" s="3" t="n">
        <v>3</v>
      </c>
      <c r="BH22" s="3" t="n">
        <v>4</v>
      </c>
      <c r="BI22" s="3" t="n">
        <v>1</v>
      </c>
      <c r="BJ22" s="3" t="n">
        <v>1</v>
      </c>
    </row>
    <row r="23" customFormat="false" ht="12.75" hidden="false" customHeight="false" outlineLevel="0" collapsed="false">
      <c r="B23" s="26" t="s">
        <v>367</v>
      </c>
      <c r="C23" s="26" t="s">
        <v>368</v>
      </c>
      <c r="D23" s="26" t="s">
        <v>304</v>
      </c>
      <c r="E23" s="26" t="n">
        <v>164001</v>
      </c>
      <c r="F23" s="27" t="n">
        <v>43405</v>
      </c>
      <c r="G23" s="27" t="n">
        <v>43406</v>
      </c>
      <c r="H23" s="30" t="n">
        <v>1</v>
      </c>
      <c r="I23" s="30" t="n">
        <v>1</v>
      </c>
      <c r="J23" s="30" t="n">
        <v>79</v>
      </c>
      <c r="K23" s="30" t="n">
        <v>1</v>
      </c>
      <c r="L23" s="30" t="n">
        <v>2</v>
      </c>
      <c r="M23" s="30" t="n">
        <v>1</v>
      </c>
      <c r="N23" s="30" t="n">
        <v>2</v>
      </c>
      <c r="O23" s="30" t="n">
        <v>1</v>
      </c>
      <c r="P23" s="30" t="n">
        <v>2</v>
      </c>
      <c r="Q23" s="30" t="n">
        <v>2</v>
      </c>
      <c r="R23" s="30" t="n">
        <v>2</v>
      </c>
      <c r="S23" s="30" t="n">
        <v>1</v>
      </c>
      <c r="T23" s="4" t="n">
        <v>2</v>
      </c>
      <c r="U23" s="30" t="n">
        <v>2</v>
      </c>
      <c r="V23" s="30" t="n">
        <v>2.76</v>
      </c>
      <c r="W23" s="30" t="n">
        <v>1.12</v>
      </c>
      <c r="X23" s="30" t="n">
        <v>3</v>
      </c>
      <c r="Y23" s="30" t="n">
        <v>442</v>
      </c>
      <c r="AA23" s="30" t="n">
        <v>0.33</v>
      </c>
      <c r="AB23" s="30" t="n">
        <v>12.9</v>
      </c>
      <c r="AC23" s="30" t="n">
        <v>3</v>
      </c>
      <c r="AD23" s="30" t="n">
        <v>2</v>
      </c>
      <c r="AE23" s="30" t="n">
        <v>1</v>
      </c>
      <c r="AF23" s="30" t="n">
        <v>1</v>
      </c>
      <c r="AG23" s="30" t="n">
        <v>2</v>
      </c>
      <c r="AH23" s="30" t="n">
        <v>2</v>
      </c>
      <c r="AI23" s="30" t="n">
        <v>1</v>
      </c>
      <c r="AJ23" s="30" t="n">
        <v>1</v>
      </c>
      <c r="AK23" s="30" t="n">
        <v>2</v>
      </c>
      <c r="AL23" s="30" t="n">
        <v>2</v>
      </c>
      <c r="AM23" s="30" t="n">
        <v>2</v>
      </c>
      <c r="AN23" s="30" t="n">
        <v>2</v>
      </c>
      <c r="AO23" s="30" t="n">
        <v>2</v>
      </c>
      <c r="AP23" s="30" t="n">
        <v>3</v>
      </c>
      <c r="AQ23" s="30" t="n">
        <v>4</v>
      </c>
      <c r="AR23" s="30" t="n">
        <v>4</v>
      </c>
      <c r="AS23" s="30" t="n">
        <v>6</v>
      </c>
      <c r="AT23" s="30" t="n">
        <v>4</v>
      </c>
      <c r="AU23" s="30" t="n">
        <v>4</v>
      </c>
      <c r="AV23" s="30" t="n">
        <v>6</v>
      </c>
      <c r="AW23" s="30" t="n">
        <v>6</v>
      </c>
      <c r="AX23" s="30" t="n">
        <v>3</v>
      </c>
      <c r="AY23" s="30" t="n">
        <v>3</v>
      </c>
      <c r="AZ23" s="30" t="n">
        <v>10</v>
      </c>
      <c r="BA23" s="5" t="n">
        <v>1</v>
      </c>
      <c r="BB23" s="30" t="n">
        <v>1</v>
      </c>
      <c r="BC23" s="30" t="n">
        <v>2</v>
      </c>
      <c r="BD23" s="30" t="n">
        <v>2</v>
      </c>
      <c r="BE23" s="30" t="n">
        <v>1</v>
      </c>
      <c r="BF23" s="30" t="n">
        <v>2</v>
      </c>
      <c r="BG23" s="30" t="n">
        <v>1</v>
      </c>
      <c r="BH23" s="30" t="n">
        <v>4</v>
      </c>
      <c r="BI23" s="30" t="n">
        <v>2</v>
      </c>
      <c r="BJ23" s="30" t="n">
        <v>1</v>
      </c>
    </row>
    <row r="24" customFormat="false" ht="12.75" hidden="false" customHeight="false" outlineLevel="0" collapsed="false">
      <c r="B24" s="2" t="s">
        <v>374</v>
      </c>
      <c r="C24" s="2" t="s">
        <v>94</v>
      </c>
      <c r="D24" s="2" t="s">
        <v>375</v>
      </c>
      <c r="E24" s="2" t="n">
        <v>163684</v>
      </c>
      <c r="F24" s="15" t="n">
        <v>43398</v>
      </c>
      <c r="G24" s="15" t="n">
        <v>43406</v>
      </c>
      <c r="H24" s="3" t="n">
        <v>7</v>
      </c>
      <c r="I24" s="3" t="n">
        <v>2</v>
      </c>
      <c r="J24" s="3" t="n">
        <v>78</v>
      </c>
      <c r="K24" s="3" t="n">
        <v>1</v>
      </c>
      <c r="L24" s="3" t="n">
        <v>2</v>
      </c>
      <c r="M24" s="3" t="n">
        <v>1</v>
      </c>
      <c r="N24" s="3" t="n">
        <v>2</v>
      </c>
      <c r="O24" s="3" t="n">
        <v>2</v>
      </c>
      <c r="P24" s="3" t="n">
        <v>2</v>
      </c>
      <c r="Q24" s="3" t="n">
        <v>1</v>
      </c>
      <c r="R24" s="3" t="n">
        <v>2</v>
      </c>
      <c r="S24" s="3" t="n">
        <v>1</v>
      </c>
      <c r="T24" s="4" t="n">
        <v>2</v>
      </c>
      <c r="U24" s="3" t="n">
        <v>2</v>
      </c>
      <c r="V24" s="3" t="n">
        <v>5.15</v>
      </c>
      <c r="W24" s="3" t="n">
        <v>1.54</v>
      </c>
      <c r="X24" s="3" t="n">
        <v>10.9</v>
      </c>
      <c r="Y24" s="3" t="n">
        <v>519</v>
      </c>
      <c r="AA24" s="3" t="n">
        <v>0.44</v>
      </c>
      <c r="AB24" s="3" t="n">
        <v>9</v>
      </c>
      <c r="AC24" s="3" t="n">
        <v>2</v>
      </c>
      <c r="AD24" s="3" t="n">
        <v>2</v>
      </c>
      <c r="AE24" s="3" t="n">
        <v>1</v>
      </c>
      <c r="AF24" s="3" t="n">
        <v>1</v>
      </c>
      <c r="AG24" s="3" t="n">
        <v>2</v>
      </c>
      <c r="AH24" s="3" t="n">
        <v>2</v>
      </c>
      <c r="AI24" s="3" t="n">
        <v>1</v>
      </c>
      <c r="AJ24" s="3" t="n">
        <v>1</v>
      </c>
      <c r="AK24" s="3" t="n">
        <v>1</v>
      </c>
      <c r="AL24" s="3" t="n">
        <v>2</v>
      </c>
      <c r="AM24" s="3" t="n">
        <v>1</v>
      </c>
      <c r="AN24" s="3" t="n">
        <v>2</v>
      </c>
      <c r="AO24" s="3" t="n">
        <v>2</v>
      </c>
      <c r="AP24" s="3" t="n">
        <v>3</v>
      </c>
      <c r="AQ24" s="3" t="n">
        <v>4</v>
      </c>
      <c r="AR24" s="3" t="n">
        <v>4</v>
      </c>
      <c r="AS24" s="3" t="n">
        <v>6</v>
      </c>
      <c r="AT24" s="3" t="n">
        <v>4</v>
      </c>
      <c r="AU24" s="3" t="n">
        <v>4</v>
      </c>
      <c r="AV24" s="3" t="n">
        <v>6</v>
      </c>
      <c r="AW24" s="3" t="n">
        <v>6</v>
      </c>
      <c r="AX24" s="3" t="n">
        <v>3</v>
      </c>
      <c r="AY24" s="3" t="n">
        <v>3</v>
      </c>
      <c r="AZ24" s="3" t="n">
        <v>4</v>
      </c>
      <c r="BA24" s="5" t="n">
        <v>1</v>
      </c>
      <c r="BB24" s="3" t="n">
        <v>1</v>
      </c>
      <c r="BC24" s="3" t="n">
        <v>1</v>
      </c>
      <c r="BD24" s="3" t="n">
        <v>2</v>
      </c>
      <c r="BE24" s="3" t="n">
        <v>3</v>
      </c>
      <c r="BF24" s="3" t="n">
        <v>5</v>
      </c>
      <c r="BG24" s="3" t="n">
        <v>3</v>
      </c>
      <c r="BH24" s="3" t="n">
        <v>4</v>
      </c>
      <c r="BI24" s="3" t="n">
        <v>1</v>
      </c>
      <c r="BJ24" s="3" t="n">
        <v>1</v>
      </c>
    </row>
    <row r="25" customFormat="false" ht="12.75" hidden="false" customHeight="false" outlineLevel="0" collapsed="false">
      <c r="B25" s="26" t="s">
        <v>380</v>
      </c>
      <c r="C25" s="26" t="s">
        <v>78</v>
      </c>
      <c r="D25" s="26" t="s">
        <v>102</v>
      </c>
      <c r="E25" s="26"/>
      <c r="F25" s="27" t="n">
        <v>43408</v>
      </c>
      <c r="G25" s="27" t="n">
        <v>43408</v>
      </c>
      <c r="H25" s="30" t="n">
        <v>0</v>
      </c>
      <c r="I25" s="30" t="n">
        <v>1</v>
      </c>
      <c r="J25" s="30" t="n">
        <v>85</v>
      </c>
      <c r="K25" s="30" t="n">
        <v>1</v>
      </c>
      <c r="L25" s="30" t="n">
        <v>2</v>
      </c>
      <c r="M25" s="30" t="n">
        <v>1</v>
      </c>
      <c r="N25" s="30" t="n">
        <v>2</v>
      </c>
      <c r="O25" s="30" t="n">
        <v>2</v>
      </c>
      <c r="P25" s="30" t="n">
        <v>2</v>
      </c>
      <c r="Q25" s="30" t="n">
        <v>1</v>
      </c>
      <c r="R25" s="30" t="n">
        <v>2</v>
      </c>
      <c r="S25" s="30" t="n">
        <v>2</v>
      </c>
      <c r="T25" s="4" t="n">
        <v>1</v>
      </c>
      <c r="U25" s="30" t="n">
        <v>1</v>
      </c>
      <c r="V25" s="30"/>
      <c r="W25" s="30"/>
      <c r="X25" s="30"/>
      <c r="Y25" s="30"/>
      <c r="AA25" s="30"/>
      <c r="AB25" s="30"/>
      <c r="AC25" s="30" t="n">
        <v>3</v>
      </c>
      <c r="AD25" s="30" t="n">
        <v>2</v>
      </c>
      <c r="AE25" s="30" t="n">
        <v>1</v>
      </c>
      <c r="AF25" s="30" t="n">
        <v>1</v>
      </c>
      <c r="AG25" s="30" t="n">
        <v>2</v>
      </c>
      <c r="AH25" s="30" t="n">
        <v>2</v>
      </c>
      <c r="AI25" s="30" t="n">
        <v>1</v>
      </c>
      <c r="AJ25" s="30" t="n">
        <v>2</v>
      </c>
      <c r="AK25" s="30" t="n">
        <v>2</v>
      </c>
      <c r="AL25" s="30" t="n">
        <v>2</v>
      </c>
      <c r="AM25" s="30" t="n">
        <v>2</v>
      </c>
      <c r="AN25" s="30" t="n">
        <v>2</v>
      </c>
      <c r="AO25" s="30" t="n">
        <v>2</v>
      </c>
      <c r="AP25" s="30" t="n">
        <v>3</v>
      </c>
      <c r="AQ25" s="30" t="n">
        <v>4</v>
      </c>
      <c r="AR25" s="30" t="n">
        <v>4</v>
      </c>
      <c r="AS25" s="30" t="n">
        <v>6</v>
      </c>
      <c r="AT25" s="30" t="n">
        <v>4</v>
      </c>
      <c r="AU25" s="30" t="n">
        <v>4</v>
      </c>
      <c r="AV25" s="30" t="n">
        <v>6</v>
      </c>
      <c r="AW25" s="30" t="n">
        <v>6</v>
      </c>
      <c r="AX25" s="30" t="n">
        <v>3</v>
      </c>
      <c r="AY25" s="30" t="n">
        <v>3</v>
      </c>
      <c r="AZ25" s="30" t="n">
        <v>6</v>
      </c>
      <c r="BA25" s="5" t="n">
        <v>1</v>
      </c>
      <c r="BB25" s="30" t="n">
        <v>1</v>
      </c>
      <c r="BC25" s="30" t="n">
        <v>2</v>
      </c>
      <c r="BD25" s="30" t="n">
        <v>2</v>
      </c>
      <c r="BE25" s="30" t="n">
        <v>3</v>
      </c>
      <c r="BF25" s="30" t="n">
        <v>5</v>
      </c>
      <c r="BG25" s="30" t="n">
        <v>3</v>
      </c>
      <c r="BH25" s="30" t="n">
        <v>4</v>
      </c>
      <c r="BI25" s="30" t="n">
        <v>1</v>
      </c>
      <c r="BJ25" s="30" t="n">
        <v>1</v>
      </c>
    </row>
    <row r="26" customFormat="false" ht="12.75" hidden="false" customHeight="false" outlineLevel="0" collapsed="false">
      <c r="B26" s="2" t="s">
        <v>171</v>
      </c>
      <c r="C26" s="2" t="s">
        <v>95</v>
      </c>
      <c r="D26" s="2" t="s">
        <v>382</v>
      </c>
      <c r="E26" s="2" t="n">
        <v>163785</v>
      </c>
      <c r="F26" s="15" t="n">
        <v>43402</v>
      </c>
      <c r="G26" s="15" t="n">
        <v>43409</v>
      </c>
      <c r="H26" s="3" t="n">
        <v>8</v>
      </c>
      <c r="I26" s="3" t="n">
        <v>2</v>
      </c>
      <c r="J26" s="3" t="n">
        <v>49</v>
      </c>
      <c r="K26" s="3" t="n">
        <v>1</v>
      </c>
      <c r="L26" s="3" t="n">
        <v>1</v>
      </c>
      <c r="M26" s="3" t="n">
        <v>1</v>
      </c>
      <c r="N26" s="3" t="n">
        <v>2</v>
      </c>
      <c r="O26" s="3" t="n">
        <v>2</v>
      </c>
      <c r="P26" s="3" t="n">
        <v>2</v>
      </c>
      <c r="Q26" s="3" t="n">
        <v>2</v>
      </c>
      <c r="R26" s="3" t="n">
        <v>2</v>
      </c>
      <c r="S26" s="3" t="n">
        <v>1</v>
      </c>
      <c r="T26" s="4" t="n">
        <v>2</v>
      </c>
      <c r="U26" s="3" t="n">
        <v>2</v>
      </c>
      <c r="V26" s="3" t="n">
        <v>4.56</v>
      </c>
      <c r="W26" s="3" t="n">
        <v>1.19</v>
      </c>
      <c r="X26" s="3" t="n">
        <v>6.2</v>
      </c>
      <c r="Y26" s="3" t="n">
        <v>368</v>
      </c>
      <c r="AA26" s="3" t="n">
        <v>0.42</v>
      </c>
      <c r="AB26" s="3" t="n">
        <v>10.8</v>
      </c>
      <c r="AC26" s="3" t="n">
        <v>1</v>
      </c>
      <c r="AD26" s="3" t="n">
        <v>2</v>
      </c>
      <c r="AE26" s="3" t="n">
        <v>1</v>
      </c>
      <c r="AF26" s="3" t="n">
        <v>1</v>
      </c>
      <c r="AG26" s="3" t="n">
        <v>1</v>
      </c>
      <c r="AH26" s="3" t="n">
        <v>2</v>
      </c>
      <c r="AI26" s="3" t="n">
        <v>1</v>
      </c>
      <c r="AJ26" s="3" t="n">
        <v>1</v>
      </c>
      <c r="AK26" s="3" t="n">
        <v>2</v>
      </c>
      <c r="AL26" s="3" t="n">
        <v>2</v>
      </c>
      <c r="AM26" s="3" t="n">
        <v>2</v>
      </c>
      <c r="AN26" s="3" t="n">
        <v>2</v>
      </c>
      <c r="AO26" s="3" t="n">
        <v>2</v>
      </c>
      <c r="AP26" s="3" t="n">
        <v>3</v>
      </c>
      <c r="AQ26" s="3" t="n">
        <v>4</v>
      </c>
      <c r="AR26" s="3" t="n">
        <v>4</v>
      </c>
      <c r="AS26" s="3" t="n">
        <v>6</v>
      </c>
      <c r="AT26" s="3" t="n">
        <v>4</v>
      </c>
      <c r="AU26" s="3" t="n">
        <v>4</v>
      </c>
      <c r="AV26" s="3" t="n">
        <v>6</v>
      </c>
      <c r="AW26" s="3" t="n">
        <v>6</v>
      </c>
      <c r="AX26" s="3" t="n">
        <v>3</v>
      </c>
      <c r="AY26" s="3" t="n">
        <v>3</v>
      </c>
      <c r="AZ26" s="3" t="n">
        <v>1</v>
      </c>
      <c r="BA26" s="5" t="n">
        <v>1</v>
      </c>
      <c r="BB26" s="3" t="n">
        <v>1</v>
      </c>
      <c r="BC26" s="3" t="n">
        <v>1</v>
      </c>
      <c r="BD26" s="3" t="n">
        <v>5</v>
      </c>
      <c r="BE26" s="3" t="n">
        <v>1</v>
      </c>
      <c r="BF26" s="3" t="n">
        <v>2</v>
      </c>
      <c r="BG26" s="3" t="n">
        <v>1</v>
      </c>
      <c r="BH26" s="3" t="n">
        <v>4</v>
      </c>
      <c r="BI26" s="3" t="n">
        <v>1</v>
      </c>
      <c r="BJ26" s="3" t="n">
        <v>1</v>
      </c>
    </row>
    <row r="27" customFormat="false" ht="12.75" hidden="false" customHeight="false" outlineLevel="0" collapsed="false">
      <c r="B27" s="2" t="s">
        <v>401</v>
      </c>
      <c r="C27" s="2" t="s">
        <v>402</v>
      </c>
      <c r="D27" s="2" t="s">
        <v>94</v>
      </c>
      <c r="E27" s="2" t="n">
        <v>164159</v>
      </c>
      <c r="F27" s="15" t="n">
        <v>43408</v>
      </c>
      <c r="G27" s="15" t="n">
        <v>43414</v>
      </c>
      <c r="H27" s="3" t="n">
        <v>6</v>
      </c>
      <c r="I27" s="3" t="n">
        <v>2</v>
      </c>
      <c r="J27" s="3" t="n">
        <v>58</v>
      </c>
      <c r="K27" s="3" t="n">
        <v>1</v>
      </c>
      <c r="L27" s="3" t="n">
        <v>2</v>
      </c>
      <c r="M27" s="3" t="n">
        <v>1</v>
      </c>
      <c r="N27" s="3" t="n">
        <v>2</v>
      </c>
      <c r="O27" s="3" t="n">
        <v>2</v>
      </c>
      <c r="P27" s="3" t="n">
        <v>2</v>
      </c>
      <c r="Q27" s="3" t="n">
        <v>2</v>
      </c>
      <c r="R27" s="3" t="n">
        <v>2</v>
      </c>
      <c r="S27" s="3" t="n">
        <v>2</v>
      </c>
      <c r="T27" s="4" t="n">
        <v>1</v>
      </c>
      <c r="U27" s="3" t="n">
        <v>1</v>
      </c>
      <c r="V27" s="3" t="n">
        <v>4.94</v>
      </c>
      <c r="W27" s="3" t="n">
        <v>2.59</v>
      </c>
      <c r="X27" s="3" t="n">
        <v>6.7</v>
      </c>
      <c r="Y27" s="3" t="n">
        <v>524</v>
      </c>
      <c r="AA27" s="3" t="n">
        <v>0.48</v>
      </c>
      <c r="AB27" s="3" t="n">
        <v>10.5</v>
      </c>
      <c r="AC27" s="3" t="n">
        <v>1</v>
      </c>
      <c r="AD27" s="3" t="n">
        <v>2</v>
      </c>
      <c r="AE27" s="3" t="n">
        <v>1</v>
      </c>
      <c r="AF27" s="3" t="n">
        <v>1</v>
      </c>
      <c r="AG27" s="3" t="n">
        <v>2</v>
      </c>
      <c r="AH27" s="3" t="n">
        <v>2</v>
      </c>
      <c r="AI27" s="3" t="n">
        <v>1</v>
      </c>
      <c r="AJ27" s="3" t="n">
        <v>2</v>
      </c>
      <c r="AK27" s="3" t="n">
        <v>1</v>
      </c>
      <c r="AL27" s="3" t="n">
        <v>2</v>
      </c>
      <c r="AM27" s="3" t="n">
        <v>2</v>
      </c>
      <c r="AN27" s="3" t="n">
        <v>2</v>
      </c>
      <c r="AO27" s="3" t="n">
        <v>2</v>
      </c>
      <c r="AP27" s="3" t="n">
        <v>3</v>
      </c>
      <c r="AQ27" s="3" t="n">
        <v>4</v>
      </c>
      <c r="AR27" s="3" t="n">
        <v>4</v>
      </c>
      <c r="AS27" s="3" t="n">
        <v>6</v>
      </c>
      <c r="AT27" s="3" t="n">
        <v>4</v>
      </c>
      <c r="AU27" s="3" t="n">
        <v>4</v>
      </c>
      <c r="AV27" s="3" t="n">
        <v>6</v>
      </c>
      <c r="AW27" s="3" t="n">
        <v>6</v>
      </c>
      <c r="AX27" s="3" t="n">
        <v>3</v>
      </c>
      <c r="AY27" s="3" t="n">
        <v>3</v>
      </c>
      <c r="AZ27" s="3" t="n">
        <v>1</v>
      </c>
      <c r="BA27" s="5" t="n">
        <v>1</v>
      </c>
      <c r="BB27" s="3" t="n">
        <v>1</v>
      </c>
      <c r="BC27" s="3" t="n">
        <v>1</v>
      </c>
      <c r="BD27" s="3" t="n">
        <v>3</v>
      </c>
      <c r="BE27" s="3" t="n">
        <v>1</v>
      </c>
      <c r="BF27" s="3" t="n">
        <v>2</v>
      </c>
      <c r="BG27" s="3" t="n">
        <v>1</v>
      </c>
      <c r="BH27" s="3" t="n">
        <v>4</v>
      </c>
      <c r="BI27" s="3" t="n">
        <v>1</v>
      </c>
      <c r="BJ27" s="3" t="n">
        <v>1</v>
      </c>
    </row>
    <row r="28" customFormat="false" ht="12.75" hidden="false" customHeight="false" outlineLevel="0" collapsed="false">
      <c r="B28" s="2" t="s">
        <v>435</v>
      </c>
      <c r="C28" s="2" t="s">
        <v>153</v>
      </c>
      <c r="D28" s="2" t="s">
        <v>78</v>
      </c>
      <c r="E28" s="2" t="n">
        <v>163976</v>
      </c>
      <c r="F28" s="15" t="n">
        <v>43405</v>
      </c>
      <c r="G28" s="15" t="n">
        <v>43419</v>
      </c>
      <c r="H28" s="3" t="n">
        <v>14</v>
      </c>
      <c r="I28" s="3" t="n">
        <v>1</v>
      </c>
      <c r="J28" s="3" t="n">
        <v>49</v>
      </c>
      <c r="K28" s="3" t="n">
        <v>1</v>
      </c>
      <c r="L28" s="3" t="n">
        <v>1</v>
      </c>
      <c r="M28" s="3" t="n">
        <v>1</v>
      </c>
      <c r="N28" s="3" t="n">
        <v>2</v>
      </c>
      <c r="O28" s="3" t="n">
        <v>2</v>
      </c>
      <c r="P28" s="3" t="n">
        <v>2</v>
      </c>
      <c r="Q28" s="3" t="n">
        <v>2</v>
      </c>
      <c r="R28" s="3" t="n">
        <v>2</v>
      </c>
      <c r="S28" s="3" t="n">
        <v>2</v>
      </c>
      <c r="T28" s="4" t="n">
        <v>1</v>
      </c>
      <c r="U28" s="3" t="n">
        <v>1</v>
      </c>
      <c r="V28" s="3" t="n">
        <v>6.31</v>
      </c>
      <c r="W28" s="3" t="n">
        <v>1.67</v>
      </c>
      <c r="X28" s="3" t="n">
        <v>6.2</v>
      </c>
      <c r="Y28" s="3" t="n">
        <v>298</v>
      </c>
      <c r="AA28" s="3" t="n">
        <v>0.41</v>
      </c>
      <c r="AB28" s="3" t="n">
        <v>9.7</v>
      </c>
      <c r="AC28" s="3" t="n">
        <v>2</v>
      </c>
      <c r="AD28" s="3" t="n">
        <v>1</v>
      </c>
      <c r="AE28" s="3" t="n">
        <v>1</v>
      </c>
      <c r="AF28" s="3" t="n">
        <v>1</v>
      </c>
      <c r="AG28" s="3" t="n">
        <v>2</v>
      </c>
      <c r="AH28" s="3" t="n">
        <v>2</v>
      </c>
      <c r="AI28" s="3" t="n">
        <v>1</v>
      </c>
      <c r="AJ28" s="3" t="n">
        <v>2</v>
      </c>
      <c r="AK28" s="3" t="n">
        <v>2</v>
      </c>
      <c r="AL28" s="3" t="n">
        <v>2</v>
      </c>
      <c r="AM28" s="3" t="n">
        <v>1</v>
      </c>
      <c r="AN28" s="3" t="n">
        <v>2</v>
      </c>
      <c r="AO28" s="3" t="n">
        <v>2</v>
      </c>
      <c r="AP28" s="3" t="n">
        <v>2</v>
      </c>
      <c r="AQ28" s="3" t="n">
        <v>3</v>
      </c>
      <c r="AR28" s="3" t="n">
        <v>7</v>
      </c>
      <c r="AS28" s="3" t="n">
        <v>2</v>
      </c>
      <c r="AT28" s="3" t="n">
        <v>2</v>
      </c>
      <c r="AU28" s="3" t="n">
        <v>1</v>
      </c>
      <c r="AV28" s="3" t="n">
        <v>1</v>
      </c>
      <c r="AW28" s="3" t="n">
        <v>5</v>
      </c>
      <c r="AX28" s="3" t="n">
        <v>2</v>
      </c>
      <c r="AY28" s="3" t="n">
        <v>2</v>
      </c>
      <c r="AZ28" s="3" t="n">
        <v>1</v>
      </c>
      <c r="BA28" s="5" t="n">
        <v>1</v>
      </c>
      <c r="BB28" s="3" t="n">
        <v>1</v>
      </c>
      <c r="BC28" s="3" t="n">
        <v>1</v>
      </c>
      <c r="BD28" s="3" t="n">
        <v>2</v>
      </c>
      <c r="BE28" s="3" t="n">
        <v>3</v>
      </c>
      <c r="BF28" s="3" t="n">
        <v>5</v>
      </c>
      <c r="BG28" s="3" t="n">
        <v>3</v>
      </c>
      <c r="BH28" s="3" t="n">
        <v>4</v>
      </c>
      <c r="BI28" s="3" t="n">
        <v>1</v>
      </c>
      <c r="BJ28" s="3" t="n">
        <v>1</v>
      </c>
    </row>
    <row r="29" customFormat="false" ht="12.75" hidden="false" customHeight="false" outlineLevel="0" collapsed="false">
      <c r="B29" s="2" t="s">
        <v>437</v>
      </c>
      <c r="C29" s="2" t="s">
        <v>438</v>
      </c>
      <c r="D29" s="2" t="s">
        <v>127</v>
      </c>
      <c r="E29" s="2" t="n">
        <v>164962</v>
      </c>
      <c r="F29" s="15" t="n">
        <v>43415</v>
      </c>
      <c r="G29" s="15" t="n">
        <v>43420</v>
      </c>
      <c r="H29" s="3" t="n">
        <v>5</v>
      </c>
      <c r="I29" s="3" t="n">
        <v>2</v>
      </c>
      <c r="J29" s="3" t="n">
        <v>56</v>
      </c>
      <c r="K29" s="3" t="n">
        <v>1</v>
      </c>
      <c r="L29" s="3" t="n">
        <v>2</v>
      </c>
      <c r="M29" s="3" t="n">
        <v>1</v>
      </c>
      <c r="N29" s="3" t="n">
        <v>2</v>
      </c>
      <c r="O29" s="3" t="n">
        <v>2</v>
      </c>
      <c r="P29" s="3" t="n">
        <v>2</v>
      </c>
      <c r="Q29" s="3" t="n">
        <v>2</v>
      </c>
      <c r="R29" s="3" t="n">
        <v>2</v>
      </c>
      <c r="S29" s="3" t="n">
        <v>2</v>
      </c>
      <c r="T29" s="4" t="n">
        <v>2</v>
      </c>
      <c r="U29" s="3" t="n">
        <v>1</v>
      </c>
      <c r="V29" s="3" t="n">
        <v>6.24</v>
      </c>
      <c r="W29" s="3" t="n">
        <v>1.44</v>
      </c>
      <c r="X29" s="3" t="n">
        <v>5.5</v>
      </c>
      <c r="Y29" s="3" t="n">
        <v>284</v>
      </c>
      <c r="AA29" s="3" t="n">
        <v>0.42</v>
      </c>
      <c r="AB29" s="3" t="n">
        <v>8.7</v>
      </c>
      <c r="AC29" s="3" t="n">
        <v>1</v>
      </c>
      <c r="AD29" s="3" t="n">
        <v>2</v>
      </c>
      <c r="AE29" s="3" t="n">
        <v>1</v>
      </c>
      <c r="AF29" s="3" t="n">
        <v>1</v>
      </c>
      <c r="AG29" s="3" t="n">
        <v>2</v>
      </c>
      <c r="AH29" s="3" t="n">
        <v>2</v>
      </c>
      <c r="AI29" s="3" t="n">
        <v>1</v>
      </c>
      <c r="AJ29" s="3" t="n">
        <v>2</v>
      </c>
      <c r="AK29" s="3" t="n">
        <v>2</v>
      </c>
      <c r="AL29" s="3" t="n">
        <v>2</v>
      </c>
      <c r="AM29" s="3" t="n">
        <v>2</v>
      </c>
      <c r="AN29" s="3" t="n">
        <v>2</v>
      </c>
      <c r="AO29" s="3" t="n">
        <v>2</v>
      </c>
      <c r="AP29" s="3" t="n">
        <v>3</v>
      </c>
      <c r="AQ29" s="3" t="n">
        <v>4</v>
      </c>
      <c r="AR29" s="3" t="n">
        <v>4</v>
      </c>
      <c r="AS29" s="3" t="n">
        <v>6</v>
      </c>
      <c r="AT29" s="3" t="n">
        <v>4</v>
      </c>
      <c r="AU29" s="3" t="n">
        <v>4</v>
      </c>
      <c r="AV29" s="3" t="n">
        <v>6</v>
      </c>
      <c r="AW29" s="3" t="n">
        <v>6</v>
      </c>
      <c r="AX29" s="3" t="n">
        <v>3</v>
      </c>
      <c r="AY29" s="3" t="n">
        <v>3</v>
      </c>
      <c r="AZ29" s="3" t="n">
        <v>1</v>
      </c>
      <c r="BA29" s="5" t="n">
        <v>1</v>
      </c>
      <c r="BB29" s="3" t="n">
        <v>1</v>
      </c>
      <c r="BC29" s="3" t="n">
        <v>1</v>
      </c>
      <c r="BD29" s="3" t="n">
        <v>4</v>
      </c>
      <c r="BE29" s="3" t="n">
        <v>3</v>
      </c>
      <c r="BF29" s="3" t="n">
        <v>5</v>
      </c>
      <c r="BG29" s="3" t="n">
        <v>3</v>
      </c>
      <c r="BH29" s="3" t="n">
        <v>4</v>
      </c>
      <c r="BI29" s="3" t="n">
        <v>1</v>
      </c>
      <c r="BJ29" s="3" t="n">
        <v>1</v>
      </c>
    </row>
    <row r="30" customFormat="false" ht="12.75" hidden="false" customHeight="false" outlineLevel="0" collapsed="false">
      <c r="B30" s="2" t="s">
        <v>445</v>
      </c>
      <c r="C30" s="2" t="s">
        <v>446</v>
      </c>
      <c r="D30" s="2" t="s">
        <v>447</v>
      </c>
      <c r="E30" s="2" t="n">
        <v>164978</v>
      </c>
      <c r="F30" s="15" t="n">
        <v>43416</v>
      </c>
      <c r="G30" s="15" t="n">
        <v>43423</v>
      </c>
      <c r="H30" s="3" t="n">
        <v>7</v>
      </c>
      <c r="I30" s="3" t="n">
        <v>1</v>
      </c>
      <c r="J30" s="3" t="n">
        <v>57</v>
      </c>
      <c r="K30" s="3" t="n">
        <v>1</v>
      </c>
      <c r="L30" s="3" t="n">
        <v>1</v>
      </c>
      <c r="M30" s="3" t="n">
        <v>2</v>
      </c>
      <c r="N30" s="3" t="n">
        <v>2</v>
      </c>
      <c r="O30" s="3" t="n">
        <v>1</v>
      </c>
      <c r="P30" s="3" t="n">
        <v>2</v>
      </c>
      <c r="Q30" s="3" t="n">
        <v>2</v>
      </c>
      <c r="R30" s="3" t="n">
        <v>2</v>
      </c>
      <c r="S30" s="3" t="n">
        <v>2</v>
      </c>
      <c r="T30" s="4" t="n">
        <v>2</v>
      </c>
      <c r="U30" s="3" t="n">
        <v>2</v>
      </c>
      <c r="V30" s="3" t="n">
        <v>8.45</v>
      </c>
      <c r="W30" s="3" t="n">
        <v>2.47</v>
      </c>
      <c r="X30" s="3" t="n">
        <v>5.5</v>
      </c>
      <c r="Y30" s="3" t="n">
        <v>475</v>
      </c>
      <c r="AA30" s="3" t="n">
        <v>0.4</v>
      </c>
      <c r="AB30" s="3" t="n">
        <v>6.9</v>
      </c>
      <c r="AC30" s="3" t="n">
        <v>1</v>
      </c>
      <c r="AD30" s="3" t="n">
        <v>2</v>
      </c>
      <c r="AE30" s="3" t="n">
        <v>1</v>
      </c>
      <c r="AF30" s="3" t="n">
        <v>1</v>
      </c>
      <c r="AG30" s="3" t="n">
        <v>2</v>
      </c>
      <c r="AH30" s="3" t="n">
        <v>2</v>
      </c>
      <c r="AI30" s="3" t="n">
        <v>1</v>
      </c>
      <c r="AJ30" s="3" t="n">
        <v>2</v>
      </c>
      <c r="AK30" s="3" t="n">
        <v>2</v>
      </c>
      <c r="AL30" s="3" t="n">
        <v>2</v>
      </c>
      <c r="AM30" s="3" t="n">
        <v>2</v>
      </c>
      <c r="AN30" s="3" t="n">
        <v>2</v>
      </c>
      <c r="AO30" s="3" t="n">
        <v>2</v>
      </c>
      <c r="AP30" s="3" t="n">
        <v>3</v>
      </c>
      <c r="AQ30" s="3" t="n">
        <v>4</v>
      </c>
      <c r="AR30" s="3" t="n">
        <v>4</v>
      </c>
      <c r="AS30" s="3" t="n">
        <v>6</v>
      </c>
      <c r="AT30" s="3" t="n">
        <v>4</v>
      </c>
      <c r="AU30" s="3" t="n">
        <v>4</v>
      </c>
      <c r="AV30" s="3" t="n">
        <v>6</v>
      </c>
      <c r="AW30" s="3" t="n">
        <v>6</v>
      </c>
      <c r="AX30" s="3" t="n">
        <v>3</v>
      </c>
      <c r="AY30" s="3" t="n">
        <v>3</v>
      </c>
      <c r="AZ30" s="3" t="n">
        <v>1</v>
      </c>
      <c r="BA30" s="5" t="n">
        <v>1</v>
      </c>
      <c r="BB30" s="3" t="n">
        <v>1</v>
      </c>
      <c r="BC30" s="3" t="n">
        <v>1</v>
      </c>
      <c r="BD30" s="3" t="n">
        <v>4</v>
      </c>
      <c r="BE30" s="3" t="n">
        <v>1</v>
      </c>
      <c r="BF30" s="3" t="n">
        <v>2</v>
      </c>
      <c r="BG30" s="3" t="n">
        <v>1</v>
      </c>
      <c r="BH30" s="3" t="n">
        <v>4</v>
      </c>
      <c r="BI30" s="3" t="n">
        <v>1</v>
      </c>
      <c r="BJ30" s="3" t="n">
        <v>1</v>
      </c>
    </row>
    <row r="31" customFormat="false" ht="12.75" hidden="false" customHeight="false" outlineLevel="0" collapsed="false">
      <c r="B31" s="2" t="s">
        <v>473</v>
      </c>
      <c r="C31" s="2" t="s">
        <v>293</v>
      </c>
      <c r="D31" s="2" t="s">
        <v>474</v>
      </c>
      <c r="E31" s="2" t="n">
        <v>165061</v>
      </c>
      <c r="F31" s="15" t="n">
        <v>43419</v>
      </c>
      <c r="G31" s="15" t="n">
        <v>43426</v>
      </c>
      <c r="H31" s="3" t="n">
        <v>7</v>
      </c>
      <c r="I31" s="3" t="n">
        <v>2</v>
      </c>
      <c r="J31" s="3" t="n">
        <v>51</v>
      </c>
      <c r="K31" s="3" t="n">
        <v>2</v>
      </c>
      <c r="L31" s="3" t="n">
        <v>1</v>
      </c>
      <c r="M31" s="3" t="n">
        <v>2</v>
      </c>
      <c r="N31" s="3" t="n">
        <v>2</v>
      </c>
      <c r="O31" s="3" t="n">
        <v>2</v>
      </c>
      <c r="P31" s="3" t="n">
        <v>2</v>
      </c>
      <c r="Q31" s="3" t="n">
        <v>1</v>
      </c>
      <c r="R31" s="3" t="n">
        <v>2</v>
      </c>
      <c r="S31" s="3" t="n">
        <v>2</v>
      </c>
      <c r="T31" s="4" t="n">
        <v>2</v>
      </c>
      <c r="U31" s="3" t="n">
        <v>2</v>
      </c>
      <c r="V31" s="3" t="n">
        <v>5.78</v>
      </c>
      <c r="W31" s="3" t="n">
        <v>0.54</v>
      </c>
      <c r="X31" s="3" t="n">
        <v>21.1</v>
      </c>
      <c r="Y31" s="3" t="n">
        <v>334</v>
      </c>
      <c r="AA31" s="3" t="n">
        <v>0.33</v>
      </c>
      <c r="AB31" s="3" t="n">
        <v>9</v>
      </c>
      <c r="AC31" s="3" t="n">
        <v>1</v>
      </c>
      <c r="AD31" s="3" t="n">
        <v>2</v>
      </c>
      <c r="AE31" s="3" t="n">
        <v>1</v>
      </c>
      <c r="AF31" s="3" t="n">
        <v>1</v>
      </c>
      <c r="AG31" s="3" t="n">
        <v>2</v>
      </c>
      <c r="AH31" s="3" t="n">
        <v>2</v>
      </c>
      <c r="AI31" s="3" t="n">
        <v>1</v>
      </c>
      <c r="AJ31" s="3" t="n">
        <v>2</v>
      </c>
      <c r="AK31" s="3" t="n">
        <v>2</v>
      </c>
      <c r="AL31" s="3" t="n">
        <v>2</v>
      </c>
      <c r="AM31" s="3" t="n">
        <v>2</v>
      </c>
      <c r="AN31" s="3" t="n">
        <v>2</v>
      </c>
      <c r="AO31" s="3" t="n">
        <v>2</v>
      </c>
      <c r="AP31" s="3" t="n">
        <v>3</v>
      </c>
      <c r="AQ31" s="3" t="n">
        <v>4</v>
      </c>
      <c r="AR31" s="3" t="n">
        <v>4</v>
      </c>
      <c r="AS31" s="3" t="n">
        <v>6</v>
      </c>
      <c r="AT31" s="3" t="n">
        <v>4</v>
      </c>
      <c r="AU31" s="3" t="n">
        <v>4</v>
      </c>
      <c r="AV31" s="3" t="n">
        <v>6</v>
      </c>
      <c r="AW31" s="3" t="n">
        <v>6</v>
      </c>
      <c r="AX31" s="3" t="n">
        <v>3</v>
      </c>
      <c r="AY31" s="3" t="n">
        <v>3</v>
      </c>
      <c r="AZ31" s="3" t="n">
        <v>7</v>
      </c>
      <c r="BA31" s="5" t="n">
        <v>1</v>
      </c>
      <c r="BB31" s="3" t="n">
        <v>1</v>
      </c>
      <c r="BC31" s="3" t="n">
        <v>1</v>
      </c>
      <c r="BD31" s="3" t="n">
        <v>4</v>
      </c>
      <c r="BE31" s="3" t="n">
        <v>3</v>
      </c>
      <c r="BF31" s="3" t="n">
        <v>5</v>
      </c>
      <c r="BG31" s="3" t="n">
        <v>3</v>
      </c>
      <c r="BH31" s="3" t="n">
        <v>4</v>
      </c>
      <c r="BI31" s="3" t="n">
        <v>1</v>
      </c>
      <c r="BJ31" s="3" t="n">
        <v>1</v>
      </c>
    </row>
    <row r="32" customFormat="false" ht="12.75" hidden="false" customHeight="false" outlineLevel="0" collapsed="false">
      <c r="B32" s="2" t="s">
        <v>180</v>
      </c>
      <c r="C32" s="2" t="s">
        <v>197</v>
      </c>
      <c r="D32" s="2" t="s">
        <v>386</v>
      </c>
      <c r="E32" s="2" t="n">
        <v>165062</v>
      </c>
      <c r="F32" s="15" t="n">
        <v>43419</v>
      </c>
      <c r="G32" s="15" t="n">
        <v>43426</v>
      </c>
      <c r="H32" s="3" t="n">
        <v>7</v>
      </c>
      <c r="I32" s="3" t="n">
        <v>2</v>
      </c>
      <c r="J32" s="3" t="n">
        <v>46</v>
      </c>
      <c r="K32" s="3" t="n">
        <v>1</v>
      </c>
      <c r="L32" s="3" t="n">
        <v>2</v>
      </c>
      <c r="M32" s="3" t="n">
        <v>2</v>
      </c>
      <c r="N32" s="3" t="n">
        <v>2</v>
      </c>
      <c r="O32" s="3" t="n">
        <v>2</v>
      </c>
      <c r="P32" s="3" t="n">
        <v>2</v>
      </c>
      <c r="Q32" s="3" t="n">
        <v>2</v>
      </c>
      <c r="R32" s="3" t="n">
        <v>2</v>
      </c>
      <c r="S32" s="3" t="n">
        <v>2</v>
      </c>
      <c r="T32" s="4" t="n">
        <v>2</v>
      </c>
      <c r="U32" s="3" t="n">
        <v>4</v>
      </c>
      <c r="V32" s="3" t="n">
        <v>4.76</v>
      </c>
      <c r="W32" s="3" t="n">
        <v>1.49</v>
      </c>
      <c r="X32" s="3" t="n">
        <v>5.7</v>
      </c>
      <c r="Y32" s="3" t="n">
        <v>356</v>
      </c>
      <c r="AA32" s="3" t="n">
        <v>0.41</v>
      </c>
      <c r="AB32" s="3" t="n">
        <v>7</v>
      </c>
      <c r="AC32" s="3" t="n">
        <v>1</v>
      </c>
      <c r="AD32" s="3" t="n">
        <v>2</v>
      </c>
      <c r="AE32" s="3" t="n">
        <v>1</v>
      </c>
      <c r="AF32" s="3" t="n">
        <v>1</v>
      </c>
      <c r="AG32" s="3" t="n">
        <v>2</v>
      </c>
      <c r="AH32" s="3" t="n">
        <v>2</v>
      </c>
      <c r="AI32" s="3" t="n">
        <v>1</v>
      </c>
      <c r="AJ32" s="3" t="n">
        <v>2</v>
      </c>
      <c r="AK32" s="3" t="n">
        <v>2</v>
      </c>
      <c r="AL32" s="3" t="n">
        <v>2</v>
      </c>
      <c r="AM32" s="3" t="n">
        <v>2</v>
      </c>
      <c r="AN32" s="3" t="n">
        <v>2</v>
      </c>
      <c r="AO32" s="3" t="n">
        <v>2</v>
      </c>
      <c r="AP32" s="3" t="n">
        <v>2</v>
      </c>
      <c r="AQ32" s="3" t="n">
        <v>3</v>
      </c>
      <c r="AR32" s="3" t="n">
        <v>7</v>
      </c>
      <c r="AS32" s="3" t="n">
        <v>5</v>
      </c>
      <c r="AT32" s="3" t="n">
        <v>3</v>
      </c>
      <c r="AU32" s="3" t="n">
        <v>1</v>
      </c>
      <c r="AV32" s="3" t="n">
        <v>1</v>
      </c>
      <c r="AW32" s="3" t="n">
        <v>1</v>
      </c>
      <c r="AX32" s="3" t="n">
        <v>2</v>
      </c>
      <c r="AY32" s="3" t="n">
        <v>2</v>
      </c>
      <c r="AZ32" s="3" t="n">
        <v>1</v>
      </c>
      <c r="BA32" s="5" t="n">
        <v>1</v>
      </c>
      <c r="BB32" s="3" t="n">
        <v>1</v>
      </c>
      <c r="BC32" s="3" t="n">
        <v>1</v>
      </c>
      <c r="BD32" s="3" t="n">
        <v>4</v>
      </c>
      <c r="BE32" s="3" t="n">
        <v>1</v>
      </c>
      <c r="BF32" s="3" t="n">
        <v>2</v>
      </c>
      <c r="BG32" s="3" t="n">
        <v>1</v>
      </c>
      <c r="BH32" s="3" t="n">
        <v>4</v>
      </c>
      <c r="BI32" s="3" t="n">
        <v>1</v>
      </c>
      <c r="BJ32" s="3" t="n">
        <v>1</v>
      </c>
    </row>
    <row r="33" customFormat="false" ht="12.75" hidden="false" customHeight="false" outlineLevel="0" collapsed="false">
      <c r="B33" s="2" t="s">
        <v>486</v>
      </c>
      <c r="C33" s="2" t="s">
        <v>127</v>
      </c>
      <c r="D33" s="2" t="s">
        <v>95</v>
      </c>
      <c r="E33" s="2" t="n">
        <v>165065</v>
      </c>
      <c r="F33" s="15" t="n">
        <v>43419</v>
      </c>
      <c r="G33" s="15" t="n">
        <v>43427</v>
      </c>
      <c r="H33" s="3" t="n">
        <v>8</v>
      </c>
      <c r="I33" s="3" t="n">
        <v>2</v>
      </c>
      <c r="J33" s="3" t="n">
        <v>74</v>
      </c>
      <c r="K33" s="3" t="n">
        <v>1</v>
      </c>
      <c r="L33" s="3" t="n">
        <v>2</v>
      </c>
      <c r="M33" s="3" t="n">
        <v>1</v>
      </c>
      <c r="N33" s="3" t="n">
        <v>1</v>
      </c>
      <c r="O33" s="3" t="n">
        <v>2</v>
      </c>
      <c r="P33" s="3" t="n">
        <v>2</v>
      </c>
      <c r="Q33" s="3" t="n">
        <v>2</v>
      </c>
      <c r="R33" s="3" t="n">
        <v>2</v>
      </c>
      <c r="S33" s="3" t="n">
        <v>2</v>
      </c>
      <c r="T33" s="4" t="n">
        <v>2</v>
      </c>
      <c r="U33" s="3" t="n">
        <v>2</v>
      </c>
      <c r="V33" s="3" t="n">
        <v>6.75</v>
      </c>
      <c r="W33" s="3" t="n">
        <v>0.77</v>
      </c>
      <c r="X33" s="3" t="n">
        <v>6.7</v>
      </c>
      <c r="Y33" s="3" t="n">
        <v>255</v>
      </c>
      <c r="AA33" s="3" t="n">
        <v>0.36</v>
      </c>
      <c r="AB33" s="3" t="n">
        <v>9.2</v>
      </c>
      <c r="AC33" s="3" t="n">
        <v>2</v>
      </c>
      <c r="AD33" s="3" t="n">
        <v>2</v>
      </c>
      <c r="AE33" s="3" t="n">
        <v>1</v>
      </c>
      <c r="AF33" s="3" t="n">
        <v>1</v>
      </c>
      <c r="AG33" s="3" t="n">
        <v>2</v>
      </c>
      <c r="AH33" s="3" t="n">
        <v>2</v>
      </c>
      <c r="AI33" s="3" t="n">
        <v>1</v>
      </c>
      <c r="AJ33" s="3" t="n">
        <v>2</v>
      </c>
      <c r="AK33" s="3" t="n">
        <v>2</v>
      </c>
      <c r="AL33" s="3" t="n">
        <v>2</v>
      </c>
      <c r="AM33" s="3" t="n">
        <v>2</v>
      </c>
      <c r="AN33" s="3" t="n">
        <v>2</v>
      </c>
      <c r="AO33" s="3" t="n">
        <v>2</v>
      </c>
      <c r="AP33" s="3" t="n">
        <v>3</v>
      </c>
      <c r="AQ33" s="3" t="n">
        <v>4</v>
      </c>
      <c r="AR33" s="3" t="n">
        <v>4</v>
      </c>
      <c r="AS33" s="3" t="n">
        <v>6</v>
      </c>
      <c r="AT33" s="3" t="n">
        <v>4</v>
      </c>
      <c r="AU33" s="3" t="n">
        <v>4</v>
      </c>
      <c r="AV33" s="3" t="n">
        <v>6</v>
      </c>
      <c r="AW33" s="3" t="n">
        <v>6</v>
      </c>
      <c r="AX33" s="3" t="n">
        <v>3</v>
      </c>
      <c r="AY33" s="3" t="n">
        <v>3</v>
      </c>
      <c r="AZ33" s="3" t="n">
        <v>1</v>
      </c>
      <c r="BA33" s="5" t="n">
        <v>1</v>
      </c>
      <c r="BB33" s="3" t="n">
        <v>1</v>
      </c>
      <c r="BC33" s="3" t="n">
        <v>1</v>
      </c>
      <c r="BD33" s="3" t="n">
        <v>2</v>
      </c>
      <c r="BE33" s="3" t="n">
        <v>1</v>
      </c>
      <c r="BF33" s="3" t="n">
        <v>2</v>
      </c>
      <c r="BG33" s="3" t="n">
        <v>1</v>
      </c>
      <c r="BH33" s="3" t="n">
        <v>4</v>
      </c>
      <c r="BI33" s="3" t="n">
        <v>1</v>
      </c>
      <c r="BJ33" s="3" t="n">
        <v>1</v>
      </c>
    </row>
    <row r="34" customFormat="false" ht="12.75" hidden="false" customHeight="false" outlineLevel="0" collapsed="false">
      <c r="B34" s="2" t="s">
        <v>274</v>
      </c>
      <c r="C34" s="2" t="s">
        <v>127</v>
      </c>
      <c r="D34" s="2" t="s">
        <v>500</v>
      </c>
      <c r="E34" s="2" t="n">
        <v>165231</v>
      </c>
      <c r="F34" s="15" t="n">
        <v>43423</v>
      </c>
      <c r="G34" s="15" t="n">
        <v>43430</v>
      </c>
      <c r="H34" s="3" t="n">
        <v>7</v>
      </c>
      <c r="I34" s="3" t="n">
        <v>2</v>
      </c>
      <c r="J34" s="3" t="n">
        <v>84</v>
      </c>
      <c r="K34" s="3" t="n">
        <v>2</v>
      </c>
      <c r="L34" s="3" t="n">
        <v>1</v>
      </c>
      <c r="M34" s="3" t="n">
        <v>1</v>
      </c>
      <c r="N34" s="3" t="n">
        <v>2</v>
      </c>
      <c r="O34" s="3" t="n">
        <v>2</v>
      </c>
      <c r="P34" s="3" t="n">
        <v>2</v>
      </c>
      <c r="Q34" s="3" t="n">
        <v>2</v>
      </c>
      <c r="R34" s="3" t="n">
        <v>2</v>
      </c>
      <c r="S34" s="3" t="n">
        <v>2</v>
      </c>
      <c r="T34" s="4" t="n">
        <v>2</v>
      </c>
      <c r="U34" s="3" t="n">
        <v>2</v>
      </c>
      <c r="V34" s="3" t="n">
        <v>8.14</v>
      </c>
      <c r="W34" s="3" t="n">
        <v>1.11</v>
      </c>
      <c r="X34" s="3" t="n">
        <v>6.8</v>
      </c>
      <c r="Y34" s="3" t="n">
        <v>413</v>
      </c>
      <c r="AA34" s="3" t="n">
        <v>0.51</v>
      </c>
      <c r="AB34" s="3" t="n">
        <v>14.8</v>
      </c>
      <c r="AC34" s="3" t="n">
        <v>1</v>
      </c>
      <c r="AD34" s="3" t="n">
        <v>2</v>
      </c>
      <c r="AE34" s="3" t="n">
        <v>1</v>
      </c>
      <c r="AF34" s="3" t="n">
        <v>1</v>
      </c>
      <c r="AG34" s="3" t="n">
        <v>2</v>
      </c>
      <c r="AH34" s="3" t="n">
        <v>2</v>
      </c>
      <c r="AI34" s="3" t="n">
        <v>1</v>
      </c>
      <c r="AJ34" s="3" t="n">
        <v>2</v>
      </c>
      <c r="AK34" s="3" t="n">
        <v>2</v>
      </c>
      <c r="AL34" s="3" t="n">
        <v>2</v>
      </c>
      <c r="AM34" s="3" t="n">
        <v>2</v>
      </c>
      <c r="AN34" s="3" t="n">
        <v>2</v>
      </c>
      <c r="AO34" s="3" t="n">
        <v>2</v>
      </c>
      <c r="AP34" s="3" t="n">
        <v>3</v>
      </c>
      <c r="AQ34" s="3" t="n">
        <v>4</v>
      </c>
      <c r="AR34" s="3" t="n">
        <v>4</v>
      </c>
      <c r="AS34" s="3" t="n">
        <v>6</v>
      </c>
      <c r="AT34" s="3" t="n">
        <v>4</v>
      </c>
      <c r="AU34" s="3" t="n">
        <v>4</v>
      </c>
      <c r="AV34" s="3" t="n">
        <v>6</v>
      </c>
      <c r="AW34" s="3" t="n">
        <v>6</v>
      </c>
      <c r="AX34" s="3" t="n">
        <v>3</v>
      </c>
      <c r="AY34" s="3" t="n">
        <v>3</v>
      </c>
      <c r="AZ34" s="3" t="n">
        <v>1</v>
      </c>
      <c r="BA34" s="5" t="n">
        <v>1</v>
      </c>
      <c r="BB34" s="3" t="n">
        <v>1</v>
      </c>
      <c r="BC34" s="3" t="n">
        <v>1</v>
      </c>
      <c r="BD34" s="3" t="n">
        <v>4</v>
      </c>
      <c r="BE34" s="3" t="n">
        <v>1</v>
      </c>
      <c r="BF34" s="3" t="n">
        <v>2</v>
      </c>
      <c r="BG34" s="3" t="n">
        <v>1</v>
      </c>
      <c r="BH34" s="3" t="n">
        <v>4</v>
      </c>
      <c r="BI34" s="3" t="n">
        <v>1</v>
      </c>
      <c r="BJ34" s="3" t="n">
        <v>1</v>
      </c>
    </row>
    <row r="35" customFormat="false" ht="12.75" hidden="false" customHeight="false" outlineLevel="0" collapsed="false">
      <c r="B35" s="2" t="s">
        <v>508</v>
      </c>
      <c r="C35" s="2" t="s">
        <v>509</v>
      </c>
      <c r="D35" s="2" t="s">
        <v>510</v>
      </c>
      <c r="E35" s="2" t="n">
        <v>165650</v>
      </c>
      <c r="F35" s="15" t="n">
        <v>43427</v>
      </c>
      <c r="G35" s="15" t="n">
        <v>43434</v>
      </c>
      <c r="H35" s="3" t="n">
        <v>7</v>
      </c>
      <c r="I35" s="3" t="n">
        <v>2</v>
      </c>
      <c r="J35" s="3" t="n">
        <v>59</v>
      </c>
      <c r="K35" s="3" t="n">
        <v>1</v>
      </c>
      <c r="L35" s="3" t="n">
        <v>1</v>
      </c>
      <c r="M35" s="3" t="n">
        <v>2</v>
      </c>
      <c r="N35" s="3" t="n">
        <v>2</v>
      </c>
      <c r="O35" s="3" t="n">
        <v>2</v>
      </c>
      <c r="P35" s="3" t="n">
        <v>2</v>
      </c>
      <c r="Q35" s="3" t="n">
        <v>2</v>
      </c>
      <c r="R35" s="3" t="n">
        <v>2</v>
      </c>
      <c r="S35" s="3" t="n">
        <v>2</v>
      </c>
      <c r="T35" s="4" t="n">
        <v>2</v>
      </c>
      <c r="U35" s="3" t="n">
        <v>2</v>
      </c>
      <c r="V35" s="3" t="n">
        <v>4.27</v>
      </c>
      <c r="W35" s="3" t="n">
        <v>0.35</v>
      </c>
      <c r="X35" s="3" t="n">
        <v>5.5</v>
      </c>
      <c r="Y35" s="3" t="n">
        <v>351</v>
      </c>
      <c r="AA35" s="3" t="n">
        <v>0.39</v>
      </c>
      <c r="AB35" s="3" t="n">
        <v>8.2</v>
      </c>
      <c r="AC35" s="3" t="n">
        <v>1</v>
      </c>
      <c r="AD35" s="3" t="n">
        <v>2</v>
      </c>
      <c r="AE35" s="3" t="n">
        <v>1</v>
      </c>
      <c r="AF35" s="3" t="n">
        <v>1</v>
      </c>
      <c r="AG35" s="3" t="n">
        <v>2</v>
      </c>
      <c r="AH35" s="3" t="n">
        <v>2</v>
      </c>
      <c r="AI35" s="3" t="n">
        <v>1</v>
      </c>
      <c r="AJ35" s="3" t="n">
        <v>2</v>
      </c>
      <c r="AK35" s="3" t="n">
        <v>2</v>
      </c>
      <c r="AL35" s="3" t="n">
        <v>2</v>
      </c>
      <c r="AM35" s="3" t="n">
        <v>2</v>
      </c>
      <c r="AN35" s="3" t="n">
        <v>2</v>
      </c>
      <c r="AO35" s="3" t="n">
        <v>2</v>
      </c>
      <c r="AP35" s="3" t="n">
        <v>3</v>
      </c>
      <c r="AQ35" s="3" t="n">
        <v>4</v>
      </c>
      <c r="AR35" s="3" t="n">
        <v>4</v>
      </c>
      <c r="AS35" s="3" t="n">
        <v>6</v>
      </c>
      <c r="AT35" s="3" t="n">
        <v>4</v>
      </c>
      <c r="AU35" s="3" t="n">
        <v>4</v>
      </c>
      <c r="AV35" s="3" t="n">
        <v>6</v>
      </c>
      <c r="AW35" s="3" t="n">
        <v>6</v>
      </c>
      <c r="AX35" s="3" t="n">
        <v>3</v>
      </c>
      <c r="AY35" s="3" t="n">
        <v>3</v>
      </c>
      <c r="AZ35" s="3" t="n">
        <v>1</v>
      </c>
      <c r="BA35" s="5" t="n">
        <v>1</v>
      </c>
      <c r="BB35" s="3" t="n">
        <v>1</v>
      </c>
      <c r="BC35" s="3" t="n">
        <v>1</v>
      </c>
      <c r="BD35" s="3" t="n">
        <v>2</v>
      </c>
      <c r="BE35" s="3" t="n">
        <v>1</v>
      </c>
      <c r="BF35" s="3" t="n">
        <v>1</v>
      </c>
      <c r="BG35" s="3" t="n">
        <v>1</v>
      </c>
      <c r="BH35" s="3" t="n">
        <v>4</v>
      </c>
      <c r="BI35" s="3" t="n">
        <v>1</v>
      </c>
      <c r="BJ35" s="3" t="n">
        <v>1</v>
      </c>
    </row>
    <row r="36" customFormat="false" ht="12.75" hidden="false" customHeight="false" outlineLevel="0" collapsed="false">
      <c r="B36" s="2" t="s">
        <v>583</v>
      </c>
      <c r="C36" s="2" t="s">
        <v>584</v>
      </c>
      <c r="D36" s="2" t="s">
        <v>94</v>
      </c>
      <c r="E36" s="2" t="n">
        <v>166752</v>
      </c>
      <c r="F36" s="15" t="n">
        <v>43439</v>
      </c>
      <c r="G36" s="15" t="n">
        <v>43446</v>
      </c>
      <c r="H36" s="3" t="n">
        <v>7</v>
      </c>
      <c r="I36" s="3" t="n">
        <v>1</v>
      </c>
      <c r="J36" s="3" t="n">
        <v>64</v>
      </c>
      <c r="K36" s="3" t="n">
        <v>1</v>
      </c>
      <c r="L36" s="3" t="n">
        <v>2</v>
      </c>
      <c r="M36" s="3" t="n">
        <v>1</v>
      </c>
      <c r="N36" s="3" t="n">
        <v>2</v>
      </c>
      <c r="O36" s="3" t="n">
        <v>2</v>
      </c>
      <c r="P36" s="3" t="n">
        <v>2</v>
      </c>
      <c r="Q36" s="3" t="n">
        <v>2</v>
      </c>
      <c r="R36" s="3" t="n">
        <v>2</v>
      </c>
      <c r="S36" s="3" t="n">
        <v>1</v>
      </c>
      <c r="T36" s="4" t="n">
        <v>2</v>
      </c>
      <c r="U36" s="3" t="n">
        <v>2</v>
      </c>
      <c r="V36" s="3"/>
      <c r="W36" s="3"/>
      <c r="X36" s="3"/>
      <c r="Y36" s="3"/>
      <c r="AA36" s="3" t="n">
        <v>0.4</v>
      </c>
      <c r="AB36" s="3" t="n">
        <v>8</v>
      </c>
      <c r="AC36" s="3" t="n">
        <v>1</v>
      </c>
      <c r="AD36" s="3" t="n">
        <v>2</v>
      </c>
      <c r="AE36" s="3" t="n">
        <v>1</v>
      </c>
      <c r="AF36" s="3" t="n">
        <v>1</v>
      </c>
      <c r="AG36" s="3" t="n">
        <v>2</v>
      </c>
      <c r="AH36" s="3" t="n">
        <v>2</v>
      </c>
      <c r="AI36" s="3" t="n">
        <v>1</v>
      </c>
      <c r="AJ36" s="3" t="n">
        <v>1</v>
      </c>
      <c r="AK36" s="3" t="n">
        <v>2</v>
      </c>
      <c r="AL36" s="3" t="n">
        <v>2</v>
      </c>
      <c r="AM36" s="3" t="n">
        <v>1</v>
      </c>
      <c r="AN36" s="3" t="n">
        <v>2</v>
      </c>
      <c r="AO36" s="3" t="n">
        <v>2</v>
      </c>
      <c r="AP36" s="3" t="n">
        <v>3</v>
      </c>
      <c r="AQ36" s="3" t="n">
        <v>4</v>
      </c>
      <c r="AR36" s="3" t="n">
        <v>4</v>
      </c>
      <c r="AS36" s="3" t="n">
        <v>6</v>
      </c>
      <c r="AT36" s="3" t="n">
        <v>4</v>
      </c>
      <c r="AU36" s="3" t="n">
        <v>4</v>
      </c>
      <c r="AV36" s="3" t="n">
        <v>6</v>
      </c>
      <c r="AW36" s="3" t="n">
        <v>6</v>
      </c>
      <c r="AX36" s="3" t="n">
        <v>3</v>
      </c>
      <c r="AY36" s="3" t="n">
        <v>3</v>
      </c>
      <c r="AZ36" s="3" t="n">
        <v>1</v>
      </c>
      <c r="BA36" s="5" t="n">
        <v>1</v>
      </c>
      <c r="BB36" s="3" t="n">
        <v>1</v>
      </c>
      <c r="BC36" s="3" t="n">
        <v>1</v>
      </c>
      <c r="BD36" s="3" t="n">
        <v>4</v>
      </c>
      <c r="BE36" s="3" t="n">
        <v>1</v>
      </c>
      <c r="BF36" s="3" t="n">
        <v>2</v>
      </c>
      <c r="BG36" s="3" t="n">
        <v>1</v>
      </c>
      <c r="BH36" s="3" t="n">
        <v>4</v>
      </c>
      <c r="BI36" s="3" t="n">
        <v>1</v>
      </c>
      <c r="BJ36" s="3" t="n">
        <v>1</v>
      </c>
    </row>
    <row r="37" customFormat="false" ht="12.75" hidden="false" customHeight="false" outlineLevel="0" collapsed="false">
      <c r="B37" s="2" t="s">
        <v>556</v>
      </c>
      <c r="C37" s="2" t="s">
        <v>301</v>
      </c>
      <c r="D37" s="2" t="s">
        <v>95</v>
      </c>
      <c r="E37" s="2" t="n">
        <v>167273</v>
      </c>
      <c r="F37" s="15" t="n">
        <v>43447</v>
      </c>
      <c r="G37" s="15" t="n">
        <v>43454</v>
      </c>
      <c r="H37" s="3" t="n">
        <v>7</v>
      </c>
      <c r="I37" s="3" t="n">
        <v>2</v>
      </c>
      <c r="J37" s="3" t="n">
        <v>62</v>
      </c>
      <c r="K37" s="3" t="n">
        <v>2</v>
      </c>
      <c r="L37" s="3" t="n">
        <v>2</v>
      </c>
      <c r="M37" s="3" t="n">
        <v>1</v>
      </c>
      <c r="N37" s="3" t="n">
        <v>2</v>
      </c>
      <c r="O37" s="3" t="n">
        <v>2</v>
      </c>
      <c r="P37" s="3" t="n">
        <v>2</v>
      </c>
      <c r="Q37" s="3" t="n">
        <v>2</v>
      </c>
      <c r="R37" s="3" t="n">
        <v>2</v>
      </c>
      <c r="S37" s="3" t="n">
        <v>2</v>
      </c>
      <c r="T37" s="4" t="n">
        <v>2</v>
      </c>
      <c r="U37" s="3" t="n">
        <v>2</v>
      </c>
      <c r="V37" s="3" t="n">
        <v>4.09</v>
      </c>
      <c r="W37" s="3" t="n">
        <v>0.53</v>
      </c>
      <c r="X37" s="3" t="n">
        <v>8.8</v>
      </c>
      <c r="Y37" s="3" t="n">
        <v>397</v>
      </c>
      <c r="AA37" s="3" t="n">
        <v>0.39</v>
      </c>
      <c r="AB37" s="3" t="n">
        <v>9.3</v>
      </c>
      <c r="AC37" s="3" t="n">
        <v>1</v>
      </c>
      <c r="AD37" s="3" t="n">
        <v>1</v>
      </c>
      <c r="AE37" s="3" t="n">
        <v>1</v>
      </c>
      <c r="AF37" s="3" t="n">
        <v>1</v>
      </c>
      <c r="AG37" s="3" t="n">
        <v>2</v>
      </c>
      <c r="AH37" s="3" t="n">
        <v>2</v>
      </c>
      <c r="AI37" s="3" t="n">
        <v>1</v>
      </c>
      <c r="AJ37" s="3" t="n">
        <v>2</v>
      </c>
      <c r="AK37" s="3" t="n">
        <v>2</v>
      </c>
      <c r="AL37" s="3" t="n">
        <v>2</v>
      </c>
      <c r="AM37" s="3" t="n">
        <v>2</v>
      </c>
      <c r="AN37" s="3" t="n">
        <v>2</v>
      </c>
      <c r="AO37" s="3" t="n">
        <v>2</v>
      </c>
      <c r="AP37" s="3" t="n">
        <v>3</v>
      </c>
      <c r="AQ37" s="3" t="n">
        <v>4</v>
      </c>
      <c r="AR37" s="3" t="n">
        <v>4</v>
      </c>
      <c r="AS37" s="3" t="n">
        <v>6</v>
      </c>
      <c r="AT37" s="3" t="n">
        <v>4</v>
      </c>
      <c r="AU37" s="3" t="n">
        <v>4</v>
      </c>
      <c r="AV37" s="3" t="n">
        <v>6</v>
      </c>
      <c r="AW37" s="3" t="n">
        <v>6</v>
      </c>
      <c r="AX37" s="3" t="n">
        <v>3</v>
      </c>
      <c r="AY37" s="3" t="n">
        <v>3</v>
      </c>
      <c r="AZ37" s="3" t="n">
        <v>1</v>
      </c>
      <c r="BA37" s="5" t="n">
        <v>1</v>
      </c>
      <c r="BB37" s="3" t="n">
        <v>1</v>
      </c>
      <c r="BC37" s="3" t="n">
        <v>1</v>
      </c>
      <c r="BD37" s="3" t="n">
        <v>2</v>
      </c>
      <c r="BE37" s="3" t="n">
        <v>1</v>
      </c>
      <c r="BF37" s="3" t="n">
        <v>2</v>
      </c>
      <c r="BG37" s="3" t="n">
        <v>2</v>
      </c>
      <c r="BH37" s="3" t="n">
        <v>4</v>
      </c>
      <c r="BI37" s="3" t="n">
        <v>1</v>
      </c>
      <c r="BJ37" s="3" t="n">
        <v>1</v>
      </c>
    </row>
    <row r="38" customFormat="false" ht="12.75" hidden="false" customHeight="false" outlineLevel="0" collapsed="false">
      <c r="B38" s="2" t="s">
        <v>617</v>
      </c>
      <c r="C38" s="2" t="s">
        <v>618</v>
      </c>
      <c r="D38" s="2" t="s">
        <v>619</v>
      </c>
      <c r="E38" s="2" t="n">
        <v>167267</v>
      </c>
      <c r="F38" s="15" t="n">
        <v>43447</v>
      </c>
      <c r="G38" s="15" t="n">
        <v>43454</v>
      </c>
      <c r="H38" s="3" t="n">
        <v>7</v>
      </c>
      <c r="I38" s="3" t="n">
        <v>2</v>
      </c>
      <c r="J38" s="3" t="n">
        <v>53</v>
      </c>
      <c r="K38" s="3" t="n">
        <v>2</v>
      </c>
      <c r="L38" s="3" t="n">
        <v>1</v>
      </c>
      <c r="M38" s="3" t="n">
        <v>2</v>
      </c>
      <c r="N38" s="3" t="n">
        <v>2</v>
      </c>
      <c r="O38" s="3" t="n">
        <v>2</v>
      </c>
      <c r="P38" s="3" t="n">
        <v>2</v>
      </c>
      <c r="Q38" s="3" t="n">
        <v>2</v>
      </c>
      <c r="R38" s="3" t="n">
        <v>2</v>
      </c>
      <c r="S38" s="3" t="n">
        <v>2</v>
      </c>
      <c r="T38" s="4" t="n">
        <v>2</v>
      </c>
      <c r="U38" s="3" t="n">
        <v>2</v>
      </c>
      <c r="V38" s="3" t="n">
        <v>5.35</v>
      </c>
      <c r="W38" s="3" t="n">
        <v>2.12</v>
      </c>
      <c r="X38" s="3" t="n">
        <v>6.9</v>
      </c>
      <c r="Y38" s="3" t="n">
        <v>326</v>
      </c>
      <c r="AA38" s="3" t="n">
        <v>0.46</v>
      </c>
      <c r="AB38" s="3" t="n">
        <v>12</v>
      </c>
      <c r="AC38" s="3" t="n">
        <v>2</v>
      </c>
      <c r="AD38" s="3" t="n">
        <v>2</v>
      </c>
      <c r="AE38" s="3" t="n">
        <v>1</v>
      </c>
      <c r="AF38" s="3" t="n">
        <v>1</v>
      </c>
      <c r="AG38" s="3" t="n">
        <v>2</v>
      </c>
      <c r="AH38" s="3" t="n">
        <v>2</v>
      </c>
      <c r="AI38" s="3" t="n">
        <v>1</v>
      </c>
      <c r="AJ38" s="3" t="n">
        <v>2</v>
      </c>
      <c r="AK38" s="3" t="n">
        <v>2</v>
      </c>
      <c r="AL38" s="3" t="n">
        <v>2</v>
      </c>
      <c r="AM38" s="3" t="n">
        <v>2</v>
      </c>
      <c r="AN38" s="3" t="n">
        <v>2</v>
      </c>
      <c r="AO38" s="3" t="n">
        <v>2</v>
      </c>
      <c r="AP38" s="3" t="n">
        <v>3</v>
      </c>
      <c r="AQ38" s="3" t="n">
        <v>4</v>
      </c>
      <c r="AR38" s="3" t="n">
        <v>4</v>
      </c>
      <c r="AS38" s="3" t="n">
        <v>6</v>
      </c>
      <c r="AT38" s="3" t="n">
        <v>4</v>
      </c>
      <c r="AU38" s="3" t="n">
        <v>4</v>
      </c>
      <c r="AV38" s="3" t="n">
        <v>6</v>
      </c>
      <c r="AW38" s="3" t="n">
        <v>6</v>
      </c>
      <c r="AX38" s="3" t="n">
        <v>3</v>
      </c>
      <c r="AY38" s="3" t="n">
        <v>3</v>
      </c>
      <c r="AZ38" s="3" t="n">
        <v>1</v>
      </c>
      <c r="BA38" s="5" t="n">
        <v>1</v>
      </c>
      <c r="BB38" s="3" t="n">
        <v>1</v>
      </c>
      <c r="BC38" s="3" t="n">
        <v>1</v>
      </c>
      <c r="BD38" s="3" t="n">
        <v>2</v>
      </c>
      <c r="BE38" s="3" t="n">
        <v>1</v>
      </c>
      <c r="BF38" s="3" t="n">
        <v>2</v>
      </c>
      <c r="BG38" s="3" t="n">
        <v>1</v>
      </c>
      <c r="BH38" s="3" t="n">
        <v>4</v>
      </c>
      <c r="BI38" s="3" t="n">
        <v>1</v>
      </c>
      <c r="BJ38" s="3" t="n">
        <v>1</v>
      </c>
    </row>
    <row r="39" customFormat="false" ht="12.75" hidden="false" customHeight="false" outlineLevel="0" collapsed="false">
      <c r="B39" s="2" t="s">
        <v>660</v>
      </c>
      <c r="C39" s="2" t="s">
        <v>661</v>
      </c>
      <c r="D39" s="2" t="s">
        <v>662</v>
      </c>
      <c r="E39" s="2" t="n">
        <v>168070</v>
      </c>
      <c r="F39" s="15" t="n">
        <v>43460</v>
      </c>
      <c r="G39" s="15" t="n">
        <v>43466</v>
      </c>
      <c r="H39" s="3" t="n">
        <v>6</v>
      </c>
      <c r="I39" s="3" t="n">
        <v>2</v>
      </c>
      <c r="J39" s="3" t="n">
        <v>69</v>
      </c>
      <c r="K39" s="3" t="n">
        <v>2</v>
      </c>
      <c r="L39" s="3" t="n">
        <v>2</v>
      </c>
      <c r="M39" s="3" t="n">
        <v>2</v>
      </c>
      <c r="N39" s="3" t="n">
        <v>2</v>
      </c>
      <c r="O39" s="3" t="n">
        <v>2</v>
      </c>
      <c r="P39" s="3" t="n">
        <v>2</v>
      </c>
      <c r="Q39" s="3" t="n">
        <v>2</v>
      </c>
      <c r="R39" s="3" t="n">
        <v>2</v>
      </c>
      <c r="S39" s="3" t="n">
        <v>2</v>
      </c>
      <c r="T39" s="4" t="n">
        <v>2</v>
      </c>
      <c r="U39" s="3" t="n">
        <v>2</v>
      </c>
      <c r="V39" s="3" t="n">
        <v>2.61</v>
      </c>
      <c r="W39" s="3" t="n">
        <v>0.31</v>
      </c>
      <c r="X39" s="3" t="n">
        <v>7.1</v>
      </c>
      <c r="Y39" s="3" t="n">
        <v>394</v>
      </c>
      <c r="AA39" s="3" t="n">
        <v>0.35</v>
      </c>
      <c r="AB39" s="3" t="n">
        <v>7.5</v>
      </c>
      <c r="AC39" s="3" t="n">
        <v>1</v>
      </c>
      <c r="AD39" s="3" t="n">
        <v>2</v>
      </c>
      <c r="AE39" s="3" t="n">
        <v>1</v>
      </c>
      <c r="AF39" s="3" t="n">
        <v>1</v>
      </c>
      <c r="AG39" s="3" t="n">
        <v>2</v>
      </c>
      <c r="AH39" s="3" t="n">
        <v>2</v>
      </c>
      <c r="AI39" s="3" t="n">
        <v>1</v>
      </c>
      <c r="AJ39" s="3" t="n">
        <v>2</v>
      </c>
      <c r="AK39" s="3" t="n">
        <v>2</v>
      </c>
      <c r="AL39" s="3" t="n">
        <v>2</v>
      </c>
      <c r="AM39" s="3" t="n">
        <v>2</v>
      </c>
      <c r="AN39" s="3" t="n">
        <v>2</v>
      </c>
      <c r="AO39" s="3" t="n">
        <v>2</v>
      </c>
      <c r="AP39" s="3" t="n">
        <v>3</v>
      </c>
      <c r="AQ39" s="3" t="n">
        <v>4</v>
      </c>
      <c r="AR39" s="3" t="n">
        <v>4</v>
      </c>
      <c r="AS39" s="3" t="n">
        <v>6</v>
      </c>
      <c r="AT39" s="3" t="n">
        <v>4</v>
      </c>
      <c r="AU39" s="3" t="n">
        <v>4</v>
      </c>
      <c r="AV39" s="3" t="n">
        <v>6</v>
      </c>
      <c r="AW39" s="3" t="n">
        <v>6</v>
      </c>
      <c r="AX39" s="3" t="n">
        <v>3</v>
      </c>
      <c r="AY39" s="3" t="n">
        <v>3</v>
      </c>
      <c r="AZ39" s="3" t="n">
        <v>1</v>
      </c>
      <c r="BA39" s="5" t="n">
        <v>1</v>
      </c>
      <c r="BB39" s="3" t="n">
        <v>1</v>
      </c>
      <c r="BC39" s="3" t="n">
        <v>1</v>
      </c>
      <c r="BD39" s="3" t="n">
        <v>2</v>
      </c>
      <c r="BE39" s="3" t="n">
        <v>1</v>
      </c>
      <c r="BF39" s="3" t="n">
        <v>2</v>
      </c>
      <c r="BG39" s="3" t="n">
        <v>1</v>
      </c>
      <c r="BH39" s="3" t="n">
        <v>4</v>
      </c>
      <c r="BI39" s="3" t="n">
        <v>1</v>
      </c>
      <c r="BJ39" s="3" t="n">
        <v>1</v>
      </c>
    </row>
    <row r="40" customFormat="false" ht="12.75" hidden="false" customHeight="false" outlineLevel="0" collapsed="false">
      <c r="B40" s="2" t="s">
        <v>667</v>
      </c>
      <c r="C40" s="2" t="s">
        <v>668</v>
      </c>
      <c r="D40" s="2" t="s">
        <v>118</v>
      </c>
      <c r="E40" s="2" t="n">
        <v>168063</v>
      </c>
      <c r="F40" s="15" t="n">
        <v>43460</v>
      </c>
      <c r="G40" s="15" t="n">
        <v>43467</v>
      </c>
      <c r="H40" s="3" t="n">
        <v>7</v>
      </c>
      <c r="I40" s="3" t="n">
        <v>1</v>
      </c>
      <c r="J40" s="3" t="n">
        <v>62</v>
      </c>
      <c r="K40" s="3" t="n">
        <v>1</v>
      </c>
      <c r="L40" s="3" t="n">
        <v>1</v>
      </c>
      <c r="M40" s="3" t="n">
        <v>1</v>
      </c>
      <c r="N40" s="3" t="n">
        <v>2</v>
      </c>
      <c r="O40" s="3" t="n">
        <v>2</v>
      </c>
      <c r="P40" s="3" t="n">
        <v>2</v>
      </c>
      <c r="Q40" s="3" t="n">
        <v>2</v>
      </c>
      <c r="R40" s="3" t="n">
        <v>2</v>
      </c>
      <c r="S40" s="3" t="n">
        <v>2</v>
      </c>
      <c r="T40" s="4" t="n">
        <v>2</v>
      </c>
      <c r="U40" s="3" t="n">
        <v>2</v>
      </c>
      <c r="V40" s="3" t="n">
        <v>3.18</v>
      </c>
      <c r="W40" s="3" t="n">
        <v>1.06</v>
      </c>
      <c r="X40" s="3" t="n">
        <v>4.4</v>
      </c>
      <c r="Y40" s="3" t="n">
        <v>119</v>
      </c>
      <c r="AA40" s="3" t="n">
        <v>0.28</v>
      </c>
      <c r="AB40" s="3" t="n">
        <v>11</v>
      </c>
      <c r="AC40" s="3"/>
      <c r="AD40" s="3" t="n">
        <v>2</v>
      </c>
      <c r="AE40" s="3" t="n">
        <v>1</v>
      </c>
      <c r="AF40" s="3" t="n">
        <v>2</v>
      </c>
      <c r="AG40" s="3" t="n">
        <v>2</v>
      </c>
      <c r="AH40" s="3" t="n">
        <v>1</v>
      </c>
      <c r="AI40" s="3" t="n">
        <v>1</v>
      </c>
      <c r="AJ40" s="3" t="n">
        <v>2</v>
      </c>
      <c r="AK40" s="3" t="n">
        <v>2</v>
      </c>
      <c r="AL40" s="3" t="n">
        <v>2</v>
      </c>
      <c r="AM40" s="3" t="n">
        <v>2</v>
      </c>
      <c r="AN40" s="3" t="n">
        <v>2</v>
      </c>
      <c r="AO40" s="3" t="n">
        <v>2</v>
      </c>
      <c r="AP40" s="3" t="n">
        <v>3</v>
      </c>
      <c r="AQ40" s="3" t="n">
        <v>4</v>
      </c>
      <c r="AR40" s="3" t="n">
        <v>4</v>
      </c>
      <c r="AS40" s="3" t="n">
        <v>6</v>
      </c>
      <c r="AT40" s="3" t="n">
        <v>4</v>
      </c>
      <c r="AU40" s="3" t="n">
        <v>4</v>
      </c>
      <c r="AV40" s="3" t="n">
        <v>6</v>
      </c>
      <c r="AW40" s="3" t="n">
        <v>6</v>
      </c>
      <c r="AX40" s="3" t="n">
        <v>3</v>
      </c>
      <c r="AY40" s="3" t="n">
        <v>3</v>
      </c>
      <c r="AZ40" s="3" t="n">
        <v>1</v>
      </c>
      <c r="BA40" s="5" t="n">
        <v>1</v>
      </c>
      <c r="BB40" s="3" t="n">
        <v>1</v>
      </c>
      <c r="BC40" s="3" t="n">
        <v>1</v>
      </c>
      <c r="BD40" s="3" t="n">
        <v>4</v>
      </c>
      <c r="BE40" s="3" t="n">
        <v>3</v>
      </c>
      <c r="BF40" s="3" t="n">
        <v>5</v>
      </c>
      <c r="BG40" s="3" t="n">
        <v>3</v>
      </c>
      <c r="BH40" s="3" t="n">
        <v>2</v>
      </c>
      <c r="BI40" s="3" t="n">
        <v>1</v>
      </c>
      <c r="BJ40" s="3" t="n">
        <v>1</v>
      </c>
    </row>
    <row r="41" customFormat="false" ht="12.75" hidden="false" customHeight="false" outlineLevel="0" collapsed="false">
      <c r="B41" s="2" t="s">
        <v>672</v>
      </c>
      <c r="C41" s="2" t="s">
        <v>324</v>
      </c>
      <c r="D41" s="2" t="s">
        <v>673</v>
      </c>
      <c r="E41" s="2" t="n">
        <v>167937</v>
      </c>
      <c r="F41" s="15" t="n">
        <v>43462</v>
      </c>
      <c r="G41" s="15" t="n">
        <v>43469</v>
      </c>
      <c r="H41" s="3" t="n">
        <v>7</v>
      </c>
      <c r="I41" s="3" t="n">
        <v>2</v>
      </c>
      <c r="J41" s="3" t="n">
        <v>70</v>
      </c>
      <c r="K41" s="3" t="n">
        <v>2</v>
      </c>
      <c r="L41" s="3" t="n">
        <v>2</v>
      </c>
      <c r="M41" s="3" t="n">
        <v>1</v>
      </c>
      <c r="N41" s="3" t="n">
        <v>2</v>
      </c>
      <c r="O41" s="3" t="n">
        <v>2</v>
      </c>
      <c r="P41" s="3" t="n">
        <v>2</v>
      </c>
      <c r="Q41" s="3" t="n">
        <v>2</v>
      </c>
      <c r="R41" s="3" t="n">
        <v>2</v>
      </c>
      <c r="S41" s="3" t="n">
        <v>2</v>
      </c>
      <c r="T41" s="4" t="n">
        <v>1</v>
      </c>
      <c r="U41" s="3" t="n">
        <v>1</v>
      </c>
      <c r="V41" s="3" t="n">
        <v>2.84</v>
      </c>
      <c r="W41" s="3" t="n">
        <v>1.2</v>
      </c>
      <c r="X41" s="3" t="n">
        <v>5.5</v>
      </c>
      <c r="Y41" s="3" t="n">
        <v>488</v>
      </c>
      <c r="AA41" s="3" t="n">
        <v>0.41</v>
      </c>
      <c r="AB41" s="3" t="n">
        <v>7.8</v>
      </c>
      <c r="AC41" s="3" t="n">
        <v>1</v>
      </c>
      <c r="AD41" s="3" t="n">
        <v>1</v>
      </c>
      <c r="AE41" s="3" t="n">
        <v>1</v>
      </c>
      <c r="AF41" s="3" t="n">
        <v>1</v>
      </c>
      <c r="AG41" s="3" t="n">
        <v>2</v>
      </c>
      <c r="AH41" s="3" t="n">
        <v>2</v>
      </c>
      <c r="AI41" s="3" t="n">
        <v>1</v>
      </c>
      <c r="AJ41" s="3" t="n">
        <v>2</v>
      </c>
      <c r="AK41" s="3" t="n">
        <v>2</v>
      </c>
      <c r="AL41" s="3" t="n">
        <v>2</v>
      </c>
      <c r="AM41" s="3" t="n">
        <v>1</v>
      </c>
      <c r="AN41" s="3" t="n">
        <v>2</v>
      </c>
      <c r="AO41" s="3" t="n">
        <v>2</v>
      </c>
      <c r="AP41" s="3" t="n">
        <v>3</v>
      </c>
      <c r="AQ41" s="3" t="n">
        <v>4</v>
      </c>
      <c r="AR41" s="3" t="n">
        <v>4</v>
      </c>
      <c r="AS41" s="3" t="n">
        <v>6</v>
      </c>
      <c r="AT41" s="3" t="n">
        <v>4</v>
      </c>
      <c r="AU41" s="3" t="n">
        <v>4</v>
      </c>
      <c r="AV41" s="3" t="n">
        <v>6</v>
      </c>
      <c r="AW41" s="3" t="n">
        <v>6</v>
      </c>
      <c r="AX41" s="3" t="n">
        <v>3</v>
      </c>
      <c r="AY41" s="3" t="n">
        <v>3</v>
      </c>
      <c r="AZ41" s="3" t="n">
        <v>1</v>
      </c>
      <c r="BA41" s="5" t="n">
        <v>1</v>
      </c>
      <c r="BB41" s="3" t="n">
        <v>1</v>
      </c>
      <c r="BC41" s="3" t="n">
        <v>1</v>
      </c>
      <c r="BD41" s="3" t="n">
        <v>4</v>
      </c>
      <c r="BE41" s="3" t="n">
        <v>3</v>
      </c>
      <c r="BF41" s="3" t="n">
        <v>5</v>
      </c>
      <c r="BG41" s="3" t="n">
        <v>3</v>
      </c>
      <c r="BH41" s="3" t="n">
        <v>4</v>
      </c>
      <c r="BI41" s="3" t="n">
        <v>1</v>
      </c>
      <c r="BJ41" s="3" t="n">
        <v>1</v>
      </c>
    </row>
    <row r="42" customFormat="false" ht="12.75" hidden="false" customHeight="false" outlineLevel="0" collapsed="false">
      <c r="B42" s="2" t="s">
        <v>683</v>
      </c>
      <c r="C42" s="2" t="s">
        <v>684</v>
      </c>
      <c r="D42" s="2" t="s">
        <v>685</v>
      </c>
      <c r="E42" s="2" t="n">
        <v>167967</v>
      </c>
      <c r="F42" s="15" t="n">
        <v>43464</v>
      </c>
      <c r="G42" s="15" t="n">
        <v>43471</v>
      </c>
      <c r="H42" s="3" t="n">
        <v>7</v>
      </c>
      <c r="I42" s="3" t="n">
        <v>2</v>
      </c>
      <c r="J42" s="3" t="n">
        <v>53</v>
      </c>
      <c r="K42" s="3" t="n">
        <v>1</v>
      </c>
      <c r="L42" s="3" t="n">
        <v>1</v>
      </c>
      <c r="M42" s="3" t="n">
        <v>2</v>
      </c>
      <c r="N42" s="3" t="n">
        <v>2</v>
      </c>
      <c r="O42" s="3" t="n">
        <v>2</v>
      </c>
      <c r="P42" s="3" t="n">
        <v>2</v>
      </c>
      <c r="Q42" s="3" t="n">
        <v>2</v>
      </c>
      <c r="R42" s="3" t="n">
        <v>2</v>
      </c>
      <c r="S42" s="3" t="n">
        <v>2</v>
      </c>
      <c r="T42" s="4" t="n">
        <v>1</v>
      </c>
      <c r="U42" s="3" t="n">
        <v>1</v>
      </c>
      <c r="V42" s="3" t="n">
        <v>4.81</v>
      </c>
      <c r="W42" s="3" t="n">
        <v>1.36</v>
      </c>
      <c r="X42" s="3" t="n">
        <v>4.5</v>
      </c>
      <c r="Y42" s="3" t="n">
        <v>448</v>
      </c>
      <c r="AA42" s="3" t="n">
        <v>0.44</v>
      </c>
      <c r="AB42" s="3" t="n">
        <v>8.5</v>
      </c>
      <c r="AC42" s="3" t="n">
        <v>1</v>
      </c>
      <c r="AD42" s="3" t="n">
        <v>2</v>
      </c>
      <c r="AE42" s="3" t="n">
        <v>1</v>
      </c>
      <c r="AF42" s="3" t="n">
        <v>1</v>
      </c>
      <c r="AG42" s="3" t="n">
        <v>2</v>
      </c>
      <c r="AH42" s="3" t="n">
        <v>2</v>
      </c>
      <c r="AI42" s="3" t="n">
        <v>1</v>
      </c>
      <c r="AJ42" s="3" t="n">
        <v>2</v>
      </c>
      <c r="AK42" s="3" t="n">
        <v>2</v>
      </c>
      <c r="AL42" s="3" t="n">
        <v>2</v>
      </c>
      <c r="AM42" s="3" t="n">
        <v>2</v>
      </c>
      <c r="AN42" s="3" t="n">
        <v>2</v>
      </c>
      <c r="AO42" s="3" t="n">
        <v>2</v>
      </c>
      <c r="AP42" s="3" t="n">
        <v>3</v>
      </c>
      <c r="AQ42" s="3" t="n">
        <v>4</v>
      </c>
      <c r="AR42" s="3" t="n">
        <v>4</v>
      </c>
      <c r="AS42" s="3" t="n">
        <v>6</v>
      </c>
      <c r="AT42" s="3" t="n">
        <v>4</v>
      </c>
      <c r="AU42" s="3" t="n">
        <v>4</v>
      </c>
      <c r="AV42" s="3" t="n">
        <v>6</v>
      </c>
      <c r="AW42" s="3" t="n">
        <v>6</v>
      </c>
      <c r="AX42" s="3" t="n">
        <v>3</v>
      </c>
      <c r="AY42" s="3" t="n">
        <v>3</v>
      </c>
      <c r="AZ42" s="3" t="n">
        <v>1</v>
      </c>
      <c r="BA42" s="5" t="n">
        <v>1</v>
      </c>
      <c r="BB42" s="3" t="n">
        <v>1</v>
      </c>
      <c r="BC42" s="3" t="n">
        <v>1</v>
      </c>
      <c r="BD42" s="3" t="n">
        <v>2</v>
      </c>
      <c r="BE42" s="3" t="n">
        <v>1</v>
      </c>
      <c r="BF42" s="3" t="n">
        <v>2</v>
      </c>
      <c r="BG42" s="3" t="n">
        <v>1</v>
      </c>
      <c r="BH42" s="3" t="n">
        <v>4</v>
      </c>
      <c r="BI42" s="3" t="n">
        <v>1</v>
      </c>
      <c r="BJ42" s="3" t="n">
        <v>1</v>
      </c>
    </row>
    <row r="43" customFormat="false" ht="12.75" hidden="false" customHeight="false" outlineLevel="0" collapsed="false">
      <c r="B43" s="2" t="s">
        <v>706</v>
      </c>
      <c r="C43" s="2" t="s">
        <v>127</v>
      </c>
      <c r="D43" s="2" t="s">
        <v>707</v>
      </c>
      <c r="E43" s="2" t="n">
        <v>168231</v>
      </c>
      <c r="F43" s="15" t="n">
        <v>43468</v>
      </c>
      <c r="G43" s="15" t="n">
        <v>43476</v>
      </c>
      <c r="H43" s="3" t="n">
        <v>8</v>
      </c>
      <c r="I43" s="3" t="n">
        <v>2</v>
      </c>
      <c r="J43" s="3" t="n">
        <v>53</v>
      </c>
      <c r="K43" s="3" t="n">
        <v>1</v>
      </c>
      <c r="L43" s="3" t="n">
        <v>1</v>
      </c>
      <c r="M43" s="3" t="n">
        <v>1</v>
      </c>
      <c r="N43" s="3" t="n">
        <v>2</v>
      </c>
      <c r="O43" s="3" t="n">
        <v>2</v>
      </c>
      <c r="P43" s="3" t="n">
        <v>2</v>
      </c>
      <c r="Q43" s="3" t="n">
        <v>2</v>
      </c>
      <c r="R43" s="3" t="n">
        <v>2</v>
      </c>
      <c r="S43" s="3" t="n">
        <v>1</v>
      </c>
      <c r="T43" s="4" t="n">
        <v>2</v>
      </c>
      <c r="U43" s="3" t="n">
        <v>2</v>
      </c>
      <c r="V43" s="3" t="n">
        <v>4.21</v>
      </c>
      <c r="W43" s="3" t="n">
        <v>2.88</v>
      </c>
      <c r="X43" s="3" t="s">
        <v>708</v>
      </c>
      <c r="Y43" s="3" t="n">
        <v>758</v>
      </c>
      <c r="AA43" s="3" t="n">
        <v>0.48</v>
      </c>
      <c r="AB43" s="3" t="n">
        <v>12.3</v>
      </c>
      <c r="AC43" s="3" t="n">
        <v>2</v>
      </c>
      <c r="AD43" s="3" t="n">
        <v>2</v>
      </c>
      <c r="AE43" s="3" t="n">
        <v>1</v>
      </c>
      <c r="AF43" s="3" t="n">
        <v>1</v>
      </c>
      <c r="AG43" s="3" t="n">
        <v>2</v>
      </c>
      <c r="AH43" s="3" t="n">
        <v>2</v>
      </c>
      <c r="AI43" s="3" t="n">
        <v>1</v>
      </c>
      <c r="AJ43" s="3" t="n">
        <v>1</v>
      </c>
      <c r="AK43" s="3" t="n">
        <v>2</v>
      </c>
      <c r="AL43" s="3" t="n">
        <v>2</v>
      </c>
      <c r="AM43" s="3" t="n">
        <v>1</v>
      </c>
      <c r="AN43" s="3" t="n">
        <v>2</v>
      </c>
      <c r="AO43" s="3" t="n">
        <v>2</v>
      </c>
      <c r="AP43" s="3" t="n">
        <v>3</v>
      </c>
      <c r="AQ43" s="3" t="n">
        <v>4</v>
      </c>
      <c r="AR43" s="3" t="n">
        <v>4</v>
      </c>
      <c r="AS43" s="3" t="n">
        <v>6</v>
      </c>
      <c r="AT43" s="3" t="n">
        <v>4</v>
      </c>
      <c r="AU43" s="3" t="n">
        <v>4</v>
      </c>
      <c r="AV43" s="3" t="n">
        <v>6</v>
      </c>
      <c r="AW43" s="3" t="n">
        <v>6</v>
      </c>
      <c r="AX43" s="3" t="n">
        <v>3</v>
      </c>
      <c r="AY43" s="3" t="n">
        <v>3</v>
      </c>
      <c r="AZ43" s="3" t="n">
        <v>4</v>
      </c>
      <c r="BA43" s="5" t="n">
        <v>1</v>
      </c>
      <c r="BB43" s="3" t="n">
        <v>1</v>
      </c>
      <c r="BC43" s="3" t="n">
        <v>1</v>
      </c>
      <c r="BD43" s="3" t="n">
        <v>2</v>
      </c>
      <c r="BE43" s="3" t="n">
        <v>1</v>
      </c>
      <c r="BF43" s="3" t="n">
        <v>2</v>
      </c>
      <c r="BG43" s="3" t="n">
        <v>1</v>
      </c>
      <c r="BH43" s="3" t="n">
        <v>4</v>
      </c>
      <c r="BI43" s="3" t="n">
        <v>1</v>
      </c>
      <c r="BJ43" s="3" t="n">
        <v>1</v>
      </c>
    </row>
    <row r="44" customFormat="false" ht="12.75" hidden="false" customHeight="false" outlineLevel="0" collapsed="false">
      <c r="B44" s="17" t="s">
        <v>716</v>
      </c>
      <c r="C44" s="17" t="s">
        <v>308</v>
      </c>
      <c r="D44" s="17" t="s">
        <v>528</v>
      </c>
      <c r="E44" s="2" t="n">
        <v>168458</v>
      </c>
      <c r="F44" s="15" t="n">
        <v>43473</v>
      </c>
      <c r="G44" s="15" t="n">
        <v>43480</v>
      </c>
      <c r="H44" s="3" t="n">
        <v>7</v>
      </c>
      <c r="I44" s="3" t="n">
        <v>1</v>
      </c>
      <c r="J44" s="3" t="n">
        <v>70</v>
      </c>
      <c r="K44" s="3" t="n">
        <v>1</v>
      </c>
      <c r="L44" s="3" t="n">
        <v>2</v>
      </c>
      <c r="M44" s="3" t="n">
        <v>1</v>
      </c>
      <c r="N44" s="3" t="n">
        <v>2</v>
      </c>
      <c r="O44" s="3" t="n">
        <v>2</v>
      </c>
      <c r="P44" s="3" t="n">
        <v>2</v>
      </c>
      <c r="Q44" s="3" t="n">
        <v>2</v>
      </c>
      <c r="R44" s="3" t="n">
        <v>2</v>
      </c>
      <c r="S44" s="3" t="n">
        <v>2</v>
      </c>
      <c r="T44" s="4" t="n">
        <v>6</v>
      </c>
      <c r="U44" s="3" t="n">
        <v>4</v>
      </c>
      <c r="V44" s="3" t="n">
        <v>5.77</v>
      </c>
      <c r="W44" s="3" t="n">
        <v>1.36</v>
      </c>
      <c r="X44" s="3" t="n">
        <v>4.3</v>
      </c>
      <c r="Y44" s="3" t="n">
        <v>278</v>
      </c>
      <c r="AA44" s="3" t="n">
        <v>0.44</v>
      </c>
      <c r="AB44" s="3" t="n">
        <v>9.9</v>
      </c>
      <c r="AC44" s="3" t="n">
        <v>2</v>
      </c>
      <c r="AD44" s="3" t="n">
        <v>2</v>
      </c>
      <c r="AE44" s="3" t="n">
        <v>2</v>
      </c>
      <c r="AF44" s="3" t="n">
        <v>1</v>
      </c>
      <c r="AG44" s="3" t="n">
        <v>2</v>
      </c>
      <c r="AH44" s="3" t="n">
        <v>2</v>
      </c>
      <c r="AI44" s="3" t="n">
        <v>1</v>
      </c>
      <c r="AJ44" s="3" t="n">
        <v>2</v>
      </c>
      <c r="AK44" s="3" t="n">
        <v>2</v>
      </c>
      <c r="AL44" s="3" t="n">
        <v>2</v>
      </c>
      <c r="AM44" s="3" t="n">
        <v>2</v>
      </c>
      <c r="AN44" s="3" t="n">
        <v>2</v>
      </c>
      <c r="AO44" s="3" t="n">
        <v>2</v>
      </c>
      <c r="AP44" s="3" t="n">
        <v>3</v>
      </c>
      <c r="AQ44" s="3" t="n">
        <v>4</v>
      </c>
      <c r="AR44" s="3" t="n">
        <v>4</v>
      </c>
      <c r="AS44" s="3" t="n">
        <v>6</v>
      </c>
      <c r="AT44" s="3" t="n">
        <v>4</v>
      </c>
      <c r="AU44" s="3" t="n">
        <v>4</v>
      </c>
      <c r="AV44" s="3" t="n">
        <v>6</v>
      </c>
      <c r="AW44" s="3" t="n">
        <v>6</v>
      </c>
      <c r="AX44" s="3" t="n">
        <v>3</v>
      </c>
      <c r="AY44" s="3" t="n">
        <v>3</v>
      </c>
      <c r="AZ44" s="3" t="n">
        <v>1</v>
      </c>
      <c r="BA44" s="5" t="n">
        <v>1</v>
      </c>
      <c r="BB44" s="3" t="n">
        <v>1</v>
      </c>
      <c r="BC44" s="3" t="n">
        <v>1</v>
      </c>
      <c r="BD44" s="3" t="n">
        <v>2</v>
      </c>
      <c r="BE44" s="3" t="n">
        <v>3</v>
      </c>
      <c r="BF44" s="3" t="n">
        <v>5</v>
      </c>
      <c r="BG44" s="3" t="n">
        <v>3</v>
      </c>
      <c r="BH44" s="3" t="n">
        <v>4</v>
      </c>
      <c r="BI44" s="3" t="n">
        <v>1</v>
      </c>
      <c r="BJ44" s="3" t="n">
        <v>1</v>
      </c>
    </row>
    <row r="45" customFormat="false" ht="12.75" hidden="false" customHeight="false" outlineLevel="0" collapsed="false">
      <c r="B45" s="2" t="s">
        <v>734</v>
      </c>
      <c r="C45" s="2" t="s">
        <v>194</v>
      </c>
      <c r="D45" s="2" t="s">
        <v>735</v>
      </c>
      <c r="E45" s="2" t="n">
        <v>168619</v>
      </c>
      <c r="F45" s="15" t="n">
        <v>43477</v>
      </c>
      <c r="G45" s="15" t="n">
        <v>43483</v>
      </c>
      <c r="H45" s="3" t="n">
        <v>6</v>
      </c>
      <c r="I45" s="3" t="n">
        <v>2</v>
      </c>
      <c r="J45" s="3" t="n">
        <v>67</v>
      </c>
      <c r="K45" s="3" t="n">
        <v>1</v>
      </c>
      <c r="L45" s="3" t="n">
        <v>1</v>
      </c>
      <c r="M45" s="3" t="n">
        <v>1</v>
      </c>
      <c r="N45" s="3" t="n">
        <v>2</v>
      </c>
      <c r="O45" s="3" t="n">
        <v>2</v>
      </c>
      <c r="P45" s="3" t="n">
        <v>2</v>
      </c>
      <c r="Q45" s="3" t="n">
        <v>2</v>
      </c>
      <c r="R45" s="3" t="n">
        <v>2</v>
      </c>
      <c r="S45" s="3" t="n">
        <v>2</v>
      </c>
      <c r="T45" s="4" t="n">
        <v>2</v>
      </c>
      <c r="U45" s="3" t="n">
        <v>2</v>
      </c>
      <c r="V45" s="3" t="n">
        <v>4.01</v>
      </c>
      <c r="W45" s="3" t="n">
        <v>0.27</v>
      </c>
      <c r="X45" s="3" t="n">
        <v>4.8</v>
      </c>
      <c r="Y45" s="3" t="n">
        <v>289</v>
      </c>
      <c r="AA45" s="3" t="n">
        <v>0.46</v>
      </c>
      <c r="AB45" s="3" t="n">
        <v>9.8</v>
      </c>
      <c r="AC45" s="3" t="n">
        <v>1</v>
      </c>
      <c r="AD45" s="3" t="n">
        <v>1</v>
      </c>
      <c r="AE45" s="3" t="n">
        <v>1</v>
      </c>
      <c r="AF45" s="3" t="n">
        <v>1</v>
      </c>
      <c r="AG45" s="3" t="n">
        <v>2</v>
      </c>
      <c r="AH45" s="3" t="n">
        <v>2</v>
      </c>
      <c r="AI45" s="3" t="n">
        <v>1</v>
      </c>
      <c r="AJ45" s="3" t="n">
        <v>2</v>
      </c>
      <c r="AK45" s="3" t="n">
        <v>2</v>
      </c>
      <c r="AL45" s="3" t="n">
        <v>2</v>
      </c>
      <c r="AM45" s="3" t="n">
        <v>2</v>
      </c>
      <c r="AN45" s="3" t="n">
        <v>2</v>
      </c>
      <c r="AO45" s="3" t="n">
        <v>2</v>
      </c>
      <c r="AP45" s="3" t="n">
        <v>3</v>
      </c>
      <c r="AQ45" s="3" t="n">
        <v>4</v>
      </c>
      <c r="AR45" s="3" t="n">
        <v>4</v>
      </c>
      <c r="AS45" s="3" t="n">
        <v>6</v>
      </c>
      <c r="AT45" s="3" t="n">
        <v>4</v>
      </c>
      <c r="AU45" s="3" t="n">
        <v>4</v>
      </c>
      <c r="AV45" s="3" t="n">
        <v>6</v>
      </c>
      <c r="AW45" s="3" t="n">
        <v>6</v>
      </c>
      <c r="AX45" s="3" t="n">
        <v>3</v>
      </c>
      <c r="AY45" s="3" t="n">
        <v>3</v>
      </c>
      <c r="AZ45" s="3" t="n">
        <v>1</v>
      </c>
      <c r="BA45" s="5" t="n">
        <v>1</v>
      </c>
      <c r="BB45" s="3" t="n">
        <v>1</v>
      </c>
      <c r="BC45" s="3" t="n">
        <v>1</v>
      </c>
      <c r="BD45" s="3" t="n">
        <v>2</v>
      </c>
      <c r="BE45" s="3" t="n">
        <v>3</v>
      </c>
      <c r="BF45" s="3" t="n">
        <v>5</v>
      </c>
      <c r="BG45" s="3" t="n">
        <v>3</v>
      </c>
      <c r="BH45" s="3" t="n">
        <v>4</v>
      </c>
      <c r="BI45" s="3" t="n">
        <v>1</v>
      </c>
      <c r="BJ45" s="3" t="n">
        <v>1</v>
      </c>
    </row>
    <row r="46" customFormat="false" ht="12.75" hidden="false" customHeight="false" outlineLevel="0" collapsed="false">
      <c r="B46" s="2" t="s">
        <v>752</v>
      </c>
      <c r="C46" s="2" t="s">
        <v>210</v>
      </c>
      <c r="D46" s="2" t="s">
        <v>753</v>
      </c>
      <c r="E46" s="2" t="n">
        <v>168639</v>
      </c>
      <c r="F46" s="15" t="n">
        <v>43476</v>
      </c>
      <c r="G46" s="15" t="n">
        <v>43487</v>
      </c>
      <c r="H46" s="3" t="n">
        <v>11</v>
      </c>
      <c r="I46" s="3" t="n">
        <v>2</v>
      </c>
      <c r="J46" s="3" t="n">
        <v>57</v>
      </c>
      <c r="K46" s="3" t="n">
        <v>1</v>
      </c>
      <c r="L46" s="3" t="n">
        <v>2</v>
      </c>
      <c r="M46" s="3" t="n">
        <v>1</v>
      </c>
      <c r="N46" s="3" t="n">
        <v>2</v>
      </c>
      <c r="O46" s="3" t="n">
        <v>2</v>
      </c>
      <c r="P46" s="3" t="n">
        <v>2</v>
      </c>
      <c r="Q46" s="3" t="n">
        <v>1</v>
      </c>
      <c r="R46" s="3" t="n">
        <v>2</v>
      </c>
      <c r="S46" s="3" t="n">
        <v>1</v>
      </c>
      <c r="T46" s="4" t="n">
        <v>2</v>
      </c>
      <c r="U46" s="3" t="n">
        <v>2</v>
      </c>
      <c r="V46" s="3" t="n">
        <v>3.09</v>
      </c>
      <c r="W46" s="3" t="n">
        <v>1.44</v>
      </c>
      <c r="X46" s="3" t="n">
        <v>8.25</v>
      </c>
      <c r="Y46" s="3" t="n">
        <v>336</v>
      </c>
      <c r="AA46" s="3" t="n">
        <v>0.33</v>
      </c>
      <c r="AB46" s="3" t="n">
        <v>13</v>
      </c>
      <c r="AC46" s="3" t="n">
        <v>2</v>
      </c>
      <c r="AD46" s="3" t="n">
        <v>2</v>
      </c>
      <c r="AE46" s="3" t="n">
        <v>1</v>
      </c>
      <c r="AF46" s="3" t="n">
        <v>1</v>
      </c>
      <c r="AG46" s="3" t="n">
        <v>1</v>
      </c>
      <c r="AH46" s="3" t="n">
        <v>2</v>
      </c>
      <c r="AI46" s="3" t="n">
        <v>1</v>
      </c>
      <c r="AJ46" s="3" t="n">
        <v>1</v>
      </c>
      <c r="AK46" s="3" t="n">
        <v>2</v>
      </c>
      <c r="AL46" s="3" t="n">
        <v>2</v>
      </c>
      <c r="AM46" s="3" t="n">
        <v>1</v>
      </c>
      <c r="AN46" s="3" t="n">
        <v>2</v>
      </c>
      <c r="AO46" s="3" t="n">
        <v>2</v>
      </c>
      <c r="AP46" s="3" t="n">
        <v>2</v>
      </c>
      <c r="AQ46" s="3" t="n">
        <v>3</v>
      </c>
      <c r="AR46" s="3" t="n">
        <v>4</v>
      </c>
      <c r="AS46" s="3" t="n">
        <v>6</v>
      </c>
      <c r="AT46" s="3" t="n">
        <v>4</v>
      </c>
      <c r="AU46" s="3" t="n">
        <v>4</v>
      </c>
      <c r="AV46" s="3" t="n">
        <v>1</v>
      </c>
      <c r="AW46" s="3" t="n">
        <v>6</v>
      </c>
      <c r="AX46" s="3" t="n">
        <v>2</v>
      </c>
      <c r="AY46" s="3" t="n">
        <v>1</v>
      </c>
      <c r="AZ46" s="3" t="n">
        <v>1</v>
      </c>
      <c r="BA46" s="5" t="n">
        <v>1</v>
      </c>
      <c r="BB46" s="3" t="n">
        <v>1</v>
      </c>
      <c r="BC46" s="3" t="n">
        <v>1</v>
      </c>
      <c r="BD46" s="3" t="n">
        <v>2</v>
      </c>
      <c r="BE46" s="3" t="n">
        <v>1</v>
      </c>
      <c r="BF46" s="3" t="n">
        <v>2</v>
      </c>
      <c r="BG46" s="3" t="n">
        <v>1</v>
      </c>
      <c r="BH46" s="3" t="n">
        <v>4</v>
      </c>
      <c r="BI46" s="3" t="n">
        <v>1</v>
      </c>
      <c r="BJ46" s="3" t="n">
        <v>1</v>
      </c>
    </row>
    <row r="47" customFormat="false" ht="12.75" hidden="false" customHeight="false" outlineLevel="0" collapsed="false">
      <c r="B47" s="2" t="s">
        <v>512</v>
      </c>
      <c r="C47" s="2" t="s">
        <v>153</v>
      </c>
      <c r="D47" s="2" t="s">
        <v>780</v>
      </c>
      <c r="E47" s="2" t="n">
        <v>169759</v>
      </c>
      <c r="F47" s="15" t="n">
        <v>43484</v>
      </c>
      <c r="G47" s="15" t="n">
        <v>43672</v>
      </c>
      <c r="H47" s="3" t="n">
        <v>7</v>
      </c>
      <c r="I47" s="3" t="n">
        <v>2</v>
      </c>
      <c r="J47" s="3" t="n">
        <v>68</v>
      </c>
      <c r="K47" s="3" t="n">
        <v>2</v>
      </c>
      <c r="L47" s="3" t="n">
        <v>1</v>
      </c>
      <c r="M47" s="3" t="n">
        <v>1</v>
      </c>
      <c r="N47" s="3" t="n">
        <v>1</v>
      </c>
      <c r="O47" s="3" t="n">
        <v>2</v>
      </c>
      <c r="P47" s="3" t="n">
        <v>2</v>
      </c>
      <c r="Q47" s="3" t="n">
        <v>2</v>
      </c>
      <c r="R47" s="3" t="n">
        <v>2</v>
      </c>
      <c r="S47" s="3" t="n">
        <v>2</v>
      </c>
      <c r="T47" s="4" t="n">
        <v>1</v>
      </c>
      <c r="U47" s="3" t="n">
        <v>1</v>
      </c>
      <c r="V47" s="3" t="n">
        <v>3.04</v>
      </c>
      <c r="W47" s="3" t="n">
        <v>1.41</v>
      </c>
      <c r="X47" s="3" t="n">
        <v>5.5</v>
      </c>
      <c r="Y47" s="3" t="n">
        <v>1</v>
      </c>
      <c r="AA47" s="3" t="n">
        <v>0.41</v>
      </c>
      <c r="AB47" s="3" t="n">
        <v>13</v>
      </c>
      <c r="AC47" s="3" t="n">
        <v>2</v>
      </c>
      <c r="AD47" s="3" t="n">
        <v>2</v>
      </c>
      <c r="AE47" s="3" t="n">
        <v>1</v>
      </c>
      <c r="AF47" s="3" t="n">
        <v>1</v>
      </c>
      <c r="AG47" s="3" t="n">
        <v>2</v>
      </c>
      <c r="AH47" s="3" t="n">
        <v>1</v>
      </c>
      <c r="AI47" s="3" t="n">
        <v>1</v>
      </c>
      <c r="AJ47" s="3" t="n">
        <v>2</v>
      </c>
      <c r="AK47" s="3" t="n">
        <v>2</v>
      </c>
      <c r="AL47" s="3" t="n">
        <v>2</v>
      </c>
      <c r="AM47" s="3" t="n">
        <v>2</v>
      </c>
      <c r="AN47" s="3" t="n">
        <v>2</v>
      </c>
      <c r="AO47" s="3" t="n">
        <v>2</v>
      </c>
      <c r="AP47" s="3" t="n">
        <v>3</v>
      </c>
      <c r="AQ47" s="3" t="n">
        <v>4</v>
      </c>
      <c r="AR47" s="3" t="n">
        <v>4</v>
      </c>
      <c r="AS47" s="3" t="n">
        <v>6</v>
      </c>
      <c r="AT47" s="3" t="n">
        <v>4</v>
      </c>
      <c r="AU47" s="3" t="n">
        <v>4</v>
      </c>
      <c r="AV47" s="3" t="n">
        <v>6</v>
      </c>
      <c r="AW47" s="3" t="n">
        <v>6</v>
      </c>
      <c r="AX47" s="3" t="n">
        <v>3</v>
      </c>
      <c r="AY47" s="3" t="n">
        <v>3</v>
      </c>
      <c r="AZ47" s="3" t="n">
        <v>1</v>
      </c>
      <c r="BA47" s="5" t="n">
        <v>1</v>
      </c>
      <c r="BB47" s="3" t="n">
        <v>1</v>
      </c>
      <c r="BC47" s="3" t="n">
        <v>1</v>
      </c>
      <c r="BD47" s="3" t="n">
        <v>4</v>
      </c>
      <c r="BE47" s="3" t="n">
        <v>1</v>
      </c>
      <c r="BF47" s="3" t="n">
        <v>2</v>
      </c>
      <c r="BG47" s="3" t="n">
        <v>1</v>
      </c>
      <c r="BH47" s="3" t="n">
        <v>4</v>
      </c>
      <c r="BI47" s="3" t="n">
        <v>1</v>
      </c>
      <c r="BJ47" s="3" t="n">
        <v>1</v>
      </c>
    </row>
    <row r="48" customFormat="false" ht="12.75" hidden="false" customHeight="false" outlineLevel="0" collapsed="false">
      <c r="B48" s="2" t="s">
        <v>156</v>
      </c>
      <c r="C48" s="2" t="s">
        <v>792</v>
      </c>
      <c r="D48" s="2" t="s">
        <v>66</v>
      </c>
      <c r="E48" s="2" t="n">
        <v>169051</v>
      </c>
      <c r="F48" s="15" t="n">
        <v>43483</v>
      </c>
      <c r="G48" s="15" t="n">
        <v>43496</v>
      </c>
      <c r="H48" s="3" t="n">
        <v>13</v>
      </c>
      <c r="I48" s="3" t="n">
        <v>2</v>
      </c>
      <c r="J48" s="3" t="n">
        <v>60</v>
      </c>
      <c r="K48" s="3" t="n">
        <v>1</v>
      </c>
      <c r="L48" s="3" t="n">
        <v>1</v>
      </c>
      <c r="M48" s="3" t="n">
        <v>1</v>
      </c>
      <c r="N48" s="3" t="n">
        <v>2</v>
      </c>
      <c r="O48" s="3" t="n">
        <v>2</v>
      </c>
      <c r="P48" s="3" t="n">
        <v>2</v>
      </c>
      <c r="Q48" s="3" t="n">
        <v>2</v>
      </c>
      <c r="R48" s="3" t="n">
        <v>2</v>
      </c>
      <c r="S48" s="3" t="n">
        <v>2</v>
      </c>
      <c r="T48" s="4" t="n">
        <v>2</v>
      </c>
      <c r="U48" s="3" t="n">
        <v>2</v>
      </c>
      <c r="V48" s="3" t="n">
        <v>4.4</v>
      </c>
      <c r="W48" s="3" t="n">
        <v>0.32</v>
      </c>
      <c r="X48" s="3" t="n">
        <v>8.4</v>
      </c>
      <c r="Y48" s="3" t="n">
        <v>186</v>
      </c>
      <c r="AA48" s="3" t="n">
        <v>0.4</v>
      </c>
      <c r="AB48" s="3" t="n">
        <v>12.4</v>
      </c>
      <c r="AC48" s="3" t="n">
        <v>2</v>
      </c>
      <c r="AD48" s="3" t="n">
        <v>1</v>
      </c>
      <c r="AE48" s="3" t="n">
        <v>1</v>
      </c>
      <c r="AF48" s="3" t="n">
        <v>1</v>
      </c>
      <c r="AG48" s="3" t="n">
        <v>2</v>
      </c>
      <c r="AH48" s="3" t="n">
        <v>2</v>
      </c>
      <c r="AI48" s="3" t="n">
        <v>1</v>
      </c>
      <c r="AJ48" s="3" t="n">
        <v>2</v>
      </c>
      <c r="AK48" s="3" t="n">
        <v>2</v>
      </c>
      <c r="AL48" s="3" t="n">
        <v>2</v>
      </c>
      <c r="AM48" s="3" t="n">
        <v>2</v>
      </c>
      <c r="AN48" s="3" t="n">
        <v>2</v>
      </c>
      <c r="AO48" s="3" t="n">
        <v>2</v>
      </c>
      <c r="AP48" s="3" t="n">
        <v>2</v>
      </c>
      <c r="AQ48" s="3" t="n">
        <v>3</v>
      </c>
      <c r="AR48" s="3" t="n">
        <v>8</v>
      </c>
      <c r="AS48" s="3" t="n">
        <v>5</v>
      </c>
      <c r="AT48" s="3" t="n">
        <v>2</v>
      </c>
      <c r="AU48" s="3" t="n">
        <v>1</v>
      </c>
      <c r="AV48" s="3" t="n">
        <v>1</v>
      </c>
      <c r="AW48" s="3" t="n">
        <v>1</v>
      </c>
      <c r="AX48" s="3" t="n">
        <v>2</v>
      </c>
      <c r="AY48" s="3" t="n">
        <v>2</v>
      </c>
      <c r="AZ48" s="3" t="n">
        <v>1</v>
      </c>
      <c r="BA48" s="5" t="n">
        <v>1</v>
      </c>
      <c r="BB48" s="3" t="n">
        <v>1</v>
      </c>
      <c r="BC48" s="3" t="n">
        <v>1</v>
      </c>
      <c r="BD48" s="3" t="n">
        <v>5</v>
      </c>
      <c r="BE48" s="3" t="n">
        <v>3</v>
      </c>
      <c r="BF48" s="3" t="n">
        <v>5</v>
      </c>
      <c r="BG48" s="3" t="n">
        <v>3</v>
      </c>
      <c r="BH48" s="3" t="n">
        <v>4</v>
      </c>
      <c r="BI48" s="3" t="n">
        <v>1</v>
      </c>
      <c r="BJ48" s="3" t="n">
        <v>1</v>
      </c>
    </row>
    <row r="49" customFormat="false" ht="12.75" hidden="false" customHeight="false" outlineLevel="0" collapsed="false">
      <c r="B49" s="2" t="s">
        <v>844</v>
      </c>
      <c r="C49" s="2" t="s">
        <v>845</v>
      </c>
      <c r="D49" s="2" t="s">
        <v>846</v>
      </c>
      <c r="E49" s="2" t="n">
        <v>170785</v>
      </c>
      <c r="F49" s="15" t="n">
        <v>43501</v>
      </c>
      <c r="G49" s="15" t="n">
        <v>43507</v>
      </c>
      <c r="H49" s="3" t="n">
        <v>6</v>
      </c>
      <c r="I49" s="3" t="n">
        <v>1</v>
      </c>
      <c r="J49" s="3" t="n">
        <v>63</v>
      </c>
      <c r="K49" s="3" t="n">
        <v>1</v>
      </c>
      <c r="L49" s="3" t="n">
        <v>1</v>
      </c>
      <c r="M49" s="3" t="n">
        <v>1</v>
      </c>
      <c r="N49" s="3" t="n">
        <v>1</v>
      </c>
      <c r="O49" s="3" t="n">
        <v>2</v>
      </c>
      <c r="P49" s="3" t="n">
        <v>2</v>
      </c>
      <c r="Q49" s="3" t="n">
        <v>2</v>
      </c>
      <c r="R49" s="3" t="n">
        <v>2</v>
      </c>
      <c r="S49" s="3" t="n">
        <v>2</v>
      </c>
      <c r="T49" s="4" t="n">
        <v>2</v>
      </c>
      <c r="U49" s="3" t="n">
        <v>2</v>
      </c>
      <c r="V49" s="3" t="n">
        <v>4.86</v>
      </c>
      <c r="W49" s="3" t="n">
        <v>1.01</v>
      </c>
      <c r="X49" s="3" t="n">
        <v>5.64</v>
      </c>
      <c r="Y49" s="3" t="n">
        <v>162</v>
      </c>
      <c r="AA49" s="3" t="n">
        <v>0.27</v>
      </c>
      <c r="AB49" s="3" t="n">
        <v>12</v>
      </c>
      <c r="AC49" s="3" t="n">
        <v>2</v>
      </c>
      <c r="AD49" s="3" t="n">
        <v>1</v>
      </c>
      <c r="AE49" s="3" t="n">
        <v>1</v>
      </c>
      <c r="AF49" s="3" t="n">
        <v>1</v>
      </c>
      <c r="AG49" s="3" t="n">
        <v>2</v>
      </c>
      <c r="AH49" s="3" t="n">
        <v>2</v>
      </c>
      <c r="AI49" s="3" t="n">
        <v>1</v>
      </c>
      <c r="AJ49" s="3" t="n">
        <v>2</v>
      </c>
      <c r="AK49" s="3" t="n">
        <v>2</v>
      </c>
      <c r="AL49" s="3" t="n">
        <v>2</v>
      </c>
      <c r="AM49" s="3" t="n">
        <v>2</v>
      </c>
      <c r="AN49" s="3" t="n">
        <v>2</v>
      </c>
      <c r="AO49" s="3" t="n">
        <v>2</v>
      </c>
      <c r="AP49" s="3" t="n">
        <v>3</v>
      </c>
      <c r="AQ49" s="3" t="n">
        <v>4</v>
      </c>
      <c r="AR49" s="3" t="n">
        <v>4</v>
      </c>
      <c r="AS49" s="3" t="n">
        <v>6</v>
      </c>
      <c r="AT49" s="3" t="n">
        <v>4</v>
      </c>
      <c r="AU49" s="3" t="n">
        <v>4</v>
      </c>
      <c r="AV49" s="3" t="n">
        <v>6</v>
      </c>
      <c r="AW49" s="3" t="n">
        <v>6</v>
      </c>
      <c r="AX49" s="3" t="n">
        <v>3</v>
      </c>
      <c r="AY49" s="3" t="n">
        <v>3</v>
      </c>
      <c r="AZ49" s="3" t="n">
        <v>1</v>
      </c>
      <c r="BA49" s="5" t="n">
        <v>1</v>
      </c>
      <c r="BB49" s="3" t="n">
        <v>1</v>
      </c>
      <c r="BC49" s="3" t="n">
        <v>1</v>
      </c>
      <c r="BD49" s="3" t="n">
        <v>2</v>
      </c>
      <c r="BE49" s="3" t="n">
        <v>3</v>
      </c>
      <c r="BF49" s="3" t="n">
        <v>5</v>
      </c>
      <c r="BG49" s="3" t="n">
        <v>3</v>
      </c>
      <c r="BH49" s="3" t="n">
        <v>4</v>
      </c>
      <c r="BI49" s="3" t="n">
        <v>1</v>
      </c>
      <c r="BJ49" s="3" t="n">
        <v>1</v>
      </c>
    </row>
    <row r="50" customFormat="false" ht="12.75" hidden="false" customHeight="false" outlineLevel="0" collapsed="false">
      <c r="B50" s="2" t="s">
        <v>886</v>
      </c>
      <c r="C50" s="2" t="s">
        <v>887</v>
      </c>
      <c r="D50" s="2" t="s">
        <v>127</v>
      </c>
      <c r="E50" s="2" t="n">
        <v>171631</v>
      </c>
      <c r="F50" s="15" t="n">
        <v>43510</v>
      </c>
      <c r="G50" s="15" t="n">
        <v>43518</v>
      </c>
      <c r="H50" s="3" t="n">
        <v>5</v>
      </c>
      <c r="I50" s="3" t="n">
        <v>2</v>
      </c>
      <c r="J50" s="3" t="n">
        <v>77</v>
      </c>
      <c r="K50" s="3" t="n">
        <v>1</v>
      </c>
      <c r="L50" s="3" t="n">
        <v>2</v>
      </c>
      <c r="M50" s="3" t="n">
        <v>1</v>
      </c>
      <c r="N50" s="3" t="n">
        <v>2</v>
      </c>
      <c r="O50" s="3" t="n">
        <v>2</v>
      </c>
      <c r="P50" s="3" t="n">
        <v>2</v>
      </c>
      <c r="Q50" s="3" t="n">
        <v>2</v>
      </c>
      <c r="R50" s="3" t="n">
        <v>2</v>
      </c>
      <c r="S50" s="3" t="n">
        <v>2</v>
      </c>
      <c r="T50" s="4" t="n">
        <v>2</v>
      </c>
      <c r="U50" s="3" t="n">
        <v>2</v>
      </c>
      <c r="V50" s="3" t="n">
        <v>2.52</v>
      </c>
      <c r="W50" s="3" t="n">
        <v>0.59</v>
      </c>
      <c r="X50" s="3" t="n">
        <v>8.57</v>
      </c>
      <c r="Y50" s="3" t="n">
        <v>415</v>
      </c>
      <c r="AA50" s="3" t="n">
        <v>0.48</v>
      </c>
      <c r="AB50" s="3" t="n">
        <v>12.3</v>
      </c>
      <c r="AC50" s="3" t="n">
        <v>1</v>
      </c>
      <c r="AD50" s="3" t="n">
        <v>2</v>
      </c>
      <c r="AE50" s="3" t="n">
        <v>1</v>
      </c>
      <c r="AF50" s="3" t="n">
        <v>2</v>
      </c>
      <c r="AG50" s="3" t="n">
        <v>1</v>
      </c>
      <c r="AH50" s="3" t="n">
        <v>2</v>
      </c>
      <c r="AI50" s="3" t="n">
        <v>1</v>
      </c>
      <c r="AJ50" s="3" t="n">
        <v>2</v>
      </c>
      <c r="AK50" s="3" t="n">
        <v>2</v>
      </c>
      <c r="AL50" s="3" t="n">
        <v>2</v>
      </c>
      <c r="AM50" s="3" t="n">
        <v>1</v>
      </c>
      <c r="AN50" s="3" t="n">
        <v>2</v>
      </c>
      <c r="AO50" s="3" t="n">
        <v>2</v>
      </c>
      <c r="AP50" s="3" t="n">
        <v>3</v>
      </c>
      <c r="AQ50" s="3" t="n">
        <v>4</v>
      </c>
      <c r="AR50" s="3" t="n">
        <v>4</v>
      </c>
      <c r="AS50" s="3" t="n">
        <v>6</v>
      </c>
      <c r="AT50" s="3" t="n">
        <v>4</v>
      </c>
      <c r="AU50" s="3" t="n">
        <v>4</v>
      </c>
      <c r="AV50" s="3" t="n">
        <v>6</v>
      </c>
      <c r="AW50" s="3" t="n">
        <v>6</v>
      </c>
      <c r="AX50" s="3" t="n">
        <v>3</v>
      </c>
      <c r="AY50" s="3" t="n">
        <v>3</v>
      </c>
      <c r="AZ50" s="3" t="n">
        <v>1</v>
      </c>
      <c r="BA50" s="5" t="n">
        <v>1</v>
      </c>
      <c r="BB50" s="3" t="n">
        <v>1</v>
      </c>
      <c r="BC50" s="3" t="n">
        <v>1</v>
      </c>
      <c r="BD50" s="3" t="n">
        <v>4</v>
      </c>
      <c r="BE50" s="3" t="n">
        <v>3</v>
      </c>
      <c r="BF50" s="3" t="n">
        <v>5</v>
      </c>
      <c r="BG50" s="3" t="n">
        <v>3</v>
      </c>
      <c r="BH50" s="3" t="n">
        <v>4</v>
      </c>
      <c r="BI50" s="3" t="n">
        <v>1</v>
      </c>
      <c r="BJ50" s="3" t="n">
        <v>1</v>
      </c>
    </row>
    <row r="51" customFormat="false" ht="12.75" hidden="false" customHeight="false" outlineLevel="0" collapsed="false">
      <c r="B51" s="2" t="s">
        <v>889</v>
      </c>
      <c r="C51" s="2" t="s">
        <v>890</v>
      </c>
      <c r="D51" s="2" t="s">
        <v>494</v>
      </c>
      <c r="E51" s="2" t="n">
        <v>171732</v>
      </c>
      <c r="F51" s="15" t="n">
        <v>43512</v>
      </c>
      <c r="G51" s="15" t="n">
        <v>43518</v>
      </c>
      <c r="H51" s="3" t="n">
        <v>6</v>
      </c>
      <c r="I51" s="3" t="n">
        <v>2</v>
      </c>
      <c r="J51" s="3" t="n">
        <v>76</v>
      </c>
      <c r="K51" s="3" t="n">
        <v>1</v>
      </c>
      <c r="L51" s="3" t="n">
        <v>2</v>
      </c>
      <c r="M51" s="3" t="n">
        <v>2</v>
      </c>
      <c r="N51" s="3" t="n">
        <v>2</v>
      </c>
      <c r="O51" s="3" t="n">
        <v>2</v>
      </c>
      <c r="P51" s="3" t="n">
        <v>2</v>
      </c>
      <c r="Q51" s="3" t="n">
        <v>2</v>
      </c>
      <c r="R51" s="3" t="n">
        <v>2</v>
      </c>
      <c r="S51" s="3" t="n">
        <v>2</v>
      </c>
      <c r="T51" s="4" t="n">
        <v>2</v>
      </c>
      <c r="U51" s="3" t="n">
        <v>2</v>
      </c>
      <c r="V51" s="3" t="n">
        <v>3.22</v>
      </c>
      <c r="W51" s="3" t="n">
        <v>0.2</v>
      </c>
      <c r="X51" s="3" t="n">
        <v>4.9</v>
      </c>
      <c r="Y51" s="3" t="n">
        <v>9</v>
      </c>
      <c r="AA51" s="3" t="n">
        <v>0.46</v>
      </c>
      <c r="AB51" s="3" t="n">
        <v>9.6</v>
      </c>
      <c r="AC51" s="3" t="n">
        <v>2</v>
      </c>
      <c r="AD51" s="3" t="n">
        <v>2</v>
      </c>
      <c r="AE51" s="3" t="n">
        <v>1</v>
      </c>
      <c r="AF51" s="3" t="n">
        <v>1</v>
      </c>
      <c r="AG51" s="3" t="n">
        <v>2</v>
      </c>
      <c r="AH51" s="3" t="n">
        <v>2</v>
      </c>
      <c r="AI51" s="3" t="n">
        <v>1</v>
      </c>
      <c r="AJ51" s="3" t="n">
        <v>2</v>
      </c>
      <c r="AK51" s="3" t="n">
        <v>2</v>
      </c>
      <c r="AL51" s="3" t="n">
        <v>2</v>
      </c>
      <c r="AM51" s="3" t="n">
        <v>2</v>
      </c>
      <c r="AN51" s="3" t="n">
        <v>2</v>
      </c>
      <c r="AO51" s="3" t="n">
        <v>2</v>
      </c>
      <c r="AP51" s="3" t="n">
        <v>3</v>
      </c>
      <c r="AQ51" s="3" t="n">
        <v>4</v>
      </c>
      <c r="AR51" s="3" t="n">
        <v>4</v>
      </c>
      <c r="AS51" s="3" t="n">
        <v>6</v>
      </c>
      <c r="AT51" s="3" t="n">
        <v>4</v>
      </c>
      <c r="AU51" s="3" t="n">
        <v>4</v>
      </c>
      <c r="AV51" s="3" t="n">
        <v>6</v>
      </c>
      <c r="AW51" s="3" t="n">
        <v>6</v>
      </c>
      <c r="AX51" s="3" t="n">
        <v>3</v>
      </c>
      <c r="AY51" s="3" t="n">
        <v>3</v>
      </c>
      <c r="AZ51" s="3" t="n">
        <v>1</v>
      </c>
      <c r="BA51" s="5" t="n">
        <v>1</v>
      </c>
      <c r="BB51" s="3" t="n">
        <v>1</v>
      </c>
      <c r="BC51" s="3" t="n">
        <v>1</v>
      </c>
      <c r="BD51" s="3" t="n">
        <v>2</v>
      </c>
      <c r="BE51" s="3" t="n">
        <v>1</v>
      </c>
      <c r="BF51" s="3" t="n">
        <v>2</v>
      </c>
      <c r="BG51" s="3" t="n">
        <v>1</v>
      </c>
      <c r="BH51" s="3" t="n">
        <v>4</v>
      </c>
      <c r="BI51" s="3" t="n">
        <v>1</v>
      </c>
      <c r="BJ51" s="3" t="n">
        <v>1</v>
      </c>
    </row>
    <row r="52" customFormat="false" ht="12.75" hidden="false" customHeight="false" outlineLevel="0" collapsed="false">
      <c r="B52" s="26" t="s">
        <v>556</v>
      </c>
      <c r="C52" s="26" t="s">
        <v>94</v>
      </c>
      <c r="D52" s="26" t="s">
        <v>127</v>
      </c>
      <c r="E52" s="26" t="n">
        <v>171705</v>
      </c>
      <c r="F52" s="27" t="n">
        <v>43513</v>
      </c>
      <c r="G52" s="27" t="n">
        <v>43519</v>
      </c>
      <c r="H52" s="30" t="n">
        <v>6</v>
      </c>
      <c r="I52" s="30" t="n">
        <v>2</v>
      </c>
      <c r="J52" s="30" t="n">
        <v>88</v>
      </c>
      <c r="K52" s="30" t="n">
        <v>2</v>
      </c>
      <c r="L52" s="30" t="n">
        <v>2</v>
      </c>
      <c r="M52" s="30" t="n">
        <v>1</v>
      </c>
      <c r="N52" s="30" t="n">
        <v>2</v>
      </c>
      <c r="O52" s="30" t="n">
        <v>2</v>
      </c>
      <c r="P52" s="30" t="n">
        <v>1</v>
      </c>
      <c r="Q52" s="30" t="n">
        <v>1</v>
      </c>
      <c r="R52" s="30" t="n">
        <v>1</v>
      </c>
      <c r="S52" s="30" t="n">
        <v>2</v>
      </c>
      <c r="T52" s="4" t="n">
        <v>2</v>
      </c>
      <c r="U52" s="30" t="n">
        <v>2</v>
      </c>
      <c r="V52" s="30" t="n">
        <v>4.46</v>
      </c>
      <c r="W52" s="30" t="n">
        <v>0.92</v>
      </c>
      <c r="X52" s="30" t="n">
        <v>8.1</v>
      </c>
      <c r="Y52" s="30" t="n">
        <v>791</v>
      </c>
      <c r="AA52" s="30" t="n">
        <v>0.38</v>
      </c>
      <c r="AB52" s="30" t="n">
        <v>11.8</v>
      </c>
      <c r="AC52" s="30" t="n">
        <v>3</v>
      </c>
      <c r="AD52" s="30" t="n">
        <v>2</v>
      </c>
      <c r="AE52" s="30" t="n">
        <v>1</v>
      </c>
      <c r="AF52" s="30" t="n">
        <v>1</v>
      </c>
      <c r="AG52" s="30" t="n">
        <v>2</v>
      </c>
      <c r="AH52" s="30" t="n">
        <v>2</v>
      </c>
      <c r="AI52" s="30" t="n">
        <v>1</v>
      </c>
      <c r="AJ52" s="30" t="n">
        <v>2</v>
      </c>
      <c r="AK52" s="30" t="n">
        <v>2</v>
      </c>
      <c r="AL52" s="30" t="n">
        <v>2</v>
      </c>
      <c r="AM52" s="30" t="n">
        <v>1</v>
      </c>
      <c r="AN52" s="30" t="n">
        <v>1</v>
      </c>
      <c r="AO52" s="30" t="n">
        <v>2</v>
      </c>
      <c r="AP52" s="30" t="n">
        <v>2</v>
      </c>
      <c r="AQ52" s="30" t="n">
        <v>2</v>
      </c>
      <c r="AR52" s="30" t="n">
        <v>1</v>
      </c>
      <c r="AS52" s="30" t="n">
        <v>3</v>
      </c>
      <c r="AT52" s="30" t="n">
        <v>1</v>
      </c>
      <c r="AU52" s="30" t="n">
        <v>1</v>
      </c>
      <c r="AV52" s="30" t="n">
        <v>1</v>
      </c>
      <c r="AW52" s="30" t="n">
        <v>1</v>
      </c>
      <c r="AX52" s="30" t="n">
        <v>2</v>
      </c>
      <c r="AY52" s="30" t="n">
        <v>2</v>
      </c>
      <c r="AZ52" s="30" t="n">
        <v>6</v>
      </c>
      <c r="BA52" s="5" t="n">
        <v>1</v>
      </c>
      <c r="BB52" s="30" t="n">
        <v>1</v>
      </c>
      <c r="BC52" s="30" t="n">
        <v>2</v>
      </c>
      <c r="BD52" s="30" t="n">
        <v>2</v>
      </c>
      <c r="BE52" s="30" t="n">
        <v>3</v>
      </c>
      <c r="BF52" s="30" t="n">
        <v>5</v>
      </c>
      <c r="BG52" s="30" t="n">
        <v>3</v>
      </c>
      <c r="BH52" s="30" t="n">
        <v>4</v>
      </c>
      <c r="BI52" s="30" t="n">
        <v>1</v>
      </c>
      <c r="BJ52" s="30" t="n">
        <v>1</v>
      </c>
    </row>
    <row r="53" customFormat="false" ht="12.75" hidden="false" customHeight="false" outlineLevel="0" collapsed="false">
      <c r="B53" s="2" t="s">
        <v>894</v>
      </c>
      <c r="C53" s="2" t="s">
        <v>895</v>
      </c>
      <c r="D53" s="2" t="s">
        <v>94</v>
      </c>
      <c r="E53" s="2" t="n">
        <v>171774</v>
      </c>
      <c r="F53" s="15" t="n">
        <v>43510</v>
      </c>
      <c r="G53" s="15" t="n">
        <v>43519</v>
      </c>
      <c r="H53" s="3" t="n">
        <v>9</v>
      </c>
      <c r="I53" s="3" t="n">
        <v>2</v>
      </c>
      <c r="J53" s="3" t="n">
        <v>61</v>
      </c>
      <c r="K53" s="3" t="n">
        <v>1</v>
      </c>
      <c r="L53" s="3" t="n">
        <v>1</v>
      </c>
      <c r="M53" s="3" t="n">
        <v>1</v>
      </c>
      <c r="N53" s="3" t="n">
        <v>2</v>
      </c>
      <c r="O53" s="3" t="n">
        <v>2</v>
      </c>
      <c r="P53" s="3" t="n">
        <v>2</v>
      </c>
      <c r="Q53" s="3" t="n">
        <v>2</v>
      </c>
      <c r="R53" s="3" t="n">
        <v>2</v>
      </c>
      <c r="S53" s="3" t="n">
        <v>2</v>
      </c>
      <c r="T53" s="4" t="n">
        <v>2</v>
      </c>
      <c r="U53" s="3" t="n">
        <v>2</v>
      </c>
      <c r="V53" s="3" t="n">
        <v>5.76</v>
      </c>
      <c r="W53" s="3" t="n">
        <v>2.51</v>
      </c>
      <c r="X53" s="3" t="n">
        <v>5.8</v>
      </c>
      <c r="Y53" s="3" t="n">
        <v>393</v>
      </c>
      <c r="AA53" s="3" t="n">
        <v>0.45</v>
      </c>
      <c r="AB53" s="3" t="n">
        <v>9.6</v>
      </c>
      <c r="AC53" s="3" t="n">
        <v>1</v>
      </c>
      <c r="AD53" s="3" t="n">
        <v>2</v>
      </c>
      <c r="AE53" s="3" t="n">
        <v>1</v>
      </c>
      <c r="AF53" s="3" t="n">
        <v>1</v>
      </c>
      <c r="AG53" s="3" t="n">
        <v>2</v>
      </c>
      <c r="AH53" s="3" t="n">
        <v>2</v>
      </c>
      <c r="AI53" s="3" t="n">
        <v>1</v>
      </c>
      <c r="AJ53" s="3" t="n">
        <v>2</v>
      </c>
      <c r="AK53" s="3" t="n">
        <v>2</v>
      </c>
      <c r="AL53" s="3" t="n">
        <v>2</v>
      </c>
      <c r="AM53" s="3" t="n">
        <v>1</v>
      </c>
      <c r="AN53" s="3" t="n">
        <v>2</v>
      </c>
      <c r="AO53" s="3" t="n">
        <v>2</v>
      </c>
      <c r="AP53" s="3" t="n">
        <v>2</v>
      </c>
      <c r="AQ53" s="3" t="n">
        <v>2</v>
      </c>
      <c r="AR53" s="3" t="n">
        <v>4</v>
      </c>
      <c r="AS53" s="3" t="n">
        <v>6</v>
      </c>
      <c r="AT53" s="3" t="n">
        <v>4</v>
      </c>
      <c r="AU53" s="3" t="n">
        <v>4</v>
      </c>
      <c r="AV53" s="3" t="n">
        <v>1</v>
      </c>
      <c r="AW53" s="3" t="n">
        <v>6</v>
      </c>
      <c r="AX53" s="3" t="n">
        <v>2</v>
      </c>
      <c r="AY53" s="3" t="n">
        <v>1</v>
      </c>
      <c r="AZ53" s="3" t="n">
        <v>1</v>
      </c>
      <c r="BA53" s="5" t="n">
        <v>1</v>
      </c>
      <c r="BB53" s="3" t="n">
        <v>1</v>
      </c>
      <c r="BC53" s="3" t="n">
        <v>1</v>
      </c>
      <c r="BD53" s="3" t="n">
        <v>2</v>
      </c>
      <c r="BE53" s="3" t="n">
        <v>1</v>
      </c>
      <c r="BF53" s="3" t="n">
        <v>2</v>
      </c>
      <c r="BG53" s="3" t="n">
        <v>1</v>
      </c>
      <c r="BH53" s="3" t="n">
        <v>4</v>
      </c>
      <c r="BI53" s="3" t="n">
        <v>1</v>
      </c>
      <c r="BJ53" s="3" t="n">
        <v>1</v>
      </c>
    </row>
    <row r="54" customFormat="false" ht="12.75" hidden="false" customHeight="false" outlineLevel="0" collapsed="false">
      <c r="B54" s="2" t="s">
        <v>900</v>
      </c>
      <c r="C54" s="2" t="s">
        <v>688</v>
      </c>
      <c r="D54" s="2" t="s">
        <v>457</v>
      </c>
      <c r="E54" s="2" t="n">
        <v>171733</v>
      </c>
      <c r="F54" s="15" t="n">
        <v>43512</v>
      </c>
      <c r="G54" s="15" t="n">
        <v>43522</v>
      </c>
      <c r="H54" s="3" t="n">
        <v>10</v>
      </c>
      <c r="I54" s="3" t="n">
        <v>1</v>
      </c>
      <c r="J54" s="3" t="n">
        <v>61</v>
      </c>
      <c r="K54" s="3" t="n">
        <v>1</v>
      </c>
      <c r="L54" s="3" t="n">
        <v>2</v>
      </c>
      <c r="M54" s="3" t="n">
        <v>1</v>
      </c>
      <c r="N54" s="3" t="n">
        <v>2</v>
      </c>
      <c r="O54" s="3" t="n">
        <v>2</v>
      </c>
      <c r="P54" s="3" t="n">
        <v>2</v>
      </c>
      <c r="Q54" s="3" t="n">
        <v>1</v>
      </c>
      <c r="R54" s="3" t="n">
        <v>2</v>
      </c>
      <c r="S54" s="3" t="n">
        <v>2</v>
      </c>
      <c r="T54" s="4" t="n">
        <v>2</v>
      </c>
      <c r="U54" s="3" t="n">
        <v>2</v>
      </c>
      <c r="V54" s="3" t="n">
        <v>4.57</v>
      </c>
      <c r="W54" s="3" t="n">
        <v>1.46</v>
      </c>
      <c r="X54" s="3" t="n">
        <v>11.1</v>
      </c>
      <c r="Y54" s="3" t="n">
        <v>285</v>
      </c>
      <c r="AA54" s="3" t="n">
        <v>0.43</v>
      </c>
      <c r="AB54" s="3" t="n">
        <v>12.8</v>
      </c>
      <c r="AC54" s="3" t="n">
        <v>2</v>
      </c>
      <c r="AD54" s="3" t="n">
        <v>1</v>
      </c>
      <c r="AE54" s="3" t="n">
        <v>1</v>
      </c>
      <c r="AF54" s="3" t="n">
        <v>1</v>
      </c>
      <c r="AG54" s="3" t="n">
        <v>2</v>
      </c>
      <c r="AH54" s="3" t="n">
        <v>1</v>
      </c>
      <c r="AI54" s="3" t="n">
        <v>1</v>
      </c>
      <c r="AJ54" s="3" t="n">
        <v>2</v>
      </c>
      <c r="AK54" s="3" t="n">
        <v>2</v>
      </c>
      <c r="AL54" s="3" t="n">
        <v>2</v>
      </c>
      <c r="AM54" s="3" t="n">
        <v>2</v>
      </c>
      <c r="AN54" s="3" t="n">
        <v>2</v>
      </c>
      <c r="AO54" s="3" t="n">
        <v>2</v>
      </c>
      <c r="AP54" s="3" t="n">
        <v>2</v>
      </c>
      <c r="AQ54" s="3" t="n">
        <v>3</v>
      </c>
      <c r="AR54" s="3" t="n">
        <v>4</v>
      </c>
      <c r="AS54" s="3" t="n">
        <v>6</v>
      </c>
      <c r="AT54" s="3" t="n">
        <v>4</v>
      </c>
      <c r="AU54" s="3" t="n">
        <v>4</v>
      </c>
      <c r="AV54" s="3" t="n">
        <v>1</v>
      </c>
      <c r="AW54" s="3" t="n">
        <v>6</v>
      </c>
      <c r="AX54" s="3" t="n">
        <v>1</v>
      </c>
      <c r="AY54" s="3" t="n">
        <v>2</v>
      </c>
      <c r="AZ54" s="3" t="n">
        <v>5</v>
      </c>
      <c r="BA54" s="5" t="n">
        <v>1</v>
      </c>
      <c r="BB54" s="3" t="n">
        <v>1</v>
      </c>
      <c r="BC54" s="3" t="n">
        <v>1</v>
      </c>
      <c r="BD54" s="3" t="n">
        <v>4</v>
      </c>
      <c r="BE54" s="3" t="n">
        <v>1</v>
      </c>
      <c r="BF54" s="3" t="n">
        <v>2</v>
      </c>
      <c r="BG54" s="3" t="n">
        <v>1</v>
      </c>
      <c r="BH54" s="3" t="n">
        <v>4</v>
      </c>
      <c r="BI54" s="3" t="n">
        <v>1</v>
      </c>
      <c r="BJ54" s="3" t="n">
        <v>1</v>
      </c>
    </row>
    <row r="55" customFormat="false" ht="12.75" hidden="false" customHeight="false" outlineLevel="0" collapsed="false">
      <c r="B55" s="2" t="s">
        <v>392</v>
      </c>
      <c r="C55" s="2" t="s">
        <v>902</v>
      </c>
      <c r="D55" s="2" t="s">
        <v>382</v>
      </c>
      <c r="E55" s="2" t="n">
        <v>172154</v>
      </c>
      <c r="F55" s="15" t="n">
        <v>43516</v>
      </c>
      <c r="G55" s="15" t="n">
        <v>43735</v>
      </c>
      <c r="H55" s="3" t="n">
        <v>7</v>
      </c>
      <c r="I55" s="3" t="n">
        <v>2</v>
      </c>
      <c r="J55" s="3" t="n">
        <v>73</v>
      </c>
      <c r="K55" s="3" t="n">
        <v>1</v>
      </c>
      <c r="L55" s="3" t="n">
        <v>2</v>
      </c>
      <c r="M55" s="3" t="n">
        <v>1</v>
      </c>
      <c r="N55" s="3" t="n">
        <v>2</v>
      </c>
      <c r="O55" s="3" t="n">
        <v>2</v>
      </c>
      <c r="P55" s="3" t="n">
        <v>2</v>
      </c>
      <c r="Q55" s="3" t="n">
        <v>1</v>
      </c>
      <c r="R55" s="3" t="n">
        <v>2</v>
      </c>
      <c r="S55" s="3" t="n">
        <v>2</v>
      </c>
      <c r="T55" s="4" t="n">
        <v>2</v>
      </c>
      <c r="U55" s="3" t="n">
        <v>2</v>
      </c>
      <c r="V55" s="3" t="n">
        <v>5.62</v>
      </c>
      <c r="W55" s="3" t="n">
        <v>1.13</v>
      </c>
      <c r="X55" s="3" t="n">
        <v>6.5</v>
      </c>
      <c r="Y55" s="3" t="n">
        <v>473</v>
      </c>
      <c r="AA55" s="3" t="n">
        <v>0.49</v>
      </c>
      <c r="AB55" s="3" t="n">
        <v>9.4</v>
      </c>
      <c r="AC55" s="3" t="n">
        <v>1</v>
      </c>
      <c r="AD55" s="3" t="n">
        <v>1</v>
      </c>
      <c r="AE55" s="3" t="n">
        <v>1</v>
      </c>
      <c r="AF55" s="3" t="n">
        <v>1</v>
      </c>
      <c r="AG55" s="3" t="n">
        <v>2</v>
      </c>
      <c r="AH55" s="3" t="n">
        <v>1</v>
      </c>
      <c r="AI55" s="3" t="n">
        <v>1</v>
      </c>
      <c r="AJ55" s="3" t="n">
        <v>2</v>
      </c>
      <c r="AK55" s="3" t="n">
        <v>2</v>
      </c>
      <c r="AL55" s="3" t="n">
        <v>2</v>
      </c>
      <c r="AM55" s="3" t="n">
        <v>2</v>
      </c>
      <c r="AN55" s="3" t="n">
        <v>2</v>
      </c>
      <c r="AO55" s="3" t="n">
        <v>2</v>
      </c>
      <c r="AP55" s="3" t="n">
        <v>3</v>
      </c>
      <c r="AQ55" s="3" t="n">
        <v>4</v>
      </c>
      <c r="AR55" s="3" t="n">
        <v>4</v>
      </c>
      <c r="AS55" s="3" t="n">
        <v>6</v>
      </c>
      <c r="AT55" s="3" t="n">
        <v>4</v>
      </c>
      <c r="AU55" s="3" t="n">
        <v>4</v>
      </c>
      <c r="AV55" s="3" t="n">
        <v>6</v>
      </c>
      <c r="AW55" s="3" t="n">
        <v>6</v>
      </c>
      <c r="AX55" s="3" t="n">
        <v>3</v>
      </c>
      <c r="AY55" s="3" t="n">
        <v>3</v>
      </c>
      <c r="AZ55" s="3" t="n">
        <v>1</v>
      </c>
      <c r="BA55" s="5" t="n">
        <v>1</v>
      </c>
      <c r="BB55" s="3" t="n">
        <v>1</v>
      </c>
      <c r="BC55" s="3" t="n">
        <v>1</v>
      </c>
      <c r="BD55" s="3" t="n">
        <v>4</v>
      </c>
      <c r="BE55" s="3" t="n">
        <v>1</v>
      </c>
      <c r="BF55" s="3" t="n">
        <v>2</v>
      </c>
      <c r="BG55" s="3" t="n">
        <v>1</v>
      </c>
      <c r="BH55" s="3" t="n">
        <v>4</v>
      </c>
      <c r="BI55" s="3" t="n">
        <v>1</v>
      </c>
      <c r="BJ55" s="3" t="n">
        <v>1</v>
      </c>
    </row>
    <row r="56" customFormat="false" ht="12.75" hidden="false" customHeight="false" outlineLevel="0" collapsed="false">
      <c r="B56" s="2" t="s">
        <v>904</v>
      </c>
      <c r="C56" s="2" t="s">
        <v>66</v>
      </c>
      <c r="D56" s="2" t="s">
        <v>109</v>
      </c>
      <c r="E56" s="2" t="n">
        <v>172563</v>
      </c>
      <c r="F56" s="15" t="n">
        <v>43518</v>
      </c>
      <c r="G56" s="15" t="n">
        <v>43735</v>
      </c>
      <c r="H56" s="3" t="n">
        <v>5</v>
      </c>
      <c r="I56" s="3" t="n">
        <v>2</v>
      </c>
      <c r="J56" s="3" t="n">
        <v>43</v>
      </c>
      <c r="K56" s="3" t="n">
        <v>1</v>
      </c>
      <c r="L56" s="3" t="n">
        <v>1</v>
      </c>
      <c r="M56" s="3" t="n">
        <v>1</v>
      </c>
      <c r="N56" s="3" t="n">
        <v>2</v>
      </c>
      <c r="O56" s="3" t="n">
        <v>2</v>
      </c>
      <c r="P56" s="3" t="n">
        <v>2</v>
      </c>
      <c r="Q56" s="3" t="n">
        <v>2</v>
      </c>
      <c r="R56" s="3" t="n">
        <v>2</v>
      </c>
      <c r="S56" s="3" t="n">
        <v>2</v>
      </c>
      <c r="T56" s="4" t="n">
        <v>1</v>
      </c>
      <c r="U56" s="3" t="n">
        <v>1</v>
      </c>
      <c r="V56" s="3" t="n">
        <v>3.52</v>
      </c>
      <c r="W56" s="3" t="n">
        <v>1.31</v>
      </c>
      <c r="X56" s="3" t="n">
        <v>6.6</v>
      </c>
      <c r="Y56" s="3" t="n">
        <v>431</v>
      </c>
      <c r="AA56" s="3" t="n">
        <v>0.4</v>
      </c>
      <c r="AB56" s="3" t="n">
        <v>9.4</v>
      </c>
      <c r="AC56" s="3" t="n">
        <v>1</v>
      </c>
      <c r="AD56" s="3" t="n">
        <v>2</v>
      </c>
      <c r="AE56" s="3" t="n">
        <v>2</v>
      </c>
      <c r="AF56" s="3" t="n">
        <v>1</v>
      </c>
      <c r="AG56" s="3" t="n">
        <v>2</v>
      </c>
      <c r="AH56" s="3" t="n">
        <v>1</v>
      </c>
      <c r="AI56" s="3" t="n">
        <v>1</v>
      </c>
      <c r="AJ56" s="3" t="n">
        <v>2</v>
      </c>
      <c r="AK56" s="3" t="n">
        <v>2</v>
      </c>
      <c r="AL56" s="3" t="n">
        <v>2</v>
      </c>
      <c r="AM56" s="3" t="n">
        <v>1</v>
      </c>
      <c r="AN56" s="3" t="n">
        <v>2</v>
      </c>
      <c r="AO56" s="3" t="n">
        <v>2</v>
      </c>
      <c r="AP56" s="3" t="n">
        <v>4</v>
      </c>
      <c r="AQ56" s="3" t="n">
        <v>2</v>
      </c>
      <c r="AR56" s="3" t="n">
        <v>9</v>
      </c>
      <c r="AS56" s="3" t="n">
        <v>2</v>
      </c>
      <c r="AT56" s="3" t="n">
        <v>1</v>
      </c>
      <c r="AU56" s="3" t="n">
        <v>1</v>
      </c>
      <c r="AV56" s="3" t="n">
        <v>1</v>
      </c>
      <c r="AW56" s="3" t="n">
        <v>10</v>
      </c>
      <c r="AX56" s="3" t="n">
        <v>2</v>
      </c>
      <c r="AY56" s="3" t="n">
        <v>2</v>
      </c>
      <c r="AZ56" s="3" t="n">
        <v>1</v>
      </c>
      <c r="BA56" s="5" t="n">
        <v>1</v>
      </c>
      <c r="BB56" s="3" t="n">
        <v>1</v>
      </c>
      <c r="BC56" s="3" t="n">
        <v>1</v>
      </c>
      <c r="BD56" s="3" t="n">
        <v>2</v>
      </c>
      <c r="BE56" s="3" t="n">
        <v>3</v>
      </c>
      <c r="BF56" s="3" t="n">
        <v>5</v>
      </c>
      <c r="BG56" s="3" t="n">
        <v>3</v>
      </c>
      <c r="BH56" s="3" t="n">
        <v>4</v>
      </c>
      <c r="BI56" s="3" t="n">
        <v>1</v>
      </c>
      <c r="BJ56" s="3" t="n">
        <v>1</v>
      </c>
    </row>
    <row r="57" customFormat="false" ht="12.75" hidden="false" customHeight="false" outlineLevel="0" collapsed="false">
      <c r="B57" s="2" t="s">
        <v>394</v>
      </c>
      <c r="C57" s="2" t="s">
        <v>808</v>
      </c>
      <c r="D57" s="2" t="s">
        <v>78</v>
      </c>
      <c r="E57" s="2" t="n">
        <v>172534</v>
      </c>
      <c r="F57" s="15" t="n">
        <v>43521</v>
      </c>
      <c r="G57" s="15" t="n">
        <v>43529</v>
      </c>
      <c r="H57" s="3" t="n">
        <v>8</v>
      </c>
      <c r="I57" s="3" t="n">
        <v>2</v>
      </c>
      <c r="J57" s="3" t="n">
        <v>62</v>
      </c>
      <c r="K57" s="3" t="n">
        <v>2</v>
      </c>
      <c r="L57" s="3" t="n">
        <v>1</v>
      </c>
      <c r="M57" s="3" t="n">
        <v>2</v>
      </c>
      <c r="N57" s="3" t="n">
        <v>2</v>
      </c>
      <c r="O57" s="3" t="n">
        <v>2</v>
      </c>
      <c r="P57" s="3" t="n">
        <v>2</v>
      </c>
      <c r="Q57" s="3" t="n">
        <v>2</v>
      </c>
      <c r="R57" s="3" t="n">
        <v>2</v>
      </c>
      <c r="S57" s="3" t="n">
        <v>2</v>
      </c>
      <c r="T57" s="4" t="n">
        <v>2</v>
      </c>
      <c r="U57" s="3" t="n">
        <v>2</v>
      </c>
      <c r="V57" s="3" t="n">
        <v>5.52</v>
      </c>
      <c r="W57" s="3" t="n">
        <v>1.7</v>
      </c>
      <c r="X57" s="3" t="n">
        <v>5</v>
      </c>
      <c r="Y57" s="3" t="n">
        <v>310</v>
      </c>
      <c r="AA57" s="3" t="n">
        <v>0.4</v>
      </c>
      <c r="AB57" s="3" t="n">
        <v>11.2</v>
      </c>
      <c r="AC57" s="3" t="n">
        <v>1</v>
      </c>
      <c r="AD57" s="3" t="n">
        <v>2</v>
      </c>
      <c r="AE57" s="3" t="n">
        <v>1</v>
      </c>
      <c r="AF57" s="3" t="n">
        <v>1</v>
      </c>
      <c r="AG57" s="3" t="n">
        <v>2</v>
      </c>
      <c r="AH57" s="3" t="n">
        <v>2</v>
      </c>
      <c r="AI57" s="3" t="n">
        <v>1</v>
      </c>
      <c r="AJ57" s="3" t="n">
        <v>2</v>
      </c>
      <c r="AK57" s="3" t="n">
        <v>2</v>
      </c>
      <c r="AL57" s="3" t="n">
        <v>2</v>
      </c>
      <c r="AM57" s="3" t="n">
        <v>1</v>
      </c>
      <c r="AN57" s="3" t="n">
        <v>2</v>
      </c>
      <c r="AO57" s="3" t="n">
        <v>2</v>
      </c>
      <c r="AP57" s="3" t="n">
        <v>3</v>
      </c>
      <c r="AQ57" s="3" t="n">
        <v>4</v>
      </c>
      <c r="AR57" s="3" t="n">
        <v>4</v>
      </c>
      <c r="AS57" s="3" t="n">
        <v>6</v>
      </c>
      <c r="AT57" s="3" t="n">
        <v>4</v>
      </c>
      <c r="AU57" s="3" t="n">
        <v>4</v>
      </c>
      <c r="AV57" s="3" t="n">
        <v>6</v>
      </c>
      <c r="AW57" s="3" t="n">
        <v>6</v>
      </c>
      <c r="AX57" s="3" t="n">
        <v>3</v>
      </c>
      <c r="AY57" s="3" t="n">
        <v>3</v>
      </c>
      <c r="AZ57" s="3" t="n">
        <v>1</v>
      </c>
      <c r="BA57" s="5" t="n">
        <v>1</v>
      </c>
      <c r="BB57" s="3" t="n">
        <v>1</v>
      </c>
      <c r="BC57" s="3" t="n">
        <v>1</v>
      </c>
      <c r="BD57" s="3" t="n">
        <v>4</v>
      </c>
      <c r="BE57" s="3" t="n">
        <v>1</v>
      </c>
      <c r="BF57" s="3" t="n">
        <v>2</v>
      </c>
      <c r="BG57" s="3" t="n">
        <v>1</v>
      </c>
      <c r="BH57" s="3" t="n">
        <v>4</v>
      </c>
      <c r="BI57" s="3" t="n">
        <v>1</v>
      </c>
      <c r="BJ57" s="3" t="n">
        <v>1</v>
      </c>
    </row>
    <row r="58" customFormat="false" ht="12.75" hidden="false" customHeight="false" outlineLevel="0" collapsed="false">
      <c r="B58" s="2" t="s">
        <v>942</v>
      </c>
      <c r="C58" s="2" t="s">
        <v>510</v>
      </c>
      <c r="D58" s="2" t="s">
        <v>153</v>
      </c>
      <c r="E58" s="2" t="n">
        <v>172650</v>
      </c>
      <c r="F58" s="15" t="n">
        <v>43523</v>
      </c>
      <c r="G58" s="15" t="n">
        <v>43530</v>
      </c>
      <c r="H58" s="3" t="n">
        <v>7</v>
      </c>
      <c r="I58" s="3" t="n">
        <v>1</v>
      </c>
      <c r="J58" s="3" t="n">
        <v>49</v>
      </c>
      <c r="K58" s="3" t="n">
        <v>1</v>
      </c>
      <c r="L58" s="3" t="n">
        <v>1</v>
      </c>
      <c r="M58" s="3" t="n">
        <v>1</v>
      </c>
      <c r="N58" s="3" t="n">
        <v>2</v>
      </c>
      <c r="O58" s="3" t="n">
        <v>2</v>
      </c>
      <c r="P58" s="3" t="n">
        <v>2</v>
      </c>
      <c r="Q58" s="3" t="n">
        <v>1</v>
      </c>
      <c r="R58" s="3" t="n">
        <v>2</v>
      </c>
      <c r="S58" s="3" t="n">
        <v>2</v>
      </c>
      <c r="T58" s="4" t="n">
        <v>2</v>
      </c>
      <c r="U58" s="3" t="n">
        <v>2</v>
      </c>
      <c r="V58" s="3" t="n">
        <v>3.15</v>
      </c>
      <c r="W58" s="3" t="n">
        <v>2.4</v>
      </c>
      <c r="X58" s="3" t="n">
        <v>6.3</v>
      </c>
      <c r="Y58" s="3" t="n">
        <v>352</v>
      </c>
      <c r="AA58" s="3" t="n">
        <v>0.38</v>
      </c>
      <c r="AB58" s="3" t="n">
        <v>10.4</v>
      </c>
      <c r="AC58" s="3" t="n">
        <v>1</v>
      </c>
      <c r="AD58" s="3" t="n">
        <v>2</v>
      </c>
      <c r="AE58" s="3" t="n">
        <v>1</v>
      </c>
      <c r="AF58" s="3" t="n">
        <v>1</v>
      </c>
      <c r="AG58" s="3" t="n">
        <v>2</v>
      </c>
      <c r="AH58" s="3" t="n">
        <v>2</v>
      </c>
      <c r="AI58" s="3" t="n">
        <v>2</v>
      </c>
      <c r="AJ58" s="3" t="n">
        <v>2</v>
      </c>
      <c r="AK58" s="3" t="n">
        <v>2</v>
      </c>
      <c r="AL58" s="3" t="n">
        <v>2</v>
      </c>
      <c r="AM58" s="3" t="n">
        <v>2</v>
      </c>
      <c r="AN58" s="3" t="n">
        <v>2</v>
      </c>
      <c r="AO58" s="3" t="n">
        <v>2</v>
      </c>
      <c r="AP58" s="3" t="n">
        <v>3</v>
      </c>
      <c r="AQ58" s="3" t="n">
        <v>4</v>
      </c>
      <c r="AR58" s="3" t="n">
        <v>4</v>
      </c>
      <c r="AS58" s="3" t="n">
        <v>6</v>
      </c>
      <c r="AT58" s="3" t="n">
        <v>4</v>
      </c>
      <c r="AU58" s="3" t="n">
        <v>4</v>
      </c>
      <c r="AV58" s="3" t="n">
        <v>6</v>
      </c>
      <c r="AW58" s="3" t="n">
        <v>6</v>
      </c>
      <c r="AX58" s="3" t="n">
        <v>3</v>
      </c>
      <c r="AY58" s="3" t="n">
        <v>3</v>
      </c>
      <c r="AZ58" s="3" t="n">
        <v>1</v>
      </c>
      <c r="BA58" s="5" t="n">
        <v>1</v>
      </c>
      <c r="BB58" s="3" t="n">
        <v>1</v>
      </c>
      <c r="BC58" s="3" t="n">
        <v>1</v>
      </c>
      <c r="BD58" s="3" t="n">
        <v>4</v>
      </c>
      <c r="BE58" s="3" t="n">
        <v>1</v>
      </c>
      <c r="BF58" s="3" t="n">
        <v>2</v>
      </c>
      <c r="BG58" s="3" t="n">
        <v>1</v>
      </c>
      <c r="BH58" s="3" t="n">
        <v>4</v>
      </c>
      <c r="BI58" s="3" t="n">
        <v>1</v>
      </c>
      <c r="BJ58" s="3" t="n">
        <v>1</v>
      </c>
    </row>
    <row r="59" customFormat="false" ht="12.75" hidden="false" customHeight="false" outlineLevel="0" collapsed="false">
      <c r="B59" s="2" t="s">
        <v>976</v>
      </c>
      <c r="C59" s="2" t="s">
        <v>99</v>
      </c>
      <c r="D59" s="2" t="s">
        <v>94</v>
      </c>
      <c r="E59" s="2" t="n">
        <v>160731</v>
      </c>
      <c r="F59" s="15" t="n">
        <v>43528</v>
      </c>
      <c r="G59" s="15" t="n">
        <v>43543</v>
      </c>
      <c r="H59" s="3" t="n">
        <v>15</v>
      </c>
      <c r="I59" s="3" t="n">
        <v>1</v>
      </c>
      <c r="J59" s="3" t="n">
        <v>55</v>
      </c>
      <c r="K59" s="3" t="n">
        <v>1</v>
      </c>
      <c r="L59" s="3" t="n">
        <v>2</v>
      </c>
      <c r="M59" s="3" t="n">
        <v>1</v>
      </c>
      <c r="N59" s="3" t="n">
        <v>2</v>
      </c>
      <c r="O59" s="3" t="n">
        <v>1</v>
      </c>
      <c r="P59" s="3" t="n">
        <v>1</v>
      </c>
      <c r="Q59" s="3" t="n">
        <v>1</v>
      </c>
      <c r="R59" s="3" t="n">
        <v>2</v>
      </c>
      <c r="S59" s="3" t="n">
        <v>2</v>
      </c>
      <c r="T59" s="4" t="n">
        <v>2</v>
      </c>
      <c r="U59" s="3" t="n">
        <v>2</v>
      </c>
      <c r="V59" s="3" t="n">
        <v>5.71</v>
      </c>
      <c r="W59" s="3" t="n">
        <v>2.36</v>
      </c>
      <c r="X59" s="3" t="n">
        <v>8.49</v>
      </c>
      <c r="Y59" s="3" t="n">
        <v>294</v>
      </c>
      <c r="AA59" s="3" t="n">
        <v>0.47</v>
      </c>
      <c r="AB59" s="3" t="n">
        <v>11.4</v>
      </c>
      <c r="AC59" s="3" t="n">
        <v>1</v>
      </c>
      <c r="AD59" s="3" t="n">
        <v>1</v>
      </c>
      <c r="AE59" s="3" t="n">
        <v>1</v>
      </c>
      <c r="AF59" s="3" t="n">
        <v>1</v>
      </c>
      <c r="AG59" s="3" t="n">
        <v>2</v>
      </c>
      <c r="AH59" s="3" t="n">
        <v>2</v>
      </c>
      <c r="AI59" s="3" t="n">
        <v>1</v>
      </c>
      <c r="AJ59" s="3" t="n">
        <v>2</v>
      </c>
      <c r="AK59" s="3" t="n">
        <v>2</v>
      </c>
      <c r="AL59" s="3" t="n">
        <v>2</v>
      </c>
      <c r="AM59" s="3" t="n">
        <v>2</v>
      </c>
      <c r="AN59" s="3" t="n">
        <v>2</v>
      </c>
      <c r="AO59" s="3" t="n">
        <v>2</v>
      </c>
      <c r="AP59" s="3" t="n">
        <v>2</v>
      </c>
      <c r="AQ59" s="3" t="n">
        <v>2</v>
      </c>
      <c r="AR59" s="3" t="n">
        <v>7</v>
      </c>
      <c r="AS59" s="3" t="n">
        <v>2</v>
      </c>
      <c r="AT59" s="3" t="n">
        <v>1</v>
      </c>
      <c r="AU59" s="3" t="n">
        <v>1</v>
      </c>
      <c r="AV59" s="3" t="n">
        <v>1</v>
      </c>
      <c r="AW59" s="3" t="n">
        <v>1</v>
      </c>
      <c r="AX59" s="3" t="n">
        <v>2</v>
      </c>
      <c r="AY59" s="3" t="n">
        <v>1</v>
      </c>
      <c r="AZ59" s="3" t="n">
        <v>1</v>
      </c>
      <c r="BA59" s="5" t="n">
        <v>1</v>
      </c>
      <c r="BB59" s="3" t="n">
        <v>1</v>
      </c>
      <c r="BC59" s="3" t="n">
        <v>1</v>
      </c>
      <c r="BD59" s="3" t="n">
        <v>2</v>
      </c>
      <c r="BE59" s="3" t="n">
        <v>1</v>
      </c>
      <c r="BF59" s="3" t="n">
        <v>2</v>
      </c>
      <c r="BG59" s="3" t="n">
        <v>1</v>
      </c>
      <c r="BH59" s="3" t="n">
        <v>4</v>
      </c>
      <c r="BI59" s="3" t="n">
        <v>1</v>
      </c>
      <c r="BJ59" s="3" t="n">
        <v>1</v>
      </c>
    </row>
    <row r="60" customFormat="false" ht="12.75" hidden="false" customHeight="false" outlineLevel="0" collapsed="false">
      <c r="B60" s="2" t="s">
        <v>978</v>
      </c>
      <c r="C60" s="2" t="s">
        <v>623</v>
      </c>
      <c r="D60" s="2" t="s">
        <v>979</v>
      </c>
      <c r="E60" s="2" t="n">
        <v>173262</v>
      </c>
      <c r="F60" s="15" t="n">
        <v>43536</v>
      </c>
      <c r="G60" s="15" t="n">
        <v>43542</v>
      </c>
      <c r="H60" s="3" t="n">
        <v>6</v>
      </c>
      <c r="I60" s="3" t="n">
        <v>1</v>
      </c>
      <c r="J60" s="3" t="n">
        <v>49</v>
      </c>
      <c r="K60" s="3" t="n">
        <v>2</v>
      </c>
      <c r="L60" s="3" t="n">
        <v>2</v>
      </c>
      <c r="M60" s="3" t="n">
        <v>2</v>
      </c>
      <c r="N60" s="3" t="n">
        <v>2</v>
      </c>
      <c r="O60" s="3" t="n">
        <v>2</v>
      </c>
      <c r="P60" s="3" t="n">
        <v>2</v>
      </c>
      <c r="Q60" s="3" t="n">
        <v>2</v>
      </c>
      <c r="R60" s="3" t="n">
        <v>2</v>
      </c>
      <c r="S60" s="3" t="n">
        <v>2</v>
      </c>
      <c r="T60" s="4" t="n">
        <v>2</v>
      </c>
      <c r="U60" s="3" t="n">
        <v>2</v>
      </c>
      <c r="V60" s="3" t="n">
        <v>3.9</v>
      </c>
      <c r="W60" s="3" t="n">
        <v>2.57</v>
      </c>
      <c r="X60" s="3" t="n">
        <v>7.5</v>
      </c>
      <c r="Y60" s="3" t="n">
        <v>302</v>
      </c>
      <c r="AA60" s="3" t="n">
        <v>0.35</v>
      </c>
      <c r="AB60" s="3" t="n">
        <v>10</v>
      </c>
      <c r="AC60" s="3" t="n">
        <v>1</v>
      </c>
      <c r="AD60" s="3" t="n">
        <v>1</v>
      </c>
      <c r="AE60" s="3" t="n">
        <v>1</v>
      </c>
      <c r="AF60" s="3" t="n">
        <v>1</v>
      </c>
      <c r="AG60" s="3" t="n">
        <v>2</v>
      </c>
      <c r="AH60" s="3" t="n">
        <v>2</v>
      </c>
      <c r="AI60" s="3" t="n">
        <v>1</v>
      </c>
      <c r="AJ60" s="3" t="n">
        <v>2</v>
      </c>
      <c r="AK60" s="3" t="n">
        <v>2</v>
      </c>
      <c r="AL60" s="3" t="n">
        <v>2</v>
      </c>
      <c r="AM60" s="3" t="n">
        <v>2</v>
      </c>
      <c r="AN60" s="3" t="n">
        <v>2</v>
      </c>
      <c r="AO60" s="3" t="n">
        <v>2</v>
      </c>
      <c r="AP60" s="3" t="n">
        <v>3</v>
      </c>
      <c r="AQ60" s="3" t="n">
        <v>4</v>
      </c>
      <c r="AR60" s="3" t="n">
        <v>4</v>
      </c>
      <c r="AS60" s="3" t="n">
        <v>6</v>
      </c>
      <c r="AT60" s="3" t="n">
        <v>4</v>
      </c>
      <c r="AU60" s="3" t="n">
        <v>4</v>
      </c>
      <c r="AV60" s="3" t="n">
        <v>6</v>
      </c>
      <c r="AW60" s="3" t="n">
        <v>6</v>
      </c>
      <c r="AX60" s="3" t="n">
        <v>3</v>
      </c>
      <c r="AY60" s="3" t="n">
        <v>3</v>
      </c>
      <c r="AZ60" s="3" t="n">
        <v>1</v>
      </c>
      <c r="BA60" s="5" t="n">
        <v>1</v>
      </c>
      <c r="BB60" s="3" t="n">
        <v>1</v>
      </c>
      <c r="BC60" s="3" t="n">
        <v>1</v>
      </c>
      <c r="BD60" s="3" t="n">
        <v>2</v>
      </c>
      <c r="BE60" s="3" t="n">
        <v>3</v>
      </c>
      <c r="BF60" s="3" t="n">
        <v>5</v>
      </c>
      <c r="BG60" s="3" t="n">
        <v>3</v>
      </c>
      <c r="BH60" s="3" t="n">
        <v>4</v>
      </c>
      <c r="BI60" s="3" t="n">
        <v>1</v>
      </c>
      <c r="BJ60" s="3" t="n">
        <v>1</v>
      </c>
    </row>
    <row r="61" customFormat="false" ht="12.75" hidden="false" customHeight="false" outlineLevel="0" collapsed="false">
      <c r="B61" s="2" t="s">
        <v>981</v>
      </c>
      <c r="C61" s="2" t="s">
        <v>668</v>
      </c>
      <c r="D61" s="2" t="s">
        <v>308</v>
      </c>
      <c r="E61" s="2" t="n">
        <v>173238</v>
      </c>
      <c r="F61" s="15" t="n">
        <v>43537</v>
      </c>
      <c r="G61" s="15" t="n">
        <v>43542</v>
      </c>
      <c r="H61" s="3" t="n">
        <v>5</v>
      </c>
      <c r="I61" s="3" t="n">
        <v>1</v>
      </c>
      <c r="J61" s="3" t="n">
        <v>73</v>
      </c>
      <c r="K61" s="3" t="n">
        <v>1</v>
      </c>
      <c r="L61" s="3" t="n">
        <v>1</v>
      </c>
      <c r="M61" s="3" t="n">
        <v>2</v>
      </c>
      <c r="N61" s="3" t="n">
        <v>2</v>
      </c>
      <c r="O61" s="3" t="n">
        <v>2</v>
      </c>
      <c r="P61" s="3" t="n">
        <v>2</v>
      </c>
      <c r="Q61" s="3" t="n">
        <v>2</v>
      </c>
      <c r="R61" s="3" t="n">
        <v>2</v>
      </c>
      <c r="S61" s="3" t="n">
        <v>2</v>
      </c>
      <c r="T61" s="4" t="n">
        <v>1</v>
      </c>
      <c r="U61" s="3" t="n">
        <v>1</v>
      </c>
      <c r="V61" s="3" t="n">
        <v>5.34</v>
      </c>
      <c r="W61" s="3" t="n">
        <v>1.04</v>
      </c>
      <c r="X61" s="3" t="n">
        <v>6</v>
      </c>
      <c r="Y61" s="3" t="n">
        <v>164</v>
      </c>
      <c r="AA61" s="3" t="n">
        <v>0.44</v>
      </c>
      <c r="AB61" s="3" t="n">
        <v>10.1</v>
      </c>
      <c r="AC61" s="3" t="n">
        <v>1</v>
      </c>
      <c r="AD61" s="3" t="n">
        <v>1</v>
      </c>
      <c r="AE61" s="3" t="n">
        <v>1</v>
      </c>
      <c r="AF61" s="3" t="n">
        <v>1</v>
      </c>
      <c r="AG61" s="3" t="n">
        <v>2</v>
      </c>
      <c r="AH61" s="3" t="n">
        <v>1</v>
      </c>
      <c r="AI61" s="3" t="n">
        <v>1</v>
      </c>
      <c r="AJ61" s="3" t="n">
        <v>2</v>
      </c>
      <c r="AK61" s="3" t="n">
        <v>2</v>
      </c>
      <c r="AL61" s="3" t="n">
        <v>2</v>
      </c>
      <c r="AM61" s="3" t="n">
        <v>1</v>
      </c>
      <c r="AN61" s="3" t="n">
        <v>2</v>
      </c>
      <c r="AO61" s="3" t="n">
        <v>2</v>
      </c>
      <c r="AP61" s="3" t="n">
        <v>3</v>
      </c>
      <c r="AQ61" s="3" t="n">
        <v>4</v>
      </c>
      <c r="AR61" s="3" t="n">
        <v>4</v>
      </c>
      <c r="AS61" s="3" t="n">
        <v>6</v>
      </c>
      <c r="AT61" s="3" t="n">
        <v>4</v>
      </c>
      <c r="AU61" s="3" t="n">
        <v>4</v>
      </c>
      <c r="AV61" s="3" t="n">
        <v>6</v>
      </c>
      <c r="AW61" s="3" t="n">
        <v>6</v>
      </c>
      <c r="AX61" s="3" t="n">
        <v>3</v>
      </c>
      <c r="AY61" s="3" t="n">
        <v>3</v>
      </c>
      <c r="AZ61" s="3" t="n">
        <v>1</v>
      </c>
      <c r="BA61" s="5" t="n">
        <v>1</v>
      </c>
      <c r="BB61" s="3" t="n">
        <v>1</v>
      </c>
      <c r="BC61" s="3" t="n">
        <v>1</v>
      </c>
      <c r="BD61" s="3" t="n">
        <v>3</v>
      </c>
      <c r="BE61" s="3" t="n">
        <v>3</v>
      </c>
      <c r="BF61" s="3" t="n">
        <v>5</v>
      </c>
      <c r="BG61" s="3" t="n">
        <v>3</v>
      </c>
      <c r="BH61" s="3" t="n">
        <v>4</v>
      </c>
      <c r="BI61" s="3" t="n">
        <v>1</v>
      </c>
      <c r="BJ61" s="3" t="n">
        <v>1</v>
      </c>
    </row>
    <row r="62" customFormat="false" ht="12.75" hidden="false" customHeight="false" outlineLevel="0" collapsed="false">
      <c r="B62" s="2" t="s">
        <v>986</v>
      </c>
      <c r="C62" s="2" t="s">
        <v>987</v>
      </c>
      <c r="D62" s="2" t="s">
        <v>988</v>
      </c>
      <c r="E62" s="2" t="n">
        <v>173244</v>
      </c>
      <c r="F62" s="15" t="n">
        <v>43537</v>
      </c>
      <c r="G62" s="15" t="n">
        <v>43544</v>
      </c>
      <c r="H62" s="3" t="n">
        <v>7</v>
      </c>
      <c r="I62" s="3" t="n">
        <v>1</v>
      </c>
      <c r="J62" s="3" t="n">
        <v>66</v>
      </c>
      <c r="K62" s="3" t="n">
        <v>2</v>
      </c>
      <c r="L62" s="3" t="n">
        <v>1</v>
      </c>
      <c r="M62" s="3" t="n">
        <v>1</v>
      </c>
      <c r="N62" s="3" t="n">
        <v>2</v>
      </c>
      <c r="O62" s="3" t="n">
        <v>2</v>
      </c>
      <c r="P62" s="3" t="n">
        <v>2</v>
      </c>
      <c r="Q62" s="3" t="n">
        <v>1</v>
      </c>
      <c r="R62" s="3" t="n">
        <v>2</v>
      </c>
      <c r="S62" s="3" t="n">
        <v>2</v>
      </c>
      <c r="T62" s="4" t="n">
        <v>2</v>
      </c>
      <c r="U62" s="3" t="n">
        <v>2</v>
      </c>
      <c r="V62" s="3" t="n">
        <v>4.46</v>
      </c>
      <c r="W62" s="3" t="n">
        <v>1.55</v>
      </c>
      <c r="X62" s="3" t="n">
        <v>17.2</v>
      </c>
      <c r="Y62" s="3" t="n">
        <v>329</v>
      </c>
      <c r="AA62" s="3" t="n">
        <v>0.37</v>
      </c>
      <c r="AB62" s="3" t="n">
        <v>11.4</v>
      </c>
      <c r="AC62" s="3" t="n">
        <v>1</v>
      </c>
      <c r="AD62" s="3" t="n">
        <v>1</v>
      </c>
      <c r="AE62" s="3" t="n">
        <v>1</v>
      </c>
      <c r="AF62" s="3" t="n">
        <v>1</v>
      </c>
      <c r="AG62" s="3" t="n">
        <v>2</v>
      </c>
      <c r="AH62" s="3" t="n">
        <v>1</v>
      </c>
      <c r="AI62" s="3" t="n">
        <v>1</v>
      </c>
      <c r="AJ62" s="3" t="n">
        <v>2</v>
      </c>
      <c r="AK62" s="3" t="n">
        <v>2</v>
      </c>
      <c r="AL62" s="3" t="n">
        <v>2</v>
      </c>
      <c r="AM62" s="3" t="n">
        <v>2</v>
      </c>
      <c r="AN62" s="3" t="n">
        <v>2</v>
      </c>
      <c r="AO62" s="3" t="n">
        <v>2</v>
      </c>
      <c r="AP62" s="3" t="n">
        <v>3</v>
      </c>
      <c r="AQ62" s="3" t="n">
        <v>4</v>
      </c>
      <c r="AR62" s="3" t="n">
        <v>4</v>
      </c>
      <c r="AS62" s="3" t="n">
        <v>6</v>
      </c>
      <c r="AT62" s="3" t="n">
        <v>4</v>
      </c>
      <c r="AU62" s="3" t="n">
        <v>4</v>
      </c>
      <c r="AV62" s="3" t="n">
        <v>6</v>
      </c>
      <c r="AW62" s="3" t="n">
        <v>6</v>
      </c>
      <c r="AX62" s="3" t="n">
        <v>3</v>
      </c>
      <c r="AY62" s="3" t="n">
        <v>3</v>
      </c>
      <c r="AZ62" s="3" t="n">
        <v>1</v>
      </c>
      <c r="BA62" s="5" t="n">
        <v>1</v>
      </c>
      <c r="BB62" s="3" t="n">
        <v>1</v>
      </c>
      <c r="BC62" s="3" t="n">
        <v>1</v>
      </c>
      <c r="BD62" s="3" t="n">
        <v>4</v>
      </c>
      <c r="BE62" s="3" t="n">
        <v>3</v>
      </c>
      <c r="BF62" s="3" t="n">
        <v>5</v>
      </c>
      <c r="BG62" s="3" t="n">
        <v>3</v>
      </c>
      <c r="BH62" s="3" t="n">
        <v>4</v>
      </c>
      <c r="BI62" s="3" t="n">
        <v>1</v>
      </c>
      <c r="BJ62" s="3" t="n">
        <v>1</v>
      </c>
    </row>
    <row r="63" customFormat="false" ht="12.75" hidden="false" customHeight="false" outlineLevel="0" collapsed="false">
      <c r="B63" s="2" t="s">
        <v>1005</v>
      </c>
      <c r="C63" s="2" t="s">
        <v>454</v>
      </c>
      <c r="D63" s="2" t="s">
        <v>95</v>
      </c>
      <c r="E63" s="2" t="n">
        <v>173644</v>
      </c>
      <c r="F63" s="15" t="n">
        <v>43540</v>
      </c>
      <c r="G63" s="15" t="n">
        <v>43550</v>
      </c>
      <c r="H63" s="3" t="n">
        <v>10</v>
      </c>
      <c r="I63" s="3" t="n">
        <v>2</v>
      </c>
      <c r="J63" s="3" t="n">
        <v>60</v>
      </c>
      <c r="K63" s="3" t="n">
        <v>1</v>
      </c>
      <c r="L63" s="3" t="n">
        <v>2</v>
      </c>
      <c r="M63" s="3" t="n">
        <v>1</v>
      </c>
      <c r="N63" s="3" t="n">
        <v>2</v>
      </c>
      <c r="O63" s="3" t="n">
        <v>2</v>
      </c>
      <c r="P63" s="3" t="n">
        <v>2</v>
      </c>
      <c r="Q63" s="3" t="n">
        <v>2</v>
      </c>
      <c r="R63" s="3" t="n">
        <v>2</v>
      </c>
      <c r="S63" s="3" t="n">
        <v>2</v>
      </c>
      <c r="T63" s="4" t="n">
        <v>2</v>
      </c>
      <c r="U63" s="3" t="n">
        <v>2</v>
      </c>
      <c r="V63" s="3" t="n">
        <v>3.88</v>
      </c>
      <c r="W63" s="3" t="n">
        <v>0.87</v>
      </c>
      <c r="X63" s="3" t="n">
        <v>7.88</v>
      </c>
      <c r="Y63" s="3" t="n">
        <v>385</v>
      </c>
      <c r="AA63" s="3" t="n">
        <v>0.45</v>
      </c>
      <c r="AB63" s="3" t="n">
        <v>12</v>
      </c>
      <c r="AC63" s="3" t="n">
        <v>2</v>
      </c>
      <c r="AD63" s="3" t="n">
        <v>2</v>
      </c>
      <c r="AE63" s="3" t="n">
        <v>1</v>
      </c>
      <c r="AF63" s="3" t="n">
        <v>1</v>
      </c>
      <c r="AG63" s="3" t="n">
        <v>2</v>
      </c>
      <c r="AH63" s="3" t="n">
        <v>2</v>
      </c>
      <c r="AI63" s="3" t="n">
        <v>1</v>
      </c>
      <c r="AJ63" s="3" t="n">
        <v>2</v>
      </c>
      <c r="AK63" s="3" t="n">
        <v>2</v>
      </c>
      <c r="AL63" s="3" t="n">
        <v>2</v>
      </c>
      <c r="AM63" s="3" t="n">
        <v>1</v>
      </c>
      <c r="AN63" s="3" t="n">
        <v>2</v>
      </c>
      <c r="AO63" s="3" t="n">
        <v>2</v>
      </c>
      <c r="AP63" s="3" t="n">
        <v>3</v>
      </c>
      <c r="AQ63" s="3" t="n">
        <v>4</v>
      </c>
      <c r="AR63" s="3" t="n">
        <v>4</v>
      </c>
      <c r="AS63" s="3" t="n">
        <v>6</v>
      </c>
      <c r="AT63" s="3" t="n">
        <v>4</v>
      </c>
      <c r="AU63" s="3" t="n">
        <v>4</v>
      </c>
      <c r="AV63" s="3" t="n">
        <v>6</v>
      </c>
      <c r="AW63" s="3" t="n">
        <v>6</v>
      </c>
      <c r="AX63" s="3" t="n">
        <v>3</v>
      </c>
      <c r="AY63" s="3" t="n">
        <v>3</v>
      </c>
      <c r="AZ63" s="3" t="n">
        <v>4</v>
      </c>
      <c r="BA63" s="5" t="n">
        <v>1</v>
      </c>
      <c r="BB63" s="3" t="n">
        <v>1</v>
      </c>
      <c r="BC63" s="3" t="n">
        <v>1</v>
      </c>
      <c r="BD63" s="3" t="n">
        <v>2</v>
      </c>
      <c r="BE63" s="3" t="n">
        <v>1</v>
      </c>
      <c r="BF63" s="3" t="n">
        <v>2</v>
      </c>
      <c r="BG63" s="3" t="n">
        <v>1</v>
      </c>
      <c r="BH63" s="3" t="n">
        <v>4</v>
      </c>
      <c r="BI63" s="3" t="n">
        <v>1</v>
      </c>
      <c r="BJ63" s="3" t="n">
        <v>1</v>
      </c>
    </row>
    <row r="64" customFormat="false" ht="12.75" hidden="false" customHeight="false" outlineLevel="0" collapsed="false">
      <c r="B64" s="2" t="s">
        <v>1010</v>
      </c>
      <c r="C64" s="2" t="s">
        <v>1011</v>
      </c>
      <c r="D64" s="2" t="s">
        <v>1011</v>
      </c>
      <c r="E64" s="2" t="n">
        <v>173678</v>
      </c>
      <c r="F64" s="15" t="n">
        <v>43542</v>
      </c>
      <c r="G64" s="15" t="n">
        <v>43551</v>
      </c>
      <c r="H64" s="3" t="n">
        <v>9</v>
      </c>
      <c r="I64" s="3" t="n">
        <v>2</v>
      </c>
      <c r="J64" s="3" t="n">
        <v>51</v>
      </c>
      <c r="K64" s="3" t="n">
        <v>1</v>
      </c>
      <c r="L64" s="3" t="n">
        <v>2</v>
      </c>
      <c r="M64" s="3" t="n">
        <v>1</v>
      </c>
      <c r="N64" s="3" t="n">
        <v>2</v>
      </c>
      <c r="O64" s="3" t="n">
        <v>2</v>
      </c>
      <c r="P64" s="3" t="n">
        <v>2</v>
      </c>
      <c r="Q64" s="3" t="n">
        <v>2</v>
      </c>
      <c r="R64" s="3" t="n">
        <v>2</v>
      </c>
      <c r="S64" s="3" t="n">
        <v>2</v>
      </c>
      <c r="T64" s="4" t="n">
        <v>2</v>
      </c>
      <c r="U64" s="3" t="n">
        <v>2</v>
      </c>
      <c r="V64" s="3" t="n">
        <v>4.4</v>
      </c>
      <c r="W64" s="3" t="n">
        <v>1.36</v>
      </c>
      <c r="X64" s="3" t="n">
        <v>7.19</v>
      </c>
      <c r="Y64" s="3" t="n">
        <v>398</v>
      </c>
      <c r="AA64" s="3" t="n">
        <v>0.46</v>
      </c>
      <c r="AB64" s="3" t="n">
        <v>9.8</v>
      </c>
      <c r="AC64" s="3" t="n">
        <v>2</v>
      </c>
      <c r="AD64" s="3" t="n">
        <v>2</v>
      </c>
      <c r="AE64" s="3" t="n">
        <v>1</v>
      </c>
      <c r="AF64" s="3" t="n">
        <v>1</v>
      </c>
      <c r="AG64" s="3" t="n">
        <v>2</v>
      </c>
      <c r="AH64" s="3" t="n">
        <v>2</v>
      </c>
      <c r="AI64" s="3" t="n">
        <v>1</v>
      </c>
      <c r="AJ64" s="3" t="n">
        <v>2</v>
      </c>
      <c r="AK64" s="3" t="n">
        <v>2</v>
      </c>
      <c r="AL64" s="3" t="n">
        <v>2</v>
      </c>
      <c r="AM64" s="3" t="n">
        <v>2</v>
      </c>
      <c r="AN64" s="3" t="n">
        <v>1</v>
      </c>
      <c r="AO64" s="3" t="n">
        <v>2</v>
      </c>
      <c r="AP64" s="3" t="n">
        <v>3</v>
      </c>
      <c r="AQ64" s="3" t="n">
        <v>4</v>
      </c>
      <c r="AR64" s="3" t="n">
        <v>4</v>
      </c>
      <c r="AS64" s="3" t="n">
        <v>6</v>
      </c>
      <c r="AT64" s="3" t="n">
        <v>4</v>
      </c>
      <c r="AU64" s="3" t="n">
        <v>4</v>
      </c>
      <c r="AV64" s="3" t="n">
        <v>6</v>
      </c>
      <c r="AW64" s="3" t="n">
        <v>6</v>
      </c>
      <c r="AX64" s="3" t="n">
        <v>3</v>
      </c>
      <c r="AY64" s="3" t="n">
        <v>3</v>
      </c>
      <c r="AZ64" s="3" t="n">
        <v>6</v>
      </c>
      <c r="BA64" s="5" t="n">
        <v>1</v>
      </c>
      <c r="BB64" s="3" t="n">
        <v>1</v>
      </c>
      <c r="BC64" s="3" t="n">
        <v>1</v>
      </c>
      <c r="BD64" s="3" t="n">
        <v>2</v>
      </c>
      <c r="BE64" s="3" t="n">
        <v>1</v>
      </c>
      <c r="BF64" s="3" t="n">
        <v>2</v>
      </c>
      <c r="BG64" s="3" t="n">
        <v>1</v>
      </c>
      <c r="BH64" s="3" t="n">
        <v>4</v>
      </c>
      <c r="BI64" s="3" t="n">
        <v>1</v>
      </c>
      <c r="BJ64" s="3" t="n">
        <v>1</v>
      </c>
    </row>
    <row r="65" customFormat="false" ht="12.75" hidden="false" customHeight="false" outlineLevel="0" collapsed="false">
      <c r="B65" s="26" t="s">
        <v>1013</v>
      </c>
      <c r="C65" s="26" t="s">
        <v>168</v>
      </c>
      <c r="D65" s="26" t="s">
        <v>244</v>
      </c>
      <c r="E65" s="26" t="n">
        <v>174181</v>
      </c>
      <c r="F65" s="27" t="n">
        <v>43546</v>
      </c>
      <c r="G65" s="27" t="n">
        <v>43546</v>
      </c>
      <c r="H65" s="30" t="n">
        <v>0</v>
      </c>
      <c r="I65" s="30" t="n">
        <v>1</v>
      </c>
      <c r="J65" s="30" t="n">
        <v>57</v>
      </c>
      <c r="K65" s="30" t="n">
        <v>2</v>
      </c>
      <c r="L65" s="30" t="n">
        <v>1</v>
      </c>
      <c r="M65" s="30" t="n">
        <v>1</v>
      </c>
      <c r="N65" s="30" t="n">
        <v>2</v>
      </c>
      <c r="O65" s="30" t="n">
        <v>2</v>
      </c>
      <c r="P65" s="30" t="n">
        <v>2</v>
      </c>
      <c r="Q65" s="30" t="n">
        <v>2</v>
      </c>
      <c r="R65" s="30" t="n">
        <v>2</v>
      </c>
      <c r="S65" s="30" t="n">
        <v>2</v>
      </c>
      <c r="T65" s="4" t="n">
        <v>2</v>
      </c>
      <c r="U65" s="30" t="n">
        <v>2</v>
      </c>
      <c r="V65" s="30"/>
      <c r="W65" s="30"/>
      <c r="X65" s="30"/>
      <c r="Y65" s="30"/>
      <c r="AA65" s="30"/>
      <c r="AB65" s="30"/>
      <c r="AC65" s="30" t="n">
        <v>3</v>
      </c>
      <c r="AD65" s="30" t="n">
        <v>2</v>
      </c>
      <c r="AE65" s="30" t="n">
        <v>1</v>
      </c>
      <c r="AF65" s="30" t="n">
        <v>1</v>
      </c>
      <c r="AG65" s="30" t="n">
        <v>2</v>
      </c>
      <c r="AH65" s="30" t="n">
        <v>2</v>
      </c>
      <c r="AI65" s="30" t="n">
        <v>1</v>
      </c>
      <c r="AJ65" s="30" t="n">
        <v>2</v>
      </c>
      <c r="AK65" s="30" t="n">
        <v>2</v>
      </c>
      <c r="AL65" s="30" t="n">
        <v>2</v>
      </c>
      <c r="AM65" s="30" t="n">
        <v>1</v>
      </c>
      <c r="AN65" s="30" t="n">
        <v>1</v>
      </c>
      <c r="AO65" s="30" t="n">
        <v>2</v>
      </c>
      <c r="AP65" s="30" t="n">
        <v>3</v>
      </c>
      <c r="AQ65" s="30" t="n">
        <v>4</v>
      </c>
      <c r="AR65" s="30" t="n">
        <v>4</v>
      </c>
      <c r="AS65" s="30" t="n">
        <v>6</v>
      </c>
      <c r="AT65" s="30" t="n">
        <v>4</v>
      </c>
      <c r="AU65" s="30" t="n">
        <v>4</v>
      </c>
      <c r="AV65" s="30" t="n">
        <v>6</v>
      </c>
      <c r="AW65" s="30" t="n">
        <v>6</v>
      </c>
      <c r="AX65" s="30" t="n">
        <v>3</v>
      </c>
      <c r="AY65" s="30" t="n">
        <v>3</v>
      </c>
      <c r="AZ65" s="30" t="n">
        <v>10</v>
      </c>
      <c r="BA65" s="5" t="n">
        <v>1</v>
      </c>
      <c r="BB65" s="30" t="n">
        <v>1</v>
      </c>
      <c r="BC65" s="30" t="n">
        <v>2</v>
      </c>
      <c r="BD65" s="30" t="n">
        <v>3</v>
      </c>
      <c r="BE65" s="30" t="n">
        <v>1</v>
      </c>
      <c r="BF65" s="30" t="n">
        <v>2</v>
      </c>
      <c r="BG65" s="30" t="n">
        <v>1</v>
      </c>
      <c r="BH65" s="30" t="n">
        <v>4</v>
      </c>
      <c r="BI65" s="30" t="n">
        <v>2</v>
      </c>
      <c r="BJ65" s="30" t="n">
        <v>2</v>
      </c>
    </row>
    <row r="66" customFormat="false" ht="12.75" hidden="false" customHeight="false" outlineLevel="0" collapsed="false">
      <c r="B66" s="2" t="s">
        <v>1017</v>
      </c>
      <c r="C66" s="2" t="s">
        <v>1018</v>
      </c>
      <c r="D66" s="2" t="s">
        <v>66</v>
      </c>
      <c r="E66" s="2" t="n">
        <v>174147</v>
      </c>
      <c r="F66" s="15" t="n">
        <v>43544</v>
      </c>
      <c r="G66" s="15" t="n">
        <v>43551</v>
      </c>
      <c r="H66" s="3" t="n">
        <v>7</v>
      </c>
      <c r="I66" s="3" t="n">
        <v>1</v>
      </c>
      <c r="J66" s="3" t="n">
        <v>55</v>
      </c>
      <c r="K66" s="3" t="n">
        <v>1</v>
      </c>
      <c r="L66" s="3" t="n">
        <v>2</v>
      </c>
      <c r="M66" s="3" t="n">
        <v>1</v>
      </c>
      <c r="N66" s="3" t="n">
        <v>2</v>
      </c>
      <c r="O66" s="3" t="n">
        <v>2</v>
      </c>
      <c r="P66" s="3" t="n">
        <v>2</v>
      </c>
      <c r="Q66" s="3" t="n">
        <v>2</v>
      </c>
      <c r="R66" s="3" t="n">
        <v>2</v>
      </c>
      <c r="S66" s="3" t="n">
        <v>2</v>
      </c>
      <c r="T66" s="4" t="n">
        <v>2</v>
      </c>
      <c r="U66" s="3" t="n">
        <v>2</v>
      </c>
      <c r="V66" s="3" t="n">
        <v>5.86</v>
      </c>
      <c r="W66" s="3" t="n">
        <v>2.07</v>
      </c>
      <c r="X66" s="3" t="n">
        <v>6.2</v>
      </c>
      <c r="Y66" s="3" t="n">
        <v>235</v>
      </c>
      <c r="AA66" s="3" t="n">
        <v>0.35</v>
      </c>
      <c r="AB66" s="3" t="n">
        <v>9.5</v>
      </c>
      <c r="AC66" s="3" t="n">
        <v>1</v>
      </c>
      <c r="AD66" s="3" t="n">
        <v>2</v>
      </c>
      <c r="AE66" s="3" t="n">
        <v>1</v>
      </c>
      <c r="AF66" s="3" t="n">
        <v>1</v>
      </c>
      <c r="AG66" s="3" t="n">
        <v>2</v>
      </c>
      <c r="AH66" s="3" t="n">
        <v>2</v>
      </c>
      <c r="AI66" s="3" t="n">
        <v>1</v>
      </c>
      <c r="AJ66" s="3" t="n">
        <v>2</v>
      </c>
      <c r="AK66" s="3" t="n">
        <v>2</v>
      </c>
      <c r="AL66" s="3" t="n">
        <v>2</v>
      </c>
      <c r="AM66" s="3" t="n">
        <v>2</v>
      </c>
      <c r="AN66" s="3" t="n">
        <v>2</v>
      </c>
      <c r="AO66" s="3" t="n">
        <v>2</v>
      </c>
      <c r="AP66" s="3" t="n">
        <v>3</v>
      </c>
      <c r="AQ66" s="3" t="n">
        <v>4</v>
      </c>
      <c r="AR66" s="3" t="n">
        <v>4</v>
      </c>
      <c r="AS66" s="3" t="n">
        <v>6</v>
      </c>
      <c r="AT66" s="3" t="n">
        <v>4</v>
      </c>
      <c r="AU66" s="3" t="n">
        <v>4</v>
      </c>
      <c r="AV66" s="3" t="n">
        <v>6</v>
      </c>
      <c r="AW66" s="3" t="n">
        <v>6</v>
      </c>
      <c r="AX66" s="3" t="n">
        <v>3</v>
      </c>
      <c r="AY66" s="3" t="n">
        <v>3</v>
      </c>
      <c r="AZ66" s="3" t="n">
        <v>1</v>
      </c>
      <c r="BA66" s="5" t="n">
        <v>1</v>
      </c>
      <c r="BB66" s="3" t="n">
        <v>1</v>
      </c>
      <c r="BC66" s="3" t="n">
        <v>1</v>
      </c>
      <c r="BD66" s="3" t="n">
        <v>3</v>
      </c>
      <c r="BE66" s="3" t="n">
        <v>1</v>
      </c>
      <c r="BF66" s="3" t="n">
        <v>2</v>
      </c>
      <c r="BG66" s="3" t="n">
        <v>1</v>
      </c>
      <c r="BH66" s="3" t="n">
        <v>4</v>
      </c>
      <c r="BI66" s="3" t="n">
        <v>1</v>
      </c>
      <c r="BJ66" s="3" t="n">
        <v>1</v>
      </c>
    </row>
    <row r="67" customFormat="false" ht="12.75" hidden="false" customHeight="false" outlineLevel="0" collapsed="false">
      <c r="B67" s="2" t="s">
        <v>228</v>
      </c>
      <c r="C67" s="2" t="s">
        <v>414</v>
      </c>
      <c r="D67" s="2" t="s">
        <v>160</v>
      </c>
      <c r="E67" s="2" t="n">
        <v>173694</v>
      </c>
      <c r="F67" s="15" t="n">
        <v>43545</v>
      </c>
      <c r="G67" s="15" t="n">
        <v>43552</v>
      </c>
      <c r="H67" s="3" t="n">
        <v>7</v>
      </c>
      <c r="I67" s="3" t="n">
        <v>2</v>
      </c>
      <c r="J67" s="3" t="n">
        <v>66</v>
      </c>
      <c r="K67" s="3" t="n">
        <v>1</v>
      </c>
      <c r="L67" s="3" t="n">
        <v>1</v>
      </c>
      <c r="M67" s="3" t="n">
        <v>2</v>
      </c>
      <c r="N67" s="3" t="n">
        <v>1</v>
      </c>
      <c r="O67" s="3" t="n">
        <v>1</v>
      </c>
      <c r="P67" s="3" t="n">
        <v>2</v>
      </c>
      <c r="Q67" s="3" t="n">
        <v>2</v>
      </c>
      <c r="R67" s="3" t="n">
        <v>2</v>
      </c>
      <c r="S67" s="3" t="n">
        <v>2</v>
      </c>
      <c r="T67" s="4" t="n">
        <v>2</v>
      </c>
      <c r="U67" s="3" t="n">
        <v>2</v>
      </c>
      <c r="V67" s="3" t="n">
        <v>2.8</v>
      </c>
      <c r="W67" s="3" t="n">
        <v>0.88</v>
      </c>
      <c r="X67" s="3" t="n">
        <v>4.8</v>
      </c>
      <c r="Y67" s="3" t="n">
        <v>596</v>
      </c>
      <c r="AA67" s="3" t="n">
        <v>0.25</v>
      </c>
      <c r="AB67" s="3" t="n">
        <v>11.9</v>
      </c>
      <c r="AC67" s="3" t="n">
        <v>2</v>
      </c>
      <c r="AD67" s="3" t="n">
        <v>1</v>
      </c>
      <c r="AE67" s="3" t="n">
        <v>1</v>
      </c>
      <c r="AF67" s="3" t="n">
        <v>1</v>
      </c>
      <c r="AG67" s="3" t="n">
        <v>2</v>
      </c>
      <c r="AH67" s="3" t="n">
        <v>2</v>
      </c>
      <c r="AI67" s="3" t="n">
        <v>1</v>
      </c>
      <c r="AJ67" s="3" t="n">
        <v>2</v>
      </c>
      <c r="AK67" s="3" t="n">
        <v>2</v>
      </c>
      <c r="AL67" s="3" t="n">
        <v>2</v>
      </c>
      <c r="AM67" s="3" t="n">
        <v>1</v>
      </c>
      <c r="AN67" s="3" t="n">
        <v>2</v>
      </c>
      <c r="AO67" s="3" t="n">
        <v>2</v>
      </c>
      <c r="AP67" s="3" t="n">
        <v>3</v>
      </c>
      <c r="AQ67" s="3" t="n">
        <v>4</v>
      </c>
      <c r="AR67" s="3" t="n">
        <v>4</v>
      </c>
      <c r="AS67" s="3" t="n">
        <v>6</v>
      </c>
      <c r="AT67" s="3" t="n">
        <v>4</v>
      </c>
      <c r="AU67" s="3" t="n">
        <v>4</v>
      </c>
      <c r="AV67" s="3" t="n">
        <v>6</v>
      </c>
      <c r="AW67" s="3" t="n">
        <v>6</v>
      </c>
      <c r="AX67" s="3" t="n">
        <v>3</v>
      </c>
      <c r="AY67" s="3" t="n">
        <v>3</v>
      </c>
      <c r="AZ67" s="3" t="n">
        <v>1</v>
      </c>
      <c r="BA67" s="5" t="n">
        <v>1</v>
      </c>
      <c r="BB67" s="3" t="n">
        <v>1</v>
      </c>
      <c r="BC67" s="3" t="n">
        <v>1</v>
      </c>
      <c r="BD67" s="3" t="n">
        <v>4</v>
      </c>
      <c r="BE67" s="3" t="n">
        <v>1</v>
      </c>
      <c r="BF67" s="3" t="n">
        <v>2</v>
      </c>
      <c r="BG67" s="3" t="n">
        <v>1</v>
      </c>
      <c r="BH67" s="3" t="n">
        <v>4</v>
      </c>
      <c r="BI67" s="3" t="n">
        <v>1</v>
      </c>
      <c r="BJ67" s="3" t="n">
        <v>1</v>
      </c>
    </row>
    <row r="68" customFormat="false" ht="12.75" hidden="false" customHeight="false" outlineLevel="0" collapsed="false">
      <c r="B68" s="2" t="s">
        <v>440</v>
      </c>
      <c r="C68" s="2" t="s">
        <v>94</v>
      </c>
      <c r="D68" s="2" t="s">
        <v>94</v>
      </c>
      <c r="E68" s="2" t="n">
        <v>174500</v>
      </c>
      <c r="F68" s="15" t="n">
        <v>43550</v>
      </c>
      <c r="G68" s="15" t="n">
        <v>43558</v>
      </c>
      <c r="H68" s="3" t="n">
        <v>8</v>
      </c>
      <c r="I68" s="3" t="n">
        <v>2</v>
      </c>
      <c r="J68" s="3" t="n">
        <v>81</v>
      </c>
      <c r="K68" s="3" t="n">
        <v>1</v>
      </c>
      <c r="L68" s="3" t="n">
        <v>1</v>
      </c>
      <c r="M68" s="3" t="n">
        <v>1</v>
      </c>
      <c r="N68" s="3" t="n">
        <v>1</v>
      </c>
      <c r="O68" s="3" t="n">
        <v>2</v>
      </c>
      <c r="P68" s="3" t="n">
        <v>2</v>
      </c>
      <c r="Q68" s="3" t="n">
        <v>2</v>
      </c>
      <c r="R68" s="3" t="n">
        <v>2</v>
      </c>
      <c r="S68" s="3" t="n">
        <v>1</v>
      </c>
      <c r="T68" s="4" t="n">
        <v>2</v>
      </c>
      <c r="U68" s="3" t="n">
        <v>2</v>
      </c>
      <c r="V68" s="3" t="n">
        <v>2.88</v>
      </c>
      <c r="W68" s="3" t="n">
        <v>0.6</v>
      </c>
      <c r="X68" s="3" t="n">
        <v>5.5</v>
      </c>
      <c r="Y68" s="3" t="n">
        <v>355</v>
      </c>
      <c r="AA68" s="3" t="n">
        <v>0.45</v>
      </c>
      <c r="AB68" s="3" t="n">
        <v>13</v>
      </c>
      <c r="AC68" s="3" t="n">
        <v>2</v>
      </c>
      <c r="AD68" s="3" t="n">
        <v>1</v>
      </c>
      <c r="AE68" s="3" t="n">
        <v>1</v>
      </c>
      <c r="AF68" s="3" t="n">
        <v>1</v>
      </c>
      <c r="AG68" s="3" t="n">
        <v>2</v>
      </c>
      <c r="AH68" s="3" t="n">
        <v>2</v>
      </c>
      <c r="AI68" s="3" t="n">
        <v>1</v>
      </c>
      <c r="AJ68" s="3" t="n">
        <v>1</v>
      </c>
      <c r="AK68" s="3" t="n">
        <v>2</v>
      </c>
      <c r="AL68" s="3" t="n">
        <v>2</v>
      </c>
      <c r="AM68" s="3" t="n">
        <v>1</v>
      </c>
      <c r="AN68" s="3" t="n">
        <v>2</v>
      </c>
      <c r="AO68" s="3" t="n">
        <v>2</v>
      </c>
      <c r="AP68" s="3" t="n">
        <v>3</v>
      </c>
      <c r="AQ68" s="3" t="n">
        <v>4</v>
      </c>
      <c r="AR68" s="3" t="n">
        <v>4</v>
      </c>
      <c r="AS68" s="3" t="n">
        <v>6</v>
      </c>
      <c r="AT68" s="3" t="n">
        <v>4</v>
      </c>
      <c r="AU68" s="3" t="n">
        <v>4</v>
      </c>
      <c r="AV68" s="3" t="n">
        <v>6</v>
      </c>
      <c r="AW68" s="3" t="n">
        <v>6</v>
      </c>
      <c r="AX68" s="3" t="n">
        <v>3</v>
      </c>
      <c r="AY68" s="3" t="n">
        <v>3</v>
      </c>
      <c r="AZ68" s="3" t="n">
        <v>1</v>
      </c>
      <c r="BA68" s="5" t="n">
        <v>1</v>
      </c>
      <c r="BB68" s="3" t="n">
        <v>2</v>
      </c>
      <c r="BC68" s="3" t="n">
        <v>1</v>
      </c>
      <c r="BD68" s="3" t="n">
        <v>2</v>
      </c>
      <c r="BE68" s="3" t="n">
        <v>1</v>
      </c>
      <c r="BF68" s="3" t="n">
        <v>2</v>
      </c>
      <c r="BG68" s="3" t="n">
        <v>1</v>
      </c>
      <c r="BH68" s="3" t="n">
        <v>4</v>
      </c>
      <c r="BI68" s="3" t="n">
        <v>1</v>
      </c>
      <c r="BJ68" s="3" t="n">
        <v>1</v>
      </c>
    </row>
    <row r="69" customFormat="false" ht="12.75" hidden="false" customHeight="false" outlineLevel="0" collapsed="false">
      <c r="B69" s="2" t="s">
        <v>831</v>
      </c>
      <c r="C69" s="2" t="s">
        <v>1048</v>
      </c>
      <c r="D69" s="2" t="s">
        <v>577</v>
      </c>
      <c r="E69" s="2" t="n">
        <v>174561</v>
      </c>
      <c r="F69" s="15" t="n">
        <v>43552</v>
      </c>
      <c r="G69" s="15" t="n">
        <v>43560</v>
      </c>
      <c r="H69" s="3" t="n">
        <v>8</v>
      </c>
      <c r="I69" s="3" t="n">
        <v>2</v>
      </c>
      <c r="J69" s="3" t="n">
        <v>43</v>
      </c>
      <c r="K69" s="3" t="n">
        <v>2</v>
      </c>
      <c r="L69" s="3" t="n">
        <v>1</v>
      </c>
      <c r="M69" s="3" t="n">
        <v>2</v>
      </c>
      <c r="N69" s="3" t="n">
        <v>2</v>
      </c>
      <c r="O69" s="3" t="n">
        <v>2</v>
      </c>
      <c r="P69" s="3" t="n">
        <v>2</v>
      </c>
      <c r="Q69" s="3" t="n">
        <v>2</v>
      </c>
      <c r="R69" s="3" t="n">
        <v>2</v>
      </c>
      <c r="S69" s="3" t="n">
        <v>2</v>
      </c>
      <c r="T69" s="4" t="n">
        <v>2</v>
      </c>
      <c r="U69" s="3" t="n">
        <v>2</v>
      </c>
      <c r="V69" s="3" t="n">
        <v>7.61</v>
      </c>
      <c r="W69" s="3" t="n">
        <v>0.96</v>
      </c>
      <c r="X69" s="3" t="n">
        <v>6.9</v>
      </c>
      <c r="Y69" s="3" t="n">
        <v>281</v>
      </c>
      <c r="AA69" s="3" t="n">
        <v>0.42</v>
      </c>
      <c r="AB69" s="3" t="n">
        <v>13.6</v>
      </c>
      <c r="AC69" s="3" t="n">
        <v>1</v>
      </c>
      <c r="AD69" s="3" t="n">
        <v>2</v>
      </c>
      <c r="AE69" s="3" t="n">
        <v>1</v>
      </c>
      <c r="AF69" s="3" t="n">
        <v>1</v>
      </c>
      <c r="AG69" s="3" t="n">
        <v>1</v>
      </c>
      <c r="AH69" s="3" t="n">
        <v>2</v>
      </c>
      <c r="AI69" s="3" t="n">
        <v>1</v>
      </c>
      <c r="AJ69" s="3" t="n">
        <v>2</v>
      </c>
      <c r="AK69" s="3" t="n">
        <v>2</v>
      </c>
      <c r="AL69" s="3" t="n">
        <v>2</v>
      </c>
      <c r="AM69" s="3" t="n">
        <v>2</v>
      </c>
      <c r="AN69" s="3" t="n">
        <v>2</v>
      </c>
      <c r="AO69" s="3" t="n">
        <v>2</v>
      </c>
      <c r="AP69" s="3" t="n">
        <v>3</v>
      </c>
      <c r="AQ69" s="3" t="n">
        <v>4</v>
      </c>
      <c r="AR69" s="3" t="n">
        <v>4</v>
      </c>
      <c r="AS69" s="3" t="n">
        <v>6</v>
      </c>
      <c r="AT69" s="3" t="n">
        <v>4</v>
      </c>
      <c r="AU69" s="3" t="n">
        <v>4</v>
      </c>
      <c r="AV69" s="3" t="n">
        <v>6</v>
      </c>
      <c r="AW69" s="3" t="n">
        <v>6</v>
      </c>
      <c r="AX69" s="3" t="n">
        <v>3</v>
      </c>
      <c r="AY69" s="3" t="n">
        <v>3</v>
      </c>
      <c r="AZ69" s="3" t="n">
        <v>1</v>
      </c>
      <c r="BA69" s="5" t="n">
        <v>1</v>
      </c>
      <c r="BB69" s="3" t="n">
        <v>1</v>
      </c>
      <c r="BC69" s="3" t="n">
        <v>1</v>
      </c>
      <c r="BD69" s="3" t="n">
        <v>2</v>
      </c>
      <c r="BE69" s="3" t="n">
        <v>1</v>
      </c>
      <c r="BF69" s="3" t="n">
        <v>3</v>
      </c>
      <c r="BG69" s="3" t="n">
        <v>1</v>
      </c>
      <c r="BH69" s="3" t="n">
        <v>4</v>
      </c>
      <c r="BI69" s="3" t="n">
        <v>1</v>
      </c>
      <c r="BJ69" s="3" t="n">
        <v>1</v>
      </c>
    </row>
    <row r="70" customFormat="false" ht="12.75" hidden="false" customHeight="false" outlineLevel="0" collapsed="false">
      <c r="B70" s="2" t="s">
        <v>1050</v>
      </c>
      <c r="C70" s="2" t="s">
        <v>1051</v>
      </c>
      <c r="D70" s="2" t="s">
        <v>1052</v>
      </c>
      <c r="E70" s="2" t="n">
        <v>174839</v>
      </c>
      <c r="F70" s="15" t="n">
        <v>43556</v>
      </c>
      <c r="G70" s="15" t="n">
        <v>43563</v>
      </c>
      <c r="H70" s="3" t="n">
        <v>7</v>
      </c>
      <c r="I70" s="3" t="n">
        <v>1</v>
      </c>
      <c r="J70" s="3" t="n">
        <v>72</v>
      </c>
      <c r="K70" s="3" t="n">
        <v>2</v>
      </c>
      <c r="L70" s="3" t="n">
        <v>1</v>
      </c>
      <c r="M70" s="3" t="n">
        <v>1</v>
      </c>
      <c r="N70" s="3" t="n">
        <v>2</v>
      </c>
      <c r="O70" s="3" t="n">
        <v>2</v>
      </c>
      <c r="P70" s="3" t="n">
        <v>2</v>
      </c>
      <c r="Q70" s="3" t="n">
        <v>1</v>
      </c>
      <c r="R70" s="3" t="n">
        <v>2</v>
      </c>
      <c r="S70" s="3" t="n">
        <v>2</v>
      </c>
      <c r="T70" s="4" t="n">
        <v>2</v>
      </c>
      <c r="U70" s="3" t="n">
        <v>2</v>
      </c>
      <c r="V70" s="3" t="n">
        <v>7.21</v>
      </c>
      <c r="W70" s="3"/>
      <c r="X70" s="3" t="n">
        <v>6.3</v>
      </c>
      <c r="Y70" s="3" t="n">
        <v>337</v>
      </c>
      <c r="AA70" s="3" t="n">
        <v>0.38</v>
      </c>
      <c r="AB70" s="3" t="n">
        <v>8.6</v>
      </c>
      <c r="AC70" s="3" t="n">
        <v>1</v>
      </c>
      <c r="AD70" s="3" t="n">
        <v>2</v>
      </c>
      <c r="AE70" s="3" t="n">
        <v>1</v>
      </c>
      <c r="AF70" s="3" t="n">
        <v>1</v>
      </c>
      <c r="AG70" s="3" t="n">
        <v>2</v>
      </c>
      <c r="AH70" s="3" t="n">
        <v>2</v>
      </c>
      <c r="AI70" s="3" t="n">
        <v>1</v>
      </c>
      <c r="AJ70" s="3" t="n">
        <v>2</v>
      </c>
      <c r="AK70" s="3" t="n">
        <v>2</v>
      </c>
      <c r="AL70" s="3" t="n">
        <v>2</v>
      </c>
      <c r="AM70" s="3" t="n">
        <v>1</v>
      </c>
      <c r="AN70" s="3" t="n">
        <v>2</v>
      </c>
      <c r="AO70" s="3" t="n">
        <v>2</v>
      </c>
      <c r="AP70" s="3" t="n">
        <v>3</v>
      </c>
      <c r="AQ70" s="3" t="n">
        <v>4</v>
      </c>
      <c r="AR70" s="3" t="n">
        <v>4</v>
      </c>
      <c r="AS70" s="3" t="n">
        <v>6</v>
      </c>
      <c r="AT70" s="3" t="n">
        <v>4</v>
      </c>
      <c r="AU70" s="3" t="n">
        <v>4</v>
      </c>
      <c r="AV70" s="3" t="n">
        <v>6</v>
      </c>
      <c r="AW70" s="3" t="n">
        <v>6</v>
      </c>
      <c r="AX70" s="3" t="n">
        <v>3</v>
      </c>
      <c r="AY70" s="3" t="n">
        <v>3</v>
      </c>
      <c r="AZ70" s="3" t="n">
        <v>1</v>
      </c>
      <c r="BA70" s="5" t="n">
        <v>1</v>
      </c>
      <c r="BB70" s="3" t="n">
        <v>1</v>
      </c>
      <c r="BC70" s="3" t="n">
        <v>1</v>
      </c>
      <c r="BD70" s="3" t="n">
        <v>4</v>
      </c>
      <c r="BE70" s="3" t="n">
        <v>3</v>
      </c>
      <c r="BF70" s="3" t="n">
        <v>5</v>
      </c>
      <c r="BG70" s="3" t="n">
        <v>3</v>
      </c>
      <c r="BH70" s="3" t="n">
        <v>4</v>
      </c>
      <c r="BI70" s="3" t="n">
        <v>1</v>
      </c>
      <c r="BJ70" s="3" t="n">
        <v>1</v>
      </c>
    </row>
    <row r="71" customFormat="false" ht="12.75" hidden="false" customHeight="false" outlineLevel="0" collapsed="false">
      <c r="B71" s="2" t="s">
        <v>145</v>
      </c>
      <c r="C71" s="2" t="s">
        <v>1061</v>
      </c>
      <c r="D71" s="2" t="s">
        <v>1062</v>
      </c>
      <c r="E71" s="2" t="n">
        <v>174891</v>
      </c>
      <c r="F71" s="15" t="n">
        <v>43557</v>
      </c>
      <c r="G71" s="15" t="n">
        <v>43564</v>
      </c>
      <c r="H71" s="3" t="n">
        <v>7</v>
      </c>
      <c r="I71" s="3" t="n">
        <v>2</v>
      </c>
      <c r="J71" s="3" t="n">
        <v>67</v>
      </c>
      <c r="K71" s="3" t="n">
        <v>1</v>
      </c>
      <c r="L71" s="3" t="n">
        <v>2</v>
      </c>
      <c r="M71" s="3" t="n">
        <v>1</v>
      </c>
      <c r="N71" s="3" t="n">
        <v>2</v>
      </c>
      <c r="O71" s="3" t="n">
        <v>2</v>
      </c>
      <c r="P71" s="3" t="n">
        <v>2</v>
      </c>
      <c r="Q71" s="3" t="n">
        <v>2</v>
      </c>
      <c r="R71" s="3" t="n">
        <v>2</v>
      </c>
      <c r="S71" s="3" t="n">
        <v>1</v>
      </c>
      <c r="T71" s="4" t="n">
        <v>2</v>
      </c>
      <c r="U71" s="3" t="n">
        <v>2</v>
      </c>
      <c r="V71" s="3" t="n">
        <v>5.74</v>
      </c>
      <c r="W71" s="3" t="s">
        <v>1063</v>
      </c>
      <c r="X71" s="3" t="n">
        <v>7.33</v>
      </c>
      <c r="Y71" s="3" t="n">
        <v>486</v>
      </c>
      <c r="AA71" s="3" t="n">
        <v>0.41</v>
      </c>
      <c r="AB71" s="3" t="n">
        <v>12.2</v>
      </c>
      <c r="AC71" s="3" t="n">
        <v>1</v>
      </c>
      <c r="AD71" s="3" t="n">
        <v>2</v>
      </c>
      <c r="AE71" s="3" t="n">
        <v>1</v>
      </c>
      <c r="AF71" s="3" t="n">
        <v>1</v>
      </c>
      <c r="AG71" s="3" t="n">
        <v>2</v>
      </c>
      <c r="AH71" s="3" t="n">
        <v>2</v>
      </c>
      <c r="AI71" s="3" t="n">
        <v>1</v>
      </c>
      <c r="AJ71" s="3" t="n">
        <v>1</v>
      </c>
      <c r="AK71" s="3" t="n">
        <v>2</v>
      </c>
      <c r="AL71" s="3" t="n">
        <v>2</v>
      </c>
      <c r="AM71" s="3" t="n">
        <v>2</v>
      </c>
      <c r="AN71" s="3" t="n">
        <v>2</v>
      </c>
      <c r="AO71" s="3" t="n">
        <v>2</v>
      </c>
      <c r="AP71" s="3" t="n">
        <v>3</v>
      </c>
      <c r="AQ71" s="3" t="n">
        <v>4</v>
      </c>
      <c r="AR71" s="3" t="n">
        <v>4</v>
      </c>
      <c r="AS71" s="3" t="n">
        <v>6</v>
      </c>
      <c r="AT71" s="3" t="n">
        <v>4</v>
      </c>
      <c r="AU71" s="3" t="n">
        <v>4</v>
      </c>
      <c r="AV71" s="3" t="n">
        <v>6</v>
      </c>
      <c r="AW71" s="3" t="n">
        <v>6</v>
      </c>
      <c r="AX71" s="3" t="n">
        <v>3</v>
      </c>
      <c r="AY71" s="3" t="n">
        <v>3</v>
      </c>
      <c r="AZ71" s="3" t="n">
        <v>1</v>
      </c>
      <c r="BA71" s="5" t="n">
        <v>1</v>
      </c>
      <c r="BB71" s="3" t="n">
        <v>1</v>
      </c>
      <c r="BC71" s="3" t="n">
        <v>1</v>
      </c>
      <c r="BD71" s="3" t="n">
        <v>4</v>
      </c>
      <c r="BE71" s="3" t="n">
        <v>1</v>
      </c>
      <c r="BF71" s="3" t="n">
        <v>1</v>
      </c>
      <c r="BG71" s="3" t="n">
        <v>1</v>
      </c>
      <c r="BH71" s="3" t="n">
        <v>4</v>
      </c>
      <c r="BI71" s="3" t="n">
        <v>1</v>
      </c>
      <c r="BJ71" s="3" t="n">
        <v>1</v>
      </c>
    </row>
    <row r="72" customFormat="false" ht="12.75" hidden="false" customHeight="false" outlineLevel="0" collapsed="false">
      <c r="B72" s="2" t="s">
        <v>1078</v>
      </c>
      <c r="C72" s="2" t="s">
        <v>197</v>
      </c>
      <c r="D72" s="2" t="s">
        <v>94</v>
      </c>
      <c r="E72" s="2" t="n">
        <v>175518</v>
      </c>
      <c r="F72" s="15" t="n">
        <v>43562</v>
      </c>
      <c r="G72" s="15" t="n">
        <v>43570</v>
      </c>
      <c r="H72" s="3" t="n">
        <v>8</v>
      </c>
      <c r="I72" s="3" t="n">
        <v>2</v>
      </c>
      <c r="J72" s="3" t="n">
        <v>81</v>
      </c>
      <c r="K72" s="3" t="n">
        <v>2</v>
      </c>
      <c r="L72" s="3" t="n">
        <v>1</v>
      </c>
      <c r="M72" s="3" t="n">
        <v>1</v>
      </c>
      <c r="N72" s="3" t="n">
        <v>1</v>
      </c>
      <c r="O72" s="3" t="n">
        <v>2</v>
      </c>
      <c r="P72" s="3" t="n">
        <v>2</v>
      </c>
      <c r="Q72" s="3" t="n">
        <v>2</v>
      </c>
      <c r="R72" s="3" t="n">
        <v>2</v>
      </c>
      <c r="S72" s="3" t="n">
        <v>2</v>
      </c>
      <c r="T72" s="4" t="n">
        <v>2</v>
      </c>
      <c r="U72" s="3" t="n">
        <v>2</v>
      </c>
      <c r="V72" s="3" t="n">
        <v>6.96</v>
      </c>
      <c r="W72" s="3"/>
      <c r="X72" s="3" t="n">
        <v>7.6</v>
      </c>
      <c r="Y72" s="3" t="n">
        <v>682</v>
      </c>
      <c r="AA72" s="3" t="n">
        <v>0.48</v>
      </c>
      <c r="AB72" s="3" t="n">
        <v>11.3</v>
      </c>
      <c r="AC72" s="3" t="n">
        <v>1</v>
      </c>
      <c r="AD72" s="3" t="n">
        <v>1</v>
      </c>
      <c r="AE72" s="3" t="n">
        <v>1</v>
      </c>
      <c r="AF72" s="3" t="n">
        <v>1</v>
      </c>
      <c r="AG72" s="3" t="n">
        <v>2</v>
      </c>
      <c r="AH72" s="3" t="n">
        <v>2</v>
      </c>
      <c r="AI72" s="3" t="n">
        <v>1</v>
      </c>
      <c r="AJ72" s="3" t="n">
        <v>2</v>
      </c>
      <c r="AK72" s="3" t="n">
        <v>2</v>
      </c>
      <c r="AL72" s="3" t="n">
        <v>2</v>
      </c>
      <c r="AM72" s="3" t="n">
        <v>1</v>
      </c>
      <c r="AN72" s="3" t="n">
        <v>2</v>
      </c>
      <c r="AO72" s="3" t="n">
        <v>2</v>
      </c>
      <c r="AP72" s="3" t="n">
        <v>3</v>
      </c>
      <c r="AQ72" s="3" t="n">
        <v>4</v>
      </c>
      <c r="AR72" s="3" t="n">
        <v>4</v>
      </c>
      <c r="AS72" s="3" t="n">
        <v>6</v>
      </c>
      <c r="AT72" s="3" t="n">
        <v>4</v>
      </c>
      <c r="AU72" s="3" t="n">
        <v>4</v>
      </c>
      <c r="AV72" s="3" t="n">
        <v>6</v>
      </c>
      <c r="AW72" s="3" t="n">
        <v>6</v>
      </c>
      <c r="AX72" s="3" t="n">
        <v>3</v>
      </c>
      <c r="AY72" s="3" t="n">
        <v>3</v>
      </c>
      <c r="AZ72" s="3" t="n">
        <v>1</v>
      </c>
      <c r="BA72" s="5" t="n">
        <v>1</v>
      </c>
      <c r="BB72" s="3" t="n">
        <v>1</v>
      </c>
      <c r="BC72" s="3" t="n">
        <v>1</v>
      </c>
      <c r="BD72" s="3" t="n">
        <v>4</v>
      </c>
      <c r="BE72" s="3" t="n">
        <v>1</v>
      </c>
      <c r="BF72" s="3" t="n">
        <v>2</v>
      </c>
      <c r="BG72" s="3" t="n">
        <v>1</v>
      </c>
      <c r="BH72" s="3" t="n">
        <v>4</v>
      </c>
      <c r="BI72" s="3" t="n">
        <v>1</v>
      </c>
      <c r="BJ72" s="3" t="n">
        <v>1</v>
      </c>
    </row>
    <row r="73" customFormat="false" ht="12.75" hidden="false" customHeight="false" outlineLevel="0" collapsed="false">
      <c r="B73" s="26" t="s">
        <v>1080</v>
      </c>
      <c r="C73" s="26" t="s">
        <v>467</v>
      </c>
      <c r="D73" s="26" t="s">
        <v>1081</v>
      </c>
      <c r="E73" s="26" t="n">
        <v>175512</v>
      </c>
      <c r="F73" s="27" t="n">
        <v>43561</v>
      </c>
      <c r="G73" s="27" t="n">
        <v>43570</v>
      </c>
      <c r="H73" s="30" t="n">
        <v>9</v>
      </c>
      <c r="I73" s="30" t="n">
        <v>2</v>
      </c>
      <c r="J73" s="30" t="n">
        <v>75</v>
      </c>
      <c r="K73" s="30" t="n">
        <v>1</v>
      </c>
      <c r="L73" s="30" t="n">
        <v>1</v>
      </c>
      <c r="M73" s="30" t="n">
        <v>1</v>
      </c>
      <c r="N73" s="30" t="n">
        <v>2</v>
      </c>
      <c r="O73" s="30" t="n">
        <v>2</v>
      </c>
      <c r="P73" s="30" t="n">
        <v>2</v>
      </c>
      <c r="Q73" s="30" t="n">
        <v>1</v>
      </c>
      <c r="R73" s="30" t="n">
        <v>2</v>
      </c>
      <c r="S73" s="30" t="n">
        <v>2</v>
      </c>
      <c r="T73" s="4" t="n">
        <v>2</v>
      </c>
      <c r="U73" s="30" t="n">
        <v>2</v>
      </c>
      <c r="V73" s="30" t="n">
        <v>4.94</v>
      </c>
      <c r="W73" s="30"/>
      <c r="X73" s="30" t="n">
        <v>7</v>
      </c>
      <c r="Y73" s="30" t="n">
        <v>284</v>
      </c>
      <c r="AA73" s="30" t="n">
        <v>0.37</v>
      </c>
      <c r="AB73" s="30" t="n">
        <v>8.6</v>
      </c>
      <c r="AC73" s="30" t="n">
        <v>2</v>
      </c>
      <c r="AD73" s="30" t="n">
        <v>2</v>
      </c>
      <c r="AE73" s="30" t="n">
        <v>1</v>
      </c>
      <c r="AF73" s="30" t="n">
        <v>1</v>
      </c>
      <c r="AG73" s="30" t="n">
        <v>2</v>
      </c>
      <c r="AH73" s="30" t="n">
        <v>2</v>
      </c>
      <c r="AI73" s="30" t="n">
        <v>1</v>
      </c>
      <c r="AJ73" s="30" t="n">
        <v>2</v>
      </c>
      <c r="AK73" s="30" t="n">
        <v>2</v>
      </c>
      <c r="AL73" s="30" t="n">
        <v>2</v>
      </c>
      <c r="AM73" s="30" t="n">
        <v>2</v>
      </c>
      <c r="AN73" s="30" t="n">
        <v>2</v>
      </c>
      <c r="AO73" s="30" t="n">
        <v>2</v>
      </c>
      <c r="AP73" s="30" t="n">
        <v>3</v>
      </c>
      <c r="AQ73" s="30" t="n">
        <v>4</v>
      </c>
      <c r="AR73" s="30" t="n">
        <v>4</v>
      </c>
      <c r="AS73" s="30" t="n">
        <v>6</v>
      </c>
      <c r="AT73" s="30" t="n">
        <v>4</v>
      </c>
      <c r="AU73" s="30" t="n">
        <v>4</v>
      </c>
      <c r="AV73" s="30" t="n">
        <v>6</v>
      </c>
      <c r="AW73" s="30" t="n">
        <v>6</v>
      </c>
      <c r="AX73" s="30" t="n">
        <v>3</v>
      </c>
      <c r="AY73" s="30" t="n">
        <v>3</v>
      </c>
      <c r="AZ73" s="30" t="n">
        <v>2</v>
      </c>
      <c r="BA73" s="5" t="n">
        <v>1</v>
      </c>
      <c r="BB73" s="30" t="n">
        <v>1</v>
      </c>
      <c r="BC73" s="30" t="n">
        <v>2</v>
      </c>
      <c r="BD73" s="30" t="n">
        <v>4</v>
      </c>
      <c r="BE73" s="30" t="n">
        <v>3</v>
      </c>
      <c r="BF73" s="30" t="n">
        <v>5</v>
      </c>
      <c r="BG73" s="30" t="n">
        <v>3</v>
      </c>
      <c r="BH73" s="30" t="n">
        <v>4</v>
      </c>
      <c r="BI73" s="30" t="n">
        <v>1</v>
      </c>
      <c r="BJ73" s="30" t="n">
        <v>1</v>
      </c>
    </row>
    <row r="74" customFormat="false" ht="12.75" hidden="false" customHeight="false" outlineLevel="0" collapsed="false">
      <c r="B74" s="2" t="s">
        <v>1138</v>
      </c>
      <c r="C74" s="2" t="s">
        <v>382</v>
      </c>
      <c r="D74" s="2" t="s">
        <v>662</v>
      </c>
      <c r="E74" s="2" t="n">
        <v>176266</v>
      </c>
      <c r="F74" s="15" t="n">
        <v>43575</v>
      </c>
      <c r="G74" s="15" t="n">
        <v>43584</v>
      </c>
      <c r="H74" s="3" t="n">
        <v>9</v>
      </c>
      <c r="I74" s="3" t="n">
        <v>2</v>
      </c>
      <c r="J74" s="3" t="n">
        <v>57</v>
      </c>
      <c r="K74" s="3" t="n">
        <v>1</v>
      </c>
      <c r="L74" s="3" t="n">
        <v>1</v>
      </c>
      <c r="M74" s="3" t="n">
        <v>1</v>
      </c>
      <c r="N74" s="3" t="n">
        <v>2</v>
      </c>
      <c r="O74" s="3" t="n">
        <v>2</v>
      </c>
      <c r="P74" s="3" t="n">
        <v>2</v>
      </c>
      <c r="Q74" s="3" t="n">
        <v>2</v>
      </c>
      <c r="R74" s="3" t="n">
        <v>2</v>
      </c>
      <c r="S74" s="3" t="n">
        <v>2</v>
      </c>
      <c r="T74" s="4" t="n">
        <v>2</v>
      </c>
      <c r="U74" s="3" t="n">
        <v>2</v>
      </c>
      <c r="V74" s="3" t="n">
        <v>3.81</v>
      </c>
      <c r="W74" s="3" t="n">
        <v>0.88</v>
      </c>
      <c r="X74" s="3" t="n">
        <v>5.08</v>
      </c>
      <c r="Y74" s="3" t="n">
        <v>327</v>
      </c>
      <c r="AA74" s="3" t="n">
        <v>0.47</v>
      </c>
      <c r="AB74" s="3" t="n">
        <v>12</v>
      </c>
      <c r="AC74" s="3" t="n">
        <v>1</v>
      </c>
      <c r="AD74" s="3" t="n">
        <v>2</v>
      </c>
      <c r="AE74" s="3" t="n">
        <v>1</v>
      </c>
      <c r="AF74" s="3" t="n">
        <v>1</v>
      </c>
      <c r="AG74" s="3" t="n">
        <v>2</v>
      </c>
      <c r="AH74" s="3" t="n">
        <v>2</v>
      </c>
      <c r="AI74" s="3" t="n">
        <v>1</v>
      </c>
      <c r="AJ74" s="3" t="n">
        <v>2</v>
      </c>
      <c r="AK74" s="3" t="n">
        <v>2</v>
      </c>
      <c r="AL74" s="3" t="n">
        <v>2</v>
      </c>
      <c r="AM74" s="3" t="n">
        <v>2</v>
      </c>
      <c r="AN74" s="3" t="n">
        <v>2</v>
      </c>
      <c r="AO74" s="3" t="n">
        <v>1</v>
      </c>
      <c r="AP74" s="3" t="n">
        <v>3</v>
      </c>
      <c r="AQ74" s="3" t="n">
        <v>4</v>
      </c>
      <c r="AR74" s="3" t="n">
        <v>4</v>
      </c>
      <c r="AS74" s="3" t="n">
        <v>6</v>
      </c>
      <c r="AT74" s="3" t="n">
        <v>4</v>
      </c>
      <c r="AU74" s="3" t="n">
        <v>4</v>
      </c>
      <c r="AV74" s="3" t="n">
        <v>6</v>
      </c>
      <c r="AW74" s="3" t="n">
        <v>6</v>
      </c>
      <c r="AX74" s="3" t="n">
        <v>3</v>
      </c>
      <c r="AY74" s="3" t="n">
        <v>3</v>
      </c>
      <c r="AZ74" s="3" t="n">
        <v>1</v>
      </c>
      <c r="BA74" s="5" t="n">
        <v>1</v>
      </c>
      <c r="BB74" s="3" t="n">
        <v>1</v>
      </c>
      <c r="BC74" s="3" t="n">
        <v>1</v>
      </c>
      <c r="BD74" s="3" t="n">
        <v>2</v>
      </c>
      <c r="BE74" s="3" t="n">
        <v>1</v>
      </c>
      <c r="BF74" s="3" t="n">
        <v>1</v>
      </c>
      <c r="BG74" s="3" t="n">
        <v>1</v>
      </c>
      <c r="BH74" s="3" t="n">
        <v>4</v>
      </c>
      <c r="BI74" s="3" t="n">
        <v>1</v>
      </c>
      <c r="BJ74" s="3" t="n">
        <v>1</v>
      </c>
    </row>
    <row r="75" customFormat="false" ht="12.75" hidden="false" customHeight="false" outlineLevel="0" collapsed="false">
      <c r="B75" s="2" t="s">
        <v>1143</v>
      </c>
      <c r="C75" s="2" t="s">
        <v>1144</v>
      </c>
      <c r="D75" s="2" t="s">
        <v>898</v>
      </c>
      <c r="E75" s="2" t="n">
        <v>176438</v>
      </c>
      <c r="F75" s="15" t="n">
        <v>43578</v>
      </c>
      <c r="G75" s="15" t="n">
        <v>43585</v>
      </c>
      <c r="H75" s="3" t="n">
        <v>7</v>
      </c>
      <c r="I75" s="3" t="n">
        <v>2</v>
      </c>
      <c r="J75" s="3" t="n">
        <v>51</v>
      </c>
      <c r="K75" s="3" t="n">
        <v>2</v>
      </c>
      <c r="L75" s="3" t="n">
        <v>1</v>
      </c>
      <c r="M75" s="3" t="n">
        <v>1</v>
      </c>
      <c r="N75" s="3" t="n">
        <v>2</v>
      </c>
      <c r="O75" s="3" t="n">
        <v>2</v>
      </c>
      <c r="P75" s="3" t="n">
        <v>2</v>
      </c>
      <c r="Q75" s="3" t="n">
        <v>2</v>
      </c>
      <c r="R75" s="3" t="n">
        <v>2</v>
      </c>
      <c r="S75" s="3" t="n">
        <v>2</v>
      </c>
      <c r="T75" s="4" t="n">
        <v>2</v>
      </c>
      <c r="U75" s="3" t="n">
        <v>2</v>
      </c>
      <c r="V75" s="3" t="n">
        <v>3.9</v>
      </c>
      <c r="W75" s="3" t="n">
        <v>0.9</v>
      </c>
      <c r="X75" s="3" t="n">
        <v>5.2</v>
      </c>
      <c r="Y75" s="3" t="n">
        <v>359</v>
      </c>
      <c r="AA75" s="3" t="n">
        <v>0.4</v>
      </c>
      <c r="AB75" s="3" t="n">
        <v>12.4</v>
      </c>
      <c r="AC75" s="3" t="n">
        <v>1</v>
      </c>
      <c r="AD75" s="3" t="n">
        <v>2</v>
      </c>
      <c r="AE75" s="3" t="n">
        <v>1</v>
      </c>
      <c r="AF75" s="3" t="n">
        <v>1</v>
      </c>
      <c r="AG75" s="3" t="n">
        <v>2</v>
      </c>
      <c r="AH75" s="3" t="n">
        <v>2</v>
      </c>
      <c r="AI75" s="3" t="n">
        <v>1</v>
      </c>
      <c r="AJ75" s="3" t="n">
        <v>2</v>
      </c>
      <c r="AK75" s="3" t="n">
        <v>2</v>
      </c>
      <c r="AL75" s="3" t="n">
        <v>2</v>
      </c>
      <c r="AM75" s="3" t="n">
        <v>2</v>
      </c>
      <c r="AN75" s="3" t="n">
        <v>2</v>
      </c>
      <c r="AO75" s="3" t="n">
        <v>2</v>
      </c>
      <c r="AP75" s="3" t="n">
        <v>3</v>
      </c>
      <c r="AQ75" s="3" t="n">
        <v>4</v>
      </c>
      <c r="AR75" s="3" t="n">
        <v>4</v>
      </c>
      <c r="AS75" s="3" t="n">
        <v>6</v>
      </c>
      <c r="AT75" s="3" t="n">
        <v>4</v>
      </c>
      <c r="AU75" s="3" t="n">
        <v>4</v>
      </c>
      <c r="AV75" s="3" t="n">
        <v>6</v>
      </c>
      <c r="AW75" s="3" t="n">
        <v>6</v>
      </c>
      <c r="AX75" s="3" t="n">
        <v>3</v>
      </c>
      <c r="AY75" s="3" t="n">
        <v>3</v>
      </c>
      <c r="AZ75" s="3" t="n">
        <v>1</v>
      </c>
      <c r="BA75" s="5" t="n">
        <v>1</v>
      </c>
      <c r="BB75" s="3" t="n">
        <v>1</v>
      </c>
      <c r="BC75" s="3" t="n">
        <v>1</v>
      </c>
      <c r="BD75" s="3" t="n">
        <v>4</v>
      </c>
      <c r="BE75" s="3" t="n">
        <v>3</v>
      </c>
      <c r="BF75" s="3" t="n">
        <v>5</v>
      </c>
      <c r="BG75" s="3" t="n">
        <v>3</v>
      </c>
      <c r="BH75" s="3" t="n">
        <v>4</v>
      </c>
      <c r="BI75" s="3" t="n">
        <v>1</v>
      </c>
      <c r="BJ75" s="3" t="n">
        <v>1</v>
      </c>
    </row>
    <row r="76" customFormat="false" ht="12.75" hidden="false" customHeight="false" outlineLevel="0" collapsed="false">
      <c r="B76" s="2" t="s">
        <v>1162</v>
      </c>
      <c r="C76" s="2" t="s">
        <v>1098</v>
      </c>
      <c r="D76" s="2" t="s">
        <v>1163</v>
      </c>
      <c r="E76" s="2" t="n">
        <v>176491</v>
      </c>
      <c r="F76" s="15" t="n">
        <v>43580</v>
      </c>
      <c r="G76" s="15" t="n">
        <v>43591</v>
      </c>
      <c r="H76" s="3" t="n">
        <v>11</v>
      </c>
      <c r="I76" s="3" t="n">
        <v>2</v>
      </c>
      <c r="J76" s="3" t="n">
        <v>63</v>
      </c>
      <c r="K76" s="3" t="n">
        <v>1</v>
      </c>
      <c r="L76" s="3" t="n">
        <v>1</v>
      </c>
      <c r="M76" s="3" t="n">
        <v>1</v>
      </c>
      <c r="N76" s="3" t="n">
        <v>2</v>
      </c>
      <c r="O76" s="3" t="n">
        <v>2</v>
      </c>
      <c r="P76" s="3" t="n">
        <v>2</v>
      </c>
      <c r="Q76" s="3" t="n">
        <v>2</v>
      </c>
      <c r="R76" s="3" t="n">
        <v>2</v>
      </c>
      <c r="S76" s="3" t="n">
        <v>2</v>
      </c>
      <c r="T76" s="4" t="n">
        <v>1</v>
      </c>
      <c r="U76" s="3" t="n">
        <v>1</v>
      </c>
      <c r="V76" s="3" t="n">
        <v>8.38</v>
      </c>
      <c r="W76" s="3" t="n">
        <v>1.28</v>
      </c>
      <c r="X76" s="3" t="n">
        <v>6</v>
      </c>
      <c r="Y76" s="3" t="n">
        <v>420</v>
      </c>
      <c r="AA76" s="3" t="n">
        <v>0.45</v>
      </c>
      <c r="AB76" s="3" t="n">
        <v>10.2</v>
      </c>
      <c r="AC76" s="3" t="n">
        <v>1</v>
      </c>
      <c r="AD76" s="3" t="n">
        <v>1</v>
      </c>
      <c r="AE76" s="3" t="n">
        <v>1</v>
      </c>
      <c r="AF76" s="3" t="n">
        <v>1</v>
      </c>
      <c r="AG76" s="3" t="n">
        <v>2</v>
      </c>
      <c r="AH76" s="3" t="n">
        <v>1</v>
      </c>
      <c r="AI76" s="3" t="n">
        <v>1</v>
      </c>
      <c r="AJ76" s="3" t="n">
        <v>2</v>
      </c>
      <c r="AK76" s="3" t="n">
        <v>2</v>
      </c>
      <c r="AL76" s="3" t="n">
        <v>2</v>
      </c>
      <c r="AM76" s="3" t="n">
        <v>1</v>
      </c>
      <c r="AN76" s="3" t="n">
        <v>2</v>
      </c>
      <c r="AO76" s="3" t="n">
        <v>2</v>
      </c>
      <c r="AP76" s="3" t="n">
        <v>3</v>
      </c>
      <c r="AQ76" s="3" t="n">
        <v>4</v>
      </c>
      <c r="AR76" s="3" t="n">
        <v>4</v>
      </c>
      <c r="AS76" s="3" t="n">
        <v>6</v>
      </c>
      <c r="AT76" s="3" t="n">
        <v>4</v>
      </c>
      <c r="AU76" s="3" t="n">
        <v>4</v>
      </c>
      <c r="AV76" s="3" t="n">
        <v>6</v>
      </c>
      <c r="AW76" s="3" t="n">
        <v>6</v>
      </c>
      <c r="AX76" s="3" t="n">
        <v>3</v>
      </c>
      <c r="AY76" s="3" t="n">
        <v>3</v>
      </c>
      <c r="AZ76" s="3" t="n">
        <v>13</v>
      </c>
      <c r="BA76" s="5" t="n">
        <v>1</v>
      </c>
      <c r="BB76" s="3" t="n">
        <v>1</v>
      </c>
      <c r="BC76" s="3" t="n">
        <v>1</v>
      </c>
      <c r="BD76" s="3" t="n">
        <v>6</v>
      </c>
      <c r="BE76" s="3" t="n">
        <v>3</v>
      </c>
      <c r="BF76" s="3" t="n">
        <v>5</v>
      </c>
      <c r="BG76" s="3" t="n">
        <v>3</v>
      </c>
      <c r="BH76" s="3" t="n">
        <v>4</v>
      </c>
      <c r="BI76" s="3" t="n">
        <v>1</v>
      </c>
      <c r="BJ76" s="3" t="n">
        <v>1</v>
      </c>
    </row>
    <row r="77" customFormat="false" ht="12.75" hidden="false" customHeight="false" outlineLevel="0" collapsed="false">
      <c r="B77" s="2" t="s">
        <v>1010</v>
      </c>
      <c r="C77" s="2" t="s">
        <v>95</v>
      </c>
      <c r="D77" s="2" t="s">
        <v>95</v>
      </c>
      <c r="E77" s="2" t="n">
        <v>177469</v>
      </c>
      <c r="F77" s="15" t="n">
        <v>43599</v>
      </c>
      <c r="G77" s="15" t="n">
        <v>43605</v>
      </c>
      <c r="H77" s="3" t="n">
        <v>6</v>
      </c>
      <c r="I77" s="3" t="n">
        <v>2</v>
      </c>
      <c r="J77" s="3" t="n">
        <v>47</v>
      </c>
      <c r="K77" s="3" t="n">
        <v>1</v>
      </c>
      <c r="L77" s="3" t="n">
        <v>1</v>
      </c>
      <c r="M77" s="3" t="n">
        <v>2</v>
      </c>
      <c r="N77" s="3" t="n">
        <v>2</v>
      </c>
      <c r="O77" s="3" t="n">
        <v>2</v>
      </c>
      <c r="P77" s="3" t="n">
        <v>2</v>
      </c>
      <c r="Q77" s="3" t="n">
        <v>2</v>
      </c>
      <c r="R77" s="3" t="n">
        <v>2</v>
      </c>
      <c r="S77" s="3" t="n">
        <v>2</v>
      </c>
      <c r="T77" s="4" t="n">
        <v>2</v>
      </c>
      <c r="U77" s="3" t="n">
        <v>2</v>
      </c>
      <c r="V77" s="3" t="n">
        <v>5.44</v>
      </c>
      <c r="W77" s="3" t="n">
        <v>2.36</v>
      </c>
      <c r="X77" s="3" t="n">
        <v>5.9</v>
      </c>
      <c r="Y77" s="3" t="n">
        <v>508</v>
      </c>
      <c r="AA77" s="3" t="n">
        <v>0.47</v>
      </c>
      <c r="AB77" s="3" t="n">
        <v>15.6</v>
      </c>
      <c r="AC77" s="3" t="n">
        <v>1</v>
      </c>
      <c r="AD77" s="3" t="n">
        <v>1</v>
      </c>
      <c r="AE77" s="3" t="n">
        <v>1</v>
      </c>
      <c r="AF77" s="3" t="n">
        <v>1</v>
      </c>
      <c r="AG77" s="3" t="n">
        <v>2</v>
      </c>
      <c r="AH77" s="3" t="n">
        <v>2</v>
      </c>
      <c r="AI77" s="3" t="n">
        <v>1</v>
      </c>
      <c r="AJ77" s="3" t="n">
        <v>2</v>
      </c>
      <c r="AK77" s="3" t="n">
        <v>2</v>
      </c>
      <c r="AL77" s="3" t="n">
        <v>2</v>
      </c>
      <c r="AM77" s="3" t="n">
        <v>2</v>
      </c>
      <c r="AN77" s="3" t="n">
        <v>2</v>
      </c>
      <c r="AO77" s="3" t="n">
        <v>2</v>
      </c>
      <c r="AP77" s="3" t="n">
        <v>3</v>
      </c>
      <c r="AQ77" s="3" t="n">
        <v>4</v>
      </c>
      <c r="AR77" s="3" t="n">
        <v>4</v>
      </c>
      <c r="AS77" s="3" t="n">
        <v>6</v>
      </c>
      <c r="AT77" s="3" t="n">
        <v>4</v>
      </c>
      <c r="AU77" s="3" t="n">
        <v>4</v>
      </c>
      <c r="AV77" s="3" t="n">
        <v>6</v>
      </c>
      <c r="AW77" s="3" t="n">
        <v>6</v>
      </c>
      <c r="AX77" s="3" t="n">
        <v>3</v>
      </c>
      <c r="AY77" s="3" t="n">
        <v>3</v>
      </c>
      <c r="AZ77" s="3" t="n">
        <v>1</v>
      </c>
      <c r="BA77" s="5" t="n">
        <v>1</v>
      </c>
      <c r="BB77" s="3" t="n">
        <v>1</v>
      </c>
      <c r="BC77" s="3" t="n">
        <v>1</v>
      </c>
      <c r="BD77" s="3" t="n">
        <v>4</v>
      </c>
      <c r="BE77" s="3" t="n">
        <v>1</v>
      </c>
      <c r="BF77" s="3" t="n">
        <v>2</v>
      </c>
      <c r="BG77" s="3" t="n">
        <v>1</v>
      </c>
      <c r="BH77" s="3" t="n">
        <v>4</v>
      </c>
      <c r="BI77" s="3" t="n">
        <v>1</v>
      </c>
      <c r="BJ77" s="3" t="n">
        <v>1</v>
      </c>
    </row>
    <row r="78" customFormat="false" ht="12.75" hidden="false" customHeight="false" outlineLevel="0" collapsed="false">
      <c r="B78" s="2" t="s">
        <v>1183</v>
      </c>
      <c r="C78" s="2" t="s">
        <v>127</v>
      </c>
      <c r="D78" s="2" t="s">
        <v>66</v>
      </c>
      <c r="E78" s="2" t="n">
        <v>177476</v>
      </c>
      <c r="F78" s="15" t="n">
        <v>43598</v>
      </c>
      <c r="G78" s="15" t="n">
        <v>43605</v>
      </c>
      <c r="H78" s="3" t="n">
        <v>7</v>
      </c>
      <c r="I78" s="3" t="n">
        <v>1</v>
      </c>
      <c r="J78" s="3" t="n">
        <v>55</v>
      </c>
      <c r="K78" s="3" t="n">
        <v>1</v>
      </c>
      <c r="L78" s="3" t="n">
        <v>1</v>
      </c>
      <c r="M78" s="3" t="n">
        <v>1</v>
      </c>
      <c r="N78" s="3" t="n">
        <v>2</v>
      </c>
      <c r="O78" s="3" t="n">
        <v>2</v>
      </c>
      <c r="P78" s="3" t="n">
        <v>2</v>
      </c>
      <c r="Q78" s="3" t="n">
        <v>2</v>
      </c>
      <c r="R78" s="3" t="n">
        <v>2</v>
      </c>
      <c r="S78" s="3" t="n">
        <v>2</v>
      </c>
      <c r="T78" s="4" t="n">
        <v>2</v>
      </c>
      <c r="U78" s="3" t="n">
        <v>2</v>
      </c>
      <c r="V78" s="3" t="n">
        <v>10.27</v>
      </c>
      <c r="W78" s="3" t="n">
        <v>2.58</v>
      </c>
      <c r="X78" s="3" t="n">
        <v>5.4</v>
      </c>
      <c r="Y78" s="3" t="n">
        <v>421</v>
      </c>
      <c r="AA78" s="3" t="n">
        <v>0.42</v>
      </c>
      <c r="AB78" s="3" t="n">
        <v>10.9</v>
      </c>
      <c r="AC78" s="3" t="n">
        <v>1</v>
      </c>
      <c r="AD78" s="3" t="n">
        <v>1</v>
      </c>
      <c r="AE78" s="3" t="n">
        <v>1</v>
      </c>
      <c r="AF78" s="3" t="n">
        <v>1</v>
      </c>
      <c r="AG78" s="3" t="n">
        <v>2</v>
      </c>
      <c r="AH78" s="3" t="n">
        <v>2</v>
      </c>
      <c r="AI78" s="3" t="n">
        <v>1</v>
      </c>
      <c r="AJ78" s="3" t="n">
        <v>2</v>
      </c>
      <c r="AK78" s="3" t="n">
        <v>2</v>
      </c>
      <c r="AL78" s="3" t="n">
        <v>2</v>
      </c>
      <c r="AM78" s="3" t="n">
        <v>2</v>
      </c>
      <c r="AN78" s="3" t="n">
        <v>2</v>
      </c>
      <c r="AO78" s="3" t="n">
        <v>2</v>
      </c>
      <c r="AP78" s="3" t="n">
        <v>3</v>
      </c>
      <c r="AQ78" s="3" t="n">
        <v>4</v>
      </c>
      <c r="AR78" s="3" t="n">
        <v>4</v>
      </c>
      <c r="AS78" s="3" t="n">
        <v>6</v>
      </c>
      <c r="AT78" s="3" t="n">
        <v>4</v>
      </c>
      <c r="AU78" s="3" t="n">
        <v>4</v>
      </c>
      <c r="AV78" s="3" t="n">
        <v>6</v>
      </c>
      <c r="AW78" s="3" t="n">
        <v>6</v>
      </c>
      <c r="AX78" s="3" t="n">
        <v>3</v>
      </c>
      <c r="AY78" s="3" t="n">
        <v>3</v>
      </c>
      <c r="AZ78" s="3" t="n">
        <v>1</v>
      </c>
      <c r="BA78" s="5" t="n">
        <v>1</v>
      </c>
      <c r="BB78" s="3" t="n">
        <v>1</v>
      </c>
      <c r="BC78" s="3" t="n">
        <v>1</v>
      </c>
      <c r="BD78" s="3" t="n">
        <v>4</v>
      </c>
      <c r="BE78" s="3" t="n">
        <v>3</v>
      </c>
      <c r="BF78" s="3" t="n">
        <v>5</v>
      </c>
      <c r="BG78" s="3" t="n">
        <v>3</v>
      </c>
      <c r="BH78" s="3" t="n">
        <v>4</v>
      </c>
      <c r="BI78" s="3" t="n">
        <v>1</v>
      </c>
      <c r="BJ78" s="3" t="n">
        <v>1</v>
      </c>
    </row>
    <row r="79" customFormat="false" ht="12.75" hidden="false" customHeight="false" outlineLevel="0" collapsed="false">
      <c r="B79" s="2" t="s">
        <v>286</v>
      </c>
      <c r="C79" s="2" t="s">
        <v>808</v>
      </c>
      <c r="D79" s="2" t="s">
        <v>95</v>
      </c>
      <c r="E79" s="2" t="n">
        <v>177910</v>
      </c>
      <c r="F79" s="15" t="n">
        <v>43601</v>
      </c>
      <c r="G79" s="15" t="n">
        <v>43607</v>
      </c>
      <c r="H79" s="3" t="n">
        <v>6</v>
      </c>
      <c r="I79" s="3" t="n">
        <v>2</v>
      </c>
      <c r="J79" s="3" t="n">
        <v>70</v>
      </c>
      <c r="K79" s="3" t="n">
        <v>1</v>
      </c>
      <c r="L79" s="3" t="n">
        <v>2</v>
      </c>
      <c r="M79" s="3" t="n">
        <v>2</v>
      </c>
      <c r="N79" s="3" t="n">
        <v>2</v>
      </c>
      <c r="O79" s="3" t="n">
        <v>2</v>
      </c>
      <c r="P79" s="3" t="n">
        <v>2</v>
      </c>
      <c r="Q79" s="3" t="n">
        <v>2</v>
      </c>
      <c r="R79" s="3" t="n">
        <v>2</v>
      </c>
      <c r="S79" s="3" t="n">
        <v>2</v>
      </c>
      <c r="T79" s="4" t="n">
        <v>1</v>
      </c>
      <c r="U79" s="3" t="n">
        <v>1</v>
      </c>
      <c r="V79" s="3" t="n">
        <v>3.11</v>
      </c>
      <c r="W79" s="3" t="n">
        <v>0.98</v>
      </c>
      <c r="X79" s="3" t="n">
        <v>6.86</v>
      </c>
      <c r="Y79" s="3" t="n">
        <v>283</v>
      </c>
      <c r="AA79" s="3" t="n">
        <v>0.38</v>
      </c>
      <c r="AB79" s="3" t="n">
        <v>11.2</v>
      </c>
      <c r="AC79" s="3" t="n">
        <v>1</v>
      </c>
      <c r="AD79" s="3" t="n">
        <v>2</v>
      </c>
      <c r="AE79" s="3" t="n">
        <v>1</v>
      </c>
      <c r="AF79" s="3" t="n">
        <v>1</v>
      </c>
      <c r="AG79" s="3" t="n">
        <v>2</v>
      </c>
      <c r="AH79" s="3" t="n">
        <v>2</v>
      </c>
      <c r="AI79" s="3" t="n">
        <v>1</v>
      </c>
      <c r="AJ79" s="3" t="n">
        <v>2</v>
      </c>
      <c r="AK79" s="3" t="n">
        <v>2</v>
      </c>
      <c r="AL79" s="3" t="n">
        <v>2</v>
      </c>
      <c r="AM79" s="3" t="n">
        <v>1</v>
      </c>
      <c r="AN79" s="3" t="n">
        <v>2</v>
      </c>
      <c r="AO79" s="3" t="n">
        <v>2</v>
      </c>
      <c r="AP79" s="3" t="n">
        <v>3</v>
      </c>
      <c r="AQ79" s="3" t="n">
        <v>4</v>
      </c>
      <c r="AR79" s="3" t="n">
        <v>4</v>
      </c>
      <c r="AS79" s="3" t="n">
        <v>6</v>
      </c>
      <c r="AT79" s="3" t="n">
        <v>4</v>
      </c>
      <c r="AU79" s="3" t="n">
        <v>4</v>
      </c>
      <c r="AV79" s="3" t="n">
        <v>6</v>
      </c>
      <c r="AW79" s="3" t="n">
        <v>6</v>
      </c>
      <c r="AX79" s="3" t="n">
        <v>3</v>
      </c>
      <c r="AY79" s="3" t="n">
        <v>3</v>
      </c>
      <c r="AZ79" s="3" t="n">
        <v>10</v>
      </c>
      <c r="BA79" s="5" t="n">
        <v>1</v>
      </c>
      <c r="BB79" s="3" t="n">
        <v>1</v>
      </c>
      <c r="BC79" s="3" t="n">
        <v>1</v>
      </c>
      <c r="BD79" s="3" t="n">
        <v>4</v>
      </c>
      <c r="BE79" s="3" t="n">
        <v>2</v>
      </c>
      <c r="BF79" s="3" t="n">
        <v>2</v>
      </c>
      <c r="BG79" s="3" t="n">
        <v>1</v>
      </c>
      <c r="BH79" s="3" t="n">
        <v>4</v>
      </c>
      <c r="BI79" s="3" t="n">
        <v>1</v>
      </c>
      <c r="BJ79" s="3" t="n">
        <v>1</v>
      </c>
    </row>
    <row r="80" customFormat="false" ht="12.75" hidden="false" customHeight="false" outlineLevel="0" collapsed="false">
      <c r="B80" s="2" t="s">
        <v>966</v>
      </c>
      <c r="C80" s="2" t="s">
        <v>1220</v>
      </c>
      <c r="D80" s="2" t="s">
        <v>1221</v>
      </c>
      <c r="E80" s="2" t="n">
        <v>178268</v>
      </c>
      <c r="F80" s="15" t="n">
        <v>43607</v>
      </c>
      <c r="G80" s="15" t="n">
        <v>43614</v>
      </c>
      <c r="H80" s="3" t="n">
        <v>8</v>
      </c>
      <c r="I80" s="3" t="n">
        <v>2</v>
      </c>
      <c r="J80" s="3" t="n">
        <v>56</v>
      </c>
      <c r="K80" s="3" t="n">
        <v>2</v>
      </c>
      <c r="L80" s="3" t="n">
        <v>2</v>
      </c>
      <c r="M80" s="3" t="n">
        <v>2</v>
      </c>
      <c r="N80" s="3" t="n">
        <v>2</v>
      </c>
      <c r="O80" s="3" t="n">
        <v>1</v>
      </c>
      <c r="P80" s="3" t="n">
        <v>2</v>
      </c>
      <c r="Q80" s="3" t="n">
        <v>2</v>
      </c>
      <c r="R80" s="3" t="n">
        <v>2</v>
      </c>
      <c r="S80" s="3" t="n">
        <v>2</v>
      </c>
      <c r="T80" s="4" t="n">
        <v>1</v>
      </c>
      <c r="U80" s="3" t="n">
        <v>2</v>
      </c>
      <c r="V80" s="3" t="n">
        <v>4.32</v>
      </c>
      <c r="W80" s="3" t="n">
        <v>0.92</v>
      </c>
      <c r="X80" s="3" t="n">
        <v>19.29</v>
      </c>
      <c r="Y80" s="3" t="n">
        <v>442</v>
      </c>
      <c r="AA80" s="3" t="n">
        <v>0.43</v>
      </c>
      <c r="AB80" s="3" t="n">
        <v>9.7</v>
      </c>
      <c r="AC80" s="3" t="n">
        <v>2</v>
      </c>
      <c r="AD80" s="3" t="n">
        <v>2</v>
      </c>
      <c r="AE80" s="3" t="n">
        <v>1</v>
      </c>
      <c r="AF80" s="3" t="n">
        <v>1</v>
      </c>
      <c r="AG80" s="3" t="n">
        <v>1</v>
      </c>
      <c r="AH80" s="3" t="n">
        <v>2</v>
      </c>
      <c r="AI80" s="3" t="n">
        <v>1</v>
      </c>
      <c r="AJ80" s="3" t="n">
        <v>2</v>
      </c>
      <c r="AK80" s="3" t="n">
        <v>2</v>
      </c>
      <c r="AL80" s="3" t="n">
        <v>1</v>
      </c>
      <c r="AM80" s="3" t="n">
        <v>2</v>
      </c>
      <c r="AN80" s="3" t="n">
        <v>2</v>
      </c>
      <c r="AO80" s="3" t="n">
        <v>2</v>
      </c>
      <c r="AP80" s="3" t="n">
        <v>3</v>
      </c>
      <c r="AQ80" s="3" t="n">
        <v>4</v>
      </c>
      <c r="AR80" s="3" t="n">
        <v>4</v>
      </c>
      <c r="AS80" s="3" t="n">
        <v>6</v>
      </c>
      <c r="AT80" s="3" t="n">
        <v>4</v>
      </c>
      <c r="AU80" s="3" t="n">
        <v>4</v>
      </c>
      <c r="AV80" s="3" t="n">
        <v>6</v>
      </c>
      <c r="AW80" s="3" t="n">
        <v>6</v>
      </c>
      <c r="AX80" s="3" t="n">
        <v>3</v>
      </c>
      <c r="AY80" s="3" t="n">
        <v>3</v>
      </c>
      <c r="AZ80" s="3" t="n">
        <v>4</v>
      </c>
      <c r="BA80" s="5" t="n">
        <v>1</v>
      </c>
      <c r="BB80" s="3" t="n">
        <v>1</v>
      </c>
      <c r="BC80" s="3" t="n">
        <v>1</v>
      </c>
      <c r="BD80" s="3" t="n">
        <v>2</v>
      </c>
      <c r="BE80" s="3" t="n">
        <v>3</v>
      </c>
      <c r="BF80" s="3" t="n">
        <v>5</v>
      </c>
      <c r="BG80" s="3" t="n">
        <v>3</v>
      </c>
      <c r="BH80" s="3" t="n">
        <v>4</v>
      </c>
      <c r="BI80" s="3" t="n">
        <v>1</v>
      </c>
      <c r="BJ80" s="3" t="n">
        <v>1</v>
      </c>
    </row>
    <row r="81" customFormat="false" ht="12.75" hidden="false" customHeight="false" outlineLevel="0" collapsed="false">
      <c r="B81" s="2" t="s">
        <v>1223</v>
      </c>
      <c r="C81" s="2" t="s">
        <v>1224</v>
      </c>
      <c r="D81" s="2" t="s">
        <v>94</v>
      </c>
      <c r="E81" s="2" t="n">
        <v>178193</v>
      </c>
      <c r="F81" s="15" t="n">
        <v>43611</v>
      </c>
      <c r="G81" s="15" t="n">
        <v>43616</v>
      </c>
      <c r="H81" s="3" t="n">
        <v>5</v>
      </c>
      <c r="I81" s="3" t="n">
        <v>2</v>
      </c>
      <c r="J81" s="3" t="n">
        <v>60</v>
      </c>
      <c r="K81" s="3" t="n">
        <v>2</v>
      </c>
      <c r="L81" s="3" t="n">
        <v>2</v>
      </c>
      <c r="M81" s="3" t="n">
        <v>1</v>
      </c>
      <c r="N81" s="3" t="n">
        <v>2</v>
      </c>
      <c r="O81" s="3" t="n">
        <v>1</v>
      </c>
      <c r="P81" s="3" t="n">
        <v>2</v>
      </c>
      <c r="Q81" s="3" t="n">
        <v>2</v>
      </c>
      <c r="R81" s="3" t="n">
        <v>2</v>
      </c>
      <c r="S81" s="3" t="n">
        <v>2</v>
      </c>
      <c r="T81" s="4" t="n">
        <v>2</v>
      </c>
      <c r="U81" s="3" t="n">
        <v>2</v>
      </c>
      <c r="V81" s="3" t="n">
        <v>5.71</v>
      </c>
      <c r="W81" s="3" t="n">
        <v>1.4</v>
      </c>
      <c r="X81" s="3" t="n">
        <v>7.4</v>
      </c>
      <c r="Y81" s="3" t="n">
        <v>601</v>
      </c>
      <c r="AA81" s="3" t="n">
        <v>0.45</v>
      </c>
      <c r="AB81" s="3" t="n">
        <v>9.9</v>
      </c>
      <c r="AC81" s="3" t="n">
        <v>2</v>
      </c>
      <c r="AD81" s="3" t="n">
        <v>1</v>
      </c>
      <c r="AE81" s="3" t="n">
        <v>1</v>
      </c>
      <c r="AF81" s="3" t="n">
        <v>1</v>
      </c>
      <c r="AG81" s="3" t="n">
        <v>2</v>
      </c>
      <c r="AH81" s="3" t="n">
        <v>1</v>
      </c>
      <c r="AI81" s="3" t="n">
        <v>1</v>
      </c>
      <c r="AJ81" s="3" t="n">
        <v>2</v>
      </c>
      <c r="AK81" s="3" t="n">
        <v>2</v>
      </c>
      <c r="AL81" s="3" t="n">
        <v>2</v>
      </c>
      <c r="AM81" s="3" t="n">
        <v>1</v>
      </c>
      <c r="AN81" s="3" t="n">
        <v>2</v>
      </c>
      <c r="AO81" s="3" t="n">
        <v>2</v>
      </c>
      <c r="AP81" s="3" t="n">
        <v>2</v>
      </c>
      <c r="AQ81" s="3" t="n">
        <v>1</v>
      </c>
      <c r="AR81" s="3" t="n">
        <v>4</v>
      </c>
      <c r="AS81" s="3" t="n">
        <v>6</v>
      </c>
      <c r="AT81" s="3" t="n">
        <v>4</v>
      </c>
      <c r="AU81" s="3" t="n">
        <v>4</v>
      </c>
      <c r="AV81" s="3" t="n">
        <v>1</v>
      </c>
      <c r="AW81" s="3" t="n">
        <v>6</v>
      </c>
      <c r="AX81" s="3" t="n">
        <v>2</v>
      </c>
      <c r="AY81" s="3" t="n">
        <v>1</v>
      </c>
      <c r="AZ81" s="3" t="n">
        <v>1</v>
      </c>
      <c r="BA81" s="5" t="n">
        <v>1</v>
      </c>
      <c r="BB81" s="3" t="n">
        <v>1</v>
      </c>
      <c r="BC81" s="3" t="n">
        <v>1</v>
      </c>
      <c r="BD81" s="3" t="n">
        <v>2</v>
      </c>
      <c r="BE81" s="3" t="n">
        <v>1</v>
      </c>
      <c r="BF81" s="3" t="n">
        <v>2</v>
      </c>
      <c r="BG81" s="3" t="n">
        <v>1</v>
      </c>
      <c r="BH81" s="3" t="n">
        <v>4</v>
      </c>
      <c r="BI81" s="3" t="n">
        <v>1</v>
      </c>
      <c r="BJ81" s="3" t="n">
        <v>1</v>
      </c>
    </row>
    <row r="82" customFormat="false" ht="12.75" hidden="false" customHeight="false" outlineLevel="0" collapsed="false">
      <c r="B82" s="2" t="s">
        <v>1236</v>
      </c>
      <c r="C82" s="2" t="s">
        <v>992</v>
      </c>
      <c r="D82" s="2" t="s">
        <v>1237</v>
      </c>
      <c r="E82" s="2" t="n">
        <v>178587</v>
      </c>
      <c r="F82" s="15" t="n">
        <v>43614</v>
      </c>
      <c r="G82" s="15" t="n">
        <v>43621</v>
      </c>
      <c r="H82" s="3" t="n">
        <v>7</v>
      </c>
      <c r="I82" s="3" t="n">
        <v>1</v>
      </c>
      <c r="J82" s="3" t="n">
        <v>56</v>
      </c>
      <c r="K82" s="3" t="n">
        <v>2</v>
      </c>
      <c r="L82" s="3" t="n">
        <v>1</v>
      </c>
      <c r="M82" s="3" t="n">
        <v>1</v>
      </c>
      <c r="N82" s="3" t="n">
        <v>2</v>
      </c>
      <c r="O82" s="3" t="n">
        <v>2</v>
      </c>
      <c r="P82" s="3" t="n">
        <v>2</v>
      </c>
      <c r="Q82" s="3" t="n">
        <v>2</v>
      </c>
      <c r="R82" s="3" t="n">
        <v>2</v>
      </c>
      <c r="S82" s="3" t="n">
        <v>2</v>
      </c>
      <c r="T82" s="4" t="n">
        <v>2</v>
      </c>
      <c r="U82" s="3" t="n">
        <v>2</v>
      </c>
      <c r="V82" s="3" t="n">
        <v>6.49</v>
      </c>
      <c r="W82" s="3" t="n">
        <v>1.11</v>
      </c>
      <c r="X82" s="3" t="n">
        <v>8.1</v>
      </c>
      <c r="Y82" s="3" t="n">
        <v>283</v>
      </c>
      <c r="AA82" s="3" t="n">
        <v>0.44</v>
      </c>
      <c r="AB82" s="3" t="n">
        <v>11.2</v>
      </c>
      <c r="AC82" s="3"/>
      <c r="AD82" s="3" t="n">
        <v>2</v>
      </c>
      <c r="AE82" s="3" t="n">
        <v>1</v>
      </c>
      <c r="AF82" s="3" t="n">
        <v>1</v>
      </c>
      <c r="AG82" s="3" t="n">
        <v>2</v>
      </c>
      <c r="AH82" s="3" t="n">
        <v>2</v>
      </c>
      <c r="AI82" s="3" t="n">
        <v>1</v>
      </c>
      <c r="AJ82" s="3" t="n">
        <v>2</v>
      </c>
      <c r="AK82" s="3" t="n">
        <v>2</v>
      </c>
      <c r="AL82" s="3" t="n">
        <v>2</v>
      </c>
      <c r="AM82" s="3" t="n">
        <v>2</v>
      </c>
      <c r="AN82" s="3" t="n">
        <v>2</v>
      </c>
      <c r="AO82" s="3" t="n">
        <v>2</v>
      </c>
      <c r="AP82" s="3" t="n">
        <v>3</v>
      </c>
      <c r="AQ82" s="3" t="n">
        <v>4</v>
      </c>
      <c r="AR82" s="3" t="n">
        <v>4</v>
      </c>
      <c r="AS82" s="3" t="n">
        <v>6</v>
      </c>
      <c r="AT82" s="3" t="n">
        <v>4</v>
      </c>
      <c r="AU82" s="3" t="n">
        <v>4</v>
      </c>
      <c r="AV82" s="3" t="n">
        <v>6</v>
      </c>
      <c r="AW82" s="3" t="n">
        <v>6</v>
      </c>
      <c r="AX82" s="3" t="n">
        <v>3</v>
      </c>
      <c r="AY82" s="3" t="n">
        <v>3</v>
      </c>
      <c r="AZ82" s="3" t="n">
        <v>1</v>
      </c>
      <c r="BA82" s="5" t="n">
        <v>1</v>
      </c>
      <c r="BB82" s="3" t="n">
        <v>1</v>
      </c>
      <c r="BC82" s="3" t="n">
        <v>1</v>
      </c>
      <c r="BD82" s="3" t="n">
        <v>4</v>
      </c>
      <c r="BE82" s="3" t="n">
        <v>1</v>
      </c>
      <c r="BF82" s="3" t="n">
        <v>2</v>
      </c>
      <c r="BG82" s="3" t="n">
        <v>2</v>
      </c>
      <c r="BH82" s="3" t="n">
        <v>4</v>
      </c>
      <c r="BI82" s="3" t="n">
        <v>1</v>
      </c>
      <c r="BJ82" s="3" t="n">
        <v>1</v>
      </c>
    </row>
    <row r="83" customFormat="false" ht="12.75" hidden="false" customHeight="false" outlineLevel="0" collapsed="false">
      <c r="B83" s="26" t="s">
        <v>1256</v>
      </c>
      <c r="C83" s="26" t="s">
        <v>1257</v>
      </c>
      <c r="D83" s="26" t="s">
        <v>386</v>
      </c>
      <c r="E83" s="26" t="n">
        <v>178521</v>
      </c>
      <c r="F83" s="27" t="n">
        <v>43612</v>
      </c>
      <c r="G83" s="27" t="n">
        <v>43622</v>
      </c>
      <c r="H83" s="30" t="n">
        <v>10</v>
      </c>
      <c r="I83" s="30" t="n">
        <v>1</v>
      </c>
      <c r="J83" s="30" t="n">
        <v>72</v>
      </c>
      <c r="K83" s="30" t="n">
        <v>1</v>
      </c>
      <c r="L83" s="30" t="n">
        <v>1</v>
      </c>
      <c r="M83" s="30" t="n">
        <v>2</v>
      </c>
      <c r="N83" s="30" t="n">
        <v>2</v>
      </c>
      <c r="O83" s="30" t="n">
        <v>2</v>
      </c>
      <c r="P83" s="30" t="n">
        <v>2</v>
      </c>
      <c r="Q83" s="30" t="n">
        <v>2</v>
      </c>
      <c r="R83" s="30" t="n">
        <v>2</v>
      </c>
      <c r="S83" s="30" t="n">
        <v>2</v>
      </c>
      <c r="T83" s="4" t="n">
        <v>2</v>
      </c>
      <c r="U83" s="30" t="n">
        <v>2</v>
      </c>
      <c r="V83" s="30" t="n">
        <v>4.67</v>
      </c>
      <c r="W83" s="30" t="n">
        <v>2.55</v>
      </c>
      <c r="X83" s="30" t="n">
        <v>7.4</v>
      </c>
      <c r="Y83" s="30" t="n">
        <v>721</v>
      </c>
      <c r="AA83" s="30" t="n">
        <v>0.3</v>
      </c>
      <c r="AB83" s="30" t="n">
        <v>8.2</v>
      </c>
      <c r="AC83" s="30" t="n">
        <v>2</v>
      </c>
      <c r="AD83" s="30" t="n">
        <v>1</v>
      </c>
      <c r="AE83" s="30" t="n">
        <v>1</v>
      </c>
      <c r="AF83" s="30" t="n">
        <v>1</v>
      </c>
      <c r="AG83" s="30" t="n">
        <v>2</v>
      </c>
      <c r="AH83" s="30" t="n">
        <v>2</v>
      </c>
      <c r="AI83" s="30" t="n">
        <v>1</v>
      </c>
      <c r="AJ83" s="30" t="n">
        <v>2</v>
      </c>
      <c r="AK83" s="30" t="n">
        <v>2</v>
      </c>
      <c r="AL83" s="30" t="n">
        <v>2</v>
      </c>
      <c r="AM83" s="30" t="n">
        <v>2</v>
      </c>
      <c r="AN83" s="30" t="n">
        <v>1</v>
      </c>
      <c r="AO83" s="30" t="n">
        <v>2</v>
      </c>
      <c r="AP83" s="30" t="n">
        <v>2</v>
      </c>
      <c r="AQ83" s="30" t="n">
        <v>3</v>
      </c>
      <c r="AR83" s="30" t="n">
        <v>9</v>
      </c>
      <c r="AS83" s="30" t="n">
        <v>5</v>
      </c>
      <c r="AT83" s="30" t="n">
        <v>2</v>
      </c>
      <c r="AU83" s="30" t="n">
        <v>4</v>
      </c>
      <c r="AV83" s="30" t="n">
        <v>2</v>
      </c>
      <c r="AW83" s="30" t="n">
        <v>8</v>
      </c>
      <c r="AX83" s="30" t="n">
        <v>2</v>
      </c>
      <c r="AY83" s="30" t="n">
        <v>1</v>
      </c>
      <c r="AZ83" s="30" t="n">
        <v>6</v>
      </c>
      <c r="BA83" s="5" t="n">
        <v>1</v>
      </c>
      <c r="BB83" s="30" t="n">
        <v>1</v>
      </c>
      <c r="BC83" s="30" t="n">
        <v>2</v>
      </c>
      <c r="BD83" s="30" t="n">
        <v>2</v>
      </c>
      <c r="BE83" s="30" t="n">
        <v>3</v>
      </c>
      <c r="BF83" s="30" t="n">
        <v>5</v>
      </c>
      <c r="BG83" s="30" t="n">
        <v>3</v>
      </c>
      <c r="BH83" s="30" t="n">
        <v>4</v>
      </c>
      <c r="BI83" s="30" t="n">
        <v>1</v>
      </c>
      <c r="BJ83" s="30" t="n">
        <v>1</v>
      </c>
    </row>
    <row r="84" customFormat="false" ht="12.75" hidden="false" customHeight="false" outlineLevel="0" collapsed="false">
      <c r="B84" s="2" t="s">
        <v>278</v>
      </c>
      <c r="C84" s="2" t="s">
        <v>1259</v>
      </c>
      <c r="D84" s="2" t="s">
        <v>298</v>
      </c>
      <c r="E84" s="2" t="n">
        <v>178862</v>
      </c>
      <c r="F84" s="15" t="n">
        <v>43617</v>
      </c>
      <c r="G84" s="15" t="n">
        <v>43623</v>
      </c>
      <c r="H84" s="3" t="n">
        <v>6</v>
      </c>
      <c r="I84" s="3" t="n">
        <v>2</v>
      </c>
      <c r="J84" s="3" t="n">
        <v>79</v>
      </c>
      <c r="K84" s="3" t="n">
        <v>2</v>
      </c>
      <c r="L84" s="3" t="n">
        <v>1</v>
      </c>
      <c r="M84" s="3" t="n">
        <v>2</v>
      </c>
      <c r="N84" s="3" t="n">
        <v>2</v>
      </c>
      <c r="O84" s="3" t="n">
        <v>1</v>
      </c>
      <c r="P84" s="3" t="n">
        <v>2</v>
      </c>
      <c r="Q84" s="3" t="n">
        <v>2</v>
      </c>
      <c r="R84" s="3" t="n">
        <v>2</v>
      </c>
      <c r="S84" s="3" t="n">
        <v>1</v>
      </c>
      <c r="T84" s="4" t="n">
        <v>2</v>
      </c>
      <c r="U84" s="3" t="n">
        <v>1</v>
      </c>
      <c r="V84" s="3"/>
      <c r="W84" s="3" t="s">
        <v>1260</v>
      </c>
      <c r="X84" s="3" t="s">
        <v>1261</v>
      </c>
      <c r="Y84" s="3" t="n">
        <v>374</v>
      </c>
      <c r="AA84" s="3" t="s">
        <v>1262</v>
      </c>
      <c r="AB84" s="3" t="s">
        <v>1263</v>
      </c>
      <c r="AC84" s="3" t="n">
        <v>2</v>
      </c>
      <c r="AD84" s="3" t="n">
        <v>2</v>
      </c>
      <c r="AE84" s="3" t="n">
        <v>1</v>
      </c>
      <c r="AF84" s="3" t="n">
        <v>1</v>
      </c>
      <c r="AG84" s="3" t="n">
        <v>2</v>
      </c>
      <c r="AH84" s="3" t="n">
        <v>1</v>
      </c>
      <c r="AI84" s="3" t="n">
        <v>1</v>
      </c>
      <c r="AJ84" s="3" t="n">
        <v>1</v>
      </c>
      <c r="AK84" s="3" t="n">
        <v>1</v>
      </c>
      <c r="AL84" s="3" t="n">
        <v>2</v>
      </c>
      <c r="AM84" s="3" t="n">
        <v>1</v>
      </c>
      <c r="AN84" s="3" t="n">
        <v>2</v>
      </c>
      <c r="AO84" s="3" t="n">
        <v>2</v>
      </c>
      <c r="AP84" s="3" t="n">
        <v>3</v>
      </c>
      <c r="AQ84" s="3" t="n">
        <v>4</v>
      </c>
      <c r="AR84" s="3" t="n">
        <v>4</v>
      </c>
      <c r="AS84" s="3" t="n">
        <v>6</v>
      </c>
      <c r="AT84" s="3" t="n">
        <v>4</v>
      </c>
      <c r="AU84" s="3" t="n">
        <v>4</v>
      </c>
      <c r="AV84" s="3" t="n">
        <v>6</v>
      </c>
      <c r="AW84" s="3" t="n">
        <v>6</v>
      </c>
      <c r="AX84" s="3" t="n">
        <v>3</v>
      </c>
      <c r="AY84" s="3" t="n">
        <v>3</v>
      </c>
      <c r="AZ84" s="3" t="n">
        <v>1</v>
      </c>
      <c r="BA84" s="5" t="n">
        <v>1</v>
      </c>
      <c r="BB84" s="3" t="n">
        <v>1</v>
      </c>
      <c r="BC84" s="3" t="n">
        <v>1</v>
      </c>
      <c r="BD84" s="3" t="n">
        <v>4</v>
      </c>
      <c r="BE84" s="3" t="n">
        <v>1</v>
      </c>
      <c r="BF84" s="3" t="n">
        <v>2</v>
      </c>
      <c r="BG84" s="3" t="n">
        <v>1</v>
      </c>
      <c r="BH84" s="3" t="n">
        <v>4</v>
      </c>
      <c r="BI84" s="3" t="n">
        <v>1</v>
      </c>
      <c r="BJ84" s="3" t="n">
        <v>1</v>
      </c>
    </row>
    <row r="85" customFormat="false" ht="12.75" hidden="false" customHeight="false" outlineLevel="0" collapsed="false">
      <c r="B85" s="2" t="s">
        <v>543</v>
      </c>
      <c r="C85" s="2" t="s">
        <v>869</v>
      </c>
      <c r="D85" s="2" t="s">
        <v>1243</v>
      </c>
      <c r="E85" s="2" t="n">
        <v>178839</v>
      </c>
      <c r="F85" s="15" t="n">
        <v>43619</v>
      </c>
      <c r="G85" s="15" t="n">
        <v>43626</v>
      </c>
      <c r="H85" s="3" t="n">
        <v>7</v>
      </c>
      <c r="I85" s="3" t="n">
        <v>2</v>
      </c>
      <c r="J85" s="3" t="n">
        <v>56</v>
      </c>
      <c r="K85" s="3" t="n">
        <v>1</v>
      </c>
      <c r="L85" s="3" t="n">
        <v>1</v>
      </c>
      <c r="M85" s="3" t="n">
        <v>1</v>
      </c>
      <c r="N85" s="3" t="n">
        <v>2</v>
      </c>
      <c r="O85" s="3" t="n">
        <v>2</v>
      </c>
      <c r="P85" s="3" t="n">
        <v>2</v>
      </c>
      <c r="Q85" s="3" t="n">
        <v>2</v>
      </c>
      <c r="R85" s="3" t="n">
        <v>2</v>
      </c>
      <c r="S85" s="3" t="n">
        <v>1</v>
      </c>
      <c r="T85" s="4" t="n">
        <v>1</v>
      </c>
      <c r="U85" s="3" t="n">
        <v>2</v>
      </c>
      <c r="V85" s="3" t="s">
        <v>1264</v>
      </c>
      <c r="W85" s="3" t="s">
        <v>1265</v>
      </c>
      <c r="X85" s="3" t="s">
        <v>1266</v>
      </c>
      <c r="Y85" s="3" t="n">
        <v>292</v>
      </c>
      <c r="AA85" s="3" t="s">
        <v>1267</v>
      </c>
      <c r="AB85" s="3" t="s">
        <v>1268</v>
      </c>
      <c r="AC85" s="3"/>
      <c r="AD85" s="3" t="n">
        <v>1</v>
      </c>
      <c r="AE85" s="3" t="n">
        <v>1</v>
      </c>
      <c r="AF85" s="3" t="n">
        <v>1</v>
      </c>
      <c r="AG85" s="3" t="n">
        <v>1</v>
      </c>
      <c r="AH85" s="3" t="n">
        <v>2</v>
      </c>
      <c r="AI85" s="3" t="n">
        <v>2</v>
      </c>
      <c r="AJ85" s="3" t="n">
        <v>1</v>
      </c>
      <c r="AK85" s="3" t="n">
        <v>2</v>
      </c>
      <c r="AL85" s="3" t="n">
        <v>2</v>
      </c>
      <c r="AM85" s="3" t="n">
        <v>2</v>
      </c>
      <c r="AN85" s="3" t="n">
        <v>2</v>
      </c>
      <c r="AO85" s="3" t="n">
        <v>2</v>
      </c>
      <c r="AP85" s="3" t="n">
        <v>3</v>
      </c>
      <c r="AQ85" s="3" t="n">
        <v>4</v>
      </c>
      <c r="AR85" s="3" t="n">
        <v>4</v>
      </c>
      <c r="AS85" s="3" t="n">
        <v>6</v>
      </c>
      <c r="AT85" s="3" t="n">
        <v>4</v>
      </c>
      <c r="AU85" s="3" t="n">
        <v>4</v>
      </c>
      <c r="AV85" s="3" t="n">
        <v>6</v>
      </c>
      <c r="AW85" s="3" t="n">
        <v>6</v>
      </c>
      <c r="AX85" s="3" t="n">
        <v>3</v>
      </c>
      <c r="AY85" s="3" t="n">
        <v>3</v>
      </c>
      <c r="AZ85" s="3" t="n">
        <v>1</v>
      </c>
      <c r="BA85" s="5" t="n">
        <v>1</v>
      </c>
      <c r="BB85" s="3" t="n">
        <v>1</v>
      </c>
      <c r="BC85" s="3" t="n">
        <v>1</v>
      </c>
      <c r="BD85" s="3" t="n">
        <v>4</v>
      </c>
      <c r="BE85" s="3" t="n">
        <v>3</v>
      </c>
      <c r="BF85" s="3" t="n">
        <v>5</v>
      </c>
      <c r="BG85" s="3" t="n">
        <v>3</v>
      </c>
      <c r="BH85" s="3" t="n">
        <v>4</v>
      </c>
      <c r="BI85" s="3" t="n">
        <v>1</v>
      </c>
      <c r="BJ85" s="3" t="n">
        <v>1</v>
      </c>
    </row>
    <row r="86" customFormat="false" ht="12.75" hidden="false" customHeight="false" outlineLevel="0" collapsed="false">
      <c r="B86" s="2" t="s">
        <v>1270</v>
      </c>
      <c r="C86" s="2" t="s">
        <v>95</v>
      </c>
      <c r="D86" s="2" t="s">
        <v>763</v>
      </c>
      <c r="E86" s="2" t="n">
        <v>178592</v>
      </c>
      <c r="F86" s="15" t="n">
        <v>43617</v>
      </c>
      <c r="G86" s="15" t="n">
        <v>43624</v>
      </c>
      <c r="H86" s="3" t="n">
        <v>7</v>
      </c>
      <c r="I86" s="3" t="n">
        <v>2</v>
      </c>
      <c r="J86" s="3" t="n">
        <v>58</v>
      </c>
      <c r="K86" s="3" t="n">
        <v>1</v>
      </c>
      <c r="L86" s="3" t="n">
        <v>1</v>
      </c>
      <c r="M86" s="3" t="n">
        <v>2</v>
      </c>
      <c r="N86" s="3" t="n">
        <v>2</v>
      </c>
      <c r="O86" s="3" t="n">
        <v>2</v>
      </c>
      <c r="P86" s="3" t="n">
        <v>2</v>
      </c>
      <c r="Q86" s="3" t="n">
        <v>2</v>
      </c>
      <c r="R86" s="3" t="n">
        <v>2</v>
      </c>
      <c r="S86" s="3" t="n">
        <v>2</v>
      </c>
      <c r="T86" s="4" t="n">
        <v>2</v>
      </c>
      <c r="U86" s="3" t="n">
        <v>2</v>
      </c>
      <c r="V86" s="3" t="s">
        <v>1271</v>
      </c>
      <c r="W86" s="3" t="s">
        <v>1272</v>
      </c>
      <c r="X86" s="3" t="s">
        <v>1273</v>
      </c>
      <c r="Y86" s="3" t="n">
        <v>167</v>
      </c>
      <c r="AA86" s="3" t="s">
        <v>1274</v>
      </c>
      <c r="AB86" s="3" t="s">
        <v>1275</v>
      </c>
      <c r="AC86" s="3"/>
      <c r="AD86" s="3" t="n">
        <v>2</v>
      </c>
      <c r="AE86" s="3" t="n">
        <v>1</v>
      </c>
      <c r="AF86" s="3" t="n">
        <v>1</v>
      </c>
      <c r="AG86" s="3" t="n">
        <v>2</v>
      </c>
      <c r="AH86" s="3" t="n">
        <v>2</v>
      </c>
      <c r="AI86" s="3" t="n">
        <v>2</v>
      </c>
      <c r="AJ86" s="3" t="n">
        <v>2</v>
      </c>
      <c r="AK86" s="3" t="n">
        <v>2</v>
      </c>
      <c r="AL86" s="3" t="n">
        <v>2</v>
      </c>
      <c r="AM86" s="3" t="n">
        <v>2</v>
      </c>
      <c r="AN86" s="3" t="n">
        <v>2</v>
      </c>
      <c r="AO86" s="3" t="n">
        <v>2</v>
      </c>
      <c r="AP86" s="3" t="n">
        <v>3</v>
      </c>
      <c r="AQ86" s="3" t="n">
        <v>4</v>
      </c>
      <c r="AR86" s="3" t="n">
        <v>4</v>
      </c>
      <c r="AS86" s="3" t="n">
        <v>6</v>
      </c>
      <c r="AT86" s="3" t="n">
        <v>4</v>
      </c>
      <c r="AU86" s="3" t="n">
        <v>4</v>
      </c>
      <c r="AV86" s="3" t="n">
        <v>6</v>
      </c>
      <c r="AW86" s="3" t="n">
        <v>6</v>
      </c>
      <c r="AX86" s="3" t="n">
        <v>3</v>
      </c>
      <c r="AY86" s="3" t="n">
        <v>3</v>
      </c>
      <c r="AZ86" s="3" t="n">
        <v>1</v>
      </c>
      <c r="BA86" s="5" t="n">
        <v>1</v>
      </c>
      <c r="BB86" s="3" t="n">
        <v>1</v>
      </c>
      <c r="BC86" s="3" t="n">
        <v>1</v>
      </c>
      <c r="BD86" s="3" t="n">
        <v>4</v>
      </c>
      <c r="BE86" s="3" t="n">
        <v>1</v>
      </c>
      <c r="BF86" s="3" t="n">
        <v>2</v>
      </c>
      <c r="BG86" s="3" t="n">
        <v>1</v>
      </c>
      <c r="BH86" s="3" t="n">
        <v>4</v>
      </c>
      <c r="BI86" s="3" t="n">
        <v>1</v>
      </c>
      <c r="BJ86" s="3" t="n">
        <v>1</v>
      </c>
    </row>
    <row r="87" customFormat="false" ht="12.75" hidden="false" customHeight="false" outlineLevel="0" collapsed="false">
      <c r="B87" s="2" t="s">
        <v>228</v>
      </c>
      <c r="C87" s="2" t="s">
        <v>127</v>
      </c>
      <c r="D87" s="2" t="s">
        <v>61</v>
      </c>
      <c r="E87" s="2" t="n">
        <v>179609</v>
      </c>
      <c r="F87" s="15" t="n">
        <v>43630</v>
      </c>
      <c r="G87" s="15" t="n">
        <v>43637</v>
      </c>
      <c r="H87" s="3" t="n">
        <v>7</v>
      </c>
      <c r="I87" s="3" t="n">
        <v>2</v>
      </c>
      <c r="J87" s="3" t="n">
        <v>87</v>
      </c>
      <c r="K87" s="3" t="n">
        <v>1</v>
      </c>
      <c r="L87" s="3" t="n">
        <v>2</v>
      </c>
      <c r="M87" s="3" t="n">
        <v>1</v>
      </c>
      <c r="N87" s="3" t="n">
        <v>2</v>
      </c>
      <c r="O87" s="3" t="n">
        <v>2</v>
      </c>
      <c r="P87" s="3" t="n">
        <v>2</v>
      </c>
      <c r="Q87" s="3" t="n">
        <v>2</v>
      </c>
      <c r="R87" s="3" t="n">
        <v>2</v>
      </c>
      <c r="S87" s="3" t="n">
        <v>2</v>
      </c>
      <c r="T87" s="4" t="n">
        <v>2</v>
      </c>
      <c r="U87" s="3" t="n">
        <v>2</v>
      </c>
      <c r="V87" s="3" t="n">
        <v>3.95</v>
      </c>
      <c r="W87" s="3" t="n">
        <v>0.5</v>
      </c>
      <c r="X87" s="3" t="n">
        <v>7.77</v>
      </c>
      <c r="Y87" s="3" t="n">
        <v>428</v>
      </c>
      <c r="AA87" s="3" t="n">
        <v>0.38</v>
      </c>
      <c r="AB87" s="3" t="n">
        <v>10.8</v>
      </c>
      <c r="AC87" s="3" t="n">
        <v>2</v>
      </c>
      <c r="AD87" s="3" t="n">
        <v>2</v>
      </c>
      <c r="AE87" s="3" t="n">
        <v>1</v>
      </c>
      <c r="AF87" s="3" t="n">
        <v>1</v>
      </c>
      <c r="AG87" s="3" t="n">
        <v>2</v>
      </c>
      <c r="AH87" s="3" t="n">
        <v>2</v>
      </c>
      <c r="AI87" s="3" t="n">
        <v>1</v>
      </c>
      <c r="AJ87" s="3" t="n">
        <v>2</v>
      </c>
      <c r="AK87" s="3" t="n">
        <v>2</v>
      </c>
      <c r="AL87" s="3" t="n">
        <v>2</v>
      </c>
      <c r="AM87" s="3" t="n">
        <v>1</v>
      </c>
      <c r="AN87" s="3" t="n">
        <v>1</v>
      </c>
      <c r="AO87" s="3" t="n">
        <v>2</v>
      </c>
      <c r="AP87" s="3" t="n">
        <v>3</v>
      </c>
      <c r="AQ87" s="3" t="n">
        <v>4</v>
      </c>
      <c r="AR87" s="3" t="n">
        <v>4</v>
      </c>
      <c r="AS87" s="3" t="n">
        <v>6</v>
      </c>
      <c r="AT87" s="3" t="n">
        <v>4</v>
      </c>
      <c r="AU87" s="3" t="n">
        <v>4</v>
      </c>
      <c r="AV87" s="3" t="n">
        <v>6</v>
      </c>
      <c r="AW87" s="3" t="n">
        <v>6</v>
      </c>
      <c r="AX87" s="3" t="n">
        <v>3</v>
      </c>
      <c r="AY87" s="3" t="n">
        <v>3</v>
      </c>
      <c r="AZ87" s="3" t="n">
        <v>4</v>
      </c>
      <c r="BA87" s="5" t="n">
        <v>1</v>
      </c>
      <c r="BB87" s="3" t="n">
        <v>1</v>
      </c>
      <c r="BC87" s="3" t="n">
        <v>1</v>
      </c>
      <c r="BD87" s="3" t="n">
        <v>2</v>
      </c>
      <c r="BE87" s="3" t="n">
        <v>1</v>
      </c>
      <c r="BF87" s="3" t="n">
        <v>2</v>
      </c>
      <c r="BG87" s="3" t="n">
        <v>1</v>
      </c>
      <c r="BH87" s="3" t="n">
        <v>4</v>
      </c>
      <c r="BI87" s="3" t="n">
        <v>1</v>
      </c>
      <c r="BJ87" s="3" t="n">
        <v>1</v>
      </c>
    </row>
    <row r="88" customFormat="false" ht="12.75" hidden="false" customHeight="false" outlineLevel="0" collapsed="false">
      <c r="B88" s="2" t="s">
        <v>1311</v>
      </c>
      <c r="C88" s="2" t="s">
        <v>1312</v>
      </c>
      <c r="D88" s="2" t="s">
        <v>197</v>
      </c>
      <c r="E88" s="2" t="n">
        <v>179633</v>
      </c>
      <c r="F88" s="15" t="n">
        <v>43631</v>
      </c>
      <c r="G88" s="15" t="n">
        <v>43640</v>
      </c>
      <c r="H88" s="3" t="n">
        <v>9</v>
      </c>
      <c r="I88" s="3" t="n">
        <v>1</v>
      </c>
      <c r="J88" s="3" t="n">
        <v>62</v>
      </c>
      <c r="K88" s="3" t="n">
        <v>1</v>
      </c>
      <c r="L88" s="3" t="n">
        <v>1</v>
      </c>
      <c r="M88" s="3" t="n">
        <v>1</v>
      </c>
      <c r="N88" s="3" t="n">
        <v>2</v>
      </c>
      <c r="O88" s="3" t="n">
        <v>2</v>
      </c>
      <c r="P88" s="3" t="n">
        <v>2</v>
      </c>
      <c r="Q88" s="3" t="n">
        <v>1</v>
      </c>
      <c r="R88" s="3" t="n">
        <v>2</v>
      </c>
      <c r="S88" s="3" t="n">
        <v>2</v>
      </c>
      <c r="T88" s="4" t="n">
        <v>2</v>
      </c>
      <c r="U88" s="3" t="n">
        <v>2</v>
      </c>
      <c r="V88" s="3" t="n">
        <v>5.93</v>
      </c>
      <c r="W88" s="3" t="n">
        <v>3.87</v>
      </c>
      <c r="X88" s="3" t="n">
        <v>7.72</v>
      </c>
      <c r="Y88" s="3" t="n">
        <v>368</v>
      </c>
      <c r="AA88" s="3" t="n">
        <v>0.46</v>
      </c>
      <c r="AB88" s="3" t="n">
        <v>12.3</v>
      </c>
      <c r="AC88" s="3" t="n">
        <v>2</v>
      </c>
      <c r="AD88" s="3" t="n">
        <v>2</v>
      </c>
      <c r="AE88" s="3" t="n">
        <v>1</v>
      </c>
      <c r="AF88" s="3" t="n">
        <v>1</v>
      </c>
      <c r="AG88" s="3" t="n">
        <v>2</v>
      </c>
      <c r="AH88" s="3" t="n">
        <v>2</v>
      </c>
      <c r="AI88" s="3" t="n">
        <v>1</v>
      </c>
      <c r="AJ88" s="3" t="n">
        <v>2</v>
      </c>
      <c r="AK88" s="3" t="n">
        <v>2</v>
      </c>
      <c r="AL88" s="3" t="n">
        <v>2</v>
      </c>
      <c r="AM88" s="3" t="n">
        <v>1</v>
      </c>
      <c r="AN88" s="3" t="n">
        <v>2</v>
      </c>
      <c r="AO88" s="3" t="n">
        <v>2</v>
      </c>
      <c r="AP88" s="3" t="n">
        <v>3</v>
      </c>
      <c r="AQ88" s="3" t="n">
        <v>4</v>
      </c>
      <c r="AR88" s="3" t="n">
        <v>4</v>
      </c>
      <c r="AS88" s="3" t="n">
        <v>6</v>
      </c>
      <c r="AT88" s="3" t="n">
        <v>4</v>
      </c>
      <c r="AU88" s="3" t="n">
        <v>4</v>
      </c>
      <c r="AV88" s="3" t="n">
        <v>6</v>
      </c>
      <c r="AW88" s="3" t="n">
        <v>6</v>
      </c>
      <c r="AX88" s="3" t="n">
        <v>3</v>
      </c>
      <c r="AY88" s="3" t="n">
        <v>3</v>
      </c>
      <c r="AZ88" s="3" t="n">
        <v>2</v>
      </c>
      <c r="BA88" s="5" t="n">
        <v>1</v>
      </c>
      <c r="BB88" s="3" t="n">
        <v>1</v>
      </c>
      <c r="BC88" s="3" t="n">
        <v>1</v>
      </c>
      <c r="BD88" s="3" t="n">
        <v>2</v>
      </c>
      <c r="BE88" s="3" t="n">
        <v>1</v>
      </c>
      <c r="BF88" s="3" t="n">
        <v>2</v>
      </c>
      <c r="BG88" s="3" t="n">
        <v>1</v>
      </c>
      <c r="BH88" s="3" t="n">
        <v>4</v>
      </c>
      <c r="BI88" s="3" t="n">
        <v>1</v>
      </c>
      <c r="BJ88" s="3" t="n">
        <v>1</v>
      </c>
    </row>
    <row r="89" customFormat="false" ht="12.75" hidden="false" customHeight="false" outlineLevel="0" collapsed="false">
      <c r="B89" s="2" t="s">
        <v>145</v>
      </c>
      <c r="C89" s="2" t="s">
        <v>95</v>
      </c>
      <c r="D89" s="2" t="s">
        <v>127</v>
      </c>
      <c r="E89" s="2" t="n">
        <v>179909</v>
      </c>
      <c r="F89" s="15" t="n">
        <v>43634</v>
      </c>
      <c r="G89" s="15" t="n">
        <v>43641</v>
      </c>
      <c r="H89" s="3" t="n">
        <v>7</v>
      </c>
      <c r="I89" s="3" t="n">
        <v>2</v>
      </c>
      <c r="J89" s="3" t="n">
        <v>76</v>
      </c>
      <c r="K89" s="3" t="n">
        <v>2</v>
      </c>
      <c r="L89" s="3" t="n">
        <v>2</v>
      </c>
      <c r="M89" s="3" t="n">
        <v>1</v>
      </c>
      <c r="N89" s="3" t="n">
        <v>2</v>
      </c>
      <c r="O89" s="3" t="n">
        <v>2</v>
      </c>
      <c r="P89" s="3" t="n">
        <v>2</v>
      </c>
      <c r="Q89" s="3" t="n">
        <v>1</v>
      </c>
      <c r="R89" s="3" t="n">
        <v>2</v>
      </c>
      <c r="S89" s="3" t="n">
        <v>2</v>
      </c>
      <c r="T89" s="4" t="n">
        <v>2</v>
      </c>
      <c r="U89" s="3" t="n">
        <v>2</v>
      </c>
      <c r="V89" s="3" t="n">
        <v>5.86</v>
      </c>
      <c r="W89" s="3" t="n">
        <v>1.97</v>
      </c>
      <c r="X89" s="3" t="n">
        <v>6.16</v>
      </c>
      <c r="Y89" s="3" t="n">
        <v>423</v>
      </c>
      <c r="AA89" s="3" t="n">
        <v>0.4</v>
      </c>
      <c r="AB89" s="3" t="n">
        <v>7.8</v>
      </c>
      <c r="AC89" s="3" t="n">
        <v>2</v>
      </c>
      <c r="AD89" s="3" t="n">
        <v>2</v>
      </c>
      <c r="AE89" s="3" t="n">
        <v>1</v>
      </c>
      <c r="AF89" s="3" t="n">
        <v>1</v>
      </c>
      <c r="AG89" s="3" t="n">
        <v>2</v>
      </c>
      <c r="AH89" s="3" t="n">
        <v>2</v>
      </c>
      <c r="AI89" s="3" t="n">
        <v>1</v>
      </c>
      <c r="AJ89" s="3" t="n">
        <v>2</v>
      </c>
      <c r="AK89" s="3" t="n">
        <v>2</v>
      </c>
      <c r="AL89" s="3" t="n">
        <v>2</v>
      </c>
      <c r="AM89" s="3" t="n">
        <v>2</v>
      </c>
      <c r="AN89" s="3" t="n">
        <v>2</v>
      </c>
      <c r="AO89" s="3" t="n">
        <v>2</v>
      </c>
      <c r="AP89" s="3" t="n">
        <v>3</v>
      </c>
      <c r="AQ89" s="3" t="n">
        <v>4</v>
      </c>
      <c r="AR89" s="3" t="n">
        <v>4</v>
      </c>
      <c r="AS89" s="3" t="n">
        <v>6</v>
      </c>
      <c r="AT89" s="3" t="n">
        <v>4</v>
      </c>
      <c r="AU89" s="3" t="n">
        <v>4</v>
      </c>
      <c r="AV89" s="3" t="n">
        <v>6</v>
      </c>
      <c r="AW89" s="3" t="n">
        <v>6</v>
      </c>
      <c r="AX89" s="3" t="n">
        <v>3</v>
      </c>
      <c r="AY89" s="3" t="n">
        <v>3</v>
      </c>
      <c r="AZ89" s="3" t="n">
        <v>1</v>
      </c>
      <c r="BA89" s="5" t="n">
        <v>1</v>
      </c>
      <c r="BB89" s="3" t="n">
        <v>1</v>
      </c>
      <c r="BC89" s="3" t="n">
        <v>1</v>
      </c>
      <c r="BD89" s="3" t="n">
        <v>2</v>
      </c>
      <c r="BE89" s="3" t="n">
        <v>1</v>
      </c>
      <c r="BF89" s="3" t="n">
        <v>2</v>
      </c>
      <c r="BG89" s="3" t="n">
        <v>1</v>
      </c>
      <c r="BH89" s="3" t="n">
        <v>4</v>
      </c>
      <c r="BI89" s="3" t="n">
        <v>1</v>
      </c>
      <c r="BJ89" s="3" t="n">
        <v>1</v>
      </c>
    </row>
    <row r="90" customFormat="false" ht="12.75" hidden="false" customHeight="false" outlineLevel="0" collapsed="false">
      <c r="B90" s="2" t="s">
        <v>278</v>
      </c>
      <c r="C90" s="2" t="s">
        <v>118</v>
      </c>
      <c r="D90" s="2" t="s">
        <v>433</v>
      </c>
      <c r="E90" s="2" t="n">
        <v>179924</v>
      </c>
      <c r="F90" s="15" t="n">
        <v>43635</v>
      </c>
      <c r="G90" s="15" t="n">
        <v>43642</v>
      </c>
      <c r="H90" s="3" t="n">
        <v>7</v>
      </c>
      <c r="I90" s="3" t="n">
        <v>2</v>
      </c>
      <c r="J90" s="3" t="n">
        <v>70</v>
      </c>
      <c r="K90" s="3" t="n">
        <v>1</v>
      </c>
      <c r="L90" s="3" t="n">
        <v>2</v>
      </c>
      <c r="M90" s="3" t="n">
        <v>1</v>
      </c>
      <c r="N90" s="3" t="n">
        <v>2</v>
      </c>
      <c r="O90" s="3" t="n">
        <v>2</v>
      </c>
      <c r="P90" s="3" t="n">
        <v>2</v>
      </c>
      <c r="Q90" s="3" t="n">
        <v>2</v>
      </c>
      <c r="R90" s="3" t="n">
        <v>2</v>
      </c>
      <c r="S90" s="3" t="n">
        <v>2</v>
      </c>
      <c r="T90" s="4" t="n">
        <v>2</v>
      </c>
      <c r="U90" s="3" t="n">
        <v>2</v>
      </c>
      <c r="V90" s="3" t="n">
        <v>3.89</v>
      </c>
      <c r="W90" s="3" t="s">
        <v>1324</v>
      </c>
      <c r="X90" s="3" t="n">
        <v>5.55</v>
      </c>
      <c r="Y90" s="3" t="n">
        <v>422</v>
      </c>
      <c r="AA90" s="3" t="n">
        <v>0.38</v>
      </c>
      <c r="AB90" s="3" t="n">
        <v>12.6</v>
      </c>
      <c r="AC90" s="3"/>
      <c r="AD90" s="3" t="n">
        <v>1</v>
      </c>
      <c r="AE90" s="3" t="n">
        <v>1</v>
      </c>
      <c r="AF90" s="3" t="n">
        <v>1</v>
      </c>
      <c r="AG90" s="3" t="n">
        <v>1</v>
      </c>
      <c r="AH90" s="3" t="n">
        <v>2</v>
      </c>
      <c r="AI90" s="3" t="n">
        <v>1</v>
      </c>
      <c r="AJ90" s="3" t="n">
        <v>2</v>
      </c>
      <c r="AK90" s="3" t="n">
        <v>2</v>
      </c>
      <c r="AL90" s="3" t="n">
        <v>2</v>
      </c>
      <c r="AM90" s="3" t="n">
        <v>2</v>
      </c>
      <c r="AN90" s="3" t="n">
        <v>2</v>
      </c>
      <c r="AO90" s="3" t="n">
        <v>2</v>
      </c>
      <c r="AP90" s="3" t="n">
        <v>3</v>
      </c>
      <c r="AQ90" s="3" t="n">
        <v>4</v>
      </c>
      <c r="AR90" s="3" t="n">
        <v>4</v>
      </c>
      <c r="AS90" s="3" t="n">
        <v>6</v>
      </c>
      <c r="AT90" s="3" t="n">
        <v>4</v>
      </c>
      <c r="AU90" s="3" t="n">
        <v>4</v>
      </c>
      <c r="AV90" s="3" t="n">
        <v>6</v>
      </c>
      <c r="AW90" s="3" t="n">
        <v>6</v>
      </c>
      <c r="AX90" s="3" t="n">
        <v>3</v>
      </c>
      <c r="AY90" s="3" t="n">
        <v>3</v>
      </c>
      <c r="AZ90" s="3" t="n">
        <v>1</v>
      </c>
      <c r="BA90" s="5" t="n">
        <v>1</v>
      </c>
      <c r="BB90" s="3" t="n">
        <v>1</v>
      </c>
      <c r="BC90" s="3" t="n">
        <v>1</v>
      </c>
      <c r="BD90" s="3" t="n">
        <v>2</v>
      </c>
      <c r="BE90" s="3" t="n">
        <v>1</v>
      </c>
      <c r="BF90" s="3" t="n">
        <v>2</v>
      </c>
      <c r="BG90" s="3" t="n">
        <v>1</v>
      </c>
      <c r="BH90" s="3" t="n">
        <v>4</v>
      </c>
      <c r="BI90" s="3" t="n">
        <v>1</v>
      </c>
      <c r="BJ90" s="3" t="n">
        <v>1</v>
      </c>
    </row>
    <row r="91" customFormat="false" ht="12.75" hidden="false" customHeight="false" outlineLevel="0" collapsed="false">
      <c r="B91" s="2" t="s">
        <v>187</v>
      </c>
      <c r="C91" s="2" t="s">
        <v>1330</v>
      </c>
      <c r="D91" s="2" t="s">
        <v>198</v>
      </c>
      <c r="E91" s="2" t="n">
        <v>179970</v>
      </c>
      <c r="F91" s="15" t="n">
        <v>43636</v>
      </c>
      <c r="G91" s="15" t="n">
        <v>43643</v>
      </c>
      <c r="H91" s="3" t="n">
        <v>7</v>
      </c>
      <c r="I91" s="3" t="n">
        <v>2</v>
      </c>
      <c r="J91" s="3" t="n">
        <v>42</v>
      </c>
      <c r="K91" s="3" t="n">
        <v>1</v>
      </c>
      <c r="L91" s="3" t="n">
        <v>2</v>
      </c>
      <c r="M91" s="3" t="n">
        <v>1</v>
      </c>
      <c r="N91" s="3" t="n">
        <v>2</v>
      </c>
      <c r="O91" s="3" t="n">
        <v>2</v>
      </c>
      <c r="P91" s="3" t="n">
        <v>2</v>
      </c>
      <c r="Q91" s="3" t="n">
        <v>2</v>
      </c>
      <c r="R91" s="3" t="n">
        <v>2</v>
      </c>
      <c r="S91" s="3" t="n">
        <v>1</v>
      </c>
      <c r="T91" s="4" t="n">
        <v>2</v>
      </c>
      <c r="U91" s="3" t="n">
        <v>2</v>
      </c>
      <c r="V91" s="3" t="n">
        <v>5.04</v>
      </c>
      <c r="W91" s="3" t="n">
        <v>2.77</v>
      </c>
      <c r="X91" s="3" t="n">
        <v>7.7</v>
      </c>
      <c r="Y91" s="3" t="n">
        <v>340</v>
      </c>
      <c r="AA91" s="3" t="n">
        <v>0.45</v>
      </c>
      <c r="AB91" s="3" t="n">
        <v>13</v>
      </c>
      <c r="AC91" s="3" t="n">
        <v>1</v>
      </c>
      <c r="AD91" s="3" t="n">
        <v>2</v>
      </c>
      <c r="AE91" s="3" t="n">
        <v>1</v>
      </c>
      <c r="AF91" s="3" t="n">
        <v>1</v>
      </c>
      <c r="AG91" s="3" t="n">
        <v>2</v>
      </c>
      <c r="AH91" s="3" t="n">
        <v>1</v>
      </c>
      <c r="AI91" s="3" t="n">
        <v>1</v>
      </c>
      <c r="AJ91" s="3" t="n">
        <v>1</v>
      </c>
      <c r="AK91" s="3" t="n">
        <v>2</v>
      </c>
      <c r="AL91" s="3" t="n">
        <v>2</v>
      </c>
      <c r="AM91" s="3" t="n">
        <v>2</v>
      </c>
      <c r="AN91" s="3" t="n">
        <v>2</v>
      </c>
      <c r="AO91" s="3" t="n">
        <v>2</v>
      </c>
      <c r="AP91" s="3" t="n">
        <v>3</v>
      </c>
      <c r="AQ91" s="3" t="n">
        <v>4</v>
      </c>
      <c r="AR91" s="3" t="n">
        <v>4</v>
      </c>
      <c r="AS91" s="3" t="n">
        <v>6</v>
      </c>
      <c r="AT91" s="3" t="n">
        <v>4</v>
      </c>
      <c r="AU91" s="3" t="n">
        <v>4</v>
      </c>
      <c r="AV91" s="3" t="n">
        <v>6</v>
      </c>
      <c r="AW91" s="3" t="n">
        <v>6</v>
      </c>
      <c r="AX91" s="3" t="n">
        <v>3</v>
      </c>
      <c r="AY91" s="3" t="n">
        <v>3</v>
      </c>
      <c r="AZ91" s="3" t="n">
        <v>1</v>
      </c>
      <c r="BA91" s="5" t="n">
        <v>1</v>
      </c>
      <c r="BB91" s="3" t="n">
        <v>1</v>
      </c>
      <c r="BC91" s="3" t="n">
        <v>1</v>
      </c>
      <c r="BD91" s="3" t="n">
        <v>2</v>
      </c>
      <c r="BE91" s="3" t="n">
        <v>1</v>
      </c>
      <c r="BF91" s="3" t="n">
        <v>3</v>
      </c>
      <c r="BG91" s="3" t="n">
        <v>1</v>
      </c>
      <c r="BH91" s="3" t="n">
        <v>4</v>
      </c>
      <c r="BI91" s="3" t="n">
        <v>1</v>
      </c>
      <c r="BJ91" s="3" t="n">
        <v>1</v>
      </c>
    </row>
    <row r="92" customFormat="false" ht="12.75" hidden="false" customHeight="false" outlineLevel="0" collapsed="false">
      <c r="B92" s="2" t="s">
        <v>180</v>
      </c>
      <c r="C92" s="2" t="s">
        <v>684</v>
      </c>
      <c r="D92" s="2" t="s">
        <v>685</v>
      </c>
      <c r="E92" s="2" t="n">
        <v>180341</v>
      </c>
      <c r="F92" s="15" t="n">
        <v>43640</v>
      </c>
      <c r="G92" s="15" t="n">
        <v>43647</v>
      </c>
      <c r="H92" s="3" t="n">
        <v>7</v>
      </c>
      <c r="I92" s="3" t="n">
        <v>2</v>
      </c>
      <c r="J92" s="3" t="n">
        <v>55</v>
      </c>
      <c r="K92" s="3" t="n">
        <v>1</v>
      </c>
      <c r="L92" s="3" t="n">
        <v>1</v>
      </c>
      <c r="M92" s="3" t="n">
        <v>2</v>
      </c>
      <c r="N92" s="3" t="n">
        <v>2</v>
      </c>
      <c r="O92" s="3" t="n">
        <v>2</v>
      </c>
      <c r="P92" s="3" t="n">
        <v>1</v>
      </c>
      <c r="Q92" s="3" t="n">
        <v>2</v>
      </c>
      <c r="R92" s="3" t="n">
        <v>2</v>
      </c>
      <c r="S92" s="3" t="n">
        <v>2</v>
      </c>
      <c r="T92" s="4" t="n">
        <v>2</v>
      </c>
      <c r="U92" s="3" t="n">
        <v>2</v>
      </c>
      <c r="V92" s="3" t="n">
        <v>4.9</v>
      </c>
      <c r="W92" s="3" t="n">
        <v>2.19</v>
      </c>
      <c r="X92" s="3" t="n">
        <v>5.1</v>
      </c>
      <c r="Y92" s="3" t="n">
        <v>397</v>
      </c>
      <c r="AA92" s="3" t="n">
        <v>0.48</v>
      </c>
      <c r="AB92" s="3" t="n">
        <v>12.3</v>
      </c>
      <c r="AC92" s="3" t="n">
        <v>1</v>
      </c>
      <c r="AD92" s="3" t="n">
        <v>2</v>
      </c>
      <c r="AE92" s="3" t="n">
        <v>1</v>
      </c>
      <c r="AF92" s="3" t="n">
        <v>1</v>
      </c>
      <c r="AG92" s="3" t="n">
        <v>2</v>
      </c>
      <c r="AH92" s="3" t="n">
        <v>2</v>
      </c>
      <c r="AI92" s="3" t="n">
        <v>1</v>
      </c>
      <c r="AJ92" s="3" t="n">
        <v>2</v>
      </c>
      <c r="AK92" s="3" t="n">
        <v>2</v>
      </c>
      <c r="AL92" s="3" t="n">
        <v>2</v>
      </c>
      <c r="AM92" s="3" t="n">
        <v>2</v>
      </c>
      <c r="AN92" s="3" t="n">
        <v>2</v>
      </c>
      <c r="AO92" s="3" t="n">
        <v>2</v>
      </c>
      <c r="AP92" s="3" t="n">
        <v>3</v>
      </c>
      <c r="AQ92" s="3" t="n">
        <v>4</v>
      </c>
      <c r="AR92" s="3" t="n">
        <v>4</v>
      </c>
      <c r="AS92" s="3" t="n">
        <v>6</v>
      </c>
      <c r="AT92" s="3" t="n">
        <v>4</v>
      </c>
      <c r="AU92" s="3" t="n">
        <v>4</v>
      </c>
      <c r="AV92" s="3" t="n">
        <v>6</v>
      </c>
      <c r="AW92" s="3" t="n">
        <v>6</v>
      </c>
      <c r="AX92" s="3" t="n">
        <v>3</v>
      </c>
      <c r="AY92" s="3" t="n">
        <v>3</v>
      </c>
      <c r="AZ92" s="3" t="n">
        <v>1</v>
      </c>
      <c r="BA92" s="5" t="n">
        <v>1</v>
      </c>
      <c r="BB92" s="3" t="n">
        <v>1</v>
      </c>
      <c r="BC92" s="3" t="n">
        <v>1</v>
      </c>
      <c r="BD92" s="3" t="n">
        <v>4</v>
      </c>
      <c r="BE92" s="3" t="n">
        <v>1</v>
      </c>
      <c r="BF92" s="3" t="n">
        <v>2</v>
      </c>
      <c r="BG92" s="3" t="n">
        <v>1</v>
      </c>
      <c r="BH92" s="3" t="n">
        <v>4</v>
      </c>
      <c r="BI92" s="3" t="n">
        <v>1</v>
      </c>
      <c r="BJ92" s="3" t="n">
        <v>1</v>
      </c>
    </row>
    <row r="93" customFormat="false" ht="12.75" hidden="false" customHeight="false" outlineLevel="0" collapsed="false">
      <c r="B93" s="2" t="s">
        <v>442</v>
      </c>
      <c r="C93" s="2" t="s">
        <v>999</v>
      </c>
      <c r="D93" s="2" t="s">
        <v>94</v>
      </c>
      <c r="E93" s="2" t="n">
        <v>180523</v>
      </c>
      <c r="F93" s="15" t="n">
        <v>43643</v>
      </c>
      <c r="G93" s="15" t="n">
        <v>43650</v>
      </c>
      <c r="H93" s="3" t="n">
        <v>7</v>
      </c>
      <c r="I93" s="3" t="n">
        <v>2</v>
      </c>
      <c r="J93" s="3" t="n">
        <v>65</v>
      </c>
      <c r="K93" s="3" t="n">
        <v>1</v>
      </c>
      <c r="L93" s="3" t="n">
        <v>1</v>
      </c>
      <c r="M93" s="3" t="n">
        <v>1</v>
      </c>
      <c r="N93" s="3" t="n">
        <v>2</v>
      </c>
      <c r="O93" s="3" t="n">
        <v>1</v>
      </c>
      <c r="P93" s="3" t="n">
        <v>2</v>
      </c>
      <c r="Q93" s="3" t="n">
        <v>2</v>
      </c>
      <c r="R93" s="3" t="n">
        <v>2</v>
      </c>
      <c r="S93" s="3" t="n">
        <v>2</v>
      </c>
      <c r="T93" s="4" t="n">
        <v>2</v>
      </c>
      <c r="U93" s="3" t="n">
        <v>2</v>
      </c>
      <c r="V93" s="3" t="n">
        <v>5.48</v>
      </c>
      <c r="W93" s="3" t="n">
        <v>2.33</v>
      </c>
      <c r="X93" s="3" t="n">
        <v>5.5</v>
      </c>
      <c r="Y93" s="3" t="n">
        <v>392</v>
      </c>
      <c r="AA93" s="3" t="n">
        <v>0.47</v>
      </c>
      <c r="AB93" s="3" t="n">
        <v>11.8</v>
      </c>
      <c r="AC93" s="3"/>
      <c r="AD93" s="3" t="n">
        <v>2</v>
      </c>
      <c r="AE93" s="3" t="n">
        <v>1</v>
      </c>
      <c r="AF93" s="3" t="n">
        <v>1</v>
      </c>
      <c r="AG93" s="3" t="n">
        <v>2</v>
      </c>
      <c r="AH93" s="3" t="n">
        <v>2</v>
      </c>
      <c r="AI93" s="3" t="n">
        <v>1</v>
      </c>
      <c r="AJ93" s="3" t="n">
        <v>2</v>
      </c>
      <c r="AK93" s="3" t="n">
        <v>2</v>
      </c>
      <c r="AL93" s="3" t="n">
        <v>2</v>
      </c>
      <c r="AM93" s="3" t="n">
        <v>2</v>
      </c>
      <c r="AN93" s="3" t="n">
        <v>2</v>
      </c>
      <c r="AO93" s="3" t="n">
        <v>2</v>
      </c>
      <c r="AP93" s="3" t="n">
        <v>3</v>
      </c>
      <c r="AQ93" s="3" t="n">
        <v>4</v>
      </c>
      <c r="AR93" s="3" t="n">
        <v>4</v>
      </c>
      <c r="AS93" s="3" t="n">
        <v>6</v>
      </c>
      <c r="AT93" s="3" t="n">
        <v>4</v>
      </c>
      <c r="AU93" s="3" t="n">
        <v>4</v>
      </c>
      <c r="AV93" s="3" t="n">
        <v>6</v>
      </c>
      <c r="AW93" s="3" t="n">
        <v>6</v>
      </c>
      <c r="AX93" s="3" t="n">
        <v>3</v>
      </c>
      <c r="AY93" s="3" t="n">
        <v>3</v>
      </c>
      <c r="AZ93" s="3" t="n">
        <v>1</v>
      </c>
      <c r="BA93" s="5" t="n">
        <v>1</v>
      </c>
      <c r="BB93" s="3" t="n">
        <v>1</v>
      </c>
      <c r="BC93" s="3" t="n">
        <v>1</v>
      </c>
      <c r="BD93" s="3" t="n">
        <v>4</v>
      </c>
      <c r="BE93" s="3" t="n">
        <v>1</v>
      </c>
      <c r="BF93" s="3" t="n">
        <v>2</v>
      </c>
      <c r="BG93" s="3" t="n">
        <v>1</v>
      </c>
      <c r="BH93" s="3" t="n">
        <v>4</v>
      </c>
      <c r="BI93" s="3" t="n">
        <v>1</v>
      </c>
      <c r="BJ93" s="3" t="n">
        <v>1</v>
      </c>
    </row>
    <row r="94" customFormat="false" ht="12.75" hidden="false" customHeight="false" outlineLevel="0" collapsed="false">
      <c r="B94" s="2" t="s">
        <v>352</v>
      </c>
      <c r="C94" s="2" t="s">
        <v>1348</v>
      </c>
      <c r="D94" s="2" t="s">
        <v>999</v>
      </c>
      <c r="E94" s="2" t="n">
        <v>180736</v>
      </c>
      <c r="F94" s="15" t="n">
        <v>43647</v>
      </c>
      <c r="G94" s="15" t="n">
        <v>43654</v>
      </c>
      <c r="H94" s="3" t="n">
        <v>7</v>
      </c>
      <c r="I94" s="3" t="n">
        <v>2</v>
      </c>
      <c r="J94" s="3" t="n">
        <v>81</v>
      </c>
      <c r="K94" s="3" t="n">
        <v>1</v>
      </c>
      <c r="L94" s="3" t="n">
        <v>2</v>
      </c>
      <c r="M94" s="3" t="n">
        <v>1</v>
      </c>
      <c r="N94" s="3" t="n">
        <v>1</v>
      </c>
      <c r="O94" s="3" t="n">
        <v>2</v>
      </c>
      <c r="P94" s="3" t="n">
        <v>2</v>
      </c>
      <c r="Q94" s="3" t="n">
        <v>1</v>
      </c>
      <c r="R94" s="3" t="n">
        <v>2</v>
      </c>
      <c r="S94" s="3" t="n">
        <v>2</v>
      </c>
      <c r="T94" s="4" t="n">
        <v>2</v>
      </c>
      <c r="U94" s="3" t="n">
        <v>2</v>
      </c>
      <c r="V94" s="3" t="n">
        <v>2.39</v>
      </c>
      <c r="W94" s="3" t="n">
        <v>0.61</v>
      </c>
      <c r="X94" s="3" t="n">
        <v>10.14</v>
      </c>
      <c r="Y94" s="3" t="n">
        <v>312</v>
      </c>
      <c r="AA94" s="3" t="n">
        <v>6.35</v>
      </c>
      <c r="AB94" s="3" t="n">
        <v>6</v>
      </c>
      <c r="AC94" s="3"/>
      <c r="AD94" s="3" t="n">
        <v>1</v>
      </c>
      <c r="AE94" s="3" t="n">
        <v>1</v>
      </c>
      <c r="AF94" s="3" t="n">
        <v>1</v>
      </c>
      <c r="AG94" s="3" t="n">
        <v>2</v>
      </c>
      <c r="AH94" s="3" t="n">
        <v>2</v>
      </c>
      <c r="AI94" s="3" t="n">
        <v>1</v>
      </c>
      <c r="AJ94" s="3" t="n">
        <v>2</v>
      </c>
      <c r="AK94" s="3" t="n">
        <v>2</v>
      </c>
      <c r="AL94" s="3" t="n">
        <v>2</v>
      </c>
      <c r="AM94" s="3" t="n">
        <v>2</v>
      </c>
      <c r="AN94" s="3" t="n">
        <v>2</v>
      </c>
      <c r="AO94" s="3" t="n">
        <v>2</v>
      </c>
      <c r="AP94" s="3" t="n">
        <v>3</v>
      </c>
      <c r="AQ94" s="3" t="n">
        <v>4</v>
      </c>
      <c r="AR94" s="3" t="n">
        <v>4</v>
      </c>
      <c r="AS94" s="3" t="n">
        <v>6</v>
      </c>
      <c r="AT94" s="3" t="n">
        <v>4</v>
      </c>
      <c r="AU94" s="3" t="n">
        <v>4</v>
      </c>
      <c r="AV94" s="3" t="n">
        <v>6</v>
      </c>
      <c r="AW94" s="3" t="n">
        <v>6</v>
      </c>
      <c r="AX94" s="3" t="n">
        <v>3</v>
      </c>
      <c r="AY94" s="3" t="n">
        <v>3</v>
      </c>
      <c r="AZ94" s="3" t="n">
        <v>1</v>
      </c>
      <c r="BA94" s="5" t="n">
        <v>1</v>
      </c>
      <c r="BB94" s="3" t="n">
        <v>1</v>
      </c>
      <c r="BC94" s="3" t="n">
        <v>1</v>
      </c>
      <c r="BD94" s="3" t="n">
        <v>4</v>
      </c>
      <c r="BE94" s="3" t="n">
        <v>3</v>
      </c>
      <c r="BF94" s="3" t="n">
        <v>5</v>
      </c>
      <c r="BG94" s="3" t="n">
        <v>3</v>
      </c>
      <c r="BH94" s="3" t="n">
        <v>4</v>
      </c>
      <c r="BI94" s="3" t="n">
        <v>1</v>
      </c>
      <c r="BJ94" s="3" t="n">
        <v>1</v>
      </c>
    </row>
    <row r="95" customFormat="false" ht="12.75" hidden="false" customHeight="false" outlineLevel="0" collapsed="false">
      <c r="B95" s="2" t="s">
        <v>1350</v>
      </c>
      <c r="C95" s="2" t="s">
        <v>127</v>
      </c>
      <c r="D95" s="2" t="s">
        <v>802</v>
      </c>
      <c r="E95" s="2" t="n">
        <v>180565</v>
      </c>
      <c r="F95" s="15" t="n">
        <v>43644</v>
      </c>
      <c r="G95" s="15" t="n">
        <v>43655</v>
      </c>
      <c r="H95" s="3" t="n">
        <v>11</v>
      </c>
      <c r="I95" s="3" t="n">
        <v>1</v>
      </c>
      <c r="J95" s="3" t="n">
        <v>76</v>
      </c>
      <c r="K95" s="3" t="n">
        <v>1</v>
      </c>
      <c r="L95" s="3" t="n">
        <v>2</v>
      </c>
      <c r="M95" s="3" t="n">
        <v>1</v>
      </c>
      <c r="N95" s="3" t="n">
        <v>2</v>
      </c>
      <c r="O95" s="3" t="n">
        <v>2</v>
      </c>
      <c r="P95" s="3" t="n">
        <v>2</v>
      </c>
      <c r="Q95" s="3" t="n">
        <v>1</v>
      </c>
      <c r="R95" s="3" t="n">
        <v>2</v>
      </c>
      <c r="S95" s="3" t="n">
        <v>2</v>
      </c>
      <c r="T95" s="4" t="n">
        <v>1</v>
      </c>
      <c r="U95" s="3" t="n">
        <v>1</v>
      </c>
      <c r="V95" s="3" t="n">
        <v>5.82</v>
      </c>
      <c r="W95" s="3" t="n">
        <v>2.32</v>
      </c>
      <c r="X95" s="3"/>
      <c r="Y95" s="3" t="n">
        <v>480</v>
      </c>
      <c r="AA95" s="3" t="n">
        <v>0.48</v>
      </c>
      <c r="AB95" s="3" t="n">
        <v>13.8</v>
      </c>
      <c r="AC95" s="3" t="n">
        <v>1</v>
      </c>
      <c r="AD95" s="3" t="n">
        <v>1</v>
      </c>
      <c r="AE95" s="3" t="n">
        <v>1</v>
      </c>
      <c r="AF95" s="3" t="n">
        <v>1</v>
      </c>
      <c r="AG95" s="3" t="n">
        <v>1</v>
      </c>
      <c r="AH95" s="3" t="n">
        <v>2</v>
      </c>
      <c r="AI95" s="3" t="n">
        <v>1</v>
      </c>
      <c r="AJ95" s="3" t="n">
        <v>2</v>
      </c>
      <c r="AK95" s="3" t="n">
        <v>2</v>
      </c>
      <c r="AL95" s="3" t="n">
        <v>2</v>
      </c>
      <c r="AM95" s="3" t="n">
        <v>2</v>
      </c>
      <c r="AN95" s="3" t="n">
        <v>2</v>
      </c>
      <c r="AO95" s="3" t="n">
        <v>2</v>
      </c>
      <c r="AP95" s="3" t="n">
        <v>3</v>
      </c>
      <c r="AQ95" s="3" t="n">
        <v>4</v>
      </c>
      <c r="AR95" s="3" t="n">
        <v>4</v>
      </c>
      <c r="AS95" s="3" t="n">
        <v>6</v>
      </c>
      <c r="AT95" s="3" t="n">
        <v>4</v>
      </c>
      <c r="AU95" s="3" t="n">
        <v>4</v>
      </c>
      <c r="AV95" s="3" t="n">
        <v>6</v>
      </c>
      <c r="AW95" s="3" t="n">
        <v>6</v>
      </c>
      <c r="AX95" s="3" t="n">
        <v>3</v>
      </c>
      <c r="AY95" s="3" t="n">
        <v>3</v>
      </c>
      <c r="AZ95" s="3" t="n">
        <v>13</v>
      </c>
      <c r="BA95" s="5" t="n">
        <v>1</v>
      </c>
      <c r="BB95" s="3" t="n">
        <v>1</v>
      </c>
      <c r="BC95" s="3" t="n">
        <v>1</v>
      </c>
      <c r="BD95" s="3" t="n">
        <v>4</v>
      </c>
      <c r="BE95" s="3" t="n">
        <v>1</v>
      </c>
      <c r="BF95" s="3" t="n">
        <v>1</v>
      </c>
      <c r="BG95" s="3" t="n">
        <v>1</v>
      </c>
      <c r="BH95" s="3" t="n">
        <v>4</v>
      </c>
      <c r="BI95" s="3" t="n">
        <v>1</v>
      </c>
      <c r="BJ95" s="3" t="n">
        <v>1</v>
      </c>
    </row>
    <row r="96" customFormat="false" ht="12.75" hidden="false" customHeight="false" outlineLevel="0" collapsed="false">
      <c r="B96" s="2" t="s">
        <v>1352</v>
      </c>
      <c r="C96" s="2" t="s">
        <v>428</v>
      </c>
      <c r="D96" s="2" t="s">
        <v>78</v>
      </c>
      <c r="E96" s="2" t="n">
        <v>180951</v>
      </c>
      <c r="F96" s="15" t="n">
        <v>43651</v>
      </c>
      <c r="G96" s="15" t="n">
        <v>43658</v>
      </c>
      <c r="H96" s="3" t="n">
        <v>7</v>
      </c>
      <c r="I96" s="3" t="n">
        <v>2</v>
      </c>
      <c r="J96" s="3" t="n">
        <v>44</v>
      </c>
      <c r="K96" s="3" t="n">
        <v>1</v>
      </c>
      <c r="L96" s="3" t="n">
        <v>1</v>
      </c>
      <c r="M96" s="3" t="n">
        <v>1</v>
      </c>
      <c r="N96" s="3" t="n">
        <v>2</v>
      </c>
      <c r="O96" s="3" t="n">
        <v>2</v>
      </c>
      <c r="P96" s="3" t="n">
        <v>2</v>
      </c>
      <c r="Q96" s="3" t="n">
        <v>2</v>
      </c>
      <c r="R96" s="3" t="n">
        <v>2</v>
      </c>
      <c r="S96" s="3" t="n">
        <v>2</v>
      </c>
      <c r="T96" s="4" t="n">
        <v>2</v>
      </c>
      <c r="U96" s="3" t="n">
        <v>2</v>
      </c>
      <c r="V96" s="3" t="n">
        <v>5.39</v>
      </c>
      <c r="W96" s="3" t="n">
        <v>3.02</v>
      </c>
      <c r="X96" s="3" t="n">
        <v>6.35</v>
      </c>
      <c r="Y96" s="3" t="n">
        <v>467</v>
      </c>
      <c r="AA96" s="3" t="n">
        <v>0.51</v>
      </c>
      <c r="AB96" s="3" t="n">
        <v>4</v>
      </c>
      <c r="AC96" s="3" t="n">
        <v>1</v>
      </c>
      <c r="AD96" s="3" t="n">
        <v>1</v>
      </c>
      <c r="AE96" s="3" t="n">
        <v>1</v>
      </c>
      <c r="AF96" s="3" t="n">
        <v>1</v>
      </c>
      <c r="AG96" s="3" t="n">
        <v>1</v>
      </c>
      <c r="AH96" s="3" t="n">
        <v>2</v>
      </c>
      <c r="AI96" s="3" t="n">
        <v>1</v>
      </c>
      <c r="AJ96" s="3" t="n">
        <v>2</v>
      </c>
      <c r="AK96" s="3" t="n">
        <v>2</v>
      </c>
      <c r="AL96" s="3" t="n">
        <v>2</v>
      </c>
      <c r="AM96" s="3" t="n">
        <v>1</v>
      </c>
      <c r="AN96" s="3" t="n">
        <v>2</v>
      </c>
      <c r="AO96" s="3" t="n">
        <v>2</v>
      </c>
      <c r="AP96" s="3" t="n">
        <v>3</v>
      </c>
      <c r="AQ96" s="3" t="n">
        <v>4</v>
      </c>
      <c r="AR96" s="3" t="n">
        <v>4</v>
      </c>
      <c r="AS96" s="3" t="n">
        <v>6</v>
      </c>
      <c r="AT96" s="3" t="n">
        <v>4</v>
      </c>
      <c r="AU96" s="3" t="n">
        <v>4</v>
      </c>
      <c r="AV96" s="3" t="n">
        <v>6</v>
      </c>
      <c r="AW96" s="3" t="n">
        <v>6</v>
      </c>
      <c r="AX96" s="3" t="n">
        <v>3</v>
      </c>
      <c r="AY96" s="3" t="n">
        <v>3</v>
      </c>
      <c r="AZ96" s="3" t="n">
        <v>1</v>
      </c>
      <c r="BA96" s="5" t="n">
        <v>1</v>
      </c>
      <c r="BB96" s="3" t="n">
        <v>2</v>
      </c>
      <c r="BC96" s="3" t="n">
        <v>1</v>
      </c>
      <c r="BD96" s="3" t="n">
        <v>2</v>
      </c>
      <c r="BE96" s="3" t="n">
        <v>3</v>
      </c>
      <c r="BF96" s="3" t="n">
        <v>5</v>
      </c>
      <c r="BG96" s="3" t="n">
        <v>3</v>
      </c>
      <c r="BH96" s="3" t="n">
        <v>4</v>
      </c>
      <c r="BI96" s="3" t="n">
        <v>1</v>
      </c>
      <c r="BJ96" s="3" t="n">
        <v>1</v>
      </c>
    </row>
    <row r="97" customFormat="false" ht="12.75" hidden="false" customHeight="false" outlineLevel="0" collapsed="false">
      <c r="B97" s="2" t="s">
        <v>1395</v>
      </c>
      <c r="C97" s="2" t="s">
        <v>178</v>
      </c>
      <c r="D97" s="2" t="s">
        <v>1396</v>
      </c>
      <c r="E97" s="2" t="n">
        <v>181429</v>
      </c>
      <c r="F97" s="15" t="n">
        <v>43657</v>
      </c>
      <c r="G97" s="15" t="n">
        <v>43664</v>
      </c>
      <c r="H97" s="3" t="n">
        <v>7</v>
      </c>
      <c r="I97" s="3" t="n">
        <v>1</v>
      </c>
      <c r="J97" s="3" t="n">
        <v>80</v>
      </c>
      <c r="K97" s="3" t="n">
        <v>1</v>
      </c>
      <c r="L97" s="3" t="n">
        <v>2</v>
      </c>
      <c r="M97" s="3" t="n">
        <v>2</v>
      </c>
      <c r="N97" s="3" t="n">
        <v>2</v>
      </c>
      <c r="O97" s="3" t="n">
        <v>2</v>
      </c>
      <c r="P97" s="3" t="n">
        <v>2</v>
      </c>
      <c r="Q97" s="3" t="n">
        <v>2</v>
      </c>
      <c r="R97" s="3" t="n">
        <v>2</v>
      </c>
      <c r="S97" s="3" t="n">
        <v>2</v>
      </c>
      <c r="T97" s="4" t="n">
        <v>2</v>
      </c>
      <c r="U97" s="3" t="n">
        <v>2</v>
      </c>
      <c r="V97" s="3" t="n">
        <v>6.05</v>
      </c>
      <c r="W97" s="3" t="n">
        <v>0.95</v>
      </c>
      <c r="X97" s="3" t="n">
        <v>7.3</v>
      </c>
      <c r="Y97" s="3" t="n">
        <v>425</v>
      </c>
      <c r="AA97" s="3" t="n">
        <v>0.43</v>
      </c>
      <c r="AB97" s="3" t="n">
        <v>12.06</v>
      </c>
      <c r="AC97" s="3" t="n">
        <v>1</v>
      </c>
      <c r="AD97" s="3" t="n">
        <v>2</v>
      </c>
      <c r="AE97" s="3" t="n">
        <v>1</v>
      </c>
      <c r="AF97" s="3" t="n">
        <v>1</v>
      </c>
      <c r="AG97" s="3" t="n">
        <v>2</v>
      </c>
      <c r="AH97" s="3" t="n">
        <v>2</v>
      </c>
      <c r="AI97" s="3" t="n">
        <v>1</v>
      </c>
      <c r="AJ97" s="3" t="n">
        <v>2</v>
      </c>
      <c r="AK97" s="3" t="n">
        <v>2</v>
      </c>
      <c r="AL97" s="3" t="n">
        <v>2</v>
      </c>
      <c r="AM97" s="3" t="n">
        <v>2</v>
      </c>
      <c r="AN97" s="3" t="n">
        <v>1</v>
      </c>
      <c r="AO97" s="3" t="n">
        <v>2</v>
      </c>
      <c r="AP97" s="3" t="n">
        <v>3</v>
      </c>
      <c r="AQ97" s="3" t="n">
        <v>4</v>
      </c>
      <c r="AR97" s="3" t="n">
        <v>4</v>
      </c>
      <c r="AS97" s="3" t="n">
        <v>6</v>
      </c>
      <c r="AT97" s="3" t="n">
        <v>4</v>
      </c>
      <c r="AU97" s="3" t="n">
        <v>4</v>
      </c>
      <c r="AV97" s="3" t="n">
        <v>6</v>
      </c>
      <c r="AW97" s="3" t="n">
        <v>6</v>
      </c>
      <c r="AX97" s="3" t="n">
        <v>3</v>
      </c>
      <c r="AY97" s="3" t="n">
        <v>3</v>
      </c>
      <c r="AZ97" s="3" t="n">
        <v>1</v>
      </c>
      <c r="BA97" s="5" t="n">
        <v>1</v>
      </c>
      <c r="BB97" s="3" t="n">
        <v>1</v>
      </c>
      <c r="BC97" s="3" t="n">
        <v>1</v>
      </c>
      <c r="BD97" s="3" t="n">
        <v>4</v>
      </c>
      <c r="BE97" s="3" t="n">
        <v>1</v>
      </c>
      <c r="BF97" s="3" t="n">
        <v>2</v>
      </c>
      <c r="BG97" s="3" t="n">
        <v>1</v>
      </c>
      <c r="BH97" s="3" t="n">
        <v>4</v>
      </c>
      <c r="BI97" s="3" t="n">
        <v>1</v>
      </c>
      <c r="BJ97" s="3" t="n">
        <v>1</v>
      </c>
    </row>
    <row r="98" customFormat="false" ht="12.75" hidden="false" customHeight="false" outlineLevel="0" collapsed="false">
      <c r="B98" s="3" t="s">
        <v>1416</v>
      </c>
      <c r="C98" s="3" t="s">
        <v>1243</v>
      </c>
      <c r="D98" s="3" t="s">
        <v>1417</v>
      </c>
      <c r="E98" s="3" t="n">
        <v>182335</v>
      </c>
      <c r="F98" s="41" t="n">
        <v>43671</v>
      </c>
      <c r="G98" s="41" t="n">
        <v>43678</v>
      </c>
      <c r="H98" s="3" t="n">
        <v>7</v>
      </c>
      <c r="I98" s="3" t="n">
        <v>1</v>
      </c>
      <c r="J98" s="3" t="n">
        <v>54</v>
      </c>
      <c r="K98" s="3" t="n">
        <v>2</v>
      </c>
      <c r="L98" s="3" t="n">
        <v>2</v>
      </c>
      <c r="M98" s="3" t="n">
        <v>1</v>
      </c>
      <c r="N98" s="3" t="n">
        <v>2</v>
      </c>
      <c r="O98" s="3" t="n">
        <v>1</v>
      </c>
      <c r="P98" s="3" t="n">
        <v>2</v>
      </c>
      <c r="Q98" s="3" t="n">
        <v>2</v>
      </c>
      <c r="R98" s="3" t="n">
        <v>2</v>
      </c>
      <c r="S98" s="3" t="n">
        <v>1</v>
      </c>
      <c r="T98" s="4" t="n">
        <v>2</v>
      </c>
      <c r="U98" s="3" t="n">
        <v>1</v>
      </c>
      <c r="V98" s="3" t="s">
        <v>1418</v>
      </c>
      <c r="W98" s="3" t="s">
        <v>1419</v>
      </c>
      <c r="X98" s="3" t="s">
        <v>1420</v>
      </c>
      <c r="Y98" s="3" t="s">
        <v>1421</v>
      </c>
      <c r="AA98" s="3" t="s">
        <v>1402</v>
      </c>
      <c r="AB98" s="3" t="s">
        <v>1422</v>
      </c>
      <c r="AC98" s="3" t="n">
        <v>1</v>
      </c>
      <c r="AD98" s="3" t="n">
        <v>1</v>
      </c>
      <c r="AE98" s="3" t="n">
        <v>1</v>
      </c>
      <c r="AF98" s="3" t="n">
        <v>1</v>
      </c>
      <c r="AG98" s="3" t="n">
        <v>2</v>
      </c>
      <c r="AH98" s="3" t="n">
        <v>2</v>
      </c>
      <c r="AI98" s="3" t="n">
        <v>1</v>
      </c>
      <c r="AJ98" s="3" t="n">
        <v>1</v>
      </c>
      <c r="AK98" s="3" t="n">
        <v>2</v>
      </c>
      <c r="AL98" s="3" t="n">
        <v>2</v>
      </c>
      <c r="AM98" s="3" t="n">
        <v>2</v>
      </c>
      <c r="AN98" s="3" t="n">
        <v>2</v>
      </c>
      <c r="AO98" s="3" t="n">
        <v>2</v>
      </c>
      <c r="AP98" s="3" t="n">
        <v>3</v>
      </c>
      <c r="AQ98" s="3" t="n">
        <v>4</v>
      </c>
      <c r="AR98" s="3" t="n">
        <v>4</v>
      </c>
      <c r="AS98" s="3" t="n">
        <v>6</v>
      </c>
      <c r="AT98" s="3" t="n">
        <v>4</v>
      </c>
      <c r="AU98" s="3" t="n">
        <v>4</v>
      </c>
      <c r="AV98" s="3" t="n">
        <v>6</v>
      </c>
      <c r="AW98" s="3" t="n">
        <v>6</v>
      </c>
      <c r="AX98" s="3" t="n">
        <v>3</v>
      </c>
      <c r="AY98" s="3" t="n">
        <v>3</v>
      </c>
      <c r="AZ98" s="3" t="n">
        <v>1</v>
      </c>
      <c r="BA98" s="4" t="n">
        <v>1</v>
      </c>
      <c r="BB98" s="3" t="n">
        <v>1</v>
      </c>
      <c r="BC98" s="3" t="n">
        <v>1</v>
      </c>
      <c r="BD98" s="3" t="n">
        <v>4</v>
      </c>
      <c r="BE98" s="3" t="n">
        <v>3</v>
      </c>
      <c r="BF98" s="3" t="n">
        <v>5</v>
      </c>
      <c r="BG98" s="3" t="n">
        <v>3</v>
      </c>
      <c r="BH98" s="3" t="n">
        <v>4</v>
      </c>
      <c r="BI98" s="3" t="n">
        <v>1</v>
      </c>
      <c r="BJ98" s="3" t="n">
        <v>1</v>
      </c>
    </row>
    <row r="99" customFormat="false" ht="12.75" hidden="false" customHeight="false" outlineLevel="0" collapsed="false">
      <c r="B99" s="3" t="s">
        <v>440</v>
      </c>
      <c r="C99" s="3" t="s">
        <v>1429</v>
      </c>
      <c r="D99" s="3" t="s">
        <v>462</v>
      </c>
      <c r="E99" s="3" t="n">
        <v>182488</v>
      </c>
      <c r="F99" s="41" t="n">
        <v>43675</v>
      </c>
      <c r="G99" s="41" t="n">
        <v>43682</v>
      </c>
      <c r="H99" s="3" t="n">
        <v>7</v>
      </c>
      <c r="I99" s="3" t="n">
        <v>2</v>
      </c>
      <c r="J99" s="3" t="n">
        <v>62</v>
      </c>
      <c r="K99" s="3" t="n">
        <v>2</v>
      </c>
      <c r="L99" s="3" t="n">
        <v>1</v>
      </c>
      <c r="M99" s="3" t="n">
        <v>1</v>
      </c>
      <c r="N99" s="3" t="n">
        <v>2</v>
      </c>
      <c r="O99" s="3" t="n">
        <v>2</v>
      </c>
      <c r="P99" s="3" t="n">
        <v>2</v>
      </c>
      <c r="Q99" s="3" t="n">
        <v>2</v>
      </c>
      <c r="R99" s="3" t="n">
        <v>2</v>
      </c>
      <c r="S99" s="3" t="n">
        <v>2</v>
      </c>
      <c r="T99" s="4" t="n">
        <v>2</v>
      </c>
      <c r="U99" s="3" t="n">
        <v>2</v>
      </c>
      <c r="V99" s="3" t="n">
        <v>5.17</v>
      </c>
      <c r="W99" s="3" t="n">
        <v>1.18</v>
      </c>
      <c r="X99" s="3" t="n">
        <v>3.94</v>
      </c>
      <c r="Y99" s="3" t="n">
        <v>477</v>
      </c>
      <c r="AA99" s="3" t="n">
        <v>0.41</v>
      </c>
      <c r="AB99" s="3" t="n">
        <v>10.6</v>
      </c>
      <c r="AC99" s="3" t="n">
        <v>1</v>
      </c>
      <c r="AD99" s="3" t="n">
        <v>1</v>
      </c>
      <c r="AE99" s="3" t="n">
        <v>1</v>
      </c>
      <c r="AF99" s="3" t="n">
        <v>1</v>
      </c>
      <c r="AG99" s="3" t="n">
        <v>2</v>
      </c>
      <c r="AH99" s="3" t="n">
        <v>2</v>
      </c>
      <c r="AI99" s="3" t="n">
        <v>1</v>
      </c>
      <c r="AJ99" s="3" t="n">
        <v>2</v>
      </c>
      <c r="AK99" s="3" t="n">
        <v>2</v>
      </c>
      <c r="AL99" s="3" t="n">
        <v>2</v>
      </c>
      <c r="AM99" s="3" t="n">
        <v>2</v>
      </c>
      <c r="AN99" s="3" t="n">
        <v>2</v>
      </c>
      <c r="AO99" s="3" t="n">
        <v>2</v>
      </c>
      <c r="AP99" s="3" t="n">
        <v>3</v>
      </c>
      <c r="AQ99" s="3" t="n">
        <v>4</v>
      </c>
      <c r="AR99" s="3" t="n">
        <v>4</v>
      </c>
      <c r="AS99" s="3" t="n">
        <v>6</v>
      </c>
      <c r="AT99" s="3" t="n">
        <v>4</v>
      </c>
      <c r="AU99" s="3" t="n">
        <v>4</v>
      </c>
      <c r="AV99" s="3" t="n">
        <v>6</v>
      </c>
      <c r="AW99" s="3" t="n">
        <v>6</v>
      </c>
      <c r="AX99" s="3" t="n">
        <v>3</v>
      </c>
      <c r="AY99" s="3" t="n">
        <v>3</v>
      </c>
      <c r="AZ99" s="3" t="n">
        <v>1</v>
      </c>
      <c r="BA99" s="4" t="n">
        <v>1</v>
      </c>
      <c r="BB99" s="3" t="n">
        <v>1</v>
      </c>
      <c r="BC99" s="3" t="n">
        <v>1</v>
      </c>
      <c r="BD99" s="3" t="n">
        <v>4</v>
      </c>
      <c r="BE99" s="3" t="n">
        <v>3</v>
      </c>
      <c r="BF99" s="3" t="n">
        <v>5</v>
      </c>
      <c r="BG99" s="3" t="n">
        <v>3</v>
      </c>
      <c r="BH99" s="3" t="n">
        <v>4</v>
      </c>
      <c r="BI99" s="3" t="n">
        <v>1</v>
      </c>
      <c r="BJ99" s="3" t="n">
        <v>1</v>
      </c>
    </row>
    <row r="100" customFormat="false" ht="12.75" hidden="false" customHeight="false" outlineLevel="0" collapsed="false">
      <c r="B100" s="3" t="s">
        <v>1445</v>
      </c>
      <c r="C100" s="3" t="s">
        <v>1383</v>
      </c>
      <c r="D100" s="3" t="s">
        <v>1383</v>
      </c>
      <c r="E100" s="3" t="n">
        <v>182490</v>
      </c>
      <c r="F100" s="41" t="n">
        <v>43675</v>
      </c>
      <c r="G100" s="41" t="n">
        <v>43682</v>
      </c>
      <c r="H100" s="3" t="n">
        <v>8</v>
      </c>
      <c r="I100" s="3" t="n">
        <v>2</v>
      </c>
      <c r="J100" s="3" t="n">
        <v>62</v>
      </c>
      <c r="K100" s="3" t="n">
        <v>1</v>
      </c>
      <c r="L100" s="3" t="n">
        <v>2</v>
      </c>
      <c r="M100" s="3" t="n">
        <v>1</v>
      </c>
      <c r="N100" s="3" t="n">
        <v>1</v>
      </c>
      <c r="O100" s="3" t="n">
        <v>2</v>
      </c>
      <c r="P100" s="3" t="n">
        <v>2</v>
      </c>
      <c r="Q100" s="3" t="n">
        <v>2</v>
      </c>
      <c r="R100" s="3" t="n">
        <v>2</v>
      </c>
      <c r="S100" s="3" t="n">
        <v>1</v>
      </c>
      <c r="T100" s="4" t="n">
        <v>2</v>
      </c>
      <c r="U100" s="3" t="n">
        <v>2</v>
      </c>
      <c r="V100" s="3" t="n">
        <v>5.35</v>
      </c>
      <c r="W100" s="3" t="n">
        <v>1.68</v>
      </c>
      <c r="X100" s="3" t="n">
        <v>5.7</v>
      </c>
      <c r="Y100" s="3" t="n">
        <v>310</v>
      </c>
      <c r="AA100" s="3" t="n">
        <v>0.43</v>
      </c>
      <c r="AB100" s="3" t="n">
        <v>11.2</v>
      </c>
      <c r="AC100" s="3" t="n">
        <v>1</v>
      </c>
      <c r="AD100" s="3" t="n">
        <v>1</v>
      </c>
      <c r="AE100" s="3" t="n">
        <v>1</v>
      </c>
      <c r="AF100" s="3" t="n">
        <v>1</v>
      </c>
      <c r="AG100" s="3" t="n">
        <v>2</v>
      </c>
      <c r="AH100" s="3" t="n">
        <v>1</v>
      </c>
      <c r="AI100" s="3" t="n">
        <v>1</v>
      </c>
      <c r="AJ100" s="3" t="n">
        <v>1</v>
      </c>
      <c r="AK100" s="3" t="n">
        <v>2</v>
      </c>
      <c r="AL100" s="3" t="n">
        <v>2</v>
      </c>
      <c r="AM100" s="3" t="n">
        <v>2</v>
      </c>
      <c r="AN100" s="3" t="n">
        <v>2</v>
      </c>
      <c r="AO100" s="3" t="n">
        <v>2</v>
      </c>
      <c r="AP100" s="3" t="n">
        <v>3</v>
      </c>
      <c r="AQ100" s="3" t="n">
        <v>4</v>
      </c>
      <c r="AR100" s="3" t="n">
        <v>4</v>
      </c>
      <c r="AS100" s="3" t="n">
        <v>6</v>
      </c>
      <c r="AT100" s="3" t="n">
        <v>4</v>
      </c>
      <c r="AU100" s="3" t="n">
        <v>4</v>
      </c>
      <c r="AV100" s="3" t="n">
        <v>6</v>
      </c>
      <c r="AW100" s="3" t="n">
        <v>6</v>
      </c>
      <c r="AX100" s="3" t="n">
        <v>3</v>
      </c>
      <c r="AY100" s="3" t="n">
        <v>3</v>
      </c>
      <c r="AZ100" s="3" t="n">
        <v>1</v>
      </c>
      <c r="BA100" s="4" t="n">
        <v>1</v>
      </c>
      <c r="BB100" s="3" t="n">
        <v>1</v>
      </c>
      <c r="BC100" s="3" t="n">
        <v>1</v>
      </c>
      <c r="BD100" s="3" t="n">
        <v>4</v>
      </c>
      <c r="BE100" s="3" t="n">
        <v>3</v>
      </c>
      <c r="BF100" s="3" t="n">
        <v>5</v>
      </c>
      <c r="BG100" s="3" t="n">
        <v>3</v>
      </c>
      <c r="BH100" s="3" t="n">
        <v>4</v>
      </c>
      <c r="BI100" s="3" t="n">
        <v>1</v>
      </c>
      <c r="BJ100" s="3" t="n">
        <v>1</v>
      </c>
    </row>
    <row r="101" customFormat="false" ht="12.75" hidden="false" customHeight="false" outlineLevel="0" collapsed="false">
      <c r="B101" s="3" t="s">
        <v>1143</v>
      </c>
      <c r="C101" s="3" t="s">
        <v>66</v>
      </c>
      <c r="D101" s="3" t="s">
        <v>438</v>
      </c>
      <c r="E101" s="3" t="n">
        <v>181912</v>
      </c>
      <c r="F101" s="41" t="n">
        <v>43679</v>
      </c>
      <c r="G101" s="41" t="n">
        <v>43686</v>
      </c>
      <c r="H101" s="3" t="n">
        <v>7</v>
      </c>
      <c r="I101" s="3" t="n">
        <v>2</v>
      </c>
      <c r="J101" s="3" t="n">
        <v>50</v>
      </c>
      <c r="K101" s="3" t="n">
        <v>2</v>
      </c>
      <c r="L101" s="3" t="n">
        <v>2</v>
      </c>
      <c r="M101" s="3" t="n">
        <v>2</v>
      </c>
      <c r="N101" s="3" t="n">
        <v>2</v>
      </c>
      <c r="O101" s="3" t="n">
        <v>2</v>
      </c>
      <c r="P101" s="3" t="n">
        <v>2</v>
      </c>
      <c r="Q101" s="3" t="n">
        <v>1</v>
      </c>
      <c r="R101" s="3" t="n">
        <v>2</v>
      </c>
      <c r="S101" s="3" t="n">
        <v>2</v>
      </c>
      <c r="T101" s="4" t="n">
        <v>2</v>
      </c>
      <c r="U101" s="3" t="n">
        <v>2</v>
      </c>
      <c r="V101" s="3" t="n">
        <v>7.45</v>
      </c>
      <c r="W101" s="3" t="n">
        <v>1.64</v>
      </c>
      <c r="X101" s="3" t="n">
        <v>9.2</v>
      </c>
      <c r="Y101" s="3" t="n">
        <v>522</v>
      </c>
      <c r="AA101" s="3" t="n">
        <v>0.52</v>
      </c>
      <c r="AB101" s="3" t="n">
        <v>18.4</v>
      </c>
      <c r="AC101" s="3" t="n">
        <v>2</v>
      </c>
      <c r="AD101" s="3" t="n">
        <v>2</v>
      </c>
      <c r="AE101" s="3" t="n">
        <v>1</v>
      </c>
      <c r="AF101" s="3" t="n">
        <v>1</v>
      </c>
      <c r="AG101" s="3" t="n">
        <v>2</v>
      </c>
      <c r="AH101" s="3" t="n">
        <v>2</v>
      </c>
      <c r="AI101" s="3" t="n">
        <v>1</v>
      </c>
      <c r="AJ101" s="3" t="n">
        <v>2</v>
      </c>
      <c r="AK101" s="3" t="n">
        <v>2</v>
      </c>
      <c r="AL101" s="3" t="n">
        <v>2</v>
      </c>
      <c r="AM101" s="3" t="n">
        <v>1</v>
      </c>
      <c r="AN101" s="3" t="n">
        <v>2</v>
      </c>
      <c r="AO101" s="3" t="n">
        <v>2</v>
      </c>
      <c r="AP101" s="3" t="n">
        <v>3</v>
      </c>
      <c r="AQ101" s="3" t="n">
        <v>4</v>
      </c>
      <c r="AR101" s="3" t="n">
        <v>4</v>
      </c>
      <c r="AS101" s="3" t="n">
        <v>6</v>
      </c>
      <c r="AT101" s="3" t="n">
        <v>4</v>
      </c>
      <c r="AU101" s="3" t="n">
        <v>4</v>
      </c>
      <c r="AV101" s="3" t="n">
        <v>6</v>
      </c>
      <c r="AW101" s="3" t="n">
        <v>6</v>
      </c>
      <c r="AX101" s="3" t="n">
        <v>3</v>
      </c>
      <c r="AY101" s="3" t="n">
        <v>3</v>
      </c>
      <c r="AZ101" s="3" t="n">
        <v>4</v>
      </c>
      <c r="BA101" s="4" t="n">
        <v>1</v>
      </c>
      <c r="BB101" s="3" t="n">
        <v>1</v>
      </c>
      <c r="BC101" s="3" t="n">
        <v>1</v>
      </c>
      <c r="BD101" s="3" t="n">
        <v>2</v>
      </c>
      <c r="BE101" s="3" t="n">
        <v>1</v>
      </c>
      <c r="BF101" s="3" t="n">
        <v>2</v>
      </c>
      <c r="BG101" s="3" t="n">
        <v>1</v>
      </c>
      <c r="BH101" s="3" t="n">
        <v>4</v>
      </c>
      <c r="BI101" s="3" t="n">
        <v>1</v>
      </c>
      <c r="BJ101" s="3" t="n">
        <v>1</v>
      </c>
    </row>
    <row r="102" customFormat="false" ht="12.75" hidden="false" customHeight="false" outlineLevel="0" collapsed="false">
      <c r="B102" s="2" t="s">
        <v>1460</v>
      </c>
      <c r="C102" s="2" t="s">
        <v>528</v>
      </c>
      <c r="D102" s="2" t="s">
        <v>118</v>
      </c>
      <c r="E102" s="2" t="n">
        <v>182909</v>
      </c>
      <c r="F102" s="15" t="n">
        <v>43682</v>
      </c>
      <c r="G102" s="15" t="n">
        <v>43689</v>
      </c>
      <c r="H102" s="3" t="n">
        <v>7</v>
      </c>
      <c r="I102" s="3" t="n">
        <v>1</v>
      </c>
      <c r="J102" s="3" t="n">
        <v>82</v>
      </c>
      <c r="K102" s="3" t="n">
        <v>1</v>
      </c>
      <c r="L102" s="3" t="n">
        <v>2</v>
      </c>
      <c r="M102" s="3" t="n">
        <v>1</v>
      </c>
      <c r="N102" s="3" t="n">
        <v>2</v>
      </c>
      <c r="O102" s="3" t="n">
        <v>2</v>
      </c>
      <c r="P102" s="3" t="n">
        <v>2</v>
      </c>
      <c r="Q102" s="3" t="n">
        <v>2</v>
      </c>
      <c r="R102" s="3" t="n">
        <v>2</v>
      </c>
      <c r="S102" s="3" t="n">
        <v>2</v>
      </c>
      <c r="T102" s="4" t="n">
        <v>2</v>
      </c>
      <c r="U102" s="3" t="n">
        <v>2</v>
      </c>
      <c r="V102" s="3" t="n">
        <v>5.57</v>
      </c>
      <c r="W102" s="3" t="n">
        <v>2.1</v>
      </c>
      <c r="X102" s="3" t="n">
        <v>7.9</v>
      </c>
      <c r="Y102" s="3" t="n">
        <v>242</v>
      </c>
      <c r="AA102" s="3" t="n">
        <v>0.44</v>
      </c>
      <c r="AB102" s="3" t="n">
        <v>13.4</v>
      </c>
      <c r="AC102" s="3" t="n">
        <v>1</v>
      </c>
      <c r="AD102" s="3" t="n">
        <v>2</v>
      </c>
      <c r="AE102" s="3" t="n">
        <v>1</v>
      </c>
      <c r="AF102" s="3" t="n">
        <v>1</v>
      </c>
      <c r="AG102" s="3" t="n">
        <v>2</v>
      </c>
      <c r="AH102" s="3" t="n">
        <v>2</v>
      </c>
      <c r="AI102" s="3" t="n">
        <v>1</v>
      </c>
      <c r="AJ102" s="3" t="n">
        <v>2</v>
      </c>
      <c r="AK102" s="3" t="n">
        <v>2</v>
      </c>
      <c r="AL102" s="3" t="n">
        <v>2</v>
      </c>
      <c r="AM102" s="3" t="n">
        <v>2</v>
      </c>
      <c r="AN102" s="3" t="n">
        <v>2</v>
      </c>
      <c r="AO102" s="3" t="n">
        <v>2</v>
      </c>
      <c r="AP102" s="3" t="n">
        <v>3</v>
      </c>
      <c r="AQ102" s="3" t="n">
        <v>4</v>
      </c>
      <c r="AR102" s="3" t="n">
        <v>4</v>
      </c>
      <c r="AS102" s="3" t="n">
        <v>6</v>
      </c>
      <c r="AT102" s="3" t="n">
        <v>4</v>
      </c>
      <c r="AU102" s="3" t="n">
        <v>4</v>
      </c>
      <c r="AV102" s="3" t="n">
        <v>6</v>
      </c>
      <c r="AW102" s="3" t="n">
        <v>6</v>
      </c>
      <c r="AX102" s="3" t="n">
        <v>3</v>
      </c>
      <c r="AY102" s="3" t="n">
        <v>3</v>
      </c>
      <c r="AZ102" s="3" t="n">
        <v>1</v>
      </c>
      <c r="BA102" s="5" t="n">
        <v>1</v>
      </c>
      <c r="BB102" s="3" t="n">
        <v>1</v>
      </c>
      <c r="BC102" s="3" t="n">
        <v>1</v>
      </c>
      <c r="BD102" s="3" t="n">
        <v>4</v>
      </c>
      <c r="BE102" s="3" t="n">
        <v>1</v>
      </c>
      <c r="BF102" s="3" t="n">
        <v>2</v>
      </c>
      <c r="BG102" s="3" t="n">
        <v>1</v>
      </c>
      <c r="BH102" s="3" t="n">
        <v>4</v>
      </c>
      <c r="BI102" s="3" t="n">
        <v>1</v>
      </c>
      <c r="BJ102" s="3" t="n">
        <v>1</v>
      </c>
    </row>
    <row r="103" customFormat="false" ht="12.75" hidden="false" customHeight="false" outlineLevel="0" collapsed="false">
      <c r="B103" s="2" t="s">
        <v>1229</v>
      </c>
      <c r="C103" s="2" t="s">
        <v>1462</v>
      </c>
      <c r="D103" s="2" t="s">
        <v>1463</v>
      </c>
      <c r="E103" s="2" t="n">
        <v>182902</v>
      </c>
      <c r="F103" s="15" t="n">
        <v>43682</v>
      </c>
      <c r="G103" s="15" t="n">
        <v>43689</v>
      </c>
      <c r="H103" s="3" t="n">
        <v>7</v>
      </c>
      <c r="I103" s="3" t="n">
        <v>2</v>
      </c>
      <c r="J103" s="3" t="n">
        <v>61</v>
      </c>
      <c r="K103" s="3" t="n">
        <v>1</v>
      </c>
      <c r="L103" s="3" t="n">
        <v>2</v>
      </c>
      <c r="M103" s="3" t="n">
        <v>1</v>
      </c>
      <c r="N103" s="3" t="n">
        <v>2</v>
      </c>
      <c r="O103" s="3" t="n">
        <v>2</v>
      </c>
      <c r="P103" s="3" t="n">
        <v>2</v>
      </c>
      <c r="Q103" s="3" t="n">
        <v>2</v>
      </c>
      <c r="R103" s="3" t="n">
        <v>2</v>
      </c>
      <c r="S103" s="3" t="n">
        <v>2</v>
      </c>
      <c r="T103" s="4" t="n">
        <v>2</v>
      </c>
      <c r="U103" s="3" t="n">
        <v>2</v>
      </c>
      <c r="V103" s="3" t="n">
        <v>4.22</v>
      </c>
      <c r="W103" s="3" t="n">
        <v>0.53</v>
      </c>
      <c r="X103" s="3" t="n">
        <v>9.08</v>
      </c>
      <c r="Y103" s="3" t="n">
        <v>497</v>
      </c>
      <c r="AA103" s="3" t="n">
        <v>0.5</v>
      </c>
      <c r="AB103" s="3" t="n">
        <v>13.2</v>
      </c>
      <c r="AC103" s="3" t="n">
        <v>1</v>
      </c>
      <c r="AD103" s="3" t="n">
        <v>1</v>
      </c>
      <c r="AE103" s="3" t="n">
        <v>1</v>
      </c>
      <c r="AF103" s="3" t="n">
        <v>1</v>
      </c>
      <c r="AG103" s="3" t="n">
        <v>2</v>
      </c>
      <c r="AH103" s="3" t="n">
        <v>2</v>
      </c>
      <c r="AI103" s="3" t="n">
        <v>1</v>
      </c>
      <c r="AJ103" s="3" t="n">
        <v>2</v>
      </c>
      <c r="AK103" s="3" t="n">
        <v>2</v>
      </c>
      <c r="AL103" s="3" t="n">
        <v>2</v>
      </c>
      <c r="AM103" s="3" t="n">
        <v>2</v>
      </c>
      <c r="AN103" s="3" t="n">
        <v>2</v>
      </c>
      <c r="AO103" s="3" t="n">
        <v>2</v>
      </c>
      <c r="AP103" s="3" t="n">
        <v>3</v>
      </c>
      <c r="AQ103" s="3" t="n">
        <v>4</v>
      </c>
      <c r="AR103" s="3" t="n">
        <v>4</v>
      </c>
      <c r="AS103" s="3" t="n">
        <v>6</v>
      </c>
      <c r="AT103" s="3" t="n">
        <v>4</v>
      </c>
      <c r="AU103" s="3" t="n">
        <v>4</v>
      </c>
      <c r="AV103" s="3" t="n">
        <v>6</v>
      </c>
      <c r="AW103" s="3" t="n">
        <v>6</v>
      </c>
      <c r="AX103" s="3" t="n">
        <v>3</v>
      </c>
      <c r="AY103" s="3" t="n">
        <v>3</v>
      </c>
      <c r="AZ103" s="3" t="n">
        <v>10</v>
      </c>
      <c r="BA103" s="5" t="n">
        <v>1</v>
      </c>
      <c r="BB103" s="3" t="n">
        <v>1</v>
      </c>
      <c r="BC103" s="3" t="n">
        <v>1</v>
      </c>
      <c r="BD103" s="3" t="n">
        <v>3</v>
      </c>
      <c r="BE103" s="3" t="n">
        <v>3</v>
      </c>
      <c r="BF103" s="3" t="n">
        <v>5</v>
      </c>
      <c r="BG103" s="3" t="n">
        <v>3</v>
      </c>
      <c r="BH103" s="3" t="n">
        <v>4</v>
      </c>
      <c r="BI103" s="3" t="n">
        <v>1</v>
      </c>
      <c r="BJ103" s="3" t="n">
        <v>1</v>
      </c>
    </row>
    <row r="104" customFormat="false" ht="12.75" hidden="false" customHeight="false" outlineLevel="0" collapsed="false">
      <c r="B104" s="2" t="s">
        <v>1465</v>
      </c>
      <c r="C104" s="2" t="s">
        <v>1466</v>
      </c>
      <c r="D104" s="2" t="s">
        <v>1467</v>
      </c>
      <c r="E104" s="2" t="n">
        <v>182939</v>
      </c>
      <c r="F104" s="15" t="n">
        <v>43681</v>
      </c>
      <c r="G104" s="15" t="n">
        <v>43689</v>
      </c>
      <c r="H104" s="3" t="n">
        <v>8</v>
      </c>
      <c r="I104" s="3" t="n">
        <v>1</v>
      </c>
      <c r="J104" s="3" t="n">
        <v>71</v>
      </c>
      <c r="K104" s="3" t="n">
        <v>2</v>
      </c>
      <c r="L104" s="3" t="n">
        <v>2</v>
      </c>
      <c r="M104" s="3" t="n">
        <v>1</v>
      </c>
      <c r="N104" s="3" t="n">
        <v>2</v>
      </c>
      <c r="O104" s="3" t="n">
        <v>2</v>
      </c>
      <c r="P104" s="3" t="n">
        <v>2</v>
      </c>
      <c r="Q104" s="3" t="n">
        <v>2</v>
      </c>
      <c r="R104" s="3" t="n">
        <v>2</v>
      </c>
      <c r="S104" s="3" t="n">
        <v>2</v>
      </c>
      <c r="T104" s="4" t="n">
        <v>2</v>
      </c>
      <c r="U104" s="3" t="n">
        <v>2</v>
      </c>
      <c r="V104" s="3" t="n">
        <v>6.35</v>
      </c>
      <c r="W104" s="3" t="n">
        <v>0.96</v>
      </c>
      <c r="X104" s="3" t="n">
        <v>6.8</v>
      </c>
      <c r="Y104" s="3" t="n">
        <v>572</v>
      </c>
      <c r="AA104" s="3" t="n">
        <v>0.49</v>
      </c>
      <c r="AB104" s="3" t="n">
        <v>13</v>
      </c>
      <c r="AC104" s="3" t="n">
        <v>1</v>
      </c>
      <c r="AD104" s="3" t="n">
        <v>2</v>
      </c>
      <c r="AE104" s="3" t="n">
        <v>1</v>
      </c>
      <c r="AF104" s="3" t="n">
        <v>1</v>
      </c>
      <c r="AG104" s="3" t="n">
        <v>1</v>
      </c>
      <c r="AH104" s="3" t="n">
        <v>1</v>
      </c>
      <c r="AI104" s="3" t="n">
        <v>1</v>
      </c>
      <c r="AJ104" s="3" t="n">
        <v>2</v>
      </c>
      <c r="AK104" s="3" t="n">
        <v>2</v>
      </c>
      <c r="AL104" s="3" t="n">
        <v>2</v>
      </c>
      <c r="AM104" s="3" t="n">
        <v>1</v>
      </c>
      <c r="AN104" s="3" t="n">
        <v>2</v>
      </c>
      <c r="AO104" s="3" t="n">
        <v>2</v>
      </c>
      <c r="AP104" s="3" t="n">
        <v>3</v>
      </c>
      <c r="AQ104" s="3" t="n">
        <v>4</v>
      </c>
      <c r="AR104" s="3" t="n">
        <v>4</v>
      </c>
      <c r="AS104" s="3" t="n">
        <v>6</v>
      </c>
      <c r="AT104" s="3" t="n">
        <v>4</v>
      </c>
      <c r="AU104" s="3" t="n">
        <v>4</v>
      </c>
      <c r="AV104" s="3" t="n">
        <v>6</v>
      </c>
      <c r="AW104" s="3" t="n">
        <v>6</v>
      </c>
      <c r="AX104" s="3" t="n">
        <v>3</v>
      </c>
      <c r="AY104" s="3" t="n">
        <v>3</v>
      </c>
      <c r="AZ104" s="3" t="n">
        <v>1</v>
      </c>
      <c r="BA104" s="5" t="n">
        <v>1</v>
      </c>
      <c r="BB104" s="3" t="n">
        <v>1</v>
      </c>
      <c r="BC104" s="3" t="n">
        <v>1</v>
      </c>
      <c r="BD104" s="3" t="n">
        <v>2</v>
      </c>
      <c r="BE104" s="3" t="n">
        <v>1</v>
      </c>
      <c r="BF104" s="3" t="n">
        <v>2</v>
      </c>
      <c r="BG104" s="3" t="n">
        <v>1</v>
      </c>
      <c r="BH104" s="3" t="n">
        <v>4</v>
      </c>
      <c r="BI104" s="3" t="n">
        <v>1</v>
      </c>
      <c r="BJ104" s="3" t="n">
        <v>1</v>
      </c>
    </row>
    <row r="105" customFormat="false" ht="12.75" hidden="false" customHeight="false" outlineLevel="0" collapsed="false">
      <c r="B105" s="14" t="s">
        <v>1496</v>
      </c>
      <c r="C105" s="14" t="s">
        <v>1497</v>
      </c>
      <c r="D105" s="14" t="s">
        <v>1498</v>
      </c>
      <c r="E105" s="14" t="n">
        <v>184006</v>
      </c>
      <c r="F105" s="22" t="n">
        <v>43697</v>
      </c>
      <c r="G105" s="22" t="n">
        <v>43704</v>
      </c>
      <c r="H105" s="3" t="n">
        <v>7</v>
      </c>
      <c r="I105" s="3" t="n">
        <v>2</v>
      </c>
      <c r="J105" s="3" t="n">
        <v>63</v>
      </c>
      <c r="K105" s="3" t="n">
        <v>1</v>
      </c>
      <c r="L105" s="3" t="n">
        <v>1</v>
      </c>
      <c r="M105" s="3" t="n">
        <v>1</v>
      </c>
      <c r="N105" s="3" t="n">
        <v>2</v>
      </c>
      <c r="O105" s="3" t="n">
        <v>1</v>
      </c>
      <c r="P105" s="3" t="n">
        <v>1</v>
      </c>
      <c r="Q105" s="3" t="n">
        <v>2</v>
      </c>
      <c r="R105" s="3" t="n">
        <v>2</v>
      </c>
      <c r="S105" s="3" t="n">
        <v>1</v>
      </c>
      <c r="T105" s="4" t="n">
        <v>2</v>
      </c>
      <c r="U105" s="3" t="n">
        <v>2</v>
      </c>
      <c r="V105" s="3"/>
      <c r="W105" s="3"/>
      <c r="X105" s="3"/>
      <c r="Y105" s="3"/>
      <c r="AA105" s="3"/>
      <c r="AB105" s="3"/>
      <c r="AC105" s="3" t="n">
        <v>1</v>
      </c>
      <c r="AD105" s="3" t="n">
        <v>2</v>
      </c>
      <c r="AE105" s="3" t="n">
        <v>1</v>
      </c>
      <c r="AF105" s="3" t="n">
        <v>1</v>
      </c>
      <c r="AG105" s="3" t="n">
        <v>1</v>
      </c>
      <c r="AH105" s="3" t="n">
        <v>2</v>
      </c>
      <c r="AI105" s="3" t="n">
        <v>1</v>
      </c>
      <c r="AJ105" s="3" t="n">
        <v>1</v>
      </c>
      <c r="AK105" s="3" t="n">
        <v>2</v>
      </c>
      <c r="AL105" s="3" t="n">
        <v>2</v>
      </c>
      <c r="AM105" s="3" t="n">
        <v>2</v>
      </c>
      <c r="AN105" s="3" t="n">
        <v>2</v>
      </c>
      <c r="AO105" s="3" t="n">
        <v>2</v>
      </c>
      <c r="AP105" s="3" t="n">
        <v>2</v>
      </c>
      <c r="AQ105" s="3" t="n">
        <v>3</v>
      </c>
      <c r="AR105" s="3" t="n">
        <v>4</v>
      </c>
      <c r="AS105" s="3" t="n">
        <v>6</v>
      </c>
      <c r="AT105" s="3" t="n">
        <v>4</v>
      </c>
      <c r="AU105" s="3" t="n">
        <v>4</v>
      </c>
      <c r="AV105" s="3" t="n">
        <v>1</v>
      </c>
      <c r="AW105" s="3" t="n">
        <v>6</v>
      </c>
      <c r="AX105" s="3" t="n">
        <v>2</v>
      </c>
      <c r="AY105" s="3" t="n">
        <v>1</v>
      </c>
      <c r="AZ105" s="3" t="n">
        <v>1</v>
      </c>
      <c r="BA105" s="5" t="n">
        <v>1</v>
      </c>
      <c r="BB105" s="3" t="n">
        <v>1</v>
      </c>
      <c r="BC105" s="3" t="n">
        <v>1</v>
      </c>
      <c r="BD105" s="3" t="n">
        <v>4</v>
      </c>
      <c r="BE105" s="3" t="n">
        <v>1</v>
      </c>
      <c r="BF105" s="3" t="n">
        <v>1</v>
      </c>
      <c r="BG105" s="3" t="n">
        <v>1</v>
      </c>
      <c r="BH105" s="3" t="n">
        <v>4</v>
      </c>
      <c r="BI105" s="3" t="n">
        <v>4</v>
      </c>
      <c r="BJ105" s="3" t="n">
        <v>1</v>
      </c>
    </row>
    <row r="106" customFormat="false" ht="12.75" hidden="false" customHeight="false" outlineLevel="0" collapsed="false">
      <c r="B106" s="17" t="s">
        <v>1521</v>
      </c>
      <c r="C106" s="17" t="s">
        <v>739</v>
      </c>
      <c r="D106" s="17" t="s">
        <v>611</v>
      </c>
      <c r="E106" s="2" t="n">
        <v>184022</v>
      </c>
      <c r="F106" s="15" t="n">
        <v>43697</v>
      </c>
      <c r="G106" s="15" t="n">
        <v>43701</v>
      </c>
      <c r="H106" s="3" t="n">
        <v>4</v>
      </c>
      <c r="I106" s="3" t="n">
        <v>2</v>
      </c>
      <c r="J106" s="3" t="n">
        <v>74</v>
      </c>
      <c r="K106" s="3" t="n">
        <v>1</v>
      </c>
      <c r="L106" s="3" t="n">
        <v>1</v>
      </c>
      <c r="M106" s="19" t="n">
        <v>1</v>
      </c>
      <c r="N106" s="3" t="n">
        <v>1</v>
      </c>
      <c r="O106" s="3" t="n">
        <v>2</v>
      </c>
      <c r="P106" s="3" t="n">
        <v>2</v>
      </c>
      <c r="Q106" s="3" t="n">
        <v>2</v>
      </c>
      <c r="R106" s="3" t="n">
        <v>2</v>
      </c>
      <c r="S106" s="3" t="n">
        <v>2</v>
      </c>
      <c r="T106" s="4" t="n">
        <v>2</v>
      </c>
      <c r="U106" s="3" t="n">
        <v>2</v>
      </c>
      <c r="V106" s="3"/>
      <c r="W106" s="3"/>
      <c r="X106" s="3"/>
      <c r="Y106" s="3"/>
      <c r="AA106" s="3"/>
      <c r="AB106" s="3"/>
      <c r="AC106" s="3" t="n">
        <v>1</v>
      </c>
      <c r="AD106" s="3" t="n">
        <v>1</v>
      </c>
      <c r="AE106" s="3" t="n">
        <v>1</v>
      </c>
      <c r="AF106" s="3" t="n">
        <v>1</v>
      </c>
      <c r="AG106" s="3" t="n">
        <v>2</v>
      </c>
      <c r="AH106" s="3" t="n">
        <v>1</v>
      </c>
      <c r="AI106" s="3" t="n">
        <v>1</v>
      </c>
      <c r="AJ106" s="3" t="n">
        <v>2</v>
      </c>
      <c r="AK106" s="3" t="n">
        <v>2</v>
      </c>
      <c r="AL106" s="3" t="n">
        <v>2</v>
      </c>
      <c r="AM106" s="3" t="n">
        <v>2</v>
      </c>
      <c r="AN106" s="3" t="n">
        <v>2</v>
      </c>
      <c r="AO106" s="3" t="n">
        <v>2</v>
      </c>
      <c r="AP106" s="3" t="n">
        <v>3</v>
      </c>
      <c r="AQ106" s="3" t="n">
        <v>4</v>
      </c>
      <c r="AR106" s="3" t="n">
        <v>4</v>
      </c>
      <c r="AS106" s="3" t="n">
        <v>6</v>
      </c>
      <c r="AT106" s="3" t="n">
        <v>4</v>
      </c>
      <c r="AU106" s="3" t="n">
        <v>4</v>
      </c>
      <c r="AV106" s="3" t="n">
        <v>6</v>
      </c>
      <c r="AW106" s="3" t="n">
        <v>6</v>
      </c>
      <c r="AX106" s="3" t="n">
        <v>3</v>
      </c>
      <c r="AY106" s="3" t="n">
        <v>3</v>
      </c>
      <c r="AZ106" s="3" t="n">
        <v>1</v>
      </c>
      <c r="BA106" s="5" t="n">
        <v>1</v>
      </c>
      <c r="BB106" s="3" t="n">
        <v>1</v>
      </c>
      <c r="BC106" s="3" t="n">
        <v>1</v>
      </c>
      <c r="BD106" s="3" t="n">
        <v>2</v>
      </c>
      <c r="BE106" s="3" t="n">
        <v>3</v>
      </c>
      <c r="BF106" s="3" t="n">
        <v>5</v>
      </c>
      <c r="BG106" s="3" t="n">
        <v>3</v>
      </c>
      <c r="BH106" s="3" t="n">
        <v>4</v>
      </c>
      <c r="BI106" s="3" t="n">
        <v>1</v>
      </c>
      <c r="BJ106" s="3" t="n">
        <v>1</v>
      </c>
    </row>
    <row r="107" customFormat="false" ht="12.75" hidden="false" customHeight="false" outlineLevel="0" collapsed="false">
      <c r="B107" s="2" t="s">
        <v>1178</v>
      </c>
      <c r="C107" s="2" t="s">
        <v>1383</v>
      </c>
      <c r="D107" s="2" t="s">
        <v>1510</v>
      </c>
      <c r="E107" s="2" t="n">
        <v>184088</v>
      </c>
      <c r="F107" s="15" t="n">
        <v>43699</v>
      </c>
      <c r="G107" s="15" t="n">
        <v>43706</v>
      </c>
      <c r="H107" s="3" t="n">
        <v>7</v>
      </c>
      <c r="I107" s="3" t="n">
        <v>2</v>
      </c>
      <c r="J107" s="3" t="n">
        <v>54</v>
      </c>
      <c r="K107" s="3" t="n">
        <v>1</v>
      </c>
      <c r="L107" s="3" t="n">
        <v>1</v>
      </c>
      <c r="M107" s="3" t="n">
        <v>1</v>
      </c>
      <c r="N107" s="3" t="n">
        <v>2</v>
      </c>
      <c r="O107" s="3" t="n">
        <v>2</v>
      </c>
      <c r="P107" s="3" t="n">
        <v>1</v>
      </c>
      <c r="Q107" s="3" t="n">
        <v>2</v>
      </c>
      <c r="R107" s="3" t="n">
        <v>2</v>
      </c>
      <c r="S107" s="3" t="n">
        <v>2</v>
      </c>
      <c r="T107" s="4" t="n">
        <v>1</v>
      </c>
      <c r="U107" s="3" t="n">
        <v>1</v>
      </c>
      <c r="V107" s="3"/>
      <c r="W107" s="3"/>
      <c r="X107" s="3"/>
      <c r="Y107" s="3"/>
      <c r="AA107" s="3"/>
      <c r="AB107" s="3"/>
      <c r="AC107" s="3" t="n">
        <v>1</v>
      </c>
      <c r="AD107" s="3" t="n">
        <v>2</v>
      </c>
      <c r="AE107" s="3" t="n">
        <v>1</v>
      </c>
      <c r="AF107" s="3" t="n">
        <v>1</v>
      </c>
      <c r="AG107" s="3" t="n">
        <v>2</v>
      </c>
      <c r="AH107" s="3" t="n">
        <v>2</v>
      </c>
      <c r="AI107" s="3" t="n">
        <v>1</v>
      </c>
      <c r="AJ107" s="3" t="n">
        <v>2</v>
      </c>
      <c r="AK107" s="3" t="n">
        <v>2</v>
      </c>
      <c r="AL107" s="3" t="n">
        <v>2</v>
      </c>
      <c r="AM107" s="3" t="n">
        <v>2</v>
      </c>
      <c r="AN107" s="3" t="n">
        <v>2</v>
      </c>
      <c r="AO107" s="3" t="n">
        <v>2</v>
      </c>
      <c r="AP107" s="3" t="n">
        <v>3</v>
      </c>
      <c r="AQ107" s="3" t="n">
        <v>4</v>
      </c>
      <c r="AR107" s="3" t="n">
        <v>4</v>
      </c>
      <c r="AS107" s="3" t="n">
        <v>6</v>
      </c>
      <c r="AT107" s="3" t="n">
        <v>4</v>
      </c>
      <c r="AU107" s="3" t="n">
        <v>4</v>
      </c>
      <c r="AV107" s="3" t="n">
        <v>6</v>
      </c>
      <c r="AW107" s="3" t="n">
        <v>6</v>
      </c>
      <c r="AX107" s="3" t="n">
        <v>3</v>
      </c>
      <c r="AY107" s="3" t="n">
        <v>3</v>
      </c>
      <c r="AZ107" s="3" t="n">
        <v>1</v>
      </c>
      <c r="BA107" s="5" t="n">
        <v>1</v>
      </c>
      <c r="BB107" s="3" t="n">
        <v>1</v>
      </c>
      <c r="BC107" s="3" t="n">
        <v>1</v>
      </c>
      <c r="BD107" s="3" t="n">
        <v>4</v>
      </c>
      <c r="BE107" s="3" t="n">
        <v>1</v>
      </c>
      <c r="BF107" s="3" t="n">
        <v>2</v>
      </c>
      <c r="BG107" s="3" t="n">
        <v>1</v>
      </c>
      <c r="BH107" s="3" t="n">
        <v>4</v>
      </c>
      <c r="BI107" s="3" t="n">
        <v>1</v>
      </c>
      <c r="BJ107" s="3" t="n">
        <v>1</v>
      </c>
    </row>
    <row r="108" customFormat="false" ht="12.75" hidden="false" customHeight="false" outlineLevel="0" collapsed="false">
      <c r="B108" s="17" t="s">
        <v>467</v>
      </c>
      <c r="C108" s="17" t="s">
        <v>1538</v>
      </c>
      <c r="D108" s="17" t="s">
        <v>128</v>
      </c>
      <c r="E108" s="2" t="n">
        <v>184113</v>
      </c>
      <c r="F108" s="15" t="n">
        <v>43702</v>
      </c>
      <c r="G108" s="15" t="n">
        <v>43709</v>
      </c>
      <c r="H108" s="3" t="n">
        <v>7</v>
      </c>
      <c r="I108" s="3" t="n">
        <v>2</v>
      </c>
      <c r="J108" s="3" t="n">
        <v>58</v>
      </c>
      <c r="K108" s="3" t="n">
        <v>1</v>
      </c>
      <c r="L108" s="3" t="n">
        <v>2</v>
      </c>
      <c r="M108" s="3" t="n">
        <v>2</v>
      </c>
      <c r="N108" s="3" t="n">
        <v>2</v>
      </c>
      <c r="O108" s="3" t="n">
        <v>2</v>
      </c>
      <c r="P108" s="3" t="n">
        <v>2</v>
      </c>
      <c r="Q108" s="3" t="n">
        <v>2</v>
      </c>
      <c r="R108" s="3" t="n">
        <v>2</v>
      </c>
      <c r="S108" s="3" t="n">
        <v>2</v>
      </c>
      <c r="T108" s="4" t="n">
        <v>2</v>
      </c>
      <c r="U108" s="3" t="n">
        <v>2</v>
      </c>
      <c r="V108" s="3" t="n">
        <v>5.6</v>
      </c>
      <c r="W108" s="3" t="n">
        <v>2.69</v>
      </c>
      <c r="X108" s="3" t="n">
        <v>6.2</v>
      </c>
      <c r="Y108" s="3" t="n">
        <v>572</v>
      </c>
      <c r="AA108" s="3" t="n">
        <v>0.37</v>
      </c>
      <c r="AB108" s="3" t="n">
        <v>12.3</v>
      </c>
      <c r="AC108" s="3" t="n">
        <v>1</v>
      </c>
      <c r="AD108" s="3" t="n">
        <v>2</v>
      </c>
      <c r="AE108" s="3" t="n">
        <v>1</v>
      </c>
      <c r="AF108" s="3" t="n">
        <v>1</v>
      </c>
      <c r="AG108" s="3" t="n">
        <v>2</v>
      </c>
      <c r="AH108" s="3" t="n">
        <v>2</v>
      </c>
      <c r="AI108" s="3" t="n">
        <v>1</v>
      </c>
      <c r="AJ108" s="3" t="n">
        <v>2</v>
      </c>
      <c r="AK108" s="3" t="n">
        <v>2</v>
      </c>
      <c r="AL108" s="3" t="n">
        <v>2</v>
      </c>
      <c r="AM108" s="3" t="n">
        <v>1</v>
      </c>
      <c r="AN108" s="3" t="n">
        <v>2</v>
      </c>
      <c r="AO108" s="3" t="n">
        <v>2</v>
      </c>
      <c r="AP108" s="3" t="n">
        <v>3</v>
      </c>
      <c r="AQ108" s="3" t="n">
        <v>4</v>
      </c>
      <c r="AR108" s="3" t="n">
        <v>4</v>
      </c>
      <c r="AS108" s="3" t="n">
        <v>6</v>
      </c>
      <c r="AT108" s="3" t="n">
        <v>4</v>
      </c>
      <c r="AU108" s="3" t="n">
        <v>4</v>
      </c>
      <c r="AV108" s="3" t="n">
        <v>6</v>
      </c>
      <c r="AW108" s="3" t="n">
        <v>6</v>
      </c>
      <c r="AX108" s="3" t="n">
        <v>3</v>
      </c>
      <c r="AY108" s="3" t="n">
        <v>3</v>
      </c>
      <c r="AZ108" s="3" t="n">
        <v>1</v>
      </c>
      <c r="BA108" s="5" t="n">
        <v>1</v>
      </c>
      <c r="BB108" s="3" t="n">
        <v>1</v>
      </c>
      <c r="BC108" s="3" t="n">
        <v>1</v>
      </c>
      <c r="BD108" s="3" t="n">
        <v>4</v>
      </c>
      <c r="BE108" s="3" t="n">
        <v>3</v>
      </c>
      <c r="BF108" s="3" t="n">
        <v>5</v>
      </c>
      <c r="BG108" s="3" t="n">
        <v>3</v>
      </c>
      <c r="BH108" s="3" t="n">
        <v>4</v>
      </c>
      <c r="BI108" s="3" t="n">
        <v>1</v>
      </c>
      <c r="BJ108" s="3" t="n">
        <v>1</v>
      </c>
    </row>
    <row r="109" customFormat="false" ht="12.75" hidden="false" customHeight="false" outlineLevel="0" collapsed="false">
      <c r="B109" s="17" t="s">
        <v>445</v>
      </c>
      <c r="C109" s="17" t="s">
        <v>308</v>
      </c>
      <c r="D109" s="17" t="s">
        <v>1540</v>
      </c>
      <c r="E109" s="2" t="n">
        <v>184117</v>
      </c>
      <c r="F109" s="15" t="n">
        <v>43702</v>
      </c>
      <c r="G109" s="15" t="n">
        <v>43709</v>
      </c>
      <c r="H109" s="3" t="n">
        <v>7</v>
      </c>
      <c r="I109" s="3" t="n">
        <v>1</v>
      </c>
      <c r="J109" s="3" t="n">
        <v>55</v>
      </c>
      <c r="K109" s="3" t="n">
        <v>1</v>
      </c>
      <c r="L109" s="3" t="n">
        <v>1</v>
      </c>
      <c r="M109" s="3" t="n">
        <v>1</v>
      </c>
      <c r="N109" s="3" t="n">
        <v>2</v>
      </c>
      <c r="O109" s="3" t="n">
        <v>2</v>
      </c>
      <c r="P109" s="3" t="n">
        <v>2</v>
      </c>
      <c r="Q109" s="3" t="n">
        <v>1</v>
      </c>
      <c r="R109" s="3" t="n">
        <v>2</v>
      </c>
      <c r="S109" s="3" t="n">
        <v>2</v>
      </c>
      <c r="T109" s="4" t="n">
        <v>2</v>
      </c>
      <c r="U109" s="3" t="n">
        <v>2</v>
      </c>
      <c r="V109" s="3" t="n">
        <v>4.94</v>
      </c>
      <c r="W109" s="3" t="n">
        <v>1.31</v>
      </c>
      <c r="X109" s="3" t="n">
        <v>7.8</v>
      </c>
      <c r="Y109" s="3" t="n">
        <v>453</v>
      </c>
      <c r="AA109" s="3" t="n">
        <v>12</v>
      </c>
      <c r="AB109" s="3" t="n">
        <v>0.45</v>
      </c>
      <c r="AC109" s="3" t="n">
        <v>1</v>
      </c>
      <c r="AD109" s="3" t="n">
        <v>2</v>
      </c>
      <c r="AE109" s="3" t="n">
        <v>1</v>
      </c>
      <c r="AF109" s="3" t="n">
        <v>1</v>
      </c>
      <c r="AG109" s="3" t="n">
        <v>2</v>
      </c>
      <c r="AH109" s="3" t="n">
        <v>2</v>
      </c>
      <c r="AI109" s="3" t="n">
        <v>1</v>
      </c>
      <c r="AJ109" s="3" t="n">
        <v>2</v>
      </c>
      <c r="AK109" s="3" t="n">
        <v>2</v>
      </c>
      <c r="AL109" s="3" t="n">
        <v>2</v>
      </c>
      <c r="AM109" s="3" t="n">
        <v>2</v>
      </c>
      <c r="AN109" s="3" t="n">
        <v>2</v>
      </c>
      <c r="AO109" s="3" t="n">
        <v>2</v>
      </c>
      <c r="AP109" s="3" t="n">
        <v>3</v>
      </c>
      <c r="AQ109" s="3" t="n">
        <v>4</v>
      </c>
      <c r="AR109" s="3" t="n">
        <v>4</v>
      </c>
      <c r="AS109" s="3" t="n">
        <v>6</v>
      </c>
      <c r="AT109" s="3" t="n">
        <v>4</v>
      </c>
      <c r="AU109" s="3" t="n">
        <v>4</v>
      </c>
      <c r="AV109" s="3" t="n">
        <v>6</v>
      </c>
      <c r="AW109" s="3" t="n">
        <v>6</v>
      </c>
      <c r="AX109" s="3" t="n">
        <v>3</v>
      </c>
      <c r="AY109" s="3" t="n">
        <v>3</v>
      </c>
      <c r="AZ109" s="3" t="n">
        <v>1</v>
      </c>
      <c r="BA109" s="5" t="n">
        <v>1</v>
      </c>
      <c r="BB109" s="3" t="n">
        <v>1</v>
      </c>
      <c r="BC109" s="3" t="n">
        <v>1</v>
      </c>
      <c r="BD109" s="3" t="n">
        <v>4</v>
      </c>
      <c r="BE109" s="3" t="n">
        <v>1</v>
      </c>
      <c r="BF109" s="3" t="n">
        <v>3</v>
      </c>
      <c r="BG109" s="3" t="n">
        <v>1</v>
      </c>
      <c r="BH109" s="3" t="n">
        <v>4</v>
      </c>
      <c r="BI109" s="3" t="n">
        <v>1</v>
      </c>
      <c r="BJ109" s="3" t="n">
        <v>1</v>
      </c>
    </row>
    <row r="110" customFormat="false" ht="12.75" hidden="false" customHeight="false" outlineLevel="0" collapsed="false">
      <c r="B110" s="17" t="s">
        <v>258</v>
      </c>
      <c r="C110" s="17" t="s">
        <v>494</v>
      </c>
      <c r="D110" s="17" t="s">
        <v>528</v>
      </c>
      <c r="E110" s="2" t="n">
        <v>184408</v>
      </c>
      <c r="F110" s="15" t="n">
        <v>43707</v>
      </c>
      <c r="G110" s="15" t="n">
        <v>43712</v>
      </c>
      <c r="H110" s="3" t="n">
        <v>5</v>
      </c>
      <c r="I110" s="3" t="n">
        <v>2</v>
      </c>
      <c r="J110" s="3" t="n">
        <v>58</v>
      </c>
      <c r="K110" s="3" t="n">
        <v>1</v>
      </c>
      <c r="L110" s="3" t="n">
        <v>1</v>
      </c>
      <c r="M110" s="3" t="n">
        <v>1</v>
      </c>
      <c r="N110" s="3" t="n">
        <v>2</v>
      </c>
      <c r="O110" s="3" t="n">
        <v>2</v>
      </c>
      <c r="P110" s="3" t="n">
        <v>2</v>
      </c>
      <c r="Q110" s="3" t="n">
        <v>1</v>
      </c>
      <c r="R110" s="3" t="n">
        <v>2</v>
      </c>
      <c r="S110" s="3" t="n">
        <v>2</v>
      </c>
      <c r="T110" s="4" t="n">
        <v>2</v>
      </c>
      <c r="U110" s="3" t="n">
        <v>2</v>
      </c>
      <c r="V110" s="3" t="n">
        <v>4.14</v>
      </c>
      <c r="W110" s="3" t="n">
        <v>1.92</v>
      </c>
      <c r="X110" s="3" t="n">
        <v>18.3</v>
      </c>
      <c r="Y110" s="3" t="n">
        <v>567</v>
      </c>
      <c r="AA110" s="3" t="n">
        <v>0.41</v>
      </c>
      <c r="AB110" s="3" t="n">
        <v>22.4</v>
      </c>
      <c r="AC110" s="3" t="n">
        <v>1</v>
      </c>
      <c r="AD110" s="3" t="n">
        <v>2</v>
      </c>
      <c r="AE110" s="3" t="n">
        <v>1</v>
      </c>
      <c r="AF110" s="3" t="n">
        <v>1</v>
      </c>
      <c r="AG110" s="3" t="n">
        <v>2</v>
      </c>
      <c r="AH110" s="3" t="n">
        <v>2</v>
      </c>
      <c r="AI110" s="3" t="n">
        <v>1</v>
      </c>
      <c r="AJ110" s="3" t="n">
        <v>2</v>
      </c>
      <c r="AK110" s="3" t="n">
        <v>1</v>
      </c>
      <c r="AL110" s="3" t="n">
        <v>2</v>
      </c>
      <c r="AM110" s="3" t="n">
        <v>1</v>
      </c>
      <c r="AN110" s="3" t="n">
        <v>2</v>
      </c>
      <c r="AO110" s="3" t="n">
        <v>2</v>
      </c>
      <c r="AP110" s="3" t="n">
        <v>3</v>
      </c>
      <c r="AQ110" s="3" t="n">
        <v>4</v>
      </c>
      <c r="AR110" s="3" t="n">
        <v>4</v>
      </c>
      <c r="AS110" s="3" t="n">
        <v>6</v>
      </c>
      <c r="AT110" s="3" t="n">
        <v>4</v>
      </c>
      <c r="AU110" s="3" t="n">
        <v>4</v>
      </c>
      <c r="AV110" s="3" t="n">
        <v>6</v>
      </c>
      <c r="AW110" s="3" t="n">
        <v>6</v>
      </c>
      <c r="AX110" s="3" t="n">
        <v>3</v>
      </c>
      <c r="AY110" s="3" t="n">
        <v>3</v>
      </c>
      <c r="AZ110" s="3" t="n">
        <v>16</v>
      </c>
      <c r="BA110" s="5" t="n">
        <v>1</v>
      </c>
      <c r="BB110" s="3" t="n">
        <v>1</v>
      </c>
      <c r="BC110" s="3" t="n">
        <v>1</v>
      </c>
      <c r="BD110" s="3" t="n">
        <v>4</v>
      </c>
      <c r="BE110" s="3" t="n">
        <v>3</v>
      </c>
      <c r="BF110" s="3" t="n">
        <v>5</v>
      </c>
      <c r="BG110" s="3" t="n">
        <v>3</v>
      </c>
      <c r="BH110" s="3" t="n">
        <v>4</v>
      </c>
      <c r="BI110" s="3" t="n">
        <v>1</v>
      </c>
      <c r="BJ110" s="3" t="n">
        <v>1</v>
      </c>
    </row>
    <row r="111" customFormat="false" ht="12.75" hidden="false" customHeight="false" outlineLevel="0" collapsed="false">
      <c r="B111" s="17" t="s">
        <v>1116</v>
      </c>
      <c r="C111" s="17" t="s">
        <v>1547</v>
      </c>
      <c r="D111" s="17" t="s">
        <v>308</v>
      </c>
      <c r="E111" s="2" t="n">
        <v>184301</v>
      </c>
      <c r="F111" s="15" t="n">
        <v>43705</v>
      </c>
      <c r="G111" s="15" t="n">
        <v>43712</v>
      </c>
      <c r="H111" s="3" t="n">
        <v>7</v>
      </c>
      <c r="I111" s="3" t="n">
        <v>2</v>
      </c>
      <c r="J111" s="3" t="n">
        <v>61</v>
      </c>
      <c r="K111" s="3" t="n">
        <v>1</v>
      </c>
      <c r="L111" s="3" t="n">
        <v>1</v>
      </c>
      <c r="M111" s="3" t="n">
        <v>1</v>
      </c>
      <c r="N111" s="3" t="n">
        <v>2</v>
      </c>
      <c r="O111" s="3" t="n">
        <v>2</v>
      </c>
      <c r="P111" s="3" t="n">
        <v>2</v>
      </c>
      <c r="Q111" s="3" t="n">
        <v>2</v>
      </c>
      <c r="R111" s="3" t="n">
        <v>2</v>
      </c>
      <c r="S111" s="3" t="n">
        <v>2</v>
      </c>
      <c r="T111" s="4" t="n">
        <v>2</v>
      </c>
      <c r="U111" s="3" t="n">
        <v>2</v>
      </c>
      <c r="V111" s="3" t="n">
        <v>5.19</v>
      </c>
      <c r="W111" s="3" t="n">
        <v>1.56</v>
      </c>
      <c r="X111" s="3" t="n">
        <v>5.69</v>
      </c>
      <c r="Y111" s="3" t="n">
        <v>680</v>
      </c>
      <c r="AA111" s="3" t="n">
        <v>0.46</v>
      </c>
      <c r="AB111" s="3" t="n">
        <v>13</v>
      </c>
      <c r="AC111" s="3" t="n">
        <v>1</v>
      </c>
      <c r="AD111" s="3" t="n">
        <v>2</v>
      </c>
      <c r="AE111" s="3" t="n">
        <v>1</v>
      </c>
      <c r="AF111" s="3" t="n">
        <v>1</v>
      </c>
      <c r="AG111" s="3" t="n">
        <v>1</v>
      </c>
      <c r="AH111" s="3" t="n">
        <v>2</v>
      </c>
      <c r="AI111" s="3" t="n">
        <v>1</v>
      </c>
      <c r="AJ111" s="3" t="n">
        <v>2</v>
      </c>
      <c r="AK111" s="3" t="n">
        <v>2</v>
      </c>
      <c r="AL111" s="3" t="n">
        <v>2</v>
      </c>
      <c r="AM111" s="3" t="n">
        <v>2</v>
      </c>
      <c r="AN111" s="3" t="n">
        <v>2</v>
      </c>
      <c r="AO111" s="3" t="n">
        <v>2</v>
      </c>
      <c r="AP111" s="3" t="n">
        <v>3</v>
      </c>
      <c r="AQ111" s="3" t="n">
        <v>4</v>
      </c>
      <c r="AR111" s="3" t="n">
        <v>4</v>
      </c>
      <c r="AS111" s="3" t="n">
        <v>6</v>
      </c>
      <c r="AT111" s="3" t="n">
        <v>4</v>
      </c>
      <c r="AU111" s="3" t="n">
        <v>4</v>
      </c>
      <c r="AV111" s="3" t="n">
        <v>6</v>
      </c>
      <c r="AW111" s="3" t="n">
        <v>6</v>
      </c>
      <c r="AX111" s="3" t="n">
        <v>3</v>
      </c>
      <c r="AY111" s="3" t="n">
        <v>3</v>
      </c>
      <c r="AZ111" s="3" t="n">
        <v>1</v>
      </c>
      <c r="BA111" s="5" t="n">
        <v>1</v>
      </c>
      <c r="BB111" s="3" t="n">
        <v>1</v>
      </c>
      <c r="BC111" s="3" t="n">
        <v>1</v>
      </c>
      <c r="BD111" s="3" t="n">
        <v>2</v>
      </c>
      <c r="BE111" s="3" t="n">
        <v>3</v>
      </c>
      <c r="BF111" s="3" t="n">
        <v>5</v>
      </c>
      <c r="BG111" s="3" t="n">
        <v>3</v>
      </c>
      <c r="BH111" s="3" t="n">
        <v>4</v>
      </c>
      <c r="BI111" s="3" t="n">
        <v>1</v>
      </c>
      <c r="BJ111" s="3" t="n">
        <v>1</v>
      </c>
    </row>
    <row r="112" customFormat="false" ht="12.75" hidden="false" customHeight="false" outlineLevel="0" collapsed="false">
      <c r="B112" s="17" t="s">
        <v>1549</v>
      </c>
      <c r="C112" s="17" t="s">
        <v>304</v>
      </c>
      <c r="D112" s="17" t="s">
        <v>1550</v>
      </c>
      <c r="E112" s="2" t="n">
        <v>184413</v>
      </c>
      <c r="F112" s="15" t="n">
        <v>43707</v>
      </c>
      <c r="G112" s="15" t="n">
        <v>43713</v>
      </c>
      <c r="H112" s="3" t="n">
        <v>6</v>
      </c>
      <c r="I112" s="3" t="n">
        <v>2</v>
      </c>
      <c r="J112" s="3" t="n">
        <v>60</v>
      </c>
      <c r="K112" s="3" t="n">
        <v>1</v>
      </c>
      <c r="L112" s="3" t="n">
        <v>2</v>
      </c>
      <c r="M112" s="3" t="n">
        <v>1</v>
      </c>
      <c r="N112" s="3" t="n">
        <v>2</v>
      </c>
      <c r="O112" s="3" t="n">
        <v>2</v>
      </c>
      <c r="P112" s="3" t="n">
        <v>1</v>
      </c>
      <c r="Q112" s="3" t="n">
        <v>1</v>
      </c>
      <c r="R112" s="3" t="n">
        <v>2</v>
      </c>
      <c r="S112" s="3" t="n">
        <v>1</v>
      </c>
      <c r="T112" s="4" t="n">
        <v>2</v>
      </c>
      <c r="U112" s="3" t="n">
        <v>2</v>
      </c>
      <c r="V112" s="3" t="n">
        <v>5.49</v>
      </c>
      <c r="W112" s="3" t="n">
        <v>2.29</v>
      </c>
      <c r="X112" s="3" t="n">
        <v>8.1</v>
      </c>
      <c r="Y112" s="3" t="n">
        <v>446</v>
      </c>
      <c r="AA112" s="3" t="n">
        <v>0.47</v>
      </c>
      <c r="AB112" s="3" t="n">
        <v>7.6</v>
      </c>
      <c r="AC112" s="3" t="n">
        <v>1</v>
      </c>
      <c r="AD112" s="3" t="n">
        <v>2</v>
      </c>
      <c r="AE112" s="3" t="n">
        <v>1</v>
      </c>
      <c r="AF112" s="3" t="n">
        <v>1</v>
      </c>
      <c r="AG112" s="3" t="n">
        <v>1</v>
      </c>
      <c r="AH112" s="3" t="n">
        <v>2</v>
      </c>
      <c r="AI112" s="3" t="n">
        <v>1</v>
      </c>
      <c r="AJ112" s="3" t="n">
        <v>1</v>
      </c>
      <c r="AK112" s="3" t="n">
        <v>2</v>
      </c>
      <c r="AL112" s="3" t="n">
        <v>2</v>
      </c>
      <c r="AM112" s="3" t="n">
        <v>2</v>
      </c>
      <c r="AN112" s="3" t="n">
        <v>2</v>
      </c>
      <c r="AO112" s="3" t="n">
        <v>2</v>
      </c>
      <c r="AP112" s="3" t="n">
        <v>3</v>
      </c>
      <c r="AQ112" s="3" t="n">
        <v>4</v>
      </c>
      <c r="AR112" s="3" t="n">
        <v>4</v>
      </c>
      <c r="AS112" s="3" t="n">
        <v>6</v>
      </c>
      <c r="AT112" s="3" t="n">
        <v>4</v>
      </c>
      <c r="AU112" s="3" t="n">
        <v>4</v>
      </c>
      <c r="AV112" s="3" t="n">
        <v>6</v>
      </c>
      <c r="AW112" s="3" t="n">
        <v>6</v>
      </c>
      <c r="AX112" s="3" t="n">
        <v>3</v>
      </c>
      <c r="AY112" s="3" t="n">
        <v>3</v>
      </c>
      <c r="AZ112" s="3" t="n">
        <v>1</v>
      </c>
      <c r="BA112" s="5" t="n">
        <v>1</v>
      </c>
      <c r="BB112" s="3" t="n">
        <v>1</v>
      </c>
      <c r="BC112" s="3" t="n">
        <v>1</v>
      </c>
      <c r="BD112" s="3" t="n">
        <v>3</v>
      </c>
      <c r="BE112" s="3" t="n">
        <v>3</v>
      </c>
      <c r="BF112" s="3" t="n">
        <v>5</v>
      </c>
      <c r="BG112" s="3" t="n">
        <v>3</v>
      </c>
      <c r="BH112" s="3" t="n">
        <v>4</v>
      </c>
      <c r="BI112" s="3" t="n">
        <v>1</v>
      </c>
      <c r="BJ112" s="3" t="n">
        <v>1</v>
      </c>
    </row>
    <row r="113" customFormat="false" ht="12.75" hidden="false" customHeight="false" outlineLevel="0" collapsed="false">
      <c r="B113" s="17" t="s">
        <v>323</v>
      </c>
      <c r="C113" s="17" t="s">
        <v>1482</v>
      </c>
      <c r="D113" s="17" t="s">
        <v>1552</v>
      </c>
      <c r="E113" s="2" t="n">
        <v>184462</v>
      </c>
      <c r="F113" s="15" t="n">
        <v>43708</v>
      </c>
      <c r="G113" s="15" t="n">
        <v>43715</v>
      </c>
      <c r="H113" s="3" t="n">
        <v>8</v>
      </c>
      <c r="I113" s="3" t="n">
        <v>2</v>
      </c>
      <c r="J113" s="3" t="n">
        <v>61</v>
      </c>
      <c r="K113" s="3" t="n">
        <v>1</v>
      </c>
      <c r="L113" s="3" t="n">
        <v>1</v>
      </c>
      <c r="M113" s="3" t="n">
        <v>1</v>
      </c>
      <c r="N113" s="3" t="n">
        <v>2</v>
      </c>
      <c r="O113" s="3" t="n">
        <v>2</v>
      </c>
      <c r="P113" s="3" t="n">
        <v>2</v>
      </c>
      <c r="Q113" s="3" t="n">
        <v>2</v>
      </c>
      <c r="R113" s="3" t="n">
        <v>2</v>
      </c>
      <c r="S113" s="3" t="n">
        <v>2</v>
      </c>
      <c r="T113" s="4" t="n">
        <v>2</v>
      </c>
      <c r="U113" s="3" t="n">
        <v>2</v>
      </c>
      <c r="V113" s="3" t="n">
        <v>4.44</v>
      </c>
      <c r="W113" s="3" t="n">
        <v>1.24</v>
      </c>
      <c r="X113" s="3" t="n">
        <v>4.51</v>
      </c>
      <c r="Y113" s="3" t="n">
        <v>367</v>
      </c>
      <c r="AA113" s="3" t="n">
        <v>0.45</v>
      </c>
      <c r="AB113" s="3" t="n">
        <v>15.6</v>
      </c>
      <c r="AC113" s="3" t="n">
        <v>1</v>
      </c>
      <c r="AD113" s="3" t="n">
        <v>2</v>
      </c>
      <c r="AE113" s="3" t="n">
        <v>1</v>
      </c>
      <c r="AF113" s="3" t="n">
        <v>1</v>
      </c>
      <c r="AG113" s="3" t="n">
        <v>2</v>
      </c>
      <c r="AH113" s="3" t="n">
        <v>2</v>
      </c>
      <c r="AI113" s="3" t="n">
        <v>1</v>
      </c>
      <c r="AJ113" s="3" t="n">
        <v>2</v>
      </c>
      <c r="AK113" s="3" t="n">
        <v>2</v>
      </c>
      <c r="AL113" s="3" t="n">
        <v>2</v>
      </c>
      <c r="AM113" s="3" t="n">
        <v>2</v>
      </c>
      <c r="AN113" s="3" t="n">
        <v>2</v>
      </c>
      <c r="AO113" s="3" t="n">
        <v>2</v>
      </c>
      <c r="AP113" s="3" t="n">
        <v>3</v>
      </c>
      <c r="AQ113" s="3" t="n">
        <v>4</v>
      </c>
      <c r="AR113" s="3" t="n">
        <v>4</v>
      </c>
      <c r="AS113" s="3" t="n">
        <v>6</v>
      </c>
      <c r="AT113" s="3" t="n">
        <v>4</v>
      </c>
      <c r="AU113" s="3" t="n">
        <v>4</v>
      </c>
      <c r="AV113" s="3" t="n">
        <v>6</v>
      </c>
      <c r="AW113" s="3" t="n">
        <v>6</v>
      </c>
      <c r="AX113" s="3" t="n">
        <v>3</v>
      </c>
      <c r="AY113" s="3" t="n">
        <v>3</v>
      </c>
      <c r="AZ113" s="3" t="n">
        <v>1</v>
      </c>
      <c r="BA113" s="5" t="n">
        <v>1</v>
      </c>
      <c r="BB113" s="3" t="n">
        <v>1</v>
      </c>
      <c r="BC113" s="3" t="n">
        <v>1</v>
      </c>
      <c r="BD113" s="3" t="n">
        <v>4</v>
      </c>
      <c r="BE113" s="3" t="n">
        <v>1</v>
      </c>
      <c r="BF113" s="3" t="n">
        <v>2</v>
      </c>
      <c r="BG113" s="3" t="n">
        <v>3</v>
      </c>
      <c r="BH113" s="3" t="n">
        <v>4</v>
      </c>
      <c r="BI113" s="3" t="n">
        <v>1</v>
      </c>
      <c r="BJ113" s="3" t="n">
        <v>1</v>
      </c>
    </row>
    <row r="114" customFormat="false" ht="12.75" hidden="false" customHeight="false" outlineLevel="0" collapsed="false">
      <c r="B114" s="2" t="s">
        <v>758</v>
      </c>
      <c r="C114" s="2" t="s">
        <v>127</v>
      </c>
      <c r="D114" s="2" t="s">
        <v>454</v>
      </c>
      <c r="E114" s="2" t="n">
        <v>184498</v>
      </c>
      <c r="F114" s="15" t="n">
        <v>43710</v>
      </c>
      <c r="G114" s="15" t="n">
        <v>43717</v>
      </c>
      <c r="H114" s="3" t="n">
        <v>7</v>
      </c>
      <c r="I114" s="3" t="n">
        <v>2</v>
      </c>
      <c r="J114" s="3" t="n">
        <v>63</v>
      </c>
      <c r="K114" s="3" t="n">
        <v>1</v>
      </c>
      <c r="L114" s="3" t="n">
        <v>1</v>
      </c>
      <c r="M114" s="3" t="n">
        <v>2</v>
      </c>
      <c r="N114" s="3" t="n">
        <v>2</v>
      </c>
      <c r="O114" s="3" t="n">
        <v>2</v>
      </c>
      <c r="P114" s="3" t="n">
        <v>2</v>
      </c>
      <c r="Q114" s="3" t="n">
        <v>2</v>
      </c>
      <c r="R114" s="3" t="n">
        <v>2</v>
      </c>
      <c r="S114" s="3" t="n">
        <v>2</v>
      </c>
      <c r="T114" s="4" t="n">
        <v>2</v>
      </c>
      <c r="U114" s="3" t="n">
        <v>2</v>
      </c>
      <c r="V114" s="3" t="n">
        <v>4.62</v>
      </c>
      <c r="W114" s="3" t="n">
        <v>2.76</v>
      </c>
      <c r="X114" s="3" t="n">
        <v>9.9</v>
      </c>
      <c r="Y114" s="3" t="n">
        <v>486</v>
      </c>
      <c r="AA114" s="3" t="n">
        <v>0.47</v>
      </c>
      <c r="AB114" s="3" t="n">
        <v>13</v>
      </c>
      <c r="AC114" s="3" t="n">
        <v>1</v>
      </c>
      <c r="AD114" s="3" t="n">
        <v>2</v>
      </c>
      <c r="AE114" s="3" t="n">
        <v>1</v>
      </c>
      <c r="AF114" s="3" t="n">
        <v>1</v>
      </c>
      <c r="AG114" s="3" t="n">
        <v>2</v>
      </c>
      <c r="AH114" s="3" t="n">
        <v>2</v>
      </c>
      <c r="AI114" s="3" t="n">
        <v>1</v>
      </c>
      <c r="AJ114" s="3" t="n">
        <v>2</v>
      </c>
      <c r="AK114" s="3" t="n">
        <v>2</v>
      </c>
      <c r="AL114" s="3" t="n">
        <v>2</v>
      </c>
      <c r="AM114" s="3" t="n">
        <v>2</v>
      </c>
      <c r="AN114" s="3" t="n">
        <v>2</v>
      </c>
      <c r="AO114" s="3" t="n">
        <v>2</v>
      </c>
      <c r="AP114" s="3" t="n">
        <v>3</v>
      </c>
      <c r="AQ114" s="3" t="n">
        <v>4</v>
      </c>
      <c r="AR114" s="3" t="n">
        <v>4</v>
      </c>
      <c r="AS114" s="3" t="n">
        <v>6</v>
      </c>
      <c r="AT114" s="3" t="n">
        <v>4</v>
      </c>
      <c r="AU114" s="3" t="n">
        <v>4</v>
      </c>
      <c r="AV114" s="3" t="n">
        <v>6</v>
      </c>
      <c r="AW114" s="3" t="n">
        <v>6</v>
      </c>
      <c r="AX114" s="3" t="n">
        <v>3</v>
      </c>
      <c r="AY114" s="3" t="n">
        <v>3</v>
      </c>
      <c r="AZ114" s="3" t="n">
        <v>1</v>
      </c>
      <c r="BA114" s="5" t="n">
        <v>1</v>
      </c>
      <c r="BB114" s="3" t="n">
        <v>1</v>
      </c>
      <c r="BC114" s="3" t="n">
        <v>1</v>
      </c>
      <c r="BD114" s="3" t="n">
        <v>4</v>
      </c>
      <c r="BE114" s="3" t="n">
        <v>1</v>
      </c>
      <c r="BF114" s="3" t="n">
        <v>2</v>
      </c>
      <c r="BG114" s="3" t="n">
        <v>1</v>
      </c>
      <c r="BH114" s="3" t="n">
        <v>4</v>
      </c>
      <c r="BI114" s="3" t="n">
        <v>1</v>
      </c>
      <c r="BJ114" s="3" t="n">
        <v>1</v>
      </c>
    </row>
    <row r="115" customFormat="false" ht="12.75" hidden="false" customHeight="false" outlineLevel="0" collapsed="false">
      <c r="B115" s="17" t="s">
        <v>156</v>
      </c>
      <c r="C115" s="17" t="s">
        <v>1557</v>
      </c>
      <c r="D115" s="17" t="s">
        <v>1558</v>
      </c>
      <c r="E115" s="2" t="n">
        <v>184619</v>
      </c>
      <c r="F115" s="15" t="n">
        <v>43711</v>
      </c>
      <c r="G115" s="15" t="n">
        <v>43718</v>
      </c>
      <c r="H115" s="3" t="n">
        <v>7</v>
      </c>
      <c r="I115" s="3" t="n">
        <v>2</v>
      </c>
      <c r="J115" s="3" t="n">
        <v>49</v>
      </c>
      <c r="K115" s="3" t="n">
        <v>2</v>
      </c>
      <c r="L115" s="3" t="n">
        <v>1</v>
      </c>
      <c r="M115" s="3" t="n">
        <v>2</v>
      </c>
      <c r="N115" s="3" t="n">
        <v>2</v>
      </c>
      <c r="O115" s="3" t="n">
        <v>2</v>
      </c>
      <c r="P115" s="3" t="n">
        <v>2</v>
      </c>
      <c r="Q115" s="3" t="n">
        <v>2</v>
      </c>
      <c r="R115" s="3" t="n">
        <v>2</v>
      </c>
      <c r="S115" s="3" t="n">
        <v>2</v>
      </c>
      <c r="T115" s="4" t="n">
        <v>1</v>
      </c>
      <c r="U115" s="3" t="n">
        <v>1</v>
      </c>
      <c r="V115" s="3" t="n">
        <v>4.21</v>
      </c>
      <c r="W115" s="3" t="n">
        <v>0.82</v>
      </c>
      <c r="X115" s="3" t="n">
        <v>5.58</v>
      </c>
      <c r="Y115" s="3" t="n">
        <v>311</v>
      </c>
      <c r="AA115" s="3" t="n">
        <v>0.48</v>
      </c>
      <c r="AB115" s="3" t="n">
        <v>13.8</v>
      </c>
      <c r="AC115" s="3" t="n">
        <v>1</v>
      </c>
      <c r="AD115" s="3" t="n">
        <v>1</v>
      </c>
      <c r="AE115" s="3" t="n">
        <v>1</v>
      </c>
      <c r="AF115" s="3" t="n">
        <v>1</v>
      </c>
      <c r="AG115" s="3" t="n">
        <v>2</v>
      </c>
      <c r="AH115" s="3" t="n">
        <v>2</v>
      </c>
      <c r="AI115" s="3" t="n">
        <v>1</v>
      </c>
      <c r="AJ115" s="3" t="n">
        <v>2</v>
      </c>
      <c r="AK115" s="3" t="n">
        <v>2</v>
      </c>
      <c r="AL115" s="3" t="n">
        <v>2</v>
      </c>
      <c r="AM115" s="3" t="n">
        <v>2</v>
      </c>
      <c r="AN115" s="3" t="n">
        <v>2</v>
      </c>
      <c r="AO115" s="3" t="n">
        <v>2</v>
      </c>
      <c r="AP115" s="3" t="n">
        <v>3</v>
      </c>
      <c r="AQ115" s="3" t="n">
        <v>4</v>
      </c>
      <c r="AR115" s="3" t="n">
        <v>4</v>
      </c>
      <c r="AS115" s="3" t="n">
        <v>6</v>
      </c>
      <c r="AT115" s="3" t="n">
        <v>4</v>
      </c>
      <c r="AU115" s="3" t="n">
        <v>4</v>
      </c>
      <c r="AV115" s="3" t="n">
        <v>6</v>
      </c>
      <c r="AW115" s="3" t="n">
        <v>6</v>
      </c>
      <c r="AX115" s="3" t="n">
        <v>3</v>
      </c>
      <c r="AY115" s="3" t="n">
        <v>3</v>
      </c>
      <c r="AZ115" s="3" t="n">
        <v>1</v>
      </c>
      <c r="BA115" s="5" t="n">
        <v>1</v>
      </c>
      <c r="BB115" s="3" t="n">
        <v>1</v>
      </c>
      <c r="BC115" s="3" t="n">
        <v>1</v>
      </c>
      <c r="BD115" s="3" t="n">
        <v>4</v>
      </c>
      <c r="BE115" s="3" t="n">
        <v>3</v>
      </c>
      <c r="BF115" s="3" t="n">
        <v>5</v>
      </c>
      <c r="BG115" s="3" t="n">
        <v>3</v>
      </c>
      <c r="BH115" s="3" t="n">
        <v>4</v>
      </c>
      <c r="BI115" s="3" t="n">
        <v>1</v>
      </c>
      <c r="BJ115" s="3" t="n">
        <v>1</v>
      </c>
    </row>
    <row r="116" customFormat="false" ht="12.75" hidden="false" customHeight="false" outlineLevel="0" collapsed="false">
      <c r="B116" s="2" t="s">
        <v>73</v>
      </c>
      <c r="C116" s="2" t="s">
        <v>1570</v>
      </c>
      <c r="D116" s="2" t="s">
        <v>127</v>
      </c>
      <c r="E116" s="2" t="n">
        <v>184730</v>
      </c>
      <c r="F116" s="15" t="n">
        <v>43718</v>
      </c>
      <c r="G116" s="15" t="n">
        <v>37516</v>
      </c>
      <c r="H116" s="3" t="n">
        <v>7</v>
      </c>
      <c r="I116" s="3" t="n">
        <v>2</v>
      </c>
      <c r="J116" s="3" t="n">
        <v>56</v>
      </c>
      <c r="K116" s="3" t="n">
        <v>1</v>
      </c>
      <c r="L116" s="3" t="n">
        <v>2</v>
      </c>
      <c r="M116" s="3" t="n">
        <v>1</v>
      </c>
      <c r="N116" s="3" t="n">
        <v>2</v>
      </c>
      <c r="O116" s="3" t="n">
        <v>2</v>
      </c>
      <c r="P116" s="3" t="n">
        <v>2</v>
      </c>
      <c r="Q116" s="3" t="n">
        <v>2</v>
      </c>
      <c r="R116" s="3" t="n">
        <v>2</v>
      </c>
      <c r="S116" s="3" t="n">
        <v>1</v>
      </c>
      <c r="T116" s="4" t="n">
        <v>2</v>
      </c>
      <c r="U116" s="3" t="n">
        <v>2</v>
      </c>
      <c r="V116" s="3" t="n">
        <v>5.22</v>
      </c>
      <c r="W116" s="3" t="n">
        <v>1.79</v>
      </c>
      <c r="X116" s="3" t="n">
        <v>7.7</v>
      </c>
      <c r="Y116" s="3" t="n">
        <v>451</v>
      </c>
      <c r="AA116" s="3" t="n">
        <v>0.41</v>
      </c>
      <c r="AB116" s="3" t="n">
        <v>8</v>
      </c>
      <c r="AC116" s="3" t="n">
        <v>2</v>
      </c>
      <c r="AD116" s="3" t="n">
        <v>1</v>
      </c>
      <c r="AE116" s="3" t="n">
        <v>1</v>
      </c>
      <c r="AF116" s="3" t="n">
        <v>1</v>
      </c>
      <c r="AG116" s="3" t="n">
        <v>2</v>
      </c>
      <c r="AH116" s="3" t="n">
        <v>2</v>
      </c>
      <c r="AI116" s="3" t="n">
        <v>1</v>
      </c>
      <c r="AJ116" s="3" t="n">
        <v>1</v>
      </c>
      <c r="AK116" s="3" t="n">
        <v>2</v>
      </c>
      <c r="AL116" s="3" t="n">
        <v>2</v>
      </c>
      <c r="AM116" s="3" t="n">
        <v>1</v>
      </c>
      <c r="AN116" s="3" t="n">
        <v>2</v>
      </c>
      <c r="AO116" s="3" t="n">
        <v>2</v>
      </c>
      <c r="AP116" s="3" t="n">
        <v>3</v>
      </c>
      <c r="AQ116" s="3" t="n">
        <v>4</v>
      </c>
      <c r="AR116" s="3" t="n">
        <v>4</v>
      </c>
      <c r="AS116" s="3" t="n">
        <v>6</v>
      </c>
      <c r="AT116" s="3" t="n">
        <v>4</v>
      </c>
      <c r="AU116" s="3" t="n">
        <v>4</v>
      </c>
      <c r="AV116" s="3" t="n">
        <v>6</v>
      </c>
      <c r="AW116" s="3" t="n">
        <v>6</v>
      </c>
      <c r="AX116" s="3" t="n">
        <v>3</v>
      </c>
      <c r="AY116" s="3" t="n">
        <v>3</v>
      </c>
      <c r="AZ116" s="3" t="n">
        <v>1</v>
      </c>
      <c r="BA116" s="5" t="n">
        <v>1</v>
      </c>
      <c r="BB116" s="3" t="n">
        <v>1</v>
      </c>
      <c r="BC116" s="3" t="n">
        <v>1</v>
      </c>
      <c r="BD116" s="3" t="n">
        <v>2</v>
      </c>
      <c r="BE116" s="3" t="n">
        <v>3</v>
      </c>
      <c r="BF116" s="3" t="n">
        <v>5</v>
      </c>
      <c r="BG116" s="3" t="n">
        <v>3</v>
      </c>
      <c r="BH116" s="3" t="n">
        <v>4</v>
      </c>
      <c r="BI116" s="3" t="n">
        <v>1</v>
      </c>
      <c r="BJ116" s="3" t="n">
        <v>1</v>
      </c>
    </row>
    <row r="117" customFormat="false" ht="12.75" hidden="false" customHeight="false" outlineLevel="0" collapsed="false">
      <c r="B117" s="2" t="s">
        <v>1577</v>
      </c>
      <c r="C117" s="2" t="s">
        <v>172</v>
      </c>
      <c r="D117" s="2" t="s">
        <v>157</v>
      </c>
      <c r="E117" s="2" t="n">
        <v>185146</v>
      </c>
      <c r="F117" s="15" t="n">
        <v>43724</v>
      </c>
      <c r="G117" s="15" t="n">
        <v>43732</v>
      </c>
      <c r="H117" s="3" t="n">
        <v>8</v>
      </c>
      <c r="I117" s="3" t="n">
        <v>2</v>
      </c>
      <c r="J117" s="3" t="n">
        <v>67</v>
      </c>
      <c r="K117" s="3" t="n">
        <v>1</v>
      </c>
      <c r="L117" s="3" t="n">
        <v>1</v>
      </c>
      <c r="M117" s="3" t="n">
        <v>2</v>
      </c>
      <c r="N117" s="3" t="n">
        <v>2</v>
      </c>
      <c r="O117" s="3" t="n">
        <v>2</v>
      </c>
      <c r="P117" s="3" t="n">
        <v>2</v>
      </c>
      <c r="Q117" s="3" t="n">
        <v>2</v>
      </c>
      <c r="R117" s="3" t="n">
        <v>2</v>
      </c>
      <c r="S117" s="3" t="n">
        <v>2</v>
      </c>
      <c r="T117" s="4" t="n">
        <v>2</v>
      </c>
      <c r="U117" s="3" t="n">
        <v>2</v>
      </c>
      <c r="V117" s="3" t="n">
        <v>2.88</v>
      </c>
      <c r="W117" s="3" t="n">
        <v>1.02</v>
      </c>
      <c r="X117" s="3" t="n">
        <v>5.93</v>
      </c>
      <c r="Y117" s="3" t="n">
        <v>277</v>
      </c>
      <c r="AA117" s="3" t="n">
        <v>0.44</v>
      </c>
      <c r="AB117" s="3" t="n">
        <v>16</v>
      </c>
      <c r="AC117" s="3" t="n">
        <v>1</v>
      </c>
      <c r="AD117" s="3" t="n">
        <v>2</v>
      </c>
      <c r="AE117" s="3" t="n">
        <v>1</v>
      </c>
      <c r="AF117" s="3" t="n">
        <v>1</v>
      </c>
      <c r="AG117" s="3" t="n">
        <v>2</v>
      </c>
      <c r="AH117" s="3" t="n">
        <v>2</v>
      </c>
      <c r="AI117" s="3" t="n">
        <v>1</v>
      </c>
      <c r="AJ117" s="3" t="n">
        <v>2</v>
      </c>
      <c r="AK117" s="3" t="n">
        <v>2</v>
      </c>
      <c r="AL117" s="3" t="n">
        <v>2</v>
      </c>
      <c r="AM117" s="3" t="n">
        <v>2</v>
      </c>
      <c r="AN117" s="3" t="n">
        <v>2</v>
      </c>
      <c r="AO117" s="3" t="n">
        <v>2</v>
      </c>
      <c r="AP117" s="3" t="n">
        <v>2</v>
      </c>
      <c r="AQ117" s="3" t="n">
        <v>2</v>
      </c>
      <c r="AR117" s="3" t="n">
        <v>4</v>
      </c>
      <c r="AS117" s="3" t="n">
        <v>6</v>
      </c>
      <c r="AT117" s="3" t="n">
        <v>4</v>
      </c>
      <c r="AU117" s="3" t="n">
        <v>4</v>
      </c>
      <c r="AV117" s="3" t="n">
        <v>1</v>
      </c>
      <c r="AW117" s="3" t="n">
        <v>6</v>
      </c>
      <c r="AX117" s="3" t="n">
        <v>2</v>
      </c>
      <c r="AY117" s="3" t="n">
        <v>1</v>
      </c>
      <c r="AZ117" s="3" t="n">
        <v>5</v>
      </c>
      <c r="BA117" s="5" t="n">
        <v>1</v>
      </c>
      <c r="BB117" s="3" t="n">
        <v>1</v>
      </c>
      <c r="BC117" s="3" t="n">
        <v>1</v>
      </c>
      <c r="BD117" s="3" t="n">
        <v>4</v>
      </c>
      <c r="BE117" s="3" t="n">
        <v>1</v>
      </c>
      <c r="BF117" s="3" t="n">
        <v>2</v>
      </c>
      <c r="BG117" s="3" t="n">
        <v>1</v>
      </c>
      <c r="BH117" s="3" t="n">
        <v>4</v>
      </c>
      <c r="BI117" s="3" t="n">
        <v>1</v>
      </c>
      <c r="BJ117" s="3" t="n">
        <v>1</v>
      </c>
    </row>
    <row r="118" customFormat="false" ht="12.75" hidden="false" customHeight="false" outlineLevel="0" collapsed="false">
      <c r="B118" s="2" t="s">
        <v>1582</v>
      </c>
      <c r="C118" s="2" t="s">
        <v>1583</v>
      </c>
      <c r="D118" s="2" t="s">
        <v>127</v>
      </c>
      <c r="E118" s="2" t="n">
        <v>185323</v>
      </c>
      <c r="F118" s="15" t="n">
        <v>43725</v>
      </c>
      <c r="G118" s="15" t="n">
        <v>43732</v>
      </c>
      <c r="H118" s="3" t="n">
        <v>7</v>
      </c>
      <c r="I118" s="3" t="n">
        <v>2</v>
      </c>
      <c r="J118" s="3" t="n">
        <v>47</v>
      </c>
      <c r="K118" s="3" t="n">
        <v>1</v>
      </c>
      <c r="L118" s="3" t="n">
        <v>1</v>
      </c>
      <c r="M118" s="3" t="n">
        <v>1</v>
      </c>
      <c r="N118" s="3" t="n">
        <v>2</v>
      </c>
      <c r="O118" s="3" t="n">
        <v>2</v>
      </c>
      <c r="P118" s="3" t="n">
        <v>2</v>
      </c>
      <c r="Q118" s="3" t="n">
        <v>2</v>
      </c>
      <c r="R118" s="3" t="n">
        <v>2</v>
      </c>
      <c r="S118" s="3" t="n">
        <v>2</v>
      </c>
      <c r="T118" s="4" t="n">
        <v>2</v>
      </c>
      <c r="U118" s="3" t="n">
        <v>2</v>
      </c>
      <c r="V118" s="3" t="n">
        <v>3.66</v>
      </c>
      <c r="W118" s="3" t="n">
        <v>0.73</v>
      </c>
      <c r="X118" s="3" t="n">
        <v>6.11</v>
      </c>
      <c r="Y118" s="3" t="n">
        <v>447</v>
      </c>
      <c r="AA118" s="3" t="n">
        <v>0.47</v>
      </c>
      <c r="AB118" s="3" t="n">
        <v>12.3</v>
      </c>
      <c r="AC118" s="3" t="n">
        <v>1</v>
      </c>
      <c r="AD118" s="3" t="n">
        <v>2</v>
      </c>
      <c r="AE118" s="3" t="n">
        <v>1</v>
      </c>
      <c r="AF118" s="3" t="n">
        <v>1</v>
      </c>
      <c r="AG118" s="3" t="n">
        <v>2</v>
      </c>
      <c r="AH118" s="3" t="n">
        <v>2</v>
      </c>
      <c r="AI118" s="3" t="n">
        <v>1</v>
      </c>
      <c r="AJ118" s="3" t="n">
        <v>2</v>
      </c>
      <c r="AK118" s="3" t="n">
        <v>2</v>
      </c>
      <c r="AL118" s="3" t="n">
        <v>2</v>
      </c>
      <c r="AM118" s="3" t="n">
        <v>2</v>
      </c>
      <c r="AN118" s="3" t="n">
        <v>2</v>
      </c>
      <c r="AO118" s="3" t="n">
        <v>2</v>
      </c>
      <c r="AP118" s="3" t="n">
        <v>3</v>
      </c>
      <c r="AQ118" s="3" t="n">
        <v>4</v>
      </c>
      <c r="AR118" s="3" t="n">
        <v>4</v>
      </c>
      <c r="AS118" s="3" t="n">
        <v>6</v>
      </c>
      <c r="AT118" s="3" t="n">
        <v>4</v>
      </c>
      <c r="AU118" s="3" t="n">
        <v>4</v>
      </c>
      <c r="AV118" s="3" t="n">
        <v>6</v>
      </c>
      <c r="AW118" s="3" t="n">
        <v>6</v>
      </c>
      <c r="AX118" s="3" t="n">
        <v>3</v>
      </c>
      <c r="AY118" s="3" t="n">
        <v>3</v>
      </c>
      <c r="AZ118" s="3" t="n">
        <v>1</v>
      </c>
      <c r="BA118" s="5" t="n">
        <v>1</v>
      </c>
      <c r="BB118" s="3" t="n">
        <v>1</v>
      </c>
      <c r="BC118" s="3" t="n">
        <v>1</v>
      </c>
      <c r="BD118" s="3" t="n">
        <v>2</v>
      </c>
      <c r="BE118" s="3" t="n">
        <v>1</v>
      </c>
      <c r="BF118" s="3" t="n">
        <v>2</v>
      </c>
      <c r="BG118" s="3" t="n">
        <v>1</v>
      </c>
      <c r="BH118" s="3" t="n">
        <v>4</v>
      </c>
      <c r="BI118" s="3" t="n">
        <v>1</v>
      </c>
      <c r="BJ118" s="3" t="n">
        <v>1</v>
      </c>
    </row>
    <row r="119" customFormat="false" ht="12.75" hidden="false" customHeight="false" outlineLevel="0" collapsed="false">
      <c r="B119" s="2" t="s">
        <v>556</v>
      </c>
      <c r="C119" s="2" t="s">
        <v>95</v>
      </c>
      <c r="D119" s="2" t="s">
        <v>95</v>
      </c>
      <c r="E119" s="2" t="n">
        <v>185349</v>
      </c>
      <c r="F119" s="15" t="n">
        <v>43726</v>
      </c>
      <c r="G119" s="15" t="n">
        <v>43731</v>
      </c>
      <c r="H119" s="3" t="n">
        <v>5</v>
      </c>
      <c r="I119" s="3" t="n">
        <v>2</v>
      </c>
      <c r="J119" s="3" t="n">
        <v>77</v>
      </c>
      <c r="K119" s="3" t="n">
        <v>1</v>
      </c>
      <c r="L119" s="3" t="n">
        <v>2</v>
      </c>
      <c r="M119" s="3" t="n">
        <v>1</v>
      </c>
      <c r="N119" s="3" t="n">
        <v>2</v>
      </c>
      <c r="O119" s="3" t="n">
        <v>2</v>
      </c>
      <c r="P119" s="3" t="n">
        <v>2</v>
      </c>
      <c r="Q119" s="3" t="n">
        <v>1</v>
      </c>
      <c r="R119" s="3" t="n">
        <v>2</v>
      </c>
      <c r="S119" s="3" t="n">
        <v>2</v>
      </c>
      <c r="T119" s="4" t="n">
        <v>2</v>
      </c>
      <c r="U119" s="3" t="n">
        <v>2</v>
      </c>
      <c r="V119" s="3" t="n">
        <v>4.37</v>
      </c>
      <c r="W119" s="3" t="n">
        <v>2</v>
      </c>
      <c r="X119" s="3" t="n">
        <v>4.47</v>
      </c>
      <c r="Y119" s="3" t="n">
        <v>505</v>
      </c>
      <c r="AA119" s="3" t="n">
        <v>0.48</v>
      </c>
      <c r="AB119" s="3" t="n">
        <v>8.7</v>
      </c>
      <c r="AC119" s="3" t="n">
        <v>1</v>
      </c>
      <c r="AD119" s="3" t="n">
        <v>1</v>
      </c>
      <c r="AE119" s="3" t="n">
        <v>1</v>
      </c>
      <c r="AF119" s="3" t="n">
        <v>1</v>
      </c>
      <c r="AG119" s="3" t="n">
        <v>2</v>
      </c>
      <c r="AH119" s="3" t="n">
        <v>1</v>
      </c>
      <c r="AI119" s="3" t="n">
        <v>1</v>
      </c>
      <c r="AJ119" s="3" t="n">
        <v>2</v>
      </c>
      <c r="AK119" s="3" t="n">
        <v>2</v>
      </c>
      <c r="AL119" s="3" t="n">
        <v>2</v>
      </c>
      <c r="AM119" s="3" t="n">
        <v>2</v>
      </c>
      <c r="AN119" s="3" t="n">
        <v>2</v>
      </c>
      <c r="AO119" s="3" t="n">
        <v>2</v>
      </c>
      <c r="AP119" s="3" t="n">
        <v>3</v>
      </c>
      <c r="AQ119" s="3" t="n">
        <v>4</v>
      </c>
      <c r="AR119" s="3" t="n">
        <v>4</v>
      </c>
      <c r="AS119" s="3" t="n">
        <v>6</v>
      </c>
      <c r="AT119" s="3" t="n">
        <v>4</v>
      </c>
      <c r="AU119" s="3" t="n">
        <v>4</v>
      </c>
      <c r="AV119" s="3" t="n">
        <v>6</v>
      </c>
      <c r="AW119" s="3" t="n">
        <v>6</v>
      </c>
      <c r="AX119" s="3" t="n">
        <v>3</v>
      </c>
      <c r="AY119" s="3" t="n">
        <v>3</v>
      </c>
      <c r="AZ119" s="3" t="n">
        <v>1</v>
      </c>
      <c r="BA119" s="5" t="n">
        <v>1</v>
      </c>
      <c r="BB119" s="3" t="n">
        <v>1</v>
      </c>
      <c r="BC119" s="3" t="n">
        <v>1</v>
      </c>
      <c r="BD119" s="3" t="n">
        <v>4</v>
      </c>
      <c r="BE119" s="3" t="n">
        <v>1</v>
      </c>
      <c r="BF119" s="3" t="n">
        <v>2</v>
      </c>
      <c r="BG119" s="3" t="n">
        <v>1</v>
      </c>
      <c r="BH119" s="3" t="n">
        <v>4</v>
      </c>
      <c r="BI119" s="3" t="n">
        <v>1</v>
      </c>
      <c r="BJ119" s="3" t="n">
        <v>1</v>
      </c>
    </row>
    <row r="120" customFormat="false" ht="12.75" hidden="false" customHeight="false" outlineLevel="0" collapsed="false">
      <c r="B120" s="2" t="s">
        <v>1586</v>
      </c>
      <c r="C120" s="2" t="s">
        <v>74</v>
      </c>
      <c r="D120" s="2" t="s">
        <v>324</v>
      </c>
      <c r="E120" s="2" t="n">
        <v>185361</v>
      </c>
      <c r="F120" s="15" t="n">
        <v>43728</v>
      </c>
      <c r="G120" s="15" t="n">
        <v>43735</v>
      </c>
      <c r="H120" s="3" t="n">
        <v>7</v>
      </c>
      <c r="I120" s="3" t="n">
        <v>2</v>
      </c>
      <c r="J120" s="3" t="n">
        <v>67</v>
      </c>
      <c r="K120" s="3" t="n">
        <v>1</v>
      </c>
      <c r="L120" s="3" t="n">
        <v>2</v>
      </c>
      <c r="M120" s="3" t="n">
        <v>2</v>
      </c>
      <c r="N120" s="3" t="n">
        <v>2</v>
      </c>
      <c r="O120" s="3" t="n">
        <v>2</v>
      </c>
      <c r="P120" s="3" t="n">
        <v>2</v>
      </c>
      <c r="Q120" s="3" t="n">
        <v>1</v>
      </c>
      <c r="R120" s="3" t="n">
        <v>2</v>
      </c>
      <c r="S120" s="3" t="n">
        <v>2</v>
      </c>
      <c r="T120" s="4" t="n">
        <v>2</v>
      </c>
      <c r="U120" s="3" t="n">
        <v>2</v>
      </c>
      <c r="V120" s="3" t="n">
        <v>4.47</v>
      </c>
      <c r="W120" s="3" t="n">
        <v>1.47</v>
      </c>
      <c r="X120" s="3" t="n">
        <v>7.4</v>
      </c>
      <c r="Y120" s="3" t="n">
        <v>324</v>
      </c>
      <c r="AA120" s="3" t="n">
        <v>0.44</v>
      </c>
      <c r="AB120" s="3" t="n">
        <v>6.8</v>
      </c>
      <c r="AC120" s="3" t="n">
        <v>1</v>
      </c>
      <c r="AD120" s="3" t="n">
        <v>1</v>
      </c>
      <c r="AE120" s="3" t="n">
        <v>1</v>
      </c>
      <c r="AF120" s="3" t="n">
        <v>1</v>
      </c>
      <c r="AG120" s="3" t="n">
        <v>1</v>
      </c>
      <c r="AH120" s="3" t="n">
        <v>2</v>
      </c>
      <c r="AI120" s="3" t="n">
        <v>1</v>
      </c>
      <c r="AJ120" s="3" t="n">
        <v>2</v>
      </c>
      <c r="AK120" s="3" t="n">
        <v>2</v>
      </c>
      <c r="AL120" s="3" t="n">
        <v>2</v>
      </c>
      <c r="AM120" s="3" t="n">
        <v>2</v>
      </c>
      <c r="AN120" s="3" t="n">
        <v>2</v>
      </c>
      <c r="AO120" s="3" t="n">
        <v>2</v>
      </c>
      <c r="AP120" s="3" t="n">
        <v>3</v>
      </c>
      <c r="AQ120" s="3" t="n">
        <v>4</v>
      </c>
      <c r="AR120" s="3" t="n">
        <v>4</v>
      </c>
      <c r="AS120" s="3" t="n">
        <v>6</v>
      </c>
      <c r="AT120" s="3" t="n">
        <v>4</v>
      </c>
      <c r="AU120" s="3" t="n">
        <v>4</v>
      </c>
      <c r="AV120" s="3" t="n">
        <v>6</v>
      </c>
      <c r="AW120" s="3" t="n">
        <v>6</v>
      </c>
      <c r="AX120" s="3" t="n">
        <v>3</v>
      </c>
      <c r="AY120" s="3" t="n">
        <v>3</v>
      </c>
      <c r="AZ120" s="3" t="n">
        <v>1</v>
      </c>
      <c r="BA120" s="5" t="n">
        <v>1</v>
      </c>
      <c r="BB120" s="3" t="n">
        <v>1</v>
      </c>
      <c r="BC120" s="3" t="n">
        <v>1</v>
      </c>
      <c r="BD120" s="3" t="n">
        <v>4</v>
      </c>
      <c r="BE120" s="3" t="n">
        <v>3</v>
      </c>
      <c r="BF120" s="3" t="n">
        <v>5</v>
      </c>
      <c r="BG120" s="3" t="n">
        <v>3</v>
      </c>
      <c r="BH120" s="3" t="n">
        <v>4</v>
      </c>
      <c r="BI120" s="3" t="n">
        <v>1</v>
      </c>
      <c r="BJ120" s="3" t="n">
        <v>1</v>
      </c>
    </row>
    <row r="121" customFormat="false" ht="12.75" hidden="false" customHeight="false" outlineLevel="0" collapsed="false">
      <c r="B121" s="2" t="s">
        <v>1596</v>
      </c>
      <c r="C121" s="2" t="s">
        <v>153</v>
      </c>
      <c r="D121" s="2" t="s">
        <v>178</v>
      </c>
      <c r="E121" s="2" t="n">
        <v>185623</v>
      </c>
      <c r="F121" s="15" t="n">
        <v>43731</v>
      </c>
      <c r="G121" s="15" t="n">
        <v>43736</v>
      </c>
      <c r="H121" s="3" t="n">
        <v>5</v>
      </c>
      <c r="I121" s="3" t="n">
        <v>2</v>
      </c>
      <c r="J121" s="3" t="n">
        <v>70</v>
      </c>
      <c r="K121" s="3" t="n">
        <v>1</v>
      </c>
      <c r="L121" s="3" t="n">
        <v>2</v>
      </c>
      <c r="M121" s="3" t="n">
        <v>1</v>
      </c>
      <c r="N121" s="3" t="n">
        <v>2</v>
      </c>
      <c r="O121" s="3" t="n">
        <v>2</v>
      </c>
      <c r="P121" s="3" t="n">
        <v>2</v>
      </c>
      <c r="Q121" s="3" t="n">
        <v>1</v>
      </c>
      <c r="R121" s="3" t="n">
        <v>2</v>
      </c>
      <c r="S121" s="3" t="n">
        <v>2</v>
      </c>
      <c r="T121" s="4" t="n">
        <v>2</v>
      </c>
      <c r="U121" s="3" t="n">
        <v>4</v>
      </c>
      <c r="V121" s="3" t="n">
        <v>3.81</v>
      </c>
      <c r="W121" s="3" t="n">
        <v>1.09</v>
      </c>
      <c r="X121" s="3" t="n">
        <v>6.37</v>
      </c>
      <c r="Y121" s="3" t="n">
        <v>411</v>
      </c>
      <c r="AA121" s="3" t="n">
        <v>0.36</v>
      </c>
      <c r="AB121" s="3" t="n">
        <v>10.2</v>
      </c>
      <c r="AC121" s="3" t="n">
        <v>1</v>
      </c>
      <c r="AD121" s="3" t="n">
        <v>2</v>
      </c>
      <c r="AE121" s="3" t="n">
        <v>1</v>
      </c>
      <c r="AF121" s="3" t="n">
        <v>1</v>
      </c>
      <c r="AG121" s="3" t="n">
        <v>2</v>
      </c>
      <c r="AH121" s="3" t="n">
        <v>2</v>
      </c>
      <c r="AI121" s="3" t="n">
        <v>1</v>
      </c>
      <c r="AJ121" s="3" t="n">
        <v>2</v>
      </c>
      <c r="AK121" s="3" t="n">
        <v>2</v>
      </c>
      <c r="AL121" s="3" t="n">
        <v>2</v>
      </c>
      <c r="AM121" s="3" t="n">
        <v>2</v>
      </c>
      <c r="AN121" s="3" t="n">
        <v>2</v>
      </c>
      <c r="AO121" s="3" t="n">
        <v>2</v>
      </c>
      <c r="AP121" s="3" t="n">
        <v>3</v>
      </c>
      <c r="AQ121" s="3" t="n">
        <v>4</v>
      </c>
      <c r="AR121" s="3" t="n">
        <v>4</v>
      </c>
      <c r="AS121" s="3" t="n">
        <v>6</v>
      </c>
      <c r="AT121" s="3" t="n">
        <v>4</v>
      </c>
      <c r="AU121" s="3" t="n">
        <v>4</v>
      </c>
      <c r="AV121" s="3" t="n">
        <v>6</v>
      </c>
      <c r="AW121" s="3" t="n">
        <v>6</v>
      </c>
      <c r="AX121" s="3" t="n">
        <v>3</v>
      </c>
      <c r="AY121" s="3" t="n">
        <v>3</v>
      </c>
      <c r="AZ121" s="3" t="n">
        <v>1</v>
      </c>
      <c r="BA121" s="5" t="n">
        <v>1</v>
      </c>
      <c r="BB121" s="3" t="n">
        <v>1</v>
      </c>
      <c r="BC121" s="3" t="n">
        <v>1</v>
      </c>
      <c r="BD121" s="3" t="n">
        <v>4</v>
      </c>
      <c r="BE121" s="3" t="n">
        <v>3</v>
      </c>
      <c r="BF121" s="3" t="n">
        <v>5</v>
      </c>
      <c r="BG121" s="3" t="n">
        <v>3</v>
      </c>
      <c r="BH121" s="3" t="n">
        <v>4</v>
      </c>
      <c r="BI121" s="3" t="n">
        <v>1</v>
      </c>
      <c r="BJ121" s="3" t="n">
        <v>1</v>
      </c>
    </row>
    <row r="122" customFormat="false" ht="12.75" hidden="false" customHeight="false" outlineLevel="0" collapsed="false">
      <c r="B122" s="2" t="s">
        <v>1601</v>
      </c>
      <c r="C122" s="2" t="s">
        <v>826</v>
      </c>
      <c r="D122" s="2" t="s">
        <v>1092</v>
      </c>
      <c r="E122" s="2" t="n">
        <v>185771</v>
      </c>
      <c r="F122" s="15" t="n">
        <v>43733</v>
      </c>
      <c r="G122" s="15" t="n">
        <v>43740</v>
      </c>
      <c r="H122" s="3" t="n">
        <v>7</v>
      </c>
      <c r="I122" s="3" t="n">
        <v>2</v>
      </c>
      <c r="J122" s="3" t="n">
        <v>56</v>
      </c>
      <c r="K122" s="3" t="n">
        <v>1</v>
      </c>
      <c r="L122" s="3" t="n">
        <v>2</v>
      </c>
      <c r="M122" s="3" t="n">
        <v>1</v>
      </c>
      <c r="N122" s="3" t="n">
        <v>1</v>
      </c>
      <c r="O122" s="3" t="n">
        <v>1</v>
      </c>
      <c r="P122" s="3" t="n">
        <v>1</v>
      </c>
      <c r="Q122" s="3" t="n">
        <v>1</v>
      </c>
      <c r="R122" s="3" t="n">
        <v>2</v>
      </c>
      <c r="S122" s="3" t="n">
        <v>2</v>
      </c>
      <c r="T122" s="4" t="n">
        <v>2</v>
      </c>
      <c r="U122" s="3" t="n">
        <v>2</v>
      </c>
      <c r="V122" s="3" t="n">
        <v>4.88</v>
      </c>
      <c r="W122" s="3" t="n">
        <v>3.49</v>
      </c>
      <c r="X122" s="3" t="n">
        <v>12.2</v>
      </c>
      <c r="Y122" s="3" t="n">
        <v>428</v>
      </c>
      <c r="AA122" s="3" t="n">
        <v>0.52</v>
      </c>
      <c r="AB122" s="3" t="n">
        <v>11.6</v>
      </c>
      <c r="AC122" s="3" t="n">
        <v>2</v>
      </c>
      <c r="AD122" s="3" t="n">
        <v>2</v>
      </c>
      <c r="AE122" s="3" t="n">
        <v>1</v>
      </c>
      <c r="AF122" s="3" t="n">
        <v>1</v>
      </c>
      <c r="AG122" s="3" t="n">
        <v>2</v>
      </c>
      <c r="AH122" s="3" t="n">
        <v>2</v>
      </c>
      <c r="AI122" s="3" t="n">
        <v>1</v>
      </c>
      <c r="AJ122" s="3" t="n">
        <v>2</v>
      </c>
      <c r="AK122" s="3" t="n">
        <v>2</v>
      </c>
      <c r="AL122" s="3" t="n">
        <v>2</v>
      </c>
      <c r="AM122" s="3" t="n">
        <v>1</v>
      </c>
      <c r="AN122" s="3" t="n">
        <v>2</v>
      </c>
      <c r="AO122" s="3" t="n">
        <v>2</v>
      </c>
      <c r="AP122" s="3" t="n">
        <v>2</v>
      </c>
      <c r="AQ122" s="3" t="n">
        <v>3</v>
      </c>
      <c r="AR122" s="3" t="n">
        <v>2</v>
      </c>
      <c r="AS122" s="3" t="n">
        <v>3</v>
      </c>
      <c r="AT122" s="3" t="n">
        <v>2</v>
      </c>
      <c r="AU122" s="3" t="n">
        <v>1</v>
      </c>
      <c r="AV122" s="3" t="n">
        <v>1</v>
      </c>
      <c r="AW122" s="3" t="n">
        <v>1</v>
      </c>
      <c r="AX122" s="3" t="n">
        <v>2</v>
      </c>
      <c r="AY122" s="3" t="n">
        <v>2</v>
      </c>
      <c r="AZ122" s="3" t="n">
        <v>2</v>
      </c>
      <c r="BA122" s="5" t="n">
        <v>1</v>
      </c>
      <c r="BB122" s="3" t="n">
        <v>1</v>
      </c>
      <c r="BC122" s="3" t="n">
        <v>1</v>
      </c>
      <c r="BD122" s="3" t="n">
        <v>2</v>
      </c>
      <c r="BE122" s="3" t="n">
        <v>1</v>
      </c>
      <c r="BF122" s="3" t="n">
        <v>2</v>
      </c>
      <c r="BG122" s="3" t="n">
        <v>2</v>
      </c>
      <c r="BH122" s="3" t="n">
        <v>4</v>
      </c>
      <c r="BI122" s="3" t="n">
        <v>1</v>
      </c>
      <c r="BJ122" s="3" t="n">
        <v>1</v>
      </c>
    </row>
    <row r="123" customFormat="false" ht="12.75" hidden="false" customHeight="false" outlineLevel="0" collapsed="false">
      <c r="B123" s="2" t="s">
        <v>1604</v>
      </c>
      <c r="C123" s="2" t="s">
        <v>1605</v>
      </c>
      <c r="D123" s="2" t="s">
        <v>1606</v>
      </c>
      <c r="E123" s="2" t="n">
        <v>185792</v>
      </c>
      <c r="F123" s="15" t="n">
        <v>43734</v>
      </c>
      <c r="G123" s="15" t="n">
        <v>43740</v>
      </c>
      <c r="H123" s="3" t="n">
        <v>6</v>
      </c>
      <c r="I123" s="3" t="n">
        <v>2</v>
      </c>
      <c r="J123" s="3" t="n">
        <v>58</v>
      </c>
      <c r="K123" s="3" t="n">
        <v>1</v>
      </c>
      <c r="L123" s="3" t="n">
        <v>2</v>
      </c>
      <c r="M123" s="3" t="n">
        <v>2</v>
      </c>
      <c r="N123" s="3" t="n">
        <v>2</v>
      </c>
      <c r="O123" s="3" t="n">
        <v>2</v>
      </c>
      <c r="P123" s="3" t="n">
        <v>2</v>
      </c>
      <c r="Q123" s="3" t="n">
        <v>2</v>
      </c>
      <c r="R123" s="3" t="n">
        <v>2</v>
      </c>
      <c r="S123" s="3" t="n">
        <v>2</v>
      </c>
      <c r="T123" s="4" t="n">
        <v>2</v>
      </c>
      <c r="U123" s="3" t="n">
        <v>2</v>
      </c>
      <c r="V123" s="3" t="n">
        <v>4.55</v>
      </c>
      <c r="W123" s="3" t="n">
        <v>2.48</v>
      </c>
      <c r="X123" s="3" t="n">
        <v>5.65</v>
      </c>
      <c r="Y123" s="3" t="n">
        <v>422</v>
      </c>
      <c r="AA123" s="3" t="n">
        <v>0.44</v>
      </c>
      <c r="AB123" s="3" t="n">
        <v>4.3</v>
      </c>
      <c r="AC123" s="3" t="n">
        <v>1</v>
      </c>
      <c r="AD123" s="3" t="n">
        <v>2</v>
      </c>
      <c r="AE123" s="3" t="n">
        <v>1</v>
      </c>
      <c r="AF123" s="3" t="n">
        <v>1</v>
      </c>
      <c r="AG123" s="3" t="n">
        <v>2</v>
      </c>
      <c r="AH123" s="3" t="n">
        <v>2</v>
      </c>
      <c r="AI123" s="3" t="n">
        <v>1</v>
      </c>
      <c r="AJ123" s="3" t="n">
        <v>2</v>
      </c>
      <c r="AK123" s="3" t="n">
        <v>2</v>
      </c>
      <c r="AL123" s="3" t="n">
        <v>2</v>
      </c>
      <c r="AM123" s="3" t="n">
        <v>2</v>
      </c>
      <c r="AN123" s="3" t="n">
        <v>2</v>
      </c>
      <c r="AO123" s="3" t="n">
        <v>2</v>
      </c>
      <c r="AP123" s="3" t="n">
        <v>3</v>
      </c>
      <c r="AQ123" s="3" t="n">
        <v>4</v>
      </c>
      <c r="AR123" s="3" t="n">
        <v>4</v>
      </c>
      <c r="AS123" s="3" t="n">
        <v>6</v>
      </c>
      <c r="AT123" s="3" t="n">
        <v>4</v>
      </c>
      <c r="AU123" s="3" t="n">
        <v>4</v>
      </c>
      <c r="AV123" s="3" t="n">
        <v>6</v>
      </c>
      <c r="AW123" s="3" t="n">
        <v>6</v>
      </c>
      <c r="AX123" s="3" t="n">
        <v>3</v>
      </c>
      <c r="AY123" s="3" t="n">
        <v>3</v>
      </c>
      <c r="AZ123" s="3" t="n">
        <v>5</v>
      </c>
      <c r="BA123" s="5" t="n">
        <v>1</v>
      </c>
      <c r="BB123" s="3" t="n">
        <v>1</v>
      </c>
      <c r="BC123" s="3" t="n">
        <v>1</v>
      </c>
      <c r="BD123" s="3" t="n">
        <v>4</v>
      </c>
      <c r="BE123" s="3" t="n">
        <v>1</v>
      </c>
      <c r="BF123" s="3" t="n">
        <v>2</v>
      </c>
      <c r="BG123" s="3" t="n">
        <v>1</v>
      </c>
      <c r="BH123" s="3" t="n">
        <v>4</v>
      </c>
      <c r="BI123" s="3" t="n">
        <v>1</v>
      </c>
      <c r="BJ123" s="3" t="n">
        <v>1</v>
      </c>
    </row>
    <row r="124" customFormat="false" ht="12.75" hidden="false" customHeight="false" outlineLevel="0" collapsed="false">
      <c r="B124" s="2" t="s">
        <v>857</v>
      </c>
      <c r="C124" s="2" t="s">
        <v>1608</v>
      </c>
      <c r="D124" s="2" t="s">
        <v>78</v>
      </c>
      <c r="E124" s="2" t="n">
        <v>185835</v>
      </c>
      <c r="F124" s="15" t="n">
        <v>43735</v>
      </c>
      <c r="G124" s="15" t="n">
        <v>43741</v>
      </c>
      <c r="H124" s="3" t="n">
        <v>6</v>
      </c>
      <c r="I124" s="3" t="n">
        <v>1</v>
      </c>
      <c r="J124" s="3" t="n">
        <v>72</v>
      </c>
      <c r="K124" s="3" t="n">
        <v>1</v>
      </c>
      <c r="L124" s="3" t="n">
        <v>2</v>
      </c>
      <c r="M124" s="3" t="n">
        <v>1</v>
      </c>
      <c r="N124" s="3" t="n">
        <v>2</v>
      </c>
      <c r="O124" s="3" t="n">
        <v>2</v>
      </c>
      <c r="P124" s="3" t="n">
        <v>2</v>
      </c>
      <c r="Q124" s="3" t="n">
        <v>2</v>
      </c>
      <c r="R124" s="3" t="n">
        <v>2</v>
      </c>
      <c r="S124" s="3" t="n">
        <v>1</v>
      </c>
      <c r="T124" s="4" t="n">
        <v>2</v>
      </c>
      <c r="U124" s="3" t="n">
        <v>2</v>
      </c>
      <c r="V124" s="3" t="n">
        <v>11.52</v>
      </c>
      <c r="W124" s="3" t="n">
        <v>1.71</v>
      </c>
      <c r="X124" s="3" t="n">
        <v>5.4</v>
      </c>
      <c r="Y124" s="3" t="n">
        <v>359</v>
      </c>
      <c r="AA124" s="3" t="n">
        <v>0.38</v>
      </c>
      <c r="AB124" s="3" t="n">
        <v>13.8</v>
      </c>
      <c r="AC124" s="3" t="n">
        <v>1</v>
      </c>
      <c r="AD124" s="3" t="n">
        <v>2</v>
      </c>
      <c r="AE124" s="3" t="n">
        <v>1</v>
      </c>
      <c r="AF124" s="3" t="n">
        <v>1</v>
      </c>
      <c r="AG124" s="3" t="n">
        <v>2</v>
      </c>
      <c r="AH124" s="3" t="n">
        <v>2</v>
      </c>
      <c r="AI124" s="3" t="n">
        <v>1</v>
      </c>
      <c r="AJ124" s="3" t="n">
        <v>1</v>
      </c>
      <c r="AK124" s="3" t="n">
        <v>2</v>
      </c>
      <c r="AL124" s="3" t="n">
        <v>2</v>
      </c>
      <c r="AM124" s="3" t="n">
        <v>1</v>
      </c>
      <c r="AN124" s="3" t="n">
        <v>2</v>
      </c>
      <c r="AO124" s="3" t="n">
        <v>2</v>
      </c>
      <c r="AP124" s="3" t="n">
        <v>1</v>
      </c>
      <c r="AQ124" s="3" t="n">
        <v>3</v>
      </c>
      <c r="AR124" s="3" t="n">
        <v>4</v>
      </c>
      <c r="AS124" s="3" t="n">
        <v>6</v>
      </c>
      <c r="AT124" s="3" t="n">
        <v>4</v>
      </c>
      <c r="AU124" s="3" t="n">
        <v>4</v>
      </c>
      <c r="AV124" s="3" t="n">
        <v>1</v>
      </c>
      <c r="AW124" s="3" t="n">
        <v>6</v>
      </c>
      <c r="AX124" s="3" t="n">
        <v>3</v>
      </c>
      <c r="AY124" s="3" t="n">
        <v>3</v>
      </c>
      <c r="AZ124" s="3" t="n">
        <v>4</v>
      </c>
      <c r="BA124" s="5" t="n">
        <v>1</v>
      </c>
      <c r="BB124" s="3" t="n">
        <v>1</v>
      </c>
      <c r="BC124" s="3" t="n">
        <v>1</v>
      </c>
      <c r="BD124" s="3" t="n">
        <v>4</v>
      </c>
      <c r="BE124" s="3" t="n">
        <v>3</v>
      </c>
      <c r="BF124" s="3" t="n">
        <v>5</v>
      </c>
      <c r="BG124" s="3" t="n">
        <v>3</v>
      </c>
      <c r="BH124" s="3" t="n">
        <v>4</v>
      </c>
      <c r="BI124" s="3" t="n">
        <v>1</v>
      </c>
      <c r="BJ124" s="3" t="n">
        <v>1</v>
      </c>
    </row>
    <row r="125" customFormat="false" ht="12.75" hidden="false" customHeight="false" outlineLevel="0" collapsed="false">
      <c r="B125" s="2" t="s">
        <v>1223</v>
      </c>
      <c r="C125" s="2" t="s">
        <v>846</v>
      </c>
      <c r="D125" s="2" t="s">
        <v>1612</v>
      </c>
      <c r="E125" s="2" t="n">
        <v>186133</v>
      </c>
      <c r="F125" s="15" t="n">
        <v>43743</v>
      </c>
      <c r="G125" s="15" t="n">
        <v>43749</v>
      </c>
      <c r="H125" s="3" t="n">
        <v>6</v>
      </c>
      <c r="I125" s="3" t="n">
        <v>2</v>
      </c>
      <c r="J125" s="3" t="n">
        <v>53</v>
      </c>
      <c r="K125" s="3" t="n">
        <v>2</v>
      </c>
      <c r="L125" s="3" t="n">
        <v>1</v>
      </c>
      <c r="M125" s="3" t="n">
        <v>2</v>
      </c>
      <c r="N125" s="3" t="n">
        <v>2</v>
      </c>
      <c r="O125" s="3" t="n">
        <v>2</v>
      </c>
      <c r="P125" s="3" t="n">
        <v>2</v>
      </c>
      <c r="Q125" s="3" t="n">
        <v>2</v>
      </c>
      <c r="R125" s="3" t="n">
        <v>2</v>
      </c>
      <c r="S125" s="3" t="n">
        <v>2</v>
      </c>
      <c r="T125" s="4" t="n">
        <v>2</v>
      </c>
      <c r="U125" s="3" t="n">
        <v>2</v>
      </c>
      <c r="V125" s="3"/>
      <c r="W125" s="3"/>
      <c r="X125" s="3"/>
      <c r="Y125" s="3"/>
      <c r="AA125" s="3"/>
      <c r="AB125" s="3"/>
      <c r="AC125" s="3"/>
      <c r="AD125" s="3" t="n">
        <v>2</v>
      </c>
      <c r="AE125" s="3" t="n">
        <v>1</v>
      </c>
      <c r="AF125" s="3" t="n">
        <v>1</v>
      </c>
      <c r="AG125" s="3" t="n">
        <v>2</v>
      </c>
      <c r="AH125" s="3" t="n">
        <v>2</v>
      </c>
      <c r="AI125" s="3" t="n">
        <v>1</v>
      </c>
      <c r="AJ125" s="3" t="n">
        <v>2</v>
      </c>
      <c r="AK125" s="3" t="n">
        <v>2</v>
      </c>
      <c r="AL125" s="3" t="n">
        <v>2</v>
      </c>
      <c r="AM125" s="3" t="n">
        <v>2</v>
      </c>
      <c r="AN125" s="3" t="n">
        <v>2</v>
      </c>
      <c r="AO125" s="3" t="n">
        <v>2</v>
      </c>
      <c r="AP125" s="3" t="n">
        <v>3</v>
      </c>
      <c r="AQ125" s="3" t="n">
        <v>4</v>
      </c>
      <c r="AR125" s="3" t="n">
        <v>4</v>
      </c>
      <c r="AS125" s="3" t="n">
        <v>6</v>
      </c>
      <c r="AT125" s="3" t="n">
        <v>4</v>
      </c>
      <c r="AU125" s="3" t="n">
        <v>4</v>
      </c>
      <c r="AV125" s="3" t="n">
        <v>6</v>
      </c>
      <c r="AW125" s="3" t="n">
        <v>6</v>
      </c>
      <c r="AX125" s="3" t="n">
        <v>3</v>
      </c>
      <c r="AY125" s="3" t="n">
        <v>3</v>
      </c>
      <c r="AZ125" s="3" t="n">
        <v>5</v>
      </c>
      <c r="BA125" s="5" t="n">
        <v>1</v>
      </c>
      <c r="BB125" s="3" t="n">
        <v>1</v>
      </c>
      <c r="BC125" s="3" t="n">
        <v>1</v>
      </c>
      <c r="BD125" s="3" t="n">
        <v>4</v>
      </c>
      <c r="BE125" s="3" t="n">
        <v>1</v>
      </c>
      <c r="BF125" s="3" t="n">
        <v>2</v>
      </c>
      <c r="BG125" s="3" t="n">
        <v>1</v>
      </c>
      <c r="BH125" s="3" t="n">
        <v>4</v>
      </c>
      <c r="BI125" s="3" t="n">
        <v>1</v>
      </c>
      <c r="BJ125" s="3" t="n">
        <v>1</v>
      </c>
    </row>
    <row r="126" customFormat="false" ht="12.75" hidden="false" customHeight="false" outlineLevel="0" collapsed="false">
      <c r="B126" s="2" t="s">
        <v>1138</v>
      </c>
      <c r="C126" s="2" t="s">
        <v>78</v>
      </c>
      <c r="D126" s="2" t="s">
        <v>839</v>
      </c>
      <c r="E126" s="2" t="n">
        <v>186581</v>
      </c>
      <c r="F126" s="15" t="n">
        <v>43745</v>
      </c>
      <c r="G126" s="15" t="n">
        <v>43752</v>
      </c>
      <c r="H126" s="3" t="n">
        <v>7</v>
      </c>
      <c r="I126" s="3" t="n">
        <v>2</v>
      </c>
      <c r="J126" s="3" t="n">
        <v>53</v>
      </c>
      <c r="K126" s="3" t="n">
        <v>2</v>
      </c>
      <c r="L126" s="3" t="n">
        <v>1</v>
      </c>
      <c r="M126" s="3" t="n">
        <v>1</v>
      </c>
      <c r="N126" s="3" t="n">
        <v>2</v>
      </c>
      <c r="O126" s="3" t="n">
        <v>2</v>
      </c>
      <c r="P126" s="3" t="n">
        <v>2</v>
      </c>
      <c r="Q126" s="3" t="n">
        <v>2</v>
      </c>
      <c r="R126" s="3" t="n">
        <v>2</v>
      </c>
      <c r="S126" s="3" t="n">
        <v>2</v>
      </c>
      <c r="T126" s="4" t="n">
        <v>1</v>
      </c>
      <c r="U126" s="3" t="n">
        <v>1</v>
      </c>
      <c r="V126" s="3" t="n">
        <v>6.32</v>
      </c>
      <c r="W126" s="3" t="n">
        <v>2.02</v>
      </c>
      <c r="X126" s="3" t="n">
        <v>6.89</v>
      </c>
      <c r="Y126" s="3" t="n">
        <v>439</v>
      </c>
      <c r="AA126" s="3" t="n">
        <v>0.47</v>
      </c>
      <c r="AB126" s="3"/>
      <c r="AC126" s="3" t="n">
        <v>2</v>
      </c>
      <c r="AD126" s="3" t="n">
        <v>2</v>
      </c>
      <c r="AE126" s="3" t="n">
        <v>1</v>
      </c>
      <c r="AF126" s="3" t="n">
        <v>1</v>
      </c>
      <c r="AG126" s="3" t="n">
        <v>2</v>
      </c>
      <c r="AH126" s="3" t="n">
        <v>2</v>
      </c>
      <c r="AI126" s="3" t="n">
        <v>1</v>
      </c>
      <c r="AJ126" s="3" t="n">
        <v>2</v>
      </c>
      <c r="AK126" s="3" t="n">
        <v>2</v>
      </c>
      <c r="AL126" s="3" t="n">
        <v>2</v>
      </c>
      <c r="AM126" s="3" t="n">
        <v>1</v>
      </c>
      <c r="AN126" s="3" t="n">
        <v>2</v>
      </c>
      <c r="AO126" s="3" t="n">
        <v>2</v>
      </c>
      <c r="AP126" s="3" t="n">
        <v>3</v>
      </c>
      <c r="AQ126" s="3" t="n">
        <v>4</v>
      </c>
      <c r="AR126" s="3" t="n">
        <v>4</v>
      </c>
      <c r="AS126" s="3" t="n">
        <v>6</v>
      </c>
      <c r="AT126" s="3" t="n">
        <v>4</v>
      </c>
      <c r="AU126" s="3" t="n">
        <v>4</v>
      </c>
      <c r="AV126" s="3" t="n">
        <v>6</v>
      </c>
      <c r="AW126" s="3" t="n">
        <v>6</v>
      </c>
      <c r="AX126" s="3" t="n">
        <v>3</v>
      </c>
      <c r="AY126" s="3" t="n">
        <v>3</v>
      </c>
      <c r="AZ126" s="3" t="n">
        <v>4</v>
      </c>
      <c r="BA126" s="5" t="n">
        <v>1</v>
      </c>
      <c r="BB126" s="3" t="n">
        <v>2</v>
      </c>
      <c r="BC126" s="3" t="n">
        <v>1</v>
      </c>
      <c r="BD126" s="3" t="n">
        <v>6</v>
      </c>
      <c r="BE126" s="3" t="n">
        <v>3</v>
      </c>
      <c r="BF126" s="3" t="n">
        <v>5</v>
      </c>
      <c r="BG126" s="3" t="n">
        <v>3</v>
      </c>
      <c r="BH126" s="3" t="n">
        <v>4</v>
      </c>
      <c r="BI126" s="3" t="n">
        <v>1</v>
      </c>
      <c r="BJ126" s="3" t="n">
        <v>1</v>
      </c>
    </row>
    <row r="127" customFormat="false" ht="12.75" hidden="false" customHeight="false" outlineLevel="0" collapsed="false">
      <c r="B127" s="2" t="s">
        <v>1620</v>
      </c>
      <c r="C127" s="2" t="s">
        <v>812</v>
      </c>
      <c r="D127" s="2" t="s">
        <v>1621</v>
      </c>
      <c r="E127" s="2" t="n">
        <v>186575</v>
      </c>
      <c r="F127" s="15" t="n">
        <v>43745</v>
      </c>
      <c r="G127" s="15" t="n">
        <v>43752</v>
      </c>
      <c r="H127" s="3" t="n">
        <v>7</v>
      </c>
      <c r="I127" s="3" t="n">
        <v>2</v>
      </c>
      <c r="J127" s="3" t="n">
        <v>62</v>
      </c>
      <c r="K127" s="3" t="n">
        <v>2</v>
      </c>
      <c r="L127" s="3" t="n">
        <v>2</v>
      </c>
      <c r="M127" s="3" t="n">
        <v>2</v>
      </c>
      <c r="N127" s="3" t="n">
        <v>2</v>
      </c>
      <c r="O127" s="3" t="n">
        <v>2</v>
      </c>
      <c r="P127" s="3" t="n">
        <v>1</v>
      </c>
      <c r="Q127" s="3" t="n">
        <v>2</v>
      </c>
      <c r="R127" s="3" t="n">
        <v>2</v>
      </c>
      <c r="S127" s="3" t="n">
        <v>2</v>
      </c>
      <c r="T127" s="4" t="n">
        <v>2</v>
      </c>
      <c r="U127" s="3" t="n">
        <v>2</v>
      </c>
      <c r="V127" s="3" t="n">
        <v>4.66</v>
      </c>
      <c r="W127" s="3" t="n">
        <v>4.55</v>
      </c>
      <c r="X127" s="3" t="n">
        <v>9.09</v>
      </c>
      <c r="Y127" s="3" t="n">
        <v>546</v>
      </c>
      <c r="AA127" s="3" t="n">
        <v>0.47</v>
      </c>
      <c r="AB127" s="3" t="n">
        <v>12.87</v>
      </c>
      <c r="AC127" s="3" t="n">
        <v>1</v>
      </c>
      <c r="AD127" s="3" t="n">
        <v>2</v>
      </c>
      <c r="AE127" s="3" t="n">
        <v>1</v>
      </c>
      <c r="AF127" s="3" t="n">
        <v>1</v>
      </c>
      <c r="AG127" s="3" t="n">
        <v>2</v>
      </c>
      <c r="AH127" s="3" t="n">
        <v>2</v>
      </c>
      <c r="AI127" s="3" t="n">
        <v>1</v>
      </c>
      <c r="AJ127" s="3" t="n">
        <v>2</v>
      </c>
      <c r="AK127" s="3" t="n">
        <v>2</v>
      </c>
      <c r="AL127" s="3" t="n">
        <v>2</v>
      </c>
      <c r="AM127" s="3" t="n">
        <v>2</v>
      </c>
      <c r="AN127" s="3" t="n">
        <v>2</v>
      </c>
      <c r="AO127" s="3" t="n">
        <v>2</v>
      </c>
      <c r="AP127" s="3" t="n">
        <v>3</v>
      </c>
      <c r="AQ127" s="3" t="n">
        <v>4</v>
      </c>
      <c r="AR127" s="3" t="n">
        <v>4</v>
      </c>
      <c r="AS127" s="3" t="n">
        <v>6</v>
      </c>
      <c r="AT127" s="3" t="n">
        <v>4</v>
      </c>
      <c r="AU127" s="3" t="n">
        <v>4</v>
      </c>
      <c r="AV127" s="3" t="n">
        <v>6</v>
      </c>
      <c r="AW127" s="3" t="n">
        <v>6</v>
      </c>
      <c r="AX127" s="3" t="n">
        <v>3</v>
      </c>
      <c r="AY127" s="3" t="n">
        <v>3</v>
      </c>
      <c r="AZ127" s="3" t="n">
        <v>1</v>
      </c>
      <c r="BA127" s="5" t="n">
        <v>1</v>
      </c>
      <c r="BB127" s="3" t="n">
        <v>1</v>
      </c>
      <c r="BC127" s="3" t="n">
        <v>1</v>
      </c>
      <c r="BD127" s="3" t="n">
        <v>4</v>
      </c>
      <c r="BE127" s="3" t="n">
        <v>1</v>
      </c>
      <c r="BF127" s="3" t="n">
        <v>2</v>
      </c>
      <c r="BG127" s="3" t="n">
        <v>1</v>
      </c>
      <c r="BH127" s="3" t="n">
        <v>4</v>
      </c>
      <c r="BI127" s="3" t="n">
        <v>1</v>
      </c>
      <c r="BJ127" s="3" t="n">
        <v>1</v>
      </c>
    </row>
    <row r="128" customFormat="false" ht="12.75" hidden="false" customHeight="false" outlineLevel="0" collapsed="false">
      <c r="B128" s="17" t="s">
        <v>278</v>
      </c>
      <c r="C128" s="17" t="s">
        <v>61</v>
      </c>
      <c r="D128" s="17" t="s">
        <v>78</v>
      </c>
      <c r="E128" s="2" t="n">
        <v>186599</v>
      </c>
      <c r="F128" s="15" t="n">
        <v>43746</v>
      </c>
      <c r="G128" s="15" t="n">
        <v>43753</v>
      </c>
      <c r="H128" s="3" t="n">
        <v>7</v>
      </c>
      <c r="I128" s="3" t="n">
        <v>2</v>
      </c>
      <c r="J128" s="3" t="n">
        <v>45</v>
      </c>
      <c r="K128" s="3" t="n">
        <v>2</v>
      </c>
      <c r="L128" s="3" t="n">
        <v>2</v>
      </c>
      <c r="M128" s="3" t="n">
        <v>1</v>
      </c>
      <c r="N128" s="3" t="n">
        <v>2</v>
      </c>
      <c r="O128" s="3" t="n">
        <v>2</v>
      </c>
      <c r="P128" s="3" t="n">
        <v>2</v>
      </c>
      <c r="Q128" s="3" t="n">
        <v>2</v>
      </c>
      <c r="R128" s="3" t="n">
        <v>2</v>
      </c>
      <c r="S128" s="3" t="n">
        <v>2</v>
      </c>
      <c r="T128" s="4" t="n">
        <v>2</v>
      </c>
      <c r="U128" s="3" t="n">
        <v>2</v>
      </c>
      <c r="V128" s="3" t="n">
        <v>6.55</v>
      </c>
      <c r="W128" s="3" t="n">
        <v>2.07</v>
      </c>
      <c r="X128" s="3" t="n">
        <v>6.02</v>
      </c>
      <c r="Y128" s="3" t="n">
        <v>320</v>
      </c>
      <c r="AA128" s="3" t="n">
        <v>0.49</v>
      </c>
      <c r="AB128" s="3" t="n">
        <v>9.6</v>
      </c>
      <c r="AC128" s="3" t="n">
        <v>1</v>
      </c>
      <c r="AD128" s="3" t="n">
        <v>2</v>
      </c>
      <c r="AE128" s="3" t="n">
        <v>1</v>
      </c>
      <c r="AF128" s="3" t="n">
        <v>1</v>
      </c>
      <c r="AG128" s="3" t="n">
        <v>2</v>
      </c>
      <c r="AH128" s="3" t="n">
        <v>2</v>
      </c>
      <c r="AI128" s="3" t="n">
        <v>1</v>
      </c>
      <c r="AJ128" s="3" t="n">
        <v>2</v>
      </c>
      <c r="AK128" s="3" t="n">
        <v>2</v>
      </c>
      <c r="AL128" s="3" t="n">
        <v>2</v>
      </c>
      <c r="AM128" s="3" t="n">
        <v>2</v>
      </c>
      <c r="AN128" s="3" t="n">
        <v>2</v>
      </c>
      <c r="AO128" s="3" t="n">
        <v>2</v>
      </c>
      <c r="AP128" s="3" t="n">
        <v>3</v>
      </c>
      <c r="AQ128" s="3" t="n">
        <v>4</v>
      </c>
      <c r="AR128" s="3" t="n">
        <v>4</v>
      </c>
      <c r="AS128" s="3" t="n">
        <v>6</v>
      </c>
      <c r="AT128" s="3" t="n">
        <v>4</v>
      </c>
      <c r="AU128" s="3" t="n">
        <v>4</v>
      </c>
      <c r="AV128" s="3" t="n">
        <v>6</v>
      </c>
      <c r="AW128" s="3" t="n">
        <v>6</v>
      </c>
      <c r="AX128" s="3" t="n">
        <v>3</v>
      </c>
      <c r="AY128" s="3" t="n">
        <v>3</v>
      </c>
      <c r="AZ128" s="3" t="n">
        <v>1</v>
      </c>
      <c r="BA128" s="5" t="n">
        <v>1</v>
      </c>
      <c r="BB128" s="3" t="n">
        <v>1</v>
      </c>
      <c r="BC128" s="3" t="n">
        <v>1</v>
      </c>
      <c r="BD128" s="3" t="n">
        <v>4</v>
      </c>
      <c r="BE128" s="19" t="n">
        <v>1</v>
      </c>
      <c r="BF128" s="3" t="n">
        <v>2</v>
      </c>
      <c r="BG128" s="3" t="n">
        <v>1</v>
      </c>
      <c r="BH128" s="3" t="n">
        <v>4</v>
      </c>
      <c r="BI128" s="3" t="n">
        <v>1</v>
      </c>
      <c r="BJ128" s="3" t="n">
        <v>1</v>
      </c>
    </row>
    <row r="129" customFormat="false" ht="12.75" hidden="false" customHeight="false" outlineLevel="0" collapsed="false">
      <c r="B129" s="2" t="s">
        <v>1649</v>
      </c>
      <c r="C129" s="2" t="s">
        <v>78</v>
      </c>
      <c r="D129" s="2" t="s">
        <v>336</v>
      </c>
      <c r="E129" s="2" t="n">
        <v>187054</v>
      </c>
      <c r="F129" s="15" t="n">
        <v>43756</v>
      </c>
      <c r="G129" s="15" t="n">
        <v>43763</v>
      </c>
      <c r="H129" s="3" t="n">
        <v>7</v>
      </c>
      <c r="I129" s="3" t="n">
        <v>2</v>
      </c>
      <c r="J129" s="3" t="n">
        <v>78</v>
      </c>
      <c r="K129" s="3" t="n">
        <v>1</v>
      </c>
      <c r="L129" s="3" t="n">
        <v>2</v>
      </c>
      <c r="M129" s="3" t="n">
        <v>1</v>
      </c>
      <c r="N129" s="3" t="n">
        <v>2</v>
      </c>
      <c r="O129" s="3" t="n">
        <v>2</v>
      </c>
      <c r="P129" s="3" t="n">
        <v>2</v>
      </c>
      <c r="Q129" s="3" t="n">
        <v>2</v>
      </c>
      <c r="R129" s="3" t="n">
        <v>2</v>
      </c>
      <c r="S129" s="3" t="n">
        <v>2</v>
      </c>
      <c r="T129" s="4" t="n">
        <v>2</v>
      </c>
      <c r="U129" s="3" t="n">
        <v>2</v>
      </c>
      <c r="V129" s="3" t="n">
        <v>4.39</v>
      </c>
      <c r="W129" s="3" t="n">
        <v>0.9</v>
      </c>
      <c r="X129" s="3" t="n">
        <v>8.39</v>
      </c>
      <c r="Y129" s="3" t="n">
        <v>305</v>
      </c>
      <c r="AA129" s="3" t="n">
        <v>0.42</v>
      </c>
      <c r="AB129" s="3" t="n">
        <v>19.4</v>
      </c>
      <c r="AC129" s="3" t="n">
        <v>2</v>
      </c>
      <c r="AD129" s="3" t="n">
        <v>2</v>
      </c>
      <c r="AE129" s="3" t="n">
        <v>1</v>
      </c>
      <c r="AF129" s="3" t="n">
        <v>1</v>
      </c>
      <c r="AG129" s="3" t="n">
        <v>2</v>
      </c>
      <c r="AH129" s="3" t="n">
        <v>2</v>
      </c>
      <c r="AI129" s="3" t="n">
        <v>1</v>
      </c>
      <c r="AJ129" s="3" t="n">
        <v>2</v>
      </c>
      <c r="AK129" s="3" t="n">
        <v>2</v>
      </c>
      <c r="AL129" s="3" t="n">
        <v>2</v>
      </c>
      <c r="AM129" s="3" t="n">
        <v>1</v>
      </c>
      <c r="AN129" s="3" t="n">
        <v>2</v>
      </c>
      <c r="AO129" s="3" t="n">
        <v>2</v>
      </c>
      <c r="AP129" s="3" t="n">
        <v>3</v>
      </c>
      <c r="AQ129" s="3" t="n">
        <v>4</v>
      </c>
      <c r="AR129" s="3" t="n">
        <v>4</v>
      </c>
      <c r="AS129" s="3" t="n">
        <v>6</v>
      </c>
      <c r="AT129" s="3" t="n">
        <v>4</v>
      </c>
      <c r="AU129" s="3" t="n">
        <v>4</v>
      </c>
      <c r="AV129" s="3" t="n">
        <v>6</v>
      </c>
      <c r="AW129" s="3" t="n">
        <v>6</v>
      </c>
      <c r="AX129" s="3" t="n">
        <v>3</v>
      </c>
      <c r="AY129" s="3" t="n">
        <v>3</v>
      </c>
      <c r="AZ129" s="3" t="n">
        <v>1</v>
      </c>
      <c r="BA129" s="5" t="n">
        <v>1</v>
      </c>
      <c r="BB129" s="3" t="n">
        <v>1</v>
      </c>
      <c r="BC129" s="3" t="n">
        <v>1</v>
      </c>
      <c r="BD129" s="3" t="n">
        <v>2</v>
      </c>
      <c r="BE129" s="3" t="n">
        <v>3</v>
      </c>
      <c r="BF129" s="3" t="n">
        <v>5</v>
      </c>
      <c r="BG129" s="3" t="n">
        <v>3</v>
      </c>
      <c r="BH129" s="3" t="n">
        <v>4</v>
      </c>
      <c r="BI129" s="3" t="n">
        <v>1</v>
      </c>
      <c r="BJ129" s="3" t="n">
        <v>1</v>
      </c>
    </row>
    <row r="130" customFormat="false" ht="12.75" hidden="false" customHeight="false" outlineLevel="0" collapsed="false">
      <c r="B130" s="26" t="s">
        <v>1677</v>
      </c>
      <c r="C130" s="26" t="s">
        <v>157</v>
      </c>
      <c r="D130" s="26" t="s">
        <v>1678</v>
      </c>
      <c r="E130" s="26" t="n">
        <v>187687</v>
      </c>
      <c r="F130" s="27" t="n">
        <v>43766</v>
      </c>
      <c r="G130" s="27" t="n">
        <v>43768</v>
      </c>
      <c r="H130" s="30" t="n">
        <v>2</v>
      </c>
      <c r="I130" s="30" t="n">
        <v>1</v>
      </c>
      <c r="J130" s="30" t="n">
        <v>64</v>
      </c>
      <c r="K130" s="30" t="n">
        <v>1</v>
      </c>
      <c r="L130" s="30" t="n">
        <v>2</v>
      </c>
      <c r="M130" s="30" t="n">
        <v>1</v>
      </c>
      <c r="N130" s="30" t="n">
        <v>2</v>
      </c>
      <c r="O130" s="30" t="n">
        <v>2</v>
      </c>
      <c r="P130" s="30" t="n">
        <v>2</v>
      </c>
      <c r="Q130" s="30" t="n">
        <v>1</v>
      </c>
      <c r="R130" s="30" t="n">
        <v>2</v>
      </c>
      <c r="S130" s="30" t="n">
        <v>2</v>
      </c>
      <c r="T130" s="4" t="n">
        <v>2</v>
      </c>
      <c r="U130" s="30" t="n">
        <v>2</v>
      </c>
      <c r="V130" s="30" t="n">
        <v>4.4</v>
      </c>
      <c r="W130" s="30" t="n">
        <v>3.2</v>
      </c>
      <c r="X130" s="30" t="n">
        <v>23.5</v>
      </c>
      <c r="Y130" s="30" t="n">
        <v>576</v>
      </c>
      <c r="AA130" s="30" t="n">
        <v>0.37</v>
      </c>
      <c r="AB130" s="30" t="n">
        <v>13.9</v>
      </c>
      <c r="AC130" s="30" t="n">
        <v>3</v>
      </c>
      <c r="AD130" s="30" t="n">
        <v>2</v>
      </c>
      <c r="AE130" s="30" t="n">
        <v>1</v>
      </c>
      <c r="AF130" s="30" t="n">
        <v>1</v>
      </c>
      <c r="AG130" s="30" t="n">
        <v>2</v>
      </c>
      <c r="AH130" s="30" t="n">
        <v>2</v>
      </c>
      <c r="AI130" s="30" t="n">
        <v>2</v>
      </c>
      <c r="AJ130" s="30" t="n">
        <v>2</v>
      </c>
      <c r="AK130" s="30" t="n">
        <v>2</v>
      </c>
      <c r="AL130" s="30" t="n">
        <v>2</v>
      </c>
      <c r="AM130" s="30" t="n">
        <v>2</v>
      </c>
      <c r="AN130" s="30" t="n">
        <v>1</v>
      </c>
      <c r="AO130" s="30" t="n">
        <v>2</v>
      </c>
      <c r="AP130" s="30" t="n">
        <v>3</v>
      </c>
      <c r="AQ130" s="30" t="n">
        <v>4</v>
      </c>
      <c r="AR130" s="30" t="n">
        <v>4</v>
      </c>
      <c r="AS130" s="30" t="n">
        <v>6</v>
      </c>
      <c r="AT130" s="30" t="n">
        <v>4</v>
      </c>
      <c r="AU130" s="30" t="n">
        <v>4</v>
      </c>
      <c r="AV130" s="30" t="n">
        <v>6</v>
      </c>
      <c r="AW130" s="30" t="n">
        <v>6</v>
      </c>
      <c r="AX130" s="30" t="n">
        <v>3</v>
      </c>
      <c r="AY130" s="30" t="n">
        <v>3</v>
      </c>
      <c r="AZ130" s="30" t="n">
        <v>6</v>
      </c>
      <c r="BA130" s="5" t="n">
        <v>1</v>
      </c>
      <c r="BB130" s="30" t="n">
        <v>1</v>
      </c>
      <c r="BC130" s="30" t="n">
        <v>2</v>
      </c>
      <c r="BD130" s="30" t="n">
        <v>4</v>
      </c>
      <c r="BE130" s="30" t="n">
        <v>3</v>
      </c>
      <c r="BF130" s="30" t="n">
        <v>5</v>
      </c>
      <c r="BG130" s="30" t="n">
        <v>3</v>
      </c>
      <c r="BH130" s="30" t="n">
        <v>4</v>
      </c>
      <c r="BI130" s="30" t="n">
        <v>1</v>
      </c>
      <c r="BJ130" s="30" t="n">
        <v>1</v>
      </c>
    </row>
    <row r="131" customFormat="false" ht="12.75" hidden="false" customHeight="false" outlineLevel="0" collapsed="false">
      <c r="B131" s="2" t="s">
        <v>1477</v>
      </c>
      <c r="C131" s="2" t="s">
        <v>561</v>
      </c>
      <c r="D131" s="2" t="s">
        <v>1686</v>
      </c>
      <c r="E131" s="2" t="n">
        <v>188127</v>
      </c>
      <c r="F131" s="15" t="n">
        <v>43773</v>
      </c>
      <c r="G131" s="15" t="n">
        <v>43780</v>
      </c>
      <c r="H131" s="3" t="n">
        <v>7</v>
      </c>
      <c r="I131" s="3" t="n">
        <v>1</v>
      </c>
      <c r="J131" s="3" t="n">
        <v>50</v>
      </c>
      <c r="K131" s="3" t="n">
        <v>2</v>
      </c>
      <c r="L131" s="3" t="n">
        <v>1</v>
      </c>
      <c r="M131" s="3" t="n">
        <v>1</v>
      </c>
      <c r="N131" s="3" t="n">
        <v>2</v>
      </c>
      <c r="O131" s="3" t="n">
        <v>2</v>
      </c>
      <c r="P131" s="3" t="n">
        <v>2</v>
      </c>
      <c r="Q131" s="3" t="n">
        <v>2</v>
      </c>
      <c r="R131" s="3" t="n">
        <v>2</v>
      </c>
      <c r="S131" s="3" t="n">
        <v>2</v>
      </c>
      <c r="T131" s="4" t="n">
        <v>12</v>
      </c>
      <c r="U131" s="3" t="n">
        <v>1</v>
      </c>
      <c r="V131" s="3" t="n">
        <v>6.43</v>
      </c>
      <c r="W131" s="3" t="n">
        <v>2.76</v>
      </c>
      <c r="X131" s="3" t="n">
        <v>7.25</v>
      </c>
      <c r="Y131" s="3" t="n">
        <v>268</v>
      </c>
      <c r="AA131" s="3" t="n">
        <v>0.46</v>
      </c>
      <c r="AB131" s="3" t="n">
        <v>12</v>
      </c>
      <c r="AC131" s="3" t="n">
        <v>1</v>
      </c>
      <c r="AD131" s="3" t="n">
        <v>2</v>
      </c>
      <c r="AE131" s="3" t="n">
        <v>1</v>
      </c>
      <c r="AF131" s="3" t="n">
        <v>1</v>
      </c>
      <c r="AG131" s="3" t="n">
        <v>1</v>
      </c>
      <c r="AH131" s="3" t="n">
        <v>1</v>
      </c>
      <c r="AI131" s="3" t="n">
        <v>1</v>
      </c>
      <c r="AJ131" s="3" t="n">
        <v>2</v>
      </c>
      <c r="AK131" s="3" t="n">
        <v>2</v>
      </c>
      <c r="AL131" s="3" t="n">
        <v>2</v>
      </c>
      <c r="AM131" s="3" t="n">
        <v>1</v>
      </c>
      <c r="AN131" s="3" t="n">
        <v>2</v>
      </c>
      <c r="AO131" s="3" t="n">
        <v>2</v>
      </c>
      <c r="AP131" s="3" t="n">
        <v>3</v>
      </c>
      <c r="AQ131" s="3" t="n">
        <v>4</v>
      </c>
      <c r="AR131" s="3" t="n">
        <v>4</v>
      </c>
      <c r="AS131" s="3" t="n">
        <v>6</v>
      </c>
      <c r="AT131" s="3" t="n">
        <v>4</v>
      </c>
      <c r="AU131" s="3" t="n">
        <v>4</v>
      </c>
      <c r="AV131" s="3" t="n">
        <v>6</v>
      </c>
      <c r="AW131" s="3" t="n">
        <v>6</v>
      </c>
      <c r="AX131" s="3" t="n">
        <v>3</v>
      </c>
      <c r="AY131" s="3" t="n">
        <v>3</v>
      </c>
      <c r="AZ131" s="3" t="n">
        <v>1</v>
      </c>
      <c r="BA131" s="5" t="n">
        <v>1</v>
      </c>
      <c r="BB131" s="3" t="n">
        <v>1</v>
      </c>
      <c r="BC131" s="3" t="n">
        <v>1</v>
      </c>
      <c r="BD131" s="3" t="n">
        <v>2</v>
      </c>
      <c r="BE131" s="3" t="n">
        <v>3</v>
      </c>
      <c r="BF131" s="3" t="n">
        <v>5</v>
      </c>
      <c r="BG131" s="3" t="n">
        <v>3</v>
      </c>
      <c r="BH131" s="3" t="n">
        <v>4</v>
      </c>
      <c r="BI131" s="3" t="n">
        <v>1</v>
      </c>
      <c r="BJ131" s="3" t="n">
        <v>1</v>
      </c>
    </row>
    <row r="132" customFormat="false" ht="12.75" hidden="false" customHeight="false" outlineLevel="0" collapsed="false">
      <c r="B132" s="2" t="s">
        <v>727</v>
      </c>
      <c r="C132" s="2" t="s">
        <v>70</v>
      </c>
      <c r="D132" s="2" t="s">
        <v>1713</v>
      </c>
      <c r="E132" s="2" t="n">
        <v>188276</v>
      </c>
      <c r="F132" s="15" t="n">
        <v>43776</v>
      </c>
      <c r="G132" s="15" t="n">
        <v>43786</v>
      </c>
      <c r="H132" s="3" t="n">
        <v>10</v>
      </c>
      <c r="I132" s="3" t="n">
        <v>2</v>
      </c>
      <c r="J132" s="3" t="n">
        <v>72</v>
      </c>
      <c r="K132" s="3" t="n">
        <v>1</v>
      </c>
      <c r="L132" s="3" t="n">
        <v>1</v>
      </c>
      <c r="M132" s="3" t="n">
        <v>1</v>
      </c>
      <c r="N132" s="3" t="n">
        <v>2</v>
      </c>
      <c r="O132" s="3" t="n">
        <v>2</v>
      </c>
      <c r="P132" s="3" t="n">
        <v>1</v>
      </c>
      <c r="Q132" s="3" t="n">
        <v>2</v>
      </c>
      <c r="R132" s="3" t="n">
        <v>2</v>
      </c>
      <c r="S132" s="3" t="n">
        <v>1</v>
      </c>
      <c r="T132" s="4" t="n">
        <v>2</v>
      </c>
      <c r="U132" s="3" t="n">
        <v>2</v>
      </c>
      <c r="V132" s="3" t="n">
        <v>6.42</v>
      </c>
      <c r="W132" s="3" t="n">
        <v>1.65</v>
      </c>
      <c r="X132" s="3" t="n">
        <v>3.6</v>
      </c>
      <c r="Y132" s="3" t="n">
        <v>484</v>
      </c>
      <c r="AA132" s="3" t="n">
        <v>0.52</v>
      </c>
      <c r="AB132" s="3" t="n">
        <v>15.6</v>
      </c>
      <c r="AC132" s="3" t="n">
        <v>1</v>
      </c>
      <c r="AD132" s="3" t="n">
        <v>2</v>
      </c>
      <c r="AE132" s="3" t="n">
        <v>1</v>
      </c>
      <c r="AF132" s="3" t="n">
        <v>1</v>
      </c>
      <c r="AG132" s="3" t="n">
        <v>2</v>
      </c>
      <c r="AH132" s="3" t="n">
        <v>2</v>
      </c>
      <c r="AI132" s="3" t="n">
        <v>1</v>
      </c>
      <c r="AJ132" s="3" t="n">
        <v>1</v>
      </c>
      <c r="AK132" s="3" t="n">
        <v>2</v>
      </c>
      <c r="AL132" s="3" t="n">
        <v>2</v>
      </c>
      <c r="AM132" s="3" t="n">
        <v>2</v>
      </c>
      <c r="AN132" s="3" t="n">
        <v>2</v>
      </c>
      <c r="AO132" s="3" t="n">
        <v>2</v>
      </c>
      <c r="AP132" s="3" t="n">
        <v>2</v>
      </c>
      <c r="AQ132" s="3" t="n">
        <v>2</v>
      </c>
      <c r="AR132" s="3" t="n">
        <v>2</v>
      </c>
      <c r="AS132" s="3" t="n">
        <v>4</v>
      </c>
      <c r="AT132" s="3" t="n">
        <v>1</v>
      </c>
      <c r="AU132" s="3" t="n">
        <v>1</v>
      </c>
      <c r="AV132" s="3" t="n">
        <v>1</v>
      </c>
      <c r="AW132" s="3" t="n">
        <v>1</v>
      </c>
      <c r="AX132" s="3" t="n">
        <v>2</v>
      </c>
      <c r="AY132" s="3" t="n">
        <v>2</v>
      </c>
      <c r="AZ132" s="3" t="n">
        <v>1</v>
      </c>
      <c r="BA132" s="5" t="n">
        <v>1</v>
      </c>
      <c r="BB132" s="3" t="n">
        <v>1</v>
      </c>
      <c r="BC132" s="3" t="n">
        <v>1</v>
      </c>
      <c r="BD132" s="3" t="n">
        <v>4</v>
      </c>
      <c r="BE132" s="3" t="n">
        <v>1</v>
      </c>
      <c r="BF132" s="3" t="n">
        <v>2</v>
      </c>
      <c r="BG132" s="3" t="n">
        <v>1</v>
      </c>
      <c r="BH132" s="3" t="n">
        <v>4</v>
      </c>
      <c r="BI132" s="3" t="n">
        <v>1</v>
      </c>
      <c r="BJ132" s="3" t="n">
        <v>1</v>
      </c>
    </row>
    <row r="133" customFormat="false" ht="12.75" hidden="false" customHeight="false" outlineLevel="0" collapsed="false">
      <c r="B133" s="2" t="s">
        <v>1715</v>
      </c>
      <c r="C133" s="2" t="s">
        <v>66</v>
      </c>
      <c r="D133" s="2" t="s">
        <v>298</v>
      </c>
      <c r="E133" s="2" t="n">
        <v>187631</v>
      </c>
      <c r="F133" s="15" t="n">
        <v>43767</v>
      </c>
      <c r="G133" s="15" t="n">
        <v>43774</v>
      </c>
      <c r="H133" s="3" t="n">
        <v>7</v>
      </c>
      <c r="I133" s="3" t="n">
        <v>2</v>
      </c>
      <c r="J133" s="3" t="n">
        <v>55</v>
      </c>
      <c r="K133" s="3" t="n">
        <v>1</v>
      </c>
      <c r="L133" s="3" t="n">
        <v>1</v>
      </c>
      <c r="M133" s="3" t="n">
        <v>2</v>
      </c>
      <c r="N133" s="3" t="n">
        <v>2</v>
      </c>
      <c r="O133" s="3" t="n">
        <v>2</v>
      </c>
      <c r="P133" s="3" t="n">
        <v>2</v>
      </c>
      <c r="Q133" s="3" t="n">
        <v>1</v>
      </c>
      <c r="R133" s="3" t="n">
        <v>2</v>
      </c>
      <c r="S133" s="3" t="n">
        <v>2</v>
      </c>
      <c r="T133" s="4" t="n">
        <v>2</v>
      </c>
      <c r="U133" s="3" t="n">
        <v>2</v>
      </c>
      <c r="V133" s="3" t="n">
        <v>4.57</v>
      </c>
      <c r="W133" s="3" t="n">
        <v>8.94</v>
      </c>
      <c r="X133" s="3" t="n">
        <v>12.94</v>
      </c>
      <c r="Y133" s="3" t="n">
        <v>273</v>
      </c>
      <c r="AA133" s="3" t="n">
        <v>0.45</v>
      </c>
      <c r="AB133" s="3" t="n">
        <v>11.3</v>
      </c>
      <c r="AC133" s="3" t="n">
        <v>1</v>
      </c>
      <c r="AD133" s="3" t="n">
        <v>1</v>
      </c>
      <c r="AE133" s="3" t="n">
        <v>1</v>
      </c>
      <c r="AF133" s="3" t="n">
        <v>1</v>
      </c>
      <c r="AG133" s="3" t="n">
        <v>2</v>
      </c>
      <c r="AH133" s="3" t="n">
        <v>1</v>
      </c>
      <c r="AI133" s="3" t="n">
        <v>2</v>
      </c>
      <c r="AJ133" s="3" t="n">
        <v>2</v>
      </c>
      <c r="AK133" s="3" t="n">
        <v>2</v>
      </c>
      <c r="AL133" s="3" t="n">
        <v>2</v>
      </c>
      <c r="AM133" s="3" t="n">
        <v>2</v>
      </c>
      <c r="AN133" s="3" t="n">
        <v>2</v>
      </c>
      <c r="AO133" s="3" t="n">
        <v>2</v>
      </c>
      <c r="AP133" s="3" t="n">
        <v>3</v>
      </c>
      <c r="AQ133" s="3" t="n">
        <v>4</v>
      </c>
      <c r="AR133" s="3" t="n">
        <v>4</v>
      </c>
      <c r="AS133" s="3" t="n">
        <v>6</v>
      </c>
      <c r="AT133" s="3" t="n">
        <v>4</v>
      </c>
      <c r="AU133" s="3" t="n">
        <v>4</v>
      </c>
      <c r="AV133" s="3" t="n">
        <v>6</v>
      </c>
      <c r="AW133" s="3" t="n">
        <v>6</v>
      </c>
      <c r="AX133" s="3" t="n">
        <v>3</v>
      </c>
      <c r="AY133" s="3" t="n">
        <v>3</v>
      </c>
      <c r="AZ133" s="3" t="n">
        <v>1</v>
      </c>
      <c r="BA133" s="5" t="n">
        <v>1</v>
      </c>
      <c r="BB133" s="3" t="n">
        <v>1</v>
      </c>
      <c r="BC133" s="3" t="n">
        <v>1</v>
      </c>
      <c r="BD133" s="3" t="n">
        <v>4</v>
      </c>
      <c r="BE133" s="3" t="n">
        <v>3</v>
      </c>
      <c r="BF133" s="3" t="n">
        <v>5</v>
      </c>
      <c r="BG133" s="3" t="n">
        <v>3</v>
      </c>
      <c r="BH133" s="3" t="n">
        <v>4</v>
      </c>
      <c r="BI133" s="3" t="n">
        <v>1</v>
      </c>
      <c r="BJ133" s="3" t="n">
        <v>1</v>
      </c>
    </row>
    <row r="134" customFormat="false" ht="12.75" hidden="false" customHeight="false" outlineLevel="0" collapsed="false">
      <c r="B134" s="17" t="s">
        <v>966</v>
      </c>
      <c r="C134" s="17" t="s">
        <v>1067</v>
      </c>
      <c r="D134" s="17" t="s">
        <v>1724</v>
      </c>
      <c r="E134" s="17" t="n">
        <v>188363</v>
      </c>
      <c r="F134" s="15" t="n">
        <v>43783</v>
      </c>
      <c r="G134" s="15" t="n">
        <v>43788</v>
      </c>
      <c r="H134" s="3" t="n">
        <v>5</v>
      </c>
      <c r="I134" s="3" t="n">
        <v>2</v>
      </c>
      <c r="J134" s="3" t="n">
        <v>56</v>
      </c>
      <c r="K134" s="3" t="n">
        <v>1</v>
      </c>
      <c r="L134" s="3" t="n">
        <v>2</v>
      </c>
      <c r="M134" s="3" t="n">
        <v>2</v>
      </c>
      <c r="N134" s="3" t="n">
        <v>2</v>
      </c>
      <c r="O134" s="3" t="n">
        <v>2</v>
      </c>
      <c r="P134" s="3" t="n">
        <v>2</v>
      </c>
      <c r="Q134" s="3" t="n">
        <v>2</v>
      </c>
      <c r="R134" s="3" t="n">
        <v>2</v>
      </c>
      <c r="S134" s="3" t="n">
        <v>2</v>
      </c>
      <c r="T134" s="4" t="n">
        <v>2</v>
      </c>
      <c r="U134" s="3" t="n">
        <v>1</v>
      </c>
      <c r="V134" s="3" t="n">
        <v>5.48</v>
      </c>
      <c r="W134" s="3" t="n">
        <v>5.74</v>
      </c>
      <c r="X134" s="3" t="n">
        <v>8.48</v>
      </c>
      <c r="Y134" s="3" t="n">
        <v>523</v>
      </c>
      <c r="AA134" s="3" t="n">
        <v>0.43</v>
      </c>
      <c r="AB134" s="3" t="n">
        <v>10.2</v>
      </c>
      <c r="AC134" s="3"/>
      <c r="AD134" s="3" t="n">
        <v>1</v>
      </c>
      <c r="AE134" s="3" t="n">
        <v>1</v>
      </c>
      <c r="AF134" s="3" t="n">
        <v>1</v>
      </c>
      <c r="AG134" s="3" t="n">
        <v>2</v>
      </c>
      <c r="AH134" s="3" t="n">
        <v>1</v>
      </c>
      <c r="AI134" s="3" t="n">
        <v>1</v>
      </c>
      <c r="AJ134" s="3" t="n">
        <v>2</v>
      </c>
      <c r="AK134" s="3" t="n">
        <v>2</v>
      </c>
      <c r="AL134" s="3" t="n">
        <v>2</v>
      </c>
      <c r="AM134" s="3" t="n">
        <v>2</v>
      </c>
      <c r="AN134" s="3" t="n">
        <v>2</v>
      </c>
      <c r="AO134" s="3" t="n">
        <v>2</v>
      </c>
      <c r="AP134" s="3" t="n">
        <v>3</v>
      </c>
      <c r="AQ134" s="3" t="n">
        <v>4</v>
      </c>
      <c r="AR134" s="3" t="n">
        <v>4</v>
      </c>
      <c r="AS134" s="3" t="n">
        <v>6</v>
      </c>
      <c r="AT134" s="3" t="n">
        <v>4</v>
      </c>
      <c r="AU134" s="3" t="n">
        <v>4</v>
      </c>
      <c r="AV134" s="3" t="n">
        <v>6</v>
      </c>
      <c r="AW134" s="3" t="n">
        <v>6</v>
      </c>
      <c r="AX134" s="3" t="n">
        <v>3</v>
      </c>
      <c r="AY134" s="3" t="n">
        <v>3</v>
      </c>
      <c r="AZ134" s="3" t="n">
        <v>1</v>
      </c>
      <c r="BA134" s="5" t="n">
        <v>1</v>
      </c>
      <c r="BB134" s="3" t="n">
        <v>1</v>
      </c>
      <c r="BC134" s="3" t="n">
        <v>1</v>
      </c>
      <c r="BD134" s="3" t="n">
        <v>2</v>
      </c>
      <c r="BE134" s="3" t="n">
        <v>3</v>
      </c>
      <c r="BF134" s="3" t="n">
        <v>5</v>
      </c>
      <c r="BG134" s="3" t="n">
        <v>3</v>
      </c>
      <c r="BH134" s="3" t="n">
        <v>4</v>
      </c>
      <c r="BI134" s="3" t="n">
        <v>1</v>
      </c>
      <c r="BJ134" s="3" t="n">
        <v>1</v>
      </c>
    </row>
    <row r="135" customFormat="false" ht="12.75" hidden="false" customHeight="false" outlineLevel="0" collapsed="false">
      <c r="B135" s="17" t="s">
        <v>1732</v>
      </c>
      <c r="C135" s="17" t="s">
        <v>1733</v>
      </c>
      <c r="D135" s="17" t="s">
        <v>1734</v>
      </c>
      <c r="E135" s="2" t="n">
        <v>188865</v>
      </c>
      <c r="F135" s="15" t="n">
        <v>43783</v>
      </c>
      <c r="G135" s="15" t="n">
        <v>43790</v>
      </c>
      <c r="H135" s="3" t="n">
        <v>7</v>
      </c>
      <c r="I135" s="3" t="n">
        <v>2</v>
      </c>
      <c r="J135" s="3" t="n">
        <v>61</v>
      </c>
      <c r="K135" s="3" t="n">
        <v>1</v>
      </c>
      <c r="L135" s="3" t="n">
        <v>1</v>
      </c>
      <c r="M135" s="3" t="n">
        <v>2</v>
      </c>
      <c r="N135" s="3" t="n">
        <v>2</v>
      </c>
      <c r="O135" s="3" t="n">
        <v>2</v>
      </c>
      <c r="P135" s="3" t="n">
        <v>2</v>
      </c>
      <c r="Q135" s="3" t="n">
        <v>2</v>
      </c>
      <c r="R135" s="3" t="n">
        <v>2</v>
      </c>
      <c r="S135" s="3" t="n">
        <v>2</v>
      </c>
      <c r="T135" s="4" t="n">
        <v>2</v>
      </c>
      <c r="U135" s="3" t="n">
        <v>2</v>
      </c>
      <c r="V135" s="3" t="n">
        <v>5.15</v>
      </c>
      <c r="W135" s="3" t="n">
        <v>0.78</v>
      </c>
      <c r="X135" s="3" t="n">
        <v>7.8</v>
      </c>
      <c r="Y135" s="3" t="n">
        <v>486</v>
      </c>
      <c r="AA135" s="3" t="n">
        <v>0.4</v>
      </c>
      <c r="AB135" s="3" t="n">
        <v>11.2</v>
      </c>
      <c r="AC135" s="3" t="n">
        <v>2</v>
      </c>
      <c r="AD135" s="3" t="n">
        <v>2</v>
      </c>
      <c r="AE135" s="3" t="n">
        <v>1</v>
      </c>
      <c r="AF135" s="3" t="n">
        <v>1</v>
      </c>
      <c r="AG135" s="3" t="n">
        <v>1</v>
      </c>
      <c r="AH135" s="3" t="n">
        <v>2</v>
      </c>
      <c r="AI135" s="3" t="n">
        <v>1</v>
      </c>
      <c r="AJ135" s="3" t="n">
        <v>2</v>
      </c>
      <c r="AK135" s="3" t="n">
        <v>2</v>
      </c>
      <c r="AL135" s="3" t="n">
        <v>2</v>
      </c>
      <c r="AM135" s="3" t="n">
        <v>1</v>
      </c>
      <c r="AN135" s="3" t="n">
        <v>2</v>
      </c>
      <c r="AO135" s="3" t="n">
        <v>2</v>
      </c>
      <c r="AP135" s="3" t="n">
        <v>3</v>
      </c>
      <c r="AQ135" s="3" t="n">
        <v>4</v>
      </c>
      <c r="AR135" s="3" t="n">
        <v>4</v>
      </c>
      <c r="AS135" s="3" t="n">
        <v>6</v>
      </c>
      <c r="AT135" s="3" t="n">
        <v>4</v>
      </c>
      <c r="AU135" s="3" t="n">
        <v>4</v>
      </c>
      <c r="AV135" s="3" t="n">
        <v>6</v>
      </c>
      <c r="AW135" s="3" t="n">
        <v>6</v>
      </c>
      <c r="AX135" s="3" t="n">
        <v>3</v>
      </c>
      <c r="AY135" s="3" t="n">
        <v>3</v>
      </c>
      <c r="AZ135" s="3" t="n">
        <v>1</v>
      </c>
      <c r="BA135" s="5" t="n">
        <v>1</v>
      </c>
      <c r="BB135" s="3" t="n">
        <v>1</v>
      </c>
      <c r="BC135" s="3" t="n">
        <v>1</v>
      </c>
      <c r="BD135" s="3" t="n">
        <v>2</v>
      </c>
      <c r="BE135" s="3" t="n">
        <v>1</v>
      </c>
      <c r="BF135" s="3" t="n">
        <v>2</v>
      </c>
      <c r="BG135" s="3" t="n">
        <v>1</v>
      </c>
      <c r="BH135" s="3" t="n">
        <v>4</v>
      </c>
      <c r="BI135" s="3" t="n">
        <v>1</v>
      </c>
      <c r="BJ135" s="3" t="n">
        <v>1</v>
      </c>
    </row>
    <row r="136" customFormat="false" ht="12.75" hidden="false" customHeight="false" outlineLevel="0" collapsed="false">
      <c r="B136" s="2" t="s">
        <v>1075</v>
      </c>
      <c r="C136" s="2" t="s">
        <v>1749</v>
      </c>
      <c r="D136" s="2" t="s">
        <v>1750</v>
      </c>
      <c r="E136" s="2" t="n">
        <v>188824</v>
      </c>
      <c r="F136" s="15" t="n">
        <v>43788</v>
      </c>
      <c r="G136" s="15" t="n">
        <v>43794</v>
      </c>
      <c r="H136" s="3" t="n">
        <v>6</v>
      </c>
      <c r="I136" s="3" t="n">
        <v>2</v>
      </c>
      <c r="J136" s="3" t="n">
        <v>54</v>
      </c>
      <c r="K136" s="3" t="n">
        <v>1</v>
      </c>
      <c r="L136" s="3" t="n">
        <v>1</v>
      </c>
      <c r="M136" s="3" t="n">
        <v>1</v>
      </c>
      <c r="N136" s="3" t="n">
        <v>2</v>
      </c>
      <c r="O136" s="3" t="n">
        <v>1</v>
      </c>
      <c r="P136" s="3" t="n">
        <v>2</v>
      </c>
      <c r="Q136" s="3" t="n">
        <v>2</v>
      </c>
      <c r="R136" s="3" t="n">
        <v>2</v>
      </c>
      <c r="S136" s="3" t="n">
        <v>2</v>
      </c>
      <c r="T136" s="4" t="n">
        <v>2</v>
      </c>
      <c r="U136" s="3" t="n">
        <v>1</v>
      </c>
      <c r="V136" s="3" t="n">
        <v>5.24</v>
      </c>
      <c r="W136" s="3" t="n">
        <v>1.94</v>
      </c>
      <c r="X136" s="3" t="n">
        <v>6.97</v>
      </c>
      <c r="Y136" s="3" t="n">
        <v>453</v>
      </c>
      <c r="AA136" s="3" t="n">
        <v>0.45</v>
      </c>
      <c r="AB136" s="3" t="n">
        <v>8.3</v>
      </c>
      <c r="AC136" s="3" t="n">
        <v>2</v>
      </c>
      <c r="AD136" s="3" t="n">
        <v>2</v>
      </c>
      <c r="AE136" s="3" t="n">
        <v>1</v>
      </c>
      <c r="AF136" s="3" t="n">
        <v>1</v>
      </c>
      <c r="AG136" s="3" t="n">
        <v>1</v>
      </c>
      <c r="AH136" s="3" t="n">
        <v>2</v>
      </c>
      <c r="AI136" s="3" t="n">
        <v>2</v>
      </c>
      <c r="AJ136" s="3" t="n">
        <v>2</v>
      </c>
      <c r="AK136" s="3" t="n">
        <v>2</v>
      </c>
      <c r="AL136" s="3" t="n">
        <v>2</v>
      </c>
      <c r="AM136" s="3" t="n">
        <v>1</v>
      </c>
      <c r="AN136" s="3" t="n">
        <v>2</v>
      </c>
      <c r="AO136" s="3" t="n">
        <v>2</v>
      </c>
      <c r="AP136" s="3" t="n">
        <v>3</v>
      </c>
      <c r="AQ136" s="3" t="n">
        <v>4</v>
      </c>
      <c r="AR136" s="3" t="n">
        <v>4</v>
      </c>
      <c r="AS136" s="3" t="n">
        <v>6</v>
      </c>
      <c r="AT136" s="3" t="n">
        <v>4</v>
      </c>
      <c r="AU136" s="3" t="n">
        <v>4</v>
      </c>
      <c r="AV136" s="3" t="n">
        <v>6</v>
      </c>
      <c r="AW136" s="3" t="n">
        <v>6</v>
      </c>
      <c r="AX136" s="3" t="n">
        <v>3</v>
      </c>
      <c r="AY136" s="3" t="n">
        <v>3</v>
      </c>
      <c r="AZ136" s="3" t="n">
        <v>4</v>
      </c>
      <c r="BA136" s="5" t="n">
        <v>1</v>
      </c>
      <c r="BB136" s="3" t="n">
        <v>1</v>
      </c>
      <c r="BC136" s="3" t="n">
        <v>1</v>
      </c>
      <c r="BD136" s="3" t="n">
        <v>2</v>
      </c>
      <c r="BE136" s="3" t="n">
        <v>3</v>
      </c>
      <c r="BF136" s="3" t="n">
        <v>5</v>
      </c>
      <c r="BG136" s="3" t="n">
        <v>3</v>
      </c>
      <c r="BH136" s="3" t="n">
        <v>4</v>
      </c>
      <c r="BI136" s="3" t="n">
        <v>1</v>
      </c>
      <c r="BJ136" s="3" t="n">
        <v>1</v>
      </c>
    </row>
    <row r="137" customFormat="false" ht="12.75" hidden="false" customHeight="false" outlineLevel="0" collapsed="false">
      <c r="B137" s="17" t="s">
        <v>569</v>
      </c>
      <c r="C137" s="17" t="s">
        <v>564</v>
      </c>
      <c r="D137" s="17" t="s">
        <v>210</v>
      </c>
      <c r="E137" s="2" t="n">
        <v>188853</v>
      </c>
      <c r="F137" s="15" t="n">
        <v>43786</v>
      </c>
      <c r="G137" s="15" t="n">
        <v>43796</v>
      </c>
      <c r="H137" s="3" t="n">
        <v>10</v>
      </c>
      <c r="I137" s="3" t="n">
        <v>2</v>
      </c>
      <c r="J137" s="3" t="n">
        <v>63</v>
      </c>
      <c r="K137" s="3" t="n">
        <v>1</v>
      </c>
      <c r="L137" s="3" t="n">
        <v>2</v>
      </c>
      <c r="M137" s="3" t="n">
        <v>1</v>
      </c>
      <c r="N137" s="3" t="n">
        <v>2</v>
      </c>
      <c r="O137" s="3" t="n">
        <v>2</v>
      </c>
      <c r="P137" s="3" t="n">
        <v>2</v>
      </c>
      <c r="Q137" s="3" t="n">
        <v>2</v>
      </c>
      <c r="R137" s="3" t="n">
        <v>2</v>
      </c>
      <c r="S137" s="3" t="n">
        <v>2</v>
      </c>
      <c r="T137" s="4" t="n">
        <v>2</v>
      </c>
      <c r="U137" s="3" t="n">
        <v>2</v>
      </c>
      <c r="V137" s="3" t="n">
        <v>5.69</v>
      </c>
      <c r="W137" s="3" t="n">
        <v>1.76</v>
      </c>
      <c r="X137" s="3" t="n">
        <v>5.08</v>
      </c>
      <c r="Y137" s="3" t="n">
        <v>361</v>
      </c>
      <c r="AA137" s="3" t="n">
        <v>0.5</v>
      </c>
      <c r="AB137" s="3" t="n">
        <v>9.1</v>
      </c>
      <c r="AC137" s="3" t="n">
        <v>1</v>
      </c>
      <c r="AD137" s="3" t="n">
        <v>2</v>
      </c>
      <c r="AE137" s="3" t="n">
        <v>1</v>
      </c>
      <c r="AF137" s="3" t="n">
        <v>1</v>
      </c>
      <c r="AG137" s="3" t="n">
        <v>2</v>
      </c>
      <c r="AH137" s="3" t="n">
        <v>2</v>
      </c>
      <c r="AI137" s="3" t="n">
        <v>1</v>
      </c>
      <c r="AJ137" s="3" t="n">
        <v>2</v>
      </c>
      <c r="AK137" s="3" t="n">
        <v>2</v>
      </c>
      <c r="AL137" s="3" t="n">
        <v>2</v>
      </c>
      <c r="AM137" s="3" t="n">
        <v>2</v>
      </c>
      <c r="AN137" s="3" t="n">
        <v>2</v>
      </c>
      <c r="AO137" s="3" t="n">
        <v>2</v>
      </c>
      <c r="AP137" s="3" t="n">
        <v>3</v>
      </c>
      <c r="AQ137" s="3" t="n">
        <v>4</v>
      </c>
      <c r="AR137" s="3" t="n">
        <v>4</v>
      </c>
      <c r="AS137" s="3" t="n">
        <v>6</v>
      </c>
      <c r="AT137" s="3" t="n">
        <v>4</v>
      </c>
      <c r="AU137" s="3" t="n">
        <v>4</v>
      </c>
      <c r="AV137" s="3" t="n">
        <v>6</v>
      </c>
      <c r="AW137" s="3" t="n">
        <v>6</v>
      </c>
      <c r="AX137" s="3" t="n">
        <v>3</v>
      </c>
      <c r="AY137" s="3" t="n">
        <v>3</v>
      </c>
      <c r="AZ137" s="3" t="n">
        <v>2</v>
      </c>
      <c r="BA137" s="5" t="n">
        <v>1</v>
      </c>
      <c r="BB137" s="3" t="n">
        <v>1</v>
      </c>
      <c r="BC137" s="3" t="n">
        <v>1</v>
      </c>
      <c r="BD137" s="3" t="n">
        <v>2</v>
      </c>
      <c r="BE137" s="3" t="n">
        <v>1</v>
      </c>
      <c r="BF137" s="3" t="n">
        <v>2</v>
      </c>
      <c r="BG137" s="3" t="n">
        <v>1</v>
      </c>
      <c r="BH137" s="3" t="n">
        <v>4</v>
      </c>
      <c r="BI137" s="3" t="n">
        <v>1</v>
      </c>
      <c r="BJ137" s="3" t="n">
        <v>1</v>
      </c>
    </row>
    <row r="138" customFormat="false" ht="12.75" hidden="false" customHeight="false" outlineLevel="0" collapsed="false">
      <c r="B138" s="2" t="s">
        <v>1762</v>
      </c>
      <c r="C138" s="2" t="s">
        <v>414</v>
      </c>
      <c r="D138" s="2" t="s">
        <v>1763</v>
      </c>
      <c r="E138" s="2" t="n">
        <v>189162</v>
      </c>
      <c r="F138" s="15" t="n">
        <v>43790</v>
      </c>
      <c r="G138" s="15" t="n">
        <v>43797</v>
      </c>
      <c r="H138" s="3" t="n">
        <v>7</v>
      </c>
      <c r="I138" s="3" t="n">
        <v>2</v>
      </c>
      <c r="J138" s="3" t="n">
        <v>52</v>
      </c>
      <c r="K138" s="3" t="n">
        <v>1</v>
      </c>
      <c r="L138" s="3" t="n">
        <v>1</v>
      </c>
      <c r="M138" s="3" t="n">
        <v>2</v>
      </c>
      <c r="N138" s="3" t="n">
        <v>2</v>
      </c>
      <c r="O138" s="3" t="n">
        <v>1</v>
      </c>
      <c r="P138" s="3" t="n">
        <v>2</v>
      </c>
      <c r="Q138" s="3" t="n">
        <v>2</v>
      </c>
      <c r="R138" s="3" t="n">
        <v>2</v>
      </c>
      <c r="S138" s="3" t="n">
        <v>2</v>
      </c>
      <c r="T138" s="4" t="n">
        <v>2</v>
      </c>
      <c r="U138" s="3" t="n">
        <v>2</v>
      </c>
      <c r="V138" s="3" t="n">
        <v>3.72</v>
      </c>
      <c r="W138" s="3" t="n">
        <v>2.25</v>
      </c>
      <c r="X138" s="3" t="n">
        <v>6.46</v>
      </c>
      <c r="Y138" s="3" t="n">
        <v>469</v>
      </c>
      <c r="AA138" s="3" t="n">
        <v>0.5</v>
      </c>
      <c r="AB138" s="3" t="n">
        <v>11.2</v>
      </c>
      <c r="AC138" s="3" t="n">
        <v>1</v>
      </c>
      <c r="AD138" s="3" t="n">
        <v>2</v>
      </c>
      <c r="AE138" s="3" t="n">
        <v>1</v>
      </c>
      <c r="AF138" s="3" t="n">
        <v>1</v>
      </c>
      <c r="AG138" s="3" t="n">
        <v>2</v>
      </c>
      <c r="AH138" s="3" t="n">
        <v>2</v>
      </c>
      <c r="AI138" s="3" t="n">
        <v>1</v>
      </c>
      <c r="AJ138" s="3" t="n">
        <v>2</v>
      </c>
      <c r="AK138" s="3" t="n">
        <v>2</v>
      </c>
      <c r="AL138" s="3" t="n">
        <v>2</v>
      </c>
      <c r="AM138" s="3" t="n">
        <v>1</v>
      </c>
      <c r="AN138" s="3" t="n">
        <v>2</v>
      </c>
      <c r="AO138" s="3" t="n">
        <v>2</v>
      </c>
      <c r="AP138" s="3" t="n">
        <v>3</v>
      </c>
      <c r="AQ138" s="3" t="n">
        <v>4</v>
      </c>
      <c r="AR138" s="3" t="n">
        <v>4</v>
      </c>
      <c r="AS138" s="3" t="n">
        <v>6</v>
      </c>
      <c r="AT138" s="3" t="n">
        <v>4</v>
      </c>
      <c r="AU138" s="3" t="n">
        <v>4</v>
      </c>
      <c r="AV138" s="3" t="n">
        <v>6</v>
      </c>
      <c r="AW138" s="3" t="n">
        <v>6</v>
      </c>
      <c r="AX138" s="3" t="n">
        <v>3</v>
      </c>
      <c r="AY138" s="3" t="n">
        <v>3</v>
      </c>
      <c r="AZ138" s="3" t="n">
        <v>1</v>
      </c>
      <c r="BA138" s="5" t="n">
        <v>1</v>
      </c>
      <c r="BB138" s="3" t="n">
        <v>1</v>
      </c>
      <c r="BC138" s="3" t="n">
        <v>1</v>
      </c>
      <c r="BD138" s="3" t="n">
        <v>2</v>
      </c>
      <c r="BE138" s="3" t="n">
        <v>1</v>
      </c>
      <c r="BF138" s="3" t="n">
        <v>2</v>
      </c>
      <c r="BG138" s="3" t="n">
        <v>1</v>
      </c>
      <c r="BH138" s="3" t="n">
        <v>4</v>
      </c>
      <c r="BI138" s="3" t="n">
        <v>1</v>
      </c>
      <c r="BJ138" s="3" t="n">
        <v>1</v>
      </c>
    </row>
    <row r="139" customFormat="false" ht="12.75" hidden="false" customHeight="false" outlineLevel="0" collapsed="false">
      <c r="B139" s="2" t="s">
        <v>217</v>
      </c>
      <c r="C139" s="2" t="s">
        <v>1766</v>
      </c>
      <c r="D139" s="2" t="s">
        <v>1767</v>
      </c>
      <c r="E139" s="2" t="n">
        <v>189149</v>
      </c>
      <c r="F139" s="15" t="n">
        <v>43794</v>
      </c>
      <c r="G139" s="15" t="n">
        <v>43801</v>
      </c>
      <c r="H139" s="3" t="n">
        <v>7</v>
      </c>
      <c r="I139" s="3" t="n">
        <v>2</v>
      </c>
      <c r="J139" s="3" t="n">
        <v>52</v>
      </c>
      <c r="K139" s="3" t="n">
        <v>2</v>
      </c>
      <c r="L139" s="3" t="n">
        <v>1</v>
      </c>
      <c r="M139" s="3" t="n">
        <v>1</v>
      </c>
      <c r="N139" s="3" t="n">
        <v>2</v>
      </c>
      <c r="O139" s="3" t="n">
        <v>2</v>
      </c>
      <c r="P139" s="3" t="n">
        <v>2</v>
      </c>
      <c r="Q139" s="3" t="n">
        <v>2</v>
      </c>
      <c r="R139" s="3" t="n">
        <v>2</v>
      </c>
      <c r="S139" s="3" t="n">
        <v>2</v>
      </c>
      <c r="T139" s="4" t="n">
        <v>2</v>
      </c>
      <c r="U139" s="3" t="n">
        <v>2</v>
      </c>
      <c r="V139" s="3" t="n">
        <v>4.2</v>
      </c>
      <c r="W139" s="3" t="n">
        <v>2.02</v>
      </c>
      <c r="X139" s="3" t="n">
        <v>5.31</v>
      </c>
      <c r="Y139" s="3" t="n">
        <v>433</v>
      </c>
      <c r="AA139" s="3" t="n">
        <v>0.54</v>
      </c>
      <c r="AB139" s="3" t="n">
        <v>13.6</v>
      </c>
      <c r="AC139" s="3" t="n">
        <v>1</v>
      </c>
      <c r="AD139" s="3" t="n">
        <v>2</v>
      </c>
      <c r="AE139" s="3" t="n">
        <v>1</v>
      </c>
      <c r="AF139" s="3" t="n">
        <v>1</v>
      </c>
      <c r="AG139" s="3" t="n">
        <v>1</v>
      </c>
      <c r="AH139" s="3" t="n">
        <v>1</v>
      </c>
      <c r="AI139" s="3" t="n">
        <v>1</v>
      </c>
      <c r="AJ139" s="3" t="n">
        <v>2</v>
      </c>
      <c r="AK139" s="3" t="n">
        <v>2</v>
      </c>
      <c r="AL139" s="3" t="n">
        <v>2</v>
      </c>
      <c r="AM139" s="3" t="n">
        <v>1</v>
      </c>
      <c r="AN139" s="3" t="n">
        <v>2</v>
      </c>
      <c r="AO139" s="3" t="n">
        <v>2</v>
      </c>
      <c r="AP139" s="3" t="n">
        <v>3</v>
      </c>
      <c r="AQ139" s="3" t="n">
        <v>4</v>
      </c>
      <c r="AR139" s="3" t="n">
        <v>4</v>
      </c>
      <c r="AS139" s="3" t="n">
        <v>6</v>
      </c>
      <c r="AT139" s="3" t="n">
        <v>4</v>
      </c>
      <c r="AU139" s="3" t="n">
        <v>4</v>
      </c>
      <c r="AV139" s="3" t="n">
        <v>6</v>
      </c>
      <c r="AW139" s="3" t="n">
        <v>6</v>
      </c>
      <c r="AX139" s="3" t="n">
        <v>3</v>
      </c>
      <c r="AY139" s="3" t="n">
        <v>3</v>
      </c>
      <c r="AZ139" s="3" t="n">
        <v>1</v>
      </c>
      <c r="BA139" s="5" t="n">
        <v>1</v>
      </c>
      <c r="BB139" s="3" t="n">
        <v>1</v>
      </c>
      <c r="BC139" s="3" t="n">
        <v>1</v>
      </c>
      <c r="BD139" s="3" t="n">
        <v>4</v>
      </c>
      <c r="BE139" s="3" t="n">
        <v>3</v>
      </c>
      <c r="BF139" s="3" t="n">
        <v>5</v>
      </c>
      <c r="BG139" s="3" t="n">
        <v>3</v>
      </c>
      <c r="BH139" s="3" t="n">
        <v>4</v>
      </c>
      <c r="BI139" s="3" t="n">
        <v>1</v>
      </c>
      <c r="BJ139" s="3" t="n">
        <v>1</v>
      </c>
    </row>
    <row r="140" customFormat="false" ht="12.75" hidden="false" customHeight="false" outlineLevel="0" collapsed="false">
      <c r="B140" s="2" t="s">
        <v>1772</v>
      </c>
      <c r="C140" s="2" t="s">
        <v>1773</v>
      </c>
      <c r="D140" s="2" t="s">
        <v>577</v>
      </c>
      <c r="E140" s="2" t="n">
        <v>189380</v>
      </c>
      <c r="F140" s="15" t="n">
        <v>43793</v>
      </c>
      <c r="G140" s="15" t="n">
        <v>43801</v>
      </c>
      <c r="H140" s="3" t="n">
        <v>8</v>
      </c>
      <c r="I140" s="3" t="n">
        <v>1</v>
      </c>
      <c r="J140" s="3" t="n">
        <v>54</v>
      </c>
      <c r="K140" s="3" t="n">
        <v>2</v>
      </c>
      <c r="L140" s="3" t="n">
        <v>1</v>
      </c>
      <c r="M140" s="3" t="n">
        <v>1</v>
      </c>
      <c r="N140" s="3" t="n">
        <v>2</v>
      </c>
      <c r="O140" s="3" t="n">
        <v>2</v>
      </c>
      <c r="P140" s="3" t="n">
        <v>2</v>
      </c>
      <c r="Q140" s="3" t="n">
        <v>2</v>
      </c>
      <c r="R140" s="3" t="n">
        <v>2</v>
      </c>
      <c r="S140" s="3" t="n">
        <v>2</v>
      </c>
      <c r="T140" s="4" t="n">
        <v>2</v>
      </c>
      <c r="U140" s="3" t="n">
        <v>2</v>
      </c>
      <c r="V140" s="3" t="n">
        <v>5.94</v>
      </c>
      <c r="W140" s="3" t="n">
        <v>1.36</v>
      </c>
      <c r="X140" s="3" t="n">
        <v>6.2</v>
      </c>
      <c r="Y140" s="3" t="n">
        <v>371</v>
      </c>
      <c r="AA140" s="3" t="n">
        <v>0.45</v>
      </c>
      <c r="AB140" s="3" t="n">
        <v>9.2</v>
      </c>
      <c r="AC140" s="3" t="n">
        <v>1</v>
      </c>
      <c r="AD140" s="3" t="n">
        <v>1</v>
      </c>
      <c r="AE140" s="3" t="n">
        <v>1</v>
      </c>
      <c r="AF140" s="3" t="n">
        <v>1</v>
      </c>
      <c r="AG140" s="3" t="n">
        <v>2</v>
      </c>
      <c r="AH140" s="3" t="n">
        <v>1</v>
      </c>
      <c r="AI140" s="3" t="n">
        <v>1</v>
      </c>
      <c r="AJ140" s="3" t="n">
        <v>2</v>
      </c>
      <c r="AK140" s="3" t="n">
        <v>2</v>
      </c>
      <c r="AL140" s="3" t="n">
        <v>2</v>
      </c>
      <c r="AM140" s="3" t="n">
        <v>1</v>
      </c>
      <c r="AN140" s="3" t="n">
        <v>2</v>
      </c>
      <c r="AO140" s="3" t="n">
        <v>2</v>
      </c>
      <c r="AP140" s="3" t="n">
        <v>3</v>
      </c>
      <c r="AQ140" s="3" t="n">
        <v>4</v>
      </c>
      <c r="AR140" s="3" t="n">
        <v>4</v>
      </c>
      <c r="AS140" s="3" t="n">
        <v>6</v>
      </c>
      <c r="AT140" s="3" t="n">
        <v>4</v>
      </c>
      <c r="AU140" s="3" t="n">
        <v>4</v>
      </c>
      <c r="AV140" s="3" t="n">
        <v>6</v>
      </c>
      <c r="AW140" s="3" t="n">
        <v>6</v>
      </c>
      <c r="AX140" s="3" t="n">
        <v>3</v>
      </c>
      <c r="AY140" s="3" t="n">
        <v>3</v>
      </c>
      <c r="AZ140" s="3" t="n">
        <v>1</v>
      </c>
      <c r="BA140" s="5" t="n">
        <v>1</v>
      </c>
      <c r="BB140" s="3" t="n">
        <v>1</v>
      </c>
      <c r="BC140" s="3" t="n">
        <v>1</v>
      </c>
      <c r="BD140" s="3" t="n">
        <v>4</v>
      </c>
      <c r="BE140" s="3" t="n">
        <v>1</v>
      </c>
      <c r="BF140" s="3" t="n">
        <v>2</v>
      </c>
      <c r="BG140" s="3" t="n">
        <v>1</v>
      </c>
      <c r="BH140" s="3" t="n">
        <v>4</v>
      </c>
      <c r="BI140" s="3" t="n">
        <v>1</v>
      </c>
      <c r="BJ140" s="3" t="n">
        <v>1</v>
      </c>
    </row>
    <row r="141" customFormat="false" ht="12.75" hidden="false" customHeight="false" outlineLevel="0" collapsed="false">
      <c r="B141" s="2" t="s">
        <v>1783</v>
      </c>
      <c r="C141" s="2" t="s">
        <v>1784</v>
      </c>
      <c r="D141" s="2" t="s">
        <v>1785</v>
      </c>
      <c r="E141" s="2" t="n">
        <v>189358</v>
      </c>
      <c r="F141" s="15" t="n">
        <v>43799</v>
      </c>
      <c r="G141" s="15" t="n">
        <v>43805</v>
      </c>
      <c r="H141" s="3" t="n">
        <v>7</v>
      </c>
      <c r="I141" s="3" t="n">
        <v>1</v>
      </c>
      <c r="J141" s="3" t="n">
        <v>59</v>
      </c>
      <c r="K141" s="3" t="n">
        <v>1</v>
      </c>
      <c r="L141" s="3" t="n">
        <v>1</v>
      </c>
      <c r="M141" s="3" t="n">
        <v>1</v>
      </c>
      <c r="N141" s="3" t="n">
        <v>2</v>
      </c>
      <c r="O141" s="3" t="n">
        <v>2</v>
      </c>
      <c r="P141" s="3" t="n">
        <v>2</v>
      </c>
      <c r="Q141" s="3" t="n">
        <v>2</v>
      </c>
      <c r="R141" s="3" t="n">
        <v>2</v>
      </c>
      <c r="S141" s="3" t="n">
        <v>2</v>
      </c>
      <c r="T141" s="4" t="n">
        <v>2</v>
      </c>
      <c r="U141" s="3" t="n">
        <v>2</v>
      </c>
      <c r="V141" s="3" t="n">
        <v>4.76</v>
      </c>
      <c r="W141" s="3" t="n">
        <v>2.31</v>
      </c>
      <c r="X141" s="3" t="n">
        <v>5.64</v>
      </c>
      <c r="Y141" s="3" t="n">
        <v>311</v>
      </c>
      <c r="AA141" s="3" t="n">
        <v>0.49</v>
      </c>
      <c r="AB141" s="3" t="n">
        <v>8.3</v>
      </c>
      <c r="AC141" s="3" t="n">
        <v>1</v>
      </c>
      <c r="AD141" s="3" t="n">
        <v>2</v>
      </c>
      <c r="AE141" s="3" t="n">
        <v>1</v>
      </c>
      <c r="AF141" s="3" t="n">
        <v>1</v>
      </c>
      <c r="AG141" s="3" t="n">
        <v>2</v>
      </c>
      <c r="AH141" s="3" t="n">
        <v>2</v>
      </c>
      <c r="AI141" s="3" t="n">
        <v>1</v>
      </c>
      <c r="AJ141" s="3" t="n">
        <v>2</v>
      </c>
      <c r="AK141" s="3" t="n">
        <v>2</v>
      </c>
      <c r="AL141" s="3" t="n">
        <v>2</v>
      </c>
      <c r="AM141" s="3" t="n">
        <v>2</v>
      </c>
      <c r="AN141" s="3" t="n">
        <v>2</v>
      </c>
      <c r="AO141" s="3" t="n">
        <v>2</v>
      </c>
      <c r="AP141" s="3" t="n">
        <v>3</v>
      </c>
      <c r="AQ141" s="3" t="n">
        <v>4</v>
      </c>
      <c r="AR141" s="3" t="n">
        <v>4</v>
      </c>
      <c r="AS141" s="3" t="n">
        <v>6</v>
      </c>
      <c r="AT141" s="3" t="n">
        <v>4</v>
      </c>
      <c r="AU141" s="3" t="n">
        <v>4</v>
      </c>
      <c r="AV141" s="3" t="n">
        <v>6</v>
      </c>
      <c r="AW141" s="3" t="n">
        <v>6</v>
      </c>
      <c r="AX141" s="3" t="n">
        <v>3</v>
      </c>
      <c r="AY141" s="3" t="n">
        <v>3</v>
      </c>
      <c r="AZ141" s="3" t="n">
        <v>1</v>
      </c>
      <c r="BA141" s="5" t="n">
        <v>1</v>
      </c>
      <c r="BB141" s="3" t="n">
        <v>1</v>
      </c>
      <c r="BC141" s="3" t="n">
        <v>1</v>
      </c>
      <c r="BD141" s="3" t="n">
        <v>2</v>
      </c>
      <c r="BE141" s="3" t="n">
        <v>3</v>
      </c>
      <c r="BF141" s="3" t="n">
        <v>5</v>
      </c>
      <c r="BG141" s="3" t="n">
        <v>3</v>
      </c>
      <c r="BH141" s="3" t="n">
        <v>4</v>
      </c>
      <c r="BI141" s="3" t="n">
        <v>1</v>
      </c>
      <c r="BJ141" s="3" t="n">
        <v>1</v>
      </c>
    </row>
    <row r="142" customFormat="false" ht="12.75" hidden="false" customHeight="false" outlineLevel="0" collapsed="false">
      <c r="B142" s="2" t="s">
        <v>1787</v>
      </c>
      <c r="C142" s="2" t="s">
        <v>1788</v>
      </c>
      <c r="D142" s="2" t="s">
        <v>1789</v>
      </c>
      <c r="E142" s="2" t="n">
        <v>189302</v>
      </c>
      <c r="F142" s="15" t="n">
        <v>43798</v>
      </c>
      <c r="G142" s="15" t="n">
        <v>43804</v>
      </c>
      <c r="H142" s="3" t="n">
        <v>6</v>
      </c>
      <c r="I142" s="3" t="n">
        <v>2</v>
      </c>
      <c r="J142" s="3" t="n">
        <v>70</v>
      </c>
      <c r="K142" s="3" t="n">
        <v>1</v>
      </c>
      <c r="L142" s="3" t="n">
        <v>1</v>
      </c>
      <c r="M142" s="3" t="n">
        <v>1</v>
      </c>
      <c r="N142" s="3" t="n">
        <v>2</v>
      </c>
      <c r="O142" s="3" t="n">
        <v>2</v>
      </c>
      <c r="P142" s="3" t="n">
        <v>2</v>
      </c>
      <c r="Q142" s="3" t="n">
        <v>2</v>
      </c>
      <c r="R142" s="3" t="n">
        <v>2</v>
      </c>
      <c r="S142" s="3" t="n">
        <v>2</v>
      </c>
      <c r="T142" s="4" t="n">
        <v>2</v>
      </c>
      <c r="U142" s="3" t="n">
        <v>4</v>
      </c>
      <c r="V142" s="3" t="n">
        <v>4.47</v>
      </c>
      <c r="W142" s="3" t="n">
        <v>1.97</v>
      </c>
      <c r="X142" s="3" t="n">
        <v>8.86</v>
      </c>
      <c r="Y142" s="3" t="n">
        <v>630</v>
      </c>
      <c r="AA142" s="3" t="n">
        <v>0.41</v>
      </c>
      <c r="AB142" s="3" t="n">
        <v>12</v>
      </c>
      <c r="AC142" s="3" t="n">
        <v>1</v>
      </c>
      <c r="AD142" s="3" t="n">
        <v>1</v>
      </c>
      <c r="AE142" s="3" t="n">
        <v>1</v>
      </c>
      <c r="AF142" s="3" t="n">
        <v>1</v>
      </c>
      <c r="AG142" s="3" t="n">
        <v>2</v>
      </c>
      <c r="AH142" s="3" t="n">
        <v>2</v>
      </c>
      <c r="AI142" s="3" t="n">
        <v>1</v>
      </c>
      <c r="AJ142" s="3" t="n">
        <v>2</v>
      </c>
      <c r="AK142" s="3" t="n">
        <v>2</v>
      </c>
      <c r="AL142" s="3" t="n">
        <v>2</v>
      </c>
      <c r="AM142" s="3" t="n">
        <v>2</v>
      </c>
      <c r="AN142" s="3" t="n">
        <v>2</v>
      </c>
      <c r="AO142" s="3" t="n">
        <v>2</v>
      </c>
      <c r="AP142" s="3" t="n">
        <v>3</v>
      </c>
      <c r="AQ142" s="3" t="n">
        <v>4</v>
      </c>
      <c r="AR142" s="3" t="n">
        <v>4</v>
      </c>
      <c r="AS142" s="3" t="n">
        <v>6</v>
      </c>
      <c r="AT142" s="3" t="n">
        <v>4</v>
      </c>
      <c r="AU142" s="3" t="n">
        <v>4</v>
      </c>
      <c r="AV142" s="3" t="n">
        <v>6</v>
      </c>
      <c r="AW142" s="3" t="n">
        <v>6</v>
      </c>
      <c r="AX142" s="3" t="n">
        <v>3</v>
      </c>
      <c r="AY142" s="3" t="n">
        <v>3</v>
      </c>
      <c r="AZ142" s="3" t="n">
        <v>5</v>
      </c>
      <c r="BA142" s="5" t="n">
        <v>1</v>
      </c>
      <c r="BB142" s="3" t="n">
        <v>1</v>
      </c>
      <c r="BC142" s="3" t="n">
        <v>1</v>
      </c>
      <c r="BD142" s="3" t="n">
        <v>4</v>
      </c>
      <c r="BE142" s="3" t="n">
        <v>3</v>
      </c>
      <c r="BF142" s="3" t="n">
        <v>5</v>
      </c>
      <c r="BG142" s="3" t="n">
        <v>3</v>
      </c>
      <c r="BH142" s="3" t="n">
        <v>4</v>
      </c>
      <c r="BI142" s="3" t="n">
        <v>1</v>
      </c>
      <c r="BJ142" s="3" t="n">
        <v>1</v>
      </c>
    </row>
    <row r="143" customFormat="false" ht="12.75" hidden="false" customHeight="false" outlineLevel="0" collapsed="false">
      <c r="B143" s="17" t="s">
        <v>1793</v>
      </c>
      <c r="C143" s="17" t="s">
        <v>1794</v>
      </c>
      <c r="D143" s="17" t="s">
        <v>1795</v>
      </c>
      <c r="E143" s="2" t="n">
        <v>189622</v>
      </c>
      <c r="F143" s="15" t="n">
        <v>43801</v>
      </c>
      <c r="G143" s="15" t="n">
        <v>43506</v>
      </c>
      <c r="H143" s="3" t="n">
        <v>8</v>
      </c>
      <c r="I143" s="3" t="n">
        <v>2</v>
      </c>
      <c r="J143" s="3" t="n">
        <v>85</v>
      </c>
      <c r="K143" s="3" t="n">
        <v>2</v>
      </c>
      <c r="L143" s="3" t="n">
        <v>2</v>
      </c>
      <c r="M143" s="3" t="n">
        <v>1</v>
      </c>
      <c r="N143" s="3" t="n">
        <v>2</v>
      </c>
      <c r="O143" s="3" t="n">
        <v>2</v>
      </c>
      <c r="P143" s="3" t="n">
        <v>2</v>
      </c>
      <c r="Q143" s="3" t="n">
        <v>2</v>
      </c>
      <c r="R143" s="3" t="n">
        <v>1</v>
      </c>
      <c r="S143" s="3" t="n">
        <v>2</v>
      </c>
      <c r="T143" s="4" t="n">
        <v>6</v>
      </c>
      <c r="U143" s="3" t="n">
        <v>10</v>
      </c>
      <c r="V143" s="3" t="n">
        <v>5.4</v>
      </c>
      <c r="W143" s="3" t="n">
        <v>1.1</v>
      </c>
      <c r="X143" s="3" t="n">
        <v>5</v>
      </c>
      <c r="Y143" s="3" t="n">
        <v>332</v>
      </c>
      <c r="AA143" s="3" t="n">
        <v>0.5</v>
      </c>
      <c r="AB143" s="3" t="n">
        <v>13</v>
      </c>
      <c r="AC143" s="3" t="n">
        <v>1</v>
      </c>
      <c r="AD143" s="3" t="n">
        <v>2</v>
      </c>
      <c r="AE143" s="3" t="n">
        <v>1</v>
      </c>
      <c r="AF143" s="3" t="n">
        <v>1</v>
      </c>
      <c r="AG143" s="3" t="n">
        <v>2</v>
      </c>
      <c r="AH143" s="3" t="n">
        <v>1</v>
      </c>
      <c r="AI143" s="3" t="n">
        <v>1</v>
      </c>
      <c r="AJ143" s="3" t="n">
        <v>2</v>
      </c>
      <c r="AK143" s="3" t="n">
        <v>2</v>
      </c>
      <c r="AL143" s="3" t="n">
        <v>2</v>
      </c>
      <c r="AM143" s="3" t="n">
        <v>1</v>
      </c>
      <c r="AN143" s="3" t="n">
        <v>2</v>
      </c>
      <c r="AO143" s="3" t="n">
        <v>2</v>
      </c>
      <c r="AP143" s="3" t="n">
        <v>3</v>
      </c>
      <c r="AQ143" s="3" t="n">
        <v>4</v>
      </c>
      <c r="AR143" s="3" t="n">
        <v>4</v>
      </c>
      <c r="AS143" s="3" t="n">
        <v>6</v>
      </c>
      <c r="AT143" s="3" t="n">
        <v>4</v>
      </c>
      <c r="AU143" s="3" t="n">
        <v>4</v>
      </c>
      <c r="AV143" s="3" t="n">
        <v>6</v>
      </c>
      <c r="AW143" s="3" t="n">
        <v>6</v>
      </c>
      <c r="AX143" s="3" t="n">
        <v>3</v>
      </c>
      <c r="AY143" s="3" t="n">
        <v>3</v>
      </c>
      <c r="AZ143" s="3" t="n">
        <v>1</v>
      </c>
      <c r="BA143" s="5" t="n">
        <v>1</v>
      </c>
      <c r="BB143" s="3" t="n">
        <v>1</v>
      </c>
      <c r="BC143" s="3" t="n">
        <v>1</v>
      </c>
      <c r="BD143" s="3" t="n">
        <v>4</v>
      </c>
      <c r="BE143" s="3" t="n">
        <v>3</v>
      </c>
      <c r="BF143" s="3" t="n">
        <v>5</v>
      </c>
      <c r="BG143" s="3" t="n">
        <v>3</v>
      </c>
      <c r="BH143" s="3" t="n">
        <v>4</v>
      </c>
      <c r="BI143" s="3" t="n">
        <v>1</v>
      </c>
      <c r="BJ143" s="3" t="n">
        <v>1</v>
      </c>
    </row>
    <row r="144" customFormat="false" ht="12.75" hidden="false" customHeight="false" outlineLevel="0" collapsed="false">
      <c r="B144" s="2" t="s">
        <v>1804</v>
      </c>
      <c r="C144" s="2" t="s">
        <v>127</v>
      </c>
      <c r="D144" s="2" t="s">
        <v>94</v>
      </c>
      <c r="E144" s="2" t="n">
        <v>189771</v>
      </c>
      <c r="F144" s="15" t="n">
        <v>43805</v>
      </c>
      <c r="G144" s="15" t="n">
        <v>43721</v>
      </c>
      <c r="H144" s="3" t="n">
        <v>7</v>
      </c>
      <c r="I144" s="3" t="n">
        <v>2</v>
      </c>
      <c r="J144" s="3" t="n">
        <v>53</v>
      </c>
      <c r="K144" s="3" t="n">
        <v>1</v>
      </c>
      <c r="L144" s="3" t="n">
        <v>1</v>
      </c>
      <c r="M144" s="3" t="n">
        <v>2</v>
      </c>
      <c r="N144" s="3" t="n">
        <v>2</v>
      </c>
      <c r="O144" s="3" t="n">
        <v>2</v>
      </c>
      <c r="P144" s="3" t="n">
        <v>2</v>
      </c>
      <c r="Q144" s="3" t="n">
        <v>2</v>
      </c>
      <c r="R144" s="3" t="n">
        <v>2</v>
      </c>
      <c r="S144" s="3" t="n">
        <v>2</v>
      </c>
      <c r="T144" s="4" t="n">
        <v>2</v>
      </c>
      <c r="U144" s="3" t="n">
        <v>2</v>
      </c>
      <c r="V144" s="3" t="n">
        <v>5.14</v>
      </c>
      <c r="W144" s="3" t="n">
        <v>2.05</v>
      </c>
      <c r="X144" s="3" t="n">
        <v>6.23</v>
      </c>
      <c r="Y144" s="3" t="n">
        <v>353</v>
      </c>
      <c r="AA144" s="3" t="n">
        <v>0.45</v>
      </c>
      <c r="AB144" s="3" t="n">
        <v>7.1</v>
      </c>
      <c r="AC144" s="3" t="n">
        <v>1</v>
      </c>
      <c r="AD144" s="3" t="n">
        <v>1</v>
      </c>
      <c r="AE144" s="3" t="n">
        <v>1</v>
      </c>
      <c r="AF144" s="3" t="n">
        <v>1</v>
      </c>
      <c r="AG144" s="3" t="n">
        <v>2</v>
      </c>
      <c r="AH144" s="3" t="n">
        <v>2</v>
      </c>
      <c r="AI144" s="3" t="n">
        <v>1</v>
      </c>
      <c r="AJ144" s="3" t="n">
        <v>2</v>
      </c>
      <c r="AK144" s="3" t="n">
        <v>2</v>
      </c>
      <c r="AL144" s="3" t="n">
        <v>2</v>
      </c>
      <c r="AM144" s="3" t="n">
        <v>2</v>
      </c>
      <c r="AN144" s="3" t="n">
        <v>2</v>
      </c>
      <c r="AO144" s="3" t="n">
        <v>2</v>
      </c>
      <c r="AP144" s="3" t="n">
        <v>3</v>
      </c>
      <c r="AQ144" s="3" t="n">
        <v>4</v>
      </c>
      <c r="AR144" s="3" t="n">
        <v>4</v>
      </c>
      <c r="AS144" s="3" t="n">
        <v>6</v>
      </c>
      <c r="AT144" s="3" t="n">
        <v>4</v>
      </c>
      <c r="AU144" s="3" t="n">
        <v>4</v>
      </c>
      <c r="AV144" s="3" t="n">
        <v>6</v>
      </c>
      <c r="AW144" s="3" t="n">
        <v>6</v>
      </c>
      <c r="AX144" s="3" t="n">
        <v>3</v>
      </c>
      <c r="AY144" s="3" t="n">
        <v>3</v>
      </c>
      <c r="AZ144" s="3" t="n">
        <v>1</v>
      </c>
      <c r="BA144" s="5" t="n">
        <v>1</v>
      </c>
      <c r="BB144" s="3" t="n">
        <v>1</v>
      </c>
      <c r="BC144" s="3" t="n">
        <v>1</v>
      </c>
      <c r="BD144" s="3" t="n">
        <v>4</v>
      </c>
      <c r="BE144" s="3" t="n">
        <v>1</v>
      </c>
      <c r="BF144" s="3" t="n">
        <v>2</v>
      </c>
      <c r="BG144" s="3" t="n">
        <v>1</v>
      </c>
      <c r="BH144" s="3" t="n">
        <v>4</v>
      </c>
      <c r="BI144" s="3" t="n">
        <v>1</v>
      </c>
      <c r="BJ144" s="3" t="n">
        <v>1</v>
      </c>
    </row>
    <row r="145" customFormat="false" ht="12.75" hidden="false" customHeight="false" outlineLevel="0" collapsed="false">
      <c r="B145" s="2" t="s">
        <v>1819</v>
      </c>
      <c r="C145" s="2" t="s">
        <v>275</v>
      </c>
      <c r="D145" s="2" t="s">
        <v>1820</v>
      </c>
      <c r="E145" s="2" t="n">
        <v>180021</v>
      </c>
      <c r="F145" s="15" t="n">
        <v>43807</v>
      </c>
      <c r="G145" s="15" t="n">
        <v>43815</v>
      </c>
      <c r="H145" s="3" t="n">
        <v>8</v>
      </c>
      <c r="I145" s="3" t="n">
        <v>2</v>
      </c>
      <c r="J145" s="3" t="n">
        <v>64</v>
      </c>
      <c r="K145" s="3" t="n">
        <v>1</v>
      </c>
      <c r="L145" s="3" t="n">
        <v>1</v>
      </c>
      <c r="M145" s="3" t="n">
        <v>1</v>
      </c>
      <c r="N145" s="3" t="n">
        <v>2</v>
      </c>
      <c r="O145" s="3" t="n">
        <v>2</v>
      </c>
      <c r="P145" s="3" t="n">
        <v>2</v>
      </c>
      <c r="Q145" s="3" t="n">
        <v>1</v>
      </c>
      <c r="R145" s="3" t="n">
        <v>2</v>
      </c>
      <c r="S145" s="3" t="n">
        <v>1</v>
      </c>
      <c r="T145" s="4" t="n">
        <v>2</v>
      </c>
      <c r="U145" s="3" t="n">
        <v>2</v>
      </c>
      <c r="V145" s="3" t="n">
        <v>2.97</v>
      </c>
      <c r="W145" s="3" t="n">
        <v>0.59</v>
      </c>
      <c r="X145" s="3" t="n">
        <v>5.59</v>
      </c>
      <c r="Y145" s="3" t="n">
        <v>435</v>
      </c>
      <c r="AA145" s="3" t="n">
        <v>0.38</v>
      </c>
      <c r="AB145" s="3" t="n">
        <v>8.4</v>
      </c>
      <c r="AC145" s="3" t="n">
        <v>1</v>
      </c>
      <c r="AD145" s="3" t="n">
        <v>2</v>
      </c>
      <c r="AE145" s="3" t="n">
        <v>1</v>
      </c>
      <c r="AF145" s="3" t="n">
        <v>1</v>
      </c>
      <c r="AG145" s="3" t="n">
        <v>2</v>
      </c>
      <c r="AH145" s="3" t="n">
        <v>2</v>
      </c>
      <c r="AI145" s="3" t="n">
        <v>1</v>
      </c>
      <c r="AJ145" s="3" t="n">
        <v>1</v>
      </c>
      <c r="AK145" s="3" t="n">
        <v>2</v>
      </c>
      <c r="AL145" s="3" t="n">
        <v>2</v>
      </c>
      <c r="AM145" s="3" t="n">
        <v>2</v>
      </c>
      <c r="AN145" s="3" t="n">
        <v>2</v>
      </c>
      <c r="AO145" s="3" t="n">
        <v>2</v>
      </c>
      <c r="AP145" s="3" t="n">
        <v>3</v>
      </c>
      <c r="AQ145" s="3" t="n">
        <v>4</v>
      </c>
      <c r="AR145" s="3" t="n">
        <v>4</v>
      </c>
      <c r="AS145" s="3" t="n">
        <v>6</v>
      </c>
      <c r="AT145" s="3" t="n">
        <v>4</v>
      </c>
      <c r="AU145" s="3" t="n">
        <v>4</v>
      </c>
      <c r="AV145" s="3" t="n">
        <v>6</v>
      </c>
      <c r="AW145" s="3" t="n">
        <v>6</v>
      </c>
      <c r="AX145" s="3" t="n">
        <v>3</v>
      </c>
      <c r="AY145" s="3" t="n">
        <v>3</v>
      </c>
      <c r="AZ145" s="3" t="n">
        <v>1</v>
      </c>
      <c r="BA145" s="5" t="n">
        <v>1</v>
      </c>
      <c r="BB145" s="3" t="n">
        <v>1</v>
      </c>
      <c r="BC145" s="3" t="n">
        <v>1</v>
      </c>
      <c r="BD145" s="3" t="n">
        <v>4</v>
      </c>
      <c r="BE145" s="3" t="n">
        <v>1</v>
      </c>
      <c r="BF145" s="3" t="n">
        <v>2</v>
      </c>
      <c r="BG145" s="3" t="n">
        <v>1</v>
      </c>
      <c r="BH145" s="3" t="n">
        <v>4</v>
      </c>
      <c r="BI145" s="3" t="n">
        <v>1</v>
      </c>
      <c r="BJ145" s="3" t="n">
        <v>1</v>
      </c>
    </row>
    <row r="146" customFormat="false" ht="12.75" hidden="false" customHeight="false" outlineLevel="0" collapsed="false">
      <c r="B146" s="2" t="s">
        <v>1824</v>
      </c>
      <c r="C146" s="2" t="s">
        <v>168</v>
      </c>
      <c r="D146" s="2" t="s">
        <v>168</v>
      </c>
      <c r="E146" s="2" t="n">
        <v>189954</v>
      </c>
      <c r="F146" s="15" t="n">
        <v>43809</v>
      </c>
      <c r="G146" s="15" t="n">
        <v>43816</v>
      </c>
      <c r="H146" s="3" t="n">
        <v>7</v>
      </c>
      <c r="I146" s="3" t="n">
        <v>2</v>
      </c>
      <c r="J146" s="3" t="n">
        <v>64</v>
      </c>
      <c r="K146" s="3" t="n">
        <v>2</v>
      </c>
      <c r="L146" s="3" t="n">
        <v>2</v>
      </c>
      <c r="M146" s="3" t="n">
        <v>2</v>
      </c>
      <c r="N146" s="3" t="n">
        <v>2</v>
      </c>
      <c r="O146" s="3" t="n">
        <v>2</v>
      </c>
      <c r="P146" s="3" t="n">
        <v>2</v>
      </c>
      <c r="Q146" s="3" t="n">
        <v>1</v>
      </c>
      <c r="R146" s="3" t="n">
        <v>2</v>
      </c>
      <c r="S146" s="3" t="n">
        <v>2</v>
      </c>
      <c r="T146" s="4" t="n">
        <v>2</v>
      </c>
      <c r="U146" s="3" t="n">
        <v>2</v>
      </c>
      <c r="V146" s="3" t="n">
        <v>4.4</v>
      </c>
      <c r="W146" s="3" t="n">
        <v>4.86</v>
      </c>
      <c r="X146" s="3"/>
      <c r="Y146" s="3" t="n">
        <v>234</v>
      </c>
      <c r="AA146" s="3" t="n">
        <v>0.51</v>
      </c>
      <c r="AB146" s="3" t="n">
        <v>7</v>
      </c>
      <c r="AC146" s="3" t="n">
        <v>1</v>
      </c>
      <c r="AD146" s="3" t="n">
        <v>2</v>
      </c>
      <c r="AE146" s="3" t="n">
        <v>1</v>
      </c>
      <c r="AF146" s="3" t="n">
        <v>1</v>
      </c>
      <c r="AG146" s="3" t="n">
        <v>2</v>
      </c>
      <c r="AH146" s="3" t="n">
        <v>2</v>
      </c>
      <c r="AI146" s="3" t="n">
        <v>1</v>
      </c>
      <c r="AJ146" s="3" t="n">
        <v>2</v>
      </c>
      <c r="AK146" s="3" t="n">
        <v>2</v>
      </c>
      <c r="AL146" s="3" t="n">
        <v>2</v>
      </c>
      <c r="AM146" s="3" t="n">
        <v>2</v>
      </c>
      <c r="AN146" s="3" t="n">
        <v>2</v>
      </c>
      <c r="AO146" s="3" t="n">
        <v>2</v>
      </c>
      <c r="AP146" s="3" t="n">
        <v>3</v>
      </c>
      <c r="AQ146" s="3" t="n">
        <v>4</v>
      </c>
      <c r="AR146" s="3" t="n">
        <v>4</v>
      </c>
      <c r="AS146" s="3" t="n">
        <v>6</v>
      </c>
      <c r="AT146" s="3" t="n">
        <v>4</v>
      </c>
      <c r="AU146" s="3" t="n">
        <v>4</v>
      </c>
      <c r="AV146" s="3" t="n">
        <v>6</v>
      </c>
      <c r="AW146" s="3" t="n">
        <v>6</v>
      </c>
      <c r="AX146" s="3" t="n">
        <v>3</v>
      </c>
      <c r="AY146" s="3" t="n">
        <v>3</v>
      </c>
      <c r="AZ146" s="3" t="n">
        <v>1</v>
      </c>
      <c r="BA146" s="5" t="n">
        <v>1</v>
      </c>
      <c r="BB146" s="3" t="n">
        <v>1</v>
      </c>
      <c r="BC146" s="3" t="n">
        <v>1</v>
      </c>
      <c r="BD146" s="3" t="n">
        <v>2</v>
      </c>
      <c r="BE146" s="3" t="n">
        <v>1</v>
      </c>
      <c r="BF146" s="3" t="n">
        <v>2</v>
      </c>
      <c r="BG146" s="3" t="n">
        <v>1</v>
      </c>
      <c r="BH146" s="3" t="n">
        <v>4</v>
      </c>
      <c r="BI146" s="3" t="n">
        <v>1</v>
      </c>
      <c r="BJ146" s="3" t="n">
        <v>1</v>
      </c>
    </row>
    <row r="147" customFormat="false" ht="12.75" hidden="false" customHeight="false" outlineLevel="0" collapsed="false">
      <c r="B147" s="2" t="s">
        <v>1837</v>
      </c>
      <c r="C147" s="2" t="s">
        <v>1838</v>
      </c>
      <c r="D147" s="2" t="s">
        <v>222</v>
      </c>
      <c r="E147" s="2" t="n">
        <v>190161</v>
      </c>
      <c r="F147" s="15" t="n">
        <v>43815</v>
      </c>
      <c r="G147" s="15" t="n">
        <v>43822</v>
      </c>
      <c r="H147" s="3" t="n">
        <v>7</v>
      </c>
      <c r="I147" s="3" t="n">
        <v>2</v>
      </c>
      <c r="J147" s="3" t="n">
        <v>83</v>
      </c>
      <c r="K147" s="3" t="n">
        <v>1</v>
      </c>
      <c r="L147" s="3" t="n">
        <v>1</v>
      </c>
      <c r="M147" s="3" t="n">
        <v>2</v>
      </c>
      <c r="N147" s="3" t="n">
        <v>2</v>
      </c>
      <c r="O147" s="3" t="n">
        <v>2</v>
      </c>
      <c r="P147" s="3" t="n">
        <v>2</v>
      </c>
      <c r="Q147" s="3" t="n">
        <v>2</v>
      </c>
      <c r="R147" s="3" t="n">
        <v>2</v>
      </c>
      <c r="S147" s="3" t="n">
        <v>2</v>
      </c>
      <c r="T147" s="4" t="n">
        <v>2</v>
      </c>
      <c r="U147" s="3" t="n">
        <v>2</v>
      </c>
      <c r="V147" s="3" t="n">
        <v>3.58</v>
      </c>
      <c r="W147" s="3" t="n">
        <v>0.69</v>
      </c>
      <c r="X147" s="3" t="n">
        <v>6.35</v>
      </c>
      <c r="Y147" s="3" t="n">
        <v>316</v>
      </c>
      <c r="AA147" s="3" t="n">
        <v>0.41</v>
      </c>
      <c r="AB147" s="3" t="n">
        <v>11</v>
      </c>
      <c r="AC147" s="3" t="n">
        <v>1</v>
      </c>
      <c r="AD147" s="3" t="n">
        <v>2</v>
      </c>
      <c r="AE147" s="3" t="n">
        <v>1</v>
      </c>
      <c r="AF147" s="3" t="n">
        <v>1</v>
      </c>
      <c r="AG147" s="3" t="n">
        <v>2</v>
      </c>
      <c r="AH147" s="3" t="n">
        <v>2</v>
      </c>
      <c r="AI147" s="3" t="n">
        <v>1</v>
      </c>
      <c r="AJ147" s="3" t="n">
        <v>2</v>
      </c>
      <c r="AK147" s="3" t="n">
        <v>2</v>
      </c>
      <c r="AL147" s="3" t="n">
        <v>2</v>
      </c>
      <c r="AM147" s="3" t="n">
        <v>2</v>
      </c>
      <c r="AN147" s="3" t="n">
        <v>2</v>
      </c>
      <c r="AO147" s="3" t="n">
        <v>2</v>
      </c>
      <c r="AP147" s="3" t="n">
        <v>3</v>
      </c>
      <c r="AQ147" s="3" t="n">
        <v>4</v>
      </c>
      <c r="AR147" s="3" t="n">
        <v>4</v>
      </c>
      <c r="AS147" s="3" t="n">
        <v>6</v>
      </c>
      <c r="AT147" s="3" t="n">
        <v>4</v>
      </c>
      <c r="AU147" s="3" t="n">
        <v>4</v>
      </c>
      <c r="AV147" s="3" t="n">
        <v>6</v>
      </c>
      <c r="AW147" s="3" t="n">
        <v>6</v>
      </c>
      <c r="AX147" s="3" t="n">
        <v>3</v>
      </c>
      <c r="AY147" s="3" t="n">
        <v>3</v>
      </c>
      <c r="AZ147" s="3" t="n">
        <v>5</v>
      </c>
      <c r="BA147" s="5" t="n">
        <v>1</v>
      </c>
      <c r="BB147" s="3" t="n">
        <v>1</v>
      </c>
      <c r="BC147" s="3" t="n">
        <v>1</v>
      </c>
      <c r="BD147" s="3" t="n">
        <v>4</v>
      </c>
      <c r="BE147" s="3" t="n">
        <v>1</v>
      </c>
      <c r="BF147" s="3" t="n">
        <v>2</v>
      </c>
      <c r="BG147" s="3" t="n">
        <v>1</v>
      </c>
      <c r="BH147" s="3" t="n">
        <v>4</v>
      </c>
      <c r="BI147" s="3" t="n">
        <v>1</v>
      </c>
      <c r="BJ147" s="3" t="n">
        <v>1</v>
      </c>
    </row>
    <row r="148" customFormat="false" ht="12.75" hidden="false" customHeight="false" outlineLevel="0" collapsed="false">
      <c r="B148" s="2" t="s">
        <v>440</v>
      </c>
      <c r="C148" s="2" t="s">
        <v>153</v>
      </c>
      <c r="D148" s="2" t="s">
        <v>1845</v>
      </c>
      <c r="E148" s="2" t="n">
        <v>190184</v>
      </c>
      <c r="F148" s="15" t="n">
        <v>43816</v>
      </c>
      <c r="G148" s="15" t="n">
        <v>43823</v>
      </c>
      <c r="H148" s="3" t="n">
        <v>7</v>
      </c>
      <c r="I148" s="3" t="n">
        <v>2</v>
      </c>
      <c r="J148" s="3" t="n">
        <v>47</v>
      </c>
      <c r="K148" s="3" t="n">
        <v>2</v>
      </c>
      <c r="L148" s="3" t="n">
        <v>1</v>
      </c>
      <c r="M148" s="3" t="n">
        <v>1</v>
      </c>
      <c r="N148" s="3" t="n">
        <v>2</v>
      </c>
      <c r="O148" s="3" t="n">
        <v>2</v>
      </c>
      <c r="P148" s="3" t="n">
        <v>2</v>
      </c>
      <c r="Q148" s="3" t="n">
        <v>2</v>
      </c>
      <c r="R148" s="3" t="n">
        <v>2</v>
      </c>
      <c r="S148" s="3" t="n">
        <v>2</v>
      </c>
      <c r="T148" s="4" t="n">
        <v>2</v>
      </c>
      <c r="U148" s="3" t="n">
        <v>2</v>
      </c>
      <c r="V148" s="3"/>
      <c r="W148" s="3"/>
      <c r="X148" s="3" t="n">
        <v>6.24</v>
      </c>
      <c r="Y148" s="3" t="n">
        <v>508</v>
      </c>
      <c r="AA148" s="3" t="n">
        <v>0.51</v>
      </c>
      <c r="AB148" s="3" t="n">
        <v>9.6</v>
      </c>
      <c r="AC148" s="3" t="n">
        <v>1</v>
      </c>
      <c r="AD148" s="3" t="n">
        <v>2</v>
      </c>
      <c r="AE148" s="3" t="n">
        <v>1</v>
      </c>
      <c r="AF148" s="3" t="n">
        <v>1</v>
      </c>
      <c r="AG148" s="3" t="n">
        <v>2</v>
      </c>
      <c r="AH148" s="3" t="n">
        <v>1</v>
      </c>
      <c r="AI148" s="3" t="n">
        <v>1</v>
      </c>
      <c r="AJ148" s="3" t="n">
        <v>2</v>
      </c>
      <c r="AK148" s="3" t="n">
        <v>2</v>
      </c>
      <c r="AL148" s="3" t="n">
        <v>2</v>
      </c>
      <c r="AM148" s="3" t="n">
        <v>2</v>
      </c>
      <c r="AN148" s="3" t="n">
        <v>2</v>
      </c>
      <c r="AO148" s="3" t="n">
        <v>2</v>
      </c>
      <c r="AP148" s="3" t="n">
        <v>3</v>
      </c>
      <c r="AQ148" s="3" t="n">
        <v>4</v>
      </c>
      <c r="AR148" s="3" t="n">
        <v>4</v>
      </c>
      <c r="AS148" s="3" t="n">
        <v>6</v>
      </c>
      <c r="AT148" s="3" t="n">
        <v>4</v>
      </c>
      <c r="AU148" s="3" t="n">
        <v>4</v>
      </c>
      <c r="AV148" s="3" t="n">
        <v>6</v>
      </c>
      <c r="AW148" s="3" t="n">
        <v>6</v>
      </c>
      <c r="AX148" s="3" t="n">
        <v>3</v>
      </c>
      <c r="AY148" s="3" t="n">
        <v>3</v>
      </c>
      <c r="AZ148" s="3" t="n">
        <v>1</v>
      </c>
      <c r="BA148" s="5" t="n">
        <v>1</v>
      </c>
      <c r="BB148" s="3" t="n">
        <v>1</v>
      </c>
      <c r="BC148" s="3" t="n">
        <v>1</v>
      </c>
      <c r="BD148" s="3" t="n">
        <v>4</v>
      </c>
      <c r="BE148" s="3" t="n">
        <v>1</v>
      </c>
      <c r="BF148" s="3" t="n">
        <v>2</v>
      </c>
      <c r="BG148" s="3" t="n">
        <v>1</v>
      </c>
      <c r="BH148" s="3" t="n">
        <v>4</v>
      </c>
      <c r="BI148" s="3" t="n">
        <v>1</v>
      </c>
      <c r="BJ148" s="3" t="n">
        <v>1</v>
      </c>
    </row>
    <row r="149" customFormat="false" ht="12.75" hidden="false" customHeight="false" outlineLevel="0" collapsed="false">
      <c r="B149" s="2" t="s">
        <v>1847</v>
      </c>
      <c r="C149" s="2" t="s">
        <v>1848</v>
      </c>
      <c r="D149" s="2" t="s">
        <v>1849</v>
      </c>
      <c r="E149" s="2" t="n">
        <v>190171</v>
      </c>
      <c r="F149" s="15" t="n">
        <v>43816</v>
      </c>
      <c r="G149" s="15" t="n">
        <v>43823</v>
      </c>
      <c r="H149" s="3" t="n">
        <v>7</v>
      </c>
      <c r="I149" s="3" t="n">
        <v>2</v>
      </c>
      <c r="J149" s="3" t="n">
        <v>82</v>
      </c>
      <c r="K149" s="3" t="n">
        <v>1</v>
      </c>
      <c r="L149" s="3" t="n">
        <v>2</v>
      </c>
      <c r="M149" s="3" t="n">
        <v>1</v>
      </c>
      <c r="N149" s="3" t="n">
        <v>2</v>
      </c>
      <c r="O149" s="3" t="n">
        <v>2</v>
      </c>
      <c r="P149" s="3" t="n">
        <v>2</v>
      </c>
      <c r="Q149" s="3" t="n">
        <v>2</v>
      </c>
      <c r="R149" s="3" t="n">
        <v>2</v>
      </c>
      <c r="S149" s="3" t="n">
        <v>2</v>
      </c>
      <c r="T149" s="4" t="n">
        <v>2</v>
      </c>
      <c r="U149" s="3" t="n">
        <v>4</v>
      </c>
      <c r="V149" s="3" t="n">
        <v>3.66</v>
      </c>
      <c r="W149" s="3" t="n">
        <v>0.55</v>
      </c>
      <c r="X149" s="3" t="n">
        <v>3.81</v>
      </c>
      <c r="Y149" s="3" t="n">
        <v>338</v>
      </c>
      <c r="AA149" s="3" t="n">
        <v>0.4</v>
      </c>
      <c r="AB149" s="3" t="n">
        <v>8.6</v>
      </c>
      <c r="AC149" s="3" t="n">
        <v>1</v>
      </c>
      <c r="AD149" s="3" t="n">
        <v>1</v>
      </c>
      <c r="AE149" s="3" t="n">
        <v>1</v>
      </c>
      <c r="AF149" s="3" t="n">
        <v>1</v>
      </c>
      <c r="AG149" s="3" t="n">
        <v>1</v>
      </c>
      <c r="AH149" s="3" t="n">
        <v>2</v>
      </c>
      <c r="AI149" s="3" t="n">
        <v>1</v>
      </c>
      <c r="AJ149" s="3" t="n">
        <v>2</v>
      </c>
      <c r="AK149" s="3" t="n">
        <v>2</v>
      </c>
      <c r="AL149" s="3" t="n">
        <v>2</v>
      </c>
      <c r="AM149" s="3" t="n">
        <v>1</v>
      </c>
      <c r="AN149" s="3" t="n">
        <v>2</v>
      </c>
      <c r="AO149" s="3" t="n">
        <v>2</v>
      </c>
      <c r="AP149" s="3" t="n">
        <v>3</v>
      </c>
      <c r="AQ149" s="3" t="n">
        <v>4</v>
      </c>
      <c r="AR149" s="3" t="n">
        <v>4</v>
      </c>
      <c r="AS149" s="3" t="n">
        <v>6</v>
      </c>
      <c r="AT149" s="3" t="n">
        <v>4</v>
      </c>
      <c r="AU149" s="3" t="n">
        <v>4</v>
      </c>
      <c r="AV149" s="3" t="n">
        <v>6</v>
      </c>
      <c r="AW149" s="3" t="n">
        <v>6</v>
      </c>
      <c r="AX149" s="3" t="n">
        <v>3</v>
      </c>
      <c r="AY149" s="3" t="n">
        <v>3</v>
      </c>
      <c r="AZ149" s="3" t="n">
        <v>1</v>
      </c>
      <c r="BA149" s="5" t="n">
        <v>1</v>
      </c>
      <c r="BB149" s="3" t="n">
        <v>1</v>
      </c>
      <c r="BC149" s="3" t="n">
        <v>1</v>
      </c>
      <c r="BD149" s="3" t="n">
        <v>2</v>
      </c>
      <c r="BE149" s="3" t="n">
        <v>3</v>
      </c>
      <c r="BF149" s="3" t="n">
        <v>5</v>
      </c>
      <c r="BG149" s="3" t="n">
        <v>3</v>
      </c>
      <c r="BH149" s="3" t="n">
        <v>4</v>
      </c>
      <c r="BI149" s="3" t="n">
        <v>1</v>
      </c>
      <c r="BJ149" s="3" t="n">
        <v>1</v>
      </c>
    </row>
    <row r="150" customFormat="false" ht="12.75" hidden="false" customHeight="false" outlineLevel="0" collapsed="false">
      <c r="B150" s="2" t="s">
        <v>1858</v>
      </c>
      <c r="C150" s="2" t="s">
        <v>78</v>
      </c>
      <c r="D150" s="2" t="s">
        <v>78</v>
      </c>
      <c r="E150" s="2" t="n">
        <v>190451</v>
      </c>
      <c r="F150" s="15" t="n">
        <v>43823</v>
      </c>
      <c r="G150" s="15" t="n">
        <v>43829</v>
      </c>
      <c r="H150" s="3" t="n">
        <v>6</v>
      </c>
      <c r="I150" s="3" t="n">
        <v>2</v>
      </c>
      <c r="J150" s="3" t="n">
        <v>78</v>
      </c>
      <c r="K150" s="3" t="n">
        <v>1</v>
      </c>
      <c r="L150" s="3" t="n">
        <v>2</v>
      </c>
      <c r="M150" s="3" t="n">
        <v>1</v>
      </c>
      <c r="N150" s="3" t="n">
        <v>2</v>
      </c>
      <c r="O150" s="3" t="n">
        <v>2</v>
      </c>
      <c r="P150" s="3" t="n">
        <v>2</v>
      </c>
      <c r="Q150" s="3" t="n">
        <v>2</v>
      </c>
      <c r="R150" s="3" t="n">
        <v>2</v>
      </c>
      <c r="S150" s="3" t="n">
        <v>1</v>
      </c>
      <c r="T150" s="4" t="n">
        <v>2</v>
      </c>
      <c r="U150" s="3" t="n">
        <v>2</v>
      </c>
      <c r="V150" s="3" t="n">
        <v>3.61</v>
      </c>
      <c r="W150" s="3" t="n">
        <v>1.63</v>
      </c>
      <c r="X150" s="3" t="n">
        <v>5.98</v>
      </c>
      <c r="Y150" s="3" t="n">
        <v>437</v>
      </c>
      <c r="AA150" s="3" t="n">
        <v>0.4</v>
      </c>
      <c r="AB150" s="3" t="n">
        <v>6</v>
      </c>
      <c r="AC150" s="3" t="n">
        <v>1</v>
      </c>
      <c r="AD150" s="3" t="n">
        <v>2</v>
      </c>
      <c r="AE150" s="3" t="n">
        <v>1</v>
      </c>
      <c r="AF150" s="3" t="n">
        <v>1</v>
      </c>
      <c r="AG150" s="3" t="n">
        <v>2</v>
      </c>
      <c r="AH150" s="3" t="n">
        <v>2</v>
      </c>
      <c r="AI150" s="3" t="n">
        <v>1</v>
      </c>
      <c r="AJ150" s="3" t="n">
        <v>1</v>
      </c>
      <c r="AK150" s="3" t="n">
        <v>2</v>
      </c>
      <c r="AL150" s="3" t="n">
        <v>2</v>
      </c>
      <c r="AM150" s="3" t="n">
        <v>1</v>
      </c>
      <c r="AN150" s="3" t="n">
        <v>2</v>
      </c>
      <c r="AO150" s="3" t="n">
        <v>2</v>
      </c>
      <c r="AP150" s="3" t="n">
        <v>3</v>
      </c>
      <c r="AQ150" s="3" t="n">
        <v>4</v>
      </c>
      <c r="AR150" s="3" t="n">
        <v>4</v>
      </c>
      <c r="AS150" s="3" t="n">
        <v>6</v>
      </c>
      <c r="AT150" s="3" t="n">
        <v>4</v>
      </c>
      <c r="AU150" s="3" t="n">
        <v>4</v>
      </c>
      <c r="AV150" s="3" t="n">
        <v>6</v>
      </c>
      <c r="AW150" s="3" t="n">
        <v>6</v>
      </c>
      <c r="AX150" s="3" t="n">
        <v>3</v>
      </c>
      <c r="AY150" s="3" t="n">
        <v>3</v>
      </c>
      <c r="AZ150" s="3" t="n">
        <v>5</v>
      </c>
      <c r="BA150" s="5" t="n">
        <v>1</v>
      </c>
      <c r="BB150" s="3" t="n">
        <v>1</v>
      </c>
      <c r="BC150" s="3" t="n">
        <v>1</v>
      </c>
      <c r="BD150" s="3" t="n">
        <v>4</v>
      </c>
      <c r="BE150" s="3" t="n">
        <v>1</v>
      </c>
      <c r="BF150" s="3" t="n">
        <v>2</v>
      </c>
      <c r="BG150" s="3" t="n">
        <v>1</v>
      </c>
      <c r="BH150" s="3" t="n">
        <v>4</v>
      </c>
      <c r="BI150" s="3" t="n">
        <v>1</v>
      </c>
      <c r="BJ150" s="3" t="n">
        <v>1</v>
      </c>
    </row>
    <row r="151" customFormat="false" ht="12.75" hidden="false" customHeight="false" outlineLevel="0" collapsed="false">
      <c r="B151" s="2" t="s">
        <v>1868</v>
      </c>
      <c r="C151" s="2" t="s">
        <v>153</v>
      </c>
      <c r="D151" s="2" t="s">
        <v>294</v>
      </c>
      <c r="E151" s="2" t="n">
        <v>190537</v>
      </c>
      <c r="F151" s="15" t="n">
        <v>43828</v>
      </c>
      <c r="G151" s="15" t="n">
        <v>43836</v>
      </c>
      <c r="H151" s="3" t="n">
        <v>8</v>
      </c>
      <c r="I151" s="3" t="n">
        <v>2</v>
      </c>
      <c r="J151" s="3" t="n">
        <v>58</v>
      </c>
      <c r="K151" s="3" t="n">
        <v>1</v>
      </c>
      <c r="L151" s="3" t="n">
        <v>1</v>
      </c>
      <c r="M151" s="3" t="n">
        <v>1</v>
      </c>
      <c r="N151" s="3" t="n">
        <v>2</v>
      </c>
      <c r="O151" s="3" t="n">
        <v>2</v>
      </c>
      <c r="P151" s="3" t="n">
        <v>1</v>
      </c>
      <c r="Q151" s="3" t="n">
        <v>1</v>
      </c>
      <c r="R151" s="3" t="n">
        <v>2</v>
      </c>
      <c r="S151" s="3" t="n">
        <v>1</v>
      </c>
      <c r="T151" s="4" t="n">
        <v>2</v>
      </c>
      <c r="U151" s="3" t="n">
        <v>2</v>
      </c>
      <c r="V151" s="3" t="n">
        <v>5.49</v>
      </c>
      <c r="W151" s="3" t="n">
        <v>2.83</v>
      </c>
      <c r="X151" s="3" t="n">
        <v>21.16</v>
      </c>
      <c r="Y151" s="3" t="n">
        <v>427</v>
      </c>
      <c r="AA151" s="3" t="n">
        <v>0.5</v>
      </c>
      <c r="AB151" s="3" t="n">
        <v>13</v>
      </c>
      <c r="AC151" s="3" t="n">
        <v>1</v>
      </c>
      <c r="AD151" s="3" t="n">
        <v>2</v>
      </c>
      <c r="AE151" s="3" t="n">
        <v>1</v>
      </c>
      <c r="AF151" s="3" t="n">
        <v>1</v>
      </c>
      <c r="AG151" s="3" t="n">
        <v>2</v>
      </c>
      <c r="AH151" s="3" t="n">
        <v>2</v>
      </c>
      <c r="AI151" s="3" t="n">
        <v>1</v>
      </c>
      <c r="AJ151" s="3" t="n">
        <v>1</v>
      </c>
      <c r="AK151" s="3" t="n">
        <v>1</v>
      </c>
      <c r="AL151" s="3" t="n">
        <v>2</v>
      </c>
      <c r="AM151" s="3" t="n">
        <v>1</v>
      </c>
      <c r="AN151" s="3" t="n">
        <v>2</v>
      </c>
      <c r="AO151" s="3" t="n">
        <v>2</v>
      </c>
      <c r="AP151" s="3" t="n">
        <v>3</v>
      </c>
      <c r="AQ151" s="3" t="n">
        <v>4</v>
      </c>
      <c r="AR151" s="3" t="n">
        <v>4</v>
      </c>
      <c r="AS151" s="3" t="n">
        <v>6</v>
      </c>
      <c r="AT151" s="3" t="n">
        <v>4</v>
      </c>
      <c r="AU151" s="3" t="n">
        <v>4</v>
      </c>
      <c r="AV151" s="3" t="n">
        <v>6</v>
      </c>
      <c r="AW151" s="3" t="n">
        <v>6</v>
      </c>
      <c r="AX151" s="3" t="n">
        <v>3</v>
      </c>
      <c r="AY151" s="3" t="n">
        <v>3</v>
      </c>
      <c r="AZ151" s="3" t="n">
        <v>1</v>
      </c>
      <c r="BA151" s="5" t="n">
        <v>1</v>
      </c>
      <c r="BB151" s="3" t="n">
        <v>1</v>
      </c>
      <c r="BC151" s="3" t="n">
        <v>1</v>
      </c>
      <c r="BD151" s="3" t="n">
        <v>4</v>
      </c>
      <c r="BE151" s="3" t="n">
        <v>1</v>
      </c>
      <c r="BF151" s="3" t="n">
        <v>2</v>
      </c>
      <c r="BG151" s="3" t="n">
        <v>1</v>
      </c>
      <c r="BH151" s="3" t="n">
        <v>4</v>
      </c>
      <c r="BI151" s="3" t="n">
        <v>1</v>
      </c>
      <c r="BJ151" s="3" t="n">
        <v>1</v>
      </c>
    </row>
    <row r="152" customFormat="false" ht="12.75" hidden="false" customHeight="false" outlineLevel="0" collapsed="false">
      <c r="B152" s="2" t="s">
        <v>1885</v>
      </c>
      <c r="C152" s="2" t="s">
        <v>94</v>
      </c>
      <c r="D152" s="2" t="s">
        <v>239</v>
      </c>
      <c r="E152" s="2" t="n">
        <v>191060</v>
      </c>
      <c r="F152" s="15" t="n">
        <v>43833</v>
      </c>
      <c r="G152" s="15" t="n">
        <v>43840</v>
      </c>
      <c r="H152" s="3" t="n">
        <v>7</v>
      </c>
      <c r="I152" s="3" t="n">
        <v>2</v>
      </c>
      <c r="J152" s="3" t="n">
        <v>64</v>
      </c>
      <c r="K152" s="3" t="n">
        <v>1</v>
      </c>
      <c r="L152" s="3" t="n">
        <v>2</v>
      </c>
      <c r="M152" s="3" t="n">
        <v>2</v>
      </c>
      <c r="N152" s="3" t="n">
        <v>2</v>
      </c>
      <c r="O152" s="3" t="n">
        <v>2</v>
      </c>
      <c r="P152" s="3" t="n">
        <v>2</v>
      </c>
      <c r="Q152" s="3" t="n">
        <v>2</v>
      </c>
      <c r="R152" s="3" t="n">
        <v>2</v>
      </c>
      <c r="S152" s="3" t="n">
        <v>2</v>
      </c>
      <c r="T152" s="4" t="n">
        <v>2</v>
      </c>
      <c r="U152" s="3" t="n">
        <v>2</v>
      </c>
      <c r="V152" s="3" t="n">
        <v>4.32</v>
      </c>
      <c r="W152" s="3" t="n">
        <v>1.48</v>
      </c>
      <c r="X152" s="3" t="n">
        <v>19.2</v>
      </c>
      <c r="Y152" s="3" t="n">
        <v>341</v>
      </c>
      <c r="AA152" s="3" t="n">
        <v>0.47</v>
      </c>
      <c r="AB152" s="3"/>
      <c r="AC152" s="3" t="n">
        <v>1</v>
      </c>
      <c r="AD152" s="3" t="n">
        <v>2</v>
      </c>
      <c r="AE152" s="3" t="n">
        <v>1</v>
      </c>
      <c r="AF152" s="3" t="n">
        <v>1</v>
      </c>
      <c r="AG152" s="3" t="n">
        <v>1</v>
      </c>
      <c r="AH152" s="3" t="n">
        <v>2</v>
      </c>
      <c r="AI152" s="3" t="n">
        <v>1</v>
      </c>
      <c r="AJ152" s="3" t="n">
        <v>2</v>
      </c>
      <c r="AK152" s="3" t="n">
        <v>1</v>
      </c>
      <c r="AL152" s="3" t="n">
        <v>2</v>
      </c>
      <c r="AM152" s="3" t="n">
        <v>1</v>
      </c>
      <c r="AN152" s="3" t="n">
        <v>2</v>
      </c>
      <c r="AO152" s="3" t="n">
        <v>2</v>
      </c>
      <c r="AP152" s="3" t="n">
        <v>3</v>
      </c>
      <c r="AQ152" s="3" t="n">
        <v>4</v>
      </c>
      <c r="AR152" s="3" t="n">
        <v>4</v>
      </c>
      <c r="AS152" s="3" t="n">
        <v>6</v>
      </c>
      <c r="AT152" s="3" t="n">
        <v>4</v>
      </c>
      <c r="AU152" s="3" t="n">
        <v>4</v>
      </c>
      <c r="AV152" s="3" t="n">
        <v>6</v>
      </c>
      <c r="AW152" s="3" t="n">
        <v>6</v>
      </c>
      <c r="AX152" s="3" t="n">
        <v>3</v>
      </c>
      <c r="AY152" s="3" t="n">
        <v>3</v>
      </c>
      <c r="AZ152" s="3" t="n">
        <v>1</v>
      </c>
      <c r="BA152" s="5" t="n">
        <v>1</v>
      </c>
      <c r="BB152" s="3" t="n">
        <v>1</v>
      </c>
      <c r="BC152" s="3" t="n">
        <v>1</v>
      </c>
      <c r="BD152" s="3" t="n">
        <v>2</v>
      </c>
      <c r="BE152" s="3" t="n">
        <v>1</v>
      </c>
      <c r="BF152" s="3" t="n">
        <v>2</v>
      </c>
      <c r="BG152" s="3" t="n">
        <v>1</v>
      </c>
      <c r="BH152" s="3" t="n">
        <v>4</v>
      </c>
      <c r="BI152" s="3" t="n">
        <v>1</v>
      </c>
      <c r="BJ152" s="3" t="n">
        <v>1</v>
      </c>
    </row>
    <row r="153" customFormat="false" ht="12.75" hidden="false" customHeight="false" outlineLevel="0" collapsed="false">
      <c r="B153" s="26" t="s">
        <v>1887</v>
      </c>
      <c r="C153" s="26" t="s">
        <v>1888</v>
      </c>
      <c r="D153" s="26" t="s">
        <v>95</v>
      </c>
      <c r="E153" s="26" t="n">
        <v>191291</v>
      </c>
      <c r="F153" s="27" t="n">
        <v>43840</v>
      </c>
      <c r="G153" s="27" t="n">
        <v>43840</v>
      </c>
      <c r="H153" s="30" t="n">
        <v>0</v>
      </c>
      <c r="I153" s="30" t="n">
        <v>1</v>
      </c>
      <c r="J153" s="30" t="n">
        <v>90</v>
      </c>
      <c r="K153" s="30" t="n">
        <v>1</v>
      </c>
      <c r="L153" s="30" t="n">
        <v>1</v>
      </c>
      <c r="M153" s="30" t="n">
        <v>1</v>
      </c>
      <c r="N153" s="30" t="n">
        <v>2</v>
      </c>
      <c r="O153" s="30" t="n">
        <v>2</v>
      </c>
      <c r="P153" s="30" t="n">
        <v>2</v>
      </c>
      <c r="Q153" s="30" t="n">
        <v>2</v>
      </c>
      <c r="R153" s="30" t="n">
        <v>2</v>
      </c>
      <c r="S153" s="30" t="n">
        <v>2</v>
      </c>
      <c r="T153" s="4" t="n">
        <v>2</v>
      </c>
      <c r="U153" s="30" t="n">
        <v>2</v>
      </c>
      <c r="V153" s="30"/>
      <c r="W153" s="30"/>
      <c r="X153" s="30"/>
      <c r="Y153" s="30"/>
      <c r="AA153" s="30"/>
      <c r="AB153" s="30"/>
      <c r="AC153" s="30" t="n">
        <v>3</v>
      </c>
      <c r="AD153" s="30" t="n">
        <v>2</v>
      </c>
      <c r="AE153" s="30" t="n">
        <v>1</v>
      </c>
      <c r="AF153" s="30" t="n">
        <v>1</v>
      </c>
      <c r="AG153" s="30" t="n">
        <v>2</v>
      </c>
      <c r="AH153" s="30" t="n">
        <v>1</v>
      </c>
      <c r="AI153" s="30" t="n">
        <v>1</v>
      </c>
      <c r="AJ153" s="30" t="n">
        <v>2</v>
      </c>
      <c r="AK153" s="30" t="n">
        <v>2</v>
      </c>
      <c r="AL153" s="30" t="n">
        <v>2</v>
      </c>
      <c r="AM153" s="30" t="n">
        <v>2</v>
      </c>
      <c r="AN153" s="30" t="n">
        <v>2</v>
      </c>
      <c r="AO153" s="30" t="n">
        <v>2</v>
      </c>
      <c r="AP153" s="30" t="n">
        <v>3</v>
      </c>
      <c r="AQ153" s="30" t="n">
        <v>4</v>
      </c>
      <c r="AR153" s="30" t="n">
        <v>4</v>
      </c>
      <c r="AS153" s="30" t="n">
        <v>6</v>
      </c>
      <c r="AT153" s="30" t="n">
        <v>4</v>
      </c>
      <c r="AU153" s="30" t="n">
        <v>4</v>
      </c>
      <c r="AV153" s="30" t="n">
        <v>6</v>
      </c>
      <c r="AW153" s="30" t="n">
        <v>6</v>
      </c>
      <c r="AX153" s="30" t="n">
        <v>3</v>
      </c>
      <c r="AY153" s="30" t="n">
        <v>3</v>
      </c>
      <c r="AZ153" s="30" t="n">
        <v>6</v>
      </c>
      <c r="BA153" s="5" t="n">
        <v>1</v>
      </c>
      <c r="BB153" s="30" t="n">
        <v>1</v>
      </c>
      <c r="BC153" s="30" t="n">
        <v>2</v>
      </c>
      <c r="BD153" s="30" t="n">
        <v>4</v>
      </c>
      <c r="BE153" s="30" t="n">
        <v>1</v>
      </c>
      <c r="BF153" s="30" t="n">
        <v>2</v>
      </c>
      <c r="BG153" s="30" t="n">
        <v>1</v>
      </c>
      <c r="BH153" s="30" t="n">
        <v>4</v>
      </c>
      <c r="BI153" s="30" t="n">
        <v>1</v>
      </c>
      <c r="BJ153" s="30" t="n">
        <v>1</v>
      </c>
    </row>
    <row r="154" customFormat="false" ht="12.75" hidden="false" customHeight="false" outlineLevel="0" collapsed="false">
      <c r="B154" s="2" t="s">
        <v>1901</v>
      </c>
      <c r="C154" s="2" t="s">
        <v>1478</v>
      </c>
      <c r="D154" s="2" t="s">
        <v>91</v>
      </c>
      <c r="E154" s="2" t="n">
        <v>191255</v>
      </c>
      <c r="F154" s="15" t="n">
        <v>43839</v>
      </c>
      <c r="G154" s="15" t="n">
        <v>43845</v>
      </c>
      <c r="H154" s="3" t="n">
        <v>6</v>
      </c>
      <c r="I154" s="3" t="n">
        <v>1</v>
      </c>
      <c r="J154" s="3" t="n">
        <v>72</v>
      </c>
      <c r="K154" s="3" t="n">
        <v>1</v>
      </c>
      <c r="L154" s="3" t="n">
        <v>2</v>
      </c>
      <c r="M154" s="3" t="n">
        <v>1</v>
      </c>
      <c r="N154" s="3" t="n">
        <v>2</v>
      </c>
      <c r="O154" s="3" t="n">
        <v>1</v>
      </c>
      <c r="P154" s="3" t="n">
        <v>2</v>
      </c>
      <c r="Q154" s="3" t="n">
        <v>1</v>
      </c>
      <c r="R154" s="3" t="n">
        <v>2</v>
      </c>
      <c r="S154" s="3" t="n">
        <v>2</v>
      </c>
      <c r="T154" s="4" t="n">
        <v>2</v>
      </c>
      <c r="U154" s="3" t="n">
        <v>2</v>
      </c>
      <c r="V154" s="3" t="n">
        <v>6.13</v>
      </c>
      <c r="W154" s="3" t="n">
        <v>1.3</v>
      </c>
      <c r="X154" s="3" t="n">
        <v>8.53</v>
      </c>
      <c r="Y154" s="3" t="n">
        <v>246</v>
      </c>
      <c r="AA154" s="3" t="n">
        <v>0.45</v>
      </c>
      <c r="AB154" s="3" t="n">
        <v>11.2</v>
      </c>
      <c r="AC154" s="3" t="n">
        <v>1</v>
      </c>
      <c r="AD154" s="3" t="n">
        <v>2</v>
      </c>
      <c r="AE154" s="3" t="n">
        <v>1</v>
      </c>
      <c r="AF154" s="3" t="n">
        <v>1</v>
      </c>
      <c r="AG154" s="3" t="n">
        <v>2</v>
      </c>
      <c r="AH154" s="3" t="n">
        <v>1</v>
      </c>
      <c r="AI154" s="3" t="n">
        <v>2</v>
      </c>
      <c r="AJ154" s="3" t="n">
        <v>2</v>
      </c>
      <c r="AK154" s="3" t="n">
        <v>2</v>
      </c>
      <c r="AL154" s="3" t="n">
        <v>2</v>
      </c>
      <c r="AM154" s="3" t="n">
        <v>2</v>
      </c>
      <c r="AN154" s="3" t="n">
        <v>2</v>
      </c>
      <c r="AO154" s="3" t="n">
        <v>2</v>
      </c>
      <c r="AP154" s="3" t="n">
        <v>2</v>
      </c>
      <c r="AQ154" s="3" t="n">
        <v>3</v>
      </c>
      <c r="AR154" s="3" t="n">
        <v>7</v>
      </c>
      <c r="AS154" s="3" t="n">
        <v>2</v>
      </c>
      <c r="AT154" s="3" t="n">
        <v>2</v>
      </c>
      <c r="AU154" s="3" t="n">
        <v>1</v>
      </c>
      <c r="AV154" s="3" t="n">
        <v>1</v>
      </c>
      <c r="AW154" s="3" t="n">
        <v>1</v>
      </c>
      <c r="AX154" s="3" t="n">
        <v>2</v>
      </c>
      <c r="AY154" s="3" t="n">
        <v>2</v>
      </c>
      <c r="AZ154" s="3" t="n">
        <v>1</v>
      </c>
      <c r="BA154" s="5" t="n">
        <v>1</v>
      </c>
      <c r="BB154" s="3" t="n">
        <v>1</v>
      </c>
      <c r="BC154" s="3" t="n">
        <v>1</v>
      </c>
      <c r="BD154" s="3" t="n">
        <v>2</v>
      </c>
      <c r="BE154" s="3" t="n">
        <v>1</v>
      </c>
      <c r="BF154" s="3" t="n">
        <v>2</v>
      </c>
      <c r="BG154" s="3" t="n">
        <v>1</v>
      </c>
      <c r="BH154" s="3" t="n">
        <v>4</v>
      </c>
      <c r="BI154" s="3" t="n">
        <v>1</v>
      </c>
      <c r="BJ154" s="3" t="n">
        <v>1</v>
      </c>
    </row>
    <row r="155" customFormat="false" ht="12.75" hidden="false" customHeight="false" outlineLevel="0" collapsed="false">
      <c r="B155" s="2" t="s">
        <v>1909</v>
      </c>
      <c r="C155" s="2" t="s">
        <v>94</v>
      </c>
      <c r="D155" s="2" t="s">
        <v>1910</v>
      </c>
      <c r="E155" s="2" t="n">
        <v>191210</v>
      </c>
      <c r="F155" s="15" t="n">
        <v>43842</v>
      </c>
      <c r="G155" s="15" t="n">
        <v>43850</v>
      </c>
      <c r="H155" s="3" t="n">
        <v>8</v>
      </c>
      <c r="I155" s="3" t="n">
        <v>1</v>
      </c>
      <c r="J155" s="3" t="n">
        <v>76</v>
      </c>
      <c r="K155" s="3" t="n">
        <v>1</v>
      </c>
      <c r="L155" s="3" t="n">
        <v>2</v>
      </c>
      <c r="M155" s="3" t="n">
        <v>2</v>
      </c>
      <c r="N155" s="3" t="n">
        <v>2</v>
      </c>
      <c r="O155" s="3" t="n">
        <v>2</v>
      </c>
      <c r="P155" s="3" t="n">
        <v>2</v>
      </c>
      <c r="Q155" s="3" t="n">
        <v>1</v>
      </c>
      <c r="R155" s="3" t="n">
        <v>2</v>
      </c>
      <c r="S155" s="3" t="n">
        <v>2</v>
      </c>
      <c r="T155" s="4" t="n">
        <v>2</v>
      </c>
      <c r="U155" s="3" t="n">
        <v>2</v>
      </c>
      <c r="V155" s="3" t="n">
        <v>6.7</v>
      </c>
      <c r="W155" s="3" t="n">
        <v>1.75</v>
      </c>
      <c r="X155" s="3" t="n">
        <v>15.02</v>
      </c>
      <c r="Y155" s="3" t="n">
        <v>241</v>
      </c>
      <c r="AA155" s="3" t="n">
        <v>0.4</v>
      </c>
      <c r="AB155" s="3" t="n">
        <v>11.6</v>
      </c>
      <c r="AC155" s="3" t="n">
        <v>1</v>
      </c>
      <c r="AD155" s="3" t="n">
        <v>2</v>
      </c>
      <c r="AE155" s="3" t="n">
        <v>1</v>
      </c>
      <c r="AF155" s="3" t="n">
        <v>1</v>
      </c>
      <c r="AG155" s="3" t="n">
        <v>2</v>
      </c>
      <c r="AH155" s="3" t="n">
        <v>2</v>
      </c>
      <c r="AI155" s="3" t="n">
        <v>1</v>
      </c>
      <c r="AJ155" s="3" t="n">
        <v>2</v>
      </c>
      <c r="AK155" s="3" t="n">
        <v>1</v>
      </c>
      <c r="AL155" s="3" t="n">
        <v>2</v>
      </c>
      <c r="AM155" s="3" t="n">
        <v>1</v>
      </c>
      <c r="AN155" s="3" t="n">
        <v>2</v>
      </c>
      <c r="AO155" s="3" t="n">
        <v>2</v>
      </c>
      <c r="AP155" s="3" t="n">
        <v>3</v>
      </c>
      <c r="AQ155" s="3" t="n">
        <v>4</v>
      </c>
      <c r="AR155" s="3" t="n">
        <v>4</v>
      </c>
      <c r="AS155" s="3" t="n">
        <v>6</v>
      </c>
      <c r="AT155" s="3" t="n">
        <v>4</v>
      </c>
      <c r="AU155" s="3" t="n">
        <v>4</v>
      </c>
      <c r="AV155" s="3" t="n">
        <v>6</v>
      </c>
      <c r="AW155" s="3" t="n">
        <v>6</v>
      </c>
      <c r="AX155" s="3" t="n">
        <v>3</v>
      </c>
      <c r="AY155" s="3" t="n">
        <v>3</v>
      </c>
      <c r="AZ155" s="3" t="n">
        <v>1</v>
      </c>
      <c r="BA155" s="5" t="n">
        <v>1</v>
      </c>
      <c r="BB155" s="3" t="n">
        <v>1</v>
      </c>
      <c r="BC155" s="3" t="n">
        <v>1</v>
      </c>
      <c r="BD155" s="3" t="n">
        <v>4</v>
      </c>
      <c r="BE155" s="3" t="n">
        <v>1</v>
      </c>
      <c r="BF155" s="3" t="n">
        <v>2</v>
      </c>
      <c r="BG155" s="3" t="n">
        <v>1</v>
      </c>
      <c r="BH155" s="3" t="n">
        <v>4</v>
      </c>
      <c r="BI155" s="3" t="n">
        <v>1</v>
      </c>
      <c r="BJ155" s="3" t="n">
        <v>1</v>
      </c>
    </row>
    <row r="156" customFormat="false" ht="12.75" hidden="false" customHeight="false" outlineLevel="0" collapsed="false">
      <c r="B156" s="2" t="s">
        <v>1912</v>
      </c>
      <c r="C156" s="2" t="s">
        <v>1913</v>
      </c>
      <c r="D156" s="2" t="s">
        <v>95</v>
      </c>
      <c r="E156" s="2" t="n">
        <v>191220</v>
      </c>
      <c r="F156" s="15" t="n">
        <v>43842</v>
      </c>
      <c r="G156" s="15" t="n">
        <v>43849</v>
      </c>
      <c r="H156" s="3" t="n">
        <v>7</v>
      </c>
      <c r="I156" s="3" t="n">
        <v>1</v>
      </c>
      <c r="J156" s="3" t="n">
        <v>57</v>
      </c>
      <c r="K156" s="3" t="n">
        <v>1</v>
      </c>
      <c r="L156" s="3" t="n">
        <v>1</v>
      </c>
      <c r="M156" s="3" t="n">
        <v>1</v>
      </c>
      <c r="N156" s="3" t="n">
        <v>2</v>
      </c>
      <c r="O156" s="3" t="n">
        <v>2</v>
      </c>
      <c r="P156" s="3" t="n">
        <v>2</v>
      </c>
      <c r="Q156" s="3" t="n">
        <v>2</v>
      </c>
      <c r="R156" s="3" t="n">
        <v>2</v>
      </c>
      <c r="S156" s="3" t="n">
        <v>2</v>
      </c>
      <c r="T156" s="4" t="n">
        <v>2</v>
      </c>
      <c r="U156" s="3" t="n">
        <v>2</v>
      </c>
      <c r="V156" s="3" t="n">
        <v>5.3</v>
      </c>
      <c r="W156" s="3" t="n">
        <v>0.78</v>
      </c>
      <c r="X156" s="3" t="n">
        <v>9.14</v>
      </c>
      <c r="Y156" s="3" t="n">
        <v>487</v>
      </c>
      <c r="AA156" s="3" t="n">
        <v>0.46</v>
      </c>
      <c r="AB156" s="3" t="n">
        <v>14.3</v>
      </c>
      <c r="AC156" s="3" t="n">
        <v>1</v>
      </c>
      <c r="AD156" s="3" t="n">
        <v>2</v>
      </c>
      <c r="AE156" s="3" t="n">
        <v>1</v>
      </c>
      <c r="AF156" s="3" t="n">
        <v>1</v>
      </c>
      <c r="AG156" s="3" t="n">
        <v>2</v>
      </c>
      <c r="AH156" s="3" t="n">
        <v>2</v>
      </c>
      <c r="AI156" s="3" t="n">
        <v>1</v>
      </c>
      <c r="AJ156" s="3" t="n">
        <v>2</v>
      </c>
      <c r="AK156" s="3" t="n">
        <v>2</v>
      </c>
      <c r="AL156" s="3" t="n">
        <v>2</v>
      </c>
      <c r="AM156" s="3" t="n">
        <v>2</v>
      </c>
      <c r="AN156" s="3" t="n">
        <v>2</v>
      </c>
      <c r="AO156" s="3" t="n">
        <v>2</v>
      </c>
      <c r="AP156" s="3" t="n">
        <v>3</v>
      </c>
      <c r="AQ156" s="3" t="n">
        <v>4</v>
      </c>
      <c r="AR156" s="3" t="n">
        <v>4</v>
      </c>
      <c r="AS156" s="3" t="n">
        <v>6</v>
      </c>
      <c r="AT156" s="3" t="n">
        <v>4</v>
      </c>
      <c r="AU156" s="3" t="n">
        <v>4</v>
      </c>
      <c r="AV156" s="3" t="n">
        <v>6</v>
      </c>
      <c r="AW156" s="3" t="n">
        <v>6</v>
      </c>
      <c r="AX156" s="3" t="n">
        <v>3</v>
      </c>
      <c r="AY156" s="3" t="n">
        <v>3</v>
      </c>
      <c r="AZ156" s="3" t="n">
        <v>1</v>
      </c>
      <c r="BA156" s="5" t="n">
        <v>1</v>
      </c>
      <c r="BB156" s="3" t="n">
        <v>1</v>
      </c>
      <c r="BC156" s="3" t="n">
        <v>1</v>
      </c>
      <c r="BD156" s="3" t="n">
        <v>4</v>
      </c>
      <c r="BE156" s="3" t="n">
        <v>1</v>
      </c>
      <c r="BF156" s="3" t="n">
        <v>2</v>
      </c>
      <c r="BG156" s="3" t="n">
        <v>1</v>
      </c>
      <c r="BH156" s="3" t="n">
        <v>4</v>
      </c>
      <c r="BI156" s="3" t="n">
        <v>1</v>
      </c>
      <c r="BJ156" s="3" t="n">
        <v>1</v>
      </c>
    </row>
    <row r="157" customFormat="false" ht="12.75" hidden="false" customHeight="false" outlineLevel="0" collapsed="false">
      <c r="B157" s="2" t="s">
        <v>1920</v>
      </c>
      <c r="C157" s="2" t="s">
        <v>154</v>
      </c>
      <c r="D157" s="2" t="s">
        <v>222</v>
      </c>
      <c r="E157" s="2" t="n">
        <v>191357</v>
      </c>
      <c r="F157" s="15" t="n">
        <v>43846</v>
      </c>
      <c r="G157" s="15" t="n">
        <v>43852</v>
      </c>
      <c r="H157" s="3" t="n">
        <v>4</v>
      </c>
      <c r="I157" s="3" t="n">
        <v>2</v>
      </c>
      <c r="J157" s="3" t="n">
        <v>50</v>
      </c>
      <c r="K157" s="3" t="n">
        <v>2</v>
      </c>
      <c r="L157" s="3" t="n">
        <v>1</v>
      </c>
      <c r="M157" s="3" t="n">
        <v>1</v>
      </c>
      <c r="N157" s="3" t="n">
        <v>2</v>
      </c>
      <c r="O157" s="3" t="n">
        <v>2</v>
      </c>
      <c r="P157" s="3" t="n">
        <v>2</v>
      </c>
      <c r="Q157" s="3" t="n">
        <v>2</v>
      </c>
      <c r="R157" s="3" t="n">
        <v>2</v>
      </c>
      <c r="S157" s="3" t="n">
        <v>2</v>
      </c>
      <c r="T157" s="4" t="n">
        <v>2</v>
      </c>
      <c r="U157" s="3" t="n">
        <v>2</v>
      </c>
      <c r="V157" s="3" t="n">
        <v>5.76</v>
      </c>
      <c r="W157" s="3" t="n">
        <v>2.39</v>
      </c>
      <c r="X157" s="3" t="n">
        <v>6.58</v>
      </c>
      <c r="Y157" s="3" t="n">
        <v>416</v>
      </c>
      <c r="AA157" s="3" t="n">
        <v>0.45</v>
      </c>
      <c r="AB157" s="3" t="n">
        <v>12</v>
      </c>
      <c r="AC157" s="3" t="n">
        <v>1</v>
      </c>
      <c r="AD157" s="3" t="n">
        <v>2</v>
      </c>
      <c r="AE157" s="3" t="n">
        <v>1</v>
      </c>
      <c r="AF157" s="3" t="n">
        <v>1</v>
      </c>
      <c r="AG157" s="3" t="n">
        <v>2</v>
      </c>
      <c r="AH157" s="3" t="n">
        <v>2</v>
      </c>
      <c r="AI157" s="3" t="n">
        <v>1</v>
      </c>
      <c r="AJ157" s="3" t="n">
        <v>2</v>
      </c>
      <c r="AK157" s="3" t="n">
        <v>2</v>
      </c>
      <c r="AL157" s="3" t="n">
        <v>2</v>
      </c>
      <c r="AM157" s="3" t="n">
        <v>2</v>
      </c>
      <c r="AN157" s="3" t="n">
        <v>2</v>
      </c>
      <c r="AO157" s="3" t="n">
        <v>2</v>
      </c>
      <c r="AP157" s="3" t="n">
        <v>3</v>
      </c>
      <c r="AQ157" s="3" t="n">
        <v>4</v>
      </c>
      <c r="AR157" s="3" t="n">
        <v>4</v>
      </c>
      <c r="AS157" s="3" t="n">
        <v>6</v>
      </c>
      <c r="AT157" s="3" t="n">
        <v>4</v>
      </c>
      <c r="AU157" s="3" t="n">
        <v>4</v>
      </c>
      <c r="AV157" s="3" t="n">
        <v>6</v>
      </c>
      <c r="AW157" s="3" t="n">
        <v>6</v>
      </c>
      <c r="AX157" s="3" t="n">
        <v>3</v>
      </c>
      <c r="AY157" s="3" t="n">
        <v>3</v>
      </c>
      <c r="AZ157" s="3" t="n">
        <v>1</v>
      </c>
      <c r="BA157" s="5" t="n">
        <v>1</v>
      </c>
      <c r="BB157" s="3" t="n">
        <v>1</v>
      </c>
      <c r="BC157" s="3" t="n">
        <v>1</v>
      </c>
      <c r="BD157" s="3" t="n">
        <v>4</v>
      </c>
      <c r="BE157" s="3" t="n">
        <v>3</v>
      </c>
      <c r="BF157" s="3" t="n">
        <v>5</v>
      </c>
      <c r="BG157" s="3" t="n">
        <v>3</v>
      </c>
      <c r="BH157" s="3" t="n">
        <v>4</v>
      </c>
      <c r="BI157" s="3" t="n">
        <v>1</v>
      </c>
      <c r="BJ157" s="3" t="n">
        <v>1</v>
      </c>
    </row>
    <row r="158" customFormat="false" ht="12.75" hidden="false" customHeight="false" outlineLevel="0" collapsed="false">
      <c r="B158" s="2" t="s">
        <v>1922</v>
      </c>
      <c r="C158" s="2" t="s">
        <v>1923</v>
      </c>
      <c r="D158" s="2" t="s">
        <v>1924</v>
      </c>
      <c r="E158" s="2" t="n">
        <v>191301</v>
      </c>
      <c r="F158" s="15" t="n">
        <v>43845</v>
      </c>
      <c r="G158" s="15" t="n">
        <v>43852</v>
      </c>
      <c r="H158" s="3" t="n">
        <v>7</v>
      </c>
      <c r="I158" s="3" t="n">
        <v>1</v>
      </c>
      <c r="J158" s="3" t="n">
        <v>49</v>
      </c>
      <c r="K158" s="3" t="n">
        <v>1</v>
      </c>
      <c r="L158" s="3" t="n">
        <v>1</v>
      </c>
      <c r="M158" s="3" t="n">
        <v>2</v>
      </c>
      <c r="N158" s="3" t="n">
        <v>2</v>
      </c>
      <c r="O158" s="3" t="n">
        <v>2</v>
      </c>
      <c r="P158" s="3" t="n">
        <v>2</v>
      </c>
      <c r="Q158" s="3" t="n">
        <v>2</v>
      </c>
      <c r="R158" s="3" t="n">
        <v>2</v>
      </c>
      <c r="S158" s="3" t="n">
        <v>2</v>
      </c>
      <c r="T158" s="4" t="n">
        <v>2</v>
      </c>
      <c r="U158" s="3" t="n">
        <v>2</v>
      </c>
      <c r="V158" s="3" t="n">
        <v>4.85</v>
      </c>
      <c r="W158" s="3" t="n">
        <v>1.64</v>
      </c>
      <c r="X158" s="3" t="n">
        <v>5.96</v>
      </c>
      <c r="Y158" s="3" t="n">
        <v>228</v>
      </c>
      <c r="AA158" s="3" t="n">
        <v>0.34</v>
      </c>
      <c r="AB158" s="3" t="n">
        <v>12.6</v>
      </c>
      <c r="AC158" s="3" t="n">
        <v>1</v>
      </c>
      <c r="AD158" s="3" t="n">
        <v>2</v>
      </c>
      <c r="AE158" s="3" t="n">
        <v>1</v>
      </c>
      <c r="AF158" s="3" t="n">
        <v>1</v>
      </c>
      <c r="AG158" s="3" t="n">
        <v>2</v>
      </c>
      <c r="AH158" s="3" t="n">
        <v>2</v>
      </c>
      <c r="AI158" s="3" t="n">
        <v>1</v>
      </c>
      <c r="AJ158" s="3" t="n">
        <v>2</v>
      </c>
      <c r="AK158" s="3" t="n">
        <v>2</v>
      </c>
      <c r="AL158" s="3" t="n">
        <v>2</v>
      </c>
      <c r="AM158" s="3" t="n">
        <v>2</v>
      </c>
      <c r="AN158" s="3" t="n">
        <v>2</v>
      </c>
      <c r="AO158" s="3" t="n">
        <v>2</v>
      </c>
      <c r="AP158" s="3" t="n">
        <v>3</v>
      </c>
      <c r="AQ158" s="3" t="n">
        <v>4</v>
      </c>
      <c r="AR158" s="3" t="n">
        <v>4</v>
      </c>
      <c r="AS158" s="3" t="n">
        <v>6</v>
      </c>
      <c r="AT158" s="3" t="n">
        <v>4</v>
      </c>
      <c r="AU158" s="3" t="n">
        <v>4</v>
      </c>
      <c r="AV158" s="3" t="n">
        <v>6</v>
      </c>
      <c r="AW158" s="3" t="n">
        <v>6</v>
      </c>
      <c r="AX158" s="3" t="n">
        <v>3</v>
      </c>
      <c r="AY158" s="3" t="n">
        <v>3</v>
      </c>
      <c r="AZ158" s="3" t="n">
        <v>1</v>
      </c>
      <c r="BA158" s="5" t="n">
        <v>1</v>
      </c>
      <c r="BB158" s="3" t="n">
        <v>1</v>
      </c>
      <c r="BC158" s="3" t="n">
        <v>1</v>
      </c>
      <c r="BD158" s="3" t="n">
        <v>4</v>
      </c>
      <c r="BE158" s="3" t="n">
        <v>3</v>
      </c>
      <c r="BF158" s="3" t="n">
        <v>5</v>
      </c>
      <c r="BG158" s="3" t="n">
        <v>3</v>
      </c>
      <c r="BH158" s="3" t="n">
        <v>4</v>
      </c>
      <c r="BI158" s="3" t="n">
        <v>1</v>
      </c>
      <c r="BJ158" s="3" t="n">
        <v>1</v>
      </c>
    </row>
    <row r="159" customFormat="false" ht="12.75" hidden="false" customHeight="false" outlineLevel="0" collapsed="false">
      <c r="B159" s="2" t="s">
        <v>140</v>
      </c>
      <c r="C159" s="2" t="s">
        <v>1405</v>
      </c>
      <c r="D159" s="2" t="s">
        <v>1939</v>
      </c>
      <c r="E159" s="2" t="n">
        <v>192478</v>
      </c>
      <c r="F159" s="15" t="n">
        <v>43854</v>
      </c>
      <c r="G159" s="15" t="n">
        <v>43861</v>
      </c>
      <c r="H159" s="3" t="n">
        <v>7</v>
      </c>
      <c r="I159" s="3" t="n">
        <v>2</v>
      </c>
      <c r="J159" s="3" t="n">
        <v>72</v>
      </c>
      <c r="K159" s="3" t="n">
        <v>1</v>
      </c>
      <c r="L159" s="3" t="n">
        <v>1</v>
      </c>
      <c r="M159" s="3" t="n">
        <v>2</v>
      </c>
      <c r="N159" s="3" t="n">
        <v>2</v>
      </c>
      <c r="O159" s="3" t="n">
        <v>2</v>
      </c>
      <c r="P159" s="3" t="n">
        <v>2</v>
      </c>
      <c r="Q159" s="3" t="n">
        <v>2</v>
      </c>
      <c r="R159" s="3" t="n">
        <v>2</v>
      </c>
      <c r="S159" s="3" t="n">
        <v>2</v>
      </c>
      <c r="T159" s="4" t="n">
        <v>2</v>
      </c>
      <c r="U159" s="3" t="n">
        <v>2</v>
      </c>
      <c r="V159" s="3" t="n">
        <v>5.62</v>
      </c>
      <c r="W159" s="3" t="n">
        <v>1.93</v>
      </c>
      <c r="X159" s="3" t="n">
        <v>6.17</v>
      </c>
      <c r="Y159" s="3" t="n">
        <v>240</v>
      </c>
      <c r="AA159" s="3" t="n">
        <v>0.48</v>
      </c>
      <c r="AB159" s="3" t="n">
        <v>10.5</v>
      </c>
      <c r="AC159" s="3"/>
      <c r="AD159" s="3" t="n">
        <v>2</v>
      </c>
      <c r="AE159" s="3" t="n">
        <v>1</v>
      </c>
      <c r="AF159" s="3" t="n">
        <v>1</v>
      </c>
      <c r="AG159" s="3" t="n">
        <v>2</v>
      </c>
      <c r="AH159" s="3" t="n">
        <v>2</v>
      </c>
      <c r="AI159" s="3" t="n">
        <v>1</v>
      </c>
      <c r="AJ159" s="3" t="n">
        <v>2</v>
      </c>
      <c r="AK159" s="3" t="n">
        <v>2</v>
      </c>
      <c r="AL159" s="3" t="n">
        <v>2</v>
      </c>
      <c r="AM159" s="3" t="n">
        <v>2</v>
      </c>
      <c r="AN159" s="3" t="n">
        <v>2</v>
      </c>
      <c r="AO159" s="3" t="n">
        <v>2</v>
      </c>
      <c r="AP159" s="3" t="n">
        <v>3</v>
      </c>
      <c r="AQ159" s="3" t="n">
        <v>4</v>
      </c>
      <c r="AR159" s="3" t="n">
        <v>4</v>
      </c>
      <c r="AS159" s="3" t="n">
        <v>6</v>
      </c>
      <c r="AT159" s="3" t="n">
        <v>4</v>
      </c>
      <c r="AU159" s="3" t="n">
        <v>4</v>
      </c>
      <c r="AV159" s="3" t="n">
        <v>6</v>
      </c>
      <c r="AW159" s="3" t="n">
        <v>6</v>
      </c>
      <c r="AX159" s="3" t="n">
        <v>3</v>
      </c>
      <c r="AY159" s="3" t="n">
        <v>3</v>
      </c>
      <c r="AZ159" s="3" t="n">
        <v>1</v>
      </c>
      <c r="BA159" s="5" t="n">
        <v>1</v>
      </c>
      <c r="BB159" s="3" t="n">
        <v>1</v>
      </c>
      <c r="BC159" s="3" t="n">
        <v>1</v>
      </c>
      <c r="BD159" s="3" t="n">
        <v>4</v>
      </c>
      <c r="BE159" s="3" t="n">
        <v>1</v>
      </c>
      <c r="BF159" s="3" t="n">
        <v>2</v>
      </c>
      <c r="BG159" s="3" t="n">
        <v>1</v>
      </c>
      <c r="BH159" s="3" t="n">
        <v>4</v>
      </c>
      <c r="BI159" s="3" t="n">
        <v>1</v>
      </c>
      <c r="BJ159" s="3" t="n">
        <v>1</v>
      </c>
    </row>
    <row r="160" customFormat="false" ht="12.75" hidden="false" customHeight="false" outlineLevel="0" collapsed="false">
      <c r="B160" s="2" t="s">
        <v>580</v>
      </c>
      <c r="C160" s="2" t="s">
        <v>1942</v>
      </c>
      <c r="D160" s="2" t="s">
        <v>1942</v>
      </c>
      <c r="E160" s="2" t="n">
        <v>192490</v>
      </c>
      <c r="F160" s="15" t="n">
        <v>43854</v>
      </c>
      <c r="G160" s="15" t="n">
        <v>43861</v>
      </c>
      <c r="H160" s="3" t="n">
        <v>7</v>
      </c>
      <c r="I160" s="3" t="n">
        <v>1</v>
      </c>
      <c r="J160" s="3" t="n">
        <v>70</v>
      </c>
      <c r="K160" s="3" t="n">
        <v>2</v>
      </c>
      <c r="L160" s="3" t="n">
        <v>2</v>
      </c>
      <c r="M160" s="3" t="n">
        <v>1</v>
      </c>
      <c r="N160" s="3" t="n">
        <v>2</v>
      </c>
      <c r="O160" s="3" t="n">
        <v>2</v>
      </c>
      <c r="P160" s="3" t="n">
        <v>2</v>
      </c>
      <c r="Q160" s="3" t="n">
        <v>1</v>
      </c>
      <c r="R160" s="3" t="n">
        <v>2</v>
      </c>
      <c r="S160" s="3" t="n">
        <v>2</v>
      </c>
      <c r="T160" s="4" t="n">
        <v>2</v>
      </c>
      <c r="U160" s="3" t="n">
        <v>2</v>
      </c>
      <c r="V160" s="3" t="n">
        <v>5.53</v>
      </c>
      <c r="W160" s="3" t="n">
        <v>1.66</v>
      </c>
      <c r="X160" s="3" t="n">
        <v>7.09</v>
      </c>
      <c r="Y160" s="3" t="n">
        <v>312</v>
      </c>
      <c r="AA160" s="3" t="n">
        <v>0.42</v>
      </c>
      <c r="AB160" s="3" t="n">
        <v>13.4</v>
      </c>
      <c r="AC160" s="3" t="n">
        <v>1</v>
      </c>
      <c r="AD160" s="3" t="n">
        <v>1</v>
      </c>
      <c r="AE160" s="3" t="n">
        <v>1</v>
      </c>
      <c r="AF160" s="3" t="n">
        <v>1</v>
      </c>
      <c r="AG160" s="3" t="n">
        <v>2</v>
      </c>
      <c r="AH160" s="3" t="n">
        <v>2</v>
      </c>
      <c r="AI160" s="3" t="n">
        <v>1</v>
      </c>
      <c r="AJ160" s="3" t="n">
        <v>2</v>
      </c>
      <c r="AK160" s="3" t="n">
        <v>2</v>
      </c>
      <c r="AL160" s="3" t="n">
        <v>2</v>
      </c>
      <c r="AM160" s="3" t="n">
        <v>2</v>
      </c>
      <c r="AN160" s="3" t="n">
        <v>2</v>
      </c>
      <c r="AO160" s="3" t="n">
        <v>2</v>
      </c>
      <c r="AP160" s="3" t="n">
        <v>2</v>
      </c>
      <c r="AQ160" s="3" t="n">
        <v>3</v>
      </c>
      <c r="AR160" s="3" t="n">
        <v>8</v>
      </c>
      <c r="AS160" s="3" t="n">
        <v>2</v>
      </c>
      <c r="AT160" s="3" t="n">
        <v>3</v>
      </c>
      <c r="AU160" s="3" t="n">
        <v>1</v>
      </c>
      <c r="AV160" s="3" t="n">
        <v>1</v>
      </c>
      <c r="AW160" s="3" t="n">
        <v>1</v>
      </c>
      <c r="AX160" s="3" t="n">
        <v>2</v>
      </c>
      <c r="AY160" s="3" t="n">
        <v>2</v>
      </c>
      <c r="AZ160" s="3" t="n">
        <v>2</v>
      </c>
      <c r="BA160" s="5" t="n">
        <v>1</v>
      </c>
      <c r="BB160" s="3" t="n">
        <v>1</v>
      </c>
      <c r="BC160" s="3" t="n">
        <v>1</v>
      </c>
      <c r="BD160" s="3" t="n">
        <v>2</v>
      </c>
      <c r="BE160" s="3" t="n">
        <v>1</v>
      </c>
      <c r="BF160" s="3" t="n">
        <v>2</v>
      </c>
      <c r="BG160" s="3" t="n">
        <v>1</v>
      </c>
      <c r="BH160" s="3" t="n">
        <v>4</v>
      </c>
      <c r="BI160" s="3" t="n">
        <v>1</v>
      </c>
      <c r="BJ160" s="3" t="n">
        <v>1</v>
      </c>
    </row>
    <row r="161" customFormat="false" ht="12.75" hidden="false" customHeight="false" outlineLevel="0" collapsed="false">
      <c r="B161" s="2" t="s">
        <v>1980</v>
      </c>
      <c r="C161" s="2" t="s">
        <v>94</v>
      </c>
      <c r="D161" s="2" t="s">
        <v>1981</v>
      </c>
      <c r="E161" s="2" t="n">
        <v>193049</v>
      </c>
      <c r="F161" s="15" t="n">
        <v>43867</v>
      </c>
      <c r="G161" s="15" t="n">
        <v>43873</v>
      </c>
      <c r="H161" s="3" t="n">
        <v>6</v>
      </c>
      <c r="I161" s="3" t="n">
        <v>2</v>
      </c>
      <c r="J161" s="3" t="n">
        <v>64</v>
      </c>
      <c r="K161" s="3" t="n">
        <v>2</v>
      </c>
      <c r="L161" s="3" t="n">
        <v>2</v>
      </c>
      <c r="M161" s="3" t="n">
        <v>1</v>
      </c>
      <c r="N161" s="3" t="n">
        <v>2</v>
      </c>
      <c r="O161" s="3" t="n">
        <v>2</v>
      </c>
      <c r="P161" s="3" t="n">
        <v>2</v>
      </c>
      <c r="Q161" s="3" t="n">
        <v>2</v>
      </c>
      <c r="R161" s="3" t="n">
        <v>2</v>
      </c>
      <c r="S161" s="3" t="n">
        <v>2</v>
      </c>
      <c r="T161" s="4" t="n">
        <v>2</v>
      </c>
      <c r="U161" s="3" t="n">
        <v>2</v>
      </c>
      <c r="V161" s="3" t="n">
        <v>5.03</v>
      </c>
      <c r="W161" s="3" t="n">
        <v>0.69</v>
      </c>
      <c r="X161" s="3" t="n">
        <v>6.42</v>
      </c>
      <c r="Y161" s="3" t="n">
        <v>403</v>
      </c>
      <c r="AA161" s="3" t="n">
        <v>0.37</v>
      </c>
      <c r="AB161" s="3" t="n">
        <v>9.3</v>
      </c>
      <c r="AC161" s="3" t="n">
        <v>1</v>
      </c>
      <c r="AD161" s="3" t="n">
        <v>1</v>
      </c>
      <c r="AE161" s="3" t="n">
        <v>1</v>
      </c>
      <c r="AF161" s="3" t="n">
        <v>1</v>
      </c>
      <c r="AG161" s="3" t="n">
        <v>2</v>
      </c>
      <c r="AH161" s="3" t="n">
        <v>2</v>
      </c>
      <c r="AI161" s="3" t="n">
        <v>1</v>
      </c>
      <c r="AJ161" s="3" t="n">
        <v>2</v>
      </c>
      <c r="AK161" s="3" t="n">
        <v>2</v>
      </c>
      <c r="AL161" s="3" t="n">
        <v>2</v>
      </c>
      <c r="AM161" s="3" t="n">
        <v>1</v>
      </c>
      <c r="AN161" s="3" t="n">
        <v>2</v>
      </c>
      <c r="AO161" s="3" t="n">
        <v>2</v>
      </c>
      <c r="AP161" s="3" t="n">
        <v>3</v>
      </c>
      <c r="AQ161" s="3" t="n">
        <v>4</v>
      </c>
      <c r="AR161" s="3" t="n">
        <v>4</v>
      </c>
      <c r="AS161" s="3" t="n">
        <v>6</v>
      </c>
      <c r="AT161" s="3" t="n">
        <v>4</v>
      </c>
      <c r="AU161" s="3" t="n">
        <v>4</v>
      </c>
      <c r="AV161" s="3" t="n">
        <v>6</v>
      </c>
      <c r="AW161" s="3" t="n">
        <v>6</v>
      </c>
      <c r="AX161" s="3" t="n">
        <v>3</v>
      </c>
      <c r="AY161" s="3" t="n">
        <v>3</v>
      </c>
      <c r="AZ161" s="3" t="n">
        <v>1</v>
      </c>
      <c r="BA161" s="5" t="n">
        <v>1</v>
      </c>
      <c r="BB161" s="3" t="n">
        <v>1</v>
      </c>
      <c r="BC161" s="3" t="n">
        <v>1</v>
      </c>
      <c r="BD161" s="3" t="n">
        <v>4</v>
      </c>
      <c r="BE161" s="3" t="n">
        <v>1</v>
      </c>
      <c r="BF161" s="3" t="n">
        <v>2</v>
      </c>
      <c r="BG161" s="3" t="n">
        <v>1</v>
      </c>
      <c r="BH161" s="3" t="n">
        <v>4</v>
      </c>
      <c r="BI161" s="3" t="n">
        <v>1</v>
      </c>
      <c r="BJ161" s="3" t="n">
        <v>1</v>
      </c>
    </row>
    <row r="162" customFormat="false" ht="12.75" hidden="false" customHeight="false" outlineLevel="0" collapsed="false">
      <c r="B162" s="2" t="s">
        <v>758</v>
      </c>
      <c r="C162" s="2" t="s">
        <v>1986</v>
      </c>
      <c r="D162" s="2" t="s">
        <v>63</v>
      </c>
      <c r="E162" s="2" t="n">
        <v>192696</v>
      </c>
      <c r="F162" s="15" t="n">
        <v>43864</v>
      </c>
      <c r="G162" s="15" t="n">
        <v>43875</v>
      </c>
      <c r="H162" s="3" t="n">
        <v>11</v>
      </c>
      <c r="I162" s="3" t="n">
        <v>2</v>
      </c>
      <c r="J162" s="3" t="n">
        <v>67</v>
      </c>
      <c r="K162" s="3" t="n">
        <v>1</v>
      </c>
      <c r="L162" s="3" t="n">
        <v>1</v>
      </c>
      <c r="M162" s="3" t="n">
        <v>2</v>
      </c>
      <c r="N162" s="3" t="n">
        <v>2</v>
      </c>
      <c r="O162" s="3" t="n">
        <v>2</v>
      </c>
      <c r="P162" s="3" t="n">
        <v>2</v>
      </c>
      <c r="Q162" s="3" t="n">
        <v>2</v>
      </c>
      <c r="R162" s="3" t="n">
        <v>2</v>
      </c>
      <c r="S162" s="3" t="n">
        <v>2</v>
      </c>
      <c r="T162" s="4" t="n">
        <v>2</v>
      </c>
      <c r="U162" s="3" t="n">
        <v>2</v>
      </c>
      <c r="V162" s="3" t="n">
        <v>5.2</v>
      </c>
      <c r="W162" s="3" t="n">
        <v>1.45</v>
      </c>
      <c r="X162" s="3" t="n">
        <v>7.81</v>
      </c>
      <c r="Y162" s="3" t="n">
        <v>688</v>
      </c>
      <c r="AA162" s="3" t="n">
        <v>0.46</v>
      </c>
      <c r="AB162" s="3" t="n">
        <v>13.6</v>
      </c>
      <c r="AC162" s="3" t="n">
        <v>2</v>
      </c>
      <c r="AD162" s="3" t="n">
        <v>2</v>
      </c>
      <c r="AE162" s="3" t="n">
        <v>1</v>
      </c>
      <c r="AF162" s="3" t="n">
        <v>1</v>
      </c>
      <c r="AG162" s="3" t="n">
        <v>2</v>
      </c>
      <c r="AH162" s="3" t="n">
        <v>2</v>
      </c>
      <c r="AI162" s="3" t="n">
        <v>1</v>
      </c>
      <c r="AJ162" s="3" t="n">
        <v>2</v>
      </c>
      <c r="AK162" s="3" t="n">
        <v>2</v>
      </c>
      <c r="AL162" s="3" t="n">
        <v>2</v>
      </c>
      <c r="AM162" s="3" t="n">
        <v>1</v>
      </c>
      <c r="AN162" s="3" t="n">
        <v>2</v>
      </c>
      <c r="AO162" s="3" t="n">
        <v>2</v>
      </c>
      <c r="AP162" s="3" t="n">
        <v>3</v>
      </c>
      <c r="AQ162" s="3" t="n">
        <v>4</v>
      </c>
      <c r="AR162" s="3" t="n">
        <v>4</v>
      </c>
      <c r="AS162" s="3" t="n">
        <v>6</v>
      </c>
      <c r="AT162" s="3" t="n">
        <v>4</v>
      </c>
      <c r="AU162" s="3" t="n">
        <v>4</v>
      </c>
      <c r="AV162" s="3" t="n">
        <v>6</v>
      </c>
      <c r="AW162" s="3" t="n">
        <v>6</v>
      </c>
      <c r="AX162" s="3" t="n">
        <v>3</v>
      </c>
      <c r="AY162" s="3" t="n">
        <v>3</v>
      </c>
      <c r="AZ162" s="3" t="n">
        <v>10</v>
      </c>
      <c r="BA162" s="5" t="n">
        <v>1</v>
      </c>
      <c r="BB162" s="3" t="n">
        <v>1</v>
      </c>
      <c r="BC162" s="3" t="n">
        <v>1</v>
      </c>
      <c r="BD162" s="3" t="n">
        <v>2</v>
      </c>
      <c r="BE162" s="3" t="n">
        <v>1</v>
      </c>
      <c r="BF162" s="3" t="n">
        <v>2</v>
      </c>
      <c r="BG162" s="3" t="n">
        <v>1</v>
      </c>
      <c r="BH162" s="3" t="n">
        <v>4</v>
      </c>
      <c r="BI162" s="3" t="n">
        <v>1</v>
      </c>
      <c r="BJ162" s="3" t="n">
        <v>1</v>
      </c>
    </row>
    <row r="163" customFormat="false" ht="12.75" hidden="false" customHeight="false" outlineLevel="0" collapsed="false">
      <c r="B163" s="2" t="s">
        <v>1997</v>
      </c>
      <c r="C163" s="2" t="s">
        <v>66</v>
      </c>
      <c r="D163" s="2" t="s">
        <v>528</v>
      </c>
      <c r="E163" s="2" t="n">
        <v>193221</v>
      </c>
      <c r="F163" s="15" t="n">
        <v>43874</v>
      </c>
      <c r="G163" s="15" t="n">
        <v>43881</v>
      </c>
      <c r="H163" s="3" t="n">
        <v>7</v>
      </c>
      <c r="I163" s="3" t="n">
        <v>2</v>
      </c>
      <c r="J163" s="3" t="n">
        <v>50</v>
      </c>
      <c r="K163" s="3" t="n">
        <v>2</v>
      </c>
      <c r="L163" s="3" t="n">
        <v>1</v>
      </c>
      <c r="M163" s="3" t="n">
        <v>2</v>
      </c>
      <c r="N163" s="3" t="n">
        <v>2</v>
      </c>
      <c r="O163" s="3" t="n">
        <v>2</v>
      </c>
      <c r="P163" s="3" t="n">
        <v>2</v>
      </c>
      <c r="Q163" s="3" t="n">
        <v>2</v>
      </c>
      <c r="R163" s="3" t="n">
        <v>2</v>
      </c>
      <c r="S163" s="3" t="n">
        <v>2</v>
      </c>
      <c r="T163" s="4" t="n">
        <v>2</v>
      </c>
      <c r="U163" s="3" t="n">
        <v>2</v>
      </c>
      <c r="V163" s="3" t="n">
        <v>4.03</v>
      </c>
      <c r="W163" s="3" t="n">
        <v>1.21</v>
      </c>
      <c r="X163" s="3" t="n">
        <v>5.22</v>
      </c>
      <c r="Y163" s="3" t="n">
        <v>311</v>
      </c>
      <c r="AA163" s="3" t="n">
        <v>0.4</v>
      </c>
      <c r="AB163" s="3" t="n">
        <v>7.7</v>
      </c>
      <c r="AC163" s="3" t="n">
        <v>1</v>
      </c>
      <c r="AD163" s="3" t="n">
        <v>2</v>
      </c>
      <c r="AE163" s="3" t="n">
        <v>1</v>
      </c>
      <c r="AF163" s="3" t="n">
        <v>1</v>
      </c>
      <c r="AG163" s="3" t="n">
        <v>2</v>
      </c>
      <c r="AH163" s="3" t="n">
        <v>2</v>
      </c>
      <c r="AI163" s="3" t="n">
        <v>1</v>
      </c>
      <c r="AJ163" s="3" t="n">
        <v>2</v>
      </c>
      <c r="AK163" s="3" t="n">
        <v>2</v>
      </c>
      <c r="AL163" s="3" t="n">
        <v>2</v>
      </c>
      <c r="AM163" s="3" t="n">
        <v>2</v>
      </c>
      <c r="AN163" s="3" t="n">
        <v>1</v>
      </c>
      <c r="AO163" s="3" t="n">
        <v>2</v>
      </c>
      <c r="AP163" s="3" t="n">
        <v>3</v>
      </c>
      <c r="AQ163" s="3" t="n">
        <v>4</v>
      </c>
      <c r="AR163" s="3" t="n">
        <v>4</v>
      </c>
      <c r="AS163" s="3" t="n">
        <v>6</v>
      </c>
      <c r="AT163" s="3" t="n">
        <v>4</v>
      </c>
      <c r="AU163" s="3" t="n">
        <v>4</v>
      </c>
      <c r="AV163" s="3" t="n">
        <v>6</v>
      </c>
      <c r="AW163" s="3" t="n">
        <v>6</v>
      </c>
      <c r="AX163" s="3" t="n">
        <v>3</v>
      </c>
      <c r="AY163" s="3" t="n">
        <v>3</v>
      </c>
      <c r="AZ163" s="3" t="n">
        <v>7</v>
      </c>
      <c r="BA163" s="5" t="n">
        <v>1</v>
      </c>
      <c r="BB163" s="3" t="n">
        <v>1</v>
      </c>
      <c r="BC163" s="3" t="n">
        <v>1</v>
      </c>
      <c r="BD163" s="3" t="n">
        <v>4</v>
      </c>
      <c r="BE163" s="3" t="n">
        <v>3</v>
      </c>
      <c r="BF163" s="3" t="n">
        <v>5</v>
      </c>
      <c r="BG163" s="3" t="n">
        <v>3</v>
      </c>
      <c r="BH163" s="3" t="n">
        <v>4</v>
      </c>
      <c r="BI163" s="3" t="n">
        <v>1</v>
      </c>
      <c r="BJ163" s="3" t="n">
        <v>1</v>
      </c>
    </row>
    <row r="164" customFormat="false" ht="12.75" hidden="false" customHeight="false" outlineLevel="0" collapsed="false">
      <c r="B164" s="2" t="s">
        <v>2005</v>
      </c>
      <c r="C164" s="2" t="s">
        <v>2006</v>
      </c>
      <c r="D164" s="2" t="s">
        <v>438</v>
      </c>
      <c r="E164" s="2" t="n">
        <v>193723</v>
      </c>
      <c r="F164" s="15" t="n">
        <v>43877</v>
      </c>
      <c r="G164" s="15" t="n">
        <v>43884</v>
      </c>
      <c r="H164" s="3" t="n">
        <v>7</v>
      </c>
      <c r="I164" s="3" t="n">
        <v>1</v>
      </c>
      <c r="J164" s="3" t="n">
        <v>71</v>
      </c>
      <c r="K164" s="3" t="n">
        <v>1</v>
      </c>
      <c r="L164" s="3" t="n">
        <v>1</v>
      </c>
      <c r="M164" s="3" t="n">
        <v>2</v>
      </c>
      <c r="N164" s="3" t="n">
        <v>2</v>
      </c>
      <c r="O164" s="3" t="n">
        <v>2</v>
      </c>
      <c r="P164" s="3" t="n">
        <v>2</v>
      </c>
      <c r="Q164" s="3" t="n">
        <v>2</v>
      </c>
      <c r="R164" s="3" t="n">
        <v>2</v>
      </c>
      <c r="S164" s="3" t="n">
        <v>2</v>
      </c>
      <c r="T164" s="4" t="n">
        <v>2</v>
      </c>
      <c r="U164" s="3" t="n">
        <v>2</v>
      </c>
      <c r="V164" s="3" t="n">
        <v>5.83</v>
      </c>
      <c r="W164" s="3" t="n">
        <v>1.52</v>
      </c>
      <c r="X164" s="3" t="n">
        <v>6.85</v>
      </c>
      <c r="Y164" s="3" t="n">
        <v>334</v>
      </c>
      <c r="AA164" s="3" t="n">
        <v>0.45</v>
      </c>
      <c r="AB164" s="3" t="n">
        <v>11.3</v>
      </c>
      <c r="AC164" s="3" t="n">
        <v>2</v>
      </c>
      <c r="AD164" s="3" t="n">
        <v>2</v>
      </c>
      <c r="AE164" s="3" t="n">
        <v>1</v>
      </c>
      <c r="AF164" s="3" t="n">
        <v>1</v>
      </c>
      <c r="AG164" s="3" t="n">
        <v>2</v>
      </c>
      <c r="AH164" s="3" t="n">
        <v>2</v>
      </c>
      <c r="AI164" s="3" t="n">
        <v>1</v>
      </c>
      <c r="AJ164" s="3" t="n">
        <v>2</v>
      </c>
      <c r="AK164" s="3" t="n">
        <v>2</v>
      </c>
      <c r="AL164" s="3" t="n">
        <v>2</v>
      </c>
      <c r="AM164" s="3" t="n">
        <v>2</v>
      </c>
      <c r="AN164" s="3" t="n">
        <v>2</v>
      </c>
      <c r="AO164" s="3" t="n">
        <v>2</v>
      </c>
      <c r="AP164" s="3" t="n">
        <v>3</v>
      </c>
      <c r="AQ164" s="3" t="n">
        <v>4</v>
      </c>
      <c r="AR164" s="3" t="n">
        <v>4</v>
      </c>
      <c r="AS164" s="3" t="n">
        <v>6</v>
      </c>
      <c r="AT164" s="3" t="n">
        <v>4</v>
      </c>
      <c r="AU164" s="3" t="n">
        <v>4</v>
      </c>
      <c r="AV164" s="3" t="n">
        <v>6</v>
      </c>
      <c r="AW164" s="3" t="n">
        <v>6</v>
      </c>
      <c r="AX164" s="3" t="n">
        <v>3</v>
      </c>
      <c r="AY164" s="3" t="n">
        <v>3</v>
      </c>
      <c r="AZ164" s="3" t="n">
        <v>1</v>
      </c>
      <c r="BA164" s="5" t="n">
        <v>1</v>
      </c>
      <c r="BB164" s="3" t="n">
        <v>1</v>
      </c>
      <c r="BC164" s="3" t="n">
        <v>1</v>
      </c>
      <c r="BD164" s="3" t="n">
        <v>4</v>
      </c>
      <c r="BE164" s="3" t="n">
        <v>1</v>
      </c>
      <c r="BF164" s="3" t="n">
        <v>2</v>
      </c>
      <c r="BG164" s="3" t="n">
        <v>1</v>
      </c>
      <c r="BH164" s="3" t="n">
        <v>4</v>
      </c>
      <c r="BI164" s="3" t="n">
        <v>1</v>
      </c>
      <c r="BJ164" s="3" t="n">
        <v>1</v>
      </c>
    </row>
    <row r="165" customFormat="false" ht="12.75" hidden="false" customHeight="false" outlineLevel="0" collapsed="false">
      <c r="B165" s="2" t="s">
        <v>145</v>
      </c>
      <c r="C165" s="2" t="s">
        <v>94</v>
      </c>
      <c r="D165" s="2" t="s">
        <v>95</v>
      </c>
      <c r="E165" s="2" t="n">
        <v>193489</v>
      </c>
      <c r="F165" s="15" t="n">
        <v>43882</v>
      </c>
      <c r="G165" s="15" t="n">
        <v>43889</v>
      </c>
      <c r="H165" s="3" t="n">
        <v>7</v>
      </c>
      <c r="I165" s="3" t="n">
        <v>2</v>
      </c>
      <c r="J165" s="3" t="n">
        <v>75</v>
      </c>
      <c r="K165" s="3" t="n">
        <v>1</v>
      </c>
      <c r="L165" s="3" t="n">
        <v>1</v>
      </c>
      <c r="M165" s="3" t="n">
        <v>2</v>
      </c>
      <c r="N165" s="3" t="n">
        <v>2</v>
      </c>
      <c r="O165" s="3" t="n">
        <v>2</v>
      </c>
      <c r="P165" s="3" t="n">
        <v>2</v>
      </c>
      <c r="Q165" s="3" t="n">
        <v>2</v>
      </c>
      <c r="R165" s="3" t="n">
        <v>2</v>
      </c>
      <c r="S165" s="3" t="n">
        <v>2</v>
      </c>
      <c r="T165" s="4" t="n">
        <v>2</v>
      </c>
      <c r="U165" s="3" t="n">
        <v>2</v>
      </c>
      <c r="V165" s="3" t="n">
        <v>4.93</v>
      </c>
      <c r="W165" s="3" t="n">
        <v>0.52</v>
      </c>
      <c r="X165" s="3" t="n">
        <v>7.4</v>
      </c>
      <c r="Y165" s="3" t="n">
        <v>480</v>
      </c>
      <c r="AA165" s="3" t="n">
        <v>0.52</v>
      </c>
      <c r="AB165" s="3" t="n">
        <v>12.6</v>
      </c>
      <c r="AC165" s="3" t="n">
        <v>1</v>
      </c>
      <c r="AD165" s="3" t="n">
        <v>2</v>
      </c>
      <c r="AE165" s="3" t="n">
        <v>1</v>
      </c>
      <c r="AF165" s="3" t="n">
        <v>1</v>
      </c>
      <c r="AG165" s="3" t="n">
        <v>2</v>
      </c>
      <c r="AH165" s="3" t="n">
        <v>2</v>
      </c>
      <c r="AI165" s="3" t="n">
        <v>1</v>
      </c>
      <c r="AJ165" s="3" t="n">
        <v>2</v>
      </c>
      <c r="AK165" s="3" t="n">
        <v>2</v>
      </c>
      <c r="AL165" s="3" t="n">
        <v>2</v>
      </c>
      <c r="AM165" s="3" t="n">
        <v>2</v>
      </c>
      <c r="AN165" s="3" t="n">
        <v>2</v>
      </c>
      <c r="AO165" s="3" t="n">
        <v>2</v>
      </c>
      <c r="AP165" s="3" t="n">
        <v>3</v>
      </c>
      <c r="AQ165" s="3" t="n">
        <v>4</v>
      </c>
      <c r="AR165" s="3" t="n">
        <v>4</v>
      </c>
      <c r="AS165" s="3" t="n">
        <v>6</v>
      </c>
      <c r="AT165" s="3" t="n">
        <v>4</v>
      </c>
      <c r="AU165" s="3" t="n">
        <v>4</v>
      </c>
      <c r="AV165" s="3" t="n">
        <v>6</v>
      </c>
      <c r="AW165" s="3" t="n">
        <v>6</v>
      </c>
      <c r="AX165" s="3" t="n">
        <v>3</v>
      </c>
      <c r="AY165" s="3" t="n">
        <v>3</v>
      </c>
      <c r="AZ165" s="3" t="n">
        <v>1</v>
      </c>
      <c r="BA165" s="5" t="n">
        <v>1</v>
      </c>
      <c r="BB165" s="3" t="n">
        <v>1</v>
      </c>
      <c r="BC165" s="3" t="n">
        <v>1</v>
      </c>
      <c r="BD165" s="3" t="n">
        <v>4</v>
      </c>
      <c r="BE165" s="3" t="n">
        <v>1</v>
      </c>
      <c r="BF165" s="3" t="n">
        <v>2</v>
      </c>
      <c r="BG165" s="3" t="n">
        <v>1</v>
      </c>
      <c r="BH165" s="3" t="n">
        <v>4</v>
      </c>
      <c r="BI165" s="3" t="n">
        <v>1</v>
      </c>
      <c r="BJ165" s="3" t="n">
        <v>1</v>
      </c>
    </row>
    <row r="166" customFormat="false" ht="12.75" hidden="false" customHeight="false" outlineLevel="0" collapsed="false">
      <c r="B166" s="2" t="s">
        <v>2028</v>
      </c>
      <c r="C166" s="2" t="s">
        <v>1113</v>
      </c>
      <c r="D166" s="2" t="s">
        <v>808</v>
      </c>
      <c r="E166" s="2" t="n">
        <v>193185</v>
      </c>
      <c r="F166" s="15" t="n">
        <v>43885</v>
      </c>
      <c r="G166" s="15" t="n">
        <v>43892</v>
      </c>
      <c r="H166" s="3" t="n">
        <v>7</v>
      </c>
      <c r="I166" s="3" t="n">
        <v>2</v>
      </c>
      <c r="J166" s="3" t="n">
        <v>48</v>
      </c>
      <c r="K166" s="3" t="n">
        <v>1</v>
      </c>
      <c r="L166" s="3" t="n">
        <v>1</v>
      </c>
      <c r="M166" s="3" t="n">
        <v>1</v>
      </c>
      <c r="N166" s="3" t="n">
        <v>2</v>
      </c>
      <c r="O166" s="3" t="n">
        <v>2</v>
      </c>
      <c r="P166" s="3" t="n">
        <v>2</v>
      </c>
      <c r="Q166" s="3" t="n">
        <v>2</v>
      </c>
      <c r="R166" s="3" t="n">
        <v>2</v>
      </c>
      <c r="S166" s="3" t="n">
        <v>2</v>
      </c>
      <c r="T166" s="4" t="n">
        <v>2</v>
      </c>
      <c r="U166" s="3" t="n">
        <v>2</v>
      </c>
      <c r="V166" s="3" t="n">
        <v>3.02</v>
      </c>
      <c r="W166" s="3" t="n">
        <v>1.05</v>
      </c>
      <c r="X166" s="3" t="n">
        <v>6</v>
      </c>
      <c r="Y166" s="3" t="n">
        <v>313</v>
      </c>
      <c r="AA166" s="3" t="n">
        <v>0.59</v>
      </c>
      <c r="AB166" s="3" t="n">
        <v>12.9</v>
      </c>
      <c r="AC166" s="3" t="n">
        <v>1</v>
      </c>
      <c r="AD166" s="3" t="n">
        <v>2</v>
      </c>
      <c r="AE166" s="3" t="n">
        <v>1</v>
      </c>
      <c r="AF166" s="3" t="n">
        <v>1</v>
      </c>
      <c r="AG166" s="3" t="n">
        <v>2</v>
      </c>
      <c r="AH166" s="3" t="n">
        <v>2</v>
      </c>
      <c r="AI166" s="3" t="n">
        <v>1</v>
      </c>
      <c r="AJ166" s="3" t="n">
        <v>2</v>
      </c>
      <c r="AK166" s="3" t="n">
        <v>2</v>
      </c>
      <c r="AL166" s="3" t="n">
        <v>2</v>
      </c>
      <c r="AM166" s="3" t="n">
        <v>2</v>
      </c>
      <c r="AN166" s="3" t="n">
        <v>2</v>
      </c>
      <c r="AO166" s="3" t="n">
        <v>2</v>
      </c>
      <c r="AP166" s="3" t="n">
        <v>3</v>
      </c>
      <c r="AQ166" s="3" t="n">
        <v>4</v>
      </c>
      <c r="AR166" s="3" t="n">
        <v>4</v>
      </c>
      <c r="AS166" s="3" t="n">
        <v>6</v>
      </c>
      <c r="AT166" s="3" t="n">
        <v>4</v>
      </c>
      <c r="AU166" s="3" t="n">
        <v>4</v>
      </c>
      <c r="AV166" s="3" t="n">
        <v>6</v>
      </c>
      <c r="AW166" s="3" t="n">
        <v>6</v>
      </c>
      <c r="AX166" s="3" t="n">
        <v>3</v>
      </c>
      <c r="AY166" s="3" t="n">
        <v>3</v>
      </c>
      <c r="AZ166" s="3" t="n">
        <v>1</v>
      </c>
      <c r="BA166" s="5" t="n">
        <v>1</v>
      </c>
      <c r="BB166" s="3" t="n">
        <v>1</v>
      </c>
      <c r="BC166" s="3" t="n">
        <v>1</v>
      </c>
      <c r="BD166" s="3" t="n">
        <v>2</v>
      </c>
      <c r="BE166" s="3" t="n">
        <v>1</v>
      </c>
      <c r="BF166" s="3" t="n">
        <v>2</v>
      </c>
      <c r="BG166" s="3" t="n">
        <v>1</v>
      </c>
      <c r="BH166" s="3" t="n">
        <v>4</v>
      </c>
      <c r="BI166" s="3" t="n">
        <v>1</v>
      </c>
      <c r="BJ166" s="3" t="n">
        <v>1</v>
      </c>
    </row>
    <row r="167" customFormat="false" ht="12.75" hidden="false" customHeight="false" outlineLevel="0" collapsed="false">
      <c r="B167" s="2" t="s">
        <v>2030</v>
      </c>
      <c r="C167" s="2" t="s">
        <v>95</v>
      </c>
      <c r="D167" s="2" t="s">
        <v>118</v>
      </c>
      <c r="E167" s="2" t="n">
        <v>193944</v>
      </c>
      <c r="F167" s="15" t="n">
        <v>43886</v>
      </c>
      <c r="G167" s="15" t="n">
        <v>43893</v>
      </c>
      <c r="H167" s="3" t="n">
        <v>7</v>
      </c>
      <c r="I167" s="3" t="n">
        <v>1</v>
      </c>
      <c r="J167" s="3" t="n">
        <v>46</v>
      </c>
      <c r="K167" s="3" t="n">
        <v>1</v>
      </c>
      <c r="L167" s="3" t="n">
        <v>1</v>
      </c>
      <c r="M167" s="3" t="n">
        <v>1</v>
      </c>
      <c r="N167" s="3" t="n">
        <v>2</v>
      </c>
      <c r="O167" s="3" t="n">
        <v>2</v>
      </c>
      <c r="P167" s="3" t="n">
        <v>2</v>
      </c>
      <c r="Q167" s="3" t="n">
        <v>2</v>
      </c>
      <c r="R167" s="3" t="n">
        <v>2</v>
      </c>
      <c r="S167" s="3" t="n">
        <v>2</v>
      </c>
      <c r="T167" s="4" t="n">
        <v>2</v>
      </c>
      <c r="U167" s="3" t="n">
        <v>2</v>
      </c>
      <c r="V167" s="3" t="n">
        <v>5.11</v>
      </c>
      <c r="W167" s="3" t="n">
        <v>1.31</v>
      </c>
      <c r="X167" s="3" t="n">
        <v>6.43</v>
      </c>
      <c r="Y167" s="3" t="n">
        <v>205</v>
      </c>
      <c r="AA167" s="3" t="n">
        <v>0.51</v>
      </c>
      <c r="AB167" s="3" t="n">
        <v>10.2</v>
      </c>
      <c r="AC167" s="3" t="n">
        <v>1</v>
      </c>
      <c r="AD167" s="3" t="n">
        <v>1</v>
      </c>
      <c r="AE167" s="3" t="n">
        <v>1</v>
      </c>
      <c r="AF167" s="3" t="n">
        <v>1</v>
      </c>
      <c r="AG167" s="3" t="n">
        <v>2</v>
      </c>
      <c r="AH167" s="3" t="n">
        <v>1</v>
      </c>
      <c r="AI167" s="3" t="n">
        <v>1</v>
      </c>
      <c r="AJ167" s="3" t="n">
        <v>2</v>
      </c>
      <c r="AK167" s="3" t="n">
        <v>2</v>
      </c>
      <c r="AL167" s="3" t="n">
        <v>2</v>
      </c>
      <c r="AM167" s="3" t="n">
        <v>1</v>
      </c>
      <c r="AN167" s="3" t="n">
        <v>2</v>
      </c>
      <c r="AO167" s="3" t="n">
        <v>2</v>
      </c>
      <c r="AP167" s="3" t="n">
        <v>3</v>
      </c>
      <c r="AQ167" s="3" t="n">
        <v>4</v>
      </c>
      <c r="AR167" s="3" t="n">
        <v>4</v>
      </c>
      <c r="AS167" s="3" t="n">
        <v>6</v>
      </c>
      <c r="AT167" s="3" t="n">
        <v>4</v>
      </c>
      <c r="AU167" s="3" t="n">
        <v>4</v>
      </c>
      <c r="AV167" s="3" t="n">
        <v>6</v>
      </c>
      <c r="AW167" s="3" t="n">
        <v>6</v>
      </c>
      <c r="AX167" s="3" t="n">
        <v>3</v>
      </c>
      <c r="AY167" s="3" t="n">
        <v>3</v>
      </c>
      <c r="AZ167" s="3" t="n">
        <v>1</v>
      </c>
      <c r="BA167" s="5" t="n">
        <v>1</v>
      </c>
      <c r="BB167" s="3" t="n">
        <v>1</v>
      </c>
      <c r="BC167" s="3" t="n">
        <v>1</v>
      </c>
      <c r="BD167" s="3" t="n">
        <v>2</v>
      </c>
      <c r="BE167" s="3" t="n">
        <v>2</v>
      </c>
      <c r="BF167" s="3" t="n">
        <v>5</v>
      </c>
      <c r="BG167" s="3" t="n">
        <v>3</v>
      </c>
      <c r="BH167" s="3" t="n">
        <v>4</v>
      </c>
      <c r="BI167" s="3" t="n">
        <v>1</v>
      </c>
      <c r="BJ167" s="3" t="n">
        <v>1</v>
      </c>
    </row>
    <row r="168" customFormat="false" ht="12.75" hidden="false" customHeight="false" outlineLevel="0" collapsed="false">
      <c r="B168" s="2" t="s">
        <v>2035</v>
      </c>
      <c r="C168" s="2" t="s">
        <v>78</v>
      </c>
      <c r="D168" s="2" t="s">
        <v>2036</v>
      </c>
      <c r="E168" s="2" t="n">
        <v>193953</v>
      </c>
      <c r="F168" s="15" t="n">
        <v>43887</v>
      </c>
      <c r="G168" s="15" t="n">
        <v>43894</v>
      </c>
      <c r="H168" s="3" t="n">
        <v>7</v>
      </c>
      <c r="I168" s="3" t="n">
        <v>2</v>
      </c>
      <c r="J168" s="3" t="n">
        <v>72</v>
      </c>
      <c r="K168" s="3" t="n">
        <v>1</v>
      </c>
      <c r="L168" s="3" t="n">
        <v>1</v>
      </c>
      <c r="M168" s="3" t="n">
        <v>1</v>
      </c>
      <c r="N168" s="3" t="n">
        <v>2</v>
      </c>
      <c r="O168" s="3" t="n">
        <v>2</v>
      </c>
      <c r="P168" s="3" t="n">
        <v>2</v>
      </c>
      <c r="Q168" s="3" t="n">
        <v>2</v>
      </c>
      <c r="R168" s="3" t="n">
        <v>2</v>
      </c>
      <c r="S168" s="3" t="n">
        <v>2</v>
      </c>
      <c r="T168" s="4" t="n">
        <v>2</v>
      </c>
      <c r="U168" s="3" t="n">
        <v>2</v>
      </c>
      <c r="V168" s="3" t="n">
        <v>5.05</v>
      </c>
      <c r="W168" s="3" t="n">
        <v>0.62</v>
      </c>
      <c r="X168" s="3" t="n">
        <v>7.28</v>
      </c>
      <c r="Y168" s="3" t="n">
        <v>471</v>
      </c>
      <c r="AA168" s="3" t="n">
        <v>0.46</v>
      </c>
      <c r="AB168" s="3" t="n">
        <v>13.3</v>
      </c>
      <c r="AC168" s="3" t="n">
        <v>2</v>
      </c>
      <c r="AD168" s="3" t="n">
        <v>1</v>
      </c>
      <c r="AE168" s="3" t="n">
        <v>1</v>
      </c>
      <c r="AF168" s="3" t="n">
        <v>1</v>
      </c>
      <c r="AG168" s="3" t="n">
        <v>2</v>
      </c>
      <c r="AH168" s="3" t="n">
        <v>2</v>
      </c>
      <c r="AI168" s="3" t="n">
        <v>1</v>
      </c>
      <c r="AJ168" s="3" t="n">
        <v>2</v>
      </c>
      <c r="AK168" s="3" t="n">
        <v>2</v>
      </c>
      <c r="AL168" s="3" t="n">
        <v>2</v>
      </c>
      <c r="AM168" s="3" t="n">
        <v>2</v>
      </c>
      <c r="AN168" s="3" t="n">
        <v>2</v>
      </c>
      <c r="AO168" s="3" t="n">
        <v>2</v>
      </c>
      <c r="AP168" s="3" t="n">
        <v>3</v>
      </c>
      <c r="AQ168" s="3" t="n">
        <v>4</v>
      </c>
      <c r="AR168" s="3" t="n">
        <v>4</v>
      </c>
      <c r="AS168" s="3" t="n">
        <v>6</v>
      </c>
      <c r="AT168" s="3" t="n">
        <v>4</v>
      </c>
      <c r="AU168" s="3" t="n">
        <v>4</v>
      </c>
      <c r="AV168" s="3" t="n">
        <v>6</v>
      </c>
      <c r="AW168" s="3" t="n">
        <v>6</v>
      </c>
      <c r="AX168" s="3" t="n">
        <v>3</v>
      </c>
      <c r="AY168" s="3" t="n">
        <v>3</v>
      </c>
      <c r="AZ168" s="3" t="n">
        <v>1</v>
      </c>
      <c r="BA168" s="5" t="n">
        <v>1</v>
      </c>
      <c r="BB168" s="3" t="n">
        <v>1</v>
      </c>
      <c r="BC168" s="3" t="n">
        <v>1</v>
      </c>
      <c r="BD168" s="3" t="n">
        <v>2</v>
      </c>
      <c r="BE168" s="3" t="n">
        <v>2</v>
      </c>
      <c r="BF168" s="3" t="n">
        <v>5</v>
      </c>
      <c r="BG168" s="3" t="n">
        <v>3</v>
      </c>
      <c r="BH168" s="3" t="n">
        <v>4</v>
      </c>
      <c r="BI168" s="3" t="n">
        <v>1</v>
      </c>
      <c r="BJ168" s="3" t="n">
        <v>1</v>
      </c>
    </row>
    <row r="169" customFormat="false" ht="12.75" hidden="false" customHeight="false" outlineLevel="0" collapsed="false">
      <c r="B169" s="2" t="s">
        <v>2038</v>
      </c>
      <c r="C169" s="2" t="s">
        <v>78</v>
      </c>
      <c r="D169" s="2" t="s">
        <v>1335</v>
      </c>
      <c r="E169" s="2" t="n">
        <v>193873</v>
      </c>
      <c r="F169" s="15" t="n">
        <v>43894</v>
      </c>
      <c r="G169" s="15" t="n">
        <v>43900</v>
      </c>
      <c r="H169" s="3" t="n">
        <v>6</v>
      </c>
      <c r="I169" s="3" t="n">
        <v>2</v>
      </c>
      <c r="J169" s="3" t="n">
        <v>57</v>
      </c>
      <c r="K169" s="3" t="n">
        <v>1</v>
      </c>
      <c r="L169" s="3" t="n">
        <v>2</v>
      </c>
      <c r="M169" s="3" t="n">
        <v>1</v>
      </c>
      <c r="N169" s="3" t="n">
        <v>2</v>
      </c>
      <c r="O169" s="3" t="n">
        <v>1</v>
      </c>
      <c r="P169" s="3" t="n">
        <v>2</v>
      </c>
      <c r="Q169" s="3" t="n">
        <v>1</v>
      </c>
      <c r="R169" s="3" t="n">
        <v>2</v>
      </c>
      <c r="S169" s="3" t="n">
        <v>1</v>
      </c>
      <c r="T169" s="4" t="n">
        <v>2</v>
      </c>
      <c r="U169" s="3" t="n">
        <v>2</v>
      </c>
      <c r="V169" s="3" t="n">
        <v>6.74</v>
      </c>
      <c r="W169" s="3" t="n">
        <v>1.39</v>
      </c>
      <c r="X169" s="3" t="n">
        <v>13.76</v>
      </c>
      <c r="Y169" s="3" t="n">
        <v>308</v>
      </c>
      <c r="AA169" s="3" t="n">
        <v>0.47</v>
      </c>
      <c r="AB169" s="3" t="n">
        <v>12.1</v>
      </c>
      <c r="AC169" s="3" t="n">
        <v>2</v>
      </c>
      <c r="AD169" s="3" t="n">
        <v>1</v>
      </c>
      <c r="AE169" s="3" t="n">
        <v>1</v>
      </c>
      <c r="AF169" s="3" t="n">
        <v>1</v>
      </c>
      <c r="AG169" s="3" t="n">
        <v>1</v>
      </c>
      <c r="AH169" s="3" t="n">
        <v>2</v>
      </c>
      <c r="AI169" s="3" t="n">
        <v>1</v>
      </c>
      <c r="AJ169" s="3" t="n">
        <v>1</v>
      </c>
      <c r="AK169" s="3" t="n">
        <v>2</v>
      </c>
      <c r="AL169" s="3" t="n">
        <v>2</v>
      </c>
      <c r="AM169" s="3" t="n">
        <v>2</v>
      </c>
      <c r="AN169" s="3" t="n">
        <v>2</v>
      </c>
      <c r="AO169" s="3" t="n">
        <v>2</v>
      </c>
      <c r="AP169" s="3" t="n">
        <v>3</v>
      </c>
      <c r="AQ169" s="3" t="n">
        <v>4</v>
      </c>
      <c r="AR169" s="3" t="n">
        <v>4</v>
      </c>
      <c r="AS169" s="3" t="n">
        <v>6</v>
      </c>
      <c r="AT169" s="3" t="n">
        <v>4</v>
      </c>
      <c r="AU169" s="3" t="n">
        <v>4</v>
      </c>
      <c r="AV169" s="3" t="n">
        <v>6</v>
      </c>
      <c r="AW169" s="3" t="n">
        <v>6</v>
      </c>
      <c r="AX169" s="3" t="n">
        <v>3</v>
      </c>
      <c r="AY169" s="3" t="n">
        <v>3</v>
      </c>
      <c r="AZ169" s="3" t="n">
        <v>1</v>
      </c>
      <c r="BA169" s="5" t="n">
        <v>1</v>
      </c>
      <c r="BB169" s="3" t="n">
        <v>1</v>
      </c>
      <c r="BC169" s="3" t="n">
        <v>1</v>
      </c>
      <c r="BD169" s="3" t="n">
        <v>2</v>
      </c>
      <c r="BE169" s="3" t="n">
        <v>3</v>
      </c>
      <c r="BF169" s="3" t="n">
        <v>5</v>
      </c>
      <c r="BG169" s="3" t="n">
        <v>3</v>
      </c>
      <c r="BH169" s="3" t="n">
        <v>4</v>
      </c>
      <c r="BI169" s="3" t="n">
        <v>1</v>
      </c>
      <c r="BJ169" s="3" t="n">
        <v>1</v>
      </c>
    </row>
    <row r="170" customFormat="false" ht="12.75" hidden="false" customHeight="false" outlineLevel="0" collapsed="false">
      <c r="B170" s="2" t="s">
        <v>2040</v>
      </c>
      <c r="C170" s="2" t="s">
        <v>1482</v>
      </c>
      <c r="D170" s="2" t="s">
        <v>2041</v>
      </c>
      <c r="E170" s="2" t="n">
        <v>193864</v>
      </c>
      <c r="F170" s="15" t="n">
        <v>43893</v>
      </c>
      <c r="G170" s="15" t="n">
        <v>43900</v>
      </c>
      <c r="H170" s="3" t="n">
        <v>7</v>
      </c>
      <c r="I170" s="3" t="n">
        <v>2</v>
      </c>
      <c r="J170" s="3" t="n">
        <v>59</v>
      </c>
      <c r="K170" s="3" t="n">
        <v>1</v>
      </c>
      <c r="L170" s="3" t="n">
        <v>1</v>
      </c>
      <c r="M170" s="3" t="n">
        <v>1</v>
      </c>
      <c r="N170" s="3" t="n">
        <v>2</v>
      </c>
      <c r="O170" s="3" t="n">
        <v>1</v>
      </c>
      <c r="P170" s="3" t="n">
        <v>1</v>
      </c>
      <c r="Q170" s="3" t="n">
        <v>1</v>
      </c>
      <c r="R170" s="3" t="n">
        <v>2</v>
      </c>
      <c r="S170" s="3" t="n">
        <v>1</v>
      </c>
      <c r="T170" s="4" t="n">
        <v>2</v>
      </c>
      <c r="U170" s="3" t="n">
        <v>2</v>
      </c>
      <c r="V170" s="3" t="n">
        <v>5.98</v>
      </c>
      <c r="W170" s="3" t="n">
        <v>5.43</v>
      </c>
      <c r="X170" s="3" t="n">
        <v>18.47</v>
      </c>
      <c r="Y170" s="3" t="n">
        <v>282</v>
      </c>
      <c r="AA170" s="3" t="n">
        <v>0.49</v>
      </c>
      <c r="AB170" s="3" t="n">
        <v>13.2</v>
      </c>
      <c r="AC170" s="3" t="n">
        <v>1</v>
      </c>
      <c r="AD170" s="3" t="n">
        <v>1</v>
      </c>
      <c r="AE170" s="3" t="n">
        <v>1</v>
      </c>
      <c r="AF170" s="3" t="n">
        <v>1</v>
      </c>
      <c r="AG170" s="3" t="n">
        <v>1</v>
      </c>
      <c r="AH170" s="3" t="n">
        <v>1</v>
      </c>
      <c r="AI170" s="3" t="n">
        <v>1</v>
      </c>
      <c r="AJ170" s="3" t="n">
        <v>1</v>
      </c>
      <c r="AK170" s="3" t="n">
        <v>1</v>
      </c>
      <c r="AL170" s="3" t="n">
        <v>2</v>
      </c>
      <c r="AM170" s="3" t="n">
        <v>1</v>
      </c>
      <c r="AN170" s="3" t="n">
        <v>2</v>
      </c>
      <c r="AO170" s="3" t="n">
        <v>2</v>
      </c>
      <c r="AP170" s="3" t="n">
        <v>3</v>
      </c>
      <c r="AQ170" s="3" t="n">
        <v>4</v>
      </c>
      <c r="AR170" s="3" t="n">
        <v>4</v>
      </c>
      <c r="AS170" s="3" t="n">
        <v>6</v>
      </c>
      <c r="AT170" s="3" t="n">
        <v>4</v>
      </c>
      <c r="AU170" s="3" t="n">
        <v>4</v>
      </c>
      <c r="AV170" s="3" t="n">
        <v>6</v>
      </c>
      <c r="AW170" s="3" t="n">
        <v>6</v>
      </c>
      <c r="AX170" s="3" t="n">
        <v>3</v>
      </c>
      <c r="AY170" s="3" t="n">
        <v>3</v>
      </c>
      <c r="AZ170" s="3" t="n">
        <v>1</v>
      </c>
      <c r="BA170" s="5" t="n">
        <v>1</v>
      </c>
      <c r="BB170" s="3" t="n">
        <v>1</v>
      </c>
      <c r="BC170" s="3" t="n">
        <v>1</v>
      </c>
      <c r="BD170" s="3" t="n">
        <v>2</v>
      </c>
      <c r="BE170" s="3" t="n">
        <v>3</v>
      </c>
      <c r="BF170" s="3" t="n">
        <v>5</v>
      </c>
      <c r="BG170" s="3" t="n">
        <v>3</v>
      </c>
      <c r="BH170" s="3" t="n">
        <v>4</v>
      </c>
      <c r="BI170" s="3" t="n">
        <v>1</v>
      </c>
      <c r="BJ170" s="3" t="n">
        <v>1</v>
      </c>
    </row>
    <row r="171" customFormat="false" ht="12.75" hidden="false" customHeight="false" outlineLevel="0" collapsed="false">
      <c r="B171" s="2" t="s">
        <v>680</v>
      </c>
      <c r="C171" s="2" t="s">
        <v>2043</v>
      </c>
      <c r="D171" s="2" t="s">
        <v>1150</v>
      </c>
      <c r="E171" s="2" t="n">
        <v>193969</v>
      </c>
      <c r="F171" s="15" t="n">
        <v>43891</v>
      </c>
      <c r="G171" s="15" t="n">
        <v>43899</v>
      </c>
      <c r="H171" s="3" t="n">
        <v>8</v>
      </c>
      <c r="I171" s="3" t="n">
        <v>2</v>
      </c>
      <c r="J171" s="3" t="n">
        <v>73</v>
      </c>
      <c r="K171" s="3" t="n">
        <v>1</v>
      </c>
      <c r="L171" s="3" t="n">
        <v>1</v>
      </c>
      <c r="M171" s="3" t="n">
        <v>1</v>
      </c>
      <c r="N171" s="3" t="n">
        <v>2</v>
      </c>
      <c r="O171" s="3" t="n">
        <v>2</v>
      </c>
      <c r="P171" s="3" t="n">
        <v>2</v>
      </c>
      <c r="Q171" s="3" t="n">
        <v>2</v>
      </c>
      <c r="R171" s="3" t="n">
        <v>2</v>
      </c>
      <c r="S171" s="3" t="n">
        <v>2</v>
      </c>
      <c r="T171" s="4" t="n">
        <v>2</v>
      </c>
      <c r="U171" s="3" t="n">
        <v>2</v>
      </c>
      <c r="V171" s="3" t="n">
        <v>3.48</v>
      </c>
      <c r="W171" s="3" t="n">
        <v>1.48</v>
      </c>
      <c r="X171" s="3" t="n">
        <v>6.58</v>
      </c>
      <c r="Y171" s="3" t="n">
        <v>475</v>
      </c>
      <c r="AA171" s="3" t="n">
        <v>0.35</v>
      </c>
      <c r="AB171" s="3" t="n">
        <v>12</v>
      </c>
      <c r="AC171" s="3" t="n">
        <v>1</v>
      </c>
      <c r="AD171" s="3" t="n">
        <v>2</v>
      </c>
      <c r="AE171" s="3" t="n">
        <v>1</v>
      </c>
      <c r="AF171" s="3" t="n">
        <v>1</v>
      </c>
      <c r="AG171" s="3" t="n">
        <v>2</v>
      </c>
      <c r="AH171" s="3" t="n">
        <v>2</v>
      </c>
      <c r="AI171" s="3" t="n">
        <v>1</v>
      </c>
      <c r="AJ171" s="3" t="n">
        <v>2</v>
      </c>
      <c r="AK171" s="3" t="n">
        <v>2</v>
      </c>
      <c r="AL171" s="3" t="n">
        <v>2</v>
      </c>
      <c r="AM171" s="3" t="n">
        <v>2</v>
      </c>
      <c r="AN171" s="3" t="n">
        <v>2</v>
      </c>
      <c r="AO171" s="3" t="n">
        <v>2</v>
      </c>
      <c r="AP171" s="3" t="n">
        <v>3</v>
      </c>
      <c r="AQ171" s="3" t="n">
        <v>4</v>
      </c>
      <c r="AR171" s="3" t="n">
        <v>4</v>
      </c>
      <c r="AS171" s="3" t="n">
        <v>6</v>
      </c>
      <c r="AT171" s="3" t="n">
        <v>4</v>
      </c>
      <c r="AU171" s="3" t="n">
        <v>4</v>
      </c>
      <c r="AV171" s="3" t="n">
        <v>6</v>
      </c>
      <c r="AW171" s="3" t="n">
        <v>6</v>
      </c>
      <c r="AX171" s="3" t="n">
        <v>3</v>
      </c>
      <c r="AY171" s="3" t="n">
        <v>3</v>
      </c>
      <c r="AZ171" s="3" t="n">
        <v>1</v>
      </c>
      <c r="BA171" s="5" t="n">
        <v>1</v>
      </c>
      <c r="BB171" s="3" t="n">
        <v>1</v>
      </c>
      <c r="BC171" s="3" t="n">
        <v>1</v>
      </c>
      <c r="BD171" s="3" t="n">
        <v>4</v>
      </c>
      <c r="BE171" s="3" t="n">
        <v>1</v>
      </c>
      <c r="BF171" s="3" t="n">
        <v>2</v>
      </c>
      <c r="BG171" s="3" t="n">
        <v>1</v>
      </c>
      <c r="BH171" s="3" t="n">
        <v>4</v>
      </c>
      <c r="BI171" s="3" t="n">
        <v>1</v>
      </c>
      <c r="BJ171" s="3" t="n">
        <v>1</v>
      </c>
    </row>
    <row r="172" customFormat="false" ht="12.75" hidden="false" customHeight="false" outlineLevel="0" collapsed="false">
      <c r="B172" s="2" t="s">
        <v>2045</v>
      </c>
      <c r="C172" s="2" t="s">
        <v>898</v>
      </c>
      <c r="D172" s="2" t="s">
        <v>2046</v>
      </c>
      <c r="E172" s="2" t="n">
        <v>193863</v>
      </c>
      <c r="F172" s="15" t="n">
        <v>43890</v>
      </c>
      <c r="G172" s="15" t="n">
        <v>43897</v>
      </c>
      <c r="H172" s="3" t="n">
        <v>8</v>
      </c>
      <c r="I172" s="3" t="n">
        <v>2</v>
      </c>
      <c r="J172" s="3" t="n">
        <v>31</v>
      </c>
      <c r="K172" s="3" t="n">
        <v>2</v>
      </c>
      <c r="L172" s="3" t="n">
        <v>2</v>
      </c>
      <c r="M172" s="3" t="n">
        <v>2</v>
      </c>
      <c r="N172" s="3" t="n">
        <v>2</v>
      </c>
      <c r="O172" s="3" t="n">
        <v>2</v>
      </c>
      <c r="P172" s="3" t="n">
        <v>2</v>
      </c>
      <c r="Q172" s="3" t="n">
        <v>2</v>
      </c>
      <c r="R172" s="3" t="n">
        <v>2</v>
      </c>
      <c r="S172" s="3" t="n">
        <v>2</v>
      </c>
      <c r="T172" s="4" t="n">
        <v>2</v>
      </c>
      <c r="U172" s="3" t="n">
        <v>2</v>
      </c>
      <c r="V172" s="3" t="n">
        <v>3.99</v>
      </c>
      <c r="W172" s="3" t="n">
        <v>1.47</v>
      </c>
      <c r="X172" s="3" t="n">
        <v>5.18</v>
      </c>
      <c r="Y172" s="3" t="n">
        <v>315</v>
      </c>
      <c r="AA172" s="3" t="n">
        <v>0.5</v>
      </c>
      <c r="AB172" s="3" t="n">
        <v>12.3</v>
      </c>
      <c r="AC172" s="3" t="n">
        <v>1</v>
      </c>
      <c r="AD172" s="3" t="n">
        <v>2</v>
      </c>
      <c r="AE172" s="3" t="n">
        <v>1</v>
      </c>
      <c r="AF172" s="3" t="n">
        <v>1</v>
      </c>
      <c r="AG172" s="3" t="n">
        <v>1</v>
      </c>
      <c r="AH172" s="3" t="n">
        <v>2</v>
      </c>
      <c r="AI172" s="3" t="n">
        <v>1</v>
      </c>
      <c r="AJ172" s="3" t="n">
        <v>2</v>
      </c>
      <c r="AK172" s="3" t="n">
        <v>2</v>
      </c>
      <c r="AL172" s="3" t="n">
        <v>2</v>
      </c>
      <c r="AM172" s="3" t="n">
        <v>2</v>
      </c>
      <c r="AN172" s="3" t="n">
        <v>2</v>
      </c>
      <c r="AO172" s="3" t="n">
        <v>2</v>
      </c>
      <c r="AP172" s="3" t="n">
        <v>2</v>
      </c>
      <c r="AQ172" s="3" t="n">
        <v>2</v>
      </c>
      <c r="AR172" s="3" t="n">
        <v>4</v>
      </c>
      <c r="AS172" s="3" t="n">
        <v>6</v>
      </c>
      <c r="AT172" s="3" t="n">
        <v>4</v>
      </c>
      <c r="AU172" s="3" t="n">
        <v>4</v>
      </c>
      <c r="AV172" s="3" t="n">
        <v>1</v>
      </c>
      <c r="AW172" s="3" t="n">
        <v>6</v>
      </c>
      <c r="AX172" s="3" t="n">
        <v>3</v>
      </c>
      <c r="AY172" s="3" t="n">
        <v>3</v>
      </c>
      <c r="AZ172" s="3" t="n">
        <v>9</v>
      </c>
      <c r="BA172" s="5" t="n">
        <v>1</v>
      </c>
      <c r="BB172" s="3" t="n">
        <v>1</v>
      </c>
      <c r="BC172" s="3" t="n">
        <v>1</v>
      </c>
      <c r="BD172" s="3" t="n">
        <v>4</v>
      </c>
      <c r="BE172" s="3" t="n">
        <v>1</v>
      </c>
      <c r="BF172" s="3" t="n">
        <v>2</v>
      </c>
      <c r="BG172" s="3" t="n">
        <v>1</v>
      </c>
      <c r="BH172" s="3" t="n">
        <v>4</v>
      </c>
      <c r="BI172" s="3" t="n">
        <v>1</v>
      </c>
      <c r="BJ172" s="3" t="n">
        <v>1</v>
      </c>
    </row>
    <row r="173" customFormat="false" ht="12.75" hidden="false" customHeight="false" outlineLevel="0" collapsed="false">
      <c r="B173" s="2" t="s">
        <v>543</v>
      </c>
      <c r="C173" s="2" t="s">
        <v>386</v>
      </c>
      <c r="D173" s="2" t="s">
        <v>2048</v>
      </c>
      <c r="E173" s="2" t="n">
        <v>193999</v>
      </c>
      <c r="F173" s="15" t="n">
        <v>43893</v>
      </c>
      <c r="G173" s="15" t="n">
        <v>43900</v>
      </c>
      <c r="H173" s="3" t="n">
        <v>7</v>
      </c>
      <c r="I173" s="3" t="n">
        <v>2</v>
      </c>
      <c r="J173" s="3" t="n">
        <v>51</v>
      </c>
      <c r="K173" s="3" t="n">
        <v>2</v>
      </c>
      <c r="L173" s="3" t="n">
        <v>1</v>
      </c>
      <c r="M173" s="3" t="n">
        <v>2</v>
      </c>
      <c r="N173" s="3" t="n">
        <v>2</v>
      </c>
      <c r="O173" s="3" t="n">
        <v>2</v>
      </c>
      <c r="P173" s="3" t="n">
        <v>2</v>
      </c>
      <c r="Q173" s="3" t="n">
        <v>2</v>
      </c>
      <c r="R173" s="3" t="n">
        <v>2</v>
      </c>
      <c r="S173" s="3" t="n">
        <v>2</v>
      </c>
      <c r="T173" s="4" t="n">
        <v>2</v>
      </c>
      <c r="U173" s="3" t="n">
        <v>2</v>
      </c>
      <c r="V173" s="3" t="n">
        <v>5.55</v>
      </c>
      <c r="W173" s="3" t="n">
        <v>1.57</v>
      </c>
      <c r="X173" s="3" t="n">
        <v>7.08</v>
      </c>
      <c r="Y173" s="3" t="n">
        <v>482</v>
      </c>
      <c r="AA173" s="3" t="n">
        <v>0.49</v>
      </c>
      <c r="AB173" s="3" t="n">
        <v>9.3</v>
      </c>
      <c r="AC173" s="3" t="n">
        <v>1</v>
      </c>
      <c r="AD173" s="3" t="n">
        <v>2</v>
      </c>
      <c r="AE173" s="3" t="n">
        <v>1</v>
      </c>
      <c r="AF173" s="3" t="n">
        <v>1</v>
      </c>
      <c r="AG173" s="3" t="n">
        <v>2</v>
      </c>
      <c r="AH173" s="3" t="n">
        <v>2</v>
      </c>
      <c r="AI173" s="3" t="n">
        <v>1</v>
      </c>
      <c r="AJ173" s="3" t="n">
        <v>2</v>
      </c>
      <c r="AK173" s="3" t="n">
        <v>2</v>
      </c>
      <c r="AL173" s="3" t="n">
        <v>2</v>
      </c>
      <c r="AM173" s="3" t="n">
        <v>2</v>
      </c>
      <c r="AN173" s="3" t="n">
        <v>2</v>
      </c>
      <c r="AO173" s="3" t="n">
        <v>2</v>
      </c>
      <c r="AP173" s="3" t="n">
        <v>3</v>
      </c>
      <c r="AQ173" s="3" t="n">
        <v>4</v>
      </c>
      <c r="AR173" s="3" t="n">
        <v>4</v>
      </c>
      <c r="AS173" s="3" t="n">
        <v>6</v>
      </c>
      <c r="AT173" s="3" t="n">
        <v>4</v>
      </c>
      <c r="AU173" s="3" t="n">
        <v>4</v>
      </c>
      <c r="AV173" s="3" t="n">
        <v>6</v>
      </c>
      <c r="AW173" s="3" t="n">
        <v>6</v>
      </c>
      <c r="AX173" s="3" t="n">
        <v>3</v>
      </c>
      <c r="AY173" s="3" t="n">
        <v>3</v>
      </c>
      <c r="AZ173" s="3" t="n">
        <v>1</v>
      </c>
      <c r="BA173" s="5" t="n">
        <v>1</v>
      </c>
      <c r="BB173" s="3" t="n">
        <v>1</v>
      </c>
      <c r="BC173" s="3" t="n">
        <v>1</v>
      </c>
      <c r="BD173" s="3" t="n">
        <v>4</v>
      </c>
      <c r="BE173" s="3" t="n">
        <v>1</v>
      </c>
      <c r="BF173" s="3" t="n">
        <v>2</v>
      </c>
      <c r="BG173" s="3" t="n">
        <v>1</v>
      </c>
      <c r="BH173" s="3" t="n">
        <v>4</v>
      </c>
      <c r="BI173" s="3" t="n">
        <v>1</v>
      </c>
      <c r="BJ173" s="3" t="n">
        <v>1</v>
      </c>
    </row>
    <row r="174" customFormat="false" ht="12.75" hidden="false" customHeight="false" outlineLevel="0" collapsed="false">
      <c r="B174" s="2" t="s">
        <v>680</v>
      </c>
      <c r="C174" s="2" t="s">
        <v>879</v>
      </c>
      <c r="D174" s="2" t="s">
        <v>2050</v>
      </c>
      <c r="E174" s="2" t="n">
        <v>193985</v>
      </c>
      <c r="F174" s="15" t="n">
        <v>43891</v>
      </c>
      <c r="G174" s="15" t="n">
        <v>43897</v>
      </c>
      <c r="H174" s="3" t="n">
        <v>6</v>
      </c>
      <c r="I174" s="3" t="n">
        <v>2</v>
      </c>
      <c r="J174" s="3" t="n">
        <v>78</v>
      </c>
      <c r="K174" s="3" t="n">
        <v>1</v>
      </c>
      <c r="L174" s="3" t="n">
        <v>2</v>
      </c>
      <c r="M174" s="3" t="n">
        <v>1</v>
      </c>
      <c r="N174" s="3" t="n">
        <v>2</v>
      </c>
      <c r="O174" s="3" t="n">
        <v>2</v>
      </c>
      <c r="P174" s="3" t="n">
        <v>2</v>
      </c>
      <c r="Q174" s="3" t="n">
        <v>2</v>
      </c>
      <c r="R174" s="3" t="n">
        <v>2</v>
      </c>
      <c r="S174" s="3" t="n">
        <v>1</v>
      </c>
      <c r="T174" s="4" t="n">
        <v>2</v>
      </c>
      <c r="U174" s="3" t="n">
        <v>2</v>
      </c>
      <c r="V174" s="3" t="n">
        <v>5.15</v>
      </c>
      <c r="W174" s="3" t="n">
        <v>0.48</v>
      </c>
      <c r="X174" s="3" t="n">
        <v>6.02</v>
      </c>
      <c r="Y174" s="3" t="n">
        <v>428</v>
      </c>
      <c r="AA174" s="3" t="n">
        <v>0.42</v>
      </c>
      <c r="AB174" s="3" t="n">
        <v>7.9</v>
      </c>
      <c r="AC174" s="3" t="n">
        <v>1</v>
      </c>
      <c r="AD174" s="3" t="n">
        <v>2</v>
      </c>
      <c r="AE174" s="3" t="n">
        <v>1</v>
      </c>
      <c r="AF174" s="3" t="n">
        <v>1</v>
      </c>
      <c r="AG174" s="3" t="n">
        <v>2</v>
      </c>
      <c r="AH174" s="3" t="n">
        <v>2</v>
      </c>
      <c r="AI174" s="3" t="n">
        <v>1</v>
      </c>
      <c r="AJ174" s="3" t="n">
        <v>1</v>
      </c>
      <c r="AK174" s="3" t="n">
        <v>2</v>
      </c>
      <c r="AL174" s="3" t="n">
        <v>2</v>
      </c>
      <c r="AM174" s="3" t="n">
        <v>1</v>
      </c>
      <c r="AN174" s="3" t="n">
        <v>2</v>
      </c>
      <c r="AO174" s="3" t="n">
        <v>2</v>
      </c>
      <c r="AP174" s="3" t="n">
        <v>3</v>
      </c>
      <c r="AQ174" s="3" t="n">
        <v>4</v>
      </c>
      <c r="AR174" s="3" t="n">
        <v>4</v>
      </c>
      <c r="AS174" s="3" t="n">
        <v>6</v>
      </c>
      <c r="AT174" s="3" t="n">
        <v>4</v>
      </c>
      <c r="AU174" s="3" t="n">
        <v>4</v>
      </c>
      <c r="AV174" s="3" t="n">
        <v>6</v>
      </c>
      <c r="AW174" s="3" t="n">
        <v>6</v>
      </c>
      <c r="AX174" s="3" t="n">
        <v>3</v>
      </c>
      <c r="AY174" s="3" t="n">
        <v>3</v>
      </c>
      <c r="AZ174" s="3" t="n">
        <v>1</v>
      </c>
      <c r="BA174" s="5" t="n">
        <v>1</v>
      </c>
      <c r="BB174" s="3" t="n">
        <v>1</v>
      </c>
      <c r="BC174" s="3" t="n">
        <v>1</v>
      </c>
      <c r="BD174" s="3" t="n">
        <v>2</v>
      </c>
      <c r="BE174" s="3" t="n">
        <v>1</v>
      </c>
      <c r="BF174" s="3" t="n">
        <v>2</v>
      </c>
      <c r="BG174" s="3" t="n">
        <v>1</v>
      </c>
      <c r="BH174" s="3" t="n">
        <v>4</v>
      </c>
      <c r="BI174" s="3" t="n">
        <v>1</v>
      </c>
      <c r="BJ174" s="3" t="n">
        <v>1</v>
      </c>
    </row>
    <row r="175" customFormat="false" ht="12.75" hidden="false" customHeight="false" outlineLevel="0" collapsed="false">
      <c r="B175" s="2" t="s">
        <v>1620</v>
      </c>
      <c r="C175" s="2" t="s">
        <v>639</v>
      </c>
      <c r="D175" s="2" t="s">
        <v>349</v>
      </c>
      <c r="E175" s="2" t="n">
        <v>194309</v>
      </c>
      <c r="F175" s="15" t="n">
        <v>43895</v>
      </c>
      <c r="G175" s="15" t="n">
        <v>43900</v>
      </c>
      <c r="H175" s="3" t="n">
        <v>5</v>
      </c>
      <c r="I175" s="3" t="n">
        <v>2</v>
      </c>
      <c r="J175" s="3" t="n">
        <v>55</v>
      </c>
      <c r="K175" s="3" t="n">
        <v>1</v>
      </c>
      <c r="L175" s="3" t="n">
        <v>1</v>
      </c>
      <c r="M175" s="3" t="n">
        <v>1</v>
      </c>
      <c r="N175" s="3" t="n">
        <v>2</v>
      </c>
      <c r="O175" s="3" t="n">
        <v>2</v>
      </c>
      <c r="P175" s="3" t="n">
        <v>2</v>
      </c>
      <c r="Q175" s="3" t="n">
        <v>2</v>
      </c>
      <c r="R175" s="3" t="n">
        <v>2</v>
      </c>
      <c r="S175" s="3" t="n">
        <v>1</v>
      </c>
      <c r="T175" s="4" t="n">
        <v>2</v>
      </c>
      <c r="U175" s="3" t="n">
        <v>2</v>
      </c>
      <c r="V175" s="3" t="n">
        <v>4.44</v>
      </c>
      <c r="W175" s="3" t="n">
        <v>1.66</v>
      </c>
      <c r="X175" s="3" t="n">
        <v>7.44</v>
      </c>
      <c r="Y175" s="3" t="n">
        <v>440</v>
      </c>
      <c r="AA175" s="3" t="n">
        <v>0.55</v>
      </c>
      <c r="AB175" s="3" t="n">
        <v>10.3</v>
      </c>
      <c r="AC175" s="3" t="n">
        <v>2</v>
      </c>
      <c r="AD175" s="3" t="n">
        <v>1</v>
      </c>
      <c r="AE175" s="3" t="n">
        <v>1</v>
      </c>
      <c r="AF175" s="3" t="n">
        <v>1</v>
      </c>
      <c r="AG175" s="3" t="n">
        <v>2</v>
      </c>
      <c r="AH175" s="3" t="n">
        <v>2</v>
      </c>
      <c r="AI175" s="3" t="n">
        <v>1</v>
      </c>
      <c r="AJ175" s="3" t="n">
        <v>1</v>
      </c>
      <c r="AK175" s="3" t="n">
        <v>2</v>
      </c>
      <c r="AL175" s="3" t="n">
        <v>2</v>
      </c>
      <c r="AM175" s="3" t="n">
        <v>1</v>
      </c>
      <c r="AN175" s="3" t="n">
        <v>2</v>
      </c>
      <c r="AO175" s="3" t="n">
        <v>2</v>
      </c>
      <c r="AP175" s="3" t="n">
        <v>3</v>
      </c>
      <c r="AQ175" s="3" t="n">
        <v>4</v>
      </c>
      <c r="AR175" s="3" t="n">
        <v>4</v>
      </c>
      <c r="AS175" s="3" t="n">
        <v>6</v>
      </c>
      <c r="AT175" s="3" t="n">
        <v>4</v>
      </c>
      <c r="AU175" s="3" t="n">
        <v>4</v>
      </c>
      <c r="AV175" s="3" t="n">
        <v>6</v>
      </c>
      <c r="AW175" s="3" t="n">
        <v>6</v>
      </c>
      <c r="AX175" s="3" t="n">
        <v>3</v>
      </c>
      <c r="AY175" s="3" t="n">
        <v>3</v>
      </c>
      <c r="AZ175" s="3" t="n">
        <v>1</v>
      </c>
      <c r="BA175" s="5" t="n">
        <v>1</v>
      </c>
      <c r="BB175" s="3" t="n">
        <v>1</v>
      </c>
      <c r="BC175" s="3" t="n">
        <v>1</v>
      </c>
      <c r="BD175" s="3" t="n">
        <v>2</v>
      </c>
      <c r="BE175" s="3" t="n">
        <v>3</v>
      </c>
      <c r="BF175" s="3" t="n">
        <v>5</v>
      </c>
      <c r="BG175" s="3" t="n">
        <v>3</v>
      </c>
      <c r="BH175" s="3" t="n">
        <v>4</v>
      </c>
      <c r="BI175" s="3" t="n">
        <v>1</v>
      </c>
      <c r="BJ175" s="3" t="n">
        <v>1</v>
      </c>
    </row>
    <row r="176" customFormat="false" ht="12.75" hidden="false" customHeight="false" outlineLevel="0" collapsed="false">
      <c r="B176" s="2" t="s">
        <v>85</v>
      </c>
      <c r="C176" s="2" t="s">
        <v>94</v>
      </c>
      <c r="D176" s="2" t="s">
        <v>549</v>
      </c>
      <c r="E176" s="2" t="n">
        <v>194359</v>
      </c>
      <c r="F176" s="15" t="n">
        <v>43898</v>
      </c>
      <c r="G176" s="15" t="n">
        <v>43904</v>
      </c>
      <c r="H176" s="3" t="n">
        <v>6</v>
      </c>
      <c r="I176" s="3" t="n">
        <v>1</v>
      </c>
      <c r="J176" s="3" t="n">
        <v>72</v>
      </c>
      <c r="K176" s="3" t="n">
        <v>1</v>
      </c>
      <c r="L176" s="3" t="n">
        <v>1</v>
      </c>
      <c r="M176" s="3" t="n">
        <v>2</v>
      </c>
      <c r="N176" s="3" t="n">
        <v>2</v>
      </c>
      <c r="O176" s="3" t="n">
        <v>2</v>
      </c>
      <c r="P176" s="3" t="n">
        <v>2</v>
      </c>
      <c r="Q176" s="3" t="n">
        <v>2</v>
      </c>
      <c r="R176" s="3" t="n">
        <v>2</v>
      </c>
      <c r="S176" s="3" t="n">
        <v>2</v>
      </c>
      <c r="T176" s="4" t="n">
        <v>2</v>
      </c>
      <c r="U176" s="3" t="n">
        <v>2</v>
      </c>
      <c r="V176" s="3" t="n">
        <v>6.22</v>
      </c>
      <c r="W176" s="3" t="n">
        <v>2.22</v>
      </c>
      <c r="X176" s="3" t="n">
        <v>5.4</v>
      </c>
      <c r="Y176" s="3" t="n">
        <v>416</v>
      </c>
      <c r="AA176" s="3" t="n">
        <v>0.39</v>
      </c>
      <c r="AB176" s="3" t="n">
        <v>10.9</v>
      </c>
      <c r="AC176" s="3" t="n">
        <v>1</v>
      </c>
      <c r="AD176" s="3" t="n">
        <v>2</v>
      </c>
      <c r="AE176" s="3" t="n">
        <v>1</v>
      </c>
      <c r="AF176" s="3" t="n">
        <v>1</v>
      </c>
      <c r="AG176" s="3" t="n">
        <v>2</v>
      </c>
      <c r="AH176" s="3" t="n">
        <v>2</v>
      </c>
      <c r="AI176" s="3" t="n">
        <v>1</v>
      </c>
      <c r="AJ176" s="3" t="n">
        <v>2</v>
      </c>
      <c r="AK176" s="3" t="n">
        <v>2</v>
      </c>
      <c r="AL176" s="3" t="n">
        <v>2</v>
      </c>
      <c r="AM176" s="3" t="n">
        <v>2</v>
      </c>
      <c r="AN176" s="3" t="n">
        <v>2</v>
      </c>
      <c r="AO176" s="3" t="n">
        <v>2</v>
      </c>
      <c r="AP176" s="3" t="n">
        <v>3</v>
      </c>
      <c r="AQ176" s="3" t="n">
        <v>4</v>
      </c>
      <c r="AR176" s="3" t="n">
        <v>4</v>
      </c>
      <c r="AS176" s="3" t="n">
        <v>6</v>
      </c>
      <c r="AT176" s="3" t="n">
        <v>4</v>
      </c>
      <c r="AU176" s="3" t="n">
        <v>4</v>
      </c>
      <c r="AV176" s="3" t="n">
        <v>6</v>
      </c>
      <c r="AW176" s="3" t="n">
        <v>6</v>
      </c>
      <c r="AX176" s="3" t="n">
        <v>3</v>
      </c>
      <c r="AY176" s="3" t="n">
        <v>3</v>
      </c>
      <c r="AZ176" s="3" t="n">
        <v>1</v>
      </c>
      <c r="BA176" s="5" t="n">
        <v>1</v>
      </c>
      <c r="BB176" s="3" t="n">
        <v>1</v>
      </c>
      <c r="BC176" s="3" t="n">
        <v>1</v>
      </c>
      <c r="BD176" s="3" t="n">
        <v>4</v>
      </c>
      <c r="BE176" s="3" t="n">
        <v>1</v>
      </c>
      <c r="BF176" s="3" t="n">
        <v>2</v>
      </c>
      <c r="BG176" s="3" t="n">
        <v>1</v>
      </c>
      <c r="BH176" s="3" t="n">
        <v>4</v>
      </c>
      <c r="BI176" s="3" t="n">
        <v>1</v>
      </c>
      <c r="BJ176" s="3" t="n">
        <v>1</v>
      </c>
    </row>
    <row r="177" customFormat="false" ht="12.75" hidden="false" customHeight="false" outlineLevel="0" collapsed="false">
      <c r="B177" s="2" t="s">
        <v>2079</v>
      </c>
      <c r="C177" s="2" t="s">
        <v>153</v>
      </c>
      <c r="D177" s="2" t="s">
        <v>382</v>
      </c>
      <c r="E177" s="2" t="n">
        <v>196306</v>
      </c>
      <c r="F177" s="15" t="n">
        <v>43915</v>
      </c>
      <c r="G177" s="15" t="n">
        <v>43922</v>
      </c>
      <c r="H177" s="3" t="n">
        <v>7</v>
      </c>
      <c r="I177" s="3" t="n">
        <v>2</v>
      </c>
      <c r="J177" s="3" t="n">
        <v>50</v>
      </c>
      <c r="K177" s="3" t="n">
        <v>2</v>
      </c>
      <c r="L177" s="3" t="n">
        <v>1</v>
      </c>
      <c r="M177" s="3" t="n">
        <v>1</v>
      </c>
      <c r="N177" s="3" t="n">
        <v>2</v>
      </c>
      <c r="O177" s="3" t="n">
        <v>2</v>
      </c>
      <c r="P177" s="3" t="n">
        <v>2</v>
      </c>
      <c r="Q177" s="3" t="n">
        <v>2</v>
      </c>
      <c r="R177" s="3" t="n">
        <v>2</v>
      </c>
      <c r="S177" s="3" t="n">
        <v>2</v>
      </c>
      <c r="T177" s="4" t="n">
        <v>2</v>
      </c>
      <c r="U177" s="3" t="n">
        <v>2</v>
      </c>
      <c r="V177" s="3" t="n">
        <v>5.51</v>
      </c>
      <c r="W177" s="3" t="s">
        <v>3404</v>
      </c>
      <c r="X177" s="3" t="n">
        <v>8.4</v>
      </c>
      <c r="Y177" s="3" t="n">
        <v>377</v>
      </c>
      <c r="AA177" s="3" t="n">
        <v>12.04</v>
      </c>
      <c r="AB177" s="3" t="n">
        <v>12.04</v>
      </c>
      <c r="AC177" s="3" t="n">
        <v>2</v>
      </c>
      <c r="AD177" s="3" t="n">
        <v>2</v>
      </c>
      <c r="AE177" s="3" t="n">
        <v>1</v>
      </c>
      <c r="AF177" s="3" t="n">
        <v>1</v>
      </c>
      <c r="AG177" s="3" t="n">
        <v>1</v>
      </c>
      <c r="AH177" s="3" t="n">
        <v>2</v>
      </c>
      <c r="AI177" s="3" t="n">
        <v>1</v>
      </c>
      <c r="AJ177" s="3" t="n">
        <v>2</v>
      </c>
      <c r="AK177" s="3" t="n">
        <v>2</v>
      </c>
      <c r="AL177" s="3" t="n">
        <v>2</v>
      </c>
      <c r="AM177" s="3" t="n">
        <v>2</v>
      </c>
      <c r="AN177" s="3" t="n">
        <v>2</v>
      </c>
      <c r="AO177" s="3" t="n">
        <v>2</v>
      </c>
      <c r="AP177" s="3" t="n">
        <v>3</v>
      </c>
      <c r="AQ177" s="3" t="n">
        <v>4</v>
      </c>
      <c r="AR177" s="3" t="n">
        <v>4</v>
      </c>
      <c r="AS177" s="3" t="n">
        <v>6</v>
      </c>
      <c r="AT177" s="3" t="n">
        <v>4</v>
      </c>
      <c r="AU177" s="3" t="n">
        <v>4</v>
      </c>
      <c r="AV177" s="3" t="n">
        <v>6</v>
      </c>
      <c r="AW177" s="3" t="n">
        <v>6</v>
      </c>
      <c r="AX177" s="3" t="n">
        <v>3</v>
      </c>
      <c r="AY177" s="3" t="n">
        <v>3</v>
      </c>
      <c r="AZ177" s="3" t="n">
        <v>9</v>
      </c>
      <c r="BA177" s="5" t="n">
        <v>1</v>
      </c>
      <c r="BB177" s="3" t="n">
        <v>1</v>
      </c>
      <c r="BC177" s="3" t="n">
        <v>1</v>
      </c>
      <c r="BD177" s="3" t="n">
        <v>2</v>
      </c>
      <c r="BE177" s="3" t="n">
        <v>1</v>
      </c>
      <c r="BF177" s="3" t="n">
        <v>2</v>
      </c>
      <c r="BG177" s="3" t="n">
        <v>1</v>
      </c>
      <c r="BH177" s="3" t="n">
        <v>4</v>
      </c>
      <c r="BI177" s="3" t="n">
        <v>1</v>
      </c>
      <c r="BJ177" s="3" t="n">
        <v>1</v>
      </c>
    </row>
    <row r="178" customFormat="false" ht="12.75" hidden="false" customHeight="false" outlineLevel="0" collapsed="false">
      <c r="B178" s="2" t="s">
        <v>147</v>
      </c>
      <c r="C178" s="2" t="s">
        <v>2081</v>
      </c>
      <c r="D178" s="2" t="s">
        <v>78</v>
      </c>
      <c r="E178" s="2" t="n">
        <v>196345</v>
      </c>
      <c r="F178" s="15" t="n">
        <v>43917</v>
      </c>
      <c r="G178" s="15" t="n">
        <v>43924</v>
      </c>
      <c r="H178" s="3" t="n">
        <v>7</v>
      </c>
      <c r="I178" s="3" t="n">
        <v>2</v>
      </c>
      <c r="J178" s="3" t="n">
        <v>60</v>
      </c>
      <c r="K178" s="3" t="n">
        <v>1</v>
      </c>
      <c r="L178" s="3" t="n">
        <v>1</v>
      </c>
      <c r="M178" s="3" t="n">
        <v>2</v>
      </c>
      <c r="N178" s="3" t="n">
        <v>2</v>
      </c>
      <c r="O178" s="3" t="n">
        <v>2</v>
      </c>
      <c r="P178" s="3" t="n">
        <v>2</v>
      </c>
      <c r="Q178" s="3" t="n">
        <v>2</v>
      </c>
      <c r="R178" s="3" t="n">
        <v>2</v>
      </c>
      <c r="S178" s="3" t="n">
        <v>2</v>
      </c>
      <c r="T178" s="4" t="n">
        <v>2</v>
      </c>
      <c r="U178" s="3" t="n">
        <v>2</v>
      </c>
      <c r="V178" s="3" t="n">
        <v>4.16</v>
      </c>
      <c r="W178" s="3" t="n">
        <v>1.73</v>
      </c>
      <c r="X178" s="3" t="n">
        <v>5.6</v>
      </c>
      <c r="Y178" s="3" t="n">
        <v>402</v>
      </c>
      <c r="AA178" s="3" t="n">
        <v>0.48</v>
      </c>
      <c r="AB178" s="3" t="n">
        <v>12</v>
      </c>
      <c r="AC178" s="3" t="n">
        <v>2</v>
      </c>
      <c r="AD178" s="3" t="n">
        <v>2</v>
      </c>
      <c r="AE178" s="3" t="n">
        <v>1</v>
      </c>
      <c r="AF178" s="3" t="n">
        <v>1</v>
      </c>
      <c r="AG178" s="3" t="n">
        <v>2</v>
      </c>
      <c r="AH178" s="3" t="n">
        <v>2</v>
      </c>
      <c r="AI178" s="3" t="n">
        <v>1</v>
      </c>
      <c r="AJ178" s="3" t="n">
        <v>2</v>
      </c>
      <c r="AK178" s="3" t="n">
        <v>2</v>
      </c>
      <c r="AL178" s="3" t="n">
        <v>2</v>
      </c>
      <c r="AM178" s="3" t="n">
        <v>2</v>
      </c>
      <c r="AN178" s="3" t="n">
        <v>2</v>
      </c>
      <c r="AO178" s="3" t="n">
        <v>2</v>
      </c>
      <c r="AP178" s="3" t="n">
        <v>3</v>
      </c>
      <c r="AQ178" s="3" t="n">
        <v>4</v>
      </c>
      <c r="AR178" s="3" t="n">
        <v>4</v>
      </c>
      <c r="AS178" s="3" t="n">
        <v>6</v>
      </c>
      <c r="AT178" s="3" t="n">
        <v>4</v>
      </c>
      <c r="AU178" s="3" t="n">
        <v>4</v>
      </c>
      <c r="AV178" s="3" t="n">
        <v>6</v>
      </c>
      <c r="AW178" s="3" t="n">
        <v>6</v>
      </c>
      <c r="AX178" s="3" t="n">
        <v>3</v>
      </c>
      <c r="AY178" s="3" t="n">
        <v>3</v>
      </c>
      <c r="AZ178" s="3" t="n">
        <v>1</v>
      </c>
      <c r="BA178" s="5" t="n">
        <v>1</v>
      </c>
      <c r="BB178" s="3" t="n">
        <v>1</v>
      </c>
      <c r="BC178" s="3" t="n">
        <v>1</v>
      </c>
      <c r="BD178" s="3" t="n">
        <v>2</v>
      </c>
      <c r="BE178" s="3" t="n">
        <v>1</v>
      </c>
      <c r="BF178" s="3" t="n">
        <v>2</v>
      </c>
      <c r="BG178" s="3" t="n">
        <v>1</v>
      </c>
      <c r="BH178" s="3" t="n">
        <v>4</v>
      </c>
      <c r="BI178" s="3" t="n">
        <v>1</v>
      </c>
      <c r="BJ178" s="3" t="n">
        <v>1</v>
      </c>
    </row>
    <row r="179" customFormat="false" ht="12.75" hidden="false" customHeight="false" outlineLevel="0" collapsed="false">
      <c r="B179" s="2" t="s">
        <v>912</v>
      </c>
      <c r="C179" s="2" t="s">
        <v>2083</v>
      </c>
      <c r="D179" s="2" t="s">
        <v>433</v>
      </c>
      <c r="E179" s="2" t="n">
        <v>195963</v>
      </c>
      <c r="F179" s="15" t="n">
        <v>43920</v>
      </c>
      <c r="G179" s="15" t="n">
        <v>43927</v>
      </c>
      <c r="H179" s="3" t="n">
        <v>7</v>
      </c>
      <c r="I179" s="3" t="n">
        <v>2</v>
      </c>
      <c r="J179" s="3" t="n">
        <v>46</v>
      </c>
      <c r="K179" s="3" t="n">
        <v>1</v>
      </c>
      <c r="L179" s="3" t="n">
        <v>1</v>
      </c>
      <c r="M179" s="3" t="n">
        <v>2</v>
      </c>
      <c r="N179" s="3" t="n">
        <v>2</v>
      </c>
      <c r="O179" s="3" t="n">
        <v>2</v>
      </c>
      <c r="P179" s="3" t="n">
        <v>2</v>
      </c>
      <c r="Q179" s="3" t="n">
        <v>2</v>
      </c>
      <c r="R179" s="3" t="n">
        <v>2</v>
      </c>
      <c r="S179" s="3" t="n">
        <v>2</v>
      </c>
      <c r="T179" s="4" t="n">
        <v>2</v>
      </c>
      <c r="U179" s="3" t="n">
        <v>2</v>
      </c>
      <c r="V179" s="3" t="n">
        <v>5.07</v>
      </c>
      <c r="W179" s="3" t="n">
        <v>0.96</v>
      </c>
      <c r="X179" s="3" t="n">
        <v>10.99</v>
      </c>
      <c r="Y179" s="3" t="n">
        <v>530</v>
      </c>
      <c r="AA179" s="3" t="n">
        <v>0.42</v>
      </c>
      <c r="AB179" s="3" t="n">
        <v>13.2</v>
      </c>
      <c r="AC179" s="3" t="n">
        <v>2</v>
      </c>
      <c r="AD179" s="3" t="n">
        <v>2</v>
      </c>
      <c r="AE179" s="3" t="n">
        <v>1</v>
      </c>
      <c r="AF179" s="3" t="n">
        <v>1</v>
      </c>
      <c r="AG179" s="3" t="n">
        <v>2</v>
      </c>
      <c r="AH179" s="3" t="n">
        <v>2</v>
      </c>
      <c r="AI179" s="3" t="n">
        <v>1</v>
      </c>
      <c r="AJ179" s="3" t="n">
        <v>2</v>
      </c>
      <c r="AK179" s="3" t="n">
        <v>2</v>
      </c>
      <c r="AL179" s="3" t="n">
        <v>2</v>
      </c>
      <c r="AM179" s="3" t="n">
        <v>1</v>
      </c>
      <c r="AN179" s="3" t="n">
        <v>2</v>
      </c>
      <c r="AO179" s="3" t="n">
        <v>2</v>
      </c>
      <c r="AP179" s="3" t="n">
        <v>3</v>
      </c>
      <c r="AQ179" s="3" t="n">
        <v>4</v>
      </c>
      <c r="AR179" s="3" t="n">
        <v>4</v>
      </c>
      <c r="AS179" s="3" t="n">
        <v>6</v>
      </c>
      <c r="AT179" s="3" t="n">
        <v>4</v>
      </c>
      <c r="AU179" s="3" t="n">
        <v>4</v>
      </c>
      <c r="AV179" s="3" t="n">
        <v>6</v>
      </c>
      <c r="AW179" s="3" t="n">
        <v>6</v>
      </c>
      <c r="AX179" s="3" t="n">
        <v>3</v>
      </c>
      <c r="AY179" s="3" t="n">
        <v>3</v>
      </c>
      <c r="AZ179" s="3" t="n">
        <v>16</v>
      </c>
      <c r="BA179" s="5" t="n">
        <v>1</v>
      </c>
      <c r="BB179" s="3" t="n">
        <v>1</v>
      </c>
      <c r="BC179" s="3" t="n">
        <v>1</v>
      </c>
      <c r="BD179" s="3" t="n">
        <v>4</v>
      </c>
      <c r="BE179" s="3" t="n">
        <v>1</v>
      </c>
      <c r="BF179" s="3" t="n">
        <v>2</v>
      </c>
      <c r="BG179" s="3" t="n">
        <v>1</v>
      </c>
      <c r="BH179" s="3" t="n">
        <v>4</v>
      </c>
      <c r="BI179" s="3" t="n">
        <v>1</v>
      </c>
      <c r="BJ179" s="3" t="n">
        <v>1</v>
      </c>
    </row>
    <row r="180" customFormat="false" ht="12.75" hidden="false" customHeight="false" outlineLevel="0" collapsed="false">
      <c r="B180" s="2" t="s">
        <v>2089</v>
      </c>
      <c r="C180" s="2" t="s">
        <v>2090</v>
      </c>
      <c r="D180" s="2" t="s">
        <v>385</v>
      </c>
      <c r="E180" s="2" t="n">
        <v>195968</v>
      </c>
      <c r="F180" s="15" t="n">
        <v>43920</v>
      </c>
      <c r="G180" s="15" t="n">
        <v>43928</v>
      </c>
      <c r="H180" s="3" t="n">
        <v>7</v>
      </c>
      <c r="I180" s="3" t="n">
        <v>2</v>
      </c>
      <c r="J180" s="3" t="n">
        <v>45</v>
      </c>
      <c r="K180" s="3" t="n">
        <v>2</v>
      </c>
      <c r="L180" s="3" t="n">
        <v>1</v>
      </c>
      <c r="M180" s="3" t="n">
        <v>1</v>
      </c>
      <c r="N180" s="3" t="n">
        <v>2</v>
      </c>
      <c r="O180" s="3" t="n">
        <v>2</v>
      </c>
      <c r="P180" s="3" t="n">
        <v>1</v>
      </c>
      <c r="Q180" s="3" t="n">
        <v>1</v>
      </c>
      <c r="R180" s="3" t="n">
        <v>2</v>
      </c>
      <c r="S180" s="3" t="n">
        <v>2</v>
      </c>
      <c r="T180" s="4" t="n">
        <v>2</v>
      </c>
      <c r="U180" s="3" t="n">
        <v>2</v>
      </c>
      <c r="V180" s="3" t="n">
        <v>4.34</v>
      </c>
      <c r="W180" s="3" t="n">
        <v>1.58</v>
      </c>
      <c r="X180" s="3" t="n">
        <v>7.78</v>
      </c>
      <c r="Y180" s="3" t="n">
        <v>293</v>
      </c>
      <c r="AA180" s="3" t="n">
        <v>0.32</v>
      </c>
      <c r="AB180" s="3" t="n">
        <v>15.5</v>
      </c>
      <c r="AC180" s="3" t="n">
        <v>1</v>
      </c>
      <c r="AD180" s="3" t="n">
        <v>2</v>
      </c>
      <c r="AE180" s="3" t="n">
        <v>1</v>
      </c>
      <c r="AF180" s="3" t="n">
        <v>1</v>
      </c>
      <c r="AG180" s="3" t="n">
        <v>1</v>
      </c>
      <c r="AH180" s="3" t="n">
        <v>2</v>
      </c>
      <c r="AI180" s="3" t="n">
        <v>1</v>
      </c>
      <c r="AJ180" s="3" t="n">
        <v>2</v>
      </c>
      <c r="AK180" s="3" t="n">
        <v>2</v>
      </c>
      <c r="AL180" s="3" t="n">
        <v>2</v>
      </c>
      <c r="AM180" s="3" t="n">
        <v>1</v>
      </c>
      <c r="AN180" s="3" t="n">
        <v>2</v>
      </c>
      <c r="AO180" s="3" t="n">
        <v>2</v>
      </c>
      <c r="AP180" s="3" t="n">
        <v>3</v>
      </c>
      <c r="AQ180" s="3" t="n">
        <v>4</v>
      </c>
      <c r="AR180" s="3" t="n">
        <v>4</v>
      </c>
      <c r="AS180" s="3" t="n">
        <v>6</v>
      </c>
      <c r="AT180" s="3" t="n">
        <v>4</v>
      </c>
      <c r="AU180" s="3" t="n">
        <v>4</v>
      </c>
      <c r="AV180" s="3" t="n">
        <v>6</v>
      </c>
      <c r="AW180" s="3" t="n">
        <v>6</v>
      </c>
      <c r="AX180" s="3" t="n">
        <v>3</v>
      </c>
      <c r="AY180" s="3" t="n">
        <v>3</v>
      </c>
      <c r="AZ180" s="3" t="n">
        <v>1</v>
      </c>
      <c r="BA180" s="5" t="n">
        <v>1</v>
      </c>
      <c r="BB180" s="3" t="n">
        <v>1</v>
      </c>
      <c r="BC180" s="3" t="n">
        <v>1</v>
      </c>
      <c r="BD180" s="3" t="n">
        <v>4</v>
      </c>
      <c r="BE180" s="3" t="n">
        <v>1</v>
      </c>
      <c r="BF180" s="3" t="n">
        <v>2</v>
      </c>
      <c r="BG180" s="3" t="n">
        <v>1</v>
      </c>
      <c r="BH180" s="3" t="n">
        <v>4</v>
      </c>
      <c r="BI180" s="3" t="n">
        <v>1</v>
      </c>
      <c r="BJ180" s="3" t="n">
        <v>1</v>
      </c>
    </row>
    <row r="181" customFormat="false" ht="12.75" hidden="false" customHeight="false" outlineLevel="0" collapsed="false">
      <c r="B181" s="26" t="s">
        <v>2095</v>
      </c>
      <c r="C181" s="26" t="s">
        <v>361</v>
      </c>
      <c r="D181" s="26" t="s">
        <v>301</v>
      </c>
      <c r="E181" s="26" t="n">
        <v>196670</v>
      </c>
      <c r="F181" s="27" t="n">
        <v>43929</v>
      </c>
      <c r="G181" s="27" t="n">
        <v>43931</v>
      </c>
      <c r="H181" s="30" t="n">
        <v>2</v>
      </c>
      <c r="I181" s="30" t="n">
        <v>2</v>
      </c>
      <c r="J181" s="30" t="n">
        <v>92</v>
      </c>
      <c r="K181" s="30" t="n">
        <v>1</v>
      </c>
      <c r="L181" s="30" t="n">
        <v>2</v>
      </c>
      <c r="M181" s="30" t="n">
        <v>1</v>
      </c>
      <c r="N181" s="30" t="n">
        <v>2</v>
      </c>
      <c r="O181" s="30" t="n">
        <v>2</v>
      </c>
      <c r="P181" s="30" t="n">
        <v>2</v>
      </c>
      <c r="Q181" s="30" t="n">
        <v>2</v>
      </c>
      <c r="R181" s="30" t="n">
        <v>2</v>
      </c>
      <c r="S181" s="30" t="n">
        <v>1</v>
      </c>
      <c r="T181" s="4" t="n">
        <v>2</v>
      </c>
      <c r="U181" s="30" t="n">
        <v>2</v>
      </c>
      <c r="V181" s="30"/>
      <c r="W181" s="30"/>
      <c r="X181" s="30"/>
      <c r="Y181" s="30"/>
      <c r="AA181" s="30"/>
      <c r="AB181" s="30"/>
      <c r="AC181" s="30" t="n">
        <v>3</v>
      </c>
      <c r="AD181" s="30" t="n">
        <v>2</v>
      </c>
      <c r="AE181" s="30" t="n">
        <v>1</v>
      </c>
      <c r="AF181" s="30" t="n">
        <v>1</v>
      </c>
      <c r="AG181" s="30" t="n">
        <v>2</v>
      </c>
      <c r="AH181" s="30" t="n">
        <v>2</v>
      </c>
      <c r="AI181" s="30" t="n">
        <v>1</v>
      </c>
      <c r="AJ181" s="30" t="n">
        <v>1</v>
      </c>
      <c r="AK181" s="30" t="n">
        <v>1</v>
      </c>
      <c r="AL181" s="30" t="n">
        <v>2</v>
      </c>
      <c r="AM181" s="30" t="n">
        <v>1</v>
      </c>
      <c r="AN181" s="30" t="n">
        <v>2</v>
      </c>
      <c r="AO181" s="30" t="n">
        <v>2</v>
      </c>
      <c r="AP181" s="30" t="n">
        <v>3</v>
      </c>
      <c r="AQ181" s="30" t="n">
        <v>4</v>
      </c>
      <c r="AR181" s="30" t="n">
        <v>4</v>
      </c>
      <c r="AS181" s="30" t="n">
        <v>6</v>
      </c>
      <c r="AT181" s="30" t="n">
        <v>4</v>
      </c>
      <c r="AU181" s="30" t="n">
        <v>4</v>
      </c>
      <c r="AV181" s="30" t="n">
        <v>6</v>
      </c>
      <c r="AW181" s="30" t="n">
        <v>6</v>
      </c>
      <c r="AX181" s="30" t="n">
        <v>3</v>
      </c>
      <c r="AY181" s="30" t="n">
        <v>3</v>
      </c>
      <c r="AZ181" s="30" t="n">
        <v>5</v>
      </c>
      <c r="BA181" s="5" t="n">
        <v>1</v>
      </c>
      <c r="BB181" s="30" t="n">
        <v>1</v>
      </c>
      <c r="BC181" s="30" t="n">
        <v>2</v>
      </c>
      <c r="BD181" s="30" t="n">
        <v>4</v>
      </c>
      <c r="BE181" s="30" t="n">
        <v>3</v>
      </c>
      <c r="BF181" s="30" t="n">
        <v>5</v>
      </c>
      <c r="BG181" s="30" t="n">
        <v>3</v>
      </c>
      <c r="BH181" s="30" t="n">
        <v>4</v>
      </c>
      <c r="BI181" s="30" t="n">
        <v>1</v>
      </c>
      <c r="BJ181" s="30" t="n">
        <v>1</v>
      </c>
    </row>
    <row r="182" customFormat="false" ht="12.75" hidden="false" customHeight="false" outlineLevel="0" collapsed="false">
      <c r="B182" s="2" t="s">
        <v>456</v>
      </c>
      <c r="C182" s="2" t="s">
        <v>78</v>
      </c>
      <c r="D182" s="2" t="s">
        <v>410</v>
      </c>
      <c r="E182" s="2" t="n">
        <v>196688</v>
      </c>
      <c r="F182" s="15" t="n">
        <v>43927</v>
      </c>
      <c r="G182" s="15" t="n">
        <v>43934</v>
      </c>
      <c r="H182" s="3" t="n">
        <v>7</v>
      </c>
      <c r="I182" s="3" t="n">
        <v>2</v>
      </c>
      <c r="J182" s="3" t="n">
        <v>61</v>
      </c>
      <c r="K182" s="3" t="n">
        <v>2</v>
      </c>
      <c r="L182" s="3" t="n">
        <v>2</v>
      </c>
      <c r="M182" s="3" t="n">
        <v>1</v>
      </c>
      <c r="N182" s="3" t="n">
        <v>1</v>
      </c>
      <c r="O182" s="3" t="n">
        <v>2</v>
      </c>
      <c r="P182" s="3" t="n">
        <v>2</v>
      </c>
      <c r="Q182" s="3" t="n">
        <v>2</v>
      </c>
      <c r="R182" s="3" t="n">
        <v>2</v>
      </c>
      <c r="S182" s="3" t="n">
        <v>1</v>
      </c>
      <c r="T182" s="4" t="n">
        <v>2</v>
      </c>
      <c r="U182" s="3" t="n">
        <v>2</v>
      </c>
      <c r="V182" s="3" t="n">
        <v>6.77</v>
      </c>
      <c r="W182" s="3" t="n">
        <v>2.76</v>
      </c>
      <c r="X182" s="3" t="n">
        <v>10.91</v>
      </c>
      <c r="Y182" s="3" t="n">
        <v>529</v>
      </c>
      <c r="AA182" s="3" t="n">
        <v>0.52</v>
      </c>
      <c r="AB182" s="3" t="n">
        <v>10.2</v>
      </c>
      <c r="AC182" s="3" t="n">
        <v>1</v>
      </c>
      <c r="AD182" s="3" t="n">
        <v>2</v>
      </c>
      <c r="AE182" s="3" t="n">
        <v>1</v>
      </c>
      <c r="AF182" s="3" t="n">
        <v>1</v>
      </c>
      <c r="AG182" s="3" t="n">
        <v>2</v>
      </c>
      <c r="AH182" s="3" t="n">
        <v>2</v>
      </c>
      <c r="AI182" s="3" t="n">
        <v>2</v>
      </c>
      <c r="AJ182" s="3" t="n">
        <v>1</v>
      </c>
      <c r="AK182" s="3" t="n">
        <v>2</v>
      </c>
      <c r="AL182" s="3" t="n">
        <v>2</v>
      </c>
      <c r="AM182" s="3" t="n">
        <v>2</v>
      </c>
      <c r="AN182" s="3" t="n">
        <v>2</v>
      </c>
      <c r="AO182" s="3" t="n">
        <v>2</v>
      </c>
      <c r="AP182" s="3" t="n">
        <v>3</v>
      </c>
      <c r="AQ182" s="3" t="n">
        <v>4</v>
      </c>
      <c r="AR182" s="3" t="n">
        <v>4</v>
      </c>
      <c r="AS182" s="3" t="n">
        <v>6</v>
      </c>
      <c r="AT182" s="3" t="n">
        <v>4</v>
      </c>
      <c r="AU182" s="3" t="n">
        <v>4</v>
      </c>
      <c r="AV182" s="3" t="n">
        <v>6</v>
      </c>
      <c r="AW182" s="3" t="n">
        <v>6</v>
      </c>
      <c r="AX182" s="3" t="n">
        <v>3</v>
      </c>
      <c r="AY182" s="3" t="n">
        <v>3</v>
      </c>
      <c r="AZ182" s="3" t="n">
        <v>1</v>
      </c>
      <c r="BA182" s="5" t="n">
        <v>1</v>
      </c>
      <c r="BB182" s="3" t="n">
        <v>1</v>
      </c>
      <c r="BC182" s="3" t="n">
        <v>1</v>
      </c>
      <c r="BD182" s="3" t="n">
        <v>4</v>
      </c>
      <c r="BE182" s="3" t="n">
        <v>1</v>
      </c>
      <c r="BF182" s="3" t="n">
        <v>2</v>
      </c>
      <c r="BG182" s="3" t="n">
        <v>1</v>
      </c>
      <c r="BH182" s="3" t="n">
        <v>4</v>
      </c>
      <c r="BI182" s="3" t="n">
        <v>3</v>
      </c>
      <c r="BJ182" s="3" t="n">
        <v>1</v>
      </c>
    </row>
    <row r="183" customFormat="false" ht="12.75" hidden="false" customHeight="false" outlineLevel="0" collapsed="false">
      <c r="B183" s="2" t="s">
        <v>2100</v>
      </c>
      <c r="C183" s="2" t="s">
        <v>221</v>
      </c>
      <c r="D183" s="2" t="s">
        <v>433</v>
      </c>
      <c r="E183" s="2" t="n">
        <v>196251</v>
      </c>
      <c r="F183" s="15" t="n">
        <v>43933</v>
      </c>
      <c r="G183" s="15" t="n">
        <v>43939</v>
      </c>
      <c r="H183" s="3" t="n">
        <v>6</v>
      </c>
      <c r="I183" s="3" t="n">
        <v>1</v>
      </c>
      <c r="J183" s="3" t="n">
        <v>56</v>
      </c>
      <c r="K183" s="3" t="n">
        <v>1</v>
      </c>
      <c r="L183" s="3" t="n">
        <v>1</v>
      </c>
      <c r="M183" s="3" t="n">
        <v>1</v>
      </c>
      <c r="N183" s="3" t="n">
        <v>2</v>
      </c>
      <c r="O183" s="3" t="n">
        <v>2</v>
      </c>
      <c r="P183" s="3" t="n">
        <v>2</v>
      </c>
      <c r="Q183" s="3" t="n">
        <v>2</v>
      </c>
      <c r="R183" s="3" t="n">
        <v>2</v>
      </c>
      <c r="S183" s="3" t="n">
        <v>1</v>
      </c>
      <c r="T183" s="4" t="n">
        <v>2</v>
      </c>
      <c r="U183" s="3" t="n">
        <v>2</v>
      </c>
      <c r="V183" s="3" t="n">
        <v>4.34</v>
      </c>
      <c r="W183" s="3" t="n">
        <v>1.54</v>
      </c>
      <c r="X183" s="3" t="n">
        <v>6.83</v>
      </c>
      <c r="Y183" s="3"/>
      <c r="AA183" s="3" t="n">
        <v>0.5</v>
      </c>
      <c r="AB183" s="3" t="n">
        <v>11.2</v>
      </c>
      <c r="AC183" s="3" t="n">
        <v>2</v>
      </c>
      <c r="AD183" s="3" t="n">
        <v>2</v>
      </c>
      <c r="AE183" s="3" t="n">
        <v>1</v>
      </c>
      <c r="AF183" s="3" t="n">
        <v>1</v>
      </c>
      <c r="AG183" s="3" t="n">
        <v>2</v>
      </c>
      <c r="AH183" s="3" t="n">
        <v>2</v>
      </c>
      <c r="AI183" s="3" t="n">
        <v>1</v>
      </c>
      <c r="AJ183" s="3" t="n">
        <v>1</v>
      </c>
      <c r="AK183" s="3" t="n">
        <v>2</v>
      </c>
      <c r="AL183" s="3" t="n">
        <v>2</v>
      </c>
      <c r="AM183" s="3" t="n">
        <v>1</v>
      </c>
      <c r="AN183" s="3" t="n">
        <v>2</v>
      </c>
      <c r="AO183" s="3" t="n">
        <v>2</v>
      </c>
      <c r="AP183" s="3" t="n">
        <v>3</v>
      </c>
      <c r="AQ183" s="3" t="n">
        <v>4</v>
      </c>
      <c r="AR183" s="3" t="n">
        <v>4</v>
      </c>
      <c r="AS183" s="3" t="n">
        <v>6</v>
      </c>
      <c r="AT183" s="3" t="n">
        <v>4</v>
      </c>
      <c r="AU183" s="3" t="n">
        <v>4</v>
      </c>
      <c r="AV183" s="3" t="n">
        <v>6</v>
      </c>
      <c r="AW183" s="3" t="n">
        <v>6</v>
      </c>
      <c r="AX183" s="3" t="n">
        <v>3</v>
      </c>
      <c r="AY183" s="3" t="n">
        <v>3</v>
      </c>
      <c r="AZ183" s="3" t="n">
        <v>4</v>
      </c>
      <c r="BA183" s="5" t="n">
        <v>1</v>
      </c>
      <c r="BB183" s="3" t="n">
        <v>1</v>
      </c>
      <c r="BC183" s="3" t="n">
        <v>1</v>
      </c>
      <c r="BD183" s="3" t="n">
        <v>4</v>
      </c>
      <c r="BE183" s="3" t="n">
        <v>1</v>
      </c>
      <c r="BF183" s="3" t="n">
        <v>2</v>
      </c>
      <c r="BG183" s="3" t="n">
        <v>1</v>
      </c>
      <c r="BH183" s="3" t="n">
        <v>4</v>
      </c>
      <c r="BI183" s="3" t="n">
        <v>1</v>
      </c>
      <c r="BJ183" s="3" t="n">
        <v>1</v>
      </c>
    </row>
    <row r="184" customFormat="false" ht="12.75" hidden="false" customHeight="false" outlineLevel="0" collapsed="false">
      <c r="B184" s="2" t="s">
        <v>2102</v>
      </c>
      <c r="C184" s="2" t="s">
        <v>94</v>
      </c>
      <c r="D184" s="2" t="s">
        <v>608</v>
      </c>
      <c r="E184" s="2" t="n">
        <v>196246</v>
      </c>
      <c r="F184" s="15" t="n">
        <v>43932</v>
      </c>
      <c r="G184" s="15" t="n">
        <v>43938</v>
      </c>
      <c r="H184" s="3" t="n">
        <v>6</v>
      </c>
      <c r="I184" s="3" t="n">
        <v>2</v>
      </c>
      <c r="J184" s="3" t="n">
        <v>49</v>
      </c>
      <c r="K184" s="3" t="n">
        <v>1</v>
      </c>
      <c r="L184" s="3" t="n">
        <v>1</v>
      </c>
      <c r="M184" s="3" t="n">
        <v>1</v>
      </c>
      <c r="N184" s="3" t="n">
        <v>2</v>
      </c>
      <c r="O184" s="3" t="n">
        <v>2</v>
      </c>
      <c r="P184" s="3" t="n">
        <v>2</v>
      </c>
      <c r="Q184" s="3" t="n">
        <v>2</v>
      </c>
      <c r="R184" s="3" t="n">
        <v>2</v>
      </c>
      <c r="S184" s="3" t="n">
        <v>2</v>
      </c>
      <c r="T184" s="4" t="n">
        <v>2</v>
      </c>
      <c r="U184" s="3" t="n">
        <v>2</v>
      </c>
      <c r="V184" s="3" t="n">
        <v>5.76</v>
      </c>
      <c r="W184" s="3" t="n">
        <v>1.66</v>
      </c>
      <c r="X184" s="3" t="n">
        <v>5.41</v>
      </c>
      <c r="Y184" s="3" t="n">
        <v>455</v>
      </c>
      <c r="AA184" s="3" t="n">
        <v>0.5</v>
      </c>
      <c r="AB184" s="3" t="n">
        <v>13.1</v>
      </c>
      <c r="AC184" s="3" t="n">
        <v>1</v>
      </c>
      <c r="AD184" s="3" t="n">
        <v>2</v>
      </c>
      <c r="AE184" s="3" t="n">
        <v>1</v>
      </c>
      <c r="AF184" s="3" t="n">
        <v>1</v>
      </c>
      <c r="AG184" s="3" t="n">
        <v>2</v>
      </c>
      <c r="AH184" s="3" t="n">
        <v>2</v>
      </c>
      <c r="AI184" s="3" t="n">
        <v>1</v>
      </c>
      <c r="AJ184" s="3" t="n">
        <v>2</v>
      </c>
      <c r="AK184" s="3" t="n">
        <v>2</v>
      </c>
      <c r="AL184" s="3" t="n">
        <v>2</v>
      </c>
      <c r="AM184" s="3" t="n">
        <v>1</v>
      </c>
      <c r="AN184" s="3" t="n">
        <v>2</v>
      </c>
      <c r="AO184" s="3" t="n">
        <v>2</v>
      </c>
      <c r="AP184" s="3" t="n">
        <v>3</v>
      </c>
      <c r="AQ184" s="3" t="n">
        <v>4</v>
      </c>
      <c r="AR184" s="3" t="n">
        <v>4</v>
      </c>
      <c r="AS184" s="3" t="n">
        <v>6</v>
      </c>
      <c r="AT184" s="3" t="n">
        <v>4</v>
      </c>
      <c r="AU184" s="3" t="n">
        <v>4</v>
      </c>
      <c r="AV184" s="3" t="n">
        <v>6</v>
      </c>
      <c r="AW184" s="3" t="n">
        <v>6</v>
      </c>
      <c r="AX184" s="3" t="n">
        <v>3</v>
      </c>
      <c r="AY184" s="3" t="n">
        <v>3</v>
      </c>
      <c r="AZ184" s="3" t="n">
        <v>1</v>
      </c>
      <c r="BA184" s="5" t="n">
        <v>1</v>
      </c>
      <c r="BB184" s="3" t="n">
        <v>1</v>
      </c>
      <c r="BC184" s="3" t="n">
        <v>1</v>
      </c>
      <c r="BD184" s="3" t="n">
        <v>2</v>
      </c>
      <c r="BE184" s="3" t="n">
        <v>1</v>
      </c>
      <c r="BF184" s="3" t="n">
        <v>2</v>
      </c>
      <c r="BG184" s="3" t="n">
        <v>1</v>
      </c>
      <c r="BH184" s="3" t="n">
        <v>4</v>
      </c>
      <c r="BI184" s="3" t="n">
        <v>1</v>
      </c>
      <c r="BJ184" s="3" t="n">
        <v>1</v>
      </c>
    </row>
    <row r="185" customFormat="false" ht="12.75" hidden="false" customHeight="false" outlineLevel="0" collapsed="false">
      <c r="B185" s="2" t="s">
        <v>2104</v>
      </c>
      <c r="C185" s="2" t="s">
        <v>218</v>
      </c>
      <c r="D185" s="2" t="s">
        <v>2105</v>
      </c>
      <c r="E185" s="2" t="n">
        <v>196230</v>
      </c>
      <c r="F185" s="15" t="n">
        <v>43931</v>
      </c>
      <c r="G185" s="15" t="n">
        <v>43938</v>
      </c>
      <c r="H185" s="3" t="n">
        <v>7</v>
      </c>
      <c r="I185" s="3" t="n">
        <v>2</v>
      </c>
      <c r="J185" s="3" t="n">
        <v>48</v>
      </c>
      <c r="K185" s="3" t="n">
        <v>1</v>
      </c>
      <c r="L185" s="3" t="n">
        <v>1</v>
      </c>
      <c r="M185" s="3" t="n">
        <v>1</v>
      </c>
      <c r="N185" s="3" t="n">
        <v>2</v>
      </c>
      <c r="O185" s="3" t="n">
        <v>1</v>
      </c>
      <c r="P185" s="3" t="n">
        <v>1</v>
      </c>
      <c r="Q185" s="3" t="n">
        <v>1</v>
      </c>
      <c r="R185" s="3" t="n">
        <v>2</v>
      </c>
      <c r="S185" s="3" t="n">
        <v>2</v>
      </c>
      <c r="T185" s="4" t="n">
        <v>2</v>
      </c>
      <c r="U185" s="3" t="n">
        <v>2</v>
      </c>
      <c r="V185" s="3" t="n">
        <v>4.41</v>
      </c>
      <c r="W185" s="3" t="n">
        <v>2.25</v>
      </c>
      <c r="X185" s="3" t="n">
        <v>9.82</v>
      </c>
      <c r="Y185" s="3" t="n">
        <v>505</v>
      </c>
      <c r="AA185" s="3" t="n">
        <v>0.5</v>
      </c>
      <c r="AB185" s="3" t="n">
        <v>11.4</v>
      </c>
      <c r="AC185" s="3" t="n">
        <v>2</v>
      </c>
      <c r="AD185" s="3" t="n">
        <v>2</v>
      </c>
      <c r="AE185" s="3" t="n">
        <v>1</v>
      </c>
      <c r="AF185" s="3" t="n">
        <v>1</v>
      </c>
      <c r="AG185" s="3" t="n">
        <v>1</v>
      </c>
      <c r="AH185" s="3" t="n">
        <v>2</v>
      </c>
      <c r="AI185" s="3" t="n">
        <v>1</v>
      </c>
      <c r="AJ185" s="3" t="n">
        <v>2</v>
      </c>
      <c r="AK185" s="3" t="n">
        <v>2</v>
      </c>
      <c r="AL185" s="3" t="n">
        <v>2</v>
      </c>
      <c r="AM185" s="3" t="n">
        <v>1</v>
      </c>
      <c r="AN185" s="3" t="n">
        <v>2</v>
      </c>
      <c r="AO185" s="3" t="n">
        <v>2</v>
      </c>
      <c r="AP185" s="3" t="n">
        <v>3</v>
      </c>
      <c r="AQ185" s="3" t="n">
        <v>4</v>
      </c>
      <c r="AR185" s="3" t="n">
        <v>4</v>
      </c>
      <c r="AS185" s="3" t="n">
        <v>6</v>
      </c>
      <c r="AT185" s="3" t="n">
        <v>4</v>
      </c>
      <c r="AU185" s="3" t="n">
        <v>4</v>
      </c>
      <c r="AV185" s="3" t="n">
        <v>6</v>
      </c>
      <c r="AW185" s="3" t="n">
        <v>6</v>
      </c>
      <c r="AX185" s="3" t="n">
        <v>3</v>
      </c>
      <c r="AY185" s="3" t="n">
        <v>3</v>
      </c>
      <c r="AZ185" s="3" t="n">
        <v>1</v>
      </c>
      <c r="BA185" s="5" t="n">
        <v>1</v>
      </c>
      <c r="BB185" s="3" t="n">
        <v>1</v>
      </c>
      <c r="BC185" s="3" t="n">
        <v>1</v>
      </c>
      <c r="BD185" s="3" t="n">
        <v>2</v>
      </c>
      <c r="BE185" s="3" t="n">
        <v>1</v>
      </c>
      <c r="BF185" s="3" t="n">
        <v>2</v>
      </c>
      <c r="BG185" s="3" t="n">
        <v>1</v>
      </c>
      <c r="BH185" s="3" t="n">
        <v>4</v>
      </c>
      <c r="BI185" s="3" t="n">
        <v>1</v>
      </c>
      <c r="BJ185" s="3" t="n">
        <v>1</v>
      </c>
    </row>
    <row r="186" customFormat="false" ht="12.75" hidden="false" customHeight="false" outlineLevel="0" collapsed="false">
      <c r="B186" s="2" t="s">
        <v>2107</v>
      </c>
      <c r="C186" s="2" t="s">
        <v>2108</v>
      </c>
      <c r="D186" s="2" t="s">
        <v>115</v>
      </c>
      <c r="E186" s="2" t="n">
        <v>196717</v>
      </c>
      <c r="F186" s="15" t="n">
        <v>43934</v>
      </c>
      <c r="G186" s="15" t="n">
        <v>43941</v>
      </c>
      <c r="H186" s="3" t="n">
        <v>7</v>
      </c>
      <c r="I186" s="3" t="n">
        <v>2</v>
      </c>
      <c r="J186" s="3" t="n">
        <v>54</v>
      </c>
      <c r="K186" s="3" t="n">
        <v>1</v>
      </c>
      <c r="L186" s="3" t="n">
        <v>2</v>
      </c>
      <c r="M186" s="3" t="n">
        <v>1</v>
      </c>
      <c r="N186" s="3" t="n">
        <v>2</v>
      </c>
      <c r="O186" s="3" t="n">
        <v>2</v>
      </c>
      <c r="P186" s="3" t="n">
        <v>2</v>
      </c>
      <c r="Q186" s="3" t="n">
        <v>1</v>
      </c>
      <c r="R186" s="3" t="n">
        <v>2</v>
      </c>
      <c r="S186" s="3" t="n">
        <v>1</v>
      </c>
      <c r="T186" s="4" t="n">
        <v>2</v>
      </c>
      <c r="U186" s="3" t="n">
        <v>2</v>
      </c>
      <c r="V186" s="3" t="n">
        <v>4.33</v>
      </c>
      <c r="W186" s="3" t="n">
        <v>2.16</v>
      </c>
      <c r="X186" s="3" t="n">
        <v>9.4</v>
      </c>
      <c r="Y186" s="3" t="n">
        <v>387</v>
      </c>
      <c r="AA186" s="3" t="n">
        <v>0.37</v>
      </c>
      <c r="AB186" s="3" t="n">
        <v>11</v>
      </c>
      <c r="AC186" s="3" t="n">
        <v>1</v>
      </c>
      <c r="AD186" s="3" t="n">
        <v>2</v>
      </c>
      <c r="AE186" s="3" t="n">
        <v>1</v>
      </c>
      <c r="AF186" s="3" t="n">
        <v>1</v>
      </c>
      <c r="AG186" s="3" t="n">
        <v>1</v>
      </c>
      <c r="AH186" s="3" t="n">
        <v>2</v>
      </c>
      <c r="AI186" s="3" t="n">
        <v>1</v>
      </c>
      <c r="AJ186" s="3" t="n">
        <v>1</v>
      </c>
      <c r="AK186" s="3" t="n">
        <v>2</v>
      </c>
      <c r="AL186" s="3" t="n">
        <v>2</v>
      </c>
      <c r="AM186" s="3" t="n">
        <v>2</v>
      </c>
      <c r="AN186" s="3" t="n">
        <v>2</v>
      </c>
      <c r="AO186" s="3" t="n">
        <v>1</v>
      </c>
      <c r="AP186" s="3" t="n">
        <v>3</v>
      </c>
      <c r="AQ186" s="3" t="n">
        <v>4</v>
      </c>
      <c r="AR186" s="3" t="n">
        <v>4</v>
      </c>
      <c r="AS186" s="3" t="n">
        <v>6</v>
      </c>
      <c r="AT186" s="3" t="n">
        <v>4</v>
      </c>
      <c r="AU186" s="3" t="n">
        <v>4</v>
      </c>
      <c r="AV186" s="3" t="n">
        <v>6</v>
      </c>
      <c r="AW186" s="3" t="n">
        <v>6</v>
      </c>
      <c r="AX186" s="3" t="n">
        <v>3</v>
      </c>
      <c r="AY186" s="3" t="n">
        <v>3</v>
      </c>
      <c r="AZ186" s="3" t="n">
        <v>10</v>
      </c>
      <c r="BA186" s="5" t="n">
        <v>1</v>
      </c>
      <c r="BB186" s="3" t="n">
        <v>1</v>
      </c>
      <c r="BC186" s="3" t="n">
        <v>1</v>
      </c>
      <c r="BD186" s="3" t="n">
        <v>4</v>
      </c>
      <c r="BE186" s="3" t="n">
        <v>1</v>
      </c>
      <c r="BF186" s="3" t="n">
        <v>2</v>
      </c>
      <c r="BG186" s="3" t="n">
        <v>1</v>
      </c>
      <c r="BH186" s="3" t="n">
        <v>4</v>
      </c>
      <c r="BI186" s="3" t="n">
        <v>1</v>
      </c>
      <c r="BJ186" s="3" t="n">
        <v>1</v>
      </c>
    </row>
    <row r="187" customFormat="false" ht="12.75" hidden="false" customHeight="false" outlineLevel="0" collapsed="false">
      <c r="B187" s="2" t="s">
        <v>2111</v>
      </c>
      <c r="C187" s="2" t="s">
        <v>536</v>
      </c>
      <c r="D187" s="2" t="s">
        <v>608</v>
      </c>
      <c r="E187" s="2" t="n">
        <v>196746</v>
      </c>
      <c r="F187" s="15" t="n">
        <v>43935</v>
      </c>
      <c r="G187" s="15" t="n">
        <v>43941</v>
      </c>
      <c r="H187" s="3" t="n">
        <v>6</v>
      </c>
      <c r="I187" s="3" t="n">
        <v>2</v>
      </c>
      <c r="J187" s="3" t="n">
        <v>75</v>
      </c>
      <c r="K187" s="3" t="n">
        <v>1</v>
      </c>
      <c r="L187" s="3" t="n">
        <v>2</v>
      </c>
      <c r="M187" s="3" t="n">
        <v>2</v>
      </c>
      <c r="N187" s="3" t="n">
        <v>2</v>
      </c>
      <c r="O187" s="3" t="n">
        <v>2</v>
      </c>
      <c r="P187" s="3" t="n">
        <v>2</v>
      </c>
      <c r="Q187" s="3" t="n">
        <v>2</v>
      </c>
      <c r="R187" s="3" t="n">
        <v>2</v>
      </c>
      <c r="S187" s="3" t="n">
        <v>2</v>
      </c>
      <c r="T187" s="4" t="n">
        <v>2</v>
      </c>
      <c r="U187" s="3" t="n">
        <v>2</v>
      </c>
      <c r="V187" s="3" t="n">
        <v>3.67</v>
      </c>
      <c r="W187" s="3" t="n">
        <v>0.39</v>
      </c>
      <c r="X187" s="3" t="n">
        <v>7.06</v>
      </c>
      <c r="Y187" s="3" t="n">
        <v>359</v>
      </c>
      <c r="AA187" s="3" t="n">
        <v>0.37</v>
      </c>
      <c r="AB187" s="3" t="n">
        <v>11</v>
      </c>
      <c r="AC187" s="3" t="n">
        <v>1</v>
      </c>
      <c r="AD187" s="3" t="n">
        <v>2</v>
      </c>
      <c r="AE187" s="3" t="n">
        <v>1</v>
      </c>
      <c r="AF187" s="3" t="n">
        <v>1</v>
      </c>
      <c r="AG187" s="3" t="n">
        <v>2</v>
      </c>
      <c r="AH187" s="3" t="n">
        <v>2</v>
      </c>
      <c r="AI187" s="3" t="n">
        <v>1</v>
      </c>
      <c r="AJ187" s="3" t="n">
        <v>2</v>
      </c>
      <c r="AK187" s="3" t="n">
        <v>2</v>
      </c>
      <c r="AL187" s="3" t="n">
        <v>2</v>
      </c>
      <c r="AM187" s="3" t="n">
        <v>2</v>
      </c>
      <c r="AN187" s="3" t="n">
        <v>1</v>
      </c>
      <c r="AO187" s="3" t="n">
        <v>2</v>
      </c>
      <c r="AP187" s="3" t="n">
        <v>3</v>
      </c>
      <c r="AQ187" s="3" t="n">
        <v>4</v>
      </c>
      <c r="AR187" s="3" t="n">
        <v>4</v>
      </c>
      <c r="AS187" s="3" t="n">
        <v>6</v>
      </c>
      <c r="AT187" s="3" t="n">
        <v>4</v>
      </c>
      <c r="AU187" s="3" t="n">
        <v>4</v>
      </c>
      <c r="AV187" s="3" t="n">
        <v>6</v>
      </c>
      <c r="AW187" s="3" t="n">
        <v>6</v>
      </c>
      <c r="AX187" s="3" t="n">
        <v>3</v>
      </c>
      <c r="AY187" s="3" t="n">
        <v>3</v>
      </c>
      <c r="AZ187" s="3" t="n">
        <v>6</v>
      </c>
      <c r="BA187" s="5" t="n">
        <v>1</v>
      </c>
      <c r="BB187" s="3" t="n">
        <v>1</v>
      </c>
      <c r="BC187" s="3" t="n">
        <v>1</v>
      </c>
      <c r="BD187" s="3" t="n">
        <v>4</v>
      </c>
      <c r="BE187" s="3" t="n">
        <v>3</v>
      </c>
      <c r="BF187" s="3" t="n">
        <v>5</v>
      </c>
      <c r="BG187" s="3" t="n">
        <v>3</v>
      </c>
      <c r="BH187" s="3" t="n">
        <v>4</v>
      </c>
      <c r="BI187" s="3" t="n">
        <v>1</v>
      </c>
      <c r="BJ187" s="3" t="n">
        <v>1</v>
      </c>
    </row>
    <row r="188" customFormat="false" ht="12.75" hidden="false" customHeight="false" outlineLevel="0" collapsed="false">
      <c r="B188" s="26" t="s">
        <v>140</v>
      </c>
      <c r="C188" s="26" t="s">
        <v>1417</v>
      </c>
      <c r="D188" s="26" t="s">
        <v>2119</v>
      </c>
      <c r="E188" s="26" t="s">
        <v>2120</v>
      </c>
      <c r="F188" s="27" t="n">
        <v>43939</v>
      </c>
      <c r="G188" s="27" t="n">
        <v>43940</v>
      </c>
      <c r="H188" s="30" t="n">
        <v>1</v>
      </c>
      <c r="I188" s="30" t="n">
        <v>2</v>
      </c>
      <c r="J188" s="30" t="n">
        <v>70</v>
      </c>
      <c r="K188" s="30" t="n">
        <v>1</v>
      </c>
      <c r="L188" s="30" t="n">
        <v>2</v>
      </c>
      <c r="M188" s="30" t="n">
        <v>1</v>
      </c>
      <c r="N188" s="30" t="n">
        <v>2</v>
      </c>
      <c r="O188" s="30" t="n">
        <v>2</v>
      </c>
      <c r="P188" s="30" t="n">
        <v>2</v>
      </c>
      <c r="Q188" s="30" t="n">
        <v>2</v>
      </c>
      <c r="R188" s="30" t="n">
        <v>2</v>
      </c>
      <c r="S188" s="30" t="n">
        <v>1</v>
      </c>
      <c r="T188" s="4" t="n">
        <v>2</v>
      </c>
      <c r="U188" s="30" t="n">
        <v>2</v>
      </c>
      <c r="V188" s="30"/>
      <c r="W188" s="30"/>
      <c r="X188" s="30"/>
      <c r="Y188" s="30"/>
      <c r="AA188" s="30"/>
      <c r="AB188" s="30"/>
      <c r="AC188" s="30" t="n">
        <v>3</v>
      </c>
      <c r="AD188" s="30" t="n">
        <v>2</v>
      </c>
      <c r="AE188" s="30" t="n">
        <v>1</v>
      </c>
      <c r="AF188" s="30" t="n">
        <v>1</v>
      </c>
      <c r="AG188" s="30" t="n">
        <v>2</v>
      </c>
      <c r="AH188" s="30" t="n">
        <v>2</v>
      </c>
      <c r="AI188" s="30" t="n">
        <v>1</v>
      </c>
      <c r="AJ188" s="30" t="n">
        <v>1</v>
      </c>
      <c r="AK188" s="30" t="n">
        <v>2</v>
      </c>
      <c r="AL188" s="30" t="n">
        <v>2</v>
      </c>
      <c r="AM188" s="30" t="n">
        <v>1</v>
      </c>
      <c r="AN188" s="30" t="n">
        <v>2</v>
      </c>
      <c r="AO188" s="30" t="n">
        <v>2</v>
      </c>
      <c r="AP188" s="30" t="n">
        <v>3</v>
      </c>
      <c r="AQ188" s="30" t="n">
        <v>4</v>
      </c>
      <c r="AR188" s="30" t="n">
        <v>4</v>
      </c>
      <c r="AS188" s="30" t="n">
        <v>6</v>
      </c>
      <c r="AT188" s="30" t="n">
        <v>4</v>
      </c>
      <c r="AU188" s="30" t="n">
        <v>4</v>
      </c>
      <c r="AV188" s="30" t="n">
        <v>6</v>
      </c>
      <c r="AW188" s="30" t="n">
        <v>6</v>
      </c>
      <c r="AX188" s="30" t="n">
        <v>3</v>
      </c>
      <c r="AY188" s="30" t="n">
        <v>3</v>
      </c>
      <c r="AZ188" s="30" t="n">
        <v>1</v>
      </c>
      <c r="BA188" s="5" t="n">
        <v>1</v>
      </c>
      <c r="BB188" s="30" t="n">
        <v>1</v>
      </c>
      <c r="BC188" s="30" t="n">
        <v>1</v>
      </c>
      <c r="BD188" s="30" t="n">
        <v>3</v>
      </c>
      <c r="BE188" s="30" t="n">
        <v>1</v>
      </c>
      <c r="BF188" s="30" t="n">
        <v>2</v>
      </c>
      <c r="BG188" s="30" t="n">
        <v>1</v>
      </c>
      <c r="BH188" s="30" t="n">
        <v>4</v>
      </c>
      <c r="BI188" s="30" t="n">
        <v>1</v>
      </c>
      <c r="BJ188" s="30" t="n">
        <v>1</v>
      </c>
    </row>
    <row r="189" customFormat="false" ht="12.75" hidden="false" customHeight="false" outlineLevel="0" collapsed="false">
      <c r="B189" s="2" t="s">
        <v>2123</v>
      </c>
      <c r="C189" s="2" t="s">
        <v>849</v>
      </c>
      <c r="D189" s="2" t="s">
        <v>2124</v>
      </c>
      <c r="E189" s="2" t="n">
        <v>196911</v>
      </c>
      <c r="F189" s="15" t="n">
        <v>43937</v>
      </c>
      <c r="G189" s="15" t="n">
        <v>43944</v>
      </c>
      <c r="H189" s="3" t="n">
        <v>7</v>
      </c>
      <c r="I189" s="3" t="n">
        <v>2</v>
      </c>
      <c r="J189" s="3" t="n">
        <v>51</v>
      </c>
      <c r="K189" s="3" t="n">
        <v>2</v>
      </c>
      <c r="L189" s="3" t="n">
        <v>1</v>
      </c>
      <c r="M189" s="3" t="n">
        <v>1</v>
      </c>
      <c r="N189" s="3" t="n">
        <v>2</v>
      </c>
      <c r="O189" s="3" t="n">
        <v>2</v>
      </c>
      <c r="P189" s="3" t="n">
        <v>2</v>
      </c>
      <c r="Q189" s="3" t="n">
        <v>2</v>
      </c>
      <c r="R189" s="3" t="n">
        <v>2</v>
      </c>
      <c r="S189" s="3" t="n">
        <v>2</v>
      </c>
      <c r="T189" s="4" t="n">
        <v>2</v>
      </c>
      <c r="U189" s="3" t="n">
        <v>2</v>
      </c>
      <c r="V189" s="3" t="n">
        <v>4.69</v>
      </c>
      <c r="W189" s="3" t="n">
        <v>2.16</v>
      </c>
      <c r="X189" s="3" t="n">
        <v>6.41</v>
      </c>
      <c r="Y189" s="3" t="n">
        <v>570</v>
      </c>
      <c r="AA189" s="3" t="n">
        <v>0.45</v>
      </c>
      <c r="AB189" s="3" t="n">
        <v>11.3</v>
      </c>
      <c r="AC189" s="3" t="n">
        <v>1</v>
      </c>
      <c r="AD189" s="3" t="n">
        <v>2</v>
      </c>
      <c r="AE189" s="3" t="n">
        <v>1</v>
      </c>
      <c r="AF189" s="3" t="n">
        <v>1</v>
      </c>
      <c r="AG189" s="3" t="n">
        <v>2</v>
      </c>
      <c r="AH189" s="3" t="n">
        <v>2</v>
      </c>
      <c r="AI189" s="3" t="n">
        <v>1</v>
      </c>
      <c r="AJ189" s="3" t="n">
        <v>2</v>
      </c>
      <c r="AK189" s="3" t="n">
        <v>2</v>
      </c>
      <c r="AL189" s="3" t="n">
        <v>2</v>
      </c>
      <c r="AM189" s="3" t="n">
        <v>1</v>
      </c>
      <c r="AN189" s="3" t="n">
        <v>2</v>
      </c>
      <c r="AO189" s="3" t="n">
        <v>2</v>
      </c>
      <c r="AP189" s="3" t="n">
        <v>3</v>
      </c>
      <c r="AQ189" s="3" t="n">
        <v>4</v>
      </c>
      <c r="AR189" s="3" t="n">
        <v>4</v>
      </c>
      <c r="AS189" s="3" t="n">
        <v>6</v>
      </c>
      <c r="AT189" s="3" t="n">
        <v>4</v>
      </c>
      <c r="AU189" s="3" t="n">
        <v>4</v>
      </c>
      <c r="AV189" s="3" t="n">
        <v>6</v>
      </c>
      <c r="AW189" s="3" t="n">
        <v>6</v>
      </c>
      <c r="AX189" s="3" t="n">
        <v>3</v>
      </c>
      <c r="AY189" s="3" t="n">
        <v>3</v>
      </c>
      <c r="AZ189" s="3" t="n">
        <v>1</v>
      </c>
      <c r="BA189" s="5" t="n">
        <v>1</v>
      </c>
      <c r="BB189" s="3" t="n">
        <v>1</v>
      </c>
      <c r="BC189" s="3" t="n">
        <v>1</v>
      </c>
      <c r="BD189" s="3" t="n">
        <v>4</v>
      </c>
      <c r="BE189" s="3" t="n">
        <v>1</v>
      </c>
      <c r="BF189" s="3" t="n">
        <v>2</v>
      </c>
      <c r="BG189" s="3" t="n">
        <v>1</v>
      </c>
      <c r="BH189" s="3" t="n">
        <v>4</v>
      </c>
      <c r="BI189" s="3" t="n">
        <v>1</v>
      </c>
      <c r="BJ189" s="3" t="n">
        <v>1</v>
      </c>
    </row>
    <row r="190" customFormat="false" ht="12.75" hidden="false" customHeight="false" outlineLevel="0" collapsed="false">
      <c r="B190" s="2" t="s">
        <v>2107</v>
      </c>
      <c r="C190" s="2" t="s">
        <v>127</v>
      </c>
      <c r="D190" s="2" t="s">
        <v>386</v>
      </c>
      <c r="E190" s="2" t="n">
        <v>169947</v>
      </c>
      <c r="F190" s="15" t="n">
        <v>43944</v>
      </c>
      <c r="G190" s="15" t="n">
        <v>43949</v>
      </c>
      <c r="H190" s="3" t="n">
        <v>5</v>
      </c>
      <c r="I190" s="3" t="n">
        <v>2</v>
      </c>
      <c r="J190" s="3" t="n">
        <v>74</v>
      </c>
      <c r="K190" s="3" t="n">
        <v>1</v>
      </c>
      <c r="L190" s="3" t="n">
        <v>2</v>
      </c>
      <c r="M190" s="3" t="n">
        <v>2</v>
      </c>
      <c r="N190" s="3" t="n">
        <v>2</v>
      </c>
      <c r="O190" s="3" t="n">
        <v>2</v>
      </c>
      <c r="P190" s="3" t="n">
        <v>2</v>
      </c>
      <c r="Q190" s="3" t="n">
        <v>2</v>
      </c>
      <c r="R190" s="3" t="n">
        <v>2</v>
      </c>
      <c r="S190" s="3" t="n">
        <v>2</v>
      </c>
      <c r="T190" s="4" t="n">
        <v>2</v>
      </c>
      <c r="U190" s="3" t="n">
        <v>2</v>
      </c>
      <c r="V190" s="3" t="n">
        <v>4.72</v>
      </c>
      <c r="W190" s="3" t="n">
        <v>1.77</v>
      </c>
      <c r="X190" s="3" t="n">
        <v>7.2</v>
      </c>
      <c r="Y190" s="3" t="n">
        <v>502</v>
      </c>
      <c r="AA190" s="3" t="n">
        <v>0.55</v>
      </c>
      <c r="AB190" s="3" t="n">
        <v>15</v>
      </c>
      <c r="AC190" s="3" t="n">
        <v>1</v>
      </c>
      <c r="AD190" s="3" t="n">
        <v>2</v>
      </c>
      <c r="AE190" s="3" t="n">
        <v>1</v>
      </c>
      <c r="AF190" s="3" t="n">
        <v>1</v>
      </c>
      <c r="AG190" s="3" t="n">
        <v>1</v>
      </c>
      <c r="AH190" s="3" t="n">
        <v>1</v>
      </c>
      <c r="AI190" s="3" t="n">
        <v>1</v>
      </c>
      <c r="AJ190" s="3" t="n">
        <v>2</v>
      </c>
      <c r="AK190" s="3" t="n">
        <v>2</v>
      </c>
      <c r="AL190" s="3" t="n">
        <v>2</v>
      </c>
      <c r="AM190" s="3" t="n">
        <v>2</v>
      </c>
      <c r="AN190" s="3" t="n">
        <v>2</v>
      </c>
      <c r="AO190" s="3" t="n">
        <v>1</v>
      </c>
      <c r="AP190" s="3" t="n">
        <v>3</v>
      </c>
      <c r="AQ190" s="3" t="n">
        <v>4</v>
      </c>
      <c r="AR190" s="3" t="n">
        <v>4</v>
      </c>
      <c r="AS190" s="3" t="n">
        <v>6</v>
      </c>
      <c r="AT190" s="3" t="n">
        <v>4</v>
      </c>
      <c r="AU190" s="3" t="n">
        <v>4</v>
      </c>
      <c r="AV190" s="3" t="n">
        <v>6</v>
      </c>
      <c r="AW190" s="3" t="n">
        <v>6</v>
      </c>
      <c r="AX190" s="3" t="n">
        <v>3</v>
      </c>
      <c r="AY190" s="3" t="n">
        <v>3</v>
      </c>
      <c r="AZ190" s="3" t="n">
        <v>1</v>
      </c>
      <c r="BA190" s="5" t="n">
        <v>1</v>
      </c>
      <c r="BB190" s="3" t="n">
        <v>1</v>
      </c>
      <c r="BC190" s="3" t="n">
        <v>1</v>
      </c>
      <c r="BD190" s="3" t="n">
        <v>2</v>
      </c>
      <c r="BE190" s="3" t="n">
        <v>1</v>
      </c>
      <c r="BF190" s="3" t="n">
        <v>2</v>
      </c>
      <c r="BG190" s="3" t="n">
        <v>1</v>
      </c>
      <c r="BH190" s="3" t="n">
        <v>4</v>
      </c>
      <c r="BI190" s="3" t="n">
        <v>1</v>
      </c>
      <c r="BJ190" s="3" t="n">
        <v>1</v>
      </c>
    </row>
    <row r="191" customFormat="false" ht="12.75" hidden="false" customHeight="false" outlineLevel="0" collapsed="false">
      <c r="B191" s="2" t="s">
        <v>2127</v>
      </c>
      <c r="C191" s="2" t="s">
        <v>921</v>
      </c>
      <c r="D191" s="2" t="s">
        <v>2128</v>
      </c>
      <c r="E191" s="2" t="n">
        <v>196951</v>
      </c>
      <c r="F191" s="15" t="n">
        <v>43944</v>
      </c>
      <c r="G191" s="15" t="n">
        <v>43949</v>
      </c>
      <c r="H191" s="3" t="n">
        <v>5</v>
      </c>
      <c r="I191" s="3" t="n">
        <v>2</v>
      </c>
      <c r="J191" s="3" t="n">
        <v>50</v>
      </c>
      <c r="K191" s="3" t="n">
        <v>2</v>
      </c>
      <c r="L191" s="3" t="n">
        <v>1</v>
      </c>
      <c r="M191" s="3" t="n">
        <v>1</v>
      </c>
      <c r="N191" s="3" t="n">
        <v>2</v>
      </c>
      <c r="O191" s="3" t="n">
        <v>2</v>
      </c>
      <c r="P191" s="3" t="n">
        <v>2</v>
      </c>
      <c r="Q191" s="3" t="n">
        <v>2</v>
      </c>
      <c r="R191" s="3" t="n">
        <v>2</v>
      </c>
      <c r="S191" s="3" t="n">
        <v>2</v>
      </c>
      <c r="T191" s="4" t="n">
        <v>2</v>
      </c>
      <c r="U191" s="3" t="n">
        <v>2</v>
      </c>
      <c r="V191" s="3" t="n">
        <v>3.47</v>
      </c>
      <c r="W191" s="3" t="n">
        <v>1.24</v>
      </c>
      <c r="X191" s="3" t="n">
        <v>9.87</v>
      </c>
      <c r="Y191" s="3" t="n">
        <v>406</v>
      </c>
      <c r="AA191" s="3" t="n">
        <v>0.43</v>
      </c>
      <c r="AB191" s="3" t="n">
        <v>13.8</v>
      </c>
      <c r="AC191" s="3" t="n">
        <v>1</v>
      </c>
      <c r="AD191" s="3" t="n">
        <v>2</v>
      </c>
      <c r="AE191" s="3" t="n">
        <v>1</v>
      </c>
      <c r="AF191" s="3" t="n">
        <v>1</v>
      </c>
      <c r="AG191" s="3" t="n">
        <v>1</v>
      </c>
      <c r="AH191" s="3" t="n">
        <v>2</v>
      </c>
      <c r="AI191" s="3" t="n">
        <v>1</v>
      </c>
      <c r="AJ191" s="3" t="n">
        <v>2</v>
      </c>
      <c r="AK191" s="3" t="n">
        <v>2</v>
      </c>
      <c r="AL191" s="3" t="n">
        <v>2</v>
      </c>
      <c r="AM191" s="3" t="n">
        <v>2</v>
      </c>
      <c r="AN191" s="3" t="n">
        <v>2</v>
      </c>
      <c r="AO191" s="3" t="n">
        <v>2</v>
      </c>
      <c r="AP191" s="3" t="n">
        <v>3</v>
      </c>
      <c r="AQ191" s="3" t="n">
        <v>4</v>
      </c>
      <c r="AR191" s="3" t="n">
        <v>4</v>
      </c>
      <c r="AS191" s="3" t="n">
        <v>6</v>
      </c>
      <c r="AT191" s="3" t="n">
        <v>4</v>
      </c>
      <c r="AU191" s="3" t="n">
        <v>4</v>
      </c>
      <c r="AV191" s="3" t="n">
        <v>6</v>
      </c>
      <c r="AW191" s="3" t="n">
        <v>6</v>
      </c>
      <c r="AX191" s="3" t="n">
        <v>3</v>
      </c>
      <c r="AY191" s="3" t="n">
        <v>3</v>
      </c>
      <c r="AZ191" s="3" t="n">
        <v>1</v>
      </c>
      <c r="BA191" s="5" t="n">
        <v>1</v>
      </c>
      <c r="BB191" s="3" t="n">
        <v>1</v>
      </c>
      <c r="BC191" s="3" t="n">
        <v>1</v>
      </c>
      <c r="BD191" s="3" t="n">
        <v>2</v>
      </c>
      <c r="BE191" s="3" t="n">
        <v>1</v>
      </c>
      <c r="BF191" s="3" t="n">
        <v>2</v>
      </c>
      <c r="BG191" s="3" t="n">
        <v>1</v>
      </c>
      <c r="BH191" s="3" t="n">
        <v>4</v>
      </c>
      <c r="BI191" s="3" t="n">
        <v>1</v>
      </c>
      <c r="BJ191" s="3" t="n">
        <v>1</v>
      </c>
    </row>
    <row r="192" customFormat="false" ht="12.75" hidden="false" customHeight="false" outlineLevel="0" collapsed="false">
      <c r="B192" s="2" t="s">
        <v>413</v>
      </c>
      <c r="C192" s="2" t="s">
        <v>94</v>
      </c>
      <c r="D192" s="2" t="s">
        <v>94</v>
      </c>
      <c r="E192" s="2" t="n">
        <v>196826</v>
      </c>
      <c r="F192" s="15" t="n">
        <v>43943</v>
      </c>
      <c r="G192" s="15" t="n">
        <v>43950</v>
      </c>
      <c r="H192" s="3" t="n">
        <v>7</v>
      </c>
      <c r="I192" s="3" t="n">
        <v>2</v>
      </c>
      <c r="J192" s="3" t="n">
        <v>57</v>
      </c>
      <c r="K192" s="3" t="n">
        <v>1</v>
      </c>
      <c r="L192" s="3" t="n">
        <v>2</v>
      </c>
      <c r="M192" s="3" t="n">
        <v>1</v>
      </c>
      <c r="N192" s="3" t="n">
        <v>2</v>
      </c>
      <c r="O192" s="3" t="n">
        <v>2</v>
      </c>
      <c r="P192" s="3" t="n">
        <v>2</v>
      </c>
      <c r="Q192" s="3" t="n">
        <v>2</v>
      </c>
      <c r="R192" s="3" t="n">
        <v>2</v>
      </c>
      <c r="S192" s="3" t="n">
        <v>1</v>
      </c>
      <c r="T192" s="4" t="n">
        <v>2</v>
      </c>
      <c r="U192" s="3" t="n">
        <v>2</v>
      </c>
      <c r="V192" s="3" t="n">
        <v>4.63</v>
      </c>
      <c r="W192" s="3" t="n">
        <v>0.88</v>
      </c>
      <c r="X192" s="3" t="n">
        <v>8.44</v>
      </c>
      <c r="Y192" s="3" t="n">
        <v>418</v>
      </c>
      <c r="AA192" s="3" t="n">
        <v>0.5</v>
      </c>
      <c r="AB192" s="3" t="n">
        <v>12</v>
      </c>
      <c r="AC192" s="3" t="n">
        <v>2</v>
      </c>
      <c r="AD192" s="3" t="n">
        <v>1</v>
      </c>
      <c r="AE192" s="3" t="n">
        <v>1</v>
      </c>
      <c r="AF192" s="3" t="n">
        <v>1</v>
      </c>
      <c r="AG192" s="3" t="n">
        <v>2</v>
      </c>
      <c r="AH192" s="3" t="n">
        <v>2</v>
      </c>
      <c r="AI192" s="3" t="n">
        <v>1</v>
      </c>
      <c r="AJ192" s="3" t="n">
        <v>1</v>
      </c>
      <c r="AK192" s="3" t="n">
        <v>2</v>
      </c>
      <c r="AL192" s="3" t="n">
        <v>2</v>
      </c>
      <c r="AM192" s="3" t="n">
        <v>1</v>
      </c>
      <c r="AN192" s="3" t="n">
        <v>2</v>
      </c>
      <c r="AO192" s="3" t="n">
        <v>2</v>
      </c>
      <c r="AP192" s="3" t="n">
        <v>3</v>
      </c>
      <c r="AQ192" s="3" t="n">
        <v>4</v>
      </c>
      <c r="AR192" s="3" t="n">
        <v>4</v>
      </c>
      <c r="AS192" s="3" t="n">
        <v>6</v>
      </c>
      <c r="AT192" s="3" t="n">
        <v>4</v>
      </c>
      <c r="AU192" s="3" t="n">
        <v>4</v>
      </c>
      <c r="AV192" s="3" t="n">
        <v>6</v>
      </c>
      <c r="AW192" s="3" t="n">
        <v>6</v>
      </c>
      <c r="AX192" s="3" t="n">
        <v>3</v>
      </c>
      <c r="AY192" s="3" t="n">
        <v>3</v>
      </c>
      <c r="AZ192" s="3" t="n">
        <v>1</v>
      </c>
      <c r="BA192" s="5" t="n">
        <v>1</v>
      </c>
      <c r="BB192" s="3" t="n">
        <v>1</v>
      </c>
      <c r="BC192" s="3" t="n">
        <v>1</v>
      </c>
      <c r="BD192" s="3" t="n">
        <v>4</v>
      </c>
      <c r="BE192" s="3" t="n">
        <v>1</v>
      </c>
      <c r="BF192" s="3" t="n">
        <v>2</v>
      </c>
      <c r="BG192" s="3" t="n">
        <v>1</v>
      </c>
      <c r="BH192" s="3" t="n">
        <v>4</v>
      </c>
      <c r="BI192" s="3" t="n">
        <v>1</v>
      </c>
      <c r="BJ192" s="3" t="n">
        <v>1</v>
      </c>
    </row>
    <row r="193" customFormat="false" ht="12.75" hidden="false" customHeight="false" outlineLevel="0" collapsed="false">
      <c r="B193" s="2" t="s">
        <v>1213</v>
      </c>
      <c r="C193" s="2" t="s">
        <v>95</v>
      </c>
      <c r="D193" s="2" t="s">
        <v>94</v>
      </c>
      <c r="E193" s="2" t="n">
        <v>196975</v>
      </c>
      <c r="F193" s="15" t="n">
        <v>43946</v>
      </c>
      <c r="G193" s="15" t="n">
        <v>43953</v>
      </c>
      <c r="H193" s="3" t="n">
        <v>7</v>
      </c>
      <c r="I193" s="3" t="n">
        <v>1</v>
      </c>
      <c r="J193" s="3" t="n">
        <v>73</v>
      </c>
      <c r="K193" s="3" t="n">
        <v>2</v>
      </c>
      <c r="L193" s="3" t="n">
        <v>2</v>
      </c>
      <c r="M193" s="3" t="n">
        <v>1</v>
      </c>
      <c r="N193" s="3" t="n">
        <v>2</v>
      </c>
      <c r="O193" s="3" t="n">
        <v>2</v>
      </c>
      <c r="P193" s="3" t="n">
        <v>2</v>
      </c>
      <c r="Q193" s="3" t="n">
        <v>2</v>
      </c>
      <c r="R193" s="3" t="n">
        <v>2</v>
      </c>
      <c r="S193" s="3" t="n">
        <v>2</v>
      </c>
      <c r="T193" s="4" t="n">
        <v>2</v>
      </c>
      <c r="U193" s="3" t="n">
        <v>2</v>
      </c>
      <c r="V193" s="3" t="n">
        <v>4.62</v>
      </c>
      <c r="W193" s="3" t="n">
        <v>1.03</v>
      </c>
      <c r="X193" s="3" t="n">
        <v>6.83</v>
      </c>
      <c r="Y193" s="3" t="n">
        <v>263</v>
      </c>
      <c r="AA193" s="3" t="n">
        <v>0.4</v>
      </c>
      <c r="AB193" s="3" t="n">
        <v>7</v>
      </c>
      <c r="AC193" s="3" t="n">
        <v>1</v>
      </c>
      <c r="AD193" s="3" t="n">
        <v>1</v>
      </c>
      <c r="AE193" s="3" t="n">
        <v>1</v>
      </c>
      <c r="AF193" s="3" t="n">
        <v>1</v>
      </c>
      <c r="AG193" s="3" t="n">
        <v>2</v>
      </c>
      <c r="AH193" s="3" t="n">
        <v>1</v>
      </c>
      <c r="AI193" s="3" t="n">
        <v>1</v>
      </c>
      <c r="AJ193" s="3" t="n">
        <v>2</v>
      </c>
      <c r="AK193" s="3" t="n">
        <v>2</v>
      </c>
      <c r="AL193" s="3" t="n">
        <v>2</v>
      </c>
      <c r="AM193" s="3" t="n">
        <v>2</v>
      </c>
      <c r="AN193" s="3" t="n">
        <v>2</v>
      </c>
      <c r="AO193" s="3" t="n">
        <v>2</v>
      </c>
      <c r="AP193" s="3" t="n">
        <v>3</v>
      </c>
      <c r="AQ193" s="3" t="n">
        <v>4</v>
      </c>
      <c r="AR193" s="3" t="n">
        <v>4</v>
      </c>
      <c r="AS193" s="3" t="n">
        <v>6</v>
      </c>
      <c r="AT193" s="3" t="n">
        <v>4</v>
      </c>
      <c r="AU193" s="3" t="n">
        <v>4</v>
      </c>
      <c r="AV193" s="3" t="n">
        <v>6</v>
      </c>
      <c r="AW193" s="3" t="n">
        <v>6</v>
      </c>
      <c r="AX193" s="3" t="n">
        <v>3</v>
      </c>
      <c r="AY193" s="3" t="n">
        <v>3</v>
      </c>
      <c r="AZ193" s="3" t="n">
        <v>1</v>
      </c>
      <c r="BA193" s="5" t="n">
        <v>1</v>
      </c>
      <c r="BB193" s="3" t="n">
        <v>1</v>
      </c>
      <c r="BC193" s="3" t="n">
        <v>1</v>
      </c>
      <c r="BD193" s="3" t="n">
        <v>4</v>
      </c>
      <c r="BE193" s="3" t="n">
        <v>3</v>
      </c>
      <c r="BF193" s="3" t="n">
        <v>5</v>
      </c>
      <c r="BG193" s="3" t="n">
        <v>3</v>
      </c>
      <c r="BH193" s="3" t="n">
        <v>4</v>
      </c>
      <c r="BI193" s="3" t="n">
        <v>1</v>
      </c>
      <c r="BJ193" s="3" t="n">
        <v>1</v>
      </c>
    </row>
    <row r="194" customFormat="false" ht="12.75" hidden="false" customHeight="false" outlineLevel="0" collapsed="false">
      <c r="B194" s="2" t="s">
        <v>2136</v>
      </c>
      <c r="C194" s="2" t="s">
        <v>2137</v>
      </c>
      <c r="D194" s="2" t="s">
        <v>66</v>
      </c>
      <c r="E194" s="2" t="n">
        <v>196845</v>
      </c>
      <c r="F194" s="15" t="n">
        <v>43947</v>
      </c>
      <c r="G194" s="15" t="n">
        <v>43953</v>
      </c>
      <c r="H194" s="3" t="n">
        <v>7</v>
      </c>
      <c r="I194" s="3" t="n">
        <v>2</v>
      </c>
      <c r="J194" s="3" t="n">
        <v>47</v>
      </c>
      <c r="K194" s="3" t="n">
        <v>1</v>
      </c>
      <c r="L194" s="3" t="n">
        <v>1</v>
      </c>
      <c r="M194" s="3" t="n">
        <v>1</v>
      </c>
      <c r="N194" s="3" t="n">
        <v>2</v>
      </c>
      <c r="O194" s="3" t="n">
        <v>2</v>
      </c>
      <c r="P194" s="3" t="n">
        <v>2</v>
      </c>
      <c r="Q194" s="3" t="n">
        <v>2</v>
      </c>
      <c r="R194" s="3" t="n">
        <v>2</v>
      </c>
      <c r="S194" s="3" t="n">
        <v>2</v>
      </c>
      <c r="T194" s="4" t="n">
        <v>2</v>
      </c>
      <c r="U194" s="3" t="n">
        <v>2</v>
      </c>
      <c r="V194" s="3" t="n">
        <v>5.09</v>
      </c>
      <c r="W194" s="3" t="n">
        <v>2.74</v>
      </c>
      <c r="X194" s="3" t="n">
        <v>6.33</v>
      </c>
      <c r="Y194" s="3" t="n">
        <v>479</v>
      </c>
      <c r="AA194" s="3" t="n">
        <v>0.5</v>
      </c>
      <c r="AB194" s="3" t="n">
        <v>15.6</v>
      </c>
      <c r="AC194" s="3" t="n">
        <v>1</v>
      </c>
      <c r="AD194" s="3" t="n">
        <v>2</v>
      </c>
      <c r="AE194" s="3" t="n">
        <v>1</v>
      </c>
      <c r="AF194" s="3" t="n">
        <v>1</v>
      </c>
      <c r="AG194" s="3" t="n">
        <v>2</v>
      </c>
      <c r="AH194" s="3" t="n">
        <v>2</v>
      </c>
      <c r="AI194" s="3" t="n">
        <v>1</v>
      </c>
      <c r="AJ194" s="3" t="n">
        <v>2</v>
      </c>
      <c r="AK194" s="3" t="n">
        <v>2</v>
      </c>
      <c r="AL194" s="3" t="n">
        <v>2</v>
      </c>
      <c r="AM194" s="3" t="n">
        <v>2</v>
      </c>
      <c r="AN194" s="3" t="n">
        <v>2</v>
      </c>
      <c r="AO194" s="3" t="n">
        <v>2</v>
      </c>
      <c r="AP194" s="3" t="n">
        <v>3</v>
      </c>
      <c r="AQ194" s="3" t="n">
        <v>4</v>
      </c>
      <c r="AR194" s="3" t="n">
        <v>4</v>
      </c>
      <c r="AS194" s="3" t="n">
        <v>6</v>
      </c>
      <c r="AT194" s="3" t="n">
        <v>4</v>
      </c>
      <c r="AU194" s="3" t="n">
        <v>4</v>
      </c>
      <c r="AV194" s="3" t="n">
        <v>6</v>
      </c>
      <c r="AW194" s="3" t="n">
        <v>6</v>
      </c>
      <c r="AX194" s="3" t="n">
        <v>3</v>
      </c>
      <c r="AY194" s="3" t="n">
        <v>3</v>
      </c>
      <c r="AZ194" s="3" t="n">
        <v>1</v>
      </c>
      <c r="BA194" s="5" t="n">
        <v>1</v>
      </c>
      <c r="BB194" s="3" t="n">
        <v>1</v>
      </c>
      <c r="BC194" s="3" t="n">
        <v>1</v>
      </c>
      <c r="BD194" s="3" t="n">
        <v>4</v>
      </c>
      <c r="BE194" s="3" t="n">
        <v>3</v>
      </c>
      <c r="BF194" s="3" t="n">
        <v>5</v>
      </c>
      <c r="BG194" s="3" t="n">
        <v>3</v>
      </c>
      <c r="BH194" s="3" t="n">
        <v>4</v>
      </c>
      <c r="BI194" s="3" t="n">
        <v>1</v>
      </c>
      <c r="BJ194" s="3" t="n">
        <v>1</v>
      </c>
    </row>
    <row r="195" customFormat="false" ht="12.75" hidden="false" customHeight="false" outlineLevel="0" collapsed="false">
      <c r="B195" s="2" t="s">
        <v>569</v>
      </c>
      <c r="C195" s="2" t="s">
        <v>172</v>
      </c>
      <c r="D195" s="2" t="s">
        <v>2142</v>
      </c>
      <c r="E195" s="2" t="n">
        <v>196872</v>
      </c>
      <c r="F195" s="15" t="n">
        <v>43948</v>
      </c>
      <c r="G195" s="15" t="n">
        <v>43955</v>
      </c>
      <c r="H195" s="3" t="n">
        <v>7</v>
      </c>
      <c r="I195" s="3" t="n">
        <v>2</v>
      </c>
      <c r="J195" s="3" t="n">
        <v>58</v>
      </c>
      <c r="K195" s="3" t="n">
        <v>2</v>
      </c>
      <c r="L195" s="3" t="n">
        <v>1</v>
      </c>
      <c r="M195" s="3" t="n">
        <v>1</v>
      </c>
      <c r="N195" s="3" t="n">
        <v>2</v>
      </c>
      <c r="O195" s="3" t="n">
        <v>2</v>
      </c>
      <c r="P195" s="3" t="n">
        <v>2</v>
      </c>
      <c r="Q195" s="3" t="n">
        <v>1</v>
      </c>
      <c r="R195" s="3" t="n">
        <v>2</v>
      </c>
      <c r="S195" s="3" t="n">
        <v>2</v>
      </c>
      <c r="T195" s="4" t="n">
        <v>2</v>
      </c>
      <c r="U195" s="3" t="n">
        <v>2</v>
      </c>
      <c r="V195" s="3" t="n">
        <v>6.25</v>
      </c>
      <c r="W195" s="3" t="n">
        <v>1.96</v>
      </c>
      <c r="X195" s="3" t="n">
        <v>9.99</v>
      </c>
      <c r="Y195" s="3" t="n">
        <v>450</v>
      </c>
      <c r="AA195" s="3" t="n">
        <v>0.5</v>
      </c>
      <c r="AB195" s="3" t="n">
        <v>15.6</v>
      </c>
      <c r="AC195" s="3" t="n">
        <v>2</v>
      </c>
      <c r="AD195" s="3" t="n">
        <v>2</v>
      </c>
      <c r="AE195" s="3" t="n">
        <v>1</v>
      </c>
      <c r="AF195" s="3" t="n">
        <v>1</v>
      </c>
      <c r="AG195" s="3" t="n">
        <v>2</v>
      </c>
      <c r="AH195" s="3" t="n">
        <v>2</v>
      </c>
      <c r="AI195" s="3" t="n">
        <v>1</v>
      </c>
      <c r="AJ195" s="3" t="n">
        <v>2</v>
      </c>
      <c r="AK195" s="3" t="n">
        <v>2</v>
      </c>
      <c r="AL195" s="3" t="n">
        <v>2</v>
      </c>
      <c r="AM195" s="3" t="n">
        <v>2</v>
      </c>
      <c r="AN195" s="3" t="n">
        <v>2</v>
      </c>
      <c r="AO195" s="3" t="n">
        <v>2</v>
      </c>
      <c r="AP195" s="3" t="n">
        <v>3</v>
      </c>
      <c r="AQ195" s="3" t="n">
        <v>4</v>
      </c>
      <c r="AR195" s="3" t="n">
        <v>4</v>
      </c>
      <c r="AS195" s="3" t="n">
        <v>6</v>
      </c>
      <c r="AT195" s="3" t="n">
        <v>4</v>
      </c>
      <c r="AU195" s="3" t="n">
        <v>4</v>
      </c>
      <c r="AV195" s="3" t="n">
        <v>6</v>
      </c>
      <c r="AW195" s="3" t="n">
        <v>6</v>
      </c>
      <c r="AX195" s="3" t="n">
        <v>3</v>
      </c>
      <c r="AY195" s="3" t="n">
        <v>3</v>
      </c>
      <c r="AZ195" s="3" t="n">
        <v>1</v>
      </c>
      <c r="BA195" s="5" t="n">
        <v>1</v>
      </c>
      <c r="BB195" s="3" t="n">
        <v>1</v>
      </c>
      <c r="BC195" s="3" t="n">
        <v>1</v>
      </c>
      <c r="BD195" s="3" t="n">
        <v>2</v>
      </c>
      <c r="BE195" s="3" t="n">
        <v>1</v>
      </c>
      <c r="BF195" s="3" t="n">
        <v>2</v>
      </c>
      <c r="BG195" s="3" t="n">
        <v>1</v>
      </c>
      <c r="BH195" s="3" t="n">
        <v>4</v>
      </c>
      <c r="BI195" s="3" t="n">
        <v>1</v>
      </c>
      <c r="BJ195" s="3" t="n">
        <v>1</v>
      </c>
    </row>
    <row r="196" customFormat="false" ht="12.75" hidden="false" customHeight="false" outlineLevel="0" collapsed="false">
      <c r="B196" s="2" t="s">
        <v>2146</v>
      </c>
      <c r="C196" s="2" t="s">
        <v>330</v>
      </c>
      <c r="D196" s="2" t="s">
        <v>382</v>
      </c>
      <c r="E196" s="2" t="n">
        <v>197246</v>
      </c>
      <c r="F196" s="15" t="n">
        <v>43953</v>
      </c>
      <c r="G196" s="15" t="n">
        <v>43957</v>
      </c>
      <c r="H196" s="3" t="n">
        <v>4</v>
      </c>
      <c r="I196" s="3" t="n">
        <v>1</v>
      </c>
      <c r="J196" s="3" t="n">
        <v>66</v>
      </c>
      <c r="K196" s="3" t="n">
        <v>2</v>
      </c>
      <c r="L196" s="3" t="n">
        <v>1</v>
      </c>
      <c r="M196" s="3" t="n">
        <v>2</v>
      </c>
      <c r="N196" s="3" t="n">
        <v>2</v>
      </c>
      <c r="O196" s="3" t="n">
        <v>2</v>
      </c>
      <c r="P196" s="3" t="n">
        <v>2</v>
      </c>
      <c r="Q196" s="3" t="n">
        <v>2</v>
      </c>
      <c r="R196" s="3" t="n">
        <v>2</v>
      </c>
      <c r="S196" s="3" t="n">
        <v>2</v>
      </c>
      <c r="T196" s="4" t="n">
        <v>2</v>
      </c>
      <c r="U196" s="3" t="n">
        <v>2</v>
      </c>
      <c r="V196" s="3" t="n">
        <v>3.39</v>
      </c>
      <c r="W196" s="3" t="n">
        <v>1.67</v>
      </c>
      <c r="X196" s="3" t="n">
        <v>4.5</v>
      </c>
      <c r="Y196" s="3" t="n">
        <v>471</v>
      </c>
      <c r="AA196" s="3" t="n">
        <v>0.39</v>
      </c>
      <c r="AB196" s="3" t="n">
        <v>15.1</v>
      </c>
      <c r="AC196" s="3" t="n">
        <v>1</v>
      </c>
      <c r="AD196" s="3" t="n">
        <v>2</v>
      </c>
      <c r="AE196" s="3" t="n">
        <v>1</v>
      </c>
      <c r="AF196" s="3" t="n">
        <v>1</v>
      </c>
      <c r="AG196" s="3" t="n">
        <v>2</v>
      </c>
      <c r="AH196" s="3" t="n">
        <v>2</v>
      </c>
      <c r="AI196" s="3" t="n">
        <v>1</v>
      </c>
      <c r="AJ196" s="3" t="n">
        <v>2</v>
      </c>
      <c r="AK196" s="3" t="n">
        <v>2</v>
      </c>
      <c r="AL196" s="3" t="n">
        <v>2</v>
      </c>
      <c r="AM196" s="3" t="n">
        <v>1</v>
      </c>
      <c r="AN196" s="3" t="n">
        <v>2</v>
      </c>
      <c r="AO196" s="3" t="n">
        <v>2</v>
      </c>
      <c r="AP196" s="3" t="n">
        <v>3</v>
      </c>
      <c r="AQ196" s="3" t="n">
        <v>4</v>
      </c>
      <c r="AR196" s="3" t="n">
        <v>4</v>
      </c>
      <c r="AS196" s="3" t="n">
        <v>6</v>
      </c>
      <c r="AT196" s="3" t="n">
        <v>4</v>
      </c>
      <c r="AU196" s="3" t="n">
        <v>4</v>
      </c>
      <c r="AV196" s="3" t="n">
        <v>6</v>
      </c>
      <c r="AW196" s="3" t="n">
        <v>6</v>
      </c>
      <c r="AX196" s="3" t="n">
        <v>3</v>
      </c>
      <c r="AY196" s="3" t="n">
        <v>3</v>
      </c>
      <c r="AZ196" s="3" t="n">
        <v>1</v>
      </c>
      <c r="BA196" s="5" t="n">
        <v>1</v>
      </c>
      <c r="BB196" s="3" t="n">
        <v>1</v>
      </c>
      <c r="BC196" s="3" t="n">
        <v>1</v>
      </c>
      <c r="BD196" s="3" t="n">
        <v>4</v>
      </c>
      <c r="BE196" s="3" t="n">
        <v>3</v>
      </c>
      <c r="BF196" s="3" t="n">
        <v>5</v>
      </c>
      <c r="BG196" s="3" t="n">
        <v>3</v>
      </c>
      <c r="BH196" s="3" t="n">
        <v>4</v>
      </c>
      <c r="BI196" s="3" t="n">
        <v>1</v>
      </c>
      <c r="BJ196" s="3" t="n">
        <v>1</v>
      </c>
    </row>
    <row r="197" customFormat="false" ht="12.75" hidden="false" customHeight="false" outlineLevel="0" collapsed="false">
      <c r="B197" s="2" t="s">
        <v>2148</v>
      </c>
      <c r="C197" s="2" t="s">
        <v>746</v>
      </c>
      <c r="D197" s="2" t="s">
        <v>78</v>
      </c>
      <c r="E197" s="2" t="n">
        <v>197208</v>
      </c>
      <c r="F197" s="15" t="n">
        <v>43951</v>
      </c>
      <c r="G197" s="15" t="n">
        <v>43957</v>
      </c>
      <c r="H197" s="3" t="n">
        <v>7</v>
      </c>
      <c r="I197" s="3" t="n">
        <v>2</v>
      </c>
      <c r="J197" s="3" t="n">
        <v>56</v>
      </c>
      <c r="K197" s="3" t="n">
        <v>1</v>
      </c>
      <c r="L197" s="3" t="n">
        <v>1</v>
      </c>
      <c r="M197" s="3" t="n">
        <v>2</v>
      </c>
      <c r="N197" s="3" t="n">
        <v>2</v>
      </c>
      <c r="O197" s="3" t="n">
        <v>2</v>
      </c>
      <c r="P197" s="3" t="n">
        <v>2</v>
      </c>
      <c r="Q197" s="3" t="n">
        <v>2</v>
      </c>
      <c r="R197" s="3" t="n">
        <v>2</v>
      </c>
      <c r="S197" s="3" t="n">
        <v>2</v>
      </c>
      <c r="T197" s="4" t="n">
        <v>2</v>
      </c>
      <c r="U197" s="3" t="n">
        <v>2</v>
      </c>
      <c r="V197" s="3" t="n">
        <v>5.5</v>
      </c>
      <c r="W197" s="3" t="n">
        <v>1.37</v>
      </c>
      <c r="X197" s="3" t="n">
        <v>8.6</v>
      </c>
      <c r="Y197" s="3" t="n">
        <v>341</v>
      </c>
      <c r="AA197" s="3" t="n">
        <v>0.46</v>
      </c>
      <c r="AB197" s="3" t="n">
        <v>13.8</v>
      </c>
      <c r="AC197" s="3" t="n">
        <v>1</v>
      </c>
      <c r="AD197" s="3" t="n">
        <v>2</v>
      </c>
      <c r="AE197" s="3" t="n">
        <v>1</v>
      </c>
      <c r="AF197" s="3" t="n">
        <v>1</v>
      </c>
      <c r="AG197" s="3" t="n">
        <v>2</v>
      </c>
      <c r="AH197" s="3" t="n">
        <v>2</v>
      </c>
      <c r="AI197" s="3" t="n">
        <v>1</v>
      </c>
      <c r="AJ197" s="3" t="n">
        <v>2</v>
      </c>
      <c r="AK197" s="3" t="n">
        <v>2</v>
      </c>
      <c r="AL197" s="3" t="n">
        <v>2</v>
      </c>
      <c r="AM197" s="3" t="n">
        <v>2</v>
      </c>
      <c r="AN197" s="3" t="n">
        <v>2</v>
      </c>
      <c r="AO197" s="3" t="n">
        <v>2</v>
      </c>
      <c r="AP197" s="3" t="n">
        <v>3</v>
      </c>
      <c r="AQ197" s="3" t="n">
        <v>4</v>
      </c>
      <c r="AR197" s="3" t="n">
        <v>4</v>
      </c>
      <c r="AS197" s="3" t="n">
        <v>6</v>
      </c>
      <c r="AT197" s="3" t="n">
        <v>4</v>
      </c>
      <c r="AU197" s="3" t="n">
        <v>4</v>
      </c>
      <c r="AV197" s="3" t="n">
        <v>6</v>
      </c>
      <c r="AW197" s="3" t="n">
        <v>6</v>
      </c>
      <c r="AX197" s="3" t="n">
        <v>3</v>
      </c>
      <c r="AY197" s="3" t="n">
        <v>3</v>
      </c>
      <c r="AZ197" s="3" t="n">
        <v>1</v>
      </c>
      <c r="BA197" s="5" t="n">
        <v>1</v>
      </c>
      <c r="BB197" s="3" t="n">
        <v>1</v>
      </c>
      <c r="BC197" s="3" t="n">
        <v>1</v>
      </c>
      <c r="BD197" s="3" t="n">
        <v>4</v>
      </c>
      <c r="BE197" s="3" t="n">
        <v>1</v>
      </c>
      <c r="BF197" s="3" t="n">
        <v>2</v>
      </c>
      <c r="BG197" s="3" t="n">
        <v>1</v>
      </c>
      <c r="BH197" s="3" t="n">
        <v>4</v>
      </c>
      <c r="BI197" s="3" t="n">
        <v>1</v>
      </c>
      <c r="BJ197" s="3" t="n">
        <v>1</v>
      </c>
    </row>
    <row r="198" customFormat="false" ht="12.75" hidden="false" customHeight="false" outlineLevel="0" collapsed="false">
      <c r="B198" s="2" t="s">
        <v>440</v>
      </c>
      <c r="C198" s="2" t="s">
        <v>595</v>
      </c>
      <c r="D198" s="2" t="s">
        <v>197</v>
      </c>
      <c r="E198" s="2" t="n">
        <v>196797</v>
      </c>
      <c r="F198" s="15" t="n">
        <v>43955</v>
      </c>
      <c r="G198" s="15" t="n">
        <v>43961</v>
      </c>
      <c r="H198" s="3" t="n">
        <v>6</v>
      </c>
      <c r="I198" s="3" t="n">
        <v>2</v>
      </c>
      <c r="J198" s="3" t="n">
        <v>56</v>
      </c>
      <c r="K198" s="3" t="n">
        <v>1</v>
      </c>
      <c r="L198" s="3" t="n">
        <v>1</v>
      </c>
      <c r="M198" s="3" t="n">
        <v>2</v>
      </c>
      <c r="N198" s="3" t="n">
        <v>1</v>
      </c>
      <c r="O198" s="3" t="n">
        <v>2</v>
      </c>
      <c r="P198" s="3" t="n">
        <v>2</v>
      </c>
      <c r="Q198" s="3" t="n">
        <v>2</v>
      </c>
      <c r="R198" s="3" t="n">
        <v>2</v>
      </c>
      <c r="S198" s="3" t="n">
        <v>1</v>
      </c>
      <c r="T198" s="4" t="n">
        <v>2</v>
      </c>
      <c r="U198" s="3" t="n">
        <v>2</v>
      </c>
      <c r="V198" s="3" t="n">
        <v>5.28</v>
      </c>
      <c r="W198" s="3" t="n">
        <v>1.42</v>
      </c>
      <c r="X198" s="3" t="n">
        <v>7.68</v>
      </c>
      <c r="Y198" s="3" t="n">
        <v>472</v>
      </c>
      <c r="AA198" s="3" t="n">
        <v>0.52</v>
      </c>
      <c r="AB198" s="3" t="n">
        <v>13</v>
      </c>
      <c r="AC198" s="3" t="n">
        <v>1</v>
      </c>
      <c r="AD198" s="3" t="n">
        <v>2</v>
      </c>
      <c r="AE198" s="3" t="n">
        <v>1</v>
      </c>
      <c r="AF198" s="3" t="n">
        <v>1</v>
      </c>
      <c r="AG198" s="3" t="n">
        <v>2</v>
      </c>
      <c r="AH198" s="3" t="n">
        <v>2</v>
      </c>
      <c r="AI198" s="3" t="n">
        <v>1</v>
      </c>
      <c r="AJ198" s="3" t="n">
        <v>1</v>
      </c>
      <c r="AK198" s="3" t="n">
        <v>2</v>
      </c>
      <c r="AL198" s="3" t="n">
        <v>2</v>
      </c>
      <c r="AM198" s="3" t="n">
        <v>2</v>
      </c>
      <c r="AN198" s="3" t="n">
        <v>2</v>
      </c>
      <c r="AO198" s="3" t="n">
        <v>2</v>
      </c>
      <c r="AP198" s="3" t="n">
        <v>3</v>
      </c>
      <c r="AQ198" s="3" t="n">
        <v>4</v>
      </c>
      <c r="AR198" s="3" t="n">
        <v>4</v>
      </c>
      <c r="AS198" s="3" t="n">
        <v>6</v>
      </c>
      <c r="AT198" s="3" t="n">
        <v>4</v>
      </c>
      <c r="AU198" s="3" t="n">
        <v>4</v>
      </c>
      <c r="AV198" s="3" t="n">
        <v>6</v>
      </c>
      <c r="AW198" s="3" t="n">
        <v>6</v>
      </c>
      <c r="AX198" s="3" t="n">
        <v>3</v>
      </c>
      <c r="AY198" s="3" t="n">
        <v>3</v>
      </c>
      <c r="AZ198" s="3" t="n">
        <v>1</v>
      </c>
      <c r="BA198" s="5" t="n">
        <v>1</v>
      </c>
      <c r="BB198" s="3" t="n">
        <v>1</v>
      </c>
      <c r="BC198" s="3" t="n">
        <v>1</v>
      </c>
      <c r="BD198" s="3" t="n">
        <v>4</v>
      </c>
      <c r="BE198" s="3" t="n">
        <v>1</v>
      </c>
      <c r="BF198" s="3" t="n">
        <v>2</v>
      </c>
      <c r="BG198" s="3" t="n">
        <v>1</v>
      </c>
      <c r="BH198" s="3" t="n">
        <v>4</v>
      </c>
      <c r="BI198" s="3" t="n">
        <v>1</v>
      </c>
      <c r="BJ198" s="3" t="n">
        <v>1</v>
      </c>
    </row>
    <row r="199" customFormat="false" ht="12.75" hidden="false" customHeight="false" outlineLevel="0" collapsed="false">
      <c r="B199" s="2" t="s">
        <v>258</v>
      </c>
      <c r="C199" s="2" t="s">
        <v>611</v>
      </c>
      <c r="D199" s="2" t="s">
        <v>2151</v>
      </c>
      <c r="E199" s="2" t="n">
        <v>197260</v>
      </c>
      <c r="F199" s="15" t="n">
        <v>43954</v>
      </c>
      <c r="G199" s="15" t="n">
        <v>43961</v>
      </c>
      <c r="H199" s="3" t="n">
        <v>7</v>
      </c>
      <c r="I199" s="3" t="n">
        <v>2</v>
      </c>
      <c r="J199" s="3" t="n">
        <v>47</v>
      </c>
      <c r="K199" s="3" t="n">
        <v>1</v>
      </c>
      <c r="L199" s="3" t="n">
        <v>2</v>
      </c>
      <c r="M199" s="3" t="n">
        <v>1</v>
      </c>
      <c r="N199" s="3" t="n">
        <v>1</v>
      </c>
      <c r="O199" s="3" t="n">
        <v>2</v>
      </c>
      <c r="P199" s="3" t="n">
        <v>2</v>
      </c>
      <c r="Q199" s="3" t="n">
        <v>2</v>
      </c>
      <c r="R199" s="3" t="n">
        <v>2</v>
      </c>
      <c r="S199" s="3" t="n">
        <v>2</v>
      </c>
      <c r="T199" s="4" t="n">
        <v>2</v>
      </c>
      <c r="U199" s="3" t="n">
        <v>2</v>
      </c>
      <c r="V199" s="3" t="n">
        <v>4.72</v>
      </c>
      <c r="W199" s="3" t="n">
        <v>2.72</v>
      </c>
      <c r="X199" s="3" t="n">
        <v>11.3</v>
      </c>
      <c r="Y199" s="3" t="n">
        <v>394</v>
      </c>
      <c r="AA199" s="3" t="n">
        <v>0.51</v>
      </c>
      <c r="AB199" s="3" t="n">
        <v>15</v>
      </c>
      <c r="AC199" s="3" t="n">
        <v>1</v>
      </c>
      <c r="AD199" s="3" t="n">
        <v>2</v>
      </c>
      <c r="AE199" s="3" t="n">
        <v>1</v>
      </c>
      <c r="AF199" s="3" t="n">
        <v>1</v>
      </c>
      <c r="AG199" s="3" t="n">
        <v>1</v>
      </c>
      <c r="AH199" s="3" t="n">
        <v>2</v>
      </c>
      <c r="AI199" s="3" t="n">
        <v>1</v>
      </c>
      <c r="AJ199" s="3" t="n">
        <v>2</v>
      </c>
      <c r="AK199" s="3" t="n">
        <v>2</v>
      </c>
      <c r="AL199" s="3" t="n">
        <v>2</v>
      </c>
      <c r="AM199" s="3" t="n">
        <v>2</v>
      </c>
      <c r="AN199" s="3" t="n">
        <v>2</v>
      </c>
      <c r="AO199" s="3" t="n">
        <v>2</v>
      </c>
      <c r="AP199" s="3" t="n">
        <v>3</v>
      </c>
      <c r="AQ199" s="3" t="n">
        <v>4</v>
      </c>
      <c r="AR199" s="3" t="n">
        <v>4</v>
      </c>
      <c r="AS199" s="3" t="n">
        <v>6</v>
      </c>
      <c r="AT199" s="3" t="n">
        <v>4</v>
      </c>
      <c r="AU199" s="3" t="n">
        <v>4</v>
      </c>
      <c r="AV199" s="3" t="n">
        <v>6</v>
      </c>
      <c r="AW199" s="3" t="n">
        <v>6</v>
      </c>
      <c r="AX199" s="3" t="n">
        <v>3</v>
      </c>
      <c r="AY199" s="3" t="n">
        <v>3</v>
      </c>
      <c r="AZ199" s="3" t="n">
        <v>16</v>
      </c>
      <c r="BA199" s="5" t="n">
        <v>1</v>
      </c>
      <c r="BB199" s="3" t="n">
        <v>1</v>
      </c>
      <c r="BC199" s="3" t="n">
        <v>1</v>
      </c>
      <c r="BD199" s="3" t="n">
        <v>2</v>
      </c>
      <c r="BE199" s="3" t="n">
        <v>1</v>
      </c>
      <c r="BF199" s="3" t="n">
        <v>2</v>
      </c>
      <c r="BG199" s="3" t="n">
        <v>1</v>
      </c>
      <c r="BH199" s="3" t="n">
        <v>4</v>
      </c>
      <c r="BI199" s="3" t="n">
        <v>1</v>
      </c>
      <c r="BJ199" s="3" t="n">
        <v>1</v>
      </c>
    </row>
    <row r="200" customFormat="false" ht="12.75" hidden="false" customHeight="false" outlineLevel="0" collapsed="false">
      <c r="B200" s="2" t="s">
        <v>2156</v>
      </c>
      <c r="C200" s="2" t="s">
        <v>2124</v>
      </c>
      <c r="D200" s="2" t="s">
        <v>849</v>
      </c>
      <c r="E200" s="2" t="n">
        <v>196793</v>
      </c>
      <c r="F200" s="15" t="n">
        <v>43956</v>
      </c>
      <c r="G200" s="15" t="n">
        <v>43962</v>
      </c>
      <c r="H200" s="3" t="n">
        <v>6</v>
      </c>
      <c r="I200" s="3" t="n">
        <v>2</v>
      </c>
      <c r="J200" s="3" t="n">
        <v>62</v>
      </c>
      <c r="K200" s="3" t="n">
        <v>1</v>
      </c>
      <c r="L200" s="3" t="n">
        <v>1</v>
      </c>
      <c r="M200" s="3" t="n">
        <v>2</v>
      </c>
      <c r="N200" s="3" t="n">
        <v>2</v>
      </c>
      <c r="O200" s="3" t="n">
        <v>2</v>
      </c>
      <c r="P200" s="3" t="n">
        <v>2</v>
      </c>
      <c r="Q200" s="3" t="n">
        <v>2</v>
      </c>
      <c r="R200" s="3" t="n">
        <v>2</v>
      </c>
      <c r="S200" s="3" t="n">
        <v>2</v>
      </c>
      <c r="T200" s="4" t="n">
        <v>2</v>
      </c>
      <c r="U200" s="3" t="n">
        <v>2</v>
      </c>
      <c r="V200" s="3" t="n">
        <v>5.31</v>
      </c>
      <c r="W200" s="3" t="n">
        <v>1.87</v>
      </c>
      <c r="X200" s="3" t="n">
        <v>10.72</v>
      </c>
      <c r="Y200" s="3" t="n">
        <v>415</v>
      </c>
      <c r="AA200" s="3" t="n">
        <v>0.48</v>
      </c>
      <c r="AB200" s="3" t="n">
        <v>14.3</v>
      </c>
      <c r="AC200" s="3" t="n">
        <v>1</v>
      </c>
      <c r="AD200" s="3" t="n">
        <v>2</v>
      </c>
      <c r="AE200" s="3" t="n">
        <v>1</v>
      </c>
      <c r="AF200" s="3" t="n">
        <v>1</v>
      </c>
      <c r="AG200" s="3" t="n">
        <v>2</v>
      </c>
      <c r="AH200" s="3" t="n">
        <v>2</v>
      </c>
      <c r="AI200" s="3" t="n">
        <v>1</v>
      </c>
      <c r="AJ200" s="3" t="n">
        <v>2</v>
      </c>
      <c r="AK200" s="3" t="n">
        <v>2</v>
      </c>
      <c r="AL200" s="3" t="n">
        <v>2</v>
      </c>
      <c r="AM200" s="3" t="n">
        <v>2</v>
      </c>
      <c r="AN200" s="3" t="n">
        <v>2</v>
      </c>
      <c r="AO200" s="3" t="n">
        <v>2</v>
      </c>
      <c r="AP200" s="3" t="n">
        <v>3</v>
      </c>
      <c r="AQ200" s="3" t="n">
        <v>4</v>
      </c>
      <c r="AR200" s="3" t="n">
        <v>4</v>
      </c>
      <c r="AS200" s="3" t="n">
        <v>6</v>
      </c>
      <c r="AT200" s="3" t="n">
        <v>4</v>
      </c>
      <c r="AU200" s="3" t="n">
        <v>4</v>
      </c>
      <c r="AV200" s="3" t="n">
        <v>6</v>
      </c>
      <c r="AW200" s="3" t="n">
        <v>6</v>
      </c>
      <c r="AX200" s="3" t="n">
        <v>3</v>
      </c>
      <c r="AY200" s="3" t="n">
        <v>3</v>
      </c>
      <c r="AZ200" s="3" t="n">
        <v>1</v>
      </c>
      <c r="BA200" s="5" t="n">
        <v>1</v>
      </c>
      <c r="BB200" s="3" t="n">
        <v>1</v>
      </c>
      <c r="BC200" s="3" t="n">
        <v>1</v>
      </c>
      <c r="BD200" s="3" t="n">
        <v>4</v>
      </c>
      <c r="BE200" s="3" t="n">
        <v>1</v>
      </c>
      <c r="BF200" s="3" t="n">
        <v>2</v>
      </c>
      <c r="BG200" s="3" t="n">
        <v>1</v>
      </c>
      <c r="BH200" s="3" t="n">
        <v>4</v>
      </c>
      <c r="BI200" s="3" t="n">
        <v>1</v>
      </c>
      <c r="BJ200" s="3" t="n">
        <v>1</v>
      </c>
    </row>
    <row r="201" customFormat="false" ht="12.75" hidden="false" customHeight="false" outlineLevel="0" collapsed="false">
      <c r="B201" s="2" t="s">
        <v>2158</v>
      </c>
      <c r="C201" s="2" t="s">
        <v>1197</v>
      </c>
      <c r="D201" s="2" t="s">
        <v>2159</v>
      </c>
      <c r="E201" s="2" t="n">
        <v>197001</v>
      </c>
      <c r="F201" s="15" t="n">
        <v>43955</v>
      </c>
      <c r="G201" s="15" t="n">
        <v>43962</v>
      </c>
      <c r="H201" s="3" t="n">
        <v>7</v>
      </c>
      <c r="I201" s="3" t="n">
        <v>2</v>
      </c>
      <c r="J201" s="3" t="n">
        <v>72</v>
      </c>
      <c r="K201" s="3" t="n">
        <v>2</v>
      </c>
      <c r="L201" s="3" t="n">
        <v>1</v>
      </c>
      <c r="M201" s="3" t="n">
        <v>2</v>
      </c>
      <c r="N201" s="3" t="n">
        <v>2</v>
      </c>
      <c r="O201" s="3" t="n">
        <v>2</v>
      </c>
      <c r="P201" s="3" t="n">
        <v>2</v>
      </c>
      <c r="Q201" s="3" t="n">
        <v>2</v>
      </c>
      <c r="R201" s="3" t="n">
        <v>2</v>
      </c>
      <c r="S201" s="3" t="n">
        <v>2</v>
      </c>
      <c r="T201" s="4" t="n">
        <v>2</v>
      </c>
      <c r="U201" s="3" t="n">
        <v>2</v>
      </c>
      <c r="V201" s="3" t="n">
        <v>2.94</v>
      </c>
      <c r="W201" s="3" t="n">
        <v>1.86</v>
      </c>
      <c r="X201" s="3" t="n">
        <v>6.41</v>
      </c>
      <c r="Y201" s="3" t="n">
        <v>469</v>
      </c>
      <c r="AA201" s="3" t="n">
        <v>0.35</v>
      </c>
      <c r="AB201" s="3" t="n">
        <v>7</v>
      </c>
      <c r="AC201" s="3" t="n">
        <v>1</v>
      </c>
      <c r="AD201" s="3" t="n">
        <v>2</v>
      </c>
      <c r="AE201" s="3" t="n">
        <v>1</v>
      </c>
      <c r="AF201" s="3" t="n">
        <v>1</v>
      </c>
      <c r="AG201" s="3" t="n">
        <v>2</v>
      </c>
      <c r="AH201" s="3" t="n">
        <v>2</v>
      </c>
      <c r="AI201" s="3" t="n">
        <v>1</v>
      </c>
      <c r="AJ201" s="3" t="n">
        <v>2</v>
      </c>
      <c r="AK201" s="3" t="n">
        <v>2</v>
      </c>
      <c r="AL201" s="3" t="n">
        <v>2</v>
      </c>
      <c r="AM201" s="3" t="n">
        <v>1</v>
      </c>
      <c r="AN201" s="3" t="n">
        <v>1</v>
      </c>
      <c r="AO201" s="3" t="n">
        <v>2</v>
      </c>
      <c r="AP201" s="3" t="n">
        <v>3</v>
      </c>
      <c r="AQ201" s="3" t="n">
        <v>4</v>
      </c>
      <c r="AR201" s="3" t="n">
        <v>4</v>
      </c>
      <c r="AS201" s="3" t="n">
        <v>6</v>
      </c>
      <c r="AT201" s="3" t="n">
        <v>4</v>
      </c>
      <c r="AU201" s="3" t="n">
        <v>4</v>
      </c>
      <c r="AV201" s="3" t="n">
        <v>6</v>
      </c>
      <c r="AW201" s="3" t="n">
        <v>6</v>
      </c>
      <c r="AX201" s="3" t="n">
        <v>3</v>
      </c>
      <c r="AY201" s="3" t="n">
        <v>3</v>
      </c>
      <c r="AZ201" s="3" t="n">
        <v>6</v>
      </c>
      <c r="BA201" s="5" t="n">
        <v>1</v>
      </c>
      <c r="BB201" s="3" t="n">
        <v>1</v>
      </c>
      <c r="BC201" s="3" t="n">
        <v>1</v>
      </c>
      <c r="BD201" s="3" t="n">
        <v>4</v>
      </c>
      <c r="BE201" s="3" t="n">
        <v>1</v>
      </c>
      <c r="BF201" s="3" t="n">
        <v>2</v>
      </c>
      <c r="BG201" s="3" t="n">
        <v>1</v>
      </c>
      <c r="BH201" s="3" t="n">
        <v>4</v>
      </c>
      <c r="BI201" s="3" t="n">
        <v>1</v>
      </c>
      <c r="BJ201" s="3" t="n">
        <v>1</v>
      </c>
    </row>
    <row r="202" customFormat="false" ht="12.75" hidden="false" customHeight="false" outlineLevel="0" collapsed="false">
      <c r="B202" s="2" t="s">
        <v>2162</v>
      </c>
      <c r="C202" s="2" t="s">
        <v>1243</v>
      </c>
      <c r="D202" s="2" t="s">
        <v>304</v>
      </c>
      <c r="E202" s="2" t="n">
        <v>197279</v>
      </c>
      <c r="F202" s="15" t="n">
        <v>43960</v>
      </c>
      <c r="G202" s="15" t="n">
        <v>43965</v>
      </c>
      <c r="H202" s="3" t="n">
        <v>5</v>
      </c>
      <c r="I202" s="3" t="n">
        <v>2</v>
      </c>
      <c r="J202" s="3" t="n">
        <v>56</v>
      </c>
      <c r="K202" s="3" t="n">
        <v>1</v>
      </c>
      <c r="L202" s="3" t="n">
        <v>1</v>
      </c>
      <c r="M202" s="3" t="n">
        <v>2</v>
      </c>
      <c r="N202" s="3" t="n">
        <v>2</v>
      </c>
      <c r="O202" s="3" t="n">
        <v>2</v>
      </c>
      <c r="P202" s="3" t="n">
        <v>2</v>
      </c>
      <c r="Q202" s="3" t="n">
        <v>2</v>
      </c>
      <c r="R202" s="3" t="n">
        <v>2</v>
      </c>
      <c r="S202" s="3" t="n">
        <v>2</v>
      </c>
      <c r="T202" s="4" t="n">
        <v>2</v>
      </c>
      <c r="U202" s="3" t="n">
        <v>2</v>
      </c>
      <c r="V202" s="3" t="n">
        <v>4.49</v>
      </c>
      <c r="W202" s="3"/>
      <c r="X202" s="3" t="n">
        <v>6.02</v>
      </c>
      <c r="Y202" s="3" t="n">
        <v>332</v>
      </c>
      <c r="AA202" s="3" t="n">
        <v>0.49</v>
      </c>
      <c r="AB202" s="3" t="n">
        <v>15.9</v>
      </c>
      <c r="AC202" s="3" t="n">
        <v>1</v>
      </c>
      <c r="AD202" s="3" t="n">
        <v>2</v>
      </c>
      <c r="AE202" s="3" t="n">
        <v>1</v>
      </c>
      <c r="AF202" s="3" t="n">
        <v>1</v>
      </c>
      <c r="AG202" s="3" t="n">
        <v>2</v>
      </c>
      <c r="AH202" s="3" t="n">
        <v>2</v>
      </c>
      <c r="AI202" s="3" t="n">
        <v>1</v>
      </c>
      <c r="AJ202" s="3" t="n">
        <v>2</v>
      </c>
      <c r="AK202" s="3" t="n">
        <v>2</v>
      </c>
      <c r="AL202" s="3" t="n">
        <v>2</v>
      </c>
      <c r="AM202" s="3" t="n">
        <v>1</v>
      </c>
      <c r="AN202" s="3" t="n">
        <v>2</v>
      </c>
      <c r="AO202" s="3" t="n">
        <v>2</v>
      </c>
      <c r="AP202" s="3" t="n">
        <v>3</v>
      </c>
      <c r="AQ202" s="3" t="n">
        <v>4</v>
      </c>
      <c r="AR202" s="3" t="n">
        <v>4</v>
      </c>
      <c r="AS202" s="3" t="n">
        <v>6</v>
      </c>
      <c r="AT202" s="3" t="n">
        <v>4</v>
      </c>
      <c r="AU202" s="3" t="n">
        <v>4</v>
      </c>
      <c r="AV202" s="3" t="n">
        <v>6</v>
      </c>
      <c r="AW202" s="3" t="n">
        <v>6</v>
      </c>
      <c r="AX202" s="3" t="n">
        <v>3</v>
      </c>
      <c r="AY202" s="3" t="n">
        <v>3</v>
      </c>
      <c r="AZ202" s="3" t="n">
        <v>1</v>
      </c>
      <c r="BA202" s="5" t="n">
        <v>1</v>
      </c>
      <c r="BB202" s="3" t="n">
        <v>1</v>
      </c>
      <c r="BC202" s="3" t="n">
        <v>1</v>
      </c>
      <c r="BD202" s="3" t="n">
        <v>4</v>
      </c>
      <c r="BE202" s="3" t="n">
        <v>1</v>
      </c>
      <c r="BF202" s="3" t="n">
        <v>2</v>
      </c>
      <c r="BG202" s="3" t="n">
        <v>1</v>
      </c>
      <c r="BH202" s="3" t="n">
        <v>4</v>
      </c>
      <c r="BI202" s="3" t="n">
        <v>1</v>
      </c>
      <c r="BJ202" s="3" t="n">
        <v>1</v>
      </c>
    </row>
    <row r="203" customFormat="false" ht="12.75" hidden="false" customHeight="false" outlineLevel="0" collapsed="false">
      <c r="B203" s="2" t="s">
        <v>758</v>
      </c>
      <c r="C203" s="2" t="s">
        <v>301</v>
      </c>
      <c r="D203" s="2" t="s">
        <v>197</v>
      </c>
      <c r="E203" s="2" t="n">
        <v>197105</v>
      </c>
      <c r="F203" s="15" t="n">
        <v>43963</v>
      </c>
      <c r="G203" s="15" t="n">
        <v>43969</v>
      </c>
      <c r="H203" s="3" t="n">
        <v>6</v>
      </c>
      <c r="I203" s="3" t="n">
        <v>2</v>
      </c>
      <c r="J203" s="3" t="n">
        <v>68</v>
      </c>
      <c r="K203" s="3" t="n">
        <v>2</v>
      </c>
      <c r="L203" s="3" t="n">
        <v>2</v>
      </c>
      <c r="M203" s="3" t="n">
        <v>1</v>
      </c>
      <c r="N203" s="3" t="n">
        <v>2</v>
      </c>
      <c r="O203" s="3" t="n">
        <v>2</v>
      </c>
      <c r="P203" s="3" t="n">
        <v>2</v>
      </c>
      <c r="Q203" s="3" t="n">
        <v>2</v>
      </c>
      <c r="R203" s="3" t="n">
        <v>2</v>
      </c>
      <c r="S203" s="3" t="n">
        <v>2</v>
      </c>
      <c r="T203" s="4" t="n">
        <v>2</v>
      </c>
      <c r="U203" s="3" t="n">
        <v>2</v>
      </c>
      <c r="V203" s="3" t="n">
        <v>5.03</v>
      </c>
      <c r="W203" s="3" t="n">
        <v>1.35</v>
      </c>
      <c r="X203" s="3" t="n">
        <v>9.39</v>
      </c>
      <c r="Y203" s="3" t="n">
        <v>623</v>
      </c>
      <c r="AA203" s="3" t="n">
        <v>0.5</v>
      </c>
      <c r="AB203" s="3" t="n">
        <v>18.3</v>
      </c>
      <c r="AC203" s="3" t="n">
        <v>1</v>
      </c>
      <c r="AD203" s="3" t="n">
        <v>2</v>
      </c>
      <c r="AE203" s="3" t="n">
        <v>1</v>
      </c>
      <c r="AF203" s="3" t="n">
        <v>1</v>
      </c>
      <c r="AG203" s="3" t="n">
        <v>2</v>
      </c>
      <c r="AH203" s="3" t="n">
        <v>2</v>
      </c>
      <c r="AI203" s="3" t="n">
        <v>1</v>
      </c>
      <c r="AJ203" s="3" t="n">
        <v>2</v>
      </c>
      <c r="AK203" s="3" t="n">
        <v>2</v>
      </c>
      <c r="AL203" s="3" t="n">
        <v>2</v>
      </c>
      <c r="AM203" s="3" t="n">
        <v>1</v>
      </c>
      <c r="AN203" s="3" t="n">
        <v>2</v>
      </c>
      <c r="AO203" s="3" t="n">
        <v>1</v>
      </c>
      <c r="AP203" s="3" t="n">
        <v>3</v>
      </c>
      <c r="AQ203" s="3" t="n">
        <v>4</v>
      </c>
      <c r="AR203" s="3" t="n">
        <v>4</v>
      </c>
      <c r="AS203" s="3" t="n">
        <v>6</v>
      </c>
      <c r="AT203" s="3" t="n">
        <v>4</v>
      </c>
      <c r="AU203" s="3" t="n">
        <v>4</v>
      </c>
      <c r="AV203" s="3" t="n">
        <v>6</v>
      </c>
      <c r="AW203" s="3" t="n">
        <v>6</v>
      </c>
      <c r="AX203" s="3" t="n">
        <v>3</v>
      </c>
      <c r="AY203" s="3" t="n">
        <v>3</v>
      </c>
      <c r="AZ203" s="3" t="n">
        <v>1</v>
      </c>
      <c r="BA203" s="5" t="n">
        <v>1</v>
      </c>
      <c r="BB203" s="3" t="n">
        <v>1</v>
      </c>
      <c r="BC203" s="3" t="n">
        <v>1</v>
      </c>
      <c r="BD203" s="3" t="n">
        <v>2</v>
      </c>
      <c r="BE203" s="3" t="n">
        <v>3</v>
      </c>
      <c r="BF203" s="3" t="n">
        <v>5</v>
      </c>
      <c r="BG203" s="3" t="n">
        <v>3</v>
      </c>
      <c r="BH203" s="3" t="n">
        <v>4</v>
      </c>
      <c r="BI203" s="3" t="n">
        <v>1</v>
      </c>
      <c r="BJ203" s="3" t="n">
        <v>1</v>
      </c>
    </row>
    <row r="204" customFormat="false" ht="12.75" hidden="false" customHeight="false" outlineLevel="0" collapsed="false">
      <c r="B204" s="2" t="s">
        <v>2169</v>
      </c>
      <c r="C204" s="2" t="s">
        <v>188</v>
      </c>
      <c r="D204" s="2" t="s">
        <v>2170</v>
      </c>
      <c r="E204" s="2" t="n">
        <v>197355</v>
      </c>
      <c r="F204" s="15" t="n">
        <v>43963</v>
      </c>
      <c r="G204" s="15" t="n">
        <v>43969</v>
      </c>
      <c r="H204" s="3" t="n">
        <v>6</v>
      </c>
      <c r="I204" s="3" t="n">
        <v>2</v>
      </c>
      <c r="J204" s="3" t="n">
        <v>68</v>
      </c>
      <c r="K204" s="3" t="n">
        <v>2</v>
      </c>
      <c r="L204" s="3" t="n">
        <v>1</v>
      </c>
      <c r="M204" s="3" t="n">
        <v>1</v>
      </c>
      <c r="N204" s="3" t="n">
        <v>2</v>
      </c>
      <c r="O204" s="3" t="n">
        <v>2</v>
      </c>
      <c r="P204" s="3" t="n">
        <v>2</v>
      </c>
      <c r="Q204" s="3" t="n">
        <v>1</v>
      </c>
      <c r="R204" s="3" t="n">
        <v>2</v>
      </c>
      <c r="S204" s="3" t="n">
        <v>2</v>
      </c>
      <c r="T204" s="4" t="n">
        <v>2</v>
      </c>
      <c r="U204" s="3" t="n">
        <v>2</v>
      </c>
      <c r="V204" s="3" t="n">
        <v>5.94</v>
      </c>
      <c r="W204" s="3" t="n">
        <v>1.93</v>
      </c>
      <c r="X204" s="3" t="n">
        <v>25.48</v>
      </c>
      <c r="Y204" s="3" t="n">
        <v>366</v>
      </c>
      <c r="AA204" s="3" t="n">
        <v>0.46</v>
      </c>
      <c r="AB204" s="3" t="n">
        <v>20.3</v>
      </c>
      <c r="AC204" s="3" t="n">
        <v>1</v>
      </c>
      <c r="AD204" s="3" t="n">
        <v>2</v>
      </c>
      <c r="AE204" s="3" t="n">
        <v>1</v>
      </c>
      <c r="AF204" s="3" t="n">
        <v>1</v>
      </c>
      <c r="AG204" s="3" t="n">
        <v>2</v>
      </c>
      <c r="AH204" s="3" t="n">
        <v>2</v>
      </c>
      <c r="AI204" s="3" t="n">
        <v>1</v>
      </c>
      <c r="AJ204" s="3" t="n">
        <v>2</v>
      </c>
      <c r="AK204" s="3" t="n">
        <v>1</v>
      </c>
      <c r="AL204" s="3" t="n">
        <v>2</v>
      </c>
      <c r="AM204" s="3" t="n">
        <v>1</v>
      </c>
      <c r="AN204" s="3" t="n">
        <v>2</v>
      </c>
      <c r="AO204" s="3" t="n">
        <v>2</v>
      </c>
      <c r="AP204" s="3" t="n">
        <v>3</v>
      </c>
      <c r="AQ204" s="3" t="n">
        <v>4</v>
      </c>
      <c r="AR204" s="3" t="n">
        <v>4</v>
      </c>
      <c r="AS204" s="3" t="n">
        <v>6</v>
      </c>
      <c r="AT204" s="3" t="n">
        <v>4</v>
      </c>
      <c r="AU204" s="3" t="n">
        <v>4</v>
      </c>
      <c r="AV204" s="3" t="n">
        <v>6</v>
      </c>
      <c r="AW204" s="3" t="n">
        <v>6</v>
      </c>
      <c r="AX204" s="3" t="n">
        <v>3</v>
      </c>
      <c r="AY204" s="3" t="n">
        <v>3</v>
      </c>
      <c r="AZ204" s="3" t="n">
        <v>15</v>
      </c>
      <c r="BA204" s="5" t="n">
        <v>1</v>
      </c>
      <c r="BB204" s="3" t="n">
        <v>1</v>
      </c>
      <c r="BC204" s="3" t="n">
        <v>1</v>
      </c>
      <c r="BD204" s="3" t="n">
        <v>2</v>
      </c>
      <c r="BE204" s="3" t="n">
        <v>1</v>
      </c>
      <c r="BF204" s="3" t="n">
        <v>2</v>
      </c>
      <c r="BG204" s="3" t="n">
        <v>1</v>
      </c>
      <c r="BH204" s="3" t="n">
        <v>4</v>
      </c>
      <c r="BI204" s="3" t="n">
        <v>1</v>
      </c>
      <c r="BJ204" s="3" t="n">
        <v>1</v>
      </c>
    </row>
    <row r="205" customFormat="false" ht="12.75" hidden="false" customHeight="false" outlineLevel="0" collapsed="false">
      <c r="B205" s="2" t="s">
        <v>394</v>
      </c>
      <c r="C205" s="2" t="s">
        <v>688</v>
      </c>
      <c r="D205" s="2" t="s">
        <v>2172</v>
      </c>
      <c r="E205" s="2" t="n">
        <v>197644</v>
      </c>
      <c r="F205" s="15" t="n">
        <v>43964</v>
      </c>
      <c r="G205" s="15" t="n">
        <v>43969</v>
      </c>
      <c r="H205" s="3" t="n">
        <v>5</v>
      </c>
      <c r="I205" s="3" t="n">
        <v>2</v>
      </c>
      <c r="J205" s="3" t="n">
        <v>66</v>
      </c>
      <c r="K205" s="3" t="n">
        <v>1</v>
      </c>
      <c r="L205" s="3" t="n">
        <v>1</v>
      </c>
      <c r="M205" s="3" t="n">
        <v>1</v>
      </c>
      <c r="N205" s="3" t="n">
        <v>2</v>
      </c>
      <c r="O205" s="3" t="n">
        <v>2</v>
      </c>
      <c r="P205" s="3" t="n">
        <v>2</v>
      </c>
      <c r="Q205" s="3" t="n">
        <v>1</v>
      </c>
      <c r="R205" s="3" t="n">
        <v>2</v>
      </c>
      <c r="S205" s="3" t="n">
        <v>2</v>
      </c>
      <c r="T205" s="4" t="n">
        <v>2</v>
      </c>
      <c r="U205" s="3" t="n">
        <v>2</v>
      </c>
      <c r="V205" s="3" t="n">
        <v>4.94</v>
      </c>
      <c r="W205" s="3" t="n">
        <v>3.36</v>
      </c>
      <c r="X205" s="3" t="n">
        <v>8.6</v>
      </c>
      <c r="Y205" s="3" t="n">
        <v>426</v>
      </c>
      <c r="AA205" s="3" t="n">
        <v>0.5</v>
      </c>
      <c r="AB205" s="3" t="n">
        <v>7.5</v>
      </c>
      <c r="AC205" s="3" t="n">
        <v>1</v>
      </c>
      <c r="AD205" s="3" t="n">
        <v>2</v>
      </c>
      <c r="AE205" s="3" t="n">
        <v>1</v>
      </c>
      <c r="AF205" s="3" t="n">
        <v>1</v>
      </c>
      <c r="AG205" s="3" t="n">
        <v>2</v>
      </c>
      <c r="AH205" s="3" t="n">
        <v>1</v>
      </c>
      <c r="AI205" s="3" t="n">
        <v>1</v>
      </c>
      <c r="AJ205" s="3" t="n">
        <v>2</v>
      </c>
      <c r="AK205" s="3" t="n">
        <v>1</v>
      </c>
      <c r="AL205" s="3" t="n">
        <v>2</v>
      </c>
      <c r="AM205" s="3" t="n">
        <v>2</v>
      </c>
      <c r="AN205" s="3" t="n">
        <v>2</v>
      </c>
      <c r="AO205" s="3" t="n">
        <v>2</v>
      </c>
      <c r="AP205" s="3" t="n">
        <v>3</v>
      </c>
      <c r="AQ205" s="3" t="n">
        <v>4</v>
      </c>
      <c r="AR205" s="3" t="n">
        <v>4</v>
      </c>
      <c r="AS205" s="3" t="n">
        <v>6</v>
      </c>
      <c r="AT205" s="3" t="n">
        <v>4</v>
      </c>
      <c r="AU205" s="3" t="n">
        <v>4</v>
      </c>
      <c r="AV205" s="3" t="n">
        <v>6</v>
      </c>
      <c r="AW205" s="3" t="n">
        <v>6</v>
      </c>
      <c r="AX205" s="3" t="n">
        <v>3</v>
      </c>
      <c r="AY205" s="3" t="n">
        <v>3</v>
      </c>
      <c r="AZ205" s="3" t="n">
        <v>1</v>
      </c>
      <c r="BA205" s="5" t="n">
        <v>1</v>
      </c>
      <c r="BB205" s="3" t="n">
        <v>1</v>
      </c>
      <c r="BC205" s="3" t="n">
        <v>1</v>
      </c>
      <c r="BD205" s="3" t="n">
        <v>4</v>
      </c>
      <c r="BE205" s="3" t="n">
        <v>3</v>
      </c>
      <c r="BF205" s="3" t="n">
        <v>5</v>
      </c>
      <c r="BG205" s="3" t="n">
        <v>3</v>
      </c>
      <c r="BH205" s="3" t="n">
        <v>4</v>
      </c>
      <c r="BI205" s="3" t="n">
        <v>1</v>
      </c>
      <c r="BJ205" s="3" t="n">
        <v>1</v>
      </c>
    </row>
    <row r="206" customFormat="false" ht="12.75" hidden="false" customHeight="false" outlineLevel="0" collapsed="false">
      <c r="B206" s="2" t="s">
        <v>2174</v>
      </c>
      <c r="C206" s="2" t="s">
        <v>95</v>
      </c>
      <c r="D206" s="2" t="s">
        <v>2036</v>
      </c>
      <c r="E206" s="2" t="n">
        <v>197385</v>
      </c>
      <c r="F206" s="15" t="n">
        <v>43969</v>
      </c>
      <c r="G206" s="15" t="n">
        <v>43970</v>
      </c>
      <c r="H206" s="3" t="n">
        <v>1</v>
      </c>
      <c r="I206" s="3" t="n">
        <v>2</v>
      </c>
      <c r="J206" s="3" t="n">
        <v>49</v>
      </c>
      <c r="K206" s="3" t="n">
        <v>2</v>
      </c>
      <c r="L206" s="3" t="n">
        <v>1</v>
      </c>
      <c r="M206" s="3" t="n">
        <v>1</v>
      </c>
      <c r="N206" s="3" t="n">
        <v>2</v>
      </c>
      <c r="O206" s="3" t="n">
        <v>2</v>
      </c>
      <c r="P206" s="3" t="n">
        <v>2</v>
      </c>
      <c r="Q206" s="3" t="n">
        <v>2</v>
      </c>
      <c r="R206" s="3" t="n">
        <v>2</v>
      </c>
      <c r="S206" s="3" t="n">
        <v>1</v>
      </c>
      <c r="T206" s="4" t="n">
        <v>2</v>
      </c>
      <c r="U206" s="3" t="n">
        <v>2</v>
      </c>
      <c r="V206" s="3"/>
      <c r="W206" s="3"/>
      <c r="X206" s="3"/>
      <c r="Y206" s="3"/>
      <c r="AA206" s="3"/>
      <c r="AB206" s="3"/>
      <c r="AC206" s="3"/>
      <c r="AD206" s="3" t="n">
        <v>1</v>
      </c>
      <c r="AE206" s="3" t="n">
        <v>1</v>
      </c>
      <c r="AF206" s="3" t="n">
        <v>1</v>
      </c>
      <c r="AG206" s="3" t="n">
        <v>2</v>
      </c>
      <c r="AH206" s="3" t="n">
        <v>2</v>
      </c>
      <c r="AI206" s="3" t="n">
        <v>1</v>
      </c>
      <c r="AJ206" s="3" t="n">
        <v>1</v>
      </c>
      <c r="AK206" s="3" t="n">
        <v>2</v>
      </c>
      <c r="AL206" s="3" t="n">
        <v>2</v>
      </c>
      <c r="AM206" s="3" t="n">
        <v>1</v>
      </c>
      <c r="AN206" s="3" t="n">
        <v>2</v>
      </c>
      <c r="AO206" s="3" t="n">
        <v>2</v>
      </c>
      <c r="AP206" s="3" t="n">
        <v>3</v>
      </c>
      <c r="AQ206" s="3" t="n">
        <v>4</v>
      </c>
      <c r="AR206" s="3" t="n">
        <v>4</v>
      </c>
      <c r="AS206" s="3" t="n">
        <v>6</v>
      </c>
      <c r="AT206" s="3" t="n">
        <v>4</v>
      </c>
      <c r="AU206" s="3" t="n">
        <v>4</v>
      </c>
      <c r="AV206" s="3" t="n">
        <v>6</v>
      </c>
      <c r="AW206" s="3" t="n">
        <v>6</v>
      </c>
      <c r="AX206" s="3" t="n">
        <v>3</v>
      </c>
      <c r="AY206" s="3" t="n">
        <v>3</v>
      </c>
      <c r="AZ206" s="3" t="n">
        <v>1</v>
      </c>
      <c r="BA206" s="5" t="n">
        <v>1</v>
      </c>
      <c r="BB206" s="3" t="n">
        <v>1</v>
      </c>
      <c r="BC206" s="3" t="n">
        <v>1</v>
      </c>
      <c r="BD206" s="3" t="n">
        <v>4</v>
      </c>
      <c r="BE206" s="3" t="n">
        <v>1</v>
      </c>
      <c r="BF206" s="3" t="n">
        <v>2</v>
      </c>
      <c r="BG206" s="3" t="n">
        <v>1</v>
      </c>
      <c r="BH206" s="3" t="n">
        <v>4</v>
      </c>
      <c r="BI206" s="3" t="n">
        <v>1</v>
      </c>
      <c r="BJ206" s="3" t="n">
        <v>1</v>
      </c>
    </row>
    <row r="207" customFormat="false" ht="12.75" hidden="false" customHeight="false" outlineLevel="0" collapsed="false">
      <c r="B207" s="2" t="s">
        <v>2176</v>
      </c>
      <c r="C207" s="2" t="s">
        <v>2177</v>
      </c>
      <c r="D207" s="2" t="s">
        <v>94</v>
      </c>
      <c r="E207" s="2" t="n">
        <v>197384</v>
      </c>
      <c r="F207" s="15" t="n">
        <v>43969</v>
      </c>
      <c r="G207" s="15" t="n">
        <v>43974</v>
      </c>
      <c r="H207" s="3" t="n">
        <v>5</v>
      </c>
      <c r="I207" s="3" t="n">
        <v>2</v>
      </c>
      <c r="J207" s="3" t="n">
        <v>73</v>
      </c>
      <c r="K207" s="3" t="n">
        <v>1</v>
      </c>
      <c r="L207" s="3" t="n">
        <v>2</v>
      </c>
      <c r="M207" s="3" t="n">
        <v>1</v>
      </c>
      <c r="N207" s="3" t="n">
        <v>2</v>
      </c>
      <c r="O207" s="3" t="n">
        <v>2</v>
      </c>
      <c r="P207" s="3" t="n">
        <v>1</v>
      </c>
      <c r="Q207" s="3" t="n">
        <v>1</v>
      </c>
      <c r="R207" s="3" t="n">
        <v>2</v>
      </c>
      <c r="S207" s="3" t="n">
        <v>1</v>
      </c>
      <c r="T207" s="4" t="n">
        <v>2</v>
      </c>
      <c r="U207" s="3" t="n">
        <v>2</v>
      </c>
      <c r="V207" s="3" t="n">
        <v>5.45</v>
      </c>
      <c r="W207" s="3" t="n">
        <v>2.62</v>
      </c>
      <c r="X207" s="3" t="n">
        <v>8.32</v>
      </c>
      <c r="Y207" s="3" t="n">
        <v>362</v>
      </c>
      <c r="AA207" s="3" t="n">
        <v>0.41</v>
      </c>
      <c r="AB207" s="3" t="n">
        <v>11.2</v>
      </c>
      <c r="AC207" s="3"/>
      <c r="AD207" s="3" t="n">
        <v>2</v>
      </c>
      <c r="AE207" s="3" t="n">
        <v>1</v>
      </c>
      <c r="AF207" s="3" t="n">
        <v>1</v>
      </c>
      <c r="AG207" s="3" t="n">
        <v>2</v>
      </c>
      <c r="AH207" s="3" t="n">
        <v>2</v>
      </c>
      <c r="AI207" s="3" t="n">
        <v>1</v>
      </c>
      <c r="AJ207" s="3" t="n">
        <v>1</v>
      </c>
      <c r="AK207" s="3" t="n">
        <v>2</v>
      </c>
      <c r="AL207" s="3" t="n">
        <v>2</v>
      </c>
      <c r="AM207" s="3" t="n">
        <v>2</v>
      </c>
      <c r="AN207" s="3" t="n">
        <v>2</v>
      </c>
      <c r="AO207" s="3" t="n">
        <v>2</v>
      </c>
      <c r="AP207" s="3" t="n">
        <v>3</v>
      </c>
      <c r="AQ207" s="3" t="n">
        <v>4</v>
      </c>
      <c r="AR207" s="3" t="n">
        <v>4</v>
      </c>
      <c r="AS207" s="3" t="n">
        <v>6</v>
      </c>
      <c r="AT207" s="3" t="n">
        <v>4</v>
      </c>
      <c r="AU207" s="3" t="n">
        <v>4</v>
      </c>
      <c r="AV207" s="3" t="n">
        <v>6</v>
      </c>
      <c r="AW207" s="3" t="n">
        <v>6</v>
      </c>
      <c r="AX207" s="3" t="n">
        <v>3</v>
      </c>
      <c r="AY207" s="3" t="n">
        <v>3</v>
      </c>
      <c r="AZ207" s="3" t="n">
        <v>1</v>
      </c>
      <c r="BA207" s="5" t="n">
        <v>1</v>
      </c>
      <c r="BB207" s="3" t="n">
        <v>1</v>
      </c>
      <c r="BC207" s="3" t="n">
        <v>1</v>
      </c>
      <c r="BD207" s="3" t="n">
        <v>4</v>
      </c>
      <c r="BE207" s="3" t="n">
        <v>1</v>
      </c>
      <c r="BF207" s="3" t="n">
        <v>2</v>
      </c>
      <c r="BG207" s="3" t="n">
        <v>1</v>
      </c>
      <c r="BH207" s="3" t="n">
        <v>4</v>
      </c>
      <c r="BI207" s="3" t="n">
        <v>1</v>
      </c>
      <c r="BJ207" s="3" t="n">
        <v>1</v>
      </c>
    </row>
    <row r="208" customFormat="false" ht="12.75" hidden="false" customHeight="false" outlineLevel="0" collapsed="false">
      <c r="B208" s="2" t="s">
        <v>556</v>
      </c>
      <c r="C208" s="2" t="s">
        <v>2179</v>
      </c>
      <c r="D208" s="2" t="s">
        <v>2180</v>
      </c>
      <c r="E208" s="2" t="n">
        <v>197183</v>
      </c>
      <c r="F208" s="15" t="n">
        <v>43968</v>
      </c>
      <c r="G208" s="15" t="n">
        <v>43974</v>
      </c>
      <c r="H208" s="3" t="n">
        <v>6</v>
      </c>
      <c r="I208" s="3" t="n">
        <v>2</v>
      </c>
      <c r="J208" s="3" t="n">
        <v>69</v>
      </c>
      <c r="K208" s="3" t="n">
        <v>1</v>
      </c>
      <c r="L208" s="3" t="n">
        <v>1</v>
      </c>
      <c r="M208" s="3" t="n">
        <v>1</v>
      </c>
      <c r="N208" s="3" t="n">
        <v>2</v>
      </c>
      <c r="O208" s="3" t="n">
        <v>2</v>
      </c>
      <c r="P208" s="3" t="n">
        <v>2</v>
      </c>
      <c r="Q208" s="3" t="n">
        <v>2</v>
      </c>
      <c r="R208" s="3" t="n">
        <v>2</v>
      </c>
      <c r="S208" s="3" t="n">
        <v>2</v>
      </c>
      <c r="T208" s="4" t="n">
        <v>2</v>
      </c>
      <c r="U208" s="3" t="n">
        <v>2</v>
      </c>
      <c r="V208" s="3" t="n">
        <v>5.45</v>
      </c>
      <c r="W208" s="3" t="n">
        <v>2.62</v>
      </c>
      <c r="X208" s="3" t="n">
        <v>8.32</v>
      </c>
      <c r="Y208" s="3" t="n">
        <v>362</v>
      </c>
      <c r="AA208" s="3" t="n">
        <v>0.41</v>
      </c>
      <c r="AB208" s="3" t="n">
        <v>11.2</v>
      </c>
      <c r="AC208" s="3"/>
      <c r="AD208" s="3" t="n">
        <v>2</v>
      </c>
      <c r="AE208" s="3" t="n">
        <v>1</v>
      </c>
      <c r="AF208" s="3" t="n">
        <v>1</v>
      </c>
      <c r="AG208" s="3" t="n">
        <v>2</v>
      </c>
      <c r="AH208" s="3" t="n">
        <v>2</v>
      </c>
      <c r="AI208" s="3" t="n">
        <v>1</v>
      </c>
      <c r="AJ208" s="3" t="n">
        <v>2</v>
      </c>
      <c r="AK208" s="3" t="n">
        <v>2</v>
      </c>
      <c r="AL208" s="3" t="n">
        <v>2</v>
      </c>
      <c r="AM208" s="3" t="n">
        <v>1</v>
      </c>
      <c r="AN208" s="3" t="n">
        <v>2</v>
      </c>
      <c r="AO208" s="3" t="n">
        <v>2</v>
      </c>
      <c r="AP208" s="3" t="n">
        <v>3</v>
      </c>
      <c r="AQ208" s="3" t="n">
        <v>4</v>
      </c>
      <c r="AR208" s="3" t="n">
        <v>4</v>
      </c>
      <c r="AS208" s="3" t="n">
        <v>6</v>
      </c>
      <c r="AT208" s="3" t="n">
        <v>4</v>
      </c>
      <c r="AU208" s="3" t="n">
        <v>4</v>
      </c>
      <c r="AV208" s="3" t="n">
        <v>6</v>
      </c>
      <c r="AW208" s="3" t="n">
        <v>6</v>
      </c>
      <c r="AX208" s="3" t="n">
        <v>3</v>
      </c>
      <c r="AY208" s="3" t="n">
        <v>3</v>
      </c>
      <c r="AZ208" s="3" t="n">
        <v>10</v>
      </c>
      <c r="BA208" s="5" t="n">
        <v>1</v>
      </c>
      <c r="BB208" s="3" t="n">
        <v>1</v>
      </c>
      <c r="BC208" s="3" t="n">
        <v>1</v>
      </c>
      <c r="BD208" s="3" t="n">
        <v>2</v>
      </c>
      <c r="BE208" s="3" t="n">
        <v>1</v>
      </c>
      <c r="BF208" s="3" t="n">
        <v>2</v>
      </c>
      <c r="BG208" s="3" t="n">
        <v>1</v>
      </c>
      <c r="BH208" s="3" t="n">
        <v>4</v>
      </c>
      <c r="BI208" s="3" t="n">
        <v>1</v>
      </c>
      <c r="BJ208" s="3" t="n">
        <v>1</v>
      </c>
    </row>
    <row r="209" customFormat="false" ht="12.75" hidden="false" customHeight="false" outlineLevel="0" collapsed="false">
      <c r="B209" s="2" t="s">
        <v>101</v>
      </c>
      <c r="C209" s="2" t="s">
        <v>415</v>
      </c>
      <c r="D209" s="2" t="s">
        <v>468</v>
      </c>
      <c r="E209" s="2" t="n">
        <v>197443</v>
      </c>
      <c r="F209" s="15" t="n">
        <v>43971</v>
      </c>
      <c r="G209" s="15" t="n">
        <v>43977</v>
      </c>
      <c r="H209" s="3" t="n">
        <v>6</v>
      </c>
      <c r="I209" s="3" t="n">
        <v>1</v>
      </c>
      <c r="J209" s="3" t="n">
        <v>72</v>
      </c>
      <c r="K209" s="3" t="n">
        <v>1</v>
      </c>
      <c r="L209" s="3" t="n">
        <v>1</v>
      </c>
      <c r="M209" s="3" t="n">
        <v>1</v>
      </c>
      <c r="N209" s="3" t="n">
        <v>2</v>
      </c>
      <c r="O209" s="3" t="n">
        <v>2</v>
      </c>
      <c r="P209" s="3" t="n">
        <v>2</v>
      </c>
      <c r="Q209" s="3" t="n">
        <v>2</v>
      </c>
      <c r="R209" s="3" t="n">
        <v>2</v>
      </c>
      <c r="S209" s="3" t="n">
        <v>1</v>
      </c>
      <c r="T209" s="4" t="n">
        <v>2</v>
      </c>
      <c r="U209" s="3" t="n">
        <v>2</v>
      </c>
      <c r="V209" s="3" t="n">
        <v>6.63</v>
      </c>
      <c r="W209" s="3" t="n">
        <v>1.86</v>
      </c>
      <c r="X209" s="3" t="n">
        <v>7.06</v>
      </c>
      <c r="Y209" s="3" t="n">
        <v>386</v>
      </c>
      <c r="AA209" s="3" t="n">
        <v>0.47</v>
      </c>
      <c r="AB209" s="3" t="n">
        <v>13.2</v>
      </c>
      <c r="AC209" s="3"/>
      <c r="AD209" s="3" t="n">
        <v>2</v>
      </c>
      <c r="AE209" s="3" t="n">
        <v>1</v>
      </c>
      <c r="AF209" s="3" t="n">
        <v>1</v>
      </c>
      <c r="AG209" s="3" t="n">
        <v>2</v>
      </c>
      <c r="AH209" s="3" t="n">
        <v>2</v>
      </c>
      <c r="AI209" s="3" t="n">
        <v>1</v>
      </c>
      <c r="AJ209" s="3" t="n">
        <v>1</v>
      </c>
      <c r="AK209" s="3" t="n">
        <v>2</v>
      </c>
      <c r="AL209" s="3" t="n">
        <v>1</v>
      </c>
      <c r="AM209" s="3" t="n">
        <v>1</v>
      </c>
      <c r="AN209" s="3" t="n">
        <v>2</v>
      </c>
      <c r="AO209" s="3" t="n">
        <v>2</v>
      </c>
      <c r="AP209" s="3" t="n">
        <v>3</v>
      </c>
      <c r="AQ209" s="3" t="n">
        <v>4</v>
      </c>
      <c r="AR209" s="3" t="n">
        <v>4</v>
      </c>
      <c r="AS209" s="3" t="n">
        <v>6</v>
      </c>
      <c r="AT209" s="3" t="n">
        <v>4</v>
      </c>
      <c r="AU209" s="3" t="n">
        <v>4</v>
      </c>
      <c r="AV209" s="3" t="n">
        <v>6</v>
      </c>
      <c r="AW209" s="3" t="n">
        <v>6</v>
      </c>
      <c r="AX209" s="3" t="n">
        <v>3</v>
      </c>
      <c r="AY209" s="3" t="n">
        <v>3</v>
      </c>
      <c r="AZ209" s="3" t="n">
        <v>4</v>
      </c>
      <c r="BA209" s="5" t="n">
        <v>1</v>
      </c>
      <c r="BB209" s="3" t="n">
        <v>1</v>
      </c>
      <c r="BC209" s="3" t="n">
        <v>1</v>
      </c>
      <c r="BD209" s="3" t="n">
        <v>4</v>
      </c>
      <c r="BE209" s="3" t="n">
        <v>1</v>
      </c>
      <c r="BF209" s="3" t="n">
        <v>2</v>
      </c>
      <c r="BG209" s="3" t="n">
        <v>1</v>
      </c>
      <c r="BH209" s="3" t="n">
        <v>4</v>
      </c>
      <c r="BI209" s="3" t="n">
        <v>1</v>
      </c>
      <c r="BJ209" s="3" t="n">
        <v>1</v>
      </c>
    </row>
    <row r="210" customFormat="false" ht="12.75" hidden="false" customHeight="false" outlineLevel="0" collapsed="false">
      <c r="B210" s="2" t="s">
        <v>2185</v>
      </c>
      <c r="C210" s="2" t="s">
        <v>74</v>
      </c>
      <c r="D210" s="2" t="s">
        <v>2186</v>
      </c>
      <c r="E210" s="2" t="n">
        <v>197926</v>
      </c>
      <c r="F210" s="15" t="n">
        <v>43979</v>
      </c>
      <c r="G210" s="15" t="n">
        <v>43981</v>
      </c>
      <c r="H210" s="3" t="n">
        <v>2</v>
      </c>
      <c r="I210" s="3" t="n">
        <v>1</v>
      </c>
      <c r="J210" s="3" t="n">
        <v>58</v>
      </c>
      <c r="K210" s="3" t="n">
        <v>2</v>
      </c>
      <c r="L210" s="3" t="n">
        <v>1</v>
      </c>
      <c r="M210" s="3" t="n">
        <v>1</v>
      </c>
      <c r="N210" s="3" t="n">
        <v>2</v>
      </c>
      <c r="O210" s="3" t="n">
        <v>2</v>
      </c>
      <c r="P210" s="3" t="n">
        <v>2</v>
      </c>
      <c r="Q210" s="3" t="n">
        <v>2</v>
      </c>
      <c r="R210" s="3" t="n">
        <v>2</v>
      </c>
      <c r="S210" s="3" t="n">
        <v>2</v>
      </c>
      <c r="T210" s="4" t="n">
        <v>2</v>
      </c>
      <c r="U210" s="3" t="n">
        <v>2</v>
      </c>
      <c r="V210" s="3" t="n">
        <v>6.36</v>
      </c>
      <c r="W210" s="3" t="n">
        <v>3.17</v>
      </c>
      <c r="X210" s="3" t="n">
        <v>5.84</v>
      </c>
      <c r="Y210" s="3" t="n">
        <v>262</v>
      </c>
      <c r="AA210" s="3" t="n">
        <v>0.42</v>
      </c>
      <c r="AB210" s="3" t="n">
        <v>20</v>
      </c>
      <c r="AC210" s="3"/>
      <c r="AD210" s="3" t="n">
        <v>2</v>
      </c>
      <c r="AE210" s="3" t="n">
        <v>1</v>
      </c>
      <c r="AF210" s="3" t="n">
        <v>1</v>
      </c>
      <c r="AG210" s="3" t="n">
        <v>2</v>
      </c>
      <c r="AH210" s="3" t="n">
        <v>1</v>
      </c>
      <c r="AI210" s="3" t="n">
        <v>1</v>
      </c>
      <c r="AJ210" s="3" t="n">
        <v>2</v>
      </c>
      <c r="AK210" s="3" t="n">
        <v>2</v>
      </c>
      <c r="AL210" s="3" t="n">
        <v>2</v>
      </c>
      <c r="AM210" s="3" t="n">
        <v>1</v>
      </c>
      <c r="AN210" s="3" t="n">
        <v>2</v>
      </c>
      <c r="AO210" s="3" t="n">
        <v>2</v>
      </c>
      <c r="AP210" s="3" t="n">
        <v>3</v>
      </c>
      <c r="AQ210" s="3" t="n">
        <v>4</v>
      </c>
      <c r="AR210" s="3" t="n">
        <v>4</v>
      </c>
      <c r="AS210" s="3" t="n">
        <v>6</v>
      </c>
      <c r="AT210" s="3" t="n">
        <v>4</v>
      </c>
      <c r="AU210" s="3" t="n">
        <v>4</v>
      </c>
      <c r="AV210" s="3" t="n">
        <v>6</v>
      </c>
      <c r="AW210" s="3" t="n">
        <v>6</v>
      </c>
      <c r="AX210" s="3" t="n">
        <v>3</v>
      </c>
      <c r="AY210" s="3" t="n">
        <v>3</v>
      </c>
      <c r="AZ210" s="3" t="n">
        <v>1</v>
      </c>
      <c r="BA210" s="5" t="n">
        <v>1</v>
      </c>
      <c r="BB210" s="3" t="n">
        <v>1</v>
      </c>
      <c r="BC210" s="3" t="n">
        <v>1</v>
      </c>
      <c r="BD210" s="3" t="n">
        <v>4</v>
      </c>
      <c r="BE210" s="3" t="n">
        <v>1</v>
      </c>
      <c r="BF210" s="3" t="n">
        <v>2</v>
      </c>
      <c r="BG210" s="3" t="n">
        <v>1</v>
      </c>
      <c r="BH210" s="3" t="n">
        <v>4</v>
      </c>
      <c r="BI210" s="3" t="n">
        <v>1</v>
      </c>
      <c r="BJ210" s="3" t="n">
        <v>1</v>
      </c>
    </row>
    <row r="211" customFormat="false" ht="12.75" hidden="false" customHeight="false" outlineLevel="0" collapsed="false">
      <c r="B211" s="26" t="s">
        <v>2188</v>
      </c>
      <c r="C211" s="26" t="s">
        <v>2189</v>
      </c>
      <c r="D211" s="26" t="s">
        <v>2190</v>
      </c>
      <c r="E211" s="26" t="n">
        <v>197938</v>
      </c>
      <c r="F211" s="27" t="n">
        <v>43980</v>
      </c>
      <c r="G211" s="27" t="n">
        <v>43980</v>
      </c>
      <c r="H211" s="30" t="n">
        <v>0</v>
      </c>
      <c r="I211" s="30" t="n">
        <v>1</v>
      </c>
      <c r="J211" s="30" t="n">
        <v>71</v>
      </c>
      <c r="K211" s="30" t="n">
        <v>1</v>
      </c>
      <c r="L211" s="30" t="n">
        <v>1</v>
      </c>
      <c r="M211" s="30" t="n">
        <v>1</v>
      </c>
      <c r="N211" s="30" t="n">
        <v>2</v>
      </c>
      <c r="O211" s="30" t="n">
        <v>2</v>
      </c>
      <c r="P211" s="30" t="n">
        <v>2</v>
      </c>
      <c r="Q211" s="30" t="n">
        <v>2</v>
      </c>
      <c r="R211" s="30" t="n">
        <v>2</v>
      </c>
      <c r="S211" s="30" t="n">
        <v>2</v>
      </c>
      <c r="T211" s="4" t="n">
        <v>2</v>
      </c>
      <c r="U211" s="30" t="n">
        <v>2</v>
      </c>
      <c r="V211" s="30"/>
      <c r="W211" s="30"/>
      <c r="X211" s="30"/>
      <c r="Y211" s="30"/>
      <c r="AA211" s="30" t="n">
        <v>0.32</v>
      </c>
      <c r="AB211" s="30" t="n">
        <v>15.8</v>
      </c>
      <c r="AC211" s="30"/>
      <c r="AD211" s="30" t="n">
        <v>2</v>
      </c>
      <c r="AE211" s="30" t="n">
        <v>1</v>
      </c>
      <c r="AF211" s="30" t="n">
        <v>1</v>
      </c>
      <c r="AG211" s="30" t="n">
        <v>2</v>
      </c>
      <c r="AH211" s="30" t="n">
        <v>2</v>
      </c>
      <c r="AI211" s="30" t="n">
        <v>1</v>
      </c>
      <c r="AJ211" s="30" t="n">
        <v>2</v>
      </c>
      <c r="AK211" s="30" t="n">
        <v>2</v>
      </c>
      <c r="AL211" s="30" t="n">
        <v>2</v>
      </c>
      <c r="AM211" s="30" t="n">
        <v>2</v>
      </c>
      <c r="AN211" s="30" t="n">
        <v>1</v>
      </c>
      <c r="AO211" s="30" t="n">
        <v>2</v>
      </c>
      <c r="AP211" s="30" t="n">
        <v>3</v>
      </c>
      <c r="AQ211" s="30" t="n">
        <v>4</v>
      </c>
      <c r="AR211" s="30" t="n">
        <v>4</v>
      </c>
      <c r="AS211" s="30" t="n">
        <v>6</v>
      </c>
      <c r="AT211" s="30" t="n">
        <v>4</v>
      </c>
      <c r="AU211" s="30" t="n">
        <v>4</v>
      </c>
      <c r="AV211" s="30" t="n">
        <v>6</v>
      </c>
      <c r="AW211" s="30" t="n">
        <v>6</v>
      </c>
      <c r="AX211" s="30" t="n">
        <v>3</v>
      </c>
      <c r="AY211" s="30" t="n">
        <v>3</v>
      </c>
      <c r="AZ211" s="30" t="n">
        <v>6</v>
      </c>
      <c r="BA211" s="5" t="n">
        <v>1</v>
      </c>
      <c r="BB211" s="30" t="n">
        <v>1</v>
      </c>
      <c r="BC211" s="30" t="n">
        <v>2</v>
      </c>
      <c r="BD211" s="30" t="n">
        <v>2</v>
      </c>
      <c r="BE211" s="30" t="n">
        <v>3</v>
      </c>
      <c r="BF211" s="30" t="n">
        <v>5</v>
      </c>
      <c r="BG211" s="30" t="n">
        <v>3</v>
      </c>
      <c r="BH211" s="30" t="n">
        <v>4</v>
      </c>
      <c r="BI211" s="30" t="n">
        <v>3</v>
      </c>
      <c r="BJ211" s="30" t="n">
        <v>3</v>
      </c>
    </row>
    <row r="212" customFormat="false" ht="12.75" hidden="false" customHeight="false" outlineLevel="0" collapsed="false">
      <c r="B212" s="2" t="s">
        <v>2195</v>
      </c>
      <c r="C212" s="2" t="s">
        <v>2196</v>
      </c>
      <c r="D212" s="2" t="s">
        <v>95</v>
      </c>
      <c r="E212" s="2" t="n">
        <v>197967</v>
      </c>
      <c r="F212" s="15" t="n">
        <v>43981</v>
      </c>
      <c r="G212" s="15" t="n">
        <v>43988</v>
      </c>
      <c r="H212" s="3" t="n">
        <v>7</v>
      </c>
      <c r="I212" s="3" t="n">
        <v>2</v>
      </c>
      <c r="J212" s="3" t="n">
        <v>70</v>
      </c>
      <c r="K212" s="3" t="n">
        <v>2</v>
      </c>
      <c r="L212" s="3" t="n">
        <v>1</v>
      </c>
      <c r="M212" s="3" t="n">
        <v>1</v>
      </c>
      <c r="N212" s="3" t="n">
        <v>2</v>
      </c>
      <c r="O212" s="3" t="n">
        <v>2</v>
      </c>
      <c r="P212" s="3" t="n">
        <v>2</v>
      </c>
      <c r="Q212" s="3" t="n">
        <v>2</v>
      </c>
      <c r="R212" s="3" t="n">
        <v>2</v>
      </c>
      <c r="S212" s="3" t="n">
        <v>1</v>
      </c>
      <c r="T212" s="4" t="n">
        <v>2</v>
      </c>
      <c r="U212" s="3" t="n">
        <v>2</v>
      </c>
      <c r="V212" s="3" t="n">
        <v>4.31</v>
      </c>
      <c r="W212" s="3" t="n">
        <v>1.26</v>
      </c>
      <c r="X212" s="3" t="n">
        <v>4.49</v>
      </c>
      <c r="Y212" s="3" t="n">
        <v>288</v>
      </c>
      <c r="AA212" s="3" t="n">
        <v>0.43</v>
      </c>
      <c r="AB212" s="3" t="n">
        <v>10</v>
      </c>
      <c r="AC212" s="3" t="n">
        <v>2</v>
      </c>
      <c r="AD212" s="3" t="n">
        <v>2</v>
      </c>
      <c r="AE212" s="3" t="n">
        <v>1</v>
      </c>
      <c r="AF212" s="3" t="n">
        <v>1</v>
      </c>
      <c r="AG212" s="3" t="n">
        <v>1</v>
      </c>
      <c r="AH212" s="3" t="n">
        <v>2</v>
      </c>
      <c r="AI212" s="3" t="n">
        <v>1</v>
      </c>
      <c r="AJ212" s="3" t="n">
        <v>1</v>
      </c>
      <c r="AK212" s="3" t="n">
        <v>2</v>
      </c>
      <c r="AL212" s="3" t="n">
        <v>2</v>
      </c>
      <c r="AM212" s="3" t="n">
        <v>2</v>
      </c>
      <c r="AN212" s="3" t="n">
        <v>2</v>
      </c>
      <c r="AO212" s="3" t="n">
        <v>2</v>
      </c>
      <c r="AP212" s="3" t="n">
        <v>3</v>
      </c>
      <c r="AQ212" s="3" t="n">
        <v>4</v>
      </c>
      <c r="AR212" s="3" t="n">
        <v>4</v>
      </c>
      <c r="AS212" s="3" t="n">
        <v>6</v>
      </c>
      <c r="AT212" s="3" t="n">
        <v>4</v>
      </c>
      <c r="AU212" s="3" t="n">
        <v>4</v>
      </c>
      <c r="AV212" s="3" t="n">
        <v>6</v>
      </c>
      <c r="AW212" s="3" t="n">
        <v>6</v>
      </c>
      <c r="AX212" s="3" t="n">
        <v>3</v>
      </c>
      <c r="AY212" s="3" t="n">
        <v>3</v>
      </c>
      <c r="AZ212" s="3" t="n">
        <v>10</v>
      </c>
      <c r="BA212" s="5" t="n">
        <v>1</v>
      </c>
      <c r="BB212" s="3" t="n">
        <v>1</v>
      </c>
      <c r="BC212" s="3" t="n">
        <v>1</v>
      </c>
      <c r="BD212" s="3" t="n">
        <v>4</v>
      </c>
      <c r="BE212" s="3" t="n">
        <v>1</v>
      </c>
      <c r="BF212" s="3" t="n">
        <v>2</v>
      </c>
      <c r="BG212" s="3" t="n">
        <v>1</v>
      </c>
      <c r="BH212" s="3" t="n">
        <v>4</v>
      </c>
      <c r="BI212" s="3" t="n">
        <v>1</v>
      </c>
      <c r="BJ212" s="3" t="n">
        <v>1</v>
      </c>
    </row>
    <row r="213" customFormat="false" ht="12.75" hidden="false" customHeight="false" outlineLevel="0" collapsed="false">
      <c r="B213" s="2" t="s">
        <v>278</v>
      </c>
      <c r="C213" s="2" t="s">
        <v>2208</v>
      </c>
      <c r="D213" s="2" t="s">
        <v>2209</v>
      </c>
      <c r="E213" s="2" t="n">
        <v>198163</v>
      </c>
      <c r="F213" s="15" t="n">
        <v>43989</v>
      </c>
      <c r="G213" s="15" t="n">
        <v>43995</v>
      </c>
      <c r="H213" s="3" t="n">
        <v>6</v>
      </c>
      <c r="I213" s="3" t="n">
        <v>2</v>
      </c>
      <c r="J213" s="3" t="n">
        <v>64</v>
      </c>
      <c r="K213" s="3" t="n">
        <v>2</v>
      </c>
      <c r="L213" s="3" t="n">
        <v>1</v>
      </c>
      <c r="M213" s="3" t="n">
        <v>1</v>
      </c>
      <c r="N213" s="3" t="n">
        <v>1</v>
      </c>
      <c r="O213" s="3" t="n">
        <v>2</v>
      </c>
      <c r="P213" s="3" t="n">
        <v>2</v>
      </c>
      <c r="Q213" s="3" t="n">
        <v>1</v>
      </c>
      <c r="R213" s="3" t="n">
        <v>2</v>
      </c>
      <c r="S213" s="3" t="n">
        <v>2</v>
      </c>
      <c r="T213" s="4" t="n">
        <v>2</v>
      </c>
      <c r="U213" s="3" t="n">
        <v>2</v>
      </c>
      <c r="V213" s="3" t="n">
        <v>4.93</v>
      </c>
      <c r="W213" s="3" t="n">
        <v>1.38</v>
      </c>
      <c r="X213" s="3" t="n">
        <v>6.06</v>
      </c>
      <c r="Y213" s="3" t="n">
        <v>325</v>
      </c>
      <c r="AA213" s="3" t="n">
        <v>0.47</v>
      </c>
      <c r="AB213" s="3" t="n">
        <v>22</v>
      </c>
      <c r="AC213" s="3" t="n">
        <v>1</v>
      </c>
      <c r="AD213" s="3" t="n">
        <v>2</v>
      </c>
      <c r="AE213" s="3" t="n">
        <v>1</v>
      </c>
      <c r="AF213" s="3" t="n">
        <v>1</v>
      </c>
      <c r="AG213" s="3" t="n">
        <v>2</v>
      </c>
      <c r="AH213" s="3" t="n">
        <v>2</v>
      </c>
      <c r="AI213" s="3" t="n">
        <v>1</v>
      </c>
      <c r="AJ213" s="3" t="n">
        <v>2</v>
      </c>
      <c r="AK213" s="3" t="n">
        <v>2</v>
      </c>
      <c r="AL213" s="3" t="n">
        <v>2</v>
      </c>
      <c r="AM213" s="3" t="n">
        <v>1</v>
      </c>
      <c r="AN213" s="3" t="n">
        <v>2</v>
      </c>
      <c r="AO213" s="3" t="n">
        <v>2</v>
      </c>
      <c r="AP213" s="3" t="n">
        <v>3</v>
      </c>
      <c r="AQ213" s="3" t="n">
        <v>4</v>
      </c>
      <c r="AR213" s="3" t="n">
        <v>4</v>
      </c>
      <c r="AS213" s="3" t="n">
        <v>6</v>
      </c>
      <c r="AT213" s="3" t="n">
        <v>4</v>
      </c>
      <c r="AU213" s="3" t="n">
        <v>4</v>
      </c>
      <c r="AV213" s="3" t="n">
        <v>6</v>
      </c>
      <c r="AW213" s="3" t="n">
        <v>6</v>
      </c>
      <c r="AX213" s="3" t="n">
        <v>3</v>
      </c>
      <c r="AY213" s="3" t="n">
        <v>3</v>
      </c>
      <c r="AZ213" s="3" t="n">
        <v>1</v>
      </c>
      <c r="BA213" s="5" t="n">
        <v>1</v>
      </c>
      <c r="BB213" s="3" t="n">
        <v>1</v>
      </c>
      <c r="BC213" s="3" t="n">
        <v>1</v>
      </c>
      <c r="BD213" s="3" t="n">
        <v>2</v>
      </c>
      <c r="BE213" s="3" t="n">
        <v>1</v>
      </c>
      <c r="BF213" s="3" t="n">
        <v>2</v>
      </c>
      <c r="BG213" s="3" t="n">
        <v>1</v>
      </c>
      <c r="BH213" s="3" t="n">
        <v>4</v>
      </c>
      <c r="BI213" s="3" t="n">
        <v>1</v>
      </c>
      <c r="BJ213" s="3" t="n">
        <v>1</v>
      </c>
    </row>
    <row r="214" customFormat="false" ht="12.75" hidden="false" customHeight="false" outlineLevel="0" collapsed="false">
      <c r="B214" s="2" t="s">
        <v>2220</v>
      </c>
      <c r="C214" s="2" t="s">
        <v>386</v>
      </c>
      <c r="D214" s="2" t="s">
        <v>154</v>
      </c>
      <c r="E214" s="2" t="n">
        <v>198606</v>
      </c>
      <c r="F214" s="15" t="n">
        <v>44000</v>
      </c>
      <c r="G214" s="15" t="n">
        <v>44005</v>
      </c>
      <c r="H214" s="3" t="n">
        <v>5</v>
      </c>
      <c r="I214" s="3" t="n">
        <v>1</v>
      </c>
      <c r="J214" s="3" t="n">
        <v>57</v>
      </c>
      <c r="K214" s="3" t="n">
        <v>1</v>
      </c>
      <c r="L214" s="3" t="n">
        <v>2</v>
      </c>
      <c r="M214" s="3" t="n">
        <v>1</v>
      </c>
      <c r="N214" s="3" t="n">
        <v>2</v>
      </c>
      <c r="O214" s="3" t="n">
        <v>2</v>
      </c>
      <c r="P214" s="3" t="n">
        <v>1</v>
      </c>
      <c r="Q214" s="3" t="n">
        <v>1</v>
      </c>
      <c r="R214" s="3" t="n">
        <v>2</v>
      </c>
      <c r="S214" s="3" t="n">
        <v>2</v>
      </c>
      <c r="T214" s="4" t="n">
        <v>2</v>
      </c>
      <c r="U214" s="3" t="n">
        <v>2</v>
      </c>
      <c r="V214" s="3"/>
      <c r="W214" s="3"/>
      <c r="X214" s="3"/>
      <c r="Y214" s="3"/>
      <c r="AA214" s="3"/>
      <c r="AB214" s="3"/>
      <c r="AC214" s="3"/>
      <c r="AD214" s="3" t="n">
        <v>2</v>
      </c>
      <c r="AE214" s="3" t="n">
        <v>1</v>
      </c>
      <c r="AF214" s="3" t="n">
        <v>1</v>
      </c>
      <c r="AG214" s="3" t="n">
        <v>2</v>
      </c>
      <c r="AH214" s="3" t="n">
        <v>1</v>
      </c>
      <c r="AI214" s="3" t="n">
        <v>1</v>
      </c>
      <c r="AJ214" s="3" t="n">
        <v>2</v>
      </c>
      <c r="AK214" s="3" t="n">
        <v>1</v>
      </c>
      <c r="AL214" s="3" t="n">
        <v>2</v>
      </c>
      <c r="AM214" s="3" t="n">
        <v>2</v>
      </c>
      <c r="AN214" s="3" t="n">
        <v>2</v>
      </c>
      <c r="AO214" s="3" t="n">
        <v>2</v>
      </c>
      <c r="AP214" s="3" t="n">
        <v>3</v>
      </c>
      <c r="AQ214" s="3" t="n">
        <v>4</v>
      </c>
      <c r="AR214" s="3" t="n">
        <v>4</v>
      </c>
      <c r="AS214" s="3" t="n">
        <v>6</v>
      </c>
      <c r="AT214" s="3" t="n">
        <v>4</v>
      </c>
      <c r="AU214" s="3" t="n">
        <v>4</v>
      </c>
      <c r="AV214" s="3" t="n">
        <v>6</v>
      </c>
      <c r="AW214" s="3" t="n">
        <v>6</v>
      </c>
      <c r="AX214" s="3" t="n">
        <v>3</v>
      </c>
      <c r="AY214" s="3" t="n">
        <v>3</v>
      </c>
      <c r="AZ214" s="3" t="n">
        <v>1</v>
      </c>
      <c r="BA214" s="5" t="n">
        <v>1</v>
      </c>
      <c r="BB214" s="3" t="n">
        <v>1</v>
      </c>
      <c r="BC214" s="3" t="n">
        <v>1</v>
      </c>
      <c r="BD214" s="3" t="n">
        <v>4</v>
      </c>
      <c r="BE214" s="3" t="n">
        <v>1</v>
      </c>
      <c r="BF214" s="3" t="n">
        <v>2</v>
      </c>
      <c r="BG214" s="3" t="n">
        <v>1</v>
      </c>
      <c r="BH214" s="3" t="n">
        <v>4</v>
      </c>
      <c r="BI214" s="3" t="n">
        <v>1</v>
      </c>
      <c r="BJ214" s="3" t="n">
        <v>1</v>
      </c>
    </row>
    <row r="215" customFormat="false" ht="12.75" hidden="false" customHeight="false" outlineLevel="0" collapsed="false">
      <c r="B215" s="26" t="s">
        <v>1178</v>
      </c>
      <c r="C215" s="26" t="s">
        <v>2229</v>
      </c>
      <c r="D215" s="26" t="s">
        <v>446</v>
      </c>
      <c r="E215" s="26" t="n">
        <v>198671</v>
      </c>
      <c r="F215" s="27" t="n">
        <v>44001</v>
      </c>
      <c r="G215" s="27" t="n">
        <v>44011</v>
      </c>
      <c r="H215" s="30" t="n">
        <v>10</v>
      </c>
      <c r="I215" s="30" t="n">
        <v>2</v>
      </c>
      <c r="J215" s="30" t="n">
        <v>75</v>
      </c>
      <c r="K215" s="30" t="n">
        <v>1</v>
      </c>
      <c r="L215" s="30" t="n">
        <v>1</v>
      </c>
      <c r="M215" s="30" t="n">
        <v>1</v>
      </c>
      <c r="N215" s="30" t="n">
        <v>2</v>
      </c>
      <c r="O215" s="30" t="n">
        <v>2</v>
      </c>
      <c r="P215" s="30" t="n">
        <v>2</v>
      </c>
      <c r="Q215" s="30" t="n">
        <v>2</v>
      </c>
      <c r="R215" s="30" t="n">
        <v>2</v>
      </c>
      <c r="S215" s="30" t="n">
        <v>2</v>
      </c>
      <c r="T215" s="4" t="n">
        <v>1</v>
      </c>
      <c r="U215" s="30" t="n">
        <v>1</v>
      </c>
      <c r="V215" s="30"/>
      <c r="W215" s="30"/>
      <c r="X215" s="30"/>
      <c r="Y215" s="30"/>
      <c r="AA215" s="30"/>
      <c r="AB215" s="30"/>
      <c r="AC215" s="30"/>
      <c r="AD215" s="30" t="n">
        <v>1</v>
      </c>
      <c r="AE215" s="30" t="n">
        <v>1</v>
      </c>
      <c r="AF215" s="30" t="n">
        <v>1</v>
      </c>
      <c r="AG215" s="30" t="n">
        <v>2</v>
      </c>
      <c r="AH215" s="30" t="n">
        <v>2</v>
      </c>
      <c r="AI215" s="30" t="n">
        <v>1</v>
      </c>
      <c r="AJ215" s="30" t="n">
        <v>2</v>
      </c>
      <c r="AK215" s="30" t="n">
        <v>2</v>
      </c>
      <c r="AL215" s="30" t="n">
        <v>2</v>
      </c>
      <c r="AM215" s="30" t="n">
        <v>1</v>
      </c>
      <c r="AN215" s="30" t="n">
        <v>1</v>
      </c>
      <c r="AO215" s="30" t="n">
        <v>2</v>
      </c>
      <c r="AP215" s="30" t="n">
        <v>3</v>
      </c>
      <c r="AQ215" s="30" t="n">
        <v>4</v>
      </c>
      <c r="AR215" s="30" t="n">
        <v>4</v>
      </c>
      <c r="AS215" s="30" t="n">
        <v>6</v>
      </c>
      <c r="AT215" s="30" t="n">
        <v>4</v>
      </c>
      <c r="AU215" s="30" t="n">
        <v>4</v>
      </c>
      <c r="AV215" s="30" t="n">
        <v>6</v>
      </c>
      <c r="AW215" s="30" t="n">
        <v>6</v>
      </c>
      <c r="AX215" s="30" t="n">
        <v>3</v>
      </c>
      <c r="AY215" s="30" t="n">
        <v>3</v>
      </c>
      <c r="AZ215" s="30" t="n">
        <v>13</v>
      </c>
      <c r="BA215" s="5" t="n">
        <v>1</v>
      </c>
      <c r="BB215" s="30" t="n">
        <v>1</v>
      </c>
      <c r="BC215" s="30" t="n">
        <v>1</v>
      </c>
      <c r="BD215" s="30" t="n">
        <v>2</v>
      </c>
      <c r="BE215" s="30" t="n">
        <v>3</v>
      </c>
      <c r="BF215" s="30" t="n">
        <v>5</v>
      </c>
      <c r="BG215" s="30" t="n">
        <v>3</v>
      </c>
      <c r="BH215" s="30" t="n">
        <v>4</v>
      </c>
      <c r="BI215" s="30" t="n">
        <v>1</v>
      </c>
      <c r="BJ215" s="30" t="n">
        <v>1</v>
      </c>
    </row>
    <row r="216" customFormat="false" ht="12.75" hidden="false" customHeight="false" outlineLevel="0" collapsed="false">
      <c r="B216" s="2" t="s">
        <v>2238</v>
      </c>
      <c r="C216" s="2" t="s">
        <v>2239</v>
      </c>
      <c r="D216" s="2" t="s">
        <v>2240</v>
      </c>
      <c r="E216" s="2" t="n">
        <v>198829</v>
      </c>
      <c r="F216" s="15" t="n">
        <v>44005</v>
      </c>
      <c r="G216" s="15" t="n">
        <v>44014</v>
      </c>
      <c r="H216" s="3" t="n">
        <v>9</v>
      </c>
      <c r="I216" s="3" t="n">
        <v>2</v>
      </c>
      <c r="J216" s="3" t="n">
        <v>55</v>
      </c>
      <c r="K216" s="3" t="n">
        <v>1</v>
      </c>
      <c r="L216" s="3" t="n">
        <v>1</v>
      </c>
      <c r="M216" s="3" t="n">
        <v>1</v>
      </c>
      <c r="N216" s="3" t="n">
        <v>2</v>
      </c>
      <c r="O216" s="3" t="n">
        <v>2</v>
      </c>
      <c r="P216" s="3" t="n">
        <v>2</v>
      </c>
      <c r="Q216" s="3" t="n">
        <v>1</v>
      </c>
      <c r="R216" s="3" t="n">
        <v>2</v>
      </c>
      <c r="S216" s="3" t="n">
        <v>2</v>
      </c>
      <c r="T216" s="4" t="n">
        <v>1</v>
      </c>
      <c r="U216" s="3" t="n">
        <v>1</v>
      </c>
      <c r="V216" s="3" t="n">
        <v>3.65</v>
      </c>
      <c r="W216" s="3" t="n">
        <v>2.62</v>
      </c>
      <c r="X216" s="3" t="n">
        <v>6.5</v>
      </c>
      <c r="Y216" s="3" t="n">
        <v>437</v>
      </c>
      <c r="AA216" s="3" t="n">
        <v>0.48</v>
      </c>
      <c r="AB216" s="3" t="n">
        <v>19.9</v>
      </c>
      <c r="AC216" s="3" t="n">
        <v>2</v>
      </c>
      <c r="AD216" s="3" t="n">
        <v>2</v>
      </c>
      <c r="AE216" s="3" t="n">
        <v>1</v>
      </c>
      <c r="AF216" s="3" t="n">
        <v>1</v>
      </c>
      <c r="AG216" s="3" t="n">
        <v>1</v>
      </c>
      <c r="AH216" s="3" t="n">
        <v>2</v>
      </c>
      <c r="AI216" s="3" t="n">
        <v>1</v>
      </c>
      <c r="AJ216" s="3" t="n">
        <v>2</v>
      </c>
      <c r="AK216" s="3" t="n">
        <v>2</v>
      </c>
      <c r="AL216" s="3" t="n">
        <v>2</v>
      </c>
      <c r="AM216" s="3" t="n">
        <v>1</v>
      </c>
      <c r="AN216" s="3" t="n">
        <v>2</v>
      </c>
      <c r="AO216" s="3" t="n">
        <v>1</v>
      </c>
      <c r="AP216" s="3" t="n">
        <v>2</v>
      </c>
      <c r="AQ216" s="3" t="n">
        <v>3</v>
      </c>
      <c r="AR216" s="3" t="n">
        <v>2</v>
      </c>
      <c r="AS216" s="3" t="n">
        <v>2</v>
      </c>
      <c r="AT216" s="3" t="n">
        <v>2</v>
      </c>
      <c r="AU216" s="3" t="n">
        <v>1</v>
      </c>
      <c r="AV216" s="3" t="n">
        <v>1</v>
      </c>
      <c r="AW216" s="3" t="n">
        <v>1</v>
      </c>
      <c r="AX216" s="3" t="n">
        <v>2</v>
      </c>
      <c r="AY216" s="3" t="n">
        <v>2</v>
      </c>
      <c r="AZ216" s="3" t="n">
        <v>16</v>
      </c>
      <c r="BA216" s="5" t="n">
        <v>1</v>
      </c>
      <c r="BB216" s="3" t="n">
        <v>1</v>
      </c>
      <c r="BC216" s="3" t="n">
        <v>1</v>
      </c>
      <c r="BD216" s="3" t="n">
        <v>2</v>
      </c>
      <c r="BE216" s="3" t="n">
        <v>1</v>
      </c>
      <c r="BF216" s="3" t="n">
        <v>2</v>
      </c>
      <c r="BG216" s="3" t="n">
        <v>2</v>
      </c>
      <c r="BH216" s="3" t="n">
        <v>4</v>
      </c>
      <c r="BI216" s="3" t="n">
        <v>1</v>
      </c>
      <c r="BJ216" s="3" t="n">
        <v>1</v>
      </c>
    </row>
    <row r="217" customFormat="false" ht="12.75" hidden="false" customHeight="false" outlineLevel="0" collapsed="false">
      <c r="B217" s="2" t="s">
        <v>440</v>
      </c>
      <c r="C217" s="2" t="s">
        <v>172</v>
      </c>
      <c r="D217" s="2" t="s">
        <v>2245</v>
      </c>
      <c r="E217" s="2" t="n">
        <v>198841</v>
      </c>
      <c r="F217" s="15" t="n">
        <v>44006</v>
      </c>
      <c r="G217" s="15" t="n">
        <v>44013</v>
      </c>
      <c r="H217" s="3" t="n">
        <v>7</v>
      </c>
      <c r="I217" s="3" t="n">
        <v>2</v>
      </c>
      <c r="J217" s="3" t="n">
        <v>59</v>
      </c>
      <c r="K217" s="3" t="n">
        <v>2</v>
      </c>
      <c r="L217" s="3" t="n">
        <v>2</v>
      </c>
      <c r="M217" s="3" t="n">
        <v>2</v>
      </c>
      <c r="N217" s="3" t="n">
        <v>2</v>
      </c>
      <c r="O217" s="3" t="n">
        <v>2</v>
      </c>
      <c r="P217" s="3" t="n">
        <v>2</v>
      </c>
      <c r="Q217" s="3" t="n">
        <v>2</v>
      </c>
      <c r="R217" s="3" t="n">
        <v>2</v>
      </c>
      <c r="S217" s="3" t="n">
        <v>2</v>
      </c>
      <c r="T217" s="4" t="n">
        <v>2</v>
      </c>
      <c r="U217" s="3" t="n">
        <v>2</v>
      </c>
      <c r="V217" s="3"/>
      <c r="W217" s="3"/>
      <c r="X217" s="3"/>
      <c r="Y217" s="3"/>
      <c r="AA217" s="3" t="n">
        <v>0.45</v>
      </c>
      <c r="AB217" s="3" t="n">
        <v>8.4</v>
      </c>
      <c r="AC217" s="3" t="n">
        <v>1</v>
      </c>
      <c r="AD217" s="3" t="n">
        <v>2</v>
      </c>
      <c r="AE217" s="3" t="n">
        <v>1</v>
      </c>
      <c r="AF217" s="3" t="n">
        <v>1</v>
      </c>
      <c r="AG217" s="3" t="n">
        <v>2</v>
      </c>
      <c r="AH217" s="3" t="n">
        <v>2</v>
      </c>
      <c r="AI217" s="3" t="n">
        <v>1</v>
      </c>
      <c r="AJ217" s="3" t="n">
        <v>2</v>
      </c>
      <c r="AK217" s="3" t="n">
        <v>2</v>
      </c>
      <c r="AL217" s="3" t="n">
        <v>2</v>
      </c>
      <c r="AM217" s="3" t="n">
        <v>2</v>
      </c>
      <c r="AN217" s="3" t="n">
        <v>2</v>
      </c>
      <c r="AO217" s="3" t="n">
        <v>2</v>
      </c>
      <c r="AP217" s="3" t="n">
        <v>3</v>
      </c>
      <c r="AQ217" s="3" t="n">
        <v>4</v>
      </c>
      <c r="AR217" s="3" t="n">
        <v>4</v>
      </c>
      <c r="AS217" s="3" t="n">
        <v>6</v>
      </c>
      <c r="AT217" s="3" t="n">
        <v>4</v>
      </c>
      <c r="AU217" s="3" t="n">
        <v>4</v>
      </c>
      <c r="AV217" s="3" t="n">
        <v>6</v>
      </c>
      <c r="AW217" s="3" t="n">
        <v>6</v>
      </c>
      <c r="AX217" s="3" t="n">
        <v>3</v>
      </c>
      <c r="AY217" s="3" t="n">
        <v>3</v>
      </c>
      <c r="AZ217" s="3" t="n">
        <v>1</v>
      </c>
      <c r="BA217" s="5" t="n">
        <v>1</v>
      </c>
      <c r="BB217" s="3" t="n">
        <v>1</v>
      </c>
      <c r="BC217" s="3" t="n">
        <v>1</v>
      </c>
      <c r="BD217" s="3" t="n">
        <v>2</v>
      </c>
      <c r="BE217" s="3" t="n">
        <v>3</v>
      </c>
      <c r="BF217" s="3" t="n">
        <v>5</v>
      </c>
      <c r="BG217" s="3" t="n">
        <v>3</v>
      </c>
      <c r="BH217" s="3" t="n">
        <v>4</v>
      </c>
      <c r="BI217" s="3" t="n">
        <v>1</v>
      </c>
      <c r="BJ217" s="3" t="n">
        <v>1</v>
      </c>
    </row>
    <row r="218" customFormat="false" ht="12.75" hidden="false" customHeight="false" outlineLevel="0" collapsed="false">
      <c r="B218" s="2" t="s">
        <v>445</v>
      </c>
      <c r="C218" s="2" t="s">
        <v>2247</v>
      </c>
      <c r="D218" s="2" t="s">
        <v>2248</v>
      </c>
      <c r="E218" s="2" t="n">
        <v>199123</v>
      </c>
      <c r="F218" s="15" t="n">
        <v>44012</v>
      </c>
      <c r="G218" s="15" t="n">
        <v>44016</v>
      </c>
      <c r="H218" s="3" t="n">
        <v>5</v>
      </c>
      <c r="I218" s="3" t="n">
        <v>1</v>
      </c>
      <c r="J218" s="3" t="n">
        <v>66</v>
      </c>
      <c r="K218" s="3" t="n">
        <v>1</v>
      </c>
      <c r="L218" s="3" t="n">
        <v>2</v>
      </c>
      <c r="M218" s="3" t="n">
        <v>1</v>
      </c>
      <c r="N218" s="3" t="n">
        <v>1</v>
      </c>
      <c r="O218" s="3" t="n">
        <v>2</v>
      </c>
      <c r="P218" s="3" t="n">
        <v>2</v>
      </c>
      <c r="Q218" s="3" t="n">
        <v>1</v>
      </c>
      <c r="R218" s="3" t="n">
        <v>2</v>
      </c>
      <c r="S218" s="3" t="n">
        <v>2</v>
      </c>
      <c r="T218" s="4" t="n">
        <v>2</v>
      </c>
      <c r="U218" s="3" t="n">
        <v>2</v>
      </c>
      <c r="V218" s="3" t="n">
        <v>3.9</v>
      </c>
      <c r="W218" s="3" t="n">
        <v>1.59</v>
      </c>
      <c r="X218" s="3" t="n">
        <v>6</v>
      </c>
      <c r="Y218" s="3" t="n">
        <v>653</v>
      </c>
      <c r="AA218" s="3" t="n">
        <v>0.43</v>
      </c>
      <c r="AB218" s="3" t="n">
        <v>10.8</v>
      </c>
      <c r="AC218" s="3" t="n">
        <v>1</v>
      </c>
      <c r="AD218" s="3" t="n">
        <v>1</v>
      </c>
      <c r="AE218" s="3" t="n">
        <v>1</v>
      </c>
      <c r="AF218" s="3" t="n">
        <v>1</v>
      </c>
      <c r="AG218" s="3" t="n">
        <v>2</v>
      </c>
      <c r="AH218" s="3" t="n">
        <v>2</v>
      </c>
      <c r="AI218" s="3" t="n">
        <v>1</v>
      </c>
      <c r="AJ218" s="3" t="n">
        <v>2</v>
      </c>
      <c r="AK218" s="3" t="n">
        <v>2</v>
      </c>
      <c r="AL218" s="3" t="n">
        <v>2</v>
      </c>
      <c r="AM218" s="3" t="n">
        <v>2</v>
      </c>
      <c r="AN218" s="3" t="n">
        <v>1</v>
      </c>
      <c r="AO218" s="3" t="n">
        <v>2</v>
      </c>
      <c r="AP218" s="3" t="n">
        <v>3</v>
      </c>
      <c r="AQ218" s="3" t="n">
        <v>4</v>
      </c>
      <c r="AR218" s="3" t="n">
        <v>4</v>
      </c>
      <c r="AS218" s="3" t="n">
        <v>6</v>
      </c>
      <c r="AT218" s="3" t="n">
        <v>4</v>
      </c>
      <c r="AU218" s="3" t="n">
        <v>4</v>
      </c>
      <c r="AV218" s="3" t="n">
        <v>6</v>
      </c>
      <c r="AW218" s="3" t="n">
        <v>6</v>
      </c>
      <c r="AX218" s="3" t="n">
        <v>3</v>
      </c>
      <c r="AY218" s="3" t="n">
        <v>3</v>
      </c>
      <c r="AZ218" s="3" t="n">
        <v>6</v>
      </c>
      <c r="BA218" s="5" t="n">
        <v>1</v>
      </c>
      <c r="BB218" s="3" t="n">
        <v>1</v>
      </c>
      <c r="BC218" s="3" t="n">
        <v>1</v>
      </c>
      <c r="BD218" s="3" t="n">
        <v>4</v>
      </c>
      <c r="BE218" s="3" t="n">
        <v>1</v>
      </c>
      <c r="BF218" s="3" t="n">
        <v>2</v>
      </c>
      <c r="BG218" s="3" t="n">
        <v>1</v>
      </c>
      <c r="BH218" s="3" t="n">
        <v>4</v>
      </c>
      <c r="BI218" s="3" t="n">
        <v>1</v>
      </c>
      <c r="BJ218" s="3" t="n">
        <v>1</v>
      </c>
    </row>
    <row r="219" customFormat="false" ht="12.75" hidden="false" customHeight="false" outlineLevel="0" collapsed="false">
      <c r="B219" s="2" t="s">
        <v>2250</v>
      </c>
      <c r="C219" s="2" t="s">
        <v>510</v>
      </c>
      <c r="D219" s="2" t="s">
        <v>118</v>
      </c>
      <c r="E219" s="2" t="n">
        <v>198902</v>
      </c>
      <c r="F219" s="15" t="n">
        <v>44009</v>
      </c>
      <c r="G219" s="15" t="n">
        <v>44016</v>
      </c>
      <c r="H219" s="3" t="n">
        <v>7</v>
      </c>
      <c r="I219" s="3" t="n">
        <v>1</v>
      </c>
      <c r="J219" s="3" t="n">
        <v>62</v>
      </c>
      <c r="K219" s="3" t="n">
        <v>1</v>
      </c>
      <c r="L219" s="3" t="n">
        <v>1</v>
      </c>
      <c r="M219" s="3" t="n">
        <v>1</v>
      </c>
      <c r="N219" s="3" t="n">
        <v>2</v>
      </c>
      <c r="O219" s="3" t="n">
        <v>2</v>
      </c>
      <c r="P219" s="3" t="n">
        <v>2</v>
      </c>
      <c r="Q219" s="3" t="n">
        <v>2</v>
      </c>
      <c r="R219" s="3" t="n">
        <v>2</v>
      </c>
      <c r="S219" s="3" t="n">
        <v>2</v>
      </c>
      <c r="T219" s="4" t="n">
        <v>2</v>
      </c>
      <c r="U219" s="3" t="n">
        <v>2</v>
      </c>
      <c r="V219" s="3" t="n">
        <v>5.74</v>
      </c>
      <c r="W219" s="3" t="n">
        <v>1.56</v>
      </c>
      <c r="X219" s="3" t="n">
        <v>4.9</v>
      </c>
      <c r="Y219" s="3" t="n">
        <v>209</v>
      </c>
      <c r="AA219" s="3" t="n">
        <v>0.44</v>
      </c>
      <c r="AB219" s="3" t="n">
        <v>12.6</v>
      </c>
      <c r="AC219" s="3" t="n">
        <v>1</v>
      </c>
      <c r="AD219" s="3" t="n">
        <v>2</v>
      </c>
      <c r="AE219" s="3" t="n">
        <v>1</v>
      </c>
      <c r="AF219" s="3" t="n">
        <v>1</v>
      </c>
      <c r="AG219" s="3" t="n">
        <v>2</v>
      </c>
      <c r="AH219" s="3" t="n">
        <v>2</v>
      </c>
      <c r="AI219" s="3" t="n">
        <v>1</v>
      </c>
      <c r="AJ219" s="3" t="n">
        <v>2</v>
      </c>
      <c r="AK219" s="3" t="n">
        <v>1</v>
      </c>
      <c r="AL219" s="3" t="n">
        <v>2</v>
      </c>
      <c r="AM219" s="3" t="n">
        <v>1</v>
      </c>
      <c r="AN219" s="3" t="n">
        <v>2</v>
      </c>
      <c r="AO219" s="3" t="n">
        <v>2</v>
      </c>
      <c r="AP219" s="3" t="n">
        <v>3</v>
      </c>
      <c r="AQ219" s="3" t="n">
        <v>4</v>
      </c>
      <c r="AR219" s="3" t="n">
        <v>4</v>
      </c>
      <c r="AS219" s="3" t="n">
        <v>6</v>
      </c>
      <c r="AT219" s="3" t="n">
        <v>4</v>
      </c>
      <c r="AU219" s="3" t="n">
        <v>4</v>
      </c>
      <c r="AV219" s="3" t="n">
        <v>6</v>
      </c>
      <c r="AW219" s="3" t="n">
        <v>6</v>
      </c>
      <c r="AX219" s="3" t="n">
        <v>3</v>
      </c>
      <c r="AY219" s="3" t="n">
        <v>3</v>
      </c>
      <c r="AZ219" s="3" t="n">
        <v>1</v>
      </c>
      <c r="BA219" s="5" t="n">
        <v>1</v>
      </c>
      <c r="BB219" s="3" t="n">
        <v>1</v>
      </c>
      <c r="BC219" s="3" t="n">
        <v>1</v>
      </c>
      <c r="BD219" s="3" t="n">
        <v>4</v>
      </c>
      <c r="BE219" s="3" t="n">
        <v>1</v>
      </c>
      <c r="BF219" s="3" t="n">
        <v>2</v>
      </c>
      <c r="BG219" s="3" t="n">
        <v>1</v>
      </c>
      <c r="BH219" s="3" t="n">
        <v>4</v>
      </c>
      <c r="BI219" s="3" t="n">
        <v>1</v>
      </c>
      <c r="BJ219" s="3" t="n">
        <v>1</v>
      </c>
    </row>
    <row r="220" customFormat="false" ht="12.75" hidden="false" customHeight="false" outlineLevel="0" collapsed="false">
      <c r="B220" s="2" t="s">
        <v>680</v>
      </c>
      <c r="C220" s="2" t="s">
        <v>311</v>
      </c>
      <c r="D220" s="2" t="s">
        <v>2252</v>
      </c>
      <c r="E220" s="2" t="n">
        <v>199141</v>
      </c>
      <c r="F220" s="15" t="n">
        <v>44013</v>
      </c>
      <c r="G220" s="15" t="n">
        <v>44017</v>
      </c>
      <c r="H220" s="3" t="n">
        <v>4</v>
      </c>
      <c r="I220" s="3" t="n">
        <v>2</v>
      </c>
      <c r="J220" s="3" t="n">
        <v>67</v>
      </c>
      <c r="K220" s="3" t="n">
        <v>2</v>
      </c>
      <c r="L220" s="3" t="n">
        <v>1</v>
      </c>
      <c r="M220" s="3" t="n">
        <v>1</v>
      </c>
      <c r="N220" s="3" t="n">
        <v>2</v>
      </c>
      <c r="O220" s="3" t="n">
        <v>2</v>
      </c>
      <c r="P220" s="3" t="n">
        <v>2</v>
      </c>
      <c r="Q220" s="3" t="n">
        <v>2</v>
      </c>
      <c r="R220" s="3" t="n">
        <v>2</v>
      </c>
      <c r="S220" s="3" t="n">
        <v>2</v>
      </c>
      <c r="T220" s="4" t="n">
        <v>1</v>
      </c>
      <c r="U220" s="3" t="n">
        <v>1</v>
      </c>
      <c r="V220" s="3" t="n">
        <v>3.7</v>
      </c>
      <c r="W220" s="3" t="n">
        <v>1.28</v>
      </c>
      <c r="X220" s="3" t="n">
        <v>6.6</v>
      </c>
      <c r="Y220" s="3" t="n">
        <v>380</v>
      </c>
      <c r="AA220" s="3" t="n">
        <v>0.4</v>
      </c>
      <c r="AB220" s="3" t="n">
        <v>15</v>
      </c>
      <c r="AC220" s="3" t="n">
        <v>1</v>
      </c>
      <c r="AD220" s="3" t="n">
        <v>1</v>
      </c>
      <c r="AE220" s="3" t="n">
        <v>1</v>
      </c>
      <c r="AF220" s="3" t="n">
        <v>1</v>
      </c>
      <c r="AG220" s="3" t="n">
        <v>2</v>
      </c>
      <c r="AH220" s="3" t="n">
        <v>2</v>
      </c>
      <c r="AI220" s="3" t="n">
        <v>2</v>
      </c>
      <c r="AJ220" s="3" t="n">
        <v>2</v>
      </c>
      <c r="AK220" s="3" t="n">
        <v>2</v>
      </c>
      <c r="AL220" s="3" t="n">
        <v>2</v>
      </c>
      <c r="AM220" s="3" t="n">
        <v>2</v>
      </c>
      <c r="AN220" s="3" t="n">
        <v>2</v>
      </c>
      <c r="AO220" s="3" t="n">
        <v>2</v>
      </c>
      <c r="AP220" s="3" t="n">
        <v>3</v>
      </c>
      <c r="AQ220" s="3" t="n">
        <v>4</v>
      </c>
      <c r="AR220" s="3" t="n">
        <v>4</v>
      </c>
      <c r="AS220" s="3" t="n">
        <v>6</v>
      </c>
      <c r="AT220" s="3" t="n">
        <v>4</v>
      </c>
      <c r="AU220" s="3" t="n">
        <v>4</v>
      </c>
      <c r="AV220" s="3" t="n">
        <v>6</v>
      </c>
      <c r="AW220" s="3" t="n">
        <v>6</v>
      </c>
      <c r="AX220" s="3" t="n">
        <v>3</v>
      </c>
      <c r="AY220" s="3" t="n">
        <v>3</v>
      </c>
      <c r="AZ220" s="3" t="n">
        <v>1</v>
      </c>
      <c r="BA220" s="5" t="n">
        <v>1</v>
      </c>
      <c r="BB220" s="3" t="n">
        <v>1</v>
      </c>
      <c r="BC220" s="3" t="n">
        <v>1</v>
      </c>
      <c r="BD220" s="3" t="n">
        <v>4</v>
      </c>
      <c r="BE220" s="3" t="n">
        <v>3</v>
      </c>
      <c r="BF220" s="3" t="n">
        <v>5</v>
      </c>
      <c r="BG220" s="3" t="n">
        <v>3</v>
      </c>
      <c r="BH220" s="3" t="n">
        <v>4</v>
      </c>
      <c r="BI220" s="3" t="n">
        <v>1</v>
      </c>
      <c r="BJ220" s="3" t="n">
        <v>1</v>
      </c>
    </row>
    <row r="221" customFormat="false" ht="12.75" hidden="false" customHeight="false" outlineLevel="0" collapsed="false">
      <c r="B221" s="2" t="s">
        <v>2254</v>
      </c>
      <c r="C221" s="2" t="s">
        <v>549</v>
      </c>
      <c r="D221" s="2" t="s">
        <v>118</v>
      </c>
      <c r="E221" s="2" t="n">
        <v>198912</v>
      </c>
      <c r="F221" s="15" t="n">
        <v>47297</v>
      </c>
      <c r="G221" s="15" t="n">
        <v>44017</v>
      </c>
      <c r="H221" s="3" t="n">
        <v>7</v>
      </c>
      <c r="I221" s="3" t="n">
        <v>2</v>
      </c>
      <c r="J221" s="3" t="n">
        <v>68</v>
      </c>
      <c r="K221" s="3" t="n">
        <v>1</v>
      </c>
      <c r="L221" s="3" t="n">
        <v>1</v>
      </c>
      <c r="M221" s="3" t="n">
        <v>1</v>
      </c>
      <c r="N221" s="3" t="n">
        <v>2</v>
      </c>
      <c r="O221" s="3" t="n">
        <v>2</v>
      </c>
      <c r="P221" s="3" t="n">
        <v>2</v>
      </c>
      <c r="Q221" s="3" t="n">
        <v>2</v>
      </c>
      <c r="R221" s="3" t="n">
        <v>2</v>
      </c>
      <c r="S221" s="3" t="n">
        <v>2</v>
      </c>
      <c r="T221" s="4" t="n">
        <v>2</v>
      </c>
      <c r="U221" s="3" t="n">
        <v>2</v>
      </c>
      <c r="V221" s="3" t="n">
        <v>5.02</v>
      </c>
      <c r="W221" s="3" t="n">
        <v>1.26</v>
      </c>
      <c r="X221" s="3" t="n">
        <v>4.6</v>
      </c>
      <c r="Y221" s="3" t="n">
        <v>409</v>
      </c>
      <c r="AA221" s="3" t="n">
        <v>0.49</v>
      </c>
      <c r="AB221" s="3"/>
      <c r="AC221" s="3" t="n">
        <v>1</v>
      </c>
      <c r="AD221" s="3" t="n">
        <v>2</v>
      </c>
      <c r="AE221" s="3" t="n">
        <v>1</v>
      </c>
      <c r="AF221" s="3" t="n">
        <v>1</v>
      </c>
      <c r="AG221" s="3" t="n">
        <v>1</v>
      </c>
      <c r="AH221" s="3" t="n">
        <v>2</v>
      </c>
      <c r="AI221" s="3" t="n">
        <v>1</v>
      </c>
      <c r="AJ221" s="3" t="n">
        <v>2</v>
      </c>
      <c r="AK221" s="3" t="n">
        <v>2</v>
      </c>
      <c r="AL221" s="3" t="n">
        <v>2</v>
      </c>
      <c r="AM221" s="3" t="n">
        <v>2</v>
      </c>
      <c r="AN221" s="3" t="n">
        <v>2</v>
      </c>
      <c r="AO221" s="3" t="n">
        <v>2</v>
      </c>
      <c r="AP221" s="3" t="n">
        <v>3</v>
      </c>
      <c r="AQ221" s="3" t="n">
        <v>4</v>
      </c>
      <c r="AR221" s="3" t="n">
        <v>4</v>
      </c>
      <c r="AS221" s="3" t="n">
        <v>6</v>
      </c>
      <c r="AT221" s="3" t="n">
        <v>4</v>
      </c>
      <c r="AU221" s="3" t="n">
        <v>4</v>
      </c>
      <c r="AV221" s="3" t="n">
        <v>6</v>
      </c>
      <c r="AW221" s="3" t="n">
        <v>6</v>
      </c>
      <c r="AX221" s="3" t="n">
        <v>3</v>
      </c>
      <c r="AY221" s="3" t="n">
        <v>3</v>
      </c>
      <c r="AZ221" s="3" t="n">
        <v>1</v>
      </c>
      <c r="BA221" s="5" t="n">
        <v>1</v>
      </c>
      <c r="BB221" s="3" t="n">
        <v>1</v>
      </c>
      <c r="BC221" s="3" t="n">
        <v>1</v>
      </c>
      <c r="BD221" s="3" t="n">
        <v>4</v>
      </c>
      <c r="BE221" s="3" t="n">
        <v>1</v>
      </c>
      <c r="BF221" s="3" t="n">
        <v>2</v>
      </c>
      <c r="BG221" s="3" t="n">
        <v>1</v>
      </c>
      <c r="BH221" s="3" t="n">
        <v>4</v>
      </c>
      <c r="BI221" s="3" t="n">
        <v>1</v>
      </c>
      <c r="BJ221" s="3" t="n">
        <v>1</v>
      </c>
    </row>
    <row r="222" customFormat="false" ht="12.75" hidden="false" customHeight="false" outlineLevel="0" collapsed="false">
      <c r="B222" s="26" t="s">
        <v>660</v>
      </c>
      <c r="C222" s="26" t="s">
        <v>2256</v>
      </c>
      <c r="D222" s="26" t="s">
        <v>988</v>
      </c>
      <c r="E222" s="26" t="n">
        <v>198956</v>
      </c>
      <c r="F222" s="27" t="n">
        <v>44015</v>
      </c>
      <c r="G222" s="27" t="n">
        <v>44018</v>
      </c>
      <c r="H222" s="30" t="n">
        <v>3</v>
      </c>
      <c r="I222" s="30" t="n">
        <v>2</v>
      </c>
      <c r="J222" s="30" t="n">
        <v>84</v>
      </c>
      <c r="K222" s="30" t="n">
        <v>1</v>
      </c>
      <c r="L222" s="30" t="n">
        <v>1</v>
      </c>
      <c r="M222" s="30" t="n">
        <v>1</v>
      </c>
      <c r="N222" s="30" t="n">
        <v>2</v>
      </c>
      <c r="O222" s="30" t="n">
        <v>2</v>
      </c>
      <c r="P222" s="30" t="n">
        <v>2</v>
      </c>
      <c r="Q222" s="30" t="n">
        <v>2</v>
      </c>
      <c r="R222" s="30" t="n">
        <v>2</v>
      </c>
      <c r="S222" s="30" t="n">
        <v>2</v>
      </c>
      <c r="T222" s="4" t="n">
        <v>2</v>
      </c>
      <c r="U222" s="30" t="n">
        <v>2</v>
      </c>
      <c r="V222" s="30" t="n">
        <v>2.31</v>
      </c>
      <c r="W222" s="30" t="n">
        <v>1.03</v>
      </c>
      <c r="X222" s="30"/>
      <c r="Y222" s="30"/>
      <c r="AA222" s="30" t="n">
        <v>0.2</v>
      </c>
      <c r="AB222" s="30" t="n">
        <v>9.9</v>
      </c>
      <c r="AC222" s="30" t="n">
        <v>1</v>
      </c>
      <c r="AD222" s="30" t="n">
        <v>2</v>
      </c>
      <c r="AE222" s="30" t="n">
        <v>2</v>
      </c>
      <c r="AF222" s="30" t="n">
        <v>2</v>
      </c>
      <c r="AG222" s="30" t="n">
        <v>2</v>
      </c>
      <c r="AH222" s="30" t="n">
        <v>2</v>
      </c>
      <c r="AI222" s="30" t="n">
        <v>2</v>
      </c>
      <c r="AJ222" s="30" t="n">
        <v>2</v>
      </c>
      <c r="AK222" s="30" t="n">
        <v>2</v>
      </c>
      <c r="AL222" s="30" t="n">
        <v>2</v>
      </c>
      <c r="AM222" s="30" t="n">
        <v>2</v>
      </c>
      <c r="AN222" s="30" t="n">
        <v>2</v>
      </c>
      <c r="AO222" s="30" t="n">
        <v>2</v>
      </c>
      <c r="AP222" s="30" t="n">
        <v>3</v>
      </c>
      <c r="AQ222" s="30" t="n">
        <v>4</v>
      </c>
      <c r="AR222" s="30" t="n">
        <v>4</v>
      </c>
      <c r="AS222" s="30" t="n">
        <v>6</v>
      </c>
      <c r="AT222" s="30" t="n">
        <v>4</v>
      </c>
      <c r="AU222" s="30" t="n">
        <v>4</v>
      </c>
      <c r="AV222" s="30" t="n">
        <v>6</v>
      </c>
      <c r="AW222" s="30" t="n">
        <v>6</v>
      </c>
      <c r="AX222" s="30" t="n">
        <v>3</v>
      </c>
      <c r="AY222" s="30" t="n">
        <v>3</v>
      </c>
      <c r="AZ222" s="30" t="n">
        <v>1</v>
      </c>
      <c r="BA222" s="5" t="n">
        <v>1</v>
      </c>
      <c r="BB222" s="30" t="n">
        <v>1</v>
      </c>
      <c r="BC222" s="30" t="n">
        <v>1</v>
      </c>
      <c r="BD222" s="30" t="n">
        <v>2</v>
      </c>
      <c r="BE222" s="30" t="n">
        <v>3</v>
      </c>
      <c r="BF222" s="30" t="n">
        <v>5</v>
      </c>
      <c r="BG222" s="30" t="n">
        <v>3</v>
      </c>
      <c r="BH222" s="30" t="n">
        <v>4</v>
      </c>
      <c r="BI222" s="30" t="n">
        <v>1</v>
      </c>
      <c r="BJ222" s="30" t="n">
        <v>1</v>
      </c>
    </row>
    <row r="223" customFormat="false" ht="12.75" hidden="false" customHeight="false" outlineLevel="0" collapsed="false">
      <c r="B223" s="2" t="s">
        <v>239</v>
      </c>
      <c r="C223" s="2" t="s">
        <v>272</v>
      </c>
      <c r="D223" s="2" t="s">
        <v>210</v>
      </c>
      <c r="E223" s="2" t="n">
        <v>199148</v>
      </c>
      <c r="F223" s="15" t="n">
        <v>44013</v>
      </c>
      <c r="G223" s="15" t="n">
        <v>44020</v>
      </c>
      <c r="H223" s="3" t="n">
        <v>7</v>
      </c>
      <c r="I223" s="3" t="n">
        <v>2</v>
      </c>
      <c r="J223" s="3" t="n">
        <v>80</v>
      </c>
      <c r="K223" s="3" t="n">
        <v>1</v>
      </c>
      <c r="L223" s="3" t="n">
        <v>2</v>
      </c>
      <c r="M223" s="3" t="n">
        <v>1</v>
      </c>
      <c r="N223" s="3" t="n">
        <v>2</v>
      </c>
      <c r="O223" s="3" t="n">
        <v>2</v>
      </c>
      <c r="P223" s="3" t="n">
        <v>1</v>
      </c>
      <c r="Q223" s="3" t="n">
        <v>1</v>
      </c>
      <c r="R223" s="3" t="n">
        <v>2</v>
      </c>
      <c r="S223" s="3" t="n">
        <v>2</v>
      </c>
      <c r="T223" s="4" t="n">
        <v>2</v>
      </c>
      <c r="U223" s="3" t="n">
        <v>2</v>
      </c>
      <c r="V223" s="3" t="n">
        <v>2.9</v>
      </c>
      <c r="W223" s="3" t="n">
        <v>2.65</v>
      </c>
      <c r="X223" s="3" t="n">
        <v>9.1</v>
      </c>
      <c r="Y223" s="3" t="n">
        <v>315</v>
      </c>
      <c r="AA223" s="3" t="n">
        <v>0.44</v>
      </c>
      <c r="AB223" s="3" t="n">
        <v>7</v>
      </c>
      <c r="AC223" s="3" t="n">
        <v>1</v>
      </c>
      <c r="AD223" s="3" t="n">
        <v>2</v>
      </c>
      <c r="AE223" s="3" t="n">
        <v>1</v>
      </c>
      <c r="AF223" s="3" t="n">
        <v>1</v>
      </c>
      <c r="AG223" s="3" t="n">
        <v>2</v>
      </c>
      <c r="AH223" s="3" t="n">
        <v>2</v>
      </c>
      <c r="AI223" s="3" t="n">
        <v>1</v>
      </c>
      <c r="AJ223" s="3" t="n">
        <v>2</v>
      </c>
      <c r="AK223" s="3" t="n">
        <v>2</v>
      </c>
      <c r="AL223" s="3" t="n">
        <v>2</v>
      </c>
      <c r="AM223" s="3" t="n">
        <v>2</v>
      </c>
      <c r="AN223" s="3" t="n">
        <v>2</v>
      </c>
      <c r="AO223" s="3" t="n">
        <v>2</v>
      </c>
      <c r="AP223" s="3" t="n">
        <v>2</v>
      </c>
      <c r="AQ223" s="3" t="n">
        <v>3</v>
      </c>
      <c r="AR223" s="3" t="n">
        <v>8</v>
      </c>
      <c r="AS223" s="3" t="n">
        <v>2</v>
      </c>
      <c r="AT223" s="3" t="n">
        <v>2</v>
      </c>
      <c r="AU223" s="3" t="n">
        <v>1</v>
      </c>
      <c r="AV223" s="3" t="n">
        <v>1</v>
      </c>
      <c r="AW223" s="3" t="n">
        <v>1</v>
      </c>
      <c r="AX223" s="3" t="n">
        <v>2</v>
      </c>
      <c r="AY223" s="3" t="n">
        <v>2</v>
      </c>
      <c r="AZ223" s="3" t="n">
        <v>1</v>
      </c>
      <c r="BA223" s="5" t="n">
        <v>1</v>
      </c>
      <c r="BB223" s="3" t="n">
        <v>1</v>
      </c>
      <c r="BC223" s="3" t="n">
        <v>1</v>
      </c>
      <c r="BD223" s="3" t="n">
        <v>2</v>
      </c>
      <c r="BE223" s="3" t="n">
        <v>1</v>
      </c>
      <c r="BF223" s="3" t="n">
        <v>2</v>
      </c>
      <c r="BG223" s="3" t="n">
        <v>1</v>
      </c>
      <c r="BH223" s="3" t="n">
        <v>4</v>
      </c>
      <c r="BI223" s="3" t="n">
        <v>1</v>
      </c>
      <c r="BJ223" s="3" t="n">
        <v>1</v>
      </c>
    </row>
    <row r="224" customFormat="false" ht="12.75" hidden="false" customHeight="false" outlineLevel="0" collapsed="false">
      <c r="B224" s="2" t="s">
        <v>427</v>
      </c>
      <c r="C224" s="2" t="s">
        <v>252</v>
      </c>
      <c r="D224" s="2" t="s">
        <v>936</v>
      </c>
      <c r="E224" s="2" t="n">
        <v>199340</v>
      </c>
      <c r="F224" s="15" t="n">
        <v>44016</v>
      </c>
      <c r="G224" s="15" t="n">
        <v>44020</v>
      </c>
      <c r="H224" s="3" t="n">
        <v>4</v>
      </c>
      <c r="I224" s="3" t="n">
        <v>2</v>
      </c>
      <c r="J224" s="3" t="n">
        <v>55</v>
      </c>
      <c r="K224" s="3" t="n">
        <v>1</v>
      </c>
      <c r="L224" s="3" t="n">
        <v>1</v>
      </c>
      <c r="M224" s="3" t="n">
        <v>1</v>
      </c>
      <c r="N224" s="3" t="n">
        <v>2</v>
      </c>
      <c r="O224" s="3" t="n">
        <v>1</v>
      </c>
      <c r="P224" s="3" t="n">
        <v>1</v>
      </c>
      <c r="Q224" s="3" t="n">
        <v>1</v>
      </c>
      <c r="R224" s="3" t="n">
        <v>2</v>
      </c>
      <c r="S224" s="3" t="n">
        <v>2</v>
      </c>
      <c r="T224" s="4" t="n">
        <v>2</v>
      </c>
      <c r="U224" s="3" t="n">
        <v>2</v>
      </c>
      <c r="V224" s="3" t="n">
        <v>5.9</v>
      </c>
      <c r="W224" s="3" t="n">
        <v>2.61</v>
      </c>
      <c r="X224" s="3" t="n">
        <v>13.7</v>
      </c>
      <c r="Y224" s="3" t="n">
        <v>688</v>
      </c>
      <c r="AA224" s="3" t="n">
        <v>0.46</v>
      </c>
      <c r="AB224" s="3" t="n">
        <v>8.4</v>
      </c>
      <c r="AC224" s="3" t="n">
        <v>3</v>
      </c>
      <c r="AD224" s="3" t="n">
        <v>2</v>
      </c>
      <c r="AE224" s="3" t="n">
        <v>1</v>
      </c>
      <c r="AF224" s="3" t="n">
        <v>1</v>
      </c>
      <c r="AG224" s="3" t="n">
        <v>1</v>
      </c>
      <c r="AH224" s="3" t="n">
        <v>2</v>
      </c>
      <c r="AI224" s="3" t="n">
        <v>1</v>
      </c>
      <c r="AJ224" s="3" t="n">
        <v>2</v>
      </c>
      <c r="AK224" s="3" t="n">
        <v>2</v>
      </c>
      <c r="AL224" s="3" t="n">
        <v>2</v>
      </c>
      <c r="AM224" s="3" t="n">
        <v>1</v>
      </c>
      <c r="AN224" s="3" t="n">
        <v>2</v>
      </c>
      <c r="AO224" s="3" t="n">
        <v>2</v>
      </c>
      <c r="AP224" s="3" t="n">
        <v>3</v>
      </c>
      <c r="AQ224" s="3" t="n">
        <v>4</v>
      </c>
      <c r="AR224" s="3" t="n">
        <v>4</v>
      </c>
      <c r="AS224" s="3" t="n">
        <v>6</v>
      </c>
      <c r="AT224" s="3" t="n">
        <v>4</v>
      </c>
      <c r="AU224" s="3" t="n">
        <v>4</v>
      </c>
      <c r="AV224" s="3" t="n">
        <v>6</v>
      </c>
      <c r="AW224" s="3" t="n">
        <v>6</v>
      </c>
      <c r="AX224" s="3" t="n">
        <v>3</v>
      </c>
      <c r="AY224" s="3" t="n">
        <v>3</v>
      </c>
      <c r="AZ224" s="3" t="n">
        <v>1</v>
      </c>
      <c r="BA224" s="5" t="n">
        <v>1</v>
      </c>
      <c r="BB224" s="3" t="n">
        <v>1</v>
      </c>
      <c r="BC224" s="3" t="n">
        <v>1</v>
      </c>
      <c r="BD224" s="3" t="n">
        <v>4</v>
      </c>
      <c r="BE224" s="3" t="n">
        <v>1</v>
      </c>
      <c r="BF224" s="3" t="n">
        <v>2</v>
      </c>
      <c r="BG224" s="3" t="n">
        <v>1</v>
      </c>
      <c r="BH224" s="3" t="n">
        <v>4</v>
      </c>
      <c r="BI224" s="3" t="n">
        <v>1</v>
      </c>
      <c r="BJ224" s="3" t="n">
        <v>1</v>
      </c>
    </row>
    <row r="225" customFormat="false" ht="12.75" hidden="false" customHeight="false" outlineLevel="0" collapsed="false">
      <c r="B225" s="2" t="s">
        <v>758</v>
      </c>
      <c r="C225" s="2" t="s">
        <v>509</v>
      </c>
      <c r="D225" s="2" t="s">
        <v>2263</v>
      </c>
      <c r="E225" s="2" t="n">
        <v>199439</v>
      </c>
      <c r="F225" s="15" t="n">
        <v>44021</v>
      </c>
      <c r="G225" s="15" t="n">
        <v>44027</v>
      </c>
      <c r="H225" s="3" t="n">
        <v>6</v>
      </c>
      <c r="I225" s="3" t="n">
        <v>2</v>
      </c>
      <c r="J225" s="3" t="n">
        <v>63</v>
      </c>
      <c r="K225" s="3" t="n">
        <v>1</v>
      </c>
      <c r="L225" s="3" t="n">
        <v>2</v>
      </c>
      <c r="M225" s="3" t="n">
        <v>1</v>
      </c>
      <c r="N225" s="3" t="n">
        <v>2</v>
      </c>
      <c r="O225" s="3" t="n">
        <v>2</v>
      </c>
      <c r="P225" s="3" t="n">
        <v>2</v>
      </c>
      <c r="Q225" s="3" t="n">
        <v>2</v>
      </c>
      <c r="R225" s="3" t="n">
        <v>2</v>
      </c>
      <c r="S225" s="3" t="n">
        <v>2</v>
      </c>
      <c r="T225" s="4" t="n">
        <v>2</v>
      </c>
      <c r="U225" s="3" t="n">
        <v>2</v>
      </c>
      <c r="V225" s="3" t="n">
        <v>4.47</v>
      </c>
      <c r="W225" s="3" t="n">
        <v>1.49</v>
      </c>
      <c r="X225" s="3" t="n">
        <v>6</v>
      </c>
      <c r="Y225" s="3" t="n">
        <v>124</v>
      </c>
      <c r="AA225" s="3" t="n">
        <v>0.42</v>
      </c>
      <c r="AB225" s="3" t="n">
        <v>9.3</v>
      </c>
      <c r="AC225" s="3" t="n">
        <v>1</v>
      </c>
      <c r="AD225" s="3" t="n">
        <v>2</v>
      </c>
      <c r="AE225" s="3" t="n">
        <v>1</v>
      </c>
      <c r="AF225" s="3" t="n">
        <v>1</v>
      </c>
      <c r="AG225" s="3" t="n">
        <v>2</v>
      </c>
      <c r="AH225" s="3" t="n">
        <v>2</v>
      </c>
      <c r="AI225" s="3" t="n">
        <v>1</v>
      </c>
      <c r="AJ225" s="3" t="n">
        <v>2</v>
      </c>
      <c r="AK225" s="3" t="n">
        <v>2</v>
      </c>
      <c r="AL225" s="3" t="n">
        <v>2</v>
      </c>
      <c r="AM225" s="3" t="n">
        <v>2</v>
      </c>
      <c r="AN225" s="3" t="n">
        <v>2</v>
      </c>
      <c r="AO225" s="3" t="n">
        <v>2</v>
      </c>
      <c r="AP225" s="3" t="n">
        <v>3</v>
      </c>
      <c r="AQ225" s="3" t="n">
        <v>4</v>
      </c>
      <c r="AR225" s="3" t="n">
        <v>4</v>
      </c>
      <c r="AS225" s="3" t="n">
        <v>6</v>
      </c>
      <c r="AT225" s="3" t="n">
        <v>4</v>
      </c>
      <c r="AU225" s="3" t="n">
        <v>4</v>
      </c>
      <c r="AV225" s="3" t="n">
        <v>6</v>
      </c>
      <c r="AW225" s="3" t="n">
        <v>6</v>
      </c>
      <c r="AX225" s="3" t="n">
        <v>3</v>
      </c>
      <c r="AY225" s="3" t="n">
        <v>3</v>
      </c>
      <c r="AZ225" s="3" t="n">
        <v>1</v>
      </c>
      <c r="BA225" s="5" t="n">
        <v>1</v>
      </c>
      <c r="BB225" s="3" t="n">
        <v>1</v>
      </c>
      <c r="BC225" s="3" t="n">
        <v>1</v>
      </c>
      <c r="BD225" s="3" t="n">
        <v>4</v>
      </c>
      <c r="BE225" s="3" t="n">
        <v>3</v>
      </c>
      <c r="BF225" s="3" t="n">
        <v>5</v>
      </c>
      <c r="BG225" s="3" t="n">
        <v>3</v>
      </c>
      <c r="BH225" s="3" t="n">
        <v>4</v>
      </c>
      <c r="BI225" s="3" t="n">
        <v>1</v>
      </c>
      <c r="BJ225" s="3" t="n">
        <v>1</v>
      </c>
    </row>
    <row r="226" customFormat="false" ht="12.75" hidden="false" customHeight="false" outlineLevel="0" collapsed="false">
      <c r="B226" s="2" t="s">
        <v>156</v>
      </c>
      <c r="C226" s="2" t="s">
        <v>2265</v>
      </c>
      <c r="D226" s="2" t="s">
        <v>160</v>
      </c>
      <c r="E226" s="2" t="n">
        <v>199446</v>
      </c>
      <c r="F226" s="15" t="n">
        <v>44021</v>
      </c>
      <c r="G226" s="15" t="n">
        <v>44028</v>
      </c>
      <c r="H226" s="3" t="n">
        <v>7</v>
      </c>
      <c r="I226" s="3" t="n">
        <v>2</v>
      </c>
      <c r="J226" s="3" t="n">
        <v>56</v>
      </c>
      <c r="K226" s="3" t="n">
        <v>1</v>
      </c>
      <c r="L226" s="3" t="n">
        <v>1</v>
      </c>
      <c r="M226" s="3" t="n">
        <v>1</v>
      </c>
      <c r="N226" s="3" t="n">
        <v>2</v>
      </c>
      <c r="O226" s="3" t="n">
        <v>2</v>
      </c>
      <c r="P226" s="3" t="n">
        <v>2</v>
      </c>
      <c r="Q226" s="3" t="n">
        <v>2</v>
      </c>
      <c r="R226" s="3" t="n">
        <v>2</v>
      </c>
      <c r="S226" s="3" t="n">
        <v>2</v>
      </c>
      <c r="T226" s="4" t="n">
        <v>2</v>
      </c>
      <c r="U226" s="3" t="n">
        <v>2</v>
      </c>
      <c r="V226" s="3" t="n">
        <v>5.45</v>
      </c>
      <c r="W226" s="3" t="n">
        <v>0.77</v>
      </c>
      <c r="X226" s="3" t="n">
        <v>6.5</v>
      </c>
      <c r="Y226" s="3" t="n">
        <v>409</v>
      </c>
      <c r="AA226" s="3" t="n">
        <v>0.55</v>
      </c>
      <c r="AB226" s="3" t="n">
        <v>13.9</v>
      </c>
      <c r="AC226" s="3" t="n">
        <v>1</v>
      </c>
      <c r="AD226" s="3" t="n">
        <v>1</v>
      </c>
      <c r="AE226" s="3" t="n">
        <v>1</v>
      </c>
      <c r="AF226" s="3" t="n">
        <v>1</v>
      </c>
      <c r="AG226" s="3" t="n">
        <v>2</v>
      </c>
      <c r="AH226" s="3" t="n">
        <v>2</v>
      </c>
      <c r="AI226" s="3" t="n">
        <v>1</v>
      </c>
      <c r="AJ226" s="3" t="n">
        <v>2</v>
      </c>
      <c r="AK226" s="3" t="n">
        <v>2</v>
      </c>
      <c r="AL226" s="3" t="n">
        <v>2</v>
      </c>
      <c r="AM226" s="3" t="n">
        <v>2</v>
      </c>
      <c r="AN226" s="3" t="n">
        <v>2</v>
      </c>
      <c r="AO226" s="3" t="n">
        <v>1</v>
      </c>
      <c r="AP226" s="3" t="n">
        <v>3</v>
      </c>
      <c r="AQ226" s="3" t="n">
        <v>4</v>
      </c>
      <c r="AR226" s="3" t="n">
        <v>4</v>
      </c>
      <c r="AS226" s="3" t="n">
        <v>6</v>
      </c>
      <c r="AT226" s="3" t="n">
        <v>4</v>
      </c>
      <c r="AU226" s="3" t="n">
        <v>4</v>
      </c>
      <c r="AV226" s="3" t="n">
        <v>6</v>
      </c>
      <c r="AW226" s="3" t="n">
        <v>6</v>
      </c>
      <c r="AX226" s="3" t="n">
        <v>3</v>
      </c>
      <c r="AY226" s="3" t="n">
        <v>3</v>
      </c>
      <c r="AZ226" s="3" t="n">
        <v>5</v>
      </c>
      <c r="BA226" s="5" t="n">
        <v>1</v>
      </c>
      <c r="BB226" s="3" t="n">
        <v>1</v>
      </c>
      <c r="BC226" s="3" t="n">
        <v>1</v>
      </c>
      <c r="BD226" s="3" t="n">
        <v>2</v>
      </c>
      <c r="BE226" s="3" t="n">
        <v>3</v>
      </c>
      <c r="BF226" s="3" t="n">
        <v>5</v>
      </c>
      <c r="BG226" s="3" t="n">
        <v>3</v>
      </c>
      <c r="BH226" s="3" t="n">
        <v>4</v>
      </c>
      <c r="BI226" s="3" t="n">
        <v>1</v>
      </c>
      <c r="BJ226" s="3" t="n">
        <v>1</v>
      </c>
    </row>
    <row r="227" customFormat="false" ht="12.75" hidden="false" customHeight="false" outlineLevel="0" collapsed="false">
      <c r="B227" s="2" t="s">
        <v>2267</v>
      </c>
      <c r="C227" s="2" t="s">
        <v>210</v>
      </c>
      <c r="D227" s="2" t="s">
        <v>78</v>
      </c>
      <c r="E227" s="2" t="n">
        <v>199363</v>
      </c>
      <c r="F227" s="15" t="n">
        <v>44017</v>
      </c>
      <c r="G227" s="15" t="n">
        <v>44028</v>
      </c>
      <c r="H227" s="3" t="n">
        <v>11</v>
      </c>
      <c r="I227" s="3" t="n">
        <v>2</v>
      </c>
      <c r="J227" s="3" t="n">
        <v>83</v>
      </c>
      <c r="K227" s="3" t="n">
        <v>1</v>
      </c>
      <c r="L227" s="3" t="n">
        <v>2</v>
      </c>
      <c r="M227" s="3" t="n">
        <v>1</v>
      </c>
      <c r="N227" s="3" t="n">
        <v>1</v>
      </c>
      <c r="O227" s="3" t="n">
        <v>2</v>
      </c>
      <c r="P227" s="3" t="n">
        <v>2</v>
      </c>
      <c r="Q227" s="3" t="n">
        <v>1</v>
      </c>
      <c r="R227" s="3" t="n">
        <v>2</v>
      </c>
      <c r="S227" s="3" t="n">
        <v>2</v>
      </c>
      <c r="T227" s="4" t="n">
        <v>2</v>
      </c>
      <c r="U227" s="3" t="n">
        <v>2</v>
      </c>
      <c r="V227" s="3" t="n">
        <v>3.31</v>
      </c>
      <c r="W227" s="3" t="n">
        <v>0.66</v>
      </c>
      <c r="X227" s="3" t="n">
        <v>5.5</v>
      </c>
      <c r="Y227" s="3" t="n">
        <v>382</v>
      </c>
      <c r="AA227" s="3" t="n">
        <v>0.38</v>
      </c>
      <c r="AB227" s="3" t="n">
        <v>8.3</v>
      </c>
      <c r="AC227" s="3" t="n">
        <v>1</v>
      </c>
      <c r="AD227" s="3" t="n">
        <v>1</v>
      </c>
      <c r="AE227" s="3" t="n">
        <v>1</v>
      </c>
      <c r="AF227" s="3" t="n">
        <v>1</v>
      </c>
      <c r="AG227" s="3" t="n">
        <v>1</v>
      </c>
      <c r="AH227" s="3" t="n">
        <v>2</v>
      </c>
      <c r="AI227" s="3" t="n">
        <v>1</v>
      </c>
      <c r="AJ227" s="3" t="n">
        <v>2</v>
      </c>
      <c r="AK227" s="3" t="n">
        <v>2</v>
      </c>
      <c r="AL227" s="3" t="n">
        <v>2</v>
      </c>
      <c r="AM227" s="3" t="n">
        <v>1</v>
      </c>
      <c r="AN227" s="3" t="n">
        <v>2</v>
      </c>
      <c r="AO227" s="3" t="n">
        <v>2</v>
      </c>
      <c r="AP227" s="3" t="n">
        <v>3</v>
      </c>
      <c r="AQ227" s="3" t="n">
        <v>4</v>
      </c>
      <c r="AR227" s="3" t="n">
        <v>4</v>
      </c>
      <c r="AS227" s="3" t="n">
        <v>6</v>
      </c>
      <c r="AT227" s="3" t="n">
        <v>4</v>
      </c>
      <c r="AU227" s="3" t="n">
        <v>4</v>
      </c>
      <c r="AV227" s="3" t="n">
        <v>6</v>
      </c>
      <c r="AW227" s="3" t="n">
        <v>6</v>
      </c>
      <c r="AX227" s="3" t="n">
        <v>3</v>
      </c>
      <c r="AY227" s="3" t="n">
        <v>3</v>
      </c>
      <c r="AZ227" s="3" t="n">
        <v>2</v>
      </c>
      <c r="BA227" s="5" t="n">
        <v>1</v>
      </c>
      <c r="BB227" s="3" t="n">
        <v>1</v>
      </c>
      <c r="BC227" s="3" t="n">
        <v>1</v>
      </c>
      <c r="BD227" s="3" t="n">
        <v>4</v>
      </c>
      <c r="BE227" s="3" t="n">
        <v>3</v>
      </c>
      <c r="BF227" s="3" t="n">
        <v>5</v>
      </c>
      <c r="BG227" s="3" t="n">
        <v>3</v>
      </c>
      <c r="BH227" s="3" t="n">
        <v>4</v>
      </c>
      <c r="BI227" s="3" t="n">
        <v>1</v>
      </c>
      <c r="BJ227" s="3" t="n">
        <v>1</v>
      </c>
    </row>
    <row r="228" customFormat="false" ht="12.75" hidden="false" customHeight="false" outlineLevel="0" collapsed="false">
      <c r="B228" s="2" t="s">
        <v>2269</v>
      </c>
      <c r="C228" s="2" t="s">
        <v>222</v>
      </c>
      <c r="D228" s="2" t="s">
        <v>2270</v>
      </c>
      <c r="E228" s="2" t="n">
        <v>199449</v>
      </c>
      <c r="F228" s="15" t="n">
        <v>44022</v>
      </c>
      <c r="G228" s="15" t="n">
        <v>44028</v>
      </c>
      <c r="H228" s="3" t="n">
        <v>6</v>
      </c>
      <c r="I228" s="3" t="n">
        <v>1</v>
      </c>
      <c r="J228" s="3" t="n">
        <v>54</v>
      </c>
      <c r="K228" s="3" t="n">
        <v>1</v>
      </c>
      <c r="L228" s="3" t="n">
        <v>2</v>
      </c>
      <c r="M228" s="3" t="n">
        <v>1</v>
      </c>
      <c r="N228" s="3" t="n">
        <v>2</v>
      </c>
      <c r="O228" s="3" t="n">
        <v>2</v>
      </c>
      <c r="P228" s="3" t="n">
        <v>2</v>
      </c>
      <c r="Q228" s="3" t="n">
        <v>2</v>
      </c>
      <c r="R228" s="3" t="n">
        <v>2</v>
      </c>
      <c r="S228" s="3" t="n">
        <v>2</v>
      </c>
      <c r="T228" s="4" t="n">
        <v>2</v>
      </c>
      <c r="U228" s="3" t="n">
        <v>2</v>
      </c>
      <c r="V228" s="3" t="n">
        <v>6.11</v>
      </c>
      <c r="W228" s="3" t="n">
        <v>1.29</v>
      </c>
      <c r="X228" s="3" t="n">
        <v>6.2</v>
      </c>
      <c r="Y228" s="3" t="n">
        <v>609</v>
      </c>
      <c r="AA228" s="3" t="n">
        <v>0.52</v>
      </c>
      <c r="AB228" s="3" t="n">
        <v>9.9</v>
      </c>
      <c r="AC228" s="3" t="n">
        <v>1</v>
      </c>
      <c r="AD228" s="3" t="n">
        <v>2</v>
      </c>
      <c r="AE228" s="3" t="n">
        <v>2</v>
      </c>
      <c r="AF228" s="3" t="n">
        <v>1</v>
      </c>
      <c r="AG228" s="3" t="n">
        <v>2</v>
      </c>
      <c r="AH228" s="3" t="n">
        <v>1</v>
      </c>
      <c r="AI228" s="3" t="n">
        <v>1</v>
      </c>
      <c r="AJ228" s="3" t="n">
        <v>2</v>
      </c>
      <c r="AK228" s="3" t="n">
        <v>2</v>
      </c>
      <c r="AL228" s="3" t="n">
        <v>2</v>
      </c>
      <c r="AM228" s="3" t="n">
        <v>1</v>
      </c>
      <c r="AN228" s="3" t="n">
        <v>2</v>
      </c>
      <c r="AO228" s="3" t="n">
        <v>2</v>
      </c>
      <c r="AP228" s="3" t="n">
        <v>3</v>
      </c>
      <c r="AQ228" s="3" t="n">
        <v>4</v>
      </c>
      <c r="AR228" s="3" t="n">
        <v>4</v>
      </c>
      <c r="AS228" s="3" t="n">
        <v>6</v>
      </c>
      <c r="AT228" s="3" t="n">
        <v>4</v>
      </c>
      <c r="AU228" s="3" t="n">
        <v>4</v>
      </c>
      <c r="AV228" s="3" t="n">
        <v>6</v>
      </c>
      <c r="AW228" s="3" t="n">
        <v>6</v>
      </c>
      <c r="AX228" s="3" t="n">
        <v>3</v>
      </c>
      <c r="AY228" s="3" t="n">
        <v>3</v>
      </c>
      <c r="AZ228" s="3" t="n">
        <v>1</v>
      </c>
      <c r="BA228" s="5" t="n">
        <v>1</v>
      </c>
      <c r="BB228" s="3" t="n">
        <v>1</v>
      </c>
      <c r="BC228" s="3" t="n">
        <v>1</v>
      </c>
      <c r="BD228" s="3" t="n">
        <v>4</v>
      </c>
      <c r="BE228" s="3" t="n">
        <v>1</v>
      </c>
      <c r="BF228" s="3" t="n">
        <v>2</v>
      </c>
      <c r="BG228" s="3" t="n">
        <v>1</v>
      </c>
      <c r="BH228" s="3" t="n">
        <v>4</v>
      </c>
      <c r="BI228" s="3" t="n">
        <v>1</v>
      </c>
      <c r="BJ228" s="3" t="n">
        <v>1</v>
      </c>
    </row>
    <row r="229" customFormat="false" ht="12.75" hidden="false" customHeight="false" outlineLevel="0" collapsed="false">
      <c r="B229" s="2" t="s">
        <v>2272</v>
      </c>
      <c r="C229" s="2" t="s">
        <v>153</v>
      </c>
      <c r="D229" s="2" t="s">
        <v>2273</v>
      </c>
      <c r="E229" s="2" t="n">
        <v>199450</v>
      </c>
      <c r="F229" s="15" t="n">
        <v>44022</v>
      </c>
      <c r="G229" s="15" t="n">
        <v>44028</v>
      </c>
      <c r="H229" s="3" t="n">
        <v>6</v>
      </c>
      <c r="I229" s="3" t="n">
        <v>2</v>
      </c>
      <c r="J229" s="3" t="n">
        <v>55</v>
      </c>
      <c r="K229" s="3" t="n">
        <v>1</v>
      </c>
      <c r="L229" s="3" t="n">
        <v>1</v>
      </c>
      <c r="M229" s="3" t="n">
        <v>1</v>
      </c>
      <c r="N229" s="3" t="n">
        <v>2</v>
      </c>
      <c r="O229" s="3" t="n">
        <v>1</v>
      </c>
      <c r="P229" s="3" t="n">
        <v>2</v>
      </c>
      <c r="Q229" s="3" t="n">
        <v>1</v>
      </c>
      <c r="R229" s="3" t="n">
        <v>2</v>
      </c>
      <c r="S229" s="3" t="n">
        <v>2</v>
      </c>
      <c r="T229" s="4" t="n">
        <v>2</v>
      </c>
      <c r="U229" s="3" t="n">
        <v>2</v>
      </c>
      <c r="V229" s="3" t="n">
        <v>6.123</v>
      </c>
      <c r="W229" s="3" t="n">
        <v>1.77</v>
      </c>
      <c r="X229" s="3" t="n">
        <v>7</v>
      </c>
      <c r="Y229" s="3" t="n">
        <v>459</v>
      </c>
      <c r="AA229" s="3" t="n">
        <v>0.46</v>
      </c>
      <c r="AB229" s="3" t="n">
        <v>8.3</v>
      </c>
      <c r="AC229" s="3" t="n">
        <v>1</v>
      </c>
      <c r="AD229" s="3" t="n">
        <v>2</v>
      </c>
      <c r="AE229" s="3" t="n">
        <v>1</v>
      </c>
      <c r="AF229" s="3" t="n">
        <v>1</v>
      </c>
      <c r="AG229" s="3" t="n">
        <v>2</v>
      </c>
      <c r="AH229" s="3" t="n">
        <v>2</v>
      </c>
      <c r="AI229" s="3" t="n">
        <v>1</v>
      </c>
      <c r="AJ229" s="3" t="n">
        <v>2</v>
      </c>
      <c r="AK229" s="3" t="n">
        <v>2</v>
      </c>
      <c r="AL229" s="3" t="n">
        <v>2</v>
      </c>
      <c r="AM229" s="3" t="n">
        <v>2</v>
      </c>
      <c r="AN229" s="3" t="n">
        <v>2</v>
      </c>
      <c r="AO229" s="3" t="n">
        <v>2</v>
      </c>
      <c r="AP229" s="3" t="n">
        <v>3</v>
      </c>
      <c r="AQ229" s="3" t="n">
        <v>4</v>
      </c>
      <c r="AR229" s="3" t="n">
        <v>4</v>
      </c>
      <c r="AS229" s="3" t="n">
        <v>6</v>
      </c>
      <c r="AT229" s="3" t="n">
        <v>4</v>
      </c>
      <c r="AU229" s="3" t="n">
        <v>4</v>
      </c>
      <c r="AV229" s="3" t="n">
        <v>6</v>
      </c>
      <c r="AW229" s="3" t="n">
        <v>6</v>
      </c>
      <c r="AX229" s="3" t="n">
        <v>3</v>
      </c>
      <c r="AY229" s="3" t="n">
        <v>3</v>
      </c>
      <c r="AZ229" s="3" t="n">
        <v>1</v>
      </c>
      <c r="BA229" s="5" t="n">
        <v>1</v>
      </c>
      <c r="BB229" s="3" t="n">
        <v>1</v>
      </c>
      <c r="BC229" s="3" t="n">
        <v>1</v>
      </c>
      <c r="BD229" s="3" t="n">
        <v>4</v>
      </c>
      <c r="BE229" s="3" t="n">
        <v>1</v>
      </c>
      <c r="BF229" s="3" t="n">
        <v>2</v>
      </c>
      <c r="BG229" s="3" t="n">
        <v>1</v>
      </c>
      <c r="BH229" s="3" t="n">
        <v>4</v>
      </c>
      <c r="BI229" s="3" t="n">
        <v>1</v>
      </c>
      <c r="BJ229" s="3" t="n">
        <v>1</v>
      </c>
    </row>
    <row r="230" customFormat="false" ht="12.75" hidden="false" customHeight="false" outlineLevel="0" collapsed="false">
      <c r="B230" s="2" t="s">
        <v>413</v>
      </c>
      <c r="C230" s="2" t="s">
        <v>2275</v>
      </c>
      <c r="D230" s="2" t="s">
        <v>386</v>
      </c>
      <c r="E230" s="2" t="n">
        <v>199744</v>
      </c>
      <c r="F230" s="15" t="n">
        <v>44024</v>
      </c>
      <c r="G230" s="15" t="n">
        <v>44029</v>
      </c>
      <c r="H230" s="3" t="n">
        <v>7</v>
      </c>
      <c r="I230" s="3" t="n">
        <v>2</v>
      </c>
      <c r="J230" s="3" t="n">
        <v>56</v>
      </c>
      <c r="K230" s="3" t="n">
        <v>2</v>
      </c>
      <c r="L230" s="3" t="n">
        <v>1</v>
      </c>
      <c r="M230" s="3" t="n">
        <v>2</v>
      </c>
      <c r="N230" s="3" t="n">
        <v>2</v>
      </c>
      <c r="O230" s="3" t="n">
        <v>2</v>
      </c>
      <c r="P230" s="3" t="n">
        <v>2</v>
      </c>
      <c r="Q230" s="3" t="n">
        <v>2</v>
      </c>
      <c r="R230" s="3" t="n">
        <v>2</v>
      </c>
      <c r="S230" s="3" t="n">
        <v>2</v>
      </c>
      <c r="T230" s="4" t="n">
        <v>2</v>
      </c>
      <c r="U230" s="3" t="n">
        <v>2</v>
      </c>
      <c r="V230" s="3" t="n">
        <v>4.7</v>
      </c>
      <c r="W230" s="3" t="n">
        <v>0.93</v>
      </c>
      <c r="X230" s="3" t="n">
        <v>4.4</v>
      </c>
      <c r="Y230" s="3" t="n">
        <v>614</v>
      </c>
      <c r="AA230" s="3" t="n">
        <v>0.44</v>
      </c>
      <c r="AB230" s="3" t="n">
        <v>11</v>
      </c>
      <c r="AC230" s="3" t="n">
        <v>1</v>
      </c>
      <c r="AD230" s="3" t="n">
        <v>2</v>
      </c>
      <c r="AE230" s="3" t="n">
        <v>1</v>
      </c>
      <c r="AF230" s="3" t="n">
        <v>1</v>
      </c>
      <c r="AG230" s="3" t="n">
        <v>2</v>
      </c>
      <c r="AH230" s="3" t="n">
        <v>1</v>
      </c>
      <c r="AI230" s="3" t="n">
        <v>1</v>
      </c>
      <c r="AJ230" s="3" t="n">
        <v>2</v>
      </c>
      <c r="AK230" s="3" t="n">
        <v>2</v>
      </c>
      <c r="AL230" s="3" t="n">
        <v>2</v>
      </c>
      <c r="AM230" s="3" t="n">
        <v>1</v>
      </c>
      <c r="AN230" s="3" t="n">
        <v>2</v>
      </c>
      <c r="AO230" s="3" t="n">
        <v>2</v>
      </c>
      <c r="AP230" s="3" t="n">
        <v>3</v>
      </c>
      <c r="AQ230" s="3" t="n">
        <v>4</v>
      </c>
      <c r="AR230" s="3" t="n">
        <v>4</v>
      </c>
      <c r="AS230" s="3" t="n">
        <v>6</v>
      </c>
      <c r="AT230" s="3" t="n">
        <v>4</v>
      </c>
      <c r="AU230" s="3" t="n">
        <v>4</v>
      </c>
      <c r="AV230" s="3" t="n">
        <v>6</v>
      </c>
      <c r="AW230" s="3" t="n">
        <v>6</v>
      </c>
      <c r="AX230" s="3" t="n">
        <v>3</v>
      </c>
      <c r="AY230" s="3" t="n">
        <v>3</v>
      </c>
      <c r="AZ230" s="3" t="n">
        <v>1</v>
      </c>
      <c r="BA230" s="5" t="n">
        <v>1</v>
      </c>
      <c r="BB230" s="3" t="n">
        <v>1</v>
      </c>
      <c r="BC230" s="3" t="n">
        <v>1</v>
      </c>
      <c r="BD230" s="3" t="n">
        <v>2</v>
      </c>
      <c r="BE230" s="3" t="n">
        <v>3</v>
      </c>
      <c r="BF230" s="3" t="n">
        <v>5</v>
      </c>
      <c r="BG230" s="3" t="n">
        <v>3</v>
      </c>
      <c r="BH230" s="3" t="n">
        <v>4</v>
      </c>
      <c r="BI230" s="3" t="n">
        <v>1</v>
      </c>
      <c r="BJ230" s="3" t="n">
        <v>1</v>
      </c>
    </row>
    <row r="231" customFormat="false" ht="12.75" hidden="false" customHeight="false" outlineLevel="0" collapsed="false">
      <c r="B231" s="2" t="s">
        <v>2277</v>
      </c>
      <c r="C231" s="2" t="s">
        <v>595</v>
      </c>
      <c r="D231" s="2" t="s">
        <v>127</v>
      </c>
      <c r="E231" s="2" t="n">
        <v>199624</v>
      </c>
      <c r="F231" s="15" t="n">
        <v>44025</v>
      </c>
      <c r="G231" s="15" t="n">
        <v>44031</v>
      </c>
      <c r="H231" s="3" t="n">
        <v>6</v>
      </c>
      <c r="I231" s="3" t="n">
        <v>2</v>
      </c>
      <c r="J231" s="3" t="n">
        <v>38</v>
      </c>
      <c r="K231" s="3" t="n">
        <v>2</v>
      </c>
      <c r="L231" s="3" t="n">
        <v>1</v>
      </c>
      <c r="M231" s="3" t="n">
        <v>2</v>
      </c>
      <c r="N231" s="3" t="n">
        <v>2</v>
      </c>
      <c r="O231" s="3" t="n">
        <v>1</v>
      </c>
      <c r="P231" s="3" t="n">
        <v>2</v>
      </c>
      <c r="Q231" s="3" t="n">
        <v>2</v>
      </c>
      <c r="R231" s="3" t="n">
        <v>2</v>
      </c>
      <c r="S231" s="3" t="n">
        <v>2</v>
      </c>
      <c r="T231" s="4" t="n">
        <v>2</v>
      </c>
      <c r="U231" s="3" t="n">
        <v>2</v>
      </c>
      <c r="V231" s="3" t="n">
        <v>4.56</v>
      </c>
      <c r="W231" s="3" t="n">
        <v>2.83</v>
      </c>
      <c r="X231" s="3" t="n">
        <v>5.8</v>
      </c>
      <c r="Y231" s="3" t="n">
        <v>491</v>
      </c>
      <c r="AA231" s="3" t="n">
        <v>0.5</v>
      </c>
      <c r="AB231" s="3" t="n">
        <v>13.8</v>
      </c>
      <c r="AC231" s="3" t="n">
        <v>1</v>
      </c>
      <c r="AD231" s="3" t="n">
        <v>2</v>
      </c>
      <c r="AE231" s="3" t="n">
        <v>1</v>
      </c>
      <c r="AF231" s="3" t="n">
        <v>1</v>
      </c>
      <c r="AG231" s="3" t="n">
        <v>2</v>
      </c>
      <c r="AH231" s="3" t="n">
        <v>2</v>
      </c>
      <c r="AI231" s="3" t="n">
        <v>1</v>
      </c>
      <c r="AJ231" s="3" t="n">
        <v>2</v>
      </c>
      <c r="AK231" s="3" t="n">
        <v>2</v>
      </c>
      <c r="AL231" s="3" t="n">
        <v>2</v>
      </c>
      <c r="AM231" s="3" t="n">
        <v>2</v>
      </c>
      <c r="AN231" s="3" t="n">
        <v>2</v>
      </c>
      <c r="AO231" s="3" t="n">
        <v>2</v>
      </c>
      <c r="AP231" s="3" t="n">
        <v>3</v>
      </c>
      <c r="AQ231" s="3" t="n">
        <v>4</v>
      </c>
      <c r="AR231" s="3" t="n">
        <v>4</v>
      </c>
      <c r="AS231" s="3" t="n">
        <v>6</v>
      </c>
      <c r="AT231" s="3" t="n">
        <v>4</v>
      </c>
      <c r="AU231" s="3" t="n">
        <v>4</v>
      </c>
      <c r="AV231" s="3" t="n">
        <v>6</v>
      </c>
      <c r="AW231" s="3" t="n">
        <v>6</v>
      </c>
      <c r="AX231" s="3" t="n">
        <v>3</v>
      </c>
      <c r="AY231" s="3" t="n">
        <v>3</v>
      </c>
      <c r="AZ231" s="3" t="n">
        <v>1</v>
      </c>
      <c r="BA231" s="5" t="n">
        <v>1</v>
      </c>
      <c r="BB231" s="3" t="n">
        <v>1</v>
      </c>
      <c r="BC231" s="3" t="n">
        <v>1</v>
      </c>
      <c r="BD231" s="3" t="n">
        <v>4</v>
      </c>
      <c r="BE231" s="3" t="n">
        <v>1</v>
      </c>
      <c r="BF231" s="3" t="n">
        <v>2</v>
      </c>
      <c r="BG231" s="3" t="n">
        <v>1</v>
      </c>
      <c r="BH231" s="3" t="n">
        <v>4</v>
      </c>
      <c r="BI231" s="3" t="n">
        <v>1</v>
      </c>
      <c r="BJ231" s="3" t="n">
        <v>1</v>
      </c>
    </row>
    <row r="232" customFormat="false" ht="12.75" hidden="false" customHeight="false" outlineLevel="0" collapsed="false">
      <c r="B232" s="2" t="s">
        <v>2279</v>
      </c>
      <c r="C232" s="2" t="s">
        <v>2236</v>
      </c>
      <c r="D232" s="2" t="s">
        <v>252</v>
      </c>
      <c r="E232" s="2" t="n">
        <v>199625</v>
      </c>
      <c r="F232" s="15" t="n">
        <v>44025</v>
      </c>
      <c r="G232" s="15" t="n">
        <v>44032</v>
      </c>
      <c r="H232" s="3" t="n">
        <v>7</v>
      </c>
      <c r="I232" s="3" t="n">
        <v>1</v>
      </c>
      <c r="J232" s="3" t="n">
        <v>80</v>
      </c>
      <c r="K232" s="3" t="n">
        <v>2</v>
      </c>
      <c r="L232" s="3" t="n">
        <v>2</v>
      </c>
      <c r="M232" s="3" t="n">
        <v>1</v>
      </c>
      <c r="N232" s="3" t="n">
        <v>2</v>
      </c>
      <c r="O232" s="3" t="n">
        <v>2</v>
      </c>
      <c r="P232" s="3" t="n">
        <v>2</v>
      </c>
      <c r="Q232" s="3" t="n">
        <v>1</v>
      </c>
      <c r="R232" s="3" t="n">
        <v>2</v>
      </c>
      <c r="S232" s="3" t="n">
        <v>2</v>
      </c>
      <c r="T232" s="4" t="n">
        <v>2</v>
      </c>
      <c r="U232" s="3" t="n">
        <v>2</v>
      </c>
      <c r="V232" s="3" t="n">
        <v>5.83</v>
      </c>
      <c r="W232" s="3" t="n">
        <v>1.96</v>
      </c>
      <c r="X232" s="3" t="n">
        <v>11.2</v>
      </c>
      <c r="Y232" s="3" t="n">
        <v>754</v>
      </c>
      <c r="AA232" s="3" t="n">
        <v>0.2</v>
      </c>
      <c r="AB232" s="3" t="n">
        <v>14.7</v>
      </c>
      <c r="AC232" s="3" t="n">
        <v>2</v>
      </c>
      <c r="AD232" s="3" t="n">
        <v>1</v>
      </c>
      <c r="AE232" s="3" t="n">
        <v>1</v>
      </c>
      <c r="AF232" s="3" t="n">
        <v>2</v>
      </c>
      <c r="AG232" s="3" t="n">
        <v>1</v>
      </c>
      <c r="AH232" s="3" t="n">
        <v>1</v>
      </c>
      <c r="AI232" s="3" t="n">
        <v>2</v>
      </c>
      <c r="AJ232" s="3" t="n">
        <v>2</v>
      </c>
      <c r="AK232" s="3" t="n">
        <v>2</v>
      </c>
      <c r="AL232" s="3" t="n">
        <v>2</v>
      </c>
      <c r="AM232" s="3" t="n">
        <v>1</v>
      </c>
      <c r="AN232" s="3" t="n">
        <v>2</v>
      </c>
      <c r="AO232" s="3" t="n">
        <v>2</v>
      </c>
      <c r="AP232" s="3" t="n">
        <v>3</v>
      </c>
      <c r="AQ232" s="3" t="n">
        <v>4</v>
      </c>
      <c r="AR232" s="3" t="n">
        <v>4</v>
      </c>
      <c r="AS232" s="3" t="n">
        <v>6</v>
      </c>
      <c r="AT232" s="3" t="n">
        <v>4</v>
      </c>
      <c r="AU232" s="3" t="n">
        <v>4</v>
      </c>
      <c r="AV232" s="3" t="n">
        <v>6</v>
      </c>
      <c r="AW232" s="3" t="n">
        <v>6</v>
      </c>
      <c r="AX232" s="3" t="n">
        <v>3</v>
      </c>
      <c r="AY232" s="3" t="n">
        <v>3</v>
      </c>
      <c r="AZ232" s="3" t="n">
        <v>1</v>
      </c>
      <c r="BA232" s="5" t="n">
        <v>1</v>
      </c>
      <c r="BB232" s="3" t="n">
        <v>1</v>
      </c>
      <c r="BC232" s="3" t="n">
        <v>1</v>
      </c>
      <c r="BD232" s="3" t="n">
        <v>2</v>
      </c>
      <c r="BE232" s="3" t="n">
        <v>3</v>
      </c>
      <c r="BF232" s="3" t="n">
        <v>5</v>
      </c>
      <c r="BG232" s="3" t="n">
        <v>3</v>
      </c>
      <c r="BH232" s="3" t="n">
        <v>4</v>
      </c>
      <c r="BI232" s="3" t="n">
        <v>1</v>
      </c>
      <c r="BJ232" s="3" t="n">
        <v>1</v>
      </c>
    </row>
    <row r="233" customFormat="false" ht="12.75" hidden="false" customHeight="false" outlineLevel="0" collapsed="false">
      <c r="B233" s="2" t="s">
        <v>1138</v>
      </c>
      <c r="C233" s="2" t="s">
        <v>2281</v>
      </c>
      <c r="D233" s="2" t="s">
        <v>2282</v>
      </c>
      <c r="E233" s="2" t="n">
        <v>199640</v>
      </c>
      <c r="F233" s="15" t="n">
        <v>44025</v>
      </c>
      <c r="G233" s="15" t="n">
        <v>44033</v>
      </c>
      <c r="H233" s="3" t="n">
        <v>8</v>
      </c>
      <c r="I233" s="3" t="n">
        <v>2</v>
      </c>
      <c r="J233" s="3" t="n">
        <v>55</v>
      </c>
      <c r="K233" s="3" t="n">
        <v>2</v>
      </c>
      <c r="L233" s="3" t="n">
        <v>1</v>
      </c>
      <c r="M233" s="3" t="n">
        <v>1</v>
      </c>
      <c r="N233" s="3" t="n">
        <v>2</v>
      </c>
      <c r="O233" s="3" t="n">
        <v>2</v>
      </c>
      <c r="P233" s="3" t="n">
        <v>2</v>
      </c>
      <c r="Q233" s="3" t="n">
        <v>2</v>
      </c>
      <c r="R233" s="3" t="n">
        <v>2</v>
      </c>
      <c r="S233" s="3" t="n">
        <v>2</v>
      </c>
      <c r="T233" s="4" t="n">
        <v>2</v>
      </c>
      <c r="U233" s="3" t="n">
        <v>2</v>
      </c>
      <c r="V233" s="3" t="n">
        <v>4.12</v>
      </c>
      <c r="W233" s="3" t="n">
        <v>1.11</v>
      </c>
      <c r="X233" s="3" t="n">
        <v>9.5</v>
      </c>
      <c r="Y233" s="3" t="n">
        <v>585</v>
      </c>
      <c r="AA233" s="3" t="n">
        <v>0.55</v>
      </c>
      <c r="AB233" s="3" t="n">
        <v>14.9</v>
      </c>
      <c r="AC233" s="3" t="n">
        <v>2</v>
      </c>
      <c r="AD233" s="3" t="n">
        <v>1</v>
      </c>
      <c r="AE233" s="3" t="n">
        <v>1</v>
      </c>
      <c r="AF233" s="3" t="n">
        <v>1</v>
      </c>
      <c r="AG233" s="3" t="n">
        <v>1</v>
      </c>
      <c r="AH233" s="3" t="n">
        <v>2</v>
      </c>
      <c r="AI233" s="3" t="n">
        <v>1</v>
      </c>
      <c r="AJ233" s="3" t="n">
        <v>2</v>
      </c>
      <c r="AK233" s="3" t="n">
        <v>2</v>
      </c>
      <c r="AL233" s="3" t="n">
        <v>2</v>
      </c>
      <c r="AM233" s="3" t="n">
        <v>2</v>
      </c>
      <c r="AN233" s="3" t="n">
        <v>1</v>
      </c>
      <c r="AO233" s="3" t="n">
        <v>2</v>
      </c>
      <c r="AP233" s="3" t="n">
        <v>2</v>
      </c>
      <c r="AQ233" s="3" t="n">
        <v>3</v>
      </c>
      <c r="AR233" s="3" t="n">
        <v>3</v>
      </c>
      <c r="AS233" s="3" t="n">
        <v>2</v>
      </c>
      <c r="AT233" s="3" t="n">
        <v>1</v>
      </c>
      <c r="AU233" s="3" t="n">
        <v>1</v>
      </c>
      <c r="AV233" s="3" t="n">
        <v>1</v>
      </c>
      <c r="AW233" s="3" t="n">
        <v>8</v>
      </c>
      <c r="AX233" s="3" t="n">
        <v>2</v>
      </c>
      <c r="AY233" s="3" t="n">
        <v>2</v>
      </c>
      <c r="AZ233" s="3" t="n">
        <v>6</v>
      </c>
      <c r="BA233" s="5" t="n">
        <v>1</v>
      </c>
      <c r="BB233" s="3" t="n">
        <v>1</v>
      </c>
      <c r="BC233" s="3" t="n">
        <v>1</v>
      </c>
      <c r="BD233" s="3" t="n">
        <v>2</v>
      </c>
      <c r="BE233" s="3" t="n">
        <v>3</v>
      </c>
      <c r="BF233" s="3" t="n">
        <v>5</v>
      </c>
      <c r="BG233" s="3" t="n">
        <v>3</v>
      </c>
      <c r="BH233" s="3" t="n">
        <v>4</v>
      </c>
      <c r="BI233" s="3" t="n">
        <v>1</v>
      </c>
      <c r="BJ233" s="3" t="n">
        <v>1</v>
      </c>
    </row>
    <row r="234" customFormat="false" ht="12.75" hidden="false" customHeight="false" outlineLevel="0" collapsed="false">
      <c r="B234" s="2" t="s">
        <v>2284</v>
      </c>
      <c r="C234" s="2" t="s">
        <v>2285</v>
      </c>
      <c r="D234" s="2" t="s">
        <v>2006</v>
      </c>
      <c r="E234" s="2" t="n">
        <v>199833</v>
      </c>
      <c r="F234" s="15" t="n">
        <v>44027</v>
      </c>
      <c r="G234" s="15" t="n">
        <v>44033</v>
      </c>
      <c r="H234" s="3" t="n">
        <v>6</v>
      </c>
      <c r="I234" s="3" t="n">
        <v>1</v>
      </c>
      <c r="J234" s="3" t="n">
        <v>56</v>
      </c>
      <c r="K234" s="3" t="n">
        <v>2</v>
      </c>
      <c r="L234" s="3" t="n">
        <v>1</v>
      </c>
      <c r="M234" s="3" t="n">
        <v>1</v>
      </c>
      <c r="N234" s="3" t="n">
        <v>2</v>
      </c>
      <c r="O234" s="3" t="n">
        <v>1</v>
      </c>
      <c r="P234" s="3" t="n">
        <v>1</v>
      </c>
      <c r="Q234" s="3" t="n">
        <v>1</v>
      </c>
      <c r="R234" s="3" t="n">
        <v>2</v>
      </c>
      <c r="S234" s="3" t="n">
        <v>2</v>
      </c>
      <c r="T234" s="4" t="n">
        <v>2</v>
      </c>
      <c r="U234" s="3" t="n">
        <v>2</v>
      </c>
      <c r="V234" s="3" t="n">
        <v>5.59</v>
      </c>
      <c r="W234" s="3" t="n">
        <v>2.29</v>
      </c>
      <c r="X234" s="3" t="n">
        <v>7.6</v>
      </c>
      <c r="Y234" s="3" t="n">
        <v>550</v>
      </c>
      <c r="AA234" s="3" t="n">
        <v>0.5</v>
      </c>
      <c r="AB234" s="3" t="n">
        <v>12.2</v>
      </c>
      <c r="AC234" s="3" t="n">
        <v>1</v>
      </c>
      <c r="AD234" s="3" t="n">
        <v>1</v>
      </c>
      <c r="AE234" s="3" t="n">
        <v>1</v>
      </c>
      <c r="AF234" s="3" t="n">
        <v>1</v>
      </c>
      <c r="AG234" s="3" t="n">
        <v>2</v>
      </c>
      <c r="AH234" s="3" t="n">
        <v>1</v>
      </c>
      <c r="AI234" s="3" t="n">
        <v>1</v>
      </c>
      <c r="AJ234" s="3" t="n">
        <v>2</v>
      </c>
      <c r="AK234" s="3" t="n">
        <v>2</v>
      </c>
      <c r="AL234" s="3" t="n">
        <v>2</v>
      </c>
      <c r="AM234" s="3" t="n">
        <v>1</v>
      </c>
      <c r="AN234" s="3" t="n">
        <v>2</v>
      </c>
      <c r="AO234" s="3" t="n">
        <v>2</v>
      </c>
      <c r="AP234" s="3" t="n">
        <v>3</v>
      </c>
      <c r="AQ234" s="3" t="n">
        <v>4</v>
      </c>
      <c r="AR234" s="3" t="n">
        <v>4</v>
      </c>
      <c r="AS234" s="3" t="n">
        <v>6</v>
      </c>
      <c r="AT234" s="3" t="n">
        <v>4</v>
      </c>
      <c r="AU234" s="3" t="n">
        <v>4</v>
      </c>
      <c r="AV234" s="3" t="n">
        <v>6</v>
      </c>
      <c r="AW234" s="3" t="n">
        <v>6</v>
      </c>
      <c r="AX234" s="3" t="n">
        <v>3</v>
      </c>
      <c r="AY234" s="3" t="n">
        <v>3</v>
      </c>
      <c r="AZ234" s="3" t="n">
        <v>1</v>
      </c>
      <c r="BA234" s="5" t="n">
        <v>1</v>
      </c>
      <c r="BB234" s="3" t="n">
        <v>1</v>
      </c>
      <c r="BC234" s="3" t="n">
        <v>1</v>
      </c>
      <c r="BD234" s="3" t="n">
        <v>4</v>
      </c>
      <c r="BE234" s="3" t="n">
        <v>1</v>
      </c>
      <c r="BF234" s="3" t="n">
        <v>2</v>
      </c>
      <c r="BG234" s="3" t="n">
        <v>1</v>
      </c>
      <c r="BH234" s="3" t="n">
        <v>4</v>
      </c>
      <c r="BI234" s="3" t="n">
        <v>1</v>
      </c>
      <c r="BJ234" s="3" t="n">
        <v>1</v>
      </c>
    </row>
    <row r="235" customFormat="false" ht="12.75" hidden="false" customHeight="false" outlineLevel="0" collapsed="false">
      <c r="B235" s="2" t="s">
        <v>2287</v>
      </c>
      <c r="C235" s="2" t="s">
        <v>414</v>
      </c>
      <c r="D235" s="2" t="s">
        <v>443</v>
      </c>
      <c r="E235" s="2" t="n">
        <v>199743</v>
      </c>
      <c r="F235" s="15" t="n">
        <v>44024</v>
      </c>
      <c r="G235" s="15" t="n">
        <v>44030</v>
      </c>
      <c r="H235" s="3" t="n">
        <v>6</v>
      </c>
      <c r="I235" s="3" t="n">
        <v>1</v>
      </c>
      <c r="J235" s="3" t="n">
        <v>77</v>
      </c>
      <c r="K235" s="3" t="n">
        <v>1</v>
      </c>
      <c r="L235" s="3" t="n">
        <v>2</v>
      </c>
      <c r="M235" s="3" t="n">
        <v>1</v>
      </c>
      <c r="N235" s="3" t="n">
        <v>2</v>
      </c>
      <c r="O235" s="3" t="n">
        <v>2</v>
      </c>
      <c r="P235" s="3" t="n">
        <v>2</v>
      </c>
      <c r="Q235" s="3" t="n">
        <v>2</v>
      </c>
      <c r="R235" s="3" t="n">
        <v>2</v>
      </c>
      <c r="S235" s="3" t="n">
        <v>2</v>
      </c>
      <c r="T235" s="4" t="n">
        <v>2</v>
      </c>
      <c r="U235" s="3" t="n">
        <v>2</v>
      </c>
      <c r="V235" s="3" t="n">
        <v>4.24</v>
      </c>
      <c r="W235" s="3" t="n">
        <v>0.93</v>
      </c>
      <c r="X235" s="3" t="n">
        <v>5.5</v>
      </c>
      <c r="Y235" s="3" t="n">
        <v>124</v>
      </c>
      <c r="AA235" s="3" t="n">
        <v>0.39</v>
      </c>
      <c r="AB235" s="3" t="n">
        <v>13</v>
      </c>
      <c r="AC235" s="3" t="n">
        <v>1</v>
      </c>
      <c r="AD235" s="3" t="n">
        <v>2</v>
      </c>
      <c r="AE235" s="3" t="n">
        <v>1</v>
      </c>
      <c r="AF235" s="3" t="n">
        <v>1</v>
      </c>
      <c r="AG235" s="3" t="n">
        <v>2</v>
      </c>
      <c r="AH235" s="3" t="n">
        <v>2</v>
      </c>
      <c r="AI235" s="3" t="n">
        <v>1</v>
      </c>
      <c r="AJ235" s="3" t="n">
        <v>2</v>
      </c>
      <c r="AK235" s="3" t="n">
        <v>2</v>
      </c>
      <c r="AL235" s="3" t="n">
        <v>2</v>
      </c>
      <c r="AM235" s="3" t="n">
        <v>1</v>
      </c>
      <c r="AN235" s="3" t="n">
        <v>2</v>
      </c>
      <c r="AO235" s="3" t="n">
        <v>2</v>
      </c>
      <c r="AP235" s="3" t="n">
        <v>3</v>
      </c>
      <c r="AQ235" s="3" t="n">
        <v>4</v>
      </c>
      <c r="AR235" s="3" t="n">
        <v>4</v>
      </c>
      <c r="AS235" s="3" t="n">
        <v>6</v>
      </c>
      <c r="AT235" s="3" t="n">
        <v>4</v>
      </c>
      <c r="AU235" s="3" t="n">
        <v>4</v>
      </c>
      <c r="AV235" s="3" t="n">
        <v>6</v>
      </c>
      <c r="AW235" s="3" t="n">
        <v>6</v>
      </c>
      <c r="AX235" s="3" t="n">
        <v>3</v>
      </c>
      <c r="AY235" s="3" t="n">
        <v>3</v>
      </c>
      <c r="AZ235" s="3" t="n">
        <v>4</v>
      </c>
      <c r="BA235" s="5" t="n">
        <v>1</v>
      </c>
      <c r="BB235" s="3" t="n">
        <v>1</v>
      </c>
      <c r="BC235" s="3" t="n">
        <v>1</v>
      </c>
      <c r="BD235" s="3" t="n">
        <v>2</v>
      </c>
      <c r="BE235" s="3" t="n">
        <v>1</v>
      </c>
      <c r="BF235" s="3" t="n">
        <v>2</v>
      </c>
      <c r="BG235" s="3" t="n">
        <v>1</v>
      </c>
      <c r="BH235" s="3" t="n">
        <v>4</v>
      </c>
      <c r="BI235" s="3" t="n">
        <v>1</v>
      </c>
      <c r="BJ235" s="3" t="n">
        <v>1</v>
      </c>
    </row>
    <row r="236" customFormat="false" ht="12.75" hidden="false" customHeight="false" outlineLevel="0" collapsed="false">
      <c r="B236" s="2" t="s">
        <v>1143</v>
      </c>
      <c r="C236" s="2" t="s">
        <v>2291</v>
      </c>
      <c r="D236" s="2" t="s">
        <v>2292</v>
      </c>
      <c r="E236" s="2" t="n">
        <v>199663</v>
      </c>
      <c r="F236" s="15" t="n">
        <v>44029</v>
      </c>
      <c r="G236" s="15" t="n">
        <v>44036</v>
      </c>
      <c r="H236" s="3" t="n">
        <v>7</v>
      </c>
      <c r="I236" s="3" t="n">
        <v>2</v>
      </c>
      <c r="J236" s="3" t="n">
        <v>57</v>
      </c>
      <c r="K236" s="3" t="n">
        <v>1</v>
      </c>
      <c r="L236" s="3" t="n">
        <v>1</v>
      </c>
      <c r="M236" s="3" t="n">
        <v>1</v>
      </c>
      <c r="N236" s="3" t="n">
        <v>1</v>
      </c>
      <c r="O236" s="3" t="n">
        <v>2</v>
      </c>
      <c r="P236" s="3" t="n">
        <v>2</v>
      </c>
      <c r="Q236" s="3" t="n">
        <v>2</v>
      </c>
      <c r="R236" s="3" t="n">
        <v>2</v>
      </c>
      <c r="S236" s="3" t="n">
        <v>2</v>
      </c>
      <c r="T236" s="4" t="n">
        <v>2</v>
      </c>
      <c r="U236" s="3" t="n">
        <v>2</v>
      </c>
      <c r="V236" s="3"/>
      <c r="W236" s="3"/>
      <c r="X236" s="3" t="n">
        <v>6.4</v>
      </c>
      <c r="Y236" s="3" t="n">
        <v>399</v>
      </c>
      <c r="AA236" s="3" t="n">
        <v>0.45</v>
      </c>
      <c r="AB236" s="3" t="n">
        <v>7.7</v>
      </c>
      <c r="AC236" s="3" t="n">
        <v>2</v>
      </c>
      <c r="AD236" s="3" t="n">
        <v>2</v>
      </c>
      <c r="AE236" s="3" t="n">
        <v>1</v>
      </c>
      <c r="AF236" s="3" t="n">
        <v>1</v>
      </c>
      <c r="AG236" s="3" t="n">
        <v>2</v>
      </c>
      <c r="AH236" s="3" t="n">
        <v>2</v>
      </c>
      <c r="AI236" s="3" t="n">
        <v>1</v>
      </c>
      <c r="AJ236" s="3" t="n">
        <v>2</v>
      </c>
      <c r="AK236" s="3" t="n">
        <v>2</v>
      </c>
      <c r="AL236" s="3" t="n">
        <v>2</v>
      </c>
      <c r="AM236" s="3" t="n">
        <v>2</v>
      </c>
      <c r="AN236" s="3" t="n">
        <v>1</v>
      </c>
      <c r="AO236" s="3" t="n">
        <v>2</v>
      </c>
      <c r="AP236" s="3" t="n">
        <v>3</v>
      </c>
      <c r="AQ236" s="3" t="n">
        <v>4</v>
      </c>
      <c r="AR236" s="3" t="n">
        <v>4</v>
      </c>
      <c r="AS236" s="3" t="n">
        <v>6</v>
      </c>
      <c r="AT236" s="3" t="n">
        <v>4</v>
      </c>
      <c r="AU236" s="3" t="n">
        <v>4</v>
      </c>
      <c r="AV236" s="3" t="n">
        <v>6</v>
      </c>
      <c r="AW236" s="3" t="n">
        <v>6</v>
      </c>
      <c r="AX236" s="3" t="n">
        <v>3</v>
      </c>
      <c r="AY236" s="3" t="n">
        <v>3</v>
      </c>
      <c r="AZ236" s="3" t="n">
        <v>6</v>
      </c>
      <c r="BA236" s="5" t="n">
        <v>1</v>
      </c>
      <c r="BB236" s="3" t="n">
        <v>1</v>
      </c>
      <c r="BC236" s="3" t="n">
        <v>1</v>
      </c>
      <c r="BD236" s="3" t="n">
        <v>2</v>
      </c>
      <c r="BE236" s="3" t="n">
        <v>1</v>
      </c>
      <c r="BF236" s="3" t="n">
        <v>3</v>
      </c>
      <c r="BG236" s="3" t="n">
        <v>1</v>
      </c>
      <c r="BH236" s="3" t="n">
        <v>4</v>
      </c>
      <c r="BI236" s="3" t="n">
        <v>1</v>
      </c>
      <c r="BJ236" s="3" t="n">
        <v>1</v>
      </c>
    </row>
    <row r="237" customFormat="false" ht="12.75" hidden="false" customHeight="false" outlineLevel="0" collapsed="false">
      <c r="B237" s="2" t="s">
        <v>2295</v>
      </c>
      <c r="C237" s="2" t="s">
        <v>239</v>
      </c>
      <c r="D237" s="2" t="s">
        <v>102</v>
      </c>
      <c r="E237" s="2" t="n">
        <v>199847</v>
      </c>
      <c r="F237" s="15" t="n">
        <v>44028</v>
      </c>
      <c r="G237" s="15" t="n">
        <v>44034</v>
      </c>
      <c r="H237" s="3" t="n">
        <v>6</v>
      </c>
      <c r="I237" s="3" t="n">
        <v>2</v>
      </c>
      <c r="J237" s="3" t="n">
        <v>56</v>
      </c>
      <c r="K237" s="3" t="n">
        <v>1</v>
      </c>
      <c r="L237" s="3" t="n">
        <v>1</v>
      </c>
      <c r="M237" s="3" t="n">
        <v>2</v>
      </c>
      <c r="N237" s="3" t="n">
        <v>2</v>
      </c>
      <c r="O237" s="3" t="n">
        <v>2</v>
      </c>
      <c r="P237" s="3" t="n">
        <v>2</v>
      </c>
      <c r="Q237" s="3" t="n">
        <v>2</v>
      </c>
      <c r="R237" s="3" t="n">
        <v>2</v>
      </c>
      <c r="S237" s="3" t="n">
        <v>2</v>
      </c>
      <c r="T237" s="4" t="n">
        <v>2</v>
      </c>
      <c r="U237" s="3" t="n">
        <v>2</v>
      </c>
      <c r="V237" s="3" t="n">
        <v>4.67</v>
      </c>
      <c r="W237" s="3" t="n">
        <v>1.29</v>
      </c>
      <c r="X237" s="3" t="n">
        <v>5.7</v>
      </c>
      <c r="Y237" s="3" t="n">
        <v>288</v>
      </c>
      <c r="AA237" s="3" t="n">
        <v>0.47</v>
      </c>
      <c r="AB237" s="3" t="n">
        <v>10.9</v>
      </c>
      <c r="AC237" s="3" t="n">
        <v>1</v>
      </c>
      <c r="AD237" s="3" t="n">
        <v>2</v>
      </c>
      <c r="AE237" s="3" t="n">
        <v>1</v>
      </c>
      <c r="AF237" s="3" t="n">
        <v>1</v>
      </c>
      <c r="AG237" s="3" t="n">
        <v>2</v>
      </c>
      <c r="AH237" s="3" t="n">
        <v>2</v>
      </c>
      <c r="AI237" s="3" t="n">
        <v>1</v>
      </c>
      <c r="AJ237" s="3" t="n">
        <v>2</v>
      </c>
      <c r="AK237" s="3" t="n">
        <v>2</v>
      </c>
      <c r="AL237" s="3" t="n">
        <v>2</v>
      </c>
      <c r="AM237" s="3" t="n">
        <v>2</v>
      </c>
      <c r="AN237" s="3" t="n">
        <v>2</v>
      </c>
      <c r="AO237" s="3" t="n">
        <v>2</v>
      </c>
      <c r="AP237" s="3" t="n">
        <v>3</v>
      </c>
      <c r="AQ237" s="3" t="n">
        <v>4</v>
      </c>
      <c r="AR237" s="3" t="n">
        <v>4</v>
      </c>
      <c r="AS237" s="3" t="n">
        <v>6</v>
      </c>
      <c r="AT237" s="3" t="n">
        <v>4</v>
      </c>
      <c r="AU237" s="3" t="n">
        <v>4</v>
      </c>
      <c r="AV237" s="3" t="n">
        <v>6</v>
      </c>
      <c r="AW237" s="3" t="n">
        <v>6</v>
      </c>
      <c r="AX237" s="3" t="n">
        <v>3</v>
      </c>
      <c r="AY237" s="3" t="n">
        <v>3</v>
      </c>
      <c r="AZ237" s="3" t="n">
        <v>1</v>
      </c>
      <c r="BA237" s="5" t="n">
        <v>1</v>
      </c>
      <c r="BB237" s="3" t="n">
        <v>1</v>
      </c>
      <c r="BC237" s="3" t="n">
        <v>1</v>
      </c>
      <c r="BD237" s="3" t="n">
        <v>4</v>
      </c>
      <c r="BE237" s="3" t="n">
        <v>1</v>
      </c>
      <c r="BF237" s="3" t="n">
        <v>2</v>
      </c>
      <c r="BG237" s="3" t="n">
        <v>1</v>
      </c>
      <c r="BH237" s="3" t="n">
        <v>4</v>
      </c>
      <c r="BI237" s="3" t="n">
        <v>1</v>
      </c>
      <c r="BJ237" s="3" t="n">
        <v>1</v>
      </c>
    </row>
    <row r="238" customFormat="false" ht="12.75" hidden="false" customHeight="false" outlineLevel="0" collapsed="false">
      <c r="B238" s="2" t="s">
        <v>653</v>
      </c>
      <c r="C238" s="2" t="s">
        <v>2296</v>
      </c>
      <c r="D238" s="2" t="s">
        <v>767</v>
      </c>
      <c r="E238" s="2" t="n">
        <v>199869</v>
      </c>
      <c r="F238" s="15" t="n">
        <v>44029</v>
      </c>
      <c r="G238" s="15" t="n">
        <v>44037</v>
      </c>
      <c r="H238" s="3" t="n">
        <v>8</v>
      </c>
      <c r="I238" s="3" t="n">
        <v>2</v>
      </c>
      <c r="J238" s="3" t="n">
        <v>58</v>
      </c>
      <c r="K238" s="3" t="n">
        <v>1</v>
      </c>
      <c r="L238" s="3" t="n">
        <v>1</v>
      </c>
      <c r="M238" s="3" t="n">
        <v>2</v>
      </c>
      <c r="N238" s="3" t="n">
        <v>2</v>
      </c>
      <c r="O238" s="3" t="n">
        <v>2</v>
      </c>
      <c r="P238" s="3" t="n">
        <v>2</v>
      </c>
      <c r="Q238" s="3" t="n">
        <v>1</v>
      </c>
      <c r="R238" s="3" t="n">
        <v>2</v>
      </c>
      <c r="S238" s="3" t="n">
        <v>2</v>
      </c>
      <c r="T238" s="4" t="n">
        <v>2</v>
      </c>
      <c r="U238" s="3" t="n">
        <v>2</v>
      </c>
      <c r="V238" s="3" t="n">
        <v>4.67</v>
      </c>
      <c r="W238" s="3" t="n">
        <v>2.92</v>
      </c>
      <c r="X238" s="3" t="n">
        <v>12.4</v>
      </c>
      <c r="Y238" s="3" t="n">
        <v>323</v>
      </c>
      <c r="AA238" s="3" t="n">
        <v>0.55</v>
      </c>
      <c r="AB238" s="3" t="n">
        <v>14.2</v>
      </c>
      <c r="AC238" s="3" t="n">
        <v>1</v>
      </c>
      <c r="AD238" s="3" t="n">
        <v>2</v>
      </c>
      <c r="AE238" s="3" t="n">
        <v>1</v>
      </c>
      <c r="AF238" s="3" t="n">
        <v>1</v>
      </c>
      <c r="AG238" s="3" t="n">
        <v>2</v>
      </c>
      <c r="AH238" s="3" t="n">
        <v>2</v>
      </c>
      <c r="AI238" s="3" t="n">
        <v>1</v>
      </c>
      <c r="AJ238" s="3" t="n">
        <v>2</v>
      </c>
      <c r="AK238" s="3" t="n">
        <v>2</v>
      </c>
      <c r="AL238" s="3" t="n">
        <v>2</v>
      </c>
      <c r="AM238" s="3" t="n">
        <v>2</v>
      </c>
      <c r="AN238" s="3" t="n">
        <v>2</v>
      </c>
      <c r="AO238" s="3" t="n">
        <v>2</v>
      </c>
      <c r="AP238" s="3" t="n">
        <v>3</v>
      </c>
      <c r="AQ238" s="3" t="n">
        <v>4</v>
      </c>
      <c r="AR238" s="3" t="n">
        <v>4</v>
      </c>
      <c r="AS238" s="3" t="n">
        <v>6</v>
      </c>
      <c r="AT238" s="3" t="n">
        <v>4</v>
      </c>
      <c r="AU238" s="3" t="n">
        <v>4</v>
      </c>
      <c r="AV238" s="3" t="n">
        <v>6</v>
      </c>
      <c r="AW238" s="3" t="n">
        <v>6</v>
      </c>
      <c r="AX238" s="3" t="n">
        <v>3</v>
      </c>
      <c r="AY238" s="3" t="n">
        <v>3</v>
      </c>
      <c r="AZ238" s="3" t="n">
        <v>1</v>
      </c>
      <c r="BA238" s="5" t="n">
        <v>1</v>
      </c>
      <c r="BB238" s="3" t="n">
        <v>1</v>
      </c>
      <c r="BC238" s="3" t="n">
        <v>1</v>
      </c>
      <c r="BD238" s="3" t="n">
        <v>4</v>
      </c>
      <c r="BE238" s="3" t="n">
        <v>1</v>
      </c>
      <c r="BF238" s="3" t="n">
        <v>2</v>
      </c>
      <c r="BG238" s="3" t="n">
        <v>1</v>
      </c>
      <c r="BH238" s="3" t="n">
        <v>4</v>
      </c>
      <c r="BI238" s="3" t="n">
        <v>1</v>
      </c>
      <c r="BJ238" s="3" t="n">
        <v>1</v>
      </c>
    </row>
    <row r="239" customFormat="false" ht="12.75" hidden="false" customHeight="false" outlineLevel="0" collapsed="false">
      <c r="B239" s="2" t="s">
        <v>1116</v>
      </c>
      <c r="C239" s="2" t="s">
        <v>169</v>
      </c>
      <c r="D239" s="2" t="s">
        <v>307</v>
      </c>
      <c r="E239" s="2" t="n">
        <v>199794</v>
      </c>
      <c r="F239" s="15" t="n">
        <v>44034</v>
      </c>
      <c r="G239" s="15" t="n">
        <v>44040</v>
      </c>
      <c r="H239" s="3" t="n">
        <v>6</v>
      </c>
      <c r="I239" s="3" t="n">
        <v>2</v>
      </c>
      <c r="J239" s="3" t="n">
        <v>81</v>
      </c>
      <c r="K239" s="3" t="n">
        <v>1</v>
      </c>
      <c r="L239" s="3" t="n">
        <v>1</v>
      </c>
      <c r="M239" s="3" t="n">
        <v>1</v>
      </c>
      <c r="N239" s="3" t="n">
        <v>2</v>
      </c>
      <c r="O239" s="3" t="n">
        <v>2</v>
      </c>
      <c r="P239" s="3" t="n">
        <v>2</v>
      </c>
      <c r="Q239" s="3" t="n">
        <v>2</v>
      </c>
      <c r="R239" s="3" t="n">
        <v>2</v>
      </c>
      <c r="S239" s="3" t="n">
        <v>2</v>
      </c>
      <c r="T239" s="4" t="n">
        <v>2</v>
      </c>
      <c r="U239" s="3" t="n">
        <v>2</v>
      </c>
      <c r="V239" s="3"/>
      <c r="W239" s="3"/>
      <c r="X239" s="3"/>
      <c r="Y239" s="3"/>
      <c r="AA239" s="3"/>
      <c r="AB239" s="3"/>
      <c r="AC239" s="3" t="n">
        <v>1</v>
      </c>
      <c r="AD239" s="3" t="n">
        <v>1</v>
      </c>
      <c r="AE239" s="3" t="n">
        <v>1</v>
      </c>
      <c r="AF239" s="3" t="n">
        <v>1</v>
      </c>
      <c r="AG239" s="3" t="n">
        <v>2</v>
      </c>
      <c r="AH239" s="3" t="n">
        <v>2</v>
      </c>
      <c r="AI239" s="3" t="n">
        <v>1</v>
      </c>
      <c r="AJ239" s="3" t="n">
        <v>2</v>
      </c>
      <c r="AK239" s="3" t="n">
        <v>2</v>
      </c>
      <c r="AL239" s="3" t="n">
        <v>2</v>
      </c>
      <c r="AM239" s="3" t="n">
        <v>2</v>
      </c>
      <c r="AN239" s="3" t="n">
        <v>2</v>
      </c>
      <c r="AO239" s="3" t="n">
        <v>2</v>
      </c>
      <c r="AP239" s="3" t="n">
        <v>3</v>
      </c>
      <c r="AQ239" s="3" t="n">
        <v>4</v>
      </c>
      <c r="AR239" s="3" t="n">
        <v>4</v>
      </c>
      <c r="AS239" s="3" t="n">
        <v>6</v>
      </c>
      <c r="AT239" s="3" t="n">
        <v>4</v>
      </c>
      <c r="AU239" s="3" t="n">
        <v>4</v>
      </c>
      <c r="AV239" s="3" t="n">
        <v>6</v>
      </c>
      <c r="AW239" s="3" t="n">
        <v>6</v>
      </c>
      <c r="AX239" s="3" t="n">
        <v>3</v>
      </c>
      <c r="AY239" s="3" t="n">
        <v>3</v>
      </c>
      <c r="AZ239" s="3" t="n">
        <v>1</v>
      </c>
      <c r="BA239" s="5" t="n">
        <v>1</v>
      </c>
      <c r="BB239" s="3" t="n">
        <v>1</v>
      </c>
      <c r="BC239" s="3" t="n">
        <v>1</v>
      </c>
      <c r="BD239" s="3" t="n">
        <v>2</v>
      </c>
      <c r="BE239" s="3" t="n">
        <v>3</v>
      </c>
      <c r="BF239" s="3" t="n">
        <v>5</v>
      </c>
      <c r="BG239" s="3" t="n">
        <v>3</v>
      </c>
      <c r="BH239" s="3" t="n">
        <v>4</v>
      </c>
      <c r="BI239" s="3" t="n">
        <v>1</v>
      </c>
      <c r="BJ239" s="3" t="n">
        <v>1</v>
      </c>
    </row>
    <row r="240" customFormat="false" ht="12.75" hidden="false" customHeight="false" outlineLevel="0" collapsed="false">
      <c r="B240" s="2" t="s">
        <v>2309</v>
      </c>
      <c r="C240" s="2" t="s">
        <v>95</v>
      </c>
      <c r="D240" s="2" t="s">
        <v>118</v>
      </c>
      <c r="E240" s="2" t="n">
        <v>200502</v>
      </c>
      <c r="F240" s="15" t="n">
        <v>44037</v>
      </c>
      <c r="G240" s="15" t="n">
        <v>44043</v>
      </c>
      <c r="H240" s="3" t="n">
        <v>6</v>
      </c>
      <c r="I240" s="3" t="n">
        <v>1</v>
      </c>
      <c r="J240" s="3" t="n">
        <v>66</v>
      </c>
      <c r="K240" s="3" t="n">
        <v>2</v>
      </c>
      <c r="L240" s="3" t="n">
        <v>1</v>
      </c>
      <c r="M240" s="3" t="n">
        <v>2</v>
      </c>
      <c r="N240" s="3" t="n">
        <v>2</v>
      </c>
      <c r="O240" s="3" t="n">
        <v>2</v>
      </c>
      <c r="P240" s="3" t="n">
        <v>2</v>
      </c>
      <c r="Q240" s="3" t="n">
        <v>2</v>
      </c>
      <c r="R240" s="3" t="n">
        <v>2</v>
      </c>
      <c r="S240" s="3" t="n">
        <v>2</v>
      </c>
      <c r="T240" s="4" t="n">
        <v>2</v>
      </c>
      <c r="U240" s="3" t="n">
        <v>2</v>
      </c>
      <c r="V240" s="3" t="n">
        <v>5.28</v>
      </c>
      <c r="W240" s="3" t="n">
        <v>1.96</v>
      </c>
      <c r="X240" s="3" t="n">
        <v>9.2</v>
      </c>
      <c r="Y240" s="3" t="n">
        <v>87</v>
      </c>
      <c r="AA240" s="3" t="n">
        <v>0.48</v>
      </c>
      <c r="AB240" s="3" t="n">
        <v>8.4</v>
      </c>
      <c r="AC240" s="3" t="n">
        <v>1</v>
      </c>
      <c r="AD240" s="3" t="n">
        <v>2</v>
      </c>
      <c r="AE240" s="3" t="n">
        <v>1</v>
      </c>
      <c r="AF240" s="3" t="n">
        <v>1</v>
      </c>
      <c r="AG240" s="3" t="n">
        <v>2</v>
      </c>
      <c r="AH240" s="3" t="n">
        <v>2</v>
      </c>
      <c r="AI240" s="3" t="n">
        <v>1</v>
      </c>
      <c r="AJ240" s="3" t="n">
        <v>2</v>
      </c>
      <c r="AK240" s="3" t="n">
        <v>2</v>
      </c>
      <c r="AL240" s="3" t="n">
        <v>2</v>
      </c>
      <c r="AM240" s="3" t="n">
        <v>1</v>
      </c>
      <c r="AN240" s="3" t="n">
        <v>2</v>
      </c>
      <c r="AO240" s="3" t="n">
        <v>2</v>
      </c>
      <c r="AP240" s="3" t="n">
        <v>3</v>
      </c>
      <c r="AQ240" s="3" t="n">
        <v>4</v>
      </c>
      <c r="AR240" s="3" t="n">
        <v>4</v>
      </c>
      <c r="AS240" s="3" t="n">
        <v>6</v>
      </c>
      <c r="AT240" s="3" t="n">
        <v>4</v>
      </c>
      <c r="AU240" s="3" t="n">
        <v>4</v>
      </c>
      <c r="AV240" s="3" t="n">
        <v>6</v>
      </c>
      <c r="AW240" s="3" t="n">
        <v>6</v>
      </c>
      <c r="AX240" s="3" t="n">
        <v>3</v>
      </c>
      <c r="AY240" s="3" t="n">
        <v>3</v>
      </c>
      <c r="AZ240" s="3" t="n">
        <v>1</v>
      </c>
      <c r="BA240" s="5" t="n">
        <v>1</v>
      </c>
      <c r="BB240" s="3" t="n">
        <v>1</v>
      </c>
      <c r="BC240" s="3" t="n">
        <v>1</v>
      </c>
      <c r="BD240" s="3" t="n">
        <v>4</v>
      </c>
      <c r="BE240" s="3" t="n">
        <v>1</v>
      </c>
      <c r="BF240" s="3" t="n">
        <v>2</v>
      </c>
      <c r="BG240" s="3" t="n">
        <v>1</v>
      </c>
      <c r="BH240" s="3" t="n">
        <v>4</v>
      </c>
      <c r="BI240" s="3" t="n">
        <v>1</v>
      </c>
      <c r="BJ240" s="3" t="n">
        <v>1</v>
      </c>
    </row>
    <row r="241" customFormat="false" ht="12.75" hidden="false" customHeight="false" outlineLevel="0" collapsed="false">
      <c r="B241" s="2" t="s">
        <v>413</v>
      </c>
      <c r="C241" s="2" t="s">
        <v>2310</v>
      </c>
      <c r="D241" s="2" t="s">
        <v>172</v>
      </c>
      <c r="E241" s="2" t="n">
        <v>200242</v>
      </c>
      <c r="F241" s="15" t="n">
        <v>44038</v>
      </c>
      <c r="G241" s="15" t="n">
        <v>44044</v>
      </c>
      <c r="H241" s="3" t="n">
        <v>6</v>
      </c>
      <c r="I241" s="3" t="n">
        <v>2</v>
      </c>
      <c r="J241" s="3" t="n">
        <v>49</v>
      </c>
      <c r="K241" s="3" t="n">
        <v>2</v>
      </c>
      <c r="L241" s="3" t="n">
        <v>2</v>
      </c>
      <c r="M241" s="3" t="n">
        <v>1</v>
      </c>
      <c r="N241" s="3" t="n">
        <v>2</v>
      </c>
      <c r="O241" s="3" t="n">
        <v>2</v>
      </c>
      <c r="P241" s="3" t="n">
        <v>2</v>
      </c>
      <c r="Q241" s="3" t="n">
        <v>2</v>
      </c>
      <c r="R241" s="3" t="n">
        <v>2</v>
      </c>
      <c r="S241" s="3" t="n">
        <v>2</v>
      </c>
      <c r="T241" s="4" t="n">
        <v>2</v>
      </c>
      <c r="U241" s="3" t="n">
        <v>2</v>
      </c>
      <c r="V241" s="3" t="n">
        <v>3.77</v>
      </c>
      <c r="W241" s="3" t="n">
        <v>0.96</v>
      </c>
      <c r="X241" s="3" t="n">
        <v>8.2</v>
      </c>
      <c r="Y241" s="3" t="n">
        <v>166</v>
      </c>
      <c r="AA241" s="3" t="n">
        <v>0.47</v>
      </c>
      <c r="AB241" s="3" t="n">
        <v>9</v>
      </c>
      <c r="AC241" s="3" t="n">
        <v>1</v>
      </c>
      <c r="AD241" s="3" t="n">
        <v>2</v>
      </c>
      <c r="AE241" s="3" t="n">
        <v>1</v>
      </c>
      <c r="AF241" s="3" t="n">
        <v>1</v>
      </c>
      <c r="AG241" s="3" t="n">
        <v>2</v>
      </c>
      <c r="AH241" s="3" t="n">
        <v>2</v>
      </c>
      <c r="AI241" s="3" t="n">
        <v>1</v>
      </c>
      <c r="AJ241" s="3" t="n">
        <v>2</v>
      </c>
      <c r="AK241" s="3" t="n">
        <v>2</v>
      </c>
      <c r="AL241" s="3" t="n">
        <v>2</v>
      </c>
      <c r="AM241" s="3" t="n">
        <v>2</v>
      </c>
      <c r="AN241" s="3" t="n">
        <v>2</v>
      </c>
      <c r="AO241" s="3" t="n">
        <v>2</v>
      </c>
      <c r="AP241" s="3" t="n">
        <v>3</v>
      </c>
      <c r="AQ241" s="3" t="n">
        <v>4</v>
      </c>
      <c r="AR241" s="3" t="n">
        <v>4</v>
      </c>
      <c r="AS241" s="3" t="n">
        <v>6</v>
      </c>
      <c r="AT241" s="3" t="n">
        <v>4</v>
      </c>
      <c r="AU241" s="3" t="n">
        <v>4</v>
      </c>
      <c r="AV241" s="3" t="n">
        <v>6</v>
      </c>
      <c r="AW241" s="3" t="n">
        <v>6</v>
      </c>
      <c r="AX241" s="3" t="n">
        <v>3</v>
      </c>
      <c r="AY241" s="3" t="n">
        <v>3</v>
      </c>
      <c r="AZ241" s="3" t="n">
        <v>1</v>
      </c>
      <c r="BA241" s="5" t="n">
        <v>1</v>
      </c>
      <c r="BB241" s="3" t="n">
        <v>1</v>
      </c>
      <c r="BC241" s="3" t="n">
        <v>1</v>
      </c>
      <c r="BD241" s="3" t="n">
        <v>4</v>
      </c>
      <c r="BE241" s="3" t="n">
        <v>1</v>
      </c>
      <c r="BF241" s="3" t="n">
        <v>2</v>
      </c>
      <c r="BG241" s="3" t="n">
        <v>1</v>
      </c>
      <c r="BH241" s="3" t="n">
        <v>4</v>
      </c>
      <c r="BI241" s="3" t="n">
        <v>1</v>
      </c>
      <c r="BJ241" s="3" t="n">
        <v>1</v>
      </c>
    </row>
    <row r="242" customFormat="false" ht="12.75" hidden="false" customHeight="false" outlineLevel="0" collapsed="false">
      <c r="B242" s="2" t="s">
        <v>2313</v>
      </c>
      <c r="C242" s="2" t="s">
        <v>886</v>
      </c>
      <c r="D242" s="2" t="s">
        <v>519</v>
      </c>
      <c r="E242" s="2" t="n">
        <v>200992</v>
      </c>
      <c r="F242" s="15" t="n">
        <v>44046</v>
      </c>
      <c r="G242" s="15" t="n">
        <v>44049</v>
      </c>
      <c r="H242" s="3" t="n">
        <v>3</v>
      </c>
      <c r="I242" s="3" t="n">
        <v>2</v>
      </c>
      <c r="J242" s="3" t="n">
        <v>65</v>
      </c>
      <c r="K242" s="3" t="n">
        <v>2</v>
      </c>
      <c r="L242" s="3" t="n">
        <v>2</v>
      </c>
      <c r="M242" s="3" t="n">
        <v>1</v>
      </c>
      <c r="N242" s="3" t="n">
        <v>2</v>
      </c>
      <c r="O242" s="3" t="n">
        <v>2</v>
      </c>
      <c r="P242" s="3" t="n">
        <v>2</v>
      </c>
      <c r="Q242" s="3" t="n">
        <v>2</v>
      </c>
      <c r="R242" s="3" t="n">
        <v>2</v>
      </c>
      <c r="S242" s="3" t="n">
        <v>2</v>
      </c>
      <c r="T242" s="4" t="n">
        <v>2</v>
      </c>
      <c r="U242" s="3" t="n">
        <v>2</v>
      </c>
      <c r="V242" s="3" t="n">
        <v>5.4</v>
      </c>
      <c r="W242" s="3" t="n">
        <v>2.9</v>
      </c>
      <c r="X242" s="3" t="n">
        <v>7.1</v>
      </c>
      <c r="Y242" s="3" t="n">
        <v>396</v>
      </c>
      <c r="AA242" s="3" t="n">
        <v>0.48</v>
      </c>
      <c r="AB242" s="3" t="n">
        <v>7</v>
      </c>
      <c r="AC242" s="3" t="n">
        <v>1</v>
      </c>
      <c r="AD242" s="3" t="n">
        <v>2</v>
      </c>
      <c r="AE242" s="3" t="n">
        <v>1</v>
      </c>
      <c r="AF242" s="3" t="n">
        <v>1</v>
      </c>
      <c r="AG242" s="3" t="n">
        <v>1</v>
      </c>
      <c r="AH242" s="3" t="n">
        <v>1</v>
      </c>
      <c r="AI242" s="3" t="n">
        <v>1</v>
      </c>
      <c r="AJ242" s="3" t="n">
        <v>2</v>
      </c>
      <c r="AK242" s="3" t="n">
        <v>2</v>
      </c>
      <c r="AL242" s="3" t="n">
        <v>2</v>
      </c>
      <c r="AM242" s="3" t="n">
        <v>2</v>
      </c>
      <c r="AN242" s="3" t="n">
        <v>2</v>
      </c>
      <c r="AO242" s="3" t="n">
        <v>2</v>
      </c>
      <c r="AP242" s="3" t="n">
        <v>3</v>
      </c>
      <c r="AQ242" s="3" t="n">
        <v>4</v>
      </c>
      <c r="AR242" s="3" t="n">
        <v>4</v>
      </c>
      <c r="AS242" s="3" t="n">
        <v>6</v>
      </c>
      <c r="AT242" s="3" t="n">
        <v>4</v>
      </c>
      <c r="AU242" s="3" t="n">
        <v>4</v>
      </c>
      <c r="AV242" s="3" t="n">
        <v>6</v>
      </c>
      <c r="AW242" s="3" t="n">
        <v>6</v>
      </c>
      <c r="AX242" s="3" t="n">
        <v>3</v>
      </c>
      <c r="AY242" s="3" t="n">
        <v>3</v>
      </c>
      <c r="AZ242" s="3" t="n">
        <v>1</v>
      </c>
      <c r="BA242" s="5" t="n">
        <v>1</v>
      </c>
      <c r="BB242" s="3" t="n">
        <v>1</v>
      </c>
      <c r="BC242" s="3" t="n">
        <v>1</v>
      </c>
      <c r="BD242" s="3" t="n">
        <v>4</v>
      </c>
      <c r="BE242" s="3" t="n">
        <v>1</v>
      </c>
      <c r="BF242" s="3" t="n">
        <v>2</v>
      </c>
      <c r="BG242" s="3" t="n">
        <v>1</v>
      </c>
      <c r="BH242" s="3" t="n">
        <v>4</v>
      </c>
      <c r="BI242" s="3" t="n">
        <v>1</v>
      </c>
      <c r="BJ242" s="3" t="n">
        <v>1</v>
      </c>
    </row>
    <row r="243" customFormat="false" ht="12.75" hidden="false" customHeight="false" outlineLevel="0" collapsed="false">
      <c r="B243" s="2" t="s">
        <v>2325</v>
      </c>
      <c r="C243" s="2" t="s">
        <v>153</v>
      </c>
      <c r="D243" s="2" t="s">
        <v>2326</v>
      </c>
      <c r="E243" s="2" t="n">
        <v>200430</v>
      </c>
      <c r="F243" s="15" t="n">
        <v>44043</v>
      </c>
      <c r="G243" s="15" t="n">
        <v>44050</v>
      </c>
      <c r="H243" s="3" t="n">
        <v>8</v>
      </c>
      <c r="I243" s="3" t="n">
        <v>1</v>
      </c>
      <c r="J243" s="3" t="n">
        <v>62</v>
      </c>
      <c r="K243" s="3" t="n">
        <v>1</v>
      </c>
      <c r="L243" s="3" t="n">
        <v>1</v>
      </c>
      <c r="M243" s="3" t="n">
        <v>1</v>
      </c>
      <c r="N243" s="3" t="n">
        <v>2</v>
      </c>
      <c r="O243" s="3" t="n">
        <v>1</v>
      </c>
      <c r="P243" s="3" t="n">
        <v>1</v>
      </c>
      <c r="Q243" s="3" t="n">
        <v>1</v>
      </c>
      <c r="R243" s="3" t="n">
        <v>2</v>
      </c>
      <c r="S243" s="3" t="n">
        <v>2</v>
      </c>
      <c r="T243" s="4" t="n">
        <v>2</v>
      </c>
      <c r="U243" s="3" t="n">
        <v>2</v>
      </c>
      <c r="V243" s="3" t="n">
        <v>6.1</v>
      </c>
      <c r="W243" s="3"/>
      <c r="X243" s="3" t="n">
        <v>9.2</v>
      </c>
      <c r="Y243" s="3" t="n">
        <v>493</v>
      </c>
      <c r="AA243" s="3" t="n">
        <v>0.43</v>
      </c>
      <c r="AB243" s="3" t="n">
        <v>15.2</v>
      </c>
      <c r="AC243" s="3" t="n">
        <v>1</v>
      </c>
      <c r="AD243" s="3" t="n">
        <v>1</v>
      </c>
      <c r="AE243" s="3" t="n">
        <v>1</v>
      </c>
      <c r="AF243" s="3" t="n">
        <v>1</v>
      </c>
      <c r="AG243" s="3" t="n">
        <v>1</v>
      </c>
      <c r="AH243" s="3" t="n">
        <v>1</v>
      </c>
      <c r="AI243" s="3" t="n">
        <v>1</v>
      </c>
      <c r="AJ243" s="3" t="n">
        <v>2</v>
      </c>
      <c r="AK243" s="3" t="n">
        <v>1</v>
      </c>
      <c r="AL243" s="3" t="n">
        <v>2</v>
      </c>
      <c r="AM243" s="3" t="n">
        <v>2</v>
      </c>
      <c r="AN243" s="3" t="n">
        <v>2</v>
      </c>
      <c r="AO243" s="3" t="n">
        <v>2</v>
      </c>
      <c r="AP243" s="3" t="n">
        <v>3</v>
      </c>
      <c r="AQ243" s="3" t="n">
        <v>4</v>
      </c>
      <c r="AR243" s="3" t="n">
        <v>4</v>
      </c>
      <c r="AS243" s="3" t="n">
        <v>6</v>
      </c>
      <c r="AT243" s="3" t="n">
        <v>4</v>
      </c>
      <c r="AU243" s="3" t="n">
        <v>4</v>
      </c>
      <c r="AV243" s="3" t="n">
        <v>6</v>
      </c>
      <c r="AW243" s="3" t="n">
        <v>6</v>
      </c>
      <c r="AX243" s="3" t="n">
        <v>3</v>
      </c>
      <c r="AY243" s="3" t="n">
        <v>3</v>
      </c>
      <c r="AZ243" s="3" t="n">
        <v>5</v>
      </c>
      <c r="BA243" s="5" t="n">
        <v>1</v>
      </c>
      <c r="BB243" s="3" t="n">
        <v>1</v>
      </c>
      <c r="BC243" s="3" t="n">
        <v>1</v>
      </c>
      <c r="BD243" s="3" t="n">
        <v>4</v>
      </c>
      <c r="BE243" s="3" t="n">
        <v>3</v>
      </c>
      <c r="BF243" s="3" t="n">
        <v>5</v>
      </c>
      <c r="BG243" s="3" t="n">
        <v>3</v>
      </c>
      <c r="BH243" s="3" t="n">
        <v>4</v>
      </c>
      <c r="BI243" s="3" t="n">
        <v>1</v>
      </c>
      <c r="BJ243" s="3" t="n">
        <v>1</v>
      </c>
    </row>
    <row r="244" customFormat="false" ht="12.75" hidden="false" customHeight="false" outlineLevel="0" collapsed="false">
      <c r="B244" s="2" t="s">
        <v>2328</v>
      </c>
      <c r="C244" s="2" t="s">
        <v>2329</v>
      </c>
      <c r="D244" s="2" t="s">
        <v>1929</v>
      </c>
      <c r="E244" s="2" t="n">
        <v>200962</v>
      </c>
      <c r="F244" s="15" t="n">
        <v>44047</v>
      </c>
      <c r="G244" s="15" t="n">
        <v>44053</v>
      </c>
      <c r="H244" s="3" t="n">
        <v>7</v>
      </c>
      <c r="I244" s="3" t="n">
        <v>2</v>
      </c>
      <c r="J244" s="3" t="n">
        <v>60</v>
      </c>
      <c r="K244" s="3" t="n">
        <v>2</v>
      </c>
      <c r="L244" s="3" t="n">
        <v>2</v>
      </c>
      <c r="M244" s="3" t="n">
        <v>1</v>
      </c>
      <c r="N244" s="3" t="n">
        <v>2</v>
      </c>
      <c r="O244" s="3" t="n">
        <v>2</v>
      </c>
      <c r="P244" s="3" t="n">
        <v>2</v>
      </c>
      <c r="Q244" s="3" t="n">
        <v>2</v>
      </c>
      <c r="R244" s="3" t="n">
        <v>2</v>
      </c>
      <c r="S244" s="3" t="n">
        <v>2</v>
      </c>
      <c r="T244" s="4" t="n">
        <v>2</v>
      </c>
      <c r="U244" s="3" t="n">
        <v>2</v>
      </c>
      <c r="V244" s="3" t="n">
        <v>4.85</v>
      </c>
      <c r="W244" s="3" t="n">
        <v>0.64</v>
      </c>
      <c r="X244" s="3" t="n">
        <v>6</v>
      </c>
      <c r="Y244" s="3" t="n">
        <v>616</v>
      </c>
      <c r="AA244" s="3" t="n">
        <v>0.35</v>
      </c>
      <c r="AB244" s="3" t="n">
        <v>11.8</v>
      </c>
      <c r="AC244" s="3" t="n">
        <v>1</v>
      </c>
      <c r="AD244" s="3" t="n">
        <v>2</v>
      </c>
      <c r="AE244" s="3" t="n">
        <v>1</v>
      </c>
      <c r="AF244" s="3" t="n">
        <v>1</v>
      </c>
      <c r="AG244" s="3" t="n">
        <v>1</v>
      </c>
      <c r="AH244" s="3" t="n">
        <v>1</v>
      </c>
      <c r="AI244" s="3" t="n">
        <v>1</v>
      </c>
      <c r="AJ244" s="3" t="n">
        <v>2</v>
      </c>
      <c r="AK244" s="3" t="n">
        <v>2</v>
      </c>
      <c r="AL244" s="3" t="n">
        <v>2</v>
      </c>
      <c r="AM244" s="3" t="n">
        <v>2</v>
      </c>
      <c r="AN244" s="3" t="n">
        <v>2</v>
      </c>
      <c r="AO244" s="3" t="n">
        <v>2</v>
      </c>
      <c r="AP244" s="3" t="n">
        <v>3</v>
      </c>
      <c r="AQ244" s="3" t="n">
        <v>4</v>
      </c>
      <c r="AR244" s="3" t="n">
        <v>4</v>
      </c>
      <c r="AS244" s="3" t="n">
        <v>6</v>
      </c>
      <c r="AT244" s="3" t="n">
        <v>4</v>
      </c>
      <c r="AU244" s="3" t="n">
        <v>4</v>
      </c>
      <c r="AV244" s="3" t="n">
        <v>6</v>
      </c>
      <c r="AW244" s="3" t="n">
        <v>6</v>
      </c>
      <c r="AX244" s="3" t="n">
        <v>3</v>
      </c>
      <c r="AY244" s="3" t="n">
        <v>3</v>
      </c>
      <c r="AZ244" s="3" t="n">
        <v>1</v>
      </c>
      <c r="BA244" s="5" t="n">
        <v>1</v>
      </c>
      <c r="BB244" s="3" t="n">
        <v>1</v>
      </c>
      <c r="BC244" s="3" t="n">
        <v>1</v>
      </c>
      <c r="BD244" s="3" t="n">
        <v>4</v>
      </c>
      <c r="BE244" s="3" t="n">
        <v>3</v>
      </c>
      <c r="BF244" s="3" t="n">
        <v>3</v>
      </c>
      <c r="BG244" s="3" t="n">
        <v>3</v>
      </c>
      <c r="BH244" s="3" t="n">
        <v>4</v>
      </c>
      <c r="BI244" s="3" t="n">
        <v>1</v>
      </c>
      <c r="BJ244" s="3" t="n">
        <v>1</v>
      </c>
    </row>
    <row r="245" customFormat="false" ht="12.75" hidden="false" customHeight="false" outlineLevel="0" collapsed="false">
      <c r="B245" s="2" t="s">
        <v>2331</v>
      </c>
      <c r="C245" s="2" t="s">
        <v>2332</v>
      </c>
      <c r="D245" s="2" t="s">
        <v>1098</v>
      </c>
      <c r="E245" s="2" t="n">
        <v>200488</v>
      </c>
      <c r="F245" s="15" t="n">
        <v>44049</v>
      </c>
      <c r="G245" s="15" t="n">
        <v>44054</v>
      </c>
      <c r="H245" s="3" t="n">
        <v>7</v>
      </c>
      <c r="I245" s="3" t="n">
        <v>2</v>
      </c>
      <c r="J245" s="3" t="n">
        <v>81</v>
      </c>
      <c r="K245" s="3" t="n">
        <v>1</v>
      </c>
      <c r="L245" s="3" t="n">
        <v>2</v>
      </c>
      <c r="M245" s="3" t="n">
        <v>1</v>
      </c>
      <c r="N245" s="3" t="n">
        <v>2</v>
      </c>
      <c r="O245" s="3" t="n">
        <v>2</v>
      </c>
      <c r="P245" s="3" t="n">
        <v>2</v>
      </c>
      <c r="Q245" s="3" t="n">
        <v>2</v>
      </c>
      <c r="R245" s="3" t="n">
        <v>2</v>
      </c>
      <c r="S245" s="3" t="n">
        <v>2</v>
      </c>
      <c r="T245" s="4" t="n">
        <v>2</v>
      </c>
      <c r="U245" s="3" t="n">
        <v>2</v>
      </c>
      <c r="V245" s="3" t="n">
        <v>5.76</v>
      </c>
      <c r="W245" s="3" t="n">
        <v>1.41</v>
      </c>
      <c r="X245" s="3" t="n">
        <v>6.2</v>
      </c>
      <c r="Y245" s="3" t="n">
        <v>423</v>
      </c>
      <c r="AA245" s="3" t="n">
        <v>0.42</v>
      </c>
      <c r="AB245" s="3" t="n">
        <v>5.1</v>
      </c>
      <c r="AC245" s="3" t="n">
        <v>1</v>
      </c>
      <c r="AD245" s="3" t="n">
        <v>2</v>
      </c>
      <c r="AE245" s="3" t="n">
        <v>1</v>
      </c>
      <c r="AF245" s="3" t="n">
        <v>1</v>
      </c>
      <c r="AG245" s="3" t="n">
        <v>2</v>
      </c>
      <c r="AH245" s="3" t="n">
        <v>2</v>
      </c>
      <c r="AI245" s="3" t="n">
        <v>1</v>
      </c>
      <c r="AJ245" s="3" t="n">
        <v>2</v>
      </c>
      <c r="AK245" s="3" t="n">
        <v>2</v>
      </c>
      <c r="AL245" s="3" t="n">
        <v>2</v>
      </c>
      <c r="AM245" s="3" t="n">
        <v>2</v>
      </c>
      <c r="AN245" s="3" t="n">
        <v>2</v>
      </c>
      <c r="AO245" s="3" t="n">
        <v>2</v>
      </c>
      <c r="AP245" s="3" t="n">
        <v>3</v>
      </c>
      <c r="AQ245" s="3" t="n">
        <v>4</v>
      </c>
      <c r="AR245" s="3" t="n">
        <v>4</v>
      </c>
      <c r="AS245" s="3" t="n">
        <v>6</v>
      </c>
      <c r="AT245" s="3" t="n">
        <v>4</v>
      </c>
      <c r="AU245" s="3" t="n">
        <v>4</v>
      </c>
      <c r="AV245" s="3" t="n">
        <v>6</v>
      </c>
      <c r="AW245" s="3" t="n">
        <v>6</v>
      </c>
      <c r="AX245" s="3" t="n">
        <v>3</v>
      </c>
      <c r="AY245" s="3" t="n">
        <v>3</v>
      </c>
      <c r="AZ245" s="3" t="n">
        <v>1</v>
      </c>
      <c r="BA245" s="5" t="n">
        <v>1</v>
      </c>
      <c r="BB245" s="3" t="n">
        <v>1</v>
      </c>
      <c r="BC245" s="3" t="n">
        <v>1</v>
      </c>
      <c r="BD245" s="3" t="n">
        <v>2</v>
      </c>
      <c r="BE245" s="3" t="n">
        <v>2</v>
      </c>
      <c r="BF245" s="3" t="n">
        <v>4</v>
      </c>
      <c r="BG245" s="3" t="n">
        <v>3</v>
      </c>
      <c r="BH245" s="3" t="n">
        <v>4</v>
      </c>
      <c r="BI245" s="3" t="n">
        <v>1</v>
      </c>
      <c r="BJ245" s="3" t="n">
        <v>1</v>
      </c>
    </row>
    <row r="246" customFormat="false" ht="12.75" hidden="false" customHeight="false" outlineLevel="0" collapsed="false">
      <c r="B246" s="2" t="s">
        <v>1601</v>
      </c>
      <c r="C246" s="2" t="s">
        <v>94</v>
      </c>
      <c r="D246" s="2" t="s">
        <v>2352</v>
      </c>
      <c r="E246" s="2" t="n">
        <v>200940</v>
      </c>
      <c r="F246" s="15" t="n">
        <v>44051</v>
      </c>
      <c r="G246" s="15" t="n">
        <v>44058</v>
      </c>
      <c r="H246" s="3" t="n">
        <v>7</v>
      </c>
      <c r="I246" s="3" t="n">
        <v>2</v>
      </c>
      <c r="J246" s="3" t="n">
        <v>72</v>
      </c>
      <c r="K246" s="3" t="n">
        <v>1</v>
      </c>
      <c r="L246" s="3" t="n">
        <v>1</v>
      </c>
      <c r="M246" s="3" t="n">
        <v>2</v>
      </c>
      <c r="N246" s="3" t="n">
        <v>2</v>
      </c>
      <c r="O246" s="3" t="n">
        <v>2</v>
      </c>
      <c r="P246" s="3" t="n">
        <v>2</v>
      </c>
      <c r="Q246" s="3" t="n">
        <v>2</v>
      </c>
      <c r="R246" s="3" t="n">
        <v>2</v>
      </c>
      <c r="S246" s="3" t="n">
        <v>2</v>
      </c>
      <c r="T246" s="4" t="n">
        <v>2</v>
      </c>
      <c r="U246" s="3" t="n">
        <v>2</v>
      </c>
      <c r="V246" s="3" t="n">
        <v>4.89</v>
      </c>
      <c r="W246" s="3" t="n">
        <v>1.61</v>
      </c>
      <c r="X246" s="3" t="n">
        <v>4.32</v>
      </c>
      <c r="Y246" s="3" t="n">
        <v>437</v>
      </c>
      <c r="AA246" s="3" t="n">
        <v>0.39</v>
      </c>
      <c r="AB246" s="3" t="n">
        <v>10</v>
      </c>
      <c r="AC246" s="3" t="n">
        <v>2</v>
      </c>
      <c r="AD246" s="3" t="n">
        <v>2</v>
      </c>
      <c r="AE246" s="3" t="n">
        <v>1</v>
      </c>
      <c r="AF246" s="3" t="n">
        <v>1</v>
      </c>
      <c r="AG246" s="3" t="n">
        <v>2</v>
      </c>
      <c r="AH246" s="3" t="n">
        <v>2</v>
      </c>
      <c r="AI246" s="3" t="n">
        <v>1</v>
      </c>
      <c r="AJ246" s="3" t="n">
        <v>2</v>
      </c>
      <c r="AK246" s="3" t="n">
        <v>2</v>
      </c>
      <c r="AL246" s="3" t="n">
        <v>2</v>
      </c>
      <c r="AM246" s="3" t="n">
        <v>2</v>
      </c>
      <c r="AN246" s="3" t="n">
        <v>2</v>
      </c>
      <c r="AO246" s="3" t="n">
        <v>2</v>
      </c>
      <c r="AP246" s="3" t="n">
        <v>3</v>
      </c>
      <c r="AQ246" s="3" t="n">
        <v>4</v>
      </c>
      <c r="AR246" s="3" t="n">
        <v>4</v>
      </c>
      <c r="AS246" s="3" t="n">
        <v>6</v>
      </c>
      <c r="AT246" s="3" t="n">
        <v>4</v>
      </c>
      <c r="AU246" s="3" t="n">
        <v>4</v>
      </c>
      <c r="AV246" s="3" t="n">
        <v>6</v>
      </c>
      <c r="AW246" s="3" t="n">
        <v>6</v>
      </c>
      <c r="AX246" s="3" t="n">
        <v>3</v>
      </c>
      <c r="AY246" s="3" t="n">
        <v>3</v>
      </c>
      <c r="AZ246" s="3" t="n">
        <v>5</v>
      </c>
      <c r="BA246" s="5" t="n">
        <v>1</v>
      </c>
      <c r="BB246" s="3" t="n">
        <v>1</v>
      </c>
      <c r="BC246" s="3" t="n">
        <v>1</v>
      </c>
      <c r="BD246" s="3" t="n">
        <v>4</v>
      </c>
      <c r="BE246" s="3" t="n">
        <v>1</v>
      </c>
      <c r="BF246" s="3" t="n">
        <v>1</v>
      </c>
      <c r="BG246" s="3" t="n">
        <v>1</v>
      </c>
      <c r="BH246" s="3" t="n">
        <v>4</v>
      </c>
      <c r="BI246" s="3" t="n">
        <v>1</v>
      </c>
      <c r="BJ246" s="3" t="n">
        <v>1</v>
      </c>
    </row>
    <row r="247" customFormat="false" ht="12.75" hidden="false" customHeight="false" outlineLevel="0" collapsed="false">
      <c r="B247" s="2" t="s">
        <v>2357</v>
      </c>
      <c r="C247" s="2" t="s">
        <v>544</v>
      </c>
      <c r="D247" s="2" t="s">
        <v>1417</v>
      </c>
      <c r="E247" s="2" t="n">
        <v>201145</v>
      </c>
      <c r="F247" s="15" t="n">
        <v>44056</v>
      </c>
      <c r="G247" s="15" t="n">
        <v>44062</v>
      </c>
      <c r="H247" s="3" t="n">
        <v>6</v>
      </c>
      <c r="I247" s="3" t="n">
        <v>2</v>
      </c>
      <c r="J247" s="3" t="n">
        <v>71</v>
      </c>
      <c r="K247" s="3" t="n">
        <v>2</v>
      </c>
      <c r="L247" s="3" t="n">
        <v>1</v>
      </c>
      <c r="M247" s="3" t="n">
        <v>1</v>
      </c>
      <c r="N247" s="3" t="n">
        <v>2</v>
      </c>
      <c r="O247" s="3" t="n">
        <v>2</v>
      </c>
      <c r="P247" s="3" t="n">
        <v>2</v>
      </c>
      <c r="Q247" s="3" t="n">
        <v>1</v>
      </c>
      <c r="R247" s="3" t="n">
        <v>2</v>
      </c>
      <c r="S247" s="3" t="n">
        <v>1</v>
      </c>
      <c r="T247" s="4" t="n">
        <v>2</v>
      </c>
      <c r="U247" s="3" t="n">
        <v>2</v>
      </c>
      <c r="V247" s="3"/>
      <c r="W247" s="3"/>
      <c r="X247" s="3"/>
      <c r="Y247" s="3"/>
      <c r="AA247" s="3"/>
      <c r="AB247" s="3"/>
      <c r="AC247" s="3"/>
      <c r="AD247" s="3" t="n">
        <v>2</v>
      </c>
      <c r="AE247" s="3" t="n">
        <v>1</v>
      </c>
      <c r="AF247" s="3" t="n">
        <v>1</v>
      </c>
      <c r="AG247" s="3" t="n">
        <v>2</v>
      </c>
      <c r="AH247" s="3" t="n">
        <v>2</v>
      </c>
      <c r="AI247" s="3" t="n">
        <v>1</v>
      </c>
      <c r="AJ247" s="3" t="n">
        <v>1</v>
      </c>
      <c r="AK247" s="3" t="n">
        <v>1</v>
      </c>
      <c r="AL247" s="3" t="n">
        <v>2</v>
      </c>
      <c r="AM247" s="3" t="n">
        <v>1</v>
      </c>
      <c r="AN247" s="3" t="n">
        <v>2</v>
      </c>
      <c r="AO247" s="3" t="n">
        <v>2</v>
      </c>
      <c r="AP247" s="3" t="n">
        <v>3</v>
      </c>
      <c r="AQ247" s="3" t="n">
        <v>4</v>
      </c>
      <c r="AR247" s="3" t="n">
        <v>4</v>
      </c>
      <c r="AS247" s="3" t="n">
        <v>6</v>
      </c>
      <c r="AT247" s="3" t="n">
        <v>4</v>
      </c>
      <c r="AU247" s="3" t="n">
        <v>4</v>
      </c>
      <c r="AV247" s="3" t="n">
        <v>6</v>
      </c>
      <c r="AW247" s="3" t="n">
        <v>6</v>
      </c>
      <c r="AX247" s="3" t="n">
        <v>3</v>
      </c>
      <c r="AY247" s="3" t="n">
        <v>3</v>
      </c>
      <c r="AZ247" s="3" t="n">
        <v>1</v>
      </c>
      <c r="BA247" s="5" t="n">
        <v>1</v>
      </c>
      <c r="BB247" s="3" t="n">
        <v>1</v>
      </c>
      <c r="BC247" s="3" t="n">
        <v>1</v>
      </c>
      <c r="BD247" s="3" t="n">
        <v>4</v>
      </c>
      <c r="BE247" s="3" t="n">
        <v>3</v>
      </c>
      <c r="BF247" s="3" t="n">
        <v>5</v>
      </c>
      <c r="BG247" s="3" t="n">
        <v>3</v>
      </c>
      <c r="BH247" s="3" t="n">
        <v>4</v>
      </c>
      <c r="BI247" s="3" t="n">
        <v>1</v>
      </c>
      <c r="BJ247" s="3" t="n">
        <v>1</v>
      </c>
    </row>
    <row r="248" customFormat="false" ht="12.75" hidden="false" customHeight="false" outlineLevel="0" collapsed="false">
      <c r="B248" s="2" t="s">
        <v>323</v>
      </c>
      <c r="C248" s="2" t="s">
        <v>1512</v>
      </c>
      <c r="D248" s="2" t="s">
        <v>2361</v>
      </c>
      <c r="E248" s="2" t="n">
        <v>201127</v>
      </c>
      <c r="F248" s="15" t="n">
        <v>44057</v>
      </c>
      <c r="G248" s="15" t="n">
        <v>44064</v>
      </c>
      <c r="H248" s="3" t="n">
        <v>7</v>
      </c>
      <c r="I248" s="3" t="n">
        <v>2</v>
      </c>
      <c r="J248" s="3" t="n">
        <v>57</v>
      </c>
      <c r="K248" s="3" t="n">
        <v>1</v>
      </c>
      <c r="L248" s="3" t="n">
        <v>1</v>
      </c>
      <c r="M248" s="3" t="n">
        <v>1</v>
      </c>
      <c r="N248" s="3" t="n">
        <v>1</v>
      </c>
      <c r="O248" s="3" t="n">
        <v>1</v>
      </c>
      <c r="P248" s="3" t="n">
        <v>1</v>
      </c>
      <c r="Q248" s="3" t="n">
        <v>2</v>
      </c>
      <c r="R248" s="3" t="n">
        <v>2</v>
      </c>
      <c r="S248" s="3" t="n">
        <v>1</v>
      </c>
      <c r="T248" s="4" t="n">
        <v>2</v>
      </c>
      <c r="U248" s="3" t="n">
        <v>2</v>
      </c>
      <c r="V248" s="3" t="n">
        <v>3.29</v>
      </c>
      <c r="W248" s="3" t="n">
        <v>1.07</v>
      </c>
      <c r="X248" s="3" t="n">
        <v>4.74</v>
      </c>
      <c r="Y248" s="3" t="n">
        <v>404</v>
      </c>
      <c r="AA248" s="3" t="n">
        <v>0.5</v>
      </c>
      <c r="AB248" s="3" t="n">
        <v>7.2</v>
      </c>
      <c r="AC248" s="3" t="n">
        <v>2</v>
      </c>
      <c r="AD248" s="3" t="n">
        <v>2</v>
      </c>
      <c r="AE248" s="3" t="n">
        <v>1</v>
      </c>
      <c r="AF248" s="3" t="n">
        <v>1</v>
      </c>
      <c r="AG248" s="3" t="n">
        <v>2</v>
      </c>
      <c r="AH248" s="3" t="n">
        <v>1</v>
      </c>
      <c r="AI248" s="3" t="n">
        <v>1</v>
      </c>
      <c r="AJ248" s="3" t="n">
        <v>1</v>
      </c>
      <c r="AK248" s="3" t="n">
        <v>2</v>
      </c>
      <c r="AL248" s="3" t="n">
        <v>2</v>
      </c>
      <c r="AM248" s="3" t="n">
        <v>1</v>
      </c>
      <c r="AN248" s="3" t="n">
        <v>2</v>
      </c>
      <c r="AO248" s="3" t="n">
        <v>2</v>
      </c>
      <c r="AP248" s="3" t="n">
        <v>3</v>
      </c>
      <c r="AQ248" s="3" t="n">
        <v>4</v>
      </c>
      <c r="AR248" s="3" t="n">
        <v>4</v>
      </c>
      <c r="AS248" s="3" t="n">
        <v>6</v>
      </c>
      <c r="AT248" s="3" t="n">
        <v>4</v>
      </c>
      <c r="AU248" s="3" t="n">
        <v>4</v>
      </c>
      <c r="AV248" s="3" t="n">
        <v>6</v>
      </c>
      <c r="AW248" s="3" t="n">
        <v>6</v>
      </c>
      <c r="AX248" s="3" t="n">
        <v>3</v>
      </c>
      <c r="AY248" s="3" t="n">
        <v>3</v>
      </c>
      <c r="AZ248" s="3" t="n">
        <v>1</v>
      </c>
      <c r="BA248" s="5" t="n">
        <v>1</v>
      </c>
      <c r="BB248" s="3" t="n">
        <v>1</v>
      </c>
      <c r="BC248" s="3" t="n">
        <v>1</v>
      </c>
      <c r="BD248" s="3" t="n">
        <v>2</v>
      </c>
      <c r="BE248" s="3" t="n">
        <v>1</v>
      </c>
      <c r="BF248" s="3" t="n">
        <v>2</v>
      </c>
      <c r="BG248" s="3" t="n">
        <v>1</v>
      </c>
      <c r="BH248" s="3" t="n">
        <v>4</v>
      </c>
      <c r="BI248" s="3" t="n">
        <v>1</v>
      </c>
      <c r="BJ248" s="3" t="n">
        <v>1</v>
      </c>
    </row>
    <row r="249" customFormat="false" ht="12.75" hidden="false" customHeight="false" outlineLevel="0" collapsed="false">
      <c r="B249" s="26" t="s">
        <v>2364</v>
      </c>
      <c r="C249" s="26" t="s">
        <v>127</v>
      </c>
      <c r="D249" s="26" t="s">
        <v>153</v>
      </c>
      <c r="E249" s="26" t="n">
        <v>152741</v>
      </c>
      <c r="F249" s="27" t="n">
        <v>44064</v>
      </c>
      <c r="G249" s="27" t="n">
        <v>44065</v>
      </c>
      <c r="H249" s="30" t="n">
        <v>1</v>
      </c>
      <c r="I249" s="30" t="n">
        <v>1</v>
      </c>
      <c r="J249" s="30" t="n">
        <v>65</v>
      </c>
      <c r="K249" s="30" t="n">
        <v>1</v>
      </c>
      <c r="L249" s="30"/>
      <c r="M249" s="30"/>
      <c r="N249" s="30"/>
      <c r="O249" s="30"/>
      <c r="P249" s="30"/>
      <c r="Q249" s="30"/>
      <c r="R249" s="30"/>
      <c r="S249" s="30"/>
      <c r="T249" s="4" t="n">
        <v>2</v>
      </c>
      <c r="U249" s="30" t="n">
        <v>2</v>
      </c>
      <c r="V249" s="30"/>
      <c r="W249" s="30"/>
      <c r="X249" s="30"/>
      <c r="Y249" s="30"/>
      <c r="AA249" s="30"/>
      <c r="AB249" s="30"/>
      <c r="AC249" s="30"/>
      <c r="AD249" s="30"/>
      <c r="AE249" s="30"/>
      <c r="AF249" s="30"/>
      <c r="AG249" s="30"/>
      <c r="AH249" s="30"/>
      <c r="AI249" s="30"/>
      <c r="AJ249" s="30"/>
      <c r="AK249" s="30"/>
      <c r="AL249" s="30"/>
      <c r="AM249" s="30"/>
      <c r="AN249" s="30"/>
      <c r="AO249" s="30"/>
      <c r="AP249" s="30" t="n">
        <v>3</v>
      </c>
      <c r="AQ249" s="30" t="n">
        <v>4</v>
      </c>
      <c r="AR249" s="30" t="n">
        <v>4</v>
      </c>
      <c r="AS249" s="30" t="n">
        <v>6</v>
      </c>
      <c r="AT249" s="30" t="n">
        <v>4</v>
      </c>
      <c r="AU249" s="30" t="n">
        <v>4</v>
      </c>
      <c r="AV249" s="30" t="n">
        <v>6</v>
      </c>
      <c r="AW249" s="30" t="n">
        <v>6</v>
      </c>
      <c r="AX249" s="30" t="n">
        <v>3</v>
      </c>
      <c r="AY249" s="30" t="n">
        <v>3</v>
      </c>
      <c r="AZ249" s="30" t="n">
        <v>14</v>
      </c>
      <c r="BA249" s="5" t="n">
        <v>1</v>
      </c>
      <c r="BB249" s="30" t="n">
        <v>1</v>
      </c>
      <c r="BC249" s="30" t="n">
        <v>1</v>
      </c>
      <c r="BD249" s="30" t="n">
        <v>4</v>
      </c>
      <c r="BE249" s="30" t="n">
        <v>1</v>
      </c>
      <c r="BF249" s="30" t="n">
        <v>2</v>
      </c>
      <c r="BG249" s="30" t="n">
        <v>1</v>
      </c>
      <c r="BH249" s="30" t="n">
        <v>4</v>
      </c>
      <c r="BI249" s="30" t="n">
        <v>3</v>
      </c>
      <c r="BJ249" s="30" t="n">
        <v>3</v>
      </c>
    </row>
    <row r="250" customFormat="false" ht="12.75" hidden="false" customHeight="false" outlineLevel="0" collapsed="false">
      <c r="B250" s="17" t="s">
        <v>2366</v>
      </c>
      <c r="C250" s="17" t="s">
        <v>2367</v>
      </c>
      <c r="D250" s="17" t="s">
        <v>2368</v>
      </c>
      <c r="E250" s="2" t="n">
        <v>200632</v>
      </c>
      <c r="F250" s="15" t="n">
        <v>44062</v>
      </c>
      <c r="G250" s="15" t="n">
        <v>44068</v>
      </c>
      <c r="H250" s="3" t="n">
        <v>6</v>
      </c>
      <c r="I250" s="3" t="n">
        <v>1</v>
      </c>
      <c r="J250" s="3" t="n">
        <v>69</v>
      </c>
      <c r="K250" s="3" t="n">
        <v>3</v>
      </c>
      <c r="L250" s="3" t="n">
        <v>1</v>
      </c>
      <c r="M250" s="3" t="n">
        <v>2</v>
      </c>
      <c r="N250" s="3" t="n">
        <v>2</v>
      </c>
      <c r="O250" s="3" t="n">
        <v>2</v>
      </c>
      <c r="P250" s="3" t="n">
        <v>2</v>
      </c>
      <c r="Q250" s="3" t="n">
        <v>2</v>
      </c>
      <c r="R250" s="3" t="n">
        <v>2</v>
      </c>
      <c r="S250" s="3" t="n">
        <v>2</v>
      </c>
      <c r="T250" s="4" t="n">
        <v>2</v>
      </c>
      <c r="U250" s="3" t="n">
        <v>2</v>
      </c>
      <c r="V250" s="3" t="n">
        <v>5.32</v>
      </c>
      <c r="W250" s="3" t="n">
        <v>2.01</v>
      </c>
      <c r="X250" s="3" t="n">
        <v>6.12</v>
      </c>
      <c r="Y250" s="3" t="n">
        <v>447</v>
      </c>
      <c r="AA250" s="3" t="n">
        <v>0.41</v>
      </c>
      <c r="AB250" s="3" t="n">
        <v>12.8</v>
      </c>
      <c r="AC250" s="3" t="n">
        <v>1</v>
      </c>
      <c r="AD250" s="3" t="n">
        <v>2</v>
      </c>
      <c r="AE250" s="3" t="n">
        <v>1</v>
      </c>
      <c r="AF250" s="3" t="n">
        <v>1</v>
      </c>
      <c r="AG250" s="3" t="n">
        <v>2</v>
      </c>
      <c r="AH250" s="3" t="n">
        <v>2</v>
      </c>
      <c r="AI250" s="3" t="n">
        <v>1</v>
      </c>
      <c r="AJ250" s="3" t="n">
        <v>2</v>
      </c>
      <c r="AK250" s="3" t="n">
        <v>2</v>
      </c>
      <c r="AL250" s="3" t="n">
        <v>2</v>
      </c>
      <c r="AM250" s="3" t="n">
        <v>2</v>
      </c>
      <c r="AN250" s="3" t="n">
        <v>2</v>
      </c>
      <c r="AO250" s="3" t="n">
        <v>2</v>
      </c>
      <c r="AP250" s="3" t="n">
        <v>3</v>
      </c>
      <c r="AQ250" s="3" t="n">
        <v>4</v>
      </c>
      <c r="AR250" s="3" t="n">
        <v>4</v>
      </c>
      <c r="AS250" s="3" t="n">
        <v>6</v>
      </c>
      <c r="AT250" s="3" t="n">
        <v>4</v>
      </c>
      <c r="AU250" s="3" t="n">
        <v>4</v>
      </c>
      <c r="AV250" s="3" t="n">
        <v>6</v>
      </c>
      <c r="AW250" s="3" t="n">
        <v>6</v>
      </c>
      <c r="AX250" s="3" t="n">
        <v>3</v>
      </c>
      <c r="AY250" s="3" t="n">
        <v>3</v>
      </c>
      <c r="AZ250" s="3" t="n">
        <v>1</v>
      </c>
      <c r="BA250" s="5" t="n">
        <v>1</v>
      </c>
      <c r="BB250" s="3" t="n">
        <v>1</v>
      </c>
      <c r="BC250" s="3" t="n">
        <v>1</v>
      </c>
      <c r="BD250" s="3" t="n">
        <v>4</v>
      </c>
      <c r="BE250" s="3" t="n">
        <v>1</v>
      </c>
      <c r="BF250" s="3" t="n">
        <v>2</v>
      </c>
      <c r="BG250" s="3" t="n">
        <v>1</v>
      </c>
      <c r="BH250" s="3" t="n">
        <v>4</v>
      </c>
      <c r="BI250" s="3" t="n">
        <v>1</v>
      </c>
      <c r="BJ250" s="3" t="n">
        <v>1</v>
      </c>
    </row>
    <row r="251" customFormat="false" ht="12.75" hidden="false" customHeight="false" outlineLevel="0" collapsed="false">
      <c r="B251" s="17" t="s">
        <v>801</v>
      </c>
      <c r="C251" s="17" t="s">
        <v>386</v>
      </c>
      <c r="D251" s="17" t="s">
        <v>330</v>
      </c>
      <c r="E251" s="2" t="n">
        <v>200654</v>
      </c>
      <c r="F251" s="15" t="n">
        <v>44061</v>
      </c>
      <c r="G251" s="15" t="n">
        <v>44069</v>
      </c>
      <c r="H251" s="3" t="n">
        <v>8</v>
      </c>
      <c r="I251" s="3" t="n">
        <v>2</v>
      </c>
      <c r="J251" s="3" t="n">
        <v>57</v>
      </c>
      <c r="K251" s="3" t="n">
        <v>1</v>
      </c>
      <c r="L251" s="3" t="n">
        <v>1</v>
      </c>
      <c r="M251" s="3" t="n">
        <v>1</v>
      </c>
      <c r="N251" s="3" t="n">
        <v>2</v>
      </c>
      <c r="O251" s="3" t="n">
        <v>2</v>
      </c>
      <c r="P251" s="3" t="n">
        <v>1</v>
      </c>
      <c r="Q251" s="3" t="n">
        <v>1</v>
      </c>
      <c r="R251" s="3" t="n">
        <v>2</v>
      </c>
      <c r="S251" s="3" t="n">
        <v>2</v>
      </c>
      <c r="T251" s="4" t="n">
        <v>2</v>
      </c>
      <c r="U251" s="3" t="n">
        <v>2</v>
      </c>
      <c r="V251" s="3" t="n">
        <v>4.92</v>
      </c>
      <c r="W251" s="3" t="n">
        <v>1.09</v>
      </c>
      <c r="X251" s="3" t="n">
        <v>8.1</v>
      </c>
      <c r="Y251" s="3" t="n">
        <v>525</v>
      </c>
      <c r="AA251" s="3" t="n">
        <v>0.54</v>
      </c>
      <c r="AB251" s="3" t="n">
        <v>15.9</v>
      </c>
      <c r="AC251" s="3" t="n">
        <v>2</v>
      </c>
      <c r="AD251" s="3" t="n">
        <v>2</v>
      </c>
      <c r="AE251" s="3" t="n">
        <v>1</v>
      </c>
      <c r="AF251" s="3" t="n">
        <v>1</v>
      </c>
      <c r="AG251" s="3" t="n">
        <v>1</v>
      </c>
      <c r="AH251" s="3" t="n">
        <v>2</v>
      </c>
      <c r="AI251" s="3" t="n">
        <v>1</v>
      </c>
      <c r="AJ251" s="3" t="n">
        <v>2</v>
      </c>
      <c r="AK251" s="3" t="n">
        <v>2</v>
      </c>
      <c r="AL251" s="3" t="n">
        <v>2</v>
      </c>
      <c r="AM251" s="3" t="n">
        <v>1</v>
      </c>
      <c r="AN251" s="3" t="n">
        <v>1</v>
      </c>
      <c r="AO251" s="3" t="n">
        <v>2</v>
      </c>
      <c r="AP251" s="3" t="n">
        <v>3</v>
      </c>
      <c r="AQ251" s="3" t="n">
        <v>4</v>
      </c>
      <c r="AR251" s="3" t="n">
        <v>4</v>
      </c>
      <c r="AS251" s="3" t="n">
        <v>6</v>
      </c>
      <c r="AT251" s="3" t="n">
        <v>4</v>
      </c>
      <c r="AU251" s="3" t="n">
        <v>4</v>
      </c>
      <c r="AV251" s="3" t="n">
        <v>6</v>
      </c>
      <c r="AW251" s="3" t="n">
        <v>6</v>
      </c>
      <c r="AX251" s="3" t="n">
        <v>3</v>
      </c>
      <c r="AY251" s="3" t="n">
        <v>3</v>
      </c>
      <c r="AZ251" s="3" t="n">
        <v>4</v>
      </c>
      <c r="BA251" s="5" t="n">
        <v>1</v>
      </c>
      <c r="BB251" s="3" t="n">
        <v>1</v>
      </c>
      <c r="BC251" s="3" t="n">
        <v>1</v>
      </c>
      <c r="BD251" s="3" t="n">
        <v>2</v>
      </c>
      <c r="BE251" s="3" t="n">
        <v>1</v>
      </c>
      <c r="BF251" s="3" t="n">
        <v>2</v>
      </c>
      <c r="BG251" s="3" t="n">
        <v>2</v>
      </c>
      <c r="BH251" s="3" t="n">
        <v>4</v>
      </c>
      <c r="BI251" s="3" t="n">
        <v>1</v>
      </c>
      <c r="BJ251" s="3" t="n">
        <v>1</v>
      </c>
    </row>
    <row r="252" customFormat="false" ht="12.75" hidden="false" customHeight="false" outlineLevel="0" collapsed="false">
      <c r="B252" s="2" t="s">
        <v>2373</v>
      </c>
      <c r="C252" s="2" t="s">
        <v>102</v>
      </c>
      <c r="D252" s="2" t="s">
        <v>2374</v>
      </c>
      <c r="E252" s="2" t="n">
        <v>201340</v>
      </c>
      <c r="F252" s="15" t="n">
        <v>44066</v>
      </c>
      <c r="G252" s="15" t="n">
        <v>44072</v>
      </c>
      <c r="H252" s="3" t="n">
        <v>6</v>
      </c>
      <c r="I252" s="3" t="n">
        <v>1</v>
      </c>
      <c r="J252" s="3" t="n">
        <v>59</v>
      </c>
      <c r="K252" s="3" t="n">
        <v>2</v>
      </c>
      <c r="L252" s="3" t="n">
        <v>1</v>
      </c>
      <c r="M252" s="3" t="n">
        <v>1</v>
      </c>
      <c r="N252" s="3" t="n">
        <v>2</v>
      </c>
      <c r="O252" s="3" t="n">
        <v>1</v>
      </c>
      <c r="P252" s="3" t="n">
        <v>2</v>
      </c>
      <c r="Q252" s="3" t="n">
        <v>1</v>
      </c>
      <c r="R252" s="3" t="n">
        <v>2</v>
      </c>
      <c r="S252" s="3" t="n">
        <v>2</v>
      </c>
      <c r="T252" s="4" t="n">
        <v>2</v>
      </c>
      <c r="U252" s="3" t="n">
        <v>2</v>
      </c>
      <c r="V252" s="3" t="n">
        <v>6.13</v>
      </c>
      <c r="W252" s="3" t="n">
        <v>2.42</v>
      </c>
      <c r="X252" s="3" t="n">
        <v>7.83</v>
      </c>
      <c r="Y252" s="3" t="n">
        <v>415</v>
      </c>
      <c r="AA252" s="3" t="n">
        <v>0.45</v>
      </c>
      <c r="AB252" s="3" t="n">
        <v>12.8</v>
      </c>
      <c r="AC252" s="3" t="n">
        <v>1</v>
      </c>
      <c r="AD252" s="3" t="n">
        <v>2</v>
      </c>
      <c r="AE252" s="3" t="n">
        <v>1</v>
      </c>
      <c r="AF252" s="3" t="n">
        <v>1</v>
      </c>
      <c r="AG252" s="3" t="n">
        <v>2</v>
      </c>
      <c r="AH252" s="3" t="n">
        <v>2</v>
      </c>
      <c r="AI252" s="3" t="n">
        <v>1</v>
      </c>
      <c r="AJ252" s="3" t="n">
        <v>2</v>
      </c>
      <c r="AK252" s="3" t="n">
        <v>2</v>
      </c>
      <c r="AL252" s="3" t="n">
        <v>2</v>
      </c>
      <c r="AM252" s="3" t="n">
        <v>2</v>
      </c>
      <c r="AN252" s="3" t="n">
        <v>2</v>
      </c>
      <c r="AO252" s="3" t="n">
        <v>2</v>
      </c>
      <c r="AP252" s="3" t="n">
        <v>3</v>
      </c>
      <c r="AQ252" s="3" t="n">
        <v>4</v>
      </c>
      <c r="AR252" s="3" t="n">
        <v>4</v>
      </c>
      <c r="AS252" s="3" t="n">
        <v>6</v>
      </c>
      <c r="AT252" s="3" t="n">
        <v>4</v>
      </c>
      <c r="AU252" s="3" t="n">
        <v>4</v>
      </c>
      <c r="AV252" s="3" t="n">
        <v>6</v>
      </c>
      <c r="AW252" s="3" t="n">
        <v>6</v>
      </c>
      <c r="AX252" s="3" t="n">
        <v>3</v>
      </c>
      <c r="AY252" s="3" t="n">
        <v>3</v>
      </c>
      <c r="AZ252" s="3" t="n">
        <v>1</v>
      </c>
      <c r="BA252" s="5" t="n">
        <v>1</v>
      </c>
      <c r="BB252" s="3" t="n">
        <v>1</v>
      </c>
      <c r="BC252" s="3" t="n">
        <v>1</v>
      </c>
      <c r="BD252" s="3" t="n">
        <v>4</v>
      </c>
      <c r="BE252" s="3" t="n">
        <v>1</v>
      </c>
      <c r="BF252" s="3" t="n">
        <v>2</v>
      </c>
      <c r="BG252" s="3" t="n">
        <v>1</v>
      </c>
      <c r="BH252" s="3" t="n">
        <v>4</v>
      </c>
      <c r="BI252" s="3" t="n">
        <v>1</v>
      </c>
      <c r="BJ252" s="3" t="n">
        <v>1</v>
      </c>
    </row>
    <row r="253" customFormat="false" ht="12.75" hidden="false" customHeight="false" outlineLevel="0" collapsed="false">
      <c r="B253" s="2" t="s">
        <v>2390</v>
      </c>
      <c r="C253" s="2" t="s">
        <v>560</v>
      </c>
      <c r="D253" s="2" t="s">
        <v>2391</v>
      </c>
      <c r="E253" s="2" t="n">
        <v>201778</v>
      </c>
      <c r="F253" s="15" t="n">
        <v>44075</v>
      </c>
      <c r="G253" s="15" t="n">
        <v>44081</v>
      </c>
      <c r="H253" s="3" t="n">
        <v>6</v>
      </c>
      <c r="I253" s="3" t="n">
        <v>1</v>
      </c>
      <c r="J253" s="3" t="n">
        <v>64</v>
      </c>
      <c r="K253" s="3" t="n">
        <v>2</v>
      </c>
      <c r="L253" s="3" t="n">
        <v>2</v>
      </c>
      <c r="M253" s="3" t="n">
        <v>1</v>
      </c>
      <c r="N253" s="3" t="n">
        <v>2</v>
      </c>
      <c r="O253" s="3" t="n">
        <v>2</v>
      </c>
      <c r="P253" s="3" t="n">
        <v>2</v>
      </c>
      <c r="Q253" s="3" t="n">
        <v>1</v>
      </c>
      <c r="R253" s="3" t="n">
        <v>2</v>
      </c>
      <c r="S253" s="3" t="n">
        <v>2</v>
      </c>
      <c r="T253" s="4" t="n">
        <v>2</v>
      </c>
      <c r="U253" s="3" t="n">
        <v>2</v>
      </c>
      <c r="V253" s="3" t="n">
        <v>5.51</v>
      </c>
      <c r="W253" s="3" t="n">
        <v>1.35</v>
      </c>
      <c r="X253" s="3" t="n">
        <v>10.42</v>
      </c>
      <c r="Y253" s="3" t="n">
        <v>247</v>
      </c>
      <c r="AA253" s="3" t="n">
        <v>0.36</v>
      </c>
      <c r="AB253" s="3" t="n">
        <v>11</v>
      </c>
      <c r="AC253" s="3" t="n">
        <v>2</v>
      </c>
      <c r="AD253" s="3" t="n">
        <v>2</v>
      </c>
      <c r="AE253" s="3" t="n">
        <v>1</v>
      </c>
      <c r="AF253" s="3" t="n">
        <v>1</v>
      </c>
      <c r="AG253" s="3" t="n">
        <v>2</v>
      </c>
      <c r="AH253" s="3" t="n">
        <v>1</v>
      </c>
      <c r="AI253" s="3" t="n">
        <v>1</v>
      </c>
      <c r="AJ253" s="3" t="n">
        <v>2</v>
      </c>
      <c r="AK253" s="3" t="n">
        <v>1</v>
      </c>
      <c r="AL253" s="3" t="n">
        <v>2</v>
      </c>
      <c r="AM253" s="3" t="n">
        <v>1</v>
      </c>
      <c r="AN253" s="3" t="n">
        <v>2</v>
      </c>
      <c r="AO253" s="3" t="n">
        <v>2</v>
      </c>
      <c r="AP253" s="3" t="n">
        <v>3</v>
      </c>
      <c r="AQ253" s="3" t="n">
        <v>4</v>
      </c>
      <c r="AR253" s="3" t="n">
        <v>4</v>
      </c>
      <c r="AS253" s="3" t="n">
        <v>6</v>
      </c>
      <c r="AT253" s="3" t="n">
        <v>4</v>
      </c>
      <c r="AU253" s="3" t="n">
        <v>4</v>
      </c>
      <c r="AV253" s="3" t="n">
        <v>6</v>
      </c>
      <c r="AW253" s="3" t="n">
        <v>6</v>
      </c>
      <c r="AX253" s="3" t="n">
        <v>3</v>
      </c>
      <c r="AY253" s="3" t="n">
        <v>3</v>
      </c>
      <c r="AZ253" s="3" t="n">
        <v>1</v>
      </c>
      <c r="BA253" s="5" t="n">
        <v>1</v>
      </c>
      <c r="BB253" s="3" t="n">
        <v>1</v>
      </c>
      <c r="BC253" s="3" t="n">
        <v>1</v>
      </c>
      <c r="BD253" s="3" t="n">
        <v>2</v>
      </c>
      <c r="BE253" s="3" t="n">
        <v>1</v>
      </c>
      <c r="BF253" s="3" t="n">
        <v>2</v>
      </c>
      <c r="BG253" s="3" t="n">
        <v>1</v>
      </c>
      <c r="BH253" s="3" t="n">
        <v>4</v>
      </c>
      <c r="BI253" s="3" t="n">
        <v>1</v>
      </c>
      <c r="BJ253" s="3" t="n">
        <v>1</v>
      </c>
    </row>
    <row r="254" customFormat="false" ht="12.75" hidden="false" customHeight="false" outlineLevel="0" collapsed="false">
      <c r="B254" s="2" t="s">
        <v>348</v>
      </c>
      <c r="C254" s="2" t="s">
        <v>2397</v>
      </c>
      <c r="D254" s="2" t="s">
        <v>2398</v>
      </c>
      <c r="E254" s="2" t="n">
        <v>201853</v>
      </c>
      <c r="F254" s="15" t="n">
        <v>44077</v>
      </c>
      <c r="G254" s="15" t="n">
        <v>44083</v>
      </c>
      <c r="H254" s="3" t="n">
        <v>6</v>
      </c>
      <c r="I254" s="3" t="n">
        <v>1</v>
      </c>
      <c r="J254" s="3" t="n">
        <v>69</v>
      </c>
      <c r="K254" s="3" t="n">
        <v>2</v>
      </c>
      <c r="L254" s="3" t="n">
        <v>1</v>
      </c>
      <c r="M254" s="3" t="n">
        <v>1</v>
      </c>
      <c r="N254" s="3" t="n">
        <v>2</v>
      </c>
      <c r="O254" s="3" t="n">
        <v>2</v>
      </c>
      <c r="P254" s="3" t="n">
        <v>2</v>
      </c>
      <c r="Q254" s="3" t="n">
        <v>2</v>
      </c>
      <c r="R254" s="3" t="n">
        <v>2</v>
      </c>
      <c r="S254" s="3" t="n">
        <v>2</v>
      </c>
      <c r="T254" s="4" t="n">
        <v>2</v>
      </c>
      <c r="U254" s="3" t="n">
        <v>2</v>
      </c>
      <c r="V254" s="3" t="n">
        <v>5.81</v>
      </c>
      <c r="W254" s="3" t="n">
        <v>1.03</v>
      </c>
      <c r="X254" s="3" t="n">
        <v>5.84</v>
      </c>
      <c r="Y254" s="3" t="n">
        <v>227</v>
      </c>
      <c r="AA254" s="3" t="n">
        <v>0.44</v>
      </c>
      <c r="AB254" s="3" t="n">
        <v>11.9</v>
      </c>
      <c r="AC254" s="3" t="n">
        <v>1</v>
      </c>
      <c r="AD254" s="3" t="n">
        <v>2</v>
      </c>
      <c r="AE254" s="3" t="n">
        <v>1</v>
      </c>
      <c r="AF254" s="3" t="n">
        <v>1</v>
      </c>
      <c r="AG254" s="3" t="n">
        <v>1</v>
      </c>
      <c r="AH254" s="3" t="n">
        <v>2</v>
      </c>
      <c r="AI254" s="3" t="n">
        <v>1</v>
      </c>
      <c r="AJ254" s="3" t="n">
        <v>2</v>
      </c>
      <c r="AK254" s="3" t="n">
        <v>2</v>
      </c>
      <c r="AL254" s="3" t="n">
        <v>2</v>
      </c>
      <c r="AM254" s="3" t="n">
        <v>1</v>
      </c>
      <c r="AN254" s="3" t="n">
        <v>2</v>
      </c>
      <c r="AO254" s="3" t="n">
        <v>2</v>
      </c>
      <c r="AP254" s="3" t="n">
        <v>3</v>
      </c>
      <c r="AQ254" s="3" t="n">
        <v>4</v>
      </c>
      <c r="AR254" s="3" t="n">
        <v>4</v>
      </c>
      <c r="AS254" s="3" t="n">
        <v>6</v>
      </c>
      <c r="AT254" s="3" t="n">
        <v>4</v>
      </c>
      <c r="AU254" s="3" t="n">
        <v>4</v>
      </c>
      <c r="AV254" s="3" t="n">
        <v>6</v>
      </c>
      <c r="AW254" s="3" t="n">
        <v>6</v>
      </c>
      <c r="AX254" s="3" t="n">
        <v>3</v>
      </c>
      <c r="AY254" s="3" t="n">
        <v>3</v>
      </c>
      <c r="AZ254" s="3" t="n">
        <v>1</v>
      </c>
      <c r="BA254" s="5" t="n">
        <v>1</v>
      </c>
      <c r="BB254" s="3" t="n">
        <v>1</v>
      </c>
      <c r="BC254" s="3" t="n">
        <v>1</v>
      </c>
      <c r="BD254" s="3" t="n">
        <v>4</v>
      </c>
      <c r="BE254" s="3" t="n">
        <v>1</v>
      </c>
      <c r="BF254" s="3" t="n">
        <v>2</v>
      </c>
      <c r="BG254" s="3" t="n">
        <v>1</v>
      </c>
      <c r="BH254" s="3" t="n">
        <v>4</v>
      </c>
      <c r="BI254" s="3" t="n">
        <v>1</v>
      </c>
      <c r="BJ254" s="3" t="n">
        <v>1</v>
      </c>
    </row>
    <row r="255" customFormat="false" ht="12.75" hidden="false" customHeight="false" outlineLevel="0" collapsed="false">
      <c r="B255" s="2" t="s">
        <v>2400</v>
      </c>
      <c r="C255" s="2" t="s">
        <v>109</v>
      </c>
      <c r="D255" s="2" t="s">
        <v>74</v>
      </c>
      <c r="E255" s="2" t="n">
        <v>201918</v>
      </c>
      <c r="F255" s="15" t="n">
        <v>44079</v>
      </c>
      <c r="G255" s="15" t="n">
        <v>44085</v>
      </c>
      <c r="H255" s="3" t="n">
        <v>6</v>
      </c>
      <c r="I255" s="3" t="n">
        <v>2</v>
      </c>
      <c r="J255" s="3" t="n">
        <v>68</v>
      </c>
      <c r="K255" s="3" t="n">
        <v>2</v>
      </c>
      <c r="L255" s="3" t="n">
        <v>1</v>
      </c>
      <c r="M255" s="3" t="n">
        <v>1</v>
      </c>
      <c r="N255" s="3" t="n">
        <v>2</v>
      </c>
      <c r="O255" s="3" t="n">
        <v>2</v>
      </c>
      <c r="P255" s="3" t="n">
        <v>2</v>
      </c>
      <c r="Q255" s="3" t="n">
        <v>2</v>
      </c>
      <c r="R255" s="3" t="n">
        <v>2</v>
      </c>
      <c r="S255" s="3" t="n">
        <v>2</v>
      </c>
      <c r="T255" s="4" t="n">
        <v>1</v>
      </c>
      <c r="U255" s="3" t="n">
        <v>1</v>
      </c>
      <c r="V255" s="3" t="n">
        <v>4.38</v>
      </c>
      <c r="W255" s="3" t="n">
        <v>1.73</v>
      </c>
      <c r="X255" s="3" t="n">
        <v>6.82</v>
      </c>
      <c r="Y255" s="3" t="n">
        <v>420</v>
      </c>
      <c r="AA255" s="3" t="n">
        <v>0.43</v>
      </c>
      <c r="AB255" s="3" t="n">
        <v>10.9</v>
      </c>
      <c r="AC255" s="3" t="n">
        <v>2</v>
      </c>
      <c r="AD255" s="3" t="n">
        <v>2</v>
      </c>
      <c r="AE255" s="3" t="n">
        <v>1</v>
      </c>
      <c r="AF255" s="3" t="n">
        <v>1</v>
      </c>
      <c r="AG255" s="3" t="n">
        <v>1</v>
      </c>
      <c r="AH255" s="3" t="n">
        <v>2</v>
      </c>
      <c r="AI255" s="3" t="n">
        <v>1</v>
      </c>
      <c r="AJ255" s="3" t="n">
        <v>2</v>
      </c>
      <c r="AK255" s="3" t="n">
        <v>2</v>
      </c>
      <c r="AL255" s="3" t="n">
        <v>2</v>
      </c>
      <c r="AM255" s="3" t="n">
        <v>2</v>
      </c>
      <c r="AN255" s="3" t="n">
        <v>2</v>
      </c>
      <c r="AO255" s="3" t="n">
        <v>2</v>
      </c>
      <c r="AP255" s="3" t="n">
        <v>3</v>
      </c>
      <c r="AQ255" s="3" t="n">
        <v>4</v>
      </c>
      <c r="AR255" s="3" t="n">
        <v>4</v>
      </c>
      <c r="AS255" s="3" t="n">
        <v>6</v>
      </c>
      <c r="AT255" s="3" t="n">
        <v>4</v>
      </c>
      <c r="AU255" s="3" t="n">
        <v>4</v>
      </c>
      <c r="AV255" s="3" t="n">
        <v>6</v>
      </c>
      <c r="AW255" s="3" t="n">
        <v>6</v>
      </c>
      <c r="AX255" s="3" t="n">
        <v>3</v>
      </c>
      <c r="AY255" s="3" t="n">
        <v>3</v>
      </c>
      <c r="AZ255" s="3" t="n">
        <v>1</v>
      </c>
      <c r="BA255" s="5" t="n">
        <v>1</v>
      </c>
      <c r="BB255" s="3" t="n">
        <v>1</v>
      </c>
      <c r="BC255" s="3" t="n">
        <v>1</v>
      </c>
      <c r="BD255" s="3" t="n">
        <v>2</v>
      </c>
      <c r="BE255" s="3" t="n">
        <v>3</v>
      </c>
      <c r="BF255" s="3" t="n">
        <v>5</v>
      </c>
      <c r="BG255" s="3" t="n">
        <v>3</v>
      </c>
      <c r="BH255" s="3" t="n">
        <v>4</v>
      </c>
      <c r="BI255" s="3" t="n">
        <v>1</v>
      </c>
      <c r="BJ255" s="3" t="n">
        <v>1</v>
      </c>
    </row>
    <row r="256" customFormat="false" ht="12.75" hidden="false" customHeight="false" outlineLevel="0" collapsed="false">
      <c r="B256" s="2" t="s">
        <v>2402</v>
      </c>
      <c r="C256" s="2" t="s">
        <v>95</v>
      </c>
      <c r="D256" s="2" t="s">
        <v>109</v>
      </c>
      <c r="E256" s="2" t="n">
        <v>201901</v>
      </c>
      <c r="F256" s="15" t="n">
        <v>44079</v>
      </c>
      <c r="G256" s="15" t="n">
        <v>44085</v>
      </c>
      <c r="H256" s="3" t="n">
        <v>6</v>
      </c>
      <c r="I256" s="3" t="n">
        <v>1</v>
      </c>
      <c r="J256" s="3" t="n">
        <v>51</v>
      </c>
      <c r="K256" s="3" t="n">
        <v>1</v>
      </c>
      <c r="L256" s="3" t="n">
        <v>1</v>
      </c>
      <c r="M256" s="3" t="n">
        <v>1</v>
      </c>
      <c r="N256" s="3" t="n">
        <v>2</v>
      </c>
      <c r="O256" s="3" t="n">
        <v>2</v>
      </c>
      <c r="P256" s="3" t="n">
        <v>2</v>
      </c>
      <c r="Q256" s="3" t="n">
        <v>2</v>
      </c>
      <c r="R256" s="3" t="n">
        <v>2</v>
      </c>
      <c r="S256" s="3" t="n">
        <v>2</v>
      </c>
      <c r="T256" s="4" t="n">
        <v>2</v>
      </c>
      <c r="U256" s="3" t="n">
        <v>2</v>
      </c>
      <c r="V256" s="3" t="n">
        <v>5.11</v>
      </c>
      <c r="W256" s="3" t="n">
        <v>1.8</v>
      </c>
      <c r="X256" s="3" t="n">
        <v>6.43</v>
      </c>
      <c r="Y256" s="3" t="n">
        <v>378</v>
      </c>
      <c r="AA256" s="3" t="n">
        <v>0.4</v>
      </c>
      <c r="AB256" s="3" t="n">
        <v>13</v>
      </c>
      <c r="AC256" s="3" t="n">
        <v>2</v>
      </c>
      <c r="AD256" s="3" t="n">
        <v>1</v>
      </c>
      <c r="AE256" s="3" t="n">
        <v>1</v>
      </c>
      <c r="AF256" s="3" t="n">
        <v>1</v>
      </c>
      <c r="AG256" s="3" t="n">
        <v>1</v>
      </c>
      <c r="AH256" s="3" t="n">
        <v>1</v>
      </c>
      <c r="AI256" s="3" t="n">
        <v>1</v>
      </c>
      <c r="AJ256" s="3" t="n">
        <v>2</v>
      </c>
      <c r="AK256" s="3" t="n">
        <v>2</v>
      </c>
      <c r="AL256" s="3" t="n">
        <v>2</v>
      </c>
      <c r="AM256" s="3" t="n">
        <v>1</v>
      </c>
      <c r="AN256" s="3" t="n">
        <v>2</v>
      </c>
      <c r="AO256" s="3" t="n">
        <v>2</v>
      </c>
      <c r="AP256" s="3" t="n">
        <v>3</v>
      </c>
      <c r="AQ256" s="3" t="n">
        <v>4</v>
      </c>
      <c r="AR256" s="3" t="n">
        <v>4</v>
      </c>
      <c r="AS256" s="3" t="n">
        <v>6</v>
      </c>
      <c r="AT256" s="3" t="n">
        <v>4</v>
      </c>
      <c r="AU256" s="3" t="n">
        <v>4</v>
      </c>
      <c r="AV256" s="3" t="n">
        <v>6</v>
      </c>
      <c r="AW256" s="3" t="n">
        <v>6</v>
      </c>
      <c r="AX256" s="3" t="n">
        <v>3</v>
      </c>
      <c r="AY256" s="3" t="n">
        <v>3</v>
      </c>
      <c r="AZ256" s="3" t="n">
        <v>1</v>
      </c>
      <c r="BA256" s="5" t="n">
        <v>1</v>
      </c>
      <c r="BB256" s="3" t="n">
        <v>1</v>
      </c>
      <c r="BC256" s="3" t="n">
        <v>1</v>
      </c>
      <c r="BD256" s="3" t="n">
        <v>2</v>
      </c>
      <c r="BE256" s="3" t="n">
        <v>3</v>
      </c>
      <c r="BF256" s="3" t="n">
        <v>5</v>
      </c>
      <c r="BG256" s="3" t="n">
        <v>3</v>
      </c>
      <c r="BH256" s="3" t="n">
        <v>4</v>
      </c>
      <c r="BI256" s="3" t="n">
        <v>1</v>
      </c>
      <c r="BJ256" s="3" t="n">
        <v>1</v>
      </c>
    </row>
    <row r="257" customFormat="false" ht="12.75" hidden="false" customHeight="false" outlineLevel="0" collapsed="false">
      <c r="B257" s="2" t="s">
        <v>1917</v>
      </c>
      <c r="C257" s="2" t="s">
        <v>2406</v>
      </c>
      <c r="D257" s="2" t="s">
        <v>898</v>
      </c>
      <c r="E257" s="2" t="n">
        <v>201942</v>
      </c>
      <c r="F257" s="15" t="n">
        <v>44081</v>
      </c>
      <c r="G257" s="15" t="n">
        <v>44088</v>
      </c>
      <c r="H257" s="3" t="n">
        <v>7</v>
      </c>
      <c r="I257" s="3" t="n">
        <v>1</v>
      </c>
      <c r="J257" s="3" t="n">
        <v>65</v>
      </c>
      <c r="K257" s="3" t="n">
        <v>1</v>
      </c>
      <c r="L257" s="3" t="n">
        <v>1</v>
      </c>
      <c r="M257" s="3" t="n">
        <v>1</v>
      </c>
      <c r="N257" s="3" t="n">
        <v>2</v>
      </c>
      <c r="O257" s="3" t="n">
        <v>2</v>
      </c>
      <c r="P257" s="3" t="n">
        <v>2</v>
      </c>
      <c r="Q257" s="3" t="n">
        <v>2</v>
      </c>
      <c r="R257" s="3" t="n">
        <v>2</v>
      </c>
      <c r="S257" s="3" t="n">
        <v>2</v>
      </c>
      <c r="T257" s="4" t="n">
        <v>2</v>
      </c>
      <c r="U257" s="3" t="n">
        <v>2</v>
      </c>
      <c r="V257" s="3" t="n">
        <v>6.2</v>
      </c>
      <c r="W257" s="3" t="n">
        <v>4.91</v>
      </c>
      <c r="X257" s="3" t="n">
        <v>6.03</v>
      </c>
      <c r="Y257" s="3" t="n">
        <v>456</v>
      </c>
      <c r="AA257" s="3" t="n">
        <v>0.45</v>
      </c>
      <c r="AB257" s="3" t="n">
        <v>11.6</v>
      </c>
      <c r="AC257" s="3" t="n">
        <v>1</v>
      </c>
      <c r="AD257" s="3" t="n">
        <v>2</v>
      </c>
      <c r="AE257" s="3" t="n">
        <v>1</v>
      </c>
      <c r="AF257" s="3" t="n">
        <v>1</v>
      </c>
      <c r="AG257" s="3" t="n">
        <v>2</v>
      </c>
      <c r="AH257" s="3" t="n">
        <v>2</v>
      </c>
      <c r="AI257" s="3" t="n">
        <v>1</v>
      </c>
      <c r="AJ257" s="3" t="n">
        <v>2</v>
      </c>
      <c r="AK257" s="3" t="n">
        <v>2</v>
      </c>
      <c r="AL257" s="3" t="n">
        <v>2</v>
      </c>
      <c r="AM257" s="3" t="n">
        <v>1</v>
      </c>
      <c r="AN257" s="3" t="n">
        <v>2</v>
      </c>
      <c r="AO257" s="3" t="n">
        <v>2</v>
      </c>
      <c r="AP257" s="3" t="n">
        <v>3</v>
      </c>
      <c r="AQ257" s="3" t="n">
        <v>4</v>
      </c>
      <c r="AR257" s="3" t="n">
        <v>4</v>
      </c>
      <c r="AS257" s="3" t="n">
        <v>6</v>
      </c>
      <c r="AT257" s="3" t="n">
        <v>4</v>
      </c>
      <c r="AU257" s="3" t="n">
        <v>4</v>
      </c>
      <c r="AV257" s="3" t="n">
        <v>6</v>
      </c>
      <c r="AW257" s="3" t="n">
        <v>6</v>
      </c>
      <c r="AX257" s="3" t="n">
        <v>3</v>
      </c>
      <c r="AY257" s="3" t="n">
        <v>3</v>
      </c>
      <c r="AZ257" s="3" t="n">
        <v>1</v>
      </c>
      <c r="BA257" s="5" t="n">
        <v>1</v>
      </c>
      <c r="BB257" s="3" t="n">
        <v>1</v>
      </c>
      <c r="BC257" s="3" t="n">
        <v>1</v>
      </c>
      <c r="BD257" s="3" t="n">
        <v>4</v>
      </c>
      <c r="BE257" s="3" t="n">
        <v>1</v>
      </c>
      <c r="BF257" s="3" t="n">
        <v>2</v>
      </c>
      <c r="BG257" s="3" t="n">
        <v>1</v>
      </c>
      <c r="BH257" s="3" t="n">
        <v>4</v>
      </c>
      <c r="BI257" s="3" t="n">
        <v>1</v>
      </c>
      <c r="BJ257" s="3" t="n">
        <v>1</v>
      </c>
    </row>
    <row r="258" customFormat="false" ht="12.75" hidden="false" customHeight="false" outlineLevel="0" collapsed="false">
      <c r="B258" s="2" t="s">
        <v>2359</v>
      </c>
      <c r="C258" s="2" t="s">
        <v>2415</v>
      </c>
      <c r="D258" s="2" t="s">
        <v>314</v>
      </c>
      <c r="E258" s="2" t="n">
        <v>202098</v>
      </c>
      <c r="F258" s="15" t="n">
        <v>44085</v>
      </c>
      <c r="G258" s="15" t="n">
        <v>44092</v>
      </c>
      <c r="H258" s="3" t="n">
        <v>7</v>
      </c>
      <c r="I258" s="3" t="n">
        <v>2</v>
      </c>
      <c r="J258" s="3" t="n">
        <v>55</v>
      </c>
      <c r="K258" s="3" t="n">
        <v>1</v>
      </c>
      <c r="L258" s="3" t="n">
        <v>1</v>
      </c>
      <c r="M258" s="3" t="n">
        <v>1</v>
      </c>
      <c r="N258" s="3" t="n">
        <v>2</v>
      </c>
      <c r="O258" s="3" t="n">
        <v>2</v>
      </c>
      <c r="P258" s="3" t="n">
        <v>2</v>
      </c>
      <c r="Q258" s="3" t="n">
        <v>1</v>
      </c>
      <c r="R258" s="3" t="n">
        <v>2</v>
      </c>
      <c r="S258" s="3" t="n">
        <v>2</v>
      </c>
      <c r="T258" s="4" t="n">
        <v>1</v>
      </c>
      <c r="U258" s="3" t="n">
        <v>1</v>
      </c>
      <c r="V258" s="3" t="n">
        <v>4.96</v>
      </c>
      <c r="W258" s="3" t="n">
        <v>1.94</v>
      </c>
      <c r="X258" s="3" t="n">
        <v>7.3</v>
      </c>
      <c r="Y258" s="3" t="n">
        <v>195</v>
      </c>
      <c r="AA258" s="3" t="n">
        <v>0.46</v>
      </c>
      <c r="AB258" s="3" t="n">
        <v>8.2</v>
      </c>
      <c r="AC258" s="3" t="n">
        <v>2</v>
      </c>
      <c r="AD258" s="3" t="n">
        <v>1</v>
      </c>
      <c r="AE258" s="3" t="n">
        <v>1</v>
      </c>
      <c r="AF258" s="3" t="n">
        <v>1</v>
      </c>
      <c r="AG258" s="3" t="n">
        <v>1</v>
      </c>
      <c r="AH258" s="3" t="n">
        <v>1</v>
      </c>
      <c r="AI258" s="3" t="n">
        <v>1</v>
      </c>
      <c r="AJ258" s="3" t="n">
        <v>2</v>
      </c>
      <c r="AK258" s="3" t="n">
        <v>1</v>
      </c>
      <c r="AL258" s="3" t="n">
        <v>2</v>
      </c>
      <c r="AM258" s="3" t="n">
        <v>1</v>
      </c>
      <c r="AN258" s="3" t="n">
        <v>2</v>
      </c>
      <c r="AO258" s="3" t="n">
        <v>2</v>
      </c>
      <c r="AP258" s="3" t="n">
        <v>3</v>
      </c>
      <c r="AQ258" s="3" t="n">
        <v>4</v>
      </c>
      <c r="AR258" s="3" t="n">
        <v>4</v>
      </c>
      <c r="AS258" s="3" t="n">
        <v>6</v>
      </c>
      <c r="AT258" s="3" t="n">
        <v>4</v>
      </c>
      <c r="AU258" s="3" t="n">
        <v>4</v>
      </c>
      <c r="AV258" s="3" t="n">
        <v>6</v>
      </c>
      <c r="AW258" s="3" t="n">
        <v>6</v>
      </c>
      <c r="AX258" s="3" t="n">
        <v>3</v>
      </c>
      <c r="AY258" s="3" t="n">
        <v>3</v>
      </c>
      <c r="AZ258" s="3" t="n">
        <v>1</v>
      </c>
      <c r="BA258" s="5" t="n">
        <v>1</v>
      </c>
      <c r="BB258" s="3" t="n">
        <v>1</v>
      </c>
      <c r="BC258" s="3" t="n">
        <v>1</v>
      </c>
      <c r="BD258" s="3" t="n">
        <v>4</v>
      </c>
      <c r="BE258" s="3" t="n">
        <v>3</v>
      </c>
      <c r="BF258" s="3" t="n">
        <v>5</v>
      </c>
      <c r="BG258" s="3" t="n">
        <v>3</v>
      </c>
      <c r="BH258" s="3" t="n">
        <v>4</v>
      </c>
      <c r="BI258" s="3" t="n">
        <v>1</v>
      </c>
      <c r="BJ258" s="3" t="n">
        <v>1</v>
      </c>
    </row>
    <row r="259" customFormat="false" ht="12.75" hidden="false" customHeight="false" outlineLevel="0" collapsed="false">
      <c r="B259" s="2" t="s">
        <v>2417</v>
      </c>
      <c r="C259" s="2" t="s">
        <v>2133</v>
      </c>
      <c r="D259" s="2" t="s">
        <v>588</v>
      </c>
      <c r="E259" s="2" t="n">
        <v>202241</v>
      </c>
      <c r="F259" s="15" t="n">
        <v>44089</v>
      </c>
      <c r="G259" s="15" t="n">
        <v>44092</v>
      </c>
      <c r="H259" s="3" t="n">
        <v>3</v>
      </c>
      <c r="I259" s="3" t="n">
        <v>2</v>
      </c>
      <c r="J259" s="3" t="n">
        <v>57</v>
      </c>
      <c r="K259" s="3" t="n">
        <v>1</v>
      </c>
      <c r="L259" s="3" t="n">
        <v>2</v>
      </c>
      <c r="M259" s="3" t="n">
        <v>1</v>
      </c>
      <c r="N259" s="3" t="n">
        <v>2</v>
      </c>
      <c r="O259" s="3" t="n">
        <v>1</v>
      </c>
      <c r="P259" s="3" t="n">
        <v>2</v>
      </c>
      <c r="Q259" s="3" t="n">
        <v>2</v>
      </c>
      <c r="R259" s="3" t="n">
        <v>2</v>
      </c>
      <c r="S259" s="3" t="n">
        <v>2</v>
      </c>
      <c r="T259" s="4" t="n">
        <v>2</v>
      </c>
      <c r="U259" s="3" t="n">
        <v>2</v>
      </c>
      <c r="V259" s="3" t="n">
        <v>4.5</v>
      </c>
      <c r="W259" s="3" t="n">
        <v>1.3</v>
      </c>
      <c r="X259" s="3" t="n">
        <v>5.4</v>
      </c>
      <c r="Y259" s="3" t="n">
        <v>410</v>
      </c>
      <c r="AA259" s="3" t="n">
        <v>0.49</v>
      </c>
      <c r="AB259" s="3" t="n">
        <v>11.8</v>
      </c>
      <c r="AC259" s="3" t="n">
        <v>1</v>
      </c>
      <c r="AD259" s="3" t="n">
        <v>2</v>
      </c>
      <c r="AE259" s="3" t="n">
        <v>1</v>
      </c>
      <c r="AF259" s="3" t="n">
        <v>1</v>
      </c>
      <c r="AG259" s="3" t="n">
        <v>1</v>
      </c>
      <c r="AH259" s="3" t="n">
        <v>2</v>
      </c>
      <c r="AI259" s="3" t="n">
        <v>1</v>
      </c>
      <c r="AJ259" s="3" t="n">
        <v>2</v>
      </c>
      <c r="AK259" s="3" t="n">
        <v>2</v>
      </c>
      <c r="AL259" s="3" t="n">
        <v>2</v>
      </c>
      <c r="AM259" s="3" t="n">
        <v>2</v>
      </c>
      <c r="AN259" s="3" t="n">
        <v>2</v>
      </c>
      <c r="AO259" s="3" t="n">
        <v>2</v>
      </c>
      <c r="AP259" s="3" t="n">
        <v>2</v>
      </c>
      <c r="AQ259" s="3" t="n">
        <v>3</v>
      </c>
      <c r="AR259" s="3" t="n">
        <v>7</v>
      </c>
      <c r="AS259" s="3" t="n">
        <v>2</v>
      </c>
      <c r="AT259" s="3" t="n">
        <v>2</v>
      </c>
      <c r="AU259" s="3" t="n">
        <v>1</v>
      </c>
      <c r="AV259" s="3" t="n">
        <v>1</v>
      </c>
      <c r="AW259" s="3" t="n">
        <v>1</v>
      </c>
      <c r="AX259" s="3" t="n">
        <v>2</v>
      </c>
      <c r="AY259" s="3" t="n">
        <v>2</v>
      </c>
      <c r="AZ259" s="3" t="n">
        <v>1</v>
      </c>
      <c r="BA259" s="5" t="n">
        <v>1</v>
      </c>
      <c r="BB259" s="3" t="n">
        <v>1</v>
      </c>
      <c r="BC259" s="3" t="n">
        <v>1</v>
      </c>
      <c r="BD259" s="3" t="n">
        <v>4</v>
      </c>
      <c r="BE259" s="3" t="n">
        <v>1</v>
      </c>
      <c r="BF259" s="3" t="n">
        <v>2</v>
      </c>
      <c r="BG259" s="3" t="n">
        <v>1</v>
      </c>
      <c r="BH259" s="3" t="n">
        <v>4</v>
      </c>
      <c r="BI259" s="3" t="n">
        <v>1</v>
      </c>
      <c r="BJ259" s="3" t="n">
        <v>1</v>
      </c>
    </row>
    <row r="260" customFormat="false" ht="12.75" hidden="false" customHeight="false" outlineLevel="0" collapsed="false">
      <c r="B260" s="2" t="s">
        <v>2419</v>
      </c>
      <c r="C260" s="2" t="s">
        <v>1643</v>
      </c>
      <c r="D260" s="2" t="s">
        <v>197</v>
      </c>
      <c r="E260" s="2" t="n">
        <v>202274</v>
      </c>
      <c r="F260" s="15" t="n">
        <v>44089</v>
      </c>
      <c r="G260" s="15" t="n">
        <v>44096</v>
      </c>
      <c r="H260" s="3" t="n">
        <v>7</v>
      </c>
      <c r="I260" s="3" t="n">
        <v>2</v>
      </c>
      <c r="J260" s="3" t="n">
        <v>51</v>
      </c>
      <c r="K260" s="3" t="n">
        <v>2</v>
      </c>
      <c r="L260" s="3" t="n">
        <v>2</v>
      </c>
      <c r="M260" s="3" t="n">
        <v>1</v>
      </c>
      <c r="N260" s="3" t="n">
        <v>2</v>
      </c>
      <c r="O260" s="3" t="n">
        <v>2</v>
      </c>
      <c r="P260" s="3" t="n">
        <v>1</v>
      </c>
      <c r="Q260" s="3" t="n">
        <v>1</v>
      </c>
      <c r="R260" s="3" t="n">
        <v>2</v>
      </c>
      <c r="S260" s="3" t="n">
        <v>2</v>
      </c>
      <c r="T260" s="4" t="n">
        <v>2</v>
      </c>
      <c r="U260" s="3" t="n">
        <v>2</v>
      </c>
      <c r="V260" s="3" t="n">
        <v>5.13</v>
      </c>
      <c r="W260" s="3" t="n">
        <v>2.37</v>
      </c>
      <c r="X260" s="3" t="n">
        <v>11.56</v>
      </c>
      <c r="Y260" s="3" t="n">
        <v>407</v>
      </c>
      <c r="AA260" s="3" t="n">
        <v>0.5</v>
      </c>
      <c r="AB260" s="3" t="n">
        <v>12</v>
      </c>
      <c r="AC260" s="3" t="n">
        <v>1</v>
      </c>
      <c r="AD260" s="3" t="n">
        <v>2</v>
      </c>
      <c r="AE260" s="3" t="n">
        <v>1</v>
      </c>
      <c r="AF260" s="3" t="n">
        <v>1</v>
      </c>
      <c r="AG260" s="3" t="n">
        <v>1</v>
      </c>
      <c r="AH260" s="3" t="n">
        <v>2</v>
      </c>
      <c r="AI260" s="3" t="n">
        <v>1</v>
      </c>
      <c r="AJ260" s="3" t="n">
        <v>2</v>
      </c>
      <c r="AK260" s="3" t="n">
        <v>2</v>
      </c>
      <c r="AL260" s="3" t="n">
        <v>2</v>
      </c>
      <c r="AM260" s="3" t="n">
        <v>1</v>
      </c>
      <c r="AN260" s="3" t="n">
        <v>2</v>
      </c>
      <c r="AO260" s="3" t="n">
        <v>2</v>
      </c>
      <c r="AP260" s="3" t="n">
        <v>3</v>
      </c>
      <c r="AQ260" s="3" t="n">
        <v>4</v>
      </c>
      <c r="AR260" s="3" t="n">
        <v>4</v>
      </c>
      <c r="AS260" s="3" t="n">
        <v>6</v>
      </c>
      <c r="AT260" s="3" t="n">
        <v>4</v>
      </c>
      <c r="AU260" s="3" t="n">
        <v>4</v>
      </c>
      <c r="AV260" s="3" t="n">
        <v>6</v>
      </c>
      <c r="AW260" s="3" t="n">
        <v>6</v>
      </c>
      <c r="AX260" s="3" t="n">
        <v>3</v>
      </c>
      <c r="AY260" s="3" t="n">
        <v>3</v>
      </c>
      <c r="AZ260" s="3" t="n">
        <v>1</v>
      </c>
      <c r="BA260" s="5" t="n">
        <v>1</v>
      </c>
      <c r="BB260" s="3" t="n">
        <v>1</v>
      </c>
      <c r="BC260" s="3" t="n">
        <v>1</v>
      </c>
      <c r="BD260" s="3" t="n">
        <v>2</v>
      </c>
      <c r="BE260" s="3" t="n">
        <v>1</v>
      </c>
      <c r="BF260" s="3" t="n">
        <v>3</v>
      </c>
      <c r="BG260" s="3" t="n">
        <v>1</v>
      </c>
      <c r="BH260" s="3" t="n">
        <v>4</v>
      </c>
      <c r="BI260" s="3" t="n">
        <v>1</v>
      </c>
      <c r="BJ260" s="3" t="n">
        <v>1</v>
      </c>
    </row>
    <row r="261" customFormat="false" ht="12.75" hidden="false" customHeight="false" outlineLevel="0" collapsed="false">
      <c r="B261" s="2" t="s">
        <v>2430</v>
      </c>
      <c r="C261" s="2" t="s">
        <v>144</v>
      </c>
      <c r="D261" s="2" t="s">
        <v>2431</v>
      </c>
      <c r="E261" s="2" t="n">
        <v>202119</v>
      </c>
      <c r="F261" s="15" t="n">
        <v>44090</v>
      </c>
      <c r="G261" s="15" t="n">
        <v>44097</v>
      </c>
      <c r="H261" s="3" t="n">
        <v>7</v>
      </c>
      <c r="I261" s="3" t="n">
        <v>1</v>
      </c>
      <c r="J261" s="3" t="n">
        <v>65</v>
      </c>
      <c r="K261" s="3" t="n">
        <v>2</v>
      </c>
      <c r="L261" s="3" t="n">
        <v>1</v>
      </c>
      <c r="M261" s="3" t="n">
        <v>1</v>
      </c>
      <c r="N261" s="3" t="n">
        <v>1</v>
      </c>
      <c r="O261" s="3" t="n">
        <v>2</v>
      </c>
      <c r="P261" s="3" t="n">
        <v>2</v>
      </c>
      <c r="Q261" s="3" t="n">
        <v>2</v>
      </c>
      <c r="R261" s="3" t="n">
        <v>2</v>
      </c>
      <c r="S261" s="3" t="n">
        <v>2</v>
      </c>
      <c r="T261" s="4" t="n">
        <v>2</v>
      </c>
      <c r="U261" s="3" t="n">
        <v>2</v>
      </c>
      <c r="V261" s="3" t="n">
        <v>4.57</v>
      </c>
      <c r="W261" s="3" t="n">
        <v>1.22</v>
      </c>
      <c r="X261" s="3" t="n">
        <v>5.45</v>
      </c>
      <c r="Y261" s="3" t="n">
        <v>471</v>
      </c>
      <c r="AA261" s="3" t="n">
        <v>0.37</v>
      </c>
      <c r="AB261" s="3" t="n">
        <v>6.6</v>
      </c>
      <c r="AC261" s="3" t="n">
        <v>1</v>
      </c>
      <c r="AD261" s="3" t="n">
        <v>2</v>
      </c>
      <c r="AE261" s="3" t="n">
        <v>1</v>
      </c>
      <c r="AF261" s="3" t="n">
        <v>1</v>
      </c>
      <c r="AG261" s="3" t="n">
        <v>2</v>
      </c>
      <c r="AH261" s="3" t="n">
        <v>2</v>
      </c>
      <c r="AI261" s="3" t="n">
        <v>1</v>
      </c>
      <c r="AJ261" s="3" t="n">
        <v>2</v>
      </c>
      <c r="AK261" s="3" t="n">
        <v>2</v>
      </c>
      <c r="AL261" s="3" t="n">
        <v>2</v>
      </c>
      <c r="AM261" s="3" t="n">
        <v>2</v>
      </c>
      <c r="AN261" s="3" t="n">
        <v>2</v>
      </c>
      <c r="AO261" s="3" t="n">
        <v>2</v>
      </c>
      <c r="AP261" s="3" t="n">
        <v>3</v>
      </c>
      <c r="AQ261" s="3" t="n">
        <v>4</v>
      </c>
      <c r="AR261" s="3" t="n">
        <v>4</v>
      </c>
      <c r="AS261" s="3" t="n">
        <v>6</v>
      </c>
      <c r="AT261" s="3" t="n">
        <v>4</v>
      </c>
      <c r="AU261" s="3" t="n">
        <v>4</v>
      </c>
      <c r="AV261" s="3" t="n">
        <v>6</v>
      </c>
      <c r="AW261" s="3" t="n">
        <v>6</v>
      </c>
      <c r="AX261" s="3" t="n">
        <v>3</v>
      </c>
      <c r="AY261" s="3" t="n">
        <v>3</v>
      </c>
      <c r="AZ261" s="3" t="n">
        <v>1</v>
      </c>
      <c r="BA261" s="5" t="n">
        <v>1</v>
      </c>
      <c r="BB261" s="3" t="n">
        <v>1</v>
      </c>
      <c r="BC261" s="3" t="n">
        <v>1</v>
      </c>
      <c r="BD261" s="3" t="n">
        <v>4</v>
      </c>
      <c r="BE261" s="3" t="n">
        <v>1</v>
      </c>
      <c r="BF261" s="3" t="n">
        <v>2</v>
      </c>
      <c r="BG261" s="3" t="n">
        <v>1</v>
      </c>
      <c r="BH261" s="3" t="n">
        <v>4</v>
      </c>
      <c r="BI261" s="3" t="n">
        <v>1</v>
      </c>
      <c r="BJ261" s="3" t="n">
        <v>1</v>
      </c>
    </row>
    <row r="262" customFormat="false" ht="12.75" hidden="false" customHeight="false" outlineLevel="0" collapsed="false">
      <c r="B262" s="2" t="s">
        <v>2434</v>
      </c>
      <c r="C262" s="2" t="s">
        <v>109</v>
      </c>
      <c r="D262" s="2" t="s">
        <v>222</v>
      </c>
      <c r="E262" s="2" t="n">
        <v>202043</v>
      </c>
      <c r="F262" s="15" t="n">
        <v>44094</v>
      </c>
      <c r="G262" s="15" t="n">
        <v>44100</v>
      </c>
      <c r="H262" s="3" t="n">
        <v>6</v>
      </c>
      <c r="I262" s="3" t="n">
        <v>2</v>
      </c>
      <c r="J262" s="3" t="n">
        <v>83</v>
      </c>
      <c r="K262" s="3" t="n">
        <v>1</v>
      </c>
      <c r="L262" s="3" t="n">
        <v>2</v>
      </c>
      <c r="M262" s="3" t="n">
        <v>1</v>
      </c>
      <c r="N262" s="3" t="n">
        <v>2</v>
      </c>
      <c r="O262" s="3" t="n">
        <v>2</v>
      </c>
      <c r="P262" s="3" t="n">
        <v>2</v>
      </c>
      <c r="Q262" s="3" t="n">
        <v>2</v>
      </c>
      <c r="R262" s="3" t="n">
        <v>2</v>
      </c>
      <c r="S262" s="3" t="n">
        <v>2</v>
      </c>
      <c r="T262" s="4" t="n">
        <v>1</v>
      </c>
      <c r="U262" s="3" t="n">
        <v>1</v>
      </c>
      <c r="V262" s="3" t="n">
        <v>4.19</v>
      </c>
      <c r="W262" s="3" t="n">
        <v>1.18</v>
      </c>
      <c r="X262" s="3" t="n">
        <v>5.83</v>
      </c>
      <c r="Y262" s="3" t="n">
        <v>349</v>
      </c>
      <c r="AA262" s="3" t="n">
        <v>0.45</v>
      </c>
      <c r="AB262" s="3" t="n">
        <v>9</v>
      </c>
      <c r="AC262" s="3"/>
      <c r="AD262" s="3" t="n">
        <v>2</v>
      </c>
      <c r="AE262" s="3" t="n">
        <v>1</v>
      </c>
      <c r="AF262" s="3" t="n">
        <v>1</v>
      </c>
      <c r="AG262" s="3" t="n">
        <v>2</v>
      </c>
      <c r="AH262" s="3" t="n">
        <v>2</v>
      </c>
      <c r="AI262" s="3" t="n">
        <v>1</v>
      </c>
      <c r="AJ262" s="3" t="n">
        <v>2</v>
      </c>
      <c r="AK262" s="3" t="n">
        <v>2</v>
      </c>
      <c r="AL262" s="3" t="n">
        <v>2</v>
      </c>
      <c r="AM262" s="3" t="n">
        <v>2</v>
      </c>
      <c r="AN262" s="3" t="n">
        <v>2</v>
      </c>
      <c r="AO262" s="3" t="n">
        <v>2</v>
      </c>
      <c r="AP262" s="3" t="n">
        <v>3</v>
      </c>
      <c r="AQ262" s="3" t="n">
        <v>4</v>
      </c>
      <c r="AR262" s="3" t="n">
        <v>4</v>
      </c>
      <c r="AS262" s="3" t="n">
        <v>6</v>
      </c>
      <c r="AT262" s="3" t="n">
        <v>4</v>
      </c>
      <c r="AU262" s="3" t="n">
        <v>4</v>
      </c>
      <c r="AV262" s="3" t="n">
        <v>6</v>
      </c>
      <c r="AW262" s="3" t="n">
        <v>6</v>
      </c>
      <c r="AX262" s="3" t="n">
        <v>3</v>
      </c>
      <c r="AY262" s="3" t="n">
        <v>3</v>
      </c>
      <c r="AZ262" s="3" t="n">
        <v>1</v>
      </c>
      <c r="BA262" s="5" t="n">
        <v>1</v>
      </c>
      <c r="BB262" s="3" t="n">
        <v>1</v>
      </c>
      <c r="BC262" s="3" t="n">
        <v>1</v>
      </c>
      <c r="BD262" s="3" t="n">
        <v>6</v>
      </c>
      <c r="BE262" s="3" t="n">
        <v>3</v>
      </c>
      <c r="BF262" s="3" t="n">
        <v>5</v>
      </c>
      <c r="BG262" s="3" t="n">
        <v>3</v>
      </c>
      <c r="BH262" s="3" t="n">
        <v>4</v>
      </c>
      <c r="BI262" s="3" t="n">
        <v>1</v>
      </c>
      <c r="BJ262" s="3" t="n">
        <v>1</v>
      </c>
    </row>
    <row r="263" customFormat="false" ht="12.75" hidden="false" customHeight="false" outlineLevel="0" collapsed="false">
      <c r="B263" s="2" t="s">
        <v>1832</v>
      </c>
      <c r="C263" s="2" t="s">
        <v>808</v>
      </c>
      <c r="D263" s="2" t="s">
        <v>780</v>
      </c>
      <c r="E263" s="2" t="n">
        <v>202507</v>
      </c>
      <c r="F263" s="15" t="n">
        <v>44098</v>
      </c>
      <c r="G263" s="15" t="n">
        <v>44105</v>
      </c>
      <c r="H263" s="3" t="n">
        <v>6</v>
      </c>
      <c r="I263" s="3" t="n">
        <v>2</v>
      </c>
      <c r="J263" s="3" t="n">
        <v>68</v>
      </c>
      <c r="K263" s="3" t="n">
        <v>1</v>
      </c>
      <c r="L263" s="3" t="n">
        <v>1</v>
      </c>
      <c r="M263" s="3" t="n">
        <v>1</v>
      </c>
      <c r="N263" s="3" t="n">
        <v>2</v>
      </c>
      <c r="O263" s="3" t="n">
        <v>2</v>
      </c>
      <c r="P263" s="3" t="n">
        <v>2</v>
      </c>
      <c r="Q263" s="3" t="n">
        <v>2</v>
      </c>
      <c r="R263" s="3" t="n">
        <v>2</v>
      </c>
      <c r="S263" s="3" t="n">
        <v>1</v>
      </c>
      <c r="T263" s="4" t="n">
        <v>2</v>
      </c>
      <c r="U263" s="3" t="n">
        <v>2</v>
      </c>
      <c r="V263" s="3" t="n">
        <v>4.46</v>
      </c>
      <c r="W263" s="3" t="n">
        <v>1.82</v>
      </c>
      <c r="X263" s="3" t="n">
        <v>5.3</v>
      </c>
      <c r="Y263" s="3" t="n">
        <v>398</v>
      </c>
      <c r="AA263" s="3" t="n">
        <v>0.47</v>
      </c>
      <c r="AB263" s="3" t="n">
        <v>13</v>
      </c>
      <c r="AC263" s="3" t="n">
        <v>1</v>
      </c>
      <c r="AD263" s="3" t="n">
        <v>2</v>
      </c>
      <c r="AE263" s="3" t="n">
        <v>1</v>
      </c>
      <c r="AF263" s="3" t="n">
        <v>1</v>
      </c>
      <c r="AG263" s="3" t="n">
        <v>2</v>
      </c>
      <c r="AH263" s="3" t="n">
        <v>2</v>
      </c>
      <c r="AI263" s="3" t="n">
        <v>1</v>
      </c>
      <c r="AJ263" s="3" t="n">
        <v>1</v>
      </c>
      <c r="AK263" s="3" t="n">
        <v>2</v>
      </c>
      <c r="AL263" s="3" t="n">
        <v>2</v>
      </c>
      <c r="AM263" s="3" t="n">
        <v>2</v>
      </c>
      <c r="AN263" s="3" t="n">
        <v>2</v>
      </c>
      <c r="AO263" s="3" t="n">
        <v>2</v>
      </c>
      <c r="AP263" s="3" t="n">
        <v>3</v>
      </c>
      <c r="AQ263" s="3" t="n">
        <v>4</v>
      </c>
      <c r="AR263" s="3" t="n">
        <v>4</v>
      </c>
      <c r="AS263" s="3" t="n">
        <v>6</v>
      </c>
      <c r="AT263" s="3" t="n">
        <v>4</v>
      </c>
      <c r="AU263" s="3" t="n">
        <v>4</v>
      </c>
      <c r="AV263" s="3" t="n">
        <v>6</v>
      </c>
      <c r="AW263" s="3" t="n">
        <v>6</v>
      </c>
      <c r="AX263" s="3" t="n">
        <v>3</v>
      </c>
      <c r="AY263" s="3" t="n">
        <v>3</v>
      </c>
      <c r="AZ263" s="3" t="n">
        <v>1</v>
      </c>
      <c r="BA263" s="5" t="n">
        <v>1</v>
      </c>
      <c r="BB263" s="3" t="n">
        <v>1</v>
      </c>
      <c r="BC263" s="3" t="n">
        <v>1</v>
      </c>
      <c r="BD263" s="3" t="n">
        <v>2</v>
      </c>
      <c r="BE263" s="3" t="n">
        <v>3</v>
      </c>
      <c r="BF263" s="3" t="n">
        <v>5</v>
      </c>
      <c r="BG263" s="3" t="n">
        <v>3</v>
      </c>
      <c r="BH263" s="3" t="n">
        <v>4</v>
      </c>
      <c r="BI263" s="3" t="n">
        <v>1</v>
      </c>
      <c r="BJ263" s="3" t="n">
        <v>1</v>
      </c>
    </row>
    <row r="264" customFormat="false" ht="12.75" hidden="false" customHeight="false" outlineLevel="0" collapsed="false">
      <c r="B264" s="2" t="s">
        <v>2448</v>
      </c>
      <c r="C264" s="2" t="s">
        <v>2449</v>
      </c>
      <c r="D264" s="2" t="s">
        <v>78</v>
      </c>
      <c r="E264" s="2" t="n">
        <v>202530</v>
      </c>
      <c r="F264" s="15" t="n">
        <v>44098</v>
      </c>
      <c r="G264" s="15" t="n">
        <v>44105</v>
      </c>
      <c r="H264" s="3" t="n">
        <v>6</v>
      </c>
      <c r="I264" s="3" t="n">
        <v>1</v>
      </c>
      <c r="J264" s="3" t="n">
        <v>58</v>
      </c>
      <c r="K264" s="3" t="n">
        <v>1</v>
      </c>
      <c r="L264" s="3" t="n">
        <v>1</v>
      </c>
      <c r="M264" s="3" t="n">
        <v>1</v>
      </c>
      <c r="N264" s="3" t="n">
        <v>2</v>
      </c>
      <c r="O264" s="3" t="n">
        <v>1</v>
      </c>
      <c r="P264" s="3" t="n">
        <v>2</v>
      </c>
      <c r="Q264" s="3" t="n">
        <v>1</v>
      </c>
      <c r="R264" s="3" t="n">
        <v>2</v>
      </c>
      <c r="S264" s="3" t="n">
        <v>2</v>
      </c>
      <c r="T264" s="4" t="n">
        <v>2</v>
      </c>
      <c r="U264" s="3" t="n">
        <v>2</v>
      </c>
      <c r="V264" s="3" t="n">
        <v>5.73</v>
      </c>
      <c r="W264" s="3" t="n">
        <v>1.48</v>
      </c>
      <c r="X264" s="3" t="n">
        <v>7.15</v>
      </c>
      <c r="Y264" s="3" t="n">
        <v>356</v>
      </c>
      <c r="AA264" s="3" t="n">
        <v>0.42</v>
      </c>
      <c r="AB264" s="3" t="n">
        <v>18</v>
      </c>
      <c r="AC264" s="3" t="n">
        <v>1</v>
      </c>
      <c r="AD264" s="3" t="n">
        <v>2</v>
      </c>
      <c r="AE264" s="3" t="n">
        <v>1</v>
      </c>
      <c r="AF264" s="3" t="n">
        <v>1</v>
      </c>
      <c r="AG264" s="3" t="n">
        <v>2</v>
      </c>
      <c r="AH264" s="3" t="n">
        <v>1</v>
      </c>
      <c r="AI264" s="3" t="n">
        <v>1</v>
      </c>
      <c r="AJ264" s="3" t="n">
        <v>2</v>
      </c>
      <c r="AK264" s="3" t="n">
        <v>2</v>
      </c>
      <c r="AL264" s="3" t="n">
        <v>2</v>
      </c>
      <c r="AM264" s="3" t="n">
        <v>2</v>
      </c>
      <c r="AN264" s="3" t="n">
        <v>2</v>
      </c>
      <c r="AO264" s="3" t="n">
        <v>2</v>
      </c>
      <c r="AP264" s="3" t="n">
        <v>3</v>
      </c>
      <c r="AQ264" s="3" t="n">
        <v>4</v>
      </c>
      <c r="AR264" s="3" t="n">
        <v>4</v>
      </c>
      <c r="AS264" s="3" t="n">
        <v>6</v>
      </c>
      <c r="AT264" s="3" t="n">
        <v>4</v>
      </c>
      <c r="AU264" s="3" t="n">
        <v>4</v>
      </c>
      <c r="AV264" s="3" t="n">
        <v>6</v>
      </c>
      <c r="AW264" s="3" t="n">
        <v>6</v>
      </c>
      <c r="AX264" s="3" t="n">
        <v>3</v>
      </c>
      <c r="AY264" s="3" t="n">
        <v>3</v>
      </c>
      <c r="AZ264" s="3" t="n">
        <v>1</v>
      </c>
      <c r="BA264" s="5" t="n">
        <v>1</v>
      </c>
      <c r="BB264" s="3" t="n">
        <v>1</v>
      </c>
      <c r="BC264" s="3" t="n">
        <v>1</v>
      </c>
      <c r="BD264" s="3" t="n">
        <v>4</v>
      </c>
      <c r="BE264" s="3" t="n">
        <v>1</v>
      </c>
      <c r="BF264" s="3" t="n">
        <v>2</v>
      </c>
      <c r="BG264" s="3" t="n">
        <v>1</v>
      </c>
      <c r="BH264" s="3" t="n">
        <v>4</v>
      </c>
      <c r="BI264" s="3" t="n">
        <v>1</v>
      </c>
      <c r="BJ264" s="3" t="n">
        <v>1</v>
      </c>
    </row>
    <row r="265" customFormat="false" ht="12.75" hidden="false" customHeight="false" outlineLevel="0" collapsed="false">
      <c r="B265" s="2" t="s">
        <v>912</v>
      </c>
      <c r="C265" s="2" t="s">
        <v>1984</v>
      </c>
      <c r="D265" s="2" t="s">
        <v>414</v>
      </c>
      <c r="E265" s="2" t="n">
        <v>202718</v>
      </c>
      <c r="F265" s="15" t="n">
        <v>44104</v>
      </c>
      <c r="G265" s="15" t="n">
        <v>44110</v>
      </c>
      <c r="H265" s="3" t="n">
        <v>7</v>
      </c>
      <c r="I265" s="3" t="n">
        <v>2</v>
      </c>
      <c r="J265" s="3" t="n">
        <v>49</v>
      </c>
      <c r="K265" s="3" t="n">
        <v>1</v>
      </c>
      <c r="L265" s="3" t="n">
        <v>1</v>
      </c>
      <c r="M265" s="3" t="n">
        <v>1</v>
      </c>
      <c r="N265" s="3" t="n">
        <v>2</v>
      </c>
      <c r="O265" s="3" t="n">
        <v>2</v>
      </c>
      <c r="P265" s="3" t="n">
        <v>2</v>
      </c>
      <c r="Q265" s="3" t="n">
        <v>2</v>
      </c>
      <c r="R265" s="3" t="n">
        <v>2</v>
      </c>
      <c r="S265" s="3" t="n">
        <v>2</v>
      </c>
      <c r="T265" s="4" t="n">
        <v>2</v>
      </c>
      <c r="U265" s="3" t="n">
        <v>2</v>
      </c>
      <c r="V265" s="3" t="n">
        <v>4.97</v>
      </c>
      <c r="W265" s="3" t="n">
        <v>2.03</v>
      </c>
      <c r="X265" s="3" t="n">
        <v>3.34</v>
      </c>
      <c r="Y265" s="3" t="n">
        <v>346</v>
      </c>
      <c r="AA265" s="3" t="n">
        <v>0.5</v>
      </c>
      <c r="AB265" s="3" t="n">
        <v>8.1</v>
      </c>
      <c r="AC265" s="3" t="n">
        <v>1</v>
      </c>
      <c r="AD265" s="3" t="n">
        <v>2</v>
      </c>
      <c r="AE265" s="3" t="n">
        <v>1</v>
      </c>
      <c r="AF265" s="3" t="n">
        <v>1</v>
      </c>
      <c r="AG265" s="3" t="n">
        <v>1</v>
      </c>
      <c r="AH265" s="3" t="n">
        <v>2</v>
      </c>
      <c r="AI265" s="3" t="n">
        <v>1</v>
      </c>
      <c r="AJ265" s="3" t="n">
        <v>2</v>
      </c>
      <c r="AK265" s="3" t="n">
        <v>2</v>
      </c>
      <c r="AL265" s="3" t="n">
        <v>2</v>
      </c>
      <c r="AM265" s="3" t="n">
        <v>2</v>
      </c>
      <c r="AN265" s="3" t="n">
        <v>2</v>
      </c>
      <c r="AO265" s="3" t="n">
        <v>2</v>
      </c>
      <c r="AP265" s="3" t="n">
        <v>3</v>
      </c>
      <c r="AQ265" s="3" t="n">
        <v>4</v>
      </c>
      <c r="AR265" s="3" t="n">
        <v>4</v>
      </c>
      <c r="AS265" s="3" t="n">
        <v>6</v>
      </c>
      <c r="AT265" s="3" t="n">
        <v>4</v>
      </c>
      <c r="AU265" s="3" t="n">
        <v>4</v>
      </c>
      <c r="AV265" s="3" t="n">
        <v>6</v>
      </c>
      <c r="AW265" s="3" t="n">
        <v>6</v>
      </c>
      <c r="AX265" s="3" t="n">
        <v>3</v>
      </c>
      <c r="AY265" s="3" t="n">
        <v>3</v>
      </c>
      <c r="AZ265" s="3" t="n">
        <v>1</v>
      </c>
      <c r="BA265" s="5" t="n">
        <v>1</v>
      </c>
      <c r="BB265" s="3" t="n">
        <v>1</v>
      </c>
      <c r="BC265" s="3" t="n">
        <v>1</v>
      </c>
      <c r="BD265" s="3" t="n">
        <v>4</v>
      </c>
      <c r="BE265" s="3" t="n">
        <v>1</v>
      </c>
      <c r="BF265" s="3" t="n">
        <v>1</v>
      </c>
      <c r="BG265" s="3" t="n">
        <v>1</v>
      </c>
      <c r="BH265" s="3" t="n">
        <v>4</v>
      </c>
      <c r="BI265" s="3" t="n">
        <v>1</v>
      </c>
      <c r="BJ265" s="3" t="n">
        <v>1</v>
      </c>
    </row>
    <row r="266" customFormat="false" ht="12.75" hidden="false" customHeight="false" outlineLevel="0" collapsed="false">
      <c r="B266" s="2" t="s">
        <v>2457</v>
      </c>
      <c r="C266" s="2" t="s">
        <v>826</v>
      </c>
      <c r="D266" s="2" t="s">
        <v>118</v>
      </c>
      <c r="E266" s="2" t="n">
        <v>202667</v>
      </c>
      <c r="F266" s="15" t="n">
        <v>44104</v>
      </c>
      <c r="G266" s="15" t="n">
        <v>44111</v>
      </c>
      <c r="H266" s="3" t="n">
        <v>7</v>
      </c>
      <c r="I266" s="3" t="n">
        <v>2</v>
      </c>
      <c r="J266" s="3" t="n">
        <v>71</v>
      </c>
      <c r="K266" s="3" t="n">
        <v>2</v>
      </c>
      <c r="L266" s="3" t="n">
        <v>1</v>
      </c>
      <c r="M266" s="3" t="n">
        <v>2</v>
      </c>
      <c r="N266" s="3" t="n">
        <v>2</v>
      </c>
      <c r="O266" s="3" t="n">
        <v>2</v>
      </c>
      <c r="P266" s="3" t="n">
        <v>2</v>
      </c>
      <c r="Q266" s="3" t="n">
        <v>2</v>
      </c>
      <c r="R266" s="3" t="n">
        <v>2</v>
      </c>
      <c r="S266" s="3" t="n">
        <v>2</v>
      </c>
      <c r="T266" s="4" t="n">
        <v>2</v>
      </c>
      <c r="U266" s="3" t="n">
        <v>2</v>
      </c>
      <c r="V266" s="3" t="n">
        <v>3.8</v>
      </c>
      <c r="W266" s="3" t="n">
        <v>2.12</v>
      </c>
      <c r="X266" s="3" t="n">
        <v>11.8</v>
      </c>
      <c r="Y266" s="3" t="n">
        <v>482</v>
      </c>
      <c r="AA266" s="3" t="n">
        <v>0.41</v>
      </c>
      <c r="AB266" s="3" t="n">
        <v>18.3</v>
      </c>
      <c r="AC266" s="3" t="n">
        <v>1</v>
      </c>
      <c r="AD266" s="3" t="n">
        <v>1</v>
      </c>
      <c r="AE266" s="3" t="n">
        <v>1</v>
      </c>
      <c r="AF266" s="3" t="n">
        <v>1</v>
      </c>
      <c r="AG266" s="3" t="n">
        <v>1</v>
      </c>
      <c r="AH266" s="3" t="n">
        <v>2</v>
      </c>
      <c r="AI266" s="3" t="n">
        <v>1</v>
      </c>
      <c r="AJ266" s="3" t="n">
        <v>2</v>
      </c>
      <c r="AK266" s="3" t="n">
        <v>2</v>
      </c>
      <c r="AL266" s="3" t="n">
        <v>2</v>
      </c>
      <c r="AM266" s="3" t="n">
        <v>2</v>
      </c>
      <c r="AN266" s="3" t="n">
        <v>2</v>
      </c>
      <c r="AO266" s="3" t="n">
        <v>2</v>
      </c>
      <c r="AP266" s="3" t="n">
        <v>3</v>
      </c>
      <c r="AQ266" s="3" t="n">
        <v>4</v>
      </c>
      <c r="AR266" s="3" t="n">
        <v>4</v>
      </c>
      <c r="AS266" s="3" t="n">
        <v>6</v>
      </c>
      <c r="AT266" s="3" t="n">
        <v>4</v>
      </c>
      <c r="AU266" s="3" t="n">
        <v>4</v>
      </c>
      <c r="AV266" s="3" t="n">
        <v>6</v>
      </c>
      <c r="AW266" s="3" t="n">
        <v>6</v>
      </c>
      <c r="AX266" s="3" t="n">
        <v>3</v>
      </c>
      <c r="AY266" s="3" t="n">
        <v>3</v>
      </c>
      <c r="AZ266" s="3" t="n">
        <v>1</v>
      </c>
      <c r="BA266" s="5" t="n">
        <v>1</v>
      </c>
      <c r="BB266" s="3" t="n">
        <v>1</v>
      </c>
      <c r="BC266" s="3" t="n">
        <v>1</v>
      </c>
      <c r="BD266" s="3" t="n">
        <v>4</v>
      </c>
      <c r="BE266" s="3" t="n">
        <v>1</v>
      </c>
      <c r="BF266" s="3" t="n">
        <v>2</v>
      </c>
      <c r="BG266" s="3" t="n">
        <v>1</v>
      </c>
      <c r="BH266" s="3" t="n">
        <v>4</v>
      </c>
      <c r="BI266" s="3" t="n">
        <v>1</v>
      </c>
      <c r="BJ266" s="3" t="n">
        <v>1</v>
      </c>
    </row>
    <row r="267" customFormat="false" ht="12.75" hidden="false" customHeight="false" outlineLevel="0" collapsed="false">
      <c r="B267" s="2" t="s">
        <v>2460</v>
      </c>
      <c r="C267" s="2" t="s">
        <v>2461</v>
      </c>
      <c r="D267" s="2" t="s">
        <v>898</v>
      </c>
      <c r="E267" s="2" t="n">
        <v>202757</v>
      </c>
      <c r="F267" s="15" t="n">
        <v>44106</v>
      </c>
      <c r="G267" s="15" t="n">
        <v>44112</v>
      </c>
      <c r="H267" s="3" t="n">
        <v>6</v>
      </c>
      <c r="I267" s="3" t="n">
        <v>2</v>
      </c>
      <c r="J267" s="3" t="n">
        <v>71</v>
      </c>
      <c r="K267" s="3" t="n">
        <v>1</v>
      </c>
      <c r="L267" s="3" t="n">
        <v>1</v>
      </c>
      <c r="M267" s="3" t="n">
        <v>2</v>
      </c>
      <c r="N267" s="3" t="n">
        <v>2</v>
      </c>
      <c r="O267" s="3" t="n">
        <v>2</v>
      </c>
      <c r="P267" s="3" t="n">
        <v>2</v>
      </c>
      <c r="Q267" s="3" t="n">
        <v>2</v>
      </c>
      <c r="R267" s="3" t="n">
        <v>2</v>
      </c>
      <c r="S267" s="3" t="n">
        <v>2</v>
      </c>
      <c r="T267" s="4" t="n">
        <v>2</v>
      </c>
      <c r="U267" s="3" t="n">
        <v>2</v>
      </c>
      <c r="V267" s="3" t="n">
        <v>3.88</v>
      </c>
      <c r="W267" s="3" t="n">
        <v>0.68</v>
      </c>
      <c r="X267" s="3" t="n">
        <v>5.86</v>
      </c>
      <c r="Y267" s="3" t="n">
        <v>359</v>
      </c>
      <c r="AA267" s="3" t="n">
        <v>0.44</v>
      </c>
      <c r="AB267" s="3" t="n">
        <v>12.4</v>
      </c>
      <c r="AC267" s="3" t="n">
        <v>1</v>
      </c>
      <c r="AD267" s="3" t="n">
        <v>2</v>
      </c>
      <c r="AE267" s="3" t="n">
        <v>1</v>
      </c>
      <c r="AF267" s="3" t="n">
        <v>1</v>
      </c>
      <c r="AG267" s="3" t="n">
        <v>1</v>
      </c>
      <c r="AH267" s="3" t="n">
        <v>2</v>
      </c>
      <c r="AI267" s="3" t="n">
        <v>1</v>
      </c>
      <c r="AJ267" s="3" t="n">
        <v>2</v>
      </c>
      <c r="AK267" s="3" t="n">
        <v>2</v>
      </c>
      <c r="AL267" s="3" t="n">
        <v>2</v>
      </c>
      <c r="AM267" s="3" t="n">
        <v>2</v>
      </c>
      <c r="AN267" s="3" t="n">
        <v>2</v>
      </c>
      <c r="AO267" s="3" t="n">
        <v>2</v>
      </c>
      <c r="AP267" s="3" t="n">
        <v>3</v>
      </c>
      <c r="AQ267" s="3" t="n">
        <v>4</v>
      </c>
      <c r="AR267" s="3" t="n">
        <v>4</v>
      </c>
      <c r="AS267" s="3" t="n">
        <v>6</v>
      </c>
      <c r="AT267" s="3" t="n">
        <v>4</v>
      </c>
      <c r="AU267" s="3" t="n">
        <v>4</v>
      </c>
      <c r="AV267" s="3" t="n">
        <v>6</v>
      </c>
      <c r="AW267" s="3" t="n">
        <v>6</v>
      </c>
      <c r="AX267" s="3" t="n">
        <v>3</v>
      </c>
      <c r="AY267" s="3" t="n">
        <v>3</v>
      </c>
      <c r="AZ267" s="3" t="n">
        <v>1</v>
      </c>
      <c r="BA267" s="5" t="n">
        <v>1</v>
      </c>
      <c r="BB267" s="3" t="n">
        <v>1</v>
      </c>
      <c r="BC267" s="3" t="n">
        <v>1</v>
      </c>
      <c r="BD267" s="3" t="n">
        <v>4</v>
      </c>
      <c r="BE267" s="3" t="n">
        <v>2</v>
      </c>
      <c r="BF267" s="3" t="n">
        <v>5</v>
      </c>
      <c r="BG267" s="3" t="n">
        <v>3</v>
      </c>
      <c r="BH267" s="3" t="n">
        <v>4</v>
      </c>
      <c r="BI267" s="3" t="n">
        <v>1</v>
      </c>
      <c r="BJ267" s="3" t="n">
        <v>1</v>
      </c>
    </row>
    <row r="268" customFormat="false" ht="12.75" hidden="false" customHeight="false" outlineLevel="0" collapsed="false">
      <c r="B268" s="2" t="s">
        <v>394</v>
      </c>
      <c r="C268" s="2" t="s">
        <v>2463</v>
      </c>
      <c r="D268" s="2" t="s">
        <v>2464</v>
      </c>
      <c r="E268" s="2" t="n">
        <v>202721</v>
      </c>
      <c r="F268" s="15" t="n">
        <v>44105</v>
      </c>
      <c r="G268" s="15" t="n">
        <v>44112</v>
      </c>
      <c r="H268" s="3" t="n">
        <v>7</v>
      </c>
      <c r="I268" s="3" t="n">
        <v>2</v>
      </c>
      <c r="J268" s="3" t="n">
        <v>63</v>
      </c>
      <c r="K268" s="3" t="n">
        <v>1</v>
      </c>
      <c r="L268" s="3" t="n">
        <v>2</v>
      </c>
      <c r="M268" s="3" t="n">
        <v>2</v>
      </c>
      <c r="N268" s="3" t="n">
        <v>2</v>
      </c>
      <c r="O268" s="3" t="n">
        <v>2</v>
      </c>
      <c r="P268" s="3" t="n">
        <v>2</v>
      </c>
      <c r="Q268" s="3" t="n">
        <v>2</v>
      </c>
      <c r="R268" s="3" t="n">
        <v>2</v>
      </c>
      <c r="S268" s="3" t="n">
        <v>2</v>
      </c>
      <c r="T268" s="4" t="n">
        <v>2</v>
      </c>
      <c r="U268" s="3" t="n">
        <v>2</v>
      </c>
      <c r="V268" s="3" t="n">
        <v>3.21</v>
      </c>
      <c r="W268" s="3" t="n">
        <v>1.76</v>
      </c>
      <c r="X268" s="3" t="n">
        <v>5.11</v>
      </c>
      <c r="Y268" s="3" t="n">
        <v>363</v>
      </c>
      <c r="AA268" s="3" t="n">
        <v>0.45</v>
      </c>
      <c r="AB268" s="3" t="n">
        <v>6.8</v>
      </c>
      <c r="AC268" s="3" t="n">
        <v>1</v>
      </c>
      <c r="AD268" s="3" t="n">
        <v>2</v>
      </c>
      <c r="AE268" s="3" t="n">
        <v>1</v>
      </c>
      <c r="AF268" s="3" t="n">
        <v>1</v>
      </c>
      <c r="AG268" s="3" t="n">
        <v>2</v>
      </c>
      <c r="AH268" s="3" t="n">
        <v>2</v>
      </c>
      <c r="AI268" s="3" t="n">
        <v>1</v>
      </c>
      <c r="AJ268" s="3" t="n">
        <v>2</v>
      </c>
      <c r="AK268" s="3" t="n">
        <v>2</v>
      </c>
      <c r="AL268" s="3" t="n">
        <v>2</v>
      </c>
      <c r="AM268" s="3" t="n">
        <v>2</v>
      </c>
      <c r="AN268" s="3" t="n">
        <v>1</v>
      </c>
      <c r="AO268" s="3" t="n">
        <v>2</v>
      </c>
      <c r="AP268" s="3" t="n">
        <v>3</v>
      </c>
      <c r="AQ268" s="3" t="n">
        <v>4</v>
      </c>
      <c r="AR268" s="3" t="n">
        <v>4</v>
      </c>
      <c r="AS268" s="3" t="n">
        <v>6</v>
      </c>
      <c r="AT268" s="3" t="n">
        <v>4</v>
      </c>
      <c r="AU268" s="3" t="n">
        <v>4</v>
      </c>
      <c r="AV268" s="3" t="n">
        <v>6</v>
      </c>
      <c r="AW268" s="3" t="n">
        <v>6</v>
      </c>
      <c r="AX268" s="3" t="n">
        <v>3</v>
      </c>
      <c r="AY268" s="3" t="n">
        <v>3</v>
      </c>
      <c r="AZ268" s="3" t="n">
        <v>1</v>
      </c>
      <c r="BA268" s="5" t="n">
        <v>1</v>
      </c>
      <c r="BB268" s="3" t="n">
        <v>1</v>
      </c>
      <c r="BC268" s="3" t="n">
        <v>1</v>
      </c>
      <c r="BD268" s="3" t="n">
        <v>2</v>
      </c>
      <c r="BE268" s="3" t="n">
        <v>1</v>
      </c>
      <c r="BF268" s="3" t="n">
        <v>1</v>
      </c>
      <c r="BG268" s="3" t="n">
        <v>1</v>
      </c>
      <c r="BH268" s="3" t="n">
        <v>4</v>
      </c>
      <c r="BI268" s="3" t="n">
        <v>1</v>
      </c>
      <c r="BJ268" s="3" t="n">
        <v>1</v>
      </c>
    </row>
    <row r="269" customFormat="false" ht="12.75" hidden="false" customHeight="false" outlineLevel="0" collapsed="false">
      <c r="B269" s="2" t="s">
        <v>2473</v>
      </c>
      <c r="C269" s="2" t="s">
        <v>846</v>
      </c>
      <c r="D269" s="2" t="s">
        <v>458</v>
      </c>
      <c r="E269" s="2" t="n">
        <v>202700</v>
      </c>
      <c r="F269" s="15" t="n">
        <v>44109</v>
      </c>
      <c r="G269" s="15" t="n">
        <v>44116</v>
      </c>
      <c r="H269" s="3" t="n">
        <v>7</v>
      </c>
      <c r="I269" s="3" t="n">
        <v>2</v>
      </c>
      <c r="J269" s="3" t="n">
        <v>79</v>
      </c>
      <c r="K269" s="3" t="n">
        <v>1</v>
      </c>
      <c r="L269" s="3" t="n">
        <v>1</v>
      </c>
      <c r="M269" s="3" t="n">
        <v>1</v>
      </c>
      <c r="N269" s="3" t="n">
        <v>2</v>
      </c>
      <c r="O269" s="3" t="n">
        <v>2</v>
      </c>
      <c r="P269" s="3" t="n">
        <v>2</v>
      </c>
      <c r="Q269" s="3" t="n">
        <v>2</v>
      </c>
      <c r="R269" s="3" t="n">
        <v>2</v>
      </c>
      <c r="S269" s="3" t="n">
        <v>2</v>
      </c>
      <c r="T269" s="4" t="n">
        <v>2</v>
      </c>
      <c r="U269" s="3" t="n">
        <v>2</v>
      </c>
      <c r="V269" s="3" t="n">
        <v>5.81</v>
      </c>
      <c r="W269" s="3" t="n">
        <v>0.64</v>
      </c>
      <c r="X269" s="3" t="n">
        <v>6.9</v>
      </c>
      <c r="Y269" s="3" t="n">
        <v>443</v>
      </c>
      <c r="AA269" s="3" t="n">
        <v>0.52</v>
      </c>
      <c r="AB269" s="3" t="n">
        <v>15.6</v>
      </c>
      <c r="AC269" s="3" t="n">
        <v>1</v>
      </c>
      <c r="AD269" s="3" t="n">
        <v>2</v>
      </c>
      <c r="AE269" s="3" t="n">
        <v>1</v>
      </c>
      <c r="AF269" s="3" t="n">
        <v>1</v>
      </c>
      <c r="AG269" s="3" t="n">
        <v>1</v>
      </c>
      <c r="AH269" s="3" t="n">
        <v>2</v>
      </c>
      <c r="AI269" s="3" t="n">
        <v>1</v>
      </c>
      <c r="AJ269" s="3" t="n">
        <v>2</v>
      </c>
      <c r="AK269" s="3" t="n">
        <v>2</v>
      </c>
      <c r="AL269" s="3" t="n">
        <v>2</v>
      </c>
      <c r="AM269" s="3" t="n">
        <v>1</v>
      </c>
      <c r="AN269" s="3" t="n">
        <v>2</v>
      </c>
      <c r="AO269" s="3" t="n">
        <v>2</v>
      </c>
      <c r="AP269" s="3" t="n">
        <v>3</v>
      </c>
      <c r="AQ269" s="3" t="n">
        <v>4</v>
      </c>
      <c r="AR269" s="3" t="n">
        <v>4</v>
      </c>
      <c r="AS269" s="3" t="n">
        <v>6</v>
      </c>
      <c r="AT269" s="3" t="n">
        <v>4</v>
      </c>
      <c r="AU269" s="3" t="n">
        <v>4</v>
      </c>
      <c r="AV269" s="3" t="n">
        <v>6</v>
      </c>
      <c r="AW269" s="3" t="n">
        <v>6</v>
      </c>
      <c r="AX269" s="3" t="n">
        <v>3</v>
      </c>
      <c r="AY269" s="3" t="n">
        <v>3</v>
      </c>
      <c r="AZ269" s="3" t="n">
        <v>1</v>
      </c>
      <c r="BA269" s="5" t="n">
        <v>1</v>
      </c>
      <c r="BB269" s="3" t="n">
        <v>1</v>
      </c>
      <c r="BC269" s="3" t="n">
        <v>1</v>
      </c>
      <c r="BD269" s="3" t="n">
        <v>2</v>
      </c>
      <c r="BE269" s="3" t="n">
        <v>3</v>
      </c>
      <c r="BF269" s="3" t="n">
        <v>5</v>
      </c>
      <c r="BG269" s="3" t="n">
        <v>3</v>
      </c>
      <c r="BH269" s="3" t="n">
        <v>4</v>
      </c>
      <c r="BI269" s="3" t="n">
        <v>1</v>
      </c>
      <c r="BJ269" s="3" t="n">
        <v>1</v>
      </c>
    </row>
    <row r="270" customFormat="false" ht="12.75" hidden="false" customHeight="false" outlineLevel="0" collapsed="false">
      <c r="B270" s="2" t="s">
        <v>2475</v>
      </c>
      <c r="C270" s="2" t="s">
        <v>2476</v>
      </c>
      <c r="D270" s="2" t="s">
        <v>197</v>
      </c>
      <c r="E270" s="2" t="n">
        <v>202735</v>
      </c>
      <c r="F270" s="15" t="n">
        <v>44110</v>
      </c>
      <c r="G270" s="15" t="n">
        <v>44116</v>
      </c>
      <c r="H270" s="3" t="n">
        <v>6</v>
      </c>
      <c r="I270" s="3" t="n">
        <v>2</v>
      </c>
      <c r="J270" s="3" t="n">
        <v>66</v>
      </c>
      <c r="K270" s="3" t="n">
        <v>1</v>
      </c>
      <c r="L270" s="3" t="n">
        <v>1</v>
      </c>
      <c r="M270" s="3" t="n">
        <v>1</v>
      </c>
      <c r="N270" s="3" t="n">
        <v>2</v>
      </c>
      <c r="O270" s="3" t="n">
        <v>2</v>
      </c>
      <c r="P270" s="3" t="n">
        <v>2</v>
      </c>
      <c r="Q270" s="3" t="n">
        <v>2</v>
      </c>
      <c r="R270" s="3" t="n">
        <v>2</v>
      </c>
      <c r="S270" s="3" t="n">
        <v>2</v>
      </c>
      <c r="T270" s="4" t="n">
        <v>2</v>
      </c>
      <c r="U270" s="3" t="n">
        <v>2</v>
      </c>
      <c r="V270" s="3" t="n">
        <v>5.4</v>
      </c>
      <c r="W270" s="3" t="n">
        <v>1.19</v>
      </c>
      <c r="X270" s="3" t="n">
        <v>5.58</v>
      </c>
      <c r="Y270" s="3" t="n">
        <v>353</v>
      </c>
      <c r="AA270" s="3" t="n">
        <v>0.5</v>
      </c>
      <c r="AB270" s="3" t="n">
        <v>12</v>
      </c>
      <c r="AC270" s="3" t="n">
        <v>1</v>
      </c>
      <c r="AD270" s="3" t="n">
        <v>2</v>
      </c>
      <c r="AE270" s="3" t="n">
        <v>1</v>
      </c>
      <c r="AF270" s="3" t="n">
        <v>1</v>
      </c>
      <c r="AG270" s="3" t="n">
        <v>1</v>
      </c>
      <c r="AH270" s="3" t="n">
        <v>2</v>
      </c>
      <c r="AI270" s="3" t="n">
        <v>1</v>
      </c>
      <c r="AJ270" s="3" t="n">
        <v>2</v>
      </c>
      <c r="AK270" s="3" t="n">
        <v>2</v>
      </c>
      <c r="AL270" s="3" t="n">
        <v>2</v>
      </c>
      <c r="AM270" s="3" t="n">
        <v>1</v>
      </c>
      <c r="AN270" s="3" t="n">
        <v>2</v>
      </c>
      <c r="AO270" s="3" t="n">
        <v>2</v>
      </c>
      <c r="AP270" s="3" t="n">
        <v>3</v>
      </c>
      <c r="AQ270" s="3" t="n">
        <v>4</v>
      </c>
      <c r="AR270" s="3" t="n">
        <v>4</v>
      </c>
      <c r="AS270" s="3" t="n">
        <v>6</v>
      </c>
      <c r="AT270" s="3" t="n">
        <v>4</v>
      </c>
      <c r="AU270" s="3" t="n">
        <v>4</v>
      </c>
      <c r="AV270" s="3" t="n">
        <v>6</v>
      </c>
      <c r="AW270" s="3" t="n">
        <v>6</v>
      </c>
      <c r="AX270" s="3" t="n">
        <v>3</v>
      </c>
      <c r="AY270" s="3" t="n">
        <v>3</v>
      </c>
      <c r="AZ270" s="3" t="n">
        <v>1</v>
      </c>
      <c r="BA270" s="5" t="n">
        <v>1</v>
      </c>
      <c r="BB270" s="3" t="n">
        <v>1</v>
      </c>
      <c r="BC270" s="3" t="n">
        <v>1</v>
      </c>
      <c r="BD270" s="3" t="n">
        <v>6</v>
      </c>
      <c r="BE270" s="3" t="n">
        <v>3</v>
      </c>
      <c r="BF270" s="3" t="n">
        <v>5</v>
      </c>
      <c r="BG270" s="3" t="n">
        <v>3</v>
      </c>
      <c r="BH270" s="3" t="n">
        <v>4</v>
      </c>
      <c r="BI270" s="3" t="n">
        <v>1</v>
      </c>
      <c r="BJ270" s="3" t="n">
        <v>1</v>
      </c>
    </row>
    <row r="271" customFormat="false" ht="12.75" hidden="false" customHeight="false" outlineLevel="0" collapsed="false">
      <c r="B271" s="2" t="s">
        <v>180</v>
      </c>
      <c r="C271" s="2" t="s">
        <v>2484</v>
      </c>
      <c r="D271" s="2" t="s">
        <v>244</v>
      </c>
      <c r="E271" s="2" t="n">
        <v>202991</v>
      </c>
      <c r="F271" s="15" t="n">
        <v>44113</v>
      </c>
      <c r="G271" s="15" t="n">
        <v>44120</v>
      </c>
      <c r="H271" s="3" t="n">
        <v>7</v>
      </c>
      <c r="I271" s="3" t="n">
        <v>2</v>
      </c>
      <c r="J271" s="3" t="n">
        <v>43</v>
      </c>
      <c r="K271" s="3" t="n">
        <v>2</v>
      </c>
      <c r="L271" s="3" t="n">
        <v>1</v>
      </c>
      <c r="M271" s="3" t="n">
        <v>1</v>
      </c>
      <c r="N271" s="3" t="n">
        <v>2</v>
      </c>
      <c r="O271" s="3" t="n">
        <v>2</v>
      </c>
      <c r="P271" s="3" t="n">
        <v>2</v>
      </c>
      <c r="Q271" s="3" t="n">
        <v>2</v>
      </c>
      <c r="R271" s="3" t="n">
        <v>2</v>
      </c>
      <c r="S271" s="3" t="n">
        <v>2</v>
      </c>
      <c r="T271" s="4" t="n">
        <v>2</v>
      </c>
      <c r="U271" s="3" t="n">
        <v>2</v>
      </c>
      <c r="V271" s="3" t="n">
        <v>4.83</v>
      </c>
      <c r="W271" s="3" t="n">
        <v>1.56</v>
      </c>
      <c r="X271" s="3" t="n">
        <v>4.9</v>
      </c>
      <c r="Y271" s="3" t="n">
        <v>422</v>
      </c>
      <c r="AA271" s="3" t="n">
        <v>0.53</v>
      </c>
      <c r="AB271" s="3" t="n">
        <v>9.6</v>
      </c>
      <c r="AC271" s="3" t="n">
        <v>1</v>
      </c>
      <c r="AD271" s="3" t="n">
        <v>2</v>
      </c>
      <c r="AE271" s="3" t="n">
        <v>1</v>
      </c>
      <c r="AF271" s="3" t="n">
        <v>1</v>
      </c>
      <c r="AG271" s="3" t="n">
        <v>2</v>
      </c>
      <c r="AH271" s="3" t="n">
        <v>2</v>
      </c>
      <c r="AI271" s="3" t="n">
        <v>1</v>
      </c>
      <c r="AJ271" s="3" t="n">
        <v>2</v>
      </c>
      <c r="AK271" s="3" t="n">
        <v>2</v>
      </c>
      <c r="AL271" s="3" t="n">
        <v>2</v>
      </c>
      <c r="AM271" s="3" t="n">
        <v>2</v>
      </c>
      <c r="AN271" s="3" t="n">
        <v>2</v>
      </c>
      <c r="AO271" s="3" t="n">
        <v>2</v>
      </c>
      <c r="AP271" s="3" t="n">
        <v>3</v>
      </c>
      <c r="AQ271" s="3" t="n">
        <v>4</v>
      </c>
      <c r="AR271" s="3" t="n">
        <v>4</v>
      </c>
      <c r="AS271" s="3" t="n">
        <v>6</v>
      </c>
      <c r="AT271" s="3" t="n">
        <v>4</v>
      </c>
      <c r="AU271" s="3" t="n">
        <v>4</v>
      </c>
      <c r="AV271" s="3" t="n">
        <v>6</v>
      </c>
      <c r="AW271" s="3" t="n">
        <v>6</v>
      </c>
      <c r="AX271" s="3" t="n">
        <v>3</v>
      </c>
      <c r="AY271" s="3" t="n">
        <v>3</v>
      </c>
      <c r="AZ271" s="3" t="n">
        <v>5</v>
      </c>
      <c r="BA271" s="5" t="n">
        <v>1</v>
      </c>
      <c r="BB271" s="3" t="n">
        <v>1</v>
      </c>
      <c r="BC271" s="3" t="n">
        <v>1</v>
      </c>
      <c r="BD271" s="3" t="n">
        <v>2</v>
      </c>
      <c r="BE271" s="3" t="n">
        <v>3</v>
      </c>
      <c r="BF271" s="3" t="n">
        <v>5</v>
      </c>
      <c r="BG271" s="3" t="n">
        <v>3</v>
      </c>
      <c r="BH271" s="3" t="n">
        <v>4</v>
      </c>
      <c r="BI271" s="3" t="n">
        <v>1</v>
      </c>
      <c r="BJ271" s="3" t="n">
        <v>1</v>
      </c>
    </row>
    <row r="272" customFormat="false" ht="12.75" hidden="false" customHeight="false" outlineLevel="0" collapsed="false">
      <c r="B272" s="2" t="s">
        <v>339</v>
      </c>
      <c r="C272" s="2" t="s">
        <v>244</v>
      </c>
      <c r="D272" s="2" t="s">
        <v>2486</v>
      </c>
      <c r="E272" s="2" t="n">
        <v>203040</v>
      </c>
      <c r="F272" s="15" t="n">
        <v>44114</v>
      </c>
      <c r="G272" s="15" t="n">
        <v>44121</v>
      </c>
      <c r="H272" s="3" t="n">
        <v>7</v>
      </c>
      <c r="I272" s="3" t="n">
        <v>1</v>
      </c>
      <c r="J272" s="3" t="n">
        <v>72</v>
      </c>
      <c r="K272" s="3" t="n">
        <v>1</v>
      </c>
      <c r="L272" s="3" t="n">
        <v>2</v>
      </c>
      <c r="M272" s="3" t="n">
        <v>1</v>
      </c>
      <c r="N272" s="3" t="n">
        <v>2</v>
      </c>
      <c r="O272" s="3" t="n">
        <v>2</v>
      </c>
      <c r="P272" s="3" t="n">
        <v>2</v>
      </c>
      <c r="Q272" s="3" t="n">
        <v>2</v>
      </c>
      <c r="R272" s="3" t="n">
        <v>2</v>
      </c>
      <c r="S272" s="3" t="n">
        <v>2</v>
      </c>
      <c r="T272" s="4" t="n">
        <v>2</v>
      </c>
      <c r="U272" s="3" t="n">
        <v>2</v>
      </c>
      <c r="V272" s="3" t="n">
        <v>5.89</v>
      </c>
      <c r="W272" s="3" t="n">
        <v>3.45</v>
      </c>
      <c r="X272" s="3" t="n">
        <v>5.24</v>
      </c>
      <c r="Y272" s="3" t="n">
        <v>318</v>
      </c>
      <c r="AA272" s="3" t="n">
        <v>0.41</v>
      </c>
      <c r="AB272" s="3" t="n">
        <v>12.4</v>
      </c>
      <c r="AC272" s="3" t="n">
        <v>1</v>
      </c>
      <c r="AD272" s="3" t="n">
        <v>2</v>
      </c>
      <c r="AE272" s="3" t="n">
        <v>1</v>
      </c>
      <c r="AF272" s="3" t="n">
        <v>1</v>
      </c>
      <c r="AG272" s="3" t="n">
        <v>1</v>
      </c>
      <c r="AH272" s="3" t="n">
        <v>2</v>
      </c>
      <c r="AI272" s="3" t="n">
        <v>1</v>
      </c>
      <c r="AJ272" s="3" t="n">
        <v>2</v>
      </c>
      <c r="AK272" s="3" t="n">
        <v>2</v>
      </c>
      <c r="AL272" s="3" t="n">
        <v>2</v>
      </c>
      <c r="AM272" s="3" t="n">
        <v>1</v>
      </c>
      <c r="AN272" s="3" t="n">
        <v>2</v>
      </c>
      <c r="AO272" s="3" t="n">
        <v>2</v>
      </c>
      <c r="AP272" s="3" t="n">
        <v>3</v>
      </c>
      <c r="AQ272" s="3" t="n">
        <v>4</v>
      </c>
      <c r="AR272" s="3" t="n">
        <v>4</v>
      </c>
      <c r="AS272" s="3" t="n">
        <v>6</v>
      </c>
      <c r="AT272" s="3" t="n">
        <v>4</v>
      </c>
      <c r="AU272" s="3" t="n">
        <v>4</v>
      </c>
      <c r="AV272" s="3" t="n">
        <v>6</v>
      </c>
      <c r="AW272" s="3" t="n">
        <v>6</v>
      </c>
      <c r="AX272" s="3" t="n">
        <v>3</v>
      </c>
      <c r="AY272" s="3" t="n">
        <v>3</v>
      </c>
      <c r="AZ272" s="3" t="n">
        <v>1</v>
      </c>
      <c r="BA272" s="5" t="n">
        <v>1</v>
      </c>
      <c r="BB272" s="3" t="n">
        <v>1</v>
      </c>
      <c r="BC272" s="3" t="n">
        <v>1</v>
      </c>
      <c r="BD272" s="3" t="n">
        <v>4</v>
      </c>
      <c r="BE272" s="3" t="n">
        <v>1</v>
      </c>
      <c r="BF272" s="3" t="n">
        <v>2</v>
      </c>
      <c r="BG272" s="3" t="n">
        <v>1</v>
      </c>
      <c r="BH272" s="3" t="n">
        <v>4</v>
      </c>
      <c r="BI272" s="3" t="n">
        <v>1</v>
      </c>
      <c r="BJ272" s="3" t="n">
        <v>1</v>
      </c>
    </row>
    <row r="273" customFormat="false" ht="12.75" hidden="false" customHeight="false" outlineLevel="0" collapsed="false">
      <c r="B273" s="2" t="s">
        <v>2490</v>
      </c>
      <c r="C273" s="2" t="s">
        <v>1591</v>
      </c>
      <c r="D273" s="2" t="s">
        <v>2491</v>
      </c>
      <c r="E273" s="2" t="n">
        <v>203032</v>
      </c>
      <c r="F273" s="15" t="n">
        <v>44114</v>
      </c>
      <c r="G273" s="15" t="n">
        <v>44121</v>
      </c>
      <c r="H273" s="3" t="n">
        <v>7</v>
      </c>
      <c r="I273" s="3" t="n">
        <v>2</v>
      </c>
      <c r="J273" s="3" t="n">
        <v>67</v>
      </c>
      <c r="K273" s="3" t="n">
        <v>3</v>
      </c>
      <c r="L273" s="3" t="n">
        <v>1</v>
      </c>
      <c r="M273" s="3" t="n">
        <v>2</v>
      </c>
      <c r="N273" s="3" t="n">
        <v>2</v>
      </c>
      <c r="O273" s="3" t="n">
        <v>2</v>
      </c>
      <c r="P273" s="3" t="n">
        <v>2</v>
      </c>
      <c r="Q273" s="3" t="n">
        <v>2</v>
      </c>
      <c r="R273" s="3" t="n">
        <v>2</v>
      </c>
      <c r="S273" s="3" t="n">
        <v>2</v>
      </c>
      <c r="T273" s="4" t="n">
        <v>2</v>
      </c>
      <c r="U273" s="3" t="n">
        <v>2</v>
      </c>
      <c r="V273" s="3" t="n">
        <v>5.12</v>
      </c>
      <c r="W273" s="3" t="n">
        <v>1.12</v>
      </c>
      <c r="X273" s="3" t="n">
        <v>5.29</v>
      </c>
      <c r="Y273" s="3" t="n">
        <v>367</v>
      </c>
      <c r="AA273" s="3" t="n">
        <v>0.42</v>
      </c>
      <c r="AB273" s="3" t="n">
        <v>5.26</v>
      </c>
      <c r="AC273" s="3" t="n">
        <v>1</v>
      </c>
      <c r="AD273" s="3" t="n">
        <v>2</v>
      </c>
      <c r="AE273" s="3" t="n">
        <v>1</v>
      </c>
      <c r="AF273" s="3" t="n">
        <v>1</v>
      </c>
      <c r="AG273" s="3" t="n">
        <v>2</v>
      </c>
      <c r="AH273" s="3" t="n">
        <v>2</v>
      </c>
      <c r="AI273" s="3" t="n">
        <v>1</v>
      </c>
      <c r="AJ273" s="3" t="n">
        <v>2</v>
      </c>
      <c r="AK273" s="3" t="n">
        <v>2</v>
      </c>
      <c r="AL273" s="3" t="n">
        <v>2</v>
      </c>
      <c r="AM273" s="3" t="n">
        <v>2</v>
      </c>
      <c r="AN273" s="3" t="n">
        <v>2</v>
      </c>
      <c r="AO273" s="3" t="n">
        <v>2</v>
      </c>
      <c r="AP273" s="3" t="n">
        <v>3</v>
      </c>
      <c r="AQ273" s="3" t="n">
        <v>4</v>
      </c>
      <c r="AR273" s="3" t="n">
        <v>4</v>
      </c>
      <c r="AS273" s="3" t="n">
        <v>6</v>
      </c>
      <c r="AT273" s="3" t="n">
        <v>4</v>
      </c>
      <c r="AU273" s="3" t="n">
        <v>4</v>
      </c>
      <c r="AV273" s="3" t="n">
        <v>6</v>
      </c>
      <c r="AW273" s="3" t="n">
        <v>6</v>
      </c>
      <c r="AX273" s="3" t="n">
        <v>3</v>
      </c>
      <c r="AY273" s="3" t="n">
        <v>3</v>
      </c>
      <c r="AZ273" s="3" t="n">
        <v>1</v>
      </c>
      <c r="BA273" s="5" t="n">
        <v>1</v>
      </c>
      <c r="BB273" s="3" t="n">
        <v>1</v>
      </c>
      <c r="BC273" s="3" t="n">
        <v>1</v>
      </c>
      <c r="BD273" s="3" t="n">
        <v>2</v>
      </c>
      <c r="BE273" s="3" t="n">
        <v>1</v>
      </c>
      <c r="BF273" s="3" t="n">
        <v>2</v>
      </c>
      <c r="BG273" s="3" t="n">
        <v>1</v>
      </c>
      <c r="BH273" s="3" t="n">
        <v>4</v>
      </c>
      <c r="BI273" s="3" t="n">
        <v>1</v>
      </c>
      <c r="BJ273" s="3" t="n">
        <v>1</v>
      </c>
    </row>
    <row r="274" customFormat="false" ht="12.75" hidden="false" customHeight="false" outlineLevel="0" collapsed="false">
      <c r="B274" s="14" t="s">
        <v>2493</v>
      </c>
      <c r="C274" s="14" t="s">
        <v>598</v>
      </c>
      <c r="D274" s="14" t="s">
        <v>2494</v>
      </c>
      <c r="E274" s="14" t="n">
        <v>203049</v>
      </c>
      <c r="F274" s="22" t="n">
        <v>44115</v>
      </c>
      <c r="G274" s="22" t="n">
        <v>44122</v>
      </c>
      <c r="H274" s="3" t="n">
        <v>7</v>
      </c>
      <c r="I274" s="3" t="n">
        <v>1</v>
      </c>
      <c r="J274" s="3" t="n">
        <v>52</v>
      </c>
      <c r="K274" s="3" t="n">
        <v>2</v>
      </c>
      <c r="L274" s="3" t="n">
        <v>1</v>
      </c>
      <c r="M274" s="3" t="n">
        <v>1</v>
      </c>
      <c r="N274" s="3" t="n">
        <v>2</v>
      </c>
      <c r="O274" s="3" t="n">
        <v>1</v>
      </c>
      <c r="P274" s="3" t="n">
        <v>1</v>
      </c>
      <c r="Q274" s="3" t="n">
        <v>1</v>
      </c>
      <c r="R274" s="3" t="n">
        <v>2</v>
      </c>
      <c r="S274" s="3" t="n">
        <v>2</v>
      </c>
      <c r="T274" s="4" t="n">
        <v>1</v>
      </c>
      <c r="U274" s="3" t="n">
        <v>1</v>
      </c>
      <c r="V274" s="3" t="n">
        <v>6.43</v>
      </c>
      <c r="W274" s="3" t="n">
        <v>1.56</v>
      </c>
      <c r="X274" s="3" t="n">
        <v>7.49</v>
      </c>
      <c r="Y274" s="3" t="n">
        <v>294</v>
      </c>
      <c r="AA274" s="3" t="n">
        <v>0.38</v>
      </c>
      <c r="AB274" s="3" t="n">
        <v>13.8</v>
      </c>
      <c r="AC274" s="3" t="n">
        <v>1</v>
      </c>
      <c r="AD274" s="3" t="n">
        <v>1</v>
      </c>
      <c r="AE274" s="3" t="n">
        <v>1</v>
      </c>
      <c r="AF274" s="3" t="n">
        <v>1</v>
      </c>
      <c r="AG274" s="3" t="n">
        <v>2</v>
      </c>
      <c r="AH274" s="3" t="n">
        <v>2</v>
      </c>
      <c r="AI274" s="3" t="n">
        <v>1</v>
      </c>
      <c r="AJ274" s="3" t="n">
        <v>2</v>
      </c>
      <c r="AK274" s="3" t="n">
        <v>2</v>
      </c>
      <c r="AL274" s="3" t="n">
        <v>2</v>
      </c>
      <c r="AM274" s="3" t="n">
        <v>2</v>
      </c>
      <c r="AN274" s="3" t="n">
        <v>2</v>
      </c>
      <c r="AO274" s="3" t="n">
        <v>2</v>
      </c>
      <c r="AP274" s="3" t="n">
        <v>3</v>
      </c>
      <c r="AQ274" s="3" t="n">
        <v>4</v>
      </c>
      <c r="AR274" s="3" t="n">
        <v>4</v>
      </c>
      <c r="AS274" s="3" t="n">
        <v>6</v>
      </c>
      <c r="AT274" s="3" t="n">
        <v>4</v>
      </c>
      <c r="AU274" s="3" t="n">
        <v>4</v>
      </c>
      <c r="AV274" s="3" t="n">
        <v>6</v>
      </c>
      <c r="AW274" s="3" t="n">
        <v>6</v>
      </c>
      <c r="AX274" s="3" t="n">
        <v>3</v>
      </c>
      <c r="AY274" s="3" t="n">
        <v>3</v>
      </c>
      <c r="AZ274" s="3" t="n">
        <v>1</v>
      </c>
      <c r="BA274" s="5" t="n">
        <v>1</v>
      </c>
      <c r="BB274" s="3" t="n">
        <v>1</v>
      </c>
      <c r="BC274" s="3" t="n">
        <v>1</v>
      </c>
      <c r="BD274" s="3" t="n">
        <v>6</v>
      </c>
      <c r="BE274" s="3" t="n">
        <v>3</v>
      </c>
      <c r="BF274" s="3" t="n">
        <v>5</v>
      </c>
      <c r="BG274" s="3" t="n">
        <v>3</v>
      </c>
      <c r="BH274" s="3" t="n">
        <v>4</v>
      </c>
      <c r="BI274" s="3" t="n">
        <v>1</v>
      </c>
      <c r="BJ274" s="3" t="n">
        <v>1</v>
      </c>
    </row>
    <row r="275" customFormat="false" ht="12.75" hidden="false" customHeight="false" outlineLevel="0" collapsed="false">
      <c r="B275" s="26" t="s">
        <v>2496</v>
      </c>
      <c r="C275" s="26" t="s">
        <v>2497</v>
      </c>
      <c r="D275" s="26" t="s">
        <v>536</v>
      </c>
      <c r="E275" s="26" t="n">
        <v>202933</v>
      </c>
      <c r="F275" s="27" t="n">
        <v>44111</v>
      </c>
      <c r="G275" s="27" t="n">
        <v>44120</v>
      </c>
      <c r="H275" s="30" t="n">
        <v>9</v>
      </c>
      <c r="I275" s="30" t="n">
        <v>1</v>
      </c>
      <c r="J275" s="30" t="n">
        <v>79</v>
      </c>
      <c r="K275" s="30" t="n">
        <v>1</v>
      </c>
      <c r="L275" s="30" t="n">
        <v>2</v>
      </c>
      <c r="M275" s="30" t="n">
        <v>1</v>
      </c>
      <c r="N275" s="30" t="n">
        <v>2</v>
      </c>
      <c r="O275" s="30" t="n">
        <v>2</v>
      </c>
      <c r="P275" s="30" t="n">
        <v>2</v>
      </c>
      <c r="Q275" s="30" t="n">
        <v>2</v>
      </c>
      <c r="R275" s="30" t="n">
        <v>2</v>
      </c>
      <c r="S275" s="30" t="n">
        <v>2</v>
      </c>
      <c r="T275" s="4" t="n">
        <v>2</v>
      </c>
      <c r="U275" s="30" t="n">
        <v>4</v>
      </c>
      <c r="V275" s="30" t="n">
        <v>4.46</v>
      </c>
      <c r="W275" s="30" t="n">
        <v>1.23</v>
      </c>
      <c r="X275" s="30" t="n">
        <v>10.19</v>
      </c>
      <c r="Y275" s="30" t="n">
        <v>456</v>
      </c>
      <c r="AA275" s="30" t="n">
        <v>0.41</v>
      </c>
      <c r="AB275" s="30" t="n">
        <v>11.8</v>
      </c>
      <c r="AC275" s="30" t="n">
        <v>3</v>
      </c>
      <c r="AD275" s="30" t="n">
        <v>2</v>
      </c>
      <c r="AE275" s="30" t="n">
        <v>1</v>
      </c>
      <c r="AF275" s="30" t="n">
        <v>1</v>
      </c>
      <c r="AG275" s="30" t="n">
        <v>2</v>
      </c>
      <c r="AH275" s="30" t="n">
        <v>2</v>
      </c>
      <c r="AI275" s="30" t="n">
        <v>1</v>
      </c>
      <c r="AJ275" s="30" t="n">
        <v>2</v>
      </c>
      <c r="AK275" s="30" t="n">
        <v>2</v>
      </c>
      <c r="AL275" s="30" t="n">
        <v>2</v>
      </c>
      <c r="AM275" s="30" t="n">
        <v>2</v>
      </c>
      <c r="AN275" s="30" t="n">
        <v>1</v>
      </c>
      <c r="AO275" s="30" t="n">
        <v>2</v>
      </c>
      <c r="AP275" s="30" t="n">
        <v>3</v>
      </c>
      <c r="AQ275" s="30" t="n">
        <v>4</v>
      </c>
      <c r="AR275" s="30" t="n">
        <v>4</v>
      </c>
      <c r="AS275" s="30" t="n">
        <v>6</v>
      </c>
      <c r="AT275" s="30" t="n">
        <v>4</v>
      </c>
      <c r="AU275" s="30" t="n">
        <v>4</v>
      </c>
      <c r="AV275" s="30" t="n">
        <v>6</v>
      </c>
      <c r="AW275" s="30" t="n">
        <v>6</v>
      </c>
      <c r="AX275" s="30" t="n">
        <v>3</v>
      </c>
      <c r="AY275" s="30" t="n">
        <v>3</v>
      </c>
      <c r="AZ275" s="30" t="n">
        <v>5</v>
      </c>
      <c r="BA275" s="5" t="n">
        <v>1</v>
      </c>
      <c r="BB275" s="30" t="n">
        <v>1</v>
      </c>
      <c r="BC275" s="30" t="n">
        <v>2</v>
      </c>
      <c r="BD275" s="30" t="n">
        <v>4</v>
      </c>
      <c r="BE275" s="30" t="n">
        <v>3</v>
      </c>
      <c r="BF275" s="30" t="n">
        <v>5</v>
      </c>
      <c r="BG275" s="30" t="n">
        <v>3</v>
      </c>
      <c r="BH275" s="30" t="n">
        <v>4</v>
      </c>
      <c r="BI275" s="30" t="n">
        <v>2</v>
      </c>
      <c r="BJ275" s="30" t="n">
        <v>2</v>
      </c>
    </row>
    <row r="276" customFormat="false" ht="12.75" hidden="false" customHeight="false" outlineLevel="0" collapsed="false">
      <c r="B276" s="26" t="s">
        <v>2507</v>
      </c>
      <c r="C276" s="26" t="s">
        <v>2508</v>
      </c>
      <c r="D276" s="26" t="s">
        <v>304</v>
      </c>
      <c r="E276" s="26" t="n">
        <v>203427</v>
      </c>
      <c r="F276" s="27" t="n">
        <v>44127</v>
      </c>
      <c r="G276" s="27" t="n">
        <v>44127</v>
      </c>
      <c r="H276" s="30" t="n">
        <v>0</v>
      </c>
      <c r="I276" s="30" t="n">
        <v>1</v>
      </c>
      <c r="J276" s="30" t="n">
        <v>86</v>
      </c>
      <c r="K276" s="30" t="n">
        <v>1</v>
      </c>
      <c r="L276" s="30" t="n">
        <v>2</v>
      </c>
      <c r="M276" s="30" t="n">
        <v>1</v>
      </c>
      <c r="N276" s="30" t="n">
        <v>2</v>
      </c>
      <c r="O276" s="30" t="n">
        <v>2</v>
      </c>
      <c r="P276" s="30" t="n">
        <v>2</v>
      </c>
      <c r="Q276" s="30" t="n">
        <v>1</v>
      </c>
      <c r="R276" s="30" t="n">
        <v>2</v>
      </c>
      <c r="S276" s="30" t="n">
        <v>2</v>
      </c>
      <c r="T276" s="4" t="n">
        <v>2</v>
      </c>
      <c r="U276" s="30" t="n">
        <v>2</v>
      </c>
      <c r="V276" s="30"/>
      <c r="W276" s="30"/>
      <c r="X276" s="30"/>
      <c r="Y276" s="30"/>
      <c r="AA276" s="30"/>
      <c r="AB276" s="30"/>
      <c r="AC276" s="30"/>
      <c r="AD276" s="30" t="n">
        <v>2</v>
      </c>
      <c r="AE276" s="30" t="n">
        <v>1</v>
      </c>
      <c r="AF276" s="30" t="n">
        <v>1</v>
      </c>
      <c r="AG276" s="30" t="n">
        <v>2</v>
      </c>
      <c r="AH276" s="30" t="n">
        <v>2</v>
      </c>
      <c r="AI276" s="30" t="n">
        <v>1</v>
      </c>
      <c r="AJ276" s="30" t="n">
        <v>2</v>
      </c>
      <c r="AK276" s="30" t="n">
        <v>1</v>
      </c>
      <c r="AL276" s="30" t="n">
        <v>1</v>
      </c>
      <c r="AM276" s="30" t="n">
        <v>1</v>
      </c>
      <c r="AN276" s="30" t="n">
        <v>1</v>
      </c>
      <c r="AO276" s="30" t="n">
        <v>1</v>
      </c>
      <c r="AP276" s="30" t="n">
        <v>3</v>
      </c>
      <c r="AQ276" s="30" t="n">
        <v>4</v>
      </c>
      <c r="AR276" s="30" t="n">
        <v>4</v>
      </c>
      <c r="AS276" s="30" t="n">
        <v>6</v>
      </c>
      <c r="AT276" s="30" t="n">
        <v>4</v>
      </c>
      <c r="AU276" s="30" t="n">
        <v>4</v>
      </c>
      <c r="AV276" s="30" t="n">
        <v>6</v>
      </c>
      <c r="AW276" s="30" t="n">
        <v>6</v>
      </c>
      <c r="AX276" s="30" t="n">
        <v>3</v>
      </c>
      <c r="AY276" s="30" t="n">
        <v>3</v>
      </c>
      <c r="AZ276" s="30" t="n">
        <v>6</v>
      </c>
      <c r="BA276" s="5" t="n">
        <v>1</v>
      </c>
      <c r="BB276" s="30" t="n">
        <v>1</v>
      </c>
      <c r="BC276" s="30" t="n">
        <v>2</v>
      </c>
      <c r="BD276" s="30" t="n">
        <v>2</v>
      </c>
      <c r="BE276" s="30" t="n">
        <v>1</v>
      </c>
      <c r="BF276" s="30" t="n">
        <v>2</v>
      </c>
      <c r="BG276" s="30" t="n">
        <v>1</v>
      </c>
      <c r="BH276" s="30" t="n">
        <v>4</v>
      </c>
      <c r="BI276" s="30" t="n">
        <v>1</v>
      </c>
      <c r="BJ276" s="30" t="n">
        <v>1</v>
      </c>
    </row>
    <row r="277" customFormat="false" ht="12.75" hidden="false" customHeight="false" outlineLevel="0" collapsed="false">
      <c r="B277" s="2" t="s">
        <v>2510</v>
      </c>
      <c r="C277" s="2" t="s">
        <v>2511</v>
      </c>
      <c r="D277" s="2" t="s">
        <v>2512</v>
      </c>
      <c r="E277" s="2" t="n">
        <v>203466</v>
      </c>
      <c r="F277" s="15" t="n">
        <v>44126</v>
      </c>
      <c r="G277" s="15" t="n">
        <v>44131</v>
      </c>
      <c r="H277" s="3" t="n">
        <v>5</v>
      </c>
      <c r="I277" s="3" t="n">
        <v>2</v>
      </c>
      <c r="J277" s="3" t="n">
        <v>61</v>
      </c>
      <c r="K277" s="3" t="n">
        <v>2</v>
      </c>
      <c r="L277" s="3" t="n">
        <v>2</v>
      </c>
      <c r="M277" s="3" t="n">
        <v>1</v>
      </c>
      <c r="N277" s="3" t="n">
        <v>2</v>
      </c>
      <c r="O277" s="3" t="n">
        <v>2</v>
      </c>
      <c r="P277" s="3" t="n">
        <v>1</v>
      </c>
      <c r="Q277" s="3" t="n">
        <v>1</v>
      </c>
      <c r="R277" s="3" t="n">
        <v>2</v>
      </c>
      <c r="S277" s="3" t="n">
        <v>2</v>
      </c>
      <c r="T277" s="4" t="n">
        <v>2</v>
      </c>
      <c r="U277" s="3" t="n">
        <v>2</v>
      </c>
      <c r="V277" s="3" t="n">
        <v>6.63</v>
      </c>
      <c r="W277" s="3" t="n">
        <v>6.33</v>
      </c>
      <c r="X277" s="3" t="n">
        <v>13.42</v>
      </c>
      <c r="Y277" s="3" t="n">
        <v>453</v>
      </c>
      <c r="AA277" s="3" t="n">
        <v>0.5</v>
      </c>
      <c r="AB277" s="3" t="n">
        <v>9.3</v>
      </c>
      <c r="AC277" s="3" t="n">
        <v>2</v>
      </c>
      <c r="AD277" s="3" t="n">
        <v>1</v>
      </c>
      <c r="AE277" s="3" t="n">
        <v>1</v>
      </c>
      <c r="AF277" s="3" t="n">
        <v>1</v>
      </c>
      <c r="AG277" s="3" t="n">
        <v>1</v>
      </c>
      <c r="AH277" s="3" t="n">
        <v>2</v>
      </c>
      <c r="AI277" s="3" t="n">
        <v>1</v>
      </c>
      <c r="AJ277" s="3" t="n">
        <v>2</v>
      </c>
      <c r="AK277" s="3" t="n">
        <v>2</v>
      </c>
      <c r="AL277" s="3" t="n">
        <v>2</v>
      </c>
      <c r="AM277" s="3" t="n">
        <v>2</v>
      </c>
      <c r="AN277" s="3" t="n">
        <v>2</v>
      </c>
      <c r="AO277" s="3" t="n">
        <v>2</v>
      </c>
      <c r="AP277" s="3" t="n">
        <v>3</v>
      </c>
      <c r="AQ277" s="3" t="n">
        <v>4</v>
      </c>
      <c r="AR277" s="3" t="n">
        <v>4</v>
      </c>
      <c r="AS277" s="3" t="n">
        <v>6</v>
      </c>
      <c r="AT277" s="3" t="n">
        <v>4</v>
      </c>
      <c r="AU277" s="3" t="n">
        <v>4</v>
      </c>
      <c r="AV277" s="3" t="n">
        <v>6</v>
      </c>
      <c r="AW277" s="3" t="n">
        <v>6</v>
      </c>
      <c r="AX277" s="3" t="n">
        <v>3</v>
      </c>
      <c r="AY277" s="3" t="n">
        <v>3</v>
      </c>
      <c r="AZ277" s="3" t="n">
        <v>1</v>
      </c>
      <c r="BA277" s="5" t="n">
        <v>1</v>
      </c>
      <c r="BB277" s="3" t="n">
        <v>1</v>
      </c>
      <c r="BC277" s="3" t="n">
        <v>1</v>
      </c>
      <c r="BD277" s="3" t="n">
        <v>2</v>
      </c>
      <c r="BE277" s="3" t="n">
        <v>3</v>
      </c>
      <c r="BF277" s="3" t="n">
        <v>5</v>
      </c>
      <c r="BG277" s="3" t="n">
        <v>3</v>
      </c>
      <c r="BH277" s="3" t="n">
        <v>4</v>
      </c>
      <c r="BI277" s="3" t="n">
        <v>1</v>
      </c>
      <c r="BJ277" s="3" t="n">
        <v>1</v>
      </c>
    </row>
    <row r="278" customFormat="false" ht="12.75" hidden="false" customHeight="false" outlineLevel="0" collapsed="false">
      <c r="B278" s="2" t="s">
        <v>2514</v>
      </c>
      <c r="C278" s="2" t="s">
        <v>2515</v>
      </c>
      <c r="D278" s="2" t="s">
        <v>2516</v>
      </c>
      <c r="E278" s="2" t="n">
        <v>203562</v>
      </c>
      <c r="F278" s="15" t="n">
        <v>44123</v>
      </c>
      <c r="G278" s="15" t="n">
        <v>44130</v>
      </c>
      <c r="H278" s="3" t="n">
        <v>7</v>
      </c>
      <c r="I278" s="3" t="n">
        <v>1</v>
      </c>
      <c r="J278" s="3" t="n">
        <v>56</v>
      </c>
      <c r="K278" s="3" t="n">
        <v>1</v>
      </c>
      <c r="L278" s="3" t="n">
        <v>2</v>
      </c>
      <c r="M278" s="3" t="n">
        <v>1</v>
      </c>
      <c r="N278" s="3" t="n">
        <v>2</v>
      </c>
      <c r="O278" s="3" t="n">
        <v>2</v>
      </c>
      <c r="P278" s="3" t="n">
        <v>2</v>
      </c>
      <c r="Q278" s="3" t="n">
        <v>1</v>
      </c>
      <c r="R278" s="3" t="n">
        <v>2</v>
      </c>
      <c r="S278" s="3" t="n">
        <v>2</v>
      </c>
      <c r="T278" s="4" t="n">
        <v>2</v>
      </c>
      <c r="U278" s="3" t="n">
        <v>2</v>
      </c>
      <c r="V278" s="3" t="n">
        <v>3.73</v>
      </c>
      <c r="W278" s="3" t="n">
        <v>1.32</v>
      </c>
      <c r="X278" s="3" t="n">
        <v>18.58</v>
      </c>
      <c r="Y278" s="3" t="n">
        <v>678</v>
      </c>
      <c r="AA278" s="3" t="n">
        <v>0.25</v>
      </c>
      <c r="AB278" s="3" t="n">
        <v>14.8</v>
      </c>
      <c r="AC278" s="3" t="n">
        <v>2</v>
      </c>
      <c r="AD278" s="3" t="n">
        <v>2</v>
      </c>
      <c r="AE278" s="3" t="n">
        <v>1</v>
      </c>
      <c r="AF278" s="3" t="n">
        <v>1</v>
      </c>
      <c r="AG278" s="3" t="n">
        <v>2</v>
      </c>
      <c r="AH278" s="3" t="n">
        <v>2</v>
      </c>
      <c r="AI278" s="3" t="n">
        <v>1</v>
      </c>
      <c r="AJ278" s="3" t="n">
        <v>2</v>
      </c>
      <c r="AK278" s="3" t="n">
        <v>2</v>
      </c>
      <c r="AL278" s="3" t="n">
        <v>2</v>
      </c>
      <c r="AM278" s="3" t="n">
        <v>2</v>
      </c>
      <c r="AN278" s="3" t="n">
        <v>2</v>
      </c>
      <c r="AO278" s="3" t="n">
        <v>2</v>
      </c>
      <c r="AP278" s="3" t="n">
        <v>3</v>
      </c>
      <c r="AQ278" s="3" t="n">
        <v>4</v>
      </c>
      <c r="AR278" s="3" t="n">
        <v>4</v>
      </c>
      <c r="AS278" s="3" t="n">
        <v>6</v>
      </c>
      <c r="AT278" s="3" t="n">
        <v>4</v>
      </c>
      <c r="AU278" s="3" t="n">
        <v>4</v>
      </c>
      <c r="AV278" s="3" t="n">
        <v>6</v>
      </c>
      <c r="AW278" s="3" t="n">
        <v>6</v>
      </c>
      <c r="AX278" s="3" t="n">
        <v>3</v>
      </c>
      <c r="AY278" s="3" t="n">
        <v>3</v>
      </c>
      <c r="AZ278" s="3" t="n">
        <v>1</v>
      </c>
      <c r="BA278" s="5" t="n">
        <v>1</v>
      </c>
      <c r="BB278" s="3" t="n">
        <v>1</v>
      </c>
      <c r="BC278" s="3" t="n">
        <v>1</v>
      </c>
      <c r="BD278" s="3" t="n">
        <v>2</v>
      </c>
      <c r="BE278" s="3" t="n">
        <v>1</v>
      </c>
      <c r="BF278" s="3" t="n">
        <v>2</v>
      </c>
      <c r="BG278" s="3" t="n">
        <v>1</v>
      </c>
      <c r="BH278" s="3" t="n">
        <v>4</v>
      </c>
      <c r="BI278" s="3" t="n">
        <v>1</v>
      </c>
      <c r="BJ278" s="3" t="n">
        <v>1</v>
      </c>
    </row>
    <row r="279" customFormat="false" ht="12.75" hidden="false" customHeight="false" outlineLevel="0" collapsed="false">
      <c r="B279" s="2" t="s">
        <v>140</v>
      </c>
      <c r="C279" s="2" t="s">
        <v>66</v>
      </c>
      <c r="D279" s="2" t="s">
        <v>95</v>
      </c>
      <c r="E279" s="2" t="n">
        <v>203582</v>
      </c>
      <c r="F279" s="15" t="n">
        <v>44124</v>
      </c>
      <c r="G279" s="15" t="n">
        <v>44131</v>
      </c>
      <c r="H279" s="3" t="n">
        <v>7</v>
      </c>
      <c r="I279" s="3" t="n">
        <v>2</v>
      </c>
      <c r="J279" s="3" t="n">
        <v>74</v>
      </c>
      <c r="K279" s="3" t="n">
        <v>1</v>
      </c>
      <c r="L279" s="3" t="n">
        <v>2</v>
      </c>
      <c r="M279" s="3" t="n">
        <v>1</v>
      </c>
      <c r="N279" s="3" t="n">
        <v>2</v>
      </c>
      <c r="O279" s="3" t="n">
        <v>2</v>
      </c>
      <c r="P279" s="3" t="n">
        <v>2</v>
      </c>
      <c r="Q279" s="3" t="n">
        <v>2</v>
      </c>
      <c r="R279" s="3" t="n">
        <v>2</v>
      </c>
      <c r="S279" s="3" t="n">
        <v>2</v>
      </c>
      <c r="T279" s="4" t="n">
        <v>2</v>
      </c>
      <c r="U279" s="3" t="n">
        <v>2</v>
      </c>
      <c r="V279" s="3" t="n">
        <v>3.44</v>
      </c>
      <c r="W279" s="3" t="n">
        <v>1.26</v>
      </c>
      <c r="X279" s="3" t="n">
        <v>7.28</v>
      </c>
      <c r="Y279" s="3" t="n">
        <v>474</v>
      </c>
      <c r="AA279" s="3"/>
      <c r="AB279" s="3"/>
      <c r="AC279" s="3" t="n">
        <v>2</v>
      </c>
      <c r="AD279" s="3" t="n">
        <v>2</v>
      </c>
      <c r="AE279" s="3" t="n">
        <v>1</v>
      </c>
      <c r="AF279" s="3" t="n">
        <v>1</v>
      </c>
      <c r="AG279" s="3" t="n">
        <v>2</v>
      </c>
      <c r="AH279" s="3" t="n">
        <v>2</v>
      </c>
      <c r="AI279" s="3" t="n">
        <v>1</v>
      </c>
      <c r="AJ279" s="3" t="n">
        <v>2</v>
      </c>
      <c r="AK279" s="3" t="n">
        <v>2</v>
      </c>
      <c r="AL279" s="3" t="n">
        <v>2</v>
      </c>
      <c r="AM279" s="3" t="n">
        <v>1</v>
      </c>
      <c r="AN279" s="3" t="n">
        <v>2</v>
      </c>
      <c r="AO279" s="3" t="n">
        <v>2</v>
      </c>
      <c r="AP279" s="3" t="n">
        <v>3</v>
      </c>
      <c r="AQ279" s="3" t="n">
        <v>4</v>
      </c>
      <c r="AR279" s="3" t="n">
        <v>4</v>
      </c>
      <c r="AS279" s="3" t="n">
        <v>6</v>
      </c>
      <c r="AT279" s="3" t="n">
        <v>4</v>
      </c>
      <c r="AU279" s="3" t="n">
        <v>4</v>
      </c>
      <c r="AV279" s="3" t="n">
        <v>6</v>
      </c>
      <c r="AW279" s="3" t="n">
        <v>4</v>
      </c>
      <c r="AX279" s="3" t="n">
        <v>3</v>
      </c>
      <c r="AY279" s="3" t="n">
        <v>3</v>
      </c>
      <c r="AZ279" s="3" t="n">
        <v>1</v>
      </c>
      <c r="BA279" s="5" t="n">
        <v>1</v>
      </c>
      <c r="BB279" s="3" t="n">
        <v>1</v>
      </c>
      <c r="BC279" s="3" t="n">
        <v>1</v>
      </c>
      <c r="BD279" s="3" t="n">
        <v>2</v>
      </c>
      <c r="BE279" s="3" t="n">
        <v>1</v>
      </c>
      <c r="BF279" s="3" t="n">
        <v>2</v>
      </c>
      <c r="BG279" s="3" t="n">
        <v>1</v>
      </c>
      <c r="BH279" s="3" t="n">
        <v>4</v>
      </c>
      <c r="BI279" s="3" t="n">
        <v>1</v>
      </c>
      <c r="BJ279" s="3" t="n">
        <v>1</v>
      </c>
    </row>
    <row r="280" customFormat="false" ht="12.75" hidden="false" customHeight="false" outlineLevel="0" collapsed="false">
      <c r="B280" s="2" t="s">
        <v>2520</v>
      </c>
      <c r="C280" s="2" t="s">
        <v>324</v>
      </c>
      <c r="D280" s="2" t="s">
        <v>153</v>
      </c>
      <c r="E280" s="2" t="n">
        <v>203462</v>
      </c>
      <c r="F280" s="15" t="n">
        <v>44126</v>
      </c>
      <c r="G280" s="15" t="n">
        <v>44132</v>
      </c>
      <c r="H280" s="3" t="n">
        <v>6</v>
      </c>
      <c r="I280" s="3" t="n">
        <v>2</v>
      </c>
      <c r="J280" s="3" t="n">
        <v>56</v>
      </c>
      <c r="K280" s="3" t="n">
        <v>1</v>
      </c>
      <c r="L280" s="3" t="n">
        <v>2</v>
      </c>
      <c r="M280" s="3" t="n">
        <v>1</v>
      </c>
      <c r="N280" s="3" t="n">
        <v>2</v>
      </c>
      <c r="O280" s="3" t="n">
        <v>2</v>
      </c>
      <c r="P280" s="3" t="n">
        <v>2</v>
      </c>
      <c r="Q280" s="3" t="n">
        <v>2</v>
      </c>
      <c r="R280" s="3" t="n">
        <v>2</v>
      </c>
      <c r="S280" s="3" t="n">
        <v>1</v>
      </c>
      <c r="T280" s="4" t="n">
        <v>2</v>
      </c>
      <c r="U280" s="3" t="n">
        <v>2</v>
      </c>
      <c r="V280" s="3" t="n">
        <v>4.32</v>
      </c>
      <c r="W280" s="3" t="n">
        <v>1.54</v>
      </c>
      <c r="X280" s="3" t="n">
        <v>5.49</v>
      </c>
      <c r="Y280" s="3" t="n">
        <v>340</v>
      </c>
      <c r="AA280" s="3" t="n">
        <v>0.48</v>
      </c>
      <c r="AB280" s="3" t="n">
        <v>10.9</v>
      </c>
      <c r="AC280" s="3" t="n">
        <v>1</v>
      </c>
      <c r="AD280" s="3" t="n">
        <v>2</v>
      </c>
      <c r="AE280" s="3" t="n">
        <v>1</v>
      </c>
      <c r="AF280" s="3" t="n">
        <v>1</v>
      </c>
      <c r="AG280" s="3" t="n">
        <v>1</v>
      </c>
      <c r="AH280" s="3" t="n">
        <v>2</v>
      </c>
      <c r="AI280" s="3" t="n">
        <v>1</v>
      </c>
      <c r="AJ280" s="3" t="n">
        <v>1</v>
      </c>
      <c r="AK280" s="3" t="n">
        <v>2</v>
      </c>
      <c r="AL280" s="3" t="n">
        <v>2</v>
      </c>
      <c r="AM280" s="3" t="n">
        <v>2</v>
      </c>
      <c r="AN280" s="3" t="n">
        <v>2</v>
      </c>
      <c r="AO280" s="3" t="n">
        <v>2</v>
      </c>
      <c r="AP280" s="3" t="n">
        <v>3</v>
      </c>
      <c r="AQ280" s="3" t="n">
        <v>4</v>
      </c>
      <c r="AR280" s="3" t="n">
        <v>4</v>
      </c>
      <c r="AS280" s="3" t="n">
        <v>6</v>
      </c>
      <c r="AT280" s="3" t="n">
        <v>4</v>
      </c>
      <c r="AU280" s="3" t="n">
        <v>4</v>
      </c>
      <c r="AV280" s="3" t="n">
        <v>6</v>
      </c>
      <c r="AW280" s="3" t="n">
        <v>6</v>
      </c>
      <c r="AX280" s="3" t="n">
        <v>3</v>
      </c>
      <c r="AY280" s="3" t="n">
        <v>3</v>
      </c>
      <c r="AZ280" s="3" t="n">
        <v>1</v>
      </c>
      <c r="BA280" s="5" t="n">
        <v>1</v>
      </c>
      <c r="BB280" s="3" t="n">
        <v>1</v>
      </c>
      <c r="BC280" s="3" t="n">
        <v>1</v>
      </c>
      <c r="BD280" s="3" t="n">
        <v>4</v>
      </c>
      <c r="BE280" s="3" t="n">
        <v>1</v>
      </c>
      <c r="BF280" s="3" t="n">
        <v>2</v>
      </c>
      <c r="BG280" s="3" t="n">
        <v>1</v>
      </c>
      <c r="BH280" s="3" t="n">
        <v>4</v>
      </c>
      <c r="BI280" s="3" t="n">
        <v>1</v>
      </c>
      <c r="BJ280" s="3" t="n">
        <v>1</v>
      </c>
    </row>
    <row r="281" customFormat="false" ht="12.75" hidden="false" customHeight="false" outlineLevel="0" collapsed="false">
      <c r="B281" s="2" t="s">
        <v>2529</v>
      </c>
      <c r="C281" s="2" t="s">
        <v>127</v>
      </c>
      <c r="D281" s="2" t="s">
        <v>802</v>
      </c>
      <c r="E281" s="2" t="n">
        <v>203950</v>
      </c>
      <c r="F281" s="15" t="n">
        <v>44129</v>
      </c>
      <c r="G281" s="15" t="n">
        <v>44136</v>
      </c>
      <c r="H281" s="3" t="n">
        <v>6</v>
      </c>
      <c r="I281" s="3" t="n">
        <v>1</v>
      </c>
      <c r="J281" s="3" t="n">
        <v>55</v>
      </c>
      <c r="K281" s="3" t="n">
        <v>1</v>
      </c>
      <c r="L281" s="3" t="n">
        <v>2</v>
      </c>
      <c r="M281" s="3" t="n">
        <v>1</v>
      </c>
      <c r="N281" s="3" t="n">
        <v>2</v>
      </c>
      <c r="O281" s="3" t="n">
        <v>2</v>
      </c>
      <c r="P281" s="3" t="n">
        <v>2</v>
      </c>
      <c r="Q281" s="3" t="n">
        <v>1</v>
      </c>
      <c r="R281" s="3" t="n">
        <v>2</v>
      </c>
      <c r="S281" s="3" t="n">
        <v>2</v>
      </c>
      <c r="T281" s="4" t="n">
        <v>1</v>
      </c>
      <c r="U281" s="3" t="n">
        <v>1</v>
      </c>
      <c r="V281" s="3" t="n">
        <v>5.59</v>
      </c>
      <c r="W281" s="3" t="n">
        <v>2.93</v>
      </c>
      <c r="X281" s="3" t="n">
        <v>8.6</v>
      </c>
      <c r="Y281" s="3" t="n">
        <v>444</v>
      </c>
      <c r="AA281" s="3" t="n">
        <v>0.37</v>
      </c>
      <c r="AB281" s="3" t="n">
        <v>10.3</v>
      </c>
      <c r="AC281" s="3" t="n">
        <v>1</v>
      </c>
      <c r="AD281" s="3" t="n">
        <v>1</v>
      </c>
      <c r="AE281" s="3" t="n">
        <v>1</v>
      </c>
      <c r="AF281" s="3" t="n">
        <v>1</v>
      </c>
      <c r="AG281" s="3" t="n">
        <v>2</v>
      </c>
      <c r="AH281" s="3" t="n">
        <v>1</v>
      </c>
      <c r="AI281" s="3" t="n">
        <v>1</v>
      </c>
      <c r="AJ281" s="3" t="n">
        <v>2</v>
      </c>
      <c r="AK281" s="3" t="n">
        <v>2</v>
      </c>
      <c r="AL281" s="3" t="n">
        <v>2</v>
      </c>
      <c r="AM281" s="3" t="n">
        <v>2</v>
      </c>
      <c r="AN281" s="3" t="n">
        <v>2</v>
      </c>
      <c r="AO281" s="3" t="n">
        <v>2</v>
      </c>
      <c r="AP281" s="3" t="n">
        <v>3</v>
      </c>
      <c r="AQ281" s="3" t="n">
        <v>4</v>
      </c>
      <c r="AR281" s="3" t="n">
        <v>4</v>
      </c>
      <c r="AS281" s="3" t="n">
        <v>6</v>
      </c>
      <c r="AT281" s="3" t="n">
        <v>4</v>
      </c>
      <c r="AU281" s="3" t="n">
        <v>4</v>
      </c>
      <c r="AV281" s="3" t="n">
        <v>6</v>
      </c>
      <c r="AW281" s="3" t="n">
        <v>6</v>
      </c>
      <c r="AX281" s="3" t="n">
        <v>3</v>
      </c>
      <c r="AY281" s="3" t="n">
        <v>3</v>
      </c>
      <c r="AZ281" s="3" t="n">
        <v>1</v>
      </c>
      <c r="BA281" s="5" t="n">
        <v>1</v>
      </c>
      <c r="BB281" s="3" t="n">
        <v>1</v>
      </c>
      <c r="BC281" s="3" t="n">
        <v>1</v>
      </c>
      <c r="BD281" s="3" t="n">
        <v>4</v>
      </c>
      <c r="BE281" s="3" t="n">
        <v>3</v>
      </c>
      <c r="BF281" s="3" t="n">
        <v>5</v>
      </c>
      <c r="BG281" s="3" t="n">
        <v>3</v>
      </c>
      <c r="BH281" s="3" t="n">
        <v>4</v>
      </c>
      <c r="BI281" s="3" t="n">
        <v>1</v>
      </c>
      <c r="BJ281" s="3" t="n">
        <v>1</v>
      </c>
    </row>
    <row r="282" customFormat="false" ht="12.75" hidden="false" customHeight="false" outlineLevel="0" collapsed="false">
      <c r="B282" s="2" t="s">
        <v>2532</v>
      </c>
      <c r="C282" s="2" t="s">
        <v>95</v>
      </c>
      <c r="D282" s="2" t="s">
        <v>1220</v>
      </c>
      <c r="E282" s="2" t="n">
        <v>203485</v>
      </c>
      <c r="F282" s="15" t="n">
        <v>44128</v>
      </c>
      <c r="G282" s="15" t="n">
        <v>44137</v>
      </c>
      <c r="H282" s="3" t="n">
        <v>8</v>
      </c>
      <c r="I282" s="3" t="n">
        <v>1</v>
      </c>
      <c r="J282" s="3" t="n">
        <v>79</v>
      </c>
      <c r="K282" s="3" t="n">
        <v>1</v>
      </c>
      <c r="L282" s="3" t="n">
        <v>2</v>
      </c>
      <c r="M282" s="3" t="n">
        <v>1</v>
      </c>
      <c r="N282" s="3" t="n">
        <v>2</v>
      </c>
      <c r="O282" s="3" t="n">
        <v>1</v>
      </c>
      <c r="P282" s="3" t="n">
        <v>1</v>
      </c>
      <c r="Q282" s="3" t="n">
        <v>1</v>
      </c>
      <c r="R282" s="3" t="n">
        <v>2</v>
      </c>
      <c r="S282" s="3" t="n">
        <v>2</v>
      </c>
      <c r="T282" s="4" t="n">
        <v>3</v>
      </c>
      <c r="U282" s="3" t="n">
        <v>4</v>
      </c>
      <c r="V282" s="3" t="n">
        <v>4.02</v>
      </c>
      <c r="W282" s="3" t="n">
        <v>1.75</v>
      </c>
      <c r="X282" s="3" t="n">
        <v>8.32</v>
      </c>
      <c r="Y282" s="3" t="n">
        <v>691</v>
      </c>
      <c r="AA282" s="3" t="n">
        <v>0.36</v>
      </c>
      <c r="AB282" s="3" t="n">
        <v>12.9</v>
      </c>
      <c r="AC282" s="3" t="n">
        <v>1</v>
      </c>
      <c r="AD282" s="3" t="n">
        <v>2</v>
      </c>
      <c r="AE282" s="3" t="n">
        <v>1</v>
      </c>
      <c r="AF282" s="3" t="n">
        <v>1</v>
      </c>
      <c r="AG282" s="3" t="n">
        <v>2</v>
      </c>
      <c r="AH282" s="3" t="n">
        <v>2</v>
      </c>
      <c r="AI282" s="3" t="n">
        <v>1</v>
      </c>
      <c r="AJ282" s="3" t="n">
        <v>2</v>
      </c>
      <c r="AK282" s="3" t="n">
        <v>2</v>
      </c>
      <c r="AL282" s="3" t="n">
        <v>1</v>
      </c>
      <c r="AM282" s="3" t="n">
        <v>1</v>
      </c>
      <c r="AN282" s="3" t="n">
        <v>2</v>
      </c>
      <c r="AO282" s="3" t="n">
        <v>1</v>
      </c>
      <c r="AP282" s="3" t="n">
        <v>3</v>
      </c>
      <c r="AQ282" s="3" t="n">
        <v>4</v>
      </c>
      <c r="AR282" s="3" t="n">
        <v>4</v>
      </c>
      <c r="AS282" s="3" t="n">
        <v>6</v>
      </c>
      <c r="AT282" s="3" t="n">
        <v>4</v>
      </c>
      <c r="AU282" s="3" t="n">
        <v>4</v>
      </c>
      <c r="AV282" s="3" t="n">
        <v>6</v>
      </c>
      <c r="AW282" s="3" t="n">
        <v>6</v>
      </c>
      <c r="AX282" s="3" t="n">
        <v>3</v>
      </c>
      <c r="AY282" s="3" t="n">
        <v>3</v>
      </c>
      <c r="AZ282" s="3" t="n">
        <v>1</v>
      </c>
      <c r="BA282" s="5" t="n">
        <v>1</v>
      </c>
      <c r="BB282" s="3" t="n">
        <v>1</v>
      </c>
      <c r="BC282" s="3" t="n">
        <v>1</v>
      </c>
      <c r="BD282" s="3" t="n">
        <v>4</v>
      </c>
      <c r="BE282" s="3" t="n">
        <v>3</v>
      </c>
      <c r="BF282" s="3" t="n">
        <v>5</v>
      </c>
      <c r="BG282" s="3" t="n">
        <v>3</v>
      </c>
      <c r="BH282" s="3" t="n">
        <v>4</v>
      </c>
      <c r="BI282" s="3" t="n">
        <v>1</v>
      </c>
      <c r="BJ282" s="3" t="n">
        <v>1</v>
      </c>
    </row>
    <row r="283" customFormat="false" ht="12.75" hidden="false" customHeight="false" outlineLevel="0" collapsed="false">
      <c r="B283" s="2" t="s">
        <v>2534</v>
      </c>
      <c r="C283" s="2" t="s">
        <v>1432</v>
      </c>
      <c r="D283" s="2" t="s">
        <v>2535</v>
      </c>
      <c r="E283" s="2" t="n">
        <v>203918</v>
      </c>
      <c r="F283" s="15" t="n">
        <v>44132</v>
      </c>
      <c r="G283" s="15" t="n">
        <v>44138</v>
      </c>
      <c r="H283" s="3" t="n">
        <v>6</v>
      </c>
      <c r="I283" s="3" t="n">
        <v>1</v>
      </c>
      <c r="J283" s="3" t="n">
        <v>54</v>
      </c>
      <c r="K283" s="3" t="n">
        <v>3</v>
      </c>
      <c r="L283" s="3" t="n">
        <v>1</v>
      </c>
      <c r="M283" s="3" t="n">
        <v>1</v>
      </c>
      <c r="N283" s="3" t="n">
        <v>2</v>
      </c>
      <c r="O283" s="3" t="n">
        <v>1</v>
      </c>
      <c r="P283" s="3" t="n">
        <v>1</v>
      </c>
      <c r="Q283" s="3" t="n">
        <v>1</v>
      </c>
      <c r="R283" s="3" t="n">
        <v>2</v>
      </c>
      <c r="S283" s="3" t="n">
        <v>2</v>
      </c>
      <c r="T283" s="4" t="n">
        <v>2</v>
      </c>
      <c r="U283" s="3" t="n">
        <v>2</v>
      </c>
      <c r="V283" s="3" t="n">
        <v>4.23</v>
      </c>
      <c r="W283" s="3" t="n">
        <v>6.29</v>
      </c>
      <c r="X283" s="3" t="n">
        <v>9.63</v>
      </c>
      <c r="Y283" s="3" t="n">
        <v>207</v>
      </c>
      <c r="AA283" s="3" t="n">
        <v>0.41</v>
      </c>
      <c r="AB283" s="3" t="n">
        <v>8.3</v>
      </c>
      <c r="AC283" s="3" t="n">
        <v>1</v>
      </c>
      <c r="AD283" s="3" t="n">
        <v>2</v>
      </c>
      <c r="AE283" s="3" t="n">
        <v>1</v>
      </c>
      <c r="AF283" s="3" t="n">
        <v>1</v>
      </c>
      <c r="AG283" s="3" t="n">
        <v>2</v>
      </c>
      <c r="AH283" s="3" t="n">
        <v>1</v>
      </c>
      <c r="AI283" s="3" t="n">
        <v>1</v>
      </c>
      <c r="AJ283" s="3" t="n">
        <v>2</v>
      </c>
      <c r="AK283" s="3" t="n">
        <v>1</v>
      </c>
      <c r="AL283" s="3" t="n">
        <v>2</v>
      </c>
      <c r="AM283" s="3" t="n">
        <v>2</v>
      </c>
      <c r="AN283" s="3" t="n">
        <v>2</v>
      </c>
      <c r="AO283" s="3" t="n">
        <v>2</v>
      </c>
      <c r="AP283" s="3" t="n">
        <v>3</v>
      </c>
      <c r="AQ283" s="3" t="n">
        <v>4</v>
      </c>
      <c r="AR283" s="3" t="n">
        <v>4</v>
      </c>
      <c r="AS283" s="3" t="n">
        <v>6</v>
      </c>
      <c r="AT283" s="3" t="n">
        <v>4</v>
      </c>
      <c r="AU283" s="3" t="n">
        <v>4</v>
      </c>
      <c r="AV283" s="3" t="n">
        <v>6</v>
      </c>
      <c r="AW283" s="3" t="n">
        <v>6</v>
      </c>
      <c r="AX283" s="3" t="n">
        <v>3</v>
      </c>
      <c r="AY283" s="3" t="n">
        <v>3</v>
      </c>
      <c r="AZ283" s="3" t="n">
        <v>1</v>
      </c>
      <c r="BA283" s="5" t="n">
        <v>1</v>
      </c>
      <c r="BB283" s="3" t="n">
        <v>1</v>
      </c>
      <c r="BC283" s="3" t="n">
        <v>1</v>
      </c>
      <c r="BD283" s="3" t="n">
        <v>4</v>
      </c>
      <c r="BE283" s="3" t="n">
        <v>1</v>
      </c>
      <c r="BF283" s="3" t="n">
        <v>2</v>
      </c>
      <c r="BG283" s="3" t="n">
        <v>1</v>
      </c>
      <c r="BH283" s="3" t="n">
        <v>4</v>
      </c>
      <c r="BI283" s="3" t="n">
        <v>1</v>
      </c>
      <c r="BJ283" s="3" t="n">
        <v>1</v>
      </c>
    </row>
    <row r="284" customFormat="false" ht="12.75" hidden="false" customHeight="false" outlineLevel="0" collapsed="false">
      <c r="B284" s="25" t="s">
        <v>2540</v>
      </c>
      <c r="C284" s="25" t="s">
        <v>608</v>
      </c>
      <c r="D284" s="25" t="s">
        <v>528</v>
      </c>
      <c r="E284" s="26" t="n">
        <v>204005</v>
      </c>
      <c r="F284" s="27" t="n">
        <v>44136</v>
      </c>
      <c r="G284" s="27" t="n">
        <v>44139</v>
      </c>
      <c r="H284" s="30" t="n">
        <v>3</v>
      </c>
      <c r="I284" s="30" t="n">
        <v>1</v>
      </c>
      <c r="J284" s="30" t="n">
        <v>78</v>
      </c>
      <c r="K284" s="30" t="n">
        <v>1</v>
      </c>
      <c r="L284" s="30" t="n">
        <v>2</v>
      </c>
      <c r="M284" s="30" t="n">
        <v>1</v>
      </c>
      <c r="N284" s="30" t="n">
        <v>1</v>
      </c>
      <c r="O284" s="30" t="n">
        <v>2</v>
      </c>
      <c r="P284" s="30" t="n">
        <v>2</v>
      </c>
      <c r="Q284" s="30" t="n">
        <v>2</v>
      </c>
      <c r="R284" s="30" t="n">
        <v>2</v>
      </c>
      <c r="S284" s="30" t="n">
        <v>2</v>
      </c>
      <c r="T284" s="4" t="n">
        <v>2</v>
      </c>
      <c r="U284" s="30" t="n">
        <v>2</v>
      </c>
      <c r="V284" s="30" t="n">
        <v>3.58</v>
      </c>
      <c r="W284" s="30" t="n">
        <v>4.74</v>
      </c>
      <c r="X284" s="30" t="n">
        <v>15.16</v>
      </c>
      <c r="Y284" s="30" t="n">
        <v>489</v>
      </c>
      <c r="AA284" s="30" t="n">
        <v>0.32</v>
      </c>
      <c r="AB284" s="30" t="n">
        <v>12.6</v>
      </c>
      <c r="AC284" s="30" t="n">
        <v>2</v>
      </c>
      <c r="AD284" s="30" t="n">
        <v>2</v>
      </c>
      <c r="AE284" s="30" t="n">
        <v>1</v>
      </c>
      <c r="AF284" s="30" t="n">
        <v>1</v>
      </c>
      <c r="AG284" s="30" t="n">
        <v>2</v>
      </c>
      <c r="AH284" s="30" t="n">
        <v>2</v>
      </c>
      <c r="AI284" s="30" t="n">
        <v>1</v>
      </c>
      <c r="AJ284" s="30" t="n">
        <v>2</v>
      </c>
      <c r="AK284" s="30" t="n">
        <v>2</v>
      </c>
      <c r="AL284" s="30" t="n">
        <v>2</v>
      </c>
      <c r="AM284" s="30" t="n">
        <v>1</v>
      </c>
      <c r="AN284" s="30" t="n">
        <v>1</v>
      </c>
      <c r="AO284" s="30" t="n">
        <v>2</v>
      </c>
      <c r="AP284" s="30" t="n">
        <v>3</v>
      </c>
      <c r="AQ284" s="30" t="n">
        <v>4</v>
      </c>
      <c r="AR284" s="30" t="n">
        <v>4</v>
      </c>
      <c r="AS284" s="30" t="n">
        <v>6</v>
      </c>
      <c r="AT284" s="30" t="n">
        <v>4</v>
      </c>
      <c r="AU284" s="30" t="n">
        <v>4</v>
      </c>
      <c r="AV284" s="30" t="n">
        <v>6</v>
      </c>
      <c r="AW284" s="30" t="n">
        <v>6</v>
      </c>
      <c r="AX284" s="30" t="n">
        <v>3</v>
      </c>
      <c r="AY284" s="30" t="n">
        <v>3</v>
      </c>
      <c r="AZ284" s="30" t="n">
        <v>6</v>
      </c>
      <c r="BA284" s="5" t="n">
        <v>1</v>
      </c>
      <c r="BB284" s="30" t="n">
        <v>1</v>
      </c>
      <c r="BC284" s="30" t="n">
        <v>2</v>
      </c>
      <c r="BD284" s="30" t="n">
        <v>2</v>
      </c>
      <c r="BE284" s="30" t="n">
        <v>3</v>
      </c>
      <c r="BF284" s="30" t="n">
        <v>5</v>
      </c>
      <c r="BG284" s="30" t="n">
        <v>3</v>
      </c>
      <c r="BH284" s="30" t="n">
        <v>4</v>
      </c>
      <c r="BI284" s="30" t="n">
        <v>1</v>
      </c>
      <c r="BJ284" s="30" t="n">
        <v>1</v>
      </c>
    </row>
    <row r="285" customFormat="false" ht="12.75" hidden="false" customHeight="false" outlineLevel="0" collapsed="false">
      <c r="B285" s="17" t="s">
        <v>415</v>
      </c>
      <c r="C285" s="17" t="s">
        <v>419</v>
      </c>
      <c r="D285" s="17" t="s">
        <v>898</v>
      </c>
      <c r="E285" s="2" t="n">
        <v>204038</v>
      </c>
      <c r="F285" s="15" t="n">
        <v>44136</v>
      </c>
      <c r="G285" s="15" t="n">
        <v>44141</v>
      </c>
      <c r="H285" s="3" t="n">
        <v>5</v>
      </c>
      <c r="I285" s="3" t="n">
        <v>2</v>
      </c>
      <c r="J285" s="3" t="n">
        <v>51</v>
      </c>
      <c r="K285" s="3" t="n">
        <v>2</v>
      </c>
      <c r="L285" s="3" t="n">
        <v>1</v>
      </c>
      <c r="M285" s="3" t="n">
        <v>1</v>
      </c>
      <c r="N285" s="3" t="n">
        <v>2</v>
      </c>
      <c r="O285" s="3" t="n">
        <v>2</v>
      </c>
      <c r="P285" s="3" t="n">
        <v>2</v>
      </c>
      <c r="Q285" s="3" t="n">
        <v>2</v>
      </c>
      <c r="R285" s="3" t="n">
        <v>2</v>
      </c>
      <c r="S285" s="3" t="n">
        <v>2</v>
      </c>
      <c r="T285" s="4" t="n">
        <v>2</v>
      </c>
      <c r="U285" s="3" t="n">
        <v>2</v>
      </c>
      <c r="V285" s="3" t="n">
        <v>4.29</v>
      </c>
      <c r="W285" s="3" t="n">
        <v>1.38</v>
      </c>
      <c r="X285" s="3" t="n">
        <v>7</v>
      </c>
      <c r="Y285" s="3" t="n">
        <v>430</v>
      </c>
      <c r="AA285" s="3" t="n">
        <v>0.49</v>
      </c>
      <c r="AB285" s="3" t="n">
        <v>8.2</v>
      </c>
      <c r="AC285" s="3" t="n">
        <v>1</v>
      </c>
      <c r="AD285" s="3" t="n">
        <v>2</v>
      </c>
      <c r="AE285" s="3" t="n">
        <v>1</v>
      </c>
      <c r="AF285" s="3" t="n">
        <v>1</v>
      </c>
      <c r="AG285" s="3" t="n">
        <v>2</v>
      </c>
      <c r="AH285" s="3" t="n">
        <v>2</v>
      </c>
      <c r="AI285" s="3" t="n">
        <v>1</v>
      </c>
      <c r="AJ285" s="3" t="n">
        <v>2</v>
      </c>
      <c r="AK285" s="3" t="n">
        <v>2</v>
      </c>
      <c r="AL285" s="3" t="n">
        <v>1</v>
      </c>
      <c r="AM285" s="3" t="n">
        <v>2</v>
      </c>
      <c r="AN285" s="3" t="n">
        <v>2</v>
      </c>
      <c r="AO285" s="3" t="n">
        <v>2</v>
      </c>
      <c r="AP285" s="3" t="n">
        <v>3</v>
      </c>
      <c r="AQ285" s="3" t="n">
        <v>4</v>
      </c>
      <c r="AR285" s="3" t="n">
        <v>4</v>
      </c>
      <c r="AS285" s="3" t="n">
        <v>6</v>
      </c>
      <c r="AT285" s="3" t="n">
        <v>4</v>
      </c>
      <c r="AU285" s="3" t="n">
        <v>4</v>
      </c>
      <c r="AV285" s="3" t="n">
        <v>6</v>
      </c>
      <c r="AW285" s="3" t="n">
        <v>6</v>
      </c>
      <c r="AX285" s="3" t="n">
        <v>3</v>
      </c>
      <c r="AY285" s="3" t="n">
        <v>3</v>
      </c>
      <c r="AZ285" s="3" t="n">
        <v>1</v>
      </c>
      <c r="BA285" s="5" t="n">
        <v>1</v>
      </c>
      <c r="BB285" s="3" t="n">
        <v>1</v>
      </c>
      <c r="BC285" s="3" t="n">
        <v>1</v>
      </c>
      <c r="BD285" s="3" t="n">
        <v>2</v>
      </c>
      <c r="BE285" s="3" t="n">
        <v>3</v>
      </c>
      <c r="BF285" s="3" t="n">
        <v>5</v>
      </c>
      <c r="BG285" s="3" t="n">
        <v>3</v>
      </c>
      <c r="BH285" s="3" t="n">
        <v>4</v>
      </c>
      <c r="BI285" s="3" t="n">
        <v>1</v>
      </c>
      <c r="BJ285" s="3" t="n">
        <v>1</v>
      </c>
    </row>
    <row r="286" customFormat="false" ht="12.75" hidden="false" customHeight="false" outlineLevel="0" collapsed="false">
      <c r="B286" s="2" t="s">
        <v>2550</v>
      </c>
      <c r="C286" s="2" t="s">
        <v>210</v>
      </c>
      <c r="D286" s="2" t="s">
        <v>665</v>
      </c>
      <c r="E286" s="2" t="n">
        <v>204048</v>
      </c>
      <c r="F286" s="15" t="n">
        <v>44137</v>
      </c>
      <c r="G286" s="15" t="n">
        <v>44142</v>
      </c>
      <c r="H286" s="3" t="n">
        <v>5</v>
      </c>
      <c r="I286" s="3" t="n">
        <v>2</v>
      </c>
      <c r="J286" s="3" t="n">
        <v>47</v>
      </c>
      <c r="K286" s="3" t="n">
        <v>1</v>
      </c>
      <c r="L286" s="3" t="n">
        <v>1</v>
      </c>
      <c r="M286" s="3" t="n">
        <v>1</v>
      </c>
      <c r="N286" s="3" t="n">
        <v>2</v>
      </c>
      <c r="O286" s="3" t="n">
        <v>2</v>
      </c>
      <c r="P286" s="3" t="n">
        <v>2</v>
      </c>
      <c r="Q286" s="3" t="n">
        <v>2</v>
      </c>
      <c r="R286" s="3" t="n">
        <v>2</v>
      </c>
      <c r="S286" s="3" t="n">
        <v>2</v>
      </c>
      <c r="T286" s="4" t="n">
        <v>2</v>
      </c>
      <c r="U286" s="3" t="n">
        <v>2</v>
      </c>
      <c r="V286" s="3" t="n">
        <v>5.42</v>
      </c>
      <c r="W286" s="3" t="n">
        <v>0.99</v>
      </c>
      <c r="X286" s="3" t="n">
        <v>5.85</v>
      </c>
      <c r="Y286" s="3" t="n">
        <v>356</v>
      </c>
      <c r="AA286" s="3" t="n">
        <v>0.55</v>
      </c>
      <c r="AB286" s="3" t="n">
        <v>13</v>
      </c>
      <c r="AC286" s="3" t="n">
        <v>1</v>
      </c>
      <c r="AD286" s="3" t="n">
        <v>2</v>
      </c>
      <c r="AE286" s="3" t="n">
        <v>1</v>
      </c>
      <c r="AF286" s="3" t="n">
        <v>1</v>
      </c>
      <c r="AG286" s="3" t="n">
        <v>1</v>
      </c>
      <c r="AH286" s="3" t="n">
        <v>2</v>
      </c>
      <c r="AI286" s="3" t="n">
        <v>1</v>
      </c>
      <c r="AJ286" s="3" t="n">
        <v>2</v>
      </c>
      <c r="AK286" s="3" t="n">
        <v>2</v>
      </c>
      <c r="AL286" s="3" t="n">
        <v>2</v>
      </c>
      <c r="AM286" s="3" t="n">
        <v>1</v>
      </c>
      <c r="AN286" s="3" t="n">
        <v>2</v>
      </c>
      <c r="AO286" s="3" t="n">
        <v>2</v>
      </c>
      <c r="AP286" s="3" t="n">
        <v>3</v>
      </c>
      <c r="AQ286" s="3" t="n">
        <v>4</v>
      </c>
      <c r="AR286" s="3" t="n">
        <v>4</v>
      </c>
      <c r="AS286" s="3" t="n">
        <v>6</v>
      </c>
      <c r="AT286" s="3" t="n">
        <v>4</v>
      </c>
      <c r="AU286" s="3" t="n">
        <v>4</v>
      </c>
      <c r="AV286" s="3" t="n">
        <v>6</v>
      </c>
      <c r="AW286" s="3" t="n">
        <v>6</v>
      </c>
      <c r="AX286" s="3" t="n">
        <v>3</v>
      </c>
      <c r="AY286" s="3" t="n">
        <v>3</v>
      </c>
      <c r="AZ286" s="3" t="n">
        <v>1</v>
      </c>
      <c r="BA286" s="5" t="n">
        <v>1</v>
      </c>
      <c r="BB286" s="3" t="n">
        <v>1</v>
      </c>
      <c r="BC286" s="3" t="n">
        <v>1</v>
      </c>
      <c r="BD286" s="3" t="n">
        <v>2</v>
      </c>
      <c r="BE286" s="3" t="n">
        <v>3</v>
      </c>
      <c r="BF286" s="3" t="n">
        <v>5</v>
      </c>
      <c r="BG286" s="3" t="n">
        <v>3</v>
      </c>
      <c r="BH286" s="3" t="n">
        <v>4</v>
      </c>
      <c r="BI286" s="3" t="n">
        <v>1</v>
      </c>
      <c r="BJ286" s="3" t="n">
        <v>1</v>
      </c>
    </row>
    <row r="287" customFormat="false" ht="12.75" hidden="false" customHeight="false" outlineLevel="0" collapsed="false">
      <c r="B287" s="2" t="s">
        <v>2562</v>
      </c>
      <c r="C287" s="2" t="s">
        <v>118</v>
      </c>
      <c r="D287" s="2" t="s">
        <v>2563</v>
      </c>
      <c r="E287" s="2" t="n">
        <v>204586</v>
      </c>
      <c r="F287" s="15" t="n">
        <v>44139</v>
      </c>
      <c r="G287" s="15" t="n">
        <v>44146</v>
      </c>
      <c r="H287" s="3" t="n">
        <v>7</v>
      </c>
      <c r="I287" s="3" t="n">
        <v>2</v>
      </c>
      <c r="J287" s="3" t="n">
        <v>83</v>
      </c>
      <c r="K287" s="3" t="n">
        <v>1</v>
      </c>
      <c r="L287" s="3" t="n">
        <v>1</v>
      </c>
      <c r="M287" s="3" t="n">
        <v>1</v>
      </c>
      <c r="N287" s="3" t="n">
        <v>2</v>
      </c>
      <c r="O287" s="3" t="n">
        <v>2</v>
      </c>
      <c r="P287" s="3" t="n">
        <v>2</v>
      </c>
      <c r="Q287" s="3" t="n">
        <v>1</v>
      </c>
      <c r="R287" s="3" t="n">
        <v>2</v>
      </c>
      <c r="S287" s="3" t="n">
        <v>2</v>
      </c>
      <c r="T287" s="4" t="n">
        <v>2</v>
      </c>
      <c r="U287" s="3" t="n">
        <v>2</v>
      </c>
      <c r="V287" s="3" t="n">
        <v>3.4</v>
      </c>
      <c r="W287" s="3" t="n">
        <v>0.54</v>
      </c>
      <c r="X287" s="3" t="n">
        <v>6.08</v>
      </c>
      <c r="Y287" s="3" t="n">
        <v>267</v>
      </c>
      <c r="AA287" s="3" t="n">
        <v>0.32</v>
      </c>
      <c r="AB287" s="3" t="n">
        <v>11.7</v>
      </c>
      <c r="AC287" s="3" t="n">
        <v>1</v>
      </c>
      <c r="AD287" s="3" t="n">
        <v>2</v>
      </c>
      <c r="AE287" s="3" t="n">
        <v>1</v>
      </c>
      <c r="AF287" s="3" t="n">
        <v>1</v>
      </c>
      <c r="AG287" s="3" t="n">
        <v>2</v>
      </c>
      <c r="AH287" s="3" t="n">
        <v>2</v>
      </c>
      <c r="AI287" s="3" t="n">
        <v>1</v>
      </c>
      <c r="AJ287" s="3" t="n">
        <v>2</v>
      </c>
      <c r="AK287" s="3" t="n">
        <v>2</v>
      </c>
      <c r="AL287" s="3" t="n">
        <v>2</v>
      </c>
      <c r="AM287" s="3" t="n">
        <v>2</v>
      </c>
      <c r="AN287" s="3" t="n">
        <v>2</v>
      </c>
      <c r="AO287" s="3" t="n">
        <v>2</v>
      </c>
      <c r="AP287" s="3" t="n">
        <v>3</v>
      </c>
      <c r="AQ287" s="3" t="n">
        <v>4</v>
      </c>
      <c r="AR287" s="3" t="n">
        <v>4</v>
      </c>
      <c r="AS287" s="3" t="n">
        <v>6</v>
      </c>
      <c r="AT287" s="3" t="n">
        <v>4</v>
      </c>
      <c r="AU287" s="3" t="n">
        <v>4</v>
      </c>
      <c r="AV287" s="3" t="n">
        <v>6</v>
      </c>
      <c r="AW287" s="3" t="n">
        <v>6</v>
      </c>
      <c r="AX287" s="3" t="n">
        <v>3</v>
      </c>
      <c r="AY287" s="3" t="n">
        <v>3</v>
      </c>
      <c r="AZ287" s="3" t="n">
        <v>1</v>
      </c>
      <c r="BA287" s="5" t="n">
        <v>1</v>
      </c>
      <c r="BB287" s="3" t="n">
        <v>1</v>
      </c>
      <c r="BC287" s="3" t="n">
        <v>1</v>
      </c>
      <c r="BD287" s="3" t="n">
        <v>4</v>
      </c>
      <c r="BE287" s="3" t="n">
        <v>3</v>
      </c>
      <c r="BF287" s="3" t="n">
        <v>5</v>
      </c>
      <c r="BG287" s="3" t="n">
        <v>3</v>
      </c>
      <c r="BH287" s="3" t="n">
        <v>4</v>
      </c>
      <c r="BI287" s="3" t="n">
        <v>1</v>
      </c>
      <c r="BJ287" s="3" t="n">
        <v>1</v>
      </c>
    </row>
    <row r="288" customFormat="false" ht="12.75" hidden="false" customHeight="false" outlineLevel="0" collapsed="false">
      <c r="B288" s="2" t="s">
        <v>335</v>
      </c>
      <c r="C288" s="2" t="s">
        <v>2572</v>
      </c>
      <c r="D288" s="2" t="s">
        <v>595</v>
      </c>
      <c r="E288" s="2" t="n">
        <v>204666</v>
      </c>
      <c r="F288" s="15" t="n">
        <v>44142</v>
      </c>
      <c r="G288" s="15" t="n">
        <v>44149</v>
      </c>
      <c r="H288" s="3" t="n">
        <v>7</v>
      </c>
      <c r="I288" s="3" t="n">
        <v>1</v>
      </c>
      <c r="J288" s="3" t="n">
        <v>80</v>
      </c>
      <c r="K288" s="3" t="n">
        <v>1</v>
      </c>
      <c r="L288" s="3" t="n">
        <v>2</v>
      </c>
      <c r="M288" s="3" t="n">
        <v>1</v>
      </c>
      <c r="N288" s="3" t="n">
        <v>2</v>
      </c>
      <c r="O288" s="3" t="n">
        <v>2</v>
      </c>
      <c r="P288" s="3" t="n">
        <v>2</v>
      </c>
      <c r="Q288" s="3" t="n">
        <v>2</v>
      </c>
      <c r="R288" s="3" t="n">
        <v>2</v>
      </c>
      <c r="S288" s="3" t="n">
        <v>2</v>
      </c>
      <c r="T288" s="4" t="n">
        <v>2</v>
      </c>
      <c r="U288" s="3" t="n">
        <v>2</v>
      </c>
      <c r="V288" s="3" t="n">
        <v>4.28</v>
      </c>
      <c r="W288" s="3" t="n">
        <v>1.82</v>
      </c>
      <c r="X288" s="3" t="n">
        <v>6</v>
      </c>
      <c r="Y288" s="3" t="n">
        <v>199</v>
      </c>
      <c r="AA288" s="3" t="n">
        <v>0.43</v>
      </c>
      <c r="AB288" s="3" t="n">
        <v>9.6</v>
      </c>
      <c r="AC288" s="3" t="n">
        <v>2</v>
      </c>
      <c r="AD288" s="3" t="n">
        <v>2</v>
      </c>
      <c r="AE288" s="3" t="n">
        <v>1</v>
      </c>
      <c r="AF288" s="3" t="n">
        <v>1</v>
      </c>
      <c r="AG288" s="3" t="n">
        <v>2</v>
      </c>
      <c r="AH288" s="3" t="n">
        <v>2</v>
      </c>
      <c r="AI288" s="3" t="n">
        <v>1</v>
      </c>
      <c r="AJ288" s="3" t="n">
        <v>2</v>
      </c>
      <c r="AK288" s="3" t="n">
        <v>2</v>
      </c>
      <c r="AL288" s="3" t="n">
        <v>2</v>
      </c>
      <c r="AM288" s="3" t="n">
        <v>1</v>
      </c>
      <c r="AN288" s="3" t="n">
        <v>2</v>
      </c>
      <c r="AO288" s="3" t="n">
        <v>2</v>
      </c>
      <c r="AP288" s="3" t="n">
        <v>3</v>
      </c>
      <c r="AQ288" s="3" t="n">
        <v>4</v>
      </c>
      <c r="AR288" s="3" t="n">
        <v>4</v>
      </c>
      <c r="AS288" s="3" t="n">
        <v>6</v>
      </c>
      <c r="AT288" s="3" t="n">
        <v>4</v>
      </c>
      <c r="AU288" s="3" t="n">
        <v>4</v>
      </c>
      <c r="AV288" s="3" t="n">
        <v>6</v>
      </c>
      <c r="AW288" s="3" t="n">
        <v>6</v>
      </c>
      <c r="AX288" s="3" t="n">
        <v>3</v>
      </c>
      <c r="AY288" s="3" t="n">
        <v>3</v>
      </c>
      <c r="AZ288" s="3" t="n">
        <v>1</v>
      </c>
      <c r="BA288" s="5" t="n">
        <v>1</v>
      </c>
      <c r="BB288" s="3" t="n">
        <v>1</v>
      </c>
      <c r="BC288" s="3" t="n">
        <v>1</v>
      </c>
      <c r="BD288" s="3" t="n">
        <v>2</v>
      </c>
      <c r="BE288" s="3" t="n">
        <v>3</v>
      </c>
      <c r="BF288" s="3" t="n">
        <v>5</v>
      </c>
      <c r="BG288" s="3" t="n">
        <v>3</v>
      </c>
      <c r="BH288" s="3" t="n">
        <v>4</v>
      </c>
      <c r="BI288" s="3" t="n">
        <v>1</v>
      </c>
      <c r="BJ288" s="3" t="n">
        <v>1</v>
      </c>
    </row>
    <row r="289" customFormat="false" ht="12.75" hidden="false" customHeight="false" outlineLevel="0" collapsed="false">
      <c r="B289" s="2" t="s">
        <v>1017</v>
      </c>
      <c r="C289" s="2" t="s">
        <v>118</v>
      </c>
      <c r="D289" s="2" t="s">
        <v>2578</v>
      </c>
      <c r="E289" s="2" t="n">
        <v>205199</v>
      </c>
      <c r="F289" s="15" t="n">
        <v>44146</v>
      </c>
      <c r="G289" s="15" t="n">
        <v>44151</v>
      </c>
      <c r="H289" s="3" t="n">
        <v>5</v>
      </c>
      <c r="I289" s="3" t="n">
        <v>1</v>
      </c>
      <c r="J289" s="3" t="n">
        <v>81</v>
      </c>
      <c r="K289" s="3" t="n">
        <v>1</v>
      </c>
      <c r="L289" s="3" t="n">
        <v>1</v>
      </c>
      <c r="M289" s="3" t="n">
        <v>1</v>
      </c>
      <c r="N289" s="3" t="n">
        <v>2</v>
      </c>
      <c r="O289" s="3" t="n">
        <v>2</v>
      </c>
      <c r="P289" s="3" t="n">
        <v>2</v>
      </c>
      <c r="Q289" s="3" t="n">
        <v>2</v>
      </c>
      <c r="R289" s="3" t="n">
        <v>2</v>
      </c>
      <c r="S289" s="3" t="n">
        <v>2</v>
      </c>
      <c r="T289" s="4" t="n">
        <v>2</v>
      </c>
      <c r="U289" s="3" t="n">
        <v>2</v>
      </c>
      <c r="V289" s="3" t="n">
        <v>6.99</v>
      </c>
      <c r="W289" s="3" t="n">
        <v>2.03</v>
      </c>
      <c r="X289" s="3" t="n">
        <v>8.43</v>
      </c>
      <c r="Y289" s="3" t="n">
        <v>377</v>
      </c>
      <c r="AA289" s="3" t="n">
        <v>0.5</v>
      </c>
      <c r="AB289" s="3" t="n">
        <v>19.9</v>
      </c>
      <c r="AC289" s="3" t="n">
        <v>2</v>
      </c>
      <c r="AD289" s="3" t="n">
        <v>2</v>
      </c>
      <c r="AE289" s="3" t="n">
        <v>1</v>
      </c>
      <c r="AF289" s="3" t="n">
        <v>1</v>
      </c>
      <c r="AG289" s="3" t="n">
        <v>2</v>
      </c>
      <c r="AH289" s="3" t="n">
        <v>2</v>
      </c>
      <c r="AI289" s="3" t="n">
        <v>1</v>
      </c>
      <c r="AJ289" s="3" t="n">
        <v>2</v>
      </c>
      <c r="AK289" s="3" t="n">
        <v>2</v>
      </c>
      <c r="AL289" s="3" t="n">
        <v>2</v>
      </c>
      <c r="AM289" s="3" t="n">
        <v>1</v>
      </c>
      <c r="AN289" s="3" t="n">
        <v>2</v>
      </c>
      <c r="AO289" s="3" t="n">
        <v>2</v>
      </c>
      <c r="AP289" s="3" t="n">
        <v>3</v>
      </c>
      <c r="AQ289" s="3" t="n">
        <v>4</v>
      </c>
      <c r="AR289" s="3" t="n">
        <v>4</v>
      </c>
      <c r="AS289" s="3" t="n">
        <v>6</v>
      </c>
      <c r="AT289" s="3" t="n">
        <v>4</v>
      </c>
      <c r="AU289" s="3" t="n">
        <v>4</v>
      </c>
      <c r="AV289" s="3" t="n">
        <v>6</v>
      </c>
      <c r="AW289" s="3" t="n">
        <v>6</v>
      </c>
      <c r="AX289" s="3" t="n">
        <v>3</v>
      </c>
      <c r="AY289" s="3" t="n">
        <v>3</v>
      </c>
      <c r="AZ289" s="3" t="n">
        <v>14</v>
      </c>
      <c r="BA289" s="5" t="n">
        <v>1</v>
      </c>
      <c r="BB289" s="3" t="n">
        <v>1</v>
      </c>
      <c r="BC289" s="3" t="n">
        <v>2</v>
      </c>
      <c r="BD289" s="3" t="n">
        <v>2</v>
      </c>
      <c r="BE289" s="3" t="n">
        <v>1</v>
      </c>
      <c r="BF289" s="3" t="n">
        <v>2</v>
      </c>
      <c r="BG289" s="3" t="n">
        <v>1</v>
      </c>
      <c r="BH289" s="3" t="n">
        <v>4</v>
      </c>
      <c r="BI289" s="3" t="n">
        <v>1</v>
      </c>
      <c r="BJ289" s="3" t="n">
        <v>1</v>
      </c>
    </row>
    <row r="290" customFormat="false" ht="12.75" hidden="false" customHeight="false" outlineLevel="0" collapsed="false">
      <c r="B290" s="2" t="s">
        <v>2595</v>
      </c>
      <c r="C290" s="2" t="s">
        <v>414</v>
      </c>
      <c r="D290" s="2" t="s">
        <v>118</v>
      </c>
      <c r="E290" s="2" t="n">
        <v>205108</v>
      </c>
      <c r="F290" s="15" t="n">
        <v>44153</v>
      </c>
      <c r="G290" s="15" t="n">
        <v>44160</v>
      </c>
      <c r="H290" s="3" t="n">
        <v>7</v>
      </c>
      <c r="I290" s="3" t="n">
        <v>1</v>
      </c>
      <c r="J290" s="3" t="n">
        <v>69</v>
      </c>
      <c r="K290" s="3" t="n">
        <v>1</v>
      </c>
      <c r="L290" s="3" t="n">
        <v>2</v>
      </c>
      <c r="M290" s="3" t="n">
        <v>1</v>
      </c>
      <c r="N290" s="3" t="n">
        <v>2</v>
      </c>
      <c r="O290" s="3" t="n">
        <v>2</v>
      </c>
      <c r="P290" s="3" t="n">
        <v>2</v>
      </c>
      <c r="Q290" s="3" t="n">
        <v>1</v>
      </c>
      <c r="R290" s="3" t="n">
        <v>2</v>
      </c>
      <c r="S290" s="3" t="n">
        <v>1</v>
      </c>
      <c r="T290" s="4" t="n">
        <v>2</v>
      </c>
      <c r="U290" s="3" t="n">
        <v>2</v>
      </c>
      <c r="V290" s="3" t="n">
        <v>6.6</v>
      </c>
      <c r="W290" s="3" t="n">
        <v>3.08</v>
      </c>
      <c r="X290" s="3" t="n">
        <v>24.39</v>
      </c>
      <c r="Y290" s="3" t="n">
        <v>460</v>
      </c>
      <c r="AA290" s="3" t="n">
        <v>0.32</v>
      </c>
      <c r="AB290" s="3" t="n">
        <v>11.9</v>
      </c>
      <c r="AC290" s="3" t="n">
        <v>2</v>
      </c>
      <c r="AD290" s="3" t="n">
        <v>2</v>
      </c>
      <c r="AE290" s="3" t="n">
        <v>1</v>
      </c>
      <c r="AF290" s="3" t="n">
        <v>1</v>
      </c>
      <c r="AG290" s="3" t="n">
        <v>2</v>
      </c>
      <c r="AH290" s="3" t="n">
        <v>2</v>
      </c>
      <c r="AI290" s="3" t="n">
        <v>1</v>
      </c>
      <c r="AJ290" s="3" t="n">
        <v>1</v>
      </c>
      <c r="AK290" s="3" t="n">
        <v>1</v>
      </c>
      <c r="AL290" s="3" t="n">
        <v>2</v>
      </c>
      <c r="AM290" s="3" t="n">
        <v>1</v>
      </c>
      <c r="AN290" s="3" t="n">
        <v>2</v>
      </c>
      <c r="AO290" s="3" t="n">
        <v>2</v>
      </c>
      <c r="AP290" s="3" t="n">
        <v>3</v>
      </c>
      <c r="AQ290" s="3" t="n">
        <v>4</v>
      </c>
      <c r="AR290" s="3" t="n">
        <v>4</v>
      </c>
      <c r="AS290" s="3" t="n">
        <v>6</v>
      </c>
      <c r="AT290" s="3" t="n">
        <v>4</v>
      </c>
      <c r="AU290" s="3" t="n">
        <v>4</v>
      </c>
      <c r="AV290" s="3" t="n">
        <v>6</v>
      </c>
      <c r="AW290" s="3" t="n">
        <v>6</v>
      </c>
      <c r="AX290" s="3" t="n">
        <v>3</v>
      </c>
      <c r="AY290" s="3" t="n">
        <v>3</v>
      </c>
      <c r="AZ290" s="3" t="n">
        <v>1</v>
      </c>
      <c r="BA290" s="5" t="n">
        <v>1</v>
      </c>
      <c r="BB290" s="3" t="n">
        <v>1</v>
      </c>
      <c r="BC290" s="3" t="n">
        <v>1</v>
      </c>
      <c r="BD290" s="3" t="n">
        <v>4</v>
      </c>
      <c r="BE290" s="3" t="n">
        <v>1</v>
      </c>
      <c r="BF290" s="3" t="n">
        <v>2</v>
      </c>
      <c r="BG290" s="3" t="n">
        <v>1</v>
      </c>
      <c r="BH290" s="3" t="n">
        <v>4</v>
      </c>
      <c r="BI290" s="3" t="n">
        <v>1</v>
      </c>
      <c r="BJ290" s="3" t="n">
        <v>1</v>
      </c>
    </row>
    <row r="291" customFormat="false" ht="12.75" hidden="false" customHeight="false" outlineLevel="0" collapsed="false">
      <c r="B291" s="2" t="s">
        <v>569</v>
      </c>
      <c r="C291" s="2" t="s">
        <v>2601</v>
      </c>
      <c r="D291" s="2" t="s">
        <v>108</v>
      </c>
      <c r="E291" s="2" t="n">
        <v>204853</v>
      </c>
      <c r="F291" s="15" t="n">
        <v>44155</v>
      </c>
      <c r="G291" s="15" t="n">
        <v>44161</v>
      </c>
      <c r="H291" s="3" t="n">
        <v>6</v>
      </c>
      <c r="I291" s="3" t="n">
        <v>2</v>
      </c>
      <c r="J291" s="3" t="n">
        <v>58</v>
      </c>
      <c r="K291" s="3" t="n">
        <v>1</v>
      </c>
      <c r="L291" s="3" t="n">
        <v>1</v>
      </c>
      <c r="M291" s="3" t="n">
        <v>1</v>
      </c>
      <c r="N291" s="3" t="n">
        <v>2</v>
      </c>
      <c r="O291" s="3" t="n">
        <v>2</v>
      </c>
      <c r="P291" s="3" t="n">
        <v>2</v>
      </c>
      <c r="Q291" s="3" t="n">
        <v>2</v>
      </c>
      <c r="R291" s="3" t="n">
        <v>2</v>
      </c>
      <c r="S291" s="3" t="n">
        <v>2</v>
      </c>
      <c r="T291" s="4" t="n">
        <v>2</v>
      </c>
      <c r="U291" s="3" t="n">
        <v>2</v>
      </c>
      <c r="V291" s="3" t="n">
        <v>4.61</v>
      </c>
      <c r="W291" s="3" t="n">
        <v>1.59</v>
      </c>
      <c r="X291" s="3" t="n">
        <v>7.81</v>
      </c>
      <c r="Y291" s="3" t="n">
        <v>532</v>
      </c>
      <c r="AA291" s="3" t="n">
        <v>0.51</v>
      </c>
      <c r="AB291" s="3" t="n">
        <v>11.9</v>
      </c>
      <c r="AC291" s="3" t="n">
        <v>1</v>
      </c>
      <c r="AD291" s="3" t="n">
        <v>2</v>
      </c>
      <c r="AE291" s="3" t="n">
        <v>1</v>
      </c>
      <c r="AF291" s="3" t="n">
        <v>1</v>
      </c>
      <c r="AG291" s="3" t="n">
        <v>2</v>
      </c>
      <c r="AH291" s="3" t="n">
        <v>2</v>
      </c>
      <c r="AI291" s="3" t="n">
        <v>1</v>
      </c>
      <c r="AJ291" s="3" t="n">
        <v>2</v>
      </c>
      <c r="AK291" s="3" t="n">
        <v>2</v>
      </c>
      <c r="AL291" s="3" t="n">
        <v>2</v>
      </c>
      <c r="AM291" s="3" t="n">
        <v>2</v>
      </c>
      <c r="AN291" s="3" t="n">
        <v>2</v>
      </c>
      <c r="AO291" s="3" t="n">
        <v>2</v>
      </c>
      <c r="AP291" s="3" t="n">
        <v>3</v>
      </c>
      <c r="AQ291" s="3" t="n">
        <v>4</v>
      </c>
      <c r="AR291" s="3" t="n">
        <v>4</v>
      </c>
      <c r="AS291" s="3" t="n">
        <v>6</v>
      </c>
      <c r="AT291" s="3" t="n">
        <v>4</v>
      </c>
      <c r="AU291" s="3" t="n">
        <v>4</v>
      </c>
      <c r="AV291" s="3" t="n">
        <v>6</v>
      </c>
      <c r="AW291" s="3" t="n">
        <v>6</v>
      </c>
      <c r="AX291" s="3" t="n">
        <v>3</v>
      </c>
      <c r="AY291" s="3" t="n">
        <v>3</v>
      </c>
      <c r="AZ291" s="3" t="n">
        <v>1</v>
      </c>
      <c r="BA291" s="5" t="n">
        <v>1</v>
      </c>
      <c r="BB291" s="3" t="n">
        <v>1</v>
      </c>
      <c r="BC291" s="3" t="n">
        <v>1</v>
      </c>
      <c r="BD291" s="3" t="n">
        <v>2</v>
      </c>
      <c r="BE291" s="3" t="n">
        <v>1</v>
      </c>
      <c r="BF291" s="3" t="n">
        <v>2</v>
      </c>
      <c r="BG291" s="3" t="n">
        <v>1</v>
      </c>
      <c r="BH291" s="3" t="n">
        <v>4</v>
      </c>
      <c r="BI291" s="3" t="n">
        <v>1</v>
      </c>
      <c r="BJ291" s="3" t="n">
        <v>1</v>
      </c>
    </row>
    <row r="292" customFormat="false" ht="12.75" hidden="false" customHeight="false" outlineLevel="0" collapsed="false">
      <c r="B292" s="2" t="s">
        <v>286</v>
      </c>
      <c r="C292" s="2" t="s">
        <v>2606</v>
      </c>
      <c r="D292" s="2" t="s">
        <v>78</v>
      </c>
      <c r="E292" s="2" t="n">
        <v>205309</v>
      </c>
      <c r="F292" s="15" t="n">
        <v>44157</v>
      </c>
      <c r="G292" s="15" t="n">
        <v>44164</v>
      </c>
      <c r="H292" s="3" t="n">
        <v>7</v>
      </c>
      <c r="I292" s="3" t="n">
        <v>2</v>
      </c>
      <c r="J292" s="3" t="n">
        <v>67</v>
      </c>
      <c r="K292" s="3" t="n">
        <v>1</v>
      </c>
      <c r="L292" s="3" t="n">
        <v>1</v>
      </c>
      <c r="M292" s="3" t="n">
        <v>2</v>
      </c>
      <c r="N292" s="3" t="n">
        <v>2</v>
      </c>
      <c r="O292" s="3" t="n">
        <v>2</v>
      </c>
      <c r="P292" s="3" t="n">
        <v>2</v>
      </c>
      <c r="Q292" s="3" t="n">
        <v>2</v>
      </c>
      <c r="R292" s="3" t="n">
        <v>2</v>
      </c>
      <c r="S292" s="3" t="n">
        <v>2</v>
      </c>
      <c r="T292" s="4" t="n">
        <v>2</v>
      </c>
      <c r="U292" s="3" t="n">
        <v>2</v>
      </c>
      <c r="V292" s="3" t="n">
        <v>3.74</v>
      </c>
      <c r="W292" s="3" t="n">
        <v>1.56</v>
      </c>
      <c r="X292" s="3" t="n">
        <v>5.74</v>
      </c>
      <c r="Y292" s="3" t="n">
        <v>254</v>
      </c>
      <c r="AA292" s="3" t="n">
        <v>0.42</v>
      </c>
      <c r="AB292" s="3" t="n">
        <v>19.9</v>
      </c>
      <c r="AC292" s="3" t="n">
        <v>2</v>
      </c>
      <c r="AD292" s="3" t="n">
        <v>2</v>
      </c>
      <c r="AE292" s="3" t="n">
        <v>1</v>
      </c>
      <c r="AF292" s="3" t="n">
        <v>1</v>
      </c>
      <c r="AG292" s="3" t="n">
        <v>2</v>
      </c>
      <c r="AH292" s="3" t="n">
        <v>2</v>
      </c>
      <c r="AI292" s="3" t="n">
        <v>1</v>
      </c>
      <c r="AJ292" s="3" t="n">
        <v>2</v>
      </c>
      <c r="AK292" s="3" t="n">
        <v>2</v>
      </c>
      <c r="AL292" s="3" t="n">
        <v>2</v>
      </c>
      <c r="AM292" s="3" t="n">
        <v>2</v>
      </c>
      <c r="AN292" s="3" t="n">
        <v>2</v>
      </c>
      <c r="AO292" s="3" t="n">
        <v>2</v>
      </c>
      <c r="AP292" s="3" t="n">
        <v>3</v>
      </c>
      <c r="AQ292" s="3" t="n">
        <v>4</v>
      </c>
      <c r="AR292" s="3" t="n">
        <v>4</v>
      </c>
      <c r="AS292" s="3" t="n">
        <v>6</v>
      </c>
      <c r="AT292" s="3" t="n">
        <v>4</v>
      </c>
      <c r="AU292" s="3" t="n">
        <v>4</v>
      </c>
      <c r="AV292" s="3" t="n">
        <v>6</v>
      </c>
      <c r="AW292" s="3" t="n">
        <v>6</v>
      </c>
      <c r="AX292" s="3" t="n">
        <v>3</v>
      </c>
      <c r="AY292" s="3" t="n">
        <v>3</v>
      </c>
      <c r="AZ292" s="3" t="n">
        <v>1</v>
      </c>
      <c r="BA292" s="5" t="n">
        <v>1</v>
      </c>
      <c r="BB292" s="3" t="n">
        <v>1</v>
      </c>
      <c r="BC292" s="3" t="n">
        <v>1</v>
      </c>
      <c r="BD292" s="3" t="n">
        <v>2</v>
      </c>
      <c r="BE292" s="3" t="n">
        <v>1</v>
      </c>
      <c r="BF292" s="3" t="n">
        <v>2</v>
      </c>
      <c r="BG292" s="3" t="n">
        <v>1</v>
      </c>
      <c r="BH292" s="3" t="n">
        <v>4</v>
      </c>
      <c r="BI292" s="3" t="n">
        <v>1</v>
      </c>
      <c r="BJ292" s="3" t="n">
        <v>1</v>
      </c>
    </row>
    <row r="293" customFormat="false" ht="12.75" hidden="false" customHeight="false" outlineLevel="0" collapsed="false">
      <c r="B293" s="2" t="s">
        <v>2608</v>
      </c>
      <c r="C293" s="2" t="s">
        <v>2609</v>
      </c>
      <c r="D293" s="2" t="s">
        <v>2610</v>
      </c>
      <c r="E293" s="2" t="n">
        <v>205352</v>
      </c>
      <c r="F293" s="15" t="n">
        <v>44158</v>
      </c>
      <c r="G293" s="15" t="n">
        <v>44165</v>
      </c>
      <c r="H293" s="3" t="n">
        <v>7</v>
      </c>
      <c r="I293" s="3" t="n">
        <v>1</v>
      </c>
      <c r="J293" s="3" t="n">
        <v>86</v>
      </c>
      <c r="K293" s="3" t="n">
        <v>1</v>
      </c>
      <c r="L293" s="3" t="n">
        <v>2</v>
      </c>
      <c r="M293" s="3" t="n">
        <v>1</v>
      </c>
      <c r="N293" s="3" t="n">
        <v>2</v>
      </c>
      <c r="O293" s="3" t="n">
        <v>2</v>
      </c>
      <c r="P293" s="3" t="n">
        <v>2</v>
      </c>
      <c r="Q293" s="3" t="n">
        <v>2</v>
      </c>
      <c r="R293" s="3" t="n">
        <v>2</v>
      </c>
      <c r="S293" s="3" t="n">
        <v>1</v>
      </c>
      <c r="T293" s="4" t="n">
        <v>2</v>
      </c>
      <c r="U293" s="3" t="n">
        <v>2</v>
      </c>
      <c r="V293" s="3" t="n">
        <v>3.19</v>
      </c>
      <c r="W293" s="3" t="n">
        <v>1.97</v>
      </c>
      <c r="X293" s="3" t="n">
        <v>5.59</v>
      </c>
      <c r="Y293" s="3" t="n">
        <v>354</v>
      </c>
      <c r="AA293" s="3" t="n">
        <v>0.45</v>
      </c>
      <c r="AB293" s="3" t="n">
        <v>12.9</v>
      </c>
      <c r="AC293" s="3"/>
      <c r="AD293" s="3" t="n">
        <v>2</v>
      </c>
      <c r="AE293" s="3" t="n">
        <v>1</v>
      </c>
      <c r="AF293" s="3" t="n">
        <v>1</v>
      </c>
      <c r="AG293" s="3" t="n">
        <v>2</v>
      </c>
      <c r="AH293" s="3" t="n">
        <v>2</v>
      </c>
      <c r="AI293" s="3" t="n">
        <v>1</v>
      </c>
      <c r="AJ293" s="3" t="n">
        <v>1</v>
      </c>
      <c r="AK293" s="3" t="n">
        <v>2</v>
      </c>
      <c r="AL293" s="3" t="n">
        <v>2</v>
      </c>
      <c r="AM293" s="3" t="n">
        <v>2</v>
      </c>
      <c r="AN293" s="3" t="n">
        <v>2</v>
      </c>
      <c r="AO293" s="3" t="n">
        <v>2</v>
      </c>
      <c r="AP293" s="3" t="n">
        <v>3</v>
      </c>
      <c r="AQ293" s="3" t="n">
        <v>4</v>
      </c>
      <c r="AR293" s="3" t="n">
        <v>4</v>
      </c>
      <c r="AS293" s="3" t="n">
        <v>6</v>
      </c>
      <c r="AT293" s="3" t="n">
        <v>4</v>
      </c>
      <c r="AU293" s="3" t="n">
        <v>4</v>
      </c>
      <c r="AV293" s="3" t="n">
        <v>6</v>
      </c>
      <c r="AW293" s="3" t="n">
        <v>6</v>
      </c>
      <c r="AX293" s="3" t="n">
        <v>3</v>
      </c>
      <c r="AY293" s="3" t="n">
        <v>3</v>
      </c>
      <c r="AZ293" s="3" t="n">
        <v>1</v>
      </c>
      <c r="BA293" s="5" t="n">
        <v>1</v>
      </c>
      <c r="BB293" s="3" t="n">
        <v>1</v>
      </c>
      <c r="BC293" s="3" t="n">
        <v>1</v>
      </c>
      <c r="BD293" s="3" t="n">
        <v>4</v>
      </c>
      <c r="BE293" s="3" t="n">
        <v>3</v>
      </c>
      <c r="BF293" s="3" t="n">
        <v>5</v>
      </c>
      <c r="BG293" s="3" t="n">
        <v>3</v>
      </c>
      <c r="BH293" s="3" t="n">
        <v>4</v>
      </c>
      <c r="BI293" s="3" t="n">
        <v>1</v>
      </c>
      <c r="BJ293" s="3" t="n">
        <v>1</v>
      </c>
    </row>
    <row r="294" customFormat="false" ht="12.75" hidden="false" customHeight="false" outlineLevel="0" collapsed="false">
      <c r="B294" s="2" t="s">
        <v>2613</v>
      </c>
      <c r="C294" s="2" t="s">
        <v>2614</v>
      </c>
      <c r="D294" s="2" t="s">
        <v>2615</v>
      </c>
      <c r="E294" s="2" t="n">
        <v>205347</v>
      </c>
      <c r="F294" s="15" t="n">
        <v>44158</v>
      </c>
      <c r="G294" s="15" t="n">
        <v>44164</v>
      </c>
      <c r="H294" s="3" t="n">
        <v>6</v>
      </c>
      <c r="I294" s="3" t="n">
        <v>1</v>
      </c>
      <c r="J294" s="3" t="n">
        <v>40</v>
      </c>
      <c r="K294" s="3" t="n">
        <v>1</v>
      </c>
      <c r="L294" s="3" t="n">
        <v>1</v>
      </c>
      <c r="M294" s="3" t="n">
        <v>2</v>
      </c>
      <c r="N294" s="3" t="n">
        <v>2</v>
      </c>
      <c r="O294" s="3" t="n">
        <v>2</v>
      </c>
      <c r="P294" s="3" t="n">
        <v>2</v>
      </c>
      <c r="Q294" s="3" t="n">
        <v>2</v>
      </c>
      <c r="R294" s="3" t="n">
        <v>2</v>
      </c>
      <c r="S294" s="3" t="n">
        <v>2</v>
      </c>
      <c r="T294" s="4" t="n">
        <v>2</v>
      </c>
      <c r="U294" s="3" t="n">
        <v>2</v>
      </c>
      <c r="V294" s="3" t="n">
        <v>4.97</v>
      </c>
      <c r="W294" s="3" t="n">
        <v>2.64</v>
      </c>
      <c r="X294" s="3" t="n">
        <v>4.29</v>
      </c>
      <c r="Y294" s="3" t="n">
        <v>208</v>
      </c>
      <c r="AA294" s="3" t="n">
        <v>0.44</v>
      </c>
      <c r="AB294" s="3" t="n">
        <v>10.8</v>
      </c>
      <c r="AC294" s="3" t="n">
        <v>1</v>
      </c>
      <c r="AD294" s="3" t="n">
        <v>1</v>
      </c>
      <c r="AE294" s="3" t="n">
        <v>1</v>
      </c>
      <c r="AF294" s="3" t="n">
        <v>1</v>
      </c>
      <c r="AG294" s="3" t="n">
        <v>2</v>
      </c>
      <c r="AH294" s="3" t="n">
        <v>2</v>
      </c>
      <c r="AI294" s="3" t="n">
        <v>1</v>
      </c>
      <c r="AJ294" s="3" t="n">
        <v>2</v>
      </c>
      <c r="AK294" s="3" t="n">
        <v>2</v>
      </c>
      <c r="AL294" s="3" t="n">
        <v>2</v>
      </c>
      <c r="AM294" s="3" t="n">
        <v>1</v>
      </c>
      <c r="AN294" s="3" t="n">
        <v>2</v>
      </c>
      <c r="AO294" s="3" t="n">
        <v>2</v>
      </c>
      <c r="AP294" s="3" t="n">
        <v>3</v>
      </c>
      <c r="AQ294" s="3" t="n">
        <v>4</v>
      </c>
      <c r="AR294" s="3" t="n">
        <v>4</v>
      </c>
      <c r="AS294" s="3" t="n">
        <v>6</v>
      </c>
      <c r="AT294" s="3" t="n">
        <v>4</v>
      </c>
      <c r="AU294" s="3" t="n">
        <v>4</v>
      </c>
      <c r="AV294" s="3" t="n">
        <v>6</v>
      </c>
      <c r="AW294" s="3" t="n">
        <v>6</v>
      </c>
      <c r="AX294" s="3" t="n">
        <v>3</v>
      </c>
      <c r="AY294" s="3" t="n">
        <v>3</v>
      </c>
      <c r="AZ294" s="3" t="n">
        <v>1</v>
      </c>
      <c r="BA294" s="5" t="n">
        <v>1</v>
      </c>
      <c r="BB294" s="3" t="n">
        <v>1</v>
      </c>
      <c r="BC294" s="3" t="n">
        <v>1</v>
      </c>
      <c r="BD294" s="3" t="n">
        <v>2</v>
      </c>
      <c r="BE294" s="3" t="n">
        <v>3</v>
      </c>
      <c r="BF294" s="3" t="n">
        <v>5</v>
      </c>
      <c r="BG294" s="3" t="n">
        <v>3</v>
      </c>
      <c r="BH294" s="3" t="n">
        <v>4</v>
      </c>
      <c r="BI294" s="3" t="n">
        <v>1</v>
      </c>
      <c r="BJ294" s="3" t="n">
        <v>1</v>
      </c>
    </row>
    <row r="295" customFormat="false" ht="12.75" hidden="false" customHeight="false" outlineLevel="0" collapsed="false">
      <c r="B295" s="2" t="s">
        <v>2623</v>
      </c>
      <c r="C295" s="2" t="s">
        <v>78</v>
      </c>
      <c r="D295" s="2" t="s">
        <v>78</v>
      </c>
      <c r="E295" s="2" t="n">
        <v>205773</v>
      </c>
      <c r="F295" s="15" t="n">
        <v>44166</v>
      </c>
      <c r="G295" s="15" t="n">
        <v>44172</v>
      </c>
      <c r="H295" s="3" t="n">
        <v>6</v>
      </c>
      <c r="I295" s="3" t="n">
        <v>2</v>
      </c>
      <c r="J295" s="3" t="n">
        <v>69</v>
      </c>
      <c r="K295" s="3" t="n">
        <v>1</v>
      </c>
      <c r="L295" s="3" t="n">
        <v>2</v>
      </c>
      <c r="M295" s="3" t="n">
        <v>1</v>
      </c>
      <c r="N295" s="3" t="n">
        <v>2</v>
      </c>
      <c r="O295" s="3" t="n">
        <v>2</v>
      </c>
      <c r="P295" s="3" t="n">
        <v>2</v>
      </c>
      <c r="Q295" s="3" t="n">
        <v>2</v>
      </c>
      <c r="R295" s="3" t="n">
        <v>2</v>
      </c>
      <c r="S295" s="3" t="n">
        <v>2</v>
      </c>
      <c r="T295" s="4" t="n">
        <v>2</v>
      </c>
      <c r="U295" s="3" t="n">
        <v>2</v>
      </c>
      <c r="V295" s="3" t="n">
        <v>4.36</v>
      </c>
      <c r="W295" s="3" t="n">
        <v>1.48</v>
      </c>
      <c r="X295" s="3" t="n">
        <v>5.87</v>
      </c>
      <c r="Y295" s="3" t="n">
        <v>259</v>
      </c>
      <c r="AA295" s="3" t="n">
        <v>0.48</v>
      </c>
      <c r="AB295" s="3" t="n">
        <v>13</v>
      </c>
      <c r="AC295" s="3" t="n">
        <v>1</v>
      </c>
      <c r="AD295" s="3" t="n">
        <v>2</v>
      </c>
      <c r="AE295" s="3" t="n">
        <v>1</v>
      </c>
      <c r="AF295" s="3" t="n">
        <v>1</v>
      </c>
      <c r="AG295" s="3" t="n">
        <v>1</v>
      </c>
      <c r="AH295" s="3" t="n">
        <v>2</v>
      </c>
      <c r="AI295" s="3" t="n">
        <v>1</v>
      </c>
      <c r="AJ295" s="3" t="n">
        <v>2</v>
      </c>
      <c r="AK295" s="3" t="n">
        <v>2</v>
      </c>
      <c r="AL295" s="3" t="n">
        <v>2</v>
      </c>
      <c r="AM295" s="3" t="n">
        <v>2</v>
      </c>
      <c r="AN295" s="3" t="n">
        <v>2</v>
      </c>
      <c r="AO295" s="3" t="n">
        <v>2</v>
      </c>
      <c r="AP295" s="3" t="n">
        <v>3</v>
      </c>
      <c r="AQ295" s="3" t="n">
        <v>4</v>
      </c>
      <c r="AR295" s="3" t="n">
        <v>4</v>
      </c>
      <c r="AS295" s="3" t="n">
        <v>6</v>
      </c>
      <c r="AT295" s="3" t="n">
        <v>4</v>
      </c>
      <c r="AU295" s="3" t="n">
        <v>4</v>
      </c>
      <c r="AV295" s="3" t="n">
        <v>6</v>
      </c>
      <c r="AW295" s="3" t="n">
        <v>6</v>
      </c>
      <c r="AX295" s="3" t="n">
        <v>3</v>
      </c>
      <c r="AY295" s="3" t="n">
        <v>3</v>
      </c>
      <c r="AZ295" s="3" t="n">
        <v>1</v>
      </c>
      <c r="BA295" s="5" t="n">
        <v>1</v>
      </c>
      <c r="BB295" s="3" t="n">
        <v>1</v>
      </c>
      <c r="BC295" s="3" t="n">
        <v>1</v>
      </c>
      <c r="BD295" s="3" t="n">
        <v>2</v>
      </c>
      <c r="BE295" s="3" t="n">
        <v>3</v>
      </c>
      <c r="BF295" s="3" t="n">
        <v>5</v>
      </c>
      <c r="BG295" s="3" t="n">
        <v>3</v>
      </c>
      <c r="BH295" s="3" t="n">
        <v>4</v>
      </c>
      <c r="BI295" s="3" t="n">
        <v>1</v>
      </c>
      <c r="BJ295" s="3" t="n">
        <v>1</v>
      </c>
    </row>
    <row r="296" customFormat="false" ht="12.75" hidden="false" customHeight="false" outlineLevel="0" collapsed="false">
      <c r="B296" s="2" t="s">
        <v>497</v>
      </c>
      <c r="C296" s="2" t="s">
        <v>2629</v>
      </c>
      <c r="D296" s="2" t="s">
        <v>611</v>
      </c>
      <c r="E296" s="2" t="n">
        <v>205321</v>
      </c>
      <c r="F296" s="15" t="n">
        <v>44163</v>
      </c>
      <c r="G296" s="15" t="n">
        <v>44170</v>
      </c>
      <c r="H296" s="3" t="n">
        <v>7</v>
      </c>
      <c r="I296" s="3" t="n">
        <v>2</v>
      </c>
      <c r="J296" s="3" t="n">
        <v>78</v>
      </c>
      <c r="K296" s="3" t="n">
        <v>1</v>
      </c>
      <c r="L296" s="3" t="n">
        <v>2</v>
      </c>
      <c r="M296" s="3" t="n">
        <v>1</v>
      </c>
      <c r="N296" s="3" t="n">
        <v>2</v>
      </c>
      <c r="O296" s="3" t="n">
        <v>2</v>
      </c>
      <c r="P296" s="3" t="n">
        <v>2</v>
      </c>
      <c r="Q296" s="3" t="n">
        <v>2</v>
      </c>
      <c r="R296" s="3" t="n">
        <v>2</v>
      </c>
      <c r="S296" s="3" t="n">
        <v>2</v>
      </c>
      <c r="T296" s="4" t="n">
        <v>2</v>
      </c>
      <c r="U296" s="3" t="n">
        <v>2</v>
      </c>
      <c r="V296" s="3" t="n">
        <v>4.74</v>
      </c>
      <c r="W296" s="3" t="n">
        <v>1.61</v>
      </c>
      <c r="X296" s="3" t="n">
        <v>5.83</v>
      </c>
      <c r="Y296" s="3" t="n">
        <v>459</v>
      </c>
      <c r="AA296" s="3" t="n">
        <v>0.54</v>
      </c>
      <c r="AB296" s="3" t="n">
        <v>12.5</v>
      </c>
      <c r="AC296" s="3" t="n">
        <v>2</v>
      </c>
      <c r="AD296" s="3" t="n">
        <v>2</v>
      </c>
      <c r="AE296" s="3" t="n">
        <v>1</v>
      </c>
      <c r="AF296" s="3" t="n">
        <v>1</v>
      </c>
      <c r="AG296" s="3" t="n">
        <v>1</v>
      </c>
      <c r="AH296" s="3" t="n">
        <v>2</v>
      </c>
      <c r="AI296" s="3" t="n">
        <v>1</v>
      </c>
      <c r="AJ296" s="3" t="n">
        <v>2</v>
      </c>
      <c r="AK296" s="3" t="n">
        <v>2</v>
      </c>
      <c r="AL296" s="3" t="n">
        <v>2</v>
      </c>
      <c r="AM296" s="3" t="n">
        <v>1</v>
      </c>
      <c r="AN296" s="3" t="n">
        <v>2</v>
      </c>
      <c r="AO296" s="3" t="n">
        <v>2</v>
      </c>
      <c r="AP296" s="3" t="n">
        <v>3</v>
      </c>
      <c r="AQ296" s="3" t="n">
        <v>4</v>
      </c>
      <c r="AR296" s="3" t="n">
        <v>4</v>
      </c>
      <c r="AS296" s="3" t="n">
        <v>6</v>
      </c>
      <c r="AT296" s="3" t="n">
        <v>4</v>
      </c>
      <c r="AU296" s="3" t="n">
        <v>4</v>
      </c>
      <c r="AV296" s="3" t="n">
        <v>6</v>
      </c>
      <c r="AW296" s="3" t="n">
        <v>6</v>
      </c>
      <c r="AX296" s="3" t="n">
        <v>3</v>
      </c>
      <c r="AY296" s="3" t="n">
        <v>3</v>
      </c>
      <c r="AZ296" s="3" t="n">
        <v>1</v>
      </c>
      <c r="BA296" s="5" t="n">
        <v>1</v>
      </c>
      <c r="BB296" s="3" t="n">
        <v>1</v>
      </c>
      <c r="BC296" s="3" t="n">
        <v>1</v>
      </c>
      <c r="BD296" s="3" t="n">
        <v>2</v>
      </c>
      <c r="BE296" s="3" t="n">
        <v>1</v>
      </c>
      <c r="BF296" s="3" t="n">
        <v>2</v>
      </c>
      <c r="BG296" s="3" t="n">
        <v>1</v>
      </c>
      <c r="BH296" s="3" t="n">
        <v>4</v>
      </c>
      <c r="BI296" s="3" t="n">
        <v>1</v>
      </c>
      <c r="BJ296" s="3" t="n">
        <v>1</v>
      </c>
    </row>
    <row r="297" customFormat="false" ht="12.75" hidden="false" customHeight="false" outlineLevel="0" collapsed="false">
      <c r="B297" s="2" t="s">
        <v>556</v>
      </c>
      <c r="C297" s="2" t="s">
        <v>802</v>
      </c>
      <c r="D297" s="2" t="s">
        <v>433</v>
      </c>
      <c r="E297" s="2" t="n">
        <v>205734</v>
      </c>
      <c r="F297" s="15" t="n">
        <v>44165</v>
      </c>
      <c r="G297" s="15" t="n">
        <v>44172</v>
      </c>
      <c r="H297" s="3" t="n">
        <v>7</v>
      </c>
      <c r="I297" s="3" t="n">
        <v>2</v>
      </c>
      <c r="J297" s="3" t="n">
        <v>78</v>
      </c>
      <c r="K297" s="3" t="n">
        <v>1</v>
      </c>
      <c r="L297" s="3" t="n">
        <v>1</v>
      </c>
      <c r="M297" s="3" t="n">
        <v>1</v>
      </c>
      <c r="N297" s="3" t="n">
        <v>2</v>
      </c>
      <c r="O297" s="3" t="n">
        <v>2</v>
      </c>
      <c r="P297" s="3" t="n">
        <v>2</v>
      </c>
      <c r="Q297" s="3" t="n">
        <v>2</v>
      </c>
      <c r="R297" s="3" t="n">
        <v>2</v>
      </c>
      <c r="S297" s="3" t="n">
        <v>2</v>
      </c>
      <c r="T297" s="4" t="n">
        <v>2</v>
      </c>
      <c r="U297" s="3" t="n">
        <v>2</v>
      </c>
      <c r="V297" s="3" t="n">
        <v>4.79</v>
      </c>
      <c r="W297" s="3" t="n">
        <v>0.69</v>
      </c>
      <c r="X297" s="3" t="n">
        <v>5.16</v>
      </c>
      <c r="Y297" s="3" t="n">
        <v>313</v>
      </c>
      <c r="AA297" s="3" t="n">
        <v>0.45</v>
      </c>
      <c r="AB297" s="3" t="n">
        <v>11.9</v>
      </c>
      <c r="AC297" s="3" t="n">
        <v>1</v>
      </c>
      <c r="AD297" s="3" t="n">
        <v>2</v>
      </c>
      <c r="AE297" s="3" t="n">
        <v>1</v>
      </c>
      <c r="AF297" s="3" t="n">
        <v>1</v>
      </c>
      <c r="AG297" s="3" t="n">
        <v>1</v>
      </c>
      <c r="AH297" s="3" t="n">
        <v>2</v>
      </c>
      <c r="AI297" s="3" t="n">
        <v>1</v>
      </c>
      <c r="AJ297" s="3" t="n">
        <v>2</v>
      </c>
      <c r="AK297" s="3" t="n">
        <v>2</v>
      </c>
      <c r="AL297" s="3" t="n">
        <v>2</v>
      </c>
      <c r="AM297" s="3" t="n">
        <v>1</v>
      </c>
      <c r="AN297" s="3" t="n">
        <v>2</v>
      </c>
      <c r="AO297" s="3" t="n">
        <v>2</v>
      </c>
      <c r="AP297" s="3" t="n">
        <v>3</v>
      </c>
      <c r="AQ297" s="3" t="n">
        <v>4</v>
      </c>
      <c r="AR297" s="3" t="n">
        <v>4</v>
      </c>
      <c r="AS297" s="3" t="n">
        <v>6</v>
      </c>
      <c r="AT297" s="3" t="n">
        <v>4</v>
      </c>
      <c r="AU297" s="3" t="n">
        <v>4</v>
      </c>
      <c r="AV297" s="3" t="n">
        <v>6</v>
      </c>
      <c r="AW297" s="3" t="n">
        <v>6</v>
      </c>
      <c r="AX297" s="3" t="n">
        <v>3</v>
      </c>
      <c r="AY297" s="3" t="n">
        <v>3</v>
      </c>
      <c r="AZ297" s="3" t="n">
        <v>1</v>
      </c>
      <c r="BA297" s="5" t="n">
        <v>1</v>
      </c>
      <c r="BB297" s="3" t="n">
        <v>1</v>
      </c>
      <c r="BC297" s="3" t="n">
        <v>1</v>
      </c>
      <c r="BD297" s="3" t="n">
        <v>2</v>
      </c>
      <c r="BE297" s="3" t="n">
        <v>3</v>
      </c>
      <c r="BF297" s="3" t="n">
        <v>5</v>
      </c>
      <c r="BG297" s="3" t="n">
        <v>3</v>
      </c>
      <c r="BH297" s="3" t="n">
        <v>4</v>
      </c>
      <c r="BI297" s="3" t="n">
        <v>1</v>
      </c>
      <c r="BJ297" s="3" t="n">
        <v>1</v>
      </c>
    </row>
    <row r="298" customFormat="false" ht="12.75" hidden="false" customHeight="false" outlineLevel="0" collapsed="false">
      <c r="B298" s="2" t="s">
        <v>2635</v>
      </c>
      <c r="C298" s="2" t="s">
        <v>2636</v>
      </c>
      <c r="D298" s="2" t="s">
        <v>1462</v>
      </c>
      <c r="E298" s="2" t="n">
        <v>205739</v>
      </c>
      <c r="F298" s="15" t="n">
        <v>44165</v>
      </c>
      <c r="G298" s="15" t="n">
        <v>44172</v>
      </c>
      <c r="H298" s="3" t="n">
        <v>7</v>
      </c>
      <c r="I298" s="3" t="n">
        <v>2</v>
      </c>
      <c r="J298" s="3" t="n">
        <v>76</v>
      </c>
      <c r="K298" s="3" t="n">
        <v>1</v>
      </c>
      <c r="L298" s="3" t="n">
        <v>1</v>
      </c>
      <c r="M298" s="3" t="n">
        <v>2</v>
      </c>
      <c r="N298" s="3" t="n">
        <v>2</v>
      </c>
      <c r="O298" s="3" t="n">
        <v>2</v>
      </c>
      <c r="P298" s="3" t="n">
        <v>2</v>
      </c>
      <c r="Q298" s="3" t="n">
        <v>2</v>
      </c>
      <c r="R298" s="3" t="n">
        <v>2</v>
      </c>
      <c r="S298" s="3" t="n">
        <v>2</v>
      </c>
      <c r="T298" s="4" t="n">
        <v>2</v>
      </c>
      <c r="U298" s="3" t="n">
        <v>2</v>
      </c>
      <c r="V298" s="3" t="n">
        <v>4.25</v>
      </c>
      <c r="W298" s="3" t="n">
        <v>1.15</v>
      </c>
      <c r="X298" s="3" t="n">
        <v>7.68</v>
      </c>
      <c r="Y298" s="3" t="n">
        <v>231</v>
      </c>
      <c r="AA298" s="3" t="n">
        <v>0.49</v>
      </c>
      <c r="AB298" s="3" t="n">
        <v>10.1</v>
      </c>
      <c r="AC298" s="3" t="n">
        <v>1</v>
      </c>
      <c r="AD298" s="3" t="n">
        <v>2</v>
      </c>
      <c r="AE298" s="3" t="n">
        <v>1</v>
      </c>
      <c r="AF298" s="3" t="n">
        <v>1</v>
      </c>
      <c r="AG298" s="3" t="n">
        <v>2</v>
      </c>
      <c r="AH298" s="3" t="n">
        <v>2</v>
      </c>
      <c r="AI298" s="3" t="n">
        <v>1</v>
      </c>
      <c r="AJ298" s="3" t="n">
        <v>2</v>
      </c>
      <c r="AK298" s="3" t="n">
        <v>2</v>
      </c>
      <c r="AL298" s="3" t="n">
        <v>2</v>
      </c>
      <c r="AM298" s="3" t="n">
        <v>1</v>
      </c>
      <c r="AN298" s="3" t="n">
        <v>2</v>
      </c>
      <c r="AO298" s="3" t="n">
        <v>2</v>
      </c>
      <c r="AP298" s="3" t="n">
        <v>3</v>
      </c>
      <c r="AQ298" s="3" t="n">
        <v>4</v>
      </c>
      <c r="AR298" s="3" t="n">
        <v>4</v>
      </c>
      <c r="AS298" s="3" t="n">
        <v>6</v>
      </c>
      <c r="AT298" s="3" t="n">
        <v>4</v>
      </c>
      <c r="AU298" s="3" t="n">
        <v>4</v>
      </c>
      <c r="AV298" s="3" t="n">
        <v>6</v>
      </c>
      <c r="AW298" s="3" t="n">
        <v>6</v>
      </c>
      <c r="AX298" s="3" t="n">
        <v>3</v>
      </c>
      <c r="AY298" s="3" t="n">
        <v>3</v>
      </c>
      <c r="AZ298" s="3" t="n">
        <v>1</v>
      </c>
      <c r="BA298" s="5" t="n">
        <v>1</v>
      </c>
      <c r="BB298" s="3" t="n">
        <v>1</v>
      </c>
      <c r="BC298" s="3" t="n">
        <v>1</v>
      </c>
      <c r="BD298" s="3" t="n">
        <v>4</v>
      </c>
      <c r="BE298" s="3" t="n">
        <v>1</v>
      </c>
      <c r="BF298" s="3" t="n">
        <v>2</v>
      </c>
      <c r="BG298" s="3" t="n">
        <v>1</v>
      </c>
      <c r="BH298" s="3" t="n">
        <v>4</v>
      </c>
      <c r="BI298" s="3" t="n">
        <v>1</v>
      </c>
      <c r="BJ298" s="3" t="n">
        <v>1</v>
      </c>
    </row>
    <row r="299" customFormat="false" ht="12.75" hidden="false" customHeight="false" outlineLevel="0" collapsed="false">
      <c r="B299" s="2" t="s">
        <v>1075</v>
      </c>
      <c r="C299" s="2" t="s">
        <v>2643</v>
      </c>
      <c r="D299" s="2" t="s">
        <v>608</v>
      </c>
      <c r="E299" s="2" t="n">
        <v>205801</v>
      </c>
      <c r="F299" s="15" t="n">
        <v>44172</v>
      </c>
      <c r="G299" s="15" t="n">
        <v>44179</v>
      </c>
      <c r="H299" s="3" t="n">
        <v>7</v>
      </c>
      <c r="I299" s="3" t="n">
        <v>2</v>
      </c>
      <c r="J299" s="3" t="n">
        <v>57</v>
      </c>
      <c r="K299" s="3" t="n">
        <v>2</v>
      </c>
      <c r="L299" s="3" t="n">
        <v>1</v>
      </c>
      <c r="M299" s="3" t="n">
        <v>2</v>
      </c>
      <c r="N299" s="3" t="n">
        <v>2</v>
      </c>
      <c r="O299" s="3" t="n">
        <v>2</v>
      </c>
      <c r="P299" s="3" t="n">
        <v>2</v>
      </c>
      <c r="Q299" s="3" t="n">
        <v>2</v>
      </c>
      <c r="R299" s="3" t="n">
        <v>2</v>
      </c>
      <c r="S299" s="3" t="n">
        <v>2</v>
      </c>
      <c r="T299" s="4" t="n">
        <v>2</v>
      </c>
      <c r="U299" s="3" t="n">
        <v>2</v>
      </c>
      <c r="V299" s="3" t="n">
        <v>4.4</v>
      </c>
      <c r="W299" s="3" t="n">
        <v>1.35</v>
      </c>
      <c r="X299" s="3" t="n">
        <v>5.76</v>
      </c>
      <c r="Y299" s="3" t="n">
        <v>351</v>
      </c>
      <c r="AA299" s="3" t="n">
        <v>0.48</v>
      </c>
      <c r="AB299" s="3" t="n">
        <v>9.3</v>
      </c>
      <c r="AC299" s="3" t="n">
        <v>1</v>
      </c>
      <c r="AD299" s="3" t="n">
        <v>2</v>
      </c>
      <c r="AE299" s="3" t="n">
        <v>2</v>
      </c>
      <c r="AF299" s="3" t="n">
        <v>1</v>
      </c>
      <c r="AG299" s="3" t="n">
        <v>2</v>
      </c>
      <c r="AH299" s="3" t="n">
        <v>2</v>
      </c>
      <c r="AI299" s="3" t="n">
        <v>1</v>
      </c>
      <c r="AJ299" s="3" t="n">
        <v>2</v>
      </c>
      <c r="AK299" s="3" t="n">
        <v>2</v>
      </c>
      <c r="AL299" s="3" t="n">
        <v>2</v>
      </c>
      <c r="AM299" s="3" t="n">
        <v>2</v>
      </c>
      <c r="AN299" s="3" t="n">
        <v>2</v>
      </c>
      <c r="AO299" s="3" t="n">
        <v>2</v>
      </c>
      <c r="AP299" s="3" t="n">
        <v>3</v>
      </c>
      <c r="AQ299" s="3" t="n">
        <v>4</v>
      </c>
      <c r="AR299" s="3" t="n">
        <v>4</v>
      </c>
      <c r="AS299" s="3" t="n">
        <v>6</v>
      </c>
      <c r="AT299" s="3" t="n">
        <v>4</v>
      </c>
      <c r="AU299" s="3" t="n">
        <v>4</v>
      </c>
      <c r="AV299" s="3" t="n">
        <v>6</v>
      </c>
      <c r="AW299" s="3" t="n">
        <v>6</v>
      </c>
      <c r="AX299" s="3" t="n">
        <v>3</v>
      </c>
      <c r="AY299" s="3" t="n">
        <v>3</v>
      </c>
      <c r="AZ299" s="3" t="n">
        <v>1</v>
      </c>
      <c r="BA299" s="5" t="n">
        <v>1</v>
      </c>
      <c r="BB299" s="3" t="n">
        <v>1</v>
      </c>
      <c r="BC299" s="3" t="n">
        <v>1</v>
      </c>
      <c r="BD299" s="3" t="n">
        <v>4</v>
      </c>
      <c r="BE299" s="3" t="n">
        <v>1</v>
      </c>
      <c r="BF299" s="3" t="n">
        <v>2</v>
      </c>
      <c r="BG299" s="3" t="n">
        <v>1</v>
      </c>
      <c r="BH299" s="3" t="n">
        <v>4</v>
      </c>
      <c r="BI299" s="3" t="n">
        <v>1</v>
      </c>
      <c r="BJ299" s="3" t="n">
        <v>1</v>
      </c>
    </row>
    <row r="300" customFormat="false" ht="12.75" hidden="false" customHeight="false" outlineLevel="0" collapsed="false">
      <c r="B300" s="2" t="s">
        <v>1917</v>
      </c>
      <c r="C300" s="2" t="s">
        <v>1838</v>
      </c>
      <c r="D300" s="2" t="s">
        <v>66</v>
      </c>
      <c r="E300" s="2" t="n">
        <v>205657</v>
      </c>
      <c r="F300" s="15" t="n">
        <v>44167</v>
      </c>
      <c r="G300" s="15" t="n">
        <v>44180</v>
      </c>
      <c r="H300" s="3" t="n">
        <v>13</v>
      </c>
      <c r="I300" s="3" t="n">
        <v>1</v>
      </c>
      <c r="J300" s="3" t="n">
        <v>59</v>
      </c>
      <c r="K300" s="3" t="n">
        <v>1</v>
      </c>
      <c r="L300" s="3" t="n">
        <v>1</v>
      </c>
      <c r="M300" s="3" t="n">
        <v>1</v>
      </c>
      <c r="N300" s="3" t="n">
        <v>2</v>
      </c>
      <c r="O300" s="3" t="n">
        <v>2</v>
      </c>
      <c r="P300" s="3" t="n">
        <v>2</v>
      </c>
      <c r="Q300" s="3" t="n">
        <v>1</v>
      </c>
      <c r="R300" s="3" t="n">
        <v>2</v>
      </c>
      <c r="S300" s="3" t="n">
        <v>2</v>
      </c>
      <c r="T300" s="4" t="n">
        <v>2</v>
      </c>
      <c r="U300" s="3" t="n">
        <v>4</v>
      </c>
      <c r="V300" s="3" t="n">
        <v>4.37</v>
      </c>
      <c r="W300" s="3" t="n">
        <v>3.16</v>
      </c>
      <c r="X300" s="3" t="n">
        <v>7.93</v>
      </c>
      <c r="Y300" s="3" t="n">
        <v>143</v>
      </c>
      <c r="AA300" s="3" t="n">
        <v>0.32</v>
      </c>
      <c r="AB300" s="3" t="n">
        <v>12.3</v>
      </c>
      <c r="AC300" s="3" t="n">
        <v>2</v>
      </c>
      <c r="AD300" s="3" t="n">
        <v>2</v>
      </c>
      <c r="AE300" s="3" t="n">
        <v>1</v>
      </c>
      <c r="AF300" s="3" t="n">
        <v>1</v>
      </c>
      <c r="AG300" s="3" t="n">
        <v>1</v>
      </c>
      <c r="AH300" s="3" t="n">
        <v>2</v>
      </c>
      <c r="AI300" s="3" t="n">
        <v>1</v>
      </c>
      <c r="AJ300" s="3" t="n">
        <v>2</v>
      </c>
      <c r="AK300" s="3" t="n">
        <v>1</v>
      </c>
      <c r="AL300" s="3" t="n">
        <v>2</v>
      </c>
      <c r="AM300" s="3" t="n">
        <v>2</v>
      </c>
      <c r="AN300" s="3" t="n">
        <v>1</v>
      </c>
      <c r="AO300" s="3" t="n">
        <v>2</v>
      </c>
      <c r="AP300" s="3" t="n">
        <v>3</v>
      </c>
      <c r="AQ300" s="3" t="n">
        <v>4</v>
      </c>
      <c r="AR300" s="3" t="n">
        <v>4</v>
      </c>
      <c r="AS300" s="3" t="n">
        <v>6</v>
      </c>
      <c r="AT300" s="3" t="n">
        <v>4</v>
      </c>
      <c r="AU300" s="3" t="n">
        <v>4</v>
      </c>
      <c r="AV300" s="3" t="n">
        <v>6</v>
      </c>
      <c r="AW300" s="3" t="n">
        <v>6</v>
      </c>
      <c r="AX300" s="3" t="n">
        <v>3</v>
      </c>
      <c r="AY300" s="3" t="n">
        <v>3</v>
      </c>
      <c r="AZ300" s="3" t="n">
        <v>7</v>
      </c>
      <c r="BA300" s="5" t="n">
        <v>1</v>
      </c>
      <c r="BB300" s="3" t="n">
        <v>1</v>
      </c>
      <c r="BC300" s="3" t="n">
        <v>1</v>
      </c>
      <c r="BD300" s="3" t="n">
        <v>4</v>
      </c>
      <c r="BE300" s="3" t="n">
        <v>3</v>
      </c>
      <c r="BF300" s="3" t="n">
        <v>5</v>
      </c>
      <c r="BG300" s="3" t="n">
        <v>3</v>
      </c>
      <c r="BH300" s="3" t="n">
        <v>4</v>
      </c>
      <c r="BI300" s="3" t="n">
        <v>1</v>
      </c>
      <c r="BJ300" s="3" t="n">
        <v>1</v>
      </c>
    </row>
    <row r="301" customFormat="false" ht="12.75" hidden="false" customHeight="false" outlineLevel="0" collapsed="false">
      <c r="B301" s="25" t="s">
        <v>2648</v>
      </c>
      <c r="C301" s="25" t="s">
        <v>2649</v>
      </c>
      <c r="D301" s="25" t="s">
        <v>194</v>
      </c>
      <c r="E301" s="26" t="n">
        <v>206197</v>
      </c>
      <c r="F301" s="27" t="n">
        <v>44170</v>
      </c>
      <c r="G301" s="27" t="n">
        <v>44171</v>
      </c>
      <c r="H301" s="30" t="n">
        <v>1</v>
      </c>
      <c r="I301" s="30" t="n">
        <v>2</v>
      </c>
      <c r="J301" s="30" t="n">
        <v>68</v>
      </c>
      <c r="K301" s="30" t="n">
        <v>2</v>
      </c>
      <c r="L301" s="30" t="n">
        <v>1</v>
      </c>
      <c r="M301" s="30" t="n">
        <v>1</v>
      </c>
      <c r="N301" s="30" t="n">
        <v>2</v>
      </c>
      <c r="O301" s="30" t="n">
        <v>2</v>
      </c>
      <c r="P301" s="30" t="n">
        <v>2</v>
      </c>
      <c r="Q301" s="30" t="n">
        <v>2</v>
      </c>
      <c r="R301" s="30" t="n">
        <v>2</v>
      </c>
      <c r="S301" s="30" t="n">
        <v>2</v>
      </c>
      <c r="T301" s="4" t="n">
        <v>2</v>
      </c>
      <c r="U301" s="30" t="n">
        <v>2</v>
      </c>
      <c r="V301" s="30"/>
      <c r="W301" s="30"/>
      <c r="X301" s="30"/>
      <c r="Y301" s="30"/>
      <c r="AA301" s="30"/>
      <c r="AB301" s="30"/>
      <c r="AC301" s="30"/>
      <c r="AD301" s="30"/>
      <c r="AE301" s="30"/>
      <c r="AF301" s="30"/>
      <c r="AG301" s="30"/>
      <c r="AH301" s="30"/>
      <c r="AI301" s="30"/>
      <c r="AJ301" s="30" t="n">
        <v>2</v>
      </c>
      <c r="AK301" s="30"/>
      <c r="AL301" s="30"/>
      <c r="AM301" s="30"/>
      <c r="AN301" s="30"/>
      <c r="AO301" s="30"/>
      <c r="AP301" s="30" t="n">
        <v>3</v>
      </c>
      <c r="AQ301" s="30" t="n">
        <v>4</v>
      </c>
      <c r="AR301" s="30" t="n">
        <v>4</v>
      </c>
      <c r="AS301" s="30" t="n">
        <v>6</v>
      </c>
      <c r="AT301" s="30" t="n">
        <v>4</v>
      </c>
      <c r="AU301" s="30" t="n">
        <v>4</v>
      </c>
      <c r="AV301" s="30" t="n">
        <v>6</v>
      </c>
      <c r="AW301" s="30" t="n">
        <v>6</v>
      </c>
      <c r="AX301" s="30" t="n">
        <v>3</v>
      </c>
      <c r="AY301" s="30" t="n">
        <v>3</v>
      </c>
      <c r="AZ301" s="30" t="n">
        <v>5</v>
      </c>
      <c r="BA301" s="5" t="n">
        <v>1</v>
      </c>
      <c r="BB301" s="30" t="n">
        <v>1</v>
      </c>
      <c r="BC301" s="30" t="n">
        <v>2</v>
      </c>
      <c r="BD301" s="30" t="n">
        <v>2</v>
      </c>
      <c r="BE301" s="30" t="n">
        <v>1</v>
      </c>
      <c r="BF301" s="30" t="n">
        <v>2</v>
      </c>
      <c r="BG301" s="30" t="n">
        <v>1</v>
      </c>
      <c r="BH301" s="30" t="n">
        <v>4</v>
      </c>
      <c r="BI301" s="30" t="n">
        <v>1</v>
      </c>
      <c r="BJ301" s="30" t="n">
        <v>1</v>
      </c>
    </row>
    <row r="302" customFormat="false" ht="12.75" hidden="false" customHeight="false" outlineLevel="0" collapsed="false">
      <c r="B302" s="26" t="s">
        <v>442</v>
      </c>
      <c r="C302" s="26" t="s">
        <v>595</v>
      </c>
      <c r="D302" s="26" t="s">
        <v>2658</v>
      </c>
      <c r="E302" s="26" t="n">
        <v>206448</v>
      </c>
      <c r="F302" s="27" t="n">
        <v>44179</v>
      </c>
      <c r="G302" s="27" t="n">
        <v>44180</v>
      </c>
      <c r="H302" s="30" t="n">
        <v>1</v>
      </c>
      <c r="I302" s="30" t="n">
        <v>2</v>
      </c>
      <c r="J302" s="30" t="n">
        <v>58</v>
      </c>
      <c r="K302" s="30" t="n">
        <v>1</v>
      </c>
      <c r="L302" s="30" t="n">
        <v>1</v>
      </c>
      <c r="M302" s="30" t="n">
        <v>1</v>
      </c>
      <c r="N302" s="30" t="n">
        <v>2</v>
      </c>
      <c r="O302" s="30" t="n">
        <v>2</v>
      </c>
      <c r="P302" s="30" t="n">
        <v>2</v>
      </c>
      <c r="Q302" s="30" t="n">
        <v>2</v>
      </c>
      <c r="R302" s="30" t="n">
        <v>2</v>
      </c>
      <c r="S302" s="30" t="n">
        <v>2</v>
      </c>
      <c r="T302" s="4" t="n">
        <v>2</v>
      </c>
      <c r="U302" s="30" t="n">
        <v>2</v>
      </c>
      <c r="V302" s="30"/>
      <c r="W302" s="30"/>
      <c r="X302" s="30"/>
      <c r="Y302" s="30"/>
      <c r="AA302" s="30"/>
      <c r="AB302" s="30"/>
      <c r="AC302" s="30" t="n">
        <v>3</v>
      </c>
      <c r="AD302" s="30" t="n">
        <v>2</v>
      </c>
      <c r="AE302" s="30" t="n">
        <v>1</v>
      </c>
      <c r="AF302" s="30" t="n">
        <v>1</v>
      </c>
      <c r="AG302" s="30" t="n">
        <v>1</v>
      </c>
      <c r="AH302" s="30" t="n">
        <v>2</v>
      </c>
      <c r="AI302" s="30" t="n">
        <v>1</v>
      </c>
      <c r="AJ302" s="30" t="n">
        <v>2</v>
      </c>
      <c r="AK302" s="30" t="n">
        <v>2</v>
      </c>
      <c r="AL302" s="30" t="n">
        <v>2</v>
      </c>
      <c r="AM302" s="30" t="n">
        <v>1</v>
      </c>
      <c r="AN302" s="30" t="n">
        <v>2</v>
      </c>
      <c r="AO302" s="30" t="n">
        <v>2</v>
      </c>
      <c r="AP302" s="30" t="n">
        <v>3</v>
      </c>
      <c r="AQ302" s="30" t="n">
        <v>4</v>
      </c>
      <c r="AR302" s="30" t="n">
        <v>4</v>
      </c>
      <c r="AS302" s="30" t="n">
        <v>6</v>
      </c>
      <c r="AT302" s="30" t="n">
        <v>4</v>
      </c>
      <c r="AU302" s="30" t="n">
        <v>4</v>
      </c>
      <c r="AV302" s="30" t="n">
        <v>6</v>
      </c>
      <c r="AW302" s="30" t="n">
        <v>6</v>
      </c>
      <c r="AX302" s="30" t="n">
        <v>3</v>
      </c>
      <c r="AY302" s="30" t="n">
        <v>3</v>
      </c>
      <c r="AZ302" s="30" t="n">
        <v>5</v>
      </c>
      <c r="BA302" s="5" t="n">
        <v>1</v>
      </c>
      <c r="BB302" s="30" t="n">
        <v>1</v>
      </c>
      <c r="BC302" s="30" t="n">
        <v>2</v>
      </c>
      <c r="BD302" s="30" t="n">
        <v>2</v>
      </c>
      <c r="BE302" s="30" t="n">
        <v>3</v>
      </c>
      <c r="BF302" s="30" t="n">
        <v>5</v>
      </c>
      <c r="BG302" s="30" t="n">
        <v>3</v>
      </c>
      <c r="BH302" s="30" t="n">
        <v>4</v>
      </c>
      <c r="BI302" s="30" t="n">
        <v>1</v>
      </c>
      <c r="BJ302" s="30" t="n">
        <v>1</v>
      </c>
    </row>
    <row r="303" customFormat="false" ht="12.75" hidden="false" customHeight="false" outlineLevel="0" collapsed="false">
      <c r="B303" s="2" t="s">
        <v>2660</v>
      </c>
      <c r="C303" s="2" t="s">
        <v>2661</v>
      </c>
      <c r="D303" s="2" t="s">
        <v>877</v>
      </c>
      <c r="E303" s="2" t="n">
        <v>206482</v>
      </c>
      <c r="F303" s="15" t="n">
        <v>44178</v>
      </c>
      <c r="G303" s="15" t="n">
        <v>44180</v>
      </c>
      <c r="H303" s="3" t="n">
        <v>2</v>
      </c>
      <c r="I303" s="3" t="n">
        <v>2</v>
      </c>
      <c r="J303" s="3" t="n">
        <v>35</v>
      </c>
      <c r="K303" s="3" t="n">
        <v>1</v>
      </c>
      <c r="L303" s="3" t="n">
        <v>1</v>
      </c>
      <c r="M303" s="3" t="n">
        <v>2</v>
      </c>
      <c r="N303" s="3" t="n">
        <v>2</v>
      </c>
      <c r="O303" s="3" t="n">
        <v>2</v>
      </c>
      <c r="P303" s="3" t="n">
        <v>2</v>
      </c>
      <c r="Q303" s="3" t="n">
        <v>2</v>
      </c>
      <c r="R303" s="3" t="n">
        <v>2</v>
      </c>
      <c r="S303" s="3" t="n">
        <v>2</v>
      </c>
      <c r="T303" s="4" t="n">
        <v>2</v>
      </c>
      <c r="U303" s="3" t="n">
        <v>2</v>
      </c>
      <c r="V303" s="3" t="n">
        <v>5.63</v>
      </c>
      <c r="W303" s="3" t="n">
        <v>1.75</v>
      </c>
      <c r="X303" s="3" t="n">
        <v>6.06</v>
      </c>
      <c r="Y303" s="3" t="n">
        <v>556</v>
      </c>
      <c r="AA303" s="3" t="n">
        <v>0.52</v>
      </c>
      <c r="AB303" s="3" t="n">
        <v>16.6</v>
      </c>
      <c r="AC303" s="3" t="n">
        <v>3</v>
      </c>
      <c r="AD303" s="3" t="n">
        <v>2</v>
      </c>
      <c r="AE303" s="3" t="n">
        <v>1</v>
      </c>
      <c r="AF303" s="3" t="n">
        <v>1</v>
      </c>
      <c r="AG303" s="3" t="n">
        <v>1</v>
      </c>
      <c r="AH303" s="3" t="n">
        <v>2</v>
      </c>
      <c r="AI303" s="3" t="n">
        <v>1</v>
      </c>
      <c r="AJ303" s="3" t="n">
        <v>2</v>
      </c>
      <c r="AK303" s="3" t="n">
        <v>2</v>
      </c>
      <c r="AL303" s="3" t="n">
        <v>2</v>
      </c>
      <c r="AM303" s="3" t="n">
        <v>1</v>
      </c>
      <c r="AN303" s="3" t="n">
        <v>2</v>
      </c>
      <c r="AO303" s="3" t="n">
        <v>2</v>
      </c>
      <c r="AP303" s="3" t="n">
        <v>3</v>
      </c>
      <c r="AQ303" s="3" t="n">
        <v>4</v>
      </c>
      <c r="AR303" s="3" t="n">
        <v>4</v>
      </c>
      <c r="AS303" s="3" t="n">
        <v>6</v>
      </c>
      <c r="AT303" s="3" t="n">
        <v>4</v>
      </c>
      <c r="AU303" s="3" t="n">
        <v>4</v>
      </c>
      <c r="AV303" s="3" t="n">
        <v>6</v>
      </c>
      <c r="AW303" s="3" t="n">
        <v>6</v>
      </c>
      <c r="AX303" s="3" t="n">
        <v>3</v>
      </c>
      <c r="AY303" s="3" t="n">
        <v>3</v>
      </c>
      <c r="AZ303" s="3" t="n">
        <v>1</v>
      </c>
      <c r="BA303" s="5" t="n">
        <v>1</v>
      </c>
      <c r="BB303" s="3" t="n">
        <v>1</v>
      </c>
      <c r="BC303" s="3" t="n">
        <v>1</v>
      </c>
      <c r="BD303" s="3" t="n">
        <v>4</v>
      </c>
      <c r="BE303" s="3" t="n">
        <v>1</v>
      </c>
      <c r="BF303" s="3" t="n">
        <v>2</v>
      </c>
      <c r="BG303" s="3" t="n">
        <v>1</v>
      </c>
      <c r="BH303" s="3" t="n">
        <v>4</v>
      </c>
      <c r="BI303" s="3" t="n">
        <v>1</v>
      </c>
      <c r="BJ303" s="3" t="n">
        <v>1</v>
      </c>
    </row>
    <row r="304" customFormat="false" ht="12.75" hidden="false" customHeight="false" outlineLevel="0" collapsed="false">
      <c r="B304" s="2" t="s">
        <v>2663</v>
      </c>
      <c r="C304" s="2" t="s">
        <v>66</v>
      </c>
      <c r="D304" s="2" t="s">
        <v>2664</v>
      </c>
      <c r="E304" s="2" t="n">
        <v>153444</v>
      </c>
      <c r="F304" s="15" t="n">
        <v>44173</v>
      </c>
      <c r="G304" s="15" t="n">
        <v>44182</v>
      </c>
      <c r="H304" s="3" t="n">
        <v>9</v>
      </c>
      <c r="I304" s="3" t="n">
        <v>2</v>
      </c>
      <c r="J304" s="3" t="n">
        <v>53</v>
      </c>
      <c r="K304" s="3" t="n">
        <v>2</v>
      </c>
      <c r="L304" s="3" t="n">
        <v>2</v>
      </c>
      <c r="M304" s="3" t="n">
        <v>1</v>
      </c>
      <c r="N304" s="3" t="n">
        <v>2</v>
      </c>
      <c r="O304" s="3" t="n">
        <v>2</v>
      </c>
      <c r="P304" s="3" t="n">
        <v>2</v>
      </c>
      <c r="Q304" s="3" t="n">
        <v>2</v>
      </c>
      <c r="R304" s="3" t="n">
        <v>2</v>
      </c>
      <c r="S304" s="3" t="n">
        <v>2</v>
      </c>
      <c r="T304" s="4" t="n">
        <v>2</v>
      </c>
      <c r="U304" s="3" t="n">
        <v>2</v>
      </c>
      <c r="V304" s="3" t="n">
        <v>4.17</v>
      </c>
      <c r="W304" s="3" t="n">
        <v>0.79</v>
      </c>
      <c r="X304" s="3" t="n">
        <v>5.78</v>
      </c>
      <c r="Y304" s="3" t="n">
        <v>472</v>
      </c>
      <c r="AA304" s="3" t="n">
        <v>0.41</v>
      </c>
      <c r="AB304" s="3" t="n">
        <v>8.6</v>
      </c>
      <c r="AC304" s="3" t="n">
        <v>1</v>
      </c>
      <c r="AD304" s="3" t="n">
        <v>1</v>
      </c>
      <c r="AE304" s="3" t="n">
        <v>1</v>
      </c>
      <c r="AF304" s="3" t="n">
        <v>1</v>
      </c>
      <c r="AG304" s="3" t="n">
        <v>2</v>
      </c>
      <c r="AH304" s="3" t="n">
        <v>1</v>
      </c>
      <c r="AI304" s="3" t="n">
        <v>1</v>
      </c>
      <c r="AJ304" s="3" t="n">
        <v>2</v>
      </c>
      <c r="AK304" s="3" t="n">
        <v>2</v>
      </c>
      <c r="AL304" s="3" t="n">
        <v>2</v>
      </c>
      <c r="AM304" s="3" t="n">
        <v>1</v>
      </c>
      <c r="AN304" s="3" t="n">
        <v>2</v>
      </c>
      <c r="AO304" s="3" t="n">
        <v>2</v>
      </c>
      <c r="AP304" s="3" t="n">
        <v>3</v>
      </c>
      <c r="AQ304" s="3" t="n">
        <v>4</v>
      </c>
      <c r="AR304" s="3" t="n">
        <v>4</v>
      </c>
      <c r="AS304" s="3" t="n">
        <v>6</v>
      </c>
      <c r="AT304" s="3" t="n">
        <v>4</v>
      </c>
      <c r="AU304" s="3" t="n">
        <v>4</v>
      </c>
      <c r="AV304" s="3" t="n">
        <v>6</v>
      </c>
      <c r="AW304" s="3" t="n">
        <v>6</v>
      </c>
      <c r="AX304" s="3" t="n">
        <v>3</v>
      </c>
      <c r="AY304" s="3" t="n">
        <v>3</v>
      </c>
      <c r="AZ304" s="3" t="n">
        <v>1</v>
      </c>
      <c r="BA304" s="5" t="n">
        <v>1</v>
      </c>
      <c r="BB304" s="3" t="n">
        <v>1</v>
      </c>
      <c r="BC304" s="3" t="n">
        <v>1</v>
      </c>
      <c r="BD304" s="3" t="n">
        <v>2</v>
      </c>
      <c r="BE304" s="3" t="n">
        <v>1</v>
      </c>
      <c r="BF304" s="3" t="n">
        <v>2</v>
      </c>
      <c r="BG304" s="3" t="n">
        <v>2</v>
      </c>
      <c r="BH304" s="3" t="n">
        <v>4</v>
      </c>
      <c r="BI304" s="3" t="n">
        <v>1</v>
      </c>
      <c r="BJ304" s="3" t="n">
        <v>1</v>
      </c>
    </row>
    <row r="305" customFormat="false" ht="12.75" hidden="false" customHeight="false" outlineLevel="0" collapsed="false">
      <c r="B305" s="2" t="s">
        <v>2666</v>
      </c>
      <c r="C305" s="2" t="s">
        <v>2667</v>
      </c>
      <c r="D305" s="2" t="s">
        <v>2668</v>
      </c>
      <c r="E305" s="2" t="n">
        <v>206449</v>
      </c>
      <c r="F305" s="15" t="n">
        <v>44179</v>
      </c>
      <c r="G305" s="15" t="n">
        <v>44185</v>
      </c>
      <c r="H305" s="3" t="n">
        <v>6</v>
      </c>
      <c r="I305" s="3" t="n">
        <v>1</v>
      </c>
      <c r="J305" s="3" t="n">
        <v>53</v>
      </c>
      <c r="K305" s="3" t="n">
        <v>2</v>
      </c>
      <c r="L305" s="3" t="n">
        <v>1</v>
      </c>
      <c r="M305" s="3" t="n">
        <v>1</v>
      </c>
      <c r="N305" s="3" t="n">
        <v>2</v>
      </c>
      <c r="O305" s="3" t="n">
        <v>2</v>
      </c>
      <c r="P305" s="3" t="n">
        <v>2</v>
      </c>
      <c r="Q305" s="3" t="n">
        <v>2</v>
      </c>
      <c r="R305" s="3" t="n">
        <v>2</v>
      </c>
      <c r="S305" s="3" t="n">
        <v>2</v>
      </c>
      <c r="T305" s="4" t="n">
        <v>2</v>
      </c>
      <c r="U305" s="3" t="n">
        <v>2</v>
      </c>
      <c r="V305" s="3" t="n">
        <v>4.57</v>
      </c>
      <c r="W305" s="3" t="n">
        <v>1.74</v>
      </c>
      <c r="X305" s="3" t="n">
        <v>18.16</v>
      </c>
      <c r="Y305" s="3" t="n">
        <v>298</v>
      </c>
      <c r="AA305" s="3" t="n">
        <v>0.41</v>
      </c>
      <c r="AB305" s="3" t="n">
        <v>10.9</v>
      </c>
      <c r="AC305" s="3" t="n">
        <v>1</v>
      </c>
      <c r="AD305" s="3" t="n">
        <v>1</v>
      </c>
      <c r="AE305" s="3" t="n">
        <v>2</v>
      </c>
      <c r="AF305" s="3" t="n">
        <v>1</v>
      </c>
      <c r="AG305" s="3" t="n">
        <v>1</v>
      </c>
      <c r="AH305" s="3" t="n">
        <v>2</v>
      </c>
      <c r="AI305" s="3" t="n">
        <v>1</v>
      </c>
      <c r="AJ305" s="3" t="n">
        <v>2</v>
      </c>
      <c r="AK305" s="3" t="n">
        <v>2</v>
      </c>
      <c r="AL305" s="3" t="n">
        <v>2</v>
      </c>
      <c r="AM305" s="3" t="n">
        <v>1</v>
      </c>
      <c r="AN305" s="3" t="n">
        <v>2</v>
      </c>
      <c r="AO305" s="3" t="n">
        <v>2</v>
      </c>
      <c r="AP305" s="3" t="n">
        <v>3</v>
      </c>
      <c r="AQ305" s="3" t="n">
        <v>4</v>
      </c>
      <c r="AR305" s="3" t="n">
        <v>4</v>
      </c>
      <c r="AS305" s="3" t="n">
        <v>6</v>
      </c>
      <c r="AT305" s="3" t="n">
        <v>4</v>
      </c>
      <c r="AU305" s="3" t="n">
        <v>4</v>
      </c>
      <c r="AV305" s="3" t="n">
        <v>6</v>
      </c>
      <c r="AW305" s="3" t="n">
        <v>6</v>
      </c>
      <c r="AX305" s="3" t="n">
        <v>3</v>
      </c>
      <c r="AY305" s="3" t="n">
        <v>3</v>
      </c>
      <c r="AZ305" s="3" t="n">
        <v>1</v>
      </c>
      <c r="BA305" s="5" t="n">
        <v>1</v>
      </c>
      <c r="BB305" s="3" t="n">
        <v>1</v>
      </c>
      <c r="BC305" s="3" t="n">
        <v>1</v>
      </c>
      <c r="BD305" s="3" t="n">
        <v>2</v>
      </c>
      <c r="BE305" s="3" t="n">
        <v>1</v>
      </c>
      <c r="BF305" s="3" t="n">
        <v>2</v>
      </c>
      <c r="BG305" s="3" t="n">
        <v>1</v>
      </c>
      <c r="BH305" s="3" t="n">
        <v>4</v>
      </c>
      <c r="BI305" s="3" t="n">
        <v>1</v>
      </c>
      <c r="BJ305" s="3" t="n">
        <v>1</v>
      </c>
    </row>
    <row r="306" customFormat="false" ht="12.75" hidden="false" customHeight="false" outlineLevel="0" collapsed="false">
      <c r="B306" s="26" t="s">
        <v>2674</v>
      </c>
      <c r="C306" s="26" t="s">
        <v>386</v>
      </c>
      <c r="D306" s="26" t="s">
        <v>541</v>
      </c>
      <c r="E306" s="26" t="n">
        <v>206670</v>
      </c>
      <c r="F306" s="27" t="n">
        <v>44184</v>
      </c>
      <c r="G306" s="27" t="n">
        <v>44186</v>
      </c>
      <c r="H306" s="30" t="n">
        <v>2</v>
      </c>
      <c r="I306" s="30" t="n">
        <v>2</v>
      </c>
      <c r="J306" s="30" t="n">
        <v>59</v>
      </c>
      <c r="K306" s="30" t="n">
        <v>2</v>
      </c>
      <c r="L306" s="30" t="n">
        <v>1</v>
      </c>
      <c r="M306" s="30" t="n">
        <v>1</v>
      </c>
      <c r="N306" s="30" t="n">
        <v>2</v>
      </c>
      <c r="O306" s="30" t="n">
        <v>2</v>
      </c>
      <c r="P306" s="30" t="n">
        <v>2</v>
      </c>
      <c r="Q306" s="30" t="n">
        <v>1</v>
      </c>
      <c r="R306" s="30" t="n">
        <v>2</v>
      </c>
      <c r="S306" s="30" t="n">
        <v>2</v>
      </c>
      <c r="T306" s="4" t="n">
        <v>2</v>
      </c>
      <c r="U306" s="30" t="n">
        <v>2</v>
      </c>
      <c r="V306" s="30"/>
      <c r="W306" s="30" t="n">
        <v>0.63</v>
      </c>
      <c r="X306" s="30" t="n">
        <v>10.25</v>
      </c>
      <c r="Y306" s="30" t="n">
        <v>448</v>
      </c>
      <c r="AA306" s="30" t="n">
        <v>0.44</v>
      </c>
      <c r="AB306" s="30" t="n">
        <v>19.6</v>
      </c>
      <c r="AC306" s="30" t="n">
        <v>3</v>
      </c>
      <c r="AD306" s="30" t="n">
        <v>2</v>
      </c>
      <c r="AE306" s="30" t="n">
        <v>1</v>
      </c>
      <c r="AF306" s="30" t="n">
        <v>1</v>
      </c>
      <c r="AG306" s="30" t="n">
        <v>2</v>
      </c>
      <c r="AH306" s="30" t="n">
        <v>2</v>
      </c>
      <c r="AI306" s="30" t="n">
        <v>1</v>
      </c>
      <c r="AJ306" s="30" t="n">
        <v>2</v>
      </c>
      <c r="AK306" s="30" t="n">
        <v>1</v>
      </c>
      <c r="AL306" s="30" t="n">
        <v>1</v>
      </c>
      <c r="AM306" s="30" t="n">
        <v>2</v>
      </c>
      <c r="AN306" s="30" t="n">
        <v>2</v>
      </c>
      <c r="AO306" s="30" t="n">
        <v>2</v>
      </c>
      <c r="AP306" s="30" t="n">
        <v>3</v>
      </c>
      <c r="AQ306" s="30" t="n">
        <v>4</v>
      </c>
      <c r="AR306" s="30" t="n">
        <v>4</v>
      </c>
      <c r="AS306" s="30" t="n">
        <v>6</v>
      </c>
      <c r="AT306" s="30" t="n">
        <v>4</v>
      </c>
      <c r="AU306" s="30" t="n">
        <v>4</v>
      </c>
      <c r="AV306" s="30" t="n">
        <v>6</v>
      </c>
      <c r="AW306" s="30" t="n">
        <v>6</v>
      </c>
      <c r="AX306" s="30" t="n">
        <v>3</v>
      </c>
      <c r="AY306" s="30" t="n">
        <v>3</v>
      </c>
      <c r="AZ306" s="30" t="n">
        <v>5</v>
      </c>
      <c r="BA306" s="5" t="n">
        <v>1</v>
      </c>
      <c r="BB306" s="30" t="n">
        <v>1</v>
      </c>
      <c r="BC306" s="30" t="n">
        <v>2</v>
      </c>
      <c r="BD306" s="30" t="n">
        <v>2</v>
      </c>
      <c r="BE306" s="30" t="n">
        <v>3</v>
      </c>
      <c r="BF306" s="30" t="n">
        <v>5</v>
      </c>
      <c r="BG306" s="30" t="n">
        <v>3</v>
      </c>
      <c r="BH306" s="30" t="n">
        <v>4</v>
      </c>
      <c r="BI306" s="30" t="n">
        <v>1</v>
      </c>
      <c r="BJ306" s="30" t="n">
        <v>1</v>
      </c>
    </row>
    <row r="307" customFormat="false" ht="12.75" hidden="false" customHeight="false" outlineLevel="0" collapsed="false">
      <c r="B307" s="2" t="s">
        <v>672</v>
      </c>
      <c r="C307" s="2" t="s">
        <v>2682</v>
      </c>
      <c r="D307" s="2" t="s">
        <v>78</v>
      </c>
      <c r="E307" s="2" t="n">
        <v>206690</v>
      </c>
      <c r="F307" s="15" t="n">
        <v>44185</v>
      </c>
      <c r="G307" s="15" t="n">
        <v>44191</v>
      </c>
      <c r="H307" s="3" t="n">
        <v>6</v>
      </c>
      <c r="I307" s="3" t="n">
        <v>2</v>
      </c>
      <c r="J307" s="3" t="n">
        <v>55</v>
      </c>
      <c r="K307" s="3" t="n">
        <v>1</v>
      </c>
      <c r="L307" s="3" t="n">
        <v>2</v>
      </c>
      <c r="M307" s="3" t="n">
        <v>1</v>
      </c>
      <c r="N307" s="3" t="n">
        <v>2</v>
      </c>
      <c r="O307" s="3" t="n">
        <v>2</v>
      </c>
      <c r="P307" s="3" t="n">
        <v>2</v>
      </c>
      <c r="Q307" s="3" t="n">
        <v>2</v>
      </c>
      <c r="R307" s="3" t="n">
        <v>2</v>
      </c>
      <c r="S307" s="3" t="n">
        <v>2</v>
      </c>
      <c r="T307" s="4" t="n">
        <v>2</v>
      </c>
      <c r="U307" s="3" t="n">
        <v>2</v>
      </c>
      <c r="V307" s="3" t="n">
        <v>4.4</v>
      </c>
      <c r="W307" s="3" t="n">
        <v>1.3</v>
      </c>
      <c r="X307" s="3" t="n">
        <v>6.18</v>
      </c>
      <c r="Y307" s="3" t="n">
        <v>274</v>
      </c>
      <c r="AA307" s="3" t="n">
        <v>0.49</v>
      </c>
      <c r="AB307" s="3" t="n">
        <v>12</v>
      </c>
      <c r="AC307" s="3"/>
      <c r="AD307" s="3" t="n">
        <v>1</v>
      </c>
      <c r="AE307" s="3" t="n">
        <v>1</v>
      </c>
      <c r="AF307" s="3" t="n">
        <v>1</v>
      </c>
      <c r="AG307" s="3" t="n">
        <v>1</v>
      </c>
      <c r="AH307" s="3" t="n">
        <v>2</v>
      </c>
      <c r="AI307" s="3" t="n">
        <v>1</v>
      </c>
      <c r="AJ307" s="3" t="n">
        <v>2</v>
      </c>
      <c r="AK307" s="3" t="n">
        <v>2</v>
      </c>
      <c r="AL307" s="3" t="n">
        <v>2</v>
      </c>
      <c r="AM307" s="3" t="n">
        <v>1</v>
      </c>
      <c r="AN307" s="3" t="n">
        <v>2</v>
      </c>
      <c r="AO307" s="3" t="n">
        <v>2</v>
      </c>
      <c r="AP307" s="3" t="n">
        <v>3</v>
      </c>
      <c r="AQ307" s="3" t="n">
        <v>4</v>
      </c>
      <c r="AR307" s="3" t="n">
        <v>4</v>
      </c>
      <c r="AS307" s="3" t="n">
        <v>6</v>
      </c>
      <c r="AT307" s="3" t="n">
        <v>4</v>
      </c>
      <c r="AU307" s="3" t="n">
        <v>4</v>
      </c>
      <c r="AV307" s="3" t="n">
        <v>6</v>
      </c>
      <c r="AW307" s="3" t="n">
        <v>6</v>
      </c>
      <c r="AX307" s="3" t="n">
        <v>3</v>
      </c>
      <c r="AY307" s="3" t="n">
        <v>3</v>
      </c>
      <c r="AZ307" s="3" t="n">
        <v>1</v>
      </c>
      <c r="BA307" s="5" t="n">
        <v>1</v>
      </c>
      <c r="BB307" s="3" t="n">
        <v>1</v>
      </c>
      <c r="BC307" s="3" t="n">
        <v>1</v>
      </c>
      <c r="BD307" s="3" t="n">
        <v>4</v>
      </c>
      <c r="BE307" s="3" t="n">
        <v>1</v>
      </c>
      <c r="BF307" s="3" t="n">
        <v>2</v>
      </c>
      <c r="BG307" s="3" t="n">
        <v>1</v>
      </c>
      <c r="BH307" s="3" t="n">
        <v>4</v>
      </c>
      <c r="BI307" s="3" t="n">
        <v>1</v>
      </c>
      <c r="BJ307" s="3" t="n">
        <v>1</v>
      </c>
    </row>
    <row r="308" customFormat="false" ht="12.75" hidden="false" customHeight="false" outlineLevel="0" collapsed="false">
      <c r="B308" s="2" t="s">
        <v>2686</v>
      </c>
      <c r="C308" s="2" t="s">
        <v>919</v>
      </c>
      <c r="D308" s="2" t="s">
        <v>1797</v>
      </c>
      <c r="E308" s="2" t="n">
        <v>206688</v>
      </c>
      <c r="F308" s="15" t="n">
        <v>44185</v>
      </c>
      <c r="G308" s="15" t="n">
        <v>44192</v>
      </c>
      <c r="H308" s="3" t="n">
        <v>7</v>
      </c>
      <c r="I308" s="3" t="n">
        <v>2</v>
      </c>
      <c r="J308" s="3" t="n">
        <v>70</v>
      </c>
      <c r="K308" s="3" t="n">
        <v>1</v>
      </c>
      <c r="L308" s="3" t="n">
        <v>2</v>
      </c>
      <c r="M308" s="3" t="n">
        <v>1</v>
      </c>
      <c r="N308" s="3" t="n">
        <v>2</v>
      </c>
      <c r="O308" s="3" t="n">
        <v>2</v>
      </c>
      <c r="P308" s="3" t="n">
        <v>2</v>
      </c>
      <c r="Q308" s="3" t="n">
        <v>1</v>
      </c>
      <c r="R308" s="3" t="n">
        <v>2</v>
      </c>
      <c r="S308" s="3" t="n">
        <v>2</v>
      </c>
      <c r="T308" s="4" t="n">
        <v>2</v>
      </c>
      <c r="U308" s="3" t="n">
        <v>2</v>
      </c>
      <c r="V308" s="3" t="n">
        <v>4.43</v>
      </c>
      <c r="W308" s="3" t="n">
        <v>1.55</v>
      </c>
      <c r="X308" s="3" t="n">
        <v>8.73</v>
      </c>
      <c r="Y308" s="3" t="n">
        <v>415</v>
      </c>
      <c r="AA308" s="3" t="n">
        <v>0.49</v>
      </c>
      <c r="AB308" s="3" t="n">
        <v>6.6</v>
      </c>
      <c r="AC308" s="3"/>
      <c r="AD308" s="3" t="n">
        <v>2</v>
      </c>
      <c r="AE308" s="3" t="n">
        <v>1</v>
      </c>
      <c r="AF308" s="3" t="n">
        <v>1</v>
      </c>
      <c r="AG308" s="3" t="n">
        <v>2</v>
      </c>
      <c r="AH308" s="3" t="n">
        <v>2</v>
      </c>
      <c r="AI308" s="3" t="n">
        <v>1</v>
      </c>
      <c r="AJ308" s="3" t="n">
        <v>2</v>
      </c>
      <c r="AK308" s="3" t="n">
        <v>2</v>
      </c>
      <c r="AL308" s="3" t="n">
        <v>2</v>
      </c>
      <c r="AM308" s="3" t="n">
        <v>1</v>
      </c>
      <c r="AN308" s="3" t="n">
        <v>2</v>
      </c>
      <c r="AO308" s="3" t="n">
        <v>2</v>
      </c>
      <c r="AP308" s="3" t="n">
        <v>3</v>
      </c>
      <c r="AQ308" s="3" t="n">
        <v>4</v>
      </c>
      <c r="AR308" s="3" t="n">
        <v>4</v>
      </c>
      <c r="AS308" s="3" t="n">
        <v>6</v>
      </c>
      <c r="AT308" s="3" t="n">
        <v>4</v>
      </c>
      <c r="AU308" s="3" t="n">
        <v>4</v>
      </c>
      <c r="AV308" s="3" t="n">
        <v>6</v>
      </c>
      <c r="AW308" s="3" t="n">
        <v>6</v>
      </c>
      <c r="AX308" s="3" t="n">
        <v>3</v>
      </c>
      <c r="AY308" s="3" t="n">
        <v>3</v>
      </c>
      <c r="AZ308" s="3" t="n">
        <v>1</v>
      </c>
      <c r="BA308" s="5" t="n">
        <v>1</v>
      </c>
      <c r="BB308" s="3" t="n">
        <v>1</v>
      </c>
      <c r="BC308" s="3" t="n">
        <v>1</v>
      </c>
      <c r="BD308" s="3" t="n">
        <v>4</v>
      </c>
      <c r="BE308" s="3" t="n">
        <v>3</v>
      </c>
      <c r="BF308" s="3" t="n">
        <v>5</v>
      </c>
      <c r="BG308" s="3" t="n">
        <v>3</v>
      </c>
      <c r="BH308" s="3" t="n">
        <v>4</v>
      </c>
      <c r="BI308" s="3" t="n">
        <v>1</v>
      </c>
      <c r="BJ308" s="3" t="n">
        <v>1</v>
      </c>
    </row>
    <row r="309" customFormat="false" ht="12.75" hidden="false" customHeight="false" outlineLevel="0" collapsed="false">
      <c r="B309" s="2" t="s">
        <v>2693</v>
      </c>
      <c r="C309" s="2" t="s">
        <v>2694</v>
      </c>
      <c r="D309" s="2" t="s">
        <v>127</v>
      </c>
      <c r="E309" s="2" t="n">
        <v>206687</v>
      </c>
      <c r="F309" s="15" t="n">
        <v>44185</v>
      </c>
      <c r="G309" s="15" t="n">
        <v>44192</v>
      </c>
      <c r="H309" s="3" t="n">
        <v>7</v>
      </c>
      <c r="I309" s="3" t="n">
        <v>1</v>
      </c>
      <c r="J309" s="3" t="n">
        <v>74</v>
      </c>
      <c r="K309" s="3" t="n">
        <v>2</v>
      </c>
      <c r="L309" s="3" t="n">
        <v>2</v>
      </c>
      <c r="M309" s="3" t="n">
        <v>1</v>
      </c>
      <c r="N309" s="3" t="n">
        <v>2</v>
      </c>
      <c r="O309" s="3" t="n">
        <v>2</v>
      </c>
      <c r="P309" s="3" t="n">
        <v>2</v>
      </c>
      <c r="Q309" s="3" t="n">
        <v>1</v>
      </c>
      <c r="R309" s="3" t="n">
        <v>2</v>
      </c>
      <c r="S309" s="3" t="n">
        <v>2</v>
      </c>
      <c r="T309" s="4" t="n">
        <v>2</v>
      </c>
      <c r="U309" s="3" t="n">
        <v>2</v>
      </c>
      <c r="V309" s="3" t="n">
        <v>5.03</v>
      </c>
      <c r="W309" s="3" t="n">
        <v>1.3</v>
      </c>
      <c r="X309" s="3" t="n">
        <v>4.62</v>
      </c>
      <c r="Y309" s="3" t="n">
        <v>250</v>
      </c>
      <c r="AA309" s="3" t="n">
        <v>0.44</v>
      </c>
      <c r="AB309" s="3" t="n">
        <v>7.6</v>
      </c>
      <c r="AC309" s="3"/>
      <c r="AD309" s="3" t="n">
        <v>1</v>
      </c>
      <c r="AE309" s="3" t="n">
        <v>1</v>
      </c>
      <c r="AF309" s="3" t="n">
        <v>1</v>
      </c>
      <c r="AG309" s="3" t="n">
        <v>1</v>
      </c>
      <c r="AH309" s="3" t="n">
        <v>1</v>
      </c>
      <c r="AI309" s="3" t="n">
        <v>1</v>
      </c>
      <c r="AJ309" s="3" t="n">
        <v>2</v>
      </c>
      <c r="AK309" s="3" t="n">
        <v>1</v>
      </c>
      <c r="AL309" s="3" t="n">
        <v>2</v>
      </c>
      <c r="AM309" s="3" t="n">
        <v>2</v>
      </c>
      <c r="AN309" s="3" t="n">
        <v>2</v>
      </c>
      <c r="AO309" s="3" t="n">
        <v>2</v>
      </c>
      <c r="AP309" s="3" t="n">
        <v>3</v>
      </c>
      <c r="AQ309" s="3" t="n">
        <v>4</v>
      </c>
      <c r="AR309" s="3" t="n">
        <v>4</v>
      </c>
      <c r="AS309" s="3" t="n">
        <v>6</v>
      </c>
      <c r="AT309" s="3" t="n">
        <v>4</v>
      </c>
      <c r="AU309" s="3" t="n">
        <v>4</v>
      </c>
      <c r="AV309" s="3" t="n">
        <v>6</v>
      </c>
      <c r="AW309" s="3" t="n">
        <v>6</v>
      </c>
      <c r="AX309" s="3" t="n">
        <v>3</v>
      </c>
      <c r="AY309" s="3" t="n">
        <v>3</v>
      </c>
      <c r="AZ309" s="3" t="n">
        <v>1</v>
      </c>
      <c r="BA309" s="5" t="n">
        <v>1</v>
      </c>
      <c r="BB309" s="3" t="n">
        <v>1</v>
      </c>
      <c r="BC309" s="3" t="n">
        <v>1</v>
      </c>
      <c r="BD309" s="3" t="n">
        <v>2</v>
      </c>
      <c r="BE309" s="3" t="n">
        <v>3</v>
      </c>
      <c r="BF309" s="3" t="n">
        <v>5</v>
      </c>
      <c r="BG309" s="3" t="n">
        <v>3</v>
      </c>
      <c r="BH309" s="3" t="n">
        <v>4</v>
      </c>
      <c r="BI309" s="3" t="n">
        <v>1</v>
      </c>
      <c r="BJ309" s="3" t="n">
        <v>1</v>
      </c>
    </row>
    <row r="310" customFormat="false" ht="12.75" hidden="false" customHeight="false" outlineLevel="0" collapsed="false">
      <c r="B310" s="26" t="s">
        <v>2343</v>
      </c>
      <c r="C310" s="26" t="s">
        <v>869</v>
      </c>
      <c r="D310" s="26" t="s">
        <v>2704</v>
      </c>
      <c r="E310" s="26" t="n">
        <v>501931</v>
      </c>
      <c r="F310" s="27" t="n">
        <v>44187</v>
      </c>
      <c r="G310" s="27" t="n">
        <v>44188</v>
      </c>
      <c r="H310" s="30" t="n">
        <v>1</v>
      </c>
      <c r="I310" s="30" t="n">
        <v>1</v>
      </c>
      <c r="J310" s="30" t="n">
        <v>53</v>
      </c>
      <c r="K310" s="30" t="n">
        <v>2</v>
      </c>
      <c r="L310" s="30" t="n">
        <v>1</v>
      </c>
      <c r="M310" s="30" t="n">
        <v>1</v>
      </c>
      <c r="N310" s="30" t="n">
        <v>2</v>
      </c>
      <c r="O310" s="30" t="n">
        <v>2</v>
      </c>
      <c r="P310" s="30" t="n">
        <v>1</v>
      </c>
      <c r="Q310" s="30" t="n">
        <v>1</v>
      </c>
      <c r="R310" s="30" t="n">
        <v>2</v>
      </c>
      <c r="S310" s="30" t="n">
        <v>2</v>
      </c>
      <c r="T310" s="4" t="n">
        <v>2</v>
      </c>
      <c r="U310" s="30" t="n">
        <v>2</v>
      </c>
      <c r="V310" s="30"/>
      <c r="W310" s="30"/>
      <c r="X310" s="30"/>
      <c r="Y310" s="30"/>
      <c r="AA310" s="30"/>
      <c r="AB310" s="30"/>
      <c r="AC310" s="30"/>
      <c r="AD310" s="30" t="n">
        <v>1</v>
      </c>
      <c r="AE310" s="30" t="n">
        <v>1</v>
      </c>
      <c r="AF310" s="30" t="n">
        <v>1</v>
      </c>
      <c r="AG310" s="30" t="n">
        <v>2</v>
      </c>
      <c r="AH310" s="30" t="n">
        <v>2</v>
      </c>
      <c r="AI310" s="30" t="n">
        <v>1</v>
      </c>
      <c r="AJ310" s="30" t="n">
        <v>2</v>
      </c>
      <c r="AK310" s="30" t="n">
        <v>2</v>
      </c>
      <c r="AL310" s="30" t="n">
        <v>2</v>
      </c>
      <c r="AM310" s="30" t="n">
        <v>1</v>
      </c>
      <c r="AN310" s="30" t="n">
        <v>2</v>
      </c>
      <c r="AO310" s="30" t="n">
        <v>2</v>
      </c>
      <c r="AP310" s="30" t="n">
        <v>3</v>
      </c>
      <c r="AQ310" s="30" t="n">
        <v>4</v>
      </c>
      <c r="AR310" s="30" t="n">
        <v>4</v>
      </c>
      <c r="AS310" s="30" t="n">
        <v>6</v>
      </c>
      <c r="AT310" s="30" t="n">
        <v>4</v>
      </c>
      <c r="AU310" s="30" t="n">
        <v>4</v>
      </c>
      <c r="AV310" s="30" t="n">
        <v>6</v>
      </c>
      <c r="AW310" s="30" t="n">
        <v>6</v>
      </c>
      <c r="AX310" s="30" t="n">
        <v>3</v>
      </c>
      <c r="AY310" s="30" t="n">
        <v>3</v>
      </c>
      <c r="AZ310" s="30" t="n">
        <v>10</v>
      </c>
      <c r="BA310" s="5" t="n">
        <v>1</v>
      </c>
      <c r="BB310" s="30" t="n">
        <v>1</v>
      </c>
      <c r="BC310" s="30" t="n">
        <v>2</v>
      </c>
      <c r="BD310" s="30" t="n">
        <v>2</v>
      </c>
      <c r="BE310" s="30" t="n">
        <v>1</v>
      </c>
      <c r="BF310" s="30" t="n">
        <v>2</v>
      </c>
      <c r="BG310" s="30" t="n">
        <v>1</v>
      </c>
      <c r="BH310" s="30" t="n">
        <v>4</v>
      </c>
      <c r="BI310" s="30" t="n">
        <v>1</v>
      </c>
      <c r="BJ310" s="30" t="n">
        <v>1</v>
      </c>
    </row>
    <row r="311" customFormat="false" ht="12.75" hidden="false" customHeight="false" outlineLevel="0" collapsed="false">
      <c r="B311" s="2" t="s">
        <v>2714</v>
      </c>
      <c r="C311" s="2" t="s">
        <v>410</v>
      </c>
      <c r="D311" s="2" t="s">
        <v>528</v>
      </c>
      <c r="E311" s="2" t="n">
        <v>206706</v>
      </c>
      <c r="F311" s="15" t="n">
        <v>44190</v>
      </c>
      <c r="G311" s="15" t="n">
        <v>44197</v>
      </c>
      <c r="H311" s="3" t="n">
        <v>7</v>
      </c>
      <c r="I311" s="3" t="n">
        <v>1</v>
      </c>
      <c r="J311" s="3" t="n">
        <v>63</v>
      </c>
      <c r="K311" s="3" t="n">
        <v>3</v>
      </c>
      <c r="L311" s="3" t="n">
        <v>2</v>
      </c>
      <c r="M311" s="3" t="n">
        <v>1</v>
      </c>
      <c r="N311" s="3" t="n">
        <v>2</v>
      </c>
      <c r="O311" s="3" t="n">
        <v>2</v>
      </c>
      <c r="P311" s="3" t="n">
        <v>2</v>
      </c>
      <c r="Q311" s="3" t="n">
        <v>2</v>
      </c>
      <c r="R311" s="3" t="n">
        <v>2</v>
      </c>
      <c r="S311" s="3" t="n">
        <v>2</v>
      </c>
      <c r="T311" s="4" t="n">
        <v>2</v>
      </c>
      <c r="U311" s="3" t="n">
        <v>2</v>
      </c>
      <c r="V311" s="3" t="n">
        <v>5.38</v>
      </c>
      <c r="W311" s="3" t="n">
        <v>0.88</v>
      </c>
      <c r="X311" s="3" t="n">
        <v>1.11</v>
      </c>
      <c r="Y311" s="3" t="n">
        <v>135</v>
      </c>
      <c r="AA311" s="3" t="n">
        <v>0.34</v>
      </c>
      <c r="AB311" s="3" t="n">
        <v>12.8</v>
      </c>
      <c r="AC311" s="3" t="n">
        <v>1</v>
      </c>
      <c r="AD311" s="3" t="n">
        <v>1</v>
      </c>
      <c r="AE311" s="3" t="n">
        <v>1</v>
      </c>
      <c r="AF311" s="3" t="n">
        <v>1</v>
      </c>
      <c r="AG311" s="3" t="n">
        <v>1</v>
      </c>
      <c r="AH311" s="3" t="n">
        <v>2</v>
      </c>
      <c r="AI311" s="3" t="n">
        <v>1</v>
      </c>
      <c r="AJ311" s="3" t="n">
        <v>2</v>
      </c>
      <c r="AK311" s="3" t="n">
        <v>2</v>
      </c>
      <c r="AL311" s="3" t="n">
        <v>2</v>
      </c>
      <c r="AM311" s="3" t="n">
        <v>1</v>
      </c>
      <c r="AN311" s="3" t="n">
        <v>2</v>
      </c>
      <c r="AO311" s="3" t="n">
        <v>2</v>
      </c>
      <c r="AP311" s="3" t="n">
        <v>3</v>
      </c>
      <c r="AQ311" s="3" t="n">
        <v>4</v>
      </c>
      <c r="AR311" s="3" t="n">
        <v>4</v>
      </c>
      <c r="AS311" s="3" t="n">
        <v>6</v>
      </c>
      <c r="AT311" s="3" t="n">
        <v>4</v>
      </c>
      <c r="AU311" s="3" t="n">
        <v>4</v>
      </c>
      <c r="AV311" s="3" t="n">
        <v>6</v>
      </c>
      <c r="AW311" s="3" t="n">
        <v>6</v>
      </c>
      <c r="AX311" s="3" t="n">
        <v>3</v>
      </c>
      <c r="AY311" s="3" t="n">
        <v>3</v>
      </c>
      <c r="AZ311" s="3" t="n">
        <v>1</v>
      </c>
      <c r="BA311" s="5" t="n">
        <v>1</v>
      </c>
      <c r="BB311" s="3" t="n">
        <v>1</v>
      </c>
      <c r="BC311" s="3" t="n">
        <v>1</v>
      </c>
      <c r="BD311" s="3" t="n">
        <v>4</v>
      </c>
      <c r="BE311" s="3" t="n">
        <v>1</v>
      </c>
      <c r="BF311" s="3" t="n">
        <v>2</v>
      </c>
      <c r="BG311" s="3" t="n">
        <v>1</v>
      </c>
      <c r="BH311" s="3" t="n">
        <v>4</v>
      </c>
      <c r="BI311" s="3" t="n">
        <v>1</v>
      </c>
      <c r="BJ311" s="3" t="n">
        <v>1</v>
      </c>
    </row>
    <row r="312" customFormat="false" ht="12.75" hidden="false" customHeight="false" outlineLevel="0" collapsed="false">
      <c r="B312" s="2" t="s">
        <v>912</v>
      </c>
      <c r="C312" s="2" t="s">
        <v>78</v>
      </c>
      <c r="D312" s="2" t="s">
        <v>808</v>
      </c>
      <c r="E312" s="2" t="n">
        <v>206730</v>
      </c>
      <c r="F312" s="15" t="n">
        <v>44186</v>
      </c>
      <c r="G312" s="15" t="n">
        <v>44197</v>
      </c>
      <c r="H312" s="3" t="n">
        <v>12</v>
      </c>
      <c r="I312" s="3" t="n">
        <v>2</v>
      </c>
      <c r="J312" s="3" t="n">
        <v>78</v>
      </c>
      <c r="K312" s="3" t="n">
        <v>1</v>
      </c>
      <c r="L312" s="3" t="n">
        <v>2</v>
      </c>
      <c r="M312" s="3" t="n">
        <v>1</v>
      </c>
      <c r="N312" s="3" t="n">
        <v>2</v>
      </c>
      <c r="O312" s="3" t="n">
        <v>2</v>
      </c>
      <c r="P312" s="3" t="n">
        <v>2</v>
      </c>
      <c r="Q312" s="3" t="n">
        <v>2</v>
      </c>
      <c r="R312" s="3" t="n">
        <v>2</v>
      </c>
      <c r="S312" s="3" t="n">
        <v>2</v>
      </c>
      <c r="T312" s="4" t="n">
        <v>2</v>
      </c>
      <c r="U312" s="3" t="n">
        <v>2</v>
      </c>
      <c r="V312" s="3" t="n">
        <v>5.69</v>
      </c>
      <c r="W312" s="3" t="n">
        <v>1.57</v>
      </c>
      <c r="X312" s="3" t="n">
        <v>6.06</v>
      </c>
      <c r="Y312" s="3" t="n">
        <v>373</v>
      </c>
      <c r="AA312" s="3" t="n">
        <v>0.41</v>
      </c>
      <c r="AB312" s="3" t="n">
        <v>14.6</v>
      </c>
      <c r="AC312" s="3" t="n">
        <v>1</v>
      </c>
      <c r="AD312" s="3" t="n">
        <v>1</v>
      </c>
      <c r="AE312" s="3" t="n">
        <v>1</v>
      </c>
      <c r="AF312" s="3" t="n">
        <v>1</v>
      </c>
      <c r="AG312" s="3" t="n">
        <v>2</v>
      </c>
      <c r="AH312" s="3" t="n">
        <v>2</v>
      </c>
      <c r="AI312" s="3" t="n">
        <v>1</v>
      </c>
      <c r="AJ312" s="3" t="n">
        <v>2</v>
      </c>
      <c r="AK312" s="3" t="n">
        <v>2</v>
      </c>
      <c r="AL312" s="3" t="n">
        <v>2</v>
      </c>
      <c r="AM312" s="3" t="n">
        <v>2</v>
      </c>
      <c r="AN312" s="3" t="n">
        <v>2</v>
      </c>
      <c r="AO312" s="3" t="n">
        <v>2</v>
      </c>
      <c r="AP312" s="3" t="n">
        <v>3</v>
      </c>
      <c r="AQ312" s="3" t="n">
        <v>4</v>
      </c>
      <c r="AR312" s="3" t="n">
        <v>4</v>
      </c>
      <c r="AS312" s="3" t="n">
        <v>6</v>
      </c>
      <c r="AT312" s="3" t="n">
        <v>4</v>
      </c>
      <c r="AU312" s="3" t="n">
        <v>4</v>
      </c>
      <c r="AV312" s="3" t="n">
        <v>6</v>
      </c>
      <c r="AW312" s="3" t="n">
        <v>6</v>
      </c>
      <c r="AX312" s="3" t="n">
        <v>3</v>
      </c>
      <c r="AY312" s="3" t="n">
        <v>3</v>
      </c>
      <c r="AZ312" s="3" t="n">
        <v>1</v>
      </c>
      <c r="BA312" s="5" t="n">
        <v>1</v>
      </c>
      <c r="BB312" s="3" t="n">
        <v>1</v>
      </c>
      <c r="BC312" s="3" t="n">
        <v>1</v>
      </c>
      <c r="BD312" s="3" t="n">
        <v>4</v>
      </c>
      <c r="BE312" s="3" t="n">
        <v>3</v>
      </c>
      <c r="BF312" s="3" t="n">
        <v>5</v>
      </c>
      <c r="BG312" s="3" t="n">
        <v>3</v>
      </c>
      <c r="BH312" s="3" t="n">
        <v>4</v>
      </c>
      <c r="BI312" s="3" t="n">
        <v>1</v>
      </c>
      <c r="BJ312" s="3" t="n">
        <v>1</v>
      </c>
    </row>
    <row r="313" customFormat="false" ht="12.75" hidden="false" customHeight="false" outlineLevel="0" collapsed="false">
      <c r="B313" s="2" t="s">
        <v>2717</v>
      </c>
      <c r="C313" s="2" t="s">
        <v>2718</v>
      </c>
      <c r="D313" s="2" t="s">
        <v>665</v>
      </c>
      <c r="E313" s="2" t="n">
        <v>207312</v>
      </c>
      <c r="F313" s="15" t="n">
        <v>44195</v>
      </c>
      <c r="G313" s="15" t="n">
        <v>44201</v>
      </c>
      <c r="H313" s="3" t="n">
        <v>6</v>
      </c>
      <c r="I313" s="3" t="n">
        <v>2</v>
      </c>
      <c r="J313" s="3" t="n">
        <v>77</v>
      </c>
      <c r="K313" s="3" t="n">
        <v>1</v>
      </c>
      <c r="L313" s="3" t="n">
        <v>2</v>
      </c>
      <c r="M313" s="3" t="n">
        <v>1</v>
      </c>
      <c r="N313" s="3" t="n">
        <v>2</v>
      </c>
      <c r="O313" s="3" t="n">
        <v>2</v>
      </c>
      <c r="P313" s="3" t="n">
        <v>2</v>
      </c>
      <c r="Q313" s="3" t="n">
        <v>2</v>
      </c>
      <c r="R313" s="3" t="n">
        <v>2</v>
      </c>
      <c r="S313" s="3" t="n">
        <v>2</v>
      </c>
      <c r="T313" s="4" t="n">
        <v>2</v>
      </c>
      <c r="U313" s="3" t="n">
        <v>2</v>
      </c>
      <c r="V313" s="3" t="n">
        <v>5.46</v>
      </c>
      <c r="W313" s="3" t="n">
        <v>1.87</v>
      </c>
      <c r="X313" s="3" t="n">
        <v>9.03</v>
      </c>
      <c r="Y313" s="3" t="n">
        <v>409</v>
      </c>
      <c r="AA313" s="3" t="n">
        <v>0.45</v>
      </c>
      <c r="AB313" s="3" t="n">
        <v>9</v>
      </c>
      <c r="AC313" s="3" t="n">
        <v>1</v>
      </c>
      <c r="AD313" s="3" t="n">
        <v>2</v>
      </c>
      <c r="AE313" s="3" t="n">
        <v>1</v>
      </c>
      <c r="AF313" s="3" t="n">
        <v>1</v>
      </c>
      <c r="AG313" s="3" t="n">
        <v>2</v>
      </c>
      <c r="AH313" s="3" t="n">
        <v>2</v>
      </c>
      <c r="AI313" s="3" t="n">
        <v>1</v>
      </c>
      <c r="AJ313" s="3" t="n">
        <v>2</v>
      </c>
      <c r="AK313" s="3" t="n">
        <v>2</v>
      </c>
      <c r="AL313" s="3" t="n">
        <v>2</v>
      </c>
      <c r="AM313" s="3" t="n">
        <v>2</v>
      </c>
      <c r="AN313" s="3" t="n">
        <v>2</v>
      </c>
      <c r="AO313" s="3" t="n">
        <v>2</v>
      </c>
      <c r="AP313" s="3" t="n">
        <v>3</v>
      </c>
      <c r="AQ313" s="3" t="n">
        <v>4</v>
      </c>
      <c r="AR313" s="3" t="n">
        <v>4</v>
      </c>
      <c r="AS313" s="3" t="n">
        <v>6</v>
      </c>
      <c r="AT313" s="3" t="n">
        <v>4</v>
      </c>
      <c r="AU313" s="3" t="n">
        <v>4</v>
      </c>
      <c r="AV313" s="3" t="n">
        <v>6</v>
      </c>
      <c r="AW313" s="3" t="n">
        <v>6</v>
      </c>
      <c r="AX313" s="3" t="n">
        <v>3</v>
      </c>
      <c r="AY313" s="3" t="n">
        <v>3</v>
      </c>
      <c r="AZ313" s="3" t="n">
        <v>1</v>
      </c>
      <c r="BA313" s="5" t="n">
        <v>1</v>
      </c>
      <c r="BB313" s="3" t="n">
        <v>1</v>
      </c>
      <c r="BC313" s="3" t="n">
        <v>1</v>
      </c>
      <c r="BD313" s="3" t="n">
        <v>4</v>
      </c>
      <c r="BE313" s="3" t="n">
        <v>1</v>
      </c>
      <c r="BF313" s="3" t="n">
        <v>2</v>
      </c>
      <c r="BG313" s="3" t="n">
        <v>1</v>
      </c>
      <c r="BH313" s="3" t="n">
        <v>4</v>
      </c>
      <c r="BI313" s="3" t="n">
        <v>1</v>
      </c>
      <c r="BJ313" s="3" t="n">
        <v>1</v>
      </c>
    </row>
    <row r="314" customFormat="false" ht="12.75" hidden="false" customHeight="false" outlineLevel="0" collapsed="false">
      <c r="B314" s="2" t="s">
        <v>2720</v>
      </c>
      <c r="C314" s="2" t="s">
        <v>898</v>
      </c>
      <c r="D314" s="2" t="s">
        <v>2721</v>
      </c>
      <c r="E314" s="2" t="n">
        <v>206875</v>
      </c>
      <c r="F314" s="15" t="n">
        <v>44194</v>
      </c>
      <c r="G314" s="15" t="n">
        <v>44201</v>
      </c>
      <c r="H314" s="3" t="n">
        <v>8</v>
      </c>
      <c r="I314" s="3" t="n">
        <v>1</v>
      </c>
      <c r="J314" s="3" t="n">
        <v>76</v>
      </c>
      <c r="K314" s="3" t="n">
        <v>1</v>
      </c>
      <c r="L314" s="3" t="n">
        <v>1</v>
      </c>
      <c r="M314" s="3" t="n">
        <v>1</v>
      </c>
      <c r="N314" s="3" t="n">
        <v>2</v>
      </c>
      <c r="O314" s="3" t="n">
        <v>2</v>
      </c>
      <c r="P314" s="3" t="n">
        <v>2</v>
      </c>
      <c r="Q314" s="3" t="n">
        <v>1</v>
      </c>
      <c r="R314" s="3" t="n">
        <v>2</v>
      </c>
      <c r="S314" s="3" t="n">
        <v>2</v>
      </c>
      <c r="T314" s="4" t="n">
        <v>1</v>
      </c>
      <c r="U314" s="3" t="n">
        <v>1</v>
      </c>
      <c r="V314" s="3" t="n">
        <v>5.15</v>
      </c>
      <c r="W314" s="3" t="n">
        <v>1.37</v>
      </c>
      <c r="X314" s="3" t="n">
        <v>6.64</v>
      </c>
      <c r="Y314" s="3" t="n">
        <v>246</v>
      </c>
      <c r="AA314" s="3" t="n">
        <v>0.42</v>
      </c>
      <c r="AB314" s="3" t="n">
        <v>6</v>
      </c>
      <c r="AC314" s="3" t="n">
        <v>1</v>
      </c>
      <c r="AD314" s="3" t="n">
        <v>2</v>
      </c>
      <c r="AE314" s="3" t="n">
        <v>1</v>
      </c>
      <c r="AF314" s="3" t="n">
        <v>1</v>
      </c>
      <c r="AG314" s="3" t="n">
        <v>2</v>
      </c>
      <c r="AH314" s="3" t="n">
        <v>2</v>
      </c>
      <c r="AI314" s="3" t="n">
        <v>1</v>
      </c>
      <c r="AJ314" s="3" t="n">
        <v>2</v>
      </c>
      <c r="AK314" s="3" t="n">
        <v>2</v>
      </c>
      <c r="AL314" s="3" t="n">
        <v>2</v>
      </c>
      <c r="AM314" s="3" t="n">
        <v>2</v>
      </c>
      <c r="AN314" s="3" t="n">
        <v>2</v>
      </c>
      <c r="AO314" s="3" t="n">
        <v>2</v>
      </c>
      <c r="AP314" s="3" t="n">
        <v>3</v>
      </c>
      <c r="AQ314" s="3" t="n">
        <v>4</v>
      </c>
      <c r="AR314" s="3" t="n">
        <v>4</v>
      </c>
      <c r="AS314" s="3" t="n">
        <v>6</v>
      </c>
      <c r="AT314" s="3" t="n">
        <v>4</v>
      </c>
      <c r="AU314" s="3" t="n">
        <v>4</v>
      </c>
      <c r="AV314" s="3" t="n">
        <v>6</v>
      </c>
      <c r="AW314" s="3" t="n">
        <v>6</v>
      </c>
      <c r="AX314" s="3" t="n">
        <v>3</v>
      </c>
      <c r="AY314" s="3" t="n">
        <v>3</v>
      </c>
      <c r="AZ314" s="3" t="n">
        <v>1</v>
      </c>
      <c r="BA314" s="5" t="n">
        <v>1</v>
      </c>
      <c r="BB314" s="3" t="n">
        <v>2</v>
      </c>
      <c r="BC314" s="3" t="n">
        <v>1</v>
      </c>
      <c r="BD314" s="3" t="n">
        <v>2</v>
      </c>
      <c r="BE314" s="3" t="n">
        <v>1</v>
      </c>
      <c r="BF314" s="3" t="n">
        <v>2</v>
      </c>
      <c r="BG314" s="3" t="n">
        <v>1</v>
      </c>
      <c r="BH314" s="3" t="n">
        <v>4</v>
      </c>
      <c r="BI314" s="3" t="n">
        <v>1</v>
      </c>
      <c r="BJ314" s="3" t="n">
        <v>1</v>
      </c>
    </row>
    <row r="315" customFormat="false" ht="12.75" hidden="false" customHeight="false" outlineLevel="0" collapsed="false">
      <c r="B315" s="2" t="s">
        <v>2723</v>
      </c>
      <c r="C315" s="2" t="s">
        <v>684</v>
      </c>
      <c r="D315" s="2" t="s">
        <v>685</v>
      </c>
      <c r="E315" s="2" t="n">
        <v>139933</v>
      </c>
      <c r="F315" s="15" t="n">
        <v>44193</v>
      </c>
      <c r="G315" s="15" t="n">
        <v>44202</v>
      </c>
      <c r="H315" s="3" t="n">
        <v>9</v>
      </c>
      <c r="I315" s="3" t="n">
        <v>2</v>
      </c>
      <c r="J315" s="3" t="n">
        <v>57</v>
      </c>
      <c r="K315" s="3" t="n">
        <v>1</v>
      </c>
      <c r="L315" s="3" t="n">
        <v>1</v>
      </c>
      <c r="M315" s="3" t="n">
        <v>1</v>
      </c>
      <c r="N315" s="3" t="n">
        <v>1</v>
      </c>
      <c r="O315" s="3" t="n">
        <v>2</v>
      </c>
      <c r="P315" s="3" t="n">
        <v>2</v>
      </c>
      <c r="Q315" s="3" t="n">
        <v>2</v>
      </c>
      <c r="R315" s="3" t="n">
        <v>2</v>
      </c>
      <c r="S315" s="3" t="n">
        <v>1</v>
      </c>
      <c r="T315" s="4" t="n">
        <v>2</v>
      </c>
      <c r="U315" s="3" t="n">
        <v>2</v>
      </c>
      <c r="V315" s="3" t="n">
        <v>3.87</v>
      </c>
      <c r="W315" s="3" t="n">
        <v>5.3</v>
      </c>
      <c r="X315" s="3" t="n">
        <v>5.18</v>
      </c>
      <c r="Y315" s="3" t="n">
        <v>326</v>
      </c>
      <c r="AA315" s="3" t="n">
        <v>0.46</v>
      </c>
      <c r="AB315" s="3" t="n">
        <v>13.6</v>
      </c>
      <c r="AC315" s="3" t="n">
        <v>1</v>
      </c>
      <c r="AD315" s="3" t="n">
        <v>2</v>
      </c>
      <c r="AE315" s="3" t="n">
        <v>1</v>
      </c>
      <c r="AF315" s="3" t="n">
        <v>1</v>
      </c>
      <c r="AG315" s="3" t="n">
        <v>2</v>
      </c>
      <c r="AH315" s="3" t="n">
        <v>2</v>
      </c>
      <c r="AI315" s="3" t="n">
        <v>1</v>
      </c>
      <c r="AJ315" s="3" t="n">
        <v>1</v>
      </c>
      <c r="AK315" s="3" t="n">
        <v>2</v>
      </c>
      <c r="AL315" s="3" t="n">
        <v>2</v>
      </c>
      <c r="AM315" s="3" t="n">
        <v>2</v>
      </c>
      <c r="AN315" s="3" t="n">
        <v>1</v>
      </c>
      <c r="AO315" s="3" t="n">
        <v>2</v>
      </c>
      <c r="AP315" s="3" t="n">
        <v>2</v>
      </c>
      <c r="AQ315" s="3" t="n">
        <v>1</v>
      </c>
      <c r="AR315" s="3" t="n">
        <v>4</v>
      </c>
      <c r="AS315" s="3" t="n">
        <v>6</v>
      </c>
      <c r="AT315" s="3" t="n">
        <v>4</v>
      </c>
      <c r="AU315" s="3" t="n">
        <v>4</v>
      </c>
      <c r="AV315" s="3" t="n">
        <v>1</v>
      </c>
      <c r="AW315" s="3" t="n">
        <v>6</v>
      </c>
      <c r="AX315" s="3" t="n">
        <v>2</v>
      </c>
      <c r="AY315" s="3" t="n">
        <v>1</v>
      </c>
      <c r="AZ315" s="3" t="n">
        <v>6</v>
      </c>
      <c r="BA315" s="5" t="n">
        <v>1</v>
      </c>
      <c r="BB315" s="3" t="n">
        <v>1</v>
      </c>
      <c r="BC315" s="3" t="n">
        <v>1</v>
      </c>
      <c r="BD315" s="3" t="n">
        <v>4</v>
      </c>
      <c r="BE315" s="3" t="n">
        <v>1</v>
      </c>
      <c r="BF315" s="3" t="n">
        <v>2</v>
      </c>
      <c r="BG315" s="3" t="n">
        <v>1</v>
      </c>
      <c r="BH315" s="3" t="n">
        <v>4</v>
      </c>
      <c r="BI315" s="3" t="n">
        <v>1</v>
      </c>
      <c r="BJ315" s="3" t="n">
        <v>1</v>
      </c>
    </row>
    <row r="316" customFormat="false" ht="12.75" hidden="false" customHeight="false" outlineLevel="0" collapsed="false">
      <c r="B316" s="2" t="s">
        <v>228</v>
      </c>
      <c r="C316" s="2" t="s">
        <v>1883</v>
      </c>
      <c r="D316" s="2" t="s">
        <v>1335</v>
      </c>
      <c r="E316" s="2" t="n">
        <v>207204</v>
      </c>
      <c r="F316" s="15" t="n">
        <v>44197</v>
      </c>
      <c r="G316" s="15" t="n">
        <v>44203</v>
      </c>
      <c r="H316" s="3" t="n">
        <v>6</v>
      </c>
      <c r="I316" s="3" t="n">
        <v>2</v>
      </c>
      <c r="J316" s="3" t="n">
        <v>43</v>
      </c>
      <c r="K316" s="3" t="n">
        <v>2</v>
      </c>
      <c r="L316" s="3" t="n">
        <v>1</v>
      </c>
      <c r="M316" s="3" t="n">
        <v>2</v>
      </c>
      <c r="N316" s="3" t="n">
        <v>2</v>
      </c>
      <c r="O316" s="3" t="n">
        <v>2</v>
      </c>
      <c r="P316" s="3" t="n">
        <v>2</v>
      </c>
      <c r="Q316" s="3" t="n">
        <v>2</v>
      </c>
      <c r="R316" s="3" t="n">
        <v>2</v>
      </c>
      <c r="S316" s="3" t="n">
        <v>2</v>
      </c>
      <c r="T316" s="4" t="n">
        <v>2</v>
      </c>
      <c r="U316" s="3" t="n">
        <v>2</v>
      </c>
      <c r="V316" s="3" t="n">
        <v>3.95</v>
      </c>
      <c r="W316" s="3" t="n">
        <v>0.48</v>
      </c>
      <c r="X316" s="3" t="n">
        <v>4.34</v>
      </c>
      <c r="Y316" s="3" t="n">
        <v>349</v>
      </c>
      <c r="AA316" s="3" t="n">
        <v>0.43</v>
      </c>
      <c r="AB316" s="3" t="n">
        <v>7.1</v>
      </c>
      <c r="AC316" s="3" t="n">
        <v>1</v>
      </c>
      <c r="AD316" s="3" t="n">
        <v>2</v>
      </c>
      <c r="AE316" s="3" t="n">
        <v>1</v>
      </c>
      <c r="AF316" s="3" t="n">
        <v>1</v>
      </c>
      <c r="AG316" s="3" t="n">
        <v>2</v>
      </c>
      <c r="AH316" s="3" t="n">
        <v>2</v>
      </c>
      <c r="AI316" s="3" t="n">
        <v>1</v>
      </c>
      <c r="AJ316" s="3" t="n">
        <v>2</v>
      </c>
      <c r="AK316" s="3" t="n">
        <v>2</v>
      </c>
      <c r="AL316" s="3" t="n">
        <v>2</v>
      </c>
      <c r="AM316" s="3" t="n">
        <v>1</v>
      </c>
      <c r="AN316" s="3" t="n">
        <v>2</v>
      </c>
      <c r="AO316" s="3" t="n">
        <v>2</v>
      </c>
      <c r="AP316" s="3" t="n">
        <v>3</v>
      </c>
      <c r="AQ316" s="3" t="n">
        <v>4</v>
      </c>
      <c r="AR316" s="3" t="n">
        <v>4</v>
      </c>
      <c r="AS316" s="3" t="n">
        <v>6</v>
      </c>
      <c r="AT316" s="3" t="n">
        <v>4</v>
      </c>
      <c r="AU316" s="3" t="n">
        <v>4</v>
      </c>
      <c r="AV316" s="3" t="n">
        <v>6</v>
      </c>
      <c r="AW316" s="3" t="n">
        <v>6</v>
      </c>
      <c r="AX316" s="3" t="n">
        <v>3</v>
      </c>
      <c r="AY316" s="3" t="n">
        <v>3</v>
      </c>
      <c r="AZ316" s="3" t="n">
        <v>1</v>
      </c>
      <c r="BA316" s="5" t="n">
        <v>1</v>
      </c>
      <c r="BB316" s="3" t="n">
        <v>1</v>
      </c>
      <c r="BC316" s="3" t="n">
        <v>1</v>
      </c>
      <c r="BD316" s="3" t="n">
        <v>4</v>
      </c>
      <c r="BE316" s="3" t="n">
        <v>1</v>
      </c>
      <c r="BF316" s="3" t="n">
        <v>2</v>
      </c>
      <c r="BG316" s="3" t="n">
        <v>1</v>
      </c>
      <c r="BH316" s="3" t="n">
        <v>4</v>
      </c>
      <c r="BI316" s="3" t="n">
        <v>1</v>
      </c>
      <c r="BJ316" s="3" t="n">
        <v>1</v>
      </c>
    </row>
    <row r="317" customFormat="false" ht="12.75" hidden="false" customHeight="false" outlineLevel="0" collapsed="false">
      <c r="B317" s="2" t="s">
        <v>915</v>
      </c>
      <c r="C317" s="2" t="s">
        <v>873</v>
      </c>
      <c r="D317" s="2" t="s">
        <v>873</v>
      </c>
      <c r="E317" s="2" t="n">
        <v>207300</v>
      </c>
      <c r="F317" s="15" t="n">
        <v>44195</v>
      </c>
      <c r="G317" s="15" t="n">
        <v>44204</v>
      </c>
      <c r="H317" s="3" t="n">
        <v>9</v>
      </c>
      <c r="I317" s="3" t="n">
        <v>2</v>
      </c>
      <c r="J317" s="3" t="n">
        <v>75</v>
      </c>
      <c r="K317" s="3" t="n">
        <v>1</v>
      </c>
      <c r="L317" s="3" t="n">
        <v>2</v>
      </c>
      <c r="M317" s="3" t="n">
        <v>1</v>
      </c>
      <c r="N317" s="3" t="n">
        <v>2</v>
      </c>
      <c r="O317" s="3" t="n">
        <v>2</v>
      </c>
      <c r="P317" s="3" t="n">
        <v>2</v>
      </c>
      <c r="Q317" s="3" t="n">
        <v>1</v>
      </c>
      <c r="R317" s="3" t="n">
        <v>2</v>
      </c>
      <c r="S317" s="3" t="n">
        <v>2</v>
      </c>
      <c r="T317" s="4" t="n">
        <v>2</v>
      </c>
      <c r="U317" s="3" t="n">
        <v>2</v>
      </c>
      <c r="V317" s="3" t="n">
        <v>2.24</v>
      </c>
      <c r="W317" s="3" t="n">
        <v>0.75</v>
      </c>
      <c r="X317" s="3" t="n">
        <v>24.24</v>
      </c>
      <c r="Y317" s="3" t="n">
        <v>431</v>
      </c>
      <c r="AA317" s="3" t="n">
        <v>0.63</v>
      </c>
      <c r="AB317" s="3" t="n">
        <v>16.1</v>
      </c>
      <c r="AC317" s="3" t="n">
        <v>1</v>
      </c>
      <c r="AD317" s="3" t="n">
        <v>2</v>
      </c>
      <c r="AE317" s="3" t="n">
        <v>1</v>
      </c>
      <c r="AF317" s="3" t="n">
        <v>1</v>
      </c>
      <c r="AG317" s="3" t="n">
        <v>2</v>
      </c>
      <c r="AH317" s="3" t="n">
        <v>2</v>
      </c>
      <c r="AI317" s="3" t="n">
        <v>1</v>
      </c>
      <c r="AJ317" s="3" t="n">
        <v>2</v>
      </c>
      <c r="AK317" s="3" t="n">
        <v>1</v>
      </c>
      <c r="AL317" s="3" t="n">
        <v>2</v>
      </c>
      <c r="AM317" s="3" t="n">
        <v>2</v>
      </c>
      <c r="AN317" s="3" t="n">
        <v>2</v>
      </c>
      <c r="AO317" s="3" t="n">
        <v>2</v>
      </c>
      <c r="AP317" s="3" t="n">
        <v>3</v>
      </c>
      <c r="AQ317" s="3" t="n">
        <v>4</v>
      </c>
      <c r="AR317" s="3" t="n">
        <v>4</v>
      </c>
      <c r="AS317" s="3" t="n">
        <v>6</v>
      </c>
      <c r="AT317" s="3" t="n">
        <v>4</v>
      </c>
      <c r="AU317" s="3" t="n">
        <v>4</v>
      </c>
      <c r="AV317" s="3" t="n">
        <v>6</v>
      </c>
      <c r="AW317" s="3" t="n">
        <v>6</v>
      </c>
      <c r="AX317" s="3" t="n">
        <v>3</v>
      </c>
      <c r="AY317" s="3" t="n">
        <v>3</v>
      </c>
      <c r="AZ317" s="3" t="n">
        <v>1</v>
      </c>
      <c r="BA317" s="5" t="n">
        <v>1</v>
      </c>
      <c r="BB317" s="3" t="n">
        <v>1</v>
      </c>
      <c r="BC317" s="3" t="n">
        <v>1</v>
      </c>
      <c r="BD317" s="3" t="n">
        <v>4</v>
      </c>
      <c r="BE317" s="3" t="n">
        <v>1</v>
      </c>
      <c r="BF317" s="3" t="n">
        <v>2</v>
      </c>
      <c r="BG317" s="3" t="n">
        <v>1</v>
      </c>
      <c r="BH317" s="3" t="n">
        <v>4</v>
      </c>
      <c r="BI317" s="3" t="n">
        <v>1</v>
      </c>
      <c r="BJ317" s="3" t="n">
        <v>1</v>
      </c>
    </row>
    <row r="318" customFormat="false" ht="12.75" hidden="false" customHeight="false" outlineLevel="0" collapsed="false">
      <c r="B318" s="2" t="s">
        <v>2730</v>
      </c>
      <c r="C318" s="2" t="s">
        <v>78</v>
      </c>
      <c r="D318" s="2" t="s">
        <v>2731</v>
      </c>
      <c r="E318" s="2" t="n">
        <v>207201</v>
      </c>
      <c r="F318" s="15" t="n">
        <v>44197</v>
      </c>
      <c r="G318" s="15" t="n">
        <v>44204</v>
      </c>
      <c r="H318" s="3" t="n">
        <v>7</v>
      </c>
      <c r="I318" s="3" t="n">
        <v>2</v>
      </c>
      <c r="J318" s="3" t="n">
        <v>41</v>
      </c>
      <c r="K318" s="3" t="n">
        <v>1</v>
      </c>
      <c r="L318" s="3" t="n">
        <v>2</v>
      </c>
      <c r="M318" s="3" t="n">
        <v>2</v>
      </c>
      <c r="N318" s="3" t="n">
        <v>2</v>
      </c>
      <c r="O318" s="3" t="n">
        <v>2</v>
      </c>
      <c r="P318" s="3" t="n">
        <v>2</v>
      </c>
      <c r="Q318" s="3" t="n">
        <v>2</v>
      </c>
      <c r="R318" s="3" t="n">
        <v>2</v>
      </c>
      <c r="S318" s="3" t="n">
        <v>2</v>
      </c>
      <c r="T318" s="4" t="n">
        <v>2</v>
      </c>
      <c r="U318" s="3" t="n">
        <v>2</v>
      </c>
      <c r="V318" s="3" t="n">
        <v>3.94</v>
      </c>
      <c r="W318" s="3" t="n">
        <v>0.62</v>
      </c>
      <c r="X318" s="3" t="n">
        <v>5.15</v>
      </c>
      <c r="Y318" s="3" t="n">
        <v>254</v>
      </c>
      <c r="AA318" s="3" t="n">
        <v>0.46</v>
      </c>
      <c r="AB318" s="3" t="n">
        <v>9</v>
      </c>
      <c r="AC318" s="3" t="n">
        <v>1</v>
      </c>
      <c r="AD318" s="3" t="n">
        <v>2</v>
      </c>
      <c r="AE318" s="3" t="n">
        <v>1</v>
      </c>
      <c r="AF318" s="3" t="n">
        <v>1</v>
      </c>
      <c r="AG318" s="3" t="n">
        <v>2</v>
      </c>
      <c r="AH318" s="3" t="n">
        <v>2</v>
      </c>
      <c r="AI318" s="3" t="n">
        <v>1</v>
      </c>
      <c r="AJ318" s="3" t="n">
        <v>2</v>
      </c>
      <c r="AK318" s="3" t="n">
        <v>2</v>
      </c>
      <c r="AL318" s="3" t="n">
        <v>2</v>
      </c>
      <c r="AM318" s="3" t="n">
        <v>1</v>
      </c>
      <c r="AN318" s="3" t="n">
        <v>2</v>
      </c>
      <c r="AO318" s="3" t="n">
        <v>2</v>
      </c>
      <c r="AP318" s="3" t="n">
        <v>3</v>
      </c>
      <c r="AQ318" s="3" t="n">
        <v>4</v>
      </c>
      <c r="AR318" s="3" t="n">
        <v>4</v>
      </c>
      <c r="AS318" s="3" t="n">
        <v>6</v>
      </c>
      <c r="AT318" s="3" t="n">
        <v>4</v>
      </c>
      <c r="AU318" s="3" t="n">
        <v>4</v>
      </c>
      <c r="AV318" s="3" t="n">
        <v>6</v>
      </c>
      <c r="AW318" s="3" t="n">
        <v>6</v>
      </c>
      <c r="AX318" s="3" t="n">
        <v>3</v>
      </c>
      <c r="AY318" s="3" t="n">
        <v>3</v>
      </c>
      <c r="AZ318" s="3" t="n">
        <v>1</v>
      </c>
      <c r="BA318" s="5" t="n">
        <v>1</v>
      </c>
      <c r="BB318" s="3" t="n">
        <v>1</v>
      </c>
      <c r="BC318" s="3" t="n">
        <v>1</v>
      </c>
      <c r="BD318" s="3" t="n">
        <v>3</v>
      </c>
      <c r="BE318" s="3" t="n">
        <v>1</v>
      </c>
      <c r="BF318" s="3" t="n">
        <v>2</v>
      </c>
      <c r="BG318" s="3" t="n">
        <v>1</v>
      </c>
      <c r="BH318" s="3" t="n">
        <v>4</v>
      </c>
      <c r="BI318" s="3" t="n">
        <v>1</v>
      </c>
      <c r="BJ318" s="3" t="n">
        <v>1</v>
      </c>
    </row>
    <row r="319" customFormat="false" ht="12.75" hidden="false" customHeight="false" outlineLevel="0" collapsed="false">
      <c r="B319" s="2" t="s">
        <v>2733</v>
      </c>
      <c r="C319" s="2" t="s">
        <v>153</v>
      </c>
      <c r="D319" s="2" t="s">
        <v>91</v>
      </c>
      <c r="E319" s="2" t="n">
        <v>207239</v>
      </c>
      <c r="F319" s="15" t="n">
        <v>44198</v>
      </c>
      <c r="G319" s="15" t="n">
        <v>44205</v>
      </c>
      <c r="H319" s="3" t="n">
        <v>7</v>
      </c>
      <c r="I319" s="3" t="n">
        <v>2</v>
      </c>
      <c r="J319" s="3" t="n">
        <v>59</v>
      </c>
      <c r="K319" s="3" t="n">
        <v>2</v>
      </c>
      <c r="L319" s="3" t="n">
        <v>1</v>
      </c>
      <c r="M319" s="3" t="n">
        <v>1</v>
      </c>
      <c r="N319" s="3" t="n">
        <v>2</v>
      </c>
      <c r="O319" s="3" t="n">
        <v>2</v>
      </c>
      <c r="P319" s="3" t="n">
        <v>2</v>
      </c>
      <c r="Q319" s="3" t="n">
        <v>2</v>
      </c>
      <c r="R319" s="3" t="n">
        <v>2</v>
      </c>
      <c r="S319" s="3" t="n">
        <v>2</v>
      </c>
      <c r="T319" s="4" t="n">
        <v>2</v>
      </c>
      <c r="U319" s="3" t="n">
        <v>2</v>
      </c>
      <c r="V319" s="3" t="n">
        <v>5.19</v>
      </c>
      <c r="W319" s="3" t="n">
        <v>1.35</v>
      </c>
      <c r="X319" s="3" t="n">
        <v>5.02</v>
      </c>
      <c r="Y319" s="3" t="n">
        <v>382</v>
      </c>
      <c r="AA319" s="3" t="n">
        <v>0.47</v>
      </c>
      <c r="AB319" s="3" t="n">
        <v>9</v>
      </c>
      <c r="AC319" s="3" t="n">
        <v>1</v>
      </c>
      <c r="AD319" s="3" t="n">
        <v>2</v>
      </c>
      <c r="AE319" s="3" t="n">
        <v>1</v>
      </c>
      <c r="AF319" s="3" t="n">
        <v>1</v>
      </c>
      <c r="AG319" s="3" t="n">
        <v>1</v>
      </c>
      <c r="AH319" s="3" t="n">
        <v>2</v>
      </c>
      <c r="AI319" s="3" t="n">
        <v>1</v>
      </c>
      <c r="AJ319" s="3" t="n">
        <v>2</v>
      </c>
      <c r="AK319" s="3" t="n">
        <v>2</v>
      </c>
      <c r="AL319" s="3" t="n">
        <v>2</v>
      </c>
      <c r="AM319" s="3" t="n">
        <v>1</v>
      </c>
      <c r="AN319" s="3" t="n">
        <v>2</v>
      </c>
      <c r="AO319" s="3" t="n">
        <v>2</v>
      </c>
      <c r="AP319" s="3" t="n">
        <v>3</v>
      </c>
      <c r="AQ319" s="3" t="n">
        <v>4</v>
      </c>
      <c r="AR319" s="3" t="n">
        <v>4</v>
      </c>
      <c r="AS319" s="3" t="n">
        <v>6</v>
      </c>
      <c r="AT319" s="3" t="n">
        <v>4</v>
      </c>
      <c r="AU319" s="3" t="n">
        <v>4</v>
      </c>
      <c r="AV319" s="3" t="n">
        <v>6</v>
      </c>
      <c r="AW319" s="3" t="n">
        <v>6</v>
      </c>
      <c r="AX319" s="3" t="n">
        <v>3</v>
      </c>
      <c r="AY319" s="3" t="n">
        <v>3</v>
      </c>
      <c r="AZ319" s="3" t="n">
        <v>1</v>
      </c>
      <c r="BA319" s="5" t="n">
        <v>1</v>
      </c>
      <c r="BB319" s="3" t="n">
        <v>1</v>
      </c>
      <c r="BC319" s="3" t="n">
        <v>1</v>
      </c>
      <c r="BD319" s="3" t="n">
        <v>4</v>
      </c>
      <c r="BE319" s="3" t="n">
        <v>3</v>
      </c>
      <c r="BF319" s="3" t="n">
        <v>5</v>
      </c>
      <c r="BG319" s="3" t="n">
        <v>3</v>
      </c>
      <c r="BH319" s="3" t="n">
        <v>4</v>
      </c>
      <c r="BI319" s="3" t="n">
        <v>1</v>
      </c>
      <c r="BJ319" s="3" t="n">
        <v>1</v>
      </c>
    </row>
    <row r="320" customFormat="false" ht="12.75" hidden="false" customHeight="false" outlineLevel="0" collapsed="false">
      <c r="B320" s="2" t="s">
        <v>258</v>
      </c>
      <c r="C320" s="2" t="s">
        <v>2189</v>
      </c>
      <c r="D320" s="2" t="s">
        <v>153</v>
      </c>
      <c r="E320" s="2" t="n">
        <v>207382</v>
      </c>
      <c r="F320" s="15" t="n">
        <v>44201</v>
      </c>
      <c r="G320" s="15" t="n">
        <v>44207</v>
      </c>
      <c r="H320" s="3" t="n">
        <v>6</v>
      </c>
      <c r="I320" s="3" t="n">
        <v>2</v>
      </c>
      <c r="J320" s="3" t="n">
        <v>78</v>
      </c>
      <c r="K320" s="3" t="n">
        <v>2</v>
      </c>
      <c r="L320" s="3" t="n">
        <v>1</v>
      </c>
      <c r="M320" s="3" t="n">
        <v>1</v>
      </c>
      <c r="N320" s="3" t="n">
        <v>2</v>
      </c>
      <c r="O320" s="3" t="n">
        <v>2</v>
      </c>
      <c r="P320" s="3" t="n">
        <v>2</v>
      </c>
      <c r="Q320" s="3" t="n">
        <v>2</v>
      </c>
      <c r="R320" s="3" t="n">
        <v>2</v>
      </c>
      <c r="S320" s="3" t="n">
        <v>2</v>
      </c>
      <c r="T320" s="4" t="n">
        <v>2</v>
      </c>
      <c r="U320" s="3" t="n">
        <v>2</v>
      </c>
      <c r="V320" s="3" t="n">
        <v>4.17</v>
      </c>
      <c r="W320" s="3" t="n">
        <v>0.7</v>
      </c>
      <c r="X320" s="3" t="n">
        <v>5.39</v>
      </c>
      <c r="Y320" s="3" t="n">
        <v>324</v>
      </c>
      <c r="AA320" s="3" t="n">
        <v>0.44</v>
      </c>
      <c r="AB320" s="3" t="n">
        <v>9.6</v>
      </c>
      <c r="AC320" s="3" t="n">
        <v>1</v>
      </c>
      <c r="AD320" s="3" t="n">
        <v>1</v>
      </c>
      <c r="AE320" s="3" t="n">
        <v>1</v>
      </c>
      <c r="AF320" s="3" t="n">
        <v>1</v>
      </c>
      <c r="AG320" s="3" t="n">
        <v>2</v>
      </c>
      <c r="AH320" s="3" t="n">
        <v>1</v>
      </c>
      <c r="AI320" s="3" t="n">
        <v>1</v>
      </c>
      <c r="AJ320" s="3" t="n">
        <v>2</v>
      </c>
      <c r="AK320" s="3" t="n">
        <v>2</v>
      </c>
      <c r="AL320" s="3" t="n">
        <v>2</v>
      </c>
      <c r="AM320" s="3" t="n">
        <v>1</v>
      </c>
      <c r="AN320" s="3" t="n">
        <v>2</v>
      </c>
      <c r="AO320" s="3" t="n">
        <v>2</v>
      </c>
      <c r="AP320" s="3" t="n">
        <v>3</v>
      </c>
      <c r="AQ320" s="3" t="n">
        <v>4</v>
      </c>
      <c r="AR320" s="3" t="n">
        <v>4</v>
      </c>
      <c r="AS320" s="3" t="n">
        <v>6</v>
      </c>
      <c r="AT320" s="3" t="n">
        <v>4</v>
      </c>
      <c r="AU320" s="3" t="n">
        <v>4</v>
      </c>
      <c r="AV320" s="3" t="n">
        <v>6</v>
      </c>
      <c r="AW320" s="3" t="n">
        <v>6</v>
      </c>
      <c r="AX320" s="3" t="n">
        <v>3</v>
      </c>
      <c r="AY320" s="3" t="n">
        <v>3</v>
      </c>
      <c r="AZ320" s="3" t="n">
        <v>1</v>
      </c>
      <c r="BA320" s="5" t="n">
        <v>1</v>
      </c>
      <c r="BB320" s="3" t="n">
        <v>1</v>
      </c>
      <c r="BC320" s="3" t="n">
        <v>1</v>
      </c>
      <c r="BD320" s="3" t="n">
        <v>2</v>
      </c>
      <c r="BE320" s="3" t="n">
        <v>3</v>
      </c>
      <c r="BF320" s="3" t="n">
        <v>5</v>
      </c>
      <c r="BG320" s="3" t="n">
        <v>3</v>
      </c>
      <c r="BH320" s="3" t="n">
        <v>4</v>
      </c>
      <c r="BI320" s="3" t="n">
        <v>1</v>
      </c>
      <c r="BJ320" s="3" t="n">
        <v>1</v>
      </c>
    </row>
    <row r="321" customFormat="false" ht="12.75" hidden="false" customHeight="false" outlineLevel="0" collapsed="false">
      <c r="B321" s="2" t="s">
        <v>1729</v>
      </c>
      <c r="C321" s="2" t="s">
        <v>2736</v>
      </c>
      <c r="D321" s="2" t="s">
        <v>2491</v>
      </c>
      <c r="E321" s="2" t="n">
        <v>207254</v>
      </c>
      <c r="F321" s="15" t="n">
        <v>44199</v>
      </c>
      <c r="G321" s="15" t="n">
        <v>44207</v>
      </c>
      <c r="H321" s="3" t="n">
        <v>6</v>
      </c>
      <c r="I321" s="3" t="n">
        <v>1</v>
      </c>
      <c r="J321" s="3" t="n">
        <v>72</v>
      </c>
      <c r="K321" s="3" t="n">
        <v>1</v>
      </c>
      <c r="L321" s="3" t="n">
        <v>1</v>
      </c>
      <c r="M321" s="3" t="n">
        <v>1</v>
      </c>
      <c r="N321" s="3" t="n">
        <v>2</v>
      </c>
      <c r="O321" s="3" t="n">
        <v>2</v>
      </c>
      <c r="P321" s="3" t="n">
        <v>2</v>
      </c>
      <c r="Q321" s="3" t="n">
        <v>2</v>
      </c>
      <c r="R321" s="3" t="n">
        <v>2</v>
      </c>
      <c r="S321" s="3" t="n">
        <v>2</v>
      </c>
      <c r="T321" s="4" t="n">
        <v>2</v>
      </c>
      <c r="U321" s="3" t="n">
        <v>2</v>
      </c>
      <c r="V321" s="3" t="n">
        <v>4.08</v>
      </c>
      <c r="W321" s="3" t="n">
        <v>1.06</v>
      </c>
      <c r="X321" s="3" t="n">
        <v>8.94</v>
      </c>
      <c r="Y321" s="3" t="n">
        <v>548</v>
      </c>
      <c r="AA321" s="3" t="n">
        <v>0.46</v>
      </c>
      <c r="AB321" s="3" t="n">
        <v>16.1</v>
      </c>
      <c r="AC321" s="3" t="n">
        <v>2</v>
      </c>
      <c r="AD321" s="3" t="n">
        <v>1</v>
      </c>
      <c r="AE321" s="3" t="n">
        <v>1</v>
      </c>
      <c r="AF321" s="3" t="n">
        <v>1</v>
      </c>
      <c r="AG321" s="3" t="n">
        <v>1</v>
      </c>
      <c r="AH321" s="3" t="n">
        <v>2</v>
      </c>
      <c r="AI321" s="3" t="n">
        <v>1</v>
      </c>
      <c r="AJ321" s="3" t="n">
        <v>2</v>
      </c>
      <c r="AK321" s="3" t="n">
        <v>2</v>
      </c>
      <c r="AL321" s="3" t="n">
        <v>2</v>
      </c>
      <c r="AM321" s="3" t="n">
        <v>1</v>
      </c>
      <c r="AN321" s="3" t="n">
        <v>2</v>
      </c>
      <c r="AO321" s="3" t="n">
        <v>2</v>
      </c>
      <c r="AP321" s="3" t="n">
        <v>3</v>
      </c>
      <c r="AQ321" s="3" t="n">
        <v>4</v>
      </c>
      <c r="AR321" s="3" t="n">
        <v>4</v>
      </c>
      <c r="AS321" s="3" t="n">
        <v>6</v>
      </c>
      <c r="AT321" s="3" t="n">
        <v>4</v>
      </c>
      <c r="AU321" s="3" t="n">
        <v>4</v>
      </c>
      <c r="AV321" s="3" t="n">
        <v>6</v>
      </c>
      <c r="AW321" s="3" t="n">
        <v>6</v>
      </c>
      <c r="AX321" s="3" t="n">
        <v>3</v>
      </c>
      <c r="AY321" s="3" t="n">
        <v>3</v>
      </c>
      <c r="AZ321" s="3" t="n">
        <v>1</v>
      </c>
      <c r="BA321" s="5" t="n">
        <v>1</v>
      </c>
      <c r="BB321" s="3" t="n">
        <v>1</v>
      </c>
      <c r="BC321" s="3" t="n">
        <v>1</v>
      </c>
      <c r="BD321" s="3" t="n">
        <v>2</v>
      </c>
      <c r="BE321" s="3" t="n">
        <v>1</v>
      </c>
      <c r="BF321" s="3" t="n">
        <v>2</v>
      </c>
      <c r="BG321" s="3" t="n">
        <v>1</v>
      </c>
      <c r="BH321" s="3" t="n">
        <v>4</v>
      </c>
      <c r="BI321" s="3" t="n">
        <v>1</v>
      </c>
      <c r="BJ321" s="3" t="n">
        <v>1</v>
      </c>
    </row>
    <row r="322" customFormat="false" ht="12.75" hidden="false" customHeight="false" outlineLevel="0" collapsed="false">
      <c r="B322" s="2" t="s">
        <v>573</v>
      </c>
      <c r="C322" s="2" t="s">
        <v>2081</v>
      </c>
      <c r="D322" s="2" t="s">
        <v>2739</v>
      </c>
      <c r="E322" s="2" t="n">
        <v>207494</v>
      </c>
      <c r="F322" s="15" t="n">
        <v>44202</v>
      </c>
      <c r="G322" s="15" t="n">
        <v>44208</v>
      </c>
      <c r="H322" s="3" t="n">
        <v>6</v>
      </c>
      <c r="I322" s="3" t="n">
        <v>2</v>
      </c>
      <c r="J322" s="3" t="n">
        <v>53</v>
      </c>
      <c r="K322" s="3" t="n">
        <v>2</v>
      </c>
      <c r="L322" s="3" t="n">
        <v>2</v>
      </c>
      <c r="M322" s="3" t="n">
        <v>1</v>
      </c>
      <c r="N322" s="3" t="n">
        <v>1</v>
      </c>
      <c r="O322" s="3" t="n">
        <v>2</v>
      </c>
      <c r="P322" s="3" t="n">
        <v>2</v>
      </c>
      <c r="Q322" s="3" t="n">
        <v>2</v>
      </c>
      <c r="R322" s="3" t="n">
        <v>2</v>
      </c>
      <c r="S322" s="3" t="n">
        <v>2</v>
      </c>
      <c r="T322" s="4" t="n">
        <v>2</v>
      </c>
      <c r="U322" s="3" t="n">
        <v>2</v>
      </c>
      <c r="V322" s="3" t="n">
        <v>4.39</v>
      </c>
      <c r="W322" s="3" t="n">
        <v>1.14</v>
      </c>
      <c r="X322" s="3" t="n">
        <v>4.67</v>
      </c>
      <c r="Y322" s="3" t="n">
        <v>305</v>
      </c>
      <c r="AA322" s="3" t="n">
        <v>0.45</v>
      </c>
      <c r="AB322" s="3" t="n">
        <v>12</v>
      </c>
      <c r="AC322" s="3" t="n">
        <v>2</v>
      </c>
      <c r="AD322" s="3" t="n">
        <v>1</v>
      </c>
      <c r="AE322" s="3" t="n">
        <v>1</v>
      </c>
      <c r="AF322" s="3" t="n">
        <v>1</v>
      </c>
      <c r="AG322" s="3" t="n">
        <v>2</v>
      </c>
      <c r="AH322" s="3" t="n">
        <v>2</v>
      </c>
      <c r="AI322" s="3" t="n">
        <v>1</v>
      </c>
      <c r="AJ322" s="3" t="n">
        <v>2</v>
      </c>
      <c r="AK322" s="3" t="n">
        <v>2</v>
      </c>
      <c r="AL322" s="3" t="n">
        <v>2</v>
      </c>
      <c r="AM322" s="3" t="n">
        <v>1</v>
      </c>
      <c r="AN322" s="3" t="n">
        <v>2</v>
      </c>
      <c r="AO322" s="3" t="n">
        <v>2</v>
      </c>
      <c r="AP322" s="3" t="n">
        <v>3</v>
      </c>
      <c r="AQ322" s="3" t="n">
        <v>4</v>
      </c>
      <c r="AR322" s="3" t="n">
        <v>4</v>
      </c>
      <c r="AS322" s="3" t="n">
        <v>6</v>
      </c>
      <c r="AT322" s="3" t="n">
        <v>4</v>
      </c>
      <c r="AU322" s="3" t="n">
        <v>4</v>
      </c>
      <c r="AV322" s="3" t="n">
        <v>6</v>
      </c>
      <c r="AW322" s="3" t="n">
        <v>6</v>
      </c>
      <c r="AX322" s="3" t="n">
        <v>3</v>
      </c>
      <c r="AY322" s="3" t="n">
        <v>3</v>
      </c>
      <c r="AZ322" s="3" t="n">
        <v>1</v>
      </c>
      <c r="BA322" s="5" t="n">
        <v>1</v>
      </c>
      <c r="BB322" s="3" t="n">
        <v>1</v>
      </c>
      <c r="BC322" s="3" t="n">
        <v>1</v>
      </c>
      <c r="BD322" s="3" t="n">
        <v>2</v>
      </c>
      <c r="BE322" s="3" t="n">
        <v>3</v>
      </c>
      <c r="BF322" s="3" t="n">
        <v>5</v>
      </c>
      <c r="BG322" s="3" t="n">
        <v>3</v>
      </c>
      <c r="BH322" s="3" t="n">
        <v>4</v>
      </c>
      <c r="BI322" s="3" t="n">
        <v>1</v>
      </c>
      <c r="BJ322" s="3" t="n">
        <v>1</v>
      </c>
    </row>
    <row r="323" customFormat="false" ht="12.75" hidden="false" customHeight="false" outlineLevel="0" collapsed="false">
      <c r="B323" s="2" t="s">
        <v>1801</v>
      </c>
      <c r="C323" s="2" t="s">
        <v>967</v>
      </c>
      <c r="D323" s="2" t="s">
        <v>2744</v>
      </c>
      <c r="E323" s="2" t="n">
        <v>207430</v>
      </c>
      <c r="F323" s="15" t="n">
        <v>44204</v>
      </c>
      <c r="G323" s="15" t="n">
        <v>44211</v>
      </c>
      <c r="H323" s="3" t="n">
        <v>7</v>
      </c>
      <c r="I323" s="3" t="n">
        <v>1</v>
      </c>
      <c r="J323" s="3" t="n">
        <v>59</v>
      </c>
      <c r="K323" s="3" t="n">
        <v>1</v>
      </c>
      <c r="L323" s="3" t="n">
        <v>1</v>
      </c>
      <c r="M323" s="3" t="n">
        <v>1</v>
      </c>
      <c r="N323" s="3" t="n">
        <v>2</v>
      </c>
      <c r="O323" s="3" t="n">
        <v>2</v>
      </c>
      <c r="P323" s="3" t="n">
        <v>2</v>
      </c>
      <c r="Q323" s="3" t="n">
        <v>2</v>
      </c>
      <c r="R323" s="3" t="n">
        <v>2</v>
      </c>
      <c r="S323" s="3" t="n">
        <v>2</v>
      </c>
      <c r="T323" s="4" t="n">
        <v>2</v>
      </c>
      <c r="U323" s="3" t="n">
        <v>2</v>
      </c>
      <c r="V323" s="3" t="n">
        <v>5.09</v>
      </c>
      <c r="W323" s="3" t="n">
        <v>1.69</v>
      </c>
      <c r="X323" s="3" t="n">
        <v>6.89</v>
      </c>
      <c r="Y323" s="3" t="n">
        <v>140</v>
      </c>
      <c r="AA323" s="3" t="n">
        <v>0.34</v>
      </c>
      <c r="AB323" s="3" t="n">
        <v>13.8</v>
      </c>
      <c r="AC323" s="3" t="n">
        <v>1</v>
      </c>
      <c r="AD323" s="3" t="n">
        <v>2</v>
      </c>
      <c r="AE323" s="3" t="n">
        <v>1</v>
      </c>
      <c r="AF323" s="3" t="n">
        <v>1</v>
      </c>
      <c r="AG323" s="3" t="n">
        <v>2</v>
      </c>
      <c r="AH323" s="3" t="n">
        <v>2</v>
      </c>
      <c r="AI323" s="3" t="n">
        <v>1</v>
      </c>
      <c r="AJ323" s="3" t="n">
        <v>2</v>
      </c>
      <c r="AK323" s="3" t="n">
        <v>2</v>
      </c>
      <c r="AL323" s="3" t="n">
        <v>2</v>
      </c>
      <c r="AM323" s="3" t="n">
        <v>2</v>
      </c>
      <c r="AN323" s="3" t="n">
        <v>2</v>
      </c>
      <c r="AO323" s="3" t="n">
        <v>2</v>
      </c>
      <c r="AP323" s="3" t="n">
        <v>3</v>
      </c>
      <c r="AQ323" s="3" t="n">
        <v>4</v>
      </c>
      <c r="AR323" s="3" t="n">
        <v>4</v>
      </c>
      <c r="AS323" s="3" t="n">
        <v>6</v>
      </c>
      <c r="AT323" s="3" t="n">
        <v>4</v>
      </c>
      <c r="AU323" s="3" t="n">
        <v>4</v>
      </c>
      <c r="AV323" s="3" t="n">
        <v>6</v>
      </c>
      <c r="AW323" s="3" t="n">
        <v>6</v>
      </c>
      <c r="AX323" s="3" t="n">
        <v>3</v>
      </c>
      <c r="AY323" s="3" t="n">
        <v>3</v>
      </c>
      <c r="AZ323" s="3" t="n">
        <v>1</v>
      </c>
      <c r="BA323" s="5" t="n">
        <v>1</v>
      </c>
      <c r="BB323" s="3" t="n">
        <v>1</v>
      </c>
      <c r="BC323" s="3" t="n">
        <v>1</v>
      </c>
      <c r="BD323" s="3" t="n">
        <v>4</v>
      </c>
      <c r="BE323" s="3" t="n">
        <v>1</v>
      </c>
      <c r="BF323" s="3" t="n">
        <v>2</v>
      </c>
      <c r="BG323" s="3" t="n">
        <v>1</v>
      </c>
      <c r="BH323" s="3" t="n">
        <v>4</v>
      </c>
      <c r="BI323" s="3" t="n">
        <v>1</v>
      </c>
      <c r="BJ323" s="3" t="n">
        <v>1</v>
      </c>
    </row>
    <row r="324" customFormat="false" ht="12.75" hidden="false" customHeight="false" outlineLevel="0" collapsed="false">
      <c r="B324" s="2" t="s">
        <v>1933</v>
      </c>
      <c r="C324" s="2" t="s">
        <v>1122</v>
      </c>
      <c r="D324" s="2" t="s">
        <v>95</v>
      </c>
      <c r="E324" s="2" t="n">
        <v>177764</v>
      </c>
      <c r="F324" s="15" t="n">
        <v>44197</v>
      </c>
      <c r="G324" s="15" t="n">
        <v>43846</v>
      </c>
      <c r="H324" s="3" t="n">
        <v>15</v>
      </c>
      <c r="I324" s="3" t="n">
        <v>2</v>
      </c>
      <c r="J324" s="3" t="n">
        <v>72</v>
      </c>
      <c r="K324" s="3" t="n">
        <v>1</v>
      </c>
      <c r="L324" s="3" t="n">
        <v>2</v>
      </c>
      <c r="M324" s="3" t="n">
        <v>1</v>
      </c>
      <c r="N324" s="3" t="n">
        <v>1</v>
      </c>
      <c r="O324" s="3" t="n">
        <v>2</v>
      </c>
      <c r="P324" s="3" t="n">
        <v>2</v>
      </c>
      <c r="Q324" s="3" t="n">
        <v>1</v>
      </c>
      <c r="R324" s="3" t="n">
        <v>1</v>
      </c>
      <c r="S324" s="3" t="n">
        <v>2</v>
      </c>
      <c r="T324" s="4" t="n">
        <v>2</v>
      </c>
      <c r="U324" s="3" t="n">
        <v>2</v>
      </c>
      <c r="V324" s="3" t="n">
        <v>3.35</v>
      </c>
      <c r="W324" s="3" t="n">
        <v>1.11</v>
      </c>
      <c r="X324" s="3" t="n">
        <v>7.57</v>
      </c>
      <c r="Y324" s="3" t="n">
        <v>744</v>
      </c>
      <c r="AA324" s="3" t="n">
        <v>0.36</v>
      </c>
      <c r="AB324" s="3" t="n">
        <v>11.4</v>
      </c>
      <c r="AC324" s="3" t="n">
        <v>2</v>
      </c>
      <c r="AD324" s="3" t="n">
        <v>1</v>
      </c>
      <c r="AE324" s="3" t="n">
        <v>1</v>
      </c>
      <c r="AF324" s="3" t="n">
        <v>1</v>
      </c>
      <c r="AG324" s="3" t="n">
        <v>2</v>
      </c>
      <c r="AH324" s="3" t="n">
        <v>2</v>
      </c>
      <c r="AI324" s="3" t="n">
        <v>1</v>
      </c>
      <c r="AJ324" s="3" t="n">
        <v>2</v>
      </c>
      <c r="AK324" s="3" t="n">
        <v>1</v>
      </c>
      <c r="AL324" s="3" t="n">
        <v>1</v>
      </c>
      <c r="AM324" s="3" t="n">
        <v>1</v>
      </c>
      <c r="AN324" s="3" t="n">
        <v>2</v>
      </c>
      <c r="AO324" s="3" t="n">
        <v>2</v>
      </c>
      <c r="AP324" s="3" t="n">
        <v>2</v>
      </c>
      <c r="AQ324" s="3" t="n">
        <v>2</v>
      </c>
      <c r="AR324" s="3" t="n">
        <v>4</v>
      </c>
      <c r="AS324" s="3" t="n">
        <v>6</v>
      </c>
      <c r="AT324" s="3" t="n">
        <v>4</v>
      </c>
      <c r="AU324" s="3" t="n">
        <v>4</v>
      </c>
      <c r="AV324" s="3" t="n">
        <v>1</v>
      </c>
      <c r="AW324" s="3" t="n">
        <v>6</v>
      </c>
      <c r="AX324" s="3" t="n">
        <v>2</v>
      </c>
      <c r="AY324" s="3" t="n">
        <v>1</v>
      </c>
      <c r="AZ324" s="3" t="n">
        <v>1</v>
      </c>
      <c r="BA324" s="5" t="n">
        <v>1</v>
      </c>
      <c r="BB324" s="3" t="n">
        <v>1</v>
      </c>
      <c r="BC324" s="3" t="n">
        <v>1</v>
      </c>
      <c r="BD324" s="3" t="n">
        <v>2</v>
      </c>
      <c r="BE324" s="3" t="n">
        <v>1</v>
      </c>
      <c r="BF324" s="3" t="n">
        <v>2</v>
      </c>
      <c r="BG324" s="3" t="n">
        <v>1</v>
      </c>
      <c r="BH324" s="3" t="n">
        <v>4</v>
      </c>
      <c r="BI324" s="3" t="n">
        <v>1</v>
      </c>
      <c r="BJ324" s="3" t="n">
        <v>1</v>
      </c>
    </row>
    <row r="325" customFormat="false" ht="12.75" hidden="false" customHeight="false" outlineLevel="0" collapsed="false">
      <c r="B325" s="2" t="s">
        <v>1360</v>
      </c>
      <c r="C325" s="2" t="s">
        <v>608</v>
      </c>
      <c r="D325" s="2" t="s">
        <v>2749</v>
      </c>
      <c r="E325" s="2" t="n">
        <v>207635</v>
      </c>
      <c r="F325" s="15" t="n">
        <v>44208</v>
      </c>
      <c r="G325" s="15" t="n">
        <v>44214</v>
      </c>
      <c r="H325" s="3" t="n">
        <v>6</v>
      </c>
      <c r="I325" s="3" t="n">
        <v>1</v>
      </c>
      <c r="J325" s="3" t="n">
        <v>59</v>
      </c>
      <c r="K325" s="3" t="n">
        <v>1</v>
      </c>
      <c r="L325" s="3" t="n">
        <v>1</v>
      </c>
      <c r="M325" s="3" t="n">
        <v>1</v>
      </c>
      <c r="N325" s="3" t="n">
        <v>2</v>
      </c>
      <c r="O325" s="3" t="n">
        <v>2</v>
      </c>
      <c r="P325" s="3" t="n">
        <v>2</v>
      </c>
      <c r="Q325" s="3" t="n">
        <v>2</v>
      </c>
      <c r="R325" s="3" t="n">
        <v>2</v>
      </c>
      <c r="S325" s="3" t="n">
        <v>2</v>
      </c>
      <c r="T325" s="4" t="n">
        <v>2</v>
      </c>
      <c r="U325" s="3" t="n">
        <v>2</v>
      </c>
      <c r="V325" s="3" t="n">
        <v>4.45</v>
      </c>
      <c r="W325" s="3" t="n">
        <v>2.2</v>
      </c>
      <c r="X325" s="3" t="n">
        <v>4.71</v>
      </c>
      <c r="Y325" s="3" t="n">
        <v>387</v>
      </c>
      <c r="AA325" s="3" t="n">
        <v>0.39</v>
      </c>
      <c r="AB325" s="3" t="n">
        <v>11.8</v>
      </c>
      <c r="AC325" s="3" t="n">
        <v>2</v>
      </c>
      <c r="AD325" s="3" t="n">
        <v>2</v>
      </c>
      <c r="AE325" s="3" t="n">
        <v>1</v>
      </c>
      <c r="AF325" s="3" t="n">
        <v>1</v>
      </c>
      <c r="AG325" s="3" t="n">
        <v>1</v>
      </c>
      <c r="AH325" s="3" t="n">
        <v>2</v>
      </c>
      <c r="AI325" s="3" t="n">
        <v>1</v>
      </c>
      <c r="AJ325" s="3" t="n">
        <v>2</v>
      </c>
      <c r="AK325" s="3" t="n">
        <v>2</v>
      </c>
      <c r="AL325" s="3" t="n">
        <v>2</v>
      </c>
      <c r="AM325" s="3" t="n">
        <v>1</v>
      </c>
      <c r="AN325" s="3" t="n">
        <v>2</v>
      </c>
      <c r="AO325" s="3" t="n">
        <v>2</v>
      </c>
      <c r="AP325" s="3" t="n">
        <v>3</v>
      </c>
      <c r="AQ325" s="3" t="n">
        <v>4</v>
      </c>
      <c r="AR325" s="3" t="n">
        <v>4</v>
      </c>
      <c r="AS325" s="3" t="n">
        <v>6</v>
      </c>
      <c r="AT325" s="3" t="n">
        <v>4</v>
      </c>
      <c r="AU325" s="3" t="n">
        <v>4</v>
      </c>
      <c r="AV325" s="3" t="n">
        <v>6</v>
      </c>
      <c r="AW325" s="3" t="n">
        <v>6</v>
      </c>
      <c r="AX325" s="3" t="n">
        <v>3</v>
      </c>
      <c r="AY325" s="3" t="n">
        <v>3</v>
      </c>
      <c r="AZ325" s="3" t="n">
        <v>1</v>
      </c>
      <c r="BA325" s="5" t="n">
        <v>1</v>
      </c>
      <c r="BB325" s="3" t="n">
        <v>1</v>
      </c>
      <c r="BC325" s="3" t="n">
        <v>1</v>
      </c>
      <c r="BD325" s="3" t="n">
        <v>4</v>
      </c>
      <c r="BE325" s="3" t="n">
        <v>1</v>
      </c>
      <c r="BF325" s="3" t="n">
        <v>2</v>
      </c>
      <c r="BG325" s="3" t="n">
        <v>1</v>
      </c>
      <c r="BH325" s="3" t="n">
        <v>4</v>
      </c>
      <c r="BI325" s="3" t="n">
        <v>1</v>
      </c>
      <c r="BJ325" s="3" t="n">
        <v>1</v>
      </c>
    </row>
    <row r="326" customFormat="false" ht="12.75" hidden="false" customHeight="false" outlineLevel="0" collapsed="false">
      <c r="B326" s="2" t="s">
        <v>2758</v>
      </c>
      <c r="C326" s="2" t="s">
        <v>109</v>
      </c>
      <c r="D326" s="2" t="s">
        <v>780</v>
      </c>
      <c r="E326" s="2" t="n">
        <v>207455</v>
      </c>
      <c r="F326" s="15" t="n">
        <v>44208</v>
      </c>
      <c r="G326" s="15" t="n">
        <v>44215</v>
      </c>
      <c r="H326" s="3" t="n">
        <v>7</v>
      </c>
      <c r="I326" s="3" t="n">
        <v>1</v>
      </c>
      <c r="J326" s="3" t="n">
        <v>43</v>
      </c>
      <c r="K326" s="3" t="n">
        <v>1</v>
      </c>
      <c r="L326" s="3" t="n">
        <v>1</v>
      </c>
      <c r="M326" s="3" t="n">
        <v>2</v>
      </c>
      <c r="N326" s="3" t="n">
        <v>2</v>
      </c>
      <c r="O326" s="3" t="n">
        <v>2</v>
      </c>
      <c r="P326" s="3" t="n">
        <v>2</v>
      </c>
      <c r="Q326" s="3" t="n">
        <v>2</v>
      </c>
      <c r="R326" s="3" t="n">
        <v>2</v>
      </c>
      <c r="S326" s="3" t="n">
        <v>2</v>
      </c>
      <c r="T326" s="4" t="n">
        <v>2</v>
      </c>
      <c r="U326" s="3" t="n">
        <v>2</v>
      </c>
      <c r="V326" s="3" t="n">
        <v>4.08</v>
      </c>
      <c r="W326" s="3" t="n">
        <v>1.44</v>
      </c>
      <c r="X326" s="3" t="n">
        <v>5</v>
      </c>
      <c r="Y326" s="3" t="n">
        <v>218</v>
      </c>
      <c r="AA326" s="3" t="n">
        <v>0.38</v>
      </c>
      <c r="AB326" s="3" t="n">
        <v>7.8</v>
      </c>
      <c r="AC326" s="3"/>
      <c r="AD326" s="3" t="n">
        <v>1</v>
      </c>
      <c r="AE326" s="3" t="n">
        <v>1</v>
      </c>
      <c r="AF326" s="3" t="n">
        <v>1</v>
      </c>
      <c r="AG326" s="3" t="n">
        <v>2</v>
      </c>
      <c r="AH326" s="3" t="n">
        <v>2</v>
      </c>
      <c r="AI326" s="3" t="n">
        <v>1</v>
      </c>
      <c r="AJ326" s="3" t="n">
        <v>2</v>
      </c>
      <c r="AK326" s="3" t="n">
        <v>2</v>
      </c>
      <c r="AL326" s="3" t="n">
        <v>2</v>
      </c>
      <c r="AM326" s="3" t="n">
        <v>2</v>
      </c>
      <c r="AN326" s="3" t="n">
        <v>2</v>
      </c>
      <c r="AO326" s="3" t="n">
        <v>2</v>
      </c>
      <c r="AP326" s="3" t="n">
        <v>3</v>
      </c>
      <c r="AQ326" s="3" t="n">
        <v>4</v>
      </c>
      <c r="AR326" s="3" t="n">
        <v>4</v>
      </c>
      <c r="AS326" s="3" t="n">
        <v>6</v>
      </c>
      <c r="AT326" s="3" t="n">
        <v>4</v>
      </c>
      <c r="AU326" s="3" t="n">
        <v>4</v>
      </c>
      <c r="AV326" s="3" t="n">
        <v>6</v>
      </c>
      <c r="AW326" s="3" t="n">
        <v>6</v>
      </c>
      <c r="AX326" s="3" t="n">
        <v>3</v>
      </c>
      <c r="AY326" s="3" t="n">
        <v>3</v>
      </c>
      <c r="AZ326" s="3" t="n">
        <v>1</v>
      </c>
      <c r="BA326" s="5" t="n">
        <v>1</v>
      </c>
      <c r="BB326" s="3" t="n">
        <v>1</v>
      </c>
      <c r="BC326" s="3" t="n">
        <v>1</v>
      </c>
      <c r="BD326" s="3" t="n">
        <v>2</v>
      </c>
      <c r="BE326" s="3" t="n">
        <v>1</v>
      </c>
      <c r="BF326" s="3" t="n">
        <v>2</v>
      </c>
      <c r="BG326" s="3" t="n">
        <v>1</v>
      </c>
      <c r="BH326" s="3" t="n">
        <v>4</v>
      </c>
      <c r="BI326" s="3" t="n">
        <v>1</v>
      </c>
      <c r="BJ326" s="3" t="n">
        <v>1</v>
      </c>
    </row>
    <row r="327" customFormat="false" ht="12.75" hidden="false" customHeight="false" outlineLevel="0" collapsed="false">
      <c r="B327" s="2" t="s">
        <v>2763</v>
      </c>
      <c r="C327" s="2" t="s">
        <v>1830</v>
      </c>
      <c r="D327" s="2" t="s">
        <v>588</v>
      </c>
      <c r="E327" s="2" t="n">
        <v>207661</v>
      </c>
      <c r="F327" s="15" t="n">
        <v>44209</v>
      </c>
      <c r="G327" s="15" t="n">
        <v>44215</v>
      </c>
      <c r="H327" s="3" t="n">
        <v>6</v>
      </c>
      <c r="I327" s="3" t="n">
        <v>1</v>
      </c>
      <c r="J327" s="3" t="n">
        <v>71</v>
      </c>
      <c r="K327" s="3" t="n">
        <v>1</v>
      </c>
      <c r="L327" s="3" t="n">
        <v>1</v>
      </c>
      <c r="M327" s="3" t="n">
        <v>1</v>
      </c>
      <c r="N327" s="3" t="n">
        <v>2</v>
      </c>
      <c r="O327" s="3" t="n">
        <v>2</v>
      </c>
      <c r="P327" s="3" t="n">
        <v>2</v>
      </c>
      <c r="Q327" s="3" t="n">
        <v>2</v>
      </c>
      <c r="R327" s="3" t="n">
        <v>2</v>
      </c>
      <c r="S327" s="3" t="n">
        <v>2</v>
      </c>
      <c r="T327" s="4" t="n">
        <v>2</v>
      </c>
      <c r="U327" s="3" t="n">
        <v>2</v>
      </c>
      <c r="V327" s="3" t="n">
        <v>3.46</v>
      </c>
      <c r="W327" s="3" t="n">
        <v>1.11</v>
      </c>
      <c r="X327" s="3" t="n">
        <v>8.67</v>
      </c>
      <c r="Y327" s="3" t="n">
        <v>257</v>
      </c>
      <c r="AA327" s="3" t="n">
        <v>0.5</v>
      </c>
      <c r="AB327" s="3" t="n">
        <v>15</v>
      </c>
      <c r="AC327" s="3" t="n">
        <v>1</v>
      </c>
      <c r="AD327" s="3" t="n">
        <v>2</v>
      </c>
      <c r="AE327" s="3" t="n">
        <v>1</v>
      </c>
      <c r="AF327" s="3" t="n">
        <v>1</v>
      </c>
      <c r="AG327" s="3" t="n">
        <v>2</v>
      </c>
      <c r="AH327" s="3" t="n">
        <v>2</v>
      </c>
      <c r="AI327" s="3" t="n">
        <v>1</v>
      </c>
      <c r="AJ327" s="3" t="n">
        <v>2</v>
      </c>
      <c r="AK327" s="3" t="n">
        <v>2</v>
      </c>
      <c r="AL327" s="3" t="n">
        <v>2</v>
      </c>
      <c r="AM327" s="3" t="n">
        <v>2</v>
      </c>
      <c r="AN327" s="3" t="n">
        <v>2</v>
      </c>
      <c r="AO327" s="3" t="n">
        <v>2</v>
      </c>
      <c r="AP327" s="3" t="n">
        <v>3</v>
      </c>
      <c r="AQ327" s="3" t="n">
        <v>4</v>
      </c>
      <c r="AR327" s="3" t="n">
        <v>4</v>
      </c>
      <c r="AS327" s="3" t="n">
        <v>6</v>
      </c>
      <c r="AT327" s="3" t="n">
        <v>4</v>
      </c>
      <c r="AU327" s="3" t="n">
        <v>4</v>
      </c>
      <c r="AV327" s="3" t="n">
        <v>6</v>
      </c>
      <c r="AW327" s="3" t="n">
        <v>6</v>
      </c>
      <c r="AX327" s="3" t="n">
        <v>3</v>
      </c>
      <c r="AY327" s="3" t="n">
        <v>3</v>
      </c>
      <c r="AZ327" s="3" t="n">
        <v>1</v>
      </c>
      <c r="BA327" s="5" t="n">
        <v>1</v>
      </c>
      <c r="BB327" s="3" t="n">
        <v>1</v>
      </c>
      <c r="BC327" s="3" t="n">
        <v>1</v>
      </c>
      <c r="BD327" s="3" t="n">
        <v>4</v>
      </c>
      <c r="BE327" s="3" t="n">
        <v>1</v>
      </c>
      <c r="BF327" s="3" t="n">
        <v>2</v>
      </c>
      <c r="BG327" s="3" t="n">
        <v>1</v>
      </c>
      <c r="BH327" s="3" t="n">
        <v>4</v>
      </c>
      <c r="BI327" s="3" t="n">
        <v>1</v>
      </c>
      <c r="BJ327" s="3" t="n">
        <v>1</v>
      </c>
    </row>
    <row r="328" customFormat="false" ht="12.75" hidden="false" customHeight="false" outlineLevel="0" collapsed="false">
      <c r="B328" s="2" t="s">
        <v>187</v>
      </c>
      <c r="C328" s="2" t="s">
        <v>127</v>
      </c>
      <c r="D328" s="2" t="s">
        <v>198</v>
      </c>
      <c r="E328" s="2" t="n">
        <v>207854</v>
      </c>
      <c r="F328" s="15" t="n">
        <v>44212</v>
      </c>
      <c r="G328" s="15" t="n">
        <v>44218</v>
      </c>
      <c r="H328" s="3" t="n">
        <v>6</v>
      </c>
      <c r="I328" s="3" t="n">
        <v>2</v>
      </c>
      <c r="J328" s="3" t="n">
        <v>80</v>
      </c>
      <c r="K328" s="3" t="n">
        <v>1</v>
      </c>
      <c r="L328" s="3" t="n">
        <v>1</v>
      </c>
      <c r="M328" s="3" t="n">
        <v>1</v>
      </c>
      <c r="N328" s="3" t="n">
        <v>2</v>
      </c>
      <c r="O328" s="3" t="n">
        <v>2</v>
      </c>
      <c r="P328" s="3" t="n">
        <v>2</v>
      </c>
      <c r="Q328" s="3" t="n">
        <v>2</v>
      </c>
      <c r="R328" s="3" t="n">
        <v>2</v>
      </c>
      <c r="S328" s="3" t="n">
        <v>2</v>
      </c>
      <c r="T328" s="4" t="n">
        <v>2</v>
      </c>
      <c r="U328" s="3" t="n">
        <v>2</v>
      </c>
      <c r="V328" s="3" t="n">
        <v>5.17</v>
      </c>
      <c r="W328" s="3" t="n">
        <v>1.73</v>
      </c>
      <c r="X328" s="3" t="n">
        <v>5.07</v>
      </c>
      <c r="Y328" s="3" t="n">
        <v>511</v>
      </c>
      <c r="AA328" s="3" t="n">
        <v>0.43</v>
      </c>
      <c r="AB328" s="3" t="n">
        <v>12</v>
      </c>
      <c r="AC328" s="3" t="n">
        <v>2</v>
      </c>
      <c r="AD328" s="3" t="n">
        <v>2</v>
      </c>
      <c r="AE328" s="3" t="n">
        <v>1</v>
      </c>
      <c r="AF328" s="3" t="n">
        <v>1</v>
      </c>
      <c r="AG328" s="3" t="n">
        <v>2</v>
      </c>
      <c r="AH328" s="3" t="n">
        <v>2</v>
      </c>
      <c r="AI328" s="3" t="n">
        <v>1</v>
      </c>
      <c r="AJ328" s="3" t="n">
        <v>2</v>
      </c>
      <c r="AK328" s="3" t="n">
        <v>2</v>
      </c>
      <c r="AL328" s="3" t="n">
        <v>2</v>
      </c>
      <c r="AM328" s="3" t="n">
        <v>1</v>
      </c>
      <c r="AN328" s="3" t="n">
        <v>2</v>
      </c>
      <c r="AO328" s="3" t="n">
        <v>2</v>
      </c>
      <c r="AP328" s="3" t="n">
        <v>3</v>
      </c>
      <c r="AQ328" s="3" t="n">
        <v>4</v>
      </c>
      <c r="AR328" s="3" t="n">
        <v>4</v>
      </c>
      <c r="AS328" s="3" t="n">
        <v>6</v>
      </c>
      <c r="AT328" s="3" t="n">
        <v>4</v>
      </c>
      <c r="AU328" s="3" t="n">
        <v>4</v>
      </c>
      <c r="AV328" s="3" t="n">
        <v>6</v>
      </c>
      <c r="AW328" s="3" t="n">
        <v>6</v>
      </c>
      <c r="AX328" s="3" t="n">
        <v>3</v>
      </c>
      <c r="AY328" s="3" t="n">
        <v>3</v>
      </c>
      <c r="AZ328" s="3" t="n">
        <v>5</v>
      </c>
      <c r="BA328" s="5" t="n">
        <v>1</v>
      </c>
      <c r="BB328" s="3" t="n">
        <v>1</v>
      </c>
      <c r="BC328" s="3" t="n">
        <v>1</v>
      </c>
      <c r="BD328" s="3" t="n">
        <v>4</v>
      </c>
      <c r="BE328" s="3" t="n">
        <v>1</v>
      </c>
      <c r="BF328" s="3" t="n">
        <v>2</v>
      </c>
      <c r="BG328" s="3" t="n">
        <v>1</v>
      </c>
      <c r="BH328" s="3" t="n">
        <v>4</v>
      </c>
      <c r="BI328" s="3" t="n">
        <v>1</v>
      </c>
      <c r="BJ328" s="3" t="n">
        <v>1</v>
      </c>
    </row>
    <row r="329" customFormat="false" ht="12.75" hidden="false" customHeight="false" outlineLevel="0" collapsed="false">
      <c r="B329" s="2" t="s">
        <v>1138</v>
      </c>
      <c r="C329" s="2" t="s">
        <v>561</v>
      </c>
      <c r="D329" s="2" t="s">
        <v>2332</v>
      </c>
      <c r="E329" s="2" t="n">
        <v>207826</v>
      </c>
      <c r="F329" s="15" t="n">
        <v>44211</v>
      </c>
      <c r="G329" s="15" t="n">
        <v>44217</v>
      </c>
      <c r="H329" s="3" t="n">
        <v>6</v>
      </c>
      <c r="I329" s="3" t="n">
        <v>2</v>
      </c>
      <c r="J329" s="3" t="n">
        <v>60</v>
      </c>
      <c r="K329" s="3" t="n">
        <v>2</v>
      </c>
      <c r="L329" s="3" t="n">
        <v>1</v>
      </c>
      <c r="M329" s="3" t="n">
        <v>1</v>
      </c>
      <c r="N329" s="3" t="n">
        <v>1</v>
      </c>
      <c r="O329" s="3" t="n">
        <v>2</v>
      </c>
      <c r="P329" s="3" t="n">
        <v>2</v>
      </c>
      <c r="Q329" s="3" t="n">
        <v>2</v>
      </c>
      <c r="R329" s="3" t="n">
        <v>2</v>
      </c>
      <c r="S329" s="3" t="n">
        <v>2</v>
      </c>
      <c r="T329" s="4" t="n">
        <v>2</v>
      </c>
      <c r="U329" s="3" t="n">
        <v>2</v>
      </c>
      <c r="V329" s="3" t="n">
        <v>5.98</v>
      </c>
      <c r="W329" s="3" t="n">
        <v>1.11</v>
      </c>
      <c r="X329" s="3" t="n">
        <v>6.46</v>
      </c>
      <c r="Y329" s="3" t="n">
        <v>715</v>
      </c>
      <c r="AA329" s="3" t="n">
        <v>0.45</v>
      </c>
      <c r="AB329" s="3" t="n">
        <v>12.2</v>
      </c>
      <c r="AC329" s="3" t="n">
        <v>1</v>
      </c>
      <c r="AD329" s="3" t="n">
        <v>1</v>
      </c>
      <c r="AE329" s="3" t="n">
        <v>1</v>
      </c>
      <c r="AF329" s="3" t="n">
        <v>1</v>
      </c>
      <c r="AG329" s="3" t="n">
        <v>1</v>
      </c>
      <c r="AH329" s="3" t="n">
        <v>1</v>
      </c>
      <c r="AI329" s="3" t="n">
        <v>1</v>
      </c>
      <c r="AJ329" s="3" t="n">
        <v>2</v>
      </c>
      <c r="AK329" s="3" t="n">
        <v>2</v>
      </c>
      <c r="AL329" s="3" t="n">
        <v>2</v>
      </c>
      <c r="AM329" s="3" t="n">
        <v>1</v>
      </c>
      <c r="AN329" s="3" t="n">
        <v>2</v>
      </c>
      <c r="AO329" s="3" t="n">
        <v>2</v>
      </c>
      <c r="AP329" s="3" t="n">
        <v>3</v>
      </c>
      <c r="AQ329" s="3" t="n">
        <v>4</v>
      </c>
      <c r="AR329" s="3" t="n">
        <v>4</v>
      </c>
      <c r="AS329" s="3" t="n">
        <v>6</v>
      </c>
      <c r="AT329" s="3" t="n">
        <v>4</v>
      </c>
      <c r="AU329" s="3" t="n">
        <v>4</v>
      </c>
      <c r="AV329" s="3" t="n">
        <v>6</v>
      </c>
      <c r="AW329" s="3" t="n">
        <v>6</v>
      </c>
      <c r="AX329" s="3" t="n">
        <v>3</v>
      </c>
      <c r="AY329" s="3" t="n">
        <v>3</v>
      </c>
      <c r="AZ329" s="3" t="n">
        <v>1</v>
      </c>
      <c r="BA329" s="5" t="n">
        <v>1</v>
      </c>
      <c r="BB329" s="3" t="n">
        <v>1</v>
      </c>
      <c r="BC329" s="3" t="n">
        <v>1</v>
      </c>
      <c r="BD329" s="3" t="n">
        <v>4</v>
      </c>
      <c r="BE329" s="3" t="n">
        <v>3</v>
      </c>
      <c r="BF329" s="3" t="n">
        <v>5</v>
      </c>
      <c r="BG329" s="3" t="n">
        <v>3</v>
      </c>
      <c r="BH329" s="3" t="n">
        <v>4</v>
      </c>
      <c r="BI329" s="3" t="n">
        <v>1</v>
      </c>
      <c r="BJ329" s="3" t="n">
        <v>1</v>
      </c>
    </row>
    <row r="330" customFormat="false" ht="12.75" hidden="false" customHeight="false" outlineLevel="0" collapsed="false">
      <c r="B330" s="2" t="s">
        <v>2769</v>
      </c>
      <c r="C330" s="2" t="s">
        <v>168</v>
      </c>
      <c r="D330" s="2" t="s">
        <v>522</v>
      </c>
      <c r="E330" s="2" t="n">
        <v>207811</v>
      </c>
      <c r="F330" s="15" t="n">
        <v>44213</v>
      </c>
      <c r="G330" s="15" t="n">
        <v>44218</v>
      </c>
      <c r="H330" s="3" t="n">
        <v>5</v>
      </c>
      <c r="I330" s="3" t="n">
        <v>2</v>
      </c>
      <c r="J330" s="3" t="n">
        <v>68</v>
      </c>
      <c r="K330" s="3" t="n">
        <v>1</v>
      </c>
      <c r="L330" s="3" t="n">
        <v>1</v>
      </c>
      <c r="M330" s="3" t="n">
        <v>1</v>
      </c>
      <c r="N330" s="3" t="n">
        <v>2</v>
      </c>
      <c r="O330" s="3" t="n">
        <v>2</v>
      </c>
      <c r="P330" s="3" t="n">
        <v>2</v>
      </c>
      <c r="Q330" s="3" t="n">
        <v>2</v>
      </c>
      <c r="R330" s="3" t="n">
        <v>2</v>
      </c>
      <c r="S330" s="3" t="n">
        <v>2</v>
      </c>
      <c r="T330" s="4" t="n">
        <v>2</v>
      </c>
      <c r="U330" s="3" t="n">
        <v>2</v>
      </c>
      <c r="V330" s="3" t="n">
        <v>5.36</v>
      </c>
      <c r="W330" s="3" t="n">
        <v>1.51</v>
      </c>
      <c r="X330" s="3" t="n">
        <v>4.87</v>
      </c>
      <c r="Y330" s="3" t="n">
        <v>239</v>
      </c>
      <c r="AA330" s="3" t="n">
        <v>0.45</v>
      </c>
      <c r="AB330" s="3" t="n">
        <v>12</v>
      </c>
      <c r="AC330" s="3" t="n">
        <v>3</v>
      </c>
      <c r="AD330" s="3" t="n">
        <v>2</v>
      </c>
      <c r="AE330" s="3" t="n">
        <v>1</v>
      </c>
      <c r="AF330" s="3" t="n">
        <v>1</v>
      </c>
      <c r="AG330" s="3" t="n">
        <v>2</v>
      </c>
      <c r="AH330" s="3" t="n">
        <v>2</v>
      </c>
      <c r="AI330" s="3" t="n">
        <v>1</v>
      </c>
      <c r="AJ330" s="3" t="n">
        <v>2</v>
      </c>
      <c r="AK330" s="3" t="n">
        <v>2</v>
      </c>
      <c r="AL330" s="3" t="n">
        <v>2</v>
      </c>
      <c r="AM330" s="3" t="n">
        <v>1</v>
      </c>
      <c r="AN330" s="3" t="n">
        <v>2</v>
      </c>
      <c r="AO330" s="3" t="n">
        <v>2</v>
      </c>
      <c r="AP330" s="3" t="n">
        <v>3</v>
      </c>
      <c r="AQ330" s="3" t="n">
        <v>4</v>
      </c>
      <c r="AR330" s="3" t="n">
        <v>4</v>
      </c>
      <c r="AS330" s="3" t="n">
        <v>6</v>
      </c>
      <c r="AT330" s="3" t="n">
        <v>4</v>
      </c>
      <c r="AU330" s="3" t="n">
        <v>4</v>
      </c>
      <c r="AV330" s="3" t="n">
        <v>6</v>
      </c>
      <c r="AW330" s="3" t="n">
        <v>6</v>
      </c>
      <c r="AX330" s="3" t="n">
        <v>3</v>
      </c>
      <c r="AY330" s="3" t="n">
        <v>3</v>
      </c>
      <c r="AZ330" s="3" t="n">
        <v>1</v>
      </c>
      <c r="BA330" s="5" t="n">
        <v>1</v>
      </c>
      <c r="BB330" s="3" t="n">
        <v>1</v>
      </c>
      <c r="BC330" s="3" t="n">
        <v>1</v>
      </c>
      <c r="BD330" s="3" t="n">
        <v>2</v>
      </c>
      <c r="BE330" s="3" t="n">
        <v>1</v>
      </c>
      <c r="BF330" s="3" t="n">
        <v>2</v>
      </c>
      <c r="BG330" s="3" t="n">
        <v>1</v>
      </c>
      <c r="BH330" s="3" t="n">
        <v>4</v>
      </c>
      <c r="BI330" s="3" t="n">
        <v>1</v>
      </c>
      <c r="BJ330" s="3" t="n">
        <v>1</v>
      </c>
    </row>
    <row r="331" customFormat="false" ht="12.75" hidden="false" customHeight="false" outlineLevel="0" collapsed="false">
      <c r="B331" s="26" t="s">
        <v>137</v>
      </c>
      <c r="C331" s="26" t="s">
        <v>2771</v>
      </c>
      <c r="D331" s="26" t="s">
        <v>2772</v>
      </c>
      <c r="E331" s="26" t="n">
        <v>208224</v>
      </c>
      <c r="F331" s="27" t="n">
        <v>44214</v>
      </c>
      <c r="G331" s="27" t="n">
        <v>44218</v>
      </c>
      <c r="H331" s="30" t="n">
        <v>4</v>
      </c>
      <c r="I331" s="30" t="n">
        <v>1</v>
      </c>
      <c r="J331" s="30" t="n">
        <v>69</v>
      </c>
      <c r="K331" s="30" t="n">
        <v>2</v>
      </c>
      <c r="L331" s="30" t="n">
        <v>2</v>
      </c>
      <c r="M331" s="30" t="n">
        <v>1</v>
      </c>
      <c r="N331" s="30" t="n">
        <v>2</v>
      </c>
      <c r="O331" s="30" t="n">
        <v>2</v>
      </c>
      <c r="P331" s="30" t="n">
        <v>2</v>
      </c>
      <c r="Q331" s="30" t="n">
        <v>2</v>
      </c>
      <c r="R331" s="30" t="n">
        <v>2</v>
      </c>
      <c r="S331" s="30" t="n">
        <v>2</v>
      </c>
      <c r="T331" s="4" t="n">
        <v>2</v>
      </c>
      <c r="U331" s="30" t="n">
        <v>2</v>
      </c>
      <c r="V331" s="30"/>
      <c r="W331" s="30"/>
      <c r="X331" s="30"/>
      <c r="Y331" s="30"/>
      <c r="AA331" s="30"/>
      <c r="AB331" s="30"/>
      <c r="AC331" s="30" t="n">
        <v>1</v>
      </c>
      <c r="AD331" s="30" t="n">
        <v>2</v>
      </c>
      <c r="AE331" s="30" t="n">
        <v>1</v>
      </c>
      <c r="AF331" s="30" t="n">
        <v>1</v>
      </c>
      <c r="AG331" s="30" t="n">
        <v>2</v>
      </c>
      <c r="AH331" s="30" t="n">
        <v>2</v>
      </c>
      <c r="AI331" s="30" t="n">
        <v>1</v>
      </c>
      <c r="AJ331" s="30" t="n">
        <v>2</v>
      </c>
      <c r="AK331" s="30" t="n">
        <v>2</v>
      </c>
      <c r="AL331" s="30" t="n">
        <v>2</v>
      </c>
      <c r="AM331" s="30" t="n">
        <v>1</v>
      </c>
      <c r="AN331" s="30" t="n">
        <v>2</v>
      </c>
      <c r="AO331" s="30" t="n">
        <v>2</v>
      </c>
      <c r="AP331" s="30" t="n">
        <v>3</v>
      </c>
      <c r="AQ331" s="30" t="n">
        <v>4</v>
      </c>
      <c r="AR331" s="30" t="n">
        <v>4</v>
      </c>
      <c r="AS331" s="30" t="n">
        <v>6</v>
      </c>
      <c r="AT331" s="30" t="n">
        <v>4</v>
      </c>
      <c r="AU331" s="30" t="n">
        <v>4</v>
      </c>
      <c r="AV331" s="30" t="n">
        <v>6</v>
      </c>
      <c r="AW331" s="30" t="n">
        <v>6</v>
      </c>
      <c r="AX331" s="30" t="n">
        <v>3</v>
      </c>
      <c r="AY331" s="30" t="n">
        <v>3</v>
      </c>
      <c r="AZ331" s="30" t="n">
        <v>4</v>
      </c>
      <c r="BA331" s="5" t="n">
        <v>1</v>
      </c>
      <c r="BB331" s="30" t="n">
        <v>1</v>
      </c>
      <c r="BC331" s="30" t="n">
        <v>2</v>
      </c>
      <c r="BD331" s="30" t="n">
        <v>4</v>
      </c>
      <c r="BE331" s="30" t="n">
        <v>3</v>
      </c>
      <c r="BF331" s="30" t="n">
        <v>5</v>
      </c>
      <c r="BG331" s="30" t="n">
        <v>3</v>
      </c>
      <c r="BH331" s="30" t="n">
        <v>4</v>
      </c>
      <c r="BI331" s="30" t="n">
        <v>1</v>
      </c>
      <c r="BJ331" s="30" t="n">
        <v>1</v>
      </c>
    </row>
    <row r="332" customFormat="false" ht="12.75" hidden="false" customHeight="false" outlineLevel="0" collapsed="false">
      <c r="B332" s="2" t="s">
        <v>1078</v>
      </c>
      <c r="C332" s="2" t="s">
        <v>221</v>
      </c>
      <c r="D332" s="2" t="s">
        <v>611</v>
      </c>
      <c r="E332" s="2" t="n">
        <v>207869</v>
      </c>
      <c r="F332" s="15" t="n">
        <v>44213</v>
      </c>
      <c r="G332" s="15" t="n">
        <v>44220</v>
      </c>
      <c r="H332" s="3" t="n">
        <v>7</v>
      </c>
      <c r="I332" s="3" t="n">
        <v>2</v>
      </c>
      <c r="J332" s="3" t="n">
        <v>52</v>
      </c>
      <c r="K332" s="3" t="n">
        <v>2</v>
      </c>
      <c r="L332" s="3" t="n">
        <v>2</v>
      </c>
      <c r="M332" s="3" t="n">
        <v>1</v>
      </c>
      <c r="N332" s="3" t="n">
        <v>2</v>
      </c>
      <c r="O332" s="3" t="n">
        <v>2</v>
      </c>
      <c r="P332" s="3" t="n">
        <v>2</v>
      </c>
      <c r="Q332" s="3" t="n">
        <v>2</v>
      </c>
      <c r="R332" s="3" t="n">
        <v>2</v>
      </c>
      <c r="S332" s="3" t="n">
        <v>2</v>
      </c>
      <c r="T332" s="4" t="n">
        <v>2</v>
      </c>
      <c r="U332" s="3" t="n">
        <v>2</v>
      </c>
      <c r="V332" s="3" t="n">
        <v>5.93</v>
      </c>
      <c r="W332" s="3" t="n">
        <v>1.35</v>
      </c>
      <c r="X332" s="3" t="n">
        <v>6.73</v>
      </c>
      <c r="Y332" s="3" t="n">
        <v>292</v>
      </c>
      <c r="AA332" s="3" t="n">
        <v>0.5</v>
      </c>
      <c r="AB332" s="3" t="n">
        <v>13.1</v>
      </c>
      <c r="AC332" s="3" t="n">
        <v>1</v>
      </c>
      <c r="AD332" s="3" t="n">
        <v>1</v>
      </c>
      <c r="AE332" s="3" t="n">
        <v>1</v>
      </c>
      <c r="AF332" s="3" t="n">
        <v>1</v>
      </c>
      <c r="AG332" s="3" t="n">
        <v>2</v>
      </c>
      <c r="AH332" s="3" t="n">
        <v>1</v>
      </c>
      <c r="AI332" s="3" t="n">
        <v>1</v>
      </c>
      <c r="AJ332" s="3" t="n">
        <v>2</v>
      </c>
      <c r="AK332" s="3" t="n">
        <v>2</v>
      </c>
      <c r="AL332" s="3" t="n">
        <v>2</v>
      </c>
      <c r="AM332" s="3" t="n">
        <v>1</v>
      </c>
      <c r="AN332" s="3" t="n">
        <v>2</v>
      </c>
      <c r="AO332" s="3" t="n">
        <v>2</v>
      </c>
      <c r="AP332" s="3" t="n">
        <v>3</v>
      </c>
      <c r="AQ332" s="3" t="n">
        <v>4</v>
      </c>
      <c r="AR332" s="3" t="n">
        <v>4</v>
      </c>
      <c r="AS332" s="3" t="n">
        <v>6</v>
      </c>
      <c r="AT332" s="3" t="n">
        <v>4</v>
      </c>
      <c r="AU332" s="3" t="n">
        <v>4</v>
      </c>
      <c r="AV332" s="3" t="n">
        <v>6</v>
      </c>
      <c r="AW332" s="3" t="n">
        <v>6</v>
      </c>
      <c r="AX332" s="3" t="n">
        <v>3</v>
      </c>
      <c r="AY332" s="3" t="n">
        <v>3</v>
      </c>
      <c r="AZ332" s="3" t="n">
        <v>1</v>
      </c>
      <c r="BA332" s="5" t="n">
        <v>1</v>
      </c>
      <c r="BB332" s="3" t="n">
        <v>1</v>
      </c>
      <c r="BC332" s="3" t="n">
        <v>1</v>
      </c>
      <c r="BD332" s="3" t="n">
        <v>4</v>
      </c>
      <c r="BE332" s="3" t="n">
        <v>3</v>
      </c>
      <c r="BF332" s="3" t="n">
        <v>5</v>
      </c>
      <c r="BG332" s="3" t="n">
        <v>3</v>
      </c>
      <c r="BH332" s="3" t="n">
        <v>4</v>
      </c>
      <c r="BI332" s="3" t="n">
        <v>1</v>
      </c>
      <c r="BJ332" s="3" t="n">
        <v>1</v>
      </c>
    </row>
    <row r="333" customFormat="false" ht="12.75" hidden="false" customHeight="false" outlineLevel="0" collapsed="false">
      <c r="B333" s="2" t="s">
        <v>2778</v>
      </c>
      <c r="C333" s="2" t="s">
        <v>2779</v>
      </c>
      <c r="D333" s="2" t="s">
        <v>232</v>
      </c>
      <c r="E333" s="2" t="n">
        <v>207892</v>
      </c>
      <c r="F333" s="15" t="n">
        <v>44214</v>
      </c>
      <c r="G333" s="15" t="n">
        <v>44221</v>
      </c>
      <c r="H333" s="3" t="n">
        <v>7</v>
      </c>
      <c r="I333" s="3" t="n">
        <v>2</v>
      </c>
      <c r="J333" s="3" t="n">
        <v>70</v>
      </c>
      <c r="K333" s="3" t="n">
        <v>1</v>
      </c>
      <c r="L333" s="3" t="n">
        <v>1</v>
      </c>
      <c r="M333" s="3" t="n">
        <v>1</v>
      </c>
      <c r="N333" s="3" t="n">
        <v>1</v>
      </c>
      <c r="O333" s="3" t="n">
        <v>2</v>
      </c>
      <c r="P333" s="3" t="n">
        <v>2</v>
      </c>
      <c r="Q333" s="3" t="n">
        <v>1</v>
      </c>
      <c r="R333" s="3" t="n">
        <v>2</v>
      </c>
      <c r="S333" s="3" t="n">
        <v>2</v>
      </c>
      <c r="T333" s="4" t="n">
        <v>2</v>
      </c>
      <c r="U333" s="3" t="n">
        <v>2</v>
      </c>
      <c r="V333" s="3" t="n">
        <v>4.92</v>
      </c>
      <c r="W333" s="3" t="n">
        <v>1.78</v>
      </c>
      <c r="X333" s="3" t="n">
        <v>6.35</v>
      </c>
      <c r="Y333" s="3" t="n">
        <v>417</v>
      </c>
      <c r="AA333" s="3" t="n">
        <v>0.44</v>
      </c>
      <c r="AB333" s="3" t="n">
        <v>10.4</v>
      </c>
      <c r="AC333" s="3" t="n">
        <v>1</v>
      </c>
      <c r="AD333" s="3" t="n">
        <v>2</v>
      </c>
      <c r="AE333" s="3" t="n">
        <v>1</v>
      </c>
      <c r="AF333" s="3" t="n">
        <v>1</v>
      </c>
      <c r="AG333" s="3" t="n">
        <v>2</v>
      </c>
      <c r="AH333" s="3" t="n">
        <v>1</v>
      </c>
      <c r="AI333" s="3" t="n">
        <v>1</v>
      </c>
      <c r="AJ333" s="3" t="n">
        <v>2</v>
      </c>
      <c r="AK333" s="3" t="n">
        <v>2</v>
      </c>
      <c r="AL333" s="3" t="n">
        <v>2</v>
      </c>
      <c r="AM333" s="3" t="n">
        <v>2</v>
      </c>
      <c r="AN333" s="3" t="n">
        <v>2</v>
      </c>
      <c r="AO333" s="3" t="n">
        <v>2</v>
      </c>
      <c r="AP333" s="3" t="n">
        <v>3</v>
      </c>
      <c r="AQ333" s="3" t="n">
        <v>4</v>
      </c>
      <c r="AR333" s="3" t="n">
        <v>4</v>
      </c>
      <c r="AS333" s="3" t="n">
        <v>6</v>
      </c>
      <c r="AT333" s="3" t="n">
        <v>4</v>
      </c>
      <c r="AU333" s="3" t="n">
        <v>4</v>
      </c>
      <c r="AV333" s="3" t="n">
        <v>6</v>
      </c>
      <c r="AW333" s="3" t="n">
        <v>6</v>
      </c>
      <c r="AX333" s="3" t="n">
        <v>3</v>
      </c>
      <c r="AY333" s="3" t="n">
        <v>3</v>
      </c>
      <c r="AZ333" s="3" t="n">
        <v>1</v>
      </c>
      <c r="BA333" s="5" t="n">
        <v>1</v>
      </c>
      <c r="BB333" s="3" t="n">
        <v>1</v>
      </c>
      <c r="BC333" s="3" t="n">
        <v>1</v>
      </c>
      <c r="BD333" s="3" t="n">
        <v>4</v>
      </c>
      <c r="BE333" s="3" t="n">
        <v>1</v>
      </c>
      <c r="BF333" s="3" t="n">
        <v>2</v>
      </c>
      <c r="BG333" s="3" t="n">
        <v>1</v>
      </c>
      <c r="BH333" s="3" t="n">
        <v>4</v>
      </c>
      <c r="BI333" s="3" t="n">
        <v>1</v>
      </c>
      <c r="BJ333" s="3" t="n">
        <v>1</v>
      </c>
    </row>
    <row r="334" customFormat="false" ht="12.75" hidden="false" customHeight="false" outlineLevel="0" collapsed="false">
      <c r="B334" s="2" t="s">
        <v>2784</v>
      </c>
      <c r="C334" s="2" t="s">
        <v>2785</v>
      </c>
      <c r="D334" s="2" t="s">
        <v>2592</v>
      </c>
      <c r="E334" s="2" t="n">
        <v>208255</v>
      </c>
      <c r="F334" s="15" t="n">
        <v>44216</v>
      </c>
      <c r="G334" s="15" t="n">
        <v>44223</v>
      </c>
      <c r="H334" s="3" t="n">
        <v>7</v>
      </c>
      <c r="I334" s="3" t="n">
        <v>2</v>
      </c>
      <c r="J334" s="3" t="n">
        <v>63</v>
      </c>
      <c r="K334" s="3" t="n">
        <v>1</v>
      </c>
      <c r="L334" s="3" t="n">
        <v>2</v>
      </c>
      <c r="M334" s="3" t="n">
        <v>1</v>
      </c>
      <c r="N334" s="3" t="n">
        <v>2</v>
      </c>
      <c r="O334" s="3" t="n">
        <v>2</v>
      </c>
      <c r="P334" s="3" t="n">
        <v>2</v>
      </c>
      <c r="Q334" s="3" t="n">
        <v>2</v>
      </c>
      <c r="R334" s="3" t="n">
        <v>2</v>
      </c>
      <c r="S334" s="3" t="n">
        <v>2</v>
      </c>
      <c r="T334" s="4" t="n">
        <v>2</v>
      </c>
      <c r="U334" s="3" t="n">
        <v>2</v>
      </c>
      <c r="V334" s="3" t="n">
        <v>6.27</v>
      </c>
      <c r="W334" s="3" t="n">
        <v>2.35</v>
      </c>
      <c r="X334" s="3" t="n">
        <v>10.73</v>
      </c>
      <c r="Y334" s="3" t="n">
        <v>663</v>
      </c>
      <c r="AA334" s="3" t="n">
        <v>0.52</v>
      </c>
      <c r="AB334" s="3" t="n">
        <v>10</v>
      </c>
      <c r="AC334" s="3" t="n">
        <v>1</v>
      </c>
      <c r="AD334" s="3" t="n">
        <v>2</v>
      </c>
      <c r="AE334" s="3" t="n">
        <v>1</v>
      </c>
      <c r="AF334" s="3" t="n">
        <v>1</v>
      </c>
      <c r="AG334" s="3" t="n">
        <v>1</v>
      </c>
      <c r="AH334" s="3" t="n">
        <v>2</v>
      </c>
      <c r="AI334" s="3" t="n">
        <v>1</v>
      </c>
      <c r="AJ334" s="3" t="n">
        <v>2</v>
      </c>
      <c r="AK334" s="3" t="n">
        <v>2</v>
      </c>
      <c r="AL334" s="3" t="n">
        <v>2</v>
      </c>
      <c r="AM334" s="3" t="n">
        <v>2</v>
      </c>
      <c r="AN334" s="3" t="n">
        <v>2</v>
      </c>
      <c r="AO334" s="3" t="n">
        <v>2</v>
      </c>
      <c r="AP334" s="3" t="n">
        <v>3</v>
      </c>
      <c r="AQ334" s="3" t="n">
        <v>4</v>
      </c>
      <c r="AR334" s="3" t="n">
        <v>4</v>
      </c>
      <c r="AS334" s="3" t="n">
        <v>6</v>
      </c>
      <c r="AT334" s="3" t="n">
        <v>4</v>
      </c>
      <c r="AU334" s="3" t="n">
        <v>4</v>
      </c>
      <c r="AV334" s="3" t="n">
        <v>6</v>
      </c>
      <c r="AW334" s="3" t="n">
        <v>6</v>
      </c>
      <c r="AX334" s="3" t="n">
        <v>3</v>
      </c>
      <c r="AY334" s="3" t="n">
        <v>3</v>
      </c>
      <c r="AZ334" s="3" t="n">
        <v>1</v>
      </c>
      <c r="BA334" s="5" t="n">
        <v>1</v>
      </c>
      <c r="BB334" s="3" t="n">
        <v>1</v>
      </c>
      <c r="BC334" s="3" t="n">
        <v>1</v>
      </c>
      <c r="BD334" s="3" t="n">
        <v>2</v>
      </c>
      <c r="BE334" s="3" t="n">
        <v>3</v>
      </c>
      <c r="BF334" s="3" t="n">
        <v>5</v>
      </c>
      <c r="BG334" s="3" t="n">
        <v>3</v>
      </c>
      <c r="BH334" s="3" t="n">
        <v>4</v>
      </c>
      <c r="BI334" s="3" t="n">
        <v>1</v>
      </c>
      <c r="BJ334" s="3" t="n">
        <v>1</v>
      </c>
    </row>
    <row r="335" customFormat="false" ht="12.75" hidden="false" customHeight="false" outlineLevel="0" collapsed="false">
      <c r="B335" s="2" t="s">
        <v>2760</v>
      </c>
      <c r="C335" s="2" t="s">
        <v>2236</v>
      </c>
      <c r="D335" s="2" t="s">
        <v>2761</v>
      </c>
      <c r="E335" s="2" t="n">
        <v>208207</v>
      </c>
      <c r="F335" s="15" t="n">
        <v>44221</v>
      </c>
      <c r="G335" s="15" t="n">
        <v>44224</v>
      </c>
      <c r="H335" s="3" t="n">
        <v>3</v>
      </c>
      <c r="I335" s="3" t="n">
        <v>2</v>
      </c>
      <c r="J335" s="3" t="n">
        <v>65</v>
      </c>
      <c r="K335" s="3" t="n">
        <v>2</v>
      </c>
      <c r="L335" s="3" t="n">
        <v>1</v>
      </c>
      <c r="M335" s="3" t="n">
        <v>1</v>
      </c>
      <c r="N335" s="3" t="n">
        <v>2</v>
      </c>
      <c r="O335" s="3" t="n">
        <v>2</v>
      </c>
      <c r="P335" s="3" t="n">
        <v>2</v>
      </c>
      <c r="Q335" s="3" t="n">
        <v>2</v>
      </c>
      <c r="R335" s="3" t="n">
        <v>2</v>
      </c>
      <c r="S335" s="3" t="n">
        <v>2</v>
      </c>
      <c r="T335" s="4" t="n">
        <v>2</v>
      </c>
      <c r="U335" s="3" t="n">
        <v>2</v>
      </c>
      <c r="V335" s="3" t="n">
        <v>3.41</v>
      </c>
      <c r="W335" s="3" t="n">
        <v>1.46</v>
      </c>
      <c r="X335" s="3" t="n">
        <v>4.13</v>
      </c>
      <c r="Y335" s="3" t="n">
        <v>464</v>
      </c>
      <c r="AA335" s="3" t="n">
        <v>0.44</v>
      </c>
      <c r="AB335" s="3" t="n">
        <v>9.4</v>
      </c>
      <c r="AC335" s="3" t="n">
        <v>3</v>
      </c>
      <c r="AD335" s="3" t="n">
        <v>1</v>
      </c>
      <c r="AE335" s="3" t="n">
        <v>1</v>
      </c>
      <c r="AF335" s="3" t="n">
        <v>1</v>
      </c>
      <c r="AG335" s="3" t="n">
        <v>2</v>
      </c>
      <c r="AH335" s="3" t="n">
        <v>2</v>
      </c>
      <c r="AI335" s="3" t="n">
        <v>1</v>
      </c>
      <c r="AJ335" s="3" t="n">
        <v>2</v>
      </c>
      <c r="AK335" s="3" t="n">
        <v>2</v>
      </c>
      <c r="AL335" s="3" t="n">
        <v>2</v>
      </c>
      <c r="AM335" s="3" t="n">
        <v>2</v>
      </c>
      <c r="AN335" s="3" t="n">
        <v>2</v>
      </c>
      <c r="AO335" s="3" t="n">
        <v>2</v>
      </c>
      <c r="AP335" s="3" t="n">
        <v>2</v>
      </c>
      <c r="AQ335" s="3" t="n">
        <v>2</v>
      </c>
      <c r="AR335" s="3" t="n">
        <v>2</v>
      </c>
      <c r="AS335" s="3" t="n">
        <v>4</v>
      </c>
      <c r="AT335" s="3" t="n">
        <v>1</v>
      </c>
      <c r="AU335" s="3" t="n">
        <v>1</v>
      </c>
      <c r="AV335" s="3" t="n">
        <v>1</v>
      </c>
      <c r="AW335" s="3" t="n">
        <v>1</v>
      </c>
      <c r="AX335" s="3" t="n">
        <v>2</v>
      </c>
      <c r="AY335" s="3" t="n">
        <v>2</v>
      </c>
      <c r="AZ335" s="3" t="n">
        <v>1</v>
      </c>
      <c r="BA335" s="5" t="n">
        <v>1</v>
      </c>
      <c r="BB335" s="3" t="n">
        <v>1</v>
      </c>
      <c r="BC335" s="3" t="n">
        <v>1</v>
      </c>
      <c r="BD335" s="3" t="n">
        <v>4</v>
      </c>
      <c r="BE335" s="3" t="n">
        <v>3</v>
      </c>
      <c r="BF335" s="3" t="n">
        <v>5</v>
      </c>
      <c r="BG335" s="3" t="n">
        <v>3</v>
      </c>
      <c r="BH335" s="3" t="n">
        <v>4</v>
      </c>
      <c r="BI335" s="3" t="n">
        <v>1</v>
      </c>
      <c r="BJ335" s="3" t="n">
        <v>1</v>
      </c>
    </row>
    <row r="336" customFormat="false" ht="12.75" hidden="false" customHeight="false" outlineLevel="0" collapsed="false">
      <c r="B336" s="2" t="s">
        <v>2790</v>
      </c>
      <c r="C336" s="2" t="s">
        <v>197</v>
      </c>
      <c r="D336" s="2" t="s">
        <v>94</v>
      </c>
      <c r="E336" s="2" t="n">
        <v>208284</v>
      </c>
      <c r="F336" s="15" t="n">
        <v>44217</v>
      </c>
      <c r="G336" s="15" t="n">
        <v>44224</v>
      </c>
      <c r="H336" s="3" t="n">
        <v>7</v>
      </c>
      <c r="I336" s="3" t="n">
        <v>1</v>
      </c>
      <c r="J336" s="3" t="n">
        <v>65</v>
      </c>
      <c r="K336" s="3" t="n">
        <v>1</v>
      </c>
      <c r="L336" s="3" t="n">
        <v>1</v>
      </c>
      <c r="M336" s="3" t="n">
        <v>1</v>
      </c>
      <c r="N336" s="3" t="n">
        <v>2</v>
      </c>
      <c r="O336" s="3" t="n">
        <v>2</v>
      </c>
      <c r="P336" s="3" t="n">
        <v>2</v>
      </c>
      <c r="Q336" s="3" t="n">
        <v>2</v>
      </c>
      <c r="R336" s="3" t="n">
        <v>2</v>
      </c>
      <c r="S336" s="3" t="n">
        <v>2</v>
      </c>
      <c r="T336" s="4" t="n">
        <v>2</v>
      </c>
      <c r="U336" s="3" t="n">
        <v>2</v>
      </c>
      <c r="V336" s="3" t="n">
        <v>4.83</v>
      </c>
      <c r="W336" s="3" t="n">
        <v>2.17</v>
      </c>
      <c r="X336" s="3" t="n">
        <v>5.41</v>
      </c>
      <c r="Y336" s="3" t="n">
        <v>394</v>
      </c>
      <c r="AA336" s="3" t="n">
        <v>0.41</v>
      </c>
      <c r="AB336" s="3" t="n">
        <v>7.9</v>
      </c>
      <c r="AC336" s="3" t="n">
        <v>1</v>
      </c>
      <c r="AD336" s="3" t="n">
        <v>2</v>
      </c>
      <c r="AE336" s="3" t="n">
        <v>1</v>
      </c>
      <c r="AF336" s="3" t="n">
        <v>1</v>
      </c>
      <c r="AG336" s="3" t="n">
        <v>2</v>
      </c>
      <c r="AH336" s="3" t="n">
        <v>2</v>
      </c>
      <c r="AI336" s="3" t="n">
        <v>1</v>
      </c>
      <c r="AJ336" s="3" t="n">
        <v>2</v>
      </c>
      <c r="AK336" s="3" t="n">
        <v>2</v>
      </c>
      <c r="AL336" s="3" t="n">
        <v>2</v>
      </c>
      <c r="AM336" s="3" t="n">
        <v>2</v>
      </c>
      <c r="AN336" s="3" t="n">
        <v>2</v>
      </c>
      <c r="AO336" s="3" t="n">
        <v>2</v>
      </c>
      <c r="AP336" s="3" t="n">
        <v>3</v>
      </c>
      <c r="AQ336" s="3" t="n">
        <v>4</v>
      </c>
      <c r="AR336" s="3" t="n">
        <v>4</v>
      </c>
      <c r="AS336" s="3" t="n">
        <v>6</v>
      </c>
      <c r="AT336" s="3" t="n">
        <v>4</v>
      </c>
      <c r="AU336" s="3" t="n">
        <v>4</v>
      </c>
      <c r="AV336" s="3" t="n">
        <v>6</v>
      </c>
      <c r="AW336" s="3" t="n">
        <v>6</v>
      </c>
      <c r="AX336" s="3" t="n">
        <v>3</v>
      </c>
      <c r="AY336" s="3" t="n">
        <v>3</v>
      </c>
      <c r="AZ336" s="3" t="n">
        <v>1</v>
      </c>
      <c r="BA336" s="5" t="n">
        <v>1</v>
      </c>
      <c r="BB336" s="3" t="n">
        <v>1</v>
      </c>
      <c r="BC336" s="3" t="n">
        <v>1</v>
      </c>
      <c r="BD336" s="3" t="n">
        <v>2</v>
      </c>
      <c r="BE336" s="3" t="n">
        <v>3</v>
      </c>
      <c r="BF336" s="3" t="n">
        <v>5</v>
      </c>
      <c r="BG336" s="3" t="n">
        <v>3</v>
      </c>
      <c r="BH336" s="3" t="n">
        <v>4</v>
      </c>
      <c r="BI336" s="3" t="n">
        <v>1</v>
      </c>
      <c r="BJ336" s="3" t="n">
        <v>1</v>
      </c>
    </row>
    <row r="337" customFormat="false" ht="12.75" hidden="false" customHeight="false" outlineLevel="0" collapsed="false">
      <c r="B337" s="2" t="s">
        <v>1601</v>
      </c>
      <c r="C337" s="2" t="s">
        <v>197</v>
      </c>
      <c r="D337" s="2" t="s">
        <v>118</v>
      </c>
      <c r="E337" s="2" t="n">
        <v>208628</v>
      </c>
      <c r="F337" s="15" t="n">
        <v>44220</v>
      </c>
      <c r="G337" s="15" t="n">
        <v>44228</v>
      </c>
      <c r="H337" s="3" t="n">
        <v>8</v>
      </c>
      <c r="I337" s="3" t="n">
        <v>2</v>
      </c>
      <c r="J337" s="3" t="n">
        <v>71</v>
      </c>
      <c r="K337" s="3" t="n">
        <v>1</v>
      </c>
      <c r="L337" s="3" t="n">
        <v>1</v>
      </c>
      <c r="M337" s="3" t="n">
        <v>1</v>
      </c>
      <c r="N337" s="3" t="n">
        <v>2</v>
      </c>
      <c r="O337" s="3" t="n">
        <v>2</v>
      </c>
      <c r="P337" s="3" t="n">
        <v>2</v>
      </c>
      <c r="Q337" s="3" t="n">
        <v>1</v>
      </c>
      <c r="R337" s="3" t="n">
        <v>2</v>
      </c>
      <c r="S337" s="3" t="n">
        <v>2</v>
      </c>
      <c r="T337" s="4" t="n">
        <v>1</v>
      </c>
      <c r="U337" s="3" t="n">
        <v>1</v>
      </c>
      <c r="V337" s="3" t="n">
        <v>4.81</v>
      </c>
      <c r="W337" s="3" t="n">
        <v>1.74</v>
      </c>
      <c r="X337" s="3" t="n">
        <v>10.46</v>
      </c>
      <c r="Y337" s="3" t="n">
        <v>487</v>
      </c>
      <c r="AA337" s="3" t="n">
        <v>0.55</v>
      </c>
      <c r="AB337" s="3" t="n">
        <v>10.6</v>
      </c>
      <c r="AC337" s="3" t="n">
        <v>1</v>
      </c>
      <c r="AD337" s="3" t="n">
        <v>1</v>
      </c>
      <c r="AE337" s="3" t="n">
        <v>1</v>
      </c>
      <c r="AF337" s="3" t="n">
        <v>1</v>
      </c>
      <c r="AG337" s="3" t="n">
        <v>1</v>
      </c>
      <c r="AH337" s="3" t="n">
        <v>2</v>
      </c>
      <c r="AI337" s="3" t="n">
        <v>1</v>
      </c>
      <c r="AJ337" s="3" t="n">
        <v>2</v>
      </c>
      <c r="AK337" s="3" t="n">
        <v>2</v>
      </c>
      <c r="AL337" s="3" t="n">
        <v>2</v>
      </c>
      <c r="AM337" s="3" t="n">
        <v>1</v>
      </c>
      <c r="AN337" s="3" t="n">
        <v>2</v>
      </c>
      <c r="AO337" s="3" t="n">
        <v>2</v>
      </c>
      <c r="AP337" s="3" t="n">
        <v>3</v>
      </c>
      <c r="AQ337" s="3" t="n">
        <v>4</v>
      </c>
      <c r="AR337" s="3" t="n">
        <v>4</v>
      </c>
      <c r="AS337" s="3" t="n">
        <v>6</v>
      </c>
      <c r="AT337" s="3" t="n">
        <v>4</v>
      </c>
      <c r="AU337" s="3" t="n">
        <v>4</v>
      </c>
      <c r="AV337" s="3" t="n">
        <v>6</v>
      </c>
      <c r="AW337" s="3" t="n">
        <v>6</v>
      </c>
      <c r="AX337" s="3" t="n">
        <v>3</v>
      </c>
      <c r="AY337" s="3" t="n">
        <v>3</v>
      </c>
      <c r="AZ337" s="3" t="n">
        <v>1</v>
      </c>
      <c r="BA337" s="5" t="n">
        <v>1</v>
      </c>
      <c r="BB337" s="3" t="n">
        <v>1</v>
      </c>
      <c r="BC337" s="3" t="n">
        <v>1</v>
      </c>
      <c r="BD337" s="3" t="n">
        <v>2</v>
      </c>
      <c r="BE337" s="3" t="n">
        <v>1</v>
      </c>
      <c r="BF337" s="3" t="n">
        <v>2</v>
      </c>
      <c r="BG337" s="3" t="n">
        <v>2</v>
      </c>
      <c r="BH337" s="3" t="n">
        <v>4</v>
      </c>
      <c r="BI337" s="3" t="n">
        <v>1</v>
      </c>
      <c r="BJ337" s="3" t="n">
        <v>1</v>
      </c>
    </row>
    <row r="338" customFormat="false" ht="12.75" hidden="false" customHeight="false" outlineLevel="0" collapsed="false">
      <c r="B338" s="2" t="s">
        <v>2798</v>
      </c>
      <c r="C338" s="2" t="s">
        <v>95</v>
      </c>
      <c r="D338" s="2" t="s">
        <v>95</v>
      </c>
      <c r="E338" s="2" t="n">
        <v>208631</v>
      </c>
      <c r="F338" s="15" t="n">
        <v>44220</v>
      </c>
      <c r="G338" s="15" t="n">
        <v>44228</v>
      </c>
      <c r="H338" s="3" t="n">
        <v>8</v>
      </c>
      <c r="I338" s="3" t="n">
        <v>2</v>
      </c>
      <c r="J338" s="3" t="n">
        <v>65</v>
      </c>
      <c r="K338" s="3" t="n">
        <v>2</v>
      </c>
      <c r="L338" s="3" t="n">
        <v>1</v>
      </c>
      <c r="M338" s="3" t="n">
        <v>1</v>
      </c>
      <c r="N338" s="3" t="n">
        <v>2</v>
      </c>
      <c r="O338" s="3" t="n">
        <v>2</v>
      </c>
      <c r="P338" s="3" t="n">
        <v>2</v>
      </c>
      <c r="Q338" s="3" t="n">
        <v>2</v>
      </c>
      <c r="R338" s="3" t="n">
        <v>2</v>
      </c>
      <c r="S338" s="3" t="n">
        <v>2</v>
      </c>
      <c r="T338" s="4" t="n">
        <v>2</v>
      </c>
      <c r="U338" s="3" t="n">
        <v>2</v>
      </c>
      <c r="V338" s="3" t="n">
        <v>3.39</v>
      </c>
      <c r="W338" s="3" t="n">
        <v>0.62</v>
      </c>
      <c r="X338" s="3" t="n">
        <v>4.52</v>
      </c>
      <c r="Y338" s="3" t="n">
        <v>375</v>
      </c>
      <c r="AA338" s="3" t="n">
        <v>0.45</v>
      </c>
      <c r="AB338" s="3" t="n">
        <v>6.9</v>
      </c>
      <c r="AC338" s="3"/>
      <c r="AD338" s="3" t="n">
        <v>2</v>
      </c>
      <c r="AE338" s="3" t="n">
        <v>1</v>
      </c>
      <c r="AF338" s="3" t="n">
        <v>1</v>
      </c>
      <c r="AG338" s="3" t="n">
        <v>2</v>
      </c>
      <c r="AH338" s="3" t="n">
        <v>1</v>
      </c>
      <c r="AI338" s="3" t="n">
        <v>1</v>
      </c>
      <c r="AJ338" s="3" t="n">
        <v>2</v>
      </c>
      <c r="AK338" s="3" t="n">
        <v>2</v>
      </c>
      <c r="AL338" s="3" t="n">
        <v>2</v>
      </c>
      <c r="AM338" s="3" t="n">
        <v>2</v>
      </c>
      <c r="AN338" s="3" t="n">
        <v>2</v>
      </c>
      <c r="AO338" s="3" t="n">
        <v>2</v>
      </c>
      <c r="AP338" s="3" t="n">
        <v>3</v>
      </c>
      <c r="AQ338" s="3" t="n">
        <v>4</v>
      </c>
      <c r="AR338" s="3" t="n">
        <v>4</v>
      </c>
      <c r="AS338" s="3" t="n">
        <v>6</v>
      </c>
      <c r="AT338" s="3" t="n">
        <v>4</v>
      </c>
      <c r="AU338" s="3" t="n">
        <v>4</v>
      </c>
      <c r="AV338" s="3" t="n">
        <v>6</v>
      </c>
      <c r="AW338" s="3" t="n">
        <v>6</v>
      </c>
      <c r="AX338" s="3" t="n">
        <v>3</v>
      </c>
      <c r="AY338" s="3" t="n">
        <v>3</v>
      </c>
      <c r="AZ338" s="3" t="n">
        <v>1</v>
      </c>
      <c r="BA338" s="5" t="n">
        <v>1</v>
      </c>
      <c r="BB338" s="3" t="n">
        <v>1</v>
      </c>
      <c r="BC338" s="3" t="n">
        <v>1</v>
      </c>
      <c r="BD338" s="3" t="n">
        <v>2</v>
      </c>
      <c r="BE338" s="3" t="n">
        <v>3</v>
      </c>
      <c r="BF338" s="3" t="n">
        <v>5</v>
      </c>
      <c r="BG338" s="3" t="n">
        <v>3</v>
      </c>
      <c r="BH338" s="3" t="n">
        <v>4</v>
      </c>
      <c r="BI338" s="3" t="n">
        <v>1</v>
      </c>
      <c r="BJ338" s="3" t="n">
        <v>1</v>
      </c>
    </row>
    <row r="339" customFormat="false" ht="12.75" hidden="false" customHeight="false" outlineLevel="0" collapsed="false">
      <c r="B339" s="2" t="s">
        <v>1890</v>
      </c>
      <c r="C339" s="2" t="s">
        <v>127</v>
      </c>
      <c r="D339" s="2" t="s">
        <v>386</v>
      </c>
      <c r="E339" s="2" t="n">
        <v>208774</v>
      </c>
      <c r="F339" s="15" t="n">
        <v>44226</v>
      </c>
      <c r="G339" s="15" t="n">
        <v>44232</v>
      </c>
      <c r="H339" s="3" t="n">
        <v>7</v>
      </c>
      <c r="I339" s="3" t="n">
        <v>2</v>
      </c>
      <c r="J339" s="3" t="n">
        <v>49</v>
      </c>
      <c r="K339" s="3" t="n">
        <v>1</v>
      </c>
      <c r="L339" s="3" t="n">
        <v>1</v>
      </c>
      <c r="M339" s="3" t="n">
        <v>2</v>
      </c>
      <c r="N339" s="3" t="n">
        <v>2</v>
      </c>
      <c r="O339" s="3" t="n">
        <v>2</v>
      </c>
      <c r="P339" s="3" t="n">
        <v>2</v>
      </c>
      <c r="Q339" s="3" t="n">
        <v>2</v>
      </c>
      <c r="R339" s="3" t="n">
        <v>2</v>
      </c>
      <c r="S339" s="3" t="n">
        <v>2</v>
      </c>
      <c r="T339" s="4" t="n">
        <v>2</v>
      </c>
      <c r="U339" s="3" t="n">
        <v>2</v>
      </c>
      <c r="V339" s="3" t="n">
        <v>4.8</v>
      </c>
      <c r="W339" s="3" t="n">
        <v>2.59</v>
      </c>
      <c r="X339" s="3" t="n">
        <v>3.72</v>
      </c>
      <c r="Y339" s="3" t="n">
        <v>413</v>
      </c>
      <c r="AA339" s="3" t="n">
        <v>0.52</v>
      </c>
      <c r="AB339" s="3" t="n">
        <v>12.9</v>
      </c>
      <c r="AC339" s="3" t="n">
        <v>2</v>
      </c>
      <c r="AD339" s="3" t="n">
        <v>2</v>
      </c>
      <c r="AE339" s="3" t="n">
        <v>2</v>
      </c>
      <c r="AF339" s="3" t="n">
        <v>1</v>
      </c>
      <c r="AG339" s="3" t="n">
        <v>1</v>
      </c>
      <c r="AH339" s="3" t="n">
        <v>2</v>
      </c>
      <c r="AI339" s="3" t="n">
        <v>1</v>
      </c>
      <c r="AJ339" s="3" t="n">
        <v>2</v>
      </c>
      <c r="AK339" s="3" t="n">
        <v>2</v>
      </c>
      <c r="AL339" s="3" t="n">
        <v>2</v>
      </c>
      <c r="AM339" s="3" t="n">
        <v>1</v>
      </c>
      <c r="AN339" s="3" t="n">
        <v>2</v>
      </c>
      <c r="AO339" s="3" t="n">
        <v>2</v>
      </c>
      <c r="AP339" s="3" t="n">
        <v>3</v>
      </c>
      <c r="AQ339" s="3" t="n">
        <v>4</v>
      </c>
      <c r="AR339" s="3" t="n">
        <v>4</v>
      </c>
      <c r="AS339" s="3" t="n">
        <v>6</v>
      </c>
      <c r="AT339" s="3" t="n">
        <v>4</v>
      </c>
      <c r="AU339" s="3" t="n">
        <v>4</v>
      </c>
      <c r="AV339" s="3" t="n">
        <v>6</v>
      </c>
      <c r="AW339" s="3" t="n">
        <v>6</v>
      </c>
      <c r="AX339" s="3" t="n">
        <v>3</v>
      </c>
      <c r="AY339" s="3" t="n">
        <v>3</v>
      </c>
      <c r="AZ339" s="3" t="n">
        <v>1</v>
      </c>
      <c r="BA339" s="5" t="n">
        <v>1</v>
      </c>
      <c r="BB339" s="3" t="n">
        <v>1</v>
      </c>
      <c r="BC339" s="3" t="n">
        <v>1</v>
      </c>
      <c r="BD339" s="3" t="n">
        <v>2</v>
      </c>
      <c r="BE339" s="3" t="n">
        <v>1</v>
      </c>
      <c r="BF339" s="3" t="n">
        <v>2</v>
      </c>
      <c r="BG339" s="3" t="n">
        <v>1</v>
      </c>
      <c r="BH339" s="3" t="n">
        <v>4</v>
      </c>
      <c r="BI339" s="3" t="n">
        <v>1</v>
      </c>
      <c r="BJ339" s="3" t="n">
        <v>1</v>
      </c>
    </row>
    <row r="340" customFormat="false" ht="12.75" hidden="false" customHeight="false" outlineLevel="0" collapsed="false">
      <c r="B340" s="17" t="s">
        <v>2818</v>
      </c>
      <c r="C340" s="17" t="s">
        <v>127</v>
      </c>
      <c r="D340" s="17" t="s">
        <v>386</v>
      </c>
      <c r="E340" s="2" t="n">
        <v>208820</v>
      </c>
      <c r="F340" s="15" t="n">
        <v>44228</v>
      </c>
      <c r="G340" s="15" t="n">
        <v>44234</v>
      </c>
      <c r="H340" s="3" t="n">
        <v>7</v>
      </c>
      <c r="I340" s="3" t="n">
        <v>1</v>
      </c>
      <c r="J340" s="3" t="n">
        <v>69</v>
      </c>
      <c r="K340" s="3" t="n">
        <v>1</v>
      </c>
      <c r="L340" s="3" t="n">
        <v>1</v>
      </c>
      <c r="M340" s="3" t="n">
        <v>1</v>
      </c>
      <c r="N340" s="3" t="n">
        <v>2</v>
      </c>
      <c r="O340" s="3" t="n">
        <v>1</v>
      </c>
      <c r="P340" s="3" t="n">
        <v>2</v>
      </c>
      <c r="Q340" s="3" t="n">
        <v>2</v>
      </c>
      <c r="R340" s="3" t="n">
        <v>2</v>
      </c>
      <c r="S340" s="3" t="n">
        <v>2</v>
      </c>
      <c r="T340" s="4" t="n">
        <v>2</v>
      </c>
      <c r="U340" s="3" t="n">
        <v>2</v>
      </c>
      <c r="V340" s="3" t="n">
        <v>5.28</v>
      </c>
      <c r="W340" s="3" t="n">
        <v>2.45</v>
      </c>
      <c r="X340" s="3" t="n">
        <v>6.66</v>
      </c>
      <c r="Y340" s="3" t="n">
        <v>481</v>
      </c>
      <c r="AA340" s="3" t="n">
        <v>0.45</v>
      </c>
      <c r="AB340" s="3" t="n">
        <v>10</v>
      </c>
      <c r="AC340" s="3" t="n">
        <v>1</v>
      </c>
      <c r="AD340" s="3" t="n">
        <v>2</v>
      </c>
      <c r="AE340" s="3" t="n">
        <v>1</v>
      </c>
      <c r="AF340" s="3" t="n">
        <v>1</v>
      </c>
      <c r="AG340" s="3" t="n">
        <v>2</v>
      </c>
      <c r="AH340" s="3" t="n">
        <v>2</v>
      </c>
      <c r="AI340" s="3" t="n">
        <v>1</v>
      </c>
      <c r="AJ340" s="3" t="n">
        <v>2</v>
      </c>
      <c r="AK340" s="3" t="n">
        <v>2</v>
      </c>
      <c r="AL340" s="3" t="n">
        <v>2</v>
      </c>
      <c r="AM340" s="3" t="n">
        <v>1</v>
      </c>
      <c r="AN340" s="3" t="n">
        <v>2</v>
      </c>
      <c r="AO340" s="3" t="n">
        <v>2</v>
      </c>
      <c r="AP340" s="3" t="n">
        <v>3</v>
      </c>
      <c r="AQ340" s="3" t="n">
        <v>4</v>
      </c>
      <c r="AR340" s="3" t="n">
        <v>4</v>
      </c>
      <c r="AS340" s="3" t="n">
        <v>6</v>
      </c>
      <c r="AT340" s="3" t="n">
        <v>4</v>
      </c>
      <c r="AU340" s="3" t="n">
        <v>4</v>
      </c>
      <c r="AV340" s="3" t="n">
        <v>6</v>
      </c>
      <c r="AW340" s="3" t="n">
        <v>6</v>
      </c>
      <c r="AX340" s="3" t="n">
        <v>3</v>
      </c>
      <c r="AY340" s="3" t="n">
        <v>3</v>
      </c>
      <c r="AZ340" s="3" t="n">
        <v>1</v>
      </c>
      <c r="BA340" s="5" t="n">
        <v>1</v>
      </c>
      <c r="BB340" s="3" t="n">
        <v>1</v>
      </c>
      <c r="BC340" s="3" t="n">
        <v>1</v>
      </c>
      <c r="BD340" s="3" t="n">
        <v>4</v>
      </c>
      <c r="BE340" s="3" t="n">
        <v>3</v>
      </c>
      <c r="BF340" s="3" t="n">
        <v>5</v>
      </c>
      <c r="BG340" s="3" t="n">
        <v>3</v>
      </c>
      <c r="BH340" s="3" t="n">
        <v>4</v>
      </c>
      <c r="BI340" s="3" t="n">
        <v>1</v>
      </c>
      <c r="BJ340" s="3" t="n">
        <v>1</v>
      </c>
    </row>
    <row r="341" customFormat="false" ht="12.75" hidden="false" customHeight="false" outlineLevel="0" collapsed="false">
      <c r="B341" s="17" t="s">
        <v>2820</v>
      </c>
      <c r="C341" s="17" t="s">
        <v>1042</v>
      </c>
      <c r="D341" s="17" t="s">
        <v>2821</v>
      </c>
      <c r="E341" s="2" t="n">
        <v>208818</v>
      </c>
      <c r="F341" s="15" t="n">
        <v>44228</v>
      </c>
      <c r="G341" s="15" t="n">
        <v>44234</v>
      </c>
      <c r="H341" s="3" t="n">
        <v>7</v>
      </c>
      <c r="I341" s="3" t="n">
        <v>1</v>
      </c>
      <c r="J341" s="3" t="n">
        <v>65</v>
      </c>
      <c r="K341" s="3" t="n">
        <v>1</v>
      </c>
      <c r="L341" s="3" t="n">
        <v>1</v>
      </c>
      <c r="M341" s="3" t="n">
        <v>1</v>
      </c>
      <c r="N341" s="3" t="n">
        <v>2</v>
      </c>
      <c r="O341" s="3" t="n">
        <v>2</v>
      </c>
      <c r="P341" s="3" t="n">
        <v>2</v>
      </c>
      <c r="Q341" s="3" t="n">
        <v>2</v>
      </c>
      <c r="R341" s="3" t="n">
        <v>2</v>
      </c>
      <c r="S341" s="3" t="n">
        <v>2</v>
      </c>
      <c r="T341" s="4" t="n">
        <v>2</v>
      </c>
      <c r="U341" s="3" t="n">
        <v>2</v>
      </c>
      <c r="V341" s="3" t="n">
        <v>4.44</v>
      </c>
      <c r="W341" s="3" t="n">
        <v>1.25</v>
      </c>
      <c r="X341" s="3" t="n">
        <v>5.12</v>
      </c>
      <c r="Y341" s="3" t="n">
        <v>355</v>
      </c>
      <c r="AA341" s="3" t="n">
        <v>0.42</v>
      </c>
      <c r="AB341" s="3" t="n">
        <v>12.3</v>
      </c>
      <c r="AC341" s="3" t="n">
        <v>1</v>
      </c>
      <c r="AD341" s="3" t="n">
        <v>2</v>
      </c>
      <c r="AE341" s="3" t="n">
        <v>1</v>
      </c>
      <c r="AF341" s="3" t="n">
        <v>1</v>
      </c>
      <c r="AG341" s="3" t="n">
        <v>2</v>
      </c>
      <c r="AH341" s="3" t="n">
        <v>2</v>
      </c>
      <c r="AI341" s="3" t="n">
        <v>1</v>
      </c>
      <c r="AJ341" s="3" t="n">
        <v>2</v>
      </c>
      <c r="AK341" s="3" t="n">
        <v>2</v>
      </c>
      <c r="AL341" s="3" t="n">
        <v>2</v>
      </c>
      <c r="AM341" s="3" t="n">
        <v>1</v>
      </c>
      <c r="AN341" s="3" t="n">
        <v>2</v>
      </c>
      <c r="AO341" s="3" t="n">
        <v>2</v>
      </c>
      <c r="AP341" s="3" t="n">
        <v>3</v>
      </c>
      <c r="AQ341" s="3" t="n">
        <v>4</v>
      </c>
      <c r="AR341" s="3" t="n">
        <v>4</v>
      </c>
      <c r="AS341" s="3" t="n">
        <v>6</v>
      </c>
      <c r="AT341" s="3" t="n">
        <v>4</v>
      </c>
      <c r="AU341" s="3" t="n">
        <v>4</v>
      </c>
      <c r="AV341" s="3" t="n">
        <v>6</v>
      </c>
      <c r="AW341" s="3" t="n">
        <v>6</v>
      </c>
      <c r="AX341" s="3" t="n">
        <v>3</v>
      </c>
      <c r="AY341" s="3" t="n">
        <v>3</v>
      </c>
      <c r="AZ341" s="3" t="n">
        <v>4</v>
      </c>
      <c r="BA341" s="5" t="n">
        <v>1</v>
      </c>
      <c r="BB341" s="3" t="n">
        <v>1</v>
      </c>
      <c r="BC341" s="3" t="n">
        <v>1</v>
      </c>
      <c r="BD341" s="3" t="n">
        <v>4</v>
      </c>
      <c r="BE341" s="3" t="n">
        <v>1</v>
      </c>
      <c r="BF341" s="3" t="n">
        <v>2</v>
      </c>
      <c r="BG341" s="3" t="n">
        <v>1</v>
      </c>
      <c r="BH341" s="3" t="n">
        <v>4</v>
      </c>
      <c r="BI341" s="3" t="n">
        <v>1</v>
      </c>
      <c r="BJ341" s="3" t="n">
        <v>1</v>
      </c>
    </row>
    <row r="342" customFormat="false" ht="12.75" hidden="false" customHeight="false" outlineLevel="0" collapsed="false">
      <c r="B342" s="2" t="s">
        <v>2829</v>
      </c>
      <c r="C342" s="2" t="s">
        <v>446</v>
      </c>
      <c r="D342" s="2" t="s">
        <v>522</v>
      </c>
      <c r="E342" s="2" t="n">
        <v>208993</v>
      </c>
      <c r="F342" s="15" t="n">
        <v>44230</v>
      </c>
      <c r="G342" s="15" t="n">
        <v>44237</v>
      </c>
      <c r="H342" s="3" t="n">
        <v>7</v>
      </c>
      <c r="I342" s="3" t="n">
        <v>2</v>
      </c>
      <c r="J342" s="3" t="n">
        <v>32</v>
      </c>
      <c r="K342" s="3" t="n">
        <v>2</v>
      </c>
      <c r="L342" s="3" t="n">
        <v>1</v>
      </c>
      <c r="M342" s="3" t="n">
        <v>1</v>
      </c>
      <c r="N342" s="3" t="n">
        <v>2</v>
      </c>
      <c r="O342" s="3" t="n">
        <v>2</v>
      </c>
      <c r="P342" s="3" t="n">
        <v>2</v>
      </c>
      <c r="Q342" s="3" t="n">
        <v>2</v>
      </c>
      <c r="R342" s="3" t="n">
        <v>2</v>
      </c>
      <c r="S342" s="3" t="n">
        <v>2</v>
      </c>
      <c r="T342" s="4" t="n">
        <v>2</v>
      </c>
      <c r="U342" s="3" t="n">
        <v>2</v>
      </c>
      <c r="V342" s="3" t="n">
        <v>4.91</v>
      </c>
      <c r="W342" s="3" t="n">
        <v>0.55</v>
      </c>
      <c r="X342" s="3" t="n">
        <v>5.9</v>
      </c>
      <c r="Y342" s="3" t="n">
        <v>248</v>
      </c>
      <c r="AA342" s="3" t="n">
        <v>0.43</v>
      </c>
      <c r="AB342" s="3" t="n">
        <v>12.8</v>
      </c>
      <c r="AC342" s="3" t="n">
        <v>1</v>
      </c>
      <c r="AD342" s="3" t="n">
        <v>2</v>
      </c>
      <c r="AE342" s="3" t="n">
        <v>2</v>
      </c>
      <c r="AF342" s="3" t="n">
        <v>1</v>
      </c>
      <c r="AG342" s="3" t="n">
        <v>2</v>
      </c>
      <c r="AH342" s="3" t="n">
        <v>2</v>
      </c>
      <c r="AI342" s="3" t="n">
        <v>1</v>
      </c>
      <c r="AJ342" s="3" t="n">
        <v>2</v>
      </c>
      <c r="AK342" s="3" t="n">
        <v>2</v>
      </c>
      <c r="AL342" s="3" t="n">
        <v>2</v>
      </c>
      <c r="AM342" s="3" t="n">
        <v>2</v>
      </c>
      <c r="AN342" s="3" t="n">
        <v>2</v>
      </c>
      <c r="AO342" s="3" t="n">
        <v>2</v>
      </c>
      <c r="AP342" s="3" t="n">
        <v>3</v>
      </c>
      <c r="AQ342" s="3" t="n">
        <v>4</v>
      </c>
      <c r="AR342" s="3" t="n">
        <v>4</v>
      </c>
      <c r="AS342" s="3" t="n">
        <v>6</v>
      </c>
      <c r="AT342" s="3" t="n">
        <v>4</v>
      </c>
      <c r="AU342" s="3" t="n">
        <v>4</v>
      </c>
      <c r="AV342" s="3" t="n">
        <v>6</v>
      </c>
      <c r="AW342" s="3" t="n">
        <v>6</v>
      </c>
      <c r="AX342" s="3" t="n">
        <v>3</v>
      </c>
      <c r="AY342" s="3" t="n">
        <v>3</v>
      </c>
      <c r="AZ342" s="3" t="n">
        <v>1</v>
      </c>
      <c r="BA342" s="5" t="n">
        <v>1</v>
      </c>
      <c r="BB342" s="3" t="n">
        <v>1</v>
      </c>
      <c r="BC342" s="3" t="n">
        <v>1</v>
      </c>
      <c r="BD342" s="3" t="n">
        <v>4</v>
      </c>
      <c r="BE342" s="3" t="n">
        <v>1</v>
      </c>
      <c r="BF342" s="3" t="n">
        <v>2</v>
      </c>
      <c r="BG342" s="3" t="n">
        <v>1</v>
      </c>
      <c r="BH342" s="3" t="n">
        <v>4</v>
      </c>
      <c r="BI342" s="3" t="n">
        <v>1</v>
      </c>
      <c r="BJ342" s="3" t="n">
        <v>1</v>
      </c>
    </row>
    <row r="343" customFormat="false" ht="12.75" hidden="false" customHeight="false" outlineLevel="0" collapsed="false">
      <c r="B343" s="2" t="s">
        <v>2841</v>
      </c>
      <c r="C343" s="2" t="s">
        <v>95</v>
      </c>
      <c r="D343" s="2" t="s">
        <v>94</v>
      </c>
      <c r="E343" s="2" t="n">
        <v>208893</v>
      </c>
      <c r="F343" s="15" t="n">
        <v>44237</v>
      </c>
      <c r="G343" s="15" t="n">
        <v>44242</v>
      </c>
      <c r="H343" s="3" t="n">
        <v>5</v>
      </c>
      <c r="I343" s="3" t="n">
        <v>2</v>
      </c>
      <c r="J343" s="3" t="n">
        <v>51</v>
      </c>
      <c r="K343" s="3" t="n">
        <v>2</v>
      </c>
      <c r="L343" s="3" t="n">
        <v>2</v>
      </c>
      <c r="M343" s="3" t="n">
        <v>1</v>
      </c>
      <c r="N343" s="3" t="n">
        <v>2</v>
      </c>
      <c r="O343" s="3" t="n">
        <v>2</v>
      </c>
      <c r="P343" s="3" t="n">
        <v>2</v>
      </c>
      <c r="Q343" s="3" t="n">
        <v>2</v>
      </c>
      <c r="R343" s="3" t="n">
        <v>2</v>
      </c>
      <c r="S343" s="3" t="n">
        <v>2</v>
      </c>
      <c r="T343" s="4" t="n">
        <v>2</v>
      </c>
      <c r="U343" s="3" t="n">
        <v>2</v>
      </c>
      <c r="V343" s="3" t="n">
        <v>5.12</v>
      </c>
      <c r="W343" s="3" t="n">
        <v>1.22</v>
      </c>
      <c r="X343" s="3" t="n">
        <v>5.44</v>
      </c>
      <c r="Y343" s="3" t="n">
        <v>478</v>
      </c>
      <c r="AA343" s="3" t="n">
        <v>0.51</v>
      </c>
      <c r="AB343" s="3" t="n">
        <v>9</v>
      </c>
      <c r="AC343" s="3" t="n">
        <v>1</v>
      </c>
      <c r="AD343" s="3" t="n">
        <v>1</v>
      </c>
      <c r="AE343" s="3" t="n">
        <v>1</v>
      </c>
      <c r="AF343" s="3" t="n">
        <v>1</v>
      </c>
      <c r="AG343" s="3" t="n">
        <v>2</v>
      </c>
      <c r="AH343" s="3" t="n">
        <v>2</v>
      </c>
      <c r="AI343" s="3" t="n">
        <v>1</v>
      </c>
      <c r="AJ343" s="3" t="n">
        <v>2</v>
      </c>
      <c r="AK343" s="3" t="n">
        <v>2</v>
      </c>
      <c r="AL343" s="3" t="n">
        <v>2</v>
      </c>
      <c r="AM343" s="3" t="n">
        <v>2</v>
      </c>
      <c r="AN343" s="3" t="n">
        <v>2</v>
      </c>
      <c r="AO343" s="3" t="n">
        <v>2</v>
      </c>
      <c r="AP343" s="3" t="n">
        <v>3</v>
      </c>
      <c r="AQ343" s="3" t="n">
        <v>4</v>
      </c>
      <c r="AR343" s="3" t="n">
        <v>4</v>
      </c>
      <c r="AS343" s="3" t="n">
        <v>6</v>
      </c>
      <c r="AT343" s="3" t="n">
        <v>4</v>
      </c>
      <c r="AU343" s="3" t="n">
        <v>4</v>
      </c>
      <c r="AV343" s="3" t="n">
        <v>6</v>
      </c>
      <c r="AW343" s="3" t="n">
        <v>6</v>
      </c>
      <c r="AX343" s="3" t="n">
        <v>3</v>
      </c>
      <c r="AY343" s="3" t="n">
        <v>3</v>
      </c>
      <c r="AZ343" s="3" t="n">
        <v>1</v>
      </c>
      <c r="BA343" s="5" t="n">
        <v>1</v>
      </c>
      <c r="BB343" s="3" t="n">
        <v>1</v>
      </c>
      <c r="BC343" s="3" t="n">
        <v>1</v>
      </c>
      <c r="BD343" s="3" t="n">
        <v>5</v>
      </c>
      <c r="BE343" s="3" t="n">
        <v>1</v>
      </c>
      <c r="BF343" s="3" t="n">
        <v>2</v>
      </c>
      <c r="BG343" s="3" t="n">
        <v>1</v>
      </c>
      <c r="BH343" s="3" t="n">
        <v>4</v>
      </c>
      <c r="BI343" s="3" t="n">
        <v>1</v>
      </c>
      <c r="BJ343" s="3" t="n">
        <v>1</v>
      </c>
    </row>
    <row r="344" customFormat="false" ht="12.75" hidden="false" customHeight="false" outlineLevel="0" collapsed="false">
      <c r="B344" s="2" t="s">
        <v>2843</v>
      </c>
      <c r="C344" s="2" t="s">
        <v>611</v>
      </c>
      <c r="D344" s="2" t="s">
        <v>2844</v>
      </c>
      <c r="E344" s="2" t="n">
        <v>208869</v>
      </c>
      <c r="F344" s="15" t="n">
        <v>44236</v>
      </c>
      <c r="G344" s="15" t="n">
        <v>44243</v>
      </c>
      <c r="H344" s="3" t="n">
        <v>7</v>
      </c>
      <c r="I344" s="3" t="n">
        <v>2</v>
      </c>
      <c r="J344" s="3" t="n">
        <v>61</v>
      </c>
      <c r="K344" s="3" t="n">
        <v>1</v>
      </c>
      <c r="L344" s="3" t="n">
        <v>1</v>
      </c>
      <c r="M344" s="3" t="n">
        <v>1</v>
      </c>
      <c r="N344" s="3" t="n">
        <v>2</v>
      </c>
      <c r="O344" s="3" t="n">
        <v>2</v>
      </c>
      <c r="P344" s="3" t="n">
        <v>2</v>
      </c>
      <c r="Q344" s="3" t="n">
        <v>2</v>
      </c>
      <c r="R344" s="3" t="n">
        <v>2</v>
      </c>
      <c r="S344" s="3" t="n">
        <v>2</v>
      </c>
      <c r="T344" s="4" t="n">
        <v>2</v>
      </c>
      <c r="U344" s="3" t="n">
        <v>2</v>
      </c>
      <c r="V344" s="3" t="s">
        <v>1413</v>
      </c>
      <c r="W344" s="3" t="n">
        <v>1.85</v>
      </c>
      <c r="X344" s="3" t="n">
        <v>5.54</v>
      </c>
      <c r="Y344" s="3" t="n">
        <v>273</v>
      </c>
      <c r="AA344" s="3" t="n">
        <v>0.45</v>
      </c>
      <c r="AB344" s="3" t="n">
        <v>9.1</v>
      </c>
      <c r="AC344" s="3" t="n">
        <v>2</v>
      </c>
      <c r="AD344" s="3" t="n">
        <v>2</v>
      </c>
      <c r="AE344" s="3" t="n">
        <v>1</v>
      </c>
      <c r="AF344" s="3" t="n">
        <v>1</v>
      </c>
      <c r="AG344" s="3" t="n">
        <v>2</v>
      </c>
      <c r="AH344" s="3" t="n">
        <v>2</v>
      </c>
      <c r="AI344" s="3" t="n">
        <v>1</v>
      </c>
      <c r="AJ344" s="3" t="n">
        <v>2</v>
      </c>
      <c r="AK344" s="3" t="n">
        <v>2</v>
      </c>
      <c r="AL344" s="3" t="n">
        <v>2</v>
      </c>
      <c r="AM344" s="3" t="n">
        <v>2</v>
      </c>
      <c r="AN344" s="3" t="n">
        <v>2</v>
      </c>
      <c r="AO344" s="3" t="n">
        <v>2</v>
      </c>
      <c r="AP344" s="3" t="n">
        <v>3</v>
      </c>
      <c r="AQ344" s="3" t="n">
        <v>4</v>
      </c>
      <c r="AR344" s="3" t="n">
        <v>4</v>
      </c>
      <c r="AS344" s="3" t="n">
        <v>6</v>
      </c>
      <c r="AT344" s="3" t="n">
        <v>4</v>
      </c>
      <c r="AU344" s="3" t="n">
        <v>4</v>
      </c>
      <c r="AV344" s="3" t="n">
        <v>6</v>
      </c>
      <c r="AW344" s="3" t="n">
        <v>6</v>
      </c>
      <c r="AX344" s="3" t="n">
        <v>3</v>
      </c>
      <c r="AY344" s="3" t="n">
        <v>3</v>
      </c>
      <c r="AZ344" s="3" t="n">
        <v>1</v>
      </c>
      <c r="BA344" s="5" t="n">
        <v>1</v>
      </c>
      <c r="BB344" s="3" t="n">
        <v>1</v>
      </c>
      <c r="BC344" s="3" t="n">
        <v>1</v>
      </c>
      <c r="BD344" s="3" t="n">
        <v>5</v>
      </c>
      <c r="BE344" s="3" t="n">
        <v>1</v>
      </c>
      <c r="BF344" s="3" t="n">
        <v>2</v>
      </c>
      <c r="BG344" s="3" t="n">
        <v>1</v>
      </c>
      <c r="BH344" s="3" t="n">
        <v>4</v>
      </c>
      <c r="BI344" s="3" t="n">
        <v>1</v>
      </c>
      <c r="BJ344" s="3" t="n">
        <v>1</v>
      </c>
    </row>
    <row r="345" customFormat="false" ht="12.75" hidden="false" customHeight="false" outlineLevel="0" collapsed="false">
      <c r="B345" s="2" t="s">
        <v>2856</v>
      </c>
      <c r="C345" s="2" t="s">
        <v>2857</v>
      </c>
      <c r="D345" s="2" t="s">
        <v>898</v>
      </c>
      <c r="E345" s="2" t="n">
        <v>209176</v>
      </c>
      <c r="F345" s="15" t="n">
        <v>44241</v>
      </c>
      <c r="G345" s="15" t="n">
        <v>44248</v>
      </c>
      <c r="H345" s="3" t="n">
        <v>7</v>
      </c>
      <c r="I345" s="3" t="n">
        <v>2</v>
      </c>
      <c r="J345" s="3" t="n">
        <v>62</v>
      </c>
      <c r="K345" s="3" t="n">
        <v>2</v>
      </c>
      <c r="L345" s="3" t="n">
        <v>2</v>
      </c>
      <c r="M345" s="3" t="n">
        <v>1</v>
      </c>
      <c r="N345" s="3" t="n">
        <v>2</v>
      </c>
      <c r="O345" s="3" t="n">
        <v>2</v>
      </c>
      <c r="P345" s="3" t="n">
        <v>2</v>
      </c>
      <c r="Q345" s="3" t="n">
        <v>2</v>
      </c>
      <c r="R345" s="3" t="n">
        <v>2</v>
      </c>
      <c r="S345" s="3" t="n">
        <v>2</v>
      </c>
      <c r="T345" s="4" t="n">
        <v>2</v>
      </c>
      <c r="U345" s="3" t="n">
        <v>2</v>
      </c>
      <c r="V345" s="3" t="n">
        <v>5.05</v>
      </c>
      <c r="W345" s="3" t="n">
        <v>2.62</v>
      </c>
      <c r="X345" s="3" t="n">
        <v>11.03</v>
      </c>
      <c r="Y345" s="3" t="n">
        <v>273</v>
      </c>
      <c r="AA345" s="3" t="n">
        <v>0.41</v>
      </c>
      <c r="AB345" s="3" t="n">
        <v>9.9</v>
      </c>
      <c r="AC345" s="3" t="n">
        <v>1</v>
      </c>
      <c r="AD345" s="3" t="n">
        <v>2</v>
      </c>
      <c r="AE345" s="3" t="n">
        <v>2</v>
      </c>
      <c r="AF345" s="3" t="n">
        <v>1</v>
      </c>
      <c r="AG345" s="3" t="n">
        <v>2</v>
      </c>
      <c r="AH345" s="3" t="n">
        <v>2</v>
      </c>
      <c r="AI345" s="3" t="n">
        <v>1</v>
      </c>
      <c r="AJ345" s="3" t="n">
        <v>2</v>
      </c>
      <c r="AK345" s="3" t="n">
        <v>2</v>
      </c>
      <c r="AL345" s="3" t="n">
        <v>2</v>
      </c>
      <c r="AM345" s="3" t="n">
        <v>2</v>
      </c>
      <c r="AN345" s="3" t="n">
        <v>2</v>
      </c>
      <c r="AO345" s="3" t="n">
        <v>2</v>
      </c>
      <c r="AP345" s="3" t="n">
        <v>3</v>
      </c>
      <c r="AQ345" s="3" t="n">
        <v>4</v>
      </c>
      <c r="AR345" s="3" t="n">
        <v>4</v>
      </c>
      <c r="AS345" s="3" t="n">
        <v>6</v>
      </c>
      <c r="AT345" s="3" t="n">
        <v>4</v>
      </c>
      <c r="AU345" s="3" t="n">
        <v>4</v>
      </c>
      <c r="AV345" s="3" t="n">
        <v>6</v>
      </c>
      <c r="AW345" s="3" t="n">
        <v>6</v>
      </c>
      <c r="AX345" s="3" t="n">
        <v>3</v>
      </c>
      <c r="AY345" s="3" t="n">
        <v>3</v>
      </c>
      <c r="AZ345" s="3" t="n">
        <v>1</v>
      </c>
      <c r="BA345" s="5" t="n">
        <v>1</v>
      </c>
      <c r="BB345" s="3" t="n">
        <v>1</v>
      </c>
      <c r="BC345" s="3" t="n">
        <v>1</v>
      </c>
      <c r="BD345" s="3" t="n">
        <v>4</v>
      </c>
      <c r="BE345" s="3" t="n">
        <v>1</v>
      </c>
      <c r="BF345" s="3" t="n">
        <v>2</v>
      </c>
      <c r="BG345" s="3" t="n">
        <v>1</v>
      </c>
      <c r="BH345" s="3" t="n">
        <v>4</v>
      </c>
      <c r="BI345" s="3" t="n">
        <v>1</v>
      </c>
      <c r="BJ345" s="3" t="n">
        <v>1</v>
      </c>
    </row>
    <row r="346" customFormat="false" ht="12.75" hidden="false" customHeight="false" outlineLevel="0" collapsed="false">
      <c r="B346" s="2" t="s">
        <v>2859</v>
      </c>
      <c r="C346" s="2" t="s">
        <v>2224</v>
      </c>
      <c r="D346" s="2" t="s">
        <v>127</v>
      </c>
      <c r="E346" s="2" t="n">
        <v>209173</v>
      </c>
      <c r="F346" s="15" t="n">
        <v>44241</v>
      </c>
      <c r="G346" s="15" t="n">
        <v>44248</v>
      </c>
      <c r="H346" s="3" t="n">
        <v>7</v>
      </c>
      <c r="I346" s="3" t="n">
        <v>2</v>
      </c>
      <c r="J346" s="3" t="n">
        <v>55</v>
      </c>
      <c r="K346" s="3" t="n">
        <v>3</v>
      </c>
      <c r="L346" s="3" t="n">
        <v>1</v>
      </c>
      <c r="M346" s="3" t="n">
        <v>1</v>
      </c>
      <c r="N346" s="3" t="n">
        <v>2</v>
      </c>
      <c r="O346" s="3" t="n">
        <v>2</v>
      </c>
      <c r="P346" s="3" t="n">
        <v>2</v>
      </c>
      <c r="Q346" s="3" t="n">
        <v>2</v>
      </c>
      <c r="R346" s="3" t="n">
        <v>2</v>
      </c>
      <c r="S346" s="3" t="n">
        <v>2</v>
      </c>
      <c r="T346" s="4" t="n">
        <v>2</v>
      </c>
      <c r="U346" s="3" t="n">
        <v>2</v>
      </c>
      <c r="V346" s="19" t="s">
        <v>2860</v>
      </c>
      <c r="W346" s="19" t="s">
        <v>2861</v>
      </c>
      <c r="X346" s="19" t="s">
        <v>2862</v>
      </c>
      <c r="Y346" s="3" t="n">
        <v>369</v>
      </c>
      <c r="AA346" s="3" t="n">
        <v>0.49</v>
      </c>
      <c r="AB346" s="3"/>
      <c r="AC346" s="3" t="n">
        <v>2</v>
      </c>
      <c r="AD346" s="3" t="n">
        <v>1</v>
      </c>
      <c r="AE346" s="3" t="n">
        <v>2</v>
      </c>
      <c r="AF346" s="3" t="n">
        <v>1</v>
      </c>
      <c r="AG346" s="3" t="n">
        <v>2</v>
      </c>
      <c r="AH346" s="3" t="n">
        <v>2</v>
      </c>
      <c r="AI346" s="3" t="n">
        <v>1</v>
      </c>
      <c r="AJ346" s="3" t="n">
        <v>2</v>
      </c>
      <c r="AK346" s="3" t="n">
        <v>2</v>
      </c>
      <c r="AL346" s="3" t="n">
        <v>2</v>
      </c>
      <c r="AM346" s="3" t="n">
        <v>2</v>
      </c>
      <c r="AN346" s="3" t="n">
        <v>2</v>
      </c>
      <c r="AO346" s="3" t="n">
        <v>2</v>
      </c>
      <c r="AP346" s="3" t="n">
        <v>3</v>
      </c>
      <c r="AQ346" s="3" t="n">
        <v>4</v>
      </c>
      <c r="AR346" s="3" t="n">
        <v>4</v>
      </c>
      <c r="AS346" s="3" t="n">
        <v>6</v>
      </c>
      <c r="AT346" s="3" t="n">
        <v>4</v>
      </c>
      <c r="AU346" s="3" t="n">
        <v>4</v>
      </c>
      <c r="AV346" s="3" t="n">
        <v>6</v>
      </c>
      <c r="AW346" s="3" t="n">
        <v>6</v>
      </c>
      <c r="AX346" s="3" t="n">
        <v>3</v>
      </c>
      <c r="AY346" s="3" t="n">
        <v>3</v>
      </c>
      <c r="AZ346" s="3" t="n">
        <v>1</v>
      </c>
      <c r="BA346" s="5" t="n">
        <v>1</v>
      </c>
      <c r="BB346" s="3" t="n">
        <v>1</v>
      </c>
      <c r="BC346" s="3" t="n">
        <v>1</v>
      </c>
      <c r="BD346" s="3" t="n">
        <v>2</v>
      </c>
      <c r="BE346" s="3" t="n">
        <v>1</v>
      </c>
      <c r="BF346" s="3" t="n">
        <v>2</v>
      </c>
      <c r="BG346" s="3" t="n">
        <v>1</v>
      </c>
      <c r="BH346" s="3" t="n">
        <v>4</v>
      </c>
      <c r="BI346" s="3" t="n">
        <v>1</v>
      </c>
      <c r="BJ346" s="3" t="n">
        <v>1</v>
      </c>
    </row>
    <row r="347" customFormat="false" ht="12.75" hidden="false" customHeight="false" outlineLevel="0" collapsed="false">
      <c r="B347" s="2" t="s">
        <v>2843</v>
      </c>
      <c r="C347" s="2" t="s">
        <v>611</v>
      </c>
      <c r="D347" s="2" t="s">
        <v>2844</v>
      </c>
      <c r="E347" s="2" t="n">
        <v>208869</v>
      </c>
      <c r="F347" s="15" t="n">
        <v>44236</v>
      </c>
      <c r="G347" s="15" t="n">
        <v>44243</v>
      </c>
      <c r="H347" s="3" t="n">
        <v>7</v>
      </c>
      <c r="I347" s="3" t="n">
        <v>2</v>
      </c>
      <c r="J347" s="3" t="n">
        <v>61</v>
      </c>
      <c r="K347" s="3" t="n">
        <v>1</v>
      </c>
      <c r="L347" s="3" t="n">
        <v>1</v>
      </c>
      <c r="M347" s="3" t="n">
        <v>1</v>
      </c>
      <c r="N347" s="3" t="n">
        <v>2</v>
      </c>
      <c r="O347" s="3" t="n">
        <v>2</v>
      </c>
      <c r="P347" s="3" t="n">
        <v>2</v>
      </c>
      <c r="Q347" s="3" t="n">
        <v>2</v>
      </c>
      <c r="R347" s="3" t="n">
        <v>2</v>
      </c>
      <c r="S347" s="3" t="n">
        <v>2</v>
      </c>
      <c r="T347" s="4" t="n">
        <v>2</v>
      </c>
      <c r="U347" s="3" t="n">
        <v>2</v>
      </c>
      <c r="V347" s="3" t="n">
        <v>5.3</v>
      </c>
      <c r="W347" s="3"/>
      <c r="X347" s="3"/>
      <c r="Y347" s="3"/>
      <c r="AA347" s="3"/>
      <c r="AB347" s="3"/>
      <c r="AC347" s="3"/>
      <c r="AD347" s="3" t="n">
        <v>2</v>
      </c>
      <c r="AE347" s="3" t="n">
        <v>1</v>
      </c>
      <c r="AF347" s="3" t="n">
        <v>1</v>
      </c>
      <c r="AG347" s="3" t="n">
        <v>1</v>
      </c>
      <c r="AH347" s="3" t="n">
        <v>2</v>
      </c>
      <c r="AI347" s="3" t="n">
        <v>2</v>
      </c>
      <c r="AJ347" s="3" t="n">
        <v>2</v>
      </c>
      <c r="AK347" s="3" t="n">
        <v>2</v>
      </c>
      <c r="AL347" s="3" t="n">
        <v>2</v>
      </c>
      <c r="AM347" s="3" t="n">
        <v>2</v>
      </c>
      <c r="AN347" s="3" t="n">
        <v>2</v>
      </c>
      <c r="AO347" s="3" t="n">
        <v>2</v>
      </c>
      <c r="AP347" s="3" t="n">
        <v>3</v>
      </c>
      <c r="AQ347" s="3" t="n">
        <v>4</v>
      </c>
      <c r="AR347" s="3" t="n">
        <v>4</v>
      </c>
      <c r="AS347" s="3" t="n">
        <v>6</v>
      </c>
      <c r="AT347" s="3" t="n">
        <v>4</v>
      </c>
      <c r="AU347" s="3" t="n">
        <v>4</v>
      </c>
      <c r="AV347" s="3" t="n">
        <v>6</v>
      </c>
      <c r="AW347" s="3" t="n">
        <v>6</v>
      </c>
      <c r="AX347" s="3" t="n">
        <v>3</v>
      </c>
      <c r="AY347" s="3" t="n">
        <v>3</v>
      </c>
      <c r="AZ347" s="3" t="n">
        <v>1</v>
      </c>
      <c r="BA347" s="5" t="n">
        <v>1</v>
      </c>
      <c r="BB347" s="3" t="n">
        <v>1</v>
      </c>
      <c r="BC347" s="3" t="n">
        <v>1</v>
      </c>
      <c r="BD347" s="3" t="n">
        <v>5</v>
      </c>
      <c r="BE347" s="3" t="n">
        <v>1</v>
      </c>
      <c r="BF347" s="3" t="n">
        <v>2</v>
      </c>
      <c r="BG347" s="3" t="n">
        <v>1</v>
      </c>
      <c r="BH347" s="3" t="n">
        <v>4</v>
      </c>
      <c r="BI347" s="3" t="n">
        <v>1</v>
      </c>
      <c r="BJ347" s="3" t="n">
        <v>1</v>
      </c>
    </row>
    <row r="348" customFormat="false" ht="12.75" hidden="false" customHeight="false" outlineLevel="0" collapsed="false">
      <c r="B348" s="17" t="s">
        <v>2868</v>
      </c>
      <c r="C348" s="17" t="s">
        <v>2869</v>
      </c>
      <c r="D348" s="17" t="s">
        <v>519</v>
      </c>
      <c r="E348" s="2" t="n">
        <v>209308</v>
      </c>
      <c r="F348" s="15" t="n">
        <v>44242</v>
      </c>
      <c r="G348" s="15" t="n">
        <v>44218</v>
      </c>
      <c r="H348" s="3" t="n">
        <v>8</v>
      </c>
      <c r="I348" s="3" t="n">
        <v>1</v>
      </c>
      <c r="J348" s="3" t="n">
        <v>71</v>
      </c>
      <c r="K348" s="3" t="n">
        <v>2</v>
      </c>
      <c r="L348" s="3" t="n">
        <v>1</v>
      </c>
      <c r="M348" s="3" t="n">
        <v>1</v>
      </c>
      <c r="N348" s="3" t="n">
        <v>2</v>
      </c>
      <c r="O348" s="3" t="n">
        <v>2</v>
      </c>
      <c r="P348" s="3" t="n">
        <v>2</v>
      </c>
      <c r="Q348" s="3" t="n">
        <v>1</v>
      </c>
      <c r="R348" s="3" t="n">
        <v>2</v>
      </c>
      <c r="S348" s="3" t="n">
        <v>1</v>
      </c>
      <c r="T348" s="4" t="n">
        <v>2</v>
      </c>
      <c r="U348" s="3" t="n">
        <v>2</v>
      </c>
      <c r="V348" s="19" t="s">
        <v>2870</v>
      </c>
      <c r="W348" s="19" t="s">
        <v>1391</v>
      </c>
      <c r="X348" s="19" t="s">
        <v>2871</v>
      </c>
      <c r="Y348" s="3" t="n">
        <v>457</v>
      </c>
      <c r="AA348" s="19" t="s">
        <v>2872</v>
      </c>
      <c r="AB348" s="19" t="s">
        <v>2873</v>
      </c>
      <c r="AC348" s="3" t="n">
        <v>1</v>
      </c>
      <c r="AD348" s="3" t="n">
        <v>2</v>
      </c>
      <c r="AE348" s="3" t="n">
        <v>2</v>
      </c>
      <c r="AF348" s="3" t="n">
        <v>1</v>
      </c>
      <c r="AG348" s="3" t="n">
        <v>2</v>
      </c>
      <c r="AH348" s="3" t="n">
        <v>2</v>
      </c>
      <c r="AI348" s="3" t="n">
        <v>1</v>
      </c>
      <c r="AJ348" s="3" t="n">
        <v>1</v>
      </c>
      <c r="AK348" s="3" t="n">
        <v>2</v>
      </c>
      <c r="AL348" s="3" t="n">
        <v>2</v>
      </c>
      <c r="AM348" s="3" t="n">
        <v>2</v>
      </c>
      <c r="AN348" s="3" t="n">
        <v>2</v>
      </c>
      <c r="AO348" s="3" t="n">
        <v>2</v>
      </c>
      <c r="AP348" s="3" t="n">
        <v>3</v>
      </c>
      <c r="AQ348" s="3" t="n">
        <v>4</v>
      </c>
      <c r="AR348" s="3" t="n">
        <v>4</v>
      </c>
      <c r="AS348" s="3" t="n">
        <v>6</v>
      </c>
      <c r="AT348" s="3" t="n">
        <v>4</v>
      </c>
      <c r="AU348" s="3" t="n">
        <v>4</v>
      </c>
      <c r="AV348" s="3" t="n">
        <v>6</v>
      </c>
      <c r="AW348" s="3" t="n">
        <v>6</v>
      </c>
      <c r="AX348" s="3" t="n">
        <v>3</v>
      </c>
      <c r="AY348" s="3" t="n">
        <v>3</v>
      </c>
      <c r="AZ348" s="3" t="n">
        <v>1</v>
      </c>
      <c r="BA348" s="5" t="n">
        <v>1</v>
      </c>
      <c r="BB348" s="3" t="n">
        <v>1</v>
      </c>
      <c r="BC348" s="3" t="n">
        <v>1</v>
      </c>
      <c r="BD348" s="3" t="n">
        <v>4</v>
      </c>
      <c r="BE348" s="3" t="n">
        <v>2</v>
      </c>
      <c r="BF348" s="3" t="n">
        <v>1</v>
      </c>
      <c r="BG348" s="3" t="n">
        <v>2</v>
      </c>
      <c r="BH348" s="3" t="n">
        <v>4</v>
      </c>
      <c r="BI348" s="3" t="n">
        <v>1</v>
      </c>
      <c r="BJ348" s="3" t="n">
        <v>1</v>
      </c>
    </row>
    <row r="349" customFormat="false" ht="12.75" hidden="false" customHeight="false" outlineLevel="0" collapsed="false">
      <c r="B349" s="17" t="s">
        <v>2882</v>
      </c>
      <c r="C349" s="17" t="s">
        <v>2563</v>
      </c>
      <c r="D349" s="17" t="s">
        <v>2883</v>
      </c>
      <c r="E349" s="2" t="n">
        <v>209471</v>
      </c>
      <c r="F349" s="15" t="n">
        <v>44248</v>
      </c>
      <c r="G349" s="15" t="n">
        <v>44255</v>
      </c>
      <c r="H349" s="3" t="n">
        <v>7</v>
      </c>
      <c r="I349" s="3" t="n">
        <v>2</v>
      </c>
      <c r="J349" s="3" t="n">
        <v>67</v>
      </c>
      <c r="K349" s="3" t="n">
        <v>1</v>
      </c>
      <c r="L349" s="3" t="n">
        <v>1</v>
      </c>
      <c r="M349" s="3" t="n">
        <v>1</v>
      </c>
      <c r="N349" s="3" t="n">
        <v>1</v>
      </c>
      <c r="O349" s="3" t="n">
        <v>2</v>
      </c>
      <c r="P349" s="3" t="n">
        <v>2</v>
      </c>
      <c r="Q349" s="3" t="n">
        <v>1</v>
      </c>
      <c r="R349" s="3" t="n">
        <v>2</v>
      </c>
      <c r="S349" s="3" t="n">
        <v>2</v>
      </c>
      <c r="T349" s="4" t="n">
        <v>2</v>
      </c>
      <c r="U349" s="3" t="n">
        <v>2</v>
      </c>
      <c r="V349" s="3"/>
      <c r="W349" s="3"/>
      <c r="X349" s="3"/>
      <c r="Y349" s="3"/>
      <c r="AA349" s="3"/>
      <c r="AB349" s="3"/>
      <c r="AC349" s="3"/>
      <c r="AD349" s="3" t="n">
        <v>2</v>
      </c>
      <c r="AE349" s="3" t="n">
        <v>1</v>
      </c>
      <c r="AF349" s="3" t="n">
        <v>1</v>
      </c>
      <c r="AG349" s="3" t="n">
        <v>2</v>
      </c>
      <c r="AH349" s="3" t="n">
        <v>2</v>
      </c>
      <c r="AI349" s="3" t="n">
        <v>1</v>
      </c>
      <c r="AJ349" s="3" t="n">
        <v>2</v>
      </c>
      <c r="AK349" s="3" t="n">
        <v>2</v>
      </c>
      <c r="AL349" s="3" t="n">
        <v>2</v>
      </c>
      <c r="AM349" s="3" t="n">
        <v>2</v>
      </c>
      <c r="AN349" s="3" t="n">
        <v>2</v>
      </c>
      <c r="AO349" s="3" t="n">
        <v>2</v>
      </c>
      <c r="AP349" s="3" t="n">
        <v>3</v>
      </c>
      <c r="AQ349" s="3" t="n">
        <v>4</v>
      </c>
      <c r="AR349" s="3" t="n">
        <v>4</v>
      </c>
      <c r="AS349" s="3" t="n">
        <v>6</v>
      </c>
      <c r="AT349" s="3" t="n">
        <v>4</v>
      </c>
      <c r="AU349" s="3" t="n">
        <v>4</v>
      </c>
      <c r="AV349" s="3" t="n">
        <v>6</v>
      </c>
      <c r="AW349" s="3" t="n">
        <v>6</v>
      </c>
      <c r="AX349" s="3" t="n">
        <v>3</v>
      </c>
      <c r="AY349" s="3" t="n">
        <v>3</v>
      </c>
      <c r="AZ349" s="3" t="n">
        <v>1</v>
      </c>
      <c r="BA349" s="5" t="n">
        <v>1</v>
      </c>
      <c r="BB349" s="3" t="n">
        <v>1</v>
      </c>
      <c r="BC349" s="3" t="n">
        <v>1</v>
      </c>
      <c r="BD349" s="3" t="n">
        <v>4</v>
      </c>
      <c r="BE349" s="3" t="n">
        <v>1</v>
      </c>
      <c r="BF349" s="3" t="n">
        <v>2</v>
      </c>
      <c r="BG349" s="3" t="n">
        <v>1</v>
      </c>
      <c r="BH349" s="3" t="n">
        <v>4</v>
      </c>
      <c r="BI349" s="3" t="n">
        <v>1</v>
      </c>
      <c r="BJ349" s="3" t="n">
        <v>1</v>
      </c>
    </row>
    <row r="350" customFormat="false" ht="12.75" hidden="false" customHeight="false" outlineLevel="0" collapsed="false">
      <c r="B350" s="17" t="s">
        <v>2888</v>
      </c>
      <c r="C350" s="17" t="s">
        <v>898</v>
      </c>
      <c r="D350" s="17" t="s">
        <v>2332</v>
      </c>
      <c r="E350" s="2" t="n">
        <v>209347</v>
      </c>
      <c r="F350" s="15" t="n">
        <v>44244</v>
      </c>
      <c r="G350" s="15" t="n">
        <v>44251</v>
      </c>
      <c r="H350" s="3" t="n">
        <v>7</v>
      </c>
      <c r="I350" s="3" t="n">
        <v>1</v>
      </c>
      <c r="J350" s="3" t="n">
        <v>61</v>
      </c>
      <c r="K350" s="3" t="n">
        <v>2</v>
      </c>
      <c r="L350" s="3" t="n">
        <v>1</v>
      </c>
      <c r="M350" s="3" t="n">
        <v>1</v>
      </c>
      <c r="N350" s="3" t="n">
        <v>2</v>
      </c>
      <c r="O350" s="3" t="n">
        <v>2</v>
      </c>
      <c r="P350" s="3" t="n">
        <v>2</v>
      </c>
      <c r="Q350" s="3" t="n">
        <v>2</v>
      </c>
      <c r="R350" s="3" t="n">
        <v>2</v>
      </c>
      <c r="S350" s="3" t="n">
        <v>2</v>
      </c>
      <c r="T350" s="4" t="n">
        <v>2</v>
      </c>
      <c r="U350" s="3" t="n">
        <v>2</v>
      </c>
      <c r="V350" s="19" t="s">
        <v>2889</v>
      </c>
      <c r="W350" s="19" t="s">
        <v>2890</v>
      </c>
      <c r="X350" s="19" t="s">
        <v>2891</v>
      </c>
      <c r="Y350" s="3" t="n">
        <v>268</v>
      </c>
      <c r="AA350" s="19" t="s">
        <v>1427</v>
      </c>
      <c r="AB350" s="19" t="s">
        <v>2892</v>
      </c>
      <c r="AC350" s="3"/>
      <c r="AD350" s="3" t="n">
        <v>2</v>
      </c>
      <c r="AE350" s="3" t="n">
        <v>1</v>
      </c>
      <c r="AF350" s="3" t="n">
        <v>1</v>
      </c>
      <c r="AG350" s="3" t="n">
        <v>2</v>
      </c>
      <c r="AH350" s="3" t="n">
        <v>1</v>
      </c>
      <c r="AI350" s="3" t="n">
        <v>1</v>
      </c>
      <c r="AJ350" s="3" t="n">
        <v>2</v>
      </c>
      <c r="AK350" s="3" t="n">
        <v>2</v>
      </c>
      <c r="AL350" s="3" t="n">
        <v>2</v>
      </c>
      <c r="AM350" s="3" t="n">
        <v>1</v>
      </c>
      <c r="AN350" s="3" t="n">
        <v>2</v>
      </c>
      <c r="AO350" s="3" t="n">
        <v>2</v>
      </c>
      <c r="AP350" s="3" t="n">
        <v>3</v>
      </c>
      <c r="AQ350" s="3" t="n">
        <v>4</v>
      </c>
      <c r="AR350" s="3" t="n">
        <v>4</v>
      </c>
      <c r="AS350" s="3" t="n">
        <v>6</v>
      </c>
      <c r="AT350" s="3" t="n">
        <v>4</v>
      </c>
      <c r="AU350" s="3" t="n">
        <v>4</v>
      </c>
      <c r="AV350" s="3" t="n">
        <v>6</v>
      </c>
      <c r="AW350" s="3" t="n">
        <v>6</v>
      </c>
      <c r="AX350" s="3" t="n">
        <v>3</v>
      </c>
      <c r="AY350" s="3" t="n">
        <v>3</v>
      </c>
      <c r="AZ350" s="3" t="n">
        <v>1</v>
      </c>
      <c r="BA350" s="5" t="n">
        <v>1</v>
      </c>
      <c r="BB350" s="19" t="n">
        <v>1</v>
      </c>
      <c r="BC350" s="19" t="n">
        <v>1</v>
      </c>
      <c r="BD350" s="19" t="n">
        <v>2</v>
      </c>
      <c r="BE350" s="19" t="n">
        <v>1</v>
      </c>
      <c r="BF350" s="19" t="n">
        <v>2</v>
      </c>
      <c r="BG350" s="19" t="n">
        <v>1</v>
      </c>
      <c r="BH350" s="19" t="n">
        <v>4</v>
      </c>
      <c r="BI350" s="19" t="n">
        <v>1</v>
      </c>
      <c r="BJ350" s="19" t="n">
        <v>1</v>
      </c>
    </row>
    <row r="351" customFormat="false" ht="12.75" hidden="false" customHeight="false" outlineLevel="0" collapsed="false">
      <c r="B351" s="17" t="s">
        <v>2894</v>
      </c>
      <c r="C351" s="17" t="s">
        <v>2895</v>
      </c>
      <c r="D351" s="17" t="s">
        <v>2896</v>
      </c>
      <c r="E351" s="2" t="n">
        <v>209336</v>
      </c>
      <c r="F351" s="15" t="n">
        <v>44243</v>
      </c>
      <c r="G351" s="15" t="n">
        <v>44250</v>
      </c>
      <c r="H351" s="3" t="n">
        <v>7</v>
      </c>
      <c r="I351" s="3" t="n">
        <v>2</v>
      </c>
      <c r="J351" s="3" t="n">
        <v>65</v>
      </c>
      <c r="K351" s="3" t="n">
        <v>2</v>
      </c>
      <c r="L351" s="3" t="n">
        <v>2</v>
      </c>
      <c r="M351" s="3" t="n">
        <v>1</v>
      </c>
      <c r="N351" s="3" t="n">
        <v>1</v>
      </c>
      <c r="O351" s="3" t="n">
        <v>2</v>
      </c>
      <c r="P351" s="3" t="n">
        <v>2</v>
      </c>
      <c r="Q351" s="3" t="n">
        <v>1</v>
      </c>
      <c r="R351" s="3" t="n">
        <v>2</v>
      </c>
      <c r="S351" s="3" t="n">
        <v>1</v>
      </c>
      <c r="T351" s="4" t="n">
        <v>2</v>
      </c>
      <c r="U351" s="3" t="n">
        <v>2</v>
      </c>
      <c r="V351" s="19" t="s">
        <v>2897</v>
      </c>
      <c r="W351" s="19" t="s">
        <v>1407</v>
      </c>
      <c r="X351" s="19" t="s">
        <v>2898</v>
      </c>
      <c r="Y351" s="3" t="n">
        <v>239</v>
      </c>
      <c r="AA351" s="19" t="s">
        <v>1262</v>
      </c>
      <c r="AB351" s="19" t="s">
        <v>2899</v>
      </c>
      <c r="AC351" s="3" t="n">
        <v>1</v>
      </c>
      <c r="AD351" s="3" t="n">
        <v>2</v>
      </c>
      <c r="AE351" s="3" t="n">
        <v>1</v>
      </c>
      <c r="AF351" s="3" t="n">
        <v>1</v>
      </c>
      <c r="AG351" s="3" t="n">
        <v>2</v>
      </c>
      <c r="AH351" s="3" t="n">
        <v>1</v>
      </c>
      <c r="AI351" s="3" t="n">
        <v>2</v>
      </c>
      <c r="AJ351" s="3" t="n">
        <v>1</v>
      </c>
      <c r="AK351" s="3" t="n">
        <v>2</v>
      </c>
      <c r="AL351" s="3" t="n">
        <v>2</v>
      </c>
      <c r="AM351" s="3" t="n">
        <v>2</v>
      </c>
      <c r="AN351" s="3" t="n">
        <v>2</v>
      </c>
      <c r="AO351" s="3" t="n">
        <v>2</v>
      </c>
      <c r="AP351" s="3" t="n">
        <v>3</v>
      </c>
      <c r="AQ351" s="3" t="n">
        <v>4</v>
      </c>
      <c r="AR351" s="3" t="n">
        <v>4</v>
      </c>
      <c r="AS351" s="3" t="n">
        <v>6</v>
      </c>
      <c r="AT351" s="3" t="n">
        <v>4</v>
      </c>
      <c r="AU351" s="3" t="n">
        <v>4</v>
      </c>
      <c r="AV351" s="3" t="n">
        <v>6</v>
      </c>
      <c r="AW351" s="3" t="n">
        <v>6</v>
      </c>
      <c r="AX351" s="3" t="n">
        <v>3</v>
      </c>
      <c r="AY351" s="3" t="n">
        <v>3</v>
      </c>
      <c r="AZ351" s="3" t="n">
        <v>1</v>
      </c>
      <c r="BA351" s="5" t="n">
        <v>1</v>
      </c>
      <c r="BB351" s="3" t="n">
        <v>1</v>
      </c>
      <c r="BC351" s="3" t="n">
        <v>1</v>
      </c>
      <c r="BD351" s="3" t="n">
        <v>2</v>
      </c>
      <c r="BE351" s="3" t="n">
        <v>3</v>
      </c>
      <c r="BF351" s="3" t="n">
        <v>5</v>
      </c>
      <c r="BG351" s="3" t="n">
        <v>3</v>
      </c>
      <c r="BH351" s="3" t="n">
        <v>4</v>
      </c>
      <c r="BI351" s="3" t="n">
        <v>1</v>
      </c>
      <c r="BJ351" s="3" t="n">
        <v>1</v>
      </c>
    </row>
    <row r="352" customFormat="false" ht="12.75" hidden="false" customHeight="false" outlineLevel="0" collapsed="false">
      <c r="B352" s="17" t="s">
        <v>2900</v>
      </c>
      <c r="C352" s="17" t="s">
        <v>1830</v>
      </c>
      <c r="D352" s="17" t="s">
        <v>433</v>
      </c>
      <c r="E352" s="2" t="n">
        <v>208435</v>
      </c>
      <c r="F352" s="15" t="n">
        <v>44238</v>
      </c>
      <c r="G352" s="15" t="n">
        <v>44249</v>
      </c>
      <c r="H352" s="3" t="n">
        <v>11</v>
      </c>
      <c r="I352" s="3" t="n">
        <v>1</v>
      </c>
      <c r="J352" s="3" t="n">
        <v>77</v>
      </c>
      <c r="K352" s="3" t="n">
        <v>1</v>
      </c>
      <c r="L352" s="3" t="n">
        <v>2</v>
      </c>
      <c r="M352" s="3" t="n">
        <v>1</v>
      </c>
      <c r="N352" s="3" t="n">
        <v>2</v>
      </c>
      <c r="O352" s="3" t="n">
        <v>2</v>
      </c>
      <c r="P352" s="3" t="n">
        <v>1</v>
      </c>
      <c r="Q352" s="3" t="n">
        <v>2</v>
      </c>
      <c r="R352" s="3" t="n">
        <v>2</v>
      </c>
      <c r="S352" s="3" t="n">
        <v>2</v>
      </c>
      <c r="T352" s="4" t="n">
        <v>2</v>
      </c>
      <c r="U352" s="3" t="n">
        <v>2</v>
      </c>
      <c r="V352" s="19" t="n">
        <v>4.38</v>
      </c>
      <c r="W352" s="19" t="n">
        <v>0.86</v>
      </c>
      <c r="X352" s="19" t="n">
        <v>20.82</v>
      </c>
      <c r="Y352" s="3"/>
      <c r="AA352" s="19" t="n">
        <v>0.46</v>
      </c>
      <c r="AB352" s="19"/>
      <c r="AC352" s="3" t="n">
        <v>1</v>
      </c>
      <c r="AD352" s="3" t="n">
        <v>2</v>
      </c>
      <c r="AE352" s="3" t="n">
        <v>1</v>
      </c>
      <c r="AF352" s="3" t="n">
        <v>1</v>
      </c>
      <c r="AG352" s="3" t="n">
        <v>1</v>
      </c>
      <c r="AH352" s="3" t="n">
        <v>2</v>
      </c>
      <c r="AI352" s="3" t="n">
        <v>1</v>
      </c>
      <c r="AJ352" s="3" t="n">
        <v>2</v>
      </c>
      <c r="AK352" s="3" t="n">
        <v>2</v>
      </c>
      <c r="AL352" s="3" t="n">
        <v>2</v>
      </c>
      <c r="AM352" s="3" t="n">
        <v>2</v>
      </c>
      <c r="AN352" s="3" t="n">
        <v>2</v>
      </c>
      <c r="AO352" s="3" t="n">
        <v>2</v>
      </c>
      <c r="AP352" s="3" t="n">
        <v>3</v>
      </c>
      <c r="AQ352" s="3" t="n">
        <v>4</v>
      </c>
      <c r="AR352" s="3" t="n">
        <v>4</v>
      </c>
      <c r="AS352" s="3" t="n">
        <v>6</v>
      </c>
      <c r="AT352" s="3" t="n">
        <v>4</v>
      </c>
      <c r="AU352" s="3" t="n">
        <v>4</v>
      </c>
      <c r="AV352" s="3" t="n">
        <v>6</v>
      </c>
      <c r="AW352" s="3" t="n">
        <v>6</v>
      </c>
      <c r="AX352" s="3" t="n">
        <v>3</v>
      </c>
      <c r="AY352" s="3" t="n">
        <v>3</v>
      </c>
      <c r="AZ352" s="3" t="n">
        <v>1</v>
      </c>
      <c r="BA352" s="5" t="n">
        <v>1</v>
      </c>
      <c r="BB352" s="3" t="n">
        <v>1</v>
      </c>
      <c r="BC352" s="3" t="n">
        <v>1</v>
      </c>
      <c r="BD352" s="3" t="n">
        <v>2</v>
      </c>
      <c r="BE352" s="3" t="n">
        <v>1</v>
      </c>
      <c r="BF352" s="3" t="n">
        <v>2</v>
      </c>
      <c r="BG352" s="3" t="n">
        <v>1</v>
      </c>
      <c r="BH352" s="3" t="n">
        <v>4</v>
      </c>
      <c r="BI352" s="3" t="n">
        <v>1</v>
      </c>
      <c r="BJ352" s="3" t="n">
        <v>1</v>
      </c>
    </row>
    <row r="353" customFormat="false" ht="12.75" hidden="false" customHeight="false" outlineLevel="0" collapsed="false">
      <c r="B353" s="17" t="s">
        <v>2904</v>
      </c>
      <c r="C353" s="17" t="s">
        <v>2905</v>
      </c>
      <c r="D353" s="17" t="s">
        <v>293</v>
      </c>
      <c r="E353" s="2" t="n">
        <v>209433</v>
      </c>
      <c r="F353" s="15" t="n">
        <v>44247</v>
      </c>
      <c r="G353" s="15" t="n">
        <v>44253</v>
      </c>
      <c r="H353" s="3" t="n">
        <v>6</v>
      </c>
      <c r="I353" s="3" t="n">
        <v>2</v>
      </c>
      <c r="J353" s="3" t="n">
        <v>59</v>
      </c>
      <c r="K353" s="3" t="n">
        <v>1</v>
      </c>
      <c r="L353" s="3" t="n">
        <v>1</v>
      </c>
      <c r="M353" s="3" t="n">
        <v>1</v>
      </c>
      <c r="N353" s="3" t="n">
        <v>2</v>
      </c>
      <c r="O353" s="3" t="n">
        <v>2</v>
      </c>
      <c r="P353" s="3" t="n">
        <v>2</v>
      </c>
      <c r="Q353" s="3" t="n">
        <v>2</v>
      </c>
      <c r="R353" s="3" t="n">
        <v>2</v>
      </c>
      <c r="S353" s="3" t="n">
        <v>2</v>
      </c>
      <c r="T353" s="4" t="n">
        <v>2</v>
      </c>
      <c r="U353" s="3" t="n">
        <v>2</v>
      </c>
      <c r="V353" s="3"/>
      <c r="W353" s="3"/>
      <c r="X353" s="3"/>
      <c r="Y353" s="3"/>
      <c r="AA353" s="3"/>
      <c r="AB353" s="3"/>
      <c r="AC353" s="3"/>
      <c r="AD353" s="3" t="n">
        <v>2</v>
      </c>
      <c r="AE353" s="3" t="n">
        <v>1</v>
      </c>
      <c r="AF353" s="3" t="n">
        <v>1</v>
      </c>
      <c r="AG353" s="3" t="n">
        <v>2</v>
      </c>
      <c r="AH353" s="3" t="n">
        <v>1</v>
      </c>
      <c r="AI353" s="3" t="n">
        <v>1</v>
      </c>
      <c r="AJ353" s="3" t="n">
        <v>2</v>
      </c>
      <c r="AK353" s="3" t="n">
        <v>2</v>
      </c>
      <c r="AL353" s="3" t="n">
        <v>2</v>
      </c>
      <c r="AM353" s="3" t="n">
        <v>1</v>
      </c>
      <c r="AN353" s="3" t="n">
        <v>2</v>
      </c>
      <c r="AO353" s="3" t="n">
        <v>2</v>
      </c>
      <c r="AP353" s="3" t="n">
        <v>3</v>
      </c>
      <c r="AQ353" s="3" t="n">
        <v>4</v>
      </c>
      <c r="AR353" s="3" t="n">
        <v>4</v>
      </c>
      <c r="AS353" s="3" t="n">
        <v>6</v>
      </c>
      <c r="AT353" s="3" t="n">
        <v>4</v>
      </c>
      <c r="AU353" s="3" t="n">
        <v>4</v>
      </c>
      <c r="AV353" s="3" t="n">
        <v>6</v>
      </c>
      <c r="AW353" s="3" t="n">
        <v>6</v>
      </c>
      <c r="AX353" s="3" t="n">
        <v>3</v>
      </c>
      <c r="AY353" s="3" t="n">
        <v>3</v>
      </c>
      <c r="AZ353" s="3" t="n">
        <v>4</v>
      </c>
      <c r="BA353" s="5" t="n">
        <v>1</v>
      </c>
      <c r="BB353" s="3" t="n">
        <v>1</v>
      </c>
      <c r="BC353" s="3" t="n">
        <v>1</v>
      </c>
      <c r="BD353" s="3" t="n">
        <v>2</v>
      </c>
      <c r="BE353" s="3" t="n">
        <v>1</v>
      </c>
      <c r="BF353" s="3" t="n">
        <v>2</v>
      </c>
      <c r="BG353" s="3" t="n">
        <v>2</v>
      </c>
      <c r="BH353" s="3" t="n">
        <v>4</v>
      </c>
      <c r="BI353" s="3" t="n">
        <v>1</v>
      </c>
      <c r="BJ353" s="3" t="n">
        <v>1</v>
      </c>
    </row>
    <row r="354" customFormat="false" ht="12.75" hidden="false" customHeight="false" outlineLevel="0" collapsed="false">
      <c r="B354" s="17" t="s">
        <v>1477</v>
      </c>
      <c r="C354" s="17" t="s">
        <v>109</v>
      </c>
      <c r="D354" s="17" t="s">
        <v>2907</v>
      </c>
      <c r="E354" s="2" t="n">
        <v>209416</v>
      </c>
      <c r="F354" s="15" t="n">
        <v>44246</v>
      </c>
      <c r="G354" s="15" t="n">
        <v>44253</v>
      </c>
      <c r="H354" s="3" t="n">
        <v>7</v>
      </c>
      <c r="I354" s="3" t="n">
        <v>2</v>
      </c>
      <c r="J354" s="3" t="n">
        <v>62</v>
      </c>
      <c r="K354" s="3" t="n">
        <v>1</v>
      </c>
      <c r="L354" s="3" t="n">
        <v>1</v>
      </c>
      <c r="M354" s="3" t="n">
        <v>2</v>
      </c>
      <c r="N354" s="3" t="n">
        <v>2</v>
      </c>
      <c r="O354" s="3" t="n">
        <v>2</v>
      </c>
      <c r="P354" s="3" t="n">
        <v>2</v>
      </c>
      <c r="Q354" s="3" t="n">
        <v>2</v>
      </c>
      <c r="R354" s="3" t="n">
        <v>2</v>
      </c>
      <c r="S354" s="3" t="n">
        <v>2</v>
      </c>
      <c r="T354" s="4" t="n">
        <v>2</v>
      </c>
      <c r="U354" s="3" t="n">
        <v>2</v>
      </c>
      <c r="V354" s="3" t="n">
        <v>5.5</v>
      </c>
      <c r="W354" s="3" t="n">
        <v>0.51</v>
      </c>
      <c r="X354" s="3" t="n">
        <v>3.69</v>
      </c>
      <c r="Y354" s="3" t="n">
        <v>332</v>
      </c>
      <c r="AA354" s="3" t="n">
        <v>0.4</v>
      </c>
      <c r="AB354" s="3" t="n">
        <v>15</v>
      </c>
      <c r="AC354" s="3" t="n">
        <v>1</v>
      </c>
      <c r="AD354" s="3" t="n">
        <v>2</v>
      </c>
      <c r="AE354" s="3" t="n">
        <v>1</v>
      </c>
      <c r="AF354" s="3" t="n">
        <v>1</v>
      </c>
      <c r="AG354" s="3" t="n">
        <v>1</v>
      </c>
      <c r="AH354" s="3" t="n">
        <v>2</v>
      </c>
      <c r="AI354" s="3" t="n">
        <v>1</v>
      </c>
      <c r="AJ354" s="3" t="n">
        <v>2</v>
      </c>
      <c r="AK354" s="3" t="n">
        <v>2</v>
      </c>
      <c r="AL354" s="3" t="n">
        <v>2</v>
      </c>
      <c r="AM354" s="3" t="n">
        <v>2</v>
      </c>
      <c r="AN354" s="3" t="n">
        <v>2</v>
      </c>
      <c r="AO354" s="3" t="n">
        <v>2</v>
      </c>
      <c r="AP354" s="3" t="n">
        <v>3</v>
      </c>
      <c r="AQ354" s="3" t="n">
        <v>4</v>
      </c>
      <c r="AR354" s="3" t="n">
        <v>4</v>
      </c>
      <c r="AS354" s="3" t="n">
        <v>6</v>
      </c>
      <c r="AT354" s="3" t="n">
        <v>4</v>
      </c>
      <c r="AU354" s="3" t="n">
        <v>4</v>
      </c>
      <c r="AV354" s="3" t="n">
        <v>6</v>
      </c>
      <c r="AW354" s="3" t="n">
        <v>6</v>
      </c>
      <c r="AX354" s="3" t="n">
        <v>3</v>
      </c>
      <c r="AY354" s="3" t="n">
        <v>3</v>
      </c>
      <c r="AZ354" s="3" t="n">
        <v>1</v>
      </c>
      <c r="BA354" s="5" t="n">
        <v>1</v>
      </c>
      <c r="BB354" s="3" t="n">
        <v>1</v>
      </c>
      <c r="BC354" s="3" t="n">
        <v>1</v>
      </c>
      <c r="BD354" s="3" t="n">
        <v>2</v>
      </c>
      <c r="BE354" s="3" t="n">
        <v>1</v>
      </c>
      <c r="BF354" s="3" t="n">
        <v>2</v>
      </c>
      <c r="BG354" s="3" t="n">
        <v>1</v>
      </c>
      <c r="BH354" s="3" t="n">
        <v>4</v>
      </c>
      <c r="BI354" s="3" t="n">
        <v>1</v>
      </c>
      <c r="BJ354" s="3" t="n">
        <v>1</v>
      </c>
    </row>
    <row r="355" customFormat="false" ht="12.75" hidden="false" customHeight="false" outlineLevel="0" collapsed="false">
      <c r="B355" s="17" t="s">
        <v>2915</v>
      </c>
      <c r="C355" s="17" t="s">
        <v>2916</v>
      </c>
      <c r="D355" s="17" t="s">
        <v>2917</v>
      </c>
      <c r="E355" s="2" t="n">
        <v>209409</v>
      </c>
      <c r="F355" s="15" t="n">
        <v>44246</v>
      </c>
      <c r="G355" s="15" t="n">
        <v>44256</v>
      </c>
      <c r="H355" s="3" t="n">
        <v>10</v>
      </c>
      <c r="I355" s="3" t="n">
        <v>2</v>
      </c>
      <c r="J355" s="3" t="n">
        <v>71</v>
      </c>
      <c r="K355" s="3" t="n">
        <v>1</v>
      </c>
      <c r="L355" s="3" t="n">
        <v>2</v>
      </c>
      <c r="M355" s="3" t="n">
        <v>2</v>
      </c>
      <c r="N355" s="3" t="n">
        <v>2</v>
      </c>
      <c r="O355" s="3" t="n">
        <v>2</v>
      </c>
      <c r="P355" s="3" t="n">
        <v>2</v>
      </c>
      <c r="Q355" s="3" t="n">
        <v>2</v>
      </c>
      <c r="R355" s="3" t="n">
        <v>2</v>
      </c>
      <c r="S355" s="3" t="n">
        <v>2</v>
      </c>
      <c r="T355" s="4" t="n">
        <v>2</v>
      </c>
      <c r="U355" s="3" t="n">
        <v>2</v>
      </c>
      <c r="V355" s="3" t="n">
        <v>5.47</v>
      </c>
      <c r="W355" s="3" t="n">
        <v>1.52</v>
      </c>
      <c r="X355" s="3" t="n">
        <v>9.72</v>
      </c>
      <c r="Y355" s="3" t="n">
        <v>404</v>
      </c>
      <c r="AA355" s="3" t="n">
        <v>0.45</v>
      </c>
      <c r="AB355" s="3" t="n">
        <v>11</v>
      </c>
      <c r="AC355" s="3" t="n">
        <v>1</v>
      </c>
      <c r="AD355" s="3" t="n">
        <v>2</v>
      </c>
      <c r="AE355" s="3" t="n">
        <v>1</v>
      </c>
      <c r="AF355" s="3" t="n">
        <v>1</v>
      </c>
      <c r="AG355" s="3" t="n">
        <v>1</v>
      </c>
      <c r="AH355" s="3" t="n">
        <v>2</v>
      </c>
      <c r="AI355" s="3" t="n">
        <v>1</v>
      </c>
      <c r="AJ355" s="3" t="n">
        <v>2</v>
      </c>
      <c r="AK355" s="3" t="n">
        <v>2</v>
      </c>
      <c r="AL355" s="3" t="n">
        <v>1</v>
      </c>
      <c r="AM355" s="3" t="n">
        <v>1</v>
      </c>
      <c r="AN355" s="3" t="n">
        <v>2</v>
      </c>
      <c r="AO355" s="3" t="n">
        <v>2</v>
      </c>
      <c r="AP355" s="3" t="n">
        <v>2</v>
      </c>
      <c r="AQ355" s="3" t="n">
        <v>2</v>
      </c>
      <c r="AR355" s="3" t="n">
        <v>2</v>
      </c>
      <c r="AS355" s="3" t="n">
        <v>2</v>
      </c>
      <c r="AT355" s="3" t="n">
        <v>1</v>
      </c>
      <c r="AU355" s="3" t="n">
        <v>1</v>
      </c>
      <c r="AV355" s="3" t="n">
        <v>1</v>
      </c>
      <c r="AW355" s="3" t="n">
        <v>1</v>
      </c>
      <c r="AX355" s="3" t="n">
        <v>2</v>
      </c>
      <c r="AY355" s="3" t="n">
        <v>2</v>
      </c>
      <c r="AZ355" s="3" t="n">
        <v>4</v>
      </c>
      <c r="BA355" s="5" t="n">
        <v>1</v>
      </c>
      <c r="BB355" s="3" t="n">
        <v>1</v>
      </c>
      <c r="BC355" s="3" t="n">
        <v>1</v>
      </c>
      <c r="BD355" s="3" t="n">
        <v>2</v>
      </c>
      <c r="BE355" s="3" t="n">
        <v>1</v>
      </c>
      <c r="BF355" s="3" t="n">
        <v>2</v>
      </c>
      <c r="BG355" s="3" t="n">
        <v>1</v>
      </c>
      <c r="BH355" s="3" t="n">
        <v>4</v>
      </c>
      <c r="BI355" s="3" t="n">
        <v>1</v>
      </c>
      <c r="BJ355" s="3" t="n">
        <v>1</v>
      </c>
    </row>
    <row r="356" customFormat="false" ht="12.75" hidden="false" customHeight="false" outlineLevel="0" collapsed="false">
      <c r="B356" s="17" t="s">
        <v>2926</v>
      </c>
      <c r="C356" s="17" t="s">
        <v>2927</v>
      </c>
      <c r="D356" s="17" t="s">
        <v>78</v>
      </c>
      <c r="E356" s="2" t="n">
        <v>209713</v>
      </c>
      <c r="F356" s="15" t="n">
        <v>44251</v>
      </c>
      <c r="G356" s="15" t="n">
        <v>44257</v>
      </c>
      <c r="H356" s="3" t="n">
        <v>6</v>
      </c>
      <c r="I356" s="3" t="n">
        <v>1</v>
      </c>
      <c r="J356" s="3" t="n">
        <v>72</v>
      </c>
      <c r="K356" s="3" t="n">
        <v>1</v>
      </c>
      <c r="L356" s="3" t="n">
        <v>1</v>
      </c>
      <c r="M356" s="3" t="n">
        <v>1</v>
      </c>
      <c r="N356" s="3" t="n">
        <v>2</v>
      </c>
      <c r="O356" s="3" t="n">
        <v>2</v>
      </c>
      <c r="P356" s="3" t="n">
        <v>2</v>
      </c>
      <c r="Q356" s="3" t="n">
        <v>2</v>
      </c>
      <c r="R356" s="3" t="n">
        <v>2</v>
      </c>
      <c r="S356" s="3" t="n">
        <v>2</v>
      </c>
      <c r="T356" s="4" t="n">
        <v>1</v>
      </c>
      <c r="U356" s="3" t="n">
        <v>1</v>
      </c>
      <c r="V356" s="3" t="n">
        <v>4.24</v>
      </c>
      <c r="W356" s="3" t="n">
        <v>1.56</v>
      </c>
      <c r="X356" s="3" t="n">
        <v>4.33</v>
      </c>
      <c r="Y356" s="3" t="n">
        <v>342</v>
      </c>
      <c r="AA356" s="3" t="n">
        <v>0.48</v>
      </c>
      <c r="AB356" s="3" t="n">
        <v>12</v>
      </c>
      <c r="AC356" s="3" t="n">
        <v>1</v>
      </c>
      <c r="AD356" s="3" t="n">
        <v>2</v>
      </c>
      <c r="AE356" s="3" t="n">
        <v>2</v>
      </c>
      <c r="AF356" s="3" t="n">
        <v>1</v>
      </c>
      <c r="AG356" s="3" t="n">
        <v>1</v>
      </c>
      <c r="AH356" s="3" t="n">
        <v>2</v>
      </c>
      <c r="AI356" s="3" t="n">
        <v>1</v>
      </c>
      <c r="AJ356" s="3" t="n">
        <v>2</v>
      </c>
      <c r="AK356" s="3" t="n">
        <v>2</v>
      </c>
      <c r="AL356" s="3" t="n">
        <v>2</v>
      </c>
      <c r="AM356" s="3" t="n">
        <v>1</v>
      </c>
      <c r="AN356" s="3" t="n">
        <v>2</v>
      </c>
      <c r="AO356" s="3" t="n">
        <v>2</v>
      </c>
      <c r="AP356" s="3" t="n">
        <v>3</v>
      </c>
      <c r="AQ356" s="3" t="n">
        <v>4</v>
      </c>
      <c r="AR356" s="3" t="n">
        <v>4</v>
      </c>
      <c r="AS356" s="3" t="n">
        <v>6</v>
      </c>
      <c r="AT356" s="3" t="n">
        <v>4</v>
      </c>
      <c r="AU356" s="3" t="n">
        <v>4</v>
      </c>
      <c r="AV356" s="3" t="n">
        <v>6</v>
      </c>
      <c r="AW356" s="3" t="n">
        <v>6</v>
      </c>
      <c r="AX356" s="3" t="n">
        <v>3</v>
      </c>
      <c r="AY356" s="3" t="n">
        <v>3</v>
      </c>
      <c r="AZ356" s="3" t="n">
        <v>1</v>
      </c>
      <c r="BA356" s="5" t="n">
        <v>1</v>
      </c>
      <c r="BB356" s="3" t="n">
        <v>2</v>
      </c>
      <c r="BC356" s="3" t="n">
        <v>1</v>
      </c>
      <c r="BD356" s="3" t="n">
        <v>6</v>
      </c>
      <c r="BE356" s="3" t="n">
        <v>1</v>
      </c>
      <c r="BF356" s="3" t="n">
        <v>2</v>
      </c>
      <c r="BG356" s="3" t="n">
        <v>1</v>
      </c>
      <c r="BH356" s="3" t="n">
        <v>4</v>
      </c>
      <c r="BI356" s="3" t="n">
        <v>1</v>
      </c>
      <c r="BJ356" s="3" t="n">
        <v>1</v>
      </c>
    </row>
    <row r="357" customFormat="false" ht="12.75" hidden="false" customHeight="false" outlineLevel="0" collapsed="false">
      <c r="B357" s="17" t="s">
        <v>2929</v>
      </c>
      <c r="C357" s="17" t="s">
        <v>2930</v>
      </c>
      <c r="D357" s="17" t="s">
        <v>94</v>
      </c>
      <c r="E357" s="2" t="n">
        <v>209649</v>
      </c>
      <c r="F357" s="15" t="n">
        <v>44253</v>
      </c>
      <c r="G357" s="15" t="n">
        <v>44259</v>
      </c>
      <c r="H357" s="3" t="n">
        <v>6</v>
      </c>
      <c r="I357" s="3" t="n">
        <v>1</v>
      </c>
      <c r="J357" s="3" t="n">
        <v>62</v>
      </c>
      <c r="K357" s="3" t="n">
        <v>1</v>
      </c>
      <c r="L357" s="3" t="n">
        <v>1</v>
      </c>
      <c r="M357" s="3" t="n">
        <v>1</v>
      </c>
      <c r="N357" s="3" t="n">
        <v>2</v>
      </c>
      <c r="O357" s="3" t="n">
        <v>2</v>
      </c>
      <c r="P357" s="3" t="n">
        <v>2</v>
      </c>
      <c r="Q357" s="3" t="n">
        <v>2</v>
      </c>
      <c r="R357" s="3" t="n">
        <v>2</v>
      </c>
      <c r="S357" s="3" t="n">
        <v>2</v>
      </c>
      <c r="T357" s="4" t="n">
        <v>2</v>
      </c>
      <c r="U357" s="3" t="n">
        <v>2</v>
      </c>
      <c r="V357" s="3" t="n">
        <v>3.94</v>
      </c>
      <c r="W357" s="3" t="n">
        <v>0.79</v>
      </c>
      <c r="X357" s="3" t="n">
        <v>6.02</v>
      </c>
      <c r="Y357" s="3" t="n">
        <v>385</v>
      </c>
      <c r="AA357" s="3" t="n">
        <v>0.53</v>
      </c>
      <c r="AB357" s="3" t="n">
        <v>9.9</v>
      </c>
      <c r="AC357" s="3" t="n">
        <v>1</v>
      </c>
      <c r="AD357" s="3" t="n">
        <v>2</v>
      </c>
      <c r="AE357" s="3" t="n">
        <v>2</v>
      </c>
      <c r="AF357" s="3" t="n">
        <v>1</v>
      </c>
      <c r="AG357" s="3" t="n">
        <v>2</v>
      </c>
      <c r="AH357" s="3" t="n">
        <v>2</v>
      </c>
      <c r="AI357" s="3" t="n">
        <v>1</v>
      </c>
      <c r="AJ357" s="3" t="n">
        <v>2</v>
      </c>
      <c r="AK357" s="3" t="n">
        <v>2</v>
      </c>
      <c r="AL357" s="3" t="n">
        <v>2</v>
      </c>
      <c r="AM357" s="3" t="n">
        <v>2</v>
      </c>
      <c r="AN357" s="3" t="n">
        <v>2</v>
      </c>
      <c r="AO357" s="3" t="n">
        <v>2</v>
      </c>
      <c r="AP357" s="3" t="n">
        <v>3</v>
      </c>
      <c r="AQ357" s="3" t="n">
        <v>4</v>
      </c>
      <c r="AR357" s="3" t="n">
        <v>4</v>
      </c>
      <c r="AS357" s="3" t="n">
        <v>6</v>
      </c>
      <c r="AT357" s="3" t="n">
        <v>4</v>
      </c>
      <c r="AU357" s="3" t="n">
        <v>4</v>
      </c>
      <c r="AV357" s="3" t="n">
        <v>6</v>
      </c>
      <c r="AW357" s="3" t="n">
        <v>6</v>
      </c>
      <c r="AX357" s="3" t="n">
        <v>3</v>
      </c>
      <c r="AY357" s="3" t="n">
        <v>3</v>
      </c>
      <c r="AZ357" s="3" t="n">
        <v>1</v>
      </c>
      <c r="BA357" s="5" t="n">
        <v>1</v>
      </c>
      <c r="BB357" s="3" t="n">
        <v>1</v>
      </c>
      <c r="BC357" s="3" t="n">
        <v>2</v>
      </c>
      <c r="BD357" s="3" t="n">
        <v>4</v>
      </c>
      <c r="BE357" s="3" t="n">
        <v>1</v>
      </c>
      <c r="BF357" s="3" t="n">
        <v>2</v>
      </c>
      <c r="BG357" s="3" t="n">
        <v>1</v>
      </c>
      <c r="BH357" s="3" t="n">
        <v>4</v>
      </c>
      <c r="BI357" s="3" t="n">
        <v>1</v>
      </c>
      <c r="BJ357" s="3" t="n">
        <v>1</v>
      </c>
    </row>
    <row r="358" customFormat="false" ht="12.75" hidden="false" customHeight="false" outlineLevel="0" collapsed="false">
      <c r="B358" s="2" t="s">
        <v>228</v>
      </c>
      <c r="C358" s="2" t="s">
        <v>423</v>
      </c>
      <c r="D358" s="2" t="s">
        <v>2955</v>
      </c>
      <c r="E358" s="2" t="n">
        <v>210017</v>
      </c>
      <c r="F358" s="15" t="n">
        <v>44260</v>
      </c>
      <c r="G358" s="15" t="n">
        <v>44266</v>
      </c>
      <c r="H358" s="3"/>
      <c r="I358" s="3" t="n">
        <v>2</v>
      </c>
      <c r="J358" s="3" t="n">
        <v>74</v>
      </c>
      <c r="K358" s="3" t="n">
        <v>1</v>
      </c>
      <c r="L358" s="3" t="n">
        <v>2</v>
      </c>
      <c r="M358" s="3" t="n">
        <v>2</v>
      </c>
      <c r="N358" s="3" t="n">
        <v>2</v>
      </c>
      <c r="O358" s="3" t="n">
        <v>2</v>
      </c>
      <c r="P358" s="3" t="n">
        <v>2</v>
      </c>
      <c r="Q358" s="3" t="n">
        <v>2</v>
      </c>
      <c r="R358" s="3" t="n">
        <v>2</v>
      </c>
      <c r="S358" s="3" t="n">
        <v>2</v>
      </c>
      <c r="T358" s="4" t="n">
        <v>2</v>
      </c>
      <c r="U358" s="3" t="n">
        <v>2</v>
      </c>
      <c r="V358" s="3" t="n">
        <v>4.88</v>
      </c>
      <c r="W358" s="3" t="n">
        <v>1.19</v>
      </c>
      <c r="X358" s="3" t="n">
        <v>3.42</v>
      </c>
      <c r="Y358" s="3" t="n">
        <v>468</v>
      </c>
      <c r="AA358" s="3" t="n">
        <v>0.42</v>
      </c>
      <c r="AB358" s="3" t="n">
        <v>7.6</v>
      </c>
      <c r="AC358" s="3" t="n">
        <v>1</v>
      </c>
      <c r="AD358" s="3" t="n">
        <v>2</v>
      </c>
      <c r="AE358" s="3" t="n">
        <v>1</v>
      </c>
      <c r="AF358" s="3" t="n">
        <v>1</v>
      </c>
      <c r="AG358" s="3" t="n">
        <v>2</v>
      </c>
      <c r="AH358" s="3" t="n">
        <v>2</v>
      </c>
      <c r="AI358" s="3" t="n">
        <v>1</v>
      </c>
      <c r="AJ358" s="3" t="n">
        <v>2</v>
      </c>
      <c r="AK358" s="3" t="n">
        <v>2</v>
      </c>
      <c r="AL358" s="3" t="n">
        <v>2</v>
      </c>
      <c r="AM358" s="3" t="n">
        <v>2</v>
      </c>
      <c r="AN358" s="3" t="n">
        <v>2</v>
      </c>
      <c r="AO358" s="3" t="n">
        <v>2</v>
      </c>
      <c r="AP358" s="3" t="n">
        <v>3</v>
      </c>
      <c r="AQ358" s="3" t="n">
        <v>4</v>
      </c>
      <c r="AR358" s="3" t="n">
        <v>4</v>
      </c>
      <c r="AS358" s="3" t="n">
        <v>6</v>
      </c>
      <c r="AT358" s="3" t="n">
        <v>4</v>
      </c>
      <c r="AU358" s="3" t="n">
        <v>4</v>
      </c>
      <c r="AV358" s="3" t="n">
        <v>6</v>
      </c>
      <c r="AW358" s="3" t="n">
        <v>6</v>
      </c>
      <c r="AX358" s="3" t="n">
        <v>3</v>
      </c>
      <c r="AY358" s="3" t="n">
        <v>3</v>
      </c>
      <c r="AZ358" s="3" t="n">
        <v>1</v>
      </c>
      <c r="BA358" s="5" t="n">
        <v>1</v>
      </c>
      <c r="BB358" s="3" t="n">
        <v>1</v>
      </c>
      <c r="BC358" s="3" t="n">
        <v>1</v>
      </c>
      <c r="BD358" s="3" t="n">
        <v>4</v>
      </c>
      <c r="BE358" s="3" t="n">
        <v>3</v>
      </c>
      <c r="BF358" s="3" t="n">
        <v>5</v>
      </c>
      <c r="BG358" s="3" t="n">
        <v>3</v>
      </c>
      <c r="BH358" s="3" t="n">
        <v>4</v>
      </c>
      <c r="BI358" s="3" t="n">
        <v>1</v>
      </c>
      <c r="BJ358" s="3" t="n">
        <v>1</v>
      </c>
    </row>
    <row r="359" customFormat="false" ht="12.75" hidden="false" customHeight="false" outlineLevel="0" collapsed="false">
      <c r="B359" s="2" t="s">
        <v>2958</v>
      </c>
      <c r="C359" s="2" t="s">
        <v>78</v>
      </c>
      <c r="D359" s="2" t="s">
        <v>66</v>
      </c>
      <c r="E359" s="2" t="n">
        <v>210020</v>
      </c>
      <c r="F359" s="15" t="n">
        <v>44260</v>
      </c>
      <c r="G359" s="15" t="n">
        <v>44267</v>
      </c>
      <c r="H359" s="3" t="n">
        <v>7</v>
      </c>
      <c r="I359" s="3" t="n">
        <v>2</v>
      </c>
      <c r="J359" s="3" t="n">
        <v>46</v>
      </c>
      <c r="K359" s="3" t="n">
        <v>1</v>
      </c>
      <c r="L359" s="3" t="n">
        <v>2</v>
      </c>
      <c r="M359" s="3" t="n">
        <v>1</v>
      </c>
      <c r="N359" s="3" t="n">
        <v>2</v>
      </c>
      <c r="O359" s="3" t="n">
        <v>2</v>
      </c>
      <c r="P359" s="3" t="n">
        <v>2</v>
      </c>
      <c r="Q359" s="3" t="n">
        <v>1</v>
      </c>
      <c r="R359" s="3" t="n">
        <v>2</v>
      </c>
      <c r="S359" s="3" t="n">
        <v>2</v>
      </c>
      <c r="T359" s="4" t="n">
        <v>2</v>
      </c>
      <c r="U359" s="3" t="n">
        <v>2</v>
      </c>
      <c r="V359" s="3" t="n">
        <v>5.55</v>
      </c>
      <c r="W359" s="3" t="n">
        <v>2.83</v>
      </c>
      <c r="X359" s="3" t="n">
        <v>7.17</v>
      </c>
      <c r="Y359" s="3" t="n">
        <v>544</v>
      </c>
      <c r="AA359" s="3" t="n">
        <v>0.46</v>
      </c>
      <c r="AB359" s="3" t="n">
        <v>11.1</v>
      </c>
      <c r="AC359" s="3" t="n">
        <v>1</v>
      </c>
      <c r="AD359" s="3" t="n">
        <v>2</v>
      </c>
      <c r="AE359" s="3" t="n">
        <v>1</v>
      </c>
      <c r="AF359" s="3" t="n">
        <v>1</v>
      </c>
      <c r="AG359" s="3" t="n">
        <v>1</v>
      </c>
      <c r="AH359" s="3" t="n">
        <v>2</v>
      </c>
      <c r="AI359" s="3" t="n">
        <v>1</v>
      </c>
      <c r="AJ359" s="3" t="n">
        <v>2</v>
      </c>
      <c r="AK359" s="3" t="n">
        <v>1</v>
      </c>
      <c r="AL359" s="3" t="n">
        <v>2</v>
      </c>
      <c r="AM359" s="3" t="n">
        <v>1</v>
      </c>
      <c r="AN359" s="3" t="n">
        <v>2</v>
      </c>
      <c r="AO359" s="3" t="n">
        <v>2</v>
      </c>
      <c r="AP359" s="3" t="n">
        <v>3</v>
      </c>
      <c r="AQ359" s="3" t="n">
        <v>4</v>
      </c>
      <c r="AR359" s="3" t="n">
        <v>4</v>
      </c>
      <c r="AS359" s="3" t="n">
        <v>6</v>
      </c>
      <c r="AT359" s="3" t="n">
        <v>4</v>
      </c>
      <c r="AU359" s="3" t="n">
        <v>4</v>
      </c>
      <c r="AV359" s="3" t="n">
        <v>6</v>
      </c>
      <c r="AW359" s="3" t="n">
        <v>6</v>
      </c>
      <c r="AX359" s="3" t="n">
        <v>3</v>
      </c>
      <c r="AY359" s="3" t="n">
        <v>3</v>
      </c>
      <c r="AZ359" s="3" t="n">
        <v>1</v>
      </c>
      <c r="BA359" s="5" t="n">
        <v>1</v>
      </c>
      <c r="BB359" s="3" t="n">
        <v>1</v>
      </c>
      <c r="BC359" s="3" t="n">
        <v>1</v>
      </c>
      <c r="BD359" s="3" t="n">
        <v>4</v>
      </c>
      <c r="BE359" s="3" t="n">
        <v>3</v>
      </c>
      <c r="BF359" s="3" t="n">
        <v>5</v>
      </c>
      <c r="BG359" s="3" t="n">
        <v>3</v>
      </c>
      <c r="BH359" s="3" t="n">
        <v>4</v>
      </c>
      <c r="BI359" s="3" t="n">
        <v>1</v>
      </c>
      <c r="BJ359" s="3" t="n">
        <v>1</v>
      </c>
    </row>
    <row r="360" customFormat="false" ht="12.75" hidden="false" customHeight="false" outlineLevel="0" collapsed="false">
      <c r="B360" s="2" t="s">
        <v>2960</v>
      </c>
      <c r="C360" s="2" t="s">
        <v>1237</v>
      </c>
      <c r="D360" s="2" t="s">
        <v>2955</v>
      </c>
      <c r="E360" s="2" t="n">
        <v>210342</v>
      </c>
      <c r="F360" s="15" t="n">
        <v>44261</v>
      </c>
      <c r="G360" s="15" t="n">
        <v>44268</v>
      </c>
      <c r="H360" s="3" t="n">
        <v>7</v>
      </c>
      <c r="I360" s="3" t="n">
        <v>1</v>
      </c>
      <c r="J360" s="3" t="n">
        <v>69</v>
      </c>
      <c r="K360" s="3" t="n">
        <v>1</v>
      </c>
      <c r="L360" s="3" t="n">
        <v>1</v>
      </c>
      <c r="M360" s="3" t="n">
        <v>1</v>
      </c>
      <c r="N360" s="3" t="n">
        <v>2</v>
      </c>
      <c r="O360" s="3" t="n">
        <v>2</v>
      </c>
      <c r="P360" s="3" t="n">
        <v>2</v>
      </c>
      <c r="Q360" s="3" t="n">
        <v>2</v>
      </c>
      <c r="R360" s="3" t="n">
        <v>2</v>
      </c>
      <c r="S360" s="3" t="n">
        <v>2</v>
      </c>
      <c r="T360" s="4" t="n">
        <v>2</v>
      </c>
      <c r="U360" s="3" t="n">
        <v>2</v>
      </c>
      <c r="V360" s="3" t="n">
        <v>5.86</v>
      </c>
      <c r="W360" s="3" t="n">
        <v>2.11</v>
      </c>
      <c r="X360" s="3" t="n">
        <v>4.31</v>
      </c>
      <c r="Y360" s="3" t="n">
        <v>673</v>
      </c>
      <c r="AA360" s="3" t="n">
        <v>0.38</v>
      </c>
      <c r="AB360" s="3" t="n">
        <v>8.8</v>
      </c>
      <c r="AC360" s="3" t="n">
        <v>1</v>
      </c>
      <c r="AD360" s="3" t="n">
        <v>2</v>
      </c>
      <c r="AE360" s="3" t="n">
        <v>1</v>
      </c>
      <c r="AF360" s="3" t="n">
        <v>1</v>
      </c>
      <c r="AG360" s="3" t="n">
        <v>2</v>
      </c>
      <c r="AH360" s="3" t="n">
        <v>2</v>
      </c>
      <c r="AI360" s="3" t="n">
        <v>1</v>
      </c>
      <c r="AJ360" s="3" t="n">
        <v>2</v>
      </c>
      <c r="AK360" s="3" t="n">
        <v>2</v>
      </c>
      <c r="AL360" s="3" t="n">
        <v>2</v>
      </c>
      <c r="AM360" s="3" t="n">
        <v>2</v>
      </c>
      <c r="AN360" s="3" t="n">
        <v>2</v>
      </c>
      <c r="AO360" s="3" t="n">
        <v>2</v>
      </c>
      <c r="AP360" s="3" t="n">
        <v>3</v>
      </c>
      <c r="AQ360" s="3" t="n">
        <v>4</v>
      </c>
      <c r="AR360" s="3" t="n">
        <v>4</v>
      </c>
      <c r="AS360" s="3" t="n">
        <v>6</v>
      </c>
      <c r="AT360" s="3" t="n">
        <v>4</v>
      </c>
      <c r="AU360" s="3" t="n">
        <v>4</v>
      </c>
      <c r="AV360" s="3" t="n">
        <v>6</v>
      </c>
      <c r="AW360" s="3" t="n">
        <v>6</v>
      </c>
      <c r="AX360" s="3" t="n">
        <v>3</v>
      </c>
      <c r="AY360" s="3" t="n">
        <v>3</v>
      </c>
      <c r="AZ360" s="3" t="n">
        <v>1</v>
      </c>
      <c r="BA360" s="5" t="n">
        <v>1</v>
      </c>
      <c r="BB360" s="3" t="n">
        <v>1</v>
      </c>
      <c r="BC360" s="3" t="n">
        <v>1</v>
      </c>
      <c r="BD360" s="3" t="n">
        <v>4</v>
      </c>
      <c r="BE360" s="3" t="n">
        <v>1</v>
      </c>
      <c r="BF360" s="3" t="n">
        <v>2</v>
      </c>
      <c r="BG360" s="3" t="n">
        <v>1</v>
      </c>
      <c r="BH360" s="3" t="n">
        <v>4</v>
      </c>
      <c r="BI360" s="3" t="n">
        <v>1</v>
      </c>
      <c r="BJ360" s="3" t="n">
        <v>1</v>
      </c>
    </row>
    <row r="361" customFormat="false" ht="12.75" hidden="false" customHeight="false" outlineLevel="0" collapsed="false">
      <c r="B361" s="2" t="s">
        <v>2964</v>
      </c>
      <c r="C361" s="2" t="s">
        <v>127</v>
      </c>
      <c r="D361" s="2" t="s">
        <v>1322</v>
      </c>
      <c r="E361" s="2" t="n">
        <v>210374</v>
      </c>
      <c r="F361" s="15" t="n">
        <v>44262</v>
      </c>
      <c r="G361" s="15" t="n">
        <v>44269</v>
      </c>
      <c r="H361" s="3" t="n">
        <v>7</v>
      </c>
      <c r="I361" s="3" t="n">
        <v>2</v>
      </c>
      <c r="J361" s="3" t="n">
        <v>79</v>
      </c>
      <c r="K361" s="3" t="n">
        <v>1</v>
      </c>
      <c r="L361" s="3" t="n">
        <v>2</v>
      </c>
      <c r="M361" s="3" t="n">
        <v>1</v>
      </c>
      <c r="N361" s="3" t="n">
        <v>2</v>
      </c>
      <c r="O361" s="3" t="n">
        <v>2</v>
      </c>
      <c r="P361" s="3" t="n">
        <v>2</v>
      </c>
      <c r="Q361" s="3" t="n">
        <v>2</v>
      </c>
      <c r="R361" s="3" t="n">
        <v>2</v>
      </c>
      <c r="S361" s="3" t="n">
        <v>2</v>
      </c>
      <c r="T361" s="4" t="n">
        <v>2</v>
      </c>
      <c r="U361" s="3" t="n">
        <v>2</v>
      </c>
      <c r="V361" s="3" t="n">
        <v>3.2</v>
      </c>
      <c r="W361" s="3" t="n">
        <v>1.02</v>
      </c>
      <c r="X361" s="3" t="n">
        <v>6.78</v>
      </c>
      <c r="Y361" s="3" t="n">
        <v>438</v>
      </c>
      <c r="AA361" s="3" t="n">
        <v>0.41</v>
      </c>
      <c r="AB361" s="3" t="n">
        <v>11</v>
      </c>
      <c r="AC361" s="3" t="n">
        <v>1</v>
      </c>
      <c r="AD361" s="3" t="n">
        <v>2</v>
      </c>
      <c r="AE361" s="3" t="n">
        <v>1</v>
      </c>
      <c r="AF361" s="3" t="n">
        <v>1</v>
      </c>
      <c r="AG361" s="3" t="n">
        <v>2</v>
      </c>
      <c r="AH361" s="3" t="n">
        <v>2</v>
      </c>
      <c r="AI361" s="3" t="n">
        <v>1</v>
      </c>
      <c r="AJ361" s="3" t="n">
        <v>2</v>
      </c>
      <c r="AK361" s="3" t="n">
        <v>2</v>
      </c>
      <c r="AL361" s="3" t="n">
        <v>2</v>
      </c>
      <c r="AM361" s="3" t="n">
        <v>2</v>
      </c>
      <c r="AN361" s="3" t="n">
        <v>2</v>
      </c>
      <c r="AO361" s="3" t="n">
        <v>2</v>
      </c>
      <c r="AP361" s="3" t="n">
        <v>3</v>
      </c>
      <c r="AQ361" s="3" t="n">
        <v>4</v>
      </c>
      <c r="AR361" s="3" t="n">
        <v>4</v>
      </c>
      <c r="AS361" s="3" t="n">
        <v>6</v>
      </c>
      <c r="AT361" s="3" t="n">
        <v>4</v>
      </c>
      <c r="AU361" s="3" t="n">
        <v>4</v>
      </c>
      <c r="AV361" s="3" t="n">
        <v>6</v>
      </c>
      <c r="AW361" s="3" t="n">
        <v>6</v>
      </c>
      <c r="AX361" s="3" t="n">
        <v>3</v>
      </c>
      <c r="AY361" s="3" t="n">
        <v>3</v>
      </c>
      <c r="AZ361" s="3" t="n">
        <v>1</v>
      </c>
      <c r="BA361" s="5" t="n">
        <v>1</v>
      </c>
      <c r="BB361" s="3" t="n">
        <v>1</v>
      </c>
      <c r="BC361" s="3" t="n">
        <v>1</v>
      </c>
      <c r="BD361" s="3" t="n">
        <v>4</v>
      </c>
      <c r="BE361" s="3" t="n">
        <v>1</v>
      </c>
      <c r="BF361" s="3" t="n">
        <v>2</v>
      </c>
      <c r="BG361" s="3" t="n">
        <v>1</v>
      </c>
      <c r="BH361" s="3" t="n">
        <v>4</v>
      </c>
      <c r="BI361" s="3" t="n">
        <v>1</v>
      </c>
      <c r="BJ361" s="3" t="n">
        <v>1</v>
      </c>
    </row>
    <row r="362" customFormat="false" ht="12.75" hidden="false" customHeight="false" outlineLevel="0" collapsed="false">
      <c r="B362" s="2" t="s">
        <v>2966</v>
      </c>
      <c r="C362" s="2" t="s">
        <v>118</v>
      </c>
      <c r="D362" s="2" t="s">
        <v>2967</v>
      </c>
      <c r="E362" s="2" t="n">
        <v>210480</v>
      </c>
      <c r="F362" s="15" t="n">
        <v>44263</v>
      </c>
      <c r="G362" s="15" t="n">
        <v>44270</v>
      </c>
      <c r="H362" s="3" t="n">
        <v>7</v>
      </c>
      <c r="I362" s="3" t="n">
        <v>2</v>
      </c>
      <c r="J362" s="3" t="n">
        <v>75</v>
      </c>
      <c r="K362" s="3" t="n">
        <v>1</v>
      </c>
      <c r="L362" s="3" t="n">
        <v>2</v>
      </c>
      <c r="M362" s="3" t="n">
        <v>1</v>
      </c>
      <c r="N362" s="3" t="n">
        <v>2</v>
      </c>
      <c r="O362" s="3" t="n">
        <v>2</v>
      </c>
      <c r="P362" s="3" t="n">
        <v>2</v>
      </c>
      <c r="Q362" s="3" t="n">
        <v>2</v>
      </c>
      <c r="R362" s="3" t="n">
        <v>2</v>
      </c>
      <c r="S362" s="3" t="n">
        <v>2</v>
      </c>
      <c r="T362" s="4" t="n">
        <v>2</v>
      </c>
      <c r="U362" s="3" t="n">
        <v>2</v>
      </c>
      <c r="V362" s="3" t="n">
        <v>5.03</v>
      </c>
      <c r="W362" s="3" t="n">
        <v>1.1</v>
      </c>
      <c r="X362" s="3" t="n">
        <v>6.69</v>
      </c>
      <c r="Y362" s="3" t="n">
        <v>441</v>
      </c>
      <c r="AA362" s="3" t="n">
        <v>0.46</v>
      </c>
      <c r="AB362" s="3" t="n">
        <v>14.5</v>
      </c>
      <c r="AC362" s="3" t="n">
        <v>2</v>
      </c>
      <c r="AD362" s="3" t="n">
        <v>2</v>
      </c>
      <c r="AE362" s="3" t="n">
        <v>1</v>
      </c>
      <c r="AF362" s="3" t="n">
        <v>2</v>
      </c>
      <c r="AG362" s="3" t="n">
        <v>2</v>
      </c>
      <c r="AH362" s="3" t="n">
        <v>2</v>
      </c>
      <c r="AI362" s="3" t="n">
        <v>1</v>
      </c>
      <c r="AJ362" s="3" t="n">
        <v>2</v>
      </c>
      <c r="AK362" s="3" t="n">
        <v>2</v>
      </c>
      <c r="AL362" s="3" t="n">
        <v>2</v>
      </c>
      <c r="AM362" s="3" t="n">
        <v>2</v>
      </c>
      <c r="AN362" s="3" t="n">
        <v>2</v>
      </c>
      <c r="AO362" s="3" t="n">
        <v>2</v>
      </c>
      <c r="AP362" s="3" t="n">
        <v>3</v>
      </c>
      <c r="AQ362" s="3" t="n">
        <v>4</v>
      </c>
      <c r="AR362" s="3" t="n">
        <v>4</v>
      </c>
      <c r="AS362" s="3" t="n">
        <v>6</v>
      </c>
      <c r="AT362" s="3" t="n">
        <v>4</v>
      </c>
      <c r="AU362" s="3" t="n">
        <v>4</v>
      </c>
      <c r="AV362" s="3" t="n">
        <v>6</v>
      </c>
      <c r="AW362" s="3" t="n">
        <v>6</v>
      </c>
      <c r="AX362" s="3" t="n">
        <v>3</v>
      </c>
      <c r="AY362" s="3" t="n">
        <v>3</v>
      </c>
      <c r="AZ362" s="3" t="n">
        <v>1</v>
      </c>
      <c r="BA362" s="5" t="n">
        <v>1</v>
      </c>
      <c r="BB362" s="3" t="n">
        <v>1</v>
      </c>
      <c r="BC362" s="3" t="n">
        <v>1</v>
      </c>
      <c r="BD362" s="3" t="n">
        <v>2</v>
      </c>
      <c r="BE362" s="3" t="n">
        <v>1</v>
      </c>
      <c r="BF362" s="3" t="n">
        <v>2</v>
      </c>
      <c r="BG362" s="3" t="n">
        <v>1</v>
      </c>
      <c r="BH362" s="3" t="n">
        <v>4</v>
      </c>
      <c r="BI362" s="3" t="n">
        <v>1</v>
      </c>
      <c r="BJ362" s="3" t="n">
        <v>1</v>
      </c>
    </row>
    <row r="363" customFormat="false" ht="12.75" hidden="false" customHeight="false" outlineLevel="0" collapsed="false">
      <c r="B363" s="2" t="s">
        <v>2970</v>
      </c>
      <c r="C363" s="2" t="s">
        <v>172</v>
      </c>
      <c r="D363" s="2" t="s">
        <v>415</v>
      </c>
      <c r="E363" s="2" t="n">
        <v>210439</v>
      </c>
      <c r="F363" s="15" t="n">
        <v>44264</v>
      </c>
      <c r="G363" s="15" t="n">
        <v>44271</v>
      </c>
      <c r="H363" s="3" t="n">
        <v>7</v>
      </c>
      <c r="I363" s="3" t="n">
        <v>2</v>
      </c>
      <c r="J363" s="3" t="n">
        <v>48</v>
      </c>
      <c r="K363" s="3" t="n">
        <v>1</v>
      </c>
      <c r="L363" s="3" t="n">
        <v>1</v>
      </c>
      <c r="M363" s="3" t="n">
        <v>1</v>
      </c>
      <c r="N363" s="3" t="n">
        <v>1</v>
      </c>
      <c r="O363" s="3" t="n">
        <v>2</v>
      </c>
      <c r="P363" s="3" t="n">
        <v>2</v>
      </c>
      <c r="Q363" s="3" t="n">
        <v>2</v>
      </c>
      <c r="R363" s="3" t="n">
        <v>2</v>
      </c>
      <c r="S363" s="3" t="n">
        <v>2</v>
      </c>
      <c r="T363" s="4" t="n">
        <v>2</v>
      </c>
      <c r="U363" s="3" t="n">
        <v>2</v>
      </c>
      <c r="V363" s="3" t="n">
        <v>6.48</v>
      </c>
      <c r="W363" s="3" t="n">
        <v>1.44</v>
      </c>
      <c r="X363" s="3" t="n">
        <v>5.51</v>
      </c>
      <c r="Y363" s="3" t="n">
        <v>359</v>
      </c>
      <c r="AA363" s="3" t="n">
        <v>0.45</v>
      </c>
      <c r="AB363" s="3" t="n">
        <v>17.1</v>
      </c>
      <c r="AC363" s="3" t="n">
        <v>1</v>
      </c>
      <c r="AD363" s="3" t="n">
        <v>2</v>
      </c>
      <c r="AE363" s="3" t="n">
        <v>1</v>
      </c>
      <c r="AF363" s="3" t="n">
        <v>1</v>
      </c>
      <c r="AG363" s="3" t="n">
        <v>2</v>
      </c>
      <c r="AH363" s="3" t="n">
        <v>2</v>
      </c>
      <c r="AI363" s="3" t="n">
        <v>1</v>
      </c>
      <c r="AJ363" s="3" t="n">
        <v>2</v>
      </c>
      <c r="AK363" s="3" t="n">
        <v>2</v>
      </c>
      <c r="AL363" s="3" t="n">
        <v>2</v>
      </c>
      <c r="AM363" s="3" t="n">
        <v>2</v>
      </c>
      <c r="AN363" s="3" t="n">
        <v>2</v>
      </c>
      <c r="AO363" s="3" t="n">
        <v>2</v>
      </c>
      <c r="AP363" s="3" t="n">
        <v>3</v>
      </c>
      <c r="AQ363" s="3" t="n">
        <v>4</v>
      </c>
      <c r="AR363" s="3" t="n">
        <v>4</v>
      </c>
      <c r="AS363" s="3" t="n">
        <v>6</v>
      </c>
      <c r="AT363" s="3" t="n">
        <v>4</v>
      </c>
      <c r="AU363" s="3" t="n">
        <v>4</v>
      </c>
      <c r="AV363" s="3" t="n">
        <v>6</v>
      </c>
      <c r="AW363" s="3" t="n">
        <v>6</v>
      </c>
      <c r="AX363" s="3" t="n">
        <v>3</v>
      </c>
      <c r="AY363" s="3" t="n">
        <v>3</v>
      </c>
      <c r="AZ363" s="3" t="n">
        <v>1</v>
      </c>
      <c r="BA363" s="5" t="n">
        <v>1</v>
      </c>
      <c r="BB363" s="3" t="n">
        <v>1</v>
      </c>
      <c r="BC363" s="3" t="n">
        <v>1</v>
      </c>
      <c r="BD363" s="3" t="n">
        <v>4</v>
      </c>
      <c r="BE363" s="3" t="n">
        <v>1</v>
      </c>
      <c r="BF363" s="3" t="n">
        <v>2</v>
      </c>
      <c r="BG363" s="3" t="n">
        <v>2</v>
      </c>
      <c r="BH363" s="3" t="n">
        <v>4</v>
      </c>
      <c r="BI363" s="3" t="n">
        <v>1</v>
      </c>
      <c r="BJ363" s="3" t="n">
        <v>1</v>
      </c>
    </row>
    <row r="364" customFormat="false" ht="12.75" hidden="false" customHeight="false" outlineLevel="0" collapsed="false">
      <c r="B364" s="2" t="s">
        <v>2823</v>
      </c>
      <c r="C364" s="2" t="s">
        <v>2972</v>
      </c>
      <c r="D364" s="2" t="s">
        <v>2068</v>
      </c>
      <c r="E364" s="2" t="n">
        <v>210469</v>
      </c>
      <c r="F364" s="15" t="n">
        <v>44264</v>
      </c>
      <c r="G364" s="2" t="s">
        <v>2973</v>
      </c>
      <c r="H364" s="3" t="n">
        <v>7</v>
      </c>
      <c r="I364" s="3" t="n">
        <v>2</v>
      </c>
      <c r="J364" s="3" t="n">
        <v>56</v>
      </c>
      <c r="K364" s="3" t="n">
        <v>1</v>
      </c>
      <c r="L364" s="3" t="n">
        <v>1</v>
      </c>
      <c r="M364" s="3" t="n">
        <v>1</v>
      </c>
      <c r="N364" s="3" t="n">
        <v>2</v>
      </c>
      <c r="O364" s="3" t="n">
        <v>1</v>
      </c>
      <c r="P364" s="3" t="n">
        <v>2</v>
      </c>
      <c r="Q364" s="3" t="n">
        <v>1</v>
      </c>
      <c r="R364" s="3" t="n">
        <v>2</v>
      </c>
      <c r="S364" s="3" t="n">
        <v>2</v>
      </c>
      <c r="T364" s="4" t="n">
        <v>2</v>
      </c>
      <c r="U364" s="3" t="n">
        <v>2</v>
      </c>
      <c r="V364" s="3" t="n">
        <v>6.31</v>
      </c>
      <c r="W364" s="3" t="n">
        <v>1.77</v>
      </c>
      <c r="X364" s="3" t="n">
        <v>8.16</v>
      </c>
      <c r="Y364" s="3" t="n">
        <v>440</v>
      </c>
      <c r="AA364" s="3" t="n">
        <v>0.48</v>
      </c>
      <c r="AB364" s="3" t="n">
        <v>16.8</v>
      </c>
      <c r="AC364" s="3" t="n">
        <v>2</v>
      </c>
      <c r="AD364" s="3" t="n">
        <v>2</v>
      </c>
      <c r="AE364" s="3" t="n">
        <v>2</v>
      </c>
      <c r="AF364" s="3" t="n">
        <v>1</v>
      </c>
      <c r="AG364" s="3" t="n">
        <v>2</v>
      </c>
      <c r="AH364" s="3" t="n">
        <v>1</v>
      </c>
      <c r="AI364" s="3" t="n">
        <v>1</v>
      </c>
      <c r="AJ364" s="3" t="n">
        <v>2</v>
      </c>
      <c r="AK364" s="3" t="n">
        <v>2</v>
      </c>
      <c r="AL364" s="3" t="n">
        <v>2</v>
      </c>
      <c r="AM364" s="3" t="n">
        <v>1</v>
      </c>
      <c r="AN364" s="3" t="n">
        <v>2</v>
      </c>
      <c r="AO364" s="3" t="n">
        <v>2</v>
      </c>
      <c r="AP364" s="3" t="n">
        <v>3</v>
      </c>
      <c r="AQ364" s="3" t="n">
        <v>4</v>
      </c>
      <c r="AR364" s="3" t="n">
        <v>4</v>
      </c>
      <c r="AS364" s="3" t="n">
        <v>6</v>
      </c>
      <c r="AT364" s="3" t="n">
        <v>4</v>
      </c>
      <c r="AU364" s="3" t="n">
        <v>4</v>
      </c>
      <c r="AV364" s="3" t="n">
        <v>6</v>
      </c>
      <c r="AW364" s="3" t="n">
        <v>6</v>
      </c>
      <c r="AX364" s="3" t="n">
        <v>3</v>
      </c>
      <c r="AY364" s="3" t="n">
        <v>3</v>
      </c>
      <c r="AZ364" s="3" t="n">
        <v>1</v>
      </c>
      <c r="BA364" s="5" t="n">
        <v>1</v>
      </c>
      <c r="BB364" s="3" t="n">
        <v>1</v>
      </c>
      <c r="BC364" s="3" t="n">
        <v>1</v>
      </c>
      <c r="BD364" s="3" t="n">
        <v>4</v>
      </c>
      <c r="BE364" s="3" t="n">
        <v>1</v>
      </c>
      <c r="BF364" s="3" t="n">
        <v>2</v>
      </c>
      <c r="BG364" s="3" t="n">
        <v>1</v>
      </c>
      <c r="BH364" s="3" t="n">
        <v>4</v>
      </c>
      <c r="BI364" s="3" t="n">
        <v>1</v>
      </c>
      <c r="BJ364" s="3" t="n">
        <v>1</v>
      </c>
    </row>
    <row r="365" customFormat="false" ht="12.75" hidden="false" customHeight="false" outlineLevel="0" collapsed="false">
      <c r="B365" s="2" t="s">
        <v>2427</v>
      </c>
      <c r="C365" s="2" t="s">
        <v>419</v>
      </c>
      <c r="D365" s="2" t="s">
        <v>2515</v>
      </c>
      <c r="E365" s="2" t="n">
        <v>210612</v>
      </c>
      <c r="F365" s="15" t="n">
        <v>44268</v>
      </c>
      <c r="G365" s="15" t="n">
        <v>44274</v>
      </c>
      <c r="H365" s="3" t="n">
        <v>6</v>
      </c>
      <c r="I365" s="3" t="n">
        <v>2</v>
      </c>
      <c r="J365" s="3" t="n">
        <v>59</v>
      </c>
      <c r="K365" s="3" t="n">
        <v>3</v>
      </c>
      <c r="L365" s="3" t="n">
        <v>1</v>
      </c>
      <c r="M365" s="3" t="n">
        <v>1</v>
      </c>
      <c r="N365" s="3" t="n">
        <v>2</v>
      </c>
      <c r="O365" s="3" t="n">
        <v>2</v>
      </c>
      <c r="P365" s="3" t="n">
        <v>2</v>
      </c>
      <c r="Q365" s="3" t="n">
        <v>2</v>
      </c>
      <c r="R365" s="3" t="n">
        <v>2</v>
      </c>
      <c r="S365" s="3" t="n">
        <v>2</v>
      </c>
      <c r="T365" s="4" t="n">
        <v>2</v>
      </c>
      <c r="U365" s="3" t="n">
        <v>2</v>
      </c>
      <c r="V365" s="3" t="n">
        <v>4.28</v>
      </c>
      <c r="W365" s="3" t="n">
        <v>1.82</v>
      </c>
      <c r="X365" s="3" t="n">
        <v>8.77</v>
      </c>
      <c r="Y365" s="3" t="n">
        <v>279</v>
      </c>
      <c r="AA365" s="3" t="n">
        <v>0.47</v>
      </c>
      <c r="AB365" s="3" t="n">
        <v>11</v>
      </c>
      <c r="AC365" s="3" t="n">
        <v>1</v>
      </c>
      <c r="AD365" s="3" t="n">
        <v>2</v>
      </c>
      <c r="AE365" s="3" t="n">
        <v>2</v>
      </c>
      <c r="AF365" s="3" t="n">
        <v>1</v>
      </c>
      <c r="AG365" s="3" t="n">
        <v>2</v>
      </c>
      <c r="AH365" s="3" t="n">
        <v>2</v>
      </c>
      <c r="AI365" s="3" t="n">
        <v>1</v>
      </c>
      <c r="AJ365" s="3" t="n">
        <v>2</v>
      </c>
      <c r="AK365" s="3" t="n">
        <v>2</v>
      </c>
      <c r="AL365" s="3" t="n">
        <v>2</v>
      </c>
      <c r="AM365" s="3" t="n">
        <v>2</v>
      </c>
      <c r="AN365" s="3" t="n">
        <v>2</v>
      </c>
      <c r="AO365" s="3" t="n">
        <v>2</v>
      </c>
      <c r="AP365" s="3" t="n">
        <v>3</v>
      </c>
      <c r="AQ365" s="3" t="n">
        <v>4</v>
      </c>
      <c r="AR365" s="3" t="n">
        <v>4</v>
      </c>
      <c r="AS365" s="3" t="n">
        <v>6</v>
      </c>
      <c r="AT365" s="3" t="n">
        <v>4</v>
      </c>
      <c r="AU365" s="3" t="n">
        <v>4</v>
      </c>
      <c r="AV365" s="3" t="n">
        <v>6</v>
      </c>
      <c r="AW365" s="3" t="n">
        <v>6</v>
      </c>
      <c r="AX365" s="3" t="n">
        <v>3</v>
      </c>
      <c r="AY365" s="3" t="n">
        <v>3</v>
      </c>
      <c r="AZ365" s="3" t="n">
        <v>1</v>
      </c>
      <c r="BA365" s="5" t="n">
        <v>1</v>
      </c>
      <c r="BB365" s="3" t="n">
        <v>1</v>
      </c>
      <c r="BC365" s="3" t="n">
        <v>1</v>
      </c>
      <c r="BD365" s="3" t="n">
        <v>4</v>
      </c>
      <c r="BE365" s="3" t="n">
        <v>1</v>
      </c>
      <c r="BF365" s="3" t="n">
        <v>2</v>
      </c>
      <c r="BG365" s="3" t="n">
        <v>1</v>
      </c>
      <c r="BH365" s="3" t="n">
        <v>4</v>
      </c>
      <c r="BI365" s="3" t="n">
        <v>1</v>
      </c>
      <c r="BJ365" s="3" t="n">
        <v>1</v>
      </c>
    </row>
    <row r="366" customFormat="false" ht="12.75" hidden="false" customHeight="false" outlineLevel="0" collapsed="false">
      <c r="B366" s="26" t="s">
        <v>2979</v>
      </c>
      <c r="C366" s="26" t="s">
        <v>71</v>
      </c>
      <c r="D366" s="26" t="s">
        <v>462</v>
      </c>
      <c r="E366" s="26" t="n">
        <v>211051</v>
      </c>
      <c r="F366" s="27" t="n">
        <v>44274</v>
      </c>
      <c r="G366" s="27" t="n">
        <v>44274</v>
      </c>
      <c r="H366" s="30" t="n">
        <v>0</v>
      </c>
      <c r="I366" s="30" t="n">
        <v>1</v>
      </c>
      <c r="J366" s="30" t="n">
        <v>82</v>
      </c>
      <c r="K366" s="30" t="n">
        <v>1</v>
      </c>
      <c r="L366" s="30" t="n">
        <v>2</v>
      </c>
      <c r="M366" s="30" t="n">
        <v>1</v>
      </c>
      <c r="N366" s="30" t="n">
        <v>2</v>
      </c>
      <c r="O366" s="30" t="n">
        <v>2</v>
      </c>
      <c r="P366" s="30" t="n">
        <v>2</v>
      </c>
      <c r="Q366" s="30" t="n">
        <v>1</v>
      </c>
      <c r="R366" s="30" t="n">
        <v>2</v>
      </c>
      <c r="S366" s="30" t="n">
        <v>2</v>
      </c>
      <c r="T366" s="4" t="n">
        <v>2</v>
      </c>
      <c r="U366" s="30" t="n">
        <v>2</v>
      </c>
      <c r="V366" s="30"/>
      <c r="W366" s="30"/>
      <c r="X366" s="30"/>
      <c r="Y366" s="30"/>
      <c r="AA366" s="30"/>
      <c r="AB366" s="30"/>
      <c r="AC366" s="30"/>
      <c r="AD366" s="30" t="n">
        <v>2</v>
      </c>
      <c r="AE366" s="30" t="n">
        <v>2</v>
      </c>
      <c r="AF366" s="30" t="n">
        <v>1</v>
      </c>
      <c r="AG366" s="30" t="n">
        <v>2</v>
      </c>
      <c r="AH366" s="30" t="n">
        <v>2</v>
      </c>
      <c r="AI366" s="30" t="n">
        <v>1</v>
      </c>
      <c r="AJ366" s="30" t="n">
        <v>2</v>
      </c>
      <c r="AK366" s="30" t="n">
        <v>2</v>
      </c>
      <c r="AL366" s="30" t="n">
        <v>2</v>
      </c>
      <c r="AM366" s="30" t="n">
        <v>2</v>
      </c>
      <c r="AN366" s="30" t="n">
        <v>2</v>
      </c>
      <c r="AO366" s="30" t="n">
        <v>2</v>
      </c>
      <c r="AP366" s="30" t="n">
        <v>3</v>
      </c>
      <c r="AQ366" s="30" t="n">
        <v>4</v>
      </c>
      <c r="AR366" s="30" t="n">
        <v>4</v>
      </c>
      <c r="AS366" s="30" t="n">
        <v>6</v>
      </c>
      <c r="AT366" s="30" t="n">
        <v>4</v>
      </c>
      <c r="AU366" s="30" t="n">
        <v>4</v>
      </c>
      <c r="AV366" s="30" t="n">
        <v>6</v>
      </c>
      <c r="AW366" s="30" t="n">
        <v>6</v>
      </c>
      <c r="AX366" s="30" t="n">
        <v>3</v>
      </c>
      <c r="AY366" s="30" t="n">
        <v>3</v>
      </c>
      <c r="AZ366" s="30" t="n">
        <v>10</v>
      </c>
      <c r="BA366" s="5" t="n">
        <v>1</v>
      </c>
      <c r="BB366" s="30" t="n">
        <v>1</v>
      </c>
      <c r="BC366" s="30" t="n">
        <v>2</v>
      </c>
      <c r="BD366" s="30" t="n">
        <v>2</v>
      </c>
      <c r="BE366" s="30" t="n">
        <v>1</v>
      </c>
      <c r="BF366" s="30" t="n">
        <v>2</v>
      </c>
      <c r="BG366" s="30" t="n">
        <v>1</v>
      </c>
      <c r="BH366" s="30" t="n">
        <v>4</v>
      </c>
      <c r="BI366" s="30" t="n">
        <v>1</v>
      </c>
      <c r="BJ366" s="30" t="n">
        <v>1</v>
      </c>
    </row>
    <row r="367" customFormat="false" ht="12.75" hidden="false" customHeight="false" outlineLevel="0" collapsed="false">
      <c r="B367" s="2" t="s">
        <v>2985</v>
      </c>
      <c r="C367" s="2" t="s">
        <v>2986</v>
      </c>
      <c r="D367" s="2" t="s">
        <v>1896</v>
      </c>
      <c r="E367" s="2" t="n">
        <v>210710</v>
      </c>
      <c r="F367" s="15" t="n">
        <v>44272</v>
      </c>
      <c r="G367" s="15" t="n">
        <v>44277</v>
      </c>
      <c r="H367" s="3" t="n">
        <v>5</v>
      </c>
      <c r="I367" s="3" t="n">
        <v>2</v>
      </c>
      <c r="J367" s="3" t="n">
        <v>62</v>
      </c>
      <c r="K367" s="3" t="n">
        <v>1</v>
      </c>
      <c r="L367" s="3" t="n">
        <v>1</v>
      </c>
      <c r="M367" s="3" t="n">
        <v>1</v>
      </c>
      <c r="N367" s="3" t="n">
        <v>1</v>
      </c>
      <c r="O367" s="3" t="n">
        <v>2</v>
      </c>
      <c r="P367" s="3" t="n">
        <v>2</v>
      </c>
      <c r="Q367" s="3" t="n">
        <v>2</v>
      </c>
      <c r="R367" s="3" t="n">
        <v>2</v>
      </c>
      <c r="S367" s="3" t="n">
        <v>2</v>
      </c>
      <c r="T367" s="4" t="n">
        <v>1</v>
      </c>
      <c r="U367" s="3" t="n">
        <v>1</v>
      </c>
      <c r="V367" s="3" t="n">
        <v>4.58</v>
      </c>
      <c r="W367" s="3" t="n">
        <v>2.02</v>
      </c>
      <c r="X367" s="3" t="n">
        <v>5.5</v>
      </c>
      <c r="Y367" s="3" t="n">
        <v>419</v>
      </c>
      <c r="AA367" s="3" t="n">
        <v>0.32</v>
      </c>
      <c r="AB367" s="3" t="n">
        <v>9.1</v>
      </c>
      <c r="AC367" s="3" t="n">
        <v>2</v>
      </c>
      <c r="AD367" s="3" t="n">
        <v>2</v>
      </c>
      <c r="AE367" s="3" t="n">
        <v>2</v>
      </c>
      <c r="AF367" s="3" t="n">
        <v>1</v>
      </c>
      <c r="AG367" s="3" t="n">
        <v>1</v>
      </c>
      <c r="AH367" s="3" t="n">
        <v>2</v>
      </c>
      <c r="AI367" s="3" t="n">
        <v>1</v>
      </c>
      <c r="AJ367" s="3" t="n">
        <v>2</v>
      </c>
      <c r="AK367" s="3" t="n">
        <v>2</v>
      </c>
      <c r="AL367" s="3" t="n">
        <v>2</v>
      </c>
      <c r="AM367" s="3" t="n">
        <v>2</v>
      </c>
      <c r="AN367" s="3" t="n">
        <v>2</v>
      </c>
      <c r="AO367" s="3" t="n">
        <v>2</v>
      </c>
      <c r="AP367" s="3" t="n">
        <v>3</v>
      </c>
      <c r="AQ367" s="3" t="n">
        <v>4</v>
      </c>
      <c r="AR367" s="3" t="n">
        <v>4</v>
      </c>
      <c r="AS367" s="3" t="n">
        <v>6</v>
      </c>
      <c r="AT367" s="3" t="n">
        <v>4</v>
      </c>
      <c r="AU367" s="3" t="n">
        <v>4</v>
      </c>
      <c r="AV367" s="3" t="n">
        <v>6</v>
      </c>
      <c r="AW367" s="3" t="n">
        <v>6</v>
      </c>
      <c r="AX367" s="3" t="n">
        <v>3</v>
      </c>
      <c r="AY367" s="3" t="n">
        <v>3</v>
      </c>
      <c r="AZ367" s="3" t="n">
        <v>1</v>
      </c>
      <c r="BA367" s="5" t="n">
        <v>1</v>
      </c>
      <c r="BB367" s="3" t="n">
        <v>1</v>
      </c>
      <c r="BC367" s="3" t="n">
        <v>1</v>
      </c>
      <c r="BD367" s="3" t="n">
        <v>4</v>
      </c>
      <c r="BE367" s="3" t="n">
        <v>1</v>
      </c>
      <c r="BF367" s="3" t="n">
        <v>2</v>
      </c>
      <c r="BG367" s="3" t="n">
        <v>1</v>
      </c>
      <c r="BH367" s="3" t="n">
        <v>4</v>
      </c>
      <c r="BI367" s="3" t="n">
        <v>1</v>
      </c>
      <c r="BJ367" s="3" t="n">
        <v>1</v>
      </c>
    </row>
    <row r="368" customFormat="false" ht="12.75" hidden="false" customHeight="false" outlineLevel="0" collapsed="false">
      <c r="B368" s="2" t="s">
        <v>2994</v>
      </c>
      <c r="C368" s="2" t="s">
        <v>1828</v>
      </c>
      <c r="D368" s="2" t="s">
        <v>2995</v>
      </c>
      <c r="E368" s="2" t="n">
        <v>210707</v>
      </c>
      <c r="F368" s="15" t="n">
        <v>44272</v>
      </c>
      <c r="G368" s="15" t="n">
        <v>44279</v>
      </c>
      <c r="H368" s="3" t="n">
        <v>7</v>
      </c>
      <c r="I368" s="3" t="n">
        <v>2</v>
      </c>
      <c r="J368" s="3" t="n">
        <v>73</v>
      </c>
      <c r="K368" s="3" t="n">
        <v>1</v>
      </c>
      <c r="L368" s="3" t="n">
        <v>1</v>
      </c>
      <c r="M368" s="3" t="n">
        <v>1</v>
      </c>
      <c r="N368" s="3" t="n">
        <v>2</v>
      </c>
      <c r="O368" s="3" t="n">
        <v>2</v>
      </c>
      <c r="P368" s="3" t="n">
        <v>2</v>
      </c>
      <c r="Q368" s="3" t="n">
        <v>2</v>
      </c>
      <c r="R368" s="3" t="n">
        <v>2</v>
      </c>
      <c r="S368" s="3" t="n">
        <v>2</v>
      </c>
      <c r="T368" s="4" t="n">
        <v>2</v>
      </c>
      <c r="U368" s="3" t="n">
        <v>2</v>
      </c>
      <c r="V368" s="3" t="n">
        <v>5.51</v>
      </c>
      <c r="W368" s="3" t="n">
        <v>0.77</v>
      </c>
      <c r="X368" s="3" t="n">
        <v>7.68</v>
      </c>
      <c r="Y368" s="3" t="n">
        <v>218</v>
      </c>
      <c r="AA368" s="3" t="n">
        <v>0.46</v>
      </c>
      <c r="AB368" s="3" t="n">
        <v>11.9</v>
      </c>
      <c r="AC368" s="3" t="n">
        <v>2</v>
      </c>
      <c r="AD368" s="3" t="n">
        <v>2</v>
      </c>
      <c r="AE368" s="3" t="n">
        <v>2</v>
      </c>
      <c r="AF368" s="3" t="n">
        <v>1</v>
      </c>
      <c r="AG368" s="3" t="n">
        <v>2</v>
      </c>
      <c r="AH368" s="3" t="n">
        <v>1</v>
      </c>
      <c r="AI368" s="3" t="n">
        <v>1</v>
      </c>
      <c r="AJ368" s="3" t="n">
        <v>2</v>
      </c>
      <c r="AK368" s="3" t="n">
        <v>2</v>
      </c>
      <c r="AL368" s="3" t="n">
        <v>2</v>
      </c>
      <c r="AM368" s="3" t="n">
        <v>2</v>
      </c>
      <c r="AN368" s="3" t="n">
        <v>2</v>
      </c>
      <c r="AO368" s="3" t="n">
        <v>2</v>
      </c>
      <c r="AP368" s="3" t="n">
        <v>3</v>
      </c>
      <c r="AQ368" s="3" t="n">
        <v>4</v>
      </c>
      <c r="AR368" s="3" t="n">
        <v>4</v>
      </c>
      <c r="AS368" s="3" t="n">
        <v>6</v>
      </c>
      <c r="AT368" s="3" t="n">
        <v>4</v>
      </c>
      <c r="AU368" s="3" t="n">
        <v>4</v>
      </c>
      <c r="AV368" s="3" t="n">
        <v>6</v>
      </c>
      <c r="AW368" s="3" t="n">
        <v>6</v>
      </c>
      <c r="AX368" s="3" t="n">
        <v>3</v>
      </c>
      <c r="AY368" s="3" t="n">
        <v>3</v>
      </c>
      <c r="AZ368" s="3" t="n">
        <v>1</v>
      </c>
      <c r="BA368" s="5" t="n">
        <v>1</v>
      </c>
      <c r="BB368" s="3" t="n">
        <v>1</v>
      </c>
      <c r="BC368" s="3" t="n">
        <v>1</v>
      </c>
      <c r="BD368" s="3" t="n">
        <v>2</v>
      </c>
      <c r="BE368" s="3" t="n">
        <v>1</v>
      </c>
      <c r="BF368" s="3" t="n">
        <v>2</v>
      </c>
      <c r="BG368" s="3" t="n">
        <v>1</v>
      </c>
      <c r="BH368" s="3" t="n">
        <v>4</v>
      </c>
      <c r="BI368" s="3" t="n">
        <v>1</v>
      </c>
      <c r="BJ368" s="3" t="n">
        <v>1</v>
      </c>
    </row>
    <row r="369" customFormat="false" ht="12.75" hidden="false" customHeight="false" outlineLevel="0" collapsed="false">
      <c r="B369" s="2" t="s">
        <v>3004</v>
      </c>
      <c r="C369" s="2" t="s">
        <v>94</v>
      </c>
      <c r="D369" s="2" t="s">
        <v>386</v>
      </c>
      <c r="E369" s="2" t="n">
        <v>211074</v>
      </c>
      <c r="F369" s="15" t="n">
        <v>44275</v>
      </c>
      <c r="G369" s="15" t="n">
        <v>44281</v>
      </c>
      <c r="H369" s="3" t="n">
        <v>6</v>
      </c>
      <c r="I369" s="3" t="n">
        <v>1</v>
      </c>
      <c r="J369" s="3" t="n">
        <v>71</v>
      </c>
      <c r="K369" s="3" t="n">
        <v>1</v>
      </c>
      <c r="L369" s="3" t="n">
        <v>1</v>
      </c>
      <c r="M369" s="3" t="n">
        <v>1</v>
      </c>
      <c r="N369" s="3" t="n">
        <v>2</v>
      </c>
      <c r="O369" s="3" t="n">
        <v>2</v>
      </c>
      <c r="P369" s="3" t="n">
        <v>1</v>
      </c>
      <c r="Q369" s="3" t="n">
        <v>1</v>
      </c>
      <c r="R369" s="3" t="n">
        <v>2</v>
      </c>
      <c r="S369" s="3" t="n">
        <v>2</v>
      </c>
      <c r="T369" s="4" t="n">
        <v>2</v>
      </c>
      <c r="U369" s="3" t="n">
        <v>2</v>
      </c>
      <c r="V369" s="3" t="n">
        <v>6.51</v>
      </c>
      <c r="W369" s="3" t="n">
        <v>1.42</v>
      </c>
      <c r="X369" s="3" t="n">
        <v>14.78</v>
      </c>
      <c r="Y369" s="3"/>
      <c r="AA369" s="3" t="n">
        <v>0.4</v>
      </c>
      <c r="AB369" s="3" t="n">
        <v>13.6</v>
      </c>
      <c r="AC369" s="3" t="n">
        <v>1</v>
      </c>
      <c r="AD369" s="3" t="n">
        <v>2</v>
      </c>
      <c r="AE369" s="3" t="n">
        <v>2</v>
      </c>
      <c r="AF369" s="3" t="n">
        <v>1</v>
      </c>
      <c r="AG369" s="3" t="n">
        <v>2</v>
      </c>
      <c r="AH369" s="3" t="n">
        <v>2</v>
      </c>
      <c r="AI369" s="3" t="n">
        <v>1</v>
      </c>
      <c r="AJ369" s="3" t="n">
        <v>2</v>
      </c>
      <c r="AK369" s="3" t="n">
        <v>2</v>
      </c>
      <c r="AL369" s="3" t="n">
        <v>2</v>
      </c>
      <c r="AM369" s="3" t="n">
        <v>2</v>
      </c>
      <c r="AN369" s="3" t="n">
        <v>2</v>
      </c>
      <c r="AO369" s="3" t="n">
        <v>2</v>
      </c>
      <c r="AP369" s="3" t="n">
        <v>3</v>
      </c>
      <c r="AQ369" s="3" t="n">
        <v>4</v>
      </c>
      <c r="AR369" s="3" t="n">
        <v>4</v>
      </c>
      <c r="AS369" s="3" t="n">
        <v>6</v>
      </c>
      <c r="AT369" s="3" t="n">
        <v>4</v>
      </c>
      <c r="AU369" s="3" t="n">
        <v>4</v>
      </c>
      <c r="AV369" s="3" t="n">
        <v>6</v>
      </c>
      <c r="AW369" s="3" t="n">
        <v>6</v>
      </c>
      <c r="AX369" s="3" t="n">
        <v>3</v>
      </c>
      <c r="AY369" s="3" t="n">
        <v>3</v>
      </c>
      <c r="AZ369" s="3" t="n">
        <v>1</v>
      </c>
      <c r="BA369" s="5" t="n">
        <v>1</v>
      </c>
      <c r="BB369" s="3" t="n">
        <v>1</v>
      </c>
      <c r="BC369" s="3" t="n">
        <v>1</v>
      </c>
      <c r="BD369" s="3" t="n">
        <v>4</v>
      </c>
      <c r="BE369" s="3" t="n">
        <v>1</v>
      </c>
      <c r="BF369" s="3" t="n">
        <v>2</v>
      </c>
      <c r="BG369" s="3" t="n">
        <v>1</v>
      </c>
      <c r="BH369" s="3" t="n">
        <v>4</v>
      </c>
      <c r="BI369" s="3" t="n">
        <v>1</v>
      </c>
      <c r="BJ369" s="3" t="n">
        <v>1</v>
      </c>
    </row>
    <row r="370" customFormat="false" ht="12.75" hidden="false" customHeight="false" outlineLevel="0" collapsed="false">
      <c r="B370" s="26" t="s">
        <v>3006</v>
      </c>
      <c r="C370" s="26" t="s">
        <v>109</v>
      </c>
      <c r="D370" s="26" t="s">
        <v>2972</v>
      </c>
      <c r="E370" s="26" t="n">
        <v>211126</v>
      </c>
      <c r="F370" s="27" t="n">
        <v>44279</v>
      </c>
      <c r="G370" s="27" t="n">
        <v>44282</v>
      </c>
      <c r="H370" s="30" t="n">
        <v>3</v>
      </c>
      <c r="I370" s="30" t="n">
        <v>1</v>
      </c>
      <c r="J370" s="30" t="n">
        <v>77</v>
      </c>
      <c r="K370" s="30" t="n">
        <v>2</v>
      </c>
      <c r="L370" s="30" t="n">
        <v>2</v>
      </c>
      <c r="M370" s="30" t="n">
        <v>1</v>
      </c>
      <c r="N370" s="30" t="n">
        <v>2</v>
      </c>
      <c r="O370" s="30" t="n">
        <v>2</v>
      </c>
      <c r="P370" s="30" t="n">
        <v>2</v>
      </c>
      <c r="Q370" s="30" t="n">
        <v>2</v>
      </c>
      <c r="R370" s="30" t="n">
        <v>2</v>
      </c>
      <c r="S370" s="30" t="n">
        <v>2</v>
      </c>
      <c r="T370" s="4" t="n">
        <v>1</v>
      </c>
      <c r="U370" s="30" t="n">
        <v>1</v>
      </c>
      <c r="V370" s="30" t="n">
        <v>6.19</v>
      </c>
      <c r="W370" s="30" t="n">
        <v>1.07</v>
      </c>
      <c r="X370" s="30" t="n">
        <v>7.1</v>
      </c>
      <c r="Y370" s="30" t="n">
        <v>406</v>
      </c>
      <c r="AA370" s="30" t="n">
        <v>0.43</v>
      </c>
      <c r="AB370" s="30" t="n">
        <v>12.9</v>
      </c>
      <c r="AC370" s="30" t="n">
        <v>3</v>
      </c>
      <c r="AD370" s="30" t="n">
        <v>1</v>
      </c>
      <c r="AE370" s="30" t="n">
        <v>1</v>
      </c>
      <c r="AF370" s="30" t="n">
        <v>1</v>
      </c>
      <c r="AG370" s="30" t="n">
        <v>2</v>
      </c>
      <c r="AH370" s="30" t="n">
        <v>2</v>
      </c>
      <c r="AI370" s="30" t="n">
        <v>1</v>
      </c>
      <c r="AJ370" s="30" t="n">
        <v>2</v>
      </c>
      <c r="AK370" s="30" t="n">
        <v>2</v>
      </c>
      <c r="AL370" s="30" t="n">
        <v>2</v>
      </c>
      <c r="AM370" s="30" t="n">
        <v>1</v>
      </c>
      <c r="AN370" s="30" t="n">
        <v>1</v>
      </c>
      <c r="AO370" s="30" t="n">
        <v>1</v>
      </c>
      <c r="AP370" s="30" t="n">
        <v>3</v>
      </c>
      <c r="AQ370" s="30" t="n">
        <v>4</v>
      </c>
      <c r="AR370" s="30" t="n">
        <v>4</v>
      </c>
      <c r="AS370" s="30" t="n">
        <v>6</v>
      </c>
      <c r="AT370" s="30" t="n">
        <v>4</v>
      </c>
      <c r="AU370" s="30" t="n">
        <v>4</v>
      </c>
      <c r="AV370" s="30" t="n">
        <v>6</v>
      </c>
      <c r="AW370" s="30" t="n">
        <v>6</v>
      </c>
      <c r="AX370" s="30" t="n">
        <v>3</v>
      </c>
      <c r="AY370" s="30" t="n">
        <v>3</v>
      </c>
      <c r="AZ370" s="30" t="n">
        <v>4</v>
      </c>
      <c r="BA370" s="5" t="n">
        <v>1</v>
      </c>
      <c r="BB370" s="30" t="n">
        <v>1</v>
      </c>
      <c r="BC370" s="30" t="n">
        <v>2</v>
      </c>
      <c r="BD370" s="30" t="n">
        <v>2</v>
      </c>
      <c r="BE370" s="30" t="n">
        <v>1</v>
      </c>
      <c r="BF370" s="30" t="n">
        <v>2</v>
      </c>
      <c r="BG370" s="30" t="n">
        <v>1</v>
      </c>
      <c r="BH370" s="30" t="n">
        <v>4</v>
      </c>
      <c r="BI370" s="30" t="n">
        <v>1</v>
      </c>
      <c r="BJ370" s="30" t="n">
        <v>1</v>
      </c>
    </row>
    <row r="371" customFormat="false" ht="12.75" hidden="false" customHeight="false" outlineLevel="0" collapsed="false">
      <c r="B371" s="2" t="s">
        <v>177</v>
      </c>
      <c r="C371" s="2" t="s">
        <v>66</v>
      </c>
      <c r="D371" s="2" t="s">
        <v>131</v>
      </c>
      <c r="E371" s="2" t="n">
        <v>210885</v>
      </c>
      <c r="F371" s="15" t="n">
        <v>44278</v>
      </c>
      <c r="G371" s="15" t="n">
        <v>44284</v>
      </c>
      <c r="H371" s="3" t="n">
        <v>6</v>
      </c>
      <c r="I371" s="3" t="n">
        <v>2</v>
      </c>
      <c r="J371" s="3" t="n">
        <v>58</v>
      </c>
      <c r="K371" s="3" t="n">
        <v>1</v>
      </c>
      <c r="L371" s="3" t="n">
        <v>1</v>
      </c>
      <c r="M371" s="3" t="n">
        <v>2</v>
      </c>
      <c r="N371" s="3" t="n">
        <v>2</v>
      </c>
      <c r="O371" s="3" t="n">
        <v>2</v>
      </c>
      <c r="P371" s="3" t="n">
        <v>2</v>
      </c>
      <c r="Q371" s="3" t="n">
        <v>2</v>
      </c>
      <c r="R371" s="3" t="n">
        <v>2</v>
      </c>
      <c r="S371" s="3" t="n">
        <v>2</v>
      </c>
      <c r="T371" s="4" t="n">
        <v>2</v>
      </c>
      <c r="U371" s="3" t="n">
        <v>2</v>
      </c>
      <c r="V371" s="3" t="n">
        <v>5.23</v>
      </c>
      <c r="W371" s="3" t="n">
        <v>1.55</v>
      </c>
      <c r="X371" s="3" t="n">
        <v>7.39</v>
      </c>
      <c r="Y371" s="3" t="n">
        <v>345</v>
      </c>
      <c r="AA371" s="3" t="n">
        <v>0.46</v>
      </c>
      <c r="AB371" s="3" t="n">
        <v>10.8</v>
      </c>
      <c r="AC371" s="3" t="n">
        <v>1</v>
      </c>
      <c r="AD371" s="3" t="n">
        <v>1</v>
      </c>
      <c r="AE371" s="3" t="n">
        <v>2</v>
      </c>
      <c r="AF371" s="3" t="n">
        <v>1</v>
      </c>
      <c r="AG371" s="3" t="n">
        <v>2</v>
      </c>
      <c r="AH371" s="3" t="n">
        <v>2</v>
      </c>
      <c r="AI371" s="3" t="n">
        <v>1</v>
      </c>
      <c r="AJ371" s="3" t="n">
        <v>2</v>
      </c>
      <c r="AK371" s="3" t="n">
        <v>2</v>
      </c>
      <c r="AL371" s="3" t="n">
        <v>2</v>
      </c>
      <c r="AM371" s="3" t="n">
        <v>2</v>
      </c>
      <c r="AN371" s="3" t="n">
        <v>2</v>
      </c>
      <c r="AO371" s="3" t="n">
        <v>2</v>
      </c>
      <c r="AP371" s="3" t="n">
        <v>3</v>
      </c>
      <c r="AQ371" s="3" t="n">
        <v>4</v>
      </c>
      <c r="AR371" s="3" t="n">
        <v>4</v>
      </c>
      <c r="AS371" s="3" t="n">
        <v>6</v>
      </c>
      <c r="AT371" s="3" t="n">
        <v>4</v>
      </c>
      <c r="AU371" s="3" t="n">
        <v>4</v>
      </c>
      <c r="AV371" s="3" t="n">
        <v>6</v>
      </c>
      <c r="AW371" s="3" t="n">
        <v>6</v>
      </c>
      <c r="AX371" s="3" t="n">
        <v>3</v>
      </c>
      <c r="AY371" s="3" t="n">
        <v>3</v>
      </c>
      <c r="AZ371" s="3" t="n">
        <v>1</v>
      </c>
      <c r="BA371" s="5" t="n">
        <v>1</v>
      </c>
      <c r="BB371" s="3" t="n">
        <v>1</v>
      </c>
      <c r="BC371" s="3" t="n">
        <v>1</v>
      </c>
      <c r="BD371" s="3" t="n">
        <v>2</v>
      </c>
      <c r="BE371" s="3" t="n">
        <v>1</v>
      </c>
      <c r="BF371" s="3" t="n">
        <v>2</v>
      </c>
      <c r="BG371" s="3" t="n">
        <v>1</v>
      </c>
      <c r="BH371" s="3" t="n">
        <v>4</v>
      </c>
      <c r="BI371" s="3" t="n">
        <v>1</v>
      </c>
      <c r="BJ371" s="3" t="n">
        <v>1</v>
      </c>
    </row>
    <row r="372" customFormat="false" ht="12.75" hidden="false" customHeight="false" outlineLevel="0" collapsed="false">
      <c r="B372" s="2" t="s">
        <v>3012</v>
      </c>
      <c r="C372" s="2" t="s">
        <v>3013</v>
      </c>
      <c r="D372" s="2" t="s">
        <v>3014</v>
      </c>
      <c r="E372" s="2" t="n">
        <v>211149</v>
      </c>
      <c r="F372" s="15" t="n">
        <v>44280</v>
      </c>
      <c r="G372" s="15" t="n">
        <v>44285</v>
      </c>
      <c r="H372" s="3" t="n">
        <v>5</v>
      </c>
      <c r="I372" s="3" t="n">
        <v>1</v>
      </c>
      <c r="J372" s="3" t="n">
        <v>68</v>
      </c>
      <c r="K372" s="3" t="n">
        <v>2</v>
      </c>
      <c r="L372" s="3" t="n">
        <v>2</v>
      </c>
      <c r="M372" s="3" t="n">
        <v>1</v>
      </c>
      <c r="N372" s="3" t="n">
        <v>2</v>
      </c>
      <c r="O372" s="3" t="n">
        <v>2</v>
      </c>
      <c r="P372" s="3" t="n">
        <v>2</v>
      </c>
      <c r="Q372" s="3" t="n">
        <v>2</v>
      </c>
      <c r="R372" s="3" t="n">
        <v>2</v>
      </c>
      <c r="S372" s="3" t="n">
        <v>2</v>
      </c>
      <c r="T372" s="4" t="n">
        <v>2</v>
      </c>
      <c r="U372" s="3" t="n">
        <v>2</v>
      </c>
      <c r="V372" s="3" t="n">
        <v>5.34</v>
      </c>
      <c r="W372" s="3" t="n">
        <v>1.38</v>
      </c>
      <c r="X372" s="3" t="n">
        <v>4.54</v>
      </c>
      <c r="Y372" s="3" t="n">
        <v>344</v>
      </c>
      <c r="AA372" s="3" t="n">
        <v>0.43</v>
      </c>
      <c r="AB372" s="3" t="n">
        <v>10.9</v>
      </c>
      <c r="AC372" s="3" t="n">
        <v>3</v>
      </c>
      <c r="AD372" s="3" t="n">
        <v>2</v>
      </c>
      <c r="AE372" s="3" t="n">
        <v>1</v>
      </c>
      <c r="AF372" s="3" t="n">
        <v>1</v>
      </c>
      <c r="AG372" s="3" t="n">
        <v>2</v>
      </c>
      <c r="AH372" s="3" t="n">
        <v>1</v>
      </c>
      <c r="AI372" s="3" t="n">
        <v>1</v>
      </c>
      <c r="AJ372" s="3" t="n">
        <v>2</v>
      </c>
      <c r="AK372" s="3" t="n">
        <v>2</v>
      </c>
      <c r="AL372" s="3" t="n">
        <v>2</v>
      </c>
      <c r="AM372" s="3" t="n">
        <v>2</v>
      </c>
      <c r="AN372" s="3" t="n">
        <v>2</v>
      </c>
      <c r="AO372" s="3" t="n">
        <v>2</v>
      </c>
      <c r="AP372" s="3" t="n">
        <v>3</v>
      </c>
      <c r="AQ372" s="3" t="n">
        <v>4</v>
      </c>
      <c r="AR372" s="3" t="n">
        <v>4</v>
      </c>
      <c r="AS372" s="3" t="n">
        <v>6</v>
      </c>
      <c r="AT372" s="3" t="n">
        <v>4</v>
      </c>
      <c r="AU372" s="3" t="n">
        <v>4</v>
      </c>
      <c r="AV372" s="3" t="n">
        <v>6</v>
      </c>
      <c r="AW372" s="3" t="n">
        <v>6</v>
      </c>
      <c r="AX372" s="3" t="n">
        <v>3</v>
      </c>
      <c r="AY372" s="3" t="n">
        <v>3</v>
      </c>
      <c r="AZ372" s="3" t="n">
        <v>1</v>
      </c>
      <c r="BA372" s="5" t="n">
        <v>1</v>
      </c>
      <c r="BB372" s="3" t="n">
        <v>1</v>
      </c>
      <c r="BC372" s="3" t="n">
        <v>1</v>
      </c>
      <c r="BD372" s="3" t="n">
        <v>4</v>
      </c>
      <c r="BE372" s="3" t="n">
        <v>3</v>
      </c>
      <c r="BF372" s="3" t="n">
        <v>5</v>
      </c>
      <c r="BG372" s="3" t="n">
        <v>3</v>
      </c>
      <c r="BH372" s="3" t="n">
        <v>4</v>
      </c>
      <c r="BI372" s="3" t="n">
        <v>1</v>
      </c>
      <c r="BJ372" s="3" t="n">
        <v>1</v>
      </c>
    </row>
    <row r="373" customFormat="false" ht="12.75" hidden="false" customHeight="false" outlineLevel="0" collapsed="false">
      <c r="B373" s="2" t="s">
        <v>3017</v>
      </c>
      <c r="C373" s="2" t="s">
        <v>898</v>
      </c>
      <c r="D373" s="2" t="s">
        <v>3018</v>
      </c>
      <c r="E373" s="2" t="n">
        <v>211139</v>
      </c>
      <c r="F373" s="15" t="n">
        <v>44279</v>
      </c>
      <c r="G373" s="15" t="n">
        <v>44286</v>
      </c>
      <c r="H373" s="3" t="n">
        <v>7</v>
      </c>
      <c r="I373" s="3" t="n">
        <v>2</v>
      </c>
      <c r="J373" s="3" t="n">
        <v>35</v>
      </c>
      <c r="K373" s="3" t="n">
        <v>2</v>
      </c>
      <c r="L373" s="3" t="n">
        <v>1</v>
      </c>
      <c r="M373" s="3" t="n">
        <v>1</v>
      </c>
      <c r="N373" s="3" t="n">
        <v>2</v>
      </c>
      <c r="O373" s="3" t="n">
        <v>2</v>
      </c>
      <c r="P373" s="3" t="n">
        <v>2</v>
      </c>
      <c r="Q373" s="3" t="n">
        <v>2</v>
      </c>
      <c r="R373" s="3" t="n">
        <v>2</v>
      </c>
      <c r="S373" s="3" t="n">
        <v>2</v>
      </c>
      <c r="T373" s="4" t="n">
        <v>2</v>
      </c>
      <c r="U373" s="3" t="n">
        <v>2</v>
      </c>
      <c r="V373" s="3" t="n">
        <v>4.71</v>
      </c>
      <c r="W373" s="3" t="n">
        <v>2.02</v>
      </c>
      <c r="X373" s="3" t="n">
        <v>4.32</v>
      </c>
      <c r="Y373" s="3" t="n">
        <v>374</v>
      </c>
      <c r="AA373" s="3" t="n">
        <v>0.51</v>
      </c>
      <c r="AB373" s="3" t="n">
        <v>9.8</v>
      </c>
      <c r="AC373" s="3" t="n">
        <v>1</v>
      </c>
      <c r="AD373" s="3" t="n">
        <v>2</v>
      </c>
      <c r="AE373" s="3" t="n">
        <v>1</v>
      </c>
      <c r="AF373" s="3" t="n">
        <v>1</v>
      </c>
      <c r="AG373" s="3" t="n">
        <v>2</v>
      </c>
      <c r="AH373" s="3" t="n">
        <v>2</v>
      </c>
      <c r="AI373" s="3" t="n">
        <v>1</v>
      </c>
      <c r="AJ373" s="3" t="n">
        <v>2</v>
      </c>
      <c r="AK373" s="3" t="n">
        <v>2</v>
      </c>
      <c r="AL373" s="3" t="n">
        <v>2</v>
      </c>
      <c r="AM373" s="3" t="n">
        <v>2</v>
      </c>
      <c r="AN373" s="3" t="n">
        <v>2</v>
      </c>
      <c r="AO373" s="3" t="n">
        <v>2</v>
      </c>
      <c r="AP373" s="3" t="n">
        <v>3</v>
      </c>
      <c r="AQ373" s="3" t="n">
        <v>4</v>
      </c>
      <c r="AR373" s="3" t="n">
        <v>4</v>
      </c>
      <c r="AS373" s="3" t="n">
        <v>6</v>
      </c>
      <c r="AT373" s="3" t="n">
        <v>4</v>
      </c>
      <c r="AU373" s="3" t="n">
        <v>4</v>
      </c>
      <c r="AV373" s="3" t="n">
        <v>6</v>
      </c>
      <c r="AW373" s="3" t="n">
        <v>6</v>
      </c>
      <c r="AX373" s="3" t="n">
        <v>3</v>
      </c>
      <c r="AY373" s="3" t="n">
        <v>3</v>
      </c>
      <c r="AZ373" s="3" t="n">
        <v>1</v>
      </c>
      <c r="BA373" s="5" t="n">
        <v>1</v>
      </c>
      <c r="BB373" s="3" t="n">
        <v>1</v>
      </c>
      <c r="BC373" s="3" t="n">
        <v>1</v>
      </c>
      <c r="BD373" s="3" t="n">
        <v>2</v>
      </c>
      <c r="BE373" s="3" t="n">
        <v>3</v>
      </c>
      <c r="BF373" s="3" t="n">
        <v>5</v>
      </c>
      <c r="BG373" s="3" t="n">
        <v>3</v>
      </c>
      <c r="BH373" s="3" t="n">
        <v>4</v>
      </c>
      <c r="BI373" s="3" t="n">
        <v>1</v>
      </c>
      <c r="BJ373" s="3" t="n">
        <v>1</v>
      </c>
    </row>
    <row r="374" customFormat="false" ht="12.75" hidden="false" customHeight="false" outlineLevel="0" collapsed="false">
      <c r="B374" s="2" t="s">
        <v>3030</v>
      </c>
      <c r="C374" s="2" t="s">
        <v>3031</v>
      </c>
      <c r="D374" s="2" t="s">
        <v>1734</v>
      </c>
      <c r="E374" s="2" t="n">
        <v>211290</v>
      </c>
      <c r="F374" s="15" t="n">
        <v>44282</v>
      </c>
      <c r="G374" s="15" t="n">
        <v>44288</v>
      </c>
      <c r="H374" s="3" t="n">
        <v>6</v>
      </c>
      <c r="I374" s="3" t="n">
        <v>2</v>
      </c>
      <c r="J374" s="3" t="n">
        <v>67</v>
      </c>
      <c r="K374" s="3" t="n">
        <v>1</v>
      </c>
      <c r="L374" s="3" t="n">
        <v>2</v>
      </c>
      <c r="M374" s="3" t="n">
        <v>1</v>
      </c>
      <c r="N374" s="3" t="n">
        <v>1</v>
      </c>
      <c r="O374" s="3" t="n">
        <v>2</v>
      </c>
      <c r="P374" s="3" t="n">
        <v>2</v>
      </c>
      <c r="Q374" s="3" t="n">
        <v>2</v>
      </c>
      <c r="R374" s="3" t="n">
        <v>2</v>
      </c>
      <c r="S374" s="3" t="n">
        <v>2</v>
      </c>
      <c r="T374" s="4" t="n">
        <v>2</v>
      </c>
      <c r="U374" s="3" t="n">
        <v>2</v>
      </c>
      <c r="V374" s="3" t="n">
        <v>4.51</v>
      </c>
      <c r="W374" s="3" t="n">
        <v>1.11</v>
      </c>
      <c r="X374" s="3" t="n">
        <v>5.44</v>
      </c>
      <c r="Y374" s="3" t="n">
        <v>336</v>
      </c>
      <c r="AA374" s="3" t="n">
        <v>0.45</v>
      </c>
      <c r="AB374" s="3" t="n">
        <v>11.7</v>
      </c>
      <c r="AC374" s="3" t="n">
        <v>1</v>
      </c>
      <c r="AD374" s="3" t="n">
        <v>1</v>
      </c>
      <c r="AE374" s="3" t="n">
        <v>1</v>
      </c>
      <c r="AF374" s="3" t="n">
        <v>1</v>
      </c>
      <c r="AG374" s="3" t="n">
        <v>2</v>
      </c>
      <c r="AH374" s="3" t="n">
        <v>2</v>
      </c>
      <c r="AI374" s="3" t="n">
        <v>1</v>
      </c>
      <c r="AJ374" s="3" t="n">
        <v>2</v>
      </c>
      <c r="AK374" s="3" t="n">
        <v>2</v>
      </c>
      <c r="AL374" s="3" t="n">
        <v>2</v>
      </c>
      <c r="AM374" s="3" t="n">
        <v>2</v>
      </c>
      <c r="AN374" s="3" t="n">
        <v>2</v>
      </c>
      <c r="AO374" s="3" t="n">
        <v>2</v>
      </c>
      <c r="AP374" s="3" t="n">
        <v>3</v>
      </c>
      <c r="AQ374" s="3" t="n">
        <v>4</v>
      </c>
      <c r="AR374" s="3" t="n">
        <v>4</v>
      </c>
      <c r="AS374" s="3" t="n">
        <v>6</v>
      </c>
      <c r="AT374" s="3" t="n">
        <v>4</v>
      </c>
      <c r="AU374" s="3" t="n">
        <v>4</v>
      </c>
      <c r="AV374" s="3" t="n">
        <v>6</v>
      </c>
      <c r="AW374" s="3" t="n">
        <v>6</v>
      </c>
      <c r="AX374" s="3" t="n">
        <v>3</v>
      </c>
      <c r="AY374" s="3" t="n">
        <v>3</v>
      </c>
      <c r="AZ374" s="3" t="n">
        <v>1</v>
      </c>
      <c r="BA374" s="5" t="n">
        <v>1</v>
      </c>
      <c r="BB374" s="3" t="n">
        <v>1</v>
      </c>
      <c r="BC374" s="3" t="n">
        <v>1</v>
      </c>
      <c r="BD374" s="3" t="n">
        <v>4</v>
      </c>
      <c r="BE374" s="3" t="n">
        <v>1</v>
      </c>
      <c r="BF374" s="3" t="n">
        <v>2</v>
      </c>
      <c r="BG374" s="3" t="n">
        <v>1</v>
      </c>
      <c r="BH374" s="3" t="n">
        <v>4</v>
      </c>
      <c r="BI374" s="3" t="n">
        <v>1</v>
      </c>
      <c r="BJ374" s="3" t="n">
        <v>1</v>
      </c>
    </row>
    <row r="375" customFormat="false" ht="12.75" hidden="false" customHeight="false" outlineLevel="0" collapsed="false">
      <c r="B375" s="26" t="s">
        <v>3042</v>
      </c>
      <c r="C375" s="26" t="s">
        <v>66</v>
      </c>
      <c r="D375" s="26" t="s">
        <v>118</v>
      </c>
      <c r="E375" s="26" t="n">
        <v>210804</v>
      </c>
      <c r="F375" s="27" t="n">
        <v>44276</v>
      </c>
      <c r="G375" s="27" t="n">
        <v>44293</v>
      </c>
      <c r="H375" s="30" t="n">
        <v>17</v>
      </c>
      <c r="I375" s="30" t="n">
        <v>2</v>
      </c>
      <c r="J375" s="30" t="n">
        <v>59</v>
      </c>
      <c r="K375" s="30" t="n">
        <v>1</v>
      </c>
      <c r="L375" s="30" t="n">
        <v>1</v>
      </c>
      <c r="M375" s="30" t="n">
        <v>1</v>
      </c>
      <c r="N375" s="30" t="n">
        <v>2</v>
      </c>
      <c r="O375" s="30" t="n">
        <v>2</v>
      </c>
      <c r="P375" s="30" t="n">
        <v>2</v>
      </c>
      <c r="Q375" s="30" t="n">
        <v>1</v>
      </c>
      <c r="R375" s="30" t="n">
        <v>2</v>
      </c>
      <c r="S375" s="30" t="n">
        <v>2</v>
      </c>
      <c r="T375" s="4" t="n">
        <v>2</v>
      </c>
      <c r="U375" s="30" t="n">
        <v>2</v>
      </c>
      <c r="V375" s="30" t="n">
        <v>3.12</v>
      </c>
      <c r="W375" s="30" t="n">
        <v>0.88</v>
      </c>
      <c r="X375" s="30" t="n">
        <v>18.85</v>
      </c>
      <c r="Y375" s="30" t="n">
        <v>564</v>
      </c>
      <c r="AA375" s="30" t="n">
        <v>0.42</v>
      </c>
      <c r="AB375" s="30" t="n">
        <v>12</v>
      </c>
      <c r="AC375" s="30" t="n">
        <v>2</v>
      </c>
      <c r="AD375" s="30" t="n">
        <v>2</v>
      </c>
      <c r="AE375" s="30" t="n">
        <v>1</v>
      </c>
      <c r="AF375" s="30" t="n">
        <v>1</v>
      </c>
      <c r="AG375" s="30" t="n">
        <v>2</v>
      </c>
      <c r="AH375" s="30" t="n">
        <v>2</v>
      </c>
      <c r="AI375" s="30" t="n">
        <v>1</v>
      </c>
      <c r="AJ375" s="30" t="n">
        <v>2</v>
      </c>
      <c r="AK375" s="30" t="n">
        <v>2</v>
      </c>
      <c r="AL375" s="30" t="n">
        <v>2</v>
      </c>
      <c r="AM375" s="30" t="n">
        <v>1</v>
      </c>
      <c r="AN375" s="30" t="n">
        <v>1</v>
      </c>
      <c r="AO375" s="30" t="n">
        <v>2</v>
      </c>
      <c r="AP375" s="30" t="n">
        <v>3</v>
      </c>
      <c r="AQ375" s="30" t="n">
        <v>4</v>
      </c>
      <c r="AR375" s="30" t="n">
        <v>4</v>
      </c>
      <c r="AS375" s="30" t="n">
        <v>6</v>
      </c>
      <c r="AT375" s="30" t="n">
        <v>4</v>
      </c>
      <c r="AU375" s="30" t="n">
        <v>4</v>
      </c>
      <c r="AV375" s="30" t="n">
        <v>6</v>
      </c>
      <c r="AW375" s="30" t="n">
        <v>6</v>
      </c>
      <c r="AX375" s="30" t="n">
        <v>3</v>
      </c>
      <c r="AY375" s="30" t="n">
        <v>3</v>
      </c>
      <c r="AZ375" s="30" t="n">
        <v>7</v>
      </c>
      <c r="BA375" s="5" t="n">
        <v>1</v>
      </c>
      <c r="BB375" s="30" t="n">
        <v>1</v>
      </c>
      <c r="BC375" s="30" t="n">
        <v>1</v>
      </c>
      <c r="BD375" s="30" t="n">
        <v>2</v>
      </c>
      <c r="BE375" s="30" t="n">
        <v>3</v>
      </c>
      <c r="BF375" s="30" t="n">
        <v>5</v>
      </c>
      <c r="BG375" s="30" t="n">
        <v>3</v>
      </c>
      <c r="BH375" s="30" t="n">
        <v>4</v>
      </c>
      <c r="BI375" s="30" t="n">
        <v>1</v>
      </c>
      <c r="BJ375" s="30" t="n">
        <v>1</v>
      </c>
    </row>
    <row r="376" customFormat="false" ht="12.75" hidden="false" customHeight="false" outlineLevel="0" collapsed="false">
      <c r="B376" s="2" t="s">
        <v>497</v>
      </c>
      <c r="C376" s="2" t="s">
        <v>3044</v>
      </c>
      <c r="D376" s="2" t="s">
        <v>66</v>
      </c>
      <c r="E376" s="2" t="n">
        <v>211444</v>
      </c>
      <c r="F376" s="15" t="n">
        <v>44287</v>
      </c>
      <c r="G376" s="15" t="n">
        <v>44293</v>
      </c>
      <c r="H376" s="3" t="n">
        <v>6</v>
      </c>
      <c r="I376" s="3" t="n">
        <v>2</v>
      </c>
      <c r="J376" s="3" t="n">
        <v>44</v>
      </c>
      <c r="K376" s="3" t="n">
        <v>1</v>
      </c>
      <c r="L376" s="3" t="n">
        <v>1</v>
      </c>
      <c r="M376" s="3" t="n">
        <v>1</v>
      </c>
      <c r="N376" s="3" t="n">
        <v>2</v>
      </c>
      <c r="O376" s="3" t="n">
        <v>2</v>
      </c>
      <c r="P376" s="3" t="n">
        <v>2</v>
      </c>
      <c r="Q376" s="3" t="n">
        <v>2</v>
      </c>
      <c r="R376" s="3" t="n">
        <v>2</v>
      </c>
      <c r="S376" s="3" t="n">
        <v>2</v>
      </c>
      <c r="T376" s="4" t="n">
        <v>2</v>
      </c>
      <c r="U376" s="3" t="n">
        <v>2</v>
      </c>
      <c r="V376" s="3" t="n">
        <v>5.08</v>
      </c>
      <c r="W376" s="3" t="n">
        <v>1.4</v>
      </c>
      <c r="X376" s="3" t="n">
        <v>5.68</v>
      </c>
      <c r="Y376" s="3" t="n">
        <v>384</v>
      </c>
      <c r="AA376" s="3" t="n">
        <v>0.48</v>
      </c>
      <c r="AB376" s="3" t="n">
        <v>9.6</v>
      </c>
      <c r="AC376" s="3" t="n">
        <v>1</v>
      </c>
      <c r="AD376" s="3" t="n">
        <v>2</v>
      </c>
      <c r="AE376" s="3" t="n">
        <v>2</v>
      </c>
      <c r="AF376" s="3" t="n">
        <v>1</v>
      </c>
      <c r="AG376" s="3" t="n">
        <v>2</v>
      </c>
      <c r="AH376" s="3" t="n">
        <v>2</v>
      </c>
      <c r="AI376" s="3" t="n">
        <v>1</v>
      </c>
      <c r="AJ376" s="3" t="n">
        <v>2</v>
      </c>
      <c r="AK376" s="3" t="n">
        <v>2</v>
      </c>
      <c r="AL376" s="3" t="n">
        <v>2</v>
      </c>
      <c r="AM376" s="3" t="n">
        <v>2</v>
      </c>
      <c r="AN376" s="3" t="n">
        <v>2</v>
      </c>
      <c r="AO376" s="3" t="n">
        <v>2</v>
      </c>
      <c r="AP376" s="3" t="n">
        <v>3</v>
      </c>
      <c r="AQ376" s="3" t="n">
        <v>4</v>
      </c>
      <c r="AR376" s="3" t="n">
        <v>4</v>
      </c>
      <c r="AS376" s="3" t="n">
        <v>6</v>
      </c>
      <c r="AT376" s="3" t="n">
        <v>4</v>
      </c>
      <c r="AU376" s="3" t="n">
        <v>4</v>
      </c>
      <c r="AV376" s="3" t="n">
        <v>6</v>
      </c>
      <c r="AW376" s="3" t="n">
        <v>6</v>
      </c>
      <c r="AX376" s="3" t="n">
        <v>3</v>
      </c>
      <c r="AY376" s="3" t="n">
        <v>3</v>
      </c>
      <c r="AZ376" s="3" t="n">
        <v>1</v>
      </c>
      <c r="BA376" s="5" t="n">
        <v>1</v>
      </c>
      <c r="BB376" s="3" t="n">
        <v>1</v>
      </c>
      <c r="BC376" s="3" t="n">
        <v>1</v>
      </c>
      <c r="BD376" s="3" t="n">
        <v>4</v>
      </c>
      <c r="BE376" s="3" t="n">
        <v>1</v>
      </c>
      <c r="BF376" s="3" t="n">
        <v>2</v>
      </c>
      <c r="BG376" s="3" t="n">
        <v>1</v>
      </c>
      <c r="BH376" s="3" t="n">
        <v>4</v>
      </c>
      <c r="BI376" s="3" t="n">
        <v>1</v>
      </c>
      <c r="BJ376" s="3" t="n">
        <v>1</v>
      </c>
    </row>
    <row r="377" customFormat="false" ht="12.75" hidden="false" customHeight="false" outlineLevel="0" collapsed="false">
      <c r="B377" s="2" t="s">
        <v>3046</v>
      </c>
      <c r="C377" s="2" t="s">
        <v>2236</v>
      </c>
      <c r="D377" s="2" t="s">
        <v>78</v>
      </c>
      <c r="E377" s="2" t="n">
        <v>211786</v>
      </c>
      <c r="F377" s="15" t="n">
        <v>44288</v>
      </c>
      <c r="G377" s="15" t="n">
        <v>44294</v>
      </c>
      <c r="H377" s="3" t="n">
        <v>6</v>
      </c>
      <c r="I377" s="3" t="n">
        <v>1</v>
      </c>
      <c r="J377" s="3" t="n">
        <v>101</v>
      </c>
      <c r="K377" s="3" t="n">
        <v>1</v>
      </c>
      <c r="L377" s="3" t="n">
        <v>2</v>
      </c>
      <c r="M377" s="3" t="n">
        <v>1</v>
      </c>
      <c r="N377" s="3" t="n">
        <v>2</v>
      </c>
      <c r="O377" s="3" t="n">
        <v>2</v>
      </c>
      <c r="P377" s="3" t="n">
        <v>2</v>
      </c>
      <c r="Q377" s="3" t="n">
        <v>2</v>
      </c>
      <c r="R377" s="3" t="n">
        <v>2</v>
      </c>
      <c r="S377" s="3" t="n">
        <v>2</v>
      </c>
      <c r="T377" s="4" t="n">
        <v>2</v>
      </c>
      <c r="U377" s="3" t="n">
        <v>2</v>
      </c>
      <c r="V377" s="3" t="n">
        <v>4.83</v>
      </c>
      <c r="W377" s="3" t="n">
        <v>1.06</v>
      </c>
      <c r="X377" s="3" t="n">
        <v>6.17</v>
      </c>
      <c r="Y377" s="3" t="n">
        <v>339</v>
      </c>
      <c r="AA377" s="3" t="n">
        <v>0.38</v>
      </c>
      <c r="AB377" s="3" t="n">
        <v>7.2</v>
      </c>
      <c r="AC377" s="3" t="n">
        <v>1</v>
      </c>
      <c r="AD377" s="3" t="n">
        <v>2</v>
      </c>
      <c r="AE377" s="3" t="n">
        <v>2</v>
      </c>
      <c r="AF377" s="3" t="n">
        <v>1</v>
      </c>
      <c r="AG377" s="3" t="n">
        <v>2</v>
      </c>
      <c r="AH377" s="3" t="n">
        <v>2</v>
      </c>
      <c r="AI377" s="3" t="n">
        <v>1</v>
      </c>
      <c r="AJ377" s="3" t="n">
        <v>2</v>
      </c>
      <c r="AK377" s="3" t="n">
        <v>2</v>
      </c>
      <c r="AL377" s="3" t="n">
        <v>2</v>
      </c>
      <c r="AM377" s="3" t="n">
        <v>1</v>
      </c>
      <c r="AN377" s="3" t="n">
        <v>2</v>
      </c>
      <c r="AO377" s="3" t="n">
        <v>1</v>
      </c>
      <c r="AP377" s="3" t="n">
        <v>3</v>
      </c>
      <c r="AQ377" s="3" t="n">
        <v>4</v>
      </c>
      <c r="AR377" s="3" t="n">
        <v>4</v>
      </c>
      <c r="AS377" s="3" t="n">
        <v>6</v>
      </c>
      <c r="AT377" s="3" t="n">
        <v>4</v>
      </c>
      <c r="AU377" s="3" t="n">
        <v>4</v>
      </c>
      <c r="AV377" s="3" t="n">
        <v>6</v>
      </c>
      <c r="AW377" s="3" t="n">
        <v>6</v>
      </c>
      <c r="AX377" s="3" t="n">
        <v>3</v>
      </c>
      <c r="AY377" s="3" t="n">
        <v>3</v>
      </c>
      <c r="AZ377" s="3" t="n">
        <v>1</v>
      </c>
      <c r="BA377" s="5" t="n">
        <v>1</v>
      </c>
      <c r="BB377" s="3" t="n">
        <v>1</v>
      </c>
      <c r="BC377" s="3" t="n">
        <v>1</v>
      </c>
      <c r="BD377" s="3" t="n">
        <v>2</v>
      </c>
      <c r="BE377" s="3" t="n">
        <v>1</v>
      </c>
      <c r="BF377" s="3" t="n">
        <v>2</v>
      </c>
      <c r="BG377" s="3" t="n">
        <v>1</v>
      </c>
      <c r="BH377" s="3" t="n">
        <v>4</v>
      </c>
      <c r="BI377" s="3" t="n">
        <v>1</v>
      </c>
      <c r="BJ377" s="3" t="n">
        <v>1</v>
      </c>
    </row>
    <row r="378" customFormat="false" ht="12.75" hidden="false" customHeight="false" outlineLevel="0" collapsed="false">
      <c r="B378" s="2" t="s">
        <v>3048</v>
      </c>
      <c r="C378" s="2" t="s">
        <v>3049</v>
      </c>
      <c r="D378" s="2" t="s">
        <v>3050</v>
      </c>
      <c r="E378" s="2" t="n">
        <v>211724</v>
      </c>
      <c r="F378" s="15" t="n">
        <v>44291</v>
      </c>
      <c r="G378" s="15" t="n">
        <v>44295</v>
      </c>
      <c r="H378" s="3" t="n">
        <v>4</v>
      </c>
      <c r="I378" s="3" t="n">
        <v>1</v>
      </c>
      <c r="J378" s="3" t="n">
        <v>79</v>
      </c>
      <c r="K378" s="3" t="n">
        <v>1</v>
      </c>
      <c r="L378" s="3" t="n">
        <v>2</v>
      </c>
      <c r="M378" s="3" t="n">
        <v>1</v>
      </c>
      <c r="N378" s="3" t="n">
        <v>2</v>
      </c>
      <c r="O378" s="3" t="n">
        <v>2</v>
      </c>
      <c r="P378" s="3" t="n">
        <v>2</v>
      </c>
      <c r="Q378" s="3" t="n">
        <v>2</v>
      </c>
      <c r="R378" s="3" t="n">
        <v>2</v>
      </c>
      <c r="S378" s="3" t="n">
        <v>2</v>
      </c>
      <c r="T378" s="4" t="n">
        <v>2</v>
      </c>
      <c r="U378" s="3" t="n">
        <v>2</v>
      </c>
      <c r="V378" s="3" t="n">
        <v>6.06</v>
      </c>
      <c r="W378" s="3" t="n">
        <v>1.19</v>
      </c>
      <c r="X378" s="3" t="n">
        <v>4.93</v>
      </c>
      <c r="Y378" s="3" t="n">
        <v>197</v>
      </c>
      <c r="AA378" s="3" t="n">
        <v>0.4</v>
      </c>
      <c r="AB378" s="3" t="n">
        <v>10</v>
      </c>
      <c r="AC378" s="3" t="n">
        <v>3</v>
      </c>
      <c r="AD378" s="3" t="n">
        <v>2</v>
      </c>
      <c r="AE378" s="3" t="n">
        <v>2</v>
      </c>
      <c r="AF378" s="3" t="n">
        <v>1</v>
      </c>
      <c r="AG378" s="3" t="n">
        <v>2</v>
      </c>
      <c r="AH378" s="3" t="n">
        <v>2</v>
      </c>
      <c r="AI378" s="3" t="n">
        <v>1</v>
      </c>
      <c r="AJ378" s="3" t="n">
        <v>2</v>
      </c>
      <c r="AK378" s="3" t="n">
        <v>2</v>
      </c>
      <c r="AL378" s="3" t="n">
        <v>2</v>
      </c>
      <c r="AM378" s="3" t="n">
        <v>2</v>
      </c>
      <c r="AN378" s="3" t="n">
        <v>1</v>
      </c>
      <c r="AO378" s="3" t="n">
        <v>2</v>
      </c>
      <c r="AP378" s="3" t="n">
        <v>3</v>
      </c>
      <c r="AQ378" s="3" t="n">
        <v>4</v>
      </c>
      <c r="AR378" s="3" t="n">
        <v>4</v>
      </c>
      <c r="AS378" s="3" t="n">
        <v>6</v>
      </c>
      <c r="AT378" s="3" t="n">
        <v>4</v>
      </c>
      <c r="AU378" s="3" t="n">
        <v>4</v>
      </c>
      <c r="AV378" s="3" t="n">
        <v>6</v>
      </c>
      <c r="AW378" s="3" t="n">
        <v>6</v>
      </c>
      <c r="AX378" s="3" t="n">
        <v>3</v>
      </c>
      <c r="AY378" s="3" t="n">
        <v>3</v>
      </c>
      <c r="AZ378" s="3" t="n">
        <v>6</v>
      </c>
      <c r="BA378" s="5" t="n">
        <v>1</v>
      </c>
      <c r="BB378" s="3" t="n">
        <v>1</v>
      </c>
      <c r="BC378" s="3" t="n">
        <v>1</v>
      </c>
      <c r="BD378" s="3" t="n">
        <v>4</v>
      </c>
      <c r="BE378" s="3" t="n">
        <v>1</v>
      </c>
      <c r="BF378" s="3" t="n">
        <v>2</v>
      </c>
      <c r="BG378" s="3" t="n">
        <v>1</v>
      </c>
      <c r="BH378" s="3" t="n">
        <v>4</v>
      </c>
      <c r="BI378" s="3" t="n">
        <v>1</v>
      </c>
      <c r="BJ378" s="3" t="n">
        <v>1</v>
      </c>
    </row>
    <row r="379" customFormat="false" ht="12.75" hidden="false" customHeight="false" outlineLevel="0" collapsed="false">
      <c r="B379" s="2" t="s">
        <v>3059</v>
      </c>
      <c r="C379" s="2" t="s">
        <v>3060</v>
      </c>
      <c r="D379" s="2" t="s">
        <v>172</v>
      </c>
      <c r="E379" s="2" t="n">
        <v>211280</v>
      </c>
      <c r="F379" s="15" t="n">
        <v>44281</v>
      </c>
      <c r="G379" s="15" t="n">
        <v>44295</v>
      </c>
      <c r="H379" s="3" t="n">
        <v>14</v>
      </c>
      <c r="I379" s="3" t="n">
        <v>1</v>
      </c>
      <c r="J379" s="3" t="n">
        <v>59</v>
      </c>
      <c r="K379" s="3" t="n">
        <v>1</v>
      </c>
      <c r="L379" s="3" t="n">
        <v>1</v>
      </c>
      <c r="M379" s="3" t="n">
        <v>1</v>
      </c>
      <c r="N379" s="3" t="n">
        <v>2</v>
      </c>
      <c r="O379" s="3" t="n">
        <v>2</v>
      </c>
      <c r="P379" s="3" t="n">
        <v>2</v>
      </c>
      <c r="Q379" s="3" t="n">
        <v>2</v>
      </c>
      <c r="R379" s="3" t="n">
        <v>2</v>
      </c>
      <c r="S379" s="3" t="n">
        <v>2</v>
      </c>
      <c r="T379" s="4" t="n">
        <v>2</v>
      </c>
      <c r="U379" s="3" t="n">
        <v>2</v>
      </c>
      <c r="V379" s="3" t="n">
        <v>4.34</v>
      </c>
      <c r="W379" s="3" t="n">
        <v>1.19</v>
      </c>
      <c r="X379" s="3" t="n">
        <v>5.82</v>
      </c>
      <c r="Y379" s="3" t="n">
        <v>408</v>
      </c>
      <c r="AA379" s="3" t="n">
        <v>0.25</v>
      </c>
      <c r="AB379" s="3" t="n">
        <v>9</v>
      </c>
      <c r="AC379" s="3" t="n">
        <v>1</v>
      </c>
      <c r="AD379" s="3" t="n">
        <v>2</v>
      </c>
      <c r="AE379" s="3" t="n">
        <v>1</v>
      </c>
      <c r="AF379" s="3" t="n">
        <v>1</v>
      </c>
      <c r="AG379" s="3" t="n">
        <v>2</v>
      </c>
      <c r="AH379" s="3" t="n">
        <v>2</v>
      </c>
      <c r="AI379" s="3" t="n">
        <v>1</v>
      </c>
      <c r="AJ379" s="3" t="n">
        <v>2</v>
      </c>
      <c r="AK379" s="3" t="n">
        <v>2</v>
      </c>
      <c r="AL379" s="3" t="n">
        <v>2</v>
      </c>
      <c r="AM379" s="3" t="n">
        <v>2</v>
      </c>
      <c r="AN379" s="3" t="n">
        <v>2</v>
      </c>
      <c r="AO379" s="3" t="n">
        <v>2</v>
      </c>
      <c r="AP379" s="3" t="n">
        <v>3</v>
      </c>
      <c r="AQ379" s="3" t="n">
        <v>4</v>
      </c>
      <c r="AR379" s="3" t="n">
        <v>4</v>
      </c>
      <c r="AS379" s="3" t="n">
        <v>6</v>
      </c>
      <c r="AT379" s="3" t="n">
        <v>4</v>
      </c>
      <c r="AU379" s="3" t="n">
        <v>4</v>
      </c>
      <c r="AV379" s="3" t="n">
        <v>6</v>
      </c>
      <c r="AW379" s="3" t="n">
        <v>6</v>
      </c>
      <c r="AX379" s="3" t="n">
        <v>3</v>
      </c>
      <c r="AY379" s="3" t="n">
        <v>3</v>
      </c>
      <c r="AZ379" s="3" t="n">
        <v>4</v>
      </c>
      <c r="BA379" s="5" t="n">
        <v>1</v>
      </c>
      <c r="BB379" s="3" t="n">
        <v>1</v>
      </c>
      <c r="BC379" s="3" t="n">
        <v>1</v>
      </c>
      <c r="BD379" s="3" t="n">
        <v>4</v>
      </c>
      <c r="BE379" s="3" t="n">
        <v>3</v>
      </c>
      <c r="BF379" s="3" t="n">
        <v>5</v>
      </c>
      <c r="BG379" s="3" t="n">
        <v>3</v>
      </c>
      <c r="BH379" s="3" t="n">
        <v>4</v>
      </c>
      <c r="BI379" s="3" t="n">
        <v>1</v>
      </c>
      <c r="BJ379" s="3" t="n">
        <v>1</v>
      </c>
    </row>
    <row r="380" customFormat="false" ht="12.75" hidden="false" customHeight="false" outlineLevel="0" collapsed="false">
      <c r="B380" s="26" t="s">
        <v>563</v>
      </c>
      <c r="C380" s="26" t="s">
        <v>432</v>
      </c>
      <c r="D380" s="26" t="s">
        <v>3062</v>
      </c>
      <c r="E380" s="26" t="n">
        <v>211781</v>
      </c>
      <c r="F380" s="27" t="n">
        <v>44289</v>
      </c>
      <c r="G380" s="27" t="n">
        <v>44298</v>
      </c>
      <c r="H380" s="30" t="n">
        <v>9</v>
      </c>
      <c r="I380" s="30" t="n">
        <v>2</v>
      </c>
      <c r="J380" s="30" t="n">
        <v>81</v>
      </c>
      <c r="K380" s="30" t="n">
        <v>1</v>
      </c>
      <c r="L380" s="30" t="n">
        <v>2</v>
      </c>
      <c r="M380" s="30" t="n">
        <v>1</v>
      </c>
      <c r="N380" s="30" t="n">
        <v>2</v>
      </c>
      <c r="O380" s="30" t="n">
        <v>2</v>
      </c>
      <c r="P380" s="30" t="n">
        <v>2</v>
      </c>
      <c r="Q380" s="30" t="n">
        <v>2</v>
      </c>
      <c r="R380" s="30" t="n">
        <v>2</v>
      </c>
      <c r="S380" s="30" t="n">
        <v>2</v>
      </c>
      <c r="T380" s="4" t="n">
        <v>2</v>
      </c>
      <c r="U380" s="30" t="n">
        <v>2</v>
      </c>
      <c r="V380" s="30" t="n">
        <v>3.02</v>
      </c>
      <c r="W380" s="30" t="n">
        <v>0.49</v>
      </c>
      <c r="X380" s="30" t="n">
        <v>13.71</v>
      </c>
      <c r="Y380" s="30" t="n">
        <v>253</v>
      </c>
      <c r="AA380" s="30" t="n">
        <v>0.48</v>
      </c>
      <c r="AB380" s="30" t="n">
        <v>18.9</v>
      </c>
      <c r="AC380" s="30" t="n">
        <v>2</v>
      </c>
      <c r="AD380" s="30" t="n">
        <v>2</v>
      </c>
      <c r="AE380" s="30" t="n">
        <v>2</v>
      </c>
      <c r="AF380" s="30" t="n">
        <v>1</v>
      </c>
      <c r="AG380" s="30" t="n">
        <v>2</v>
      </c>
      <c r="AH380" s="30" t="n">
        <v>2</v>
      </c>
      <c r="AI380" s="30" t="n">
        <v>1</v>
      </c>
      <c r="AJ380" s="30" t="n">
        <v>2</v>
      </c>
      <c r="AK380" s="30" t="n">
        <v>2</v>
      </c>
      <c r="AL380" s="30" t="n">
        <v>2</v>
      </c>
      <c r="AM380" s="30" t="n">
        <v>1</v>
      </c>
      <c r="AN380" s="30" t="n">
        <v>2</v>
      </c>
      <c r="AO380" s="30" t="n">
        <v>2</v>
      </c>
      <c r="AP380" s="30" t="n">
        <v>3</v>
      </c>
      <c r="AQ380" s="30" t="n">
        <v>4</v>
      </c>
      <c r="AR380" s="30" t="n">
        <v>4</v>
      </c>
      <c r="AS380" s="30" t="n">
        <v>6</v>
      </c>
      <c r="AT380" s="30" t="n">
        <v>4</v>
      </c>
      <c r="AU380" s="30" t="n">
        <v>4</v>
      </c>
      <c r="AV380" s="30" t="n">
        <v>6</v>
      </c>
      <c r="AW380" s="30" t="n">
        <v>6</v>
      </c>
      <c r="AX380" s="30" t="n">
        <v>3</v>
      </c>
      <c r="AY380" s="30" t="n">
        <v>3</v>
      </c>
      <c r="AZ380" s="30" t="n">
        <v>1</v>
      </c>
      <c r="BA380" s="5" t="n">
        <v>1</v>
      </c>
      <c r="BB380" s="30" t="n">
        <v>1</v>
      </c>
      <c r="BC380" s="30" t="n">
        <v>1</v>
      </c>
      <c r="BD380" s="30" t="n">
        <v>2</v>
      </c>
      <c r="BE380" s="30" t="n">
        <v>1</v>
      </c>
      <c r="BF380" s="30" t="n">
        <v>2</v>
      </c>
      <c r="BG380" s="30" t="n">
        <v>1</v>
      </c>
      <c r="BH380" s="30" t="n">
        <v>4</v>
      </c>
      <c r="BI380" s="30" t="n">
        <v>1</v>
      </c>
      <c r="BJ380" s="30" t="n">
        <v>1</v>
      </c>
    </row>
    <row r="381" customFormat="false" ht="12.75" hidden="false" customHeight="false" outlineLevel="0" collapsed="false">
      <c r="B381" s="2" t="s">
        <v>217</v>
      </c>
      <c r="C381" s="2" t="s">
        <v>3064</v>
      </c>
      <c r="D381" s="2" t="s">
        <v>197</v>
      </c>
      <c r="E381" s="2" t="n">
        <v>211723</v>
      </c>
      <c r="F381" s="15" t="n">
        <v>44291</v>
      </c>
      <c r="G381" s="15" t="n">
        <v>44298</v>
      </c>
      <c r="H381" s="3" t="n">
        <v>7</v>
      </c>
      <c r="I381" s="3" t="n">
        <v>2</v>
      </c>
      <c r="J381" s="3" t="n">
        <v>61</v>
      </c>
      <c r="K381" s="3" t="n">
        <v>1</v>
      </c>
      <c r="L381" s="3" t="n">
        <v>1</v>
      </c>
      <c r="M381" s="3" t="n">
        <v>2</v>
      </c>
      <c r="N381" s="3" t="n">
        <v>2</v>
      </c>
      <c r="O381" s="3" t="n">
        <v>2</v>
      </c>
      <c r="P381" s="3" t="n">
        <v>2</v>
      </c>
      <c r="Q381" s="3" t="n">
        <v>2</v>
      </c>
      <c r="R381" s="3" t="n">
        <v>2</v>
      </c>
      <c r="S381" s="3" t="n">
        <v>2</v>
      </c>
      <c r="T381" s="4" t="n">
        <v>2</v>
      </c>
      <c r="U381" s="3" t="n">
        <v>2</v>
      </c>
      <c r="V381" s="3" t="n">
        <v>5.48</v>
      </c>
      <c r="W381" s="3" t="n">
        <v>2.44</v>
      </c>
      <c r="X381" s="3" t="n">
        <v>7.81</v>
      </c>
      <c r="Y381" s="3" t="n">
        <v>314</v>
      </c>
      <c r="AA381" s="3" t="n">
        <v>0.46</v>
      </c>
      <c r="AB381" s="3" t="n">
        <v>17</v>
      </c>
      <c r="AC381" s="3" t="n">
        <v>1</v>
      </c>
      <c r="AD381" s="3" t="n">
        <v>2</v>
      </c>
      <c r="AE381" s="3" t="n">
        <v>1</v>
      </c>
      <c r="AF381" s="3" t="n">
        <v>1</v>
      </c>
      <c r="AG381" s="3" t="n">
        <v>2</v>
      </c>
      <c r="AH381" s="3" t="n">
        <v>2</v>
      </c>
      <c r="AI381" s="3" t="n">
        <v>1</v>
      </c>
      <c r="AJ381" s="3" t="n">
        <v>2</v>
      </c>
      <c r="AK381" s="3" t="n">
        <v>2</v>
      </c>
      <c r="AL381" s="3" t="n">
        <v>2</v>
      </c>
      <c r="AM381" s="3" t="n">
        <v>2</v>
      </c>
      <c r="AN381" s="3" t="n">
        <v>2</v>
      </c>
      <c r="AO381" s="3" t="n">
        <v>2</v>
      </c>
      <c r="AP381" s="3" t="n">
        <v>3</v>
      </c>
      <c r="AQ381" s="3" t="n">
        <v>4</v>
      </c>
      <c r="AR381" s="3" t="n">
        <v>4</v>
      </c>
      <c r="AS381" s="3" t="n">
        <v>6</v>
      </c>
      <c r="AT381" s="3" t="n">
        <v>4</v>
      </c>
      <c r="AU381" s="3" t="n">
        <v>4</v>
      </c>
      <c r="AV381" s="3" t="n">
        <v>6</v>
      </c>
      <c r="AW381" s="3" t="n">
        <v>6</v>
      </c>
      <c r="AX381" s="3" t="n">
        <v>3</v>
      </c>
      <c r="AY381" s="3" t="n">
        <v>3</v>
      </c>
      <c r="AZ381" s="3" t="n">
        <v>1</v>
      </c>
      <c r="BA381" s="5" t="n">
        <v>1</v>
      </c>
      <c r="BB381" s="3" t="n">
        <v>1</v>
      </c>
      <c r="BC381" s="3" t="n">
        <v>1</v>
      </c>
      <c r="BD381" s="3" t="n">
        <v>4</v>
      </c>
      <c r="BE381" s="3" t="n">
        <v>1</v>
      </c>
      <c r="BF381" s="3" t="n">
        <v>2</v>
      </c>
      <c r="BG381" s="3" t="n">
        <v>1</v>
      </c>
      <c r="BH381" s="3" t="n">
        <v>4</v>
      </c>
      <c r="BI381" s="3" t="n">
        <v>1</v>
      </c>
      <c r="BJ381" s="3" t="n">
        <v>1</v>
      </c>
    </row>
    <row r="382" customFormat="false" ht="12.75" hidden="false" customHeight="false" outlineLevel="0" collapsed="false">
      <c r="B382" s="2" t="s">
        <v>912</v>
      </c>
      <c r="C382" s="2" t="s">
        <v>595</v>
      </c>
      <c r="D382" s="2" t="s">
        <v>1776</v>
      </c>
      <c r="E382" s="2" t="n">
        <v>211717</v>
      </c>
      <c r="F382" s="15" t="n">
        <v>44291</v>
      </c>
      <c r="G382" s="15" t="n">
        <v>44298</v>
      </c>
      <c r="H382" s="3" t="n">
        <v>9</v>
      </c>
      <c r="I382" s="3" t="n">
        <v>2</v>
      </c>
      <c r="J382" s="3" t="n">
        <v>48</v>
      </c>
      <c r="K382" s="3" t="n">
        <v>1</v>
      </c>
      <c r="L382" s="3" t="n">
        <v>1</v>
      </c>
      <c r="M382" s="3" t="n">
        <v>2</v>
      </c>
      <c r="N382" s="3" t="n">
        <v>2</v>
      </c>
      <c r="O382" s="3" t="n">
        <v>2</v>
      </c>
      <c r="P382" s="3" t="n">
        <v>2</v>
      </c>
      <c r="Q382" s="3" t="n">
        <v>2</v>
      </c>
      <c r="R382" s="3" t="n">
        <v>2</v>
      </c>
      <c r="S382" s="3" t="n">
        <v>2</v>
      </c>
      <c r="T382" s="4" t="n">
        <v>2</v>
      </c>
      <c r="U382" s="3" t="n">
        <v>2</v>
      </c>
      <c r="V382" s="3" t="n">
        <v>4.79</v>
      </c>
      <c r="W382" s="3" t="n">
        <v>1.4</v>
      </c>
      <c r="X382" s="3" t="n">
        <v>4.36</v>
      </c>
      <c r="Y382" s="3" t="n">
        <v>354</v>
      </c>
      <c r="AA382" s="3" t="n">
        <v>0.4</v>
      </c>
      <c r="AB382" s="3" t="n">
        <v>8</v>
      </c>
      <c r="AC382" s="3" t="n">
        <v>1</v>
      </c>
      <c r="AD382" s="3" t="n">
        <v>2</v>
      </c>
      <c r="AE382" s="3" t="n">
        <v>1</v>
      </c>
      <c r="AF382" s="3" t="n">
        <v>1</v>
      </c>
      <c r="AG382" s="3" t="n">
        <v>1</v>
      </c>
      <c r="AH382" s="3" t="n">
        <v>2</v>
      </c>
      <c r="AI382" s="3" t="n">
        <v>1</v>
      </c>
      <c r="AJ382" s="3" t="n">
        <v>2</v>
      </c>
      <c r="AK382" s="3" t="n">
        <v>2</v>
      </c>
      <c r="AL382" s="3" t="n">
        <v>2</v>
      </c>
      <c r="AM382" s="3" t="n">
        <v>2</v>
      </c>
      <c r="AN382" s="3" t="n">
        <v>2</v>
      </c>
      <c r="AO382" s="3" t="n">
        <v>2</v>
      </c>
      <c r="AP382" s="3" t="n">
        <v>3</v>
      </c>
      <c r="AQ382" s="3" t="n">
        <v>4</v>
      </c>
      <c r="AR382" s="3" t="n">
        <v>4</v>
      </c>
      <c r="AS382" s="3" t="n">
        <v>6</v>
      </c>
      <c r="AT382" s="3" t="n">
        <v>4</v>
      </c>
      <c r="AU382" s="3" t="n">
        <v>4</v>
      </c>
      <c r="AV382" s="3" t="n">
        <v>6</v>
      </c>
      <c r="AW382" s="3" t="n">
        <v>6</v>
      </c>
      <c r="AX382" s="3" t="n">
        <v>3</v>
      </c>
      <c r="AY382" s="3" t="n">
        <v>3</v>
      </c>
      <c r="AZ382" s="3" t="n">
        <v>1</v>
      </c>
      <c r="BA382" s="5" t="n">
        <v>1</v>
      </c>
      <c r="BB382" s="3" t="n">
        <v>1</v>
      </c>
      <c r="BC382" s="3" t="n">
        <v>1</v>
      </c>
      <c r="BD382" s="3" t="n">
        <v>4</v>
      </c>
      <c r="BE382" s="3" t="n">
        <v>3</v>
      </c>
      <c r="BF382" s="3" t="n">
        <v>5</v>
      </c>
      <c r="BG382" s="3" t="n">
        <v>3</v>
      </c>
      <c r="BH382" s="3" t="n">
        <v>4</v>
      </c>
      <c r="BI382" s="3" t="n">
        <v>1</v>
      </c>
      <c r="BJ382" s="3" t="n">
        <v>1</v>
      </c>
    </row>
    <row r="383" customFormat="false" ht="12.75" hidden="false" customHeight="false" outlineLevel="0" collapsed="false">
      <c r="B383" s="2" t="s">
        <v>3074</v>
      </c>
      <c r="C383" s="2" t="s">
        <v>66</v>
      </c>
      <c r="D383" s="2" t="s">
        <v>423</v>
      </c>
      <c r="E383" s="2" t="n">
        <v>211574</v>
      </c>
      <c r="F383" s="15" t="n">
        <v>44296</v>
      </c>
      <c r="G383" s="15" t="n">
        <v>44302</v>
      </c>
      <c r="H383" s="3" t="n">
        <v>6</v>
      </c>
      <c r="I383" s="3" t="n">
        <v>2</v>
      </c>
      <c r="J383" s="3" t="n">
        <v>62</v>
      </c>
      <c r="K383" s="3" t="n">
        <v>1</v>
      </c>
      <c r="L383" s="3" t="n">
        <v>2</v>
      </c>
      <c r="M383" s="3" t="n">
        <v>2</v>
      </c>
      <c r="N383" s="3" t="n">
        <v>2</v>
      </c>
      <c r="O383" s="3" t="n">
        <v>2</v>
      </c>
      <c r="P383" s="3" t="n">
        <v>2</v>
      </c>
      <c r="Q383" s="3" t="n">
        <v>2</v>
      </c>
      <c r="R383" s="3" t="n">
        <v>2</v>
      </c>
      <c r="S383" s="3" t="n">
        <v>2</v>
      </c>
      <c r="T383" s="4" t="n">
        <v>2</v>
      </c>
      <c r="U383" s="3" t="n">
        <v>2</v>
      </c>
      <c r="V383" s="3" t="n">
        <v>4.16</v>
      </c>
      <c r="W383" s="3" t="n">
        <v>1.19</v>
      </c>
      <c r="X383" s="3" t="n">
        <v>4.42</v>
      </c>
      <c r="Y383" s="3" t="n">
        <v>423</v>
      </c>
      <c r="AA383" s="3" t="n">
        <v>0.45</v>
      </c>
      <c r="AB383" s="3" t="n">
        <v>7.7</v>
      </c>
      <c r="AC383" s="3" t="n">
        <v>1</v>
      </c>
      <c r="AD383" s="3" t="n">
        <v>1</v>
      </c>
      <c r="AE383" s="3" t="n">
        <v>2</v>
      </c>
      <c r="AF383" s="3" t="n">
        <v>1</v>
      </c>
      <c r="AG383" s="3" t="n">
        <v>2</v>
      </c>
      <c r="AH383" s="3" t="n">
        <v>2</v>
      </c>
      <c r="AI383" s="3" t="n">
        <v>1</v>
      </c>
      <c r="AJ383" s="3" t="n">
        <v>2</v>
      </c>
      <c r="AK383" s="3" t="n">
        <v>2</v>
      </c>
      <c r="AL383" s="3" t="n">
        <v>2</v>
      </c>
      <c r="AM383" s="3" t="n">
        <v>2</v>
      </c>
      <c r="AN383" s="3" t="n">
        <v>2</v>
      </c>
      <c r="AO383" s="3" t="n">
        <v>2</v>
      </c>
      <c r="AP383" s="3" t="n">
        <v>3</v>
      </c>
      <c r="AQ383" s="3" t="n">
        <v>4</v>
      </c>
      <c r="AR383" s="3" t="n">
        <v>4</v>
      </c>
      <c r="AS383" s="3" t="n">
        <v>6</v>
      </c>
      <c r="AT383" s="3" t="n">
        <v>4</v>
      </c>
      <c r="AU383" s="3" t="n">
        <v>4</v>
      </c>
      <c r="AV383" s="3" t="n">
        <v>6</v>
      </c>
      <c r="AW383" s="3" t="n">
        <v>6</v>
      </c>
      <c r="AX383" s="3" t="n">
        <v>3</v>
      </c>
      <c r="AY383" s="3" t="n">
        <v>3</v>
      </c>
      <c r="AZ383" s="3" t="n">
        <v>1</v>
      </c>
      <c r="BA383" s="5" t="n">
        <v>1</v>
      </c>
      <c r="BB383" s="3" t="n">
        <v>1</v>
      </c>
      <c r="BC383" s="3" t="n">
        <v>1</v>
      </c>
      <c r="BD383" s="3" t="n">
        <v>4</v>
      </c>
      <c r="BE383" s="3" t="n">
        <v>1</v>
      </c>
      <c r="BF383" s="3" t="n">
        <v>2</v>
      </c>
      <c r="BG383" s="3" t="n">
        <v>1</v>
      </c>
      <c r="BH383" s="3" t="n">
        <v>4</v>
      </c>
      <c r="BI383" s="3" t="n">
        <v>1</v>
      </c>
      <c r="BJ383" s="3" t="n">
        <v>1</v>
      </c>
    </row>
    <row r="384" customFormat="false" ht="12.75" hidden="false" customHeight="false" outlineLevel="0" collapsed="false">
      <c r="B384" s="2" t="s">
        <v>345</v>
      </c>
      <c r="C384" s="2" t="s">
        <v>3079</v>
      </c>
      <c r="D384" s="2" t="s">
        <v>260</v>
      </c>
      <c r="E384" s="2" t="n">
        <v>211552</v>
      </c>
      <c r="F384" s="15" t="n">
        <v>44295</v>
      </c>
      <c r="G384" s="15" t="n">
        <v>44302</v>
      </c>
      <c r="H384" s="3" t="n">
        <v>7</v>
      </c>
      <c r="I384" s="3" t="n">
        <v>2</v>
      </c>
      <c r="J384" s="3" t="n">
        <v>51</v>
      </c>
      <c r="K384" s="3" t="n">
        <v>3</v>
      </c>
      <c r="L384" s="3" t="n">
        <v>1</v>
      </c>
      <c r="M384" s="3" t="n">
        <v>2</v>
      </c>
      <c r="N384" s="3" t="n">
        <v>2</v>
      </c>
      <c r="O384" s="3" t="n">
        <v>2</v>
      </c>
      <c r="P384" s="3" t="n">
        <v>2</v>
      </c>
      <c r="Q384" s="3" t="n">
        <v>2</v>
      </c>
      <c r="R384" s="3" t="n">
        <v>2</v>
      </c>
      <c r="S384" s="3" t="n">
        <v>2</v>
      </c>
      <c r="T384" s="4" t="n">
        <v>2</v>
      </c>
      <c r="U384" s="3" t="n">
        <v>2</v>
      </c>
      <c r="V384" s="3" t="n">
        <v>4.21</v>
      </c>
      <c r="W384" s="3" t="n">
        <v>0.87</v>
      </c>
      <c r="X384" s="3" t="n">
        <v>5.66</v>
      </c>
      <c r="Y384" s="3" t="n">
        <v>319</v>
      </c>
      <c r="AA384" s="3" t="n">
        <v>0.45</v>
      </c>
      <c r="AB384" s="3" t="n">
        <v>8.4</v>
      </c>
      <c r="AC384" s="3" t="n">
        <v>1</v>
      </c>
      <c r="AD384" s="3" t="n">
        <v>2</v>
      </c>
      <c r="AE384" s="3" t="n">
        <v>1</v>
      </c>
      <c r="AF384" s="3" t="n">
        <v>1</v>
      </c>
      <c r="AG384" s="3" t="n">
        <v>2</v>
      </c>
      <c r="AH384" s="3" t="n">
        <v>2</v>
      </c>
      <c r="AI384" s="3" t="n">
        <v>1</v>
      </c>
      <c r="AJ384" s="3" t="n">
        <v>2</v>
      </c>
      <c r="AK384" s="3" t="n">
        <v>2</v>
      </c>
      <c r="AL384" s="3" t="n">
        <v>2</v>
      </c>
      <c r="AM384" s="3" t="n">
        <v>2</v>
      </c>
      <c r="AN384" s="3" t="n">
        <v>2</v>
      </c>
      <c r="AO384" s="3" t="n">
        <v>2</v>
      </c>
      <c r="AP384" s="3" t="n">
        <v>3</v>
      </c>
      <c r="AQ384" s="3" t="n">
        <v>4</v>
      </c>
      <c r="AR384" s="3" t="n">
        <v>4</v>
      </c>
      <c r="AS384" s="3" t="n">
        <v>6</v>
      </c>
      <c r="AT384" s="3" t="n">
        <v>4</v>
      </c>
      <c r="AU384" s="3" t="n">
        <v>4</v>
      </c>
      <c r="AV384" s="3" t="n">
        <v>6</v>
      </c>
      <c r="AW384" s="3" t="n">
        <v>6</v>
      </c>
      <c r="AX384" s="3" t="n">
        <v>3</v>
      </c>
      <c r="AY384" s="3" t="n">
        <v>3</v>
      </c>
      <c r="AZ384" s="3" t="n">
        <v>1</v>
      </c>
      <c r="BA384" s="5" t="n">
        <v>1</v>
      </c>
      <c r="BB384" s="3" t="n">
        <v>1</v>
      </c>
      <c r="BC384" s="3" t="n">
        <v>1</v>
      </c>
      <c r="BD384" s="3" t="n">
        <v>2</v>
      </c>
      <c r="BE384" s="3" t="n">
        <v>1</v>
      </c>
      <c r="BF384" s="3" t="n">
        <v>2</v>
      </c>
      <c r="BG384" s="3" t="n">
        <v>2</v>
      </c>
      <c r="BH384" s="3" t="n">
        <v>4</v>
      </c>
      <c r="BI384" s="3" t="n">
        <v>1</v>
      </c>
      <c r="BJ384" s="3" t="n">
        <v>1</v>
      </c>
    </row>
    <row r="385" customFormat="false" ht="12.75" hidden="false" customHeight="false" outlineLevel="0" collapsed="false">
      <c r="B385" s="17" t="s">
        <v>3081</v>
      </c>
      <c r="C385" s="17" t="s">
        <v>3082</v>
      </c>
      <c r="D385" s="17" t="s">
        <v>95</v>
      </c>
      <c r="E385" s="2" t="n">
        <v>211928</v>
      </c>
      <c r="F385" s="15" t="n">
        <v>44299</v>
      </c>
      <c r="G385" s="15" t="n">
        <v>44304</v>
      </c>
      <c r="H385" s="3" t="n">
        <v>5</v>
      </c>
      <c r="I385" s="3" t="n">
        <v>2</v>
      </c>
      <c r="J385" s="3" t="n">
        <v>49</v>
      </c>
      <c r="K385" s="3" t="n">
        <v>2</v>
      </c>
      <c r="L385" s="3" t="n">
        <v>1</v>
      </c>
      <c r="M385" s="3" t="n">
        <v>2</v>
      </c>
      <c r="N385" s="3" t="n">
        <v>2</v>
      </c>
      <c r="O385" s="3" t="n">
        <v>2</v>
      </c>
      <c r="P385" s="3" t="n">
        <v>2</v>
      </c>
      <c r="Q385" s="3" t="n">
        <v>2</v>
      </c>
      <c r="R385" s="3" t="n">
        <v>2</v>
      </c>
      <c r="S385" s="3" t="n">
        <v>2</v>
      </c>
      <c r="T385" s="4" t="n">
        <v>2</v>
      </c>
      <c r="U385" s="3" t="n">
        <v>2</v>
      </c>
      <c r="V385" s="3" t="n">
        <v>4.84</v>
      </c>
      <c r="W385" s="3" t="n">
        <v>1.09</v>
      </c>
      <c r="X385" s="3" t="n">
        <v>3.76</v>
      </c>
      <c r="Y385" s="3" t="n">
        <v>361</v>
      </c>
      <c r="AA385" s="3" t="n">
        <v>0.5</v>
      </c>
      <c r="AB385" s="3" t="n">
        <v>11.7</v>
      </c>
      <c r="AC385" s="3" t="n">
        <v>1</v>
      </c>
      <c r="AD385" s="3" t="n">
        <v>2</v>
      </c>
      <c r="AE385" s="3" t="n">
        <v>1</v>
      </c>
      <c r="AF385" s="3" t="n">
        <v>1</v>
      </c>
      <c r="AG385" s="3" t="n">
        <v>1</v>
      </c>
      <c r="AH385" s="3" t="n">
        <v>2</v>
      </c>
      <c r="AI385" s="3" t="n">
        <v>1</v>
      </c>
      <c r="AJ385" s="3" t="n">
        <v>2</v>
      </c>
      <c r="AK385" s="3" t="n">
        <v>2</v>
      </c>
      <c r="AL385" s="3" t="n">
        <v>2</v>
      </c>
      <c r="AM385" s="3" t="n">
        <v>2</v>
      </c>
      <c r="AN385" s="3" t="n">
        <v>2</v>
      </c>
      <c r="AO385" s="3" t="n">
        <v>2</v>
      </c>
      <c r="AP385" s="3" t="n">
        <v>3</v>
      </c>
      <c r="AQ385" s="3" t="n">
        <v>4</v>
      </c>
      <c r="AR385" s="3" t="n">
        <v>4</v>
      </c>
      <c r="AS385" s="3" t="n">
        <v>6</v>
      </c>
      <c r="AT385" s="3" t="n">
        <v>4</v>
      </c>
      <c r="AU385" s="3" t="n">
        <v>4</v>
      </c>
      <c r="AV385" s="3" t="n">
        <v>6</v>
      </c>
      <c r="AW385" s="3" t="n">
        <v>6</v>
      </c>
      <c r="AX385" s="3" t="n">
        <v>3</v>
      </c>
      <c r="AY385" s="3" t="n">
        <v>3</v>
      </c>
      <c r="AZ385" s="3" t="n">
        <v>1</v>
      </c>
      <c r="BA385" s="5" t="n">
        <v>1</v>
      </c>
      <c r="BB385" s="3" t="n">
        <v>1</v>
      </c>
      <c r="BC385" s="3" t="n">
        <v>1</v>
      </c>
      <c r="BD385" s="3" t="n">
        <v>2</v>
      </c>
      <c r="BE385" s="3" t="n">
        <v>3</v>
      </c>
      <c r="BF385" s="3" t="n">
        <v>5</v>
      </c>
      <c r="BG385" s="3" t="n">
        <v>3</v>
      </c>
      <c r="BH385" s="3" t="n">
        <v>4</v>
      </c>
      <c r="BI385" s="3" t="n">
        <v>1</v>
      </c>
      <c r="BJ385" s="3" t="n">
        <v>1</v>
      </c>
    </row>
    <row r="386" customFormat="false" ht="12.75" hidden="false" customHeight="false" outlineLevel="0" collapsed="false">
      <c r="B386" s="2" t="s">
        <v>2958</v>
      </c>
      <c r="C386" s="2" t="s">
        <v>161</v>
      </c>
      <c r="D386" s="2" t="s">
        <v>839</v>
      </c>
      <c r="E386" s="2" t="n">
        <v>211822</v>
      </c>
      <c r="F386" s="15" t="n">
        <v>44302</v>
      </c>
      <c r="G386" s="15" t="n">
        <v>44215</v>
      </c>
      <c r="H386" s="3" t="n">
        <v>3</v>
      </c>
      <c r="I386" s="3" t="n">
        <v>2</v>
      </c>
      <c r="J386" s="3" t="n">
        <v>56</v>
      </c>
      <c r="K386" s="3" t="n">
        <v>1</v>
      </c>
      <c r="L386" s="3" t="n">
        <v>1</v>
      </c>
      <c r="M386" s="3" t="n">
        <v>2</v>
      </c>
      <c r="N386" s="3" t="n">
        <v>2</v>
      </c>
      <c r="O386" s="3" t="n">
        <v>2</v>
      </c>
      <c r="P386" s="3" t="n">
        <v>2</v>
      </c>
      <c r="Q386" s="3" t="n">
        <v>2</v>
      </c>
      <c r="R386" s="3" t="n">
        <v>2</v>
      </c>
      <c r="S386" s="3" t="n">
        <v>2</v>
      </c>
      <c r="T386" s="4" t="n">
        <v>2</v>
      </c>
      <c r="U386" s="3" t="n">
        <v>2</v>
      </c>
      <c r="V386" s="3" t="n">
        <v>6</v>
      </c>
      <c r="W386" s="3" t="n">
        <v>2.17</v>
      </c>
      <c r="X386" s="3" t="n">
        <v>6.41</v>
      </c>
      <c r="Y386" s="3" t="n">
        <v>585</v>
      </c>
      <c r="AA386" s="3" t="n">
        <v>0.48</v>
      </c>
      <c r="AB386" s="3" t="n">
        <v>16.4</v>
      </c>
      <c r="AC386" s="3" t="n">
        <v>3</v>
      </c>
      <c r="AD386" s="3" t="n">
        <v>2</v>
      </c>
      <c r="AE386" s="3" t="n">
        <v>1</v>
      </c>
      <c r="AF386" s="3" t="n">
        <v>1</v>
      </c>
      <c r="AG386" s="3" t="n">
        <v>2</v>
      </c>
      <c r="AH386" s="3" t="n">
        <v>2</v>
      </c>
      <c r="AI386" s="3" t="n">
        <v>1</v>
      </c>
      <c r="AJ386" s="3" t="n">
        <v>2</v>
      </c>
      <c r="AK386" s="3" t="n">
        <v>2</v>
      </c>
      <c r="AL386" s="3" t="n">
        <v>2</v>
      </c>
      <c r="AM386" s="3" t="n">
        <v>1</v>
      </c>
      <c r="AN386" s="3" t="n">
        <v>1</v>
      </c>
      <c r="AO386" s="3" t="n">
        <v>2</v>
      </c>
      <c r="AP386" s="3" t="n">
        <v>3</v>
      </c>
      <c r="AQ386" s="3" t="n">
        <v>4</v>
      </c>
      <c r="AR386" s="3" t="n">
        <v>4</v>
      </c>
      <c r="AS386" s="3" t="n">
        <v>6</v>
      </c>
      <c r="AT386" s="3" t="n">
        <v>4</v>
      </c>
      <c r="AU386" s="3" t="n">
        <v>4</v>
      </c>
      <c r="AV386" s="3" t="n">
        <v>6</v>
      </c>
      <c r="AW386" s="3" t="n">
        <v>6</v>
      </c>
      <c r="AX386" s="3" t="n">
        <v>3</v>
      </c>
      <c r="AY386" s="3" t="n">
        <v>3</v>
      </c>
      <c r="AZ386" s="3" t="n">
        <v>6</v>
      </c>
      <c r="BA386" s="5" t="n">
        <v>1</v>
      </c>
      <c r="BB386" s="3" t="n">
        <v>1</v>
      </c>
      <c r="BC386" s="3" t="n">
        <v>1</v>
      </c>
      <c r="BD386" s="3" t="n">
        <v>2</v>
      </c>
      <c r="BE386" s="3" t="n">
        <v>1</v>
      </c>
      <c r="BF386" s="3" t="n">
        <v>2</v>
      </c>
      <c r="BG386" s="3" t="n">
        <v>1</v>
      </c>
      <c r="BH386" s="3" t="n">
        <v>4</v>
      </c>
      <c r="BI386" s="3" t="n">
        <v>1</v>
      </c>
      <c r="BJ386" s="3" t="n">
        <v>1</v>
      </c>
    </row>
    <row r="387" customFormat="false" ht="12.75" hidden="false" customHeight="false" outlineLevel="0" collapsed="false">
      <c r="B387" s="17" t="s">
        <v>3085</v>
      </c>
      <c r="C387" s="17" t="s">
        <v>2694</v>
      </c>
      <c r="D387" s="17" t="s">
        <v>1591</v>
      </c>
      <c r="E387" s="2" t="n">
        <v>211905</v>
      </c>
      <c r="F387" s="15" t="n">
        <v>44298</v>
      </c>
      <c r="G387" s="15" t="n">
        <v>44215</v>
      </c>
      <c r="H387" s="3" t="n">
        <v>7</v>
      </c>
      <c r="I387" s="3" t="n">
        <v>1</v>
      </c>
      <c r="J387" s="3" t="n">
        <v>42</v>
      </c>
      <c r="K387" s="3" t="n">
        <v>1</v>
      </c>
      <c r="L387" s="3" t="n">
        <v>1</v>
      </c>
      <c r="M387" s="3" t="n">
        <v>1</v>
      </c>
      <c r="N387" s="3" t="n">
        <v>2</v>
      </c>
      <c r="O387" s="3" t="n">
        <v>1</v>
      </c>
      <c r="P387" s="3" t="n">
        <v>1</v>
      </c>
      <c r="Q387" s="3" t="n">
        <v>1</v>
      </c>
      <c r="R387" s="3" t="n">
        <v>2</v>
      </c>
      <c r="S387" s="3" t="n">
        <v>1</v>
      </c>
      <c r="T387" s="4" t="n">
        <v>2</v>
      </c>
      <c r="U387" s="3" t="n">
        <v>2</v>
      </c>
      <c r="V387" s="3" t="n">
        <v>4</v>
      </c>
      <c r="W387" s="3" t="n">
        <v>1.17</v>
      </c>
      <c r="X387" s="3" t="n">
        <v>4.9</v>
      </c>
      <c r="Y387" s="3" t="n">
        <v>252</v>
      </c>
      <c r="AA387" s="3" t="n">
        <v>0.4</v>
      </c>
      <c r="AB387" s="3" t="n">
        <v>8</v>
      </c>
      <c r="AC387" s="3" t="n">
        <v>1</v>
      </c>
      <c r="AD387" s="3" t="n">
        <v>2</v>
      </c>
      <c r="AE387" s="3" t="n">
        <v>2</v>
      </c>
      <c r="AF387" s="3" t="n">
        <v>1</v>
      </c>
      <c r="AG387" s="3" t="n">
        <v>2</v>
      </c>
      <c r="AH387" s="3" t="n">
        <v>1</v>
      </c>
      <c r="AI387" s="3" t="n">
        <v>1</v>
      </c>
      <c r="AJ387" s="3" t="n">
        <v>1</v>
      </c>
      <c r="AK387" s="3" t="n">
        <v>2</v>
      </c>
      <c r="AL387" s="3" t="n">
        <v>2</v>
      </c>
      <c r="AM387" s="3" t="n">
        <v>1</v>
      </c>
      <c r="AN387" s="3" t="n">
        <v>2</v>
      </c>
      <c r="AO387" s="3" t="n">
        <v>2</v>
      </c>
      <c r="AP387" s="3" t="n">
        <v>3</v>
      </c>
      <c r="AQ387" s="3" t="n">
        <v>4</v>
      </c>
      <c r="AR387" s="3" t="n">
        <v>4</v>
      </c>
      <c r="AS387" s="3" t="n">
        <v>6</v>
      </c>
      <c r="AT387" s="3" t="n">
        <v>4</v>
      </c>
      <c r="AU387" s="3" t="n">
        <v>4</v>
      </c>
      <c r="AV387" s="3" t="n">
        <v>6</v>
      </c>
      <c r="AW387" s="3" t="n">
        <v>6</v>
      </c>
      <c r="AX387" s="3" t="n">
        <v>3</v>
      </c>
      <c r="AY387" s="3" t="n">
        <v>3</v>
      </c>
      <c r="AZ387" s="3" t="n">
        <v>1</v>
      </c>
      <c r="BA387" s="5" t="n">
        <v>1</v>
      </c>
      <c r="BB387" s="3" t="n">
        <v>1</v>
      </c>
      <c r="BC387" s="3" t="n">
        <v>1</v>
      </c>
      <c r="BD387" s="3" t="n">
        <v>4</v>
      </c>
      <c r="BE387" s="3" t="n">
        <v>1</v>
      </c>
      <c r="BF387" s="3" t="n">
        <v>2</v>
      </c>
      <c r="BG387" s="3" t="n">
        <v>1</v>
      </c>
      <c r="BH387" s="3" t="n">
        <v>4</v>
      </c>
      <c r="BI387" s="3" t="n">
        <v>1</v>
      </c>
      <c r="BJ387" s="3" t="n">
        <v>1</v>
      </c>
    </row>
    <row r="388" customFormat="false" ht="12.75" hidden="false" customHeight="false" outlineLevel="0" collapsed="false">
      <c r="B388" s="17" t="s">
        <v>3087</v>
      </c>
      <c r="C388" s="17" t="s">
        <v>1552</v>
      </c>
      <c r="D388" s="17" t="s">
        <v>198</v>
      </c>
      <c r="E388" s="2" t="n">
        <v>211961</v>
      </c>
      <c r="F388" s="15" t="n">
        <v>44299</v>
      </c>
      <c r="G388" s="15" t="n">
        <v>44215</v>
      </c>
      <c r="H388" s="3" t="n">
        <v>6</v>
      </c>
      <c r="I388" s="3" t="n">
        <v>2</v>
      </c>
      <c r="J388" s="3" t="n">
        <v>55</v>
      </c>
      <c r="K388" s="3" t="n">
        <v>1</v>
      </c>
      <c r="L388" s="3" t="n">
        <v>1</v>
      </c>
      <c r="M388" s="3" t="n">
        <v>2</v>
      </c>
      <c r="N388" s="3" t="n">
        <v>2</v>
      </c>
      <c r="O388" s="3" t="n">
        <v>2</v>
      </c>
      <c r="P388" s="3" t="n">
        <v>2</v>
      </c>
      <c r="Q388" s="3" t="n">
        <v>2</v>
      </c>
      <c r="R388" s="3" t="n">
        <v>2</v>
      </c>
      <c r="S388" s="3" t="n">
        <v>2</v>
      </c>
      <c r="T388" s="4" t="n">
        <v>2</v>
      </c>
      <c r="U388" s="3" t="n">
        <v>2</v>
      </c>
      <c r="V388" s="3" t="n">
        <v>4.62</v>
      </c>
      <c r="W388" s="3" t="n">
        <v>1.08</v>
      </c>
      <c r="X388" s="3" t="n">
        <v>5.45</v>
      </c>
      <c r="Y388" s="3" t="n">
        <v>421</v>
      </c>
      <c r="AA388" s="3" t="n">
        <v>0.45</v>
      </c>
      <c r="AB388" s="3" t="n">
        <v>12.6</v>
      </c>
      <c r="AC388" s="3" t="n">
        <v>1</v>
      </c>
      <c r="AD388" s="3" t="n">
        <v>2</v>
      </c>
      <c r="AE388" s="3" t="n">
        <v>1</v>
      </c>
      <c r="AF388" s="3" t="n">
        <v>1</v>
      </c>
      <c r="AG388" s="3" t="n">
        <v>2</v>
      </c>
      <c r="AH388" s="3" t="n">
        <v>2</v>
      </c>
      <c r="AI388" s="3" t="n">
        <v>1</v>
      </c>
      <c r="AJ388" s="3" t="n">
        <v>2</v>
      </c>
      <c r="AK388" s="3" t="n">
        <v>2</v>
      </c>
      <c r="AL388" s="3" t="n">
        <v>2</v>
      </c>
      <c r="AM388" s="3" t="n">
        <v>2</v>
      </c>
      <c r="AN388" s="3" t="n">
        <v>2</v>
      </c>
      <c r="AO388" s="3" t="n">
        <v>2</v>
      </c>
      <c r="AP388" s="3" t="n">
        <v>3</v>
      </c>
      <c r="AQ388" s="3" t="n">
        <v>4</v>
      </c>
      <c r="AR388" s="3" t="n">
        <v>4</v>
      </c>
      <c r="AS388" s="3" t="n">
        <v>6</v>
      </c>
      <c r="AT388" s="3" t="n">
        <v>4</v>
      </c>
      <c r="AU388" s="3" t="n">
        <v>4</v>
      </c>
      <c r="AV388" s="3" t="n">
        <v>6</v>
      </c>
      <c r="AW388" s="3" t="n">
        <v>6</v>
      </c>
      <c r="AX388" s="3" t="n">
        <v>3</v>
      </c>
      <c r="AY388" s="3" t="n">
        <v>3</v>
      </c>
      <c r="AZ388" s="3" t="n">
        <v>1</v>
      </c>
      <c r="BA388" s="5" t="n">
        <v>1</v>
      </c>
      <c r="BB388" s="3" t="n">
        <v>1</v>
      </c>
      <c r="BC388" s="3" t="n">
        <v>1</v>
      </c>
      <c r="BD388" s="3" t="n">
        <v>4</v>
      </c>
      <c r="BE388" s="3" t="n">
        <v>1</v>
      </c>
      <c r="BF388" s="3" t="n">
        <v>2</v>
      </c>
      <c r="BG388" s="3" t="n">
        <v>2</v>
      </c>
      <c r="BH388" s="3" t="n">
        <v>4</v>
      </c>
      <c r="BI388" s="3" t="n">
        <v>1</v>
      </c>
      <c r="BJ388" s="3" t="n">
        <v>1</v>
      </c>
    </row>
    <row r="389" customFormat="false" ht="12.75" hidden="false" customHeight="false" outlineLevel="0" collapsed="false">
      <c r="B389" s="17" t="s">
        <v>3090</v>
      </c>
      <c r="C389" s="17" t="s">
        <v>75</v>
      </c>
      <c r="D389" s="17" t="s">
        <v>3091</v>
      </c>
      <c r="E389" s="2" t="n">
        <v>211988</v>
      </c>
      <c r="F389" s="15" t="n">
        <v>44300</v>
      </c>
      <c r="G389" s="15" t="n">
        <v>44307</v>
      </c>
      <c r="H389" s="3" t="n">
        <v>7</v>
      </c>
      <c r="I389" s="3" t="n">
        <v>1</v>
      </c>
      <c r="J389" s="3" t="n">
        <v>72</v>
      </c>
      <c r="K389" s="3" t="n">
        <v>1</v>
      </c>
      <c r="L389" s="3" t="n">
        <v>2</v>
      </c>
      <c r="M389" s="3" t="n">
        <v>1</v>
      </c>
      <c r="N389" s="3" t="n">
        <v>1</v>
      </c>
      <c r="O389" s="3" t="n">
        <v>2</v>
      </c>
      <c r="P389" s="3" t="n">
        <v>1</v>
      </c>
      <c r="Q389" s="3" t="n">
        <v>1</v>
      </c>
      <c r="R389" s="3" t="n">
        <v>2</v>
      </c>
      <c r="S389" s="3" t="n">
        <v>1</v>
      </c>
      <c r="T389" s="4" t="n">
        <v>2</v>
      </c>
      <c r="U389" s="3" t="n">
        <v>2</v>
      </c>
      <c r="V389" s="3" t="n">
        <v>4.33</v>
      </c>
      <c r="W389" s="3" t="n">
        <v>0.55</v>
      </c>
      <c r="X389" s="3" t="n">
        <v>9.59</v>
      </c>
      <c r="Y389" s="3" t="n">
        <v>167</v>
      </c>
      <c r="AA389" s="3" t="n">
        <v>0.42</v>
      </c>
      <c r="AB389" s="3" t="n">
        <v>10.9</v>
      </c>
      <c r="AC389" s="3" t="n">
        <v>1</v>
      </c>
      <c r="AD389" s="3" t="n">
        <v>1</v>
      </c>
      <c r="AE389" s="3" t="n">
        <v>2</v>
      </c>
      <c r="AF389" s="3" t="n">
        <v>2</v>
      </c>
      <c r="AG389" s="3" t="n">
        <v>2</v>
      </c>
      <c r="AH389" s="3" t="n">
        <v>1</v>
      </c>
      <c r="AI389" s="3" t="n">
        <v>1</v>
      </c>
      <c r="AJ389" s="3" t="n">
        <v>1</v>
      </c>
      <c r="AK389" s="3" t="n">
        <v>2</v>
      </c>
      <c r="AL389" s="3" t="n">
        <v>2</v>
      </c>
      <c r="AM389" s="3" t="n">
        <v>1</v>
      </c>
      <c r="AN389" s="3" t="n">
        <v>2</v>
      </c>
      <c r="AO389" s="3" t="n">
        <v>2</v>
      </c>
      <c r="AP389" s="3" t="n">
        <v>3</v>
      </c>
      <c r="AQ389" s="3" t="n">
        <v>4</v>
      </c>
      <c r="AR389" s="3" t="n">
        <v>4</v>
      </c>
      <c r="AS389" s="3" t="n">
        <v>6</v>
      </c>
      <c r="AT389" s="3" t="n">
        <v>4</v>
      </c>
      <c r="AU389" s="3" t="n">
        <v>4</v>
      </c>
      <c r="AV389" s="3" t="n">
        <v>6</v>
      </c>
      <c r="AW389" s="3" t="n">
        <v>6</v>
      </c>
      <c r="AX389" s="3" t="n">
        <v>3</v>
      </c>
      <c r="AY389" s="3" t="n">
        <v>3</v>
      </c>
      <c r="AZ389" s="3" t="n">
        <v>1</v>
      </c>
      <c r="BA389" s="5" t="n">
        <v>1</v>
      </c>
      <c r="BB389" s="3" t="n">
        <v>1</v>
      </c>
      <c r="BC389" s="3" t="n">
        <v>1</v>
      </c>
      <c r="BD389" s="3" t="n">
        <v>4</v>
      </c>
      <c r="BE389" s="3" t="n">
        <v>1</v>
      </c>
      <c r="BF389" s="3" t="n">
        <v>2</v>
      </c>
      <c r="BG389" s="3" t="n">
        <v>1</v>
      </c>
      <c r="BH389" s="3" t="n">
        <v>4</v>
      </c>
      <c r="BI389" s="3" t="n">
        <v>1</v>
      </c>
      <c r="BJ389" s="3" t="n">
        <v>1</v>
      </c>
    </row>
    <row r="390" customFormat="false" ht="12.75" hidden="false" customHeight="false" outlineLevel="0" collapsed="false">
      <c r="B390" s="2" t="s">
        <v>3095</v>
      </c>
      <c r="C390" s="2" t="s">
        <v>308</v>
      </c>
      <c r="D390" s="2" t="s">
        <v>127</v>
      </c>
      <c r="E390" s="2" t="n">
        <v>211825</v>
      </c>
      <c r="F390" s="15" t="n">
        <v>44302</v>
      </c>
      <c r="G390" s="15" t="n">
        <v>44309</v>
      </c>
      <c r="H390" s="3" t="n">
        <v>7</v>
      </c>
      <c r="I390" s="3" t="n">
        <v>2</v>
      </c>
      <c r="J390" s="3" t="n">
        <v>63</v>
      </c>
      <c r="K390" s="3" t="n">
        <v>1</v>
      </c>
      <c r="L390" s="3" t="n">
        <v>2</v>
      </c>
      <c r="M390" s="3" t="n">
        <v>1</v>
      </c>
      <c r="N390" s="3" t="n">
        <v>2</v>
      </c>
      <c r="O390" s="3" t="n">
        <v>1</v>
      </c>
      <c r="P390" s="3" t="n">
        <v>1</v>
      </c>
      <c r="Q390" s="3" t="n">
        <v>1</v>
      </c>
      <c r="R390" s="3" t="n">
        <v>2</v>
      </c>
      <c r="S390" s="3" t="n">
        <v>2</v>
      </c>
      <c r="T390" s="4" t="n">
        <v>2</v>
      </c>
      <c r="U390" s="3" t="n">
        <v>2</v>
      </c>
      <c r="V390" s="3" t="n">
        <v>6</v>
      </c>
      <c r="W390" s="3" t="n">
        <v>3.16</v>
      </c>
      <c r="X390" s="3" t="n">
        <v>24.02</v>
      </c>
      <c r="Y390" s="3" t="n">
        <v>516</v>
      </c>
      <c r="AA390" s="3" t="n">
        <v>0.53</v>
      </c>
      <c r="AB390" s="3" t="n">
        <v>13.2</v>
      </c>
      <c r="AC390" s="3" t="n">
        <v>2</v>
      </c>
      <c r="AD390" s="3" t="n">
        <v>2</v>
      </c>
      <c r="AE390" s="3" t="n">
        <v>1</v>
      </c>
      <c r="AF390" s="3" t="n">
        <v>1</v>
      </c>
      <c r="AG390" s="3" t="n">
        <v>2</v>
      </c>
      <c r="AH390" s="3" t="n">
        <v>2</v>
      </c>
      <c r="AI390" s="3" t="n">
        <v>1</v>
      </c>
      <c r="AJ390" s="3" t="n">
        <v>2</v>
      </c>
      <c r="AK390" s="3" t="n">
        <v>1</v>
      </c>
      <c r="AL390" s="3" t="n">
        <v>2</v>
      </c>
      <c r="AM390" s="3" t="n">
        <v>1</v>
      </c>
      <c r="AN390" s="3" t="n">
        <v>1</v>
      </c>
      <c r="AO390" s="3" t="n">
        <v>2</v>
      </c>
      <c r="AP390" s="3" t="n">
        <v>3</v>
      </c>
      <c r="AQ390" s="3" t="n">
        <v>4</v>
      </c>
      <c r="AR390" s="3" t="n">
        <v>4</v>
      </c>
      <c r="AS390" s="3" t="n">
        <v>6</v>
      </c>
      <c r="AT390" s="3" t="n">
        <v>4</v>
      </c>
      <c r="AU390" s="3" t="n">
        <v>4</v>
      </c>
      <c r="AV390" s="3" t="n">
        <v>6</v>
      </c>
      <c r="AW390" s="3" t="n">
        <v>6</v>
      </c>
      <c r="AX390" s="3" t="n">
        <v>3</v>
      </c>
      <c r="AY390" s="3" t="n">
        <v>3</v>
      </c>
      <c r="AZ390" s="3" t="n">
        <v>6</v>
      </c>
      <c r="BA390" s="5" t="n">
        <v>1</v>
      </c>
      <c r="BB390" s="3" t="n">
        <v>1</v>
      </c>
      <c r="BC390" s="3" t="n">
        <v>1</v>
      </c>
      <c r="BD390" s="3" t="n">
        <v>2</v>
      </c>
      <c r="BE390" s="3" t="n">
        <v>1</v>
      </c>
      <c r="BF390" s="3" t="n">
        <v>2</v>
      </c>
      <c r="BG390" s="3" t="n">
        <v>1</v>
      </c>
      <c r="BH390" s="3" t="n">
        <v>4</v>
      </c>
      <c r="BI390" s="3" t="n">
        <v>1</v>
      </c>
      <c r="BJ390" s="3" t="n">
        <v>1</v>
      </c>
    </row>
    <row r="391" customFormat="false" ht="12.75" hidden="false" customHeight="false" outlineLevel="0" collapsed="false">
      <c r="B391" s="2" t="s">
        <v>323</v>
      </c>
      <c r="C391" s="2" t="s">
        <v>94</v>
      </c>
      <c r="D391" s="2" t="s">
        <v>3097</v>
      </c>
      <c r="E391" s="2" t="n">
        <v>211847</v>
      </c>
      <c r="F391" s="15" t="n">
        <v>44302</v>
      </c>
      <c r="G391" s="15" t="n">
        <v>44309</v>
      </c>
      <c r="H391" s="3" t="n">
        <v>7</v>
      </c>
      <c r="I391" s="3" t="n">
        <v>2</v>
      </c>
      <c r="J391" s="3" t="n">
        <v>59</v>
      </c>
      <c r="K391" s="3" t="n">
        <v>1</v>
      </c>
      <c r="L391" s="3" t="n">
        <v>1</v>
      </c>
      <c r="M391" s="3" t="n">
        <v>1</v>
      </c>
      <c r="N391" s="3" t="n">
        <v>2</v>
      </c>
      <c r="O391" s="3" t="n">
        <v>2</v>
      </c>
      <c r="P391" s="3" t="n">
        <v>2</v>
      </c>
      <c r="Q391" s="3" t="n">
        <v>2</v>
      </c>
      <c r="R391" s="3" t="n">
        <v>2</v>
      </c>
      <c r="S391" s="3" t="n">
        <v>2</v>
      </c>
      <c r="T391" s="4" t="n">
        <v>2</v>
      </c>
      <c r="U391" s="3" t="n">
        <v>2</v>
      </c>
      <c r="V391" s="3" t="n">
        <v>3.39</v>
      </c>
      <c r="W391" s="3" t="n">
        <v>0.92</v>
      </c>
      <c r="X391" s="3" t="n">
        <v>6.59</v>
      </c>
      <c r="Y391" s="3" t="n">
        <v>439</v>
      </c>
      <c r="AA391" s="3" t="n">
        <v>0.45</v>
      </c>
      <c r="AB391" s="3" t="n">
        <v>11.4</v>
      </c>
      <c r="AC391" s="3" t="n">
        <v>1</v>
      </c>
      <c r="AD391" s="3" t="n">
        <v>2</v>
      </c>
      <c r="AE391" s="3" t="n">
        <v>2</v>
      </c>
      <c r="AF391" s="3" t="n">
        <v>1</v>
      </c>
      <c r="AG391" s="3" t="n">
        <v>2</v>
      </c>
      <c r="AH391" s="3" t="n">
        <v>2</v>
      </c>
      <c r="AI391" s="3" t="n">
        <v>1</v>
      </c>
      <c r="AJ391" s="3" t="n">
        <v>2</v>
      </c>
      <c r="AK391" s="3" t="n">
        <v>2</v>
      </c>
      <c r="AL391" s="3" t="n">
        <v>2</v>
      </c>
      <c r="AM391" s="3" t="n">
        <v>2</v>
      </c>
      <c r="AN391" s="3" t="n">
        <v>2</v>
      </c>
      <c r="AO391" s="3" t="n">
        <v>2</v>
      </c>
      <c r="AP391" s="3" t="n">
        <v>3</v>
      </c>
      <c r="AQ391" s="3" t="n">
        <v>4</v>
      </c>
      <c r="AR391" s="3" t="n">
        <v>4</v>
      </c>
      <c r="AS391" s="3" t="n">
        <v>6</v>
      </c>
      <c r="AT391" s="3" t="n">
        <v>4</v>
      </c>
      <c r="AU391" s="3" t="n">
        <v>4</v>
      </c>
      <c r="AV391" s="3" t="n">
        <v>6</v>
      </c>
      <c r="AW391" s="3" t="n">
        <v>6</v>
      </c>
      <c r="AX391" s="3" t="n">
        <v>3</v>
      </c>
      <c r="AY391" s="3" t="n">
        <v>3</v>
      </c>
      <c r="AZ391" s="3" t="n">
        <v>1</v>
      </c>
      <c r="BA391" s="5" t="n">
        <v>1</v>
      </c>
      <c r="BB391" s="3" t="n">
        <v>1</v>
      </c>
      <c r="BC391" s="3" t="n">
        <v>1</v>
      </c>
      <c r="BD391" s="3" t="n">
        <v>4</v>
      </c>
      <c r="BE391" s="3" t="n">
        <v>1</v>
      </c>
      <c r="BF391" s="3" t="n">
        <v>2</v>
      </c>
      <c r="BG391" s="3" t="n">
        <v>1</v>
      </c>
      <c r="BH391" s="3" t="n">
        <v>4</v>
      </c>
      <c r="BI391" s="3" t="n">
        <v>1</v>
      </c>
      <c r="BJ391" s="3" t="n">
        <v>1</v>
      </c>
    </row>
    <row r="392" customFormat="false" ht="12.75" hidden="false" customHeight="false" outlineLevel="0" collapsed="false">
      <c r="B392" s="2" t="s">
        <v>339</v>
      </c>
      <c r="C392" s="2" t="s">
        <v>3100</v>
      </c>
      <c r="D392" s="2" t="s">
        <v>1494</v>
      </c>
      <c r="E392" s="2" t="n">
        <v>212355</v>
      </c>
      <c r="F392" s="15" t="n">
        <v>44306</v>
      </c>
      <c r="G392" s="15" t="n">
        <v>44312</v>
      </c>
      <c r="H392" s="3" t="n">
        <v>6</v>
      </c>
      <c r="I392" s="3" t="n">
        <v>1</v>
      </c>
      <c r="J392" s="3" t="n">
        <v>65</v>
      </c>
      <c r="K392" s="3" t="n">
        <v>2</v>
      </c>
      <c r="L392" s="3" t="n">
        <v>1</v>
      </c>
      <c r="M392" s="3" t="n">
        <v>1</v>
      </c>
      <c r="N392" s="3" t="n">
        <v>2</v>
      </c>
      <c r="O392" s="3" t="n">
        <v>2</v>
      </c>
      <c r="P392" s="3" t="n">
        <v>2</v>
      </c>
      <c r="Q392" s="3" t="n">
        <v>2</v>
      </c>
      <c r="R392" s="3" t="n">
        <v>2</v>
      </c>
      <c r="S392" s="3" t="n">
        <v>2</v>
      </c>
      <c r="T392" s="4" t="n">
        <v>2</v>
      </c>
      <c r="U392" s="3" t="n">
        <v>2</v>
      </c>
      <c r="V392" s="3" t="n">
        <v>3.75</v>
      </c>
      <c r="W392" s="3" t="n">
        <v>0.65</v>
      </c>
      <c r="X392" s="3" t="n">
        <v>4.24</v>
      </c>
      <c r="Y392" s="3" t="n">
        <v>305</v>
      </c>
      <c r="AA392" s="3" t="n">
        <v>0.42</v>
      </c>
      <c r="AB392" s="3" t="n">
        <v>16.8</v>
      </c>
      <c r="AC392" s="3" t="n">
        <v>1</v>
      </c>
      <c r="AD392" s="3" t="n">
        <v>2</v>
      </c>
      <c r="AE392" s="3" t="n">
        <v>2</v>
      </c>
      <c r="AF392" s="3" t="n">
        <v>2</v>
      </c>
      <c r="AG392" s="3" t="n">
        <v>2</v>
      </c>
      <c r="AH392" s="3" t="n">
        <v>2</v>
      </c>
      <c r="AI392" s="3" t="n">
        <v>1</v>
      </c>
      <c r="AJ392" s="3" t="n">
        <v>2</v>
      </c>
      <c r="AK392" s="3" t="n">
        <v>2</v>
      </c>
      <c r="AL392" s="3" t="n">
        <v>2</v>
      </c>
      <c r="AM392" s="3" t="n">
        <v>2</v>
      </c>
      <c r="AN392" s="3" t="n">
        <v>2</v>
      </c>
      <c r="AO392" s="3" t="n">
        <v>2</v>
      </c>
      <c r="AP392" s="3" t="n">
        <v>3</v>
      </c>
      <c r="AQ392" s="3" t="n">
        <v>4</v>
      </c>
      <c r="AR392" s="3" t="n">
        <v>4</v>
      </c>
      <c r="AS392" s="3" t="n">
        <v>6</v>
      </c>
      <c r="AT392" s="3" t="n">
        <v>4</v>
      </c>
      <c r="AU392" s="3" t="n">
        <v>4</v>
      </c>
      <c r="AV392" s="3" t="n">
        <v>6</v>
      </c>
      <c r="AW392" s="3" t="n">
        <v>6</v>
      </c>
      <c r="AX392" s="3" t="n">
        <v>3</v>
      </c>
      <c r="AY392" s="3" t="n">
        <v>3</v>
      </c>
      <c r="AZ392" s="3" t="n">
        <v>5</v>
      </c>
      <c r="BA392" s="5" t="n">
        <v>1</v>
      </c>
      <c r="BB392" s="3" t="n">
        <v>1</v>
      </c>
      <c r="BC392" s="3" t="n">
        <v>1</v>
      </c>
      <c r="BD392" s="3" t="n">
        <v>4</v>
      </c>
      <c r="BE392" s="3" t="n">
        <v>1</v>
      </c>
      <c r="BF392" s="3" t="n">
        <v>2</v>
      </c>
      <c r="BG392" s="3" t="n">
        <v>1</v>
      </c>
      <c r="BH392" s="3" t="n">
        <v>4</v>
      </c>
      <c r="BI392" s="3" t="n">
        <v>1</v>
      </c>
      <c r="BJ392" s="3" t="n">
        <v>1</v>
      </c>
    </row>
    <row r="393" customFormat="false" ht="12.75" hidden="false" customHeight="false" outlineLevel="0" collapsed="false">
      <c r="B393" s="2" t="s">
        <v>3102</v>
      </c>
      <c r="C393" s="2" t="s">
        <v>1052</v>
      </c>
      <c r="D393" s="2" t="s">
        <v>842</v>
      </c>
      <c r="E393" s="2" t="n">
        <v>211889</v>
      </c>
      <c r="F393" s="15" t="n">
        <v>44304</v>
      </c>
      <c r="G393" s="15" t="n">
        <v>44312</v>
      </c>
      <c r="H393" s="3" t="n">
        <v>8</v>
      </c>
      <c r="I393" s="3" t="n">
        <v>2</v>
      </c>
      <c r="J393" s="3" t="n">
        <v>68</v>
      </c>
      <c r="K393" s="3" t="n">
        <v>1</v>
      </c>
      <c r="L393" s="3" t="n">
        <v>1</v>
      </c>
      <c r="M393" s="3" t="n">
        <v>2</v>
      </c>
      <c r="N393" s="3" t="n">
        <v>2</v>
      </c>
      <c r="O393" s="3" t="n">
        <v>2</v>
      </c>
      <c r="P393" s="3" t="n">
        <v>2</v>
      </c>
      <c r="Q393" s="3" t="n">
        <v>2</v>
      </c>
      <c r="R393" s="3" t="n">
        <v>2</v>
      </c>
      <c r="S393" s="3" t="n">
        <v>2</v>
      </c>
      <c r="T393" s="4" t="n">
        <v>1</v>
      </c>
      <c r="U393" s="3" t="n">
        <v>1</v>
      </c>
      <c r="V393" s="3" t="n">
        <v>4.96</v>
      </c>
      <c r="W393" s="3" t="n">
        <v>1.06</v>
      </c>
      <c r="X393" s="3" t="n">
        <v>4.88</v>
      </c>
      <c r="Y393" s="3" t="n">
        <v>335</v>
      </c>
      <c r="AA393" s="3" t="n">
        <v>0.45</v>
      </c>
      <c r="AB393" s="3" t="n">
        <v>11.4</v>
      </c>
      <c r="AC393" s="3" t="n">
        <v>1</v>
      </c>
      <c r="AD393" s="3" t="n">
        <v>2</v>
      </c>
      <c r="AE393" s="3" t="n">
        <v>2</v>
      </c>
      <c r="AF393" s="3" t="n">
        <v>1</v>
      </c>
      <c r="AG393" s="3" t="n">
        <v>2</v>
      </c>
      <c r="AH393" s="3" t="n">
        <v>2</v>
      </c>
      <c r="AI393" s="3" t="n">
        <v>1</v>
      </c>
      <c r="AJ393" s="3" t="n">
        <v>2</v>
      </c>
      <c r="AK393" s="3" t="n">
        <v>2</v>
      </c>
      <c r="AL393" s="3" t="n">
        <v>2</v>
      </c>
      <c r="AM393" s="3" t="n">
        <v>2</v>
      </c>
      <c r="AN393" s="3" t="n">
        <v>2</v>
      </c>
      <c r="AO393" s="3" t="n">
        <v>2</v>
      </c>
      <c r="AP393" s="3" t="n">
        <v>3</v>
      </c>
      <c r="AQ393" s="3" t="n">
        <v>4</v>
      </c>
      <c r="AR393" s="3" t="n">
        <v>4</v>
      </c>
      <c r="AS393" s="3" t="n">
        <v>6</v>
      </c>
      <c r="AT393" s="3" t="n">
        <v>4</v>
      </c>
      <c r="AU393" s="3" t="n">
        <v>4</v>
      </c>
      <c r="AV393" s="3" t="n">
        <v>6</v>
      </c>
      <c r="AW393" s="3" t="n">
        <v>6</v>
      </c>
      <c r="AX393" s="3" t="n">
        <v>3</v>
      </c>
      <c r="AY393" s="3" t="n">
        <v>3</v>
      </c>
      <c r="AZ393" s="3" t="n">
        <v>6</v>
      </c>
      <c r="BA393" s="5" t="n">
        <v>1</v>
      </c>
      <c r="BB393" s="3" t="n">
        <v>1</v>
      </c>
      <c r="BC393" s="3" t="n">
        <v>1</v>
      </c>
      <c r="BD393" s="3" t="n">
        <v>4</v>
      </c>
      <c r="BE393" s="3" t="n">
        <v>1</v>
      </c>
      <c r="BF393" s="3" t="n">
        <v>2</v>
      </c>
      <c r="BG393" s="3" t="n">
        <v>1</v>
      </c>
      <c r="BH393" s="3" t="n">
        <v>4</v>
      </c>
      <c r="BI393" s="3" t="n">
        <v>1</v>
      </c>
      <c r="BJ393" s="3" t="n">
        <v>1</v>
      </c>
    </row>
    <row r="394" customFormat="false" ht="12.75" hidden="false" customHeight="false" outlineLevel="0" collapsed="false">
      <c r="B394" s="2" t="s">
        <v>3111</v>
      </c>
      <c r="C394" s="2" t="s">
        <v>3112</v>
      </c>
      <c r="D394" s="2" t="s">
        <v>118</v>
      </c>
      <c r="E394" s="2" t="n">
        <v>212648</v>
      </c>
      <c r="F394" s="15" t="n">
        <v>44310</v>
      </c>
      <c r="G394" s="15" t="n">
        <v>44316</v>
      </c>
      <c r="H394" s="3" t="n">
        <v>6</v>
      </c>
      <c r="I394" s="3" t="n">
        <v>2</v>
      </c>
      <c r="J394" s="3" t="n">
        <v>45</v>
      </c>
      <c r="K394" s="3" t="n">
        <v>1</v>
      </c>
      <c r="L394" s="3" t="n">
        <v>1</v>
      </c>
      <c r="M394" s="3" t="n">
        <v>2</v>
      </c>
      <c r="N394" s="3" t="n">
        <v>2</v>
      </c>
      <c r="O394" s="3" t="n">
        <v>2</v>
      </c>
      <c r="P394" s="3" t="n">
        <v>2</v>
      </c>
      <c r="Q394" s="3" t="n">
        <v>2</v>
      </c>
      <c r="R394" s="3" t="n">
        <v>2</v>
      </c>
      <c r="S394" s="3" t="n">
        <v>2</v>
      </c>
      <c r="T394" s="4" t="n">
        <v>2</v>
      </c>
      <c r="U394" s="3" t="n">
        <v>2</v>
      </c>
      <c r="V394" s="3" t="n">
        <v>4.84</v>
      </c>
      <c r="W394" s="3" t="n">
        <v>1.33</v>
      </c>
      <c r="X394" s="3" t="n">
        <v>7.25</v>
      </c>
      <c r="Y394" s="3" t="n">
        <v>325</v>
      </c>
      <c r="AA394" s="3" t="n">
        <v>0.41</v>
      </c>
      <c r="AB394" s="3" t="n">
        <v>18.4</v>
      </c>
      <c r="AC394" s="3" t="n">
        <v>1</v>
      </c>
      <c r="AD394" s="3" t="n">
        <v>2</v>
      </c>
      <c r="AE394" s="3" t="n">
        <v>2</v>
      </c>
      <c r="AF394" s="3" t="n">
        <v>1</v>
      </c>
      <c r="AG394" s="3" t="n">
        <v>2</v>
      </c>
      <c r="AH394" s="3" t="n">
        <v>2</v>
      </c>
      <c r="AI394" s="3" t="n">
        <v>1</v>
      </c>
      <c r="AJ394" s="3" t="n">
        <v>2</v>
      </c>
      <c r="AK394" s="3" t="n">
        <v>2</v>
      </c>
      <c r="AL394" s="3" t="n">
        <v>2</v>
      </c>
      <c r="AM394" s="3" t="n">
        <v>2</v>
      </c>
      <c r="AN394" s="3" t="n">
        <v>2</v>
      </c>
      <c r="AO394" s="3" t="n">
        <v>2</v>
      </c>
      <c r="AP394" s="3" t="n">
        <v>3</v>
      </c>
      <c r="AQ394" s="3" t="n">
        <v>4</v>
      </c>
      <c r="AR394" s="3" t="n">
        <v>4</v>
      </c>
      <c r="AS394" s="3" t="n">
        <v>6</v>
      </c>
      <c r="AT394" s="3" t="n">
        <v>4</v>
      </c>
      <c r="AU394" s="3" t="n">
        <v>4</v>
      </c>
      <c r="AV394" s="3" t="n">
        <v>6</v>
      </c>
      <c r="AW394" s="3" t="n">
        <v>6</v>
      </c>
      <c r="AX394" s="3" t="n">
        <v>3</v>
      </c>
      <c r="AY394" s="3" t="n">
        <v>3</v>
      </c>
      <c r="AZ394" s="3" t="n">
        <v>1</v>
      </c>
      <c r="BA394" s="5" t="n">
        <v>1</v>
      </c>
      <c r="BB394" s="3" t="n">
        <v>1</v>
      </c>
      <c r="BC394" s="3" t="n">
        <v>1</v>
      </c>
      <c r="BD394" s="3" t="n">
        <v>4</v>
      </c>
      <c r="BE394" s="3" t="n">
        <v>1</v>
      </c>
      <c r="BF394" s="3" t="n">
        <v>2</v>
      </c>
      <c r="BG394" s="3" t="n">
        <v>1</v>
      </c>
      <c r="BH394" s="3" t="n">
        <v>4</v>
      </c>
      <c r="BI394" s="3" t="n">
        <v>1</v>
      </c>
      <c r="BJ394" s="3" t="n">
        <v>1</v>
      </c>
    </row>
    <row r="395" customFormat="false" ht="12.75" hidden="false" customHeight="false" outlineLevel="0" collapsed="false">
      <c r="B395" s="2" t="s">
        <v>3114</v>
      </c>
      <c r="C395" s="2" t="s">
        <v>248</v>
      </c>
      <c r="D395" s="2" t="s">
        <v>826</v>
      </c>
      <c r="E395" s="2" t="n">
        <v>212675</v>
      </c>
      <c r="F395" s="15" t="n">
        <v>44310</v>
      </c>
      <c r="G395" s="15" t="n">
        <v>44317</v>
      </c>
      <c r="H395" s="3" t="n">
        <v>7</v>
      </c>
      <c r="I395" s="3" t="n">
        <v>1</v>
      </c>
      <c r="J395" s="3" t="n">
        <v>69</v>
      </c>
      <c r="K395" s="3" t="n">
        <v>1</v>
      </c>
      <c r="L395" s="3" t="n">
        <v>1</v>
      </c>
      <c r="M395" s="3" t="n">
        <v>1</v>
      </c>
      <c r="N395" s="3" t="n">
        <v>2</v>
      </c>
      <c r="O395" s="3" t="n">
        <v>2</v>
      </c>
      <c r="P395" s="3" t="n">
        <v>2</v>
      </c>
      <c r="Q395" s="3" t="n">
        <v>2</v>
      </c>
      <c r="R395" s="3" t="n">
        <v>2</v>
      </c>
      <c r="S395" s="3" t="n">
        <v>2</v>
      </c>
      <c r="T395" s="4" t="n">
        <v>2</v>
      </c>
      <c r="U395" s="3" t="n">
        <v>2</v>
      </c>
      <c r="V395" s="3" t="n">
        <v>5.88</v>
      </c>
      <c r="W395" s="3" t="n">
        <v>1.44</v>
      </c>
      <c r="X395" s="3" t="n">
        <v>6.68</v>
      </c>
      <c r="Y395" s="3" t="n">
        <v>246</v>
      </c>
      <c r="AA395" s="3" t="n">
        <v>0.42</v>
      </c>
      <c r="AB395" s="3" t="n">
        <v>18.2</v>
      </c>
      <c r="AC395" s="3" t="n">
        <v>1</v>
      </c>
      <c r="AD395" s="3" t="n">
        <v>2</v>
      </c>
      <c r="AE395" s="3" t="n">
        <v>2</v>
      </c>
      <c r="AF395" s="3" t="n">
        <v>1</v>
      </c>
      <c r="AG395" s="3" t="n">
        <v>1</v>
      </c>
      <c r="AH395" s="3" t="n">
        <v>1</v>
      </c>
      <c r="AI395" s="3" t="n">
        <v>1</v>
      </c>
      <c r="AJ395" s="3" t="n">
        <v>2</v>
      </c>
      <c r="AK395" s="3" t="n">
        <v>2</v>
      </c>
      <c r="AL395" s="3" t="n">
        <v>2</v>
      </c>
      <c r="AM395" s="3" t="n">
        <v>2</v>
      </c>
      <c r="AN395" s="3" t="n">
        <v>2</v>
      </c>
      <c r="AO395" s="3" t="n">
        <v>2</v>
      </c>
      <c r="AP395" s="3" t="n">
        <v>3</v>
      </c>
      <c r="AQ395" s="3" t="n">
        <v>4</v>
      </c>
      <c r="AR395" s="3" t="n">
        <v>4</v>
      </c>
      <c r="AS395" s="3" t="n">
        <v>6</v>
      </c>
      <c r="AT395" s="3" t="n">
        <v>4</v>
      </c>
      <c r="AU395" s="3" t="n">
        <v>4</v>
      </c>
      <c r="AV395" s="3" t="n">
        <v>6</v>
      </c>
      <c r="AW395" s="3" t="n">
        <v>6</v>
      </c>
      <c r="AX395" s="3" t="n">
        <v>3</v>
      </c>
      <c r="AY395" s="3" t="n">
        <v>3</v>
      </c>
      <c r="AZ395" s="3" t="n">
        <v>1</v>
      </c>
      <c r="BA395" s="5" t="n">
        <v>1</v>
      </c>
      <c r="BB395" s="3" t="n">
        <v>1</v>
      </c>
      <c r="BC395" s="3" t="n">
        <v>1</v>
      </c>
      <c r="BD395" s="3" t="n">
        <v>2</v>
      </c>
      <c r="BE395" s="3" t="n">
        <v>1</v>
      </c>
      <c r="BF395" s="3" t="n">
        <v>2</v>
      </c>
      <c r="BG395" s="3" t="n">
        <v>1</v>
      </c>
      <c r="BH395" s="3" t="n">
        <v>4</v>
      </c>
      <c r="BI395" s="3" t="n">
        <v>1</v>
      </c>
      <c r="BJ395" s="3" t="n">
        <v>1</v>
      </c>
    </row>
    <row r="396" customFormat="false" ht="12.75" hidden="false" customHeight="false" outlineLevel="0" collapsed="false">
      <c r="B396" s="2" t="s">
        <v>3117</v>
      </c>
      <c r="C396" s="2" t="s">
        <v>3100</v>
      </c>
      <c r="D396" s="2" t="s">
        <v>3118</v>
      </c>
      <c r="E396" s="2" t="n">
        <v>212789</v>
      </c>
      <c r="F396" s="15" t="n">
        <v>44314</v>
      </c>
      <c r="G396" s="15" t="n">
        <v>44319</v>
      </c>
      <c r="H396" s="3" t="n">
        <v>5</v>
      </c>
      <c r="I396" s="3" t="n">
        <v>2</v>
      </c>
      <c r="J396" s="3" t="n">
        <v>69</v>
      </c>
      <c r="K396" s="3" t="n">
        <v>1</v>
      </c>
      <c r="L396" s="3" t="n">
        <v>1</v>
      </c>
      <c r="M396" s="3" t="n">
        <v>1</v>
      </c>
      <c r="N396" s="3" t="n">
        <v>2</v>
      </c>
      <c r="O396" s="3" t="n">
        <v>2</v>
      </c>
      <c r="P396" s="3" t="n">
        <v>2</v>
      </c>
      <c r="Q396" s="3" t="n">
        <v>2</v>
      </c>
      <c r="R396" s="3" t="n">
        <v>2</v>
      </c>
      <c r="S396" s="3" t="n">
        <v>2</v>
      </c>
      <c r="T396" s="4" t="n">
        <v>2</v>
      </c>
      <c r="U396" s="3" t="n">
        <v>2</v>
      </c>
      <c r="V396" s="3" t="n">
        <v>4.03</v>
      </c>
      <c r="W396" s="3" t="n">
        <v>1.55</v>
      </c>
      <c r="X396" s="3" t="n">
        <v>4.98</v>
      </c>
      <c r="Y396" s="3" t="n">
        <v>339</v>
      </c>
      <c r="AA396" s="3" t="n">
        <v>0.44</v>
      </c>
      <c r="AB396" s="3" t="n">
        <v>11.3</v>
      </c>
      <c r="AC396" s="3" t="n">
        <v>1</v>
      </c>
      <c r="AD396" s="3" t="n">
        <v>2</v>
      </c>
      <c r="AE396" s="3" t="n">
        <v>1</v>
      </c>
      <c r="AF396" s="3" t="n">
        <v>1</v>
      </c>
      <c r="AG396" s="3" t="n">
        <v>2</v>
      </c>
      <c r="AH396" s="3" t="n">
        <v>1</v>
      </c>
      <c r="AI396" s="3" t="n">
        <v>1</v>
      </c>
      <c r="AJ396" s="3" t="n">
        <v>2</v>
      </c>
      <c r="AK396" s="3" t="n">
        <v>2</v>
      </c>
      <c r="AL396" s="3" t="n">
        <v>2</v>
      </c>
      <c r="AM396" s="3" t="n">
        <v>1</v>
      </c>
      <c r="AN396" s="3" t="n">
        <v>2</v>
      </c>
      <c r="AO396" s="3" t="n">
        <v>2</v>
      </c>
      <c r="AP396" s="3" t="n">
        <v>3</v>
      </c>
      <c r="AQ396" s="3" t="n">
        <v>4</v>
      </c>
      <c r="AR396" s="3" t="n">
        <v>4</v>
      </c>
      <c r="AS396" s="3" t="n">
        <v>6</v>
      </c>
      <c r="AT396" s="3" t="n">
        <v>4</v>
      </c>
      <c r="AU396" s="3" t="n">
        <v>4</v>
      </c>
      <c r="AV396" s="3" t="n">
        <v>6</v>
      </c>
      <c r="AW396" s="3" t="n">
        <v>6</v>
      </c>
      <c r="AX396" s="3" t="n">
        <v>3</v>
      </c>
      <c r="AY396" s="3" t="n">
        <v>3</v>
      </c>
      <c r="AZ396" s="3" t="n">
        <v>1</v>
      </c>
      <c r="BA396" s="5" t="n">
        <v>1</v>
      </c>
      <c r="BB396" s="3" t="n">
        <v>1</v>
      </c>
      <c r="BC396" s="3" t="n">
        <v>1</v>
      </c>
      <c r="BD396" s="3" t="n">
        <v>4</v>
      </c>
      <c r="BE396" s="3" t="n">
        <v>1</v>
      </c>
      <c r="BF396" s="3" t="n">
        <v>2</v>
      </c>
      <c r="BG396" s="3" t="n">
        <v>1</v>
      </c>
      <c r="BH396" s="3" t="n">
        <v>4</v>
      </c>
      <c r="BI396" s="3" t="n">
        <v>1</v>
      </c>
      <c r="BJ396" s="3" t="n">
        <v>1</v>
      </c>
    </row>
    <row r="397" customFormat="false" ht="12.75" hidden="false" customHeight="false" outlineLevel="0" collapsed="false">
      <c r="B397" s="2" t="s">
        <v>1620</v>
      </c>
      <c r="C397" s="2" t="s">
        <v>3125</v>
      </c>
      <c r="D397" s="2" t="s">
        <v>3126</v>
      </c>
      <c r="E397" s="2" t="n">
        <v>213027</v>
      </c>
      <c r="F397" s="15" t="n">
        <v>44316</v>
      </c>
      <c r="G397" s="15" t="n">
        <v>44322</v>
      </c>
      <c r="H397" s="3" t="n">
        <v>6</v>
      </c>
      <c r="I397" s="3" t="n">
        <v>2</v>
      </c>
      <c r="J397" s="3" t="n">
        <v>51</v>
      </c>
      <c r="K397" s="3" t="n">
        <v>1</v>
      </c>
      <c r="L397" s="3" t="n">
        <v>1</v>
      </c>
      <c r="M397" s="3" t="n">
        <v>2</v>
      </c>
      <c r="N397" s="3" t="n">
        <v>2</v>
      </c>
      <c r="O397" s="3" t="n">
        <v>1</v>
      </c>
      <c r="P397" s="3" t="n">
        <v>2</v>
      </c>
      <c r="Q397" s="3" t="n">
        <v>1</v>
      </c>
      <c r="R397" s="3" t="n">
        <v>2</v>
      </c>
      <c r="S397" s="3" t="n">
        <v>2</v>
      </c>
      <c r="T397" s="4" t="n">
        <v>2</v>
      </c>
      <c r="U397" s="3" t="n">
        <v>2</v>
      </c>
      <c r="V397" s="3" t="n">
        <v>4.4</v>
      </c>
      <c r="W397" s="3" t="n">
        <v>1.87</v>
      </c>
      <c r="X397" s="3" t="n">
        <v>5.94</v>
      </c>
      <c r="Y397" s="3" t="n">
        <v>401</v>
      </c>
      <c r="AA397" s="3" t="n">
        <v>0.42</v>
      </c>
      <c r="AB397" s="3" t="n">
        <v>12</v>
      </c>
      <c r="AC397" s="3" t="n">
        <v>1</v>
      </c>
      <c r="AD397" s="3" t="n">
        <v>2</v>
      </c>
      <c r="AE397" s="3" t="n">
        <v>2</v>
      </c>
      <c r="AF397" s="3" t="n">
        <v>1</v>
      </c>
      <c r="AG397" s="3" t="n">
        <v>2</v>
      </c>
      <c r="AH397" s="3" t="n">
        <v>2</v>
      </c>
      <c r="AI397" s="3" t="n">
        <v>1</v>
      </c>
      <c r="AJ397" s="3" t="n">
        <v>2</v>
      </c>
      <c r="AK397" s="3" t="n">
        <v>2</v>
      </c>
      <c r="AL397" s="3" t="n">
        <v>2</v>
      </c>
      <c r="AM397" s="3" t="n">
        <v>2</v>
      </c>
      <c r="AN397" s="3" t="n">
        <v>2</v>
      </c>
      <c r="AO397" s="3" t="n">
        <v>2</v>
      </c>
      <c r="AP397" s="3" t="n">
        <v>3</v>
      </c>
      <c r="AQ397" s="3" t="n">
        <v>4</v>
      </c>
      <c r="AR397" s="3" t="n">
        <v>4</v>
      </c>
      <c r="AS397" s="3" t="n">
        <v>6</v>
      </c>
      <c r="AT397" s="3" t="n">
        <v>4</v>
      </c>
      <c r="AU397" s="3" t="n">
        <v>4</v>
      </c>
      <c r="AV397" s="3" t="n">
        <v>6</v>
      </c>
      <c r="AW397" s="3" t="n">
        <v>6</v>
      </c>
      <c r="AX397" s="3" t="n">
        <v>3</v>
      </c>
      <c r="AY397" s="3" t="n">
        <v>3</v>
      </c>
      <c r="AZ397" s="3" t="n">
        <v>16</v>
      </c>
      <c r="BA397" s="5" t="n">
        <v>1</v>
      </c>
      <c r="BB397" s="3" t="n">
        <v>1</v>
      </c>
      <c r="BC397" s="3" t="n">
        <v>1</v>
      </c>
      <c r="BD397" s="3" t="n">
        <v>4</v>
      </c>
      <c r="BE397" s="3" t="n">
        <v>1</v>
      </c>
      <c r="BF397" s="3" t="n">
        <v>2</v>
      </c>
      <c r="BG397" s="3" t="n">
        <v>1</v>
      </c>
      <c r="BH397" s="3" t="n">
        <v>4</v>
      </c>
      <c r="BI397" s="3" t="n">
        <v>1</v>
      </c>
      <c r="BJ397" s="3" t="n">
        <v>1</v>
      </c>
    </row>
    <row r="398" customFormat="false" ht="12.75" hidden="false" customHeight="false" outlineLevel="0" collapsed="false">
      <c r="B398" s="2" t="s">
        <v>3128</v>
      </c>
      <c r="C398" s="2" t="s">
        <v>197</v>
      </c>
      <c r="D398" s="2" t="s">
        <v>178</v>
      </c>
      <c r="E398" s="2" t="n">
        <v>212522</v>
      </c>
      <c r="F398" s="15" t="n">
        <v>44318</v>
      </c>
      <c r="G398" s="15" t="n">
        <v>44324</v>
      </c>
      <c r="H398" s="3" t="n">
        <v>6</v>
      </c>
      <c r="I398" s="3" t="n">
        <v>2</v>
      </c>
      <c r="J398" s="3" t="n">
        <v>59</v>
      </c>
      <c r="K398" s="3" t="n">
        <v>1</v>
      </c>
      <c r="L398" s="3" t="n">
        <v>1</v>
      </c>
      <c r="M398" s="3" t="n">
        <v>1</v>
      </c>
      <c r="N398" s="3" t="n">
        <v>2</v>
      </c>
      <c r="O398" s="3" t="n">
        <v>2</v>
      </c>
      <c r="P398" s="3" t="n">
        <v>2</v>
      </c>
      <c r="Q398" s="3" t="n">
        <v>2</v>
      </c>
      <c r="R398" s="3" t="n">
        <v>2</v>
      </c>
      <c r="S398" s="3" t="n">
        <v>2</v>
      </c>
      <c r="T398" s="4" t="n">
        <v>2</v>
      </c>
      <c r="U398" s="3" t="n">
        <v>2</v>
      </c>
      <c r="V398" s="3" t="n">
        <v>3.59</v>
      </c>
      <c r="W398" s="3" t="n">
        <v>0.67</v>
      </c>
      <c r="X398" s="3" t="n">
        <v>4.59</v>
      </c>
      <c r="Y398" s="3" t="n">
        <v>333</v>
      </c>
      <c r="AA398" s="3" t="n">
        <v>0.52</v>
      </c>
      <c r="AB398" s="3" t="n">
        <v>11.4</v>
      </c>
      <c r="AC398" s="3" t="n">
        <v>1</v>
      </c>
      <c r="AD398" s="3" t="n">
        <v>2</v>
      </c>
      <c r="AE398" s="3" t="n">
        <v>1</v>
      </c>
      <c r="AF398" s="3" t="n">
        <v>1</v>
      </c>
      <c r="AG398" s="3" t="n">
        <v>2</v>
      </c>
      <c r="AH398" s="3" t="n">
        <v>2</v>
      </c>
      <c r="AI398" s="3" t="n">
        <v>1</v>
      </c>
      <c r="AJ398" s="3" t="n">
        <v>2</v>
      </c>
      <c r="AK398" s="3" t="n">
        <v>2</v>
      </c>
      <c r="AL398" s="3" t="n">
        <v>2</v>
      </c>
      <c r="AM398" s="3" t="n">
        <v>2</v>
      </c>
      <c r="AN398" s="3" t="n">
        <v>2</v>
      </c>
      <c r="AO398" s="3" t="n">
        <v>2</v>
      </c>
      <c r="AP398" s="3" t="n">
        <v>3</v>
      </c>
      <c r="AQ398" s="3" t="n">
        <v>4</v>
      </c>
      <c r="AR398" s="3" t="n">
        <v>4</v>
      </c>
      <c r="AS398" s="3" t="n">
        <v>6</v>
      </c>
      <c r="AT398" s="3" t="n">
        <v>4</v>
      </c>
      <c r="AU398" s="3" t="n">
        <v>4</v>
      </c>
      <c r="AV398" s="3" t="n">
        <v>6</v>
      </c>
      <c r="AW398" s="3" t="n">
        <v>6</v>
      </c>
      <c r="AX398" s="3" t="n">
        <v>3</v>
      </c>
      <c r="AY398" s="3" t="n">
        <v>3</v>
      </c>
      <c r="AZ398" s="3" t="n">
        <v>1</v>
      </c>
      <c r="BA398" s="5" t="n">
        <v>1</v>
      </c>
      <c r="BB398" s="3" t="n">
        <v>1</v>
      </c>
      <c r="BC398" s="3" t="n">
        <v>1</v>
      </c>
      <c r="BD398" s="3" t="n">
        <v>2</v>
      </c>
      <c r="BE398" s="3" t="n">
        <v>3</v>
      </c>
      <c r="BF398" s="3" t="n">
        <v>5</v>
      </c>
      <c r="BG398" s="3" t="n">
        <v>3</v>
      </c>
      <c r="BH398" s="3" t="n">
        <v>4</v>
      </c>
      <c r="BI398" s="3" t="n">
        <v>1</v>
      </c>
      <c r="BJ398" s="3" t="n">
        <v>1</v>
      </c>
    </row>
    <row r="399" customFormat="false" ht="12.75" hidden="false" customHeight="false" outlineLevel="0" collapsed="false">
      <c r="B399" s="2" t="s">
        <v>3131</v>
      </c>
      <c r="C399" s="2" t="s">
        <v>3132</v>
      </c>
      <c r="D399" s="2" t="s">
        <v>3133</v>
      </c>
      <c r="E399" s="2" t="n">
        <v>212521</v>
      </c>
      <c r="F399" s="15" t="n">
        <v>44318</v>
      </c>
      <c r="G399" s="15" t="n">
        <v>44325</v>
      </c>
      <c r="H399" s="3" t="n">
        <v>7</v>
      </c>
      <c r="I399" s="3" t="n">
        <v>1</v>
      </c>
      <c r="J399" s="3" t="n">
        <v>65</v>
      </c>
      <c r="K399" s="3" t="n">
        <v>1</v>
      </c>
      <c r="L399" s="3" t="n">
        <v>2</v>
      </c>
      <c r="M399" s="3" t="n">
        <v>1</v>
      </c>
      <c r="N399" s="3" t="n">
        <v>2</v>
      </c>
      <c r="O399" s="3" t="n">
        <v>2</v>
      </c>
      <c r="P399" s="3" t="n">
        <v>2</v>
      </c>
      <c r="Q399" s="3" t="n">
        <v>2</v>
      </c>
      <c r="R399" s="3" t="n">
        <v>2</v>
      </c>
      <c r="S399" s="3" t="n">
        <v>2</v>
      </c>
      <c r="T399" s="4" t="n">
        <v>2</v>
      </c>
      <c r="U399" s="3" t="n">
        <v>2</v>
      </c>
      <c r="V399" s="3" t="n">
        <v>4.72</v>
      </c>
      <c r="W399" s="3" t="n">
        <v>146</v>
      </c>
      <c r="X399" s="3" t="n">
        <v>5.88</v>
      </c>
      <c r="Y399" s="3" t="n">
        <v>238</v>
      </c>
      <c r="AA399" s="3" t="n">
        <v>0.41</v>
      </c>
      <c r="AB399" s="3" t="n">
        <v>12.1</v>
      </c>
      <c r="AC399" s="3" t="n">
        <v>1</v>
      </c>
      <c r="AD399" s="3" t="n">
        <v>2</v>
      </c>
      <c r="AE399" s="3" t="n">
        <v>1</v>
      </c>
      <c r="AF399" s="3" t="n">
        <v>1</v>
      </c>
      <c r="AG399" s="3" t="n">
        <v>1</v>
      </c>
      <c r="AH399" s="3" t="n">
        <v>2</v>
      </c>
      <c r="AI399" s="3" t="n">
        <v>1</v>
      </c>
      <c r="AJ399" s="3" t="n">
        <v>2</v>
      </c>
      <c r="AK399" s="3" t="n">
        <v>2</v>
      </c>
      <c r="AL399" s="3" t="n">
        <v>2</v>
      </c>
      <c r="AM399" s="3" t="n">
        <v>2</v>
      </c>
      <c r="AN399" s="3" t="n">
        <v>2</v>
      </c>
      <c r="AO399" s="3" t="n">
        <v>2</v>
      </c>
      <c r="AP399" s="3" t="n">
        <v>3</v>
      </c>
      <c r="AQ399" s="3" t="n">
        <v>4</v>
      </c>
      <c r="AR399" s="3" t="n">
        <v>4</v>
      </c>
      <c r="AS399" s="3" t="n">
        <v>6</v>
      </c>
      <c r="AT399" s="3" t="n">
        <v>4</v>
      </c>
      <c r="AU399" s="3" t="n">
        <v>4</v>
      </c>
      <c r="AV399" s="3" t="n">
        <v>6</v>
      </c>
      <c r="AW399" s="3" t="n">
        <v>6</v>
      </c>
      <c r="AX399" s="3" t="n">
        <v>3</v>
      </c>
      <c r="AY399" s="3" t="n">
        <v>3</v>
      </c>
      <c r="AZ399" s="3" t="n">
        <v>1</v>
      </c>
      <c r="BA399" s="5" t="n">
        <v>1</v>
      </c>
      <c r="BB399" s="3" t="n">
        <v>1</v>
      </c>
      <c r="BC399" s="3" t="n">
        <v>1</v>
      </c>
      <c r="BD399" s="3" t="n">
        <v>4</v>
      </c>
      <c r="BE399" s="3" t="n">
        <v>1</v>
      </c>
      <c r="BF399" s="3" t="n">
        <v>2</v>
      </c>
      <c r="BG399" s="3" t="n">
        <v>1</v>
      </c>
      <c r="BH399" s="3" t="n">
        <v>4</v>
      </c>
      <c r="BI399" s="3" t="n">
        <v>1</v>
      </c>
      <c r="BJ399" s="3" t="n">
        <v>1</v>
      </c>
    </row>
    <row r="400" customFormat="false" ht="12.75" hidden="false" customHeight="false" outlineLevel="0" collapsed="false">
      <c r="B400" s="2" t="s">
        <v>140</v>
      </c>
      <c r="C400" s="2" t="s">
        <v>94</v>
      </c>
      <c r="D400" s="2" t="s">
        <v>161</v>
      </c>
      <c r="E400" s="2" t="n">
        <v>212597</v>
      </c>
      <c r="F400" s="15" t="n">
        <v>44320</v>
      </c>
      <c r="G400" s="15" t="n">
        <v>44327</v>
      </c>
      <c r="H400" s="3" t="n">
        <v>7</v>
      </c>
      <c r="I400" s="3" t="n">
        <v>2</v>
      </c>
      <c r="J400" s="3" t="n">
        <v>61</v>
      </c>
      <c r="K400" s="3" t="n">
        <v>3</v>
      </c>
      <c r="L400" s="3" t="n">
        <v>2</v>
      </c>
      <c r="M400" s="3" t="n">
        <v>1</v>
      </c>
      <c r="N400" s="3" t="n">
        <v>1</v>
      </c>
      <c r="O400" s="3" t="n">
        <v>2</v>
      </c>
      <c r="P400" s="3" t="n">
        <v>2</v>
      </c>
      <c r="Q400" s="3" t="n">
        <v>2</v>
      </c>
      <c r="R400" s="3" t="n">
        <v>2</v>
      </c>
      <c r="S400" s="3" t="n">
        <v>1</v>
      </c>
      <c r="T400" s="4" t="n">
        <v>2</v>
      </c>
      <c r="U400" s="3" t="n">
        <v>2</v>
      </c>
      <c r="V400" s="3" t="n">
        <v>5.33</v>
      </c>
      <c r="W400" s="3" t="n">
        <v>3.03</v>
      </c>
      <c r="X400" s="3" t="n">
        <v>4.94</v>
      </c>
      <c r="Y400" s="3" t="n">
        <v>525</v>
      </c>
      <c r="AA400" s="3" t="n">
        <v>0.58</v>
      </c>
      <c r="AB400" s="3" t="n">
        <v>12.3</v>
      </c>
      <c r="AC400" s="3"/>
      <c r="AD400" s="3" t="n">
        <v>2</v>
      </c>
      <c r="AE400" s="3" t="n">
        <v>1</v>
      </c>
      <c r="AF400" s="3" t="n">
        <v>1</v>
      </c>
      <c r="AG400" s="3" t="n">
        <v>2</v>
      </c>
      <c r="AH400" s="3" t="n">
        <v>1</v>
      </c>
      <c r="AI400" s="3" t="n">
        <v>1</v>
      </c>
      <c r="AJ400" s="3" t="n">
        <v>1</v>
      </c>
      <c r="AK400" s="3" t="n">
        <v>2</v>
      </c>
      <c r="AL400" s="3" t="n">
        <v>2</v>
      </c>
      <c r="AM400" s="3" t="n">
        <v>1</v>
      </c>
      <c r="AN400" s="3" t="n">
        <v>2</v>
      </c>
      <c r="AO400" s="3" t="n">
        <v>2</v>
      </c>
      <c r="AP400" s="3" t="n">
        <v>3</v>
      </c>
      <c r="AQ400" s="3" t="n">
        <v>4</v>
      </c>
      <c r="AR400" s="3" t="n">
        <v>4</v>
      </c>
      <c r="AS400" s="3" t="n">
        <v>6</v>
      </c>
      <c r="AT400" s="3" t="n">
        <v>4</v>
      </c>
      <c r="AU400" s="3" t="n">
        <v>4</v>
      </c>
      <c r="AV400" s="3" t="n">
        <v>6</v>
      </c>
      <c r="AW400" s="3" t="n">
        <v>6</v>
      </c>
      <c r="AX400" s="3" t="n">
        <v>3</v>
      </c>
      <c r="AY400" s="3" t="n">
        <v>3</v>
      </c>
      <c r="AZ400" s="3" t="n">
        <v>1</v>
      </c>
      <c r="BA400" s="5" t="n">
        <v>1</v>
      </c>
      <c r="BB400" s="3" t="n">
        <v>1</v>
      </c>
      <c r="BC400" s="3" t="n">
        <v>1</v>
      </c>
      <c r="BD400" s="3" t="n">
        <v>4</v>
      </c>
      <c r="BE400" s="3" t="n">
        <v>3</v>
      </c>
      <c r="BF400" s="3" t="n">
        <v>5</v>
      </c>
      <c r="BG400" s="3" t="n">
        <v>3</v>
      </c>
      <c r="BH400" s="3" t="n">
        <v>4</v>
      </c>
      <c r="BI400" s="3" t="n">
        <v>1</v>
      </c>
      <c r="BJ400" s="3" t="n">
        <v>1</v>
      </c>
    </row>
    <row r="401" customFormat="false" ht="12.75" hidden="false" customHeight="false" outlineLevel="0" collapsed="false">
      <c r="B401" s="2" t="s">
        <v>3147</v>
      </c>
      <c r="C401" s="2" t="s">
        <v>115</v>
      </c>
      <c r="D401" s="2" t="s">
        <v>846</v>
      </c>
      <c r="E401" s="2" t="n">
        <v>213223</v>
      </c>
      <c r="F401" s="15" t="n">
        <v>44325</v>
      </c>
      <c r="G401" s="15" t="n">
        <v>44332</v>
      </c>
      <c r="H401" s="3" t="n">
        <v>7</v>
      </c>
      <c r="I401" s="3" t="n">
        <v>2</v>
      </c>
      <c r="J401" s="3" t="n">
        <v>58</v>
      </c>
      <c r="K401" s="3" t="n">
        <v>1</v>
      </c>
      <c r="L401" s="3" t="n">
        <v>1</v>
      </c>
      <c r="M401" s="3" t="n">
        <v>2</v>
      </c>
      <c r="N401" s="3" t="n">
        <v>2</v>
      </c>
      <c r="O401" s="3" t="n">
        <v>2</v>
      </c>
      <c r="P401" s="3" t="n">
        <v>2</v>
      </c>
      <c r="Q401" s="3" t="n">
        <v>2</v>
      </c>
      <c r="R401" s="3" t="n">
        <v>2</v>
      </c>
      <c r="S401" s="3" t="n">
        <v>2</v>
      </c>
      <c r="T401" s="4" t="n">
        <v>2</v>
      </c>
      <c r="U401" s="3" t="n">
        <v>2</v>
      </c>
      <c r="V401" s="3" t="n">
        <v>4.02</v>
      </c>
      <c r="W401" s="3" t="n">
        <v>1.03</v>
      </c>
      <c r="X401" s="3" t="n">
        <v>3.82</v>
      </c>
      <c r="Y401" s="3" t="n">
        <v>353</v>
      </c>
      <c r="AA401" s="3" t="n">
        <v>0.5</v>
      </c>
      <c r="AB401" s="3" t="n">
        <v>13.7</v>
      </c>
      <c r="AC401" s="3" t="n">
        <v>1</v>
      </c>
      <c r="AD401" s="3" t="n">
        <v>2</v>
      </c>
      <c r="AE401" s="3" t="n">
        <v>2</v>
      </c>
      <c r="AF401" s="3" t="n">
        <v>1</v>
      </c>
      <c r="AG401" s="3" t="n">
        <v>1</v>
      </c>
      <c r="AH401" s="3" t="n">
        <v>1</v>
      </c>
      <c r="AI401" s="3" t="n">
        <v>1</v>
      </c>
      <c r="AJ401" s="3" t="n">
        <v>2</v>
      </c>
      <c r="AK401" s="3" t="n">
        <v>2</v>
      </c>
      <c r="AL401" s="3" t="n">
        <v>2</v>
      </c>
      <c r="AM401" s="3" t="n">
        <v>2</v>
      </c>
      <c r="AN401" s="3" t="n">
        <v>2</v>
      </c>
      <c r="AO401" s="3" t="n">
        <v>2</v>
      </c>
      <c r="AP401" s="3" t="n">
        <v>3</v>
      </c>
      <c r="AQ401" s="3" t="n">
        <v>4</v>
      </c>
      <c r="AR401" s="3" t="n">
        <v>4</v>
      </c>
      <c r="AS401" s="3" t="n">
        <v>6</v>
      </c>
      <c r="AT401" s="3" t="n">
        <v>4</v>
      </c>
      <c r="AU401" s="3" t="n">
        <v>4</v>
      </c>
      <c r="AV401" s="3" t="n">
        <v>6</v>
      </c>
      <c r="AW401" s="3" t="n">
        <v>6</v>
      </c>
      <c r="AX401" s="3" t="n">
        <v>3</v>
      </c>
      <c r="AY401" s="3" t="n">
        <v>3</v>
      </c>
      <c r="AZ401" s="3" t="n">
        <v>1</v>
      </c>
      <c r="BA401" s="5" t="n">
        <v>1</v>
      </c>
      <c r="BB401" s="3" t="n">
        <v>1</v>
      </c>
      <c r="BC401" s="3" t="n">
        <v>1</v>
      </c>
      <c r="BD401" s="3" t="n">
        <v>4</v>
      </c>
      <c r="BE401" s="3" t="n">
        <v>1</v>
      </c>
      <c r="BF401" s="3" t="n">
        <v>2</v>
      </c>
      <c r="BG401" s="3" t="n">
        <v>1</v>
      </c>
      <c r="BH401" s="3" t="n">
        <v>4</v>
      </c>
      <c r="BI401" s="3" t="n">
        <v>1</v>
      </c>
      <c r="BJ401" s="3" t="n">
        <v>1</v>
      </c>
    </row>
    <row r="402" customFormat="false" ht="12.75" hidden="false" customHeight="false" outlineLevel="0" collapsed="false">
      <c r="B402" s="2" t="s">
        <v>1438</v>
      </c>
      <c r="C402" s="2" t="s">
        <v>3151</v>
      </c>
      <c r="D402" s="2" t="s">
        <v>3152</v>
      </c>
      <c r="E402" s="2" t="n">
        <v>213440</v>
      </c>
      <c r="F402" s="15" t="s">
        <v>3153</v>
      </c>
      <c r="G402" s="15" t="n">
        <v>44335</v>
      </c>
      <c r="H402" s="3" t="n">
        <v>9</v>
      </c>
      <c r="I402" s="3" t="n">
        <v>2</v>
      </c>
      <c r="J402" s="3" t="n">
        <v>54</v>
      </c>
      <c r="K402" s="3" t="n">
        <v>1</v>
      </c>
      <c r="L402" s="3" t="n">
        <v>1</v>
      </c>
      <c r="M402" s="3" t="n">
        <v>1</v>
      </c>
      <c r="N402" s="3" t="n">
        <v>2</v>
      </c>
      <c r="O402" s="3" t="n">
        <v>1</v>
      </c>
      <c r="P402" s="3" t="n">
        <v>1</v>
      </c>
      <c r="Q402" s="3" t="n">
        <v>2</v>
      </c>
      <c r="R402" s="3" t="n">
        <v>2</v>
      </c>
      <c r="S402" s="3" t="n">
        <v>2</v>
      </c>
      <c r="T402" s="4" t="n">
        <v>1</v>
      </c>
      <c r="U402" s="3" t="n">
        <v>1</v>
      </c>
      <c r="V402" s="3" t="n">
        <v>138</v>
      </c>
      <c r="W402" s="3" t="n">
        <v>1.63</v>
      </c>
      <c r="X402" s="3" t="n">
        <v>18.32</v>
      </c>
      <c r="Y402" s="3" t="n">
        <v>368</v>
      </c>
      <c r="AA402" s="3" t="n">
        <v>48</v>
      </c>
      <c r="AB402" s="3" t="n">
        <v>11.9</v>
      </c>
      <c r="AC402" s="3" t="n">
        <v>2</v>
      </c>
      <c r="AD402" s="3" t="n">
        <v>1</v>
      </c>
      <c r="AE402" s="3" t="n">
        <v>2</v>
      </c>
      <c r="AF402" s="3" t="n">
        <v>1</v>
      </c>
      <c r="AG402" s="3" t="n">
        <v>1</v>
      </c>
      <c r="AH402" s="3" t="n">
        <v>1</v>
      </c>
      <c r="AI402" s="3" t="n">
        <v>1</v>
      </c>
      <c r="AJ402" s="3" t="n">
        <v>2</v>
      </c>
      <c r="AK402" s="3" t="n">
        <v>1</v>
      </c>
      <c r="AL402" s="3" t="n">
        <v>2</v>
      </c>
      <c r="AM402" s="3" t="n">
        <v>2</v>
      </c>
      <c r="AN402" s="3" t="n">
        <v>2</v>
      </c>
      <c r="AO402" s="3" t="n">
        <v>2</v>
      </c>
      <c r="AP402" s="3" t="n">
        <v>3</v>
      </c>
      <c r="AQ402" s="3" t="n">
        <v>4</v>
      </c>
      <c r="AR402" s="3" t="n">
        <v>4</v>
      </c>
      <c r="AS402" s="3" t="n">
        <v>6</v>
      </c>
      <c r="AT402" s="3" t="n">
        <v>4</v>
      </c>
      <c r="AU402" s="3" t="n">
        <v>4</v>
      </c>
      <c r="AV402" s="3" t="n">
        <v>6</v>
      </c>
      <c r="AW402" s="3" t="n">
        <v>6</v>
      </c>
      <c r="AX402" s="3" t="n">
        <v>3</v>
      </c>
      <c r="AY402" s="3" t="n">
        <v>3</v>
      </c>
      <c r="AZ402" s="3" t="n">
        <v>1</v>
      </c>
      <c r="BA402" s="5" t="n">
        <v>1</v>
      </c>
      <c r="BB402" s="3" t="n">
        <v>1</v>
      </c>
      <c r="BC402" s="3" t="n">
        <v>1</v>
      </c>
      <c r="BD402" s="3" t="n">
        <v>2</v>
      </c>
      <c r="BE402" s="3" t="n">
        <v>3</v>
      </c>
      <c r="BF402" s="3" t="n">
        <v>5</v>
      </c>
      <c r="BG402" s="3" t="n">
        <v>3</v>
      </c>
      <c r="BH402" s="3" t="n">
        <v>4</v>
      </c>
      <c r="BI402" s="3" t="n">
        <v>1</v>
      </c>
      <c r="BJ402" s="3" t="n">
        <v>1</v>
      </c>
    </row>
    <row r="403" customFormat="false" ht="12.75" hidden="false" customHeight="false" outlineLevel="0" collapsed="false">
      <c r="B403" s="2" t="s">
        <v>2320</v>
      </c>
      <c r="C403" s="2" t="s">
        <v>127</v>
      </c>
      <c r="D403" s="2" t="s">
        <v>210</v>
      </c>
      <c r="E403" s="2" t="n">
        <v>213401</v>
      </c>
      <c r="F403" s="15" t="n">
        <v>44327</v>
      </c>
      <c r="G403" s="15" t="n">
        <v>44337</v>
      </c>
      <c r="H403" s="3" t="n">
        <v>10</v>
      </c>
      <c r="I403" s="3" t="n">
        <v>2</v>
      </c>
      <c r="J403" s="3" t="n">
        <v>70</v>
      </c>
      <c r="K403" s="3" t="n">
        <v>1</v>
      </c>
      <c r="L403" s="3" t="n">
        <v>1</v>
      </c>
      <c r="M403" s="3" t="n">
        <v>1</v>
      </c>
      <c r="N403" s="3" t="n">
        <v>2</v>
      </c>
      <c r="O403" s="3" t="n">
        <v>2</v>
      </c>
      <c r="P403" s="3" t="n">
        <v>2</v>
      </c>
      <c r="Q403" s="3" t="n">
        <v>2</v>
      </c>
      <c r="R403" s="3" t="n">
        <v>2</v>
      </c>
      <c r="S403" s="3" t="n">
        <v>2</v>
      </c>
      <c r="T403" s="4" t="n">
        <v>2</v>
      </c>
      <c r="U403" s="3" t="n">
        <v>2</v>
      </c>
      <c r="V403" s="3" t="n">
        <v>4.8</v>
      </c>
      <c r="W403" s="3"/>
      <c r="X403" s="3" t="n">
        <v>6.4</v>
      </c>
      <c r="Y403" s="3"/>
      <c r="AA403" s="3" t="n">
        <v>0.52</v>
      </c>
      <c r="AB403" s="3" t="n">
        <v>12.6</v>
      </c>
      <c r="AC403" s="3" t="n">
        <v>1</v>
      </c>
      <c r="AD403" s="3" t="n">
        <v>2</v>
      </c>
      <c r="AE403" s="3" t="n">
        <v>2</v>
      </c>
      <c r="AF403" s="3" t="n">
        <v>1</v>
      </c>
      <c r="AG403" s="3" t="n">
        <v>1</v>
      </c>
      <c r="AH403" s="3" t="n">
        <v>2</v>
      </c>
      <c r="AI403" s="3" t="n">
        <v>1</v>
      </c>
      <c r="AJ403" s="3" t="n">
        <v>2</v>
      </c>
      <c r="AK403" s="3" t="n">
        <v>2</v>
      </c>
      <c r="AL403" s="3" t="n">
        <v>2</v>
      </c>
      <c r="AM403" s="3" t="n">
        <v>1</v>
      </c>
      <c r="AN403" s="3" t="n">
        <v>2</v>
      </c>
      <c r="AO403" s="3" t="n">
        <v>2</v>
      </c>
      <c r="AP403" s="3" t="n">
        <v>3</v>
      </c>
      <c r="AQ403" s="3" t="n">
        <v>4</v>
      </c>
      <c r="AR403" s="3" t="n">
        <v>4</v>
      </c>
      <c r="AS403" s="3" t="n">
        <v>6</v>
      </c>
      <c r="AT403" s="3" t="n">
        <v>4</v>
      </c>
      <c r="AU403" s="3" t="n">
        <v>4</v>
      </c>
      <c r="AV403" s="3" t="n">
        <v>6</v>
      </c>
      <c r="AW403" s="3" t="n">
        <v>6</v>
      </c>
      <c r="AX403" s="3" t="n">
        <v>3</v>
      </c>
      <c r="AY403" s="3" t="n">
        <v>3</v>
      </c>
      <c r="AZ403" s="3" t="n">
        <v>1</v>
      </c>
      <c r="BA403" s="5" t="n">
        <v>1</v>
      </c>
      <c r="BB403" s="3" t="n">
        <v>1</v>
      </c>
      <c r="BC403" s="3" t="n">
        <v>1</v>
      </c>
      <c r="BD403" s="3" t="n">
        <v>2</v>
      </c>
      <c r="BE403" s="3" t="n">
        <v>1</v>
      </c>
      <c r="BF403" s="3" t="n">
        <v>2</v>
      </c>
      <c r="BG403" s="3" t="n">
        <v>1</v>
      </c>
      <c r="BH403" s="3" t="n">
        <v>4</v>
      </c>
      <c r="BI403" s="3" t="n">
        <v>1</v>
      </c>
      <c r="BJ403" s="3" t="n">
        <v>1</v>
      </c>
    </row>
    <row r="404" customFormat="false" ht="12.75" hidden="false" customHeight="false" outlineLevel="0" collapsed="false">
      <c r="B404" s="26" t="s">
        <v>3168</v>
      </c>
      <c r="C404" s="26" t="s">
        <v>3169</v>
      </c>
      <c r="D404" s="26" t="s">
        <v>78</v>
      </c>
      <c r="E404" s="26" t="n">
        <v>213289</v>
      </c>
      <c r="F404" s="28" t="n">
        <v>44329</v>
      </c>
      <c r="G404" s="28" t="n">
        <v>44345</v>
      </c>
      <c r="H404" s="30" t="n">
        <v>16</v>
      </c>
      <c r="I404" s="30" t="n">
        <v>2</v>
      </c>
      <c r="J404" s="30" t="n">
        <v>70</v>
      </c>
      <c r="K404" s="30" t="n">
        <v>1</v>
      </c>
      <c r="L404" s="30" t="n">
        <v>1</v>
      </c>
      <c r="M404" s="30" t="n">
        <v>1</v>
      </c>
      <c r="N404" s="30" t="n">
        <v>2</v>
      </c>
      <c r="O404" s="30" t="n">
        <v>1</v>
      </c>
      <c r="P404" s="30" t="n">
        <v>2</v>
      </c>
      <c r="Q404" s="30" t="n">
        <v>1</v>
      </c>
      <c r="R404" s="30" t="n">
        <v>2</v>
      </c>
      <c r="S404" s="30" t="n">
        <v>1</v>
      </c>
      <c r="T404" s="4" t="n">
        <v>2</v>
      </c>
      <c r="U404" s="30" t="n">
        <v>2</v>
      </c>
      <c r="V404" s="30" t="s">
        <v>3170</v>
      </c>
      <c r="W404" s="30" t="s">
        <v>2890</v>
      </c>
      <c r="X404" s="30" t="s">
        <v>3171</v>
      </c>
      <c r="Y404" s="30" t="n">
        <v>368</v>
      </c>
      <c r="AA404" s="30" t="s">
        <v>1267</v>
      </c>
      <c r="AB404" s="30" t="n">
        <v>15</v>
      </c>
      <c r="AC404" s="30" t="n">
        <v>2</v>
      </c>
      <c r="AD404" s="30" t="n">
        <v>2</v>
      </c>
      <c r="AE404" s="30" t="n">
        <v>1</v>
      </c>
      <c r="AF404" s="30" t="n">
        <v>1</v>
      </c>
      <c r="AG404" s="30" t="n">
        <v>2</v>
      </c>
      <c r="AH404" s="30" t="n">
        <v>2</v>
      </c>
      <c r="AI404" s="30" t="n">
        <v>1</v>
      </c>
      <c r="AJ404" s="30" t="n">
        <v>1</v>
      </c>
      <c r="AK404" s="30" t="n">
        <v>1</v>
      </c>
      <c r="AL404" s="30" t="n">
        <v>2</v>
      </c>
      <c r="AM404" s="30" t="n">
        <v>1</v>
      </c>
      <c r="AN404" s="30" t="n">
        <v>1</v>
      </c>
      <c r="AO404" s="30" t="n">
        <v>2</v>
      </c>
      <c r="AP404" s="30" t="n">
        <v>3</v>
      </c>
      <c r="AQ404" s="30" t="n">
        <v>4</v>
      </c>
      <c r="AR404" s="30" t="n">
        <v>4</v>
      </c>
      <c r="AS404" s="30" t="n">
        <v>6</v>
      </c>
      <c r="AT404" s="30" t="n">
        <v>4</v>
      </c>
      <c r="AU404" s="30" t="n">
        <v>4</v>
      </c>
      <c r="AV404" s="30" t="n">
        <v>6</v>
      </c>
      <c r="AW404" s="30" t="n">
        <v>6</v>
      </c>
      <c r="AX404" s="30" t="n">
        <v>3</v>
      </c>
      <c r="AY404" s="30" t="n">
        <v>3</v>
      </c>
      <c r="AZ404" s="30" t="n">
        <v>6</v>
      </c>
      <c r="BA404" s="5" t="n">
        <v>1</v>
      </c>
      <c r="BB404" s="30" t="n">
        <v>2</v>
      </c>
      <c r="BC404" s="30" t="n">
        <v>1</v>
      </c>
      <c r="BD404" s="30" t="n">
        <v>2</v>
      </c>
      <c r="BE404" s="30" t="n">
        <v>3</v>
      </c>
      <c r="BF404" s="30" t="n">
        <v>5</v>
      </c>
      <c r="BG404" s="30" t="n">
        <v>3</v>
      </c>
      <c r="BH404" s="30" t="n">
        <v>4</v>
      </c>
      <c r="BI404" s="30" t="n">
        <v>1</v>
      </c>
      <c r="BJ404" s="30" t="n">
        <v>1</v>
      </c>
    </row>
    <row r="405" customFormat="false" ht="12.75" hidden="false" customHeight="false" outlineLevel="0" collapsed="false">
      <c r="B405" s="14" t="s">
        <v>258</v>
      </c>
      <c r="C405" s="14" t="s">
        <v>70</v>
      </c>
      <c r="D405" s="14" t="s">
        <v>3173</v>
      </c>
      <c r="E405" s="14" t="n">
        <v>213866</v>
      </c>
      <c r="F405" s="22" t="n">
        <v>44337</v>
      </c>
      <c r="G405" s="22" t="n">
        <v>44346</v>
      </c>
      <c r="H405" s="3" t="n">
        <v>9</v>
      </c>
      <c r="I405" s="3" t="n">
        <v>2</v>
      </c>
      <c r="J405" s="3" t="n">
        <v>56</v>
      </c>
      <c r="K405" s="3" t="n">
        <v>1</v>
      </c>
      <c r="L405" s="3" t="n">
        <v>1</v>
      </c>
      <c r="M405" s="3" t="n">
        <v>1</v>
      </c>
      <c r="N405" s="3" t="n">
        <v>2</v>
      </c>
      <c r="O405" s="3" t="n">
        <v>2</v>
      </c>
      <c r="P405" s="3" t="n">
        <v>2</v>
      </c>
      <c r="Q405" s="3" t="n">
        <v>2</v>
      </c>
      <c r="R405" s="3" t="n">
        <v>2</v>
      </c>
      <c r="S405" s="3" t="n">
        <v>1</v>
      </c>
      <c r="T405" s="4" t="n">
        <v>1</v>
      </c>
      <c r="U405" s="3" t="n">
        <v>1</v>
      </c>
      <c r="V405" s="3" t="n">
        <v>5.28</v>
      </c>
      <c r="W405" s="3" t="n">
        <v>1.77</v>
      </c>
      <c r="X405" s="3" t="n">
        <v>4.72</v>
      </c>
      <c r="Y405" s="3" t="n">
        <v>357</v>
      </c>
      <c r="AA405" s="3" t="n">
        <v>0.46</v>
      </c>
      <c r="AB405" s="3" t="n">
        <v>12</v>
      </c>
      <c r="AC405" s="3" t="n">
        <v>1</v>
      </c>
      <c r="AD405" s="3" t="n">
        <v>2</v>
      </c>
      <c r="AE405" s="3" t="n">
        <v>1</v>
      </c>
      <c r="AF405" s="3" t="n">
        <v>1</v>
      </c>
      <c r="AG405" s="3" t="n">
        <v>1</v>
      </c>
      <c r="AH405" s="3" t="n">
        <v>1</v>
      </c>
      <c r="AI405" s="3" t="n">
        <v>1</v>
      </c>
      <c r="AJ405" s="3" t="n">
        <v>1</v>
      </c>
      <c r="AK405" s="3" t="n">
        <v>2</v>
      </c>
      <c r="AL405" s="3" t="n">
        <v>2</v>
      </c>
      <c r="AM405" s="3" t="n">
        <v>2</v>
      </c>
      <c r="AN405" s="3" t="n">
        <v>2</v>
      </c>
      <c r="AO405" s="3" t="n">
        <v>2</v>
      </c>
      <c r="AP405" s="3" t="n">
        <v>3</v>
      </c>
      <c r="AQ405" s="3" t="n">
        <v>4</v>
      </c>
      <c r="AR405" s="3" t="n">
        <v>4</v>
      </c>
      <c r="AS405" s="3" t="n">
        <v>6</v>
      </c>
      <c r="AT405" s="3" t="n">
        <v>4</v>
      </c>
      <c r="AU405" s="3" t="n">
        <v>4</v>
      </c>
      <c r="AV405" s="3" t="n">
        <v>6</v>
      </c>
      <c r="AW405" s="3" t="n">
        <v>6</v>
      </c>
      <c r="AX405" s="3" t="n">
        <v>3</v>
      </c>
      <c r="AY405" s="3" t="n">
        <v>3</v>
      </c>
      <c r="AZ405" s="3" t="n">
        <v>1</v>
      </c>
      <c r="BA405" s="5" t="n">
        <v>1</v>
      </c>
      <c r="BB405" s="3" t="n">
        <v>1</v>
      </c>
      <c r="BC405" s="3" t="n">
        <v>1</v>
      </c>
      <c r="BD405" s="3" t="n">
        <v>2</v>
      </c>
      <c r="BE405" s="3" t="n">
        <v>3</v>
      </c>
      <c r="BF405" s="3" t="n">
        <v>5</v>
      </c>
      <c r="BG405" s="3" t="n">
        <v>3</v>
      </c>
      <c r="BH405" s="3" t="n">
        <v>4</v>
      </c>
      <c r="BI405" s="3" t="n">
        <v>1</v>
      </c>
      <c r="BJ405" s="3" t="n">
        <v>1</v>
      </c>
    </row>
    <row r="406" customFormat="false" ht="12.75" hidden="false" customHeight="false" outlineLevel="0" collapsed="false">
      <c r="B406" s="2" t="s">
        <v>413</v>
      </c>
      <c r="C406" s="2" t="s">
        <v>294</v>
      </c>
      <c r="D406" s="2" t="s">
        <v>3175</v>
      </c>
      <c r="E406" s="2" t="n">
        <v>213987</v>
      </c>
      <c r="F406" s="15" t="n">
        <v>44341</v>
      </c>
      <c r="G406" s="15" t="n">
        <v>44348</v>
      </c>
      <c r="H406" s="3" t="n">
        <v>7</v>
      </c>
      <c r="I406" s="3" t="n">
        <v>2</v>
      </c>
      <c r="J406" s="3" t="n">
        <v>73</v>
      </c>
      <c r="K406" s="3" t="n">
        <v>3</v>
      </c>
      <c r="L406" s="3" t="n">
        <v>2</v>
      </c>
      <c r="M406" s="3" t="n">
        <v>2</v>
      </c>
      <c r="N406" s="3" t="n">
        <v>2</v>
      </c>
      <c r="O406" s="3" t="n">
        <v>2</v>
      </c>
      <c r="P406" s="3" t="n">
        <v>2</v>
      </c>
      <c r="Q406" s="3" t="n">
        <v>2</v>
      </c>
      <c r="R406" s="3" t="n">
        <v>2</v>
      </c>
      <c r="S406" s="3" t="n">
        <v>2</v>
      </c>
      <c r="T406" s="4" t="n">
        <v>2</v>
      </c>
      <c r="U406" s="3" t="n">
        <v>2</v>
      </c>
      <c r="V406" s="3" t="n">
        <v>6.08</v>
      </c>
      <c r="W406" s="3" t="n">
        <v>1.31</v>
      </c>
      <c r="X406" s="3" t="n">
        <v>6.85</v>
      </c>
      <c r="Y406" s="3" t="n">
        <v>560</v>
      </c>
      <c r="AA406" s="3" t="n">
        <v>0.56</v>
      </c>
      <c r="AB406" s="3" t="n">
        <v>13</v>
      </c>
      <c r="AC406" s="3" t="n">
        <v>1</v>
      </c>
      <c r="AD406" s="3" t="n">
        <v>2</v>
      </c>
      <c r="AE406" s="3" t="n">
        <v>1</v>
      </c>
      <c r="AF406" s="3" t="n">
        <v>1</v>
      </c>
      <c r="AG406" s="3" t="n">
        <v>2</v>
      </c>
      <c r="AH406" s="3" t="n">
        <v>2</v>
      </c>
      <c r="AI406" s="3" t="n">
        <v>1</v>
      </c>
      <c r="AJ406" s="3" t="n">
        <v>2</v>
      </c>
      <c r="AK406" s="3" t="n">
        <v>2</v>
      </c>
      <c r="AL406" s="3" t="n">
        <v>2</v>
      </c>
      <c r="AM406" s="3" t="n">
        <v>1</v>
      </c>
      <c r="AN406" s="3" t="n">
        <v>2</v>
      </c>
      <c r="AO406" s="3" t="n">
        <v>2</v>
      </c>
      <c r="AP406" s="3" t="n">
        <v>3</v>
      </c>
      <c r="AQ406" s="3" t="n">
        <v>4</v>
      </c>
      <c r="AR406" s="3" t="n">
        <v>4</v>
      </c>
      <c r="AS406" s="3" t="n">
        <v>6</v>
      </c>
      <c r="AT406" s="3" t="n">
        <v>4</v>
      </c>
      <c r="AU406" s="3" t="n">
        <v>4</v>
      </c>
      <c r="AV406" s="3" t="n">
        <v>6</v>
      </c>
      <c r="AW406" s="3" t="n">
        <v>6</v>
      </c>
      <c r="AX406" s="3" t="n">
        <v>3</v>
      </c>
      <c r="AY406" s="3" t="n">
        <v>3</v>
      </c>
      <c r="AZ406" s="3" t="n">
        <v>1</v>
      </c>
      <c r="BA406" s="5" t="n">
        <v>1</v>
      </c>
      <c r="BB406" s="3" t="n">
        <v>1</v>
      </c>
      <c r="BC406" s="3" t="n">
        <v>1</v>
      </c>
      <c r="BD406" s="3" t="n">
        <v>4</v>
      </c>
      <c r="BE406" s="3" t="n">
        <v>1</v>
      </c>
      <c r="BF406" s="3" t="n">
        <v>2</v>
      </c>
      <c r="BG406" s="3" t="n">
        <v>1</v>
      </c>
      <c r="BH406" s="3" t="n">
        <v>4</v>
      </c>
      <c r="BI406" s="3" t="n">
        <v>1</v>
      </c>
      <c r="BJ406" s="3" t="n">
        <v>1</v>
      </c>
    </row>
    <row r="407" customFormat="false" ht="12.75" hidden="false" customHeight="false" outlineLevel="0" collapsed="false">
      <c r="B407" s="2" t="s">
        <v>140</v>
      </c>
      <c r="C407" s="2" t="s">
        <v>3177</v>
      </c>
      <c r="D407" s="2" t="s">
        <v>414</v>
      </c>
      <c r="E407" s="2" t="n">
        <v>214034</v>
      </c>
      <c r="F407" s="15" t="n">
        <v>44343</v>
      </c>
      <c r="G407" s="15" t="n">
        <v>44349</v>
      </c>
      <c r="H407" s="3" t="n">
        <v>6</v>
      </c>
      <c r="I407" s="3" t="n">
        <v>2</v>
      </c>
      <c r="J407" s="3" t="n">
        <v>78</v>
      </c>
      <c r="K407" s="3" t="n">
        <v>1</v>
      </c>
      <c r="L407" s="3" t="n">
        <v>1</v>
      </c>
      <c r="M407" s="3" t="n">
        <v>2</v>
      </c>
      <c r="N407" s="3" t="n">
        <v>2</v>
      </c>
      <c r="O407" s="3" t="n">
        <v>2</v>
      </c>
      <c r="P407" s="3" t="n">
        <v>2</v>
      </c>
      <c r="Q407" s="3" t="n">
        <v>2</v>
      </c>
      <c r="R407" s="3" t="n">
        <v>2</v>
      </c>
      <c r="S407" s="3" t="n">
        <v>2</v>
      </c>
      <c r="T407" s="4" t="n">
        <v>2</v>
      </c>
      <c r="U407" s="3" t="n">
        <v>2</v>
      </c>
      <c r="V407" s="3" t="n">
        <v>4.66</v>
      </c>
      <c r="W407" s="3" t="n">
        <v>0.9</v>
      </c>
      <c r="X407" s="3" t="n">
        <v>4.11</v>
      </c>
      <c r="Y407" s="3" t="n">
        <v>292</v>
      </c>
      <c r="AA407" s="3" t="n">
        <v>11.6</v>
      </c>
      <c r="AB407" s="3" t="n">
        <v>0.43</v>
      </c>
      <c r="AC407" s="3" t="n">
        <v>1</v>
      </c>
      <c r="AD407" s="3" t="n">
        <v>2</v>
      </c>
      <c r="AE407" s="3" t="n">
        <v>2</v>
      </c>
      <c r="AF407" s="3" t="n">
        <v>1</v>
      </c>
      <c r="AG407" s="3" t="n">
        <v>2</v>
      </c>
      <c r="AH407" s="3" t="n">
        <v>2</v>
      </c>
      <c r="AI407" s="3" t="n">
        <v>1</v>
      </c>
      <c r="AJ407" s="3" t="n">
        <v>2</v>
      </c>
      <c r="AK407" s="3" t="n">
        <v>2</v>
      </c>
      <c r="AL407" s="3" t="n">
        <v>2</v>
      </c>
      <c r="AM407" s="3" t="n">
        <v>2</v>
      </c>
      <c r="AN407" s="3" t="n">
        <v>2</v>
      </c>
      <c r="AO407" s="3" t="n">
        <v>2</v>
      </c>
      <c r="AP407" s="3" t="n">
        <v>3</v>
      </c>
      <c r="AQ407" s="3" t="n">
        <v>4</v>
      </c>
      <c r="AR407" s="3" t="n">
        <v>4</v>
      </c>
      <c r="AS407" s="3" t="n">
        <v>6</v>
      </c>
      <c r="AT407" s="3" t="n">
        <v>4</v>
      </c>
      <c r="AU407" s="3" t="n">
        <v>4</v>
      </c>
      <c r="AV407" s="3" t="n">
        <v>6</v>
      </c>
      <c r="AW407" s="3" t="n">
        <v>6</v>
      </c>
      <c r="AX407" s="3" t="n">
        <v>3</v>
      </c>
      <c r="AY407" s="3" t="n">
        <v>3</v>
      </c>
      <c r="AZ407" s="3" t="n">
        <v>1</v>
      </c>
      <c r="BA407" s="5" t="n">
        <v>1</v>
      </c>
      <c r="BB407" s="3" t="n">
        <v>1</v>
      </c>
      <c r="BC407" s="3" t="n">
        <v>1</v>
      </c>
      <c r="BD407" s="3" t="n">
        <v>4</v>
      </c>
      <c r="BE407" s="3" t="n">
        <v>1</v>
      </c>
      <c r="BF407" s="3" t="n">
        <v>2</v>
      </c>
      <c r="BG407" s="3" t="n">
        <v>1</v>
      </c>
      <c r="BH407" s="3" t="n">
        <v>4</v>
      </c>
      <c r="BI407" s="3" t="n">
        <v>1</v>
      </c>
      <c r="BJ407" s="3" t="n">
        <v>1</v>
      </c>
    </row>
    <row r="408" customFormat="false" ht="12.75" hidden="false" customHeight="false" outlineLevel="0" collapsed="false">
      <c r="B408" s="14" t="s">
        <v>2929</v>
      </c>
      <c r="C408" s="14" t="s">
        <v>522</v>
      </c>
      <c r="D408" s="14" t="s">
        <v>194</v>
      </c>
      <c r="E408" s="14" t="n">
        <v>214069</v>
      </c>
      <c r="F408" s="22" t="n">
        <v>44344</v>
      </c>
      <c r="G408" s="22" t="n">
        <v>44350</v>
      </c>
      <c r="H408" s="3" t="n">
        <v>6</v>
      </c>
      <c r="I408" s="3" t="n">
        <v>2</v>
      </c>
      <c r="J408" s="3" t="n">
        <v>64</v>
      </c>
      <c r="K408" s="3" t="n">
        <v>1</v>
      </c>
      <c r="L408" s="3" t="n">
        <v>1</v>
      </c>
      <c r="M408" s="3" t="n">
        <v>2</v>
      </c>
      <c r="N408" s="3" t="n">
        <v>2</v>
      </c>
      <c r="O408" s="3" t="n">
        <v>2</v>
      </c>
      <c r="P408" s="3" t="n">
        <v>2</v>
      </c>
      <c r="Q408" s="3" t="n">
        <v>2</v>
      </c>
      <c r="R408" s="3" t="n">
        <v>2</v>
      </c>
      <c r="S408" s="3" t="n">
        <v>2</v>
      </c>
      <c r="T408" s="4" t="n">
        <v>2</v>
      </c>
      <c r="U408" s="3" t="n">
        <v>2</v>
      </c>
      <c r="V408" s="3" t="n">
        <v>4.6</v>
      </c>
      <c r="W408" s="3" t="n">
        <v>3.53</v>
      </c>
      <c r="X408" s="3" t="n">
        <v>10.85</v>
      </c>
      <c r="Y408" s="3" t="n">
        <v>384</v>
      </c>
      <c r="AA408" s="3" t="n">
        <v>0.41</v>
      </c>
      <c r="AB408" s="3" t="n">
        <v>14.6</v>
      </c>
      <c r="AC408" s="3" t="n">
        <v>1</v>
      </c>
      <c r="AD408" s="3" t="n">
        <v>2</v>
      </c>
      <c r="AE408" s="3" t="n">
        <v>2</v>
      </c>
      <c r="AF408" s="3" t="n">
        <v>1</v>
      </c>
      <c r="AG408" s="3" t="n">
        <v>2</v>
      </c>
      <c r="AH408" s="3" t="n">
        <v>2</v>
      </c>
      <c r="AI408" s="3" t="n">
        <v>1</v>
      </c>
      <c r="AJ408" s="3" t="n">
        <v>2</v>
      </c>
      <c r="AK408" s="3" t="n">
        <v>2</v>
      </c>
      <c r="AL408" s="3" t="n">
        <v>2</v>
      </c>
      <c r="AM408" s="3" t="n">
        <v>2</v>
      </c>
      <c r="AN408" s="3" t="n">
        <v>2</v>
      </c>
      <c r="AO408" s="3" t="n">
        <v>2</v>
      </c>
      <c r="AP408" s="3" t="n">
        <v>3</v>
      </c>
      <c r="AQ408" s="3" t="n">
        <v>4</v>
      </c>
      <c r="AR408" s="3" t="n">
        <v>4</v>
      </c>
      <c r="AS408" s="3" t="n">
        <v>6</v>
      </c>
      <c r="AT408" s="3" t="n">
        <v>4</v>
      </c>
      <c r="AU408" s="3" t="n">
        <v>4</v>
      </c>
      <c r="AV408" s="3" t="n">
        <v>6</v>
      </c>
      <c r="AW408" s="3" t="n">
        <v>6</v>
      </c>
      <c r="AX408" s="3" t="n">
        <v>3</v>
      </c>
      <c r="AY408" s="3" t="n">
        <v>3</v>
      </c>
      <c r="AZ408" s="3" t="n">
        <v>1</v>
      </c>
      <c r="BA408" s="5" t="n">
        <v>1</v>
      </c>
      <c r="BB408" s="3" t="n">
        <v>1</v>
      </c>
      <c r="BC408" s="3" t="n">
        <v>1</v>
      </c>
      <c r="BD408" s="3" t="n">
        <v>4</v>
      </c>
      <c r="BE408" s="3" t="n">
        <v>1</v>
      </c>
      <c r="BF408" s="3" t="n">
        <v>2</v>
      </c>
      <c r="BG408" s="3" t="n">
        <v>1</v>
      </c>
      <c r="BH408" s="3" t="n">
        <v>4</v>
      </c>
      <c r="BI408" s="3" t="n">
        <v>1</v>
      </c>
      <c r="BJ408" s="3" t="n">
        <v>1</v>
      </c>
    </row>
    <row r="409" customFormat="false" ht="12.75" hidden="false" customHeight="false" outlineLevel="0" collapsed="false">
      <c r="B409" s="2" t="s">
        <v>3196</v>
      </c>
      <c r="C409" s="2" t="s">
        <v>3197</v>
      </c>
      <c r="D409" s="2" t="s">
        <v>304</v>
      </c>
      <c r="E409" s="2" t="n">
        <v>214342</v>
      </c>
      <c r="F409" s="15" t="n">
        <v>44347</v>
      </c>
      <c r="G409" s="15" t="n">
        <v>44357</v>
      </c>
      <c r="H409" s="3" t="n">
        <v>10</v>
      </c>
      <c r="I409" s="3" t="n">
        <v>2</v>
      </c>
      <c r="J409" s="3" t="n">
        <v>59</v>
      </c>
      <c r="K409" s="3" t="n">
        <v>1</v>
      </c>
      <c r="L409" s="3" t="n">
        <v>1</v>
      </c>
      <c r="M409" s="3" t="n">
        <v>1</v>
      </c>
      <c r="N409" s="3" t="n">
        <v>2</v>
      </c>
      <c r="O409" s="3" t="n">
        <v>2</v>
      </c>
      <c r="P409" s="3" t="n">
        <v>2</v>
      </c>
      <c r="Q409" s="3" t="n">
        <v>2</v>
      </c>
      <c r="R409" s="3" t="n">
        <v>2</v>
      </c>
      <c r="S409" s="3" t="n">
        <v>2</v>
      </c>
      <c r="T409" s="4" t="n">
        <v>2</v>
      </c>
      <c r="U409" s="3" t="n">
        <v>2</v>
      </c>
      <c r="V409" s="3" t="n">
        <v>4.83</v>
      </c>
      <c r="W409" s="3" t="n">
        <v>1.84</v>
      </c>
      <c r="X409" s="3" t="n">
        <v>7.47</v>
      </c>
      <c r="Y409" s="3" t="n">
        <v>185</v>
      </c>
      <c r="AA409" s="3" t="n">
        <v>0.45</v>
      </c>
      <c r="AB409" s="3" t="n">
        <v>12.8</v>
      </c>
      <c r="AC409" s="3" t="n">
        <v>2</v>
      </c>
      <c r="AD409" s="3" t="n">
        <v>2</v>
      </c>
      <c r="AE409" s="3" t="n">
        <v>1</v>
      </c>
      <c r="AF409" s="3" t="n">
        <v>1</v>
      </c>
      <c r="AG409" s="3" t="n">
        <v>2</v>
      </c>
      <c r="AH409" s="3" t="n">
        <v>1</v>
      </c>
      <c r="AI409" s="3" t="n">
        <v>1</v>
      </c>
      <c r="AJ409" s="3" t="n">
        <v>2</v>
      </c>
      <c r="AK409" s="3" t="n">
        <v>2</v>
      </c>
      <c r="AL409" s="3" t="n">
        <v>2</v>
      </c>
      <c r="AM409" s="3" t="n">
        <v>2</v>
      </c>
      <c r="AN409" s="3" t="n">
        <v>2</v>
      </c>
      <c r="AO409" s="3" t="n">
        <v>1</v>
      </c>
      <c r="AP409" s="3" t="n">
        <v>3</v>
      </c>
      <c r="AQ409" s="3" t="n">
        <v>4</v>
      </c>
      <c r="AR409" s="3" t="n">
        <v>4</v>
      </c>
      <c r="AS409" s="3" t="n">
        <v>6</v>
      </c>
      <c r="AT409" s="3" t="n">
        <v>4</v>
      </c>
      <c r="AU409" s="3" t="n">
        <v>4</v>
      </c>
      <c r="AV409" s="3" t="n">
        <v>6</v>
      </c>
      <c r="AW409" s="3" t="n">
        <v>6</v>
      </c>
      <c r="AX409" s="3" t="n">
        <v>3</v>
      </c>
      <c r="AY409" s="3" t="n">
        <v>3</v>
      </c>
      <c r="AZ409" s="3" t="n">
        <v>10</v>
      </c>
      <c r="BA409" s="5" t="n">
        <v>1</v>
      </c>
      <c r="BB409" s="3" t="n">
        <v>1</v>
      </c>
      <c r="BC409" s="3" t="n">
        <v>1</v>
      </c>
      <c r="BD409" s="3" t="n">
        <v>2</v>
      </c>
      <c r="BE409" s="3" t="n">
        <v>1</v>
      </c>
      <c r="BF409" s="3" t="n">
        <v>2</v>
      </c>
      <c r="BG409" s="3" t="n">
        <v>1</v>
      </c>
      <c r="BH409" s="3" t="n">
        <v>4</v>
      </c>
      <c r="BI409" s="3" t="n">
        <v>1</v>
      </c>
      <c r="BJ409" s="3" t="n">
        <v>1</v>
      </c>
    </row>
    <row r="410" customFormat="false" ht="12.75" hidden="false" customHeight="false" outlineLevel="0" collapsed="false">
      <c r="B410" s="2" t="s">
        <v>3204</v>
      </c>
      <c r="C410" s="2" t="s">
        <v>153</v>
      </c>
      <c r="D410" s="2" t="s">
        <v>3205</v>
      </c>
      <c r="E410" s="2" t="n">
        <v>214404</v>
      </c>
      <c r="F410" s="15" t="n">
        <v>44351</v>
      </c>
      <c r="G410" s="15" t="n">
        <v>44361</v>
      </c>
      <c r="H410" s="3" t="n">
        <v>10</v>
      </c>
      <c r="I410" s="3" t="n">
        <v>2</v>
      </c>
      <c r="J410" s="3" t="n">
        <v>59</v>
      </c>
      <c r="K410" s="3" t="n">
        <v>1</v>
      </c>
      <c r="L410" s="3" t="n">
        <v>1</v>
      </c>
      <c r="M410" s="3" t="n">
        <v>1</v>
      </c>
      <c r="N410" s="3" t="n">
        <v>2</v>
      </c>
      <c r="O410" s="3" t="n">
        <v>1</v>
      </c>
      <c r="P410" s="3" t="n">
        <v>1</v>
      </c>
      <c r="Q410" s="3" t="n">
        <v>1</v>
      </c>
      <c r="R410" s="3" t="n">
        <v>2</v>
      </c>
      <c r="S410" s="3" t="n">
        <v>2</v>
      </c>
      <c r="T410" s="4" t="n">
        <v>2</v>
      </c>
      <c r="U410" s="3" t="n">
        <v>2</v>
      </c>
      <c r="V410" s="3" t="n">
        <v>6.88</v>
      </c>
      <c r="W410" s="3" t="n">
        <v>2.79</v>
      </c>
      <c r="X410" s="3" t="n">
        <v>16.86</v>
      </c>
      <c r="Y410" s="3" t="n">
        <v>364</v>
      </c>
      <c r="AA410" s="3" t="n">
        <v>0.5</v>
      </c>
      <c r="AB410" s="3" t="n">
        <v>12.4</v>
      </c>
      <c r="AC410" s="3" t="n">
        <v>1</v>
      </c>
      <c r="AD410" s="3" t="n">
        <v>2</v>
      </c>
      <c r="AE410" s="3" t="n">
        <v>2</v>
      </c>
      <c r="AF410" s="3" t="n">
        <v>1</v>
      </c>
      <c r="AG410" s="3" t="n">
        <v>2</v>
      </c>
      <c r="AH410" s="3" t="n">
        <v>2</v>
      </c>
      <c r="AI410" s="3" t="n">
        <v>1</v>
      </c>
      <c r="AJ410" s="3" t="n">
        <v>2</v>
      </c>
      <c r="AK410" s="3" t="n">
        <v>1</v>
      </c>
      <c r="AL410" s="3" t="n">
        <v>2</v>
      </c>
      <c r="AM410" s="3" t="n">
        <v>1</v>
      </c>
      <c r="AN410" s="3" t="n">
        <v>2</v>
      </c>
      <c r="AO410" s="3" t="n">
        <v>2</v>
      </c>
      <c r="AP410" s="3" t="n">
        <v>3</v>
      </c>
      <c r="AQ410" s="3" t="n">
        <v>4</v>
      </c>
      <c r="AR410" s="3" t="n">
        <v>4</v>
      </c>
      <c r="AS410" s="3" t="n">
        <v>6</v>
      </c>
      <c r="AT410" s="3" t="n">
        <v>4</v>
      </c>
      <c r="AU410" s="3" t="n">
        <v>4</v>
      </c>
      <c r="AV410" s="3" t="n">
        <v>6</v>
      </c>
      <c r="AW410" s="3" t="n">
        <v>6</v>
      </c>
      <c r="AX410" s="3" t="n">
        <v>3</v>
      </c>
      <c r="AY410" s="3" t="n">
        <v>3</v>
      </c>
      <c r="AZ410" s="3" t="n">
        <v>1</v>
      </c>
      <c r="BA410" s="5" t="n">
        <v>1</v>
      </c>
      <c r="BB410" s="3" t="n">
        <v>1</v>
      </c>
      <c r="BC410" s="3" t="n">
        <v>1</v>
      </c>
      <c r="BD410" s="3" t="n">
        <v>4</v>
      </c>
      <c r="BE410" s="3" t="n">
        <v>1</v>
      </c>
      <c r="BF410" s="3" t="n">
        <v>2</v>
      </c>
      <c r="BG410" s="3" t="n">
        <v>1</v>
      </c>
      <c r="BH410" s="3" t="n">
        <v>4</v>
      </c>
      <c r="BI410" s="3" t="n">
        <v>1</v>
      </c>
      <c r="BJ410" s="3" t="n">
        <v>1</v>
      </c>
    </row>
    <row r="411" customFormat="false" ht="12.75" hidden="false" customHeight="false" outlineLevel="0" collapsed="false">
      <c r="B411" s="2" t="s">
        <v>3211</v>
      </c>
      <c r="C411" s="2" t="s">
        <v>2133</v>
      </c>
      <c r="D411" s="2" t="s">
        <v>462</v>
      </c>
      <c r="E411" s="2" t="n">
        <v>214746</v>
      </c>
      <c r="F411" s="15" t="n">
        <v>44359</v>
      </c>
      <c r="G411" s="15" t="n">
        <v>44366</v>
      </c>
      <c r="H411" s="3" t="n">
        <v>7</v>
      </c>
      <c r="I411" s="3" t="n">
        <v>2</v>
      </c>
      <c r="J411" s="3" t="n">
        <v>61</v>
      </c>
      <c r="K411" s="3" t="n">
        <v>1</v>
      </c>
      <c r="L411" s="3" t="n">
        <v>1</v>
      </c>
      <c r="M411" s="3" t="n">
        <v>2</v>
      </c>
      <c r="N411" s="3" t="n">
        <v>2</v>
      </c>
      <c r="O411" s="3" t="n">
        <v>2</v>
      </c>
      <c r="P411" s="3" t="n">
        <v>1</v>
      </c>
      <c r="Q411" s="3" t="n">
        <v>1</v>
      </c>
      <c r="R411" s="3" t="n">
        <v>2</v>
      </c>
      <c r="S411" s="3" t="n">
        <v>2</v>
      </c>
      <c r="T411" s="4" t="n">
        <v>2</v>
      </c>
      <c r="U411" s="3" t="n">
        <v>2</v>
      </c>
      <c r="V411" s="3" t="n">
        <v>3.83</v>
      </c>
      <c r="W411" s="3" t="n">
        <v>1.07</v>
      </c>
      <c r="X411" s="3" t="n">
        <v>4.78</v>
      </c>
      <c r="Y411" s="3" t="n">
        <v>318</v>
      </c>
      <c r="AA411" s="3" t="n">
        <v>0.4</v>
      </c>
      <c r="AB411" s="3" t="n">
        <v>14.8</v>
      </c>
      <c r="AC411" s="3" t="n">
        <v>1</v>
      </c>
      <c r="AD411" s="3" t="n">
        <v>2</v>
      </c>
      <c r="AE411" s="3" t="n">
        <v>1</v>
      </c>
      <c r="AF411" s="3" t="n">
        <v>1</v>
      </c>
      <c r="AG411" s="3" t="n">
        <v>2</v>
      </c>
      <c r="AH411" s="3" t="n">
        <v>2</v>
      </c>
      <c r="AI411" s="3" t="n">
        <v>1</v>
      </c>
      <c r="AJ411" s="3" t="n">
        <v>2</v>
      </c>
      <c r="AK411" s="3" t="n">
        <v>2</v>
      </c>
      <c r="AL411" s="3" t="n">
        <v>2</v>
      </c>
      <c r="AM411" s="3" t="n">
        <v>2</v>
      </c>
      <c r="AN411" s="3" t="n">
        <v>2</v>
      </c>
      <c r="AO411" s="3" t="n">
        <v>2</v>
      </c>
      <c r="AP411" s="3" t="n">
        <v>3</v>
      </c>
      <c r="AQ411" s="3" t="n">
        <v>4</v>
      </c>
      <c r="AR411" s="3" t="n">
        <v>4</v>
      </c>
      <c r="AS411" s="3" t="n">
        <v>6</v>
      </c>
      <c r="AT411" s="3" t="n">
        <v>4</v>
      </c>
      <c r="AU411" s="3" t="n">
        <v>4</v>
      </c>
      <c r="AV411" s="3" t="n">
        <v>6</v>
      </c>
      <c r="AW411" s="3" t="n">
        <v>6</v>
      </c>
      <c r="AX411" s="3" t="n">
        <v>3</v>
      </c>
      <c r="AY411" s="3" t="n">
        <v>3</v>
      </c>
      <c r="AZ411" s="3" t="n">
        <v>1</v>
      </c>
      <c r="BA411" s="5" t="n">
        <v>1</v>
      </c>
      <c r="BB411" s="3" t="n">
        <v>1</v>
      </c>
      <c r="BC411" s="3" t="n">
        <v>1</v>
      </c>
      <c r="BD411" s="3" t="n">
        <v>4</v>
      </c>
      <c r="BE411" s="3" t="n">
        <v>1</v>
      </c>
      <c r="BF411" s="3" t="n">
        <v>2</v>
      </c>
      <c r="BG411" s="3" t="n">
        <v>1</v>
      </c>
      <c r="BH411" s="3" t="n">
        <v>4</v>
      </c>
      <c r="BI411" s="3" t="n">
        <v>1</v>
      </c>
      <c r="BJ411" s="3" t="n">
        <v>1</v>
      </c>
    </row>
    <row r="412" customFormat="false" ht="12.75" hidden="false" customHeight="false" outlineLevel="0" collapsed="false">
      <c r="B412" s="2" t="s">
        <v>415</v>
      </c>
      <c r="C412" s="2" t="s">
        <v>3213</v>
      </c>
      <c r="D412" s="2" t="s">
        <v>898</v>
      </c>
      <c r="E412" s="2" t="n">
        <v>214777</v>
      </c>
      <c r="F412" s="15" t="n">
        <v>44360</v>
      </c>
      <c r="G412" s="15" t="n">
        <v>44367</v>
      </c>
      <c r="H412" s="3" t="n">
        <v>7</v>
      </c>
      <c r="I412" s="3" t="n">
        <v>2</v>
      </c>
      <c r="J412" s="3" t="n">
        <v>52</v>
      </c>
      <c r="K412" s="3" t="n">
        <v>2</v>
      </c>
      <c r="L412" s="3" t="n">
        <v>1</v>
      </c>
      <c r="M412" s="3" t="n">
        <v>1</v>
      </c>
      <c r="N412" s="3" t="n">
        <v>2</v>
      </c>
      <c r="O412" s="3" t="n">
        <v>2</v>
      </c>
      <c r="P412" s="3" t="n">
        <v>2</v>
      </c>
      <c r="Q412" s="3" t="n">
        <v>2</v>
      </c>
      <c r="R412" s="3" t="n">
        <v>2</v>
      </c>
      <c r="S412" s="3" t="n">
        <v>2</v>
      </c>
      <c r="T412" s="4" t="n">
        <v>2</v>
      </c>
      <c r="U412" s="3" t="n">
        <v>2</v>
      </c>
      <c r="V412" s="3" t="n">
        <v>4.59</v>
      </c>
      <c r="W412" s="3" t="n">
        <v>0.99</v>
      </c>
      <c r="X412" s="3" t="n">
        <v>6.74</v>
      </c>
      <c r="Y412" s="3" t="n">
        <v>320</v>
      </c>
      <c r="AA412" s="3" t="n">
        <v>0.46</v>
      </c>
      <c r="AB412" s="3" t="n">
        <v>12.1</v>
      </c>
      <c r="AC412" s="3" t="n">
        <v>1</v>
      </c>
      <c r="AD412" s="3" t="n">
        <v>1</v>
      </c>
      <c r="AE412" s="3" t="n">
        <v>1</v>
      </c>
      <c r="AF412" s="3" t="n">
        <v>1</v>
      </c>
      <c r="AG412" s="3" t="n">
        <v>2</v>
      </c>
      <c r="AH412" s="3" t="n">
        <v>1</v>
      </c>
      <c r="AI412" s="3" t="n">
        <v>1</v>
      </c>
      <c r="AJ412" s="3" t="n">
        <v>2</v>
      </c>
      <c r="AK412" s="3" t="n">
        <v>2</v>
      </c>
      <c r="AL412" s="3" t="n">
        <v>2</v>
      </c>
      <c r="AM412" s="3" t="n">
        <v>2</v>
      </c>
      <c r="AN412" s="3" t="n">
        <v>2</v>
      </c>
      <c r="AO412" s="3" t="n">
        <v>2</v>
      </c>
      <c r="AP412" s="3" t="n">
        <v>3</v>
      </c>
      <c r="AQ412" s="3" t="n">
        <v>4</v>
      </c>
      <c r="AR412" s="3" t="n">
        <v>4</v>
      </c>
      <c r="AS412" s="3" t="n">
        <v>6</v>
      </c>
      <c r="AT412" s="3" t="n">
        <v>4</v>
      </c>
      <c r="AU412" s="3" t="n">
        <v>4</v>
      </c>
      <c r="AV412" s="3" t="n">
        <v>6</v>
      </c>
      <c r="AW412" s="3" t="n">
        <v>6</v>
      </c>
      <c r="AX412" s="3" t="n">
        <v>3</v>
      </c>
      <c r="AY412" s="3" t="n">
        <v>3</v>
      </c>
      <c r="AZ412" s="3" t="n">
        <v>1</v>
      </c>
      <c r="BA412" s="5" t="n">
        <v>1</v>
      </c>
      <c r="BB412" s="3" t="n">
        <v>1</v>
      </c>
      <c r="BC412" s="3" t="n">
        <v>1</v>
      </c>
      <c r="BD412" s="3" t="n">
        <v>2</v>
      </c>
      <c r="BE412" s="3" t="n">
        <v>3</v>
      </c>
      <c r="BF412" s="3" t="n">
        <v>5</v>
      </c>
      <c r="BG412" s="3" t="n">
        <v>3</v>
      </c>
      <c r="BH412" s="3" t="n">
        <v>4</v>
      </c>
      <c r="BI412" s="3" t="n">
        <v>1</v>
      </c>
      <c r="BJ412" s="3" t="n">
        <v>1</v>
      </c>
    </row>
    <row r="413" customFormat="false" ht="12.75" hidden="false" customHeight="false" outlineLevel="0" collapsed="false">
      <c r="B413" s="2" t="s">
        <v>3215</v>
      </c>
      <c r="C413" s="2" t="s">
        <v>3216</v>
      </c>
      <c r="D413" s="2" t="s">
        <v>454</v>
      </c>
      <c r="E413" s="2" t="n">
        <v>215109</v>
      </c>
      <c r="F413" s="15" t="n">
        <v>44363</v>
      </c>
      <c r="G413" s="15" t="n">
        <v>44369</v>
      </c>
      <c r="H413" s="3" t="n">
        <v>6</v>
      </c>
      <c r="I413" s="3" t="n">
        <v>1</v>
      </c>
      <c r="J413" s="3" t="n">
        <v>58</v>
      </c>
      <c r="K413" s="3" t="n">
        <v>3</v>
      </c>
      <c r="L413" s="3" t="n">
        <v>1</v>
      </c>
      <c r="M413" s="3" t="n">
        <v>1</v>
      </c>
      <c r="N413" s="3" t="n">
        <v>2</v>
      </c>
      <c r="O413" s="3" t="n">
        <v>2</v>
      </c>
      <c r="P413" s="3" t="n">
        <v>2</v>
      </c>
      <c r="Q413" s="3" t="n">
        <v>2</v>
      </c>
      <c r="R413" s="3" t="n">
        <v>2</v>
      </c>
      <c r="S413" s="3" t="n">
        <v>2</v>
      </c>
      <c r="T413" s="4" t="n">
        <v>2</v>
      </c>
      <c r="U413" s="3" t="n">
        <v>2</v>
      </c>
      <c r="V413" s="3" t="s">
        <v>125</v>
      </c>
      <c r="W413" s="3" t="s">
        <v>125</v>
      </c>
      <c r="X413" s="3" t="s">
        <v>125</v>
      </c>
      <c r="Y413" s="3" t="s">
        <v>125</v>
      </c>
      <c r="AA413" s="3" t="s">
        <v>125</v>
      </c>
      <c r="AB413" s="3" t="s">
        <v>125</v>
      </c>
      <c r="AC413" s="3" t="n">
        <v>1</v>
      </c>
      <c r="AD413" s="3" t="n">
        <v>2</v>
      </c>
      <c r="AE413" s="3" t="n">
        <v>1</v>
      </c>
      <c r="AF413" s="3" t="n">
        <v>1</v>
      </c>
      <c r="AG413" s="3" t="n">
        <v>2</v>
      </c>
      <c r="AH413" s="3" t="n">
        <v>2</v>
      </c>
      <c r="AI413" s="3" t="n">
        <v>1</v>
      </c>
      <c r="AJ413" s="3" t="n">
        <v>2</v>
      </c>
      <c r="AK413" s="3" t="n">
        <v>2</v>
      </c>
      <c r="AL413" s="3" t="n">
        <v>2</v>
      </c>
      <c r="AM413" s="3" t="n">
        <v>2</v>
      </c>
      <c r="AN413" s="3" t="n">
        <v>2</v>
      </c>
      <c r="AO413" s="3" t="n">
        <v>2</v>
      </c>
      <c r="AP413" s="3" t="n">
        <v>3</v>
      </c>
      <c r="AQ413" s="3" t="n">
        <v>4</v>
      </c>
      <c r="AR413" s="3" t="n">
        <v>4</v>
      </c>
      <c r="AS413" s="3" t="n">
        <v>6</v>
      </c>
      <c r="AT413" s="3" t="n">
        <v>4</v>
      </c>
      <c r="AU413" s="3" t="n">
        <v>4</v>
      </c>
      <c r="AV413" s="3" t="n">
        <v>6</v>
      </c>
      <c r="AW413" s="3" t="n">
        <v>6</v>
      </c>
      <c r="AX413" s="3" t="n">
        <v>3</v>
      </c>
      <c r="AY413" s="3" t="n">
        <v>3</v>
      </c>
      <c r="AZ413" s="3" t="n">
        <v>1</v>
      </c>
      <c r="BA413" s="5" t="n">
        <v>1</v>
      </c>
      <c r="BB413" s="3" t="n">
        <v>1</v>
      </c>
      <c r="BC413" s="3" t="n">
        <v>1</v>
      </c>
      <c r="BD413" s="3" t="n">
        <v>3</v>
      </c>
      <c r="BE413" s="3" t="n">
        <v>3</v>
      </c>
      <c r="BF413" s="3" t="n">
        <v>5</v>
      </c>
      <c r="BG413" s="3" t="n">
        <v>3</v>
      </c>
      <c r="BH413" s="3" t="n">
        <v>4</v>
      </c>
      <c r="BI413" s="3" t="n">
        <v>1</v>
      </c>
      <c r="BJ413" s="3" t="n">
        <v>1</v>
      </c>
    </row>
    <row r="414" customFormat="false" ht="12.75" hidden="false" customHeight="false" outlineLevel="0" collapsed="false">
      <c r="B414" s="2" t="s">
        <v>3189</v>
      </c>
      <c r="C414" s="2" t="s">
        <v>438</v>
      </c>
      <c r="D414" s="2" t="s">
        <v>95</v>
      </c>
      <c r="E414" s="2" t="n">
        <v>214279</v>
      </c>
      <c r="F414" s="15" t="n">
        <v>44362</v>
      </c>
      <c r="G414" s="15" t="n">
        <v>44369</v>
      </c>
      <c r="H414" s="3" t="n">
        <v>7</v>
      </c>
      <c r="I414" s="3" t="n">
        <v>1</v>
      </c>
      <c r="J414" s="3" t="n">
        <v>90</v>
      </c>
      <c r="K414" s="3" t="n">
        <v>1</v>
      </c>
      <c r="L414" s="3" t="n">
        <v>2</v>
      </c>
      <c r="M414" s="3" t="n">
        <v>1</v>
      </c>
      <c r="N414" s="3" t="n">
        <v>2</v>
      </c>
      <c r="O414" s="3" t="n">
        <v>2</v>
      </c>
      <c r="P414" s="3" t="n">
        <v>2</v>
      </c>
      <c r="Q414" s="3" t="n">
        <v>1</v>
      </c>
      <c r="R414" s="3" t="n">
        <v>2</v>
      </c>
      <c r="S414" s="3" t="n">
        <v>1</v>
      </c>
      <c r="T414" s="4" t="n">
        <v>2</v>
      </c>
      <c r="U414" s="3" t="n">
        <v>2</v>
      </c>
      <c r="V414" s="3" t="n">
        <v>2.7</v>
      </c>
      <c r="W414" s="3" t="n">
        <v>1.11</v>
      </c>
      <c r="X414" s="3" t="n">
        <v>12.48</v>
      </c>
      <c r="Y414" s="3" t="n">
        <v>521</v>
      </c>
      <c r="AA414" s="3" t="n">
        <v>0.31</v>
      </c>
      <c r="AB414" s="3" t="n">
        <v>16.2</v>
      </c>
      <c r="AC414" s="3" t="n">
        <v>1</v>
      </c>
      <c r="AD414" s="3" t="n">
        <v>2</v>
      </c>
      <c r="AE414" s="3" t="n">
        <v>2</v>
      </c>
      <c r="AF414" s="3" t="n">
        <v>1</v>
      </c>
      <c r="AG414" s="3" t="n">
        <v>2</v>
      </c>
      <c r="AH414" s="3" t="n">
        <v>1</v>
      </c>
      <c r="AI414" s="3" t="n">
        <v>1</v>
      </c>
      <c r="AJ414" s="3" t="n">
        <v>1</v>
      </c>
      <c r="AK414" s="3" t="n">
        <v>1</v>
      </c>
      <c r="AL414" s="3" t="n">
        <v>2</v>
      </c>
      <c r="AM414" s="3" t="n">
        <v>2</v>
      </c>
      <c r="AN414" s="3" t="n">
        <v>2</v>
      </c>
      <c r="AO414" s="3" t="n">
        <v>2</v>
      </c>
      <c r="AP414" s="3" t="n">
        <v>3</v>
      </c>
      <c r="AQ414" s="3" t="n">
        <v>4</v>
      </c>
      <c r="AR414" s="3" t="n">
        <v>4</v>
      </c>
      <c r="AS414" s="3" t="n">
        <v>6</v>
      </c>
      <c r="AT414" s="3" t="n">
        <v>4</v>
      </c>
      <c r="AU414" s="3" t="n">
        <v>4</v>
      </c>
      <c r="AV414" s="3" t="n">
        <v>6</v>
      </c>
      <c r="AW414" s="3" t="n">
        <v>6</v>
      </c>
      <c r="AX414" s="3" t="n">
        <v>3</v>
      </c>
      <c r="AY414" s="3" t="n">
        <v>3</v>
      </c>
      <c r="AZ414" s="3" t="n">
        <v>1</v>
      </c>
      <c r="BA414" s="5" t="n">
        <v>1</v>
      </c>
      <c r="BB414" s="3" t="n">
        <v>1</v>
      </c>
      <c r="BC414" s="3" t="n">
        <v>1</v>
      </c>
      <c r="BD414" s="3" t="n">
        <v>2</v>
      </c>
      <c r="BE414" s="3" t="n">
        <v>1</v>
      </c>
      <c r="BF414" s="3" t="n">
        <v>2</v>
      </c>
      <c r="BG414" s="3" t="n">
        <v>1</v>
      </c>
      <c r="BH414" s="3" t="n">
        <v>4</v>
      </c>
      <c r="BI414" s="3" t="n">
        <v>1</v>
      </c>
      <c r="BJ414" s="3" t="n">
        <v>1</v>
      </c>
    </row>
    <row r="415" customFormat="false" ht="12.75" hidden="false" customHeight="false" outlineLevel="0" collapsed="false">
      <c r="B415" s="2" t="s">
        <v>3225</v>
      </c>
      <c r="C415" s="2" t="s">
        <v>3226</v>
      </c>
      <c r="D415" s="2" t="s">
        <v>1384</v>
      </c>
      <c r="E415" s="2" t="n">
        <v>214763</v>
      </c>
      <c r="F415" s="15" t="n">
        <v>44359</v>
      </c>
      <c r="G415" s="15" t="n">
        <v>44368</v>
      </c>
      <c r="H415" s="3" t="n">
        <v>9</v>
      </c>
      <c r="I415" s="3" t="n">
        <v>2</v>
      </c>
      <c r="J415" s="3" t="n">
        <v>87</v>
      </c>
      <c r="K415" s="3" t="n">
        <v>1</v>
      </c>
      <c r="L415" s="3" t="n">
        <v>1</v>
      </c>
      <c r="M415" s="3" t="n">
        <v>2</v>
      </c>
      <c r="N415" s="3" t="n">
        <v>2</v>
      </c>
      <c r="O415" s="3" t="n">
        <v>2</v>
      </c>
      <c r="P415" s="3" t="n">
        <v>2</v>
      </c>
      <c r="Q415" s="3" t="n">
        <v>2</v>
      </c>
      <c r="R415" s="3" t="n">
        <v>2</v>
      </c>
      <c r="S415" s="3" t="n">
        <v>1</v>
      </c>
      <c r="T415" s="4" t="n">
        <v>2</v>
      </c>
      <c r="U415" s="3" t="n">
        <v>2</v>
      </c>
      <c r="V415" s="3" t="n">
        <v>3.3</v>
      </c>
      <c r="W415" s="3" t="n">
        <v>1.13</v>
      </c>
      <c r="X415" s="3" t="n">
        <v>6.92</v>
      </c>
      <c r="Y415" s="3" t="n">
        <v>243</v>
      </c>
      <c r="AA415" s="3" t="n">
        <v>0.5</v>
      </c>
      <c r="AB415" s="3" t="n">
        <v>11.4</v>
      </c>
      <c r="AC415" s="3" t="n">
        <v>2</v>
      </c>
      <c r="AD415" s="3" t="n">
        <v>2</v>
      </c>
      <c r="AE415" s="3" t="n">
        <v>1</v>
      </c>
      <c r="AF415" s="3" t="n">
        <v>1</v>
      </c>
      <c r="AG415" s="3" t="n">
        <v>2</v>
      </c>
      <c r="AH415" s="3" t="n">
        <v>2</v>
      </c>
      <c r="AI415" s="3" t="n">
        <v>2</v>
      </c>
      <c r="AJ415" s="3" t="n">
        <v>1</v>
      </c>
      <c r="AK415" s="3" t="n">
        <v>2</v>
      </c>
      <c r="AL415" s="3" t="n">
        <v>2</v>
      </c>
      <c r="AM415" s="3" t="n">
        <v>2</v>
      </c>
      <c r="AN415" s="3" t="n">
        <v>2</v>
      </c>
      <c r="AO415" s="3" t="n">
        <v>2</v>
      </c>
      <c r="AP415" s="3" t="n">
        <v>3</v>
      </c>
      <c r="AQ415" s="3" t="n">
        <v>4</v>
      </c>
      <c r="AR415" s="3" t="n">
        <v>4</v>
      </c>
      <c r="AS415" s="3" t="n">
        <v>6</v>
      </c>
      <c r="AT415" s="3" t="n">
        <v>4</v>
      </c>
      <c r="AU415" s="3" t="n">
        <v>4</v>
      </c>
      <c r="AV415" s="3" t="n">
        <v>6</v>
      </c>
      <c r="AW415" s="3" t="n">
        <v>6</v>
      </c>
      <c r="AX415" s="3" t="n">
        <v>3</v>
      </c>
      <c r="AY415" s="3" t="n">
        <v>3</v>
      </c>
      <c r="AZ415" s="3" t="n">
        <v>1</v>
      </c>
      <c r="BA415" s="5" t="n">
        <v>1</v>
      </c>
      <c r="BB415" s="3" t="n">
        <v>1</v>
      </c>
      <c r="BC415" s="3" t="n">
        <v>1</v>
      </c>
      <c r="BD415" s="3" t="n">
        <v>2</v>
      </c>
      <c r="BE415" s="3" t="n">
        <v>3</v>
      </c>
      <c r="BF415" s="3" t="n">
        <v>5</v>
      </c>
      <c r="BG415" s="3" t="n">
        <v>3</v>
      </c>
      <c r="BH415" s="3" t="n">
        <v>4</v>
      </c>
      <c r="BI415" s="3" t="n">
        <v>1</v>
      </c>
      <c r="BJ415" s="3" t="n">
        <v>1</v>
      </c>
    </row>
    <row r="416" customFormat="false" ht="12.75" hidden="false" customHeight="false" outlineLevel="0" collapsed="false">
      <c r="B416" s="2" t="s">
        <v>3234</v>
      </c>
      <c r="C416" s="2" t="s">
        <v>979</v>
      </c>
      <c r="D416" s="2" t="s">
        <v>197</v>
      </c>
      <c r="E416" s="2" t="n">
        <v>215298</v>
      </c>
      <c r="F416" s="15" t="n">
        <v>44365</v>
      </c>
      <c r="G416" s="15" t="n">
        <v>44372</v>
      </c>
      <c r="H416" s="3" t="n">
        <v>7</v>
      </c>
      <c r="I416" s="3" t="n">
        <v>2</v>
      </c>
      <c r="J416" s="3" t="n">
        <v>54</v>
      </c>
      <c r="K416" s="3" t="n">
        <v>2</v>
      </c>
      <c r="L416" s="3" t="n">
        <v>1</v>
      </c>
      <c r="M416" s="3" t="n">
        <v>1</v>
      </c>
      <c r="N416" s="3" t="n">
        <v>2</v>
      </c>
      <c r="O416" s="3" t="n">
        <v>2</v>
      </c>
      <c r="P416" s="3" t="n">
        <v>2</v>
      </c>
      <c r="Q416" s="3" t="n">
        <v>2</v>
      </c>
      <c r="R416" s="3" t="n">
        <v>2</v>
      </c>
      <c r="S416" s="3" t="n">
        <v>2</v>
      </c>
      <c r="T416" s="4" t="n">
        <v>1</v>
      </c>
      <c r="U416" s="3" t="n">
        <v>1</v>
      </c>
      <c r="V416" s="3" t="n">
        <v>4.94</v>
      </c>
      <c r="W416" s="3" t="n">
        <v>2.57</v>
      </c>
      <c r="X416" s="3" t="n">
        <v>4.42</v>
      </c>
      <c r="Y416" s="3" t="n">
        <v>483</v>
      </c>
      <c r="AA416" s="3"/>
      <c r="AB416" s="3" t="n">
        <v>26.4</v>
      </c>
      <c r="AC416" s="3" t="n">
        <v>1</v>
      </c>
      <c r="AD416" s="3" t="n">
        <v>2</v>
      </c>
      <c r="AE416" s="3" t="n">
        <v>2</v>
      </c>
      <c r="AF416" s="3" t="n">
        <v>1</v>
      </c>
      <c r="AG416" s="3" t="n">
        <v>2</v>
      </c>
      <c r="AH416" s="3" t="n">
        <v>1</v>
      </c>
      <c r="AI416" s="3" t="n">
        <v>1</v>
      </c>
      <c r="AJ416" s="3" t="n">
        <v>2</v>
      </c>
      <c r="AK416" s="3" t="n">
        <v>2</v>
      </c>
      <c r="AL416" s="3" t="n">
        <v>2</v>
      </c>
      <c r="AM416" s="3" t="n">
        <v>2</v>
      </c>
      <c r="AN416" s="3" t="n">
        <v>2</v>
      </c>
      <c r="AO416" s="3" t="n">
        <v>2</v>
      </c>
      <c r="AP416" s="3" t="n">
        <v>3</v>
      </c>
      <c r="AQ416" s="3" t="n">
        <v>4</v>
      </c>
      <c r="AR416" s="3" t="n">
        <v>4</v>
      </c>
      <c r="AS416" s="3" t="n">
        <v>6</v>
      </c>
      <c r="AT416" s="3" t="n">
        <v>4</v>
      </c>
      <c r="AU416" s="3" t="n">
        <v>4</v>
      </c>
      <c r="AV416" s="3" t="n">
        <v>6</v>
      </c>
      <c r="AW416" s="3" t="n">
        <v>6</v>
      </c>
      <c r="AX416" s="3" t="n">
        <v>3</v>
      </c>
      <c r="AY416" s="3" t="n">
        <v>3</v>
      </c>
      <c r="AZ416" s="3" t="n">
        <v>1</v>
      </c>
      <c r="BA416" s="5" t="n">
        <v>1</v>
      </c>
      <c r="BB416" s="3" t="n">
        <v>1</v>
      </c>
      <c r="BC416" s="3" t="n">
        <v>1</v>
      </c>
      <c r="BD416" s="3" t="n">
        <v>2</v>
      </c>
      <c r="BE416" s="3" t="n">
        <v>1</v>
      </c>
      <c r="BF416" s="3" t="n">
        <v>2</v>
      </c>
      <c r="BG416" s="3" t="n">
        <v>1</v>
      </c>
      <c r="BH416" s="3" t="n">
        <v>4</v>
      </c>
      <c r="BI416" s="3" t="n">
        <v>1</v>
      </c>
      <c r="BJ416" s="3" t="n">
        <v>1</v>
      </c>
    </row>
    <row r="417" customFormat="false" ht="12.75" hidden="false" customHeight="false" outlineLevel="0" collapsed="false">
      <c r="B417" s="2" t="s">
        <v>3238</v>
      </c>
      <c r="C417" s="2" t="s">
        <v>3239</v>
      </c>
      <c r="D417" s="2" t="s">
        <v>3240</v>
      </c>
      <c r="E417" s="2" t="n">
        <v>215490</v>
      </c>
      <c r="F417" s="15" t="n">
        <v>44368</v>
      </c>
      <c r="G417" s="15" t="n">
        <v>44375</v>
      </c>
      <c r="H417" s="3" t="n">
        <v>7</v>
      </c>
      <c r="I417" s="3" t="n">
        <v>2</v>
      </c>
      <c r="J417" s="3" t="n">
        <v>34</v>
      </c>
      <c r="K417" s="3" t="n">
        <v>3</v>
      </c>
      <c r="L417" s="3" t="n">
        <v>1</v>
      </c>
      <c r="M417" s="3" t="n">
        <v>2</v>
      </c>
      <c r="N417" s="3" t="n">
        <v>2</v>
      </c>
      <c r="O417" s="3" t="n">
        <v>2</v>
      </c>
      <c r="P417" s="3" t="n">
        <v>2</v>
      </c>
      <c r="Q417" s="3" t="n">
        <v>2</v>
      </c>
      <c r="R417" s="3" t="n">
        <v>2</v>
      </c>
      <c r="S417" s="3" t="n">
        <v>2</v>
      </c>
      <c r="T417" s="4" t="n">
        <v>2</v>
      </c>
      <c r="U417" s="3" t="n">
        <v>2</v>
      </c>
      <c r="V417" s="3" t="n">
        <v>6.83</v>
      </c>
      <c r="W417" s="3" t="n">
        <v>2.38</v>
      </c>
      <c r="X417" s="3" t="n">
        <v>7.11</v>
      </c>
      <c r="Y417" s="3" t="n">
        <v>564</v>
      </c>
      <c r="AA417" s="3" t="n">
        <v>0.44</v>
      </c>
      <c r="AB417" s="3" t="n">
        <v>18.9</v>
      </c>
      <c r="AC417" s="3" t="n">
        <v>1</v>
      </c>
      <c r="AD417" s="3" t="n">
        <v>2</v>
      </c>
      <c r="AE417" s="3" t="n">
        <v>2</v>
      </c>
      <c r="AF417" s="3" t="n">
        <v>1</v>
      </c>
      <c r="AG417" s="3" t="n">
        <v>2</v>
      </c>
      <c r="AH417" s="3" t="n">
        <v>2</v>
      </c>
      <c r="AI417" s="3" t="n">
        <v>1</v>
      </c>
      <c r="AJ417" s="3" t="n">
        <v>2</v>
      </c>
      <c r="AK417" s="3" t="n">
        <v>2</v>
      </c>
      <c r="AL417" s="3" t="n">
        <v>2</v>
      </c>
      <c r="AM417" s="3" t="n">
        <v>2</v>
      </c>
      <c r="AN417" s="3" t="n">
        <v>2</v>
      </c>
      <c r="AO417" s="3" t="n">
        <v>2</v>
      </c>
      <c r="AP417" s="3" t="n">
        <v>3</v>
      </c>
      <c r="AQ417" s="3" t="n">
        <v>4</v>
      </c>
      <c r="AR417" s="3" t="n">
        <v>4</v>
      </c>
      <c r="AS417" s="3" t="n">
        <v>6</v>
      </c>
      <c r="AT417" s="3" t="n">
        <v>4</v>
      </c>
      <c r="AU417" s="3" t="n">
        <v>4</v>
      </c>
      <c r="AV417" s="3" t="n">
        <v>6</v>
      </c>
      <c r="AW417" s="3" t="n">
        <v>6</v>
      </c>
      <c r="AX417" s="3" t="n">
        <v>3</v>
      </c>
      <c r="AY417" s="3" t="n">
        <v>3</v>
      </c>
      <c r="AZ417" s="3" t="n">
        <v>1</v>
      </c>
      <c r="BA417" s="5" t="n">
        <v>1</v>
      </c>
      <c r="BB417" s="3" t="n">
        <v>1</v>
      </c>
      <c r="BC417" s="3" t="n">
        <v>1</v>
      </c>
      <c r="BD417" s="3" t="n">
        <v>3</v>
      </c>
      <c r="BE417" s="3" t="n">
        <v>1</v>
      </c>
      <c r="BF417" s="3" t="n">
        <v>2</v>
      </c>
      <c r="BG417" s="3" t="n">
        <v>1</v>
      </c>
      <c r="BH417" s="3" t="n">
        <v>4</v>
      </c>
      <c r="BI417" s="3" t="n">
        <v>1</v>
      </c>
      <c r="BJ417" s="3" t="n">
        <v>1</v>
      </c>
    </row>
    <row r="418" customFormat="false" ht="12.75" hidden="false" customHeight="false" outlineLevel="0" collapsed="false">
      <c r="B418" s="2" t="s">
        <v>3242</v>
      </c>
      <c r="C418" s="2" t="s">
        <v>1207</v>
      </c>
      <c r="D418" s="2" t="s">
        <v>3243</v>
      </c>
      <c r="E418" s="2" t="n">
        <v>215456</v>
      </c>
      <c r="F418" s="15" t="n">
        <v>44368</v>
      </c>
      <c r="G418" s="15" t="n">
        <v>44375</v>
      </c>
      <c r="H418" s="3" t="n">
        <v>7</v>
      </c>
      <c r="I418" s="3" t="n">
        <v>1</v>
      </c>
      <c r="J418" s="3" t="n">
        <v>72</v>
      </c>
      <c r="K418" s="3" t="n">
        <v>1</v>
      </c>
      <c r="L418" s="3" t="n">
        <v>1</v>
      </c>
      <c r="M418" s="3" t="n">
        <v>1</v>
      </c>
      <c r="N418" s="3" t="n">
        <v>1</v>
      </c>
      <c r="O418" s="3" t="n">
        <v>2</v>
      </c>
      <c r="P418" s="3" t="n">
        <v>2</v>
      </c>
      <c r="Q418" s="3" t="n">
        <v>2</v>
      </c>
      <c r="R418" s="3" t="n">
        <v>2</v>
      </c>
      <c r="S418" s="3" t="n">
        <v>2</v>
      </c>
      <c r="T418" s="4" t="n">
        <v>2</v>
      </c>
      <c r="U418" s="3" t="n">
        <v>2</v>
      </c>
      <c r="V418" s="3" t="n">
        <v>5.97</v>
      </c>
      <c r="W418" s="3" t="n">
        <v>2.35</v>
      </c>
      <c r="X418" s="3" t="n">
        <v>6.06</v>
      </c>
      <c r="Y418" s="3" t="n">
        <v>261</v>
      </c>
      <c r="AA418" s="3" t="n">
        <v>0.39</v>
      </c>
      <c r="AB418" s="3" t="n">
        <v>6.3</v>
      </c>
      <c r="AC418" s="3" t="n">
        <v>1</v>
      </c>
      <c r="AD418" s="3" t="n">
        <v>1</v>
      </c>
      <c r="AE418" s="3" t="n">
        <v>2</v>
      </c>
      <c r="AF418" s="3" t="n">
        <v>1</v>
      </c>
      <c r="AG418" s="3" t="n">
        <v>2</v>
      </c>
      <c r="AH418" s="3" t="n">
        <v>1</v>
      </c>
      <c r="AI418" s="3" t="n">
        <v>1</v>
      </c>
      <c r="AJ418" s="3" t="n">
        <v>2</v>
      </c>
      <c r="AK418" s="3" t="n">
        <v>2</v>
      </c>
      <c r="AL418" s="3" t="n">
        <v>2</v>
      </c>
      <c r="AM418" s="3" t="n">
        <v>2</v>
      </c>
      <c r="AN418" s="3" t="n">
        <v>2</v>
      </c>
      <c r="AO418" s="3" t="n">
        <v>2</v>
      </c>
      <c r="AP418" s="3" t="n">
        <v>3</v>
      </c>
      <c r="AQ418" s="3" t="n">
        <v>4</v>
      </c>
      <c r="AR418" s="3" t="n">
        <v>4</v>
      </c>
      <c r="AS418" s="3" t="n">
        <v>6</v>
      </c>
      <c r="AT418" s="3" t="n">
        <v>4</v>
      </c>
      <c r="AU418" s="3" t="n">
        <v>4</v>
      </c>
      <c r="AV418" s="3" t="n">
        <v>6</v>
      </c>
      <c r="AW418" s="3" t="n">
        <v>6</v>
      </c>
      <c r="AX418" s="3" t="n">
        <v>3</v>
      </c>
      <c r="AY418" s="3" t="n">
        <v>3</v>
      </c>
      <c r="AZ418" s="3" t="n">
        <v>1</v>
      </c>
      <c r="BA418" s="5" t="n">
        <v>1</v>
      </c>
      <c r="BB418" s="3" t="n">
        <v>1</v>
      </c>
      <c r="BC418" s="3" t="n">
        <v>1</v>
      </c>
      <c r="BD418" s="3" t="n">
        <v>2</v>
      </c>
      <c r="BE418" s="3" t="n">
        <v>1</v>
      </c>
      <c r="BF418" s="3" t="n">
        <v>2</v>
      </c>
      <c r="BG418" s="3" t="n">
        <v>1</v>
      </c>
      <c r="BH418" s="3" t="n">
        <v>4</v>
      </c>
      <c r="BI418" s="3" t="n">
        <v>1</v>
      </c>
      <c r="BJ418" s="3" t="n">
        <v>1</v>
      </c>
    </row>
    <row r="419" customFormat="false" ht="12.75" hidden="false" customHeight="false" outlineLevel="0" collapsed="false">
      <c r="B419" s="2" t="s">
        <v>2284</v>
      </c>
      <c r="C419" s="2" t="s">
        <v>2285</v>
      </c>
      <c r="D419" s="2" t="s">
        <v>2563</v>
      </c>
      <c r="E419" s="2" t="n">
        <v>215348</v>
      </c>
      <c r="F419" s="15" t="n">
        <v>44370</v>
      </c>
      <c r="G419" s="15" t="n">
        <v>44377</v>
      </c>
      <c r="H419" s="3" t="n">
        <v>7</v>
      </c>
      <c r="I419" s="3" t="n">
        <v>1</v>
      </c>
      <c r="J419" s="3" t="n">
        <v>57</v>
      </c>
      <c r="K419" s="3" t="n">
        <v>2</v>
      </c>
      <c r="L419" s="3" t="n">
        <v>1</v>
      </c>
      <c r="M419" s="3" t="n">
        <v>1</v>
      </c>
      <c r="N419" s="3" t="n">
        <v>2</v>
      </c>
      <c r="O419" s="3" t="n">
        <v>2</v>
      </c>
      <c r="P419" s="3" t="n">
        <v>2</v>
      </c>
      <c r="Q419" s="3" t="n">
        <v>1</v>
      </c>
      <c r="R419" s="3" t="n">
        <v>2</v>
      </c>
      <c r="S419" s="3" t="n">
        <v>1</v>
      </c>
      <c r="T419" s="4" t="n">
        <v>1</v>
      </c>
      <c r="U419" s="3" t="n">
        <v>1</v>
      </c>
      <c r="V419" s="3" t="n">
        <v>4.63</v>
      </c>
      <c r="W419" s="3" t="n">
        <v>1.35</v>
      </c>
      <c r="X419" s="3" t="n">
        <v>5.3</v>
      </c>
      <c r="Y419" s="3" t="n">
        <v>403</v>
      </c>
      <c r="AA419" s="3" t="n">
        <v>0.5</v>
      </c>
      <c r="AB419" s="3" t="n">
        <v>11.8</v>
      </c>
      <c r="AC419" s="3" t="n">
        <v>1</v>
      </c>
      <c r="AD419" s="3" t="n">
        <v>1</v>
      </c>
      <c r="AE419" s="3" t="n">
        <v>2</v>
      </c>
      <c r="AF419" s="3" t="n">
        <v>1</v>
      </c>
      <c r="AG419" s="3" t="n">
        <v>2</v>
      </c>
      <c r="AH419" s="3" t="n">
        <v>1</v>
      </c>
      <c r="AI419" s="3" t="n">
        <v>1</v>
      </c>
      <c r="AJ419" s="3" t="n">
        <v>1</v>
      </c>
      <c r="AK419" s="3" t="n">
        <v>2</v>
      </c>
      <c r="AL419" s="3" t="n">
        <v>2</v>
      </c>
      <c r="AM419" s="3" t="n">
        <v>2</v>
      </c>
      <c r="AN419" s="3" t="n">
        <v>2</v>
      </c>
      <c r="AO419" s="3" t="n">
        <v>2</v>
      </c>
      <c r="AP419" s="3" t="n">
        <v>3</v>
      </c>
      <c r="AQ419" s="3" t="n">
        <v>4</v>
      </c>
      <c r="AR419" s="3" t="n">
        <v>4</v>
      </c>
      <c r="AS419" s="3" t="n">
        <v>6</v>
      </c>
      <c r="AT419" s="3" t="n">
        <v>4</v>
      </c>
      <c r="AU419" s="3" t="n">
        <v>4</v>
      </c>
      <c r="AV419" s="3" t="n">
        <v>6</v>
      </c>
      <c r="AW419" s="3" t="n">
        <v>6</v>
      </c>
      <c r="AX419" s="3" t="n">
        <v>3</v>
      </c>
      <c r="AY419" s="3" t="n">
        <v>3</v>
      </c>
      <c r="AZ419" s="3" t="n">
        <v>1</v>
      </c>
      <c r="BA419" s="5" t="n">
        <v>1</v>
      </c>
      <c r="BB419" s="3" t="n">
        <v>1</v>
      </c>
      <c r="BC419" s="3" t="n">
        <v>1</v>
      </c>
      <c r="BD419" s="3" t="n">
        <v>4</v>
      </c>
      <c r="BE419" s="3" t="n">
        <v>3</v>
      </c>
      <c r="BF419" s="3" t="n">
        <v>5</v>
      </c>
      <c r="BG419" s="3" t="n">
        <v>3</v>
      </c>
      <c r="BH419" s="3" t="n">
        <v>4</v>
      </c>
      <c r="BI419" s="3" t="n">
        <v>1</v>
      </c>
      <c r="BJ419" s="3" t="n">
        <v>1</v>
      </c>
    </row>
    <row r="420" customFormat="false" ht="12.75" hidden="false" customHeight="false" outlineLevel="0" collapsed="false">
      <c r="B420" s="2" t="s">
        <v>3248</v>
      </c>
      <c r="C420" s="2" t="s">
        <v>3249</v>
      </c>
      <c r="D420" s="2" t="s">
        <v>78</v>
      </c>
      <c r="E420" s="2" t="n">
        <v>215547</v>
      </c>
      <c r="F420" s="15" t="n">
        <v>44372</v>
      </c>
      <c r="G420" s="15" t="n">
        <v>44378</v>
      </c>
      <c r="H420" s="3" t="n">
        <v>6</v>
      </c>
      <c r="I420" s="3" t="n">
        <v>1</v>
      </c>
      <c r="J420" s="3" t="n">
        <v>25</v>
      </c>
      <c r="K420" s="3" t="n">
        <v>1</v>
      </c>
      <c r="L420" s="3" t="n">
        <v>1</v>
      </c>
      <c r="M420" s="3" t="n">
        <v>1</v>
      </c>
      <c r="N420" s="3" t="n">
        <v>2</v>
      </c>
      <c r="O420" s="3" t="n">
        <v>2</v>
      </c>
      <c r="P420" s="3" t="n">
        <v>1</v>
      </c>
      <c r="Q420" s="3" t="n">
        <v>1</v>
      </c>
      <c r="R420" s="3" t="n">
        <v>2</v>
      </c>
      <c r="S420" s="3" t="n">
        <v>2</v>
      </c>
      <c r="T420" s="4" t="n">
        <v>2</v>
      </c>
      <c r="U420" s="3" t="n">
        <v>2</v>
      </c>
      <c r="V420" s="3" t="n">
        <v>4.63</v>
      </c>
      <c r="W420" s="3" t="n">
        <v>2.02</v>
      </c>
      <c r="X420" s="3" t="n">
        <v>7.65</v>
      </c>
      <c r="Y420" s="3" t="n">
        <v>426</v>
      </c>
      <c r="AA420" s="3" t="n">
        <v>0.5</v>
      </c>
      <c r="AB420" s="3" t="n">
        <v>15.2</v>
      </c>
      <c r="AC420" s="3" t="n">
        <v>1</v>
      </c>
      <c r="AD420" s="3" t="n">
        <v>2</v>
      </c>
      <c r="AE420" s="3" t="n">
        <v>2</v>
      </c>
      <c r="AF420" s="3" t="n">
        <v>1</v>
      </c>
      <c r="AG420" s="3" t="n">
        <v>2</v>
      </c>
      <c r="AH420" s="3" t="n">
        <v>2</v>
      </c>
      <c r="AI420" s="3" t="n">
        <v>1</v>
      </c>
      <c r="AJ420" s="3" t="n">
        <v>2</v>
      </c>
      <c r="AK420" s="3" t="n">
        <v>2</v>
      </c>
      <c r="AL420" s="3" t="n">
        <v>2</v>
      </c>
      <c r="AM420" s="3" t="n">
        <v>1</v>
      </c>
      <c r="AN420" s="3" t="n">
        <v>2</v>
      </c>
      <c r="AO420" s="3" t="n">
        <v>2</v>
      </c>
      <c r="AP420" s="3" t="n">
        <v>3</v>
      </c>
      <c r="AQ420" s="3" t="n">
        <v>4</v>
      </c>
      <c r="AR420" s="3" t="n">
        <v>4</v>
      </c>
      <c r="AS420" s="3" t="n">
        <v>6</v>
      </c>
      <c r="AT420" s="3" t="n">
        <v>4</v>
      </c>
      <c r="AU420" s="3" t="n">
        <v>4</v>
      </c>
      <c r="AV420" s="3" t="n">
        <v>6</v>
      </c>
      <c r="AW420" s="3" t="n">
        <v>6</v>
      </c>
      <c r="AX420" s="3" t="n">
        <v>3</v>
      </c>
      <c r="AY420" s="3" t="n">
        <v>3</v>
      </c>
      <c r="AZ420" s="3" t="n">
        <v>1</v>
      </c>
      <c r="BA420" s="5" t="n">
        <v>1</v>
      </c>
      <c r="BB420" s="3" t="n">
        <v>1</v>
      </c>
      <c r="BC420" s="3" t="n">
        <v>1</v>
      </c>
      <c r="BD420" s="3" t="n">
        <v>4</v>
      </c>
      <c r="BE420" s="3" t="n">
        <v>1</v>
      </c>
      <c r="BF420" s="3" t="n">
        <v>2</v>
      </c>
      <c r="BG420" s="3" t="n">
        <v>1</v>
      </c>
      <c r="BH420" s="3" t="n">
        <v>4</v>
      </c>
      <c r="BI420" s="3" t="n">
        <v>1</v>
      </c>
      <c r="BJ420" s="3" t="n">
        <v>1</v>
      </c>
    </row>
    <row r="421" customFormat="false" ht="12.75" hidden="false" customHeight="false" outlineLevel="0" collapsed="false">
      <c r="B421" s="2" t="s">
        <v>1890</v>
      </c>
      <c r="C421" s="2" t="s">
        <v>127</v>
      </c>
      <c r="D421" s="2" t="s">
        <v>2584</v>
      </c>
      <c r="E421" s="2" t="n">
        <v>215518</v>
      </c>
      <c r="F421" s="15" t="n">
        <v>44373</v>
      </c>
      <c r="G421" s="15" t="n">
        <v>44379</v>
      </c>
      <c r="H421" s="3" t="n">
        <v>6</v>
      </c>
      <c r="I421" s="3" t="n">
        <v>2</v>
      </c>
      <c r="J421" s="3" t="n">
        <v>65</v>
      </c>
      <c r="K421" s="3" t="n">
        <v>3</v>
      </c>
      <c r="L421" s="3" t="n">
        <v>1</v>
      </c>
      <c r="M421" s="3" t="n">
        <v>2</v>
      </c>
      <c r="N421" s="3" t="n">
        <v>2</v>
      </c>
      <c r="O421" s="3" t="n">
        <v>2</v>
      </c>
      <c r="P421" s="3" t="n">
        <v>2</v>
      </c>
      <c r="Q421" s="3" t="n">
        <v>2</v>
      </c>
      <c r="R421" s="3" t="n">
        <v>2</v>
      </c>
      <c r="S421" s="3" t="n">
        <v>2</v>
      </c>
      <c r="T421" s="4" t="n">
        <v>2</v>
      </c>
      <c r="U421" s="3" t="n">
        <v>2</v>
      </c>
      <c r="V421" s="3" t="n">
        <v>4.5</v>
      </c>
      <c r="W421" s="3" t="n">
        <v>1.34</v>
      </c>
      <c r="X421" s="3" t="n">
        <v>4.08</v>
      </c>
      <c r="Y421" s="3" t="n">
        <v>338</v>
      </c>
      <c r="AA421" s="3" t="n">
        <v>0.44</v>
      </c>
      <c r="AB421" s="3" t="n">
        <v>12.1</v>
      </c>
      <c r="AC421" s="3" t="n">
        <v>1</v>
      </c>
      <c r="AD421" s="3" t="n">
        <v>2</v>
      </c>
      <c r="AE421" s="3" t="n">
        <v>1</v>
      </c>
      <c r="AF421" s="3" t="n">
        <v>1</v>
      </c>
      <c r="AG421" s="3" t="n">
        <v>2</v>
      </c>
      <c r="AH421" s="3" t="n">
        <v>2</v>
      </c>
      <c r="AI421" s="3" t="n">
        <v>1</v>
      </c>
      <c r="AJ421" s="3" t="n">
        <v>2</v>
      </c>
      <c r="AK421" s="3" t="n">
        <v>2</v>
      </c>
      <c r="AL421" s="3" t="n">
        <v>2</v>
      </c>
      <c r="AM421" s="3" t="n">
        <v>2</v>
      </c>
      <c r="AN421" s="3" t="n">
        <v>2</v>
      </c>
      <c r="AO421" s="3" t="n">
        <v>2</v>
      </c>
      <c r="AP421" s="3" t="n">
        <v>3</v>
      </c>
      <c r="AQ421" s="3" t="n">
        <v>4</v>
      </c>
      <c r="AR421" s="3" t="n">
        <v>4</v>
      </c>
      <c r="AS421" s="3" t="n">
        <v>6</v>
      </c>
      <c r="AT421" s="3" t="n">
        <v>4</v>
      </c>
      <c r="AU421" s="3" t="n">
        <v>4</v>
      </c>
      <c r="AV421" s="3" t="n">
        <v>6</v>
      </c>
      <c r="AW421" s="3" t="n">
        <v>6</v>
      </c>
      <c r="AX421" s="3" t="n">
        <v>3</v>
      </c>
      <c r="AY421" s="3" t="n">
        <v>3</v>
      </c>
      <c r="AZ421" s="3" t="n">
        <v>6</v>
      </c>
      <c r="BA421" s="5" t="n">
        <v>1</v>
      </c>
      <c r="BB421" s="3" t="n">
        <v>1</v>
      </c>
      <c r="BC421" s="3" t="n">
        <v>1</v>
      </c>
      <c r="BD421" s="3" t="n">
        <v>4</v>
      </c>
      <c r="BE421" s="3" t="n">
        <v>1</v>
      </c>
      <c r="BF421" s="3" t="n">
        <v>2</v>
      </c>
      <c r="BG421" s="3" t="n">
        <v>1</v>
      </c>
      <c r="BH421" s="3" t="n">
        <v>4</v>
      </c>
      <c r="BI421" s="3" t="n">
        <v>1</v>
      </c>
      <c r="BJ421" s="3" t="n">
        <v>1</v>
      </c>
    </row>
    <row r="422" customFormat="false" ht="12.75" hidden="false" customHeight="false" outlineLevel="0" collapsed="false">
      <c r="B422" s="2" t="s">
        <v>1901</v>
      </c>
      <c r="C422" s="2" t="s">
        <v>78</v>
      </c>
      <c r="D422" s="2" t="s">
        <v>153</v>
      </c>
      <c r="E422" s="2" t="n">
        <v>215621</v>
      </c>
      <c r="F422" s="15" t="n">
        <v>44376</v>
      </c>
      <c r="G422" s="15" t="n">
        <v>44383</v>
      </c>
      <c r="H422" s="3" t="n">
        <v>7</v>
      </c>
      <c r="I422" s="3" t="n">
        <v>1</v>
      </c>
      <c r="J422" s="3" t="n">
        <v>58</v>
      </c>
      <c r="K422" s="3" t="n">
        <v>1</v>
      </c>
      <c r="L422" s="3" t="n">
        <v>1</v>
      </c>
      <c r="M422" s="3" t="n">
        <v>1</v>
      </c>
      <c r="N422" s="3" t="n">
        <v>2</v>
      </c>
      <c r="O422" s="3" t="n">
        <v>1</v>
      </c>
      <c r="P422" s="3" t="n">
        <v>1</v>
      </c>
      <c r="Q422" s="3" t="n">
        <v>1</v>
      </c>
      <c r="R422" s="3" t="n">
        <v>1</v>
      </c>
      <c r="S422" s="3" t="n">
        <v>2</v>
      </c>
      <c r="T422" s="4" t="n">
        <v>2</v>
      </c>
      <c r="U422" s="3" t="n">
        <v>2</v>
      </c>
      <c r="V422" s="3" t="n">
        <v>5.36</v>
      </c>
      <c r="W422" s="3" t="n">
        <v>1.61</v>
      </c>
      <c r="X422" s="3" t="n">
        <v>14.71</v>
      </c>
      <c r="Y422" s="3" t="n">
        <v>521</v>
      </c>
      <c r="AA422" s="3" t="n">
        <v>0.45</v>
      </c>
      <c r="AB422" s="3" t="n">
        <v>15</v>
      </c>
      <c r="AC422" s="3" t="n">
        <v>2</v>
      </c>
      <c r="AD422" s="3" t="n">
        <v>2</v>
      </c>
      <c r="AE422" s="3" t="n">
        <v>2</v>
      </c>
      <c r="AF422" s="3" t="n">
        <v>1</v>
      </c>
      <c r="AG422" s="3" t="n">
        <v>2</v>
      </c>
      <c r="AH422" s="3" t="n">
        <v>2</v>
      </c>
      <c r="AI422" s="3" t="n">
        <v>1</v>
      </c>
      <c r="AJ422" s="3" t="n">
        <v>2</v>
      </c>
      <c r="AK422" s="3" t="n">
        <v>1</v>
      </c>
      <c r="AL422" s="3" t="n">
        <v>2</v>
      </c>
      <c r="AM422" s="3" t="n">
        <v>1</v>
      </c>
      <c r="AN422" s="3" t="n">
        <v>2</v>
      </c>
      <c r="AO422" s="3" t="n">
        <v>2</v>
      </c>
      <c r="AP422" s="3" t="n">
        <v>3</v>
      </c>
      <c r="AQ422" s="3" t="n">
        <v>4</v>
      </c>
      <c r="AR422" s="3" t="n">
        <v>4</v>
      </c>
      <c r="AS422" s="3" t="n">
        <v>6</v>
      </c>
      <c r="AT422" s="3" t="n">
        <v>4</v>
      </c>
      <c r="AU422" s="3" t="n">
        <v>4</v>
      </c>
      <c r="AV422" s="3" t="n">
        <v>6</v>
      </c>
      <c r="AW422" s="3" t="n">
        <v>6</v>
      </c>
      <c r="AX422" s="3" t="n">
        <v>3</v>
      </c>
      <c r="AY422" s="3" t="n">
        <v>3</v>
      </c>
      <c r="AZ422" s="3" t="n">
        <v>4</v>
      </c>
      <c r="BA422" s="5" t="n">
        <v>1</v>
      </c>
      <c r="BB422" s="3" t="n">
        <v>1</v>
      </c>
      <c r="BC422" s="3" t="n">
        <v>1</v>
      </c>
      <c r="BD422" s="3" t="n">
        <v>2</v>
      </c>
      <c r="BE422" s="3" t="n">
        <v>1</v>
      </c>
      <c r="BF422" s="3" t="n">
        <v>2</v>
      </c>
      <c r="BG422" s="3" t="n">
        <v>1</v>
      </c>
      <c r="BH422" s="3" t="n">
        <v>4</v>
      </c>
      <c r="BI422" s="3" t="n">
        <v>1</v>
      </c>
      <c r="BJ422" s="3" t="n">
        <v>1</v>
      </c>
    </row>
    <row r="423" customFormat="false" ht="12.75" hidden="false" customHeight="false" outlineLevel="0" collapsed="false">
      <c r="B423" s="2" t="s">
        <v>3266</v>
      </c>
      <c r="C423" s="2" t="s">
        <v>325</v>
      </c>
      <c r="D423" s="2" t="s">
        <v>2068</v>
      </c>
      <c r="E423" s="2" t="n">
        <v>216048</v>
      </c>
      <c r="F423" s="15" t="n">
        <v>44384</v>
      </c>
      <c r="G423" s="15" t="n">
        <v>44391</v>
      </c>
      <c r="H423" s="3" t="n">
        <v>7</v>
      </c>
      <c r="I423" s="3" t="n">
        <v>2</v>
      </c>
      <c r="J423" s="3" t="n">
        <v>37</v>
      </c>
      <c r="K423" s="3" t="n">
        <v>3</v>
      </c>
      <c r="L423" s="3" t="n">
        <v>1</v>
      </c>
      <c r="M423" s="3" t="n">
        <v>2</v>
      </c>
      <c r="N423" s="3" t="n">
        <v>2</v>
      </c>
      <c r="O423" s="3" t="n">
        <v>2</v>
      </c>
      <c r="P423" s="3" t="n">
        <v>2</v>
      </c>
      <c r="Q423" s="3" t="n">
        <v>2</v>
      </c>
      <c r="R423" s="3" t="n">
        <v>2</v>
      </c>
      <c r="S423" s="3" t="n">
        <v>2</v>
      </c>
      <c r="T423" s="4" t="n">
        <v>2</v>
      </c>
      <c r="U423" s="3" t="n">
        <v>2</v>
      </c>
      <c r="V423" s="3" t="n">
        <v>5.04</v>
      </c>
      <c r="W423" s="3" t="n">
        <v>1.13</v>
      </c>
      <c r="X423" s="3" t="n">
        <v>6.44</v>
      </c>
      <c r="Y423" s="3"/>
      <c r="AA423" s="3" t="n">
        <v>0.46</v>
      </c>
      <c r="AB423" s="3" t="n">
        <v>6.6</v>
      </c>
      <c r="AC423" s="3" t="n">
        <v>1</v>
      </c>
      <c r="AD423" s="3" t="n">
        <v>2</v>
      </c>
      <c r="AE423" s="3" t="n">
        <v>2</v>
      </c>
      <c r="AF423" s="3" t="n">
        <v>1</v>
      </c>
      <c r="AG423" s="3" t="n">
        <v>2</v>
      </c>
      <c r="AH423" s="3" t="n">
        <v>2</v>
      </c>
      <c r="AI423" s="3" t="n">
        <v>1</v>
      </c>
      <c r="AJ423" s="3" t="n">
        <v>2</v>
      </c>
      <c r="AK423" s="3" t="n">
        <v>2</v>
      </c>
      <c r="AL423" s="3" t="n">
        <v>2</v>
      </c>
      <c r="AM423" s="3" t="n">
        <v>1</v>
      </c>
      <c r="AN423" s="3" t="n">
        <v>2</v>
      </c>
      <c r="AO423" s="3" t="n">
        <v>2</v>
      </c>
      <c r="AP423" s="3" t="n">
        <v>3</v>
      </c>
      <c r="AQ423" s="3" t="n">
        <v>4</v>
      </c>
      <c r="AR423" s="3" t="n">
        <v>4</v>
      </c>
      <c r="AS423" s="3" t="n">
        <v>6</v>
      </c>
      <c r="AT423" s="3" t="n">
        <v>4</v>
      </c>
      <c r="AU423" s="3" t="n">
        <v>4</v>
      </c>
      <c r="AV423" s="3" t="n">
        <v>6</v>
      </c>
      <c r="AW423" s="3" t="n">
        <v>6</v>
      </c>
      <c r="AX423" s="3" t="n">
        <v>3</v>
      </c>
      <c r="AY423" s="3" t="n">
        <v>3</v>
      </c>
      <c r="AZ423" s="3" t="n">
        <v>1</v>
      </c>
      <c r="BA423" s="5" t="n">
        <v>1</v>
      </c>
      <c r="BB423" s="3" t="n">
        <v>1</v>
      </c>
      <c r="BC423" s="3" t="n">
        <v>1</v>
      </c>
      <c r="BD423" s="3" t="n">
        <v>2</v>
      </c>
      <c r="BE423" s="3" t="n">
        <v>1</v>
      </c>
      <c r="BF423" s="3" t="n">
        <v>2</v>
      </c>
      <c r="BG423" s="3" t="n">
        <v>1</v>
      </c>
      <c r="BH423" s="3" t="n">
        <v>4</v>
      </c>
      <c r="BI423" s="3" t="n">
        <v>1</v>
      </c>
      <c r="BJ423" s="3" t="n">
        <v>1</v>
      </c>
    </row>
    <row r="424" customFormat="false" ht="12.75" hidden="false" customHeight="false" outlineLevel="0" collapsed="false">
      <c r="B424" s="2" t="s">
        <v>1138</v>
      </c>
      <c r="C424" s="2" t="s">
        <v>2224</v>
      </c>
      <c r="D424" s="2" t="s">
        <v>3271</v>
      </c>
      <c r="E424" s="2" t="n">
        <v>216219</v>
      </c>
      <c r="F424" s="15" t="n">
        <v>44386</v>
      </c>
      <c r="G424" s="15" t="n">
        <v>44395</v>
      </c>
      <c r="H424" s="3" t="n">
        <v>9</v>
      </c>
      <c r="I424" s="3" t="n">
        <v>2</v>
      </c>
      <c r="J424" s="3" t="n">
        <v>51</v>
      </c>
      <c r="K424" s="3" t="n">
        <v>1</v>
      </c>
      <c r="L424" s="3" t="n">
        <v>1</v>
      </c>
      <c r="M424" s="3" t="n">
        <v>2</v>
      </c>
      <c r="N424" s="3" t="n">
        <v>2</v>
      </c>
      <c r="O424" s="3" t="n">
        <v>2</v>
      </c>
      <c r="P424" s="3" t="n">
        <v>2</v>
      </c>
      <c r="Q424" s="3" t="n">
        <v>1</v>
      </c>
      <c r="R424" s="3" t="n">
        <v>2</v>
      </c>
      <c r="S424" s="3" t="n">
        <v>2</v>
      </c>
      <c r="T424" s="4" t="n">
        <v>2</v>
      </c>
      <c r="U424" s="3" t="n">
        <v>2</v>
      </c>
      <c r="V424" s="3" t="n">
        <v>4.65</v>
      </c>
      <c r="W424" s="3" t="n">
        <v>2.18</v>
      </c>
      <c r="X424" s="3" t="n">
        <v>7.86</v>
      </c>
      <c r="Y424" s="3" t="n">
        <v>236</v>
      </c>
      <c r="AA424" s="3" t="n">
        <v>0.46</v>
      </c>
      <c r="AB424" s="3" t="n">
        <v>13.8</v>
      </c>
      <c r="AC424" s="3" t="n">
        <v>1</v>
      </c>
      <c r="AD424" s="3" t="n">
        <v>2</v>
      </c>
      <c r="AE424" s="3" t="n">
        <v>2</v>
      </c>
      <c r="AF424" s="3" t="n">
        <v>1</v>
      </c>
      <c r="AG424" s="3" t="n">
        <v>2</v>
      </c>
      <c r="AH424" s="3" t="n">
        <v>2</v>
      </c>
      <c r="AI424" s="3" t="n">
        <v>1</v>
      </c>
      <c r="AJ424" s="3" t="n">
        <v>2</v>
      </c>
      <c r="AK424" s="3" t="n">
        <v>2</v>
      </c>
      <c r="AL424" s="3" t="n">
        <v>2</v>
      </c>
      <c r="AM424" s="3" t="n">
        <v>1</v>
      </c>
      <c r="AN424" s="3" t="n">
        <v>2</v>
      </c>
      <c r="AO424" s="3" t="n">
        <v>2</v>
      </c>
      <c r="AP424" s="3" t="n">
        <v>3</v>
      </c>
      <c r="AQ424" s="3" t="n">
        <v>4</v>
      </c>
      <c r="AR424" s="3" t="n">
        <v>4</v>
      </c>
      <c r="AS424" s="3" t="n">
        <v>6</v>
      </c>
      <c r="AT424" s="3" t="n">
        <v>4</v>
      </c>
      <c r="AU424" s="3" t="n">
        <v>4</v>
      </c>
      <c r="AV424" s="3" t="n">
        <v>6</v>
      </c>
      <c r="AW424" s="3" t="n">
        <v>6</v>
      </c>
      <c r="AX424" s="3" t="n">
        <v>3</v>
      </c>
      <c r="AY424" s="3" t="n">
        <v>3</v>
      </c>
      <c r="AZ424" s="3" t="n">
        <v>10</v>
      </c>
      <c r="BA424" s="5" t="n">
        <v>1</v>
      </c>
      <c r="BB424" s="3" t="n">
        <v>1</v>
      </c>
      <c r="BC424" s="3" t="n">
        <v>1</v>
      </c>
      <c r="BD424" s="3" t="n">
        <v>2</v>
      </c>
      <c r="BE424" s="3" t="n">
        <v>1</v>
      </c>
      <c r="BF424" s="3" t="n">
        <v>2</v>
      </c>
      <c r="BG424" s="3" t="n">
        <v>1</v>
      </c>
      <c r="BH424" s="3" t="n">
        <v>4</v>
      </c>
      <c r="BI424" s="3" t="n">
        <v>1</v>
      </c>
      <c r="BJ424" s="3" t="n">
        <v>1</v>
      </c>
    </row>
    <row r="425" customFormat="false" ht="12.75" hidden="false" customHeight="false" outlineLevel="0" collapsed="false">
      <c r="B425" s="2" t="s">
        <v>3275</v>
      </c>
      <c r="C425" s="2" t="s">
        <v>127</v>
      </c>
      <c r="D425" s="2" t="s">
        <v>109</v>
      </c>
      <c r="E425" s="2" t="n">
        <v>216297</v>
      </c>
      <c r="F425" s="15" t="n">
        <v>44388</v>
      </c>
      <c r="G425" s="15" t="n">
        <v>44395</v>
      </c>
      <c r="H425" s="3" t="n">
        <v>7</v>
      </c>
      <c r="I425" s="3" t="n">
        <v>2</v>
      </c>
      <c r="J425" s="3" t="n">
        <v>58</v>
      </c>
      <c r="K425" s="3" t="n">
        <v>1</v>
      </c>
      <c r="L425" s="3" t="n">
        <v>2</v>
      </c>
      <c r="M425" s="3" t="n">
        <v>1</v>
      </c>
      <c r="N425" s="3" t="n">
        <v>2</v>
      </c>
      <c r="O425" s="3" t="n">
        <v>1</v>
      </c>
      <c r="P425" s="3" t="n">
        <v>2</v>
      </c>
      <c r="Q425" s="3" t="n">
        <v>1</v>
      </c>
      <c r="R425" s="3" t="n">
        <v>2</v>
      </c>
      <c r="S425" s="3" t="n">
        <v>2</v>
      </c>
      <c r="T425" s="4" t="n">
        <v>2</v>
      </c>
      <c r="U425" s="3" t="n">
        <v>2</v>
      </c>
      <c r="V425" s="3" t="n">
        <v>6.41</v>
      </c>
      <c r="W425" s="3" t="n">
        <v>2.42</v>
      </c>
      <c r="X425" s="3" t="n">
        <v>9.39</v>
      </c>
      <c r="Y425" s="3"/>
      <c r="AA425" s="3" t="n">
        <v>0.45</v>
      </c>
      <c r="AB425" s="3" t="n">
        <v>6</v>
      </c>
      <c r="AC425" s="3" t="n">
        <v>1</v>
      </c>
      <c r="AD425" s="3" t="n">
        <v>1</v>
      </c>
      <c r="AE425" s="3" t="n">
        <v>2</v>
      </c>
      <c r="AF425" s="3" t="n">
        <v>1</v>
      </c>
      <c r="AG425" s="3" t="n">
        <v>2</v>
      </c>
      <c r="AH425" s="3" t="n">
        <v>2</v>
      </c>
      <c r="AI425" s="3" t="n">
        <v>1</v>
      </c>
      <c r="AJ425" s="3" t="n">
        <v>2</v>
      </c>
      <c r="AK425" s="3" t="n">
        <v>2</v>
      </c>
      <c r="AL425" s="3" t="n">
        <v>2</v>
      </c>
      <c r="AM425" s="3" t="n">
        <v>2</v>
      </c>
      <c r="AN425" s="3" t="n">
        <v>2</v>
      </c>
      <c r="AO425" s="3" t="n">
        <v>2</v>
      </c>
      <c r="AP425" s="3" t="n">
        <v>3</v>
      </c>
      <c r="AQ425" s="3" t="n">
        <v>4</v>
      </c>
      <c r="AR425" s="3" t="n">
        <v>4</v>
      </c>
      <c r="AS425" s="3" t="n">
        <v>6</v>
      </c>
      <c r="AT425" s="3" t="n">
        <v>4</v>
      </c>
      <c r="AU425" s="3" t="n">
        <v>4</v>
      </c>
      <c r="AV425" s="3" t="n">
        <v>6</v>
      </c>
      <c r="AW425" s="3" t="n">
        <v>6</v>
      </c>
      <c r="AX425" s="3" t="n">
        <v>3</v>
      </c>
      <c r="AY425" s="3" t="n">
        <v>3</v>
      </c>
      <c r="AZ425" s="3" t="n">
        <v>1</v>
      </c>
      <c r="BA425" s="5" t="n">
        <v>1</v>
      </c>
      <c r="BB425" s="3" t="n">
        <v>1</v>
      </c>
      <c r="BC425" s="3" t="n">
        <v>1</v>
      </c>
      <c r="BD425" s="3" t="n">
        <v>2</v>
      </c>
      <c r="BE425" s="3" t="n">
        <v>3</v>
      </c>
      <c r="BF425" s="3" t="n">
        <v>5</v>
      </c>
      <c r="BG425" s="3" t="n">
        <v>3</v>
      </c>
      <c r="BH425" s="3" t="n">
        <v>4</v>
      </c>
      <c r="BI425" s="3" t="n">
        <v>1</v>
      </c>
      <c r="BJ425" s="3" t="n">
        <v>1</v>
      </c>
    </row>
    <row r="426" customFormat="false" ht="12.75" hidden="false" customHeight="false" outlineLevel="0" collapsed="false">
      <c r="B426" s="26" t="s">
        <v>3277</v>
      </c>
      <c r="C426" s="26" t="s">
        <v>127</v>
      </c>
      <c r="D426" s="26" t="s">
        <v>2306</v>
      </c>
      <c r="E426" s="26" t="n">
        <v>216695</v>
      </c>
      <c r="F426" s="27" t="n">
        <v>44394</v>
      </c>
      <c r="G426" s="27" t="n">
        <v>44394</v>
      </c>
      <c r="H426" s="30" t="n">
        <v>0</v>
      </c>
      <c r="I426" s="30" t="n">
        <v>1</v>
      </c>
      <c r="J426" s="30" t="n">
        <v>78</v>
      </c>
      <c r="K426" s="30" t="n">
        <v>1</v>
      </c>
      <c r="L426" s="30"/>
      <c r="M426" s="30"/>
      <c r="N426" s="30"/>
      <c r="O426" s="30"/>
      <c r="P426" s="30"/>
      <c r="Q426" s="30"/>
      <c r="R426" s="30"/>
      <c r="S426" s="30"/>
      <c r="T426" s="4" t="n">
        <v>2</v>
      </c>
      <c r="U426" s="30" t="n">
        <v>2</v>
      </c>
      <c r="V426" s="30"/>
      <c r="W426" s="30"/>
      <c r="X426" s="30"/>
      <c r="Y426" s="30"/>
      <c r="AA426" s="30"/>
      <c r="AB426" s="30"/>
      <c r="AC426" s="30" t="n">
        <v>1</v>
      </c>
      <c r="AD426" s="30"/>
      <c r="AE426" s="30"/>
      <c r="AF426" s="30"/>
      <c r="AG426" s="30"/>
      <c r="AH426" s="30"/>
      <c r="AI426" s="30"/>
      <c r="AJ426" s="30"/>
      <c r="AK426" s="30"/>
      <c r="AL426" s="30"/>
      <c r="AM426" s="30"/>
      <c r="AN426" s="30"/>
      <c r="AO426" s="30"/>
      <c r="AP426" s="30" t="n">
        <v>3</v>
      </c>
      <c r="AQ426" s="30" t="n">
        <v>4</v>
      </c>
      <c r="AR426" s="30" t="n">
        <v>4</v>
      </c>
      <c r="AS426" s="30" t="n">
        <v>6</v>
      </c>
      <c r="AT426" s="30" t="n">
        <v>4</v>
      </c>
      <c r="AU426" s="30" t="n">
        <v>4</v>
      </c>
      <c r="AV426" s="30" t="n">
        <v>6</v>
      </c>
      <c r="AW426" s="30" t="n">
        <v>6</v>
      </c>
      <c r="AX426" s="30" t="n">
        <v>3</v>
      </c>
      <c r="AY426" s="30" t="n">
        <v>3</v>
      </c>
      <c r="AZ426" s="30" t="n">
        <v>1</v>
      </c>
      <c r="BA426" s="5" t="n">
        <v>1</v>
      </c>
      <c r="BB426" s="30" t="n">
        <v>1</v>
      </c>
      <c r="BC426" s="30" t="n">
        <v>1</v>
      </c>
      <c r="BD426" s="30" t="n">
        <v>4</v>
      </c>
      <c r="BE426" s="30" t="n">
        <v>3</v>
      </c>
      <c r="BF426" s="30" t="n">
        <v>5</v>
      </c>
      <c r="BG426" s="30" t="n">
        <v>3</v>
      </c>
      <c r="BH426" s="30" t="n">
        <v>4</v>
      </c>
      <c r="BI426" s="30" t="n">
        <v>1</v>
      </c>
      <c r="BJ426" s="30" t="n">
        <v>1</v>
      </c>
    </row>
    <row r="427" customFormat="false" ht="12.75" hidden="false" customHeight="false" outlineLevel="0" collapsed="false">
      <c r="B427" s="2" t="s">
        <v>239</v>
      </c>
      <c r="C427" s="2" t="s">
        <v>197</v>
      </c>
      <c r="D427" s="2" t="s">
        <v>94</v>
      </c>
      <c r="E427" s="2" t="n">
        <v>216797</v>
      </c>
      <c r="F427" s="15" t="n">
        <v>44394</v>
      </c>
      <c r="G427" s="15" t="n">
        <v>44401</v>
      </c>
      <c r="H427" s="3" t="n">
        <v>7</v>
      </c>
      <c r="I427" s="3" t="n">
        <v>2</v>
      </c>
      <c r="J427" s="3" t="n">
        <v>64</v>
      </c>
      <c r="K427" s="3" t="n">
        <v>1</v>
      </c>
      <c r="L427" s="3" t="n">
        <v>1</v>
      </c>
      <c r="M427" s="3" t="n">
        <v>2</v>
      </c>
      <c r="N427" s="3" t="n">
        <v>2</v>
      </c>
      <c r="O427" s="3" t="n">
        <v>2</v>
      </c>
      <c r="P427" s="3" t="n">
        <v>2</v>
      </c>
      <c r="Q427" s="3" t="n">
        <v>2</v>
      </c>
      <c r="R427" s="3" t="n">
        <v>2</v>
      </c>
      <c r="S427" s="3" t="n">
        <v>2</v>
      </c>
      <c r="T427" s="4" t="n">
        <v>2</v>
      </c>
      <c r="U427" s="3" t="n">
        <v>2</v>
      </c>
      <c r="V427" s="3" t="n">
        <v>5.75</v>
      </c>
      <c r="W427" s="3" t="n">
        <v>1.57</v>
      </c>
      <c r="X427" s="3" t="n">
        <v>5.58</v>
      </c>
      <c r="Y427" s="3" t="n">
        <v>351</v>
      </c>
      <c r="AA427" s="3" t="n">
        <v>0.41</v>
      </c>
      <c r="AB427" s="3" t="n">
        <v>9</v>
      </c>
      <c r="AC427" s="3" t="n">
        <v>1</v>
      </c>
      <c r="AD427" s="3" t="n">
        <v>2</v>
      </c>
      <c r="AE427" s="3" t="n">
        <v>2</v>
      </c>
      <c r="AF427" s="3" t="n">
        <v>1</v>
      </c>
      <c r="AG427" s="3" t="n">
        <v>2</v>
      </c>
      <c r="AH427" s="3" t="n">
        <v>2</v>
      </c>
      <c r="AI427" s="3" t="n">
        <v>1</v>
      </c>
      <c r="AJ427" s="3" t="n">
        <v>2</v>
      </c>
      <c r="AK427" s="3" t="n">
        <v>2</v>
      </c>
      <c r="AL427" s="3" t="n">
        <v>2</v>
      </c>
      <c r="AM427" s="3" t="n">
        <v>2</v>
      </c>
      <c r="AN427" s="3" t="n">
        <v>2</v>
      </c>
      <c r="AO427" s="3" t="n">
        <v>1</v>
      </c>
      <c r="AP427" s="3" t="n">
        <v>3</v>
      </c>
      <c r="AQ427" s="3" t="n">
        <v>4</v>
      </c>
      <c r="AR427" s="3" t="n">
        <v>4</v>
      </c>
      <c r="AS427" s="3" t="n">
        <v>6</v>
      </c>
      <c r="AT427" s="3" t="n">
        <v>4</v>
      </c>
      <c r="AU427" s="3" t="n">
        <v>4</v>
      </c>
      <c r="AV427" s="3" t="n">
        <v>6</v>
      </c>
      <c r="AW427" s="3" t="n">
        <v>6</v>
      </c>
      <c r="AX427" s="3" t="n">
        <v>3</v>
      </c>
      <c r="AY427" s="3" t="n">
        <v>3</v>
      </c>
      <c r="AZ427" s="3" t="n">
        <v>5</v>
      </c>
      <c r="BA427" s="5" t="n">
        <v>1</v>
      </c>
      <c r="BB427" s="3" t="n">
        <v>1</v>
      </c>
      <c r="BC427" s="3" t="n">
        <v>1</v>
      </c>
      <c r="BD427" s="3" t="n">
        <v>4</v>
      </c>
      <c r="BE427" s="3" t="n">
        <v>1</v>
      </c>
      <c r="BF427" s="3" t="n">
        <v>2</v>
      </c>
      <c r="BG427" s="3" t="n">
        <v>1</v>
      </c>
      <c r="BH427" s="3" t="n">
        <v>4</v>
      </c>
      <c r="BI427" s="3" t="n">
        <v>1</v>
      </c>
      <c r="BJ427" s="3" t="n">
        <v>1</v>
      </c>
    </row>
    <row r="428" customFormat="false" ht="12.75" hidden="false" customHeight="false" outlineLevel="0" collapsed="false">
      <c r="B428" s="2" t="s">
        <v>3282</v>
      </c>
      <c r="C428" s="2" t="s">
        <v>122</v>
      </c>
      <c r="D428" s="2" t="s">
        <v>127</v>
      </c>
      <c r="E428" s="2" t="n">
        <v>217232</v>
      </c>
      <c r="F428" s="15" t="n">
        <v>44399</v>
      </c>
      <c r="G428" s="15" t="n">
        <v>44406</v>
      </c>
      <c r="H428" s="3" t="n">
        <v>7</v>
      </c>
      <c r="I428" s="3" t="n">
        <v>2</v>
      </c>
      <c r="J428" s="3" t="n">
        <v>79</v>
      </c>
      <c r="K428" s="3" t="n">
        <v>1</v>
      </c>
      <c r="L428" s="3" t="n">
        <v>2</v>
      </c>
      <c r="M428" s="3" t="n">
        <v>1</v>
      </c>
      <c r="N428" s="3" t="n">
        <v>2</v>
      </c>
      <c r="O428" s="3" t="n">
        <v>2</v>
      </c>
      <c r="P428" s="3" t="n">
        <v>2</v>
      </c>
      <c r="Q428" s="3" t="n">
        <v>1</v>
      </c>
      <c r="R428" s="3" t="n">
        <v>2</v>
      </c>
      <c r="S428" s="3" t="n">
        <v>2</v>
      </c>
      <c r="T428" s="4" t="n">
        <v>2</v>
      </c>
      <c r="U428" s="3" t="n">
        <v>2</v>
      </c>
      <c r="V428" s="3" t="n">
        <v>5.52</v>
      </c>
      <c r="W428" s="3" t="n">
        <v>2.47</v>
      </c>
      <c r="X428" s="3" t="n">
        <v>10.47</v>
      </c>
      <c r="Y428" s="3" t="n">
        <v>268</v>
      </c>
      <c r="AA428" s="3" t="n">
        <v>0.45</v>
      </c>
      <c r="AB428" s="3" t="n">
        <v>9.5</v>
      </c>
      <c r="AC428" s="3" t="n">
        <v>1</v>
      </c>
      <c r="AD428" s="3" t="n">
        <v>2</v>
      </c>
      <c r="AE428" s="3" t="n">
        <v>2</v>
      </c>
      <c r="AF428" s="3" t="n">
        <v>1</v>
      </c>
      <c r="AG428" s="3" t="n">
        <v>2</v>
      </c>
      <c r="AH428" s="3" t="n">
        <v>2</v>
      </c>
      <c r="AI428" s="3" t="n">
        <v>1</v>
      </c>
      <c r="AJ428" s="3" t="n">
        <v>2</v>
      </c>
      <c r="AK428" s="3" t="n">
        <v>1</v>
      </c>
      <c r="AL428" s="3" t="n">
        <v>2</v>
      </c>
      <c r="AM428" s="3" t="n">
        <v>1</v>
      </c>
      <c r="AN428" s="3" t="n">
        <v>2</v>
      </c>
      <c r="AO428" s="3" t="n">
        <v>2</v>
      </c>
      <c r="AP428" s="3" t="n">
        <v>3</v>
      </c>
      <c r="AQ428" s="3" t="n">
        <v>4</v>
      </c>
      <c r="AR428" s="3" t="n">
        <v>4</v>
      </c>
      <c r="AS428" s="3" t="n">
        <v>6</v>
      </c>
      <c r="AT428" s="3" t="n">
        <v>4</v>
      </c>
      <c r="AU428" s="3" t="n">
        <v>4</v>
      </c>
      <c r="AV428" s="3" t="n">
        <v>6</v>
      </c>
      <c r="AW428" s="3" t="n">
        <v>6</v>
      </c>
      <c r="AX428" s="3" t="n">
        <v>3</v>
      </c>
      <c r="AY428" s="3" t="n">
        <v>3</v>
      </c>
      <c r="AZ428" s="3" t="n">
        <v>1</v>
      </c>
      <c r="BA428" s="5" t="n">
        <v>1</v>
      </c>
      <c r="BB428" s="3" t="n">
        <v>1</v>
      </c>
      <c r="BC428" s="3" t="n">
        <v>1</v>
      </c>
      <c r="BD428" s="3" t="n">
        <v>4</v>
      </c>
      <c r="BE428" s="3" t="n">
        <v>1</v>
      </c>
      <c r="BF428" s="3" t="n">
        <v>2</v>
      </c>
      <c r="BG428" s="3" t="n">
        <v>1</v>
      </c>
      <c r="BH428" s="3" t="n">
        <v>4</v>
      </c>
      <c r="BI428" s="3" t="n">
        <v>1</v>
      </c>
      <c r="BJ428" s="3" t="n">
        <v>1</v>
      </c>
    </row>
    <row r="429" customFormat="false" ht="12.75" hidden="false" customHeight="false" outlineLevel="0" collapsed="false">
      <c r="B429" s="2" t="s">
        <v>3284</v>
      </c>
      <c r="C429" s="2" t="s">
        <v>3285</v>
      </c>
      <c r="D429" s="2" t="s">
        <v>3286</v>
      </c>
      <c r="E429" s="2" t="n">
        <v>211738</v>
      </c>
      <c r="F429" s="15" t="n">
        <v>44398</v>
      </c>
      <c r="G429" s="15" t="n">
        <v>44405</v>
      </c>
      <c r="H429" s="3" t="n">
        <v>7</v>
      </c>
      <c r="I429" s="3" t="n">
        <v>1</v>
      </c>
      <c r="J429" s="3" t="n">
        <v>59</v>
      </c>
      <c r="K429" s="3" t="n">
        <v>2</v>
      </c>
      <c r="L429" s="3" t="n">
        <v>1</v>
      </c>
      <c r="M429" s="3" t="n">
        <v>1</v>
      </c>
      <c r="N429" s="3" t="n">
        <v>2</v>
      </c>
      <c r="O429" s="3" t="n">
        <v>2</v>
      </c>
      <c r="P429" s="3" t="n">
        <v>2</v>
      </c>
      <c r="Q429" s="3" t="n">
        <v>2</v>
      </c>
      <c r="R429" s="3" t="n">
        <v>2</v>
      </c>
      <c r="S429" s="3" t="n">
        <v>2</v>
      </c>
      <c r="T429" s="4" t="n">
        <v>2</v>
      </c>
      <c r="U429" s="3" t="n">
        <v>2</v>
      </c>
      <c r="V429" s="3" t="n">
        <v>3.74</v>
      </c>
      <c r="W429" s="3" t="n">
        <v>3.2</v>
      </c>
      <c r="X429" s="3" t="n">
        <v>3.73</v>
      </c>
      <c r="Y429" s="3" t="n">
        <v>396</v>
      </c>
      <c r="AA429" s="3" t="n">
        <v>0.38</v>
      </c>
      <c r="AB429" s="3" t="n">
        <v>7.6</v>
      </c>
      <c r="AC429" s="3" t="n">
        <v>1</v>
      </c>
      <c r="AD429" s="3" t="n">
        <v>2</v>
      </c>
      <c r="AE429" s="3" t="n">
        <v>2</v>
      </c>
      <c r="AF429" s="3" t="n">
        <v>1</v>
      </c>
      <c r="AG429" s="3" t="n">
        <v>2</v>
      </c>
      <c r="AH429" s="3" t="n">
        <v>2</v>
      </c>
      <c r="AI429" s="3" t="n">
        <v>1</v>
      </c>
      <c r="AJ429" s="3" t="n">
        <v>2</v>
      </c>
      <c r="AK429" s="3" t="n">
        <v>2</v>
      </c>
      <c r="AL429" s="3" t="n">
        <v>2</v>
      </c>
      <c r="AM429" s="3" t="n">
        <v>1</v>
      </c>
      <c r="AN429" s="3" t="n">
        <v>2</v>
      </c>
      <c r="AO429" s="3" t="n">
        <v>2</v>
      </c>
      <c r="AP429" s="3" t="n">
        <v>3</v>
      </c>
      <c r="AQ429" s="3" t="n">
        <v>4</v>
      </c>
      <c r="AR429" s="3" t="n">
        <v>4</v>
      </c>
      <c r="AS429" s="3" t="n">
        <v>6</v>
      </c>
      <c r="AT429" s="3" t="n">
        <v>4</v>
      </c>
      <c r="AU429" s="3" t="n">
        <v>4</v>
      </c>
      <c r="AV429" s="3" t="n">
        <v>6</v>
      </c>
      <c r="AW429" s="3" t="n">
        <v>6</v>
      </c>
      <c r="AX429" s="3" t="n">
        <v>3</v>
      </c>
      <c r="AY429" s="3" t="n">
        <v>3</v>
      </c>
      <c r="AZ429" s="3" t="n">
        <v>1</v>
      </c>
      <c r="BA429" s="5" t="n">
        <v>1</v>
      </c>
      <c r="BB429" s="3" t="n">
        <v>1</v>
      </c>
      <c r="BC429" s="3" t="n">
        <v>1</v>
      </c>
      <c r="BD429" s="3" t="n">
        <v>4</v>
      </c>
      <c r="BE429" s="3" t="n">
        <v>1</v>
      </c>
      <c r="BF429" s="3" t="n">
        <v>2</v>
      </c>
      <c r="BG429" s="3" t="n">
        <v>1</v>
      </c>
      <c r="BH429" s="3" t="n">
        <v>4</v>
      </c>
      <c r="BI429" s="3" t="n">
        <v>1</v>
      </c>
      <c r="BJ429" s="3" t="n">
        <v>1</v>
      </c>
    </row>
    <row r="430" customFormat="false" ht="12.75" hidden="false" customHeight="false" outlineLevel="0" collapsed="false">
      <c r="B430" s="2" t="s">
        <v>1586</v>
      </c>
      <c r="C430" s="2" t="s">
        <v>66</v>
      </c>
      <c r="D430" s="2" t="s">
        <v>2335</v>
      </c>
      <c r="E430" s="2" t="n">
        <v>217178</v>
      </c>
      <c r="F430" s="15" t="n">
        <v>44399</v>
      </c>
      <c r="G430" s="15" t="n">
        <v>44406</v>
      </c>
      <c r="H430" s="3" t="n">
        <v>7</v>
      </c>
      <c r="I430" s="3" t="n">
        <v>2</v>
      </c>
      <c r="J430" s="3" t="n">
        <v>79</v>
      </c>
      <c r="K430" s="3" t="n">
        <v>3</v>
      </c>
      <c r="L430" s="3" t="n">
        <v>2</v>
      </c>
      <c r="M430" s="3" t="n">
        <v>1</v>
      </c>
      <c r="N430" s="3" t="n">
        <v>2</v>
      </c>
      <c r="O430" s="3" t="n">
        <v>2</v>
      </c>
      <c r="P430" s="3" t="n">
        <v>2</v>
      </c>
      <c r="Q430" s="3" t="n">
        <v>2</v>
      </c>
      <c r="R430" s="3" t="n">
        <v>2</v>
      </c>
      <c r="S430" s="3" t="n">
        <v>2</v>
      </c>
      <c r="T430" s="4" t="n">
        <v>2</v>
      </c>
      <c r="U430" s="3" t="n">
        <v>2</v>
      </c>
      <c r="V430" s="3" t="n">
        <v>4.57</v>
      </c>
      <c r="W430" s="3" t="n">
        <v>1.48</v>
      </c>
      <c r="X430" s="3" t="n">
        <v>5.89</v>
      </c>
      <c r="Y430" s="3" t="n">
        <v>463</v>
      </c>
      <c r="AA430" s="3" t="n">
        <v>0.4</v>
      </c>
      <c r="AB430" s="3" t="n">
        <v>5</v>
      </c>
      <c r="AC430" s="3" t="n">
        <v>1</v>
      </c>
      <c r="AD430" s="3" t="n">
        <v>2</v>
      </c>
      <c r="AE430" s="3" t="n">
        <v>2</v>
      </c>
      <c r="AF430" s="3" t="n">
        <v>1</v>
      </c>
      <c r="AG430" s="3" t="n">
        <v>2</v>
      </c>
      <c r="AH430" s="3" t="n">
        <v>2</v>
      </c>
      <c r="AI430" s="3" t="n">
        <v>1</v>
      </c>
      <c r="AJ430" s="3" t="n">
        <v>2</v>
      </c>
      <c r="AK430" s="3" t="n">
        <v>2</v>
      </c>
      <c r="AL430" s="3" t="n">
        <v>2</v>
      </c>
      <c r="AM430" s="3" t="n">
        <v>2</v>
      </c>
      <c r="AN430" s="3" t="n">
        <v>2</v>
      </c>
      <c r="AO430" s="3" t="n">
        <v>2</v>
      </c>
      <c r="AP430" s="3" t="n">
        <v>3</v>
      </c>
      <c r="AQ430" s="3" t="n">
        <v>4</v>
      </c>
      <c r="AR430" s="3" t="n">
        <v>4</v>
      </c>
      <c r="AS430" s="3" t="n">
        <v>6</v>
      </c>
      <c r="AT430" s="3" t="n">
        <v>4</v>
      </c>
      <c r="AU430" s="3" t="n">
        <v>4</v>
      </c>
      <c r="AV430" s="3" t="n">
        <v>6</v>
      </c>
      <c r="AW430" s="3" t="n">
        <v>6</v>
      </c>
      <c r="AX430" s="3" t="n">
        <v>3</v>
      </c>
      <c r="AY430" s="3" t="n">
        <v>3</v>
      </c>
      <c r="AZ430" s="3" t="n">
        <v>1</v>
      </c>
      <c r="BA430" s="5" t="n">
        <v>1</v>
      </c>
      <c r="BB430" s="3" t="n">
        <v>1</v>
      </c>
      <c r="BC430" s="3" t="n">
        <v>1</v>
      </c>
      <c r="BD430" s="3" t="n">
        <v>4</v>
      </c>
      <c r="BE430" s="3" t="n">
        <v>1</v>
      </c>
      <c r="BF430" s="3" t="n">
        <v>2</v>
      </c>
      <c r="BG430" s="3" t="n">
        <v>1</v>
      </c>
      <c r="BH430" s="3" t="n">
        <v>4</v>
      </c>
      <c r="BI430" s="3" t="n">
        <v>1</v>
      </c>
      <c r="BJ430" s="3" t="n">
        <v>1</v>
      </c>
    </row>
    <row r="431" customFormat="false" ht="12.75" hidden="false" customHeight="false" outlineLevel="0" collapsed="false">
      <c r="B431" s="2" t="s">
        <v>3291</v>
      </c>
      <c r="C431" s="2" t="s">
        <v>462</v>
      </c>
      <c r="D431" s="2" t="s">
        <v>3292</v>
      </c>
      <c r="E431" s="2" t="n">
        <v>217488</v>
      </c>
      <c r="F431" s="15" t="n">
        <v>44401</v>
      </c>
      <c r="G431" s="15" t="n">
        <v>44408</v>
      </c>
      <c r="H431" s="3" t="n">
        <v>7</v>
      </c>
      <c r="I431" s="3" t="n">
        <v>2</v>
      </c>
      <c r="J431" s="3" t="n">
        <v>54</v>
      </c>
      <c r="K431" s="3" t="n">
        <v>2</v>
      </c>
      <c r="L431" s="3" t="n">
        <v>1</v>
      </c>
      <c r="M431" s="3" t="n">
        <v>1</v>
      </c>
      <c r="N431" s="3" t="n">
        <v>2</v>
      </c>
      <c r="O431" s="3" t="n">
        <v>2</v>
      </c>
      <c r="P431" s="3" t="n">
        <v>2</v>
      </c>
      <c r="Q431" s="3" t="n">
        <v>1</v>
      </c>
      <c r="R431" s="3" t="n">
        <v>2</v>
      </c>
      <c r="S431" s="3" t="n">
        <v>2</v>
      </c>
      <c r="T431" s="4" t="n">
        <v>2</v>
      </c>
      <c r="U431" s="3" t="n">
        <v>2</v>
      </c>
      <c r="V431" s="3" t="s">
        <v>3293</v>
      </c>
      <c r="W431" s="3" t="s">
        <v>1504</v>
      </c>
      <c r="X431" s="3" t="s">
        <v>3294</v>
      </c>
      <c r="Y431" s="3" t="n">
        <v>478</v>
      </c>
      <c r="AA431" s="3" t="s">
        <v>2872</v>
      </c>
      <c r="AB431" s="3" t="s">
        <v>3295</v>
      </c>
      <c r="AC431" s="3" t="n">
        <v>1</v>
      </c>
      <c r="AD431" s="3" t="n">
        <v>2</v>
      </c>
      <c r="AE431" s="3" t="n">
        <v>1</v>
      </c>
      <c r="AF431" s="3" t="n">
        <v>1</v>
      </c>
      <c r="AG431" s="3" t="n">
        <v>2</v>
      </c>
      <c r="AH431" s="3" t="n">
        <v>1</v>
      </c>
      <c r="AI431" s="3" t="n">
        <v>1</v>
      </c>
      <c r="AJ431" s="3" t="n">
        <v>2</v>
      </c>
      <c r="AK431" s="3" t="n">
        <v>1</v>
      </c>
      <c r="AL431" s="3" t="n">
        <v>2</v>
      </c>
      <c r="AM431" s="3" t="n">
        <v>2</v>
      </c>
      <c r="AN431" s="3" t="n">
        <v>2</v>
      </c>
      <c r="AO431" s="3" t="n">
        <v>2</v>
      </c>
      <c r="AP431" s="3" t="n">
        <v>3</v>
      </c>
      <c r="AQ431" s="3" t="n">
        <v>4</v>
      </c>
      <c r="AR431" s="3" t="n">
        <v>4</v>
      </c>
      <c r="AS431" s="3" t="n">
        <v>6</v>
      </c>
      <c r="AT431" s="3" t="n">
        <v>4</v>
      </c>
      <c r="AU431" s="3" t="n">
        <v>4</v>
      </c>
      <c r="AV431" s="3" t="n">
        <v>6</v>
      </c>
      <c r="AW431" s="3" t="n">
        <v>6</v>
      </c>
      <c r="AX431" s="3" t="n">
        <v>3</v>
      </c>
      <c r="AY431" s="3" t="n">
        <v>3</v>
      </c>
      <c r="AZ431" s="3" t="n">
        <v>5</v>
      </c>
      <c r="BA431" s="5" t="n">
        <v>1</v>
      </c>
      <c r="BB431" s="3" t="n">
        <v>1</v>
      </c>
      <c r="BC431" s="3" t="n">
        <v>1</v>
      </c>
      <c r="BD431" s="3" t="n">
        <v>4</v>
      </c>
      <c r="BE431" s="3" t="n">
        <v>3</v>
      </c>
      <c r="BF431" s="3" t="n">
        <v>5</v>
      </c>
      <c r="BG431" s="3" t="n">
        <v>3</v>
      </c>
      <c r="BH431" s="3" t="n">
        <v>4</v>
      </c>
      <c r="BI431" s="3" t="n">
        <v>1</v>
      </c>
      <c r="BJ431" s="3" t="n">
        <v>1</v>
      </c>
    </row>
    <row r="432" customFormat="false" ht="12.75" hidden="false" customHeight="false" outlineLevel="0" collapsed="false">
      <c r="B432" s="2" t="s">
        <v>3297</v>
      </c>
      <c r="C432" s="2" t="s">
        <v>3298</v>
      </c>
      <c r="D432" s="2" t="s">
        <v>913</v>
      </c>
      <c r="E432" s="2" t="n">
        <v>217302</v>
      </c>
      <c r="F432" s="15" t="n">
        <v>44405</v>
      </c>
      <c r="G432" s="15" t="n">
        <v>44411</v>
      </c>
      <c r="H432" s="3" t="n">
        <v>6</v>
      </c>
      <c r="I432" s="3" t="n">
        <v>2</v>
      </c>
      <c r="J432" s="3" t="n">
        <v>72</v>
      </c>
      <c r="K432" s="3" t="n">
        <v>2</v>
      </c>
      <c r="L432" s="3" t="n">
        <v>2</v>
      </c>
      <c r="M432" s="3" t="n">
        <v>1</v>
      </c>
      <c r="N432" s="3" t="n">
        <v>2</v>
      </c>
      <c r="O432" s="3" t="n">
        <v>2</v>
      </c>
      <c r="P432" s="3" t="n">
        <v>2</v>
      </c>
      <c r="Q432" s="3" t="n">
        <v>2</v>
      </c>
      <c r="R432" s="3" t="n">
        <v>2</v>
      </c>
      <c r="S432" s="3" t="n">
        <v>2</v>
      </c>
      <c r="T432" s="4" t="n">
        <v>2</v>
      </c>
      <c r="U432" s="3" t="n">
        <v>2</v>
      </c>
      <c r="V432" s="3" t="n">
        <v>4.81</v>
      </c>
      <c r="W432" s="3" t="n">
        <v>0.88</v>
      </c>
      <c r="X432" s="3" t="n">
        <v>5.48</v>
      </c>
      <c r="Y432" s="3" t="n">
        <v>399</v>
      </c>
      <c r="AA432" s="3" t="n">
        <v>0.47</v>
      </c>
      <c r="AB432" s="3" t="n">
        <v>7.3</v>
      </c>
      <c r="AC432" s="3" t="n">
        <v>2</v>
      </c>
      <c r="AD432" s="3" t="n">
        <v>2</v>
      </c>
      <c r="AE432" s="3" t="n">
        <v>2</v>
      </c>
      <c r="AF432" s="3" t="n">
        <v>1</v>
      </c>
      <c r="AG432" s="3" t="n">
        <v>2</v>
      </c>
      <c r="AH432" s="3" t="n">
        <v>2</v>
      </c>
      <c r="AI432" s="3" t="n">
        <v>1</v>
      </c>
      <c r="AJ432" s="3" t="n">
        <v>2</v>
      </c>
      <c r="AK432" s="3" t="n">
        <v>2</v>
      </c>
      <c r="AL432" s="3" t="n">
        <v>2</v>
      </c>
      <c r="AM432" s="3" t="n">
        <v>1</v>
      </c>
      <c r="AN432" s="3" t="n">
        <v>2</v>
      </c>
      <c r="AO432" s="3" t="n">
        <v>2</v>
      </c>
      <c r="AP432" s="3" t="n">
        <v>3</v>
      </c>
      <c r="AQ432" s="3" t="n">
        <v>4</v>
      </c>
      <c r="AR432" s="3" t="n">
        <v>4</v>
      </c>
      <c r="AS432" s="3" t="n">
        <v>6</v>
      </c>
      <c r="AT432" s="3" t="n">
        <v>4</v>
      </c>
      <c r="AU432" s="3" t="n">
        <v>4</v>
      </c>
      <c r="AV432" s="3" t="n">
        <v>6</v>
      </c>
      <c r="AW432" s="3" t="n">
        <v>6</v>
      </c>
      <c r="AX432" s="3" t="n">
        <v>3</v>
      </c>
      <c r="AY432" s="3" t="n">
        <v>3</v>
      </c>
      <c r="AZ432" s="3" t="n">
        <v>1</v>
      </c>
      <c r="BA432" s="5" t="n">
        <v>1</v>
      </c>
      <c r="BB432" s="3" t="n">
        <v>1</v>
      </c>
      <c r="BC432" s="3" t="n">
        <v>1</v>
      </c>
      <c r="BD432" s="3" t="n">
        <v>4</v>
      </c>
      <c r="BE432" s="3" t="n">
        <v>1</v>
      </c>
      <c r="BF432" s="3" t="n">
        <v>2</v>
      </c>
      <c r="BG432" s="3" t="n">
        <v>1</v>
      </c>
      <c r="BH432" s="3" t="n">
        <v>4</v>
      </c>
      <c r="BI432" s="3" t="n">
        <v>1</v>
      </c>
      <c r="BJ432" s="3" t="n">
        <v>1</v>
      </c>
    </row>
    <row r="433" customFormat="false" ht="12.75" hidden="false" customHeight="false" outlineLevel="0" collapsed="false">
      <c r="B433" s="2" t="s">
        <v>966</v>
      </c>
      <c r="C433" s="2" t="s">
        <v>2247</v>
      </c>
      <c r="D433" s="2" t="s">
        <v>1157</v>
      </c>
      <c r="E433" s="2" t="n">
        <v>217475</v>
      </c>
      <c r="F433" s="15" t="n">
        <v>44402</v>
      </c>
      <c r="G433" s="15" t="n">
        <v>44411</v>
      </c>
      <c r="H433" s="3" t="n">
        <v>8</v>
      </c>
      <c r="I433" s="3" t="n">
        <v>2</v>
      </c>
      <c r="J433" s="3" t="n">
        <v>49</v>
      </c>
      <c r="K433" s="3" t="n">
        <v>1</v>
      </c>
      <c r="L433" s="3" t="n">
        <v>2</v>
      </c>
      <c r="M433" s="3" t="n">
        <v>1</v>
      </c>
      <c r="N433" s="3" t="n">
        <v>2</v>
      </c>
      <c r="O433" s="3" t="n">
        <v>2</v>
      </c>
      <c r="P433" s="3" t="n">
        <v>2</v>
      </c>
      <c r="Q433" s="3" t="n">
        <v>1</v>
      </c>
      <c r="R433" s="3" t="n">
        <v>2</v>
      </c>
      <c r="S433" s="3" t="n">
        <v>1</v>
      </c>
      <c r="T433" s="4" t="n">
        <v>2</v>
      </c>
      <c r="U433" s="3" t="n">
        <v>2</v>
      </c>
      <c r="V433" s="3" t="s">
        <v>3300</v>
      </c>
      <c r="W433" s="3" t="s">
        <v>3301</v>
      </c>
      <c r="X433" s="3" t="s">
        <v>1297</v>
      </c>
      <c r="Y433" s="3" t="n">
        <v>552</v>
      </c>
      <c r="AA433" s="3" t="s">
        <v>3302</v>
      </c>
      <c r="AB433" s="3" t="s">
        <v>3303</v>
      </c>
      <c r="AC433" s="3" t="n">
        <v>2</v>
      </c>
      <c r="AD433" s="3" t="n">
        <v>1</v>
      </c>
      <c r="AE433" s="3" t="n">
        <v>1</v>
      </c>
      <c r="AF433" s="3" t="n">
        <v>1</v>
      </c>
      <c r="AG433" s="3" t="n">
        <v>2</v>
      </c>
      <c r="AH433" s="3" t="n">
        <v>2</v>
      </c>
      <c r="AI433" s="3" t="n">
        <v>1</v>
      </c>
      <c r="AJ433" s="3" t="n">
        <v>1</v>
      </c>
      <c r="AK433" s="3" t="n">
        <v>1</v>
      </c>
      <c r="AL433" s="3" t="n">
        <v>2</v>
      </c>
      <c r="AM433" s="3" t="n">
        <v>2</v>
      </c>
      <c r="AN433" s="3" t="n">
        <v>2</v>
      </c>
      <c r="AO433" s="3" t="n">
        <v>2</v>
      </c>
      <c r="AP433" s="3" t="n">
        <v>3</v>
      </c>
      <c r="AQ433" s="3" t="n">
        <v>4</v>
      </c>
      <c r="AR433" s="3" t="n">
        <v>4</v>
      </c>
      <c r="AS433" s="3" t="n">
        <v>6</v>
      </c>
      <c r="AT433" s="3" t="n">
        <v>4</v>
      </c>
      <c r="AU433" s="3" t="n">
        <v>4</v>
      </c>
      <c r="AV433" s="3" t="n">
        <v>6</v>
      </c>
      <c r="AW433" s="3" t="n">
        <v>6</v>
      </c>
      <c r="AX433" s="3" t="n">
        <v>3</v>
      </c>
      <c r="AY433" s="3" t="n">
        <v>3</v>
      </c>
      <c r="AZ433" s="3" t="n">
        <v>4</v>
      </c>
      <c r="BA433" s="5" t="n">
        <v>1</v>
      </c>
      <c r="BB433" s="3" t="n">
        <v>1</v>
      </c>
      <c r="BC433" s="3" t="n">
        <v>1</v>
      </c>
      <c r="BD433" s="3" t="n">
        <v>2</v>
      </c>
      <c r="BE433" s="3" t="n">
        <v>1</v>
      </c>
      <c r="BF433" s="3" t="n">
        <v>2</v>
      </c>
      <c r="BG433" s="3" t="n">
        <v>1</v>
      </c>
      <c r="BH433" s="3" t="n">
        <v>4</v>
      </c>
      <c r="BI433" s="3" t="n">
        <v>1</v>
      </c>
      <c r="BJ433" s="3" t="n">
        <v>1</v>
      </c>
    </row>
    <row r="434" customFormat="false" ht="12.75" hidden="false" customHeight="false" outlineLevel="0" collapsed="false">
      <c r="B434" s="2" t="s">
        <v>1359</v>
      </c>
      <c r="C434" s="2" t="s">
        <v>1482</v>
      </c>
      <c r="D434" s="2" t="s">
        <v>1877</v>
      </c>
      <c r="E434" s="2" t="n">
        <v>217520</v>
      </c>
      <c r="F434" s="15" t="n">
        <v>44408</v>
      </c>
      <c r="G434" s="15" t="n">
        <v>44415</v>
      </c>
      <c r="H434" s="3" t="n">
        <v>7</v>
      </c>
      <c r="I434" s="3" t="n">
        <v>2</v>
      </c>
      <c r="J434" s="3" t="n">
        <v>65</v>
      </c>
      <c r="K434" s="3" t="n">
        <v>3</v>
      </c>
      <c r="L434" s="3" t="n">
        <v>1</v>
      </c>
      <c r="M434" s="3" t="n">
        <v>1</v>
      </c>
      <c r="N434" s="3" t="n">
        <v>2</v>
      </c>
      <c r="O434" s="3" t="n">
        <v>2</v>
      </c>
      <c r="P434" s="3" t="n">
        <v>2</v>
      </c>
      <c r="Q434" s="3" t="n">
        <v>2</v>
      </c>
      <c r="R434" s="3" t="n">
        <v>2</v>
      </c>
      <c r="S434" s="3" t="n">
        <v>2</v>
      </c>
      <c r="T434" s="4" t="n">
        <v>2</v>
      </c>
      <c r="U434" s="3" t="n">
        <v>2</v>
      </c>
      <c r="V434" s="3" t="n">
        <v>5.92</v>
      </c>
      <c r="W434" s="3" t="n">
        <v>1.64</v>
      </c>
      <c r="X434" s="3" t="n">
        <v>4.93</v>
      </c>
      <c r="Y434" s="3" t="n">
        <v>337</v>
      </c>
      <c r="AA434" s="3" t="n">
        <v>0.43</v>
      </c>
      <c r="AB434" s="3" t="n">
        <v>12.3</v>
      </c>
      <c r="AC434" s="3" t="n">
        <v>1</v>
      </c>
      <c r="AD434" s="3" t="n">
        <v>2</v>
      </c>
      <c r="AE434" s="3" t="n">
        <v>2</v>
      </c>
      <c r="AF434" s="3" t="n">
        <v>1</v>
      </c>
      <c r="AG434" s="3" t="n">
        <v>2</v>
      </c>
      <c r="AH434" s="3" t="n">
        <v>2</v>
      </c>
      <c r="AI434" s="3" t="n">
        <v>1</v>
      </c>
      <c r="AJ434" s="3" t="n">
        <v>2</v>
      </c>
      <c r="AK434" s="3" t="n">
        <v>2</v>
      </c>
      <c r="AL434" s="3" t="n">
        <v>2</v>
      </c>
      <c r="AM434" s="3" t="n">
        <v>2</v>
      </c>
      <c r="AN434" s="3" t="n">
        <v>2</v>
      </c>
      <c r="AO434" s="3" t="n">
        <v>2</v>
      </c>
      <c r="AP434" s="3" t="n">
        <v>3</v>
      </c>
      <c r="AQ434" s="3" t="n">
        <v>4</v>
      </c>
      <c r="AR434" s="3" t="n">
        <v>4</v>
      </c>
      <c r="AS434" s="3" t="n">
        <v>6</v>
      </c>
      <c r="AT434" s="3" t="n">
        <v>4</v>
      </c>
      <c r="AU434" s="3" t="n">
        <v>4</v>
      </c>
      <c r="AV434" s="3" t="n">
        <v>6</v>
      </c>
      <c r="AW434" s="3" t="n">
        <v>6</v>
      </c>
      <c r="AX434" s="3" t="n">
        <v>3</v>
      </c>
      <c r="AY434" s="3" t="n">
        <v>3</v>
      </c>
      <c r="AZ434" s="3" t="n">
        <v>1</v>
      </c>
      <c r="BA434" s="5" t="n">
        <v>1</v>
      </c>
      <c r="BB434" s="3" t="n">
        <v>1</v>
      </c>
      <c r="BC434" s="3" t="n">
        <v>1</v>
      </c>
      <c r="BD434" s="3" t="n">
        <v>4</v>
      </c>
      <c r="BE434" s="3" t="n">
        <v>1</v>
      </c>
      <c r="BF434" s="3" t="n">
        <v>2</v>
      </c>
      <c r="BG434" s="3" t="n">
        <v>1</v>
      </c>
      <c r="BH434" s="3" t="n">
        <v>4</v>
      </c>
      <c r="BI434" s="3" t="n">
        <v>1</v>
      </c>
      <c r="BJ434" s="3" t="n">
        <v>1</v>
      </c>
    </row>
    <row r="435" customFormat="false" ht="12.75" hidden="false" customHeight="false" outlineLevel="0" collapsed="false">
      <c r="B435" s="2" t="s">
        <v>3312</v>
      </c>
      <c r="C435" s="2" t="s">
        <v>194</v>
      </c>
      <c r="D435" s="2" t="s">
        <v>66</v>
      </c>
      <c r="E435" s="2" t="n">
        <v>217731</v>
      </c>
      <c r="F435" s="15" t="n">
        <v>44413</v>
      </c>
      <c r="G435" s="15" t="n">
        <v>44419</v>
      </c>
      <c r="H435" s="3" t="n">
        <v>6</v>
      </c>
      <c r="I435" s="3" t="n">
        <v>2</v>
      </c>
      <c r="J435" s="3" t="n">
        <v>33</v>
      </c>
      <c r="K435" s="3" t="n">
        <v>2</v>
      </c>
      <c r="L435" s="3" t="n">
        <v>1</v>
      </c>
      <c r="M435" s="3" t="n">
        <v>1</v>
      </c>
      <c r="N435" s="3" t="n">
        <v>2</v>
      </c>
      <c r="O435" s="3" t="n">
        <v>2</v>
      </c>
      <c r="P435" s="3" t="n">
        <v>2</v>
      </c>
      <c r="Q435" s="3" t="n">
        <v>2</v>
      </c>
      <c r="R435" s="3" t="n">
        <v>2</v>
      </c>
      <c r="S435" s="3" t="n">
        <v>2</v>
      </c>
      <c r="T435" s="4" t="n">
        <v>2</v>
      </c>
      <c r="U435" s="3" t="n">
        <v>2</v>
      </c>
      <c r="V435" s="3" t="n">
        <v>2.44</v>
      </c>
      <c r="W435" s="3" t="n">
        <v>1.37</v>
      </c>
      <c r="X435" s="3" t="n">
        <v>4.82</v>
      </c>
      <c r="Y435" s="3" t="n">
        <v>343</v>
      </c>
      <c r="AA435" s="3" t="n">
        <v>0.48</v>
      </c>
      <c r="AB435" s="3" t="n">
        <v>14.6</v>
      </c>
      <c r="AC435" s="3" t="n">
        <v>1</v>
      </c>
      <c r="AD435" s="3" t="n">
        <v>1</v>
      </c>
      <c r="AE435" s="3" t="n">
        <v>1</v>
      </c>
      <c r="AF435" s="3" t="n">
        <v>1</v>
      </c>
      <c r="AG435" s="3" t="n">
        <v>1</v>
      </c>
      <c r="AH435" s="3" t="n">
        <v>2</v>
      </c>
      <c r="AI435" s="3" t="n">
        <v>1</v>
      </c>
      <c r="AJ435" s="3" t="n">
        <v>2</v>
      </c>
      <c r="AK435" s="3" t="n">
        <v>2</v>
      </c>
      <c r="AL435" s="3" t="n">
        <v>2</v>
      </c>
      <c r="AM435" s="3" t="n">
        <v>1</v>
      </c>
      <c r="AN435" s="3" t="n">
        <v>1</v>
      </c>
      <c r="AO435" s="3" t="n">
        <v>2</v>
      </c>
      <c r="AP435" s="3" t="n">
        <v>3</v>
      </c>
      <c r="AQ435" s="3" t="n">
        <v>4</v>
      </c>
      <c r="AR435" s="3" t="n">
        <v>4</v>
      </c>
      <c r="AS435" s="3" t="n">
        <v>6</v>
      </c>
      <c r="AT435" s="3" t="n">
        <v>4</v>
      </c>
      <c r="AU435" s="3" t="n">
        <v>4</v>
      </c>
      <c r="AV435" s="3" t="n">
        <v>6</v>
      </c>
      <c r="AW435" s="3" t="n">
        <v>6</v>
      </c>
      <c r="AX435" s="3" t="n">
        <v>3</v>
      </c>
      <c r="AY435" s="3" t="n">
        <v>3</v>
      </c>
      <c r="AZ435" s="3" t="s">
        <v>3405</v>
      </c>
      <c r="BA435" s="5" t="n">
        <v>1</v>
      </c>
      <c r="BB435" s="3" t="n">
        <v>1</v>
      </c>
      <c r="BC435" s="3" t="n">
        <v>1</v>
      </c>
      <c r="BD435" s="3" t="n">
        <v>2</v>
      </c>
      <c r="BE435" s="3" t="n">
        <v>1</v>
      </c>
      <c r="BF435" s="3" t="n">
        <v>2</v>
      </c>
      <c r="BG435" s="3" t="n">
        <v>1</v>
      </c>
      <c r="BH435" s="3" t="n">
        <v>4</v>
      </c>
      <c r="BI435" s="3" t="n">
        <v>1</v>
      </c>
      <c r="BJ435" s="3" t="n">
        <v>1</v>
      </c>
    </row>
    <row r="436" customFormat="false" ht="12.75" hidden="false" customHeight="false" outlineLevel="0" collapsed="false">
      <c r="B436" s="2" t="s">
        <v>1443</v>
      </c>
      <c r="C436" s="2" t="s">
        <v>478</v>
      </c>
      <c r="D436" s="2" t="s">
        <v>118</v>
      </c>
      <c r="E436" s="2" t="n">
        <v>217620</v>
      </c>
      <c r="F436" s="15" t="n">
        <v>44418</v>
      </c>
      <c r="G436" s="15" t="n">
        <v>44425</v>
      </c>
      <c r="H436" s="3" t="n">
        <v>7</v>
      </c>
      <c r="I436" s="3" t="n">
        <v>1</v>
      </c>
      <c r="J436" s="3" t="n">
        <v>72</v>
      </c>
      <c r="K436" s="3" t="n">
        <v>2</v>
      </c>
      <c r="L436" s="3" t="n">
        <v>1</v>
      </c>
      <c r="M436" s="3" t="n">
        <v>2</v>
      </c>
      <c r="N436" s="3" t="n">
        <v>2</v>
      </c>
      <c r="O436" s="3" t="n">
        <v>2</v>
      </c>
      <c r="P436" s="3" t="n">
        <v>2</v>
      </c>
      <c r="Q436" s="3" t="n">
        <v>2</v>
      </c>
      <c r="R436" s="3" t="n">
        <v>2</v>
      </c>
      <c r="S436" s="3" t="n">
        <v>2</v>
      </c>
      <c r="T436" s="4" t="n">
        <v>2</v>
      </c>
      <c r="U436" s="3" t="n">
        <v>2</v>
      </c>
      <c r="V436" s="3" t="n">
        <v>3.3</v>
      </c>
      <c r="W436" s="3" t="n">
        <v>0.3</v>
      </c>
      <c r="X436" s="3" t="n">
        <v>7.2</v>
      </c>
      <c r="Y436" s="3" t="n">
        <v>721</v>
      </c>
      <c r="AA436" s="3" t="n">
        <v>0.41</v>
      </c>
      <c r="AB436" s="3" t="n">
        <v>27.3</v>
      </c>
      <c r="AC436" s="3" t="n">
        <v>2</v>
      </c>
      <c r="AD436" s="3" t="n">
        <v>2</v>
      </c>
      <c r="AE436" s="3" t="n">
        <v>1</v>
      </c>
      <c r="AF436" s="3" t="n">
        <v>1</v>
      </c>
      <c r="AG436" s="3" t="n">
        <v>2</v>
      </c>
      <c r="AH436" s="3" t="n">
        <v>2</v>
      </c>
      <c r="AI436" s="3" t="n">
        <v>1</v>
      </c>
      <c r="AJ436" s="3" t="n">
        <v>2</v>
      </c>
      <c r="AK436" s="3" t="n">
        <v>2</v>
      </c>
      <c r="AL436" s="3" t="n">
        <v>1</v>
      </c>
      <c r="AM436" s="3" t="n">
        <v>1</v>
      </c>
      <c r="AN436" s="3" t="n">
        <v>2</v>
      </c>
      <c r="AO436" s="3" t="n">
        <v>2</v>
      </c>
      <c r="AP436" s="3" t="n">
        <v>3</v>
      </c>
      <c r="AQ436" s="3" t="n">
        <v>4</v>
      </c>
      <c r="AR436" s="3" t="n">
        <v>4</v>
      </c>
      <c r="AS436" s="3" t="n">
        <v>6</v>
      </c>
      <c r="AT436" s="3" t="n">
        <v>4</v>
      </c>
      <c r="AU436" s="3" t="n">
        <v>4</v>
      </c>
      <c r="AV436" s="3" t="n">
        <v>6</v>
      </c>
      <c r="AW436" s="3" t="n">
        <v>6</v>
      </c>
      <c r="AX436" s="3" t="n">
        <v>3</v>
      </c>
      <c r="AY436" s="3" t="n">
        <v>3</v>
      </c>
      <c r="AZ436" s="3" t="n">
        <v>4</v>
      </c>
      <c r="BA436" s="5" t="n">
        <v>1</v>
      </c>
      <c r="BB436" s="3" t="n">
        <v>1</v>
      </c>
      <c r="BC436" s="3" t="n">
        <v>1</v>
      </c>
      <c r="BD436" s="3" t="n">
        <v>2</v>
      </c>
      <c r="BE436" s="3" t="n">
        <v>1</v>
      </c>
      <c r="BF436" s="3" t="n">
        <v>2</v>
      </c>
      <c r="BG436" s="3" t="n">
        <v>1</v>
      </c>
      <c r="BH436" s="3" t="n">
        <v>4</v>
      </c>
      <c r="BI436" s="3" t="n">
        <v>1</v>
      </c>
      <c r="BJ436" s="3" t="n">
        <v>1</v>
      </c>
    </row>
    <row r="437" customFormat="false" ht="12.75" hidden="false" customHeight="false" outlineLevel="0" collapsed="false">
      <c r="B437" s="2" t="s">
        <v>3327</v>
      </c>
      <c r="C437" s="2" t="s">
        <v>3328</v>
      </c>
      <c r="D437" s="2" t="s">
        <v>95</v>
      </c>
      <c r="E437" s="2" t="n">
        <v>218054</v>
      </c>
      <c r="F437" s="15" t="n">
        <v>44422</v>
      </c>
      <c r="G437" s="15" t="n">
        <v>44433</v>
      </c>
      <c r="H437" s="3" t="n">
        <v>7</v>
      </c>
      <c r="I437" s="3" t="n">
        <v>2</v>
      </c>
      <c r="J437" s="3" t="n">
        <v>56</v>
      </c>
      <c r="K437" s="3" t="n">
        <v>1</v>
      </c>
      <c r="L437" s="3" t="n">
        <v>2</v>
      </c>
      <c r="M437" s="3" t="n">
        <v>1</v>
      </c>
      <c r="N437" s="3" t="n">
        <v>2</v>
      </c>
      <c r="O437" s="3" t="n">
        <v>1</v>
      </c>
      <c r="P437" s="3" t="n">
        <v>2</v>
      </c>
      <c r="Q437" s="3" t="n">
        <v>2</v>
      </c>
      <c r="R437" s="3" t="n">
        <v>2</v>
      </c>
      <c r="S437" s="3" t="n">
        <v>2</v>
      </c>
      <c r="T437" s="4" t="n">
        <v>2</v>
      </c>
      <c r="U437" s="3" t="n">
        <v>2</v>
      </c>
      <c r="V437" s="3" t="n">
        <v>5.78</v>
      </c>
      <c r="W437" s="3" t="n">
        <v>2.87</v>
      </c>
      <c r="X437" s="3" t="n">
        <v>5.37</v>
      </c>
      <c r="Y437" s="3" t="n">
        <v>339</v>
      </c>
      <c r="AA437" s="3" t="n">
        <v>0.48</v>
      </c>
      <c r="AB437" s="3" t="n">
        <v>14.1</v>
      </c>
      <c r="AC437" s="3"/>
      <c r="AD437" s="3" t="n">
        <v>2</v>
      </c>
      <c r="AE437" s="3" t="n">
        <v>1</v>
      </c>
      <c r="AF437" s="3" t="n">
        <v>1</v>
      </c>
      <c r="AG437" s="3" t="n">
        <v>1</v>
      </c>
      <c r="AH437" s="3" t="n">
        <v>1</v>
      </c>
      <c r="AI437" s="3" t="n">
        <v>1</v>
      </c>
      <c r="AJ437" s="3" t="n">
        <v>2</v>
      </c>
      <c r="AK437" s="3" t="n">
        <v>2</v>
      </c>
      <c r="AL437" s="3" t="n">
        <v>2</v>
      </c>
      <c r="AM437" s="3" t="n">
        <v>2</v>
      </c>
      <c r="AN437" s="3" t="n">
        <v>2</v>
      </c>
      <c r="AO437" s="3" t="n">
        <v>2</v>
      </c>
      <c r="AP437" s="3" t="n">
        <v>3</v>
      </c>
      <c r="AQ437" s="3" t="n">
        <v>4</v>
      </c>
      <c r="AR437" s="3" t="n">
        <v>4</v>
      </c>
      <c r="AS437" s="3" t="n">
        <v>6</v>
      </c>
      <c r="AT437" s="3" t="n">
        <v>4</v>
      </c>
      <c r="AU437" s="3" t="n">
        <v>4</v>
      </c>
      <c r="AV437" s="3" t="n">
        <v>6</v>
      </c>
      <c r="AW437" s="3" t="n">
        <v>6</v>
      </c>
      <c r="AX437" s="3" t="n">
        <v>3</v>
      </c>
      <c r="AY437" s="3" t="n">
        <v>3</v>
      </c>
      <c r="AZ437" s="3" t="n">
        <v>1</v>
      </c>
      <c r="BA437" s="5" t="n">
        <v>1</v>
      </c>
      <c r="BB437" s="3" t="n">
        <v>1</v>
      </c>
      <c r="BC437" s="3" t="n">
        <v>1</v>
      </c>
      <c r="BD437" s="3" t="n">
        <v>2</v>
      </c>
      <c r="BE437" s="3" t="n">
        <v>1</v>
      </c>
      <c r="BF437" s="3" t="n">
        <v>2</v>
      </c>
      <c r="BG437" s="3" t="n">
        <v>2</v>
      </c>
      <c r="BH437" s="3" t="n">
        <v>4</v>
      </c>
      <c r="BI437" s="3" t="n">
        <v>1</v>
      </c>
      <c r="BJ437" s="3" t="n">
        <v>1</v>
      </c>
    </row>
    <row r="438" customFormat="false" ht="12.75" hidden="false" customHeight="false" outlineLevel="0" collapsed="false">
      <c r="B438" s="2" t="s">
        <v>2958</v>
      </c>
      <c r="C438" s="2" t="s">
        <v>3330</v>
      </c>
      <c r="D438" s="2" t="s">
        <v>2449</v>
      </c>
      <c r="E438" s="2" t="n">
        <v>218312</v>
      </c>
      <c r="F438" s="15" t="n">
        <v>44425</v>
      </c>
      <c r="G438" s="15" t="n">
        <v>44433</v>
      </c>
      <c r="H438" s="3" t="n">
        <v>5</v>
      </c>
      <c r="I438" s="3" t="n">
        <v>2</v>
      </c>
      <c r="J438" s="3" t="n">
        <v>58</v>
      </c>
      <c r="K438" s="3" t="n">
        <v>1</v>
      </c>
      <c r="L438" s="3" t="n">
        <v>1</v>
      </c>
      <c r="M438" s="3" t="n">
        <v>1</v>
      </c>
      <c r="N438" s="3" t="n">
        <v>2</v>
      </c>
      <c r="O438" s="3" t="n">
        <v>1</v>
      </c>
      <c r="P438" s="3" t="n">
        <v>2</v>
      </c>
      <c r="Q438" s="3" t="n">
        <v>1</v>
      </c>
      <c r="R438" s="3" t="n">
        <v>2</v>
      </c>
      <c r="S438" s="3" t="n">
        <v>2</v>
      </c>
      <c r="T438" s="4" t="n">
        <v>2</v>
      </c>
      <c r="U438" s="3" t="n">
        <v>2</v>
      </c>
      <c r="V438" s="3" t="n">
        <v>4.85</v>
      </c>
      <c r="W438" s="3" t="n">
        <v>2.09</v>
      </c>
      <c r="X438" s="3" t="n">
        <v>20.53</v>
      </c>
      <c r="Y438" s="3" t="n">
        <v>277</v>
      </c>
      <c r="AA438" s="3" t="n">
        <v>0.46</v>
      </c>
      <c r="AB438" s="3" t="n">
        <v>14.2</v>
      </c>
      <c r="AC438" s="3"/>
      <c r="AD438" s="3" t="n">
        <v>2</v>
      </c>
      <c r="AE438" s="3" t="n">
        <v>2</v>
      </c>
      <c r="AF438" s="3" t="n">
        <v>1</v>
      </c>
      <c r="AG438" s="3" t="n">
        <v>2</v>
      </c>
      <c r="AH438" s="3" t="n">
        <v>1</v>
      </c>
      <c r="AI438" s="3" t="n">
        <v>1</v>
      </c>
      <c r="AJ438" s="3" t="n">
        <v>2</v>
      </c>
      <c r="AK438" s="3" t="n">
        <v>2</v>
      </c>
      <c r="AL438" s="3" t="n">
        <v>2</v>
      </c>
      <c r="AM438" s="3" t="n">
        <v>1</v>
      </c>
      <c r="AN438" s="3" t="n">
        <v>2</v>
      </c>
      <c r="AO438" s="3" t="n">
        <v>2</v>
      </c>
      <c r="AP438" s="3" t="n">
        <v>3</v>
      </c>
      <c r="AQ438" s="3" t="n">
        <v>4</v>
      </c>
      <c r="AR438" s="3" t="n">
        <v>4</v>
      </c>
      <c r="AS438" s="3" t="n">
        <v>6</v>
      </c>
      <c r="AT438" s="3" t="n">
        <v>4</v>
      </c>
      <c r="AU438" s="3" t="n">
        <v>4</v>
      </c>
      <c r="AV438" s="3" t="n">
        <v>6</v>
      </c>
      <c r="AW438" s="3" t="n">
        <v>6</v>
      </c>
      <c r="AX438" s="3" t="n">
        <v>3</v>
      </c>
      <c r="AY438" s="3" t="n">
        <v>3</v>
      </c>
      <c r="AZ438" s="3" t="n">
        <v>1</v>
      </c>
      <c r="BA438" s="5" t="n">
        <v>1</v>
      </c>
      <c r="BB438" s="3" t="n">
        <v>1</v>
      </c>
      <c r="BC438" s="3" t="n">
        <v>1</v>
      </c>
      <c r="BD438" s="3" t="n">
        <v>2</v>
      </c>
      <c r="BE438" s="3" t="n">
        <v>1</v>
      </c>
      <c r="BF438" s="3" t="n">
        <v>2</v>
      </c>
      <c r="BG438" s="3" t="n">
        <v>1</v>
      </c>
      <c r="BH438" s="3" t="n">
        <v>4</v>
      </c>
      <c r="BI438" s="3" t="n">
        <v>1</v>
      </c>
      <c r="BJ438" s="3" t="n">
        <v>1</v>
      </c>
    </row>
    <row r="439" customFormat="false" ht="12.75" hidden="false" customHeight="false" outlineLevel="0" collapsed="false">
      <c r="B439" s="2" t="s">
        <v>3334</v>
      </c>
      <c r="C439" s="2" t="s">
        <v>3335</v>
      </c>
      <c r="D439" s="2" t="s">
        <v>3336</v>
      </c>
      <c r="E439" s="2" t="n">
        <v>218436</v>
      </c>
      <c r="F439" s="15" t="n">
        <v>44431</v>
      </c>
      <c r="G439" s="2"/>
      <c r="H439" s="3"/>
      <c r="I439" s="3" t="n">
        <v>2</v>
      </c>
      <c r="J439" s="3" t="n">
        <v>47</v>
      </c>
      <c r="K439" s="3" t="n">
        <v>1</v>
      </c>
      <c r="L439" s="3" t="n">
        <v>2</v>
      </c>
      <c r="M439" s="3" t="n">
        <v>1</v>
      </c>
      <c r="N439" s="3" t="n">
        <v>2</v>
      </c>
      <c r="O439" s="3" t="n">
        <v>1</v>
      </c>
      <c r="P439" s="3" t="n">
        <v>1</v>
      </c>
      <c r="Q439" s="3" t="n">
        <v>2</v>
      </c>
      <c r="R439" s="3" t="n">
        <v>2</v>
      </c>
      <c r="S439" s="3" t="n">
        <v>2</v>
      </c>
      <c r="T439" s="4" t="n">
        <v>2</v>
      </c>
      <c r="U439" s="3" t="n">
        <v>2</v>
      </c>
      <c r="V439" s="3" t="n">
        <v>2.71</v>
      </c>
      <c r="W439" s="3" t="n">
        <v>1.28</v>
      </c>
      <c r="X439" s="3" t="n">
        <v>6.73</v>
      </c>
      <c r="Y439" s="3" t="n">
        <v>322</v>
      </c>
      <c r="AA439" s="3" t="n">
        <v>0.42</v>
      </c>
      <c r="AB439" s="3" t="n">
        <v>11.8</v>
      </c>
      <c r="AC439" s="3"/>
      <c r="AD439" s="3" t="n">
        <v>2</v>
      </c>
      <c r="AE439" s="3" t="n">
        <v>1</v>
      </c>
      <c r="AF439" s="3" t="n">
        <v>1</v>
      </c>
      <c r="AG439" s="3" t="n">
        <v>1</v>
      </c>
      <c r="AH439" s="3" t="n">
        <v>2</v>
      </c>
      <c r="AI439" s="3" t="n">
        <v>1</v>
      </c>
      <c r="AJ439" s="3" t="n">
        <v>2</v>
      </c>
      <c r="AK439" s="3" t="n">
        <v>2</v>
      </c>
      <c r="AL439" s="3" t="n">
        <v>2</v>
      </c>
      <c r="AM439" s="3" t="n">
        <v>2</v>
      </c>
      <c r="AN439" s="3" t="n">
        <v>2</v>
      </c>
      <c r="AO439" s="3" t="n">
        <v>2</v>
      </c>
      <c r="AP439" s="3" t="n">
        <v>3</v>
      </c>
      <c r="AQ439" s="3" t="n">
        <v>4</v>
      </c>
      <c r="AR439" s="3" t="n">
        <v>4</v>
      </c>
      <c r="AS439" s="3" t="n">
        <v>6</v>
      </c>
      <c r="AT439" s="3" t="n">
        <v>6</v>
      </c>
      <c r="AU439" s="3" t="n">
        <v>4</v>
      </c>
      <c r="AV439" s="3" t="n">
        <v>6</v>
      </c>
      <c r="AW439" s="3" t="n">
        <v>6</v>
      </c>
      <c r="AX439" s="3" t="n">
        <v>3</v>
      </c>
      <c r="AY439" s="3" t="n">
        <v>3</v>
      </c>
      <c r="AZ439" s="3" t="n">
        <v>1</v>
      </c>
      <c r="BA439" s="5" t="n">
        <v>1</v>
      </c>
      <c r="BB439" s="3" t="n">
        <v>1</v>
      </c>
      <c r="BC439" s="3" t="n">
        <v>1</v>
      </c>
      <c r="BD439" s="3" t="n">
        <v>4</v>
      </c>
      <c r="BE439" s="3" t="n">
        <v>3</v>
      </c>
      <c r="BF439" s="3" t="n">
        <v>5</v>
      </c>
      <c r="BG439" s="3"/>
      <c r="BH439" s="3"/>
      <c r="BI439" s="3"/>
      <c r="BJ439" s="3"/>
    </row>
    <row r="440" customFormat="false" ht="12.75" hidden="false" customHeight="false" outlineLevel="0" collapsed="false">
      <c r="B440" s="2" t="s">
        <v>258</v>
      </c>
      <c r="C440" s="2" t="s">
        <v>446</v>
      </c>
      <c r="D440" s="2" t="s">
        <v>835</v>
      </c>
      <c r="E440" s="2" t="n">
        <v>218226</v>
      </c>
      <c r="F440" s="15" t="n">
        <v>44428</v>
      </c>
      <c r="G440" s="2"/>
      <c r="H440" s="3"/>
      <c r="I440" s="3" t="n">
        <v>2</v>
      </c>
      <c r="J440" s="3" t="n">
        <v>51</v>
      </c>
      <c r="K440" s="3" t="n">
        <v>1</v>
      </c>
      <c r="L440" s="3" t="n">
        <v>1</v>
      </c>
      <c r="M440" s="3" t="n">
        <v>2</v>
      </c>
      <c r="N440" s="3" t="n">
        <v>2</v>
      </c>
      <c r="O440" s="3" t="n">
        <v>2</v>
      </c>
      <c r="P440" s="3" t="n">
        <v>2</v>
      </c>
      <c r="Q440" s="3" t="n">
        <v>2</v>
      </c>
      <c r="R440" s="3" t="n">
        <v>2</v>
      </c>
      <c r="S440" s="3" t="n">
        <v>2</v>
      </c>
      <c r="T440" s="4" t="n">
        <v>2</v>
      </c>
      <c r="U440" s="3" t="n">
        <v>2</v>
      </c>
      <c r="V440" s="3" t="n">
        <v>4.13</v>
      </c>
      <c r="W440" s="3" t="n">
        <v>1.43</v>
      </c>
      <c r="X440" s="3" t="n">
        <v>4.64</v>
      </c>
      <c r="Y440" s="3" t="n">
        <v>176</v>
      </c>
      <c r="AA440" s="3" t="n">
        <v>0.42</v>
      </c>
      <c r="AB440" s="3" t="n">
        <v>15.2</v>
      </c>
      <c r="AC440" s="3"/>
      <c r="AD440" s="3" t="n">
        <v>2</v>
      </c>
      <c r="AE440" s="3" t="n">
        <v>1</v>
      </c>
      <c r="AF440" s="3" t="n">
        <v>1</v>
      </c>
      <c r="AG440" s="3" t="n">
        <v>2</v>
      </c>
      <c r="AH440" s="3" t="n">
        <v>2</v>
      </c>
      <c r="AI440" s="3" t="n">
        <v>1</v>
      </c>
      <c r="AJ440" s="3" t="n">
        <v>2</v>
      </c>
      <c r="AK440" s="3" t="n">
        <v>2</v>
      </c>
      <c r="AL440" s="3" t="n">
        <v>2</v>
      </c>
      <c r="AM440" s="3" t="n">
        <v>2</v>
      </c>
      <c r="AN440" s="3" t="n">
        <v>2</v>
      </c>
      <c r="AO440" s="3" t="n">
        <v>2</v>
      </c>
      <c r="AP440" s="3" t="n">
        <v>3</v>
      </c>
      <c r="AQ440" s="3" t="n">
        <v>4</v>
      </c>
      <c r="AR440" s="3" t="n">
        <v>4</v>
      </c>
      <c r="AS440" s="3" t="n">
        <v>6</v>
      </c>
      <c r="AT440" s="3" t="n">
        <v>4</v>
      </c>
      <c r="AU440" s="3" t="n">
        <v>4</v>
      </c>
      <c r="AV440" s="3" t="n">
        <v>6</v>
      </c>
      <c r="AW440" s="3" t="n">
        <v>6</v>
      </c>
      <c r="AX440" s="3" t="n">
        <v>3</v>
      </c>
      <c r="AY440" s="3" t="n">
        <v>3</v>
      </c>
      <c r="AZ440" s="3" t="n">
        <v>1</v>
      </c>
      <c r="BA440" s="5" t="n">
        <v>1</v>
      </c>
      <c r="BB440" s="3" t="n">
        <v>1</v>
      </c>
      <c r="BC440" s="3" t="n">
        <v>1</v>
      </c>
      <c r="BD440" s="3" t="n">
        <v>4</v>
      </c>
      <c r="BE440" s="3" t="n">
        <v>3</v>
      </c>
      <c r="BF440" s="3" t="n">
        <v>5</v>
      </c>
      <c r="BG440" s="3" t="n">
        <v>3</v>
      </c>
      <c r="BH440" s="3" t="n">
        <v>4</v>
      </c>
      <c r="BI440" s="3" t="n">
        <v>1</v>
      </c>
      <c r="BJ440" s="3" t="n">
        <v>1</v>
      </c>
    </row>
    <row r="441" customFormat="false" ht="12.75" hidden="false" customHeight="false" outlineLevel="0" collapsed="false">
      <c r="B441" s="2" t="s">
        <v>3340</v>
      </c>
      <c r="C441" s="2" t="s">
        <v>3341</v>
      </c>
      <c r="D441" s="2" t="s">
        <v>581</v>
      </c>
      <c r="E441" s="2" t="n">
        <v>218512</v>
      </c>
      <c r="F441" s="15" t="n">
        <v>44432</v>
      </c>
      <c r="G441" s="2"/>
      <c r="H441" s="3"/>
      <c r="I441" s="3" t="n">
        <v>2</v>
      </c>
      <c r="J441" s="3" t="n">
        <v>67</v>
      </c>
      <c r="K441" s="3" t="n">
        <v>1</v>
      </c>
      <c r="L441" s="3" t="n">
        <v>2</v>
      </c>
      <c r="M441" s="3" t="n">
        <v>1</v>
      </c>
      <c r="N441" s="3" t="n">
        <v>2</v>
      </c>
      <c r="O441" s="3" t="n">
        <v>2</v>
      </c>
      <c r="P441" s="3" t="n">
        <v>2</v>
      </c>
      <c r="Q441" s="3" t="n">
        <v>2</v>
      </c>
      <c r="R441" s="3" t="n">
        <v>2</v>
      </c>
      <c r="S441" s="3" t="n">
        <v>2</v>
      </c>
      <c r="T441" s="4" t="n">
        <v>2</v>
      </c>
      <c r="U441" s="3" t="n">
        <v>2</v>
      </c>
      <c r="V441" s="3" t="n">
        <v>4.88</v>
      </c>
      <c r="W441" s="3" t="n">
        <v>1.33</v>
      </c>
      <c r="X441" s="3" t="n">
        <v>8.99</v>
      </c>
      <c r="Y441" s="3" t="n">
        <v>4.18</v>
      </c>
      <c r="AA441" s="3" t="n">
        <v>0.5</v>
      </c>
      <c r="AB441" s="3" t="n">
        <v>20</v>
      </c>
      <c r="AC441" s="3"/>
      <c r="AD441" s="3" t="n">
        <v>1</v>
      </c>
      <c r="AE441" s="3" t="n">
        <v>1</v>
      </c>
      <c r="AF441" s="3" t="n">
        <v>1</v>
      </c>
      <c r="AG441" s="3" t="n">
        <v>2</v>
      </c>
      <c r="AH441" s="3" t="n">
        <v>2</v>
      </c>
      <c r="AI441" s="3" t="n">
        <v>1</v>
      </c>
      <c r="AJ441" s="3" t="n">
        <v>2</v>
      </c>
      <c r="AK441" s="3" t="n">
        <v>2</v>
      </c>
      <c r="AL441" s="3" t="n">
        <v>2</v>
      </c>
      <c r="AM441" s="3" t="n">
        <v>1</v>
      </c>
      <c r="AN441" s="3" t="n">
        <v>2</v>
      </c>
      <c r="AO441" s="3" t="n">
        <v>2</v>
      </c>
      <c r="AP441" s="3" t="n">
        <v>3</v>
      </c>
      <c r="AQ441" s="3" t="n">
        <v>4</v>
      </c>
      <c r="AR441" s="3" t="n">
        <v>4</v>
      </c>
      <c r="AS441" s="3" t="n">
        <v>6</v>
      </c>
      <c r="AT441" s="3" t="n">
        <v>4</v>
      </c>
      <c r="AU441" s="3" t="n">
        <v>4</v>
      </c>
      <c r="AV441" s="3" t="n">
        <v>6</v>
      </c>
      <c r="AW441" s="3" t="n">
        <v>6</v>
      </c>
      <c r="AX441" s="3" t="n">
        <v>3</v>
      </c>
      <c r="AY441" s="3" t="n">
        <v>3</v>
      </c>
      <c r="AZ441" s="3" t="n">
        <v>1</v>
      </c>
      <c r="BA441" s="5" t="n">
        <v>1</v>
      </c>
      <c r="BB441" s="3" t="n">
        <v>1</v>
      </c>
      <c r="BC441" s="3" t="n">
        <v>1</v>
      </c>
      <c r="BD441" s="3" t="n">
        <v>4</v>
      </c>
      <c r="BE441" s="3" t="n">
        <v>3</v>
      </c>
      <c r="BF441" s="3" t="n">
        <v>5</v>
      </c>
      <c r="BG441" s="3" t="n">
        <v>3</v>
      </c>
      <c r="BH441" s="3" t="n">
        <v>4</v>
      </c>
      <c r="BI441" s="3" t="n">
        <v>1</v>
      </c>
      <c r="BJ441" s="3" t="n">
        <v>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43359375" defaultRowHeight="12.7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43359375" defaultRowHeight="12.7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1249</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2013-09-13T20:55:50Z</dcterms:created>
  <dc:creator>Geovedy Martinez</dc:creator>
  <dc:description/>
  <dc:language>en-US</dc:language>
  <cp:lastModifiedBy/>
  <dcterms:modified xsi:type="dcterms:W3CDTF">2025-07-07T09:53:08Z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